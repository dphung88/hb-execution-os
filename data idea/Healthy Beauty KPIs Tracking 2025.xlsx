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2"/>
  <workbookPr/>
  <mc:AlternateContent xmlns:mc="http://schemas.openxmlformats.org/markup-compatibility/2006">
    <mc:Choice Requires="x15">
      <x15ac:absPath xmlns:x15ac="http://schemas.microsoft.com/office/spreadsheetml/2010/11/ac" url="/Users/edisonyang/Documents/Business/HEALTHY BEAUTY PHARMA/2025 | Thang 2/Master Plan/"/>
    </mc:Choice>
  </mc:AlternateContent>
  <xr:revisionPtr revIDLastSave="0" documentId="13_ncr:1_{27A34E6F-1AE1-6F4F-85FC-262A331FC800}" xr6:coauthVersionLast="47" xr6:coauthVersionMax="47" xr10:uidLastSave="{00000000-0000-0000-0000-000000000000}"/>
  <bookViews>
    <workbookView xWindow="20" yWindow="700" windowWidth="27040" windowHeight="15520" xr2:uid="{00000000-000D-0000-FFFF-FFFF00000000}"/>
  </bookViews>
  <sheets>
    <sheet name="Action Plan" sheetId="2" r:id="rId1"/>
    <sheet name="Dashboard" sheetId="1" r:id="rId2"/>
    <sheet name="Digital Marketer #1" sheetId="21" r:id="rId3"/>
    <sheet name="E-Com Operations" sheetId="22" r:id="rId4"/>
    <sheet name="Sale #1" sheetId="6" r:id="rId5"/>
    <sheet name="Sale #2" sheetId="24" r:id="rId6"/>
    <sheet name="Sale #3" sheetId="26" r:id="rId7"/>
    <sheet name="Sale #4" sheetId="28" r:id="rId8"/>
    <sheet name="Content Creator #1" sheetId="11" r:id="rId9"/>
    <sheet name="Content Creator #2" sheetId="16" r:id="rId10"/>
    <sheet name="Designer" sheetId="17" r:id="rId11"/>
    <sheet name="Editor" sheetId="18" r:id="rId12"/>
    <sheet name="AI Officer" sheetId="19" r:id="rId13"/>
  </sheet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B38" i="1" l="1"/>
  <c r="B39" i="1"/>
  <c r="B40" i="1"/>
  <c r="B41" i="1"/>
  <c r="B42" i="1"/>
  <c r="B43" i="1"/>
  <c r="B44" i="1"/>
  <c r="B37" i="1"/>
  <c r="B28" i="1"/>
  <c r="B29" i="1"/>
  <c r="B30" i="1"/>
  <c r="B31" i="1"/>
  <c r="B32" i="1"/>
  <c r="B27" i="1"/>
  <c r="B17" i="1"/>
  <c r="B18" i="1"/>
  <c r="B19" i="1"/>
  <c r="B20" i="1"/>
  <c r="B21" i="1"/>
  <c r="B22" i="1"/>
  <c r="B23" i="1"/>
  <c r="B16" i="1"/>
  <c r="O13" i="2"/>
  <c r="E142" i="2"/>
  <c r="E138" i="1" s="1"/>
  <c r="E172" i="2"/>
  <c r="E164" i="2"/>
  <c r="E157" i="2"/>
  <c r="E153" i="1" s="1"/>
  <c r="F161" i="1"/>
  <c r="E168" i="1"/>
  <c r="S144" i="1"/>
  <c r="V144" i="1"/>
  <c r="V145" i="1"/>
  <c r="N144" i="1"/>
  <c r="N145" i="1"/>
  <c r="F144" i="1"/>
  <c r="F145" i="1"/>
  <c r="N143" i="1"/>
  <c r="N82" i="1"/>
  <c r="N83" i="1"/>
  <c r="F147" i="1"/>
  <c r="V142" i="1"/>
  <c r="N126" i="1"/>
  <c r="F131" i="1"/>
  <c r="F126" i="1"/>
  <c r="N112" i="1"/>
  <c r="N123" i="1"/>
  <c r="P47" i="6"/>
  <c r="E47" i="6"/>
  <c r="N110" i="1"/>
  <c r="N111" i="1"/>
  <c r="N101" i="1"/>
  <c r="N100" i="1"/>
  <c r="E149" i="2"/>
  <c r="I149" i="2" s="1"/>
  <c r="H149" i="2" s="1"/>
  <c r="H148" i="2" s="1"/>
  <c r="E148" i="2"/>
  <c r="E144" i="1" s="1"/>
  <c r="G144" i="1" s="1"/>
  <c r="H144" i="1" s="1"/>
  <c r="F76" i="1"/>
  <c r="N76" i="1"/>
  <c r="C16" i="1"/>
  <c r="I114" i="2"/>
  <c r="D17" i="2"/>
  <c r="D31" i="2"/>
  <c r="V147" i="1"/>
  <c r="V146" i="1" s="1"/>
  <c r="N148" i="1"/>
  <c r="F151" i="1"/>
  <c r="E164" i="1"/>
  <c r="F77" i="1"/>
  <c r="N77" i="1"/>
  <c r="F9" i="1"/>
  <c r="F11" i="1"/>
  <c r="F11" i="2"/>
  <c r="D24" i="2" s="1"/>
  <c r="C16" i="2"/>
  <c r="B9" i="1"/>
  <c r="F154" i="1"/>
  <c r="E158" i="2"/>
  <c r="E154" i="1" s="1"/>
  <c r="F117" i="1"/>
  <c r="F110" i="1"/>
  <c r="N72" i="1"/>
  <c r="E94" i="2"/>
  <c r="E163" i="2"/>
  <c r="E156" i="2"/>
  <c r="E171" i="2"/>
  <c r="E167" i="2"/>
  <c r="E160" i="2"/>
  <c r="E154" i="2"/>
  <c r="E150" i="1" s="1"/>
  <c r="V136" i="1"/>
  <c r="V135" i="1"/>
  <c r="V126" i="1"/>
  <c r="V143" i="1"/>
  <c r="AW5" i="16"/>
  <c r="N5" i="16" s="1"/>
  <c r="AW6" i="16"/>
  <c r="N6" i="16" s="1"/>
  <c r="R7" i="16"/>
  <c r="N7" i="16"/>
  <c r="N4" i="16"/>
  <c r="F69" i="1"/>
  <c r="V148" i="1"/>
  <c r="N117" i="1"/>
  <c r="N7" i="11"/>
  <c r="N142" i="1" s="1"/>
  <c r="M6" i="11"/>
  <c r="K142" i="1"/>
  <c r="R7" i="11"/>
  <c r="E152" i="2"/>
  <c r="E151" i="2"/>
  <c r="E147" i="1" s="1"/>
  <c r="G147" i="1" s="1"/>
  <c r="E165" i="2"/>
  <c r="E173" i="2"/>
  <c r="E152" i="1"/>
  <c r="D145" i="1"/>
  <c r="Z146" i="1"/>
  <c r="Z144" i="1"/>
  <c r="Z142" i="1"/>
  <c r="Z138" i="1"/>
  <c r="R146" i="1"/>
  <c r="R144" i="1"/>
  <c r="R142" i="1"/>
  <c r="R138" i="1"/>
  <c r="J146" i="1"/>
  <c r="J144" i="1"/>
  <c r="J142" i="1"/>
  <c r="J138" i="1"/>
  <c r="D74" i="2"/>
  <c r="E130" i="2"/>
  <c r="E151" i="1"/>
  <c r="C169" i="1"/>
  <c r="C168" i="1"/>
  <c r="C165" i="1"/>
  <c r="C166" i="1"/>
  <c r="C164" i="1"/>
  <c r="C161" i="1"/>
  <c r="C160" i="1"/>
  <c r="C158" i="1"/>
  <c r="C157" i="1"/>
  <c r="C154" i="1"/>
  <c r="C153" i="1"/>
  <c r="C151" i="1"/>
  <c r="C146" i="1"/>
  <c r="I130" i="2"/>
  <c r="M3" i="11" s="1"/>
  <c r="M127" i="1"/>
  <c r="N4" i="11"/>
  <c r="N131" i="1" s="1"/>
  <c r="M132" i="1"/>
  <c r="N6" i="11"/>
  <c r="N136" i="1" s="1"/>
  <c r="N5" i="11"/>
  <c r="N135" i="1" s="1"/>
  <c r="N3" i="16"/>
  <c r="R3" i="16"/>
  <c r="E42" i="6"/>
  <c r="O27" i="1"/>
  <c r="J2" i="6"/>
  <c r="K2" i="6"/>
  <c r="K7" i="6"/>
  <c r="J7" i="6"/>
  <c r="O21" i="6"/>
  <c r="E121" i="2"/>
  <c r="H26" i="24"/>
  <c r="E20" i="24"/>
  <c r="I2" i="24"/>
  <c r="F119" i="1"/>
  <c r="F120" i="1"/>
  <c r="F121" i="1"/>
  <c r="F122" i="1"/>
  <c r="K15" i="21"/>
  <c r="L15" i="21"/>
  <c r="M15" i="21"/>
  <c r="N15" i="21"/>
  <c r="O15" i="21"/>
  <c r="P15" i="21"/>
  <c r="Q15" i="21"/>
  <c r="R15" i="21"/>
  <c r="S15" i="21"/>
  <c r="T15" i="21"/>
  <c r="U15" i="21"/>
  <c r="V15" i="21"/>
  <c r="W15" i="21"/>
  <c r="X15" i="21"/>
  <c r="Y15" i="21"/>
  <c r="Z15" i="21"/>
  <c r="AA15" i="21"/>
  <c r="AB15" i="21"/>
  <c r="AC15" i="21"/>
  <c r="AD15" i="21"/>
  <c r="AE15" i="21"/>
  <c r="AF15" i="21"/>
  <c r="AG15" i="21"/>
  <c r="AH15" i="21"/>
  <c r="AI15" i="21"/>
  <c r="AJ15" i="21"/>
  <c r="AK15" i="21"/>
  <c r="AL15" i="21"/>
  <c r="AM15" i="21"/>
  <c r="J21" i="22"/>
  <c r="J61" i="21"/>
  <c r="F62" i="1"/>
  <c r="F61" i="1"/>
  <c r="AL117" i="1"/>
  <c r="E63" i="22"/>
  <c r="V83" i="1" s="1"/>
  <c r="E110" i="1"/>
  <c r="M11" i="6"/>
  <c r="N11" i="6"/>
  <c r="Q10" i="6"/>
  <c r="O11" i="6"/>
  <c r="J19" i="24"/>
  <c r="A15" i="6"/>
  <c r="A47" i="6"/>
  <c r="E32" i="21"/>
  <c r="N54" i="1"/>
  <c r="N53" i="1" s="1"/>
  <c r="E31" i="21"/>
  <c r="E44" i="22"/>
  <c r="M139" i="2"/>
  <c r="F51" i="6"/>
  <c r="E51" i="6"/>
  <c r="D51" i="6"/>
  <c r="H26" i="6"/>
  <c r="H36" i="6"/>
  <c r="I6" i="6" s="1"/>
  <c r="H27" i="6"/>
  <c r="I3" i="6"/>
  <c r="E87" i="2"/>
  <c r="M110" i="1"/>
  <c r="E46" i="28"/>
  <c r="I86" i="2"/>
  <c r="M82" i="1" s="1"/>
  <c r="D62" i="21" s="1"/>
  <c r="S56" i="21"/>
  <c r="T56" i="21"/>
  <c r="V56" i="21"/>
  <c r="AB56" i="21"/>
  <c r="AE56" i="21"/>
  <c r="AF56" i="21"/>
  <c r="AL56" i="21"/>
  <c r="K57" i="21"/>
  <c r="L57" i="21"/>
  <c r="M57" i="21"/>
  <c r="N57" i="21"/>
  <c r="O57" i="21"/>
  <c r="P57" i="21"/>
  <c r="Q57" i="21"/>
  <c r="R57" i="21"/>
  <c r="S57" i="21"/>
  <c r="T57" i="21"/>
  <c r="U57" i="21"/>
  <c r="V57" i="21"/>
  <c r="W57" i="21"/>
  <c r="X57" i="21"/>
  <c r="Y57" i="21"/>
  <c r="Z57" i="21"/>
  <c r="AA57" i="21"/>
  <c r="AB57" i="21"/>
  <c r="AC57" i="21"/>
  <c r="AD57" i="21"/>
  <c r="AE57" i="21"/>
  <c r="AF57" i="21"/>
  <c r="AG57" i="21"/>
  <c r="AH57" i="21"/>
  <c r="AI57" i="21"/>
  <c r="AJ57" i="21"/>
  <c r="AK57" i="21"/>
  <c r="AL57" i="21"/>
  <c r="AM57" i="21"/>
  <c r="K58" i="21"/>
  <c r="L58" i="21"/>
  <c r="M58" i="21"/>
  <c r="N58" i="21"/>
  <c r="O58" i="21"/>
  <c r="P58" i="21"/>
  <c r="Q58" i="21"/>
  <c r="R58" i="21"/>
  <c r="S58" i="21"/>
  <c r="T58" i="21"/>
  <c r="U58" i="21"/>
  <c r="V58" i="21"/>
  <c r="W58" i="21"/>
  <c r="X58" i="21"/>
  <c r="Y58" i="21"/>
  <c r="Z58" i="21"/>
  <c r="AA58" i="21"/>
  <c r="AB58" i="21"/>
  <c r="AC58" i="21"/>
  <c r="AD58" i="21"/>
  <c r="AE58" i="21"/>
  <c r="AF58" i="21"/>
  <c r="AG58" i="21"/>
  <c r="AH58" i="21"/>
  <c r="AI58" i="21"/>
  <c r="AJ58" i="21"/>
  <c r="AK58" i="21"/>
  <c r="AL58" i="21"/>
  <c r="AM58" i="21"/>
  <c r="K59" i="21"/>
  <c r="L59" i="21"/>
  <c r="M59" i="21"/>
  <c r="N59" i="21"/>
  <c r="O59" i="21"/>
  <c r="P59" i="21"/>
  <c r="Q59" i="21"/>
  <c r="R59" i="21"/>
  <c r="S59" i="21"/>
  <c r="T59" i="21"/>
  <c r="U59" i="21"/>
  <c r="V59" i="21"/>
  <c r="W59" i="21"/>
  <c r="X59" i="21"/>
  <c r="Y59" i="21"/>
  <c r="Z59" i="21"/>
  <c r="AA59" i="21"/>
  <c r="AB59" i="21"/>
  <c r="AC59" i="21"/>
  <c r="AD59" i="21"/>
  <c r="AE59" i="21"/>
  <c r="AF59" i="21"/>
  <c r="AG59" i="21"/>
  <c r="AH59" i="21"/>
  <c r="AI59" i="21"/>
  <c r="AJ59" i="21"/>
  <c r="AK59" i="21"/>
  <c r="AL59" i="21"/>
  <c r="AM59" i="21"/>
  <c r="K60" i="21"/>
  <c r="L60" i="21"/>
  <c r="M60" i="21"/>
  <c r="N60" i="21"/>
  <c r="O60" i="21"/>
  <c r="P60" i="21"/>
  <c r="Q60" i="21"/>
  <c r="R60" i="21"/>
  <c r="S60" i="21"/>
  <c r="T60" i="21"/>
  <c r="U60" i="21"/>
  <c r="V60" i="21"/>
  <c r="W60" i="21"/>
  <c r="X60" i="21"/>
  <c r="Y60" i="21"/>
  <c r="Z60" i="21"/>
  <c r="AA60" i="21"/>
  <c r="AB60" i="21"/>
  <c r="AC60" i="21"/>
  <c r="AD60" i="21"/>
  <c r="AE60" i="21"/>
  <c r="AF60" i="21"/>
  <c r="AG60" i="21"/>
  <c r="AH60" i="21"/>
  <c r="AI60" i="21"/>
  <c r="AJ60" i="21"/>
  <c r="AK60" i="21"/>
  <c r="AL60" i="21"/>
  <c r="AM60" i="21"/>
  <c r="K61" i="21"/>
  <c r="L61" i="21"/>
  <c r="M61" i="21"/>
  <c r="N61" i="21"/>
  <c r="O61" i="21"/>
  <c r="P61" i="21"/>
  <c r="Q61" i="21"/>
  <c r="R61" i="21"/>
  <c r="S61" i="21"/>
  <c r="T61" i="21"/>
  <c r="U61" i="21"/>
  <c r="V61" i="21"/>
  <c r="W61" i="21"/>
  <c r="X61" i="21"/>
  <c r="Y61" i="21"/>
  <c r="Z61" i="21"/>
  <c r="AA61" i="21"/>
  <c r="AB61" i="21"/>
  <c r="AC61" i="21"/>
  <c r="AD61" i="21"/>
  <c r="AE61" i="21"/>
  <c r="AF61" i="21"/>
  <c r="AG61" i="21"/>
  <c r="AH61" i="21"/>
  <c r="AI61" i="21"/>
  <c r="AJ61" i="21"/>
  <c r="AK61" i="21"/>
  <c r="AL61" i="21"/>
  <c r="AM61" i="21"/>
  <c r="J60" i="21"/>
  <c r="AN56" i="21"/>
  <c r="AN57" i="21"/>
  <c r="AN58" i="21"/>
  <c r="AN59" i="21"/>
  <c r="AN60" i="21"/>
  <c r="AN61" i="21"/>
  <c r="J59" i="21"/>
  <c r="E16" i="21"/>
  <c r="AN62" i="21"/>
  <c r="J31" i="21"/>
  <c r="E43" i="21"/>
  <c r="N64" i="1" s="1"/>
  <c r="M64" i="1"/>
  <c r="D43" i="21" s="1"/>
  <c r="AL123" i="1"/>
  <c r="E47" i="28"/>
  <c r="E47" i="24"/>
  <c r="E127" i="2"/>
  <c r="E123" i="1" s="1"/>
  <c r="I135" i="2"/>
  <c r="D156" i="2"/>
  <c r="H129" i="2"/>
  <c r="D83" i="1"/>
  <c r="D82" i="1"/>
  <c r="H24" i="6"/>
  <c r="H21" i="6"/>
  <c r="K9" i="22"/>
  <c r="L9" i="22"/>
  <c r="M9" i="22"/>
  <c r="N9" i="22"/>
  <c r="O9" i="22"/>
  <c r="P9" i="22"/>
  <c r="P56" i="22" s="1"/>
  <c r="Q9" i="22"/>
  <c r="R9" i="22"/>
  <c r="S9" i="22"/>
  <c r="S56" i="22" s="1"/>
  <c r="T9" i="22"/>
  <c r="U9" i="22"/>
  <c r="V9" i="22"/>
  <c r="V56" i="22" s="1"/>
  <c r="W9" i="22"/>
  <c r="X9" i="22"/>
  <c r="Y9" i="22"/>
  <c r="Z9" i="22"/>
  <c r="AA9" i="22"/>
  <c r="AB9" i="22"/>
  <c r="AB56" i="22" s="1"/>
  <c r="AC9" i="22"/>
  <c r="AC56" i="22" s="1"/>
  <c r="AD9" i="22"/>
  <c r="AD56" i="22" s="1"/>
  <c r="AE9" i="22"/>
  <c r="AF9" i="22"/>
  <c r="AF56" i="22" s="1"/>
  <c r="AG9" i="22"/>
  <c r="AG56" i="22" s="1"/>
  <c r="AH9" i="22"/>
  <c r="AI9" i="22"/>
  <c r="AJ9" i="22"/>
  <c r="AK9" i="22"/>
  <c r="AL9" i="22"/>
  <c r="AM9" i="22"/>
  <c r="AN9" i="22"/>
  <c r="AN56" i="22" s="1"/>
  <c r="K15" i="22"/>
  <c r="K57" i="22" s="1"/>
  <c r="L15" i="22"/>
  <c r="M15" i="22"/>
  <c r="M57" i="22" s="1"/>
  <c r="N15" i="22"/>
  <c r="N57" i="22" s="1"/>
  <c r="O15" i="22"/>
  <c r="O57" i="22" s="1"/>
  <c r="P15" i="22"/>
  <c r="Q15" i="22"/>
  <c r="R15" i="22"/>
  <c r="S15" i="22"/>
  <c r="T15" i="22"/>
  <c r="U15" i="22"/>
  <c r="V15" i="22"/>
  <c r="W15" i="22"/>
  <c r="X15" i="22"/>
  <c r="Y15" i="22"/>
  <c r="Y57" i="22" s="1"/>
  <c r="Z15" i="22"/>
  <c r="Z57" i="22" s="1"/>
  <c r="AA15" i="22"/>
  <c r="AA57" i="22" s="1"/>
  <c r="AB15" i="22"/>
  <c r="AC15" i="22"/>
  <c r="AD15" i="22"/>
  <c r="AE15" i="22"/>
  <c r="AF15" i="22"/>
  <c r="AG15" i="22"/>
  <c r="AH15" i="22"/>
  <c r="AH57" i="22" s="1"/>
  <c r="AI15" i="22"/>
  <c r="AJ15" i="22"/>
  <c r="AK15" i="22"/>
  <c r="AK57" i="22" s="1"/>
  <c r="AL15" i="22"/>
  <c r="AL57" i="22" s="1"/>
  <c r="AM15" i="22"/>
  <c r="AN15" i="22"/>
  <c r="K9" i="21"/>
  <c r="K56" i="21" s="1"/>
  <c r="L9" i="21"/>
  <c r="L56" i="21" s="1"/>
  <c r="M9" i="21"/>
  <c r="M56" i="21" s="1"/>
  <c r="N9" i="21"/>
  <c r="N56" i="21" s="1"/>
  <c r="O9" i="21"/>
  <c r="O56" i="21" s="1"/>
  <c r="P9" i="21"/>
  <c r="P56" i="21" s="1"/>
  <c r="Q9" i="21"/>
  <c r="Q56" i="21" s="1"/>
  <c r="R9" i="21"/>
  <c r="R56" i="21" s="1"/>
  <c r="S9" i="21"/>
  <c r="T9" i="21"/>
  <c r="U9" i="21"/>
  <c r="U56" i="21" s="1"/>
  <c r="V9" i="21"/>
  <c r="W9" i="21"/>
  <c r="W56" i="21" s="1"/>
  <c r="X9" i="21"/>
  <c r="X56" i="21" s="1"/>
  <c r="Y9" i="21"/>
  <c r="Y56" i="21" s="1"/>
  <c r="Z9" i="21"/>
  <c r="Z56" i="21" s="1"/>
  <c r="AA9" i="21"/>
  <c r="AA56" i="21" s="1"/>
  <c r="AB9" i="21"/>
  <c r="AC9" i="21"/>
  <c r="AC56" i="21" s="1"/>
  <c r="AD9" i="21"/>
  <c r="AD56" i="21" s="1"/>
  <c r="AE9" i="21"/>
  <c r="AF9" i="21"/>
  <c r="AG9" i="21"/>
  <c r="AG56" i="21" s="1"/>
  <c r="AH9" i="21"/>
  <c r="AH56" i="21" s="1"/>
  <c r="AI9" i="21"/>
  <c r="AI56" i="21" s="1"/>
  <c r="AJ9" i="21"/>
  <c r="AJ56" i="21" s="1"/>
  <c r="AK9" i="21"/>
  <c r="AK56" i="21" s="1"/>
  <c r="AL9" i="21"/>
  <c r="AM9" i="21"/>
  <c r="AM56" i="21" s="1"/>
  <c r="AN9" i="21"/>
  <c r="AN15" i="21"/>
  <c r="J15" i="21"/>
  <c r="J58" i="21" s="1"/>
  <c r="E63" i="21"/>
  <c r="F83" i="1" s="1"/>
  <c r="N147" i="1" s="1"/>
  <c r="N146" i="1" s="1"/>
  <c r="K56" i="22"/>
  <c r="L56" i="22"/>
  <c r="M56" i="22"/>
  <c r="N56" i="22"/>
  <c r="O56" i="22"/>
  <c r="Q56" i="22"/>
  <c r="R56" i="22"/>
  <c r="T56" i="22"/>
  <c r="U56" i="22"/>
  <c r="W56" i="22"/>
  <c r="X56" i="22"/>
  <c r="Y56" i="22"/>
  <c r="Z56" i="22"/>
  <c r="AA56" i="22"/>
  <c r="AE56" i="22"/>
  <c r="AH56" i="22"/>
  <c r="AI56" i="22"/>
  <c r="AJ56" i="22"/>
  <c r="AK56" i="22"/>
  <c r="AL56" i="22"/>
  <c r="AM56" i="22"/>
  <c r="L57" i="22"/>
  <c r="P57" i="22"/>
  <c r="Q57" i="22"/>
  <c r="R57" i="22"/>
  <c r="S57" i="22"/>
  <c r="T57" i="22"/>
  <c r="U57" i="22"/>
  <c r="V57" i="22"/>
  <c r="W57" i="22"/>
  <c r="X57" i="22"/>
  <c r="AB57" i="22"/>
  <c r="AC57" i="22"/>
  <c r="AD57" i="22"/>
  <c r="AE57" i="22"/>
  <c r="AF57" i="22"/>
  <c r="AG57" i="22"/>
  <c r="AI57" i="22"/>
  <c r="AJ57" i="22"/>
  <c r="AM57" i="22"/>
  <c r="AN57" i="22"/>
  <c r="K59" i="22"/>
  <c r="L59" i="22"/>
  <c r="M59" i="22"/>
  <c r="N59" i="22"/>
  <c r="O59" i="22"/>
  <c r="P59" i="22"/>
  <c r="Q59" i="22"/>
  <c r="R59" i="22"/>
  <c r="S59" i="22"/>
  <c r="T59" i="22"/>
  <c r="U59" i="22"/>
  <c r="V59" i="22"/>
  <c r="W59" i="22"/>
  <c r="X59" i="22"/>
  <c r="Y59" i="22"/>
  <c r="Z59" i="22"/>
  <c r="AA59" i="22"/>
  <c r="AB59" i="22"/>
  <c r="AC59" i="22"/>
  <c r="AD59" i="22"/>
  <c r="AE59" i="22"/>
  <c r="AF59" i="22"/>
  <c r="AG59" i="22"/>
  <c r="AH59" i="22"/>
  <c r="AI59" i="22"/>
  <c r="AJ59" i="22"/>
  <c r="AK59" i="22"/>
  <c r="AL59" i="22"/>
  <c r="AM59" i="22"/>
  <c r="AN59" i="22"/>
  <c r="K60" i="22"/>
  <c r="L60" i="22"/>
  <c r="M60" i="22"/>
  <c r="N60" i="22"/>
  <c r="O60" i="22"/>
  <c r="P60" i="22"/>
  <c r="Q60" i="22"/>
  <c r="R60" i="22"/>
  <c r="S60" i="22"/>
  <c r="T60" i="22"/>
  <c r="U60" i="22"/>
  <c r="V60" i="22"/>
  <c r="W60" i="22"/>
  <c r="X60" i="22"/>
  <c r="Y60" i="22"/>
  <c r="Z60" i="22"/>
  <c r="AA60" i="22"/>
  <c r="AB60" i="22"/>
  <c r="AC60" i="22"/>
  <c r="AD60" i="22"/>
  <c r="AE60" i="22"/>
  <c r="AF60" i="22"/>
  <c r="AG60" i="22"/>
  <c r="AH60" i="22"/>
  <c r="AI60" i="22"/>
  <c r="AJ60" i="22"/>
  <c r="AK60" i="22"/>
  <c r="AL60" i="22"/>
  <c r="AM60" i="22"/>
  <c r="AN60" i="22"/>
  <c r="K61" i="22"/>
  <c r="L61" i="22"/>
  <c r="M61" i="22"/>
  <c r="N61" i="22"/>
  <c r="O61" i="22"/>
  <c r="P61" i="22"/>
  <c r="Q61" i="22"/>
  <c r="R61" i="22"/>
  <c r="S61" i="22"/>
  <c r="T61" i="22"/>
  <c r="U61" i="22"/>
  <c r="V61" i="22"/>
  <c r="W61" i="22"/>
  <c r="X61" i="22"/>
  <c r="Y61" i="22"/>
  <c r="Z61" i="22"/>
  <c r="AA61" i="22"/>
  <c r="AB61" i="22"/>
  <c r="AC61" i="22"/>
  <c r="AD61" i="22"/>
  <c r="AE61" i="22"/>
  <c r="AF61" i="22"/>
  <c r="AG61" i="22"/>
  <c r="AH61" i="22"/>
  <c r="AI61" i="22"/>
  <c r="AJ61" i="22"/>
  <c r="AK61" i="22"/>
  <c r="AL61" i="22"/>
  <c r="AM61" i="22"/>
  <c r="AN61" i="22"/>
  <c r="J59" i="22"/>
  <c r="J58" i="22"/>
  <c r="J61" i="22"/>
  <c r="J60" i="22"/>
  <c r="E40" i="21"/>
  <c r="J62" i="21"/>
  <c r="K28" i="2"/>
  <c r="E88" i="2"/>
  <c r="N40" i="6"/>
  <c r="E39" i="6"/>
  <c r="I64" i="2"/>
  <c r="D103" i="1"/>
  <c r="N36" i="6"/>
  <c r="M36" i="6"/>
  <c r="M32" i="6"/>
  <c r="M26" i="6"/>
  <c r="M20" i="6"/>
  <c r="I117" i="2"/>
  <c r="U114" i="2"/>
  <c r="Q114" i="2"/>
  <c r="AC110" i="1" s="1"/>
  <c r="D41" i="26" s="1"/>
  <c r="M114" i="2"/>
  <c r="U110" i="1" s="1"/>
  <c r="D41" i="24" s="1"/>
  <c r="I115" i="2"/>
  <c r="E40" i="26"/>
  <c r="E47" i="26"/>
  <c r="E39" i="26"/>
  <c r="D102" i="1"/>
  <c r="DP47" i="28"/>
  <c r="AF47" i="28"/>
  <c r="EE46" i="28"/>
  <c r="EF46" i="28" s="1"/>
  <c r="EA46" i="28"/>
  <c r="EB46" i="28" s="1"/>
  <c r="DW46" i="28"/>
  <c r="DX46" i="28" s="1"/>
  <c r="DS46" i="28"/>
  <c r="DT46" i="28" s="1"/>
  <c r="DO46" i="28"/>
  <c r="DP46" i="28" s="1"/>
  <c r="DK46" i="28"/>
  <c r="DL46" i="28" s="1"/>
  <c r="DG46" i="28"/>
  <c r="DH46" i="28" s="1"/>
  <c r="DC46" i="28"/>
  <c r="DD46" i="28" s="1"/>
  <c r="CZ46" i="28"/>
  <c r="CY46" i="28"/>
  <c r="CV46" i="28"/>
  <c r="CU46" i="28"/>
  <c r="CQ46" i="28"/>
  <c r="CR46" i="28" s="1"/>
  <c r="CM46" i="28"/>
  <c r="CN46" i="28" s="1"/>
  <c r="CI46" i="28"/>
  <c r="CJ46" i="28" s="1"/>
  <c r="CE46" i="28"/>
  <c r="CF46" i="28" s="1"/>
  <c r="CA46" i="28"/>
  <c r="CB46" i="28" s="1"/>
  <c r="BW46" i="28"/>
  <c r="BX46" i="28" s="1"/>
  <c r="BS46" i="28"/>
  <c r="BT46" i="28" s="1"/>
  <c r="BO46" i="28"/>
  <c r="BP46" i="28" s="1"/>
  <c r="BK46" i="28"/>
  <c r="BL46" i="28" s="1"/>
  <c r="BG46" i="28"/>
  <c r="BH46" i="28" s="1"/>
  <c r="BC46" i="28"/>
  <c r="BD46" i="28" s="1"/>
  <c r="AY46" i="28"/>
  <c r="AZ46" i="28" s="1"/>
  <c r="AU46" i="28"/>
  <c r="AV46" i="28" s="1"/>
  <c r="AQ46" i="28"/>
  <c r="AR46" i="28" s="1"/>
  <c r="AM46" i="28"/>
  <c r="AN46" i="28" s="1"/>
  <c r="AI46" i="28"/>
  <c r="AJ46" i="28" s="1"/>
  <c r="AE46" i="28"/>
  <c r="AF46" i="28" s="1"/>
  <c r="AA46" i="28"/>
  <c r="AB46" i="28" s="1"/>
  <c r="W46" i="28"/>
  <c r="X46" i="28" s="1"/>
  <c r="S46" i="28"/>
  <c r="T46" i="28" s="1"/>
  <c r="O46" i="28"/>
  <c r="P46" i="28" s="1"/>
  <c r="EA45" i="28"/>
  <c r="EB45" i="28" s="1"/>
  <c r="DC45" i="28"/>
  <c r="DD45" i="28" s="1"/>
  <c r="CY45" i="28"/>
  <c r="CZ45" i="28" s="1"/>
  <c r="CU45" i="28"/>
  <c r="CV45" i="28" s="1"/>
  <c r="CE45" i="28"/>
  <c r="CF45" i="28" s="1"/>
  <c r="BG45" i="28"/>
  <c r="BH45" i="28" s="1"/>
  <c r="AY45" i="28"/>
  <c r="AZ45" i="28" s="1"/>
  <c r="AJ45" i="28"/>
  <c r="AI45" i="28"/>
  <c r="EE44" i="28"/>
  <c r="EF44" i="28" s="1"/>
  <c r="EA44" i="28"/>
  <c r="EB44" i="28" s="1"/>
  <c r="DW44" i="28"/>
  <c r="DX44" i="28" s="1"/>
  <c r="DS44" i="28"/>
  <c r="DT44" i="28" s="1"/>
  <c r="DO44" i="28"/>
  <c r="DP44" i="28" s="1"/>
  <c r="DK44" i="28"/>
  <c r="DL44" i="28" s="1"/>
  <c r="DH44" i="28"/>
  <c r="DG44" i="28"/>
  <c r="DC44" i="28"/>
  <c r="DD44" i="28" s="1"/>
  <c r="CY44" i="28"/>
  <c r="CZ44" i="28" s="1"/>
  <c r="CU44" i="28"/>
  <c r="CV44" i="28" s="1"/>
  <c r="CQ44" i="28"/>
  <c r="CR44" i="28" s="1"/>
  <c r="CM44" i="28"/>
  <c r="CN44" i="28" s="1"/>
  <c r="CI44" i="28"/>
  <c r="CJ44" i="28" s="1"/>
  <c r="CE44" i="28"/>
  <c r="CF44" i="28" s="1"/>
  <c r="CA44" i="28"/>
  <c r="CB44" i="28" s="1"/>
  <c r="BW44" i="28"/>
  <c r="BX44" i="28" s="1"/>
  <c r="BS44" i="28"/>
  <c r="BT44" i="28" s="1"/>
  <c r="BO44" i="28"/>
  <c r="BP44" i="28" s="1"/>
  <c r="BK44" i="28"/>
  <c r="BL44" i="28" s="1"/>
  <c r="BH44" i="28"/>
  <c r="BG44" i="28"/>
  <c r="BD44" i="28"/>
  <c r="BC44" i="28"/>
  <c r="AY44" i="28"/>
  <c r="AZ44" i="28" s="1"/>
  <c r="AU44" i="28"/>
  <c r="AV44" i="28" s="1"/>
  <c r="AQ44" i="28"/>
  <c r="AR44" i="28" s="1"/>
  <c r="AM44" i="28"/>
  <c r="AN44" i="28" s="1"/>
  <c r="AI44" i="28"/>
  <c r="AJ44" i="28" s="1"/>
  <c r="AE44" i="28"/>
  <c r="AF44" i="28" s="1"/>
  <c r="AA44" i="28"/>
  <c r="AB44" i="28" s="1"/>
  <c r="W44" i="28"/>
  <c r="X44" i="28" s="1"/>
  <c r="S44" i="28"/>
  <c r="T44" i="28" s="1"/>
  <c r="P44" i="28"/>
  <c r="O44" i="28"/>
  <c r="EA43" i="28"/>
  <c r="EB43" i="28" s="1"/>
  <c r="DK43" i="28"/>
  <c r="DL43" i="28" s="1"/>
  <c r="DG43" i="28"/>
  <c r="DH43" i="28" s="1"/>
  <c r="DD43" i="28"/>
  <c r="DC43" i="28"/>
  <c r="CE43" i="28"/>
  <c r="CF43" i="28" s="1"/>
  <c r="BK43" i="28"/>
  <c r="BL43" i="28" s="1"/>
  <c r="BH43" i="28"/>
  <c r="BG43" i="28"/>
  <c r="AI43" i="28"/>
  <c r="AJ43" i="28" s="1"/>
  <c r="S43" i="28"/>
  <c r="T43" i="28" s="1"/>
  <c r="EF42" i="28"/>
  <c r="EE42" i="28"/>
  <c r="DG42" i="28"/>
  <c r="DH42" i="28" s="1"/>
  <c r="CQ42" i="28"/>
  <c r="CR42" i="28" s="1"/>
  <c r="CM42" i="28"/>
  <c r="CN42" i="28" s="1"/>
  <c r="CJ42" i="28"/>
  <c r="BK42" i="28"/>
  <c r="BL42" i="28" s="1"/>
  <c r="AU42" i="28"/>
  <c r="AV42" i="28" s="1"/>
  <c r="O42" i="28"/>
  <c r="P42" i="28" s="1"/>
  <c r="DS41" i="28"/>
  <c r="DO41" i="28"/>
  <c r="BS41" i="28"/>
  <c r="BS40" i="28" s="1"/>
  <c r="BP41" i="28"/>
  <c r="BP40" i="28" s="1"/>
  <c r="AQ41" i="28"/>
  <c r="AR41" i="28" s="1"/>
  <c r="AA41" i="28"/>
  <c r="ED40" i="28"/>
  <c r="DZ40" i="28"/>
  <c r="DV40" i="28"/>
  <c r="DR40" i="28"/>
  <c r="DN40" i="28"/>
  <c r="DJ40" i="28"/>
  <c r="DF40" i="28"/>
  <c r="DB40" i="28"/>
  <c r="CX40" i="28"/>
  <c r="CT40" i="28"/>
  <c r="CP40" i="28"/>
  <c r="CL40" i="28"/>
  <c r="CH40" i="28"/>
  <c r="CD40" i="28"/>
  <c r="BZ40" i="28"/>
  <c r="BV40" i="28"/>
  <c r="BR40" i="28"/>
  <c r="BN40" i="28"/>
  <c r="BJ40" i="28"/>
  <c r="BF40" i="28"/>
  <c r="BB40" i="28"/>
  <c r="AX40" i="28"/>
  <c r="AT40" i="28"/>
  <c r="AP40" i="28"/>
  <c r="AL40" i="28"/>
  <c r="AH40" i="28"/>
  <c r="AD40" i="28"/>
  <c r="Z40" i="28"/>
  <c r="V40" i="28"/>
  <c r="R40" i="28"/>
  <c r="N40" i="28"/>
  <c r="EE39" i="28"/>
  <c r="EA39" i="28"/>
  <c r="DW39" i="28"/>
  <c r="DS39" i="28"/>
  <c r="DO39" i="28"/>
  <c r="DK39" i="28"/>
  <c r="DG39" i="28"/>
  <c r="DC39" i="28"/>
  <c r="CY39" i="28"/>
  <c r="CU39" i="28"/>
  <c r="CQ39" i="28"/>
  <c r="CM39" i="28"/>
  <c r="CI39" i="28"/>
  <c r="CE39" i="28"/>
  <c r="CA39" i="28"/>
  <c r="BW39" i="28"/>
  <c r="BS39" i="28"/>
  <c r="BO39" i="28"/>
  <c r="BK39" i="28"/>
  <c r="BG39" i="28"/>
  <c r="BC39" i="28"/>
  <c r="AY39" i="28"/>
  <c r="AU39" i="28"/>
  <c r="AQ39" i="28"/>
  <c r="AM39" i="28"/>
  <c r="AI39" i="28"/>
  <c r="AE39" i="28"/>
  <c r="AA39" i="28"/>
  <c r="W39" i="28"/>
  <c r="S39" i="28"/>
  <c r="O39" i="28"/>
  <c r="EE38" i="28"/>
  <c r="EE36" i="28" s="1"/>
  <c r="EA38" i="28"/>
  <c r="EA36" i="28" s="1"/>
  <c r="DW38" i="28"/>
  <c r="DW36" i="28" s="1"/>
  <c r="DS38" i="28"/>
  <c r="DO38" i="28"/>
  <c r="DK38" i="28"/>
  <c r="DG38" i="28"/>
  <c r="DC38" i="28"/>
  <c r="CY38" i="28"/>
  <c r="CU38" i="28"/>
  <c r="CQ38" i="28"/>
  <c r="CM38" i="28"/>
  <c r="CI38" i="28"/>
  <c r="CI36" i="28" s="1"/>
  <c r="CE38" i="28"/>
  <c r="CE36" i="28" s="1"/>
  <c r="CA38" i="28"/>
  <c r="CA36" i="28" s="1"/>
  <c r="BW38" i="28"/>
  <c r="BS38" i="28"/>
  <c r="BO38" i="28"/>
  <c r="BK38" i="28"/>
  <c r="BG38" i="28"/>
  <c r="BC38" i="28"/>
  <c r="AY38" i="28"/>
  <c r="AU38" i="28"/>
  <c r="AQ38" i="28"/>
  <c r="AM38" i="28"/>
  <c r="AI38" i="28"/>
  <c r="AI36" i="28" s="1"/>
  <c r="AE38" i="28"/>
  <c r="AE36" i="28" s="1"/>
  <c r="AA38" i="28"/>
  <c r="W38" i="28"/>
  <c r="S38" i="28"/>
  <c r="O38" i="28"/>
  <c r="EE37" i="28"/>
  <c r="EA37" i="28"/>
  <c r="DW37" i="28"/>
  <c r="DS37" i="28"/>
  <c r="DO37" i="28"/>
  <c r="DO36" i="28" s="1"/>
  <c r="DK37" i="28"/>
  <c r="DK36" i="28" s="1"/>
  <c r="DG37" i="28"/>
  <c r="DC37" i="28"/>
  <c r="DC36" i="28" s="1"/>
  <c r="CY37" i="28"/>
  <c r="CY36" i="28" s="1"/>
  <c r="CU37" i="28"/>
  <c r="CQ37" i="28"/>
  <c r="CQ36" i="28" s="1"/>
  <c r="CM37" i="28"/>
  <c r="CI37" i="28"/>
  <c r="CE37" i="28"/>
  <c r="CA37" i="28"/>
  <c r="BW37" i="28"/>
  <c r="BS37" i="28"/>
  <c r="BS36" i="28" s="1"/>
  <c r="BO37" i="28"/>
  <c r="BO36" i="28" s="1"/>
  <c r="BK37" i="28"/>
  <c r="BK36" i="28" s="1"/>
  <c r="BG37" i="28"/>
  <c r="BG36" i="28" s="1"/>
  <c r="BC37" i="28"/>
  <c r="BC36" i="28" s="1"/>
  <c r="AY37" i="28"/>
  <c r="AU37" i="28"/>
  <c r="AU36" i="28" s="1"/>
  <c r="AQ37" i="28"/>
  <c r="AM37" i="28"/>
  <c r="AI37" i="28"/>
  <c r="AE37" i="28"/>
  <c r="AA37" i="28"/>
  <c r="W37" i="28"/>
  <c r="W36" i="28" s="1"/>
  <c r="S37" i="28"/>
  <c r="S36" i="28" s="1"/>
  <c r="O37" i="28"/>
  <c r="O36" i="28" s="1"/>
  <c r="EF36" i="28"/>
  <c r="ED36" i="28"/>
  <c r="EE45" i="28" s="1"/>
  <c r="EF45" i="28" s="1"/>
  <c r="EC36" i="28"/>
  <c r="EB36" i="28"/>
  <c r="DZ36" i="28"/>
  <c r="DY36" i="28"/>
  <c r="DX36" i="28"/>
  <c r="DV36" i="28"/>
  <c r="DW45" i="28" s="1"/>
  <c r="DX45" i="28" s="1"/>
  <c r="DU36" i="28"/>
  <c r="DT36" i="28"/>
  <c r="DS36" i="28"/>
  <c r="DR36" i="28"/>
  <c r="DS45" i="28" s="1"/>
  <c r="DT45" i="28" s="1"/>
  <c r="DQ36" i="28"/>
  <c r="DP36" i="28"/>
  <c r="DN36" i="28"/>
  <c r="DO45" i="28" s="1"/>
  <c r="DP45" i="28" s="1"/>
  <c r="DM36" i="28"/>
  <c r="DL36" i="28"/>
  <c r="DJ36" i="28"/>
  <c r="DK45" i="28" s="1"/>
  <c r="DL45" i="28" s="1"/>
  <c r="DI36" i="28"/>
  <c r="DH36" i="28"/>
  <c r="DH19" i="28" s="1"/>
  <c r="DH47" i="28" s="1"/>
  <c r="DG36" i="28"/>
  <c r="DF36" i="28"/>
  <c r="DE36" i="28"/>
  <c r="DE16" i="28" s="1"/>
  <c r="DD36" i="28"/>
  <c r="DB36" i="28"/>
  <c r="DA36" i="28"/>
  <c r="CZ36" i="28"/>
  <c r="CX36" i="28"/>
  <c r="CW36" i="28"/>
  <c r="CV36" i="28"/>
  <c r="CU36" i="28"/>
  <c r="CT36" i="28"/>
  <c r="CT19" i="28" s="1"/>
  <c r="CS36" i="28"/>
  <c r="CR36" i="28"/>
  <c r="CP36" i="28"/>
  <c r="CQ45" i="28" s="1"/>
  <c r="CR45" i="28" s="1"/>
  <c r="CO36" i="28"/>
  <c r="CN36" i="28"/>
  <c r="CM36" i="28"/>
  <c r="CL36" i="28"/>
  <c r="CM45" i="28" s="1"/>
  <c r="CN45" i="28" s="1"/>
  <c r="CK36" i="28"/>
  <c r="CJ36" i="28"/>
  <c r="CH36" i="28"/>
  <c r="CI45" i="28" s="1"/>
  <c r="CJ45" i="28" s="1"/>
  <c r="CG36" i="28"/>
  <c r="CG19" i="28" s="1"/>
  <c r="CF36" i="28"/>
  <c r="CD36" i="28"/>
  <c r="CC36" i="28"/>
  <c r="CB36" i="28"/>
  <c r="BZ36" i="28"/>
  <c r="CA45" i="28" s="1"/>
  <c r="CB45" i="28" s="1"/>
  <c r="BY36" i="28"/>
  <c r="BX36" i="28"/>
  <c r="BW36" i="28"/>
  <c r="BV36" i="28"/>
  <c r="BW45" i="28" s="1"/>
  <c r="BX45" i="28" s="1"/>
  <c r="BU36" i="28"/>
  <c r="BU16" i="28" s="1"/>
  <c r="BT36" i="28"/>
  <c r="BR36" i="28"/>
  <c r="BS45" i="28" s="1"/>
  <c r="BT45" i="28" s="1"/>
  <c r="BQ36" i="28"/>
  <c r="BP36" i="28"/>
  <c r="BN36" i="28"/>
  <c r="BO45" i="28" s="1"/>
  <c r="BP45" i="28" s="1"/>
  <c r="BM36" i="28"/>
  <c r="BL36" i="28"/>
  <c r="BJ36" i="28"/>
  <c r="BK45" i="28" s="1"/>
  <c r="BL45" i="28" s="1"/>
  <c r="BI36" i="28"/>
  <c r="BH36" i="28"/>
  <c r="BF36" i="28"/>
  <c r="BE36" i="28"/>
  <c r="BD36" i="28"/>
  <c r="BB36" i="28"/>
  <c r="BC45" i="28" s="1"/>
  <c r="BD45" i="28" s="1"/>
  <c r="BA36" i="28"/>
  <c r="BA16" i="28" s="1"/>
  <c r="AZ36" i="28"/>
  <c r="AY36" i="28"/>
  <c r="AX36" i="28"/>
  <c r="AW36" i="28"/>
  <c r="AV36" i="28"/>
  <c r="AT36" i="28"/>
  <c r="AU45" i="28" s="1"/>
  <c r="AV45" i="28" s="1"/>
  <c r="AS36" i="28"/>
  <c r="AR36" i="28"/>
  <c r="AQ36" i="28"/>
  <c r="AP36" i="28"/>
  <c r="AQ45" i="28" s="1"/>
  <c r="AR45" i="28" s="1"/>
  <c r="AO36" i="28"/>
  <c r="AO16" i="28" s="1"/>
  <c r="AQ16" i="28" s="1"/>
  <c r="AN36" i="28"/>
  <c r="AN16" i="28" s="1"/>
  <c r="AM36" i="28"/>
  <c r="AL36" i="28"/>
  <c r="AM45" i="28" s="1"/>
  <c r="AN45" i="28" s="1"/>
  <c r="AK36" i="28"/>
  <c r="AJ36" i="28"/>
  <c r="AH36" i="28"/>
  <c r="AG36" i="28"/>
  <c r="AF36" i="28"/>
  <c r="AD36" i="28"/>
  <c r="AE45" i="28" s="1"/>
  <c r="AF45" i="28" s="1"/>
  <c r="AC36" i="28"/>
  <c r="AB36" i="28"/>
  <c r="AA36" i="28"/>
  <c r="Z36" i="28"/>
  <c r="AA45" i="28" s="1"/>
  <c r="AB45" i="28" s="1"/>
  <c r="Y36" i="28"/>
  <c r="X36" i="28"/>
  <c r="V36" i="28"/>
  <c r="W45" i="28" s="1"/>
  <c r="X45" i="28" s="1"/>
  <c r="U36" i="28"/>
  <c r="T36" i="28"/>
  <c r="R36" i="28"/>
  <c r="S45" i="28" s="1"/>
  <c r="T45" i="28" s="1"/>
  <c r="Q36" i="28"/>
  <c r="P36" i="28"/>
  <c r="N36" i="28"/>
  <c r="O45" i="28" s="1"/>
  <c r="P45" i="28" s="1"/>
  <c r="M36" i="28"/>
  <c r="EE35" i="28"/>
  <c r="EA35" i="28"/>
  <c r="DW35" i="28"/>
  <c r="DS35" i="28"/>
  <c r="DO35" i="28"/>
  <c r="DK35" i="28"/>
  <c r="DG35" i="28"/>
  <c r="DC35" i="28"/>
  <c r="CY35" i="28"/>
  <c r="CU35" i="28"/>
  <c r="CQ35" i="28"/>
  <c r="CM35" i="28"/>
  <c r="CI35" i="28"/>
  <c r="CE35" i="28"/>
  <c r="CA35" i="28"/>
  <c r="BW35" i="28"/>
  <c r="BS35" i="28"/>
  <c r="BO35" i="28"/>
  <c r="BK35" i="28"/>
  <c r="BG35" i="28"/>
  <c r="BC35" i="28"/>
  <c r="AY35" i="28"/>
  <c r="AU35" i="28"/>
  <c r="AQ35" i="28"/>
  <c r="AM35" i="28"/>
  <c r="AI35" i="28"/>
  <c r="AE35" i="28"/>
  <c r="AA35" i="28"/>
  <c r="W35" i="28"/>
  <c r="S35" i="28"/>
  <c r="O35" i="28"/>
  <c r="EE34" i="28"/>
  <c r="EA34" i="28"/>
  <c r="EA32" i="28" s="1"/>
  <c r="DW34" i="28"/>
  <c r="DW32" i="28" s="1"/>
  <c r="DS34" i="28"/>
  <c r="DS32" i="28" s="1"/>
  <c r="DO34" i="28"/>
  <c r="DK34" i="28"/>
  <c r="DG34" i="28"/>
  <c r="DC34" i="28"/>
  <c r="CY34" i="28"/>
  <c r="CU34" i="28"/>
  <c r="CQ34" i="28"/>
  <c r="CQ32" i="28" s="1"/>
  <c r="CM34" i="28"/>
  <c r="CM32" i="28" s="1"/>
  <c r="CI34" i="28"/>
  <c r="CE34" i="28"/>
  <c r="CE32" i="28" s="1"/>
  <c r="CA34" i="28"/>
  <c r="BW34" i="28"/>
  <c r="BW32" i="28" s="1"/>
  <c r="BS34" i="28"/>
  <c r="BO34" i="28"/>
  <c r="BK34" i="28"/>
  <c r="BG34" i="28"/>
  <c r="BC34" i="28"/>
  <c r="AY34" i="28"/>
  <c r="AU34" i="28"/>
  <c r="AU32" i="28" s="1"/>
  <c r="AQ34" i="28"/>
  <c r="AM34" i="28"/>
  <c r="AI34" i="28"/>
  <c r="AI32" i="28" s="1"/>
  <c r="AE34" i="28"/>
  <c r="AA34" i="28"/>
  <c r="W34" i="28"/>
  <c r="S34" i="28"/>
  <c r="O34" i="28"/>
  <c r="EE33" i="28"/>
  <c r="EA33" i="28"/>
  <c r="DW33" i="28"/>
  <c r="DS33" i="28"/>
  <c r="DO33" i="28"/>
  <c r="DK33" i="28"/>
  <c r="DK32" i="28" s="1"/>
  <c r="DG33" i="28"/>
  <c r="DC33" i="28"/>
  <c r="DC32" i="28" s="1"/>
  <c r="CY33" i="28"/>
  <c r="CY32" i="28" s="1"/>
  <c r="CU33" i="28"/>
  <c r="CU32" i="28" s="1"/>
  <c r="CQ33" i="28"/>
  <c r="CM33" i="28"/>
  <c r="CI33" i="28"/>
  <c r="CE33" i="28"/>
  <c r="CA33" i="28"/>
  <c r="BW33" i="28"/>
  <c r="BS33" i="28"/>
  <c r="BO33" i="28"/>
  <c r="BK33" i="28"/>
  <c r="BK32" i="28" s="1"/>
  <c r="BG33" i="28"/>
  <c r="BG32" i="28" s="1"/>
  <c r="BC33" i="28"/>
  <c r="AY33" i="28"/>
  <c r="AY32" i="28" s="1"/>
  <c r="AU33" i="28"/>
  <c r="AQ33" i="28"/>
  <c r="AM33" i="28"/>
  <c r="AI33" i="28"/>
  <c r="AE33" i="28"/>
  <c r="AA33" i="28"/>
  <c r="W33" i="28"/>
  <c r="S33" i="28"/>
  <c r="O33" i="28"/>
  <c r="EF32" i="28"/>
  <c r="EF15" i="28" s="1"/>
  <c r="EF17" i="28" s="1"/>
  <c r="EE32" i="28"/>
  <c r="ED32" i="28"/>
  <c r="ED19" i="28" s="1"/>
  <c r="EC32" i="28"/>
  <c r="EB32" i="28"/>
  <c r="DZ32" i="28"/>
  <c r="DY32" i="28"/>
  <c r="DX32" i="28"/>
  <c r="DV32" i="28"/>
  <c r="DW43" i="28" s="1"/>
  <c r="DX43" i="28" s="1"/>
  <c r="DU32" i="28"/>
  <c r="DT32" i="28"/>
  <c r="DT15" i="28" s="1"/>
  <c r="DR32" i="28"/>
  <c r="DS43" i="28" s="1"/>
  <c r="DT43" i="28" s="1"/>
  <c r="DQ32" i="28"/>
  <c r="DP32" i="28"/>
  <c r="DN32" i="28"/>
  <c r="DO43" i="28" s="1"/>
  <c r="DP43" i="28" s="1"/>
  <c r="DM32" i="28"/>
  <c r="DL32" i="28"/>
  <c r="DJ32" i="28"/>
  <c r="DI32" i="28"/>
  <c r="DH32" i="28"/>
  <c r="DG32" i="28"/>
  <c r="DF32" i="28"/>
  <c r="DF15" i="28" s="1"/>
  <c r="DE32" i="28"/>
  <c r="DD32" i="28"/>
  <c r="DB32" i="28"/>
  <c r="DA32" i="28"/>
  <c r="CZ32" i="28"/>
  <c r="CX32" i="28"/>
  <c r="CY43" i="28" s="1"/>
  <c r="CZ43" i="28" s="1"/>
  <c r="CW32" i="28"/>
  <c r="CV32" i="28"/>
  <c r="CT32" i="28"/>
  <c r="CU43" i="28" s="1"/>
  <c r="CV43" i="28" s="1"/>
  <c r="CS32" i="28"/>
  <c r="CR32" i="28"/>
  <c r="CP32" i="28"/>
  <c r="CQ43" i="28" s="1"/>
  <c r="CR43" i="28" s="1"/>
  <c r="CO32" i="28"/>
  <c r="CN32" i="28"/>
  <c r="CL32" i="28"/>
  <c r="CM43" i="28" s="1"/>
  <c r="CN43" i="28" s="1"/>
  <c r="CK32" i="28"/>
  <c r="CJ32" i="28"/>
  <c r="CI32" i="28"/>
  <c r="CH32" i="28"/>
  <c r="CI43" i="28" s="1"/>
  <c r="CJ43" i="28" s="1"/>
  <c r="CG32" i="28"/>
  <c r="CF32" i="28"/>
  <c r="CD32" i="28"/>
  <c r="CC32" i="28"/>
  <c r="CB32" i="28"/>
  <c r="CA32" i="28"/>
  <c r="BZ32" i="28"/>
  <c r="CA43" i="28" s="1"/>
  <c r="CB43" i="28" s="1"/>
  <c r="BY32" i="28"/>
  <c r="BX32" i="28"/>
  <c r="BV32" i="28"/>
  <c r="BW43" i="28" s="1"/>
  <c r="BX43" i="28" s="1"/>
  <c r="BU32" i="28"/>
  <c r="BT32" i="28"/>
  <c r="BR32" i="28"/>
  <c r="BS43" i="28" s="1"/>
  <c r="BT43" i="28" s="1"/>
  <c r="BQ32" i="28"/>
  <c r="BP32" i="28"/>
  <c r="BO32" i="28"/>
  <c r="BN32" i="28"/>
  <c r="BO43" i="28" s="1"/>
  <c r="BP43" i="28" s="1"/>
  <c r="BM32" i="28"/>
  <c r="BL32" i="28"/>
  <c r="BJ32" i="28"/>
  <c r="BI32" i="28"/>
  <c r="BH32" i="28"/>
  <c r="BF32" i="28"/>
  <c r="BE32" i="28"/>
  <c r="BD32" i="28"/>
  <c r="BC32" i="28"/>
  <c r="BB32" i="28"/>
  <c r="BC43" i="28" s="1"/>
  <c r="BD43" i="28" s="1"/>
  <c r="BA32" i="28"/>
  <c r="AZ32" i="28"/>
  <c r="AX32" i="28"/>
  <c r="AY43" i="28" s="1"/>
  <c r="AZ43" i="28" s="1"/>
  <c r="AW32" i="28"/>
  <c r="AV32" i="28"/>
  <c r="AT32" i="28"/>
  <c r="AU43" i="28" s="1"/>
  <c r="AV43" i="28" s="1"/>
  <c r="AS32" i="28"/>
  <c r="AR32" i="28"/>
  <c r="AQ32" i="28"/>
  <c r="AP32" i="28"/>
  <c r="AQ43" i="28" s="1"/>
  <c r="AR43" i="28" s="1"/>
  <c r="AO32" i="28"/>
  <c r="AN32" i="28"/>
  <c r="AM32" i="28"/>
  <c r="AL32" i="28"/>
  <c r="AM43" i="28" s="1"/>
  <c r="AN43" i="28" s="1"/>
  <c r="AK32" i="28"/>
  <c r="AJ32" i="28"/>
  <c r="AH32" i="28"/>
  <c r="AG32" i="28"/>
  <c r="AF32" i="28"/>
  <c r="AE32" i="28"/>
  <c r="AD32" i="28"/>
  <c r="AE43" i="28" s="1"/>
  <c r="AF43" i="28" s="1"/>
  <c r="AC32" i="28"/>
  <c r="AC19" i="28" s="1"/>
  <c r="AB32" i="28"/>
  <c r="AB19" i="28" s="1"/>
  <c r="AB47" i="28" s="1"/>
  <c r="AA32" i="28"/>
  <c r="Z32" i="28"/>
  <c r="AA43" i="28" s="1"/>
  <c r="AB43" i="28" s="1"/>
  <c r="Y32" i="28"/>
  <c r="X32" i="28"/>
  <c r="V32" i="28"/>
  <c r="W43" i="28" s="1"/>
  <c r="X43" i="28" s="1"/>
  <c r="U32" i="28"/>
  <c r="T32" i="28"/>
  <c r="S32" i="28"/>
  <c r="R32" i="28"/>
  <c r="Q32" i="28"/>
  <c r="P32" i="28"/>
  <c r="P19" i="28" s="1"/>
  <c r="P47" i="28" s="1"/>
  <c r="O32" i="28"/>
  <c r="N32" i="28"/>
  <c r="N15" i="28" s="1"/>
  <c r="M32" i="28"/>
  <c r="EE31" i="28"/>
  <c r="EA31" i="28"/>
  <c r="DW31" i="28"/>
  <c r="DS31" i="28"/>
  <c r="DO31" i="28"/>
  <c r="DK31" i="28"/>
  <c r="DG31" i="28"/>
  <c r="DC31" i="28"/>
  <c r="CY31" i="28"/>
  <c r="CU31" i="28"/>
  <c r="CQ31" i="28"/>
  <c r="CM31" i="28"/>
  <c r="CI31" i="28"/>
  <c r="CE31" i="28"/>
  <c r="CA31" i="28"/>
  <c r="BW31" i="28"/>
  <c r="BS31" i="28"/>
  <c r="BO31" i="28"/>
  <c r="BK31" i="28"/>
  <c r="BG31" i="28"/>
  <c r="BC31" i="28"/>
  <c r="AY31" i="28"/>
  <c r="AU31" i="28"/>
  <c r="AQ31" i="28"/>
  <c r="AM31" i="28"/>
  <c r="AI31" i="28"/>
  <c r="AE31" i="28"/>
  <c r="AA31" i="28"/>
  <c r="W31" i="28"/>
  <c r="S31" i="28"/>
  <c r="O31" i="28"/>
  <c r="EE30" i="28"/>
  <c r="EA30" i="28"/>
  <c r="DW30" i="28"/>
  <c r="DW26" i="28" s="1"/>
  <c r="DS30" i="28"/>
  <c r="DO30" i="28"/>
  <c r="DK30" i="28"/>
  <c r="DG30" i="28"/>
  <c r="DC30" i="28"/>
  <c r="CY30" i="28"/>
  <c r="CU30" i="28"/>
  <c r="CQ30" i="28"/>
  <c r="CM30" i="28"/>
  <c r="CI30" i="28"/>
  <c r="CE30" i="28"/>
  <c r="CA30" i="28"/>
  <c r="CA26" i="28" s="1"/>
  <c r="BW30" i="28"/>
  <c r="BS30" i="28"/>
  <c r="BO30" i="28"/>
  <c r="BK30" i="28"/>
  <c r="BG30" i="28"/>
  <c r="BC30" i="28"/>
  <c r="AY30" i="28"/>
  <c r="AU30" i="28"/>
  <c r="AQ30" i="28"/>
  <c r="AM30" i="28"/>
  <c r="AI30" i="28"/>
  <c r="AE30" i="28"/>
  <c r="AE26" i="28" s="1"/>
  <c r="AA30" i="28"/>
  <c r="W30" i="28"/>
  <c r="S30" i="28"/>
  <c r="O30" i="28"/>
  <c r="EE29" i="28"/>
  <c r="EA29" i="28"/>
  <c r="DW29" i="28"/>
  <c r="DS29" i="28"/>
  <c r="DO29" i="28"/>
  <c r="DK29" i="28"/>
  <c r="DG29" i="28"/>
  <c r="DC29" i="28"/>
  <c r="DC26" i="28" s="1"/>
  <c r="CY29" i="28"/>
  <c r="CU29" i="28"/>
  <c r="CQ29" i="28"/>
  <c r="CM29" i="28"/>
  <c r="CI29" i="28"/>
  <c r="CE29" i="28"/>
  <c r="CA29" i="28"/>
  <c r="BW29" i="28"/>
  <c r="BS29" i="28"/>
  <c r="BO29" i="28"/>
  <c r="BK29" i="28"/>
  <c r="BG29" i="28"/>
  <c r="BG26" i="28" s="1"/>
  <c r="BC29" i="28"/>
  <c r="AY29" i="28"/>
  <c r="AU29" i="28"/>
  <c r="AQ29" i="28"/>
  <c r="AM29" i="28"/>
  <c r="AI29" i="28"/>
  <c r="AE29" i="28"/>
  <c r="AA29" i="28"/>
  <c r="W29" i="28"/>
  <c r="S29" i="28"/>
  <c r="O29" i="28"/>
  <c r="EE28" i="28"/>
  <c r="EA28" i="28"/>
  <c r="DW28" i="28"/>
  <c r="DS28" i="28"/>
  <c r="DO28" i="28"/>
  <c r="DK28" i="28"/>
  <c r="DG28" i="28"/>
  <c r="DC28" i="28"/>
  <c r="CY28" i="28"/>
  <c r="CU28" i="28"/>
  <c r="CU26" i="28" s="1"/>
  <c r="CQ28" i="28"/>
  <c r="CQ26" i="28" s="1"/>
  <c r="CM28" i="28"/>
  <c r="CM26" i="28" s="1"/>
  <c r="CI28" i="28"/>
  <c r="CE28" i="28"/>
  <c r="CA28" i="28"/>
  <c r="BW28" i="28"/>
  <c r="BS28" i="28"/>
  <c r="BO28" i="28"/>
  <c r="BK28" i="28"/>
  <c r="BG28" i="28"/>
  <c r="BC28" i="28"/>
  <c r="AY28" i="28"/>
  <c r="AY26" i="28" s="1"/>
  <c r="AU28" i="28"/>
  <c r="AU26" i="28" s="1"/>
  <c r="AQ28" i="28"/>
  <c r="AQ26" i="28" s="1"/>
  <c r="AM28" i="28"/>
  <c r="AI28" i="28"/>
  <c r="AE28" i="28"/>
  <c r="AA28" i="28"/>
  <c r="W28" i="28"/>
  <c r="S28" i="28"/>
  <c r="O28" i="28"/>
  <c r="EE27" i="28"/>
  <c r="EA27" i="28"/>
  <c r="DW27" i="28"/>
  <c r="DS27" i="28"/>
  <c r="DS26" i="28" s="1"/>
  <c r="DO27" i="28"/>
  <c r="DO26" i="28" s="1"/>
  <c r="DK27" i="28"/>
  <c r="DK26" i="28" s="1"/>
  <c r="DG27" i="28"/>
  <c r="DC27" i="28"/>
  <c r="CY27" i="28"/>
  <c r="CU27" i="28"/>
  <c r="CQ27" i="28"/>
  <c r="CM27" i="28"/>
  <c r="CI27" i="28"/>
  <c r="CI26" i="28" s="1"/>
  <c r="CE27" i="28"/>
  <c r="CA27" i="28"/>
  <c r="BW27" i="28"/>
  <c r="BW26" i="28" s="1"/>
  <c r="BS27" i="28"/>
  <c r="BS26" i="28" s="1"/>
  <c r="BO27" i="28"/>
  <c r="BO26" i="28" s="1"/>
  <c r="BK27" i="28"/>
  <c r="BG27" i="28"/>
  <c r="BC27" i="28"/>
  <c r="AY27" i="28"/>
  <c r="AU27" i="28"/>
  <c r="AQ27" i="28"/>
  <c r="AM27" i="28"/>
  <c r="AM26" i="28" s="1"/>
  <c r="AI27" i="28"/>
  <c r="AE27" i="28"/>
  <c r="AA27" i="28"/>
  <c r="AA26" i="28" s="1"/>
  <c r="W27" i="28"/>
  <c r="W26" i="28" s="1"/>
  <c r="S27" i="28"/>
  <c r="S26" i="28" s="1"/>
  <c r="O27" i="28"/>
  <c r="EF26" i="28"/>
  <c r="ED26" i="28"/>
  <c r="EC26" i="28"/>
  <c r="EB26" i="28"/>
  <c r="DZ26" i="28"/>
  <c r="EA42" i="28" s="1"/>
  <c r="EB42" i="28" s="1"/>
  <c r="DY26" i="28"/>
  <c r="DX26" i="28"/>
  <c r="DV26" i="28"/>
  <c r="DW42" i="28" s="1"/>
  <c r="DX42" i="28" s="1"/>
  <c r="DU26" i="28"/>
  <c r="DT26" i="28"/>
  <c r="DR26" i="28"/>
  <c r="DS42" i="28" s="1"/>
  <c r="DT42" i="28" s="1"/>
  <c r="DQ26" i="28"/>
  <c r="DP26" i="28"/>
  <c r="DN26" i="28"/>
  <c r="DO42" i="28" s="1"/>
  <c r="DP42" i="28" s="1"/>
  <c r="DM26" i="28"/>
  <c r="DL26" i="28"/>
  <c r="DJ26" i="28"/>
  <c r="DK42" i="28" s="1"/>
  <c r="DL42" i="28" s="1"/>
  <c r="DI26" i="28"/>
  <c r="DH26" i="28"/>
  <c r="DF26" i="28"/>
  <c r="DE26" i="28"/>
  <c r="DD26" i="28"/>
  <c r="DB26" i="28"/>
  <c r="DC42" i="28" s="1"/>
  <c r="DD42" i="28" s="1"/>
  <c r="DA26" i="28"/>
  <c r="DA15" i="28" s="1"/>
  <c r="CZ26" i="28"/>
  <c r="CZ15" i="28" s="1"/>
  <c r="CX26" i="28"/>
  <c r="CY42" i="28" s="1"/>
  <c r="CZ42" i="28" s="1"/>
  <c r="CW26" i="28"/>
  <c r="CV26" i="28"/>
  <c r="CT26" i="28"/>
  <c r="CU42" i="28" s="1"/>
  <c r="CV42" i="28" s="1"/>
  <c r="CS26" i="28"/>
  <c r="CR26" i="28"/>
  <c r="CP26" i="28"/>
  <c r="CO26" i="28"/>
  <c r="CO15" i="28" s="1"/>
  <c r="CN26" i="28"/>
  <c r="CN15" i="28" s="1"/>
  <c r="CL26" i="28"/>
  <c r="CK26" i="28"/>
  <c r="CJ26" i="28"/>
  <c r="CH26" i="28"/>
  <c r="CI42" i="28" s="1"/>
  <c r="CG26" i="28"/>
  <c r="CF26" i="28"/>
  <c r="CD26" i="28"/>
  <c r="CE42" i="28" s="1"/>
  <c r="CF42" i="28" s="1"/>
  <c r="CC26" i="28"/>
  <c r="CC15" i="28" s="1"/>
  <c r="CB26" i="28"/>
  <c r="CB15" i="28" s="1"/>
  <c r="BZ26" i="28"/>
  <c r="CA42" i="28" s="1"/>
  <c r="CB42" i="28" s="1"/>
  <c r="BY26" i="28"/>
  <c r="BY15" i="28" s="1"/>
  <c r="BX26" i="28"/>
  <c r="BV26" i="28"/>
  <c r="BW42" i="28" s="1"/>
  <c r="BX42" i="28" s="1"/>
  <c r="BU26" i="28"/>
  <c r="BT26" i="28"/>
  <c r="BR26" i="28"/>
  <c r="BS42" i="28" s="1"/>
  <c r="BT42" i="28" s="1"/>
  <c r="BQ26" i="28"/>
  <c r="BQ15" i="28" s="1"/>
  <c r="BP26" i="28"/>
  <c r="BN26" i="28"/>
  <c r="BO42" i="28" s="1"/>
  <c r="BP42" i="28" s="1"/>
  <c r="BM26" i="28"/>
  <c r="BM15" i="28" s="1"/>
  <c r="BL26" i="28"/>
  <c r="BJ26" i="28"/>
  <c r="BI26" i="28"/>
  <c r="BH26" i="28"/>
  <c r="BF26" i="28"/>
  <c r="BG42" i="28" s="1"/>
  <c r="BH42" i="28" s="1"/>
  <c r="BE26" i="28"/>
  <c r="BE15" i="28" s="1"/>
  <c r="BD26" i="28"/>
  <c r="BD15" i="28" s="1"/>
  <c r="BB26" i="28"/>
  <c r="BC42" i="28" s="1"/>
  <c r="BD42" i="28" s="1"/>
  <c r="BA26" i="28"/>
  <c r="AZ26" i="28"/>
  <c r="AX26" i="28"/>
  <c r="AY42" i="28" s="1"/>
  <c r="AZ42" i="28" s="1"/>
  <c r="AW26" i="28"/>
  <c r="AV26" i="28"/>
  <c r="AT26" i="28"/>
  <c r="AS26" i="28"/>
  <c r="AS15" i="28" s="1"/>
  <c r="AR26" i="28"/>
  <c r="AR15" i="28" s="1"/>
  <c r="AP26" i="28"/>
  <c r="AQ42" i="28" s="1"/>
  <c r="AR42" i="28" s="1"/>
  <c r="AO26" i="28"/>
  <c r="AN26" i="28"/>
  <c r="AL26" i="28"/>
  <c r="AM42" i="28" s="1"/>
  <c r="AN42" i="28" s="1"/>
  <c r="AK26" i="28"/>
  <c r="AJ26" i="28"/>
  <c r="AH26" i="28"/>
  <c r="AI42" i="28" s="1"/>
  <c r="AJ42" i="28" s="1"/>
  <c r="AG26" i="28"/>
  <c r="AG15" i="28" s="1"/>
  <c r="AF26" i="28"/>
  <c r="AF15" i="28" s="1"/>
  <c r="AF17" i="28" s="1"/>
  <c r="AD26" i="28"/>
  <c r="AE42" i="28" s="1"/>
  <c r="AF42" i="28" s="1"/>
  <c r="AC26" i="28"/>
  <c r="AC15" i="28" s="1"/>
  <c r="AB26" i="28"/>
  <c r="Z26" i="28"/>
  <c r="AA42" i="28" s="1"/>
  <c r="AB42" i="28" s="1"/>
  <c r="Y26" i="28"/>
  <c r="X26" i="28"/>
  <c r="V26" i="28"/>
  <c r="W42" i="28" s="1"/>
  <c r="X42" i="28" s="1"/>
  <c r="U26" i="28"/>
  <c r="U19" i="28" s="1"/>
  <c r="T26" i="28"/>
  <c r="T19" i="28" s="1"/>
  <c r="T47" i="28" s="1"/>
  <c r="R26" i="28"/>
  <c r="S42" i="28" s="1"/>
  <c r="T42" i="28" s="1"/>
  <c r="Q26" i="28"/>
  <c r="Q19" i="28" s="1"/>
  <c r="P26" i="28"/>
  <c r="N26" i="28"/>
  <c r="M26" i="28"/>
  <c r="EE25" i="28"/>
  <c r="EA25" i="28"/>
  <c r="DW25" i="28"/>
  <c r="DS25" i="28"/>
  <c r="DO25" i="28"/>
  <c r="DK25" i="28"/>
  <c r="DG25" i="28"/>
  <c r="DC25" i="28"/>
  <c r="CY25" i="28"/>
  <c r="CU25" i="28"/>
  <c r="CQ25" i="28"/>
  <c r="CM25" i="28"/>
  <c r="CI25" i="28"/>
  <c r="CE25" i="28"/>
  <c r="CA25" i="28"/>
  <c r="BW25" i="28"/>
  <c r="BS25" i="28"/>
  <c r="BO25" i="28"/>
  <c r="BK25" i="28"/>
  <c r="BG25" i="28"/>
  <c r="BC25" i="28"/>
  <c r="AY25" i="28"/>
  <c r="AU25" i="28"/>
  <c r="AQ25" i="28"/>
  <c r="AM25" i="28"/>
  <c r="AI25" i="28"/>
  <c r="AE25" i="28"/>
  <c r="AA25" i="28"/>
  <c r="W25" i="28"/>
  <c r="S25" i="28"/>
  <c r="O25" i="28"/>
  <c r="EE24" i="28"/>
  <c r="EA24" i="28"/>
  <c r="DW24" i="28"/>
  <c r="DS24" i="28"/>
  <c r="DO24" i="28"/>
  <c r="DK24" i="28"/>
  <c r="DG24" i="28"/>
  <c r="DC24" i="28"/>
  <c r="CY24" i="28"/>
  <c r="CU24" i="28"/>
  <c r="CQ24" i="28"/>
  <c r="CM24" i="28"/>
  <c r="CI24" i="28"/>
  <c r="CE24" i="28"/>
  <c r="CA24" i="28"/>
  <c r="BW24" i="28"/>
  <c r="BS24" i="28"/>
  <c r="BO24" i="28"/>
  <c r="BK24" i="28"/>
  <c r="BG24" i="28"/>
  <c r="BC24" i="28"/>
  <c r="AY24" i="28"/>
  <c r="AU24" i="28"/>
  <c r="AQ24" i="28"/>
  <c r="AM24" i="28"/>
  <c r="AM20" i="28" s="1"/>
  <c r="AI24" i="28"/>
  <c r="AE24" i="28"/>
  <c r="AA24" i="28"/>
  <c r="W24" i="28"/>
  <c r="S24" i="28"/>
  <c r="O24" i="28"/>
  <c r="EE23" i="28"/>
  <c r="EA23" i="28"/>
  <c r="DW23" i="28"/>
  <c r="DS23" i="28"/>
  <c r="DO23" i="28"/>
  <c r="DO20" i="28" s="1"/>
  <c r="DK23" i="28"/>
  <c r="DG23" i="28"/>
  <c r="DC23" i="28"/>
  <c r="CY23" i="28"/>
  <c r="CU23" i="28"/>
  <c r="CQ23" i="28"/>
  <c r="CM23" i="28"/>
  <c r="CI23" i="28"/>
  <c r="CE23" i="28"/>
  <c r="CA23" i="28"/>
  <c r="BW23" i="28"/>
  <c r="BS23" i="28"/>
  <c r="BO23" i="28"/>
  <c r="BK23" i="28"/>
  <c r="BG23" i="28"/>
  <c r="BC23" i="28"/>
  <c r="AY23" i="28"/>
  <c r="AU23" i="28"/>
  <c r="AQ23" i="28"/>
  <c r="AM23" i="28"/>
  <c r="AI23" i="28"/>
  <c r="AE23" i="28"/>
  <c r="AA23" i="28"/>
  <c r="W23" i="28"/>
  <c r="S23" i="28"/>
  <c r="O23" i="28"/>
  <c r="EE22" i="28"/>
  <c r="EA22" i="28"/>
  <c r="DW22" i="28"/>
  <c r="DS22" i="28"/>
  <c r="DO22" i="28"/>
  <c r="DK22" i="28"/>
  <c r="DG22" i="28"/>
  <c r="DG20" i="28" s="1"/>
  <c r="DC22" i="28"/>
  <c r="CY22" i="28"/>
  <c r="CU22" i="28"/>
  <c r="CQ22" i="28"/>
  <c r="CM22" i="28"/>
  <c r="CI22" i="28"/>
  <c r="CE22" i="28"/>
  <c r="CA22" i="28"/>
  <c r="BW22" i="28"/>
  <c r="BS22" i="28"/>
  <c r="BS20" i="28" s="1"/>
  <c r="BO22" i="28"/>
  <c r="BK22" i="28"/>
  <c r="BG22" i="28"/>
  <c r="BC22" i="28"/>
  <c r="AY22" i="28"/>
  <c r="AY20" i="28" s="1"/>
  <c r="AU22" i="28"/>
  <c r="AQ22" i="28"/>
  <c r="AM22" i="28"/>
  <c r="AI22" i="28"/>
  <c r="AE22" i="28"/>
  <c r="AA22" i="28"/>
  <c r="W22" i="28"/>
  <c r="S22" i="28"/>
  <c r="O22" i="28"/>
  <c r="O20" i="28" s="1"/>
  <c r="EE21" i="28"/>
  <c r="EA21" i="28"/>
  <c r="EA20" i="28" s="1"/>
  <c r="DW21" i="28"/>
  <c r="DW20" i="28" s="1"/>
  <c r="DS21" i="28"/>
  <c r="DS20" i="28" s="1"/>
  <c r="DO21" i="28"/>
  <c r="DK21" i="28"/>
  <c r="DG21" i="28"/>
  <c r="DC21" i="28"/>
  <c r="CY21" i="28"/>
  <c r="CU21" i="28"/>
  <c r="CU20" i="28" s="1"/>
  <c r="CQ21" i="28"/>
  <c r="CM21" i="28"/>
  <c r="CI21" i="28"/>
  <c r="CE21" i="28"/>
  <c r="CE20" i="28" s="1"/>
  <c r="CA21" i="28"/>
  <c r="CA20" i="28" s="1"/>
  <c r="BW21" i="28"/>
  <c r="BS21" i="28"/>
  <c r="BO21" i="28"/>
  <c r="BK21" i="28"/>
  <c r="BG21" i="28"/>
  <c r="BC21" i="28"/>
  <c r="AY21" i="28"/>
  <c r="AU21" i="28"/>
  <c r="AQ21" i="28"/>
  <c r="AM21" i="28"/>
  <c r="AI21" i="28"/>
  <c r="AE21" i="28"/>
  <c r="AE20" i="28" s="1"/>
  <c r="AA21" i="28"/>
  <c r="AA20" i="28" s="1"/>
  <c r="W21" i="28"/>
  <c r="S21" i="28"/>
  <c r="O21" i="28"/>
  <c r="EF20" i="28"/>
  <c r="ED20" i="28"/>
  <c r="EE41" i="28" s="1"/>
  <c r="EC20" i="28"/>
  <c r="EB20" i="28"/>
  <c r="EB19" i="28" s="1"/>
  <c r="EB47" i="28" s="1"/>
  <c r="DZ20" i="28"/>
  <c r="EA41" i="28" s="1"/>
  <c r="EB41" i="28" s="1"/>
  <c r="DY20" i="28"/>
  <c r="DX20" i="28"/>
  <c r="DV20" i="28"/>
  <c r="DU20" i="28"/>
  <c r="DT20" i="28"/>
  <c r="DR20" i="28"/>
  <c r="DQ20" i="28"/>
  <c r="DP20" i="28"/>
  <c r="DN20" i="28"/>
  <c r="DN19" i="28" s="1"/>
  <c r="DM20" i="28"/>
  <c r="DM19" i="28" s="1"/>
  <c r="DL20" i="28"/>
  <c r="DJ20" i="28"/>
  <c r="DI20" i="28"/>
  <c r="DH20" i="28"/>
  <c r="DF20" i="28"/>
  <c r="DG41" i="28" s="1"/>
  <c r="DH41" i="28" s="1"/>
  <c r="DE20" i="28"/>
  <c r="DD20" i="28"/>
  <c r="DB20" i="28"/>
  <c r="DC41" i="28" s="1"/>
  <c r="DA20" i="28"/>
  <c r="DA19" i="28" s="1"/>
  <c r="CZ20" i="28"/>
  <c r="CZ19" i="28" s="1"/>
  <c r="CZ47" i="28" s="1"/>
  <c r="CX20" i="28"/>
  <c r="CW20" i="28"/>
  <c r="CV20" i="28"/>
  <c r="CT20" i="28"/>
  <c r="CU41" i="28" s="1"/>
  <c r="CS20" i="28"/>
  <c r="CR20" i="28"/>
  <c r="CP20" i="28"/>
  <c r="CQ41" i="28" s="1"/>
  <c r="CR41" i="28" s="1"/>
  <c r="CO20" i="28"/>
  <c r="CN20" i="28"/>
  <c r="CN19" i="28" s="1"/>
  <c r="CN47" i="28" s="1"/>
  <c r="CL20" i="28"/>
  <c r="CL16" i="28" s="1"/>
  <c r="CK20" i="28"/>
  <c r="CJ20" i="28"/>
  <c r="CI20" i="28"/>
  <c r="CH20" i="28"/>
  <c r="CI41" i="28" s="1"/>
  <c r="CG20" i="28"/>
  <c r="CF20" i="28"/>
  <c r="CD20" i="28"/>
  <c r="CE41" i="28" s="1"/>
  <c r="CF41" i="28" s="1"/>
  <c r="CC20" i="28"/>
  <c r="CB20" i="28"/>
  <c r="BZ20" i="28"/>
  <c r="CA41" i="28" s="1"/>
  <c r="CB41" i="28" s="1"/>
  <c r="BY20" i="28"/>
  <c r="BY16" i="28" s="1"/>
  <c r="BX20" i="28"/>
  <c r="BW20" i="28"/>
  <c r="BV20" i="28"/>
  <c r="BU20" i="28"/>
  <c r="BT20" i="28"/>
  <c r="BR20" i="28"/>
  <c r="BQ20" i="28"/>
  <c r="BP20" i="28"/>
  <c r="BN20" i="28"/>
  <c r="BO41" i="28" s="1"/>
  <c r="BO40" i="28" s="1"/>
  <c r="BM20" i="28"/>
  <c r="BM16" i="28" s="1"/>
  <c r="BL20" i="28"/>
  <c r="BL16" i="28" s="1"/>
  <c r="BK20" i="28"/>
  <c r="BJ20" i="28"/>
  <c r="BI20" i="28"/>
  <c r="BH20" i="28"/>
  <c r="BF20" i="28"/>
  <c r="BG41" i="28" s="1"/>
  <c r="BE20" i="28"/>
  <c r="BD20" i="28"/>
  <c r="BB20" i="28"/>
  <c r="BC41" i="28" s="1"/>
  <c r="BA20" i="28"/>
  <c r="AZ20" i="28"/>
  <c r="AX20" i="28"/>
  <c r="AW20" i="28"/>
  <c r="AV20" i="28"/>
  <c r="AT20" i="28"/>
  <c r="AU41" i="28" s="1"/>
  <c r="AV41" i="28" s="1"/>
  <c r="AS20" i="28"/>
  <c r="AR20" i="28"/>
  <c r="AP20" i="28"/>
  <c r="AO20" i="28"/>
  <c r="AN20" i="28"/>
  <c r="AL20" i="28"/>
  <c r="AM41" i="28" s="1"/>
  <c r="AK20" i="28"/>
  <c r="AJ20" i="28"/>
  <c r="AI20" i="28"/>
  <c r="AH20" i="28"/>
  <c r="AI41" i="28" s="1"/>
  <c r="AJ41" i="28" s="1"/>
  <c r="AG20" i="28"/>
  <c r="AF20" i="28"/>
  <c r="AD20" i="28"/>
  <c r="AE41" i="28" s="1"/>
  <c r="AF41" i="28" s="1"/>
  <c r="AF40" i="28" s="1"/>
  <c r="AC20" i="28"/>
  <c r="AB20" i="28"/>
  <c r="Z20" i="28"/>
  <c r="Y20" i="28"/>
  <c r="X20" i="28"/>
  <c r="W20" i="28"/>
  <c r="V20" i="28"/>
  <c r="U20" i="28"/>
  <c r="T20" i="28"/>
  <c r="R20" i="28"/>
  <c r="S41" i="28" s="1"/>
  <c r="T41" i="28" s="1"/>
  <c r="T40" i="28" s="1"/>
  <c r="Q20" i="28"/>
  <c r="P20" i="28"/>
  <c r="N20" i="28"/>
  <c r="O41" i="28" s="1"/>
  <c r="P41" i="28" s="1"/>
  <c r="M20" i="28"/>
  <c r="M16" i="28" s="1"/>
  <c r="M17" i="28" s="1"/>
  <c r="EF19" i="28"/>
  <c r="EF47" i="28" s="1"/>
  <c r="EC19" i="28"/>
  <c r="DR19" i="28"/>
  <c r="DQ19" i="28"/>
  <c r="DP19" i="28"/>
  <c r="DE19" i="28"/>
  <c r="DD19" i="28"/>
  <c r="DD47" i="28" s="1"/>
  <c r="DB19" i="28"/>
  <c r="CR19" i="28"/>
  <c r="CR47" i="28" s="1"/>
  <c r="CP19" i="28"/>
  <c r="CO19" i="28"/>
  <c r="CF19" i="28"/>
  <c r="CF47" i="28" s="1"/>
  <c r="CD19" i="28"/>
  <c r="CC19" i="28"/>
  <c r="CB19" i="28"/>
  <c r="CB47" i="28" s="1"/>
  <c r="BU19" i="28"/>
  <c r="BT19" i="28"/>
  <c r="BT47" i="28" s="1"/>
  <c r="BR19" i="28"/>
  <c r="BQ19" i="28"/>
  <c r="BP19" i="28"/>
  <c r="BP47" i="28" s="1"/>
  <c r="BH19" i="28"/>
  <c r="BH47" i="28" s="1"/>
  <c r="BF19" i="28"/>
  <c r="BE19" i="28"/>
  <c r="BD19" i="28"/>
  <c r="BD47" i="28" s="1"/>
  <c r="AT19" i="28"/>
  <c r="AS19" i="28"/>
  <c r="AR19" i="28"/>
  <c r="AR47" i="28" s="1"/>
  <c r="AP19" i="28"/>
  <c r="AO19" i="28"/>
  <c r="AH19" i="28"/>
  <c r="AG19" i="28"/>
  <c r="AF19" i="28"/>
  <c r="AD19" i="28"/>
  <c r="R19" i="28"/>
  <c r="BU17" i="28"/>
  <c r="BH17" i="28"/>
  <c r="AH17" i="28"/>
  <c r="EF16" i="28"/>
  <c r="ED16" i="28"/>
  <c r="EC16" i="28"/>
  <c r="EE16" i="28" s="1"/>
  <c r="EB16" i="28"/>
  <c r="DR16" i="28"/>
  <c r="DQ16" i="28"/>
  <c r="DS16" i="28" s="1"/>
  <c r="DP16" i="28"/>
  <c r="DD16" i="28"/>
  <c r="DB16" i="28"/>
  <c r="CR16" i="28"/>
  <c r="CQ16" i="28"/>
  <c r="CP16" i="28"/>
  <c r="CO16" i="28"/>
  <c r="CF16" i="28"/>
  <c r="CF17" i="28" s="1"/>
  <c r="CD16" i="28"/>
  <c r="CC16" i="28"/>
  <c r="CE16" i="28" s="1"/>
  <c r="CB16" i="28"/>
  <c r="BT16" i="28"/>
  <c r="BT17" i="28" s="1"/>
  <c r="BR16" i="28"/>
  <c r="BQ16" i="28"/>
  <c r="BS16" i="28" s="1"/>
  <c r="BP16" i="28"/>
  <c r="BN16" i="28"/>
  <c r="BH16" i="28"/>
  <c r="BF16" i="28"/>
  <c r="BE16" i="28"/>
  <c r="BG16" i="28" s="1"/>
  <c r="BD16" i="28"/>
  <c r="AT16" i="28"/>
  <c r="AS16" i="28"/>
  <c r="AU16" i="28" s="1"/>
  <c r="AR16" i="28"/>
  <c r="AP16" i="28"/>
  <c r="AH16" i="28"/>
  <c r="AG16" i="28"/>
  <c r="AI16" i="28" s="1"/>
  <c r="AF16" i="28"/>
  <c r="AD16" i="28"/>
  <c r="AC16" i="28"/>
  <c r="AE16" i="28" s="1"/>
  <c r="AB16" i="28"/>
  <c r="U16" i="28"/>
  <c r="T16" i="28"/>
  <c r="R16" i="28"/>
  <c r="Q16" i="28"/>
  <c r="S16" i="28" s="1"/>
  <c r="P16" i="28"/>
  <c r="N16" i="28"/>
  <c r="EC15" i="28"/>
  <c r="EB15" i="28"/>
  <c r="EB17" i="28" s="1"/>
  <c r="DZ15" i="28"/>
  <c r="DY15" i="28"/>
  <c r="EA15" i="28" s="1"/>
  <c r="DX15" i="28"/>
  <c r="DV15" i="28"/>
  <c r="DU15" i="28"/>
  <c r="DQ15" i="28"/>
  <c r="DP15" i="28"/>
  <c r="DN15" i="28"/>
  <c r="DM15" i="28"/>
  <c r="DO15" i="28" s="1"/>
  <c r="DL15" i="28"/>
  <c r="DJ15" i="28"/>
  <c r="DI15" i="28"/>
  <c r="DH15" i="28"/>
  <c r="DE15" i="28"/>
  <c r="DE17" i="28" s="1"/>
  <c r="DD15" i="28"/>
  <c r="DD17" i="28" s="1"/>
  <c r="DB15" i="28"/>
  <c r="DB17" i="28" s="1"/>
  <c r="CX15" i="28"/>
  <c r="CW15" i="28"/>
  <c r="CV15" i="28"/>
  <c r="CS15" i="28"/>
  <c r="CR15" i="28"/>
  <c r="CR17" i="28" s="1"/>
  <c r="CP15" i="28"/>
  <c r="CP17" i="28" s="1"/>
  <c r="CL15" i="28"/>
  <c r="CK15" i="28"/>
  <c r="CM15" i="28" s="1"/>
  <c r="CJ15" i="28"/>
  <c r="CI15" i="28"/>
  <c r="CH15" i="28"/>
  <c r="CG15" i="28"/>
  <c r="CF15" i="28"/>
  <c r="CD15" i="28"/>
  <c r="BX15" i="28"/>
  <c r="BW15" i="28"/>
  <c r="BV15" i="28"/>
  <c r="BU15" i="28"/>
  <c r="BT15" i="28"/>
  <c r="BR15" i="28"/>
  <c r="BR17" i="28" s="1"/>
  <c r="BN15" i="28"/>
  <c r="BN17" i="28" s="1"/>
  <c r="BL15" i="28"/>
  <c r="BK15" i="28"/>
  <c r="BJ15" i="28"/>
  <c r="BI15" i="28"/>
  <c r="BH15" i="28"/>
  <c r="BF15" i="28"/>
  <c r="BF17" i="28" s="1"/>
  <c r="BB15" i="28"/>
  <c r="BA15" i="28"/>
  <c r="AZ15" i="28"/>
  <c r="AY15" i="28"/>
  <c r="AX15" i="28"/>
  <c r="AW15" i="28"/>
  <c r="AV15" i="28"/>
  <c r="AT15" i="28"/>
  <c r="AT17" i="28" s="1"/>
  <c r="AO15" i="28"/>
  <c r="AN15" i="28"/>
  <c r="AM15" i="28"/>
  <c r="AL15" i="28"/>
  <c r="AK15" i="28"/>
  <c r="AJ15" i="28"/>
  <c r="AH15" i="28"/>
  <c r="AD15" i="28"/>
  <c r="AD17" i="28" s="1"/>
  <c r="AB15" i="28"/>
  <c r="AA15" i="28"/>
  <c r="Z15" i="28"/>
  <c r="Y15" i="28"/>
  <c r="X15" i="28"/>
  <c r="V15" i="28"/>
  <c r="R15" i="28"/>
  <c r="R17" i="28" s="1"/>
  <c r="Q15" i="28"/>
  <c r="P15" i="28"/>
  <c r="P17" i="28" s="1"/>
  <c r="O15" i="28"/>
  <c r="M15" i="28"/>
  <c r="T15" i="26"/>
  <c r="T16" i="26"/>
  <c r="R16" i="26"/>
  <c r="Q16" i="26"/>
  <c r="Q15" i="26"/>
  <c r="R15" i="26"/>
  <c r="P47" i="26"/>
  <c r="O41" i="26"/>
  <c r="O40" i="26"/>
  <c r="N40" i="26"/>
  <c r="DP47" i="26"/>
  <c r="AJ47" i="26"/>
  <c r="EE46" i="26"/>
  <c r="EF46" i="26" s="1"/>
  <c r="EA46" i="26"/>
  <c r="EB46" i="26" s="1"/>
  <c r="DW46" i="26"/>
  <c r="DX46" i="26" s="1"/>
  <c r="DS46" i="26"/>
  <c r="DT46" i="26" s="1"/>
  <c r="DO46" i="26"/>
  <c r="DP46" i="26" s="1"/>
  <c r="DL46" i="26"/>
  <c r="DK46" i="26"/>
  <c r="DG46" i="26"/>
  <c r="DH46" i="26" s="1"/>
  <c r="DC46" i="26"/>
  <c r="DD46" i="26" s="1"/>
  <c r="CY46" i="26"/>
  <c r="CZ46" i="26" s="1"/>
  <c r="CU46" i="26"/>
  <c r="CV46" i="26" s="1"/>
  <c r="CQ46" i="26"/>
  <c r="CR46" i="26" s="1"/>
  <c r="CN46" i="26"/>
  <c r="CM46" i="26"/>
  <c r="CI46" i="26"/>
  <c r="CJ46" i="26" s="1"/>
  <c r="CE46" i="26"/>
  <c r="CF46" i="26" s="1"/>
  <c r="CA46" i="26"/>
  <c r="CB46" i="26" s="1"/>
  <c r="BW46" i="26"/>
  <c r="BX46" i="26" s="1"/>
  <c r="BS46" i="26"/>
  <c r="BT46" i="26" s="1"/>
  <c r="BP46" i="26"/>
  <c r="BO46" i="26"/>
  <c r="BK46" i="26"/>
  <c r="BL46" i="26" s="1"/>
  <c r="BG46" i="26"/>
  <c r="BH46" i="26" s="1"/>
  <c r="BC46" i="26"/>
  <c r="BD46" i="26" s="1"/>
  <c r="AZ46" i="26"/>
  <c r="AY46" i="26"/>
  <c r="AU46" i="26"/>
  <c r="AV46" i="26" s="1"/>
  <c r="AR46" i="26"/>
  <c r="AQ46" i="26"/>
  <c r="AM46" i="26"/>
  <c r="AN46" i="26" s="1"/>
  <c r="AI46" i="26"/>
  <c r="AJ46" i="26" s="1"/>
  <c r="AE46" i="26"/>
  <c r="AF46" i="26" s="1"/>
  <c r="AA46" i="26"/>
  <c r="AB46" i="26" s="1"/>
  <c r="W46" i="26"/>
  <c r="X46" i="26" s="1"/>
  <c r="T46" i="26"/>
  <c r="S46" i="26"/>
  <c r="O46" i="26"/>
  <c r="P46" i="26" s="1"/>
  <c r="EA45" i="26"/>
  <c r="EB45" i="26" s="1"/>
  <c r="DC45" i="26"/>
  <c r="DD45" i="26" s="1"/>
  <c r="CE45" i="26"/>
  <c r="CF45" i="26" s="1"/>
  <c r="BW45" i="26"/>
  <c r="BX45" i="26" s="1"/>
  <c r="BG45" i="26"/>
  <c r="BH45" i="26" s="1"/>
  <c r="AI45" i="26"/>
  <c r="AJ45" i="26" s="1"/>
  <c r="AE45" i="26"/>
  <c r="AF45" i="26" s="1"/>
  <c r="AA45" i="26"/>
  <c r="AB45" i="26" s="1"/>
  <c r="EF44" i="26"/>
  <c r="EE44" i="26"/>
  <c r="EB44" i="26"/>
  <c r="EA44" i="26"/>
  <c r="DW44" i="26"/>
  <c r="DX44" i="26" s="1"/>
  <c r="DT44" i="26"/>
  <c r="DS44" i="26"/>
  <c r="DO44" i="26"/>
  <c r="DP44" i="26" s="1"/>
  <c r="DK44" i="26"/>
  <c r="DL44" i="26" s="1"/>
  <c r="DG44" i="26"/>
  <c r="DH44" i="26" s="1"/>
  <c r="DC44" i="26"/>
  <c r="DD44" i="26" s="1"/>
  <c r="CZ44" i="26"/>
  <c r="CY44" i="26"/>
  <c r="CV44" i="26"/>
  <c r="CU44" i="26"/>
  <c r="CQ44" i="26"/>
  <c r="CR44" i="26" s="1"/>
  <c r="CM44" i="26"/>
  <c r="CN44" i="26" s="1"/>
  <c r="CI44" i="26"/>
  <c r="CJ44" i="26" s="1"/>
  <c r="CE44" i="26"/>
  <c r="CF44" i="26" s="1"/>
  <c r="CB44" i="26"/>
  <c r="CA44" i="26"/>
  <c r="BX44" i="26"/>
  <c r="BW44" i="26"/>
  <c r="BS44" i="26"/>
  <c r="BT44" i="26" s="1"/>
  <c r="BO44" i="26"/>
  <c r="BP44" i="26" s="1"/>
  <c r="BK44" i="26"/>
  <c r="BL44" i="26" s="1"/>
  <c r="BG44" i="26"/>
  <c r="BH44" i="26" s="1"/>
  <c r="BC44" i="26"/>
  <c r="BD44" i="26" s="1"/>
  <c r="AZ44" i="26"/>
  <c r="AY44" i="26"/>
  <c r="AU44" i="26"/>
  <c r="AV44" i="26" s="1"/>
  <c r="AQ44" i="26"/>
  <c r="AR44" i="26" s="1"/>
  <c r="AM44" i="26"/>
  <c r="AN44" i="26" s="1"/>
  <c r="AI44" i="26"/>
  <c r="AJ44" i="26" s="1"/>
  <c r="AE44" i="26"/>
  <c r="AF44" i="26" s="1"/>
  <c r="AB44" i="26"/>
  <c r="AA44" i="26"/>
  <c r="W44" i="26"/>
  <c r="X44" i="26" s="1"/>
  <c r="S44" i="26"/>
  <c r="T44" i="26" s="1"/>
  <c r="P44" i="26"/>
  <c r="O44" i="26"/>
  <c r="EA43" i="26"/>
  <c r="EB43" i="26" s="1"/>
  <c r="DK43" i="26"/>
  <c r="DL43" i="26" s="1"/>
  <c r="DG43" i="26"/>
  <c r="DH43" i="26" s="1"/>
  <c r="DD43" i="26"/>
  <c r="DC43" i="26"/>
  <c r="CE43" i="26"/>
  <c r="CF43" i="26" s="1"/>
  <c r="BK43" i="26"/>
  <c r="BL43" i="26" s="1"/>
  <c r="BG43" i="26"/>
  <c r="BH43" i="26" s="1"/>
  <c r="AI43" i="26"/>
  <c r="AJ43" i="26" s="1"/>
  <c r="S43" i="26"/>
  <c r="T43" i="26" s="1"/>
  <c r="O43" i="26"/>
  <c r="P43" i="26" s="1"/>
  <c r="EF42" i="26"/>
  <c r="EE42" i="26"/>
  <c r="DG42" i="26"/>
  <c r="DH42" i="26" s="1"/>
  <c r="CQ42" i="26"/>
  <c r="CR42" i="26" s="1"/>
  <c r="CM42" i="26"/>
  <c r="CN42" i="26" s="1"/>
  <c r="AQ42" i="26"/>
  <c r="AR42" i="26" s="1"/>
  <c r="AM42" i="26"/>
  <c r="AN42" i="26" s="1"/>
  <c r="DS41" i="26"/>
  <c r="DT41" i="26" s="1"/>
  <c r="DL41" i="26"/>
  <c r="DK41" i="26"/>
  <c r="CM41" i="26"/>
  <c r="BW41" i="26"/>
  <c r="BX41" i="26" s="1"/>
  <c r="BS41" i="26"/>
  <c r="BT41" i="26" s="1"/>
  <c r="BO41" i="26"/>
  <c r="AZ41" i="26"/>
  <c r="AQ41" i="26"/>
  <c r="AA41" i="26"/>
  <c r="AB41" i="26" s="1"/>
  <c r="S41" i="26"/>
  <c r="T41" i="26" s="1"/>
  <c r="ED40" i="26"/>
  <c r="DZ40" i="26"/>
  <c r="DV40" i="26"/>
  <c r="DR40" i="26"/>
  <c r="DN40" i="26"/>
  <c r="DJ40" i="26"/>
  <c r="DF40" i="26"/>
  <c r="DB40" i="26"/>
  <c r="CX40" i="26"/>
  <c r="CT40" i="26"/>
  <c r="CP40" i="26"/>
  <c r="CL40" i="26"/>
  <c r="CH40" i="26"/>
  <c r="CD40" i="26"/>
  <c r="BZ40" i="26"/>
  <c r="BV40" i="26"/>
  <c r="BR40" i="26"/>
  <c r="BN40" i="26"/>
  <c r="BJ40" i="26"/>
  <c r="BF40" i="26"/>
  <c r="BB40" i="26"/>
  <c r="AX40" i="26"/>
  <c r="AT40" i="26"/>
  <c r="AP40" i="26"/>
  <c r="AL40" i="26"/>
  <c r="AH40" i="26"/>
  <c r="AD40" i="26"/>
  <c r="Z40" i="26"/>
  <c r="V40" i="26"/>
  <c r="R40" i="26"/>
  <c r="P40" i="26"/>
  <c r="EE39" i="26"/>
  <c r="EA39" i="26"/>
  <c r="DW39" i="26"/>
  <c r="DS39" i="26"/>
  <c r="DO39" i="26"/>
  <c r="DK39" i="26"/>
  <c r="DG39" i="26"/>
  <c r="DC39" i="26"/>
  <c r="CY39" i="26"/>
  <c r="CU39" i="26"/>
  <c r="CQ39" i="26"/>
  <c r="CM39" i="26"/>
  <c r="CI39" i="26"/>
  <c r="CE39" i="26"/>
  <c r="CA39" i="26"/>
  <c r="BW39" i="26"/>
  <c r="BS39" i="26"/>
  <c r="BO39" i="26"/>
  <c r="BK39" i="26"/>
  <c r="BG39" i="26"/>
  <c r="BC39" i="26"/>
  <c r="AY39" i="26"/>
  <c r="AU39" i="26"/>
  <c r="AQ39" i="26"/>
  <c r="AM39" i="26"/>
  <c r="AI39" i="26"/>
  <c r="AE39" i="26"/>
  <c r="AA39" i="26"/>
  <c r="W39" i="26"/>
  <c r="S39" i="26"/>
  <c r="O39" i="26"/>
  <c r="EE38" i="26"/>
  <c r="EE36" i="26" s="1"/>
  <c r="EA38" i="26"/>
  <c r="DW38" i="26"/>
  <c r="DW36" i="26" s="1"/>
  <c r="DS38" i="26"/>
  <c r="DO38" i="26"/>
  <c r="DK38" i="26"/>
  <c r="DG38" i="26"/>
  <c r="DC38" i="26"/>
  <c r="CY38" i="26"/>
  <c r="CU38" i="26"/>
  <c r="CQ38" i="26"/>
  <c r="CM38" i="26"/>
  <c r="CI38" i="26"/>
  <c r="CI36" i="26" s="1"/>
  <c r="CE38" i="26"/>
  <c r="CA38" i="26"/>
  <c r="CA36" i="26" s="1"/>
  <c r="BW38" i="26"/>
  <c r="BW36" i="26" s="1"/>
  <c r="BS38" i="26"/>
  <c r="BO38" i="26"/>
  <c r="BK38" i="26"/>
  <c r="BG38" i="26"/>
  <c r="BC38" i="26"/>
  <c r="AY38" i="26"/>
  <c r="AU38" i="26"/>
  <c r="AQ38" i="26"/>
  <c r="AM38" i="26"/>
  <c r="AM36" i="26" s="1"/>
  <c r="AI38" i="26"/>
  <c r="AE38" i="26"/>
  <c r="AE36" i="26" s="1"/>
  <c r="AA38" i="26"/>
  <c r="AA36" i="26" s="1"/>
  <c r="W38" i="26"/>
  <c r="S38" i="26"/>
  <c r="O38" i="26"/>
  <c r="EE37" i="26"/>
  <c r="EA37" i="26"/>
  <c r="DW37" i="26"/>
  <c r="DS37" i="26"/>
  <c r="DO37" i="26"/>
  <c r="DO36" i="26" s="1"/>
  <c r="DK37" i="26"/>
  <c r="DK36" i="26" s="1"/>
  <c r="DG37" i="26"/>
  <c r="DG36" i="26" s="1"/>
  <c r="DC37" i="26"/>
  <c r="DC36" i="26" s="1"/>
  <c r="CY37" i="26"/>
  <c r="CY36" i="26" s="1"/>
  <c r="CU37" i="26"/>
  <c r="CQ37" i="26"/>
  <c r="CQ36" i="26" s="1"/>
  <c r="CM37" i="26"/>
  <c r="CI37" i="26"/>
  <c r="CE37" i="26"/>
  <c r="CA37" i="26"/>
  <c r="BW37" i="26"/>
  <c r="BS37" i="26"/>
  <c r="BS36" i="26" s="1"/>
  <c r="BO37" i="26"/>
  <c r="BO36" i="26" s="1"/>
  <c r="BK37" i="26"/>
  <c r="BK36" i="26" s="1"/>
  <c r="BG37" i="26"/>
  <c r="BG36" i="26" s="1"/>
  <c r="BC37" i="26"/>
  <c r="BC36" i="26" s="1"/>
  <c r="AY37" i="26"/>
  <c r="AU37" i="26"/>
  <c r="AU36" i="26" s="1"/>
  <c r="AQ37" i="26"/>
  <c r="AM37" i="26"/>
  <c r="AI37" i="26"/>
  <c r="AE37" i="26"/>
  <c r="AA37" i="26"/>
  <c r="W37" i="26"/>
  <c r="W36" i="26" s="1"/>
  <c r="S37" i="26"/>
  <c r="S36" i="26" s="1"/>
  <c r="O37" i="26"/>
  <c r="O36" i="26" s="1"/>
  <c r="EF36" i="26"/>
  <c r="ED36" i="26"/>
  <c r="EE45" i="26" s="1"/>
  <c r="EF45" i="26" s="1"/>
  <c r="EC36" i="26"/>
  <c r="EB36" i="26"/>
  <c r="DZ36" i="26"/>
  <c r="DY36" i="26"/>
  <c r="DX36" i="26"/>
  <c r="DV36" i="26"/>
  <c r="DV16" i="26" s="1"/>
  <c r="DU36" i="26"/>
  <c r="DT36" i="26"/>
  <c r="DS36" i="26"/>
  <c r="DR36" i="26"/>
  <c r="DS45" i="26" s="1"/>
  <c r="DT45" i="26" s="1"/>
  <c r="DQ36" i="26"/>
  <c r="DQ16" i="26" s="1"/>
  <c r="DP36" i="26"/>
  <c r="DN36" i="26"/>
  <c r="DO45" i="26" s="1"/>
  <c r="DP45" i="26" s="1"/>
  <c r="DM36" i="26"/>
  <c r="DL36" i="26"/>
  <c r="DJ36" i="26"/>
  <c r="DI36" i="26"/>
  <c r="DH36" i="26"/>
  <c r="DH16" i="26" s="1"/>
  <c r="DF36" i="26"/>
  <c r="DE36" i="26"/>
  <c r="DD36" i="26"/>
  <c r="DB36" i="26"/>
  <c r="DA36" i="26"/>
  <c r="CZ36" i="26"/>
  <c r="CX36" i="26"/>
  <c r="CX16" i="26" s="1"/>
  <c r="CW36" i="26"/>
  <c r="CV36" i="26"/>
  <c r="CU36" i="26"/>
  <c r="CT36" i="26"/>
  <c r="CU45" i="26" s="1"/>
  <c r="CV45" i="26" s="1"/>
  <c r="CS36" i="26"/>
  <c r="CS16" i="26" s="1"/>
  <c r="CS17" i="26" s="1"/>
  <c r="CR36" i="26"/>
  <c r="CP36" i="26"/>
  <c r="CQ45" i="26" s="1"/>
  <c r="CR45" i="26" s="1"/>
  <c r="CO36" i="26"/>
  <c r="CN36" i="26"/>
  <c r="CM36" i="26"/>
  <c r="CL36" i="26"/>
  <c r="CK36" i="26"/>
  <c r="CJ36" i="26"/>
  <c r="CH36" i="26"/>
  <c r="CI45" i="26" s="1"/>
  <c r="CJ45" i="26" s="1"/>
  <c r="CG36" i="26"/>
  <c r="CF36" i="26"/>
  <c r="CD36" i="26"/>
  <c r="CC36" i="26"/>
  <c r="CB36" i="26"/>
  <c r="BZ36" i="26"/>
  <c r="BY36" i="26"/>
  <c r="BX36" i="26"/>
  <c r="BV36" i="26"/>
  <c r="BU36" i="26"/>
  <c r="BT36" i="26"/>
  <c r="BR36" i="26"/>
  <c r="BS45" i="26" s="1"/>
  <c r="BT45" i="26" s="1"/>
  <c r="BQ36" i="26"/>
  <c r="BP36" i="26"/>
  <c r="BN36" i="26"/>
  <c r="BM36" i="26"/>
  <c r="BL36" i="26"/>
  <c r="BL16" i="26" s="1"/>
  <c r="BJ36" i="26"/>
  <c r="BK45" i="26" s="1"/>
  <c r="BL45" i="26" s="1"/>
  <c r="BI36" i="26"/>
  <c r="BH36" i="26"/>
  <c r="BF36" i="26"/>
  <c r="BE36" i="26"/>
  <c r="BD36" i="26"/>
  <c r="BB36" i="26"/>
  <c r="BA36" i="26"/>
  <c r="AZ36" i="26"/>
  <c r="AY36" i="26"/>
  <c r="AX36" i="26"/>
  <c r="AW36" i="26"/>
  <c r="AV36" i="26"/>
  <c r="AT36" i="26"/>
  <c r="AU45" i="26" s="1"/>
  <c r="AV45" i="26" s="1"/>
  <c r="AS36" i="26"/>
  <c r="AR36" i="26"/>
  <c r="AQ36" i="26"/>
  <c r="AP36" i="26"/>
  <c r="AO36" i="26"/>
  <c r="AO16" i="26" s="1"/>
  <c r="AN36" i="26"/>
  <c r="AL36" i="26"/>
  <c r="AM45" i="26" s="1"/>
  <c r="AN45" i="26" s="1"/>
  <c r="AK36" i="26"/>
  <c r="AK19" i="26" s="1"/>
  <c r="AJ36" i="26"/>
  <c r="AH36" i="26"/>
  <c r="AG36" i="26"/>
  <c r="AF36" i="26"/>
  <c r="AD36" i="26"/>
  <c r="AD16" i="26" s="1"/>
  <c r="AC36" i="26"/>
  <c r="AB36" i="26"/>
  <c r="Z36" i="26"/>
  <c r="Y36" i="26"/>
  <c r="X36" i="26"/>
  <c r="V36" i="26"/>
  <c r="W45" i="26" s="1"/>
  <c r="X45" i="26" s="1"/>
  <c r="U36" i="26"/>
  <c r="T36" i="26"/>
  <c r="R36" i="26"/>
  <c r="Q36" i="26"/>
  <c r="P36" i="26"/>
  <c r="N36" i="26"/>
  <c r="O45" i="26" s="1"/>
  <c r="P45" i="26" s="1"/>
  <c r="M36" i="26"/>
  <c r="EE35" i="26"/>
  <c r="EA35" i="26"/>
  <c r="DW35" i="26"/>
  <c r="DS35" i="26"/>
  <c r="DO35" i="26"/>
  <c r="DK35" i="26"/>
  <c r="DG35" i="26"/>
  <c r="DC35" i="26"/>
  <c r="CY35" i="26"/>
  <c r="CU35" i="26"/>
  <c r="CQ35" i="26"/>
  <c r="CM35" i="26"/>
  <c r="CI35" i="26"/>
  <c r="CE35" i="26"/>
  <c r="CA35" i="26"/>
  <c r="BW35" i="26"/>
  <c r="BS35" i="26"/>
  <c r="BO35" i="26"/>
  <c r="BK35" i="26"/>
  <c r="BG35" i="26"/>
  <c r="BC35" i="26"/>
  <c r="AY35" i="26"/>
  <c r="AU35" i="26"/>
  <c r="AQ35" i="26"/>
  <c r="AM35" i="26"/>
  <c r="AI35" i="26"/>
  <c r="AE35" i="26"/>
  <c r="AA35" i="26"/>
  <c r="W35" i="26"/>
  <c r="S35" i="26"/>
  <c r="O35" i="26"/>
  <c r="EE34" i="26"/>
  <c r="EA34" i="26"/>
  <c r="EA32" i="26" s="1"/>
  <c r="DW34" i="26"/>
  <c r="DS34" i="26"/>
  <c r="DS32" i="26" s="1"/>
  <c r="DO34" i="26"/>
  <c r="DK34" i="26"/>
  <c r="DG34" i="26"/>
  <c r="DC34" i="26"/>
  <c r="CY34" i="26"/>
  <c r="CU34" i="26"/>
  <c r="CQ34" i="26"/>
  <c r="CQ32" i="26" s="1"/>
  <c r="CM34" i="26"/>
  <c r="CI34" i="26"/>
  <c r="CE34" i="26"/>
  <c r="CE32" i="26" s="1"/>
  <c r="CA34" i="26"/>
  <c r="BW34" i="26"/>
  <c r="BW32" i="26" s="1"/>
  <c r="BS34" i="26"/>
  <c r="BO34" i="26"/>
  <c r="BK34" i="26"/>
  <c r="BG34" i="26"/>
  <c r="BC34" i="26"/>
  <c r="AY34" i="26"/>
  <c r="AU34" i="26"/>
  <c r="AU32" i="26" s="1"/>
  <c r="AQ34" i="26"/>
  <c r="AM34" i="26"/>
  <c r="AI34" i="26"/>
  <c r="AI32" i="26" s="1"/>
  <c r="AE34" i="26"/>
  <c r="AA34" i="26"/>
  <c r="W34" i="26"/>
  <c r="S34" i="26"/>
  <c r="O34" i="26"/>
  <c r="EE33" i="26"/>
  <c r="EA33" i="26"/>
  <c r="DW33" i="26"/>
  <c r="DS33" i="26"/>
  <c r="DO33" i="26"/>
  <c r="DK33" i="26"/>
  <c r="DK32" i="26" s="1"/>
  <c r="DG33" i="26"/>
  <c r="DC33" i="26"/>
  <c r="DC32" i="26" s="1"/>
  <c r="CY33" i="26"/>
  <c r="CU33" i="26"/>
  <c r="CU32" i="26" s="1"/>
  <c r="CQ33" i="26"/>
  <c r="CM33" i="26"/>
  <c r="CI33" i="26"/>
  <c r="CE33" i="26"/>
  <c r="CA33" i="26"/>
  <c r="BW33" i="26"/>
  <c r="BS33" i="26"/>
  <c r="BO33" i="26"/>
  <c r="BK33" i="26"/>
  <c r="BK32" i="26" s="1"/>
  <c r="BG33" i="26"/>
  <c r="BG32" i="26" s="1"/>
  <c r="BC33" i="26"/>
  <c r="AY33" i="26"/>
  <c r="AY32" i="26" s="1"/>
  <c r="AU33" i="26"/>
  <c r="AQ33" i="26"/>
  <c r="AM33" i="26"/>
  <c r="AI33" i="26"/>
  <c r="AE33" i="26"/>
  <c r="AA33" i="26"/>
  <c r="W33" i="26"/>
  <c r="S33" i="26"/>
  <c r="O33" i="26"/>
  <c r="EF32" i="26"/>
  <c r="EE32" i="26"/>
  <c r="ED32" i="26"/>
  <c r="EE43" i="26" s="1"/>
  <c r="EF43" i="26" s="1"/>
  <c r="EC32" i="26"/>
  <c r="EB32" i="26"/>
  <c r="DZ32" i="26"/>
  <c r="DY32" i="26"/>
  <c r="DX32" i="26"/>
  <c r="DW32" i="26"/>
  <c r="DV32" i="26"/>
  <c r="DW43" i="26" s="1"/>
  <c r="DX43" i="26" s="1"/>
  <c r="DU32" i="26"/>
  <c r="DT32" i="26"/>
  <c r="DR32" i="26"/>
  <c r="DS43" i="26" s="1"/>
  <c r="DT43" i="26" s="1"/>
  <c r="DQ32" i="26"/>
  <c r="DP32" i="26"/>
  <c r="DN32" i="26"/>
  <c r="DO43" i="26" s="1"/>
  <c r="DP43" i="26" s="1"/>
  <c r="DM32" i="26"/>
  <c r="DL32" i="26"/>
  <c r="DJ32" i="26"/>
  <c r="DJ19" i="26" s="1"/>
  <c r="DI32" i="26"/>
  <c r="DH32" i="26"/>
  <c r="DG32" i="26"/>
  <c r="DF32" i="26"/>
  <c r="DE32" i="26"/>
  <c r="DD32" i="26"/>
  <c r="DB32" i="26"/>
  <c r="DA32" i="26"/>
  <c r="CZ32" i="26"/>
  <c r="CY32" i="26"/>
  <c r="CX32" i="26"/>
  <c r="CY43" i="26" s="1"/>
  <c r="CZ43" i="26" s="1"/>
  <c r="CW32" i="26"/>
  <c r="CV32" i="26"/>
  <c r="CV19" i="26" s="1"/>
  <c r="CV47" i="26" s="1"/>
  <c r="CT32" i="26"/>
  <c r="CU43" i="26" s="1"/>
  <c r="CV43" i="26" s="1"/>
  <c r="CS32" i="26"/>
  <c r="CR32" i="26"/>
  <c r="CP32" i="26"/>
  <c r="CQ43" i="26" s="1"/>
  <c r="CR43" i="26" s="1"/>
  <c r="CO32" i="26"/>
  <c r="CN32" i="26"/>
  <c r="CM32" i="26"/>
  <c r="CL32" i="26"/>
  <c r="CK32" i="26"/>
  <c r="CJ32" i="26"/>
  <c r="CI32" i="26"/>
  <c r="CH32" i="26"/>
  <c r="CI43" i="26" s="1"/>
  <c r="CJ43" i="26" s="1"/>
  <c r="CG32" i="26"/>
  <c r="CF32" i="26"/>
  <c r="CD32" i="26"/>
  <c r="CC32" i="26"/>
  <c r="CB32" i="26"/>
  <c r="CA32" i="26"/>
  <c r="BZ32" i="26"/>
  <c r="BY32" i="26"/>
  <c r="BY15" i="26" s="1"/>
  <c r="BX32" i="26"/>
  <c r="BV32" i="26"/>
  <c r="BW43" i="26" s="1"/>
  <c r="BX43" i="26" s="1"/>
  <c r="BU32" i="26"/>
  <c r="BT32" i="26"/>
  <c r="BR32" i="26"/>
  <c r="BS43" i="26" s="1"/>
  <c r="BT43" i="26" s="1"/>
  <c r="BQ32" i="26"/>
  <c r="BP32" i="26"/>
  <c r="BO32" i="26"/>
  <c r="BN32" i="26"/>
  <c r="BM32" i="26"/>
  <c r="BL32" i="26"/>
  <c r="BJ32" i="26"/>
  <c r="BI32" i="26"/>
  <c r="BH32" i="26"/>
  <c r="BF32" i="26"/>
  <c r="BE32" i="26"/>
  <c r="BD32" i="26"/>
  <c r="BC32" i="26"/>
  <c r="BB32" i="26"/>
  <c r="BA32" i="26"/>
  <c r="AZ32" i="26"/>
  <c r="AX32" i="26"/>
  <c r="AY43" i="26" s="1"/>
  <c r="AZ43" i="26" s="1"/>
  <c r="AW32" i="26"/>
  <c r="AV32" i="26"/>
  <c r="AT32" i="26"/>
  <c r="AU43" i="26" s="1"/>
  <c r="AV43" i="26" s="1"/>
  <c r="AS32" i="26"/>
  <c r="AR32" i="26"/>
  <c r="AQ32" i="26"/>
  <c r="AP32" i="26"/>
  <c r="AO32" i="26"/>
  <c r="AN32" i="26"/>
  <c r="AM32" i="26"/>
  <c r="AL32" i="26"/>
  <c r="AK32" i="26"/>
  <c r="AJ32" i="26"/>
  <c r="AH32" i="26"/>
  <c r="AG32" i="26"/>
  <c r="AF32" i="26"/>
  <c r="AE32" i="26"/>
  <c r="AD32" i="26"/>
  <c r="AE43" i="26" s="1"/>
  <c r="AF43" i="26" s="1"/>
  <c r="AC32" i="26"/>
  <c r="AC19" i="26" s="1"/>
  <c r="AB32" i="26"/>
  <c r="AB15" i="26" s="1"/>
  <c r="AB17" i="26" s="1"/>
  <c r="AA32" i="26"/>
  <c r="Z32" i="26"/>
  <c r="Y32" i="26"/>
  <c r="X32" i="26"/>
  <c r="V32" i="26"/>
  <c r="W43" i="26" s="1"/>
  <c r="X43" i="26" s="1"/>
  <c r="U32" i="26"/>
  <c r="T32" i="26"/>
  <c r="S32" i="26"/>
  <c r="R32" i="26"/>
  <c r="Q32" i="26"/>
  <c r="P32" i="26"/>
  <c r="P15" i="26" s="1"/>
  <c r="P17" i="26" s="1"/>
  <c r="O32" i="26"/>
  <c r="N32" i="26"/>
  <c r="N15" i="26" s="1"/>
  <c r="M32" i="26"/>
  <c r="EE31" i="26"/>
  <c r="EA31" i="26"/>
  <c r="DW31" i="26"/>
  <c r="DS31" i="26"/>
  <c r="DO31" i="26"/>
  <c r="DK31" i="26"/>
  <c r="DG31" i="26"/>
  <c r="DC31" i="26"/>
  <c r="CY31" i="26"/>
  <c r="CU31" i="26"/>
  <c r="CQ31" i="26"/>
  <c r="CM31" i="26"/>
  <c r="CI31" i="26"/>
  <c r="CE31" i="26"/>
  <c r="CA31" i="26"/>
  <c r="BW31" i="26"/>
  <c r="BS31" i="26"/>
  <c r="BO31" i="26"/>
  <c r="BK31" i="26"/>
  <c r="BG31" i="26"/>
  <c r="BC31" i="26"/>
  <c r="AY31" i="26"/>
  <c r="AU31" i="26"/>
  <c r="AQ31" i="26"/>
  <c r="AM31" i="26"/>
  <c r="AI31" i="26"/>
  <c r="AE31" i="26"/>
  <c r="AA31" i="26"/>
  <c r="W31" i="26"/>
  <c r="S31" i="26"/>
  <c r="O31" i="26"/>
  <c r="EE30" i="26"/>
  <c r="EA30" i="26"/>
  <c r="DW30" i="26"/>
  <c r="DW26" i="26" s="1"/>
  <c r="DS30" i="26"/>
  <c r="DO30" i="26"/>
  <c r="DK30" i="26"/>
  <c r="DG30" i="26"/>
  <c r="DC30" i="26"/>
  <c r="CY30" i="26"/>
  <c r="CU30" i="26"/>
  <c r="CQ30" i="26"/>
  <c r="CM30" i="26"/>
  <c r="CI30" i="26"/>
  <c r="CE30" i="26"/>
  <c r="CA30" i="26"/>
  <c r="BW30" i="26"/>
  <c r="BS30" i="26"/>
  <c r="BO30" i="26"/>
  <c r="BK30" i="26"/>
  <c r="BG30" i="26"/>
  <c r="BC30" i="26"/>
  <c r="AY30" i="26"/>
  <c r="AU30" i="26"/>
  <c r="AQ30" i="26"/>
  <c r="AM30" i="26"/>
  <c r="AI30" i="26"/>
  <c r="AE30" i="26"/>
  <c r="AE26" i="26" s="1"/>
  <c r="AA30" i="26"/>
  <c r="W30" i="26"/>
  <c r="S30" i="26"/>
  <c r="O30" i="26"/>
  <c r="EE29" i="26"/>
  <c r="EA29" i="26"/>
  <c r="DW29" i="26"/>
  <c r="DS29" i="26"/>
  <c r="DO29" i="26"/>
  <c r="DK29" i="26"/>
  <c r="DG29" i="26"/>
  <c r="DC29" i="26"/>
  <c r="CY29" i="26"/>
  <c r="CU29" i="26"/>
  <c r="CQ29" i="26"/>
  <c r="CM29" i="26"/>
  <c r="CI29" i="26"/>
  <c r="CE29" i="26"/>
  <c r="CA29" i="26"/>
  <c r="BW29" i="26"/>
  <c r="BS29" i="26"/>
  <c r="BO29" i="26"/>
  <c r="BK29" i="26"/>
  <c r="BG29" i="26"/>
  <c r="BG26" i="26" s="1"/>
  <c r="BC29" i="26"/>
  <c r="AY29" i="26"/>
  <c r="AU29" i="26"/>
  <c r="AQ29" i="26"/>
  <c r="AM29" i="26"/>
  <c r="AI29" i="26"/>
  <c r="AE29" i="26"/>
  <c r="AA29" i="26"/>
  <c r="W29" i="26"/>
  <c r="S29" i="26"/>
  <c r="O29" i="26"/>
  <c r="EE28" i="26"/>
  <c r="EA28" i="26"/>
  <c r="DW28" i="26"/>
  <c r="DS28" i="26"/>
  <c r="DO28" i="26"/>
  <c r="DK28" i="26"/>
  <c r="DG28" i="26"/>
  <c r="DC28" i="26"/>
  <c r="CY28" i="26"/>
  <c r="CU28" i="26"/>
  <c r="CQ28" i="26"/>
  <c r="CM28" i="26"/>
  <c r="CM26" i="26" s="1"/>
  <c r="CI28" i="26"/>
  <c r="CE28" i="26"/>
  <c r="CE26" i="26" s="1"/>
  <c r="CA28" i="26"/>
  <c r="BW28" i="26"/>
  <c r="BS28" i="26"/>
  <c r="BO28" i="26"/>
  <c r="BK28" i="26"/>
  <c r="BG28" i="26"/>
  <c r="BC28" i="26"/>
  <c r="AY28" i="26"/>
  <c r="AU28" i="26"/>
  <c r="AQ28" i="26"/>
  <c r="AQ26" i="26" s="1"/>
  <c r="AM28" i="26"/>
  <c r="AI28" i="26"/>
  <c r="AE28" i="26"/>
  <c r="AA28" i="26"/>
  <c r="W28" i="26"/>
  <c r="S28" i="26"/>
  <c r="O28" i="26"/>
  <c r="EE27" i="26"/>
  <c r="EA27" i="26"/>
  <c r="DW27" i="26"/>
  <c r="DS27" i="26"/>
  <c r="DO27" i="26"/>
  <c r="DO26" i="26" s="1"/>
  <c r="DK27" i="26"/>
  <c r="DK26" i="26" s="1"/>
  <c r="DG27" i="26"/>
  <c r="DC27" i="26"/>
  <c r="CY27" i="26"/>
  <c r="CU27" i="26"/>
  <c r="CQ27" i="26"/>
  <c r="CM27" i="26"/>
  <c r="CI27" i="26"/>
  <c r="CE27" i="26"/>
  <c r="CA27" i="26"/>
  <c r="CA26" i="26" s="1"/>
  <c r="BW27" i="26"/>
  <c r="BS27" i="26"/>
  <c r="BS26" i="26" s="1"/>
  <c r="BO27" i="26"/>
  <c r="BO26" i="26" s="1"/>
  <c r="BK27" i="26"/>
  <c r="BG27" i="26"/>
  <c r="BC27" i="26"/>
  <c r="AY27" i="26"/>
  <c r="AU27" i="26"/>
  <c r="AQ27" i="26"/>
  <c r="AM27" i="26"/>
  <c r="AI27" i="26"/>
  <c r="AE27" i="26"/>
  <c r="AA27" i="26"/>
  <c r="W27" i="26"/>
  <c r="W26" i="26" s="1"/>
  <c r="S27" i="26"/>
  <c r="O27" i="26"/>
  <c r="EF26" i="26"/>
  <c r="ED26" i="26"/>
  <c r="EC26" i="26"/>
  <c r="EB26" i="26"/>
  <c r="DZ26" i="26"/>
  <c r="DY26" i="26"/>
  <c r="DX26" i="26"/>
  <c r="DV26" i="26"/>
  <c r="DU26" i="26"/>
  <c r="DT26" i="26"/>
  <c r="DR26" i="26"/>
  <c r="DS42" i="26" s="1"/>
  <c r="DT42" i="26" s="1"/>
  <c r="DQ26" i="26"/>
  <c r="DP26" i="26"/>
  <c r="DN26" i="26"/>
  <c r="DN15" i="26" s="1"/>
  <c r="DM26" i="26"/>
  <c r="DL26" i="26"/>
  <c r="DJ26" i="26"/>
  <c r="DK42" i="26" s="1"/>
  <c r="DL42" i="26" s="1"/>
  <c r="DI26" i="26"/>
  <c r="DH26" i="26"/>
  <c r="DF26" i="26"/>
  <c r="DE26" i="26"/>
  <c r="DD26" i="26"/>
  <c r="DB26" i="26"/>
  <c r="DA26" i="26"/>
  <c r="CZ26" i="26"/>
  <c r="CX26" i="26"/>
  <c r="CY42" i="26" s="1"/>
  <c r="CZ42" i="26" s="1"/>
  <c r="CW26" i="26"/>
  <c r="CW15" i="26" s="1"/>
  <c r="CY15" i="26" s="1"/>
  <c r="CV26" i="26"/>
  <c r="CT26" i="26"/>
  <c r="CU42" i="26" s="1"/>
  <c r="CV42" i="26" s="1"/>
  <c r="CS26" i="26"/>
  <c r="CR26" i="26"/>
  <c r="CQ26" i="26"/>
  <c r="CP26" i="26"/>
  <c r="CP15" i="26" s="1"/>
  <c r="CO26" i="26"/>
  <c r="CN26" i="26"/>
  <c r="CL26" i="26"/>
  <c r="CK26" i="26"/>
  <c r="CJ26" i="26"/>
  <c r="CJ15" i="26" s="1"/>
  <c r="CH26" i="26"/>
  <c r="CI42" i="26" s="1"/>
  <c r="CJ42" i="26" s="1"/>
  <c r="CG26" i="26"/>
  <c r="CF26" i="26"/>
  <c r="CD26" i="26"/>
  <c r="CC26" i="26"/>
  <c r="CB26" i="26"/>
  <c r="BZ26" i="26"/>
  <c r="CA42" i="26" s="1"/>
  <c r="CB42" i="26" s="1"/>
  <c r="BY26" i="26"/>
  <c r="BX26" i="26"/>
  <c r="BV26" i="26"/>
  <c r="BW42" i="26" s="1"/>
  <c r="BX42" i="26" s="1"/>
  <c r="BU26" i="26"/>
  <c r="BT26" i="26"/>
  <c r="BR26" i="26"/>
  <c r="BQ26" i="26"/>
  <c r="BP26" i="26"/>
  <c r="BN26" i="26"/>
  <c r="BO42" i="26" s="1"/>
  <c r="BP42" i="26" s="1"/>
  <c r="BM26" i="26"/>
  <c r="BL26" i="26"/>
  <c r="BJ26" i="26"/>
  <c r="BK42" i="26" s="1"/>
  <c r="BL42" i="26" s="1"/>
  <c r="BL40" i="26" s="1"/>
  <c r="BI26" i="26"/>
  <c r="BH26" i="26"/>
  <c r="BH15" i="26" s="1"/>
  <c r="BH17" i="26" s="1"/>
  <c r="BF26" i="26"/>
  <c r="BE26" i="26"/>
  <c r="BD26" i="26"/>
  <c r="BB26" i="26"/>
  <c r="BC42" i="26" s="1"/>
  <c r="BD42" i="26" s="1"/>
  <c r="BA26" i="26"/>
  <c r="AZ26" i="26"/>
  <c r="AX26" i="26"/>
  <c r="AY42" i="26" s="1"/>
  <c r="AZ42" i="26" s="1"/>
  <c r="AW26" i="26"/>
  <c r="AV26" i="26"/>
  <c r="AU26" i="26"/>
  <c r="AT26" i="26"/>
  <c r="AS26" i="26"/>
  <c r="AR26" i="26"/>
  <c r="AP26" i="26"/>
  <c r="AO26" i="26"/>
  <c r="AN26" i="26"/>
  <c r="AL26" i="26"/>
  <c r="AK26" i="26"/>
  <c r="AJ26" i="26"/>
  <c r="AH26" i="26"/>
  <c r="AG26" i="26"/>
  <c r="AG15" i="26" s="1"/>
  <c r="AF26" i="26"/>
  <c r="AF15" i="26" s="1"/>
  <c r="AD26" i="26"/>
  <c r="AE42" i="26" s="1"/>
  <c r="AF42" i="26" s="1"/>
  <c r="AC26" i="26"/>
  <c r="AB26" i="26"/>
  <c r="Z26" i="26"/>
  <c r="AA42" i="26" s="1"/>
  <c r="AB42" i="26" s="1"/>
  <c r="Y26" i="26"/>
  <c r="X26" i="26"/>
  <c r="V26" i="26"/>
  <c r="W42" i="26" s="1"/>
  <c r="X42" i="26" s="1"/>
  <c r="U26" i="26"/>
  <c r="U15" i="26" s="1"/>
  <c r="T26" i="26"/>
  <c r="S26" i="26"/>
  <c r="R26" i="26"/>
  <c r="S42" i="26" s="1"/>
  <c r="T42" i="26" s="1"/>
  <c r="Q26" i="26"/>
  <c r="P26" i="26"/>
  <c r="N26" i="26"/>
  <c r="O42" i="26" s="1"/>
  <c r="P42" i="26" s="1"/>
  <c r="M26" i="26"/>
  <c r="EE25" i="26"/>
  <c r="EA25" i="26"/>
  <c r="DW25" i="26"/>
  <c r="DS25" i="26"/>
  <c r="DO25" i="26"/>
  <c r="DO20" i="26" s="1"/>
  <c r="DK25" i="26"/>
  <c r="DG25" i="26"/>
  <c r="DC25" i="26"/>
  <c r="CY25" i="26"/>
  <c r="CU25" i="26"/>
  <c r="CQ25" i="26"/>
  <c r="CM25" i="26"/>
  <c r="CI25" i="26"/>
  <c r="CE25" i="26"/>
  <c r="CA25" i="26"/>
  <c r="BW25" i="26"/>
  <c r="BS25" i="26"/>
  <c r="BO25" i="26"/>
  <c r="BK25" i="26"/>
  <c r="BG25" i="26"/>
  <c r="BC25" i="26"/>
  <c r="AY25" i="26"/>
  <c r="AU25" i="26"/>
  <c r="AQ25" i="26"/>
  <c r="AM25" i="26"/>
  <c r="AI25" i="26"/>
  <c r="AE25" i="26"/>
  <c r="AA25" i="26"/>
  <c r="W25" i="26"/>
  <c r="W20" i="26" s="1"/>
  <c r="S25" i="26"/>
  <c r="O25" i="26"/>
  <c r="EE24" i="26"/>
  <c r="EA24" i="26"/>
  <c r="DW24" i="26"/>
  <c r="DS24" i="26"/>
  <c r="DO24" i="26"/>
  <c r="DK24" i="26"/>
  <c r="DG24" i="26"/>
  <c r="DC24" i="26"/>
  <c r="CY24" i="26"/>
  <c r="CU24" i="26"/>
  <c r="CQ24" i="26"/>
  <c r="CM24" i="26"/>
  <c r="CI24" i="26"/>
  <c r="CE24" i="26"/>
  <c r="CA24" i="26"/>
  <c r="BW24" i="26"/>
  <c r="BS24" i="26"/>
  <c r="BO24" i="26"/>
  <c r="BK24" i="26"/>
  <c r="BG24" i="26"/>
  <c r="BC24" i="26"/>
  <c r="AY24" i="26"/>
  <c r="AU24" i="26"/>
  <c r="AQ24" i="26"/>
  <c r="AM24" i="26"/>
  <c r="AI24" i="26"/>
  <c r="AE24" i="26"/>
  <c r="AA24" i="26"/>
  <c r="W24" i="26"/>
  <c r="S24" i="26"/>
  <c r="O24" i="26"/>
  <c r="EE23" i="26"/>
  <c r="EA23" i="26"/>
  <c r="DW23" i="26"/>
  <c r="DW20" i="26" s="1"/>
  <c r="DS23" i="26"/>
  <c r="DO23" i="26"/>
  <c r="DK23" i="26"/>
  <c r="DK20" i="26" s="1"/>
  <c r="DG23" i="26"/>
  <c r="DC23" i="26"/>
  <c r="CY23" i="26"/>
  <c r="CU23" i="26"/>
  <c r="CQ23" i="26"/>
  <c r="CM23" i="26"/>
  <c r="CI23" i="26"/>
  <c r="CE23" i="26"/>
  <c r="CA23" i="26"/>
  <c r="CA20" i="26" s="1"/>
  <c r="BW23" i="26"/>
  <c r="BS23" i="26"/>
  <c r="BO23" i="26"/>
  <c r="BO20" i="26" s="1"/>
  <c r="BK23" i="26"/>
  <c r="BG23" i="26"/>
  <c r="BC23" i="26"/>
  <c r="AY23" i="26"/>
  <c r="AU23" i="26"/>
  <c r="AQ23" i="26"/>
  <c r="AM23" i="26"/>
  <c r="AI23" i="26"/>
  <c r="AE23" i="26"/>
  <c r="AA23" i="26"/>
  <c r="W23" i="26"/>
  <c r="S23" i="26"/>
  <c r="S20" i="26" s="1"/>
  <c r="O23" i="26"/>
  <c r="EE22" i="26"/>
  <c r="EA22" i="26"/>
  <c r="DW22" i="26"/>
  <c r="DS22" i="26"/>
  <c r="DO22" i="26"/>
  <c r="DK22" i="26"/>
  <c r="DG22" i="26"/>
  <c r="DG20" i="26" s="1"/>
  <c r="DC22" i="26"/>
  <c r="DC20" i="26" s="1"/>
  <c r="CY22" i="26"/>
  <c r="CU22" i="26"/>
  <c r="CQ22" i="26"/>
  <c r="CQ20" i="26" s="1"/>
  <c r="CM22" i="26"/>
  <c r="CI22" i="26"/>
  <c r="CE22" i="26"/>
  <c r="CA22" i="26"/>
  <c r="BW22" i="26"/>
  <c r="BS22" i="26"/>
  <c r="BO22" i="26"/>
  <c r="BK22" i="26"/>
  <c r="BK20" i="26" s="1"/>
  <c r="BG22" i="26"/>
  <c r="BG20" i="26" s="1"/>
  <c r="BC22" i="26"/>
  <c r="AY22" i="26"/>
  <c r="AU22" i="26"/>
  <c r="AU20" i="26" s="1"/>
  <c r="AQ22" i="26"/>
  <c r="AQ20" i="26" s="1"/>
  <c r="AM22" i="26"/>
  <c r="AI22" i="26"/>
  <c r="AE22" i="26"/>
  <c r="AA22" i="26"/>
  <c r="W22" i="26"/>
  <c r="S22" i="26"/>
  <c r="O22" i="26"/>
  <c r="O20" i="26" s="1"/>
  <c r="EE21" i="26"/>
  <c r="EE20" i="26" s="1"/>
  <c r="EA21" i="26"/>
  <c r="DW21" i="26"/>
  <c r="DS21" i="26"/>
  <c r="DS20" i="26" s="1"/>
  <c r="DO21" i="26"/>
  <c r="DK21" i="26"/>
  <c r="DG21" i="26"/>
  <c r="DC21" i="26"/>
  <c r="CY21" i="26"/>
  <c r="CU21" i="26"/>
  <c r="CQ21" i="26"/>
  <c r="CM21" i="26"/>
  <c r="CI21" i="26"/>
  <c r="CI20" i="26" s="1"/>
  <c r="CE21" i="26"/>
  <c r="CE20" i="26" s="1"/>
  <c r="CA21" i="26"/>
  <c r="BW21" i="26"/>
  <c r="BW20" i="26" s="1"/>
  <c r="BS21" i="26"/>
  <c r="BS20" i="26" s="1"/>
  <c r="BO21" i="26"/>
  <c r="BK21" i="26"/>
  <c r="BG21" i="26"/>
  <c r="BC21" i="26"/>
  <c r="AY21" i="26"/>
  <c r="AU21" i="26"/>
  <c r="AQ21" i="26"/>
  <c r="AM21" i="26"/>
  <c r="AM20" i="26" s="1"/>
  <c r="AI21" i="26"/>
  <c r="AE21" i="26"/>
  <c r="AE20" i="26" s="1"/>
  <c r="AA21" i="26"/>
  <c r="AA20" i="26" s="1"/>
  <c r="W21" i="26"/>
  <c r="S21" i="26"/>
  <c r="O21" i="26"/>
  <c r="EF20" i="26"/>
  <c r="ED20" i="26"/>
  <c r="EE41" i="26" s="1"/>
  <c r="EC20" i="26"/>
  <c r="EB20" i="26"/>
  <c r="EA20" i="26"/>
  <c r="DZ20" i="26"/>
  <c r="DY20" i="26"/>
  <c r="DY19" i="26" s="1"/>
  <c r="DX20" i="26"/>
  <c r="DX19" i="26" s="1"/>
  <c r="DX47" i="26" s="1"/>
  <c r="DV20" i="26"/>
  <c r="DW41" i="26" s="1"/>
  <c r="DX41" i="26" s="1"/>
  <c r="DU20" i="26"/>
  <c r="DT20" i="26"/>
  <c r="DR20" i="26"/>
  <c r="DQ20" i="26"/>
  <c r="DP20" i="26"/>
  <c r="DN20" i="26"/>
  <c r="DN19" i="26" s="1"/>
  <c r="DM20" i="26"/>
  <c r="DM16" i="26" s="1"/>
  <c r="DL20" i="26"/>
  <c r="DL19" i="26" s="1"/>
  <c r="DL47" i="26" s="1"/>
  <c r="DJ20" i="26"/>
  <c r="DI20" i="26"/>
  <c r="DI16" i="26" s="1"/>
  <c r="DH20" i="26"/>
  <c r="DF20" i="26"/>
  <c r="DG41" i="26" s="1"/>
  <c r="DH41" i="26" s="1"/>
  <c r="DE20" i="26"/>
  <c r="DD20" i="26"/>
  <c r="DD16" i="26" s="1"/>
  <c r="DB20" i="26"/>
  <c r="DA20" i="26"/>
  <c r="DA16" i="26" s="1"/>
  <c r="DC16" i="26" s="1"/>
  <c r="CZ20" i="26"/>
  <c r="CZ19" i="26" s="1"/>
  <c r="CZ47" i="26" s="1"/>
  <c r="CY20" i="26"/>
  <c r="CX20" i="26"/>
  <c r="CY41" i="26" s="1"/>
  <c r="CW20" i="26"/>
  <c r="CV20" i="26"/>
  <c r="CT20" i="26"/>
  <c r="CU41" i="26" s="1"/>
  <c r="CU40" i="26" s="1"/>
  <c r="CS20" i="26"/>
  <c r="CR20" i="26"/>
  <c r="CR19" i="26" s="1"/>
  <c r="CR47" i="26" s="1"/>
  <c r="CP20" i="26"/>
  <c r="CO20" i="26"/>
  <c r="CO19" i="26" s="1"/>
  <c r="CN20" i="26"/>
  <c r="CN19" i="26" s="1"/>
  <c r="CN47" i="26" s="1"/>
  <c r="CM20" i="26"/>
  <c r="CL20" i="26"/>
  <c r="CK20" i="26"/>
  <c r="CJ20" i="26"/>
  <c r="CH20" i="26"/>
  <c r="CI41" i="26" s="1"/>
  <c r="CG20" i="26"/>
  <c r="CG19" i="26" s="1"/>
  <c r="CF20" i="26"/>
  <c r="CF19" i="26" s="1"/>
  <c r="CF47" i="26" s="1"/>
  <c r="CD20" i="26"/>
  <c r="CC20" i="26"/>
  <c r="CB20" i="26"/>
  <c r="CB19" i="26" s="1"/>
  <c r="CB47" i="26" s="1"/>
  <c r="BZ20" i="26"/>
  <c r="CA41" i="26" s="1"/>
  <c r="CB41" i="26" s="1"/>
  <c r="BY20" i="26"/>
  <c r="BX20" i="26"/>
  <c r="BV20" i="26"/>
  <c r="BV16" i="26" s="1"/>
  <c r="BW16" i="26" s="1"/>
  <c r="BU20" i="26"/>
  <c r="BU16" i="26" s="1"/>
  <c r="BT20" i="26"/>
  <c r="BT19" i="26" s="1"/>
  <c r="BT47" i="26" s="1"/>
  <c r="BR20" i="26"/>
  <c r="BQ20" i="26"/>
  <c r="BP20" i="26"/>
  <c r="BN20" i="26"/>
  <c r="BM20" i="26"/>
  <c r="BL20" i="26"/>
  <c r="BJ20" i="26"/>
  <c r="BK41" i="26" s="1"/>
  <c r="BL41" i="26" s="1"/>
  <c r="BI20" i="26"/>
  <c r="BI16" i="26" s="1"/>
  <c r="BK16" i="26" s="1"/>
  <c r="BH20" i="26"/>
  <c r="BH16" i="26" s="1"/>
  <c r="BF20" i="26"/>
  <c r="BE20" i="26"/>
  <c r="BD20" i="26"/>
  <c r="BC20" i="26"/>
  <c r="BB20" i="26"/>
  <c r="BC41" i="26" s="1"/>
  <c r="BA20" i="26"/>
  <c r="AZ20" i="26"/>
  <c r="AX20" i="26"/>
  <c r="AY41" i="26" s="1"/>
  <c r="AW20" i="26"/>
  <c r="AV20" i="26"/>
  <c r="AV16" i="26" s="1"/>
  <c r="AT20" i="26"/>
  <c r="AS20" i="26"/>
  <c r="AS16" i="26" s="1"/>
  <c r="AR20" i="26"/>
  <c r="AP20" i="26"/>
  <c r="AO20" i="26"/>
  <c r="AN20" i="26"/>
  <c r="AL20" i="26"/>
  <c r="AM41" i="26" s="1"/>
  <c r="AK20" i="26"/>
  <c r="AJ20" i="26"/>
  <c r="AI20" i="26"/>
  <c r="AH20" i="26"/>
  <c r="AG20" i="26"/>
  <c r="AG16" i="26" s="1"/>
  <c r="AF20" i="26"/>
  <c r="AD20" i="26"/>
  <c r="AE41" i="26" s="1"/>
  <c r="AF41" i="26" s="1"/>
  <c r="AC20" i="26"/>
  <c r="AB20" i="26"/>
  <c r="Z20" i="26"/>
  <c r="Z19" i="26" s="1"/>
  <c r="Y20" i="26"/>
  <c r="Y19" i="26" s="1"/>
  <c r="X20" i="26"/>
  <c r="X19" i="26" s="1"/>
  <c r="X47" i="26" s="1"/>
  <c r="V20" i="26"/>
  <c r="U20" i="26"/>
  <c r="T20" i="26"/>
  <c r="R20" i="26"/>
  <c r="Q20" i="26"/>
  <c r="P20" i="26"/>
  <c r="N20" i="26"/>
  <c r="P41" i="26" s="1"/>
  <c r="M20" i="26"/>
  <c r="M19" i="26" s="1"/>
  <c r="ED19" i="26"/>
  <c r="EC19" i="26"/>
  <c r="EB19" i="26"/>
  <c r="EB47" i="26" s="1"/>
  <c r="DQ19" i="26"/>
  <c r="DP19" i="26"/>
  <c r="DD19" i="26"/>
  <c r="DD47" i="26" s="1"/>
  <c r="DA19" i="26"/>
  <c r="CX19" i="26"/>
  <c r="CW19" i="26"/>
  <c r="CL19" i="26"/>
  <c r="CK19" i="26"/>
  <c r="CJ19" i="26"/>
  <c r="CJ47" i="26" s="1"/>
  <c r="BY19" i="26"/>
  <c r="BX19" i="26"/>
  <c r="BX47" i="26" s="1"/>
  <c r="BV19" i="26"/>
  <c r="BU19" i="26"/>
  <c r="BJ19" i="26"/>
  <c r="BI19" i="26"/>
  <c r="AW19" i="26"/>
  <c r="AV19" i="26"/>
  <c r="AV47" i="26" s="1"/>
  <c r="AS19" i="26"/>
  <c r="AJ19" i="26"/>
  <c r="AG19" i="26"/>
  <c r="AD19" i="26"/>
  <c r="R19" i="26"/>
  <c r="Q19" i="26"/>
  <c r="DY17" i="26"/>
  <c r="DX17" i="26"/>
  <c r="CX17" i="26"/>
  <c r="CW17" i="26"/>
  <c r="CY17" i="26" s="1"/>
  <c r="CV17" i="26"/>
  <c r="AD17" i="26"/>
  <c r="ED16" i="26"/>
  <c r="EC16" i="26"/>
  <c r="EC17" i="26" s="1"/>
  <c r="EE17" i="26" s="1"/>
  <c r="EB16" i="26"/>
  <c r="DY16" i="26"/>
  <c r="DX16" i="26"/>
  <c r="DP16" i="26"/>
  <c r="DB16" i="26"/>
  <c r="CZ16" i="26"/>
  <c r="CZ17" i="26" s="1"/>
  <c r="CW16" i="26"/>
  <c r="CY16" i="26" s="1"/>
  <c r="CV16" i="26"/>
  <c r="CK16" i="26"/>
  <c r="CJ16" i="26"/>
  <c r="BY16" i="26"/>
  <c r="BX16" i="26"/>
  <c r="BM16" i="26"/>
  <c r="BJ16" i="26"/>
  <c r="BA16" i="26"/>
  <c r="AZ16" i="26"/>
  <c r="AX16" i="26"/>
  <c r="AW16" i="26"/>
  <c r="AY16" i="26" s="1"/>
  <c r="AN16" i="26"/>
  <c r="AL16" i="26"/>
  <c r="AK16" i="26"/>
  <c r="AM16" i="26" s="1"/>
  <c r="AJ16" i="26"/>
  <c r="AE16" i="26"/>
  <c r="AC16" i="26"/>
  <c r="AB16" i="26"/>
  <c r="Z16" i="26"/>
  <c r="Y16" i="26"/>
  <c r="AA16" i="26" s="1"/>
  <c r="X16" i="26"/>
  <c r="P16" i="26"/>
  <c r="N16" i="26"/>
  <c r="M16" i="26"/>
  <c r="EF15" i="26"/>
  <c r="ED15" i="26"/>
  <c r="ED17" i="26" s="1"/>
  <c r="EC15" i="26"/>
  <c r="EB15" i="26"/>
  <c r="DY15" i="26"/>
  <c r="DX15" i="26"/>
  <c r="DU15" i="26"/>
  <c r="DT15" i="26"/>
  <c r="DR15" i="26"/>
  <c r="DQ15" i="26"/>
  <c r="DQ17" i="26" s="1"/>
  <c r="DP15" i="26"/>
  <c r="DM15" i="26"/>
  <c r="DO15" i="26" s="1"/>
  <c r="DL15" i="26"/>
  <c r="DH15" i="26"/>
  <c r="DH17" i="26" s="1"/>
  <c r="DF15" i="26"/>
  <c r="DE15" i="26"/>
  <c r="DG15" i="26" s="1"/>
  <c r="DD15" i="26"/>
  <c r="DD17" i="26" s="1"/>
  <c r="DA15" i="26"/>
  <c r="CZ15" i="26"/>
  <c r="CX15" i="26"/>
  <c r="CV15" i="26"/>
  <c r="CU15" i="26"/>
  <c r="CT15" i="26"/>
  <c r="CS15" i="26"/>
  <c r="CR15" i="26"/>
  <c r="CQ15" i="26"/>
  <c r="CO15" i="26"/>
  <c r="CN15" i="26"/>
  <c r="CK15" i="26"/>
  <c r="CH15" i="26"/>
  <c r="CG15" i="26"/>
  <c r="CI15" i="26" s="1"/>
  <c r="CF15" i="26"/>
  <c r="CC15" i="26"/>
  <c r="CB15" i="26"/>
  <c r="BX15" i="26"/>
  <c r="BV15" i="26"/>
  <c r="BU15" i="26"/>
  <c r="BW15" i="26" s="1"/>
  <c r="BT15" i="26"/>
  <c r="BQ15" i="26"/>
  <c r="BP15" i="26"/>
  <c r="BJ15" i="26"/>
  <c r="BI15" i="26"/>
  <c r="BK15" i="26" s="1"/>
  <c r="BE15" i="26"/>
  <c r="BD15" i="26"/>
  <c r="AX15" i="26"/>
  <c r="AW15" i="26"/>
  <c r="AY15" i="26" s="1"/>
  <c r="AV15" i="26"/>
  <c r="AV17" i="26" s="1"/>
  <c r="AS15" i="26"/>
  <c r="AS17" i="26" s="1"/>
  <c r="AR15" i="26"/>
  <c r="AK15" i="26"/>
  <c r="AJ15" i="26"/>
  <c r="AD15" i="26"/>
  <c r="Y15" i="26"/>
  <c r="X15" i="26"/>
  <c r="V15" i="26"/>
  <c r="Q17" i="26"/>
  <c r="M15" i="26"/>
  <c r="V20" i="24"/>
  <c r="U20" i="24"/>
  <c r="CJ47" i="24"/>
  <c r="EE46" i="24"/>
  <c r="EF46" i="24" s="1"/>
  <c r="EA46" i="24"/>
  <c r="EB46" i="24" s="1"/>
  <c r="DW46" i="24"/>
  <c r="DX46" i="24" s="1"/>
  <c r="DS46" i="24"/>
  <c r="DT46" i="24" s="1"/>
  <c r="DP46" i="24"/>
  <c r="DO46" i="24"/>
  <c r="DK46" i="24"/>
  <c r="DL46" i="24" s="1"/>
  <c r="DG46" i="24"/>
  <c r="DH46" i="24" s="1"/>
  <c r="DC46" i="24"/>
  <c r="DD46" i="24" s="1"/>
  <c r="CY46" i="24"/>
  <c r="CZ46" i="24" s="1"/>
  <c r="CU46" i="24"/>
  <c r="CV46" i="24" s="1"/>
  <c r="CR46" i="24"/>
  <c r="CQ46" i="24"/>
  <c r="CM46" i="24"/>
  <c r="CN46" i="24" s="1"/>
  <c r="CI46" i="24"/>
  <c r="CJ46" i="24" s="1"/>
  <c r="CE46" i="24"/>
  <c r="CF46" i="24" s="1"/>
  <c r="CA46" i="24"/>
  <c r="CB46" i="24" s="1"/>
  <c r="BW46" i="24"/>
  <c r="BX46" i="24" s="1"/>
  <c r="BT46" i="24"/>
  <c r="BS46" i="24"/>
  <c r="BO46" i="24"/>
  <c r="BP46" i="24" s="1"/>
  <c r="BK46" i="24"/>
  <c r="BL46" i="24" s="1"/>
  <c r="BG46" i="24"/>
  <c r="BH46" i="24" s="1"/>
  <c r="BC46" i="24"/>
  <c r="BD46" i="24" s="1"/>
  <c r="AY46" i="24"/>
  <c r="AZ46" i="24" s="1"/>
  <c r="AU46" i="24"/>
  <c r="AV46" i="24" s="1"/>
  <c r="AR46" i="24"/>
  <c r="AQ46" i="24"/>
  <c r="AM46" i="24"/>
  <c r="AN46" i="24" s="1"/>
  <c r="AI46" i="24"/>
  <c r="AJ46" i="24" s="1"/>
  <c r="AE46" i="24"/>
  <c r="AF46" i="24" s="1"/>
  <c r="AA46" i="24"/>
  <c r="AB46" i="24" s="1"/>
  <c r="W46" i="24"/>
  <c r="X46" i="24" s="1"/>
  <c r="EA45" i="24"/>
  <c r="EB45" i="24" s="1"/>
  <c r="DO45" i="24"/>
  <c r="DP45" i="24" s="1"/>
  <c r="DL45" i="24"/>
  <c r="DK45" i="24"/>
  <c r="CN45" i="24"/>
  <c r="CM45" i="24"/>
  <c r="CI45" i="24"/>
  <c r="CJ45" i="24" s="1"/>
  <c r="BS45" i="24"/>
  <c r="BT45" i="24" s="1"/>
  <c r="BP45" i="24"/>
  <c r="BO45" i="24"/>
  <c r="AQ45" i="24"/>
  <c r="AR45" i="24" s="1"/>
  <c r="AM45" i="24"/>
  <c r="AN45" i="24" s="1"/>
  <c r="AI45" i="24"/>
  <c r="AJ45" i="24" s="1"/>
  <c r="EF44" i="24"/>
  <c r="EE44" i="24"/>
  <c r="EA44" i="24"/>
  <c r="EB44" i="24" s="1"/>
  <c r="DW44" i="24"/>
  <c r="DX44" i="24" s="1"/>
  <c r="DS44" i="24"/>
  <c r="DT44" i="24" s="1"/>
  <c r="DO44" i="24"/>
  <c r="DP44" i="24" s="1"/>
  <c r="DK44" i="24"/>
  <c r="DL44" i="24" s="1"/>
  <c r="DH44" i="24"/>
  <c r="DG44" i="24"/>
  <c r="DC44" i="24"/>
  <c r="DD44" i="24" s="1"/>
  <c r="CY44" i="24"/>
  <c r="CZ44" i="24" s="1"/>
  <c r="CU44" i="24"/>
  <c r="CV44" i="24" s="1"/>
  <c r="CQ44" i="24"/>
  <c r="CR44" i="24" s="1"/>
  <c r="CM44" i="24"/>
  <c r="CN44" i="24" s="1"/>
  <c r="CJ44" i="24"/>
  <c r="CI44" i="24"/>
  <c r="CE44" i="24"/>
  <c r="CF44" i="24" s="1"/>
  <c r="CB44" i="24"/>
  <c r="CA44" i="24"/>
  <c r="BW44" i="24"/>
  <c r="BX44" i="24" s="1"/>
  <c r="BS44" i="24"/>
  <c r="BT44" i="24" s="1"/>
  <c r="BO44" i="24"/>
  <c r="BP44" i="24" s="1"/>
  <c r="BL44" i="24"/>
  <c r="BK44" i="24"/>
  <c r="BG44" i="24"/>
  <c r="BH44" i="24" s="1"/>
  <c r="BC44" i="24"/>
  <c r="BD44" i="24" s="1"/>
  <c r="AY44" i="24"/>
  <c r="AZ44" i="24" s="1"/>
  <c r="AU44" i="24"/>
  <c r="AV44" i="24" s="1"/>
  <c r="AQ44" i="24"/>
  <c r="AR44" i="24" s="1"/>
  <c r="AN44" i="24"/>
  <c r="AM44" i="24"/>
  <c r="AI44" i="24"/>
  <c r="AJ44" i="24" s="1"/>
  <c r="AE44" i="24"/>
  <c r="AF44" i="24" s="1"/>
  <c r="AA44" i="24"/>
  <c r="AB44" i="24" s="1"/>
  <c r="W44" i="24"/>
  <c r="X44" i="24" s="1"/>
  <c r="EB43" i="24"/>
  <c r="DX43" i="24"/>
  <c r="DW43" i="24"/>
  <c r="DK43" i="24"/>
  <c r="DL43" i="24" s="1"/>
  <c r="DD43" i="24"/>
  <c r="CZ43" i="24"/>
  <c r="CY43" i="24"/>
  <c r="CU43" i="24"/>
  <c r="CV43" i="24" s="1"/>
  <c r="CM43" i="24"/>
  <c r="CN43" i="24" s="1"/>
  <c r="CI43" i="24"/>
  <c r="CJ43" i="24" s="1"/>
  <c r="CA43" i="24"/>
  <c r="CB43" i="24" s="1"/>
  <c r="BO43" i="24"/>
  <c r="BP43" i="24" s="1"/>
  <c r="BK43" i="24"/>
  <c r="BL43" i="24" s="1"/>
  <c r="BC43" i="24"/>
  <c r="BD43" i="24" s="1"/>
  <c r="AY43" i="24"/>
  <c r="AZ43" i="24" s="1"/>
  <c r="AQ43" i="24"/>
  <c r="AR43" i="24" s="1"/>
  <c r="AE43" i="24"/>
  <c r="AF43" i="24" s="1"/>
  <c r="AA43" i="24"/>
  <c r="AB43" i="24" s="1"/>
  <c r="EA42" i="24"/>
  <c r="EB42" i="24" s="1"/>
  <c r="DS42" i="24"/>
  <c r="DT42" i="24" s="1"/>
  <c r="DP42" i="24"/>
  <c r="CU42" i="24"/>
  <c r="CV42" i="24" s="1"/>
  <c r="CQ42" i="24"/>
  <c r="CR42" i="24" s="1"/>
  <c r="CB42" i="24"/>
  <c r="BW42" i="24"/>
  <c r="BX42" i="24" s="1"/>
  <c r="BT42" i="24"/>
  <c r="AY42" i="24"/>
  <c r="AZ42" i="24" s="1"/>
  <c r="AA42" i="24"/>
  <c r="AB42" i="24" s="1"/>
  <c r="DK41" i="24"/>
  <c r="CY41" i="24"/>
  <c r="CZ41" i="24" s="1"/>
  <c r="CQ41" i="24"/>
  <c r="BO41" i="24"/>
  <c r="ED40" i="24"/>
  <c r="DZ40" i="24"/>
  <c r="DV40" i="24"/>
  <c r="DR40" i="24"/>
  <c r="DN40" i="24"/>
  <c r="DJ40" i="24"/>
  <c r="DF40" i="24"/>
  <c r="DB40" i="24"/>
  <c r="CY40" i="24"/>
  <c r="CX40" i="24"/>
  <c r="CT40" i="24"/>
  <c r="CP40" i="24"/>
  <c r="CL40" i="24"/>
  <c r="CH40" i="24"/>
  <c r="CD40" i="24"/>
  <c r="BZ40" i="24"/>
  <c r="BV40" i="24"/>
  <c r="BR40" i="24"/>
  <c r="BN40" i="24"/>
  <c r="BJ40" i="24"/>
  <c r="BF40" i="24"/>
  <c r="BB40" i="24"/>
  <c r="AX40" i="24"/>
  <c r="AT40" i="24"/>
  <c r="AP40" i="24"/>
  <c r="AL40" i="24"/>
  <c r="AH40" i="24"/>
  <c r="AD40" i="24"/>
  <c r="Z40" i="24"/>
  <c r="V40" i="24"/>
  <c r="EE39" i="24"/>
  <c r="EA39" i="24"/>
  <c r="DW39" i="24"/>
  <c r="DS39" i="24"/>
  <c r="DO39" i="24"/>
  <c r="DK39" i="24"/>
  <c r="DG39" i="24"/>
  <c r="DC39" i="24"/>
  <c r="CY39" i="24"/>
  <c r="CU39" i="24"/>
  <c r="CQ39" i="24"/>
  <c r="CM39" i="24"/>
  <c r="CI39" i="24"/>
  <c r="CE39" i="24"/>
  <c r="CA39" i="24"/>
  <c r="BW39" i="24"/>
  <c r="BS39" i="24"/>
  <c r="BO39" i="24"/>
  <c r="BK39" i="24"/>
  <c r="BG39" i="24"/>
  <c r="BC39" i="24"/>
  <c r="AY39" i="24"/>
  <c r="AU39" i="24"/>
  <c r="AQ39" i="24"/>
  <c r="AM39" i="24"/>
  <c r="AI39" i="24"/>
  <c r="AE39" i="24"/>
  <c r="AA39" i="24"/>
  <c r="W39" i="24"/>
  <c r="EE38" i="24"/>
  <c r="EE36" i="24" s="1"/>
  <c r="EA38" i="24"/>
  <c r="DW38" i="24"/>
  <c r="DW36" i="24" s="1"/>
  <c r="DS38" i="24"/>
  <c r="DO38" i="24"/>
  <c r="DK38" i="24"/>
  <c r="DG38" i="24"/>
  <c r="DC38" i="24"/>
  <c r="CY38" i="24"/>
  <c r="CU38" i="24"/>
  <c r="CQ38" i="24"/>
  <c r="CQ36" i="24" s="1"/>
  <c r="CM38" i="24"/>
  <c r="CI38" i="24"/>
  <c r="CI36" i="24" s="1"/>
  <c r="CE38" i="24"/>
  <c r="CA38" i="24"/>
  <c r="CA36" i="24" s="1"/>
  <c r="BW38" i="24"/>
  <c r="BS38" i="24"/>
  <c r="BO38" i="24"/>
  <c r="BK38" i="24"/>
  <c r="BG38" i="24"/>
  <c r="BC38" i="24"/>
  <c r="AY38" i="24"/>
  <c r="AU38" i="24"/>
  <c r="AU36" i="24" s="1"/>
  <c r="AQ38" i="24"/>
  <c r="AM38" i="24"/>
  <c r="AM36" i="24" s="1"/>
  <c r="AI38" i="24"/>
  <c r="AE38" i="24"/>
  <c r="AE36" i="24" s="1"/>
  <c r="AA38" i="24"/>
  <c r="W38" i="24"/>
  <c r="EE37" i="24"/>
  <c r="EA37" i="24"/>
  <c r="DW37" i="24"/>
  <c r="DS37" i="24"/>
  <c r="DO37" i="24"/>
  <c r="DK37" i="24"/>
  <c r="DK36" i="24" s="1"/>
  <c r="DG37" i="24"/>
  <c r="DC37" i="24"/>
  <c r="CY37" i="24"/>
  <c r="CY36" i="24" s="1"/>
  <c r="CU37" i="24"/>
  <c r="CU36" i="24" s="1"/>
  <c r="CQ37" i="24"/>
  <c r="CM37" i="24"/>
  <c r="CI37" i="24"/>
  <c r="CE37" i="24"/>
  <c r="CA37" i="24"/>
  <c r="BW37" i="24"/>
  <c r="BS37" i="24"/>
  <c r="BO37" i="24"/>
  <c r="BO36" i="24" s="1"/>
  <c r="BK37" i="24"/>
  <c r="BK36" i="24" s="1"/>
  <c r="BG37" i="24"/>
  <c r="BC37" i="24"/>
  <c r="BC36" i="24" s="1"/>
  <c r="AY37" i="24"/>
  <c r="AY36" i="24" s="1"/>
  <c r="AU37" i="24"/>
  <c r="AQ37" i="24"/>
  <c r="AM37" i="24"/>
  <c r="AI37" i="24"/>
  <c r="AE37" i="24"/>
  <c r="AA37" i="24"/>
  <c r="W37" i="24"/>
  <c r="W36" i="24" s="1"/>
  <c r="EF36" i="24"/>
  <c r="ED36" i="24"/>
  <c r="EE45" i="24" s="1"/>
  <c r="EF45" i="24" s="1"/>
  <c r="EC36" i="24"/>
  <c r="EC16" i="24" s="1"/>
  <c r="EB36" i="24"/>
  <c r="EB16" i="24" s="1"/>
  <c r="EA36" i="24"/>
  <c r="DZ36" i="24"/>
  <c r="DY36" i="24"/>
  <c r="DX36" i="24"/>
  <c r="DV36" i="24"/>
  <c r="DW45" i="24" s="1"/>
  <c r="DX45" i="24" s="1"/>
  <c r="DU36" i="24"/>
  <c r="DT36" i="24"/>
  <c r="DT16" i="24" s="1"/>
  <c r="DS36" i="24"/>
  <c r="DR36" i="24"/>
  <c r="DS45" i="24" s="1"/>
  <c r="DT45" i="24" s="1"/>
  <c r="DQ36" i="24"/>
  <c r="DP36" i="24"/>
  <c r="DP16" i="24" s="1"/>
  <c r="DO36" i="24"/>
  <c r="DN36" i="24"/>
  <c r="DM36" i="24"/>
  <c r="DL36" i="24"/>
  <c r="DJ36" i="24"/>
  <c r="DI36" i="24"/>
  <c r="DH36" i="24"/>
  <c r="DG36" i="24"/>
  <c r="DF36" i="24"/>
  <c r="DG45" i="24" s="1"/>
  <c r="DH45" i="24" s="1"/>
  <c r="DE36" i="24"/>
  <c r="DD36" i="24"/>
  <c r="DD16" i="24" s="1"/>
  <c r="DC36" i="24"/>
  <c r="DB36" i="24"/>
  <c r="DC45" i="24" s="1"/>
  <c r="DD45" i="24" s="1"/>
  <c r="DA36" i="24"/>
  <c r="CZ36" i="24"/>
  <c r="CX36" i="24"/>
  <c r="CY45" i="24" s="1"/>
  <c r="CZ45" i="24" s="1"/>
  <c r="CW36" i="24"/>
  <c r="CV36" i="24"/>
  <c r="CT36" i="24"/>
  <c r="CU45" i="24" s="1"/>
  <c r="CV45" i="24" s="1"/>
  <c r="CS36" i="24"/>
  <c r="CR36" i="24"/>
  <c r="CR16" i="24" s="1"/>
  <c r="CP36" i="24"/>
  <c r="CQ45" i="24" s="1"/>
  <c r="CR45" i="24" s="1"/>
  <c r="CO36" i="24"/>
  <c r="CN36" i="24"/>
  <c r="CL36" i="24"/>
  <c r="CK36" i="24"/>
  <c r="CJ36" i="24"/>
  <c r="CH36" i="24"/>
  <c r="CG36" i="24"/>
  <c r="CF36" i="24"/>
  <c r="CF16" i="24" s="1"/>
  <c r="CE36" i="24"/>
  <c r="CD36" i="24"/>
  <c r="CE45" i="24" s="1"/>
  <c r="CF45" i="24" s="1"/>
  <c r="CC36" i="24"/>
  <c r="CB36" i="24"/>
  <c r="BZ36" i="24"/>
  <c r="CA45" i="24" s="1"/>
  <c r="CB45" i="24" s="1"/>
  <c r="BY36" i="24"/>
  <c r="BX36" i="24"/>
  <c r="BW36" i="24"/>
  <c r="BV36" i="24"/>
  <c r="BW45" i="24" s="1"/>
  <c r="BX45" i="24" s="1"/>
  <c r="BU36" i="24"/>
  <c r="BT36" i="24"/>
  <c r="BT16" i="24" s="1"/>
  <c r="BS36" i="24"/>
  <c r="BR36" i="24"/>
  <c r="BQ36" i="24"/>
  <c r="BP36" i="24"/>
  <c r="BN36" i="24"/>
  <c r="BM36" i="24"/>
  <c r="BL36" i="24"/>
  <c r="BJ36" i="24"/>
  <c r="BK45" i="24" s="1"/>
  <c r="BL45" i="24" s="1"/>
  <c r="BI36" i="24"/>
  <c r="BH36" i="24"/>
  <c r="BH16" i="24" s="1"/>
  <c r="BG36" i="24"/>
  <c r="BF36" i="24"/>
  <c r="BG45" i="24" s="1"/>
  <c r="BH45" i="24" s="1"/>
  <c r="BE36" i="24"/>
  <c r="BD36" i="24"/>
  <c r="BB36" i="24"/>
  <c r="BC45" i="24" s="1"/>
  <c r="BD45" i="24" s="1"/>
  <c r="BA36" i="24"/>
  <c r="AZ36" i="24"/>
  <c r="AX36" i="24"/>
  <c r="AY45" i="24" s="1"/>
  <c r="AZ45" i="24" s="1"/>
  <c r="AW36" i="24"/>
  <c r="AV36" i="24"/>
  <c r="AV16" i="24" s="1"/>
  <c r="AT36" i="24"/>
  <c r="AU45" i="24" s="1"/>
  <c r="AV45" i="24" s="1"/>
  <c r="AS36" i="24"/>
  <c r="AR36" i="24"/>
  <c r="AP36" i="24"/>
  <c r="AO36" i="24"/>
  <c r="AN36" i="24"/>
  <c r="AN16" i="24" s="1"/>
  <c r="AL36" i="24"/>
  <c r="AK36" i="24"/>
  <c r="AJ36" i="24"/>
  <c r="AJ16" i="24" s="1"/>
  <c r="AI36" i="24"/>
  <c r="AH36" i="24"/>
  <c r="AG36" i="24"/>
  <c r="AF36" i="24"/>
  <c r="AD36" i="24"/>
  <c r="AE45" i="24" s="1"/>
  <c r="AF45" i="24" s="1"/>
  <c r="AC36" i="24"/>
  <c r="AB36" i="24"/>
  <c r="AA36" i="24"/>
  <c r="Z36" i="24"/>
  <c r="AA45" i="24" s="1"/>
  <c r="AB45" i="24" s="1"/>
  <c r="Y36" i="24"/>
  <c r="X36" i="24"/>
  <c r="X16" i="24" s="1"/>
  <c r="V36" i="24"/>
  <c r="W45" i="24" s="1"/>
  <c r="X45" i="24" s="1"/>
  <c r="U36" i="24"/>
  <c r="EE35" i="24"/>
  <c r="EA35" i="24"/>
  <c r="DW35" i="24"/>
  <c r="DS35" i="24"/>
  <c r="DO35" i="24"/>
  <c r="DK35" i="24"/>
  <c r="DG35" i="24"/>
  <c r="DC35" i="24"/>
  <c r="CY35" i="24"/>
  <c r="CU35" i="24"/>
  <c r="CQ35" i="24"/>
  <c r="CM35" i="24"/>
  <c r="CI35" i="24"/>
  <c r="CE35" i="24"/>
  <c r="CA35" i="24"/>
  <c r="BW35" i="24"/>
  <c r="BS35" i="24"/>
  <c r="BO35" i="24"/>
  <c r="BK35" i="24"/>
  <c r="BG35" i="24"/>
  <c r="BC35" i="24"/>
  <c r="AY35" i="24"/>
  <c r="AU35" i="24"/>
  <c r="AQ35" i="24"/>
  <c r="AM35" i="24"/>
  <c r="AI35" i="24"/>
  <c r="AE35" i="24"/>
  <c r="AA35" i="24"/>
  <c r="W35" i="24"/>
  <c r="EE34" i="24"/>
  <c r="EE32" i="24" s="1"/>
  <c r="EA34" i="24"/>
  <c r="DW34" i="24"/>
  <c r="DW32" i="24" s="1"/>
  <c r="DS34" i="24"/>
  <c r="DO34" i="24"/>
  <c r="DO32" i="24" s="1"/>
  <c r="DK34" i="24"/>
  <c r="DG34" i="24"/>
  <c r="DC34" i="24"/>
  <c r="CY34" i="24"/>
  <c r="CU34" i="24"/>
  <c r="CQ34" i="24"/>
  <c r="CM34" i="24"/>
  <c r="CI34" i="24"/>
  <c r="CE34" i="24"/>
  <c r="CA34" i="24"/>
  <c r="CA32" i="24" s="1"/>
  <c r="BW34" i="24"/>
  <c r="BS34" i="24"/>
  <c r="BO34" i="24"/>
  <c r="BK34" i="24"/>
  <c r="BG34" i="24"/>
  <c r="BC34" i="24"/>
  <c r="AY34" i="24"/>
  <c r="AU34" i="24"/>
  <c r="AQ34" i="24"/>
  <c r="AM34" i="24"/>
  <c r="AI34" i="24"/>
  <c r="AE34" i="24"/>
  <c r="AE32" i="24" s="1"/>
  <c r="AA34" i="24"/>
  <c r="W34" i="24"/>
  <c r="EE33" i="24"/>
  <c r="EA33" i="24"/>
  <c r="EA32" i="24" s="1"/>
  <c r="DW33" i="24"/>
  <c r="DS33" i="24"/>
  <c r="DO33" i="24"/>
  <c r="DK33" i="24"/>
  <c r="DK32" i="24" s="1"/>
  <c r="DG33" i="24"/>
  <c r="DG32" i="24" s="1"/>
  <c r="DC33" i="24"/>
  <c r="DC32" i="24" s="1"/>
  <c r="CY33" i="24"/>
  <c r="CY32" i="24" s="1"/>
  <c r="CU33" i="24"/>
  <c r="CQ33" i="24"/>
  <c r="CM33" i="24"/>
  <c r="CI33" i="24"/>
  <c r="CE33" i="24"/>
  <c r="CA33" i="24"/>
  <c r="BW33" i="24"/>
  <c r="BS33" i="24"/>
  <c r="BO33" i="24"/>
  <c r="BO32" i="24" s="1"/>
  <c r="BK33" i="24"/>
  <c r="BK32" i="24" s="1"/>
  <c r="BG33" i="24"/>
  <c r="BG32" i="24" s="1"/>
  <c r="BC33" i="24"/>
  <c r="BC32" i="24" s="1"/>
  <c r="AY33" i="24"/>
  <c r="AU33" i="24"/>
  <c r="AQ33" i="24"/>
  <c r="AM33" i="24"/>
  <c r="AM32" i="24" s="1"/>
  <c r="AI33" i="24"/>
  <c r="AE33" i="24"/>
  <c r="AA33" i="24"/>
  <c r="W33" i="24"/>
  <c r="EF32" i="24"/>
  <c r="ED32" i="24"/>
  <c r="EE43" i="24" s="1"/>
  <c r="EF43" i="24" s="1"/>
  <c r="EC32" i="24"/>
  <c r="EB32" i="24"/>
  <c r="DZ32" i="24"/>
  <c r="EA43" i="24" s="1"/>
  <c r="DY32" i="24"/>
  <c r="DX32" i="24"/>
  <c r="DV32" i="24"/>
  <c r="DU32" i="24"/>
  <c r="DT32" i="24"/>
  <c r="DS32" i="24"/>
  <c r="DR32" i="24"/>
  <c r="DS43" i="24" s="1"/>
  <c r="DT43" i="24" s="1"/>
  <c r="DQ32" i="24"/>
  <c r="DP32" i="24"/>
  <c r="DN32" i="24"/>
  <c r="DO43" i="24" s="1"/>
  <c r="DP43" i="24" s="1"/>
  <c r="DM32" i="24"/>
  <c r="DL32" i="24"/>
  <c r="DJ32" i="24"/>
  <c r="DI32" i="24"/>
  <c r="DH32" i="24"/>
  <c r="DF32" i="24"/>
  <c r="DF19" i="24" s="1"/>
  <c r="DE32" i="24"/>
  <c r="DE19" i="24" s="1"/>
  <c r="DD32" i="24"/>
  <c r="DB32" i="24"/>
  <c r="DC43" i="24" s="1"/>
  <c r="DA32" i="24"/>
  <c r="CZ32" i="24"/>
  <c r="CX32" i="24"/>
  <c r="CW32" i="24"/>
  <c r="CV32" i="24"/>
  <c r="CV15" i="24" s="1"/>
  <c r="CU32" i="24"/>
  <c r="CT32" i="24"/>
  <c r="CS32" i="24"/>
  <c r="CS19" i="24" s="1"/>
  <c r="CR32" i="24"/>
  <c r="CQ32" i="24"/>
  <c r="CP32" i="24"/>
  <c r="CQ43" i="24" s="1"/>
  <c r="CR43" i="24" s="1"/>
  <c r="CO32" i="24"/>
  <c r="CN32" i="24"/>
  <c r="CL32" i="24"/>
  <c r="CK32" i="24"/>
  <c r="CJ32" i="24"/>
  <c r="CJ15" i="24" s="1"/>
  <c r="CJ17" i="24" s="1"/>
  <c r="CI32" i="24"/>
  <c r="CH32" i="24"/>
  <c r="CH15" i="24" s="1"/>
  <c r="CG32" i="24"/>
  <c r="CF32" i="24"/>
  <c r="CE32" i="24"/>
  <c r="CD32" i="24"/>
  <c r="CE43" i="24" s="1"/>
  <c r="CF43" i="24" s="1"/>
  <c r="CC32" i="24"/>
  <c r="CB32" i="24"/>
  <c r="BZ32" i="24"/>
  <c r="BY32" i="24"/>
  <c r="BX32" i="24"/>
  <c r="BW32" i="24"/>
  <c r="BV32" i="24"/>
  <c r="BU32" i="24"/>
  <c r="BT32" i="24"/>
  <c r="BS32" i="24"/>
  <c r="BR32" i="24"/>
  <c r="BR15" i="24" s="1"/>
  <c r="BR17" i="24" s="1"/>
  <c r="BQ32" i="24"/>
  <c r="BP32" i="24"/>
  <c r="BN32" i="24"/>
  <c r="BM32" i="24"/>
  <c r="BL32" i="24"/>
  <c r="BJ32" i="24"/>
  <c r="BI32" i="24"/>
  <c r="BI19" i="24" s="1"/>
  <c r="BH32" i="24"/>
  <c r="BF32" i="24"/>
  <c r="BG43" i="24" s="1"/>
  <c r="BH43" i="24" s="1"/>
  <c r="BE32" i="24"/>
  <c r="BD32" i="24"/>
  <c r="BB32" i="24"/>
  <c r="BA32" i="24"/>
  <c r="AZ32" i="24"/>
  <c r="AY32" i="24"/>
  <c r="AX32" i="24"/>
  <c r="AW32" i="24"/>
  <c r="AW19" i="24" s="1"/>
  <c r="AV32" i="24"/>
  <c r="AU32" i="24"/>
  <c r="AT32" i="24"/>
  <c r="AU43" i="24" s="1"/>
  <c r="AV43" i="24" s="1"/>
  <c r="AS32" i="24"/>
  <c r="AR32" i="24"/>
  <c r="AP32" i="24"/>
  <c r="AO32" i="24"/>
  <c r="AN32" i="24"/>
  <c r="AL32" i="24"/>
  <c r="AM43" i="24" s="1"/>
  <c r="AN43" i="24" s="1"/>
  <c r="AK32" i="24"/>
  <c r="AJ32" i="24"/>
  <c r="AI32" i="24"/>
  <c r="AH32" i="24"/>
  <c r="AI43" i="24" s="1"/>
  <c r="AJ43" i="24" s="1"/>
  <c r="AG32" i="24"/>
  <c r="AF32" i="24"/>
  <c r="AD32" i="24"/>
  <c r="AC32" i="24"/>
  <c r="AB32" i="24"/>
  <c r="AA32" i="24"/>
  <c r="Z32" i="24"/>
  <c r="Y32" i="24"/>
  <c r="X32" i="24"/>
  <c r="W32" i="24"/>
  <c r="V32" i="24"/>
  <c r="U32" i="24"/>
  <c r="EE31" i="24"/>
  <c r="EA31" i="24"/>
  <c r="DW31" i="24"/>
  <c r="DS31" i="24"/>
  <c r="DO31" i="24"/>
  <c r="DK31" i="24"/>
  <c r="DG31" i="24"/>
  <c r="DC31" i="24"/>
  <c r="CY31" i="24"/>
  <c r="CU31" i="24"/>
  <c r="CQ31" i="24"/>
  <c r="CQ26" i="24" s="1"/>
  <c r="CM31" i="24"/>
  <c r="CI31" i="24"/>
  <c r="CE31" i="24"/>
  <c r="CA31" i="24"/>
  <c r="BW31" i="24"/>
  <c r="BS31" i="24"/>
  <c r="BO31" i="24"/>
  <c r="BK31" i="24"/>
  <c r="BG31" i="24"/>
  <c r="BC31" i="24"/>
  <c r="AY31" i="24"/>
  <c r="AU31" i="24"/>
  <c r="AQ31" i="24"/>
  <c r="AM31" i="24"/>
  <c r="AI31" i="24"/>
  <c r="AE31" i="24"/>
  <c r="AA31" i="24"/>
  <c r="W31" i="24"/>
  <c r="EE30" i="24"/>
  <c r="EA30" i="24"/>
  <c r="DW30" i="24"/>
  <c r="DS30" i="24"/>
  <c r="DO30" i="24"/>
  <c r="DK30" i="24"/>
  <c r="DK26" i="24" s="1"/>
  <c r="DG30" i="24"/>
  <c r="DC30" i="24"/>
  <c r="CY30" i="24"/>
  <c r="CU30" i="24"/>
  <c r="CQ30" i="24"/>
  <c r="CM30" i="24"/>
  <c r="CI30" i="24"/>
  <c r="CE30" i="24"/>
  <c r="CA30" i="24"/>
  <c r="BW30" i="24"/>
  <c r="BS30" i="24"/>
  <c r="BO30" i="24"/>
  <c r="BO26" i="24" s="1"/>
  <c r="BK30" i="24"/>
  <c r="BG30" i="24"/>
  <c r="BC30" i="24"/>
  <c r="AY30" i="24"/>
  <c r="AU30" i="24"/>
  <c r="AQ30" i="24"/>
  <c r="AM30" i="24"/>
  <c r="AI30" i="24"/>
  <c r="AE30" i="24"/>
  <c r="AA30" i="24"/>
  <c r="W30" i="24"/>
  <c r="EE29" i="24"/>
  <c r="EA29" i="24"/>
  <c r="DW29" i="24"/>
  <c r="DS29" i="24"/>
  <c r="DO29" i="24"/>
  <c r="DK29" i="24"/>
  <c r="DG29" i="24"/>
  <c r="DC29" i="24"/>
  <c r="CY29" i="24"/>
  <c r="CU29" i="24"/>
  <c r="CQ29" i="24"/>
  <c r="CM29" i="24"/>
  <c r="CI29" i="24"/>
  <c r="CE29" i="24"/>
  <c r="CA29" i="24"/>
  <c r="BW29" i="24"/>
  <c r="BS29" i="24"/>
  <c r="BO29" i="24"/>
  <c r="BK29" i="24"/>
  <c r="BG29" i="24"/>
  <c r="BC29" i="24"/>
  <c r="AY29" i="24"/>
  <c r="AU29" i="24"/>
  <c r="AQ29" i="24"/>
  <c r="AM29" i="24"/>
  <c r="AI29" i="24"/>
  <c r="AE29" i="24"/>
  <c r="AA29" i="24"/>
  <c r="W29" i="24"/>
  <c r="EE28" i="24"/>
  <c r="EA28" i="24"/>
  <c r="DW28" i="24"/>
  <c r="DS28" i="24"/>
  <c r="DO28" i="24"/>
  <c r="DK28" i="24"/>
  <c r="DG28" i="24"/>
  <c r="DC28" i="24"/>
  <c r="CY28" i="24"/>
  <c r="CY26" i="24" s="1"/>
  <c r="CU28" i="24"/>
  <c r="CQ28" i="24"/>
  <c r="CM28" i="24"/>
  <c r="CI28" i="24"/>
  <c r="CE28" i="24"/>
  <c r="CA28" i="24"/>
  <c r="BW28" i="24"/>
  <c r="BS28" i="24"/>
  <c r="BS26" i="24" s="1"/>
  <c r="BO28" i="24"/>
  <c r="BK28" i="24"/>
  <c r="BG28" i="24"/>
  <c r="BC28" i="24"/>
  <c r="AY28" i="24"/>
  <c r="AU28" i="24"/>
  <c r="AQ28" i="24"/>
  <c r="AM28" i="24"/>
  <c r="AI28" i="24"/>
  <c r="AE28" i="24"/>
  <c r="AA28" i="24"/>
  <c r="W28" i="24"/>
  <c r="W26" i="24" s="1"/>
  <c r="EE27" i="24"/>
  <c r="EA27" i="24"/>
  <c r="DW27" i="24"/>
  <c r="DW26" i="24" s="1"/>
  <c r="DS27" i="24"/>
  <c r="DS26" i="24" s="1"/>
  <c r="DO27" i="24"/>
  <c r="DO26" i="24" s="1"/>
  <c r="DK27" i="24"/>
  <c r="DG27" i="24"/>
  <c r="DC27" i="24"/>
  <c r="CY27" i="24"/>
  <c r="CU27" i="24"/>
  <c r="CQ27" i="24"/>
  <c r="CM27" i="24"/>
  <c r="CM26" i="24" s="1"/>
  <c r="CI27" i="24"/>
  <c r="CE27" i="24"/>
  <c r="CA27" i="24"/>
  <c r="CA26" i="24" s="1"/>
  <c r="BW27" i="24"/>
  <c r="BW26" i="24" s="1"/>
  <c r="BS27" i="24"/>
  <c r="BO27" i="24"/>
  <c r="BK27" i="24"/>
  <c r="BG27" i="24"/>
  <c r="BC27" i="24"/>
  <c r="AY27" i="24"/>
  <c r="AU27" i="24"/>
  <c r="AQ27" i="24"/>
  <c r="AM27" i="24"/>
  <c r="AI27" i="24"/>
  <c r="AE27" i="24"/>
  <c r="AE26" i="24" s="1"/>
  <c r="AA27" i="24"/>
  <c r="AA26" i="24" s="1"/>
  <c r="W27" i="24"/>
  <c r="EF26" i="24"/>
  <c r="ED26" i="24"/>
  <c r="EE42" i="24" s="1"/>
  <c r="EF42" i="24" s="1"/>
  <c r="EC26" i="24"/>
  <c r="EB26" i="24"/>
  <c r="DZ26" i="24"/>
  <c r="DY26" i="24"/>
  <c r="DY15" i="24" s="1"/>
  <c r="EA15" i="24" s="1"/>
  <c r="DX26" i="24"/>
  <c r="DV26" i="24"/>
  <c r="DW42" i="24" s="1"/>
  <c r="DX42" i="24" s="1"/>
  <c r="DU26" i="24"/>
  <c r="DT26" i="24"/>
  <c r="DR26" i="24"/>
  <c r="DQ26" i="24"/>
  <c r="DP26" i="24"/>
  <c r="DP19" i="24" s="1"/>
  <c r="DP47" i="24" s="1"/>
  <c r="DN26" i="24"/>
  <c r="DO42" i="24" s="1"/>
  <c r="DM26" i="24"/>
  <c r="DL26" i="24"/>
  <c r="DL15" i="24" s="1"/>
  <c r="DL17" i="24" s="1"/>
  <c r="DJ26" i="24"/>
  <c r="DK42" i="24" s="1"/>
  <c r="DL42" i="24" s="1"/>
  <c r="DI26" i="24"/>
  <c r="DI15" i="24" s="1"/>
  <c r="DH26" i="24"/>
  <c r="DF26" i="24"/>
  <c r="DG42" i="24" s="1"/>
  <c r="DH42" i="24" s="1"/>
  <c r="DE26" i="24"/>
  <c r="DD26" i="24"/>
  <c r="DD19" i="24" s="1"/>
  <c r="DD47" i="24" s="1"/>
  <c r="DC26" i="24"/>
  <c r="DB26" i="24"/>
  <c r="DC42" i="24" s="1"/>
  <c r="DD42" i="24" s="1"/>
  <c r="DA26" i="24"/>
  <c r="DA15" i="24" s="1"/>
  <c r="CZ26" i="24"/>
  <c r="CX26" i="24"/>
  <c r="CY42" i="24" s="1"/>
  <c r="CZ42" i="24" s="1"/>
  <c r="CW26" i="24"/>
  <c r="CW15" i="24" s="1"/>
  <c r="CV26" i="24"/>
  <c r="CT26" i="24"/>
  <c r="CS26" i="24"/>
  <c r="CR26" i="24"/>
  <c r="CR19" i="24" s="1"/>
  <c r="CR47" i="24" s="1"/>
  <c r="CP26" i="24"/>
  <c r="CO26" i="24"/>
  <c r="CN26" i="24"/>
  <c r="CN15" i="24" s="1"/>
  <c r="CL26" i="24"/>
  <c r="CM42" i="24" s="1"/>
  <c r="CN42" i="24" s="1"/>
  <c r="CK26" i="24"/>
  <c r="CK15" i="24" s="1"/>
  <c r="CJ26" i="24"/>
  <c r="CH26" i="24"/>
  <c r="CI42" i="24" s="1"/>
  <c r="CJ42" i="24" s="1"/>
  <c r="CG26" i="24"/>
  <c r="CF26" i="24"/>
  <c r="CD26" i="24"/>
  <c r="CE42" i="24" s="1"/>
  <c r="CF42" i="24" s="1"/>
  <c r="CC26" i="24"/>
  <c r="CC15" i="24" s="1"/>
  <c r="CE15" i="24" s="1"/>
  <c r="CB26" i="24"/>
  <c r="BZ26" i="24"/>
  <c r="CA42" i="24" s="1"/>
  <c r="BY26" i="24"/>
  <c r="BY19" i="24" s="1"/>
  <c r="BX26" i="24"/>
  <c r="BV26" i="24"/>
  <c r="BU26" i="24"/>
  <c r="BU15" i="24" s="1"/>
  <c r="BT26" i="24"/>
  <c r="BT15" i="24" s="1"/>
  <c r="BT17" i="24" s="1"/>
  <c r="BR26" i="24"/>
  <c r="BS42" i="24" s="1"/>
  <c r="BQ26" i="24"/>
  <c r="BP26" i="24"/>
  <c r="BP15" i="24" s="1"/>
  <c r="BN26" i="24"/>
  <c r="BO42" i="24" s="1"/>
  <c r="BP42" i="24" s="1"/>
  <c r="BM26" i="24"/>
  <c r="BL26" i="24"/>
  <c r="BJ26" i="24"/>
  <c r="BK42" i="24" s="1"/>
  <c r="BL42" i="24" s="1"/>
  <c r="BI26" i="24"/>
  <c r="BH26" i="24"/>
  <c r="BG26" i="24"/>
  <c r="BF26" i="24"/>
  <c r="BG42" i="24" s="1"/>
  <c r="BH42" i="24" s="1"/>
  <c r="BE26" i="24"/>
  <c r="BD26" i="24"/>
  <c r="BD15" i="24" s="1"/>
  <c r="BC26" i="24"/>
  <c r="BB26" i="24"/>
  <c r="BC42" i="24" s="1"/>
  <c r="BD42" i="24" s="1"/>
  <c r="BA26" i="24"/>
  <c r="AZ26" i="24"/>
  <c r="AX26" i="24"/>
  <c r="AW26" i="24"/>
  <c r="AV26" i="24"/>
  <c r="AV19" i="24" s="1"/>
  <c r="AV47" i="24" s="1"/>
  <c r="AU26" i="24"/>
  <c r="AT26" i="24"/>
  <c r="AT15" i="24" s="1"/>
  <c r="AS26" i="24"/>
  <c r="AR26" i="24"/>
  <c r="AQ26" i="24"/>
  <c r="AP26" i="24"/>
  <c r="AO26" i="24"/>
  <c r="AN26" i="24"/>
  <c r="AL26" i="24"/>
  <c r="AM42" i="24" s="1"/>
  <c r="AN42" i="24" s="1"/>
  <c r="AK26" i="24"/>
  <c r="AK15" i="24" s="1"/>
  <c r="AJ26" i="24"/>
  <c r="AI26" i="24"/>
  <c r="AH26" i="24"/>
  <c r="AH15" i="24" s="1"/>
  <c r="AG26" i="24"/>
  <c r="AG15" i="24" s="1"/>
  <c r="AF26" i="24"/>
  <c r="AD26" i="24"/>
  <c r="AC26" i="24"/>
  <c r="AC15" i="24" s="1"/>
  <c r="AB26" i="24"/>
  <c r="Z26" i="24"/>
  <c r="Y26" i="24"/>
  <c r="X26" i="24"/>
  <c r="V26" i="24"/>
  <c r="W42" i="24" s="1"/>
  <c r="X42" i="24" s="1"/>
  <c r="U26" i="24"/>
  <c r="EE25" i="24"/>
  <c r="EA25" i="24"/>
  <c r="DW25" i="24"/>
  <c r="DS25" i="24"/>
  <c r="DO25" i="24"/>
  <c r="DK25" i="24"/>
  <c r="DG25" i="24"/>
  <c r="DC25" i="24"/>
  <c r="CY25" i="24"/>
  <c r="CU25" i="24"/>
  <c r="CQ25" i="24"/>
  <c r="CM25" i="24"/>
  <c r="CI25" i="24"/>
  <c r="CI20" i="24" s="1"/>
  <c r="CE25" i="24"/>
  <c r="CA25" i="24"/>
  <c r="BW25" i="24"/>
  <c r="BS25" i="24"/>
  <c r="BO25" i="24"/>
  <c r="BK25" i="24"/>
  <c r="BG25" i="24"/>
  <c r="BC25" i="24"/>
  <c r="AY25" i="24"/>
  <c r="AU25" i="24"/>
  <c r="AQ25" i="24"/>
  <c r="AQ20" i="24" s="1"/>
  <c r="AM25" i="24"/>
  <c r="AI25" i="24"/>
  <c r="AE25" i="24"/>
  <c r="AA25" i="24"/>
  <c r="W25" i="24"/>
  <c r="EE24" i="24"/>
  <c r="EA24" i="24"/>
  <c r="DW24" i="24"/>
  <c r="DS24" i="24"/>
  <c r="DO24" i="24"/>
  <c r="DK24" i="24"/>
  <c r="DG24" i="24"/>
  <c r="DC24" i="24"/>
  <c r="CY24" i="24"/>
  <c r="CU24" i="24"/>
  <c r="CQ24" i="24"/>
  <c r="CM24" i="24"/>
  <c r="CI24" i="24"/>
  <c r="CE24" i="24"/>
  <c r="CA24" i="24"/>
  <c r="BW24" i="24"/>
  <c r="BS24" i="24"/>
  <c r="BO24" i="24"/>
  <c r="BK24" i="24"/>
  <c r="BG24" i="24"/>
  <c r="BC24" i="24"/>
  <c r="AY24" i="24"/>
  <c r="AU24" i="24"/>
  <c r="AQ24" i="24"/>
  <c r="AM24" i="24"/>
  <c r="AI24" i="24"/>
  <c r="AE24" i="24"/>
  <c r="AA24" i="24"/>
  <c r="W24" i="24"/>
  <c r="EE23" i="24"/>
  <c r="EA23" i="24"/>
  <c r="DW23" i="24"/>
  <c r="DS23" i="24"/>
  <c r="DO23" i="24"/>
  <c r="DK23" i="24"/>
  <c r="DG23" i="24"/>
  <c r="DC23" i="24"/>
  <c r="CY23" i="24"/>
  <c r="CU23" i="24"/>
  <c r="CQ23" i="24"/>
  <c r="CM23" i="24"/>
  <c r="CI23" i="24"/>
  <c r="CE23" i="24"/>
  <c r="CA23" i="24"/>
  <c r="BW23" i="24"/>
  <c r="BS23" i="24"/>
  <c r="BO23" i="24"/>
  <c r="BK23" i="24"/>
  <c r="BG23" i="24"/>
  <c r="BC23" i="24"/>
  <c r="AY23" i="24"/>
  <c r="AU23" i="24"/>
  <c r="AQ23" i="24"/>
  <c r="AM23" i="24"/>
  <c r="AI23" i="24"/>
  <c r="AE23" i="24"/>
  <c r="AA23" i="24"/>
  <c r="W23" i="24"/>
  <c r="EE22" i="24"/>
  <c r="EA22" i="24"/>
  <c r="DW22" i="24"/>
  <c r="DS22" i="24"/>
  <c r="DO22" i="24"/>
  <c r="DK22" i="24"/>
  <c r="DG22" i="24"/>
  <c r="DC22" i="24"/>
  <c r="CY22" i="24"/>
  <c r="CY20" i="24" s="1"/>
  <c r="CU22" i="24"/>
  <c r="CQ22" i="24"/>
  <c r="CM22" i="24"/>
  <c r="CI22" i="24"/>
  <c r="CE22" i="24"/>
  <c r="CA22" i="24"/>
  <c r="BW22" i="24"/>
  <c r="BS22" i="24"/>
  <c r="BO22" i="24"/>
  <c r="BK22" i="24"/>
  <c r="BG22" i="24"/>
  <c r="BC22" i="24"/>
  <c r="AY22" i="24"/>
  <c r="AY20" i="24" s="1"/>
  <c r="AU22" i="24"/>
  <c r="AQ22" i="24"/>
  <c r="AM22" i="24"/>
  <c r="AI22" i="24"/>
  <c r="AE22" i="24"/>
  <c r="AA22" i="24"/>
  <c r="W22" i="24"/>
  <c r="EE21" i="24"/>
  <c r="EA21" i="24"/>
  <c r="DW21" i="24"/>
  <c r="DS21" i="24"/>
  <c r="DS20" i="24" s="1"/>
  <c r="DO21" i="24"/>
  <c r="DO20" i="24" s="1"/>
  <c r="DK21" i="24"/>
  <c r="DG21" i="24"/>
  <c r="DC21" i="24"/>
  <c r="CY21" i="24"/>
  <c r="CU21" i="24"/>
  <c r="CQ21" i="24"/>
  <c r="CM21" i="24"/>
  <c r="CM20" i="24" s="1"/>
  <c r="CI21" i="24"/>
  <c r="CE21" i="24"/>
  <c r="CA21" i="24"/>
  <c r="BW21" i="24"/>
  <c r="BW20" i="24" s="1"/>
  <c r="BS21" i="24"/>
  <c r="BS20" i="24" s="1"/>
  <c r="BO21" i="24"/>
  <c r="BK21" i="24"/>
  <c r="BK20" i="24" s="1"/>
  <c r="BG21" i="24"/>
  <c r="BC21" i="24"/>
  <c r="AY21" i="24"/>
  <c r="AU21" i="24"/>
  <c r="AQ21" i="24"/>
  <c r="AM21" i="24"/>
  <c r="AM20" i="24" s="1"/>
  <c r="AI21" i="24"/>
  <c r="AE21" i="24"/>
  <c r="AA21" i="24"/>
  <c r="AA20" i="24" s="1"/>
  <c r="W21" i="24"/>
  <c r="W20" i="24" s="1"/>
  <c r="EF20" i="24"/>
  <c r="EF16" i="24" s="1"/>
  <c r="ED20" i="24"/>
  <c r="EC20" i="24"/>
  <c r="EB20" i="24"/>
  <c r="DZ20" i="24"/>
  <c r="EA41" i="24" s="1"/>
  <c r="DY20" i="24"/>
  <c r="DX20" i="24"/>
  <c r="DV20" i="24"/>
  <c r="DU20" i="24"/>
  <c r="DU19" i="24" s="1"/>
  <c r="DT20" i="24"/>
  <c r="DR20" i="24"/>
  <c r="DS41" i="24" s="1"/>
  <c r="DT41" i="24" s="1"/>
  <c r="DQ20" i="24"/>
  <c r="DP20" i="24"/>
  <c r="DN20" i="24"/>
  <c r="DO41" i="24" s="1"/>
  <c r="DM20" i="24"/>
  <c r="DL20" i="24"/>
  <c r="DJ20" i="24"/>
  <c r="DI20" i="24"/>
  <c r="DI16" i="24" s="1"/>
  <c r="DK16" i="24" s="1"/>
  <c r="DH20" i="24"/>
  <c r="DH19" i="24" s="1"/>
  <c r="DH47" i="24" s="1"/>
  <c r="DG20" i="24"/>
  <c r="DF20" i="24"/>
  <c r="DG41" i="24" s="1"/>
  <c r="DH41" i="24" s="1"/>
  <c r="DE20" i="24"/>
  <c r="DD20" i="24"/>
  <c r="DB20" i="24"/>
  <c r="DA20" i="24"/>
  <c r="CZ20" i="24"/>
  <c r="CX20" i="24"/>
  <c r="CW20" i="24"/>
  <c r="CW19" i="24" s="1"/>
  <c r="CV20" i="24"/>
  <c r="CU20" i="24"/>
  <c r="CT20" i="24"/>
  <c r="CU41" i="24" s="1"/>
  <c r="CS20" i="24"/>
  <c r="CR20" i="24"/>
  <c r="CP20" i="24"/>
  <c r="CO20" i="24"/>
  <c r="CN20" i="24"/>
  <c r="CL20" i="24"/>
  <c r="CM41" i="24" s="1"/>
  <c r="CM40" i="24" s="1"/>
  <c r="CK20" i="24"/>
  <c r="CJ20" i="24"/>
  <c r="CH20" i="24"/>
  <c r="CG20" i="24"/>
  <c r="CF20" i="24"/>
  <c r="CD20" i="24"/>
  <c r="CE41" i="24" s="1"/>
  <c r="CC20" i="24"/>
  <c r="CB20" i="24"/>
  <c r="BZ20" i="24"/>
  <c r="CA41" i="24" s="1"/>
  <c r="BY20" i="24"/>
  <c r="BX20" i="24"/>
  <c r="BV20" i="24"/>
  <c r="BU20" i="24"/>
  <c r="BT20" i="24"/>
  <c r="BR20" i="24"/>
  <c r="BS41" i="24" s="1"/>
  <c r="BQ20" i="24"/>
  <c r="BP20" i="24"/>
  <c r="BO20" i="24"/>
  <c r="BN20" i="24"/>
  <c r="BM20" i="24"/>
  <c r="BL20" i="24"/>
  <c r="BL19" i="24" s="1"/>
  <c r="BL47" i="24" s="1"/>
  <c r="BJ20" i="24"/>
  <c r="BK41" i="24" s="1"/>
  <c r="BL41" i="24" s="1"/>
  <c r="BI20" i="24"/>
  <c r="BH20" i="24"/>
  <c r="BF20" i="24"/>
  <c r="BG41" i="24" s="1"/>
  <c r="BH41" i="24" s="1"/>
  <c r="BE20" i="24"/>
  <c r="BD20" i="24"/>
  <c r="BC20" i="24"/>
  <c r="BB20" i="24"/>
  <c r="BB16" i="24" s="1"/>
  <c r="BA20" i="24"/>
  <c r="AZ20" i="24"/>
  <c r="AX20" i="24"/>
  <c r="AY41" i="24" s="1"/>
  <c r="AZ41" i="24" s="1"/>
  <c r="AW20" i="24"/>
  <c r="AV20" i="24"/>
  <c r="AT20" i="24"/>
  <c r="AT19" i="24" s="1"/>
  <c r="AS20" i="24"/>
  <c r="AR20" i="24"/>
  <c r="AP20" i="24"/>
  <c r="AO20" i="24"/>
  <c r="AO16" i="24" s="1"/>
  <c r="AN20" i="24"/>
  <c r="AL20" i="24"/>
  <c r="AM41" i="24" s="1"/>
  <c r="AN41" i="24" s="1"/>
  <c r="AK20" i="24"/>
  <c r="AJ20" i="24"/>
  <c r="AH20" i="24"/>
  <c r="AG20" i="24"/>
  <c r="AF20" i="24"/>
  <c r="AF19" i="24" s="1"/>
  <c r="AF47" i="24" s="1"/>
  <c r="AD20" i="24"/>
  <c r="AD16" i="24" s="1"/>
  <c r="AC20" i="24"/>
  <c r="AB20" i="24"/>
  <c r="Z20" i="24"/>
  <c r="AA41" i="24" s="1"/>
  <c r="AB41" i="24" s="1"/>
  <c r="Y20" i="24"/>
  <c r="X20" i="24"/>
  <c r="W41" i="24"/>
  <c r="EF19" i="24"/>
  <c r="EF47" i="24" s="1"/>
  <c r="DQ19" i="24"/>
  <c r="DN19" i="24"/>
  <c r="DJ19" i="24"/>
  <c r="DB19" i="24"/>
  <c r="CX19" i="24"/>
  <c r="CL19" i="24"/>
  <c r="CK19" i="24"/>
  <c r="CJ19" i="24"/>
  <c r="BZ19" i="24"/>
  <c r="BX19" i="24"/>
  <c r="BX47" i="24" s="1"/>
  <c r="BU19" i="24"/>
  <c r="BN19" i="24"/>
  <c r="BM19" i="24"/>
  <c r="BF19" i="24"/>
  <c r="AZ19" i="24"/>
  <c r="AZ47" i="24" s="1"/>
  <c r="AX19" i="24"/>
  <c r="AO19" i="24"/>
  <c r="AN19" i="24"/>
  <c r="AN47" i="24" s="1"/>
  <c r="AK19" i="24"/>
  <c r="AJ19" i="24"/>
  <c r="AJ47" i="24" s="1"/>
  <c r="Z19" i="24"/>
  <c r="Y19" i="24"/>
  <c r="X19" i="24"/>
  <c r="X47" i="24" s="1"/>
  <c r="DN17" i="24"/>
  <c r="DA17" i="24"/>
  <c r="CN17" i="24"/>
  <c r="CL17" i="24"/>
  <c r="AK17" i="24"/>
  <c r="X17" i="24"/>
  <c r="DZ16" i="24"/>
  <c r="DY16" i="24"/>
  <c r="DX16" i="24"/>
  <c r="DQ16" i="24"/>
  <c r="DN16" i="24"/>
  <c r="DM16" i="24"/>
  <c r="DO16" i="24" s="1"/>
  <c r="DL16" i="24"/>
  <c r="DJ16" i="24"/>
  <c r="DH16" i="24"/>
  <c r="DG16" i="24"/>
  <c r="DF16" i="24"/>
  <c r="DE16" i="24"/>
  <c r="DA16" i="24"/>
  <c r="CZ16" i="24"/>
  <c r="CX16" i="24"/>
  <c r="CW16" i="24"/>
  <c r="CY16" i="24" s="1"/>
  <c r="CS16" i="24"/>
  <c r="CN16" i="24"/>
  <c r="CL16" i="24"/>
  <c r="CK16" i="24"/>
  <c r="CJ16" i="24"/>
  <c r="CH16" i="24"/>
  <c r="CI16" i="24" s="1"/>
  <c r="CG16" i="24"/>
  <c r="BZ16" i="24"/>
  <c r="BY16" i="24"/>
  <c r="CA16" i="24" s="1"/>
  <c r="BX16" i="24"/>
  <c r="BU16" i="24"/>
  <c r="BR16" i="24"/>
  <c r="BN16" i="24"/>
  <c r="BM16" i="24"/>
  <c r="BO16" i="24" s="1"/>
  <c r="BL16" i="24"/>
  <c r="BJ16" i="24"/>
  <c r="BK16" i="24" s="1"/>
  <c r="BI16" i="24"/>
  <c r="BG16" i="24"/>
  <c r="BF16" i="24"/>
  <c r="BE16" i="24"/>
  <c r="AZ16" i="24"/>
  <c r="AX16" i="24"/>
  <c r="AY16" i="24" s="1"/>
  <c r="AW16" i="24"/>
  <c r="AR16" i="24"/>
  <c r="AL16" i="24"/>
  <c r="AM16" i="24" s="1"/>
  <c r="AK16" i="24"/>
  <c r="Z16" i="24"/>
  <c r="AA16" i="24" s="1"/>
  <c r="Y16" i="24"/>
  <c r="V16" i="24"/>
  <c r="EF15" i="24"/>
  <c r="ED15" i="24"/>
  <c r="EB15" i="24"/>
  <c r="EB17" i="24" s="1"/>
  <c r="DZ15" i="24"/>
  <c r="DZ17" i="24" s="1"/>
  <c r="DU15" i="24"/>
  <c r="DT15" i="24"/>
  <c r="DQ15" i="24"/>
  <c r="DN15" i="24"/>
  <c r="DH15" i="24"/>
  <c r="DF15" i="24"/>
  <c r="DF17" i="24" s="1"/>
  <c r="DD15" i="24"/>
  <c r="DD17" i="24" s="1"/>
  <c r="DC15" i="24"/>
  <c r="DB15" i="24"/>
  <c r="CT15" i="24"/>
  <c r="CS15" i="24"/>
  <c r="CR15" i="24"/>
  <c r="CR17" i="24" s="1"/>
  <c r="CP15" i="24"/>
  <c r="CL15" i="24"/>
  <c r="CM15" i="24" s="1"/>
  <c r="CF15" i="24"/>
  <c r="CF17" i="24" s="1"/>
  <c r="CD15" i="24"/>
  <c r="BZ15" i="24"/>
  <c r="BZ17" i="24" s="1"/>
  <c r="BY15" i="24"/>
  <c r="BX15" i="24"/>
  <c r="BX17" i="24" s="1"/>
  <c r="BN15" i="24"/>
  <c r="BN17" i="24" s="1"/>
  <c r="BM15" i="24"/>
  <c r="BL15" i="24"/>
  <c r="BJ15" i="24"/>
  <c r="BB15" i="24"/>
  <c r="BA15" i="24"/>
  <c r="AZ15" i="24"/>
  <c r="AZ17" i="24" s="1"/>
  <c r="AX15" i="24"/>
  <c r="AX17" i="24" s="1"/>
  <c r="AW15" i="24"/>
  <c r="AV15" i="24"/>
  <c r="AV17" i="24" s="1"/>
  <c r="AO15" i="24"/>
  <c r="AN15" i="24"/>
  <c r="AN17" i="24" s="1"/>
  <c r="AM15" i="24"/>
  <c r="AL15" i="24"/>
  <c r="AJ15" i="24"/>
  <c r="AJ17" i="24" s="1"/>
  <c r="AB15" i="24"/>
  <c r="Z15" i="24"/>
  <c r="Z17" i="24" s="1"/>
  <c r="Y15" i="24"/>
  <c r="X15" i="24"/>
  <c r="V15" i="24"/>
  <c r="O26" i="24"/>
  <c r="N20" i="24"/>
  <c r="M20" i="24"/>
  <c r="S46" i="24"/>
  <c r="T46" i="24" s="1"/>
  <c r="O46" i="24"/>
  <c r="P46" i="24" s="1"/>
  <c r="S45" i="24"/>
  <c r="T45" i="24" s="1"/>
  <c r="S44" i="24"/>
  <c r="T44" i="24" s="1"/>
  <c r="O44" i="24"/>
  <c r="P44" i="24" s="1"/>
  <c r="O43" i="24"/>
  <c r="P43" i="24" s="1"/>
  <c r="S42" i="24"/>
  <c r="T42" i="24" s="1"/>
  <c r="O41" i="24"/>
  <c r="P41" i="24" s="1"/>
  <c r="R40" i="24"/>
  <c r="N40" i="24"/>
  <c r="S39" i="24"/>
  <c r="O39" i="24"/>
  <c r="S38" i="24"/>
  <c r="O38" i="24"/>
  <c r="S37" i="24"/>
  <c r="O37" i="24"/>
  <c r="T36" i="24"/>
  <c r="S36" i="24"/>
  <c r="R36" i="24"/>
  <c r="Q36" i="24"/>
  <c r="P36" i="24"/>
  <c r="O36" i="24"/>
  <c r="N36" i="24"/>
  <c r="N16" i="24" s="1"/>
  <c r="M36" i="24"/>
  <c r="M16" i="24" s="1"/>
  <c r="O16" i="24" s="1"/>
  <c r="S35" i="24"/>
  <c r="O35" i="24"/>
  <c r="S34" i="24"/>
  <c r="O34" i="24"/>
  <c r="S33" i="24"/>
  <c r="O33" i="24"/>
  <c r="O32" i="24" s="1"/>
  <c r="T32" i="24"/>
  <c r="T15" i="24" s="1"/>
  <c r="T17" i="24" s="1"/>
  <c r="S32" i="24"/>
  <c r="R32" i="24"/>
  <c r="S43" i="24" s="1"/>
  <c r="T43" i="24" s="1"/>
  <c r="Q32" i="24"/>
  <c r="Q15" i="24" s="1"/>
  <c r="P32" i="24"/>
  <c r="P15" i="24" s="1"/>
  <c r="P17" i="24" s="1"/>
  <c r="N32" i="24"/>
  <c r="M32" i="24"/>
  <c r="S31" i="24"/>
  <c r="O31" i="24"/>
  <c r="S30" i="24"/>
  <c r="O30" i="24"/>
  <c r="S29" i="24"/>
  <c r="O29" i="24"/>
  <c r="S28" i="24"/>
  <c r="O28" i="24"/>
  <c r="S27" i="24"/>
  <c r="S26" i="24" s="1"/>
  <c r="O27" i="24"/>
  <c r="T26" i="24"/>
  <c r="R26" i="24"/>
  <c r="Q26" i="24"/>
  <c r="P26" i="24"/>
  <c r="N26" i="24"/>
  <c r="O42" i="24" s="1"/>
  <c r="M26" i="24"/>
  <c r="S25" i="24"/>
  <c r="O25" i="24"/>
  <c r="O20" i="24" s="1"/>
  <c r="S24" i="24"/>
  <c r="S20" i="24" s="1"/>
  <c r="O24" i="24"/>
  <c r="S23" i="24"/>
  <c r="O23" i="24"/>
  <c r="S22" i="24"/>
  <c r="O22" i="24"/>
  <c r="S21" i="24"/>
  <c r="O21" i="24"/>
  <c r="T20" i="24"/>
  <c r="T19" i="24" s="1"/>
  <c r="T47" i="24" s="1"/>
  <c r="R20" i="24"/>
  <c r="R16" i="24" s="1"/>
  <c r="Q20" i="24"/>
  <c r="Q16" i="24" s="1"/>
  <c r="S16" i="24" s="1"/>
  <c r="P20" i="24"/>
  <c r="P19" i="24" s="1"/>
  <c r="P47" i="24" s="1"/>
  <c r="M19" i="24"/>
  <c r="T16" i="24"/>
  <c r="P16" i="24"/>
  <c r="N15" i="24"/>
  <c r="N17" i="24" s="1"/>
  <c r="M15" i="24"/>
  <c r="O15" i="24" s="1"/>
  <c r="EE44" i="6"/>
  <c r="EE43" i="6"/>
  <c r="EE42" i="6"/>
  <c r="EE41" i="6"/>
  <c r="EE40" i="6"/>
  <c r="EE46" i="6"/>
  <c r="EF46" i="6" s="1"/>
  <c r="EF44" i="6"/>
  <c r="EF43" i="6"/>
  <c r="EF42" i="6"/>
  <c r="ED40" i="6"/>
  <c r="EE39" i="6"/>
  <c r="EE38" i="6"/>
  <c r="EE37" i="6"/>
  <c r="EF36" i="6"/>
  <c r="EE36" i="6"/>
  <c r="ED36" i="6"/>
  <c r="EE45" i="6" s="1"/>
  <c r="EF45" i="6" s="1"/>
  <c r="EC36" i="6"/>
  <c r="EC16" i="6" s="1"/>
  <c r="EE35" i="6"/>
  <c r="EE34" i="6"/>
  <c r="EE33" i="6"/>
  <c r="EF32" i="6"/>
  <c r="EF15" i="6" s="1"/>
  <c r="EE32" i="6"/>
  <c r="ED32" i="6"/>
  <c r="EC32" i="6"/>
  <c r="EC19" i="6" s="1"/>
  <c r="EE31" i="6"/>
  <c r="EE30" i="6"/>
  <c r="EE29" i="6"/>
  <c r="EE28" i="6"/>
  <c r="EE27" i="6"/>
  <c r="EE26" i="6" s="1"/>
  <c r="EF26" i="6"/>
  <c r="ED26" i="6"/>
  <c r="ED15" i="6" s="1"/>
  <c r="EC26" i="6"/>
  <c r="EE25" i="6"/>
  <c r="EE24" i="6"/>
  <c r="EE23" i="6"/>
  <c r="EE22" i="6"/>
  <c r="EE21" i="6"/>
  <c r="EF20" i="6"/>
  <c r="EF19" i="6" s="1"/>
  <c r="EF47" i="6" s="1"/>
  <c r="EE20" i="6"/>
  <c r="ED20" i="6"/>
  <c r="EC20" i="6"/>
  <c r="EA46" i="6"/>
  <c r="EB46" i="6" s="1"/>
  <c r="EA44" i="6"/>
  <c r="EB44" i="6" s="1"/>
  <c r="EB43" i="6"/>
  <c r="EA43" i="6"/>
  <c r="EA42" i="6"/>
  <c r="EB42" i="6" s="1"/>
  <c r="DZ40" i="6"/>
  <c r="EA39" i="6"/>
  <c r="EA38" i="6"/>
  <c r="EA37" i="6"/>
  <c r="EA36" i="6" s="1"/>
  <c r="EB36" i="6"/>
  <c r="EB16" i="6" s="1"/>
  <c r="DZ36" i="6"/>
  <c r="EA45" i="6" s="1"/>
  <c r="EB45" i="6" s="1"/>
  <c r="DY36" i="6"/>
  <c r="DY16" i="6" s="1"/>
  <c r="EA16" i="6" s="1"/>
  <c r="EA35" i="6"/>
  <c r="EA34" i="6"/>
  <c r="EA32" i="6" s="1"/>
  <c r="EA33" i="6"/>
  <c r="EB32" i="6"/>
  <c r="DZ32" i="6"/>
  <c r="DZ15" i="6" s="1"/>
  <c r="DZ17" i="6" s="1"/>
  <c r="DY32" i="6"/>
  <c r="DY19" i="6" s="1"/>
  <c r="EA31" i="6"/>
  <c r="EA30" i="6"/>
  <c r="EA29" i="6"/>
  <c r="EA28" i="6"/>
  <c r="EA27" i="6"/>
  <c r="EA26" i="6" s="1"/>
  <c r="EB26" i="6"/>
  <c r="DZ26" i="6"/>
  <c r="DY26" i="6"/>
  <c r="EA25" i="6"/>
  <c r="EA24" i="6"/>
  <c r="EA23" i="6"/>
  <c r="EA22" i="6"/>
  <c r="EA21" i="6"/>
  <c r="EB20" i="6"/>
  <c r="EB19" i="6" s="1"/>
  <c r="EB47" i="6" s="1"/>
  <c r="EA20" i="6"/>
  <c r="DZ20" i="6"/>
  <c r="EA41" i="6" s="1"/>
  <c r="DY20" i="6"/>
  <c r="DZ16" i="6"/>
  <c r="EB15" i="6"/>
  <c r="DW46" i="6"/>
  <c r="DX46" i="6" s="1"/>
  <c r="DW44" i="6"/>
  <c r="DX44" i="6" s="1"/>
  <c r="DW43" i="6"/>
  <c r="DX43" i="6" s="1"/>
  <c r="DW42" i="6"/>
  <c r="DX42" i="6" s="1"/>
  <c r="DV40" i="6"/>
  <c r="DW39" i="6"/>
  <c r="DW38" i="6"/>
  <c r="DW37" i="6"/>
  <c r="DX36" i="6"/>
  <c r="DW36" i="6"/>
  <c r="DV36" i="6"/>
  <c r="DW45" i="6" s="1"/>
  <c r="DX45" i="6" s="1"/>
  <c r="DU36" i="6"/>
  <c r="DU16" i="6" s="1"/>
  <c r="DW35" i="6"/>
  <c r="DW34" i="6"/>
  <c r="DW33" i="6"/>
  <c r="DW32" i="6" s="1"/>
  <c r="DX32" i="6"/>
  <c r="DX15" i="6" s="1"/>
  <c r="DV32" i="6"/>
  <c r="DU32" i="6"/>
  <c r="DU19" i="6" s="1"/>
  <c r="DW31" i="6"/>
  <c r="DW30" i="6"/>
  <c r="DW29" i="6"/>
  <c r="DW28" i="6"/>
  <c r="DW27" i="6"/>
  <c r="DW26" i="6" s="1"/>
  <c r="DX26" i="6"/>
  <c r="DV26" i="6"/>
  <c r="DV15" i="6" s="1"/>
  <c r="DU26" i="6"/>
  <c r="DW25" i="6"/>
  <c r="DW24" i="6"/>
  <c r="DW23" i="6"/>
  <c r="DW22" i="6"/>
  <c r="DW21" i="6"/>
  <c r="DX20" i="6"/>
  <c r="DX19" i="6" s="1"/>
  <c r="DX47" i="6" s="1"/>
  <c r="DW20" i="6"/>
  <c r="DV20" i="6"/>
  <c r="DV16" i="6" s="1"/>
  <c r="DU20" i="6"/>
  <c r="DS46" i="6"/>
  <c r="DT46" i="6" s="1"/>
  <c r="DS44" i="6"/>
  <c r="DT44" i="6" s="1"/>
  <c r="DS42" i="6"/>
  <c r="DT42" i="6" s="1"/>
  <c r="DR40" i="6"/>
  <c r="DS39" i="6"/>
  <c r="DS38" i="6"/>
  <c r="DS37" i="6"/>
  <c r="DS36" i="6" s="1"/>
  <c r="DT36" i="6"/>
  <c r="DT16" i="6" s="1"/>
  <c r="DR36" i="6"/>
  <c r="DS45" i="6" s="1"/>
  <c r="DT45" i="6" s="1"/>
  <c r="DQ36" i="6"/>
  <c r="DQ16" i="6" s="1"/>
  <c r="DS16" i="6" s="1"/>
  <c r="DS35" i="6"/>
  <c r="DS34" i="6"/>
  <c r="DS33" i="6"/>
  <c r="DS32" i="6" s="1"/>
  <c r="DT32" i="6"/>
  <c r="DT15" i="6" s="1"/>
  <c r="DR32" i="6"/>
  <c r="DS43" i="6" s="1"/>
  <c r="DT43" i="6" s="1"/>
  <c r="DQ32" i="6"/>
  <c r="DQ19" i="6" s="1"/>
  <c r="DS31" i="6"/>
  <c r="DS30" i="6"/>
  <c r="DS29" i="6"/>
  <c r="DS28" i="6"/>
  <c r="DS27" i="6"/>
  <c r="DS26" i="6" s="1"/>
  <c r="DT26" i="6"/>
  <c r="DR26" i="6"/>
  <c r="DR15" i="6" s="1"/>
  <c r="DR17" i="6" s="1"/>
  <c r="DQ26" i="6"/>
  <c r="DS25" i="6"/>
  <c r="DS24" i="6"/>
  <c r="DS23" i="6"/>
  <c r="DS22" i="6"/>
  <c r="DS21" i="6"/>
  <c r="DS20" i="6" s="1"/>
  <c r="DT20" i="6"/>
  <c r="DT19" i="6" s="1"/>
  <c r="DT47" i="6" s="1"/>
  <c r="DR20" i="6"/>
  <c r="DS41" i="6" s="1"/>
  <c r="DQ20" i="6"/>
  <c r="DR16" i="6"/>
  <c r="DO46" i="6"/>
  <c r="DP46" i="6" s="1"/>
  <c r="DO45" i="6"/>
  <c r="DP45" i="6" s="1"/>
  <c r="DO44" i="6"/>
  <c r="DP44" i="6" s="1"/>
  <c r="DO43" i="6"/>
  <c r="DP43" i="6" s="1"/>
  <c r="DO42" i="6"/>
  <c r="DP42" i="6" s="1"/>
  <c r="DN40" i="6"/>
  <c r="DO39" i="6"/>
  <c r="DO38" i="6"/>
  <c r="DO37" i="6"/>
  <c r="DP36" i="6"/>
  <c r="DO36" i="6"/>
  <c r="DN36" i="6"/>
  <c r="DM36" i="6"/>
  <c r="DM16" i="6" s="1"/>
  <c r="DO16" i="6" s="1"/>
  <c r="DO35" i="6"/>
  <c r="DO34" i="6"/>
  <c r="DO33" i="6"/>
  <c r="DP32" i="6"/>
  <c r="DO32" i="6"/>
  <c r="DN32" i="6"/>
  <c r="DM32" i="6"/>
  <c r="DM19" i="6" s="1"/>
  <c r="DO31" i="6"/>
  <c r="DO30" i="6"/>
  <c r="DO29" i="6"/>
  <c r="DO28" i="6"/>
  <c r="DO27" i="6"/>
  <c r="DO26" i="6" s="1"/>
  <c r="DP26" i="6"/>
  <c r="DN26" i="6"/>
  <c r="DN15" i="6" s="1"/>
  <c r="DN17" i="6" s="1"/>
  <c r="DM26" i="6"/>
  <c r="DO25" i="6"/>
  <c r="DO24" i="6"/>
  <c r="DO23" i="6"/>
  <c r="DO22" i="6"/>
  <c r="DO21" i="6"/>
  <c r="DO20" i="6" s="1"/>
  <c r="DP20" i="6"/>
  <c r="DP19" i="6" s="1"/>
  <c r="DP47" i="6" s="1"/>
  <c r="DN20" i="6"/>
  <c r="DO41" i="6" s="1"/>
  <c r="DM20" i="6"/>
  <c r="DP16" i="6"/>
  <c r="DP17" i="6" s="1"/>
  <c r="DN16" i="6"/>
  <c r="DP15" i="6"/>
  <c r="DK46" i="6"/>
  <c r="DL46" i="6" s="1"/>
  <c r="DK44" i="6"/>
  <c r="DL44" i="6" s="1"/>
  <c r="DK42" i="6"/>
  <c r="DL42" i="6" s="1"/>
  <c r="DJ40" i="6"/>
  <c r="DK39" i="6"/>
  <c r="DK38" i="6"/>
  <c r="DK37" i="6"/>
  <c r="DK36" i="6" s="1"/>
  <c r="DL36" i="6"/>
  <c r="DL16" i="6" s="1"/>
  <c r="DL17" i="6" s="1"/>
  <c r="DJ36" i="6"/>
  <c r="DK45" i="6" s="1"/>
  <c r="DL45" i="6" s="1"/>
  <c r="DI36" i="6"/>
  <c r="DI16" i="6" s="1"/>
  <c r="DK35" i="6"/>
  <c r="DK34" i="6"/>
  <c r="DK33" i="6"/>
  <c r="DL32" i="6"/>
  <c r="DK32" i="6"/>
  <c r="DJ32" i="6"/>
  <c r="DK43" i="6" s="1"/>
  <c r="DL43" i="6" s="1"/>
  <c r="DI32" i="6"/>
  <c r="DK31" i="6"/>
  <c r="DK30" i="6"/>
  <c r="DK29" i="6"/>
  <c r="DK28" i="6"/>
  <c r="DK27" i="6"/>
  <c r="DK26" i="6" s="1"/>
  <c r="DL26" i="6"/>
  <c r="DJ26" i="6"/>
  <c r="DJ15" i="6" s="1"/>
  <c r="DI26" i="6"/>
  <c r="DK25" i="6"/>
  <c r="DK24" i="6"/>
  <c r="DK23" i="6"/>
  <c r="DK22" i="6"/>
  <c r="DK21" i="6"/>
  <c r="DL20" i="6"/>
  <c r="DL19" i="6" s="1"/>
  <c r="DL47" i="6" s="1"/>
  <c r="DK20" i="6"/>
  <c r="DJ20" i="6"/>
  <c r="DK41" i="6" s="1"/>
  <c r="DI20" i="6"/>
  <c r="DL15" i="6"/>
  <c r="DI15" i="6"/>
  <c r="DK15" i="6" s="1"/>
  <c r="DG46" i="6"/>
  <c r="DH46" i="6" s="1"/>
  <c r="DG45" i="6"/>
  <c r="DH45" i="6" s="1"/>
  <c r="DG44" i="6"/>
  <c r="DH44" i="6" s="1"/>
  <c r="DG43" i="6"/>
  <c r="DH43" i="6" s="1"/>
  <c r="DG42" i="6"/>
  <c r="DH42" i="6" s="1"/>
  <c r="DF40" i="6"/>
  <c r="DG39" i="6"/>
  <c r="DG38" i="6"/>
  <c r="DG37" i="6"/>
  <c r="DH36" i="6"/>
  <c r="DG36" i="6"/>
  <c r="DF36" i="6"/>
  <c r="DE36" i="6"/>
  <c r="DE16" i="6" s="1"/>
  <c r="DG16" i="6" s="1"/>
  <c r="DG35" i="6"/>
  <c r="DG34" i="6"/>
  <c r="DG33" i="6"/>
  <c r="DG32" i="6" s="1"/>
  <c r="DH32" i="6"/>
  <c r="DF32" i="6"/>
  <c r="DE32" i="6"/>
  <c r="DE19" i="6" s="1"/>
  <c r="DG31" i="6"/>
  <c r="DG30" i="6"/>
  <c r="DG29" i="6"/>
  <c r="DG28" i="6"/>
  <c r="DG27" i="6"/>
  <c r="DG26" i="6" s="1"/>
  <c r="DH26" i="6"/>
  <c r="DF26" i="6"/>
  <c r="DF15" i="6" s="1"/>
  <c r="DF17" i="6" s="1"/>
  <c r="DE26" i="6"/>
  <c r="DG25" i="6"/>
  <c r="DG24" i="6"/>
  <c r="DG23" i="6"/>
  <c r="DG22" i="6"/>
  <c r="DG21" i="6"/>
  <c r="DG20" i="6" s="1"/>
  <c r="DH20" i="6"/>
  <c r="DH19" i="6" s="1"/>
  <c r="DH47" i="6" s="1"/>
  <c r="DF20" i="6"/>
  <c r="DG41" i="6" s="1"/>
  <c r="DE20" i="6"/>
  <c r="DH16" i="6"/>
  <c r="DH17" i="6" s="1"/>
  <c r="DF16" i="6"/>
  <c r="DH15" i="6"/>
  <c r="DC46" i="6"/>
  <c r="DD46" i="6" s="1"/>
  <c r="DC45" i="6"/>
  <c r="DD45" i="6" s="1"/>
  <c r="DC44" i="6"/>
  <c r="DD44" i="6" s="1"/>
  <c r="DC43" i="6"/>
  <c r="DD43" i="6" s="1"/>
  <c r="DC42" i="6"/>
  <c r="DD42" i="6" s="1"/>
  <c r="DB40" i="6"/>
  <c r="DC39" i="6"/>
  <c r="DC38" i="6"/>
  <c r="DC37" i="6"/>
  <c r="DD36" i="6"/>
  <c r="DC36" i="6"/>
  <c r="DB36" i="6"/>
  <c r="DA36" i="6"/>
  <c r="DA16" i="6" s="1"/>
  <c r="DC16" i="6" s="1"/>
  <c r="DC35" i="6"/>
  <c r="DC34" i="6"/>
  <c r="DC33" i="6"/>
  <c r="DC32" i="6" s="1"/>
  <c r="DD32" i="6"/>
  <c r="DB32" i="6"/>
  <c r="DB15" i="6" s="1"/>
  <c r="DB17" i="6" s="1"/>
  <c r="DA32" i="6"/>
  <c r="DA19" i="6" s="1"/>
  <c r="DC31" i="6"/>
  <c r="DC30" i="6"/>
  <c r="DC29" i="6"/>
  <c r="DC28" i="6"/>
  <c r="DC27" i="6"/>
  <c r="DC26" i="6" s="1"/>
  <c r="DD26" i="6"/>
  <c r="DB26" i="6"/>
  <c r="DA26" i="6"/>
  <c r="DC25" i="6"/>
  <c r="DC24" i="6"/>
  <c r="DC23" i="6"/>
  <c r="DC22" i="6"/>
  <c r="DC21" i="6"/>
  <c r="DC20" i="6" s="1"/>
  <c r="DD20" i="6"/>
  <c r="DD19" i="6" s="1"/>
  <c r="DD47" i="6" s="1"/>
  <c r="DB20" i="6"/>
  <c r="DC41" i="6" s="1"/>
  <c r="DA20" i="6"/>
  <c r="DD16" i="6"/>
  <c r="DD17" i="6" s="1"/>
  <c r="DB16" i="6"/>
  <c r="DD15" i="6"/>
  <c r="CY46" i="6"/>
  <c r="CZ46" i="6" s="1"/>
  <c r="CY45" i="6"/>
  <c r="CZ45" i="6" s="1"/>
  <c r="CY44" i="6"/>
  <c r="CZ44" i="6" s="1"/>
  <c r="CY43" i="6"/>
  <c r="CZ43" i="6" s="1"/>
  <c r="CY42" i="6"/>
  <c r="CZ42" i="6" s="1"/>
  <c r="CX40" i="6"/>
  <c r="CY39" i="6"/>
  <c r="CY38" i="6"/>
  <c r="CY37" i="6"/>
  <c r="CZ36" i="6"/>
  <c r="CY36" i="6"/>
  <c r="CX36" i="6"/>
  <c r="CW36" i="6"/>
  <c r="CW16" i="6" s="1"/>
  <c r="CY16" i="6" s="1"/>
  <c r="CY35" i="6"/>
  <c r="CY34" i="6"/>
  <c r="CY33" i="6"/>
  <c r="CZ32" i="6"/>
  <c r="CY32" i="6"/>
  <c r="CX32" i="6"/>
  <c r="CW32" i="6"/>
  <c r="CW19" i="6" s="1"/>
  <c r="CY31" i="6"/>
  <c r="CY30" i="6"/>
  <c r="CY29" i="6"/>
  <c r="CY28" i="6"/>
  <c r="CY27" i="6"/>
  <c r="CY26" i="6" s="1"/>
  <c r="CZ26" i="6"/>
  <c r="CX26" i="6"/>
  <c r="CX15" i="6" s="1"/>
  <c r="CX17" i="6" s="1"/>
  <c r="CW26" i="6"/>
  <c r="CY25" i="6"/>
  <c r="CY24" i="6"/>
  <c r="CY23" i="6"/>
  <c r="CY22" i="6"/>
  <c r="CY21" i="6"/>
  <c r="CY20" i="6" s="1"/>
  <c r="CZ20" i="6"/>
  <c r="CZ19" i="6" s="1"/>
  <c r="CZ47" i="6" s="1"/>
  <c r="CX20" i="6"/>
  <c r="CY41" i="6" s="1"/>
  <c r="CW20" i="6"/>
  <c r="CX16" i="6"/>
  <c r="CZ15" i="6"/>
  <c r="CU46" i="6"/>
  <c r="CV46" i="6" s="1"/>
  <c r="CV44" i="6"/>
  <c r="CU44" i="6"/>
  <c r="CV43" i="6"/>
  <c r="CU43" i="6"/>
  <c r="CU42" i="6"/>
  <c r="CV42" i="6" s="1"/>
  <c r="CT40" i="6"/>
  <c r="CU39" i="6"/>
  <c r="CU38" i="6"/>
  <c r="CU37" i="6"/>
  <c r="CV36" i="6"/>
  <c r="CU36" i="6"/>
  <c r="CT36" i="6"/>
  <c r="CU45" i="6" s="1"/>
  <c r="CV45" i="6" s="1"/>
  <c r="CS36" i="6"/>
  <c r="CS16" i="6" s="1"/>
  <c r="CU16" i="6" s="1"/>
  <c r="CU35" i="6"/>
  <c r="CU34" i="6"/>
  <c r="CU32" i="6" s="1"/>
  <c r="CU33" i="6"/>
  <c r="CV32" i="6"/>
  <c r="CT32" i="6"/>
  <c r="CS32" i="6"/>
  <c r="CS19" i="6" s="1"/>
  <c r="CU31" i="6"/>
  <c r="CU30" i="6"/>
  <c r="CU29" i="6"/>
  <c r="CU28" i="6"/>
  <c r="CU27" i="6"/>
  <c r="CU26" i="6" s="1"/>
  <c r="CV26" i="6"/>
  <c r="CT26" i="6"/>
  <c r="CT15" i="6" s="1"/>
  <c r="CT17" i="6" s="1"/>
  <c r="CS26" i="6"/>
  <c r="CU25" i="6"/>
  <c r="CU24" i="6"/>
  <c r="CU23" i="6"/>
  <c r="CU22" i="6"/>
  <c r="CU21" i="6"/>
  <c r="CV20" i="6"/>
  <c r="CV19" i="6" s="1"/>
  <c r="CV47" i="6" s="1"/>
  <c r="CU20" i="6"/>
  <c r="CT20" i="6"/>
  <c r="CU41" i="6" s="1"/>
  <c r="CS20" i="6"/>
  <c r="CT16" i="6"/>
  <c r="CV15" i="6"/>
  <c r="CQ46" i="6"/>
  <c r="CR46" i="6" s="1"/>
  <c r="CQ44" i="6"/>
  <c r="CR44" i="6" s="1"/>
  <c r="CQ43" i="6"/>
  <c r="CR43" i="6" s="1"/>
  <c r="CQ42" i="6"/>
  <c r="CR42" i="6" s="1"/>
  <c r="CP40" i="6"/>
  <c r="CQ39" i="6"/>
  <c r="CQ38" i="6"/>
  <c r="CQ37" i="6"/>
  <c r="CR36" i="6"/>
  <c r="CQ36" i="6"/>
  <c r="CP36" i="6"/>
  <c r="CQ45" i="6" s="1"/>
  <c r="CR45" i="6" s="1"/>
  <c r="CO36" i="6"/>
  <c r="CO16" i="6" s="1"/>
  <c r="CQ16" i="6" s="1"/>
  <c r="CQ35" i="6"/>
  <c r="CQ34" i="6"/>
  <c r="CQ33" i="6"/>
  <c r="CR32" i="6"/>
  <c r="CR15" i="6" s="1"/>
  <c r="CQ32" i="6"/>
  <c r="CP32" i="6"/>
  <c r="CP15" i="6" s="1"/>
  <c r="CP17" i="6" s="1"/>
  <c r="CO32" i="6"/>
  <c r="CO19" i="6" s="1"/>
  <c r="CQ31" i="6"/>
  <c r="CQ30" i="6"/>
  <c r="CQ29" i="6"/>
  <c r="CQ28" i="6"/>
  <c r="CQ27" i="6"/>
  <c r="CQ26" i="6" s="1"/>
  <c r="CR26" i="6"/>
  <c r="CP26" i="6"/>
  <c r="CO26" i="6"/>
  <c r="CQ25" i="6"/>
  <c r="CQ24" i="6"/>
  <c r="CQ23" i="6"/>
  <c r="CQ22" i="6"/>
  <c r="CQ21" i="6"/>
  <c r="CQ20" i="6" s="1"/>
  <c r="CR20" i="6"/>
  <c r="CR19" i="6" s="1"/>
  <c r="CR47" i="6" s="1"/>
  <c r="CP20" i="6"/>
  <c r="CQ41" i="6" s="1"/>
  <c r="CO20" i="6"/>
  <c r="CP16" i="6"/>
  <c r="CM46" i="6"/>
  <c r="CN46" i="6" s="1"/>
  <c r="CM44" i="6"/>
  <c r="CN44" i="6" s="1"/>
  <c r="CM43" i="6"/>
  <c r="CN43" i="6" s="1"/>
  <c r="CN42" i="6"/>
  <c r="CM42" i="6"/>
  <c r="CL40" i="6"/>
  <c r="CM39" i="6"/>
  <c r="CM38" i="6"/>
  <c r="CM37" i="6"/>
  <c r="CN36" i="6"/>
  <c r="CM36" i="6"/>
  <c r="CL36" i="6"/>
  <c r="CM45" i="6" s="1"/>
  <c r="CN45" i="6" s="1"/>
  <c r="CK36" i="6"/>
  <c r="CK16" i="6" s="1"/>
  <c r="CM35" i="6"/>
  <c r="CM34" i="6"/>
  <c r="CM33" i="6"/>
  <c r="CM32" i="6" s="1"/>
  <c r="CN32" i="6"/>
  <c r="CL32" i="6"/>
  <c r="CK32" i="6"/>
  <c r="CK19" i="6" s="1"/>
  <c r="CM31" i="6"/>
  <c r="CM30" i="6"/>
  <c r="CM29" i="6"/>
  <c r="CM28" i="6"/>
  <c r="CM27" i="6"/>
  <c r="CM26" i="6" s="1"/>
  <c r="CN26" i="6"/>
  <c r="CL26" i="6"/>
  <c r="CL15" i="6" s="1"/>
  <c r="CK26" i="6"/>
  <c r="CM25" i="6"/>
  <c r="CM24" i="6"/>
  <c r="CM23" i="6"/>
  <c r="CM22" i="6"/>
  <c r="CM21" i="6"/>
  <c r="CN20" i="6"/>
  <c r="CN19" i="6" s="1"/>
  <c r="CN47" i="6" s="1"/>
  <c r="CM20" i="6"/>
  <c r="CL20" i="6"/>
  <c r="CM41" i="6" s="1"/>
  <c r="CK20" i="6"/>
  <c r="CN15" i="6"/>
  <c r="CI46" i="6"/>
  <c r="CJ46" i="6" s="1"/>
  <c r="CI44" i="6"/>
  <c r="CJ44" i="6" s="1"/>
  <c r="CI43" i="6"/>
  <c r="CJ43" i="6" s="1"/>
  <c r="CJ42" i="6"/>
  <c r="CI42" i="6"/>
  <c r="CH40" i="6"/>
  <c r="CI39" i="6"/>
  <c r="CI38" i="6"/>
  <c r="CI37" i="6"/>
  <c r="CJ36" i="6"/>
  <c r="CI36" i="6"/>
  <c r="CH36" i="6"/>
  <c r="CI45" i="6" s="1"/>
  <c r="CJ45" i="6" s="1"/>
  <c r="CG36" i="6"/>
  <c r="CG16" i="6" s="1"/>
  <c r="CI35" i="6"/>
  <c r="CI34" i="6"/>
  <c r="CI33" i="6"/>
  <c r="CJ32" i="6"/>
  <c r="CI32" i="6"/>
  <c r="CH32" i="6"/>
  <c r="CH15" i="6" s="1"/>
  <c r="CG32" i="6"/>
  <c r="CG19" i="6" s="1"/>
  <c r="CI31" i="6"/>
  <c r="CI30" i="6"/>
  <c r="CI29" i="6"/>
  <c r="CI28" i="6"/>
  <c r="CI27" i="6"/>
  <c r="CI26" i="6" s="1"/>
  <c r="CJ26" i="6"/>
  <c r="CH26" i="6"/>
  <c r="CG26" i="6"/>
  <c r="CI25" i="6"/>
  <c r="CI24" i="6"/>
  <c r="CI23" i="6"/>
  <c r="CI22" i="6"/>
  <c r="CI21" i="6"/>
  <c r="CJ20" i="6"/>
  <c r="CJ16" i="6" s="1"/>
  <c r="CJ17" i="6" s="1"/>
  <c r="CI20" i="6"/>
  <c r="CH20" i="6"/>
  <c r="CI41" i="6" s="1"/>
  <c r="CG20" i="6"/>
  <c r="CJ15" i="6"/>
  <c r="CE46" i="6"/>
  <c r="CF46" i="6" s="1"/>
  <c r="CE45" i="6"/>
  <c r="CF45" i="6" s="1"/>
  <c r="CE44" i="6"/>
  <c r="CF44" i="6" s="1"/>
  <c r="CE43" i="6"/>
  <c r="CF43" i="6" s="1"/>
  <c r="CE42" i="6"/>
  <c r="CF42" i="6" s="1"/>
  <c r="CD40" i="6"/>
  <c r="CE39" i="6"/>
  <c r="CE38" i="6"/>
  <c r="CE37" i="6"/>
  <c r="CF36" i="6"/>
  <c r="CE36" i="6"/>
  <c r="CD36" i="6"/>
  <c r="CC36" i="6"/>
  <c r="CC16" i="6" s="1"/>
  <c r="CE16" i="6" s="1"/>
  <c r="CE35" i="6"/>
  <c r="CE34" i="6"/>
  <c r="CE33" i="6"/>
  <c r="CE32" i="6" s="1"/>
  <c r="CF32" i="6"/>
  <c r="CD32" i="6"/>
  <c r="CC32" i="6"/>
  <c r="CC19" i="6" s="1"/>
  <c r="CE31" i="6"/>
  <c r="CE30" i="6"/>
  <c r="CE29" i="6"/>
  <c r="CE28" i="6"/>
  <c r="CE27" i="6"/>
  <c r="CE26" i="6" s="1"/>
  <c r="CF26" i="6"/>
  <c r="CD26" i="6"/>
  <c r="CD15" i="6" s="1"/>
  <c r="CD17" i="6" s="1"/>
  <c r="CC26" i="6"/>
  <c r="CE25" i="6"/>
  <c r="CE24" i="6"/>
  <c r="CE23" i="6"/>
  <c r="CE22" i="6"/>
  <c r="CE21" i="6"/>
  <c r="CE20" i="6" s="1"/>
  <c r="CF20" i="6"/>
  <c r="CF19" i="6" s="1"/>
  <c r="CF47" i="6" s="1"/>
  <c r="CD20" i="6"/>
  <c r="CE41" i="6" s="1"/>
  <c r="CC20" i="6"/>
  <c r="CD16" i="6"/>
  <c r="CF15" i="6"/>
  <c r="CA46" i="6"/>
  <c r="CB46" i="6" s="1"/>
  <c r="CB44" i="6"/>
  <c r="CA44" i="6"/>
  <c r="CA43" i="6"/>
  <c r="CB43" i="6" s="1"/>
  <c r="CA42" i="6"/>
  <c r="CB42" i="6" s="1"/>
  <c r="BZ40" i="6"/>
  <c r="CA39" i="6"/>
  <c r="CA38" i="6"/>
  <c r="CA37" i="6"/>
  <c r="CB36" i="6"/>
  <c r="CA36" i="6"/>
  <c r="BZ36" i="6"/>
  <c r="CA45" i="6" s="1"/>
  <c r="CB45" i="6" s="1"/>
  <c r="BY36" i="6"/>
  <c r="BY16" i="6" s="1"/>
  <c r="CA16" i="6" s="1"/>
  <c r="CA35" i="6"/>
  <c r="CA34" i="6"/>
  <c r="CA33" i="6"/>
  <c r="CB32" i="6"/>
  <c r="CB15" i="6" s="1"/>
  <c r="CA32" i="6"/>
  <c r="BZ32" i="6"/>
  <c r="BZ15" i="6" s="1"/>
  <c r="BZ17" i="6" s="1"/>
  <c r="BY32" i="6"/>
  <c r="BY19" i="6" s="1"/>
  <c r="CA31" i="6"/>
  <c r="CA30" i="6"/>
  <c r="CA29" i="6"/>
  <c r="CA28" i="6"/>
  <c r="CA27" i="6"/>
  <c r="CA26" i="6" s="1"/>
  <c r="CB26" i="6"/>
  <c r="BZ26" i="6"/>
  <c r="BY26" i="6"/>
  <c r="CA25" i="6"/>
  <c r="CA24" i="6"/>
  <c r="CA23" i="6"/>
  <c r="CA22" i="6"/>
  <c r="CA21" i="6"/>
  <c r="CB20" i="6"/>
  <c r="CB16" i="6" s="1"/>
  <c r="CA20" i="6"/>
  <c r="BZ20" i="6"/>
  <c r="CA41" i="6" s="1"/>
  <c r="BY20" i="6"/>
  <c r="BZ16" i="6"/>
  <c r="BW46" i="6"/>
  <c r="BX46" i="6" s="1"/>
  <c r="BW44" i="6"/>
  <c r="BX44" i="6" s="1"/>
  <c r="BW43" i="6"/>
  <c r="BX43" i="6" s="1"/>
  <c r="BX42" i="6"/>
  <c r="BW42" i="6"/>
  <c r="BV40" i="6"/>
  <c r="BW39" i="6"/>
  <c r="BW38" i="6"/>
  <c r="BW37" i="6"/>
  <c r="BX36" i="6"/>
  <c r="BW36" i="6"/>
  <c r="BV36" i="6"/>
  <c r="BW45" i="6" s="1"/>
  <c r="BX45" i="6" s="1"/>
  <c r="BU36" i="6"/>
  <c r="BU16" i="6" s="1"/>
  <c r="BW35" i="6"/>
  <c r="BW34" i="6"/>
  <c r="BW33" i="6"/>
  <c r="BW32" i="6" s="1"/>
  <c r="BX32" i="6"/>
  <c r="BV32" i="6"/>
  <c r="BU32" i="6"/>
  <c r="BU19" i="6" s="1"/>
  <c r="BW31" i="6"/>
  <c r="BW30" i="6"/>
  <c r="BW29" i="6"/>
  <c r="BW28" i="6"/>
  <c r="BW27" i="6"/>
  <c r="BW26" i="6" s="1"/>
  <c r="BX26" i="6"/>
  <c r="BX15" i="6" s="1"/>
  <c r="BX17" i="6" s="1"/>
  <c r="BV26" i="6"/>
  <c r="BV15" i="6" s="1"/>
  <c r="BU26" i="6"/>
  <c r="BW25" i="6"/>
  <c r="BW24" i="6"/>
  <c r="BW23" i="6"/>
  <c r="BW22" i="6"/>
  <c r="BW21" i="6"/>
  <c r="BX20" i="6"/>
  <c r="BX19" i="6" s="1"/>
  <c r="BX47" i="6" s="1"/>
  <c r="BW20" i="6"/>
  <c r="BV20" i="6"/>
  <c r="BW41" i="6" s="1"/>
  <c r="BU20" i="6"/>
  <c r="BX16" i="6"/>
  <c r="BS46" i="6"/>
  <c r="BT46" i="6" s="1"/>
  <c r="BS44" i="6"/>
  <c r="BT44" i="6" s="1"/>
  <c r="BS42" i="6"/>
  <c r="BT42" i="6" s="1"/>
  <c r="BR40" i="6"/>
  <c r="BS39" i="6"/>
  <c r="BS38" i="6"/>
  <c r="BS37" i="6"/>
  <c r="BS36" i="6" s="1"/>
  <c r="BT36" i="6"/>
  <c r="BT16" i="6" s="1"/>
  <c r="BR36" i="6"/>
  <c r="BS45" i="6" s="1"/>
  <c r="BT45" i="6" s="1"/>
  <c r="BQ36" i="6"/>
  <c r="BQ16" i="6" s="1"/>
  <c r="BS16" i="6" s="1"/>
  <c r="BS35" i="6"/>
  <c r="BS34" i="6"/>
  <c r="BS33" i="6"/>
  <c r="BT32" i="6"/>
  <c r="BT15" i="6" s="1"/>
  <c r="BS32" i="6"/>
  <c r="BR32" i="6"/>
  <c r="BR15" i="6" s="1"/>
  <c r="BR17" i="6" s="1"/>
  <c r="BQ32" i="6"/>
  <c r="BQ19" i="6" s="1"/>
  <c r="BS31" i="6"/>
  <c r="BS30" i="6"/>
  <c r="BS29" i="6"/>
  <c r="BS28" i="6"/>
  <c r="BS27" i="6"/>
  <c r="BS26" i="6" s="1"/>
  <c r="BT26" i="6"/>
  <c r="BR26" i="6"/>
  <c r="BQ26" i="6"/>
  <c r="BS25" i="6"/>
  <c r="BS24" i="6"/>
  <c r="BS23" i="6"/>
  <c r="BS22" i="6"/>
  <c r="BS21" i="6"/>
  <c r="BS20" i="6" s="1"/>
  <c r="BT20" i="6"/>
  <c r="BT19" i="6" s="1"/>
  <c r="BT47" i="6" s="1"/>
  <c r="BR20" i="6"/>
  <c r="BS41" i="6" s="1"/>
  <c r="BQ20" i="6"/>
  <c r="BR16" i="6"/>
  <c r="BO41" i="6"/>
  <c r="BO46" i="6"/>
  <c r="BP46" i="6" s="1"/>
  <c r="BO44" i="6"/>
  <c r="BP44" i="6" s="1"/>
  <c r="BO43" i="6"/>
  <c r="BP43" i="6" s="1"/>
  <c r="BO42" i="6"/>
  <c r="BP42" i="6" s="1"/>
  <c r="BN40" i="6"/>
  <c r="BO39" i="6"/>
  <c r="BO38" i="6"/>
  <c r="BO37" i="6"/>
  <c r="BP36" i="6"/>
  <c r="BO36" i="6"/>
  <c r="BN36" i="6"/>
  <c r="BO45" i="6" s="1"/>
  <c r="BP45" i="6" s="1"/>
  <c r="BM36" i="6"/>
  <c r="BM16" i="6" s="1"/>
  <c r="BO35" i="6"/>
  <c r="BO34" i="6"/>
  <c r="BO33" i="6"/>
  <c r="BO32" i="6" s="1"/>
  <c r="BP32" i="6"/>
  <c r="BN32" i="6"/>
  <c r="BM32" i="6"/>
  <c r="BM19" i="6" s="1"/>
  <c r="BO31" i="6"/>
  <c r="BO30" i="6"/>
  <c r="BO29" i="6"/>
  <c r="BO28" i="6"/>
  <c r="BO27" i="6"/>
  <c r="BO26" i="6" s="1"/>
  <c r="BP26" i="6"/>
  <c r="BN26" i="6"/>
  <c r="BN15" i="6" s="1"/>
  <c r="BM26" i="6"/>
  <c r="BO25" i="6"/>
  <c r="BO24" i="6"/>
  <c r="BO23" i="6"/>
  <c r="BO22" i="6"/>
  <c r="BO21" i="6"/>
  <c r="BP20" i="6"/>
  <c r="BP16" i="6" s="1"/>
  <c r="BP17" i="6" s="1"/>
  <c r="BO20" i="6"/>
  <c r="BN20" i="6"/>
  <c r="BM20" i="6"/>
  <c r="BP15" i="6"/>
  <c r="BK46" i="6"/>
  <c r="BL46" i="6" s="1"/>
  <c r="BK44" i="6"/>
  <c r="BL44" i="6" s="1"/>
  <c r="BK43" i="6"/>
  <c r="BL43" i="6" s="1"/>
  <c r="BL42" i="6"/>
  <c r="BK42" i="6"/>
  <c r="BJ40" i="6"/>
  <c r="BK39" i="6"/>
  <c r="BK38" i="6"/>
  <c r="BK37" i="6"/>
  <c r="BL36" i="6"/>
  <c r="BK36" i="6"/>
  <c r="BJ36" i="6"/>
  <c r="BK45" i="6" s="1"/>
  <c r="BL45" i="6" s="1"/>
  <c r="BI36" i="6"/>
  <c r="BI16" i="6" s="1"/>
  <c r="BK35" i="6"/>
  <c r="BK34" i="6"/>
  <c r="BK33" i="6"/>
  <c r="BL32" i="6"/>
  <c r="BK32" i="6"/>
  <c r="BJ32" i="6"/>
  <c r="BJ15" i="6" s="1"/>
  <c r="BI32" i="6"/>
  <c r="BI19" i="6" s="1"/>
  <c r="BK31" i="6"/>
  <c r="BK30" i="6"/>
  <c r="BK29" i="6"/>
  <c r="BK28" i="6"/>
  <c r="BK27" i="6"/>
  <c r="BK26" i="6" s="1"/>
  <c r="BL26" i="6"/>
  <c r="BJ26" i="6"/>
  <c r="BI26" i="6"/>
  <c r="BK25" i="6"/>
  <c r="BK24" i="6"/>
  <c r="BK23" i="6"/>
  <c r="BK22" i="6"/>
  <c r="BK21" i="6"/>
  <c r="BL20" i="6"/>
  <c r="BL19" i="6" s="1"/>
  <c r="BL47" i="6" s="1"/>
  <c r="BK20" i="6"/>
  <c r="BJ20" i="6"/>
  <c r="BK41" i="6" s="1"/>
  <c r="BI20" i="6"/>
  <c r="BL16" i="6"/>
  <c r="BL17" i="6" s="1"/>
  <c r="BL15" i="6"/>
  <c r="BG46" i="6"/>
  <c r="BH46" i="6" s="1"/>
  <c r="BG44" i="6"/>
  <c r="BH44" i="6" s="1"/>
  <c r="BG43" i="6"/>
  <c r="BH43" i="6" s="1"/>
  <c r="BG42" i="6"/>
  <c r="BH42" i="6" s="1"/>
  <c r="BF40" i="6"/>
  <c r="BG39" i="6"/>
  <c r="BG38" i="6"/>
  <c r="BG37" i="6"/>
  <c r="BH36" i="6"/>
  <c r="BG36" i="6"/>
  <c r="BF36" i="6"/>
  <c r="BG45" i="6" s="1"/>
  <c r="BH45" i="6" s="1"/>
  <c r="BE36" i="6"/>
  <c r="BE16" i="6" s="1"/>
  <c r="BG16" i="6" s="1"/>
  <c r="BG35" i="6"/>
  <c r="BG34" i="6"/>
  <c r="BG33" i="6"/>
  <c r="BG32" i="6" s="1"/>
  <c r="BH32" i="6"/>
  <c r="BF32" i="6"/>
  <c r="BE32" i="6"/>
  <c r="BE19" i="6" s="1"/>
  <c r="BG31" i="6"/>
  <c r="BG30" i="6"/>
  <c r="BG29" i="6"/>
  <c r="BG28" i="6"/>
  <c r="BG27" i="6"/>
  <c r="BG26" i="6" s="1"/>
  <c r="BH26" i="6"/>
  <c r="BF26" i="6"/>
  <c r="BF15" i="6" s="1"/>
  <c r="BF17" i="6" s="1"/>
  <c r="BE26" i="6"/>
  <c r="BG25" i="6"/>
  <c r="BG24" i="6"/>
  <c r="BG23" i="6"/>
  <c r="BG22" i="6"/>
  <c r="BG21" i="6"/>
  <c r="BG20" i="6" s="1"/>
  <c r="BH20" i="6"/>
  <c r="BH19" i="6" s="1"/>
  <c r="BH47" i="6" s="1"/>
  <c r="BF20" i="6"/>
  <c r="BG41" i="6" s="1"/>
  <c r="BE20" i="6"/>
  <c r="BH16" i="6"/>
  <c r="BH17" i="6" s="1"/>
  <c r="BF16" i="6"/>
  <c r="BH15" i="6"/>
  <c r="BC46" i="6"/>
  <c r="BD46" i="6" s="1"/>
  <c r="BC44" i="6"/>
  <c r="BD44" i="6" s="1"/>
  <c r="BC42" i="6"/>
  <c r="BD42" i="6" s="1"/>
  <c r="BB40" i="6"/>
  <c r="BC39" i="6"/>
  <c r="BC38" i="6"/>
  <c r="BC37" i="6"/>
  <c r="BC36" i="6" s="1"/>
  <c r="BD36" i="6"/>
  <c r="BD16" i="6" s="1"/>
  <c r="BD17" i="6" s="1"/>
  <c r="BB36" i="6"/>
  <c r="BC45" i="6" s="1"/>
  <c r="BD45" i="6" s="1"/>
  <c r="BA36" i="6"/>
  <c r="BA16" i="6" s="1"/>
  <c r="BC16" i="6" s="1"/>
  <c r="BC35" i="6"/>
  <c r="BC34" i="6"/>
  <c r="BC33" i="6"/>
  <c r="BC32" i="6" s="1"/>
  <c r="BD32" i="6"/>
  <c r="BB32" i="6"/>
  <c r="BC43" i="6" s="1"/>
  <c r="BD43" i="6" s="1"/>
  <c r="BA32" i="6"/>
  <c r="BA19" i="6" s="1"/>
  <c r="BC31" i="6"/>
  <c r="BC30" i="6"/>
  <c r="BC29" i="6"/>
  <c r="BC28" i="6"/>
  <c r="BC27" i="6"/>
  <c r="BC26" i="6" s="1"/>
  <c r="BD26" i="6"/>
  <c r="BB26" i="6"/>
  <c r="BB15" i="6" s="1"/>
  <c r="BB17" i="6" s="1"/>
  <c r="BA26" i="6"/>
  <c r="BC25" i="6"/>
  <c r="BC24" i="6"/>
  <c r="BC23" i="6"/>
  <c r="BC22" i="6"/>
  <c r="BC21" i="6"/>
  <c r="BD20" i="6"/>
  <c r="BD19" i="6" s="1"/>
  <c r="BD47" i="6" s="1"/>
  <c r="BC20" i="6"/>
  <c r="BB20" i="6"/>
  <c r="BC41" i="6" s="1"/>
  <c r="BA20" i="6"/>
  <c r="BB16" i="6"/>
  <c r="BD15" i="6"/>
  <c r="AZ46" i="6"/>
  <c r="AY46" i="6"/>
  <c r="AY44" i="6"/>
  <c r="AZ44" i="6" s="1"/>
  <c r="AY43" i="6"/>
  <c r="AZ43" i="6" s="1"/>
  <c r="AY42" i="6"/>
  <c r="AZ42" i="6" s="1"/>
  <c r="AX40" i="6"/>
  <c r="AY39" i="6"/>
  <c r="AY38" i="6"/>
  <c r="AY37" i="6"/>
  <c r="AZ36" i="6"/>
  <c r="AY36" i="6"/>
  <c r="AX36" i="6"/>
  <c r="AY45" i="6" s="1"/>
  <c r="AZ45" i="6" s="1"/>
  <c r="AW36" i="6"/>
  <c r="AW16" i="6" s="1"/>
  <c r="AY35" i="6"/>
  <c r="AY34" i="6"/>
  <c r="AY33" i="6"/>
  <c r="AY32" i="6" s="1"/>
  <c r="AZ32" i="6"/>
  <c r="AX32" i="6"/>
  <c r="AW32" i="6"/>
  <c r="AW19" i="6" s="1"/>
  <c r="AY31" i="6"/>
  <c r="AY30" i="6"/>
  <c r="AY29" i="6"/>
  <c r="AY28" i="6"/>
  <c r="AY27" i="6"/>
  <c r="AY26" i="6" s="1"/>
  <c r="AZ26" i="6"/>
  <c r="AX26" i="6"/>
  <c r="AX15" i="6" s="1"/>
  <c r="AW26" i="6"/>
  <c r="AY25" i="6"/>
  <c r="AY24" i="6"/>
  <c r="AY23" i="6"/>
  <c r="AY22" i="6"/>
  <c r="AY21" i="6"/>
  <c r="AY20" i="6" s="1"/>
  <c r="AZ20" i="6"/>
  <c r="AZ19" i="6" s="1"/>
  <c r="AZ47" i="6" s="1"/>
  <c r="AX20" i="6"/>
  <c r="AY41" i="6" s="1"/>
  <c r="AW20" i="6"/>
  <c r="AZ16" i="6"/>
  <c r="AZ17" i="6" s="1"/>
  <c r="AZ15" i="6"/>
  <c r="AU46" i="6"/>
  <c r="AV46" i="6" s="1"/>
  <c r="AU44" i="6"/>
  <c r="AV44" i="6" s="1"/>
  <c r="AU43" i="6"/>
  <c r="AV43" i="6" s="1"/>
  <c r="AU42" i="6"/>
  <c r="AV42" i="6" s="1"/>
  <c r="AT40" i="6"/>
  <c r="AU39" i="6"/>
  <c r="AU38" i="6"/>
  <c r="AU37" i="6"/>
  <c r="AV36" i="6"/>
  <c r="AU36" i="6"/>
  <c r="AT36" i="6"/>
  <c r="AU45" i="6" s="1"/>
  <c r="AV45" i="6" s="1"/>
  <c r="AS36" i="6"/>
  <c r="AS16" i="6" s="1"/>
  <c r="AU16" i="6" s="1"/>
  <c r="AU35" i="6"/>
  <c r="AU34" i="6"/>
  <c r="AU33" i="6"/>
  <c r="AU32" i="6" s="1"/>
  <c r="AV32" i="6"/>
  <c r="AT32" i="6"/>
  <c r="AS32" i="6"/>
  <c r="AS19" i="6" s="1"/>
  <c r="AU31" i="6"/>
  <c r="AU30" i="6"/>
  <c r="AU29" i="6"/>
  <c r="AU28" i="6"/>
  <c r="AU27" i="6"/>
  <c r="AU26" i="6" s="1"/>
  <c r="AV26" i="6"/>
  <c r="AT26" i="6"/>
  <c r="AT15" i="6" s="1"/>
  <c r="AT17" i="6" s="1"/>
  <c r="AS26" i="6"/>
  <c r="AU25" i="6"/>
  <c r="AU24" i="6"/>
  <c r="AU23" i="6"/>
  <c r="AU22" i="6"/>
  <c r="AU21" i="6"/>
  <c r="AV20" i="6"/>
  <c r="AV19" i="6" s="1"/>
  <c r="AV47" i="6" s="1"/>
  <c r="AU20" i="6"/>
  <c r="AT20" i="6"/>
  <c r="AU41" i="6" s="1"/>
  <c r="AS20" i="6"/>
  <c r="AT16" i="6"/>
  <c r="AV15" i="6"/>
  <c r="AQ46" i="6"/>
  <c r="AR46" i="6" s="1"/>
  <c r="AQ44" i="6"/>
  <c r="AR44" i="6" s="1"/>
  <c r="AQ43" i="6"/>
  <c r="AR43" i="6" s="1"/>
  <c r="AQ42" i="6"/>
  <c r="AR42" i="6" s="1"/>
  <c r="AP40" i="6"/>
  <c r="AQ39" i="6"/>
  <c r="AQ38" i="6"/>
  <c r="AQ37" i="6"/>
  <c r="AR36" i="6"/>
  <c r="AQ36" i="6"/>
  <c r="AP36" i="6"/>
  <c r="AQ45" i="6" s="1"/>
  <c r="AR45" i="6" s="1"/>
  <c r="AO36" i="6"/>
  <c r="AO16" i="6" s="1"/>
  <c r="AQ16" i="6" s="1"/>
  <c r="AQ35" i="6"/>
  <c r="AQ34" i="6"/>
  <c r="AQ33" i="6"/>
  <c r="AR32" i="6"/>
  <c r="AR15" i="6" s="1"/>
  <c r="AR17" i="6" s="1"/>
  <c r="AQ32" i="6"/>
  <c r="AP32" i="6"/>
  <c r="AO32" i="6"/>
  <c r="AO15" i="6" s="1"/>
  <c r="AQ31" i="6"/>
  <c r="AQ30" i="6"/>
  <c r="AQ29" i="6"/>
  <c r="AQ28" i="6"/>
  <c r="AQ27" i="6"/>
  <c r="AQ26" i="6" s="1"/>
  <c r="AR26" i="6"/>
  <c r="AP26" i="6"/>
  <c r="AP15" i="6" s="1"/>
  <c r="AP17" i="6" s="1"/>
  <c r="AO26" i="6"/>
  <c r="AQ25" i="6"/>
  <c r="AQ24" i="6"/>
  <c r="AQ23" i="6"/>
  <c r="AQ22" i="6"/>
  <c r="AQ21" i="6"/>
  <c r="AQ20" i="6" s="1"/>
  <c r="AR20" i="6"/>
  <c r="AR19" i="6" s="1"/>
  <c r="AR47" i="6" s="1"/>
  <c r="AP20" i="6"/>
  <c r="AQ41" i="6" s="1"/>
  <c r="AO20" i="6"/>
  <c r="AR16" i="6"/>
  <c r="AP16" i="6"/>
  <c r="AM46" i="6"/>
  <c r="AN46" i="6" s="1"/>
  <c r="AM44" i="6"/>
  <c r="AN44" i="6" s="1"/>
  <c r="AM43" i="6"/>
  <c r="AN43" i="6" s="1"/>
  <c r="AN42" i="6"/>
  <c r="AM42" i="6"/>
  <c r="AL40" i="6"/>
  <c r="AM39" i="6"/>
  <c r="AM38" i="6"/>
  <c r="AM37" i="6"/>
  <c r="AN36" i="6"/>
  <c r="AM36" i="6"/>
  <c r="AL36" i="6"/>
  <c r="AM45" i="6" s="1"/>
  <c r="AN45" i="6" s="1"/>
  <c r="AK36" i="6"/>
  <c r="AK16" i="6" s="1"/>
  <c r="AM35" i="6"/>
  <c r="AM34" i="6"/>
  <c r="AM33" i="6"/>
  <c r="AN32" i="6"/>
  <c r="AM32" i="6"/>
  <c r="AL32" i="6"/>
  <c r="AK32" i="6"/>
  <c r="AK19" i="6" s="1"/>
  <c r="AM31" i="6"/>
  <c r="AM30" i="6"/>
  <c r="AM29" i="6"/>
  <c r="AM28" i="6"/>
  <c r="AM27" i="6"/>
  <c r="AM26" i="6" s="1"/>
  <c r="AN26" i="6"/>
  <c r="AN15" i="6" s="1"/>
  <c r="AN17" i="6" s="1"/>
  <c r="AL26" i="6"/>
  <c r="AL15" i="6" s="1"/>
  <c r="AK26" i="6"/>
  <c r="AM25" i="6"/>
  <c r="AM24" i="6"/>
  <c r="AM23" i="6"/>
  <c r="AM22" i="6"/>
  <c r="AM21" i="6"/>
  <c r="AN20" i="6"/>
  <c r="AN19" i="6" s="1"/>
  <c r="AN47" i="6" s="1"/>
  <c r="AM20" i="6"/>
  <c r="AL20" i="6"/>
  <c r="AM41" i="6" s="1"/>
  <c r="AK20" i="6"/>
  <c r="AN16" i="6"/>
  <c r="AI46" i="6"/>
  <c r="AJ46" i="6" s="1"/>
  <c r="AI44" i="6"/>
  <c r="AJ44" i="6" s="1"/>
  <c r="AI43" i="6"/>
  <c r="AJ43" i="6" s="1"/>
  <c r="AI42" i="6"/>
  <c r="AJ42" i="6" s="1"/>
  <c r="AH40" i="6"/>
  <c r="AI39" i="6"/>
  <c r="AI38" i="6"/>
  <c r="AI37" i="6"/>
  <c r="AJ36" i="6"/>
  <c r="AI36" i="6"/>
  <c r="AH36" i="6"/>
  <c r="AI45" i="6" s="1"/>
  <c r="AJ45" i="6" s="1"/>
  <c r="AG36" i="6"/>
  <c r="AG16" i="6" s="1"/>
  <c r="AI16" i="6" s="1"/>
  <c r="AI35" i="6"/>
  <c r="AI34" i="6"/>
  <c r="AI33" i="6"/>
  <c r="AJ32" i="6"/>
  <c r="AJ15" i="6" s="1"/>
  <c r="AJ17" i="6" s="1"/>
  <c r="AI32" i="6"/>
  <c r="AH32" i="6"/>
  <c r="AH15" i="6" s="1"/>
  <c r="AH17" i="6" s="1"/>
  <c r="AG32" i="6"/>
  <c r="AG15" i="6" s="1"/>
  <c r="AI31" i="6"/>
  <c r="AI30" i="6"/>
  <c r="AI29" i="6"/>
  <c r="AI28" i="6"/>
  <c r="AI27" i="6"/>
  <c r="AI26" i="6" s="1"/>
  <c r="AJ26" i="6"/>
  <c r="AH26" i="6"/>
  <c r="AG26" i="6"/>
  <c r="AI25" i="6"/>
  <c r="AI24" i="6"/>
  <c r="AI23" i="6"/>
  <c r="AI22" i="6"/>
  <c r="AI21" i="6"/>
  <c r="AJ20" i="6"/>
  <c r="AJ19" i="6" s="1"/>
  <c r="AJ47" i="6" s="1"/>
  <c r="AI20" i="6"/>
  <c r="AH20" i="6"/>
  <c r="AI41" i="6" s="1"/>
  <c r="AG20" i="6"/>
  <c r="AJ16" i="6"/>
  <c r="AH16" i="6"/>
  <c r="AE46" i="6"/>
  <c r="AF46" i="6" s="1"/>
  <c r="AE44" i="6"/>
  <c r="AF44" i="6" s="1"/>
  <c r="AE43" i="6"/>
  <c r="AF43" i="6" s="1"/>
  <c r="AE42" i="6"/>
  <c r="AF42" i="6" s="1"/>
  <c r="AD40" i="6"/>
  <c r="AE39" i="6"/>
  <c r="AE38" i="6"/>
  <c r="AE37" i="6"/>
  <c r="AF36" i="6"/>
  <c r="AE36" i="6"/>
  <c r="AD36" i="6"/>
  <c r="AE45" i="6" s="1"/>
  <c r="AF45" i="6" s="1"/>
  <c r="AC36" i="6"/>
  <c r="AC16" i="6" s="1"/>
  <c r="AE16" i="6" s="1"/>
  <c r="AE35" i="6"/>
  <c r="AE34" i="6"/>
  <c r="AE33" i="6"/>
  <c r="AE32" i="6" s="1"/>
  <c r="AF32" i="6"/>
  <c r="AD32" i="6"/>
  <c r="AD15" i="6" s="1"/>
  <c r="AD17" i="6" s="1"/>
  <c r="AC32" i="6"/>
  <c r="AC19" i="6" s="1"/>
  <c r="AE31" i="6"/>
  <c r="AE30" i="6"/>
  <c r="AE29" i="6"/>
  <c r="AE28" i="6"/>
  <c r="AE27" i="6"/>
  <c r="AE26" i="6" s="1"/>
  <c r="AF26" i="6"/>
  <c r="AD26" i="6"/>
  <c r="AC26" i="6"/>
  <c r="AE25" i="6"/>
  <c r="AE24" i="6"/>
  <c r="AE23" i="6"/>
  <c r="AE22" i="6"/>
  <c r="AE21" i="6"/>
  <c r="AF20" i="6"/>
  <c r="AF19" i="6" s="1"/>
  <c r="AF47" i="6" s="1"/>
  <c r="AE20" i="6"/>
  <c r="AD20" i="6"/>
  <c r="AE41" i="6" s="1"/>
  <c r="AC20" i="6"/>
  <c r="AD16" i="6"/>
  <c r="AF15" i="6"/>
  <c r="AA46" i="6"/>
  <c r="AB46" i="6" s="1"/>
  <c r="AA44" i="6"/>
  <c r="AB44" i="6" s="1"/>
  <c r="AA43" i="6"/>
  <c r="AB43" i="6" s="1"/>
  <c r="AA42" i="6"/>
  <c r="AB42" i="6" s="1"/>
  <c r="Z40" i="6"/>
  <c r="AA39" i="6"/>
  <c r="AA38" i="6"/>
  <c r="AA37" i="6"/>
  <c r="AB36" i="6"/>
  <c r="AA36" i="6"/>
  <c r="Z36" i="6"/>
  <c r="AA45" i="6" s="1"/>
  <c r="AB45" i="6" s="1"/>
  <c r="Y36" i="6"/>
  <c r="Y16" i="6" s="1"/>
  <c r="AA16" i="6" s="1"/>
  <c r="AA35" i="6"/>
  <c r="AA34" i="6"/>
  <c r="AA33" i="6"/>
  <c r="AB32" i="6"/>
  <c r="AB15" i="6" s="1"/>
  <c r="AB17" i="6" s="1"/>
  <c r="AA32" i="6"/>
  <c r="Z32" i="6"/>
  <c r="Z15" i="6" s="1"/>
  <c r="Z17" i="6" s="1"/>
  <c r="Y32" i="6"/>
  <c r="Y19" i="6" s="1"/>
  <c r="AA31" i="6"/>
  <c r="AA30" i="6"/>
  <c r="AA29" i="6"/>
  <c r="AA28" i="6"/>
  <c r="AA27" i="6"/>
  <c r="AA26" i="6" s="1"/>
  <c r="AB26" i="6"/>
  <c r="Z26" i="6"/>
  <c r="Y26" i="6"/>
  <c r="AA25" i="6"/>
  <c r="AA24" i="6"/>
  <c r="AA23" i="6"/>
  <c r="AA22" i="6"/>
  <c r="AA21" i="6"/>
  <c r="AB20" i="6"/>
  <c r="AB19" i="6" s="1"/>
  <c r="AB47" i="6" s="1"/>
  <c r="AA20" i="6"/>
  <c r="Z20" i="6"/>
  <c r="AA41" i="6" s="1"/>
  <c r="Y20" i="6"/>
  <c r="AB16" i="6"/>
  <c r="Z16" i="6"/>
  <c r="W46" i="6"/>
  <c r="X46" i="6" s="1"/>
  <c r="W44" i="6"/>
  <c r="X44" i="6" s="1"/>
  <c r="W43" i="6"/>
  <c r="X43" i="6" s="1"/>
  <c r="W42" i="6"/>
  <c r="X42" i="6" s="1"/>
  <c r="V40" i="6"/>
  <c r="W39" i="6"/>
  <c r="W38" i="6"/>
  <c r="W37" i="6"/>
  <c r="X36" i="6"/>
  <c r="W36" i="6"/>
  <c r="V36" i="6"/>
  <c r="W45" i="6" s="1"/>
  <c r="X45" i="6" s="1"/>
  <c r="U36" i="6"/>
  <c r="W35" i="6"/>
  <c r="W34" i="6"/>
  <c r="W33" i="6"/>
  <c r="W32" i="6" s="1"/>
  <c r="X32" i="6"/>
  <c r="V32" i="6"/>
  <c r="U32" i="6"/>
  <c r="U15" i="6" s="1"/>
  <c r="W31" i="6"/>
  <c r="W30" i="6"/>
  <c r="W29" i="6"/>
  <c r="W28" i="6"/>
  <c r="W27" i="6"/>
  <c r="W26" i="6" s="1"/>
  <c r="X26" i="6"/>
  <c r="X15" i="6" s="1"/>
  <c r="X17" i="6" s="1"/>
  <c r="V26" i="6"/>
  <c r="V15" i="6" s="1"/>
  <c r="U26" i="6"/>
  <c r="W25" i="6"/>
  <c r="W24" i="6"/>
  <c r="W23" i="6"/>
  <c r="W22" i="6"/>
  <c r="W21" i="6"/>
  <c r="X20" i="6"/>
  <c r="X19" i="6" s="1"/>
  <c r="X47" i="6" s="1"/>
  <c r="W20" i="6"/>
  <c r="V20" i="6"/>
  <c r="W41" i="6" s="1"/>
  <c r="U20" i="6"/>
  <c r="U19" i="6" s="1"/>
  <c r="X16" i="6"/>
  <c r="S43" i="6"/>
  <c r="O43" i="6"/>
  <c r="S46" i="6"/>
  <c r="S45" i="6"/>
  <c r="S44" i="6"/>
  <c r="S42" i="6"/>
  <c r="S41" i="6"/>
  <c r="E41" i="6" s="1"/>
  <c r="R40" i="6"/>
  <c r="O45" i="6"/>
  <c r="O46" i="6"/>
  <c r="E46" i="6" s="1"/>
  <c r="O44" i="6"/>
  <c r="E44" i="6" s="1"/>
  <c r="O36" i="6"/>
  <c r="C40" i="6"/>
  <c r="E150" i="2" l="1"/>
  <c r="G151" i="1"/>
  <c r="H151" i="1" s="1"/>
  <c r="E145" i="1"/>
  <c r="G145" i="1" s="1"/>
  <c r="H145" i="1" s="1"/>
  <c r="F75" i="1"/>
  <c r="G154" i="1"/>
  <c r="H154" i="1" s="1"/>
  <c r="M145" i="1"/>
  <c r="O145" i="1" s="1"/>
  <c r="P145" i="1" s="1"/>
  <c r="E83" i="1"/>
  <c r="G83" i="1" s="1"/>
  <c r="H83" i="1" s="1"/>
  <c r="E146" i="1"/>
  <c r="I148" i="2"/>
  <c r="D18" i="2"/>
  <c r="E143" i="2"/>
  <c r="E139" i="1" s="1"/>
  <c r="D19" i="2"/>
  <c r="D20" i="2"/>
  <c r="D21" i="2"/>
  <c r="I127" i="2"/>
  <c r="M127" i="2"/>
  <c r="L127" i="2" s="1"/>
  <c r="F123" i="1"/>
  <c r="D22" i="2"/>
  <c r="D23" i="2"/>
  <c r="M149" i="2"/>
  <c r="L149" i="2" s="1"/>
  <c r="L148" i="2" s="1"/>
  <c r="H114" i="2"/>
  <c r="E44" i="24"/>
  <c r="J57" i="21"/>
  <c r="D41" i="6"/>
  <c r="K55" i="21"/>
  <c r="AC17" i="28"/>
  <c r="AE17" i="28" s="1"/>
  <c r="AE15" i="28"/>
  <c r="CA15" i="28"/>
  <c r="BY17" i="28"/>
  <c r="CA17" i="28" s="1"/>
  <c r="BC16" i="28"/>
  <c r="AR40" i="28"/>
  <c r="DI17" i="28"/>
  <c r="BM17" i="28"/>
  <c r="BO17" i="28" s="1"/>
  <c r="BO15" i="28"/>
  <c r="Q17" i="28"/>
  <c r="S17" i="28" s="1"/>
  <c r="S15" i="28"/>
  <c r="CL17" i="28"/>
  <c r="AW16" i="28"/>
  <c r="AW19" i="28"/>
  <c r="CG17" i="28"/>
  <c r="DS15" i="28"/>
  <c r="Z16" i="28"/>
  <c r="Z17" i="28" s="1"/>
  <c r="CW16" i="28"/>
  <c r="CY16" i="28" s="1"/>
  <c r="CW19" i="28"/>
  <c r="DG45" i="28"/>
  <c r="DH45" i="28" s="1"/>
  <c r="DF19" i="28"/>
  <c r="DF16" i="28"/>
  <c r="DG16" i="28" s="1"/>
  <c r="DT16" i="28"/>
  <c r="DT19" i="28"/>
  <c r="DT47" i="28" s="1"/>
  <c r="DU17" i="28"/>
  <c r="BW17" i="28"/>
  <c r="O17" i="28"/>
  <c r="CY41" i="28"/>
  <c r="CX16" i="28"/>
  <c r="CX17" i="28" s="1"/>
  <c r="CX19" i="28"/>
  <c r="AR17" i="28"/>
  <c r="CS19" i="28"/>
  <c r="CS16" i="28"/>
  <c r="DU19" i="28"/>
  <c r="DU16" i="28"/>
  <c r="P40" i="28"/>
  <c r="BV16" i="28"/>
  <c r="BV17" i="28" s="1"/>
  <c r="BV19" i="28"/>
  <c r="BW41" i="28"/>
  <c r="CJ16" i="28"/>
  <c r="CJ17" i="28" s="1"/>
  <c r="CJ19" i="28"/>
  <c r="CJ47" i="28" s="1"/>
  <c r="AS17" i="28"/>
  <c r="AU17" i="28" s="1"/>
  <c r="AU15" i="28"/>
  <c r="CQ15" i="28"/>
  <c r="CO17" i="28"/>
  <c r="CQ17" i="28" s="1"/>
  <c r="DW15" i="28"/>
  <c r="BB17" i="28"/>
  <c r="CB40" i="28"/>
  <c r="AU40" i="28"/>
  <c r="DO40" i="28"/>
  <c r="AN17" i="28"/>
  <c r="DK15" i="28"/>
  <c r="AY41" i="28"/>
  <c r="AX16" i="28"/>
  <c r="AX17" i="28" s="1"/>
  <c r="AX19" i="28"/>
  <c r="BO16" i="28"/>
  <c r="CR40" i="28"/>
  <c r="DH40" i="28"/>
  <c r="DW41" i="28"/>
  <c r="DV16" i="28"/>
  <c r="DV17" i="28" s="1"/>
  <c r="DV19" i="28"/>
  <c r="BP15" i="28"/>
  <c r="BP17" i="28" s="1"/>
  <c r="DP41" i="28"/>
  <c r="DP40" i="28" s="1"/>
  <c r="W16" i="28"/>
  <c r="BC15" i="28"/>
  <c r="BA17" i="28"/>
  <c r="BC17" i="28" s="1"/>
  <c r="AO17" i="28"/>
  <c r="CS17" i="28"/>
  <c r="BB19" i="28"/>
  <c r="V19" i="28"/>
  <c r="V16" i="28"/>
  <c r="V17" i="28" s="1"/>
  <c r="AJ16" i="28"/>
  <c r="AJ17" i="28" s="1"/>
  <c r="AJ19" i="28"/>
  <c r="AJ47" i="28" s="1"/>
  <c r="AZ16" i="28"/>
  <c r="AZ17" i="28" s="1"/>
  <c r="DX19" i="28"/>
  <c r="DX47" i="28" s="1"/>
  <c r="DX16" i="28"/>
  <c r="DX17" i="28" s="1"/>
  <c r="BQ17" i="28"/>
  <c r="BS17" i="28" s="1"/>
  <c r="BS15" i="28"/>
  <c r="DT17" i="28"/>
  <c r="AP15" i="28"/>
  <c r="AP17" i="28" s="1"/>
  <c r="BZ15" i="28"/>
  <c r="BZ17" i="28" s="1"/>
  <c r="AK16" i="28"/>
  <c r="AK19" i="28"/>
  <c r="BA19" i="28"/>
  <c r="DI16" i="28"/>
  <c r="DI19" i="28"/>
  <c r="DY19" i="28"/>
  <c r="DY16" i="28"/>
  <c r="EE20" i="28"/>
  <c r="BG20" i="28"/>
  <c r="DC20" i="28"/>
  <c r="DG15" i="28"/>
  <c r="DF17" i="28"/>
  <c r="DG17" i="28" s="1"/>
  <c r="S40" i="28"/>
  <c r="CQ40" i="28"/>
  <c r="BI16" i="28"/>
  <c r="BI19" i="28"/>
  <c r="CK16" i="28"/>
  <c r="CM16" i="28" s="1"/>
  <c r="CK19" i="28"/>
  <c r="BB16" i="28"/>
  <c r="CD17" i="28"/>
  <c r="O16" i="28"/>
  <c r="X16" i="28"/>
  <c r="X17" i="28" s="1"/>
  <c r="X19" i="28"/>
  <c r="X47" i="28" s="1"/>
  <c r="CV41" i="28"/>
  <c r="CV40" i="28" s="1"/>
  <c r="CU40" i="28"/>
  <c r="DK41" i="28"/>
  <c r="DJ16" i="28"/>
  <c r="DJ17" i="28" s="1"/>
  <c r="DJ19" i="28"/>
  <c r="BD17" i="28"/>
  <c r="W41" i="28"/>
  <c r="O43" i="28"/>
  <c r="P43" i="28" s="1"/>
  <c r="AV40" i="28"/>
  <c r="BK41" i="28"/>
  <c r="BJ16" i="28"/>
  <c r="BJ17" i="28" s="1"/>
  <c r="BJ19" i="28"/>
  <c r="BX16" i="28"/>
  <c r="BX17" i="28" s="1"/>
  <c r="BX19" i="28"/>
  <c r="BX47" i="28" s="1"/>
  <c r="CB17" i="28"/>
  <c r="AI26" i="28"/>
  <c r="CE26" i="28"/>
  <c r="EA26" i="28"/>
  <c r="ED15" i="28"/>
  <c r="ED17" i="28" s="1"/>
  <c r="EE43" i="28"/>
  <c r="EF43" i="28" s="1"/>
  <c r="BT41" i="28"/>
  <c r="BT40" i="28" s="1"/>
  <c r="AV16" i="28"/>
  <c r="AV17" i="28" s="1"/>
  <c r="AV19" i="28"/>
  <c r="AV47" i="28" s="1"/>
  <c r="CA16" i="28"/>
  <c r="AG17" i="28"/>
  <c r="AI17" i="28" s="1"/>
  <c r="AI15" i="28"/>
  <c r="CE15" i="28"/>
  <c r="CC17" i="28"/>
  <c r="CE17" i="28" s="1"/>
  <c r="AB17" i="28"/>
  <c r="BL17" i="28"/>
  <c r="CY15" i="28"/>
  <c r="DP17" i="28"/>
  <c r="Y16" i="28"/>
  <c r="AN19" i="28"/>
  <c r="AN47" i="28" s="1"/>
  <c r="CV16" i="28"/>
  <c r="CV17" i="28" s="1"/>
  <c r="CV19" i="28"/>
  <c r="CV47" i="28" s="1"/>
  <c r="DL19" i="28"/>
  <c r="DL47" i="28" s="1"/>
  <c r="DL16" i="28"/>
  <c r="DL17" i="28" s="1"/>
  <c r="AU20" i="28"/>
  <c r="CQ20" i="28"/>
  <c r="BE17" i="28"/>
  <c r="BG17" i="28" s="1"/>
  <c r="BG15" i="28"/>
  <c r="DC15" i="28"/>
  <c r="DA17" i="28"/>
  <c r="DC17" i="28" s="1"/>
  <c r="O26" i="28"/>
  <c r="BK26" i="28"/>
  <c r="DG26" i="28"/>
  <c r="BC26" i="28"/>
  <c r="CY26" i="28"/>
  <c r="N17" i="28"/>
  <c r="AA40" i="28"/>
  <c r="DS40" i="28"/>
  <c r="AB41" i="28"/>
  <c r="AB40" i="28" s="1"/>
  <c r="DT41" i="28"/>
  <c r="DT40" i="28" s="1"/>
  <c r="T15" i="28"/>
  <c r="T17" i="28" s="1"/>
  <c r="CT16" i="28"/>
  <c r="CM20" i="28"/>
  <c r="U15" i="28"/>
  <c r="CH16" i="28"/>
  <c r="CH17" i="28" s="1"/>
  <c r="DH16" i="28"/>
  <c r="DH17" i="28" s="1"/>
  <c r="BC40" i="28"/>
  <c r="BD41" i="28"/>
  <c r="BD40" i="28" s="1"/>
  <c r="EE26" i="28"/>
  <c r="AE40" i="28"/>
  <c r="CA40" i="28"/>
  <c r="AN41" i="28"/>
  <c r="AN40" i="28" s="1"/>
  <c r="AM40" i="28"/>
  <c r="CG16" i="28"/>
  <c r="AQ20" i="28"/>
  <c r="EC17" i="28"/>
  <c r="EE17" i="28" s="1"/>
  <c r="CF40" i="28"/>
  <c r="EF41" i="28"/>
  <c r="EF40" i="28" s="1"/>
  <c r="EE40" i="28"/>
  <c r="W32" i="28"/>
  <c r="BS32" i="28"/>
  <c r="DO32" i="28"/>
  <c r="DQ17" i="28"/>
  <c r="BC20" i="28"/>
  <c r="CY20" i="28"/>
  <c r="EB40" i="28"/>
  <c r="DC40" i="28"/>
  <c r="DD41" i="28"/>
  <c r="DD40" i="28" s="1"/>
  <c r="AQ40" i="28"/>
  <c r="CM41" i="28"/>
  <c r="DR15" i="28"/>
  <c r="DR17" i="28" s="1"/>
  <c r="Y19" i="28"/>
  <c r="AL19" i="28"/>
  <c r="BL19" i="28"/>
  <c r="BL47" i="28" s="1"/>
  <c r="BY19" i="28"/>
  <c r="CL19" i="28"/>
  <c r="BG40" i="28"/>
  <c r="BH41" i="28"/>
  <c r="BH40" i="28" s="1"/>
  <c r="AI40" i="28"/>
  <c r="CE40" i="28"/>
  <c r="EA40" i="28"/>
  <c r="AL16" i="28"/>
  <c r="AL17" i="28" s="1"/>
  <c r="CZ16" i="28"/>
  <c r="CZ17" i="28" s="1"/>
  <c r="DM16" i="28"/>
  <c r="DZ16" i="28"/>
  <c r="DZ17" i="28" s="1"/>
  <c r="M19" i="28"/>
  <c r="Z19" i="28"/>
  <c r="AZ19" i="28"/>
  <c r="AZ47" i="28" s="1"/>
  <c r="BM19" i="28"/>
  <c r="BZ19" i="28"/>
  <c r="DZ19" i="28"/>
  <c r="O40" i="28"/>
  <c r="DG40" i="28"/>
  <c r="CH19" i="28"/>
  <c r="CT15" i="28"/>
  <c r="BZ16" i="28"/>
  <c r="CN16" i="28"/>
  <c r="CN17" i="28" s="1"/>
  <c r="DA16" i="28"/>
  <c r="DC16" i="28" s="1"/>
  <c r="DN16" i="28"/>
  <c r="DN17" i="28" s="1"/>
  <c r="N19" i="28"/>
  <c r="BN19" i="28"/>
  <c r="AJ40" i="28"/>
  <c r="CJ41" i="28"/>
  <c r="CJ40" i="28" s="1"/>
  <c r="CI40" i="28"/>
  <c r="S20" i="28"/>
  <c r="BO20" i="28"/>
  <c r="DK20" i="28"/>
  <c r="W15" i="26"/>
  <c r="DM17" i="26"/>
  <c r="CA16" i="26"/>
  <c r="AI15" i="26"/>
  <c r="AG17" i="26"/>
  <c r="BO16" i="26"/>
  <c r="T17" i="26"/>
  <c r="CB40" i="26"/>
  <c r="DZ19" i="26"/>
  <c r="EA41" i="26"/>
  <c r="V19" i="26"/>
  <c r="V16" i="26"/>
  <c r="V17" i="26" s="1"/>
  <c r="AT15" i="26"/>
  <c r="AU42" i="26"/>
  <c r="AV42" i="26" s="1"/>
  <c r="AA43" i="26"/>
  <c r="AB43" i="26" s="1"/>
  <c r="AB40" i="26" s="1"/>
  <c r="Z15" i="26"/>
  <c r="Z17" i="26" s="1"/>
  <c r="AZ15" i="26"/>
  <c r="AZ17" i="26" s="1"/>
  <c r="AZ19" i="26"/>
  <c r="AZ47" i="26" s="1"/>
  <c r="BN15" i="26"/>
  <c r="BN17" i="26" s="1"/>
  <c r="BO43" i="26"/>
  <c r="BP43" i="26" s="1"/>
  <c r="BN19" i="26"/>
  <c r="DS15" i="26"/>
  <c r="O26" i="26"/>
  <c r="BK26" i="26"/>
  <c r="DG26" i="26"/>
  <c r="AI26" i="26"/>
  <c r="CY26" i="26"/>
  <c r="N17" i="26"/>
  <c r="AN15" i="26"/>
  <c r="AN17" i="26" s="1"/>
  <c r="AN19" i="26"/>
  <c r="AN47" i="26" s="1"/>
  <c r="BA15" i="26"/>
  <c r="BA19" i="26"/>
  <c r="DO41" i="26"/>
  <c r="X17" i="26"/>
  <c r="BP17" i="26"/>
  <c r="DT17" i="26"/>
  <c r="S16" i="26"/>
  <c r="DZ16" i="26"/>
  <c r="EA16" i="26" s="1"/>
  <c r="AI42" i="26"/>
  <c r="AJ42" i="26" s="1"/>
  <c r="AH15" i="26"/>
  <c r="AO15" i="26"/>
  <c r="AO19" i="26"/>
  <c r="BC43" i="26"/>
  <c r="BD43" i="26" s="1"/>
  <c r="BB15" i="26"/>
  <c r="BB19" i="26"/>
  <c r="DS16" i="26"/>
  <c r="CM15" i="26"/>
  <c r="AQ43" i="26"/>
  <c r="AR43" i="26" s="1"/>
  <c r="AP19" i="26"/>
  <c r="EF16" i="26"/>
  <c r="EF19" i="26"/>
  <c r="EF47" i="26" s="1"/>
  <c r="AZ40" i="26"/>
  <c r="DT40" i="26"/>
  <c r="DG45" i="26"/>
  <c r="DH45" i="26" s="1"/>
  <c r="DH40" i="26" s="1"/>
  <c r="DF19" i="26"/>
  <c r="BP41" i="26"/>
  <c r="BP40" i="26" s="1"/>
  <c r="CB16" i="26"/>
  <c r="CB17" i="26" s="1"/>
  <c r="CC19" i="26"/>
  <c r="CC16" i="26"/>
  <c r="AY20" i="26"/>
  <c r="BN16" i="26"/>
  <c r="BO45" i="26"/>
  <c r="BP45" i="26" s="1"/>
  <c r="O15" i="26"/>
  <c r="CR17" i="26"/>
  <c r="DL16" i="26"/>
  <c r="DL17" i="26" s="1"/>
  <c r="BU17" i="26"/>
  <c r="BW17" i="26" s="1"/>
  <c r="DM19" i="26"/>
  <c r="AF40" i="26"/>
  <c r="BD19" i="26"/>
  <c r="BD47" i="26" s="1"/>
  <c r="BD16" i="26"/>
  <c r="BD17" i="26" s="1"/>
  <c r="BQ19" i="26"/>
  <c r="BQ16" i="26"/>
  <c r="CD19" i="26"/>
  <c r="CE41" i="26"/>
  <c r="CD16" i="26"/>
  <c r="DI15" i="26"/>
  <c r="DI19" i="26"/>
  <c r="DC26" i="26"/>
  <c r="BK40" i="26"/>
  <c r="BZ16" i="26"/>
  <c r="CA45" i="26"/>
  <c r="CB45" i="26" s="1"/>
  <c r="AC15" i="26"/>
  <c r="AY45" i="26"/>
  <c r="AZ45" i="26" s="1"/>
  <c r="AX19" i="26"/>
  <c r="DT16" i="26"/>
  <c r="DT19" i="26"/>
  <c r="DT47" i="26" s="1"/>
  <c r="CP19" i="26"/>
  <c r="CQ41" i="26"/>
  <c r="CP16" i="26"/>
  <c r="CP17" i="26" s="1"/>
  <c r="CU20" i="26"/>
  <c r="BC26" i="26"/>
  <c r="DU16" i="26"/>
  <c r="DW16" i="26" s="1"/>
  <c r="DU19" i="26"/>
  <c r="BX17" i="26"/>
  <c r="AR19" i="26"/>
  <c r="AR47" i="26" s="1"/>
  <c r="AR16" i="26"/>
  <c r="AR17" i="26" s="1"/>
  <c r="BE19" i="26"/>
  <c r="BE16" i="26"/>
  <c r="BR19" i="26"/>
  <c r="BR16" i="26"/>
  <c r="AB19" i="26"/>
  <c r="AB47" i="26" s="1"/>
  <c r="BR15" i="26"/>
  <c r="BS42" i="26"/>
  <c r="BT42" i="26" s="1"/>
  <c r="BT40" i="26" s="1"/>
  <c r="BX40" i="26"/>
  <c r="BQ17" i="26"/>
  <c r="EA26" i="26"/>
  <c r="AJ17" i="26"/>
  <c r="EE15" i="26"/>
  <c r="DN16" i="26"/>
  <c r="DN17" i="26" s="1"/>
  <c r="AF19" i="26"/>
  <c r="AF47" i="26" s="1"/>
  <c r="AF16" i="26"/>
  <c r="AF17" i="26" s="1"/>
  <c r="BF19" i="26"/>
  <c r="BG41" i="26"/>
  <c r="BF16" i="26"/>
  <c r="CS19" i="26"/>
  <c r="CA15" i="26"/>
  <c r="BY17" i="26"/>
  <c r="CM43" i="26"/>
  <c r="CN43" i="26" s="1"/>
  <c r="CL15" i="26"/>
  <c r="BB16" i="26"/>
  <c r="BC16" i="26" s="1"/>
  <c r="BC45" i="26"/>
  <c r="BD45" i="26" s="1"/>
  <c r="DR19" i="26"/>
  <c r="DR16" i="26"/>
  <c r="DR17" i="26" s="1"/>
  <c r="DS17" i="26" s="1"/>
  <c r="EA15" i="26"/>
  <c r="DB19" i="26"/>
  <c r="DC41" i="26"/>
  <c r="BP19" i="26"/>
  <c r="BP47" i="26" s="1"/>
  <c r="BP16" i="26"/>
  <c r="CE42" i="26"/>
  <c r="CF42" i="26" s="1"/>
  <c r="CD15" i="26"/>
  <c r="CD17" i="26" s="1"/>
  <c r="AM15" i="26"/>
  <c r="CC17" i="26"/>
  <c r="EF17" i="26"/>
  <c r="CN16" i="26"/>
  <c r="BH19" i="26"/>
  <c r="BH47" i="26" s="1"/>
  <c r="T19" i="26"/>
  <c r="T47" i="26" s="1"/>
  <c r="AT19" i="26"/>
  <c r="AU41" i="26"/>
  <c r="AT16" i="26"/>
  <c r="AU16" i="26" s="1"/>
  <c r="BG42" i="26"/>
  <c r="BH42" i="26" s="1"/>
  <c r="BF15" i="26"/>
  <c r="BL15" i="26"/>
  <c r="BL17" i="26" s="1"/>
  <c r="BL19" i="26"/>
  <c r="BL47" i="26" s="1"/>
  <c r="CA43" i="26"/>
  <c r="CB43" i="26" s="1"/>
  <c r="BZ15" i="26"/>
  <c r="BZ19" i="26"/>
  <c r="CV41" i="26"/>
  <c r="CV40" i="26" s="1"/>
  <c r="CN17" i="26"/>
  <c r="DE16" i="26"/>
  <c r="DE19" i="26"/>
  <c r="DW42" i="26"/>
  <c r="DX42" i="26" s="1"/>
  <c r="DX40" i="26" s="1"/>
  <c r="DV15" i="26"/>
  <c r="DV17" i="26" s="1"/>
  <c r="P19" i="26"/>
  <c r="AP15" i="26"/>
  <c r="O16" i="26"/>
  <c r="CO16" i="26"/>
  <c r="U19" i="26"/>
  <c r="U16" i="26"/>
  <c r="AH19" i="26"/>
  <c r="AI41" i="26"/>
  <c r="AH16" i="26"/>
  <c r="AI16" i="26" s="1"/>
  <c r="CJ17" i="26"/>
  <c r="AM43" i="26"/>
  <c r="AN43" i="26" s="1"/>
  <c r="AL15" i="26"/>
  <c r="AL17" i="26" s="1"/>
  <c r="AL19" i="26"/>
  <c r="BM15" i="26"/>
  <c r="BM19" i="26"/>
  <c r="W41" i="26"/>
  <c r="BV17" i="26"/>
  <c r="BW26" i="26"/>
  <c r="BJ17" i="26"/>
  <c r="DJ15" i="26"/>
  <c r="DJ17" i="26" s="1"/>
  <c r="AW17" i="26"/>
  <c r="CK17" i="26"/>
  <c r="BI17" i="26"/>
  <c r="AX17" i="26"/>
  <c r="CR16" i="26"/>
  <c r="EE16" i="26"/>
  <c r="AK17" i="26"/>
  <c r="AM17" i="26" s="1"/>
  <c r="AN41" i="26"/>
  <c r="AN40" i="26" s="1"/>
  <c r="AM40" i="26"/>
  <c r="CJ41" i="26"/>
  <c r="CJ40" i="26" s="1"/>
  <c r="CI40" i="26"/>
  <c r="EF41" i="26"/>
  <c r="EF40" i="26" s="1"/>
  <c r="EE40" i="26"/>
  <c r="DJ16" i="26"/>
  <c r="DK16" i="26" s="1"/>
  <c r="DK45" i="26"/>
  <c r="AI36" i="26"/>
  <c r="CE36" i="26"/>
  <c r="EA36" i="26"/>
  <c r="AQ40" i="26"/>
  <c r="AA26" i="26"/>
  <c r="CF16" i="26"/>
  <c r="CF17" i="26" s="1"/>
  <c r="DF16" i="26"/>
  <c r="DF17" i="26" s="1"/>
  <c r="Y17" i="26"/>
  <c r="AA17" i="26" s="1"/>
  <c r="DA17" i="26"/>
  <c r="EA42" i="26"/>
  <c r="EB42" i="26" s="1"/>
  <c r="DZ15" i="26"/>
  <c r="DZ17" i="26" s="1"/>
  <c r="EA17" i="26" s="1"/>
  <c r="AM26" i="26"/>
  <c r="CI26" i="26"/>
  <c r="EE26" i="26"/>
  <c r="AE40" i="26"/>
  <c r="AR41" i="26"/>
  <c r="AR40" i="26" s="1"/>
  <c r="CN41" i="26"/>
  <c r="AP16" i="26"/>
  <c r="AQ16" i="26" s="1"/>
  <c r="AQ45" i="26"/>
  <c r="AR45" i="26" s="1"/>
  <c r="BW40" i="26"/>
  <c r="DS40" i="26"/>
  <c r="DW45" i="26"/>
  <c r="DX45" i="26" s="1"/>
  <c r="BT16" i="26"/>
  <c r="BT17" i="26" s="1"/>
  <c r="CG16" i="26"/>
  <c r="CG17" i="26" s="1"/>
  <c r="CT16" i="26"/>
  <c r="CT17" i="26" s="1"/>
  <c r="CU17" i="26" s="1"/>
  <c r="M17" i="26"/>
  <c r="CT19" i="26"/>
  <c r="DH19" i="26"/>
  <c r="DH47" i="26" s="1"/>
  <c r="DV19" i="26"/>
  <c r="W32" i="26"/>
  <c r="BS32" i="26"/>
  <c r="DO32" i="26"/>
  <c r="S45" i="26"/>
  <c r="T45" i="26" s="1"/>
  <c r="T40" i="26" s="1"/>
  <c r="DS26" i="26"/>
  <c r="EB17" i="26"/>
  <c r="CH16" i="26"/>
  <c r="CH17" i="26" s="1"/>
  <c r="DC42" i="26"/>
  <c r="DD42" i="26" s="1"/>
  <c r="DB15" i="26"/>
  <c r="DB17" i="26" s="1"/>
  <c r="CL16" i="26"/>
  <c r="CM16" i="26" s="1"/>
  <c r="CM45" i="26"/>
  <c r="CN45" i="26" s="1"/>
  <c r="DP17" i="26"/>
  <c r="N19" i="26"/>
  <c r="CH19" i="26"/>
  <c r="BD41" i="26"/>
  <c r="CZ41" i="26"/>
  <c r="AY26" i="26"/>
  <c r="CU26" i="26"/>
  <c r="DO42" i="26"/>
  <c r="DP42" i="26" s="1"/>
  <c r="CY45" i="26"/>
  <c r="CZ45" i="26" s="1"/>
  <c r="AN40" i="24"/>
  <c r="V17" i="24"/>
  <c r="ED17" i="24"/>
  <c r="DQ17" i="24"/>
  <c r="DS15" i="24"/>
  <c r="BV15" i="24"/>
  <c r="BW43" i="24"/>
  <c r="BX43" i="24" s="1"/>
  <c r="DK40" i="24"/>
  <c r="DL41" i="24"/>
  <c r="DL40" i="24" s="1"/>
  <c r="DR15" i="24"/>
  <c r="EE41" i="24"/>
  <c r="ED16" i="24"/>
  <c r="ED19" i="24"/>
  <c r="BH15" i="24"/>
  <c r="BH17" i="24" s="1"/>
  <c r="BH19" i="24"/>
  <c r="BH47" i="24" s="1"/>
  <c r="DC41" i="24"/>
  <c r="DB16" i="24"/>
  <c r="DB17" i="24" s="1"/>
  <c r="DC17" i="24" s="1"/>
  <c r="BI15" i="24"/>
  <c r="CT17" i="24"/>
  <c r="DU17" i="24"/>
  <c r="AF16" i="24"/>
  <c r="CT16" i="24"/>
  <c r="CU16" i="24" s="1"/>
  <c r="CT19" i="24"/>
  <c r="EB19" i="24"/>
  <c r="EB47" i="24" s="1"/>
  <c r="AG19" i="24"/>
  <c r="CB41" i="24"/>
  <c r="CB40" i="24" s="1"/>
  <c r="CA40" i="24"/>
  <c r="CO19" i="24"/>
  <c r="CO16" i="24"/>
  <c r="CQ16" i="24" s="1"/>
  <c r="DT40" i="24"/>
  <c r="U15" i="24"/>
  <c r="W43" i="24"/>
  <c r="X43" i="24" s="1"/>
  <c r="V19" i="24"/>
  <c r="BG40" i="24"/>
  <c r="AI42" i="24"/>
  <c r="AJ42" i="24" s="1"/>
  <c r="AC16" i="24"/>
  <c r="AE16" i="24" s="1"/>
  <c r="AC19" i="24"/>
  <c r="AS19" i="24"/>
  <c r="BW41" i="24"/>
  <c r="BV16" i="24"/>
  <c r="BW16" i="24" s="1"/>
  <c r="DO40" i="24"/>
  <c r="DP41" i="24"/>
  <c r="DP40" i="24" s="1"/>
  <c r="AG17" i="24"/>
  <c r="DS40" i="24"/>
  <c r="EA16" i="24"/>
  <c r="DY17" i="24"/>
  <c r="EA17" i="24" s="1"/>
  <c r="DR19" i="24"/>
  <c r="BO15" i="24"/>
  <c r="CS17" i="24"/>
  <c r="CU17" i="24" s="1"/>
  <c r="CU15" i="24"/>
  <c r="DT17" i="24"/>
  <c r="AW17" i="24"/>
  <c r="AY17" i="24" s="1"/>
  <c r="AY15" i="24"/>
  <c r="DV15" i="24"/>
  <c r="DV17" i="24" s="1"/>
  <c r="AG16" i="24"/>
  <c r="CH17" i="24"/>
  <c r="BT19" i="24"/>
  <c r="BT47" i="24" s="1"/>
  <c r="AI41" i="24"/>
  <c r="AH19" i="24"/>
  <c r="AH16" i="24"/>
  <c r="AH17" i="24" s="1"/>
  <c r="AZ40" i="24"/>
  <c r="CB19" i="24"/>
  <c r="CB47" i="24" s="1"/>
  <c r="CB16" i="24"/>
  <c r="CP16" i="24"/>
  <c r="CP17" i="24" s="1"/>
  <c r="CP19" i="24"/>
  <c r="DT19" i="24"/>
  <c r="DT47" i="24" s="1"/>
  <c r="AE20" i="24"/>
  <c r="CA20" i="24"/>
  <c r="DW20" i="24"/>
  <c r="DE15" i="24"/>
  <c r="CE26" i="24"/>
  <c r="EA26" i="24"/>
  <c r="AA40" i="24"/>
  <c r="AU42" i="24"/>
  <c r="AV42" i="24" s="1"/>
  <c r="CC19" i="24"/>
  <c r="CC16" i="24"/>
  <c r="BV19" i="24"/>
  <c r="U19" i="24"/>
  <c r="U16" i="24"/>
  <c r="W16" i="24" s="1"/>
  <c r="DW41" i="24"/>
  <c r="DV19" i="24"/>
  <c r="DV16" i="24"/>
  <c r="AU41" i="24"/>
  <c r="AA15" i="24"/>
  <c r="Y17" i="24"/>
  <c r="AA17" i="24" s="1"/>
  <c r="BA17" i="24"/>
  <c r="BC15" i="24"/>
  <c r="X41" i="24"/>
  <c r="BP19" i="24"/>
  <c r="BP47" i="24" s="1"/>
  <c r="BP16" i="24"/>
  <c r="CU40" i="24"/>
  <c r="CV41" i="24"/>
  <c r="CV40" i="24" s="1"/>
  <c r="BP17" i="24"/>
  <c r="DI17" i="24"/>
  <c r="DK17" i="24" s="1"/>
  <c r="DK15" i="24"/>
  <c r="BC41" i="24"/>
  <c r="BB17" i="24"/>
  <c r="AQ42" i="24"/>
  <c r="AR42" i="24" s="1"/>
  <c r="AP15" i="24"/>
  <c r="BQ15" i="24"/>
  <c r="CG15" i="24"/>
  <c r="CG19" i="24"/>
  <c r="BS43" i="24"/>
  <c r="BT43" i="24" s="1"/>
  <c r="BR19" i="24"/>
  <c r="EE16" i="24"/>
  <c r="AM40" i="24"/>
  <c r="BO40" i="24"/>
  <c r="BP41" i="24"/>
  <c r="BP40" i="24" s="1"/>
  <c r="BY17" i="24"/>
  <c r="CA17" i="24" s="1"/>
  <c r="CA15" i="24"/>
  <c r="DI19" i="24"/>
  <c r="BJ17" i="24"/>
  <c r="DH17" i="24"/>
  <c r="AS16" i="24"/>
  <c r="AU16" i="24" s="1"/>
  <c r="AI15" i="24"/>
  <c r="EF17" i="24"/>
  <c r="AQ41" i="24"/>
  <c r="AP16" i="24"/>
  <c r="AQ16" i="24" s="1"/>
  <c r="AP19" i="24"/>
  <c r="CQ40" i="24"/>
  <c r="CR41" i="24"/>
  <c r="CR40" i="24" s="1"/>
  <c r="AM17" i="24"/>
  <c r="BS40" i="24"/>
  <c r="BT41" i="24"/>
  <c r="BT40" i="24" s="1"/>
  <c r="CI41" i="24"/>
  <c r="CH19" i="24"/>
  <c r="CV16" i="24"/>
  <c r="CV17" i="24" s="1"/>
  <c r="CV19" i="24"/>
  <c r="CV47" i="24" s="1"/>
  <c r="AC17" i="24"/>
  <c r="AE17" i="24" s="1"/>
  <c r="AE15" i="24"/>
  <c r="CW17" i="24"/>
  <c r="CN41" i="24"/>
  <c r="CN40" i="24" s="1"/>
  <c r="AT16" i="24"/>
  <c r="AT17" i="24" s="1"/>
  <c r="DU16" i="24"/>
  <c r="AL17" i="24"/>
  <c r="CF19" i="24"/>
  <c r="CF47" i="24" s="1"/>
  <c r="AB40" i="24"/>
  <c r="AE42" i="24"/>
  <c r="AF42" i="24" s="1"/>
  <c r="AD15" i="24"/>
  <c r="AD17" i="24" s="1"/>
  <c r="EC15" i="24"/>
  <c r="EC19" i="24"/>
  <c r="BL17" i="24"/>
  <c r="DP15" i="24"/>
  <c r="DP17" i="24" s="1"/>
  <c r="CM16" i="24"/>
  <c r="BB19" i="24"/>
  <c r="AB19" i="24"/>
  <c r="AB47" i="24" s="1"/>
  <c r="AB16" i="24"/>
  <c r="BH40" i="24"/>
  <c r="BG20" i="24"/>
  <c r="DC20" i="24"/>
  <c r="EE20" i="24"/>
  <c r="DK20" i="24"/>
  <c r="BW15" i="24"/>
  <c r="BU17" i="24"/>
  <c r="CK17" i="24"/>
  <c r="CM17" i="24" s="1"/>
  <c r="BA16" i="24"/>
  <c r="BC16" i="24" s="1"/>
  <c r="BA19" i="24"/>
  <c r="CZ40" i="24"/>
  <c r="BD19" i="24"/>
  <c r="BD47" i="24" s="1"/>
  <c r="BQ19" i="24"/>
  <c r="CF41" i="24"/>
  <c r="CF40" i="24" s="1"/>
  <c r="CE40" i="24"/>
  <c r="AR15" i="24"/>
  <c r="AR17" i="24" s="1"/>
  <c r="BE15" i="24"/>
  <c r="BM17" i="24"/>
  <c r="BO17" i="24" s="1"/>
  <c r="AL19" i="24"/>
  <c r="AR19" i="24"/>
  <c r="AR47" i="24" s="1"/>
  <c r="BE19" i="24"/>
  <c r="AU20" i="24"/>
  <c r="CQ20" i="24"/>
  <c r="AF15" i="24"/>
  <c r="AF17" i="24" s="1"/>
  <c r="AS15" i="24"/>
  <c r="BK26" i="24"/>
  <c r="DG26" i="24"/>
  <c r="BK40" i="24"/>
  <c r="BL40" i="24"/>
  <c r="AI20" i="24"/>
  <c r="CE20" i="24"/>
  <c r="EA20" i="24"/>
  <c r="DX15" i="24"/>
  <c r="DX17" i="24" s="1"/>
  <c r="AM26" i="24"/>
  <c r="CI26" i="24"/>
  <c r="EE26" i="24"/>
  <c r="DG43" i="24"/>
  <c r="BF15" i="24"/>
  <c r="BF17" i="24" s="1"/>
  <c r="AQ32" i="24"/>
  <c r="CM32" i="24"/>
  <c r="AB17" i="24"/>
  <c r="DJ15" i="24"/>
  <c r="DJ17" i="24" s="1"/>
  <c r="AY40" i="24"/>
  <c r="BJ19" i="24"/>
  <c r="DL19" i="24"/>
  <c r="DL47" i="24" s="1"/>
  <c r="DY19" i="24"/>
  <c r="CZ15" i="24"/>
  <c r="CZ17" i="24" s="1"/>
  <c r="DM15" i="24"/>
  <c r="AO17" i="24"/>
  <c r="DX19" i="24"/>
  <c r="DX47" i="24" s="1"/>
  <c r="CX15" i="24"/>
  <c r="CX17" i="24" s="1"/>
  <c r="AD19" i="24"/>
  <c r="CZ19" i="24"/>
  <c r="CZ47" i="24" s="1"/>
  <c r="DM19" i="24"/>
  <c r="EB41" i="24"/>
  <c r="EB40" i="24" s="1"/>
  <c r="EA40" i="24"/>
  <c r="AY26" i="24"/>
  <c r="CU26" i="24"/>
  <c r="AQ36" i="24"/>
  <c r="CM36" i="24"/>
  <c r="AE41" i="24"/>
  <c r="BD16" i="24"/>
  <c r="BD17" i="24" s="1"/>
  <c r="BQ16" i="24"/>
  <c r="BS16" i="24" s="1"/>
  <c r="CD16" i="24"/>
  <c r="CD17" i="24" s="1"/>
  <c r="DR16" i="24"/>
  <c r="DS16" i="24" s="1"/>
  <c r="CD19" i="24"/>
  <c r="DZ19" i="24"/>
  <c r="CN19" i="24"/>
  <c r="CN47" i="24" s="1"/>
  <c r="DA19" i="24"/>
  <c r="CB15" i="24"/>
  <c r="CO15" i="24"/>
  <c r="Q17" i="24"/>
  <c r="P42" i="24"/>
  <c r="N19" i="24"/>
  <c r="O45" i="24"/>
  <c r="P45" i="24" s="1"/>
  <c r="M17" i="24"/>
  <c r="O17" i="24" s="1"/>
  <c r="R15" i="24"/>
  <c r="R17" i="24" s="1"/>
  <c r="R19" i="24"/>
  <c r="Q19" i="24"/>
  <c r="S41" i="24"/>
  <c r="EF41" i="6"/>
  <c r="EF40" i="6" s="1"/>
  <c r="ED16" i="6"/>
  <c r="ED17" i="6" s="1"/>
  <c r="EC15" i="6"/>
  <c r="EF16" i="6"/>
  <c r="EF17" i="6" s="1"/>
  <c r="ED19" i="6"/>
  <c r="EB17" i="6"/>
  <c r="EB41" i="6"/>
  <c r="EB40" i="6" s="1"/>
  <c r="EA40" i="6"/>
  <c r="DY15" i="6"/>
  <c r="DZ19" i="6"/>
  <c r="DV17" i="6"/>
  <c r="DW16" i="6"/>
  <c r="DX16" i="6"/>
  <c r="DX17" i="6" s="1"/>
  <c r="DU15" i="6"/>
  <c r="DV19" i="6"/>
  <c r="DW41" i="6"/>
  <c r="DT41" i="6"/>
  <c r="DT40" i="6" s="1"/>
  <c r="DS40" i="6"/>
  <c r="DT17" i="6"/>
  <c r="DQ15" i="6"/>
  <c r="DR19" i="6"/>
  <c r="DP41" i="6"/>
  <c r="DP40" i="6" s="1"/>
  <c r="DO40" i="6"/>
  <c r="DN19" i="6"/>
  <c r="DM15" i="6"/>
  <c r="DI17" i="6"/>
  <c r="DL41" i="6"/>
  <c r="DL40" i="6" s="1"/>
  <c r="DK40" i="6"/>
  <c r="DJ19" i="6"/>
  <c r="DI19" i="6"/>
  <c r="DJ16" i="6"/>
  <c r="DK16" i="6" s="1"/>
  <c r="DH41" i="6"/>
  <c r="DH40" i="6" s="1"/>
  <c r="DG40" i="6"/>
  <c r="DE15" i="6"/>
  <c r="DF19" i="6"/>
  <c r="DD41" i="6"/>
  <c r="DD40" i="6" s="1"/>
  <c r="DC40" i="6"/>
  <c r="DA15" i="6"/>
  <c r="DB19" i="6"/>
  <c r="CZ41" i="6"/>
  <c r="CZ40" i="6" s="1"/>
  <c r="CY40" i="6"/>
  <c r="CZ16" i="6"/>
  <c r="CZ17" i="6" s="1"/>
  <c r="CW15" i="6"/>
  <c r="CX19" i="6"/>
  <c r="CV41" i="6"/>
  <c r="CV40" i="6" s="1"/>
  <c r="CU40" i="6"/>
  <c r="CV16" i="6"/>
  <c r="CV17" i="6" s="1"/>
  <c r="CS15" i="6"/>
  <c r="CT19" i="6"/>
  <c r="CR41" i="6"/>
  <c r="CR40" i="6" s="1"/>
  <c r="CQ40" i="6"/>
  <c r="CR16" i="6"/>
  <c r="CR17" i="6" s="1"/>
  <c r="CO15" i="6"/>
  <c r="CP19" i="6"/>
  <c r="CN41" i="6"/>
  <c r="CN40" i="6" s="1"/>
  <c r="CM40" i="6"/>
  <c r="CN16" i="6"/>
  <c r="CN17" i="6" s="1"/>
  <c r="CL16" i="6"/>
  <c r="CL17" i="6" s="1"/>
  <c r="CK15" i="6"/>
  <c r="CL19" i="6"/>
  <c r="CJ41" i="6"/>
  <c r="CJ40" i="6" s="1"/>
  <c r="CI40" i="6"/>
  <c r="CH16" i="6"/>
  <c r="CH17" i="6" s="1"/>
  <c r="CG15" i="6"/>
  <c r="CH19" i="6"/>
  <c r="CJ19" i="6"/>
  <c r="CJ47" i="6" s="1"/>
  <c r="CF41" i="6"/>
  <c r="CF40" i="6" s="1"/>
  <c r="CE40" i="6"/>
  <c r="CC15" i="6"/>
  <c r="CD19" i="6"/>
  <c r="CF16" i="6"/>
  <c r="CF17" i="6" s="1"/>
  <c r="CB17" i="6"/>
  <c r="CB41" i="6"/>
  <c r="CB40" i="6" s="1"/>
  <c r="CA40" i="6"/>
  <c r="BY15" i="6"/>
  <c r="BZ19" i="6"/>
  <c r="CB19" i="6"/>
  <c r="CB47" i="6" s="1"/>
  <c r="BX41" i="6"/>
  <c r="BX40" i="6" s="1"/>
  <c r="BW40" i="6"/>
  <c r="BV16" i="6"/>
  <c r="BV17" i="6" s="1"/>
  <c r="BU15" i="6"/>
  <c r="BV19" i="6"/>
  <c r="BT41" i="6"/>
  <c r="BT17" i="6"/>
  <c r="BS43" i="6"/>
  <c r="BT43" i="6" s="1"/>
  <c r="BQ15" i="6"/>
  <c r="BR19" i="6"/>
  <c r="BP41" i="6"/>
  <c r="BP40" i="6" s="1"/>
  <c r="BO40" i="6"/>
  <c r="BN16" i="6"/>
  <c r="BO16" i="6" s="1"/>
  <c r="BM15" i="6"/>
  <c r="BN19" i="6"/>
  <c r="BP19" i="6"/>
  <c r="BP47" i="6" s="1"/>
  <c r="BL41" i="6"/>
  <c r="BL40" i="6" s="1"/>
  <c r="BK40" i="6"/>
  <c r="BJ16" i="6"/>
  <c r="BJ17" i="6" s="1"/>
  <c r="BJ19" i="6"/>
  <c r="BI15" i="6"/>
  <c r="BH41" i="6"/>
  <c r="BH40" i="6" s="1"/>
  <c r="BG40" i="6"/>
  <c r="BE15" i="6"/>
  <c r="BF19" i="6"/>
  <c r="BD41" i="6"/>
  <c r="BD40" i="6" s="1"/>
  <c r="BC40" i="6"/>
  <c r="BA15" i="6"/>
  <c r="BB19" i="6"/>
  <c r="AZ41" i="6"/>
  <c r="AZ40" i="6" s="1"/>
  <c r="AY40" i="6"/>
  <c r="AW15" i="6"/>
  <c r="AX16" i="6"/>
  <c r="AX17" i="6" s="1"/>
  <c r="AX19" i="6"/>
  <c r="AV41" i="6"/>
  <c r="AV40" i="6" s="1"/>
  <c r="AU40" i="6"/>
  <c r="AS15" i="6"/>
  <c r="AT19" i="6"/>
  <c r="AV16" i="6"/>
  <c r="AV17" i="6" s="1"/>
  <c r="AR41" i="6"/>
  <c r="AR40" i="6" s="1"/>
  <c r="AQ40" i="6"/>
  <c r="AO17" i="6"/>
  <c r="AQ17" i="6" s="1"/>
  <c r="AQ15" i="6"/>
  <c r="AO19" i="6"/>
  <c r="AP19" i="6"/>
  <c r="AN41" i="6"/>
  <c r="AN40" i="6" s="1"/>
  <c r="AM40" i="6"/>
  <c r="AL16" i="6"/>
  <c r="AL17" i="6" s="1"/>
  <c r="AK15" i="6"/>
  <c r="AL19" i="6"/>
  <c r="AI15" i="6"/>
  <c r="AG17" i="6"/>
  <c r="AI17" i="6" s="1"/>
  <c r="AJ41" i="6"/>
  <c r="AJ40" i="6" s="1"/>
  <c r="AI40" i="6"/>
  <c r="AG19" i="6"/>
  <c r="AH19" i="6"/>
  <c r="AF41" i="6"/>
  <c r="AF40" i="6" s="1"/>
  <c r="AE40" i="6"/>
  <c r="AC15" i="6"/>
  <c r="AF16" i="6"/>
  <c r="AF17" i="6" s="1"/>
  <c r="AD19" i="6"/>
  <c r="AB41" i="6"/>
  <c r="AB40" i="6" s="1"/>
  <c r="AA40" i="6"/>
  <c r="Y15" i="6"/>
  <c r="Z19" i="6"/>
  <c r="W40" i="6"/>
  <c r="X41" i="6"/>
  <c r="X40" i="6" s="1"/>
  <c r="W15" i="6"/>
  <c r="U16" i="6"/>
  <c r="U17" i="6" s="1"/>
  <c r="V16" i="6"/>
  <c r="V17" i="6" s="1"/>
  <c r="V19" i="6"/>
  <c r="E43" i="6"/>
  <c r="S40" i="6"/>
  <c r="O27" i="6"/>
  <c r="O23" i="6"/>
  <c r="O22" i="6"/>
  <c r="H22" i="6" s="1"/>
  <c r="U115" i="2"/>
  <c r="T115" i="2" s="1"/>
  <c r="AJ111" i="1" s="1"/>
  <c r="U116" i="2"/>
  <c r="T116" i="2" s="1"/>
  <c r="AJ112" i="1" s="1"/>
  <c r="U117" i="2"/>
  <c r="T117" i="2" s="1"/>
  <c r="AJ113" i="1" s="1"/>
  <c r="U118" i="2"/>
  <c r="T118" i="2" s="1"/>
  <c r="AJ114" i="1" s="1"/>
  <c r="U119" i="2"/>
  <c r="T119" i="2" s="1"/>
  <c r="AJ115" i="1" s="1"/>
  <c r="T114" i="2"/>
  <c r="AJ110" i="1" s="1"/>
  <c r="P114" i="2"/>
  <c r="AB110" i="1" s="1"/>
  <c r="D16" i="2" l="1"/>
  <c r="M123" i="1"/>
  <c r="H127" i="2"/>
  <c r="L123" i="1" s="1"/>
  <c r="E109" i="2"/>
  <c r="I109" i="2"/>
  <c r="E82" i="2"/>
  <c r="U145" i="1"/>
  <c r="W145" i="1" s="1"/>
  <c r="X145" i="1" s="1"/>
  <c r="M148" i="2"/>
  <c r="U144" i="1" s="1"/>
  <c r="W144" i="1" s="1"/>
  <c r="X144" i="1" s="1"/>
  <c r="P40" i="24"/>
  <c r="AL115" i="1"/>
  <c r="W15" i="28"/>
  <c r="U17" i="28"/>
  <c r="W17" i="28" s="1"/>
  <c r="BW40" i="28"/>
  <c r="BX41" i="28"/>
  <c r="BX40" i="28" s="1"/>
  <c r="CT17" i="28"/>
  <c r="CU15" i="28"/>
  <c r="EA16" i="28"/>
  <c r="DY17" i="28"/>
  <c r="EA17" i="28" s="1"/>
  <c r="DW17" i="28"/>
  <c r="AY16" i="28"/>
  <c r="AW17" i="28"/>
  <c r="AY17" i="28" s="1"/>
  <c r="DK17" i="28"/>
  <c r="CY40" i="28"/>
  <c r="CZ41" i="28"/>
  <c r="CZ40" i="28" s="1"/>
  <c r="DX41" i="28"/>
  <c r="DX40" i="28" s="1"/>
  <c r="DW40" i="28"/>
  <c r="DW16" i="28"/>
  <c r="AZ41" i="28"/>
  <c r="AZ40" i="28" s="1"/>
  <c r="AY40" i="28"/>
  <c r="BK16" i="28"/>
  <c r="BI17" i="28"/>
  <c r="BK17" i="28" s="1"/>
  <c r="AM16" i="28"/>
  <c r="AK17" i="28"/>
  <c r="AM17" i="28" s="1"/>
  <c r="DS17" i="28"/>
  <c r="EE15" i="28"/>
  <c r="DK16" i="28"/>
  <c r="DL41" i="28"/>
  <c r="DL40" i="28" s="1"/>
  <c r="DK40" i="28"/>
  <c r="BL41" i="28"/>
  <c r="BL40" i="28" s="1"/>
  <c r="BK40" i="28"/>
  <c r="CU17" i="28"/>
  <c r="CU16" i="28"/>
  <c r="CM40" i="28"/>
  <c r="CN41" i="28"/>
  <c r="CN40" i="28" s="1"/>
  <c r="CI17" i="28"/>
  <c r="CI16" i="28"/>
  <c r="CK17" i="28"/>
  <c r="CM17" i="28" s="1"/>
  <c r="AQ17" i="28"/>
  <c r="CW17" i="28"/>
  <c r="CY17" i="28" s="1"/>
  <c r="Y17" i="28"/>
  <c r="AA17" i="28" s="1"/>
  <c r="AA16" i="28"/>
  <c r="DM17" i="28"/>
  <c r="DO17" i="28" s="1"/>
  <c r="DO16" i="28"/>
  <c r="BW16" i="28"/>
  <c r="W40" i="28"/>
  <c r="X41" i="28"/>
  <c r="X40" i="28" s="1"/>
  <c r="AQ15" i="28"/>
  <c r="CI17" i="26"/>
  <c r="CN40" i="26"/>
  <c r="CL17" i="26"/>
  <c r="BR17" i="26"/>
  <c r="CU16" i="26"/>
  <c r="DC15" i="26"/>
  <c r="BS15" i="26"/>
  <c r="O17" i="26"/>
  <c r="DW40" i="26"/>
  <c r="W16" i="26"/>
  <c r="AV41" i="26"/>
  <c r="AV40" i="26" s="1"/>
  <c r="AU40" i="26"/>
  <c r="S40" i="26"/>
  <c r="DU17" i="26"/>
  <c r="DW17" i="26" s="1"/>
  <c r="BG15" i="26"/>
  <c r="BF17" i="26"/>
  <c r="DG16" i="26"/>
  <c r="DC40" i="26"/>
  <c r="DD41" i="26"/>
  <c r="DD40" i="26" s="1"/>
  <c r="BG16" i="26"/>
  <c r="BE17" i="26"/>
  <c r="BG17" i="26" s="1"/>
  <c r="AO17" i="26"/>
  <c r="AQ15" i="26"/>
  <c r="BC40" i="26"/>
  <c r="BZ17" i="26"/>
  <c r="DE17" i="26"/>
  <c r="DG17" i="26" s="1"/>
  <c r="BG40" i="26"/>
  <c r="BH41" i="26"/>
  <c r="BH40" i="26" s="1"/>
  <c r="CF41" i="26"/>
  <c r="CF40" i="26" s="1"/>
  <c r="CE40" i="26"/>
  <c r="AH17" i="26"/>
  <c r="AI17" i="26" s="1"/>
  <c r="CA40" i="26"/>
  <c r="BB17" i="26"/>
  <c r="CI16" i="26"/>
  <c r="S15" i="26"/>
  <c r="R17" i="26"/>
  <c r="S17" i="26" s="1"/>
  <c r="BS40" i="26"/>
  <c r="DL45" i="26"/>
  <c r="DL40" i="26" s="1"/>
  <c r="DK40" i="26"/>
  <c r="BK17" i="26"/>
  <c r="CE15" i="26"/>
  <c r="BS17" i="26"/>
  <c r="BA17" i="26"/>
  <c r="BC15" i="26"/>
  <c r="DG40" i="26"/>
  <c r="BO40" i="26"/>
  <c r="AC17" i="26"/>
  <c r="AE17" i="26" s="1"/>
  <c r="AE15" i="26"/>
  <c r="CM40" i="26"/>
  <c r="CZ40" i="26"/>
  <c r="CY40" i="26"/>
  <c r="CO17" i="26"/>
  <c r="CQ17" i="26" s="1"/>
  <c r="CQ16" i="26"/>
  <c r="DK15" i="26"/>
  <c r="DI17" i="26"/>
  <c r="DK17" i="26" s="1"/>
  <c r="BD40" i="26"/>
  <c r="AA40" i="26"/>
  <c r="CM17" i="26"/>
  <c r="AP17" i="26"/>
  <c r="DW15" i="26"/>
  <c r="BS16" i="26"/>
  <c r="AY40" i="26"/>
  <c r="EB41" i="26"/>
  <c r="EB40" i="26" s="1"/>
  <c r="EA40" i="26"/>
  <c r="U17" i="26"/>
  <c r="W17" i="26" s="1"/>
  <c r="AJ41" i="26"/>
  <c r="AJ40" i="26" s="1"/>
  <c r="AI40" i="26"/>
  <c r="W40" i="26"/>
  <c r="X41" i="26"/>
  <c r="X40" i="26" s="1"/>
  <c r="CA17" i="26"/>
  <c r="DO16" i="26"/>
  <c r="DO17" i="26"/>
  <c r="BO15" i="26"/>
  <c r="BM17" i="26"/>
  <c r="BO17" i="26" s="1"/>
  <c r="CR41" i="26"/>
  <c r="CR40" i="26" s="1"/>
  <c r="CQ40" i="26"/>
  <c r="DO40" i="26"/>
  <c r="DP41" i="26"/>
  <c r="DP40" i="26" s="1"/>
  <c r="AT17" i="26"/>
  <c r="AU17" i="26" s="1"/>
  <c r="AU15" i="26"/>
  <c r="DC17" i="26"/>
  <c r="AY17" i="26"/>
  <c r="CE17" i="26"/>
  <c r="AA15" i="26"/>
  <c r="CE16" i="26"/>
  <c r="E41" i="26"/>
  <c r="X40" i="24"/>
  <c r="BK15" i="24"/>
  <c r="BI17" i="24"/>
  <c r="BK17" i="24" s="1"/>
  <c r="BC17" i="24"/>
  <c r="BQ17" i="24"/>
  <c r="BS17" i="24" s="1"/>
  <c r="BS15" i="24"/>
  <c r="DW15" i="24"/>
  <c r="CY15" i="24"/>
  <c r="DC16" i="24"/>
  <c r="AP17" i="24"/>
  <c r="AQ17" i="24" s="1"/>
  <c r="W40" i="24"/>
  <c r="AI17" i="24"/>
  <c r="U17" i="24"/>
  <c r="W17" i="24" s="1"/>
  <c r="W15" i="24"/>
  <c r="DW17" i="24"/>
  <c r="EC17" i="24"/>
  <c r="EE17" i="24" s="1"/>
  <c r="EE15" i="24"/>
  <c r="BV17" i="24"/>
  <c r="BW17" i="24"/>
  <c r="CY17" i="24"/>
  <c r="CE16" i="24"/>
  <c r="AF41" i="24"/>
  <c r="AF40" i="24" s="1"/>
  <c r="AE40" i="24"/>
  <c r="DG15" i="24"/>
  <c r="DE17" i="24"/>
  <c r="DG17" i="24" s="1"/>
  <c r="AJ41" i="24"/>
  <c r="AJ40" i="24" s="1"/>
  <c r="AI40" i="24"/>
  <c r="AQ15" i="24"/>
  <c r="BG15" i="24"/>
  <c r="BE17" i="24"/>
  <c r="BG17" i="24" s="1"/>
  <c r="BX41" i="24"/>
  <c r="BX40" i="24" s="1"/>
  <c r="BW40" i="24"/>
  <c r="AQ40" i="24"/>
  <c r="AR41" i="24"/>
  <c r="AR40" i="24" s="1"/>
  <c r="DH43" i="24"/>
  <c r="DH40" i="24" s="1"/>
  <c r="DG40" i="24"/>
  <c r="AU15" i="24"/>
  <c r="AS17" i="24"/>
  <c r="AU17" i="24" s="1"/>
  <c r="AU40" i="24"/>
  <c r="AV41" i="24"/>
  <c r="AV40" i="24" s="1"/>
  <c r="CJ41" i="24"/>
  <c r="CJ40" i="24" s="1"/>
  <c r="CI40" i="24"/>
  <c r="CQ15" i="24"/>
  <c r="CO17" i="24"/>
  <c r="CQ17" i="24" s="1"/>
  <c r="CC17" i="24"/>
  <c r="CE17" i="24" s="1"/>
  <c r="CB17" i="24"/>
  <c r="DW16" i="24"/>
  <c r="DX41" i="24"/>
  <c r="DX40" i="24" s="1"/>
  <c r="DW40" i="24"/>
  <c r="EF41" i="24"/>
  <c r="EF40" i="24" s="1"/>
  <c r="EE40" i="24"/>
  <c r="BD41" i="24"/>
  <c r="BD40" i="24" s="1"/>
  <c r="BC40" i="24"/>
  <c r="DD41" i="24"/>
  <c r="DD40" i="24" s="1"/>
  <c r="DC40" i="24"/>
  <c r="DS17" i="24"/>
  <c r="DM17" i="24"/>
  <c r="DO17" i="24" s="1"/>
  <c r="DO15" i="24"/>
  <c r="CI15" i="24"/>
  <c r="CG17" i="24"/>
  <c r="CI17" i="24" s="1"/>
  <c r="AI16" i="24"/>
  <c r="DR17" i="24"/>
  <c r="T41" i="24"/>
  <c r="T40" i="24" s="1"/>
  <c r="S40" i="24"/>
  <c r="O40" i="24"/>
  <c r="S15" i="24"/>
  <c r="E41" i="24"/>
  <c r="S17" i="24"/>
  <c r="EC17" i="6"/>
  <c r="EE17" i="6" s="1"/>
  <c r="EE15" i="6"/>
  <c r="EE16" i="6"/>
  <c r="EA15" i="6"/>
  <c r="DY17" i="6"/>
  <c r="EA17" i="6" s="1"/>
  <c r="DX41" i="6"/>
  <c r="DX40" i="6" s="1"/>
  <c r="DW40" i="6"/>
  <c r="DU17" i="6"/>
  <c r="DW17" i="6" s="1"/>
  <c r="DW15" i="6"/>
  <c r="DS15" i="6"/>
  <c r="DQ17" i="6"/>
  <c r="DS17" i="6" s="1"/>
  <c r="DM17" i="6"/>
  <c r="DO17" i="6" s="1"/>
  <c r="DO15" i="6"/>
  <c r="DJ17" i="6"/>
  <c r="DK17" i="6"/>
  <c r="DG15" i="6"/>
  <c r="DE17" i="6"/>
  <c r="DG17" i="6" s="1"/>
  <c r="DC15" i="6"/>
  <c r="DA17" i="6"/>
  <c r="DC17" i="6" s="1"/>
  <c r="CY15" i="6"/>
  <c r="CW17" i="6"/>
  <c r="CY17" i="6" s="1"/>
  <c r="CU15" i="6"/>
  <c r="CS17" i="6"/>
  <c r="CU17" i="6" s="1"/>
  <c r="CQ15" i="6"/>
  <c r="CO17" i="6"/>
  <c r="CQ17" i="6" s="1"/>
  <c r="CM15" i="6"/>
  <c r="CK17" i="6"/>
  <c r="CM17" i="6" s="1"/>
  <c r="CM16" i="6"/>
  <c r="CI15" i="6"/>
  <c r="CG17" i="6"/>
  <c r="CI17" i="6" s="1"/>
  <c r="CI16" i="6"/>
  <c r="CC17" i="6"/>
  <c r="CE17" i="6" s="1"/>
  <c r="CE15" i="6"/>
  <c r="CA15" i="6"/>
  <c r="BY17" i="6"/>
  <c r="CA17" i="6" s="1"/>
  <c r="BW16" i="6"/>
  <c r="BW15" i="6"/>
  <c r="BU17" i="6"/>
  <c r="BW17" i="6" s="1"/>
  <c r="BS15" i="6"/>
  <c r="BQ17" i="6"/>
  <c r="BS17" i="6" s="1"/>
  <c r="BS40" i="6"/>
  <c r="BT40" i="6"/>
  <c r="BN17" i="6"/>
  <c r="BO15" i="6"/>
  <c r="BM17" i="6"/>
  <c r="BO17" i="6" s="1"/>
  <c r="BK15" i="6"/>
  <c r="BI17" i="6"/>
  <c r="BK17" i="6" s="1"/>
  <c r="BK16" i="6"/>
  <c r="BG15" i="6"/>
  <c r="BE17" i="6"/>
  <c r="BG17" i="6" s="1"/>
  <c r="BA17" i="6"/>
  <c r="BC17" i="6" s="1"/>
  <c r="BC15" i="6"/>
  <c r="AW17" i="6"/>
  <c r="AY17" i="6" s="1"/>
  <c r="AY15" i="6"/>
  <c r="AY16" i="6"/>
  <c r="AU15" i="6"/>
  <c r="AS17" i="6"/>
  <c r="AU17" i="6" s="1"/>
  <c r="AM16" i="6"/>
  <c r="AM15" i="6"/>
  <c r="AK17" i="6"/>
  <c r="AM17" i="6" s="1"/>
  <c r="AE15" i="6"/>
  <c r="AC17" i="6"/>
  <c r="AE17" i="6" s="1"/>
  <c r="Y17" i="6"/>
  <c r="AA17" i="6" s="1"/>
  <c r="AA15" i="6"/>
  <c r="W17" i="6"/>
  <c r="W16" i="6"/>
  <c r="T113" i="2"/>
  <c r="AJ109" i="1" s="1"/>
  <c r="H139" i="2"/>
  <c r="E135" i="2"/>
  <c r="H136" i="2" s="1"/>
  <c r="M87" i="2"/>
  <c r="L139" i="2"/>
  <c r="M131" i="2"/>
  <c r="H140" i="2"/>
  <c r="L94" i="2"/>
  <c r="L56" i="2"/>
  <c r="I57" i="2"/>
  <c r="U127" i="2"/>
  <c r="AK123" i="1" s="1"/>
  <c r="Q127" i="2"/>
  <c r="AC123" i="1" s="1"/>
  <c r="D47" i="26" s="1"/>
  <c r="U113" i="2"/>
  <c r="Q119" i="2"/>
  <c r="P119" i="2" s="1"/>
  <c r="Q115" i="2"/>
  <c r="P115" i="2" s="1"/>
  <c r="P113" i="2" s="1"/>
  <c r="Q116" i="2"/>
  <c r="P116" i="2" s="1"/>
  <c r="Q117" i="2"/>
  <c r="P117" i="2" s="1"/>
  <c r="Q118" i="2"/>
  <c r="P118" i="2" s="1"/>
  <c r="M115" i="2"/>
  <c r="M116" i="2"/>
  <c r="L116" i="2" s="1"/>
  <c r="M117" i="2"/>
  <c r="L117" i="2" s="1"/>
  <c r="M118" i="2"/>
  <c r="L118" i="2" s="1"/>
  <c r="M119" i="2"/>
  <c r="L119" i="2"/>
  <c r="E90" i="1"/>
  <c r="H94" i="2"/>
  <c r="L90" i="1" s="1"/>
  <c r="L114" i="2"/>
  <c r="T110" i="1" s="1"/>
  <c r="I116" i="2"/>
  <c r="I118" i="2"/>
  <c r="I119" i="2"/>
  <c r="H119" i="2" s="1"/>
  <c r="H118" i="2"/>
  <c r="H116" i="2"/>
  <c r="D100" i="2"/>
  <c r="E64" i="2"/>
  <c r="D29" i="2"/>
  <c r="D98" i="2"/>
  <c r="D101" i="2"/>
  <c r="E91" i="2"/>
  <c r="E92" i="2"/>
  <c r="E93" i="2"/>
  <c r="D71" i="2"/>
  <c r="D78" i="2"/>
  <c r="D77" i="2"/>
  <c r="D76" i="2"/>
  <c r="D75" i="2"/>
  <c r="D73" i="2"/>
  <c r="H56" i="2"/>
  <c r="I152" i="2"/>
  <c r="E144" i="2"/>
  <c r="I144" i="2" s="1"/>
  <c r="H144" i="2" s="1"/>
  <c r="N3" i="11"/>
  <c r="R3" i="11"/>
  <c r="R4" i="11"/>
  <c r="M5" i="11"/>
  <c r="R4" i="16"/>
  <c r="R5" i="16"/>
  <c r="R6" i="16"/>
  <c r="S2" i="16"/>
  <c r="T1" i="16"/>
  <c r="T2" i="16" s="1"/>
  <c r="S2" i="11"/>
  <c r="T1" i="11"/>
  <c r="T2" i="11" s="1"/>
  <c r="K5" i="21"/>
  <c r="J6" i="21"/>
  <c r="H93" i="2"/>
  <c r="L93" i="2" s="1"/>
  <c r="E55" i="2"/>
  <c r="E166" i="2" s="1"/>
  <c r="D55" i="2"/>
  <c r="D93" i="2" s="1"/>
  <c r="M55" i="2"/>
  <c r="M128" i="2" s="1"/>
  <c r="L55" i="2"/>
  <c r="L128" i="2" s="1"/>
  <c r="I55" i="2"/>
  <c r="I128" i="2" s="1"/>
  <c r="H55" i="2"/>
  <c r="H128" i="2" s="1"/>
  <c r="M136" i="1"/>
  <c r="M135" i="1"/>
  <c r="S148" i="1"/>
  <c r="S147" i="1"/>
  <c r="S146" i="1"/>
  <c r="S145" i="1"/>
  <c r="S143" i="1"/>
  <c r="S142" i="1"/>
  <c r="S140" i="1"/>
  <c r="S141" i="1"/>
  <c r="S136" i="1"/>
  <c r="S139" i="1"/>
  <c r="S138" i="1"/>
  <c r="K148" i="1"/>
  <c r="K147" i="1"/>
  <c r="K146" i="1"/>
  <c r="K144" i="1"/>
  <c r="K145" i="1"/>
  <c r="K143" i="1"/>
  <c r="K140" i="1"/>
  <c r="K141" i="1"/>
  <c r="K139" i="1"/>
  <c r="K138" i="1"/>
  <c r="K126" i="1"/>
  <c r="C94" i="1"/>
  <c r="C90" i="1"/>
  <c r="C52" i="1"/>
  <c r="C67" i="1"/>
  <c r="D131" i="1"/>
  <c r="J133" i="1"/>
  <c r="J134" i="1"/>
  <c r="J135" i="1"/>
  <c r="J136" i="1"/>
  <c r="J132" i="1"/>
  <c r="J128" i="1"/>
  <c r="J129" i="1"/>
  <c r="J130" i="1"/>
  <c r="J127" i="1"/>
  <c r="E132" i="1"/>
  <c r="D135" i="1"/>
  <c r="D127" i="1"/>
  <c r="D126" i="1"/>
  <c r="E127" i="1"/>
  <c r="S127" i="1"/>
  <c r="S128" i="1"/>
  <c r="S129" i="1"/>
  <c r="S130" i="1"/>
  <c r="S131" i="1"/>
  <c r="S132" i="1"/>
  <c r="S133" i="1"/>
  <c r="S134" i="1"/>
  <c r="S135" i="1"/>
  <c r="S124" i="1"/>
  <c r="S126" i="1"/>
  <c r="K127" i="1"/>
  <c r="K128" i="1"/>
  <c r="K129" i="1"/>
  <c r="K130" i="1"/>
  <c r="K131" i="1"/>
  <c r="K132" i="1"/>
  <c r="K133" i="1"/>
  <c r="K134" i="1"/>
  <c r="K135" i="1"/>
  <c r="K136" i="1"/>
  <c r="K125" i="1"/>
  <c r="S125" i="1"/>
  <c r="C125" i="1"/>
  <c r="J168" i="1"/>
  <c r="J165" i="1"/>
  <c r="J166" i="1"/>
  <c r="J164" i="1"/>
  <c r="J160" i="1"/>
  <c r="J158" i="1"/>
  <c r="J157" i="1"/>
  <c r="J153" i="1"/>
  <c r="J151" i="1"/>
  <c r="J95" i="1"/>
  <c r="C142" i="1"/>
  <c r="C139" i="1"/>
  <c r="C138" i="1"/>
  <c r="C135" i="1"/>
  <c r="E16" i="22"/>
  <c r="M140" i="2"/>
  <c r="L140" i="2" s="1"/>
  <c r="M4" i="11"/>
  <c r="M137" i="2"/>
  <c r="M6" i="16" s="1"/>
  <c r="M138" i="2"/>
  <c r="M136" i="2"/>
  <c r="M5" i="16" s="1"/>
  <c r="M132" i="2"/>
  <c r="L132" i="2" s="1"/>
  <c r="M133" i="2"/>
  <c r="L133" i="2" s="1"/>
  <c r="M134" i="2"/>
  <c r="L134" i="2" s="1"/>
  <c r="H133" i="2"/>
  <c r="ED2" i="28"/>
  <c r="EF7" i="28"/>
  <c r="EF6" i="28"/>
  <c r="EF8" i="28" s="1"/>
  <c r="EF5" i="28"/>
  <c r="EF4" i="28"/>
  <c r="EF3" i="28"/>
  <c r="EF2" i="28"/>
  <c r="EC58" i="28"/>
  <c r="EC57" i="28"/>
  <c r="EC56" i="28"/>
  <c r="EC55" i="28"/>
  <c r="EC54" i="28"/>
  <c r="EC53" i="28"/>
  <c r="EC52" i="28"/>
  <c r="EC51" i="28"/>
  <c r="EF50" i="28"/>
  <c r="EE50" i="28"/>
  <c r="ED50" i="28"/>
  <c r="EC50" i="28"/>
  <c r="DY58" i="28"/>
  <c r="DY57" i="28"/>
  <c r="DY56" i="28"/>
  <c r="DY55" i="28"/>
  <c r="DY54" i="28"/>
  <c r="DY53" i="28"/>
  <c r="DY52" i="28"/>
  <c r="DY51" i="28"/>
  <c r="EB50" i="28"/>
  <c r="EA50" i="28"/>
  <c r="DZ50" i="28"/>
  <c r="DY50" i="28"/>
  <c r="DU58" i="28"/>
  <c r="DU57" i="28"/>
  <c r="DU56" i="28"/>
  <c r="DU55" i="28"/>
  <c r="DU54" i="28"/>
  <c r="DU53" i="28"/>
  <c r="DU52" i="28"/>
  <c r="DU51" i="28"/>
  <c r="DX50" i="28"/>
  <c r="DW50" i="28"/>
  <c r="DV50" i="28"/>
  <c r="DU50" i="28"/>
  <c r="DX6" i="28"/>
  <c r="DQ58" i="28"/>
  <c r="DQ57" i="28"/>
  <c r="DQ56" i="28"/>
  <c r="DQ55" i="28"/>
  <c r="DQ54" i="28"/>
  <c r="DQ53" i="28"/>
  <c r="DQ52" i="28"/>
  <c r="DQ51" i="28"/>
  <c r="DT50" i="28"/>
  <c r="DS50" i="28"/>
  <c r="DR50" i="28"/>
  <c r="DQ50" i="28"/>
  <c r="DT6" i="28"/>
  <c r="DM58" i="28"/>
  <c r="DM57" i="28"/>
  <c r="DM56" i="28"/>
  <c r="DM55" i="28"/>
  <c r="DM54" i="28"/>
  <c r="DM53" i="28"/>
  <c r="DM52" i="28"/>
  <c r="DM51" i="28"/>
  <c r="DP50" i="28"/>
  <c r="DO50" i="28"/>
  <c r="DN50" i="28"/>
  <c r="DM50" i="28"/>
  <c r="DP6" i="28"/>
  <c r="DI58" i="28"/>
  <c r="DI57" i="28"/>
  <c r="DI56" i="28"/>
  <c r="DI55" i="28"/>
  <c r="DI54" i="28"/>
  <c r="DI53" i="28"/>
  <c r="DI52" i="28"/>
  <c r="DI51" i="28"/>
  <c r="DL50" i="28"/>
  <c r="DK50" i="28"/>
  <c r="DJ50" i="28"/>
  <c r="DI50" i="28"/>
  <c r="DL6" i="28"/>
  <c r="DE58" i="28"/>
  <c r="DE57" i="28"/>
  <c r="DE56" i="28"/>
  <c r="DE55" i="28"/>
  <c r="DE54" i="28"/>
  <c r="DE53" i="28"/>
  <c r="DE52" i="28"/>
  <c r="DE51" i="28"/>
  <c r="DH50" i="28"/>
  <c r="DG50" i="28"/>
  <c r="DF50" i="28"/>
  <c r="DE50" i="28"/>
  <c r="DA58" i="28"/>
  <c r="DA57" i="28"/>
  <c r="DA56" i="28"/>
  <c r="DA55" i="28"/>
  <c r="DA54" i="28"/>
  <c r="DA53" i="28"/>
  <c r="DA52" i="28"/>
  <c r="DA51" i="28"/>
  <c r="DD50" i="28"/>
  <c r="DC50" i="28"/>
  <c r="DB50" i="28"/>
  <c r="DA50" i="28"/>
  <c r="DD6" i="28"/>
  <c r="CW58" i="28"/>
  <c r="CW57" i="28"/>
  <c r="CW56" i="28"/>
  <c r="CW55" i="28"/>
  <c r="CW54" i="28"/>
  <c r="CW53" i="28"/>
  <c r="CW52" i="28"/>
  <c r="CW51" i="28"/>
  <c r="CZ50" i="28"/>
  <c r="CY50" i="28"/>
  <c r="CX50" i="28"/>
  <c r="CW50" i="28"/>
  <c r="CS58" i="28"/>
  <c r="CS57" i="28"/>
  <c r="CS56" i="28"/>
  <c r="CS55" i="28"/>
  <c r="CS54" i="28"/>
  <c r="CS53" i="28"/>
  <c r="CS52" i="28"/>
  <c r="CS51" i="28"/>
  <c r="CV50" i="28"/>
  <c r="CU50" i="28"/>
  <c r="CT50" i="28"/>
  <c r="CS50" i="28"/>
  <c r="CO58" i="28"/>
  <c r="CO57" i="28"/>
  <c r="CO56" i="28"/>
  <c r="CO55" i="28"/>
  <c r="CO54" i="28"/>
  <c r="CO53" i="28"/>
  <c r="CO52" i="28"/>
  <c r="CO51" i="28"/>
  <c r="CR50" i="28"/>
  <c r="CQ50" i="28"/>
  <c r="CP50" i="28"/>
  <c r="CO50" i="28"/>
  <c r="CR6" i="28"/>
  <c r="CK58" i="28"/>
  <c r="CK57" i="28"/>
  <c r="CK56" i="28"/>
  <c r="CK55" i="28"/>
  <c r="CK54" i="28"/>
  <c r="CK53" i="28"/>
  <c r="CK52" i="28"/>
  <c r="CK51" i="28"/>
  <c r="CN50" i="28"/>
  <c r="CM50" i="28"/>
  <c r="CL50" i="28"/>
  <c r="CK50" i="28"/>
  <c r="CN6" i="28"/>
  <c r="CG58" i="28"/>
  <c r="CG57" i="28"/>
  <c r="CG56" i="28"/>
  <c r="CG55" i="28"/>
  <c r="CG54" i="28"/>
  <c r="CG53" i="28"/>
  <c r="CG52" i="28"/>
  <c r="CG51" i="28"/>
  <c r="CJ50" i="28"/>
  <c r="CI50" i="28"/>
  <c r="CH50" i="28"/>
  <c r="CG50" i="28"/>
  <c r="CJ6" i="28"/>
  <c r="CC58" i="28"/>
  <c r="CC57" i="28"/>
  <c r="CC56" i="28"/>
  <c r="CC55" i="28"/>
  <c r="CC54" i="28"/>
  <c r="CC53" i="28"/>
  <c r="CC52" i="28"/>
  <c r="CC51" i="28"/>
  <c r="CF50" i="28"/>
  <c r="CE50" i="28"/>
  <c r="CD50" i="28"/>
  <c r="CC50" i="28"/>
  <c r="CF6" i="28"/>
  <c r="BY58" i="28"/>
  <c r="BY57" i="28"/>
  <c r="BY56" i="28"/>
  <c r="BY55" i="28"/>
  <c r="BY54" i="28"/>
  <c r="BY53" i="28"/>
  <c r="BY52" i="28"/>
  <c r="BY51" i="28"/>
  <c r="CB50" i="28"/>
  <c r="CA50" i="28"/>
  <c r="BZ50" i="28"/>
  <c r="BY50" i="28"/>
  <c r="CB6" i="28"/>
  <c r="BU58" i="28"/>
  <c r="BU57" i="28"/>
  <c r="BU56" i="28"/>
  <c r="BU55" i="28"/>
  <c r="BU54" i="28"/>
  <c r="BU53" i="28"/>
  <c r="BU52" i="28"/>
  <c r="BU51" i="28"/>
  <c r="BX50" i="28"/>
  <c r="BW50" i="28"/>
  <c r="BV50" i="28"/>
  <c r="BU50" i="28"/>
  <c r="BX6" i="28"/>
  <c r="BQ58" i="28"/>
  <c r="BQ57" i="28"/>
  <c r="BQ56" i="28"/>
  <c r="BQ55" i="28"/>
  <c r="BQ54" i="28"/>
  <c r="BQ53" i="28"/>
  <c r="BQ52" i="28"/>
  <c r="BQ51" i="28"/>
  <c r="BT50" i="28"/>
  <c r="BS50" i="28"/>
  <c r="BR50" i="28"/>
  <c r="BQ50" i="28"/>
  <c r="BT6" i="28"/>
  <c r="BM58" i="28"/>
  <c r="BM57" i="28"/>
  <c r="BM56" i="28"/>
  <c r="BM55" i="28"/>
  <c r="BM54" i="28"/>
  <c r="BM53" i="28"/>
  <c r="BM52" i="28"/>
  <c r="BM51" i="28"/>
  <c r="BP50" i="28"/>
  <c r="BO50" i="28"/>
  <c r="BN50" i="28"/>
  <c r="BM50" i="28"/>
  <c r="BI58" i="28"/>
  <c r="BI57" i="28"/>
  <c r="BI56" i="28"/>
  <c r="BI55" i="28"/>
  <c r="BI54" i="28"/>
  <c r="BI53" i="28"/>
  <c r="BI52" i="28"/>
  <c r="BI51" i="28"/>
  <c r="BL50" i="28"/>
  <c r="BK50" i="28"/>
  <c r="BJ50" i="28"/>
  <c r="BI50" i="28"/>
  <c r="BE58" i="28"/>
  <c r="BE57" i="28"/>
  <c r="BE56" i="28"/>
  <c r="BE55" i="28"/>
  <c r="BE54" i="28"/>
  <c r="BE53" i="28"/>
  <c r="BE52" i="28"/>
  <c r="BE51" i="28"/>
  <c r="BH50" i="28"/>
  <c r="BG50" i="28"/>
  <c r="BF50" i="28"/>
  <c r="BE50" i="28"/>
  <c r="BH6" i="28"/>
  <c r="BA58" i="28"/>
  <c r="BA57" i="28"/>
  <c r="BA56" i="28"/>
  <c r="BA55" i="28"/>
  <c r="BA54" i="28"/>
  <c r="BA53" i="28"/>
  <c r="BA52" i="28"/>
  <c r="BA51" i="28"/>
  <c r="BD50" i="28"/>
  <c r="BC50" i="28"/>
  <c r="BB50" i="28"/>
  <c r="BA50" i="28"/>
  <c r="BD6" i="28"/>
  <c r="AW58" i="28"/>
  <c r="AW57" i="28"/>
  <c r="AW56" i="28"/>
  <c r="AW55" i="28"/>
  <c r="AW54" i="28"/>
  <c r="AW53" i="28"/>
  <c r="AW52" i="28"/>
  <c r="AW51" i="28"/>
  <c r="AZ50" i="28"/>
  <c r="AY50" i="28"/>
  <c r="AX50" i="28"/>
  <c r="AW50" i="28"/>
  <c r="AZ6" i="28"/>
  <c r="AS58" i="28"/>
  <c r="AS57" i="28"/>
  <c r="AS56" i="28"/>
  <c r="AS55" i="28"/>
  <c r="AS54" i="28"/>
  <c r="AS53" i="28"/>
  <c r="AS52" i="28"/>
  <c r="AS51" i="28"/>
  <c r="AV50" i="28"/>
  <c r="AU50" i="28"/>
  <c r="AT50" i="28"/>
  <c r="AS50" i="28"/>
  <c r="AV6" i="28"/>
  <c r="AO58" i="28"/>
  <c r="AO57" i="28"/>
  <c r="AO56" i="28"/>
  <c r="AO55" i="28"/>
  <c r="AO54" i="28"/>
  <c r="AO53" i="28"/>
  <c r="AO52" i="28"/>
  <c r="AO51" i="28"/>
  <c r="AR50" i="28"/>
  <c r="AQ50" i="28"/>
  <c r="AP50" i="28"/>
  <c r="AO50" i="28"/>
  <c r="AR6" i="28"/>
  <c r="AK58" i="28"/>
  <c r="AK57" i="28"/>
  <c r="AK56" i="28"/>
  <c r="AK55" i="28"/>
  <c r="AK54" i="28"/>
  <c r="AK53" i="28"/>
  <c r="AK52" i="28"/>
  <c r="AK51" i="28"/>
  <c r="AN50" i="28"/>
  <c r="AM50" i="28"/>
  <c r="AL50" i="28"/>
  <c r="AK50" i="28"/>
  <c r="AN6" i="28"/>
  <c r="AG58" i="28"/>
  <c r="AG57" i="28"/>
  <c r="AG56" i="28"/>
  <c r="AG55" i="28"/>
  <c r="AG54" i="28"/>
  <c r="AG53" i="28"/>
  <c r="AG52" i="28"/>
  <c r="AG51" i="28"/>
  <c r="AJ50" i="28"/>
  <c r="AI50" i="28"/>
  <c r="AH50" i="28"/>
  <c r="AG50" i="28"/>
  <c r="AJ6" i="28"/>
  <c r="AC58" i="28"/>
  <c r="AC57" i="28"/>
  <c r="AC56" i="28"/>
  <c r="AC55" i="28"/>
  <c r="AC54" i="28"/>
  <c r="AC53" i="28"/>
  <c r="AC52" i="28"/>
  <c r="AC51" i="28"/>
  <c r="AF50" i="28"/>
  <c r="AE50" i="28"/>
  <c r="AD50" i="28"/>
  <c r="AC50" i="28"/>
  <c r="AF6" i="28"/>
  <c r="Y58" i="28"/>
  <c r="Y57" i="28"/>
  <c r="Y56" i="28"/>
  <c r="Y55" i="28"/>
  <c r="Y54" i="28"/>
  <c r="Y53" i="28"/>
  <c r="Y52" i="28"/>
  <c r="Y51" i="28"/>
  <c r="AB50" i="28"/>
  <c r="AA50" i="28"/>
  <c r="Z50" i="28"/>
  <c r="Y50" i="28"/>
  <c r="U58" i="28"/>
  <c r="U57" i="28"/>
  <c r="U56" i="28"/>
  <c r="U55" i="28"/>
  <c r="U54" i="28"/>
  <c r="U53" i="28"/>
  <c r="U52" i="28"/>
  <c r="U51" i="28"/>
  <c r="X50" i="28"/>
  <c r="W50" i="28"/>
  <c r="V50" i="28"/>
  <c r="U50" i="28"/>
  <c r="X6" i="28"/>
  <c r="Q58" i="28"/>
  <c r="Q57" i="28"/>
  <c r="Q56" i="28"/>
  <c r="Q55" i="28"/>
  <c r="Q54" i="28"/>
  <c r="Q53" i="28"/>
  <c r="Q52" i="28"/>
  <c r="Q51" i="28"/>
  <c r="T50" i="28"/>
  <c r="S50" i="28"/>
  <c r="R50" i="28"/>
  <c r="Q50" i="28"/>
  <c r="S6" i="28"/>
  <c r="S4" i="28"/>
  <c r="S2" i="28"/>
  <c r="Q2" i="28"/>
  <c r="Q6" i="28"/>
  <c r="T6" i="28"/>
  <c r="S7" i="28"/>
  <c r="S5" i="28"/>
  <c r="Q3" i="28"/>
  <c r="R3" i="28"/>
  <c r="R4" i="28"/>
  <c r="T4" i="28"/>
  <c r="Q5" i="28"/>
  <c r="R5" i="28"/>
  <c r="T5" i="28"/>
  <c r="U5" i="28"/>
  <c r="V5" i="28"/>
  <c r="X5" i="28"/>
  <c r="Y5" i="28"/>
  <c r="Z5" i="28"/>
  <c r="AB5" i="28"/>
  <c r="AC5" i="28"/>
  <c r="AD5" i="28"/>
  <c r="AF5" i="28"/>
  <c r="AG5" i="28"/>
  <c r="AH5" i="28"/>
  <c r="AJ5" i="28"/>
  <c r="AK5" i="28"/>
  <c r="AL5" i="28"/>
  <c r="AN5" i="28"/>
  <c r="AO5" i="28"/>
  <c r="AP5" i="28"/>
  <c r="AR5" i="28"/>
  <c r="AS5" i="28"/>
  <c r="AT5" i="28"/>
  <c r="AV5" i="28"/>
  <c r="AW5" i="28"/>
  <c r="AX5" i="28"/>
  <c r="AZ5" i="28"/>
  <c r="BA5" i="28"/>
  <c r="BB5" i="28"/>
  <c r="BD5" i="28"/>
  <c r="BE5" i="28"/>
  <c r="BF5" i="28"/>
  <c r="BH5" i="28"/>
  <c r="BI5" i="28"/>
  <c r="BJ5" i="28"/>
  <c r="BL5" i="28"/>
  <c r="BM5" i="28"/>
  <c r="BN5" i="28"/>
  <c r="BP5" i="28"/>
  <c r="BQ5" i="28"/>
  <c r="BR5" i="28"/>
  <c r="BT5" i="28"/>
  <c r="BU5" i="28"/>
  <c r="BV5" i="28"/>
  <c r="BX5" i="28"/>
  <c r="BY5" i="28"/>
  <c r="BZ5" i="28"/>
  <c r="CB5" i="28"/>
  <c r="CC5" i="28"/>
  <c r="CD5" i="28"/>
  <c r="CF5" i="28"/>
  <c r="CG5" i="28"/>
  <c r="CH5" i="28"/>
  <c r="CJ5" i="28"/>
  <c r="CK5" i="28"/>
  <c r="CL5" i="28"/>
  <c r="CN5" i="28"/>
  <c r="CO5" i="28"/>
  <c r="CP5" i="28"/>
  <c r="CR5" i="28"/>
  <c r="CS5" i="28"/>
  <c r="CT5" i="28"/>
  <c r="CV5" i="28"/>
  <c r="CW5" i="28"/>
  <c r="CX5" i="28"/>
  <c r="CZ5" i="28"/>
  <c r="DA5" i="28"/>
  <c r="DB5" i="28"/>
  <c r="DD5" i="28"/>
  <c r="DE5" i="28"/>
  <c r="DF5" i="28"/>
  <c r="DH5" i="28"/>
  <c r="DI5" i="28"/>
  <c r="DJ5" i="28"/>
  <c r="DL5" i="28"/>
  <c r="DM5" i="28"/>
  <c r="DN5" i="28"/>
  <c r="DP5" i="28"/>
  <c r="DQ5" i="28"/>
  <c r="DR5" i="28"/>
  <c r="DT5" i="28"/>
  <c r="DU5" i="28"/>
  <c r="DV5" i="28"/>
  <c r="DX5" i="28"/>
  <c r="DY5" i="28"/>
  <c r="DZ5" i="28"/>
  <c r="EB5" i="28"/>
  <c r="EC5" i="28"/>
  <c r="ED5" i="28"/>
  <c r="AB6" i="28"/>
  <c r="BL6" i="28"/>
  <c r="BP6" i="28"/>
  <c r="CV6" i="28"/>
  <c r="CZ6" i="28"/>
  <c r="DH6" i="28"/>
  <c r="EB6" i="28"/>
  <c r="Q7" i="28"/>
  <c r="R7" i="28"/>
  <c r="T7" i="28"/>
  <c r="U7" i="28"/>
  <c r="V7" i="28"/>
  <c r="X7" i="28"/>
  <c r="Y7" i="28"/>
  <c r="Z7" i="28"/>
  <c r="AB7" i="28"/>
  <c r="AC7" i="28"/>
  <c r="AD7" i="28"/>
  <c r="AF7" i="28"/>
  <c r="AG7" i="28"/>
  <c r="AH7" i="28"/>
  <c r="AJ7" i="28"/>
  <c r="AK7" i="28"/>
  <c r="AL7" i="28"/>
  <c r="AN7" i="28"/>
  <c r="AO7" i="28"/>
  <c r="AP7" i="28"/>
  <c r="AR7" i="28"/>
  <c r="AS7" i="28"/>
  <c r="AT7" i="28"/>
  <c r="AV7" i="28"/>
  <c r="AW7" i="28"/>
  <c r="AX7" i="28"/>
  <c r="AZ7" i="28"/>
  <c r="BA7" i="28"/>
  <c r="BB7" i="28"/>
  <c r="BD7" i="28"/>
  <c r="BE7" i="28"/>
  <c r="BF7" i="28"/>
  <c r="BH7" i="28"/>
  <c r="BI7" i="28"/>
  <c r="BJ7" i="28"/>
  <c r="BL7" i="28"/>
  <c r="BM7" i="28"/>
  <c r="BN7" i="28"/>
  <c r="BP7" i="28"/>
  <c r="BQ7" i="28"/>
  <c r="BR7" i="28"/>
  <c r="BT7" i="28"/>
  <c r="BU7" i="28"/>
  <c r="BV7" i="28"/>
  <c r="BX7" i="28"/>
  <c r="BY7" i="28"/>
  <c r="BZ7" i="28"/>
  <c r="CB7" i="28"/>
  <c r="CC7" i="28"/>
  <c r="CD7" i="28"/>
  <c r="CF7" i="28"/>
  <c r="CG7" i="28"/>
  <c r="CH7" i="28"/>
  <c r="CJ7" i="28"/>
  <c r="CK7" i="28"/>
  <c r="CL7" i="28"/>
  <c r="CN7" i="28"/>
  <c r="CO7" i="28"/>
  <c r="CP7" i="28"/>
  <c r="CR7" i="28"/>
  <c r="CS7" i="28"/>
  <c r="CT7" i="28"/>
  <c r="CV7" i="28"/>
  <c r="CW7" i="28"/>
  <c r="CX7" i="28"/>
  <c r="CZ7" i="28"/>
  <c r="DA7" i="28"/>
  <c r="DB7" i="28"/>
  <c r="DD7" i="28"/>
  <c r="DE7" i="28"/>
  <c r="DF7" i="28"/>
  <c r="DH7" i="28"/>
  <c r="DI7" i="28"/>
  <c r="DJ7" i="28"/>
  <c r="DL7" i="28"/>
  <c r="DM7" i="28"/>
  <c r="DN7" i="28"/>
  <c r="DP7" i="28"/>
  <c r="DQ7" i="28"/>
  <c r="DR7" i="28"/>
  <c r="DT7" i="28"/>
  <c r="DU7" i="28"/>
  <c r="DV7" i="28"/>
  <c r="DX7" i="28"/>
  <c r="DY7" i="28"/>
  <c r="DZ7" i="28"/>
  <c r="EB7" i="28"/>
  <c r="EC7" i="28"/>
  <c r="ED7" i="28"/>
  <c r="N50" i="28"/>
  <c r="O50" i="28"/>
  <c r="P50" i="28"/>
  <c r="M58" i="28"/>
  <c r="M57" i="28"/>
  <c r="M56" i="28"/>
  <c r="M55" i="28"/>
  <c r="M54" i="28"/>
  <c r="M53" i="28"/>
  <c r="M52" i="28"/>
  <c r="M51" i="28"/>
  <c r="M50" i="28"/>
  <c r="P4" i="28"/>
  <c r="P5" i="28"/>
  <c r="EF2" i="26"/>
  <c r="EF3" i="26"/>
  <c r="EF4" i="26"/>
  <c r="EF5" i="26"/>
  <c r="EF6" i="26"/>
  <c r="EF7" i="26"/>
  <c r="EE7" i="26"/>
  <c r="EC58" i="26"/>
  <c r="EC57" i="26"/>
  <c r="EC56" i="26"/>
  <c r="EC55" i="26"/>
  <c r="EC54" i="26"/>
  <c r="EC53" i="26"/>
  <c r="EC52" i="26"/>
  <c r="EC51" i="26"/>
  <c r="EF50" i="26"/>
  <c r="EE50" i="26"/>
  <c r="ED50" i="26"/>
  <c r="EC50" i="26"/>
  <c r="DY58" i="26"/>
  <c r="DY57" i="26"/>
  <c r="DY56" i="26"/>
  <c r="DY55" i="26"/>
  <c r="DY54" i="26"/>
  <c r="DY53" i="26"/>
  <c r="DY52" i="26"/>
  <c r="DY51" i="26"/>
  <c r="EB50" i="26"/>
  <c r="EA50" i="26"/>
  <c r="DZ50" i="26"/>
  <c r="DY50" i="26"/>
  <c r="DU58" i="26"/>
  <c r="DU57" i="26"/>
  <c r="DU56" i="26"/>
  <c r="DU55" i="26"/>
  <c r="DU54" i="26"/>
  <c r="DU53" i="26"/>
  <c r="DU52" i="26"/>
  <c r="DU51" i="26"/>
  <c r="DX50" i="26"/>
  <c r="DW50" i="26"/>
  <c r="DV50" i="26"/>
  <c r="DU50" i="26"/>
  <c r="DX6" i="26"/>
  <c r="DQ58" i="26"/>
  <c r="DQ57" i="26"/>
  <c r="DQ56" i="26"/>
  <c r="DQ55" i="26"/>
  <c r="DQ54" i="26"/>
  <c r="DQ53" i="26"/>
  <c r="DQ52" i="26"/>
  <c r="DQ51" i="26"/>
  <c r="DT50" i="26"/>
  <c r="DS50" i="26"/>
  <c r="DR50" i="26"/>
  <c r="DQ50" i="26"/>
  <c r="DM58" i="26"/>
  <c r="DM57" i="26"/>
  <c r="DM56" i="26"/>
  <c r="DM55" i="26"/>
  <c r="DM54" i="26"/>
  <c r="DM53" i="26"/>
  <c r="DM52" i="26"/>
  <c r="DM51" i="26"/>
  <c r="DP50" i="26"/>
  <c r="DO50" i="26"/>
  <c r="DN50" i="26"/>
  <c r="DM50" i="26"/>
  <c r="DI58" i="26"/>
  <c r="DI57" i="26"/>
  <c r="DI56" i="26"/>
  <c r="DI55" i="26"/>
  <c r="DI54" i="26"/>
  <c r="DI53" i="26"/>
  <c r="DI52" i="26"/>
  <c r="DI51" i="26"/>
  <c r="DL50" i="26"/>
  <c r="DK50" i="26"/>
  <c r="DJ50" i="26"/>
  <c r="DI50" i="26"/>
  <c r="DL6" i="26"/>
  <c r="DE58" i="26"/>
  <c r="DE57" i="26"/>
  <c r="DE56" i="26"/>
  <c r="DE55" i="26"/>
  <c r="DE54" i="26"/>
  <c r="DE53" i="26"/>
  <c r="DE52" i="26"/>
  <c r="DE51" i="26"/>
  <c r="DH50" i="26"/>
  <c r="DG50" i="26"/>
  <c r="DF50" i="26"/>
  <c r="DE50" i="26"/>
  <c r="DH6" i="26"/>
  <c r="DA58" i="26"/>
  <c r="DA57" i="26"/>
  <c r="DA56" i="26"/>
  <c r="DA55" i="26"/>
  <c r="DA54" i="26"/>
  <c r="DA53" i="26"/>
  <c r="DA52" i="26"/>
  <c r="DA51" i="26"/>
  <c r="DD50" i="26"/>
  <c r="DC50" i="26"/>
  <c r="DB50" i="26"/>
  <c r="DA50" i="26"/>
  <c r="DD6" i="26"/>
  <c r="CW58" i="26"/>
  <c r="CW57" i="26"/>
  <c r="CW56" i="26"/>
  <c r="CW55" i="26"/>
  <c r="CW54" i="26"/>
  <c r="CW53" i="26"/>
  <c r="CW52" i="26"/>
  <c r="CW51" i="26"/>
  <c r="CZ50" i="26"/>
  <c r="CY50" i="26"/>
  <c r="CX50" i="26"/>
  <c r="CW50" i="26"/>
  <c r="CZ6" i="26"/>
  <c r="CS58" i="26"/>
  <c r="CS57" i="26"/>
  <c r="CS56" i="26"/>
  <c r="CS55" i="26"/>
  <c r="CS54" i="26"/>
  <c r="CS53" i="26"/>
  <c r="CS52" i="26"/>
  <c r="CS51" i="26"/>
  <c r="CV50" i="26"/>
  <c r="CU50" i="26"/>
  <c r="CT50" i="26"/>
  <c r="CS50" i="26"/>
  <c r="CV6" i="26"/>
  <c r="CO58" i="26"/>
  <c r="CO57" i="26"/>
  <c r="CO56" i="26"/>
  <c r="CO55" i="26"/>
  <c r="CO54" i="26"/>
  <c r="CO53" i="26"/>
  <c r="CO52" i="26"/>
  <c r="CO51" i="26"/>
  <c r="CR50" i="26"/>
  <c r="CQ50" i="26"/>
  <c r="CP50" i="26"/>
  <c r="CO50" i="26"/>
  <c r="CK58" i="26"/>
  <c r="CK57" i="26"/>
  <c r="CK56" i="26"/>
  <c r="CK55" i="26"/>
  <c r="CK54" i="26"/>
  <c r="CK53" i="26"/>
  <c r="CK52" i="26"/>
  <c r="CK51" i="26"/>
  <c r="CN50" i="26"/>
  <c r="CM50" i="26"/>
  <c r="CL50" i="26"/>
  <c r="CK50" i="26"/>
  <c r="CG58" i="26"/>
  <c r="CG57" i="26"/>
  <c r="CG56" i="26"/>
  <c r="CG55" i="26"/>
  <c r="CG54" i="26"/>
  <c r="CG53" i="26"/>
  <c r="CG52" i="26"/>
  <c r="CG51" i="26"/>
  <c r="CJ50" i="26"/>
  <c r="CI50" i="26"/>
  <c r="CH50" i="26"/>
  <c r="CG50" i="26"/>
  <c r="CJ6" i="26"/>
  <c r="CC58" i="26"/>
  <c r="CC57" i="26"/>
  <c r="CC56" i="26"/>
  <c r="CC55" i="26"/>
  <c r="CC54" i="26"/>
  <c r="CC53" i="26"/>
  <c r="CC52" i="26"/>
  <c r="CC51" i="26"/>
  <c r="CF50" i="26"/>
  <c r="CE50" i="26"/>
  <c r="CD50" i="26"/>
  <c r="CC50" i="26"/>
  <c r="BY58" i="26"/>
  <c r="BY57" i="26"/>
  <c r="BY56" i="26"/>
  <c r="BY55" i="26"/>
  <c r="BY54" i="26"/>
  <c r="BY53" i="26"/>
  <c r="BY52" i="26"/>
  <c r="BY51" i="26"/>
  <c r="CB50" i="26"/>
  <c r="CA50" i="26"/>
  <c r="BZ50" i="26"/>
  <c r="BY50" i="26"/>
  <c r="CB6" i="26"/>
  <c r="BU58" i="26"/>
  <c r="BU57" i="26"/>
  <c r="BU56" i="26"/>
  <c r="BU55" i="26"/>
  <c r="BU54" i="26"/>
  <c r="BU53" i="26"/>
  <c r="BU52" i="26"/>
  <c r="BU51" i="26"/>
  <c r="BX50" i="26"/>
  <c r="BW50" i="26"/>
  <c r="BV50" i="26"/>
  <c r="BU50" i="26"/>
  <c r="BQ58" i="26"/>
  <c r="BQ57" i="26"/>
  <c r="BQ56" i="26"/>
  <c r="BQ55" i="26"/>
  <c r="BQ54" i="26"/>
  <c r="BQ53" i="26"/>
  <c r="BQ52" i="26"/>
  <c r="BQ51" i="26"/>
  <c r="BT50" i="26"/>
  <c r="BS50" i="26"/>
  <c r="BR50" i="26"/>
  <c r="BQ50" i="26"/>
  <c r="BT6" i="26"/>
  <c r="BM58" i="26"/>
  <c r="BM57" i="26"/>
  <c r="BM56" i="26"/>
  <c r="BM55" i="26"/>
  <c r="BM54" i="26"/>
  <c r="BM53" i="26"/>
  <c r="BM52" i="26"/>
  <c r="BM51" i="26"/>
  <c r="BP50" i="26"/>
  <c r="BO50" i="26"/>
  <c r="BN50" i="26"/>
  <c r="BM50" i="26"/>
  <c r="BI58" i="26"/>
  <c r="BI57" i="26"/>
  <c r="BI56" i="26"/>
  <c r="BI55" i="26"/>
  <c r="BI54" i="26"/>
  <c r="BI53" i="26"/>
  <c r="BI52" i="26"/>
  <c r="BI51" i="26"/>
  <c r="BL50" i="26"/>
  <c r="BK50" i="26"/>
  <c r="BJ50" i="26"/>
  <c r="BI50" i="26"/>
  <c r="BL6" i="26"/>
  <c r="BE58" i="26"/>
  <c r="BE57" i="26"/>
  <c r="BE56" i="26"/>
  <c r="BE55" i="26"/>
  <c r="BE54" i="26"/>
  <c r="BE53" i="26"/>
  <c r="BE52" i="26"/>
  <c r="BE51" i="26"/>
  <c r="BH50" i="26"/>
  <c r="BG50" i="26"/>
  <c r="BF50" i="26"/>
  <c r="BE50" i="26"/>
  <c r="BH6" i="26"/>
  <c r="BA58" i="26"/>
  <c r="BA57" i="26"/>
  <c r="BA56" i="26"/>
  <c r="BA55" i="26"/>
  <c r="BA54" i="26"/>
  <c r="BA53" i="26"/>
  <c r="BA52" i="26"/>
  <c r="BA51" i="26"/>
  <c r="BD50" i="26"/>
  <c r="BC50" i="26"/>
  <c r="BB50" i="26"/>
  <c r="BA50" i="26"/>
  <c r="AW58" i="26"/>
  <c r="AW57" i="26"/>
  <c r="AW56" i="26"/>
  <c r="AW55" i="26"/>
  <c r="AW54" i="26"/>
  <c r="AW53" i="26"/>
  <c r="AW52" i="26"/>
  <c r="AW51" i="26"/>
  <c r="AZ50" i="26"/>
  <c r="AY50" i="26"/>
  <c r="AX50" i="26"/>
  <c r="AW50" i="26"/>
  <c r="AZ6" i="26"/>
  <c r="AS58" i="26"/>
  <c r="AS57" i="26"/>
  <c r="AS56" i="26"/>
  <c r="AS55" i="26"/>
  <c r="AS54" i="26"/>
  <c r="AS53" i="26"/>
  <c r="AS52" i="26"/>
  <c r="AS51" i="26"/>
  <c r="AV50" i="26"/>
  <c r="AU50" i="26"/>
  <c r="AT50" i="26"/>
  <c r="AS50" i="26"/>
  <c r="AO58" i="26"/>
  <c r="AO57" i="26"/>
  <c r="AO56" i="26"/>
  <c r="AO55" i="26"/>
  <c r="AO54" i="26"/>
  <c r="AO53" i="26"/>
  <c r="AO52" i="26"/>
  <c r="AO51" i="26"/>
  <c r="AR50" i="26"/>
  <c r="AQ50" i="26"/>
  <c r="AP50" i="26"/>
  <c r="AO50" i="26"/>
  <c r="AK58" i="26"/>
  <c r="AK57" i="26"/>
  <c r="AK56" i="26"/>
  <c r="AK55" i="26"/>
  <c r="AK54" i="26"/>
  <c r="AK53" i="26"/>
  <c r="AK52" i="26"/>
  <c r="AK51" i="26"/>
  <c r="AN50" i="26"/>
  <c r="AM50" i="26"/>
  <c r="AL50" i="26"/>
  <c r="AK50" i="26"/>
  <c r="AG58" i="26"/>
  <c r="AG57" i="26"/>
  <c r="AG56" i="26"/>
  <c r="AG55" i="26"/>
  <c r="AG54" i="26"/>
  <c r="AG53" i="26"/>
  <c r="AG52" i="26"/>
  <c r="AG51" i="26"/>
  <c r="AJ50" i="26"/>
  <c r="AI50" i="26"/>
  <c r="AH50" i="26"/>
  <c r="AG50" i="26"/>
  <c r="AJ6" i="26"/>
  <c r="AC58" i="26"/>
  <c r="AC57" i="26"/>
  <c r="AC56" i="26"/>
  <c r="AC55" i="26"/>
  <c r="AC54" i="26"/>
  <c r="AC53" i="26"/>
  <c r="AC52" i="26"/>
  <c r="AC51" i="26"/>
  <c r="AF50" i="26"/>
  <c r="AE50" i="26"/>
  <c r="AD50" i="26"/>
  <c r="AC50" i="26"/>
  <c r="AF6" i="26"/>
  <c r="Y58" i="26"/>
  <c r="Y57" i="26"/>
  <c r="Y56" i="26"/>
  <c r="Y55" i="26"/>
  <c r="Y54" i="26"/>
  <c r="Y53" i="26"/>
  <c r="Y52" i="26"/>
  <c r="Y51" i="26"/>
  <c r="AB50" i="26"/>
  <c r="AA50" i="26"/>
  <c r="Z50" i="26"/>
  <c r="Y50" i="26"/>
  <c r="U58" i="26"/>
  <c r="U57" i="26"/>
  <c r="U56" i="26"/>
  <c r="U55" i="26"/>
  <c r="U54" i="26"/>
  <c r="U53" i="26"/>
  <c r="U52" i="26"/>
  <c r="U51" i="26"/>
  <c r="X50" i="26"/>
  <c r="W50" i="26"/>
  <c r="V50" i="26"/>
  <c r="U50" i="26"/>
  <c r="Q58" i="26"/>
  <c r="Q57" i="26"/>
  <c r="Q56" i="26"/>
  <c r="Q55" i="26"/>
  <c r="Q54" i="26"/>
  <c r="Q53" i="26"/>
  <c r="Q52" i="26"/>
  <c r="Q51" i="26"/>
  <c r="T50" i="26"/>
  <c r="S50" i="26"/>
  <c r="R50" i="26"/>
  <c r="Q50" i="26"/>
  <c r="EC58" i="24"/>
  <c r="EC57" i="24"/>
  <c r="EC56" i="24"/>
  <c r="EC55" i="24"/>
  <c r="EC54" i="24"/>
  <c r="EC53" i="24"/>
  <c r="EC52" i="24"/>
  <c r="EC51" i="24"/>
  <c r="EF50" i="24"/>
  <c r="EE50" i="24"/>
  <c r="ED50" i="24"/>
  <c r="EC50" i="24"/>
  <c r="ED6" i="24"/>
  <c r="EC4" i="24"/>
  <c r="EE3" i="24"/>
  <c r="EE2" i="24"/>
  <c r="ED4" i="24"/>
  <c r="EE4" i="24"/>
  <c r="EF6" i="24"/>
  <c r="EE6" i="24"/>
  <c r="EE7" i="24"/>
  <c r="DY58" i="24"/>
  <c r="DY57" i="24"/>
  <c r="DY56" i="24"/>
  <c r="DY55" i="24"/>
  <c r="DY54" i="24"/>
  <c r="DY53" i="24"/>
  <c r="DY52" i="24"/>
  <c r="DY51" i="24"/>
  <c r="EB50" i="24"/>
  <c r="EA50" i="24"/>
  <c r="DZ50" i="24"/>
  <c r="DY50" i="24"/>
  <c r="EA6" i="24"/>
  <c r="EA4" i="24"/>
  <c r="DY4" i="24"/>
  <c r="EA3" i="24"/>
  <c r="EB2" i="24"/>
  <c r="EA2" i="24"/>
  <c r="DZ4" i="24"/>
  <c r="EB6" i="24"/>
  <c r="EA7" i="24"/>
  <c r="DU58" i="24"/>
  <c r="DU57" i="24"/>
  <c r="DU56" i="24"/>
  <c r="DU55" i="24"/>
  <c r="DU54" i="24"/>
  <c r="DU53" i="24"/>
  <c r="DU52" i="24"/>
  <c r="DU51" i="24"/>
  <c r="DX50" i="24"/>
  <c r="DW50" i="24"/>
  <c r="DV50" i="24"/>
  <c r="DU50" i="24"/>
  <c r="DW6" i="24"/>
  <c r="DW4" i="24"/>
  <c r="DW3" i="24"/>
  <c r="DW2" i="24"/>
  <c r="DX2" i="24"/>
  <c r="DV4" i="24"/>
  <c r="DW7" i="24"/>
  <c r="DQ58" i="24"/>
  <c r="DQ57" i="24"/>
  <c r="DQ56" i="24"/>
  <c r="DQ55" i="24"/>
  <c r="DQ54" i="24"/>
  <c r="DQ53" i="24"/>
  <c r="DQ52" i="24"/>
  <c r="DQ51" i="24"/>
  <c r="DT50" i="24"/>
  <c r="DS50" i="24"/>
  <c r="DR50" i="24"/>
  <c r="DQ50" i="24"/>
  <c r="DS6" i="24"/>
  <c r="DS3" i="24"/>
  <c r="DS2" i="24"/>
  <c r="DS4" i="24"/>
  <c r="DT6" i="24"/>
  <c r="DS7" i="24"/>
  <c r="DM58" i="24"/>
  <c r="DM57" i="24"/>
  <c r="DM56" i="24"/>
  <c r="DM55" i="24"/>
  <c r="DM54" i="24"/>
  <c r="DM53" i="24"/>
  <c r="DM52" i="24"/>
  <c r="DM51" i="24"/>
  <c r="DP50" i="24"/>
  <c r="DO50" i="24"/>
  <c r="DN50" i="24"/>
  <c r="DM50" i="24"/>
  <c r="DO7" i="24"/>
  <c r="DO6" i="24"/>
  <c r="DO3" i="24"/>
  <c r="DO2" i="24"/>
  <c r="DO4" i="24"/>
  <c r="DN6" i="24"/>
  <c r="DI58" i="24"/>
  <c r="DI57" i="24"/>
  <c r="DI56" i="24"/>
  <c r="DI55" i="24"/>
  <c r="DI54" i="24"/>
  <c r="DI53" i="24"/>
  <c r="DI52" i="24"/>
  <c r="DI51" i="24"/>
  <c r="DL50" i="24"/>
  <c r="DK50" i="24"/>
  <c r="DJ50" i="24"/>
  <c r="DI50" i="24"/>
  <c r="DK6" i="24"/>
  <c r="DK3" i="24"/>
  <c r="DK2" i="24"/>
  <c r="DK4" i="24"/>
  <c r="DK7" i="24"/>
  <c r="DL6" i="24"/>
  <c r="DE58" i="24"/>
  <c r="DE57" i="24"/>
  <c r="DE56" i="24"/>
  <c r="DE55" i="24"/>
  <c r="DE54" i="24"/>
  <c r="DE53" i="24"/>
  <c r="DE52" i="24"/>
  <c r="DE51" i="24"/>
  <c r="DH50" i="24"/>
  <c r="DG50" i="24"/>
  <c r="DF50" i="24"/>
  <c r="DE50" i="24"/>
  <c r="DG7" i="24"/>
  <c r="DG6" i="24"/>
  <c r="DG3" i="24"/>
  <c r="DG2" i="24"/>
  <c r="DG4" i="24"/>
  <c r="DH6" i="24"/>
  <c r="DA58" i="24"/>
  <c r="DA57" i="24"/>
  <c r="DA56" i="24"/>
  <c r="DA55" i="24"/>
  <c r="DA54" i="24"/>
  <c r="DA53" i="24"/>
  <c r="DA52" i="24"/>
  <c r="DA51" i="24"/>
  <c r="DD50" i="24"/>
  <c r="DC50" i="24"/>
  <c r="DB50" i="24"/>
  <c r="DA50" i="24"/>
  <c r="DC6" i="24"/>
  <c r="DD6" i="24"/>
  <c r="DC4" i="24"/>
  <c r="DA4" i="24"/>
  <c r="DC3" i="24"/>
  <c r="DC2" i="24"/>
  <c r="DC7" i="24"/>
  <c r="CW58" i="24"/>
  <c r="CW57" i="24"/>
  <c r="CW56" i="24"/>
  <c r="CW55" i="24"/>
  <c r="CW54" i="24"/>
  <c r="CW53" i="24"/>
  <c r="CW52" i="24"/>
  <c r="CW51" i="24"/>
  <c r="CZ50" i="24"/>
  <c r="CY50" i="24"/>
  <c r="CX50" i="24"/>
  <c r="CW50" i="24"/>
  <c r="CY6" i="24"/>
  <c r="CX6" i="24"/>
  <c r="CW4" i="24"/>
  <c r="CY3" i="24"/>
  <c r="CY2" i="24"/>
  <c r="CY4" i="24"/>
  <c r="CZ6" i="24"/>
  <c r="CY7" i="24"/>
  <c r="CS58" i="24"/>
  <c r="CS57" i="24"/>
  <c r="CS56" i="24"/>
  <c r="CS55" i="24"/>
  <c r="CS54" i="24"/>
  <c r="CS53" i="24"/>
  <c r="CS52" i="24"/>
  <c r="CS51" i="24"/>
  <c r="CV50" i="24"/>
  <c r="CU50" i="24"/>
  <c r="CT50" i="24"/>
  <c r="CS50" i="24"/>
  <c r="CU6" i="24"/>
  <c r="CV6" i="24"/>
  <c r="CU4" i="24"/>
  <c r="CU3" i="24"/>
  <c r="CU2" i="24"/>
  <c r="CU5" i="24"/>
  <c r="CT6" i="24"/>
  <c r="CO58" i="24"/>
  <c r="CO57" i="24"/>
  <c r="CO56" i="24"/>
  <c r="CO55" i="24"/>
  <c r="CO54" i="24"/>
  <c r="CO53" i="24"/>
  <c r="CO52" i="24"/>
  <c r="CO51" i="24"/>
  <c r="CR50" i="24"/>
  <c r="CQ50" i="24"/>
  <c r="CP50" i="24"/>
  <c r="CO50" i="24"/>
  <c r="CQ7" i="24"/>
  <c r="CP4" i="24"/>
  <c r="CQ3" i="24"/>
  <c r="CQ2" i="24"/>
  <c r="CO4" i="24"/>
  <c r="CQ4" i="24"/>
  <c r="CR6" i="24"/>
  <c r="CQ6" i="24"/>
  <c r="CK58" i="24"/>
  <c r="CK57" i="24"/>
  <c r="CK56" i="24"/>
  <c r="CK55" i="24"/>
  <c r="CK54" i="24"/>
  <c r="CK53" i="24"/>
  <c r="CK52" i="24"/>
  <c r="CK51" i="24"/>
  <c r="CN50" i="24"/>
  <c r="CM50" i="24"/>
  <c r="CL50" i="24"/>
  <c r="CK50" i="24"/>
  <c r="CN6" i="24"/>
  <c r="CM6" i="24"/>
  <c r="CM4" i="24"/>
  <c r="CM3" i="24"/>
  <c r="CM2" i="24"/>
  <c r="CM7" i="24"/>
  <c r="CG58" i="24"/>
  <c r="CG57" i="24"/>
  <c r="CG56" i="24"/>
  <c r="CG55" i="24"/>
  <c r="CG54" i="24"/>
  <c r="CG53" i="24"/>
  <c r="CG52" i="24"/>
  <c r="CG51" i="24"/>
  <c r="CJ50" i="24"/>
  <c r="CI50" i="24"/>
  <c r="CH50" i="24"/>
  <c r="CG50" i="24"/>
  <c r="CI7" i="24"/>
  <c r="CI6" i="24"/>
  <c r="CI4" i="24"/>
  <c r="CG4" i="24"/>
  <c r="CI3" i="24"/>
  <c r="CI2" i="24"/>
  <c r="CG6" i="24"/>
  <c r="CJ6" i="24"/>
  <c r="CC58" i="24"/>
  <c r="CC57" i="24"/>
  <c r="CC56" i="24"/>
  <c r="CC55" i="24"/>
  <c r="CC54" i="24"/>
  <c r="CC53" i="24"/>
  <c r="CC52" i="24"/>
  <c r="CC51" i="24"/>
  <c r="CF50" i="24"/>
  <c r="CE50" i="24"/>
  <c r="CD50" i="24"/>
  <c r="CC50" i="24"/>
  <c r="CE6" i="24"/>
  <c r="CE4" i="24"/>
  <c r="CC4" i="24"/>
  <c r="CE3" i="24"/>
  <c r="CE2" i="24"/>
  <c r="CD4" i="24"/>
  <c r="CD6" i="24"/>
  <c r="BY58" i="24"/>
  <c r="BY57" i="24"/>
  <c r="BY56" i="24"/>
  <c r="BY55" i="24"/>
  <c r="BY54" i="24"/>
  <c r="BY53" i="24"/>
  <c r="BY52" i="24"/>
  <c r="BY51" i="24"/>
  <c r="CB50" i="24"/>
  <c r="CA50" i="24"/>
  <c r="BZ50" i="24"/>
  <c r="BY50" i="24"/>
  <c r="CA6" i="24"/>
  <c r="CA3" i="24"/>
  <c r="CA2" i="24"/>
  <c r="BY4" i="24"/>
  <c r="BZ4" i="24"/>
  <c r="CA4" i="24"/>
  <c r="CA7" i="24"/>
  <c r="BU58" i="24"/>
  <c r="BU57" i="24"/>
  <c r="BU56" i="24"/>
  <c r="BU55" i="24"/>
  <c r="BU54" i="24"/>
  <c r="BU53" i="24"/>
  <c r="BU52" i="24"/>
  <c r="BU51" i="24"/>
  <c r="BX50" i="24"/>
  <c r="BW50" i="24"/>
  <c r="BV50" i="24"/>
  <c r="BU50" i="24"/>
  <c r="BW7" i="24"/>
  <c r="BX6" i="24"/>
  <c r="BW6" i="24"/>
  <c r="BW3" i="24"/>
  <c r="BW2" i="24"/>
  <c r="BU4" i="24"/>
  <c r="BW4" i="24"/>
  <c r="BV6" i="24"/>
  <c r="BQ58" i="24"/>
  <c r="BQ57" i="24"/>
  <c r="BQ56" i="24"/>
  <c r="BQ55" i="24"/>
  <c r="BQ54" i="24"/>
  <c r="BQ53" i="24"/>
  <c r="BQ52" i="24"/>
  <c r="BQ51" i="24"/>
  <c r="BT50" i="24"/>
  <c r="BS50" i="24"/>
  <c r="BR50" i="24"/>
  <c r="BQ50" i="24"/>
  <c r="BS6" i="24"/>
  <c r="BS4" i="24"/>
  <c r="BS3" i="24"/>
  <c r="BS2" i="24"/>
  <c r="BS7" i="24"/>
  <c r="BM58" i="24"/>
  <c r="BM57" i="24"/>
  <c r="BM56" i="24"/>
  <c r="BM55" i="24"/>
  <c r="BM54" i="24"/>
  <c r="BM53" i="24"/>
  <c r="BM52" i="24"/>
  <c r="BM51" i="24"/>
  <c r="BP50" i="24"/>
  <c r="BO50" i="24"/>
  <c r="BN50" i="24"/>
  <c r="BM50" i="24"/>
  <c r="BO7" i="24"/>
  <c r="BO6" i="24"/>
  <c r="BO4" i="24"/>
  <c r="BO3" i="24"/>
  <c r="BO2" i="24"/>
  <c r="BP6" i="24"/>
  <c r="BN6" i="24"/>
  <c r="BI58" i="24"/>
  <c r="BI57" i="24"/>
  <c r="BI56" i="24"/>
  <c r="BI55" i="24"/>
  <c r="BI54" i="24"/>
  <c r="BI53" i="24"/>
  <c r="BI52" i="24"/>
  <c r="BI51" i="24"/>
  <c r="BL50" i="24"/>
  <c r="BK50" i="24"/>
  <c r="BJ50" i="24"/>
  <c r="BI50" i="24"/>
  <c r="BJ6" i="24"/>
  <c r="BK3" i="24"/>
  <c r="BK2" i="24"/>
  <c r="BI4" i="24"/>
  <c r="BK4" i="24"/>
  <c r="BL6" i="24"/>
  <c r="BK6" i="24"/>
  <c r="BK7" i="24"/>
  <c r="BI3" i="24"/>
  <c r="BE58" i="24"/>
  <c r="BE57" i="24"/>
  <c r="BE56" i="24"/>
  <c r="BE55" i="24"/>
  <c r="BE54" i="24"/>
  <c r="BE53" i="24"/>
  <c r="BE52" i="24"/>
  <c r="BE51" i="24"/>
  <c r="BH50" i="24"/>
  <c r="BG50" i="24"/>
  <c r="BF50" i="24"/>
  <c r="BE50" i="24"/>
  <c r="BG7" i="24"/>
  <c r="BG6" i="24"/>
  <c r="BH6" i="24"/>
  <c r="BG3" i="24"/>
  <c r="BG2" i="24"/>
  <c r="BF4" i="24"/>
  <c r="BG4" i="24"/>
  <c r="BG5" i="24"/>
  <c r="BF6" i="24"/>
  <c r="BA58" i="24"/>
  <c r="BA57" i="24"/>
  <c r="BA56" i="24"/>
  <c r="BA55" i="24"/>
  <c r="BA54" i="24"/>
  <c r="BA53" i="24"/>
  <c r="BA52" i="24"/>
  <c r="BA51" i="24"/>
  <c r="BD50" i="24"/>
  <c r="BC50" i="24"/>
  <c r="BB50" i="24"/>
  <c r="BA50" i="24"/>
  <c r="BC7" i="24"/>
  <c r="BC6" i="24"/>
  <c r="BB4" i="24"/>
  <c r="BC3" i="24"/>
  <c r="BC2" i="24"/>
  <c r="BC4" i="24"/>
  <c r="BC5" i="24"/>
  <c r="BD6" i="24"/>
  <c r="BD4" i="24"/>
  <c r="AW58" i="24"/>
  <c r="AW57" i="24"/>
  <c r="AW56" i="24"/>
  <c r="AW55" i="24"/>
  <c r="AW54" i="24"/>
  <c r="AW53" i="24"/>
  <c r="AW52" i="24"/>
  <c r="AW51" i="24"/>
  <c r="AZ50" i="24"/>
  <c r="AY50" i="24"/>
  <c r="AX50" i="24"/>
  <c r="AW50" i="24"/>
  <c r="AY6" i="24"/>
  <c r="AY3" i="24"/>
  <c r="AY2" i="24"/>
  <c r="AY7" i="24"/>
  <c r="AS58" i="24"/>
  <c r="AS57" i="24"/>
  <c r="AS56" i="24"/>
  <c r="AS55" i="24"/>
  <c r="AS54" i="24"/>
  <c r="AS53" i="24"/>
  <c r="AS52" i="24"/>
  <c r="AS51" i="24"/>
  <c r="AV50" i="24"/>
  <c r="AU50" i="24"/>
  <c r="AT50" i="24"/>
  <c r="AS50" i="24"/>
  <c r="AU7" i="24"/>
  <c r="AU6" i="24"/>
  <c r="AU4" i="24"/>
  <c r="AT4" i="24"/>
  <c r="AU3" i="24"/>
  <c r="AU2" i="24"/>
  <c r="AO58" i="24"/>
  <c r="AO57" i="24"/>
  <c r="AO56" i="24"/>
  <c r="AO55" i="24"/>
  <c r="AO54" i="24"/>
  <c r="AO53" i="24"/>
  <c r="AO52" i="24"/>
  <c r="AO51" i="24"/>
  <c r="AR50" i="24"/>
  <c r="AQ50" i="24"/>
  <c r="AP50" i="24"/>
  <c r="AO50" i="24"/>
  <c r="AQ7" i="24"/>
  <c r="AQ6" i="24"/>
  <c r="AR6" i="24"/>
  <c r="AP6" i="24"/>
  <c r="AP4" i="24"/>
  <c r="AQ3" i="24"/>
  <c r="AQ2" i="24"/>
  <c r="AO4" i="24"/>
  <c r="AQ4" i="24"/>
  <c r="AK58" i="24"/>
  <c r="AK57" i="24"/>
  <c r="AK56" i="24"/>
  <c r="AK55" i="24"/>
  <c r="AK54" i="24"/>
  <c r="AK53" i="24"/>
  <c r="AK52" i="24"/>
  <c r="AK51" i="24"/>
  <c r="AN50" i="24"/>
  <c r="AM50" i="24"/>
  <c r="AL50" i="24"/>
  <c r="AK50" i="24"/>
  <c r="AM7" i="24"/>
  <c r="AM6" i="24"/>
  <c r="AL6" i="24"/>
  <c r="AM3" i="24"/>
  <c r="AM2" i="24"/>
  <c r="AL4" i="24"/>
  <c r="AM4" i="24"/>
  <c r="AG58" i="24"/>
  <c r="AG57" i="24"/>
  <c r="AG56" i="24"/>
  <c r="AG55" i="24"/>
  <c r="AG54" i="24"/>
  <c r="AG53" i="24"/>
  <c r="AG52" i="24"/>
  <c r="AG51" i="24"/>
  <c r="AJ50" i="24"/>
  <c r="AI50" i="24"/>
  <c r="AH50" i="24"/>
  <c r="AG50" i="24"/>
  <c r="AI4" i="24"/>
  <c r="AI3" i="24"/>
  <c r="AI2" i="24"/>
  <c r="AG4" i="24"/>
  <c r="AI5" i="24"/>
  <c r="AI6" i="24"/>
  <c r="AI7" i="24"/>
  <c r="AC58" i="24"/>
  <c r="AC57" i="24"/>
  <c r="AC56" i="24"/>
  <c r="AC55" i="24"/>
  <c r="AC54" i="24"/>
  <c r="AC53" i="24"/>
  <c r="AC52" i="24"/>
  <c r="AC51" i="24"/>
  <c r="AF50" i="24"/>
  <c r="AE50" i="24"/>
  <c r="AD50" i="24"/>
  <c r="AC50" i="24"/>
  <c r="AE6" i="24"/>
  <c r="AE4" i="24"/>
  <c r="AE3" i="24"/>
  <c r="AE2" i="24"/>
  <c r="AE7" i="24"/>
  <c r="Y58" i="24"/>
  <c r="Y57" i="24"/>
  <c r="Y56" i="24"/>
  <c r="Y55" i="24"/>
  <c r="Y54" i="24"/>
  <c r="Y53" i="24"/>
  <c r="Y52" i="24"/>
  <c r="Y51" i="24"/>
  <c r="AB50" i="24"/>
  <c r="AA50" i="24"/>
  <c r="Z50" i="24"/>
  <c r="Y50" i="24"/>
  <c r="AB6" i="24"/>
  <c r="AA3" i="24"/>
  <c r="AB2" i="24"/>
  <c r="AA2" i="24"/>
  <c r="AA6" i="24"/>
  <c r="AA7" i="24"/>
  <c r="AA4" i="24"/>
  <c r="U58" i="24"/>
  <c r="U57" i="24"/>
  <c r="U56" i="24"/>
  <c r="U55" i="24"/>
  <c r="U54" i="24"/>
  <c r="U53" i="24"/>
  <c r="U52" i="24"/>
  <c r="U51" i="24"/>
  <c r="X50" i="24"/>
  <c r="W50" i="24"/>
  <c r="V50" i="24"/>
  <c r="U50" i="24"/>
  <c r="X6" i="24"/>
  <c r="W6" i="24"/>
  <c r="W3" i="24"/>
  <c r="W2" i="24"/>
  <c r="W4" i="24"/>
  <c r="W7" i="24"/>
  <c r="Q58" i="24"/>
  <c r="Q57" i="24"/>
  <c r="Q56" i="24"/>
  <c r="Q55" i="24"/>
  <c r="Q54" i="24"/>
  <c r="Q53" i="24"/>
  <c r="Q52" i="24"/>
  <c r="Q51" i="24"/>
  <c r="T50" i="24"/>
  <c r="S50" i="24"/>
  <c r="R50" i="24"/>
  <c r="Q50" i="24"/>
  <c r="R6" i="24"/>
  <c r="S4" i="24"/>
  <c r="Q4" i="24"/>
  <c r="S3" i="24"/>
  <c r="S2" i="24"/>
  <c r="T6" i="24"/>
  <c r="S6" i="24"/>
  <c r="S7" i="24"/>
  <c r="EC58" i="6"/>
  <c r="EC57" i="6"/>
  <c r="EC56" i="6"/>
  <c r="EC55" i="6"/>
  <c r="EC54" i="6"/>
  <c r="EC53" i="6"/>
  <c r="EC52" i="6"/>
  <c r="EC51" i="6"/>
  <c r="EF50" i="6"/>
  <c r="EE50" i="6"/>
  <c r="ED50" i="6"/>
  <c r="EC50" i="6"/>
  <c r="EE7" i="6"/>
  <c r="EE6" i="6"/>
  <c r="EE4" i="6"/>
  <c r="DY58" i="6"/>
  <c r="DY57" i="6"/>
  <c r="DY56" i="6"/>
  <c r="DY55" i="6"/>
  <c r="DY54" i="6"/>
  <c r="DY53" i="6"/>
  <c r="DY52" i="6"/>
  <c r="DY51" i="6"/>
  <c r="EB50" i="6"/>
  <c r="EA50" i="6"/>
  <c r="DZ50" i="6"/>
  <c r="DY50" i="6"/>
  <c r="EA7" i="6"/>
  <c r="DZ6" i="6"/>
  <c r="EA5" i="6"/>
  <c r="EA4" i="6"/>
  <c r="EB4" i="6"/>
  <c r="EA3" i="6"/>
  <c r="DZ3" i="6"/>
  <c r="DY3" i="6"/>
  <c r="EB6" i="6"/>
  <c r="DU58" i="6"/>
  <c r="DU57" i="6"/>
  <c r="DU56" i="6"/>
  <c r="DU55" i="6"/>
  <c r="DU54" i="6"/>
  <c r="DU53" i="6"/>
  <c r="DU52" i="6"/>
  <c r="DU51" i="6"/>
  <c r="DX50" i="6"/>
  <c r="DW50" i="6"/>
  <c r="DV50" i="6"/>
  <c r="DU50" i="6"/>
  <c r="DX6" i="6"/>
  <c r="DW6" i="6"/>
  <c r="DW5" i="6"/>
  <c r="DW4" i="6"/>
  <c r="DX4" i="6"/>
  <c r="DU4" i="6"/>
  <c r="DW3" i="6"/>
  <c r="DU2" i="6"/>
  <c r="DV4" i="6"/>
  <c r="DQ58" i="6"/>
  <c r="DQ57" i="6"/>
  <c r="DQ56" i="6"/>
  <c r="DQ55" i="6"/>
  <c r="DQ54" i="6"/>
  <c r="DQ53" i="6"/>
  <c r="DQ52" i="6"/>
  <c r="DQ51" i="6"/>
  <c r="DT50" i="6"/>
  <c r="DS50" i="6"/>
  <c r="DR50" i="6"/>
  <c r="DQ50" i="6"/>
  <c r="DS7" i="6"/>
  <c r="DT6" i="6"/>
  <c r="DS4" i="6"/>
  <c r="DT4" i="6"/>
  <c r="DR4" i="6"/>
  <c r="DS3" i="6"/>
  <c r="DS5" i="6"/>
  <c r="DM58" i="6"/>
  <c r="DM57" i="6"/>
  <c r="DM56" i="6"/>
  <c r="DM55" i="6"/>
  <c r="DM54" i="6"/>
  <c r="DM53" i="6"/>
  <c r="DM52" i="6"/>
  <c r="DM51" i="6"/>
  <c r="DP50" i="6"/>
  <c r="DO50" i="6"/>
  <c r="DN50" i="6"/>
  <c r="DM50" i="6"/>
  <c r="DO6" i="6"/>
  <c r="DP6" i="6"/>
  <c r="DO4" i="6"/>
  <c r="DM4" i="6"/>
  <c r="DN3" i="6"/>
  <c r="DM3" i="6"/>
  <c r="DO7" i="6"/>
  <c r="DI58" i="6"/>
  <c r="DI57" i="6"/>
  <c r="DI56" i="6"/>
  <c r="DI55" i="6"/>
  <c r="DI54" i="6"/>
  <c r="DI53" i="6"/>
  <c r="DI52" i="6"/>
  <c r="DI51" i="6"/>
  <c r="DL50" i="6"/>
  <c r="DK50" i="6"/>
  <c r="DJ50" i="6"/>
  <c r="DI50" i="6"/>
  <c r="DK7" i="6"/>
  <c r="DK6" i="6"/>
  <c r="DJ6" i="6"/>
  <c r="DK5" i="6"/>
  <c r="DK4" i="6"/>
  <c r="DJ4" i="6"/>
  <c r="DI4" i="6"/>
  <c r="DK3" i="6"/>
  <c r="DL3" i="6"/>
  <c r="DI3" i="6"/>
  <c r="DK2" i="6"/>
  <c r="DI2" i="6"/>
  <c r="DL6" i="6"/>
  <c r="DE58" i="6"/>
  <c r="DE57" i="6"/>
  <c r="DE56" i="6"/>
  <c r="DE55" i="6"/>
  <c r="DE54" i="6"/>
  <c r="DE53" i="6"/>
  <c r="DE52" i="6"/>
  <c r="DE51" i="6"/>
  <c r="DH50" i="6"/>
  <c r="DG50" i="6"/>
  <c r="DF50" i="6"/>
  <c r="DE50" i="6"/>
  <c r="DG7" i="6"/>
  <c r="DG6" i="6"/>
  <c r="DH4" i="6"/>
  <c r="DG4" i="6"/>
  <c r="DG5" i="6"/>
  <c r="DF6" i="6"/>
  <c r="DH6" i="6"/>
  <c r="DA58" i="6"/>
  <c r="DA57" i="6"/>
  <c r="DA56" i="6"/>
  <c r="DA55" i="6"/>
  <c r="DA54" i="6"/>
  <c r="DA53" i="6"/>
  <c r="DA52" i="6"/>
  <c r="DA51" i="6"/>
  <c r="DD50" i="6"/>
  <c r="DC50" i="6"/>
  <c r="DB50" i="6"/>
  <c r="DA50" i="6"/>
  <c r="DC7" i="6"/>
  <c r="DC6" i="6"/>
  <c r="DD6" i="6"/>
  <c r="DB6" i="6"/>
  <c r="DC4" i="6"/>
  <c r="DC3" i="6"/>
  <c r="DA3" i="6"/>
  <c r="DA4" i="6"/>
  <c r="DC5" i="6"/>
  <c r="CW58" i="6"/>
  <c r="CW57" i="6"/>
  <c r="CW56" i="6"/>
  <c r="CW55" i="6"/>
  <c r="CW54" i="6"/>
  <c r="CW53" i="6"/>
  <c r="CW52" i="6"/>
  <c r="CW51" i="6"/>
  <c r="CZ50" i="6"/>
  <c r="CY50" i="6"/>
  <c r="CX50" i="6"/>
  <c r="CW50" i="6"/>
  <c r="CY7" i="6"/>
  <c r="CX6" i="6"/>
  <c r="CY5" i="6"/>
  <c r="CY3" i="6"/>
  <c r="CW3" i="6"/>
  <c r="CY2" i="6"/>
  <c r="CW4" i="6"/>
  <c r="CS58" i="6"/>
  <c r="CS57" i="6"/>
  <c r="CS56" i="6"/>
  <c r="CS55" i="6"/>
  <c r="CS54" i="6"/>
  <c r="CS53" i="6"/>
  <c r="CS52" i="6"/>
  <c r="CS51" i="6"/>
  <c r="CV50" i="6"/>
  <c r="CU50" i="6"/>
  <c r="CT50" i="6"/>
  <c r="CS50" i="6"/>
  <c r="CU7" i="6"/>
  <c r="CU6" i="6"/>
  <c r="CV6" i="6"/>
  <c r="CT6" i="6"/>
  <c r="CS6" i="6"/>
  <c r="CU4" i="6"/>
  <c r="CS4" i="6"/>
  <c r="CU3" i="6"/>
  <c r="CS2" i="6"/>
  <c r="CO58" i="6"/>
  <c r="CO57" i="6"/>
  <c r="CO56" i="6"/>
  <c r="CO55" i="6"/>
  <c r="CO54" i="6"/>
  <c r="CO53" i="6"/>
  <c r="CO52" i="6"/>
  <c r="CO51" i="6"/>
  <c r="CR50" i="6"/>
  <c r="CQ50" i="6"/>
  <c r="CP50" i="6"/>
  <c r="CO50" i="6"/>
  <c r="CQ7" i="6"/>
  <c r="CR6" i="6"/>
  <c r="CQ4" i="6"/>
  <c r="CO4" i="6"/>
  <c r="CQ6" i="6"/>
  <c r="CK58" i="6"/>
  <c r="CK57" i="6"/>
  <c r="CK56" i="6"/>
  <c r="CK55" i="6"/>
  <c r="CK54" i="6"/>
  <c r="CK53" i="6"/>
  <c r="CK52" i="6"/>
  <c r="CK51" i="6"/>
  <c r="CN50" i="6"/>
  <c r="CM50" i="6"/>
  <c r="CL50" i="6"/>
  <c r="CK50" i="6"/>
  <c r="CM7" i="6"/>
  <c r="CM6" i="6"/>
  <c r="CM5" i="6"/>
  <c r="CM4" i="6"/>
  <c r="CN4" i="6"/>
  <c r="CM3" i="6"/>
  <c r="CN3" i="6"/>
  <c r="CK3" i="6"/>
  <c r="CL4" i="6"/>
  <c r="CK4" i="6"/>
  <c r="CG58" i="6"/>
  <c r="CG57" i="6"/>
  <c r="CG56" i="6"/>
  <c r="CG55" i="6"/>
  <c r="CG54" i="6"/>
  <c r="CG53" i="6"/>
  <c r="CG52" i="6"/>
  <c r="CG51" i="6"/>
  <c r="CJ50" i="6"/>
  <c r="CI50" i="6"/>
  <c r="CH50" i="6"/>
  <c r="CG50" i="6"/>
  <c r="CI7" i="6"/>
  <c r="CJ6" i="6"/>
  <c r="CI6" i="6"/>
  <c r="CI5" i="6"/>
  <c r="CI3" i="6"/>
  <c r="CJ3" i="6"/>
  <c r="CI2" i="6"/>
  <c r="CG4" i="6"/>
  <c r="CH4" i="6"/>
  <c r="CC58" i="6"/>
  <c r="CC57" i="6"/>
  <c r="CC56" i="6"/>
  <c r="CC55" i="6"/>
  <c r="CC54" i="6"/>
  <c r="CC53" i="6"/>
  <c r="CC52" i="6"/>
  <c r="CC51" i="6"/>
  <c r="CF50" i="6"/>
  <c r="CE50" i="6"/>
  <c r="CD50" i="6"/>
  <c r="CC50" i="6"/>
  <c r="CE7" i="6"/>
  <c r="CE4" i="6"/>
  <c r="CF3" i="6"/>
  <c r="CC3" i="6"/>
  <c r="CC4" i="6"/>
  <c r="BY58" i="6"/>
  <c r="BY57" i="6"/>
  <c r="BY56" i="6"/>
  <c r="BY55" i="6"/>
  <c r="BY54" i="6"/>
  <c r="BY53" i="6"/>
  <c r="BY52" i="6"/>
  <c r="BY51" i="6"/>
  <c r="CB50" i="6"/>
  <c r="CA50" i="6"/>
  <c r="BZ50" i="6"/>
  <c r="BY50" i="6"/>
  <c r="CA7" i="6"/>
  <c r="CB6" i="6"/>
  <c r="CA6" i="6"/>
  <c r="CA5" i="6"/>
  <c r="CB4" i="6"/>
  <c r="CA3" i="6"/>
  <c r="CB3" i="6"/>
  <c r="CB2" i="6"/>
  <c r="BY4" i="6"/>
  <c r="BZ4" i="6"/>
  <c r="BU58" i="6"/>
  <c r="BU57" i="6"/>
  <c r="BU56" i="6"/>
  <c r="BU55" i="6"/>
  <c r="BU54" i="6"/>
  <c r="BU53" i="6"/>
  <c r="BU52" i="6"/>
  <c r="BU51" i="6"/>
  <c r="BX50" i="6"/>
  <c r="BW50" i="6"/>
  <c r="BV50" i="6"/>
  <c r="BU50" i="6"/>
  <c r="BW7" i="6"/>
  <c r="BX6" i="6"/>
  <c r="BW6" i="6"/>
  <c r="BV6" i="6"/>
  <c r="BW4" i="6"/>
  <c r="BW3" i="6"/>
  <c r="BW2" i="6"/>
  <c r="BQ58" i="6"/>
  <c r="BQ57" i="6"/>
  <c r="BQ56" i="6"/>
  <c r="BQ55" i="6"/>
  <c r="BQ54" i="6"/>
  <c r="BQ53" i="6"/>
  <c r="BQ52" i="6"/>
  <c r="BQ51" i="6"/>
  <c r="BT50" i="6"/>
  <c r="BS50" i="6"/>
  <c r="BR50" i="6"/>
  <c r="BQ50" i="6"/>
  <c r="BS7" i="6"/>
  <c r="BS6" i="6"/>
  <c r="BT6" i="6"/>
  <c r="BS4" i="6"/>
  <c r="BS3" i="6"/>
  <c r="BQ3" i="6"/>
  <c r="BS2" i="6"/>
  <c r="BT3" i="6"/>
  <c r="BQ4" i="6"/>
  <c r="BR6" i="6"/>
  <c r="BM58" i="6"/>
  <c r="BM57" i="6"/>
  <c r="BM56" i="6"/>
  <c r="BM55" i="6"/>
  <c r="BM54" i="6"/>
  <c r="BM53" i="6"/>
  <c r="BM52" i="6"/>
  <c r="BM51" i="6"/>
  <c r="BP50" i="6"/>
  <c r="BO50" i="6"/>
  <c r="BN50" i="6"/>
  <c r="BM50" i="6"/>
  <c r="BO7" i="6"/>
  <c r="BO6" i="6"/>
  <c r="BO5" i="6"/>
  <c r="BO3" i="6"/>
  <c r="BP3" i="6"/>
  <c r="BM3" i="6"/>
  <c r="BO2" i="6"/>
  <c r="BM2" i="6"/>
  <c r="BN4" i="6"/>
  <c r="BP6" i="6"/>
  <c r="BI58" i="6"/>
  <c r="BI57" i="6"/>
  <c r="BI56" i="6"/>
  <c r="BI55" i="6"/>
  <c r="BI54" i="6"/>
  <c r="BI53" i="6"/>
  <c r="BI52" i="6"/>
  <c r="BI51" i="6"/>
  <c r="BL50" i="6"/>
  <c r="BK50" i="6"/>
  <c r="BJ50" i="6"/>
  <c r="BI50" i="6"/>
  <c r="BK7" i="6"/>
  <c r="BL6" i="6"/>
  <c r="BK6" i="6"/>
  <c r="BK4" i="6"/>
  <c r="BK2" i="6"/>
  <c r="BE58" i="6"/>
  <c r="BE57" i="6"/>
  <c r="BE56" i="6"/>
  <c r="BE55" i="6"/>
  <c r="BE54" i="6"/>
  <c r="BE53" i="6"/>
  <c r="BE52" i="6"/>
  <c r="BE51" i="6"/>
  <c r="BH50" i="6"/>
  <c r="BG50" i="6"/>
  <c r="BF50" i="6"/>
  <c r="BE50" i="6"/>
  <c r="BG6" i="6"/>
  <c r="BG4" i="6"/>
  <c r="BH4" i="6"/>
  <c r="BE4" i="6"/>
  <c r="BG3" i="6"/>
  <c r="BE2" i="6"/>
  <c r="BE6" i="6"/>
  <c r="BH6" i="6"/>
  <c r="BG7" i="6"/>
  <c r="BA58" i="6"/>
  <c r="BA57" i="6"/>
  <c r="BA56" i="6"/>
  <c r="BA55" i="6"/>
  <c r="BA54" i="6"/>
  <c r="BA53" i="6"/>
  <c r="BA52" i="6"/>
  <c r="BA51" i="6"/>
  <c r="BD50" i="6"/>
  <c r="BC50" i="6"/>
  <c r="BB50" i="6"/>
  <c r="BA50" i="6"/>
  <c r="BC7" i="6"/>
  <c r="BC6" i="6"/>
  <c r="BD6" i="6"/>
  <c r="BC5" i="6"/>
  <c r="BB4" i="6"/>
  <c r="BC2" i="6"/>
  <c r="AW58" i="6"/>
  <c r="AW57" i="6"/>
  <c r="AW56" i="6"/>
  <c r="AW55" i="6"/>
  <c r="AW54" i="6"/>
  <c r="AW53" i="6"/>
  <c r="AW52" i="6"/>
  <c r="AW51" i="6"/>
  <c r="AZ50" i="6"/>
  <c r="AY50" i="6"/>
  <c r="AX50" i="6"/>
  <c r="AW50" i="6"/>
  <c r="AY7" i="6"/>
  <c r="AY6" i="6"/>
  <c r="AY4" i="6"/>
  <c r="AY3" i="6"/>
  <c r="AX3" i="6"/>
  <c r="AW3" i="6"/>
  <c r="AY5" i="6"/>
  <c r="AZ6" i="6"/>
  <c r="AS58" i="6"/>
  <c r="AS57" i="6"/>
  <c r="AS56" i="6"/>
  <c r="AS55" i="6"/>
  <c r="AS54" i="6"/>
  <c r="AS53" i="6"/>
  <c r="AS52" i="6"/>
  <c r="AS51" i="6"/>
  <c r="AV50" i="6"/>
  <c r="AU50" i="6"/>
  <c r="AT50" i="6"/>
  <c r="AS50" i="6"/>
  <c r="AV6" i="6"/>
  <c r="AU4" i="6"/>
  <c r="AU3" i="6"/>
  <c r="AS3" i="6"/>
  <c r="AU2" i="6"/>
  <c r="AU5" i="6"/>
  <c r="AU7" i="6"/>
  <c r="AO58" i="6"/>
  <c r="AO57" i="6"/>
  <c r="AO56" i="6"/>
  <c r="AO55" i="6"/>
  <c r="AO54" i="6"/>
  <c r="AO53" i="6"/>
  <c r="AO52" i="6"/>
  <c r="AO51" i="6"/>
  <c r="AR50" i="6"/>
  <c r="AQ50" i="6"/>
  <c r="AP50" i="6"/>
  <c r="AO50" i="6"/>
  <c r="AQ7" i="6"/>
  <c r="AQ6" i="6"/>
  <c r="AQ4" i="6"/>
  <c r="AR3" i="6"/>
  <c r="AO3" i="6"/>
  <c r="AO4" i="6"/>
  <c r="AK58" i="6"/>
  <c r="AK57" i="6"/>
  <c r="AK56" i="6"/>
  <c r="AK55" i="6"/>
  <c r="AK54" i="6"/>
  <c r="AK53" i="6"/>
  <c r="AK52" i="6"/>
  <c r="AK51" i="6"/>
  <c r="AN50" i="6"/>
  <c r="AM50" i="6"/>
  <c r="AL50" i="6"/>
  <c r="AK50" i="6"/>
  <c r="AM7" i="6"/>
  <c r="AN6" i="6"/>
  <c r="AM4" i="6"/>
  <c r="AK4" i="6"/>
  <c r="AM2" i="6"/>
  <c r="AM5" i="6"/>
  <c r="AG58" i="6"/>
  <c r="AG57" i="6"/>
  <c r="AG56" i="6"/>
  <c r="AG55" i="6"/>
  <c r="AG54" i="6"/>
  <c r="AG53" i="6"/>
  <c r="AG52" i="6"/>
  <c r="AG51" i="6"/>
  <c r="AJ50" i="6"/>
  <c r="AI50" i="6"/>
  <c r="AH50" i="6"/>
  <c r="AG50" i="6"/>
  <c r="AI6" i="6"/>
  <c r="AI5" i="6"/>
  <c r="AI4" i="6"/>
  <c r="AH4" i="6"/>
  <c r="AI3" i="6"/>
  <c r="AH3" i="6"/>
  <c r="AG3" i="6"/>
  <c r="AI2" i="6"/>
  <c r="AJ6" i="6"/>
  <c r="AI7" i="6"/>
  <c r="AC58" i="6"/>
  <c r="AC57" i="6"/>
  <c r="AC56" i="6"/>
  <c r="AC55" i="6"/>
  <c r="AC54" i="6"/>
  <c r="AC53" i="6"/>
  <c r="AC52" i="6"/>
  <c r="AC51" i="6"/>
  <c r="AF50" i="6"/>
  <c r="AE50" i="6"/>
  <c r="AD50" i="6"/>
  <c r="AC50" i="6"/>
  <c r="AE7" i="6"/>
  <c r="AF6" i="6"/>
  <c r="AE4" i="6"/>
  <c r="AC4" i="6"/>
  <c r="AE2" i="6"/>
  <c r="Y58" i="6"/>
  <c r="Y57" i="6"/>
  <c r="Y56" i="6"/>
  <c r="Y55" i="6"/>
  <c r="Y54" i="6"/>
  <c r="Y53" i="6"/>
  <c r="Y52" i="6"/>
  <c r="Y51" i="6"/>
  <c r="AB50" i="6"/>
  <c r="AA50" i="6"/>
  <c r="Z50" i="6"/>
  <c r="Y50" i="6"/>
  <c r="AA7" i="6"/>
  <c r="AA5" i="6"/>
  <c r="AA4" i="6"/>
  <c r="AB3" i="6"/>
  <c r="Z3" i="6"/>
  <c r="Y3" i="6"/>
  <c r="AB6" i="6"/>
  <c r="U58" i="6"/>
  <c r="U57" i="6"/>
  <c r="U56" i="6"/>
  <c r="U55" i="6"/>
  <c r="U54" i="6"/>
  <c r="U53" i="6"/>
  <c r="U52" i="6"/>
  <c r="U51" i="6"/>
  <c r="X50" i="6"/>
  <c r="W50" i="6"/>
  <c r="V50" i="6"/>
  <c r="U50" i="6"/>
  <c r="W5" i="6"/>
  <c r="W4" i="6"/>
  <c r="X4" i="6"/>
  <c r="W3" i="6"/>
  <c r="U2" i="6"/>
  <c r="W7" i="6"/>
  <c r="Q58" i="6"/>
  <c r="Q57" i="6"/>
  <c r="Q56" i="6"/>
  <c r="Q55" i="6"/>
  <c r="Q54" i="6"/>
  <c r="Q53" i="6"/>
  <c r="Q52" i="6"/>
  <c r="Q51" i="6"/>
  <c r="T50" i="6"/>
  <c r="S50" i="6"/>
  <c r="R50" i="6"/>
  <c r="Q50" i="6"/>
  <c r="T46" i="6"/>
  <c r="T44" i="6"/>
  <c r="S39" i="6"/>
  <c r="S7" i="6" s="1"/>
  <c r="S38" i="6"/>
  <c r="S37" i="6"/>
  <c r="S36" i="6" s="1"/>
  <c r="S6" i="6" s="1"/>
  <c r="T36" i="6"/>
  <c r="R36" i="6"/>
  <c r="T45" i="6" s="1"/>
  <c r="Q36" i="6"/>
  <c r="Q16" i="6" s="1"/>
  <c r="S35" i="6"/>
  <c r="S34" i="6"/>
  <c r="S33" i="6"/>
  <c r="S32" i="6" s="1"/>
  <c r="S4" i="6" s="1"/>
  <c r="T32" i="6"/>
  <c r="T4" i="6" s="1"/>
  <c r="R32" i="6"/>
  <c r="T43" i="6" s="1"/>
  <c r="Q32" i="6"/>
  <c r="S31" i="6"/>
  <c r="S30" i="6"/>
  <c r="S29" i="6"/>
  <c r="S28" i="6"/>
  <c r="S27" i="6"/>
  <c r="S26" i="6" s="1"/>
  <c r="S3" i="6" s="1"/>
  <c r="T26" i="6"/>
  <c r="R26" i="6"/>
  <c r="Q26" i="6"/>
  <c r="Q3" i="6" s="1"/>
  <c r="S25" i="6"/>
  <c r="S24" i="6"/>
  <c r="S20" i="6" s="1"/>
  <c r="S2" i="6" s="1"/>
  <c r="S23" i="6"/>
  <c r="S22" i="6"/>
  <c r="S21" i="6"/>
  <c r="T20" i="6"/>
  <c r="T2" i="6" s="1"/>
  <c r="R20" i="6"/>
  <c r="Q20" i="6"/>
  <c r="Q2" i="6" s="1"/>
  <c r="T16" i="6"/>
  <c r="Q4" i="6"/>
  <c r="T6" i="6"/>
  <c r="Q5" i="26"/>
  <c r="R5" i="26"/>
  <c r="T5" i="26"/>
  <c r="U5" i="26"/>
  <c r="V5" i="26"/>
  <c r="X5" i="26"/>
  <c r="Y5" i="26"/>
  <c r="Z5" i="26"/>
  <c r="AB5" i="26"/>
  <c r="AC5" i="26"/>
  <c r="AD5" i="26"/>
  <c r="AF5" i="26"/>
  <c r="AG5" i="26"/>
  <c r="AH5" i="26"/>
  <c r="AJ5" i="26"/>
  <c r="AK5" i="26"/>
  <c r="AL5" i="26"/>
  <c r="AN5" i="26"/>
  <c r="AO5" i="26"/>
  <c r="AP5" i="26"/>
  <c r="AR5" i="26"/>
  <c r="AS5" i="26"/>
  <c r="AT5" i="26"/>
  <c r="AV5" i="26"/>
  <c r="AW5" i="26"/>
  <c r="AX5" i="26"/>
  <c r="AZ5" i="26"/>
  <c r="BA5" i="26"/>
  <c r="BB5" i="26"/>
  <c r="BD5" i="26"/>
  <c r="BE5" i="26"/>
  <c r="BF5" i="26"/>
  <c r="BH5" i="26"/>
  <c r="BI5" i="26"/>
  <c r="BJ5" i="26"/>
  <c r="BL5" i="26"/>
  <c r="BM5" i="26"/>
  <c r="BN5" i="26"/>
  <c r="BP5" i="26"/>
  <c r="BQ5" i="26"/>
  <c r="BR5" i="26"/>
  <c r="BT5" i="26"/>
  <c r="BU5" i="26"/>
  <c r="BV5" i="26"/>
  <c r="BX5" i="26"/>
  <c r="BY5" i="26"/>
  <c r="BZ5" i="26"/>
  <c r="CB5" i="26"/>
  <c r="CC5" i="26"/>
  <c r="CD5" i="26"/>
  <c r="CF5" i="26"/>
  <c r="CG5" i="26"/>
  <c r="CH5" i="26"/>
  <c r="CJ5" i="26"/>
  <c r="CK5" i="26"/>
  <c r="CL5" i="26"/>
  <c r="CN5" i="26"/>
  <c r="CO5" i="26"/>
  <c r="CP5" i="26"/>
  <c r="CR5" i="26"/>
  <c r="CS5" i="26"/>
  <c r="CT5" i="26"/>
  <c r="CV5" i="26"/>
  <c r="CW5" i="26"/>
  <c r="CX5" i="26"/>
  <c r="CZ5" i="26"/>
  <c r="DA5" i="26"/>
  <c r="DB5" i="26"/>
  <c r="DD5" i="26"/>
  <c r="DE5" i="26"/>
  <c r="DF5" i="26"/>
  <c r="DH5" i="26"/>
  <c r="DI5" i="26"/>
  <c r="DJ5" i="26"/>
  <c r="DL5" i="26"/>
  <c r="DM5" i="26"/>
  <c r="DN5" i="26"/>
  <c r="DP5" i="26"/>
  <c r="DQ5" i="26"/>
  <c r="DR5" i="26"/>
  <c r="DT5" i="26"/>
  <c r="DU5" i="26"/>
  <c r="DV5" i="26"/>
  <c r="DX5" i="26"/>
  <c r="DY5" i="26"/>
  <c r="DZ5" i="26"/>
  <c r="EB5" i="26"/>
  <c r="EC5" i="26"/>
  <c r="ED5" i="26"/>
  <c r="X6" i="26"/>
  <c r="AB6" i="26"/>
  <c r="AN6" i="26"/>
  <c r="AR6" i="26"/>
  <c r="AV6" i="26"/>
  <c r="BD6" i="26"/>
  <c r="BP6" i="26"/>
  <c r="BX6" i="26"/>
  <c r="CF6" i="26"/>
  <c r="CN6" i="26"/>
  <c r="CR6" i="26"/>
  <c r="DP6" i="26"/>
  <c r="DT6" i="26"/>
  <c r="EB6" i="26"/>
  <c r="Q7" i="26"/>
  <c r="R7" i="26"/>
  <c r="T7" i="26"/>
  <c r="U7" i="26"/>
  <c r="V7" i="26"/>
  <c r="X7" i="26"/>
  <c r="Y7" i="26"/>
  <c r="Z7" i="26"/>
  <c r="AB7" i="26"/>
  <c r="AC7" i="26"/>
  <c r="AD7" i="26"/>
  <c r="AF7" i="26"/>
  <c r="AG7" i="26"/>
  <c r="AH7" i="26"/>
  <c r="AJ7" i="26"/>
  <c r="AK7" i="26"/>
  <c r="AL7" i="26"/>
  <c r="AN7" i="26"/>
  <c r="AO7" i="26"/>
  <c r="AP7" i="26"/>
  <c r="AR7" i="26"/>
  <c r="AS7" i="26"/>
  <c r="AT7" i="26"/>
  <c r="AV7" i="26"/>
  <c r="AW7" i="26"/>
  <c r="AX7" i="26"/>
  <c r="AZ7" i="26"/>
  <c r="BA7" i="26"/>
  <c r="BB7" i="26"/>
  <c r="BD7" i="26"/>
  <c r="BE7" i="26"/>
  <c r="BF7" i="26"/>
  <c r="BH7" i="26"/>
  <c r="BI7" i="26"/>
  <c r="BJ7" i="26"/>
  <c r="BL7" i="26"/>
  <c r="BM7" i="26"/>
  <c r="BN7" i="26"/>
  <c r="BP7" i="26"/>
  <c r="BQ7" i="26"/>
  <c r="BR7" i="26"/>
  <c r="BT7" i="26"/>
  <c r="BU7" i="26"/>
  <c r="BV7" i="26"/>
  <c r="BX7" i="26"/>
  <c r="BY7" i="26"/>
  <c r="BZ7" i="26"/>
  <c r="CB7" i="26"/>
  <c r="CC7" i="26"/>
  <c r="CD7" i="26"/>
  <c r="CF7" i="26"/>
  <c r="CG7" i="26"/>
  <c r="CH7" i="26"/>
  <c r="CJ7" i="26"/>
  <c r="CK7" i="26"/>
  <c r="CL7" i="26"/>
  <c r="CN7" i="26"/>
  <c r="CO7" i="26"/>
  <c r="CP7" i="26"/>
  <c r="CR7" i="26"/>
  <c r="CS7" i="26"/>
  <c r="CT7" i="26"/>
  <c r="CV7" i="26"/>
  <c r="CW7" i="26"/>
  <c r="CX7" i="26"/>
  <c r="CZ7" i="26"/>
  <c r="DA7" i="26"/>
  <c r="DB7" i="26"/>
  <c r="DD7" i="26"/>
  <c r="DE7" i="26"/>
  <c r="DF7" i="26"/>
  <c r="DH7" i="26"/>
  <c r="DI7" i="26"/>
  <c r="DJ7" i="26"/>
  <c r="DL7" i="26"/>
  <c r="DM7" i="26"/>
  <c r="DN7" i="26"/>
  <c r="DP7" i="26"/>
  <c r="DQ7" i="26"/>
  <c r="DR7" i="26"/>
  <c r="DT7" i="26"/>
  <c r="DU7" i="26"/>
  <c r="DV7" i="26"/>
  <c r="DX7" i="26"/>
  <c r="DY7" i="26"/>
  <c r="DZ7" i="26"/>
  <c r="EB7" i="26"/>
  <c r="EC7" i="26"/>
  <c r="ED7" i="26"/>
  <c r="X2" i="6"/>
  <c r="Y2" i="6"/>
  <c r="AC2" i="6"/>
  <c r="AG2" i="6"/>
  <c r="AO2" i="6"/>
  <c r="BA2" i="6"/>
  <c r="BD2" i="6"/>
  <c r="BF2" i="6"/>
  <c r="BI2" i="6"/>
  <c r="BQ2" i="6"/>
  <c r="BU2" i="6"/>
  <c r="BY2" i="6"/>
  <c r="CC2" i="6"/>
  <c r="CG2" i="6"/>
  <c r="CO2" i="6"/>
  <c r="DM2" i="6"/>
  <c r="EC2" i="6"/>
  <c r="R3" i="6"/>
  <c r="T3" i="6"/>
  <c r="U3" i="6"/>
  <c r="V3" i="6"/>
  <c r="X3" i="6"/>
  <c r="AC3" i="6"/>
  <c r="AD3" i="6"/>
  <c r="AJ3" i="6"/>
  <c r="AK3" i="6"/>
  <c r="AL3" i="6"/>
  <c r="AN3" i="6"/>
  <c r="AP3" i="6"/>
  <c r="BA3" i="6"/>
  <c r="BB3" i="6"/>
  <c r="BD3" i="6"/>
  <c r="BE3" i="6"/>
  <c r="BF3" i="6"/>
  <c r="BI3" i="6"/>
  <c r="BJ3" i="6"/>
  <c r="BL3" i="6"/>
  <c r="BU3" i="6"/>
  <c r="BV3" i="6"/>
  <c r="BX3" i="6"/>
  <c r="BY3" i="6"/>
  <c r="CG3" i="6"/>
  <c r="CO3" i="6"/>
  <c r="CP3" i="6"/>
  <c r="CR3" i="6"/>
  <c r="CS3" i="6"/>
  <c r="CT3" i="6"/>
  <c r="CV3" i="6"/>
  <c r="CZ3" i="6"/>
  <c r="DE3" i="6"/>
  <c r="DF3" i="6"/>
  <c r="DH3" i="6"/>
  <c r="DP3" i="6"/>
  <c r="DQ3" i="6"/>
  <c r="DR3" i="6"/>
  <c r="DT3" i="6"/>
  <c r="DU3" i="6"/>
  <c r="DV3" i="6"/>
  <c r="DX3" i="6"/>
  <c r="EC3" i="6"/>
  <c r="ED3" i="6"/>
  <c r="EF3" i="6"/>
  <c r="U4" i="6"/>
  <c r="AN4" i="6"/>
  <c r="AR4" i="6"/>
  <c r="AV4" i="6"/>
  <c r="AZ4" i="6"/>
  <c r="BD4" i="6"/>
  <c r="BX4" i="6"/>
  <c r="CJ4" i="6"/>
  <c r="CR4" i="6"/>
  <c r="CV4" i="6"/>
  <c r="CZ4" i="6"/>
  <c r="DL4" i="6"/>
  <c r="EF4" i="6"/>
  <c r="Q5" i="6"/>
  <c r="R5" i="6"/>
  <c r="S5" i="6"/>
  <c r="T5" i="6"/>
  <c r="U5" i="6"/>
  <c r="V5" i="6"/>
  <c r="X5" i="6"/>
  <c r="Y5" i="6"/>
  <c r="Z5" i="6"/>
  <c r="AB5" i="6"/>
  <c r="AC5" i="6"/>
  <c r="AD5" i="6"/>
  <c r="AE5" i="6"/>
  <c r="AF5" i="6"/>
  <c r="AG5" i="6"/>
  <c r="AH5" i="6"/>
  <c r="AJ5" i="6"/>
  <c r="AK5" i="6"/>
  <c r="AL5" i="6"/>
  <c r="AN5" i="6"/>
  <c r="AO5" i="6"/>
  <c r="AP5" i="6"/>
  <c r="AQ5" i="6"/>
  <c r="AR5" i="6"/>
  <c r="AS5" i="6"/>
  <c r="AT5" i="6"/>
  <c r="AV5" i="6"/>
  <c r="AW5" i="6"/>
  <c r="AX5" i="6"/>
  <c r="AZ5" i="6"/>
  <c r="BA5" i="6"/>
  <c r="BB5" i="6"/>
  <c r="BD5" i="6"/>
  <c r="BE5" i="6"/>
  <c r="BF5" i="6"/>
  <c r="BG5" i="6"/>
  <c r="BH5" i="6"/>
  <c r="BI5" i="6"/>
  <c r="BJ5" i="6"/>
  <c r="BK5" i="6"/>
  <c r="BL5" i="6"/>
  <c r="BM5" i="6"/>
  <c r="BN5" i="6"/>
  <c r="BP5" i="6"/>
  <c r="BQ5" i="6"/>
  <c r="BR5" i="6"/>
  <c r="BS5" i="6"/>
  <c r="BT5" i="6"/>
  <c r="BU5" i="6"/>
  <c r="BV5" i="6"/>
  <c r="BW5" i="6"/>
  <c r="BX5" i="6"/>
  <c r="BY5" i="6"/>
  <c r="BZ5" i="6"/>
  <c r="CB5" i="6"/>
  <c r="CC5" i="6"/>
  <c r="CD5" i="6"/>
  <c r="CE5" i="6"/>
  <c r="CF5" i="6"/>
  <c r="CG5" i="6"/>
  <c r="CH5" i="6"/>
  <c r="CJ5" i="6"/>
  <c r="CK5" i="6"/>
  <c r="CL5" i="6"/>
  <c r="CN5" i="6"/>
  <c r="CO5" i="6"/>
  <c r="CP5" i="6"/>
  <c r="CQ5" i="6"/>
  <c r="CR5" i="6"/>
  <c r="CS5" i="6"/>
  <c r="CT5" i="6"/>
  <c r="CU5" i="6"/>
  <c r="CV5" i="6"/>
  <c r="CW5" i="6"/>
  <c r="CX5" i="6"/>
  <c r="CZ5" i="6"/>
  <c r="DA5" i="6"/>
  <c r="DB5" i="6"/>
  <c r="DD5" i="6"/>
  <c r="DE5" i="6"/>
  <c r="DF5" i="6"/>
  <c r="DH5" i="6"/>
  <c r="DI5" i="6"/>
  <c r="DJ5" i="6"/>
  <c r="DL5" i="6"/>
  <c r="DM5" i="6"/>
  <c r="DN5" i="6"/>
  <c r="DO5" i="6"/>
  <c r="DP5" i="6"/>
  <c r="DQ5" i="6"/>
  <c r="DR5" i="6"/>
  <c r="DT5" i="6"/>
  <c r="DU5" i="6"/>
  <c r="DV5" i="6"/>
  <c r="DX5" i="6"/>
  <c r="DY5" i="6"/>
  <c r="DZ5" i="6"/>
  <c r="EB5" i="6"/>
  <c r="EC5" i="6"/>
  <c r="ED5" i="6"/>
  <c r="EE5" i="6"/>
  <c r="EF5" i="6"/>
  <c r="X6" i="6"/>
  <c r="AR6" i="6"/>
  <c r="BI6" i="6"/>
  <c r="CD6" i="6"/>
  <c r="CF6" i="6"/>
  <c r="Q7" i="6"/>
  <c r="R7" i="6"/>
  <c r="T7" i="6"/>
  <c r="U7" i="6"/>
  <c r="V7" i="6"/>
  <c r="X7" i="6"/>
  <c r="Y7" i="6"/>
  <c r="Z7" i="6"/>
  <c r="AB7" i="6"/>
  <c r="AC7" i="6"/>
  <c r="AD7" i="6"/>
  <c r="AF7" i="6"/>
  <c r="AG7" i="6"/>
  <c r="AH7" i="6"/>
  <c r="AJ7" i="6"/>
  <c r="AK7" i="6"/>
  <c r="AL7" i="6"/>
  <c r="AN7" i="6"/>
  <c r="AO7" i="6"/>
  <c r="AP7" i="6"/>
  <c r="AR7" i="6"/>
  <c r="AS7" i="6"/>
  <c r="AT7" i="6"/>
  <c r="AV7" i="6"/>
  <c r="AW7" i="6"/>
  <c r="AX7" i="6"/>
  <c r="AZ7" i="6"/>
  <c r="BA7" i="6"/>
  <c r="BB7" i="6"/>
  <c r="BD7" i="6"/>
  <c r="BE7" i="6"/>
  <c r="BF7" i="6"/>
  <c r="BH7" i="6"/>
  <c r="BI7" i="6"/>
  <c r="BJ7" i="6"/>
  <c r="BL7" i="6"/>
  <c r="BM7" i="6"/>
  <c r="BN7" i="6"/>
  <c r="BP7" i="6"/>
  <c r="BQ7" i="6"/>
  <c r="BR7" i="6"/>
  <c r="BT7" i="6"/>
  <c r="BU7" i="6"/>
  <c r="BV7" i="6"/>
  <c r="BX7" i="6"/>
  <c r="BY7" i="6"/>
  <c r="BZ7" i="6"/>
  <c r="CB7" i="6"/>
  <c r="CC7" i="6"/>
  <c r="CD7" i="6"/>
  <c r="CF7" i="6"/>
  <c r="CG7" i="6"/>
  <c r="CH7" i="6"/>
  <c r="CJ7" i="6"/>
  <c r="CK7" i="6"/>
  <c r="CL7" i="6"/>
  <c r="CN7" i="6"/>
  <c r="CO7" i="6"/>
  <c r="CP7" i="6"/>
  <c r="CR7" i="6"/>
  <c r="CS7" i="6"/>
  <c r="CT7" i="6"/>
  <c r="CV7" i="6"/>
  <c r="CW7" i="6"/>
  <c r="CX7" i="6"/>
  <c r="CZ7" i="6"/>
  <c r="DA7" i="6"/>
  <c r="DB7" i="6"/>
  <c r="DD7" i="6"/>
  <c r="DE7" i="6"/>
  <c r="DF7" i="6"/>
  <c r="DH7" i="6"/>
  <c r="DI7" i="6"/>
  <c r="DJ7" i="6"/>
  <c r="DL7" i="6"/>
  <c r="DM7" i="6"/>
  <c r="DN7" i="6"/>
  <c r="DP7" i="6"/>
  <c r="DQ7" i="6"/>
  <c r="DR7" i="6"/>
  <c r="DT7" i="6"/>
  <c r="DU7" i="6"/>
  <c r="DV7" i="6"/>
  <c r="DW7" i="6"/>
  <c r="DX7" i="6"/>
  <c r="DY7" i="6"/>
  <c r="DZ7" i="6"/>
  <c r="EB7" i="6"/>
  <c r="EC7" i="6"/>
  <c r="ED7" i="6"/>
  <c r="EF7" i="6"/>
  <c r="Q2" i="24"/>
  <c r="U2" i="24"/>
  <c r="X2" i="24"/>
  <c r="Y2" i="24"/>
  <c r="AC2" i="24"/>
  <c r="AF2" i="24"/>
  <c r="AK2" i="24"/>
  <c r="AO2" i="24"/>
  <c r="AS2" i="24"/>
  <c r="AV2" i="24"/>
  <c r="AW2" i="24"/>
  <c r="AZ2" i="24"/>
  <c r="BD2" i="24"/>
  <c r="BE2" i="24"/>
  <c r="BI2" i="24"/>
  <c r="BL2" i="24"/>
  <c r="BM2" i="24"/>
  <c r="BQ2" i="24"/>
  <c r="BU2" i="24"/>
  <c r="BY2" i="24"/>
  <c r="CC2" i="24"/>
  <c r="CF2" i="24"/>
  <c r="CG2" i="24"/>
  <c r="CK2" i="24"/>
  <c r="CO2" i="24"/>
  <c r="CS2" i="24"/>
  <c r="CV2" i="24"/>
  <c r="CW2" i="24"/>
  <c r="DA2" i="24"/>
  <c r="DE2" i="24"/>
  <c r="DH2" i="24"/>
  <c r="DI2" i="24"/>
  <c r="DL2" i="24"/>
  <c r="DQ2" i="24"/>
  <c r="DU2" i="24"/>
  <c r="DY2" i="24"/>
  <c r="EC2" i="24"/>
  <c r="Q3" i="24"/>
  <c r="R3" i="24"/>
  <c r="T3" i="24"/>
  <c r="U3" i="24"/>
  <c r="V3" i="24"/>
  <c r="X3" i="24"/>
  <c r="Y3" i="24"/>
  <c r="Z3" i="24"/>
  <c r="AB3" i="24"/>
  <c r="AC3" i="24"/>
  <c r="AD3" i="24"/>
  <c r="AF3" i="24"/>
  <c r="AG3" i="24"/>
  <c r="AH3" i="24"/>
  <c r="AJ3" i="24"/>
  <c r="AK3" i="24"/>
  <c r="AL3" i="24"/>
  <c r="AN3" i="24"/>
  <c r="AO3" i="24"/>
  <c r="AP3" i="24"/>
  <c r="AR3" i="24"/>
  <c r="AS3" i="24"/>
  <c r="AT3" i="24"/>
  <c r="AV3" i="24"/>
  <c r="AW3" i="24"/>
  <c r="AX3" i="24"/>
  <c r="AZ3" i="24"/>
  <c r="BA3" i="24"/>
  <c r="BB3" i="24"/>
  <c r="BD3" i="24"/>
  <c r="BE3" i="24"/>
  <c r="BF3" i="24"/>
  <c r="BH3" i="24"/>
  <c r="BJ3" i="24"/>
  <c r="BL3" i="24"/>
  <c r="BM3" i="24"/>
  <c r="BN3" i="24"/>
  <c r="BP3" i="24"/>
  <c r="BQ3" i="24"/>
  <c r="BR3" i="24"/>
  <c r="BT3" i="24"/>
  <c r="BU3" i="24"/>
  <c r="BV3" i="24"/>
  <c r="BX3" i="24"/>
  <c r="BY3" i="24"/>
  <c r="BZ3" i="24"/>
  <c r="CB3" i="24"/>
  <c r="CC3" i="24"/>
  <c r="CD3" i="24"/>
  <c r="CF3" i="24"/>
  <c r="CG3" i="24"/>
  <c r="CH3" i="24"/>
  <c r="CJ3" i="24"/>
  <c r="CK3" i="24"/>
  <c r="CL3" i="24"/>
  <c r="CN3" i="24"/>
  <c r="CO3" i="24"/>
  <c r="CP3" i="24"/>
  <c r="CR3" i="24"/>
  <c r="CS3" i="24"/>
  <c r="CT3" i="24"/>
  <c r="CV3" i="24"/>
  <c r="CW3" i="24"/>
  <c r="CX3" i="24"/>
  <c r="CZ3" i="24"/>
  <c r="DA3" i="24"/>
  <c r="DB3" i="24"/>
  <c r="DD3" i="24"/>
  <c r="DE3" i="24"/>
  <c r="DF3" i="24"/>
  <c r="DH3" i="24"/>
  <c r="DI3" i="24"/>
  <c r="DJ3" i="24"/>
  <c r="DL3" i="24"/>
  <c r="DM3" i="24"/>
  <c r="DN3" i="24"/>
  <c r="DP3" i="24"/>
  <c r="DQ3" i="24"/>
  <c r="DR3" i="24"/>
  <c r="DT3" i="24"/>
  <c r="DU3" i="24"/>
  <c r="DV3" i="24"/>
  <c r="DX3" i="24"/>
  <c r="DY3" i="24"/>
  <c r="DZ3" i="24"/>
  <c r="EB3" i="24"/>
  <c r="EC3" i="24"/>
  <c r="ED3" i="24"/>
  <c r="EF3" i="24"/>
  <c r="T4" i="24"/>
  <c r="X4" i="24"/>
  <c r="AB4" i="24"/>
  <c r="AF4" i="24"/>
  <c r="AJ4" i="24"/>
  <c r="AN4" i="24"/>
  <c r="AR4" i="24"/>
  <c r="AV4" i="24"/>
  <c r="AW4" i="24"/>
  <c r="AY4" i="24"/>
  <c r="AZ4" i="24"/>
  <c r="BH4" i="24"/>
  <c r="BL4" i="24"/>
  <c r="BP4" i="24"/>
  <c r="BT4" i="24"/>
  <c r="BX4" i="24"/>
  <c r="CB4" i="24"/>
  <c r="CF4" i="24"/>
  <c r="CJ4" i="24"/>
  <c r="CK4" i="24"/>
  <c r="CN4" i="24"/>
  <c r="CR4" i="24"/>
  <c r="CS4" i="24"/>
  <c r="CT4" i="24"/>
  <c r="CV4" i="24"/>
  <c r="CZ4" i="24"/>
  <c r="DD4" i="24"/>
  <c r="DH4" i="24"/>
  <c r="DI4" i="24"/>
  <c r="DJ4" i="24"/>
  <c r="DL4" i="24"/>
  <c r="DP4" i="24"/>
  <c r="DQ4" i="24"/>
  <c r="DT4" i="24"/>
  <c r="DX4" i="24"/>
  <c r="EB4" i="24"/>
  <c r="EF4" i="24"/>
  <c r="Q5" i="24"/>
  <c r="R5" i="24"/>
  <c r="S5" i="24"/>
  <c r="T5" i="24"/>
  <c r="U5" i="24"/>
  <c r="V5" i="24"/>
  <c r="W5" i="24"/>
  <c r="X5" i="24"/>
  <c r="Y5" i="24"/>
  <c r="Z5" i="24"/>
  <c r="AA5" i="24"/>
  <c r="AB5" i="24"/>
  <c r="AC5" i="24"/>
  <c r="AD5" i="24"/>
  <c r="AE5" i="24"/>
  <c r="AF5" i="24"/>
  <c r="AG5" i="24"/>
  <c r="AH5" i="24"/>
  <c r="AJ5" i="24"/>
  <c r="AK5" i="24"/>
  <c r="AL5" i="24"/>
  <c r="AM5" i="24"/>
  <c r="AN5" i="24"/>
  <c r="AO5" i="24"/>
  <c r="AP5" i="24"/>
  <c r="AQ5" i="24"/>
  <c r="AR5" i="24"/>
  <c r="AS5" i="24"/>
  <c r="AT5" i="24"/>
  <c r="AU5" i="24"/>
  <c r="AV5" i="24"/>
  <c r="AW5" i="24"/>
  <c r="AX5" i="24"/>
  <c r="AY5" i="24"/>
  <c r="AZ5" i="24"/>
  <c r="BA5" i="24"/>
  <c r="BB5" i="24"/>
  <c r="BD5" i="24"/>
  <c r="BE5" i="24"/>
  <c r="BF5" i="24"/>
  <c r="BH5" i="24"/>
  <c r="BI5" i="24"/>
  <c r="BJ5" i="24"/>
  <c r="BK5" i="24"/>
  <c r="BL5" i="24"/>
  <c r="BM5" i="24"/>
  <c r="BN5" i="24"/>
  <c r="BO5" i="24"/>
  <c r="BP5" i="24"/>
  <c r="BQ5" i="24"/>
  <c r="BR5" i="24"/>
  <c r="BS5" i="24"/>
  <c r="BT5" i="24"/>
  <c r="BU5" i="24"/>
  <c r="BV5" i="24"/>
  <c r="BW5" i="24"/>
  <c r="BX5" i="24"/>
  <c r="BY5" i="24"/>
  <c r="BZ5" i="24"/>
  <c r="CA5" i="24"/>
  <c r="CB5" i="24"/>
  <c r="CC5" i="24"/>
  <c r="CD5" i="24"/>
  <c r="CE5" i="24"/>
  <c r="CF5" i="24"/>
  <c r="CG5" i="24"/>
  <c r="CH5" i="24"/>
  <c r="CI5" i="24"/>
  <c r="CJ5" i="24"/>
  <c r="CK5" i="24"/>
  <c r="CL5" i="24"/>
  <c r="CM5" i="24"/>
  <c r="CN5" i="24"/>
  <c r="CO5" i="24"/>
  <c r="CP5" i="24"/>
  <c r="CQ5" i="24"/>
  <c r="CR5" i="24"/>
  <c r="CS5" i="24"/>
  <c r="CT5" i="24"/>
  <c r="CV5" i="24"/>
  <c r="CW5" i="24"/>
  <c r="CX5" i="24"/>
  <c r="CY5" i="24"/>
  <c r="CZ5" i="24"/>
  <c r="DA5" i="24"/>
  <c r="DB5" i="24"/>
  <c r="DC5" i="24"/>
  <c r="DD5" i="24"/>
  <c r="DE5" i="24"/>
  <c r="DF5" i="24"/>
  <c r="DG5" i="24"/>
  <c r="DH5" i="24"/>
  <c r="DI5" i="24"/>
  <c r="DJ5" i="24"/>
  <c r="DK5" i="24"/>
  <c r="DL5" i="24"/>
  <c r="DM5" i="24"/>
  <c r="DN5" i="24"/>
  <c r="DO5" i="24"/>
  <c r="DP5" i="24"/>
  <c r="DQ5" i="24"/>
  <c r="DR5" i="24"/>
  <c r="DS5" i="24"/>
  <c r="DT5" i="24"/>
  <c r="DU5" i="24"/>
  <c r="DV5" i="24"/>
  <c r="DW5" i="24"/>
  <c r="DX5" i="24"/>
  <c r="DY5" i="24"/>
  <c r="DZ5" i="24"/>
  <c r="EA5" i="24"/>
  <c r="EB5" i="24"/>
  <c r="EC5" i="24"/>
  <c r="ED5" i="24"/>
  <c r="EE5" i="24"/>
  <c r="EF5" i="24"/>
  <c r="AF6" i="24"/>
  <c r="AJ6" i="24"/>
  <c r="AN6" i="24"/>
  <c r="AT6" i="24"/>
  <c r="AV6" i="24"/>
  <c r="AZ6" i="24"/>
  <c r="BR6" i="24"/>
  <c r="BZ6" i="24"/>
  <c r="CB6" i="24"/>
  <c r="DB6" i="24"/>
  <c r="DP6" i="24"/>
  <c r="DV6" i="24"/>
  <c r="DX6" i="24"/>
  <c r="Q7" i="24"/>
  <c r="R7" i="24"/>
  <c r="T7" i="24"/>
  <c r="U7" i="24"/>
  <c r="V7" i="24"/>
  <c r="X7" i="24"/>
  <c r="Y7" i="24"/>
  <c r="Z7" i="24"/>
  <c r="AB7" i="24"/>
  <c r="AC7" i="24"/>
  <c r="AD7" i="24"/>
  <c r="AF7" i="24"/>
  <c r="AG7" i="24"/>
  <c r="AH7" i="24"/>
  <c r="AJ7" i="24"/>
  <c r="AK7" i="24"/>
  <c r="AL7" i="24"/>
  <c r="AN7" i="24"/>
  <c r="AO7" i="24"/>
  <c r="AP7" i="24"/>
  <c r="AR7" i="24"/>
  <c r="AS7" i="24"/>
  <c r="AT7" i="24"/>
  <c r="AV7" i="24"/>
  <c r="AW7" i="24"/>
  <c r="AX7" i="24"/>
  <c r="AZ7" i="24"/>
  <c r="BA7" i="24"/>
  <c r="BB7" i="24"/>
  <c r="BD7" i="24"/>
  <c r="BE7" i="24"/>
  <c r="BF7" i="24"/>
  <c r="BH7" i="24"/>
  <c r="BI7" i="24"/>
  <c r="BJ7" i="24"/>
  <c r="BL7" i="24"/>
  <c r="BM7" i="24"/>
  <c r="BN7" i="24"/>
  <c r="BP7" i="24"/>
  <c r="BQ7" i="24"/>
  <c r="BR7" i="24"/>
  <c r="BT7" i="24"/>
  <c r="BU7" i="24"/>
  <c r="BV7" i="24"/>
  <c r="BX7" i="24"/>
  <c r="BY7" i="24"/>
  <c r="BZ7" i="24"/>
  <c r="CB7" i="24"/>
  <c r="CC7" i="24"/>
  <c r="CD7" i="24"/>
  <c r="CE7" i="24"/>
  <c r="CF7" i="24"/>
  <c r="CG7" i="24"/>
  <c r="CH7" i="24"/>
  <c r="CJ7" i="24"/>
  <c r="CK7" i="24"/>
  <c r="CL7" i="24"/>
  <c r="CN7" i="24"/>
  <c r="CO7" i="24"/>
  <c r="CP7" i="24"/>
  <c r="CR7" i="24"/>
  <c r="CS7" i="24"/>
  <c r="CT7" i="24"/>
  <c r="CU7" i="24"/>
  <c r="CV7" i="24"/>
  <c r="CW7" i="24"/>
  <c r="CX7" i="24"/>
  <c r="CZ7" i="24"/>
  <c r="DA7" i="24"/>
  <c r="DB7" i="24"/>
  <c r="DD7" i="24"/>
  <c r="DE7" i="24"/>
  <c r="DF7" i="24"/>
  <c r="DH7" i="24"/>
  <c r="DI7" i="24"/>
  <c r="DJ7" i="24"/>
  <c r="DL7" i="24"/>
  <c r="DM7" i="24"/>
  <c r="DN7" i="24"/>
  <c r="DP7" i="24"/>
  <c r="DQ7" i="24"/>
  <c r="DR7" i="24"/>
  <c r="DT7" i="24"/>
  <c r="DU7" i="24"/>
  <c r="DV7" i="24"/>
  <c r="DX7" i="24"/>
  <c r="DY7" i="24"/>
  <c r="DZ7" i="24"/>
  <c r="EB7" i="24"/>
  <c r="EC7" i="24"/>
  <c r="ED7" i="24"/>
  <c r="EF7" i="24"/>
  <c r="P20" i="6"/>
  <c r="N61" i="1"/>
  <c r="D68" i="1"/>
  <c r="L62" i="22"/>
  <c r="M62" i="22"/>
  <c r="N62" i="22"/>
  <c r="O62" i="22"/>
  <c r="P62" i="22"/>
  <c r="Q62" i="22"/>
  <c r="R62" i="22"/>
  <c r="S62" i="22"/>
  <c r="T62" i="22"/>
  <c r="U62" i="22"/>
  <c r="V62" i="22"/>
  <c r="W62" i="22"/>
  <c r="X62" i="22"/>
  <c r="Y62" i="22"/>
  <c r="Z62" i="22"/>
  <c r="AA62" i="22"/>
  <c r="AB62" i="22"/>
  <c r="AC62" i="22"/>
  <c r="AD62" i="22"/>
  <c r="AE62" i="22"/>
  <c r="AF62" i="22"/>
  <c r="AG62" i="22"/>
  <c r="AH62" i="22"/>
  <c r="AI62" i="22"/>
  <c r="AJ62" i="22"/>
  <c r="AK62" i="22"/>
  <c r="AL62" i="22"/>
  <c r="AM62" i="22"/>
  <c r="AN62" i="22"/>
  <c r="K62" i="22"/>
  <c r="M55" i="22"/>
  <c r="N55" i="22"/>
  <c r="O55" i="22"/>
  <c r="T55" i="22"/>
  <c r="U55" i="22"/>
  <c r="Y55" i="22"/>
  <c r="Z55" i="22"/>
  <c r="AA55" i="22"/>
  <c r="AF55" i="22"/>
  <c r="AG55" i="22"/>
  <c r="AK55" i="22"/>
  <c r="AL55" i="22"/>
  <c r="AM55" i="22"/>
  <c r="L48" i="22"/>
  <c r="M48" i="22"/>
  <c r="N48" i="22"/>
  <c r="O48" i="22"/>
  <c r="P48" i="22"/>
  <c r="Q48" i="22"/>
  <c r="R48" i="22"/>
  <c r="S48" i="22"/>
  <c r="T48" i="22"/>
  <c r="U48" i="22"/>
  <c r="V48" i="22"/>
  <c r="W48" i="22"/>
  <c r="X48" i="22"/>
  <c r="Y48" i="22"/>
  <c r="Z48" i="22"/>
  <c r="AA48" i="22"/>
  <c r="AB48" i="22"/>
  <c r="AC48" i="22"/>
  <c r="AD48" i="22"/>
  <c r="AE48" i="22"/>
  <c r="AF48" i="22"/>
  <c r="AG48" i="22"/>
  <c r="AH48" i="22"/>
  <c r="AI48" i="22"/>
  <c r="AJ48" i="22"/>
  <c r="AK48" i="22"/>
  <c r="AL48" i="22"/>
  <c r="AM48" i="22"/>
  <c r="AN48" i="22"/>
  <c r="K48" i="22"/>
  <c r="L47" i="22"/>
  <c r="K47" i="22"/>
  <c r="L39" i="22"/>
  <c r="M39" i="22"/>
  <c r="N39" i="22"/>
  <c r="O39" i="22"/>
  <c r="P39" i="22"/>
  <c r="Q39" i="22"/>
  <c r="R39" i="22"/>
  <c r="S39" i="22"/>
  <c r="T39" i="22"/>
  <c r="U39" i="22"/>
  <c r="V39" i="22"/>
  <c r="W39" i="22"/>
  <c r="X39" i="22"/>
  <c r="Y39" i="22"/>
  <c r="Z39" i="22"/>
  <c r="AA39" i="22"/>
  <c r="AB39" i="22"/>
  <c r="AC39" i="22"/>
  <c r="AD39" i="22"/>
  <c r="AE39" i="22"/>
  <c r="AF39" i="22"/>
  <c r="AG39" i="22"/>
  <c r="AH39" i="22"/>
  <c r="AI39" i="22"/>
  <c r="AJ39" i="22"/>
  <c r="AK39" i="22"/>
  <c r="AL39" i="22"/>
  <c r="AM39" i="22"/>
  <c r="AN39" i="22"/>
  <c r="L38" i="22"/>
  <c r="K39" i="22"/>
  <c r="K38" i="22" s="1"/>
  <c r="L31" i="22"/>
  <c r="L30" i="22" s="1"/>
  <c r="M31" i="22"/>
  <c r="N31" i="22"/>
  <c r="O31" i="22"/>
  <c r="P31" i="22"/>
  <c r="Q31" i="22"/>
  <c r="R31" i="22"/>
  <c r="S31" i="22"/>
  <c r="T31" i="22"/>
  <c r="U31" i="22"/>
  <c r="V31" i="22"/>
  <c r="W31" i="22"/>
  <c r="X31" i="22"/>
  <c r="Y31" i="22"/>
  <c r="Z31" i="22"/>
  <c r="AA31" i="22"/>
  <c r="AB31" i="22"/>
  <c r="AC31" i="22"/>
  <c r="AD31" i="22"/>
  <c r="AE31" i="22"/>
  <c r="AF31" i="22"/>
  <c r="AG31" i="22"/>
  <c r="AH31" i="22"/>
  <c r="AI31" i="22"/>
  <c r="AJ31" i="22"/>
  <c r="AK31" i="22"/>
  <c r="AL31" i="22"/>
  <c r="AM31" i="22"/>
  <c r="AN31" i="22"/>
  <c r="K31" i="22"/>
  <c r="K30" i="22" s="1"/>
  <c r="L21" i="22"/>
  <c r="L58" i="22" s="1"/>
  <c r="L55" i="22" s="1"/>
  <c r="M21" i="22"/>
  <c r="M58" i="22" s="1"/>
  <c r="N21" i="22"/>
  <c r="N58" i="22" s="1"/>
  <c r="O21" i="22"/>
  <c r="O58" i="22" s="1"/>
  <c r="P21" i="22"/>
  <c r="P58" i="22" s="1"/>
  <c r="P55" i="22" s="1"/>
  <c r="Q21" i="22"/>
  <c r="Q58" i="22" s="1"/>
  <c r="Q55" i="22" s="1"/>
  <c r="R21" i="22"/>
  <c r="R58" i="22" s="1"/>
  <c r="R55" i="22" s="1"/>
  <c r="S21" i="22"/>
  <c r="S58" i="22" s="1"/>
  <c r="S55" i="22" s="1"/>
  <c r="T21" i="22"/>
  <c r="T58" i="22" s="1"/>
  <c r="U21" i="22"/>
  <c r="U58" i="22" s="1"/>
  <c r="V21" i="22"/>
  <c r="V58" i="22" s="1"/>
  <c r="V55" i="22" s="1"/>
  <c r="W21" i="22"/>
  <c r="W58" i="22" s="1"/>
  <c r="W55" i="22" s="1"/>
  <c r="X21" i="22"/>
  <c r="X58" i="22" s="1"/>
  <c r="X55" i="22" s="1"/>
  <c r="Y21" i="22"/>
  <c r="Y58" i="22" s="1"/>
  <c r="Z21" i="22"/>
  <c r="Z58" i="22" s="1"/>
  <c r="AA21" i="22"/>
  <c r="AA58" i="22" s="1"/>
  <c r="AB21" i="22"/>
  <c r="AB58" i="22" s="1"/>
  <c r="AB55" i="22" s="1"/>
  <c r="AC21" i="22"/>
  <c r="AC58" i="22" s="1"/>
  <c r="AC55" i="22" s="1"/>
  <c r="AD21" i="22"/>
  <c r="AD58" i="22" s="1"/>
  <c r="AD55" i="22" s="1"/>
  <c r="AE21" i="22"/>
  <c r="AE58" i="22" s="1"/>
  <c r="AE55" i="22" s="1"/>
  <c r="AF21" i="22"/>
  <c r="AF58" i="22" s="1"/>
  <c r="AG21" i="22"/>
  <c r="AG58" i="22" s="1"/>
  <c r="AH21" i="22"/>
  <c r="AH58" i="22" s="1"/>
  <c r="AH55" i="22" s="1"/>
  <c r="AI21" i="22"/>
  <c r="AI58" i="22" s="1"/>
  <c r="AI55" i="22" s="1"/>
  <c r="AJ21" i="22"/>
  <c r="AJ58" i="22" s="1"/>
  <c r="AJ55" i="22" s="1"/>
  <c r="AK21" i="22"/>
  <c r="AK58" i="22" s="1"/>
  <c r="AL21" i="22"/>
  <c r="AL58" i="22" s="1"/>
  <c r="AM21" i="22"/>
  <c r="AM58" i="22" s="1"/>
  <c r="AN21" i="22"/>
  <c r="AN58" i="22" s="1"/>
  <c r="AN55" i="22" s="1"/>
  <c r="E10" i="22"/>
  <c r="J31" i="22"/>
  <c r="L48" i="21"/>
  <c r="M48" i="21"/>
  <c r="N48" i="21"/>
  <c r="O48" i="21"/>
  <c r="P48" i="21"/>
  <c r="Q48" i="21"/>
  <c r="R48" i="21"/>
  <c r="S48" i="21"/>
  <c r="T48" i="21"/>
  <c r="U48" i="21"/>
  <c r="V48" i="21"/>
  <c r="W48" i="21"/>
  <c r="X48" i="21"/>
  <c r="Y48" i="21"/>
  <c r="Z48" i="21"/>
  <c r="AA48" i="21"/>
  <c r="AB48" i="21"/>
  <c r="AC48" i="21"/>
  <c r="AD48" i="21"/>
  <c r="AE48" i="21"/>
  <c r="AF48" i="21"/>
  <c r="AG48" i="21"/>
  <c r="AH48" i="21"/>
  <c r="AI48" i="21"/>
  <c r="AJ48" i="21"/>
  <c r="AK48" i="21"/>
  <c r="AL48" i="21"/>
  <c r="AM48" i="21"/>
  <c r="AN48" i="21"/>
  <c r="L55" i="21"/>
  <c r="M55" i="21"/>
  <c r="N55" i="21"/>
  <c r="O55" i="21"/>
  <c r="P55" i="21"/>
  <c r="Q55" i="21"/>
  <c r="R55" i="21"/>
  <c r="S55" i="21"/>
  <c r="T55" i="21"/>
  <c r="U55" i="21"/>
  <c r="V55" i="21"/>
  <c r="W55" i="21"/>
  <c r="X55" i="21"/>
  <c r="Y55" i="21"/>
  <c r="Z55" i="21"/>
  <c r="AA55" i="21"/>
  <c r="AB55" i="21"/>
  <c r="AC55" i="21"/>
  <c r="AD55" i="21"/>
  <c r="AE55" i="21"/>
  <c r="AF55" i="21"/>
  <c r="AG55" i="21"/>
  <c r="AH55" i="21"/>
  <c r="AI55" i="21"/>
  <c r="AJ55" i="21"/>
  <c r="AK55" i="21"/>
  <c r="AL55" i="21"/>
  <c r="AM55" i="21"/>
  <c r="AN55" i="21"/>
  <c r="L62" i="21"/>
  <c r="M62" i="21"/>
  <c r="N62" i="21"/>
  <c r="O62" i="21"/>
  <c r="P62" i="21"/>
  <c r="Q62" i="21"/>
  <c r="R62" i="21"/>
  <c r="S62" i="21"/>
  <c r="T62" i="21"/>
  <c r="U62" i="21"/>
  <c r="V62" i="21"/>
  <c r="W62" i="21"/>
  <c r="X62" i="21"/>
  <c r="Y62" i="21"/>
  <c r="Z62" i="21"/>
  <c r="AA62" i="21"/>
  <c r="AB62" i="21"/>
  <c r="AC62" i="21"/>
  <c r="AD62" i="21"/>
  <c r="AE62" i="21"/>
  <c r="AF62" i="21"/>
  <c r="AG62" i="21"/>
  <c r="AH62" i="21"/>
  <c r="AI62" i="21"/>
  <c r="AJ62" i="21"/>
  <c r="AK62" i="21"/>
  <c r="AL62" i="21"/>
  <c r="AM62" i="21"/>
  <c r="K62" i="21"/>
  <c r="K48" i="21"/>
  <c r="E10" i="21"/>
  <c r="L39" i="21"/>
  <c r="M39" i="21"/>
  <c r="N39" i="21"/>
  <c r="O39" i="21"/>
  <c r="P39" i="21"/>
  <c r="Q39" i="21"/>
  <c r="R39" i="21"/>
  <c r="S39" i="21"/>
  <c r="T39" i="21"/>
  <c r="U39" i="21"/>
  <c r="V39" i="21"/>
  <c r="W39" i="21"/>
  <c r="X39" i="21"/>
  <c r="Y39" i="21"/>
  <c r="Z39" i="21"/>
  <c r="AA39" i="21"/>
  <c r="AB39" i="21"/>
  <c r="AC39" i="21"/>
  <c r="AD39" i="21"/>
  <c r="AE39" i="21"/>
  <c r="AF39" i="21"/>
  <c r="AG39" i="21"/>
  <c r="AH39" i="21"/>
  <c r="AI39" i="21"/>
  <c r="AJ39" i="21"/>
  <c r="AK39" i="21"/>
  <c r="AL39" i="21"/>
  <c r="AM39" i="21"/>
  <c r="AN39" i="21"/>
  <c r="L31" i="21"/>
  <c r="M31" i="21"/>
  <c r="N31" i="21"/>
  <c r="O31" i="21"/>
  <c r="P31" i="21"/>
  <c r="Q31" i="21"/>
  <c r="R31" i="21"/>
  <c r="S31" i="21"/>
  <c r="T31" i="21"/>
  <c r="U31" i="21"/>
  <c r="V31" i="21"/>
  <c r="W31" i="21"/>
  <c r="X31" i="21"/>
  <c r="Y31" i="21"/>
  <c r="Z31" i="21"/>
  <c r="AA31" i="21"/>
  <c r="AB31" i="21"/>
  <c r="AC31" i="21"/>
  <c r="AD31" i="21"/>
  <c r="AE31" i="21"/>
  <c r="AF31" i="21"/>
  <c r="AG31" i="21"/>
  <c r="AH31" i="21"/>
  <c r="AI31" i="21"/>
  <c r="AJ31" i="21"/>
  <c r="AK31" i="21"/>
  <c r="AL31" i="21"/>
  <c r="AM31" i="21"/>
  <c r="AN31" i="21"/>
  <c r="K31" i="21"/>
  <c r="O21" i="21"/>
  <c r="P21" i="21"/>
  <c r="Q21" i="21"/>
  <c r="R21" i="21"/>
  <c r="S21" i="21"/>
  <c r="T21" i="21"/>
  <c r="U21" i="21"/>
  <c r="V21" i="21"/>
  <c r="W21" i="21"/>
  <c r="X21" i="21"/>
  <c r="Y21" i="21"/>
  <c r="Z21" i="21"/>
  <c r="AA21" i="21"/>
  <c r="AB21" i="21"/>
  <c r="AC21" i="21"/>
  <c r="AD21" i="21"/>
  <c r="AE21" i="21"/>
  <c r="AF21" i="21"/>
  <c r="AG21" i="21"/>
  <c r="AH21" i="21"/>
  <c r="AI21" i="21"/>
  <c r="AJ21" i="21"/>
  <c r="AK21" i="21"/>
  <c r="AL21" i="21"/>
  <c r="AM21" i="21"/>
  <c r="AN21" i="21"/>
  <c r="M21" i="21"/>
  <c r="L21" i="21"/>
  <c r="N21" i="21"/>
  <c r="Q113" i="2" l="1"/>
  <c r="M130" i="2"/>
  <c r="M3" i="16" s="1"/>
  <c r="D47" i="6"/>
  <c r="F47" i="6" s="1"/>
  <c r="G47" i="6" s="1"/>
  <c r="O123" i="1"/>
  <c r="P123" i="1" s="1"/>
  <c r="Q123" i="1" s="1"/>
  <c r="L136" i="2"/>
  <c r="O5" i="16"/>
  <c r="P5" i="16"/>
  <c r="M148" i="1"/>
  <c r="O148" i="1" s="1"/>
  <c r="P148" i="1" s="1"/>
  <c r="H152" i="2"/>
  <c r="E100" i="2"/>
  <c r="I107" i="2"/>
  <c r="E73" i="2"/>
  <c r="M107" i="2"/>
  <c r="E80" i="2"/>
  <c r="E107" i="2"/>
  <c r="O6" i="16"/>
  <c r="P6" i="16"/>
  <c r="E71" i="2"/>
  <c r="E67" i="1" s="1"/>
  <c r="H65" i="2"/>
  <c r="L61" i="1" s="1"/>
  <c r="D65" i="2"/>
  <c r="D61" i="1" s="1"/>
  <c r="D66" i="2"/>
  <c r="I82" i="2"/>
  <c r="U107" i="2"/>
  <c r="L115" i="2"/>
  <c r="L113" i="2" s="1"/>
  <c r="U111" i="1"/>
  <c r="D42" i="24" s="1"/>
  <c r="H132" i="2"/>
  <c r="L131" i="2"/>
  <c r="L130" i="2" s="1"/>
  <c r="L137" i="2"/>
  <c r="E126" i="1"/>
  <c r="H131" i="2"/>
  <c r="H134" i="2"/>
  <c r="D47" i="28"/>
  <c r="AM123" i="1"/>
  <c r="P127" i="2"/>
  <c r="AB123" i="1" s="1"/>
  <c r="I113" i="2"/>
  <c r="M109" i="1" s="1"/>
  <c r="T127" i="2"/>
  <c r="AJ123" i="1" s="1"/>
  <c r="D136" i="2"/>
  <c r="M135" i="2"/>
  <c r="M4" i="16" s="1"/>
  <c r="D138" i="2"/>
  <c r="D145" i="2" s="1"/>
  <c r="Q107" i="2"/>
  <c r="H137" i="2"/>
  <c r="H135" i="2" s="1"/>
  <c r="H138" i="2"/>
  <c r="V110" i="1"/>
  <c r="W110" i="1" s="1"/>
  <c r="X110" i="1" s="1"/>
  <c r="H67" i="2"/>
  <c r="M113" i="2"/>
  <c r="H115" i="2"/>
  <c r="AQ17" i="26"/>
  <c r="BC17" i="26"/>
  <c r="AV8" i="24"/>
  <c r="DL8" i="24"/>
  <c r="AB8" i="24"/>
  <c r="AF8" i="24"/>
  <c r="DJ3" i="6"/>
  <c r="CF4" i="6"/>
  <c r="DB3" i="6"/>
  <c r="AA2" i="6"/>
  <c r="BC3" i="6"/>
  <c r="BB6" i="6"/>
  <c r="CA4" i="6"/>
  <c r="DN4" i="6"/>
  <c r="BZ3" i="6"/>
  <c r="AM6" i="6"/>
  <c r="AY2" i="6"/>
  <c r="BN3" i="6"/>
  <c r="CY4" i="6"/>
  <c r="DD4" i="6"/>
  <c r="DR6" i="6"/>
  <c r="BR3" i="6"/>
  <c r="R15" i="6"/>
  <c r="T42" i="6"/>
  <c r="V4" i="6"/>
  <c r="AJ4" i="6"/>
  <c r="AF3" i="6"/>
  <c r="CH6" i="6"/>
  <c r="AR2" i="6"/>
  <c r="AR8" i="6" s="1"/>
  <c r="AE3" i="6"/>
  <c r="AD6" i="6"/>
  <c r="BC4" i="6"/>
  <c r="CE6" i="6"/>
  <c r="DT2" i="6"/>
  <c r="DT8" i="6" s="1"/>
  <c r="DS6" i="6"/>
  <c r="EE2" i="6"/>
  <c r="AB4" i="6"/>
  <c r="CX3" i="6"/>
  <c r="T15" i="6"/>
  <c r="T17" i="6" s="1"/>
  <c r="AT3" i="6"/>
  <c r="CL3" i="6"/>
  <c r="AQ3" i="6"/>
  <c r="CE2" i="6"/>
  <c r="DP2" i="6"/>
  <c r="EC4" i="6"/>
  <c r="AL4" i="6"/>
  <c r="CH3" i="6"/>
  <c r="BJ4" i="6"/>
  <c r="BU4" i="6"/>
  <c r="Q6" i="6"/>
  <c r="Q8" i="6" s="1"/>
  <c r="BH3" i="6"/>
  <c r="AE6" i="6"/>
  <c r="DC2" i="6"/>
  <c r="DE4" i="6"/>
  <c r="DO2" i="6"/>
  <c r="EA2" i="6"/>
  <c r="BJ2" i="6"/>
  <c r="BO4" i="6"/>
  <c r="BT4" i="6"/>
  <c r="CA2" i="6"/>
  <c r="CQ2" i="6"/>
  <c r="DG2" i="6"/>
  <c r="AQ2" i="6"/>
  <c r="CN6" i="6"/>
  <c r="W6" i="6"/>
  <c r="AA3" i="6"/>
  <c r="AU6" i="6"/>
  <c r="CE3" i="6"/>
  <c r="DW2" i="6"/>
  <c r="CM2" i="6"/>
  <c r="CQ3" i="6"/>
  <c r="DO3" i="6"/>
  <c r="CY6" i="6"/>
  <c r="E20" i="6"/>
  <c r="BL4" i="6"/>
  <c r="CD3" i="6"/>
  <c r="Q19" i="6"/>
  <c r="W2" i="6"/>
  <c r="AA6" i="6"/>
  <c r="AM3" i="6"/>
  <c r="BA4" i="6"/>
  <c r="BG2" i="6"/>
  <c r="CI4" i="6"/>
  <c r="DG3" i="6"/>
  <c r="EA6" i="6"/>
  <c r="EE3" i="6"/>
  <c r="CU2" i="6"/>
  <c r="DS2" i="6"/>
  <c r="BK3" i="6"/>
  <c r="M144" i="2"/>
  <c r="L144" i="2" s="1"/>
  <c r="H70" i="2"/>
  <c r="H69" i="2"/>
  <c r="M131" i="1"/>
  <c r="O131" i="1" s="1"/>
  <c r="H68" i="2"/>
  <c r="L64" i="1" s="1"/>
  <c r="H66" i="2"/>
  <c r="M152" i="2"/>
  <c r="E153" i="2"/>
  <c r="I143" i="2"/>
  <c r="M139" i="1" s="1"/>
  <c r="E145" i="2"/>
  <c r="D166" i="2"/>
  <c r="D128" i="2"/>
  <c r="E128" i="2"/>
  <c r="D153" i="2"/>
  <c r="D159" i="2"/>
  <c r="E159" i="2"/>
  <c r="U1" i="16"/>
  <c r="U1" i="11"/>
  <c r="V1" i="11" s="1"/>
  <c r="V2" i="11" s="1"/>
  <c r="R6" i="28"/>
  <c r="Q4" i="28"/>
  <c r="Q8" i="28" s="1"/>
  <c r="R2" i="28"/>
  <c r="O6" i="28"/>
  <c r="T2" i="28"/>
  <c r="P6" i="28"/>
  <c r="O2" i="28"/>
  <c r="T3" i="28"/>
  <c r="S3" i="28"/>
  <c r="P2" i="28"/>
  <c r="P3" i="28"/>
  <c r="M2" i="28"/>
  <c r="EF2" i="24"/>
  <c r="EF8" i="24"/>
  <c r="ED2" i="24"/>
  <c r="ED8" i="24" s="1"/>
  <c r="EC6" i="24"/>
  <c r="EC8" i="24" s="1"/>
  <c r="EB8" i="24"/>
  <c r="DZ6" i="24"/>
  <c r="DZ2" i="24"/>
  <c r="DY6" i="24"/>
  <c r="DY8" i="24" s="1"/>
  <c r="DU4" i="24"/>
  <c r="DX8" i="24"/>
  <c r="DV2" i="24"/>
  <c r="DV8" i="24" s="1"/>
  <c r="DU6" i="24"/>
  <c r="DR4" i="24"/>
  <c r="DR6" i="24"/>
  <c r="DQ6" i="24"/>
  <c r="DQ8" i="24" s="1"/>
  <c r="DT2" i="24"/>
  <c r="DT8" i="24" s="1"/>
  <c r="DR2" i="24"/>
  <c r="DM4" i="24"/>
  <c r="DN2" i="24"/>
  <c r="DN4" i="24"/>
  <c r="DM2" i="24"/>
  <c r="DM6" i="24"/>
  <c r="DP2" i="24"/>
  <c r="DP8" i="24" s="1"/>
  <c r="DJ6" i="24"/>
  <c r="DJ2" i="24"/>
  <c r="DI6" i="24"/>
  <c r="DI8" i="24" s="1"/>
  <c r="DF6" i="24"/>
  <c r="DE6" i="24"/>
  <c r="DE4" i="24"/>
  <c r="DE8" i="24" s="1"/>
  <c r="DH8" i="24"/>
  <c r="DF4" i="24"/>
  <c r="DF2" i="24"/>
  <c r="DB2" i="24"/>
  <c r="DA6" i="24"/>
  <c r="DA8" i="24" s="1"/>
  <c r="DB4" i="24"/>
  <c r="DD2" i="24"/>
  <c r="DD8" i="24" s="1"/>
  <c r="CZ2" i="24"/>
  <c r="CZ8" i="24"/>
  <c r="CX4" i="24"/>
  <c r="CX2" i="24"/>
  <c r="CW6" i="24"/>
  <c r="CW8" i="24" s="1"/>
  <c r="CV8" i="24"/>
  <c r="CS6" i="24"/>
  <c r="CS8" i="24" s="1"/>
  <c r="CT2" i="24"/>
  <c r="CT8" i="24" s="1"/>
  <c r="CR2" i="24"/>
  <c r="CR8" i="24" s="1"/>
  <c r="CP6" i="24"/>
  <c r="CO6" i="24"/>
  <c r="CO8" i="24" s="1"/>
  <c r="CP2" i="24"/>
  <c r="CL4" i="24"/>
  <c r="CL6" i="24"/>
  <c r="CK6" i="24"/>
  <c r="CK8" i="24" s="1"/>
  <c r="CN2" i="24"/>
  <c r="CN8" i="24" s="1"/>
  <c r="CL2" i="24"/>
  <c r="CL8" i="24" s="1"/>
  <c r="CG8" i="24"/>
  <c r="CH6" i="24"/>
  <c r="CH4" i="24"/>
  <c r="CH2" i="24"/>
  <c r="CJ2" i="24"/>
  <c r="CJ8" i="24" s="1"/>
  <c r="CF6" i="24"/>
  <c r="CF8" i="24" s="1"/>
  <c r="CD2" i="24"/>
  <c r="CD8" i="24" s="1"/>
  <c r="CC6" i="24"/>
  <c r="CC8" i="24" s="1"/>
  <c r="CB2" i="24"/>
  <c r="CB8" i="24" s="1"/>
  <c r="BY6" i="24"/>
  <c r="BY8" i="24" s="1"/>
  <c r="BZ2" i="24"/>
  <c r="BZ8" i="24" s="1"/>
  <c r="BU6" i="24"/>
  <c r="BU8" i="24" s="1"/>
  <c r="BV2" i="24"/>
  <c r="BV4" i="24"/>
  <c r="BX2" i="24"/>
  <c r="BX8" i="24" s="1"/>
  <c r="BR2" i="24"/>
  <c r="BQ6" i="24"/>
  <c r="BR4" i="24"/>
  <c r="BT2" i="24"/>
  <c r="BT6" i="24"/>
  <c r="BQ4" i="24"/>
  <c r="BQ8" i="24" s="1"/>
  <c r="BP2" i="24"/>
  <c r="BP8" i="24" s="1"/>
  <c r="BN4" i="24"/>
  <c r="BN2" i="24"/>
  <c r="BM4" i="24"/>
  <c r="BM6" i="24"/>
  <c r="BL8" i="24"/>
  <c r="BJ4" i="24"/>
  <c r="BJ2" i="24"/>
  <c r="BI6" i="24"/>
  <c r="BI8" i="24" s="1"/>
  <c r="BF2" i="24"/>
  <c r="BF8" i="24" s="1"/>
  <c r="BH2" i="24"/>
  <c r="BH8" i="24" s="1"/>
  <c r="BE6" i="24"/>
  <c r="BE4" i="24"/>
  <c r="BA4" i="24"/>
  <c r="BA2" i="24"/>
  <c r="BD8" i="24"/>
  <c r="BA6" i="24"/>
  <c r="BB6" i="24"/>
  <c r="BB2" i="24"/>
  <c r="AX2" i="24"/>
  <c r="AX6" i="24"/>
  <c r="AW6" i="24"/>
  <c r="AW8" i="24" s="1"/>
  <c r="AZ8" i="24"/>
  <c r="AX4" i="24"/>
  <c r="AS4" i="24"/>
  <c r="AS6" i="24"/>
  <c r="AT2" i="24"/>
  <c r="AT8" i="24" s="1"/>
  <c r="AO8" i="24"/>
  <c r="AR2" i="24"/>
  <c r="AR8" i="24" s="1"/>
  <c r="AO6" i="24"/>
  <c r="AP2" i="24"/>
  <c r="AP8" i="24" s="1"/>
  <c r="AK4" i="24"/>
  <c r="AN2" i="24"/>
  <c r="AN8" i="24" s="1"/>
  <c r="AL2" i="24"/>
  <c r="AL8" i="24" s="1"/>
  <c r="AK6" i="24"/>
  <c r="AH2" i="24"/>
  <c r="AH4" i="24"/>
  <c r="AG2" i="24"/>
  <c r="AH6" i="24"/>
  <c r="AG6" i="24"/>
  <c r="AJ2" i="24"/>
  <c r="AJ8" i="24" s="1"/>
  <c r="AD6" i="24"/>
  <c r="AD4" i="24"/>
  <c r="AC6" i="24"/>
  <c r="AC4" i="24"/>
  <c r="AD2" i="24"/>
  <c r="Z6" i="24"/>
  <c r="Y4" i="24"/>
  <c r="Z4" i="24"/>
  <c r="Z2" i="24"/>
  <c r="Y6" i="24"/>
  <c r="U4" i="24"/>
  <c r="X8" i="24"/>
  <c r="V4" i="24"/>
  <c r="V6" i="24"/>
  <c r="U6" i="24"/>
  <c r="V2" i="24"/>
  <c r="Q6" i="24"/>
  <c r="Q8" i="24"/>
  <c r="R4" i="24"/>
  <c r="T2" i="24"/>
  <c r="T8" i="24" s="1"/>
  <c r="R2" i="24"/>
  <c r="EF6" i="6"/>
  <c r="ED4" i="6"/>
  <c r="EF2" i="6"/>
  <c r="ED2" i="6"/>
  <c r="ED6" i="6"/>
  <c r="EC6" i="6"/>
  <c r="EC8" i="6" s="1"/>
  <c r="EB3" i="6"/>
  <c r="EB2" i="6"/>
  <c r="DZ4" i="6"/>
  <c r="DY2" i="6"/>
  <c r="DZ2" i="6"/>
  <c r="DY4" i="6"/>
  <c r="DY6" i="6"/>
  <c r="DV6" i="6"/>
  <c r="DU6" i="6"/>
  <c r="DU8" i="6" s="1"/>
  <c r="DX2" i="6"/>
  <c r="DX8" i="6" s="1"/>
  <c r="DV2" i="6"/>
  <c r="DQ4" i="6"/>
  <c r="DQ2" i="6"/>
  <c r="DQ6" i="6"/>
  <c r="DR2" i="6"/>
  <c r="DN6" i="6"/>
  <c r="DP4" i="6"/>
  <c r="DP8" i="6" s="1"/>
  <c r="DN2" i="6"/>
  <c r="DM6" i="6"/>
  <c r="DM8" i="6" s="1"/>
  <c r="DI6" i="6"/>
  <c r="DI8" i="6" s="1"/>
  <c r="DL2" i="6"/>
  <c r="DL8" i="6" s="1"/>
  <c r="DJ2" i="6"/>
  <c r="DJ8" i="6" s="1"/>
  <c r="DE2" i="6"/>
  <c r="DF4" i="6"/>
  <c r="DE6" i="6"/>
  <c r="DH2" i="6"/>
  <c r="DH8" i="6" s="1"/>
  <c r="DF2" i="6"/>
  <c r="DB2" i="6"/>
  <c r="DD2" i="6"/>
  <c r="DB4" i="6"/>
  <c r="DB8" i="6" s="1"/>
  <c r="DA2" i="6"/>
  <c r="DD3" i="6"/>
  <c r="DA6" i="6"/>
  <c r="CZ2" i="6"/>
  <c r="CX4" i="6"/>
  <c r="CW2" i="6"/>
  <c r="CW8" i="6" s="1"/>
  <c r="CZ6" i="6"/>
  <c r="CX2" i="6"/>
  <c r="CW6" i="6"/>
  <c r="CV2" i="6"/>
  <c r="CV8" i="6" s="1"/>
  <c r="CS8" i="6"/>
  <c r="CT4" i="6"/>
  <c r="CT2" i="6"/>
  <c r="CP6" i="6"/>
  <c r="CO6" i="6"/>
  <c r="CP4" i="6"/>
  <c r="CP2" i="6"/>
  <c r="CO8" i="6"/>
  <c r="CR2" i="6"/>
  <c r="CR8" i="6" s="1"/>
  <c r="CK6" i="6"/>
  <c r="CL2" i="6"/>
  <c r="CK2" i="6"/>
  <c r="CK8" i="6" s="1"/>
  <c r="CN2" i="6"/>
  <c r="CN8" i="6" s="1"/>
  <c r="CL6" i="6"/>
  <c r="CL8" i="6" s="1"/>
  <c r="CH2" i="6"/>
  <c r="CG6" i="6"/>
  <c r="CG8" i="6" s="1"/>
  <c r="CJ2" i="6"/>
  <c r="CJ8" i="6" s="1"/>
  <c r="CF2" i="6"/>
  <c r="CF8" i="6" s="1"/>
  <c r="CD4" i="6"/>
  <c r="CD2" i="6"/>
  <c r="CC6" i="6"/>
  <c r="CC8" i="6" s="1"/>
  <c r="BY6" i="6"/>
  <c r="BY8" i="6" s="1"/>
  <c r="BZ2" i="6"/>
  <c r="CB8" i="6"/>
  <c r="BZ6" i="6"/>
  <c r="BX2" i="6"/>
  <c r="BX8" i="6" s="1"/>
  <c r="BU8" i="6"/>
  <c r="BV2" i="6"/>
  <c r="BV4" i="6"/>
  <c r="BU6" i="6"/>
  <c r="BR2" i="6"/>
  <c r="BQ6" i="6"/>
  <c r="BQ8" i="6" s="1"/>
  <c r="BR4" i="6"/>
  <c r="BR8" i="6"/>
  <c r="BT2" i="6"/>
  <c r="BN6" i="6"/>
  <c r="BP4" i="6"/>
  <c r="BM6" i="6"/>
  <c r="BM4" i="6"/>
  <c r="BP2" i="6"/>
  <c r="BN2" i="6"/>
  <c r="BJ6" i="6"/>
  <c r="BL2" i="6"/>
  <c r="BL8" i="6" s="1"/>
  <c r="BI4" i="6"/>
  <c r="BI8" i="6" s="1"/>
  <c r="BH2" i="6"/>
  <c r="BH8" i="6" s="1"/>
  <c r="BF4" i="6"/>
  <c r="BE8" i="6"/>
  <c r="BF6" i="6"/>
  <c r="BD8" i="6"/>
  <c r="BA6" i="6"/>
  <c r="BB2" i="6"/>
  <c r="AW4" i="6"/>
  <c r="AX2" i="6"/>
  <c r="AX4" i="6"/>
  <c r="AZ3" i="6"/>
  <c r="AW2" i="6"/>
  <c r="AX6" i="6"/>
  <c r="AW6" i="6"/>
  <c r="AZ2" i="6"/>
  <c r="AS6" i="6"/>
  <c r="AS4" i="6"/>
  <c r="AT4" i="6"/>
  <c r="AV3" i="6"/>
  <c r="AT2" i="6"/>
  <c r="AS2" i="6"/>
  <c r="AT6" i="6"/>
  <c r="AV2" i="6"/>
  <c r="AP4" i="6"/>
  <c r="AP6" i="6"/>
  <c r="AO6" i="6"/>
  <c r="AO8" i="6" s="1"/>
  <c r="AP2" i="6"/>
  <c r="AN2" i="6"/>
  <c r="AN8" i="6" s="1"/>
  <c r="AK2" i="6"/>
  <c r="AL2" i="6"/>
  <c r="AL6" i="6"/>
  <c r="AK6" i="6"/>
  <c r="AG6" i="6"/>
  <c r="AH6" i="6"/>
  <c r="AJ2" i="6"/>
  <c r="AJ8" i="6" s="1"/>
  <c r="AG4" i="6"/>
  <c r="AG8" i="6" s="1"/>
  <c r="AH2" i="6"/>
  <c r="AH8" i="6" s="1"/>
  <c r="AD4" i="6"/>
  <c r="AD2" i="6"/>
  <c r="AF4" i="6"/>
  <c r="AC6" i="6"/>
  <c r="AC8" i="6" s="1"/>
  <c r="AF2" i="6"/>
  <c r="Y4" i="6"/>
  <c r="AB2" i="6"/>
  <c r="Z4" i="6"/>
  <c r="Z2" i="6"/>
  <c r="Z6" i="6"/>
  <c r="Y6" i="6"/>
  <c r="X8" i="6"/>
  <c r="V6" i="6"/>
  <c r="U6" i="6"/>
  <c r="U8" i="6" s="1"/>
  <c r="V2" i="6"/>
  <c r="T41" i="6"/>
  <c r="R6" i="6"/>
  <c r="R16" i="6"/>
  <c r="R17" i="6" s="1"/>
  <c r="Q15" i="6"/>
  <c r="R19" i="6"/>
  <c r="T19" i="6"/>
  <c r="T47" i="6" s="1"/>
  <c r="T8" i="6"/>
  <c r="R4" i="6"/>
  <c r="R2" i="6"/>
  <c r="J9" i="21"/>
  <c r="J56" i="21" s="1"/>
  <c r="O35" i="6"/>
  <c r="O5" i="6" s="1"/>
  <c r="E45" i="6"/>
  <c r="M15" i="6"/>
  <c r="N32" i="6"/>
  <c r="N26" i="6"/>
  <c r="O42" i="6" s="1"/>
  <c r="N20" i="6"/>
  <c r="O41" i="6" s="1"/>
  <c r="E40" i="6" s="1"/>
  <c r="P32" i="6"/>
  <c r="P2" i="6"/>
  <c r="P26" i="6"/>
  <c r="P15" i="6" s="1"/>
  <c r="P17" i="6" s="1"/>
  <c r="P36" i="6"/>
  <c r="P16" i="6" s="1"/>
  <c r="P50" i="6"/>
  <c r="C36" i="6"/>
  <c r="N50" i="6"/>
  <c r="D51" i="24"/>
  <c r="AK109" i="1"/>
  <c r="D40" i="28" s="1"/>
  <c r="F40" i="28" s="1"/>
  <c r="G40" i="28" s="1"/>
  <c r="AK110" i="1"/>
  <c r="P93" i="2"/>
  <c r="T93" i="2" s="1"/>
  <c r="I93" i="2"/>
  <c r="M93" i="2" s="1"/>
  <c r="Q93" i="2" s="1"/>
  <c r="U93" i="2" s="1"/>
  <c r="AI89" i="1"/>
  <c r="AA89" i="1"/>
  <c r="P98" i="2"/>
  <c r="AB94" i="1" s="1"/>
  <c r="L98" i="2"/>
  <c r="T94" i="1" s="1"/>
  <c r="P94" i="2"/>
  <c r="T94" i="2"/>
  <c r="H58" i="28"/>
  <c r="F58" i="28"/>
  <c r="E58" i="28"/>
  <c r="D58" i="28"/>
  <c r="B58" i="28"/>
  <c r="H57" i="28"/>
  <c r="F57" i="28"/>
  <c r="E57" i="28"/>
  <c r="D57" i="28"/>
  <c r="B57" i="28"/>
  <c r="H56" i="28"/>
  <c r="F56" i="28"/>
  <c r="E56" i="28"/>
  <c r="D56" i="28"/>
  <c r="B56" i="28"/>
  <c r="H55" i="28"/>
  <c r="F55" i="28"/>
  <c r="E55" i="28"/>
  <c r="D55" i="28"/>
  <c r="B55" i="28"/>
  <c r="H54" i="28"/>
  <c r="F54" i="28"/>
  <c r="E54" i="28"/>
  <c r="D54" i="28"/>
  <c r="B54" i="28"/>
  <c r="H53" i="28"/>
  <c r="F53" i="28"/>
  <c r="E53" i="28"/>
  <c r="D53" i="28"/>
  <c r="B53" i="28"/>
  <c r="H52" i="28"/>
  <c r="F52" i="28"/>
  <c r="E52" i="28"/>
  <c r="D52" i="28"/>
  <c r="B52" i="28"/>
  <c r="H51" i="28"/>
  <c r="F51" i="28"/>
  <c r="E51" i="28"/>
  <c r="D51" i="28"/>
  <c r="B51" i="28"/>
  <c r="H50" i="28"/>
  <c r="B50" i="28"/>
  <c r="A47" i="28"/>
  <c r="C47" i="28"/>
  <c r="C46" i="28"/>
  <c r="C45" i="28"/>
  <c r="C44" i="28"/>
  <c r="C43" i="28"/>
  <c r="C42" i="28"/>
  <c r="C41" i="28"/>
  <c r="C40" i="28"/>
  <c r="EE7" i="28"/>
  <c r="EA7" i="28"/>
  <c r="DW7" i="28"/>
  <c r="DS7" i="28"/>
  <c r="DO7" i="28"/>
  <c r="DK7" i="28"/>
  <c r="DG7" i="28"/>
  <c r="DC7" i="28"/>
  <c r="CY7" i="28"/>
  <c r="CU7" i="28"/>
  <c r="CQ7" i="28"/>
  <c r="CM7" i="28"/>
  <c r="CI7" i="28"/>
  <c r="CE7" i="28"/>
  <c r="CA7" i="28"/>
  <c r="BW7" i="28"/>
  <c r="BS7" i="28"/>
  <c r="BO7" i="28"/>
  <c r="BK7" i="28"/>
  <c r="BG7" i="28"/>
  <c r="BC7" i="28"/>
  <c r="AY7" i="28"/>
  <c r="AU7" i="28"/>
  <c r="AQ7" i="28"/>
  <c r="AM7" i="28"/>
  <c r="AE7" i="28"/>
  <c r="AA7" i="28"/>
  <c r="W7" i="28"/>
  <c r="E39" i="28"/>
  <c r="A39" i="28" s="1"/>
  <c r="C39" i="28"/>
  <c r="L7" i="28" s="1"/>
  <c r="CU6" i="28"/>
  <c r="CE6" i="28"/>
  <c r="AY6" i="28"/>
  <c r="E38" i="28"/>
  <c r="A38" i="28" s="1"/>
  <c r="EE6" i="28"/>
  <c r="DC6" i="28"/>
  <c r="BG6" i="28"/>
  <c r="AM6" i="28"/>
  <c r="E37" i="28"/>
  <c r="A37" i="28" s="1"/>
  <c r="C37" i="28"/>
  <c r="EC6" i="28"/>
  <c r="DY6" i="28"/>
  <c r="DV6" i="28"/>
  <c r="DU6" i="28"/>
  <c r="DQ6" i="28"/>
  <c r="DM6" i="28"/>
  <c r="DI6" i="28"/>
  <c r="DE6" i="28"/>
  <c r="DA6" i="28"/>
  <c r="CX6" i="28"/>
  <c r="CW6" i="28"/>
  <c r="CS6" i="28"/>
  <c r="CO6" i="28"/>
  <c r="CK6" i="28"/>
  <c r="CG6" i="28"/>
  <c r="CC6" i="28"/>
  <c r="BZ6" i="28"/>
  <c r="BY6" i="28"/>
  <c r="BU6" i="28"/>
  <c r="BQ6" i="28"/>
  <c r="BM6" i="28"/>
  <c r="BI6" i="28"/>
  <c r="BE6" i="28"/>
  <c r="BB6" i="28"/>
  <c r="BA6" i="28"/>
  <c r="AX6" i="28"/>
  <c r="AW6" i="28"/>
  <c r="AS6" i="28"/>
  <c r="AO6" i="28"/>
  <c r="AK6" i="28"/>
  <c r="AG6" i="28"/>
  <c r="AD6" i="28"/>
  <c r="AC6" i="28"/>
  <c r="Z6" i="28"/>
  <c r="Y6" i="28"/>
  <c r="U6" i="28"/>
  <c r="E36" i="28"/>
  <c r="K6" i="28" s="1"/>
  <c r="C36" i="28"/>
  <c r="L6" i="28" s="1"/>
  <c r="EE5" i="28"/>
  <c r="EA5" i="28"/>
  <c r="DW5" i="28"/>
  <c r="DS5" i="28"/>
  <c r="DO5" i="28"/>
  <c r="DK5" i="28"/>
  <c r="DG5" i="28"/>
  <c r="DC5" i="28"/>
  <c r="CY5" i="28"/>
  <c r="CU5" i="28"/>
  <c r="CQ5" i="28"/>
  <c r="CM5" i="28"/>
  <c r="CI5" i="28"/>
  <c r="CE5" i="28"/>
  <c r="CA5" i="28"/>
  <c r="BW5" i="28"/>
  <c r="BS5" i="28"/>
  <c r="BO5" i="28"/>
  <c r="BK5" i="28"/>
  <c r="BG5" i="28"/>
  <c r="BC5" i="28"/>
  <c r="AY5" i="28"/>
  <c r="AU5" i="28"/>
  <c r="AQ5" i="28"/>
  <c r="AM5" i="28"/>
  <c r="AI5" i="28"/>
  <c r="AE5" i="28"/>
  <c r="AA5" i="28"/>
  <c r="W5" i="28"/>
  <c r="E35" i="28"/>
  <c r="AL99" i="1" s="1"/>
  <c r="C35" i="28"/>
  <c r="L5" i="28" s="1"/>
  <c r="E34" i="28"/>
  <c r="A34" i="28" s="1"/>
  <c r="EA4" i="28"/>
  <c r="DK4" i="28"/>
  <c r="DC4" i="28"/>
  <c r="BO4" i="28"/>
  <c r="E33" i="28"/>
  <c r="A33" i="28" s="1"/>
  <c r="EC4" i="28"/>
  <c r="EB4" i="28"/>
  <c r="DZ4" i="28"/>
  <c r="DY4" i="28"/>
  <c r="DX4" i="28"/>
  <c r="DU4" i="28"/>
  <c r="DT4" i="28"/>
  <c r="DQ4" i="28"/>
  <c r="DP4" i="28"/>
  <c r="DN4" i="28"/>
  <c r="DM4" i="28"/>
  <c r="DL4" i="28"/>
  <c r="DI4" i="28"/>
  <c r="DE4" i="28"/>
  <c r="DD4" i="28"/>
  <c r="DA4" i="28"/>
  <c r="CZ4" i="28"/>
  <c r="CW4" i="28"/>
  <c r="CT4" i="28"/>
  <c r="CS4" i="28"/>
  <c r="CR4" i="28"/>
  <c r="CO4" i="28"/>
  <c r="CN4" i="28"/>
  <c r="CK4" i="28"/>
  <c r="CJ4" i="28"/>
  <c r="CH4" i="28"/>
  <c r="CG4" i="28"/>
  <c r="CC4" i="28"/>
  <c r="CB4" i="28"/>
  <c r="BY4" i="28"/>
  <c r="BX4" i="28"/>
  <c r="BU4" i="28"/>
  <c r="BR4" i="28"/>
  <c r="BQ4" i="28"/>
  <c r="BP4" i="28"/>
  <c r="BM4" i="28"/>
  <c r="BL4" i="28"/>
  <c r="BI4" i="28"/>
  <c r="BH4" i="28"/>
  <c r="BF4" i="28"/>
  <c r="BE4" i="28"/>
  <c r="BD4" i="28"/>
  <c r="BA4" i="28"/>
  <c r="AW4" i="28"/>
  <c r="AV4" i="28"/>
  <c r="AT4" i="28"/>
  <c r="AS4" i="28"/>
  <c r="AR4" i="28"/>
  <c r="AO4" i="28"/>
  <c r="AN4" i="28"/>
  <c r="AK4" i="28"/>
  <c r="AJ4" i="28"/>
  <c r="AG4" i="28"/>
  <c r="AF4" i="28"/>
  <c r="AC4" i="28"/>
  <c r="AB4" i="28"/>
  <c r="Z4" i="28"/>
  <c r="Y4" i="28"/>
  <c r="X4" i="28"/>
  <c r="U4" i="28"/>
  <c r="C32" i="28"/>
  <c r="L4" i="28" s="1"/>
  <c r="E31" i="28"/>
  <c r="A31" i="28" s="1"/>
  <c r="E30" i="28"/>
  <c r="A30" i="28" s="1"/>
  <c r="E29" i="28"/>
  <c r="A29" i="28" s="1"/>
  <c r="E28" i="28"/>
  <c r="A28" i="28" s="1"/>
  <c r="CM3" i="28"/>
  <c r="AQ3" i="28"/>
  <c r="E27" i="28"/>
  <c r="A27" i="28" s="1"/>
  <c r="ED3" i="28"/>
  <c r="EC3" i="28"/>
  <c r="DZ3" i="28"/>
  <c r="DY3" i="28"/>
  <c r="DX3" i="28"/>
  <c r="DU3" i="28"/>
  <c r="DT3" i="28"/>
  <c r="DQ3" i="28"/>
  <c r="DP3" i="28"/>
  <c r="DN3" i="28"/>
  <c r="DM3" i="28"/>
  <c r="DL3" i="28"/>
  <c r="DI3" i="28"/>
  <c r="DH3" i="28"/>
  <c r="DF3" i="28"/>
  <c r="DE3" i="28"/>
  <c r="DD3" i="28"/>
  <c r="DA3" i="28"/>
  <c r="CZ3" i="28"/>
  <c r="CW3" i="28"/>
  <c r="CV3" i="28"/>
  <c r="CS3" i="28"/>
  <c r="CR3" i="28"/>
  <c r="CO3" i="28"/>
  <c r="CK3" i="28"/>
  <c r="CJ3" i="28"/>
  <c r="CH3" i="28"/>
  <c r="CG3" i="28"/>
  <c r="CF3" i="28"/>
  <c r="CC3" i="28"/>
  <c r="CB3" i="28"/>
  <c r="BZ3" i="28"/>
  <c r="BY3" i="28"/>
  <c r="BX3" i="28"/>
  <c r="BU3" i="28"/>
  <c r="BT3" i="28"/>
  <c r="BS3" i="28"/>
  <c r="BQ3" i="28"/>
  <c r="BP3" i="28"/>
  <c r="BM3" i="28"/>
  <c r="BL3" i="28"/>
  <c r="BJ3" i="28"/>
  <c r="BI3" i="28"/>
  <c r="BH3" i="28"/>
  <c r="BE3" i="28"/>
  <c r="BD3" i="28"/>
  <c r="BA3" i="28"/>
  <c r="AW3" i="28"/>
  <c r="AV3" i="28"/>
  <c r="AS3" i="28"/>
  <c r="AR3" i="28"/>
  <c r="AO3" i="28"/>
  <c r="AN3" i="28"/>
  <c r="AL3" i="28"/>
  <c r="AK3" i="28"/>
  <c r="AJ3" i="28"/>
  <c r="AG3" i="28"/>
  <c r="AF3" i="28"/>
  <c r="AC3" i="28"/>
  <c r="AB3" i="28"/>
  <c r="Y3" i="28"/>
  <c r="X3" i="28"/>
  <c r="U3" i="28"/>
  <c r="C26" i="28"/>
  <c r="L3" i="28" s="1"/>
  <c r="E25" i="28"/>
  <c r="A25" i="28" s="1"/>
  <c r="E24" i="28"/>
  <c r="E23" i="28"/>
  <c r="A23" i="28" s="1"/>
  <c r="DG2" i="28"/>
  <c r="CU2" i="28"/>
  <c r="E22" i="28"/>
  <c r="DO2" i="28"/>
  <c r="BW2" i="28"/>
  <c r="AA2" i="28"/>
  <c r="W2" i="28"/>
  <c r="E21" i="28"/>
  <c r="A21" i="28" s="1"/>
  <c r="DZ2" i="28"/>
  <c r="DY2" i="28"/>
  <c r="DX2" i="28"/>
  <c r="DV2" i="28"/>
  <c r="DT2" i="28"/>
  <c r="DS2" i="28"/>
  <c r="DR2" i="28"/>
  <c r="DQ2" i="28"/>
  <c r="DN2" i="28"/>
  <c r="DM2" i="28"/>
  <c r="DL2" i="28"/>
  <c r="DI2" i="28"/>
  <c r="DH2" i="28"/>
  <c r="DF2" i="28"/>
  <c r="DD2" i="28"/>
  <c r="DB2" i="28"/>
  <c r="DA2" i="28"/>
  <c r="CZ2" i="28"/>
  <c r="CX2" i="28"/>
  <c r="CW2" i="28"/>
  <c r="CV2" i="28"/>
  <c r="CP2" i="28"/>
  <c r="CO2" i="28"/>
  <c r="CK2" i="28"/>
  <c r="CJ2" i="28"/>
  <c r="CH2" i="28"/>
  <c r="CF2" i="28"/>
  <c r="CD2" i="28"/>
  <c r="CC2" i="28"/>
  <c r="BY2" i="28"/>
  <c r="BX2" i="28"/>
  <c r="BU2" i="28"/>
  <c r="BT2" i="28"/>
  <c r="BR2" i="28"/>
  <c r="BQ2" i="28"/>
  <c r="BP2" i="28"/>
  <c r="BN2" i="28"/>
  <c r="BM2" i="28"/>
  <c r="BL2" i="28"/>
  <c r="BH2" i="28"/>
  <c r="BF2" i="28"/>
  <c r="BE2" i="28"/>
  <c r="BD2" i="28"/>
  <c r="BA2" i="28"/>
  <c r="AZ2" i="28"/>
  <c r="AW2" i="28"/>
  <c r="AV2" i="28"/>
  <c r="AT2" i="28"/>
  <c r="AR2" i="28"/>
  <c r="AP2" i="28"/>
  <c r="AO2" i="28"/>
  <c r="AN2" i="28"/>
  <c r="AK2" i="28"/>
  <c r="AJ2" i="28"/>
  <c r="AH2" i="28"/>
  <c r="AF2" i="28"/>
  <c r="AD2" i="28"/>
  <c r="AC2" i="28"/>
  <c r="AB2" i="28"/>
  <c r="X2" i="28"/>
  <c r="V2" i="28"/>
  <c r="U2" i="28"/>
  <c r="C20" i="28"/>
  <c r="L2" i="28" s="1"/>
  <c r="C19" i="28"/>
  <c r="C17" i="28"/>
  <c r="C16" i="28"/>
  <c r="C15" i="28"/>
  <c r="P11" i="28"/>
  <c r="O11" i="28"/>
  <c r="N11" i="28"/>
  <c r="M11" i="28"/>
  <c r="Q10" i="28"/>
  <c r="U10" i="28" s="1"/>
  <c r="U11" i="28" s="1"/>
  <c r="U12" i="28" s="1"/>
  <c r="B8" i="28"/>
  <c r="P7" i="28"/>
  <c r="O7" i="28"/>
  <c r="N7" i="28"/>
  <c r="M7" i="28"/>
  <c r="N6" i="28"/>
  <c r="M6" i="28"/>
  <c r="O5" i="28"/>
  <c r="N5" i="28"/>
  <c r="M5" i="28"/>
  <c r="O4" i="28"/>
  <c r="N4" i="28"/>
  <c r="M4" i="28"/>
  <c r="N3" i="28"/>
  <c r="M3" i="28"/>
  <c r="N2" i="28"/>
  <c r="E2" i="28"/>
  <c r="D51" i="1"/>
  <c r="D124" i="1" s="1"/>
  <c r="M51" i="1"/>
  <c r="M124" i="1" s="1"/>
  <c r="L51" i="1"/>
  <c r="L124" i="1" s="1"/>
  <c r="U50" i="1"/>
  <c r="T50" i="1"/>
  <c r="AJ89" i="1" s="1"/>
  <c r="T51" i="1"/>
  <c r="T124" i="1" s="1"/>
  <c r="U51" i="1"/>
  <c r="U124" i="1" s="1"/>
  <c r="M50" i="1"/>
  <c r="M89" i="1" s="1"/>
  <c r="L50" i="1"/>
  <c r="L89" i="1" s="1"/>
  <c r="D50" i="1"/>
  <c r="D89" i="1" s="1"/>
  <c r="E51" i="1"/>
  <c r="E124" i="1" s="1"/>
  <c r="E50" i="1"/>
  <c r="E89" i="1" s="1"/>
  <c r="AC109" i="1"/>
  <c r="AD123" i="1"/>
  <c r="AE123" i="1" s="1"/>
  <c r="AF123" i="1" s="1"/>
  <c r="S89" i="1"/>
  <c r="M58" i="26"/>
  <c r="H58" i="26"/>
  <c r="F58" i="26"/>
  <c r="E58" i="26"/>
  <c r="D58" i="26"/>
  <c r="B58" i="26"/>
  <c r="M57" i="26"/>
  <c r="H57" i="26"/>
  <c r="F57" i="26"/>
  <c r="E57" i="26"/>
  <c r="D57" i="26"/>
  <c r="B57" i="26"/>
  <c r="M56" i="26"/>
  <c r="H56" i="26"/>
  <c r="F56" i="26"/>
  <c r="E56" i="26"/>
  <c r="D56" i="26"/>
  <c r="B56" i="26"/>
  <c r="M55" i="26"/>
  <c r="H55" i="26"/>
  <c r="F55" i="26"/>
  <c r="E55" i="26"/>
  <c r="D55" i="26"/>
  <c r="B55" i="26"/>
  <c r="M54" i="26"/>
  <c r="H54" i="26"/>
  <c r="F54" i="26"/>
  <c r="E54" i="26"/>
  <c r="D54" i="26"/>
  <c r="B54" i="26"/>
  <c r="M53" i="26"/>
  <c r="H53" i="26"/>
  <c r="F53" i="26"/>
  <c r="E53" i="26"/>
  <c r="D53" i="26"/>
  <c r="B53" i="26"/>
  <c r="M52" i="26"/>
  <c r="H52" i="26"/>
  <c r="F52" i="26"/>
  <c r="E52" i="26"/>
  <c r="D52" i="26"/>
  <c r="B52" i="26"/>
  <c r="M51" i="26"/>
  <c r="H51" i="26"/>
  <c r="F51" i="26"/>
  <c r="E51" i="26"/>
  <c r="D51" i="26"/>
  <c r="B51" i="26"/>
  <c r="P50" i="26"/>
  <c r="O50" i="26"/>
  <c r="N50" i="26"/>
  <c r="M50" i="26"/>
  <c r="H50" i="26"/>
  <c r="B50" i="26"/>
  <c r="C47" i="26"/>
  <c r="C46" i="26"/>
  <c r="C45" i="26"/>
  <c r="C44" i="26"/>
  <c r="C43" i="26"/>
  <c r="C42" i="26"/>
  <c r="C41" i="26"/>
  <c r="C40" i="26"/>
  <c r="EA7" i="26"/>
  <c r="DW7" i="26"/>
  <c r="DS7" i="26"/>
  <c r="DO7" i="26"/>
  <c r="DK7" i="26"/>
  <c r="DG7" i="26"/>
  <c r="DC7" i="26"/>
  <c r="CY7" i="26"/>
  <c r="CU7" i="26"/>
  <c r="CQ7" i="26"/>
  <c r="CM7" i="26"/>
  <c r="CI7" i="26"/>
  <c r="CE7" i="26"/>
  <c r="CA7" i="26"/>
  <c r="BW7" i="26"/>
  <c r="BS7" i="26"/>
  <c r="BO7" i="26"/>
  <c r="BK7" i="26"/>
  <c r="BG7" i="26"/>
  <c r="BC7" i="26"/>
  <c r="AY7" i="26"/>
  <c r="AU7" i="26"/>
  <c r="AQ7" i="26"/>
  <c r="AM7" i="26"/>
  <c r="AI7" i="26"/>
  <c r="AE7" i="26"/>
  <c r="AA7" i="26"/>
  <c r="W7" i="26"/>
  <c r="S7" i="26"/>
  <c r="A39" i="26"/>
  <c r="C39" i="26"/>
  <c r="L7" i="26" s="1"/>
  <c r="DC6" i="26"/>
  <c r="BG6" i="26"/>
  <c r="E38" i="26"/>
  <c r="A38" i="26" s="1"/>
  <c r="CI6" i="26"/>
  <c r="CE6" i="26"/>
  <c r="AI6" i="26"/>
  <c r="E37" i="26"/>
  <c r="A37" i="26" s="1"/>
  <c r="C37" i="26"/>
  <c r="EC6" i="26"/>
  <c r="DY6" i="26"/>
  <c r="DU6" i="26"/>
  <c r="DQ6" i="26"/>
  <c r="DN6" i="26"/>
  <c r="DM6" i="26"/>
  <c r="DI6" i="26"/>
  <c r="DF6" i="26"/>
  <c r="DE6" i="26"/>
  <c r="DA6" i="26"/>
  <c r="CW6" i="26"/>
  <c r="CS6" i="26"/>
  <c r="CO6" i="26"/>
  <c r="CK6" i="26"/>
  <c r="CG6" i="26"/>
  <c r="CC6" i="26"/>
  <c r="BY6" i="26"/>
  <c r="BU6" i="26"/>
  <c r="BR6" i="26"/>
  <c r="BQ6" i="26"/>
  <c r="BN6" i="26"/>
  <c r="BM6" i="26"/>
  <c r="BJ6" i="26"/>
  <c r="BI6" i="26"/>
  <c r="BE6" i="26"/>
  <c r="BA6" i="26"/>
  <c r="AW6" i="26"/>
  <c r="AS6" i="26"/>
  <c r="AO6" i="26"/>
  <c r="AK6" i="26"/>
  <c r="AG6" i="26"/>
  <c r="AC6" i="26"/>
  <c r="Y6" i="26"/>
  <c r="V6" i="26"/>
  <c r="U6" i="26"/>
  <c r="R6" i="26"/>
  <c r="Q6" i="26"/>
  <c r="P6" i="26"/>
  <c r="C36" i="26"/>
  <c r="L6" i="26" s="1"/>
  <c r="EE5" i="26"/>
  <c r="EA5" i="26"/>
  <c r="DW5" i="26"/>
  <c r="DS5" i="26"/>
  <c r="DO5" i="26"/>
  <c r="DK5" i="26"/>
  <c r="DG5" i="26"/>
  <c r="DC5" i="26"/>
  <c r="CY5" i="26"/>
  <c r="CU5" i="26"/>
  <c r="CQ5" i="26"/>
  <c r="CM5" i="26"/>
  <c r="CI5" i="26"/>
  <c r="CE5" i="26"/>
  <c r="CA5" i="26"/>
  <c r="BW5" i="26"/>
  <c r="BS5" i="26"/>
  <c r="BO5" i="26"/>
  <c r="BK5" i="26"/>
  <c r="BG5" i="26"/>
  <c r="BC5" i="26"/>
  <c r="AY5" i="26"/>
  <c r="AU5" i="26"/>
  <c r="AQ5" i="26"/>
  <c r="AM5" i="26"/>
  <c r="AI5" i="26"/>
  <c r="AE5" i="26"/>
  <c r="AA5" i="26"/>
  <c r="W5" i="26"/>
  <c r="S5" i="26"/>
  <c r="O5" i="26"/>
  <c r="E35" i="26"/>
  <c r="AD99" i="1" s="1"/>
  <c r="C35" i="26"/>
  <c r="L5" i="26" s="1"/>
  <c r="BS4" i="26"/>
  <c r="E34" i="26"/>
  <c r="A34" i="26" s="1"/>
  <c r="CU4" i="26"/>
  <c r="AY4" i="26"/>
  <c r="AQ4" i="26"/>
  <c r="E33" i="26"/>
  <c r="A33" i="26" s="1"/>
  <c r="EC4" i="26"/>
  <c r="EB4" i="26"/>
  <c r="DY4" i="26"/>
  <c r="DX4" i="26"/>
  <c r="DU4" i="26"/>
  <c r="DT4" i="26"/>
  <c r="DQ4" i="26"/>
  <c r="DM4" i="26"/>
  <c r="DL4" i="26"/>
  <c r="DI4" i="26"/>
  <c r="DH4" i="26"/>
  <c r="DF4" i="26"/>
  <c r="DE4" i="26"/>
  <c r="DD4" i="26"/>
  <c r="DB4" i="26"/>
  <c r="DA4" i="26"/>
  <c r="CZ4" i="26"/>
  <c r="CW4" i="26"/>
  <c r="CV4" i="26"/>
  <c r="CS4" i="26"/>
  <c r="CR4" i="26"/>
  <c r="CP4" i="26"/>
  <c r="CO4" i="26"/>
  <c r="CN4" i="26"/>
  <c r="CK4" i="26"/>
  <c r="CJ4" i="26"/>
  <c r="CH4" i="26"/>
  <c r="CG4" i="26"/>
  <c r="CF4" i="26"/>
  <c r="CC4" i="26"/>
  <c r="BY4" i="26"/>
  <c r="BX4" i="26"/>
  <c r="BU4" i="26"/>
  <c r="BT4" i="26"/>
  <c r="BQ4" i="26"/>
  <c r="BM4" i="26"/>
  <c r="BL4" i="26"/>
  <c r="BJ4" i="26"/>
  <c r="BI4" i="26"/>
  <c r="BH4" i="26"/>
  <c r="BF4" i="26"/>
  <c r="BE4" i="26"/>
  <c r="BD4" i="26"/>
  <c r="BA4" i="26"/>
  <c r="AZ4" i="26"/>
  <c r="AW4" i="26"/>
  <c r="AV4" i="26"/>
  <c r="AS4" i="26"/>
  <c r="AR4" i="26"/>
  <c r="AO4" i="26"/>
  <c r="AN4" i="26"/>
  <c r="AK4" i="26"/>
  <c r="AJ4" i="26"/>
  <c r="AH4" i="26"/>
  <c r="AG4" i="26"/>
  <c r="AF4" i="26"/>
  <c r="AC4" i="26"/>
  <c r="AB4" i="26"/>
  <c r="Z4" i="26"/>
  <c r="Y4" i="26"/>
  <c r="X4" i="26"/>
  <c r="U4" i="26"/>
  <c r="T4" i="26"/>
  <c r="Q4" i="26"/>
  <c r="M4" i="26"/>
  <c r="C32" i="26"/>
  <c r="L4" i="26" s="1"/>
  <c r="E31" i="26"/>
  <c r="A31" i="26" s="1"/>
  <c r="E30" i="26"/>
  <c r="A30" i="26" s="1"/>
  <c r="E29" i="26"/>
  <c r="E28" i="26"/>
  <c r="E27" i="26"/>
  <c r="A27" i="26" s="1"/>
  <c r="ED3" i="26"/>
  <c r="EC3" i="26"/>
  <c r="EB3" i="26"/>
  <c r="DY3" i="26"/>
  <c r="DU3" i="26"/>
  <c r="DT3" i="26"/>
  <c r="DQ3" i="26"/>
  <c r="DP3" i="26"/>
  <c r="DM3" i="26"/>
  <c r="DL3" i="26"/>
  <c r="DI3" i="26"/>
  <c r="DH3" i="26"/>
  <c r="DF3" i="26"/>
  <c r="DE3" i="26"/>
  <c r="DD3" i="26"/>
  <c r="DA3" i="26"/>
  <c r="CZ3" i="26"/>
  <c r="CW3" i="26"/>
  <c r="CV3" i="26"/>
  <c r="CT3" i="26"/>
  <c r="CR3" i="26"/>
  <c r="CO3" i="26"/>
  <c r="CN3" i="26"/>
  <c r="CK3" i="26"/>
  <c r="CJ3" i="26"/>
  <c r="CH3" i="26"/>
  <c r="CF3" i="26"/>
  <c r="CC3" i="26"/>
  <c r="CB3" i="26"/>
  <c r="BZ3" i="26"/>
  <c r="BY3" i="26"/>
  <c r="BX3" i="26"/>
  <c r="BV3" i="26"/>
  <c r="BU3" i="26"/>
  <c r="BT3" i="26"/>
  <c r="BR3" i="26"/>
  <c r="BQ3" i="26"/>
  <c r="BP3" i="26"/>
  <c r="BM3" i="26"/>
  <c r="BL3" i="26"/>
  <c r="BJ3" i="26"/>
  <c r="BH3" i="26"/>
  <c r="BF3" i="26"/>
  <c r="BE3" i="26"/>
  <c r="BA3" i="26"/>
  <c r="AZ3" i="26"/>
  <c r="AX3" i="26"/>
  <c r="AW3" i="26"/>
  <c r="AV3" i="26"/>
  <c r="AT3" i="26"/>
  <c r="AS3" i="26"/>
  <c r="AO3" i="26"/>
  <c r="AN3" i="26"/>
  <c r="AL3" i="26"/>
  <c r="AK3" i="26"/>
  <c r="AJ3" i="26"/>
  <c r="AG3" i="26"/>
  <c r="AD3" i="26"/>
  <c r="AC3" i="26"/>
  <c r="AB3" i="26"/>
  <c r="Z3" i="26"/>
  <c r="Y3" i="26"/>
  <c r="X3" i="26"/>
  <c r="U3" i="26"/>
  <c r="R3" i="26"/>
  <c r="Q3" i="26"/>
  <c r="C26" i="26"/>
  <c r="L3" i="26" s="1"/>
  <c r="E25" i="26"/>
  <c r="A25" i="26" s="1"/>
  <c r="E24" i="26"/>
  <c r="A24" i="26" s="1"/>
  <c r="E23" i="26"/>
  <c r="A23" i="26" s="1"/>
  <c r="E22" i="26"/>
  <c r="A22" i="26" s="1"/>
  <c r="E21" i="26"/>
  <c r="A21" i="26" s="1"/>
  <c r="EC2" i="26"/>
  <c r="EB2" i="26"/>
  <c r="DZ2" i="26"/>
  <c r="DX2" i="26"/>
  <c r="DV2" i="26"/>
  <c r="DU2" i="26"/>
  <c r="DQ2" i="26"/>
  <c r="DP2" i="26"/>
  <c r="DJ2" i="26"/>
  <c r="DH2" i="26"/>
  <c r="DE2" i="26"/>
  <c r="DD2" i="26"/>
  <c r="DB2" i="26"/>
  <c r="DA2" i="26"/>
  <c r="CZ2" i="26"/>
  <c r="CW2" i="26"/>
  <c r="CS2" i="26"/>
  <c r="CR2" i="26"/>
  <c r="CP2" i="26"/>
  <c r="CN2" i="26"/>
  <c r="CG2" i="26"/>
  <c r="CF2" i="26"/>
  <c r="CB2" i="26"/>
  <c r="BZ2" i="26"/>
  <c r="BU2" i="26"/>
  <c r="BP2" i="26"/>
  <c r="BN2" i="26"/>
  <c r="BL2" i="26"/>
  <c r="BI2" i="26"/>
  <c r="BF2" i="26"/>
  <c r="BD2" i="26"/>
  <c r="BB2" i="26"/>
  <c r="AW2" i="26"/>
  <c r="AV2" i="26"/>
  <c r="AT2" i="26"/>
  <c r="AS2" i="26"/>
  <c r="AP2" i="26"/>
  <c r="AN2" i="26"/>
  <c r="AK2" i="26"/>
  <c r="AH2" i="26"/>
  <c r="AG2" i="26"/>
  <c r="AF2" i="26"/>
  <c r="AC2" i="26"/>
  <c r="AB2" i="26"/>
  <c r="Y2" i="26"/>
  <c r="T2" i="26"/>
  <c r="Q2" i="26"/>
  <c r="M2" i="26"/>
  <c r="C20" i="26"/>
  <c r="L2" i="26" s="1"/>
  <c r="C19" i="26"/>
  <c r="C17" i="26"/>
  <c r="C16" i="26"/>
  <c r="C15" i="26"/>
  <c r="P11" i="26"/>
  <c r="O11" i="26"/>
  <c r="N11" i="26"/>
  <c r="M11" i="26"/>
  <c r="Q10" i="26"/>
  <c r="R11" i="26" s="1"/>
  <c r="B8" i="26"/>
  <c r="P7" i="26"/>
  <c r="N7" i="26"/>
  <c r="M7" i="26"/>
  <c r="P5" i="26"/>
  <c r="N5" i="26"/>
  <c r="M5" i="26"/>
  <c r="P4" i="26"/>
  <c r="N4" i="26"/>
  <c r="E2" i="26"/>
  <c r="D95" i="1"/>
  <c r="U109" i="1"/>
  <c r="D40" i="24" s="1"/>
  <c r="H98" i="2"/>
  <c r="N6" i="24"/>
  <c r="M4" i="24"/>
  <c r="M58" i="24"/>
  <c r="H58" i="24"/>
  <c r="F58" i="24"/>
  <c r="E58" i="24"/>
  <c r="D58" i="24"/>
  <c r="B58" i="24"/>
  <c r="M57" i="24"/>
  <c r="H57" i="24"/>
  <c r="F57" i="24"/>
  <c r="E57" i="24"/>
  <c r="D57" i="24"/>
  <c r="B57" i="24"/>
  <c r="M56" i="24"/>
  <c r="H56" i="24"/>
  <c r="F56" i="24"/>
  <c r="E56" i="24"/>
  <c r="D56" i="24"/>
  <c r="B56" i="24"/>
  <c r="M55" i="24"/>
  <c r="H55" i="24"/>
  <c r="F55" i="24"/>
  <c r="E55" i="24"/>
  <c r="D55" i="24"/>
  <c r="B55" i="24"/>
  <c r="M54" i="24"/>
  <c r="H54" i="24"/>
  <c r="F54" i="24"/>
  <c r="E54" i="24"/>
  <c r="D54" i="24"/>
  <c r="B54" i="24"/>
  <c r="M53" i="24"/>
  <c r="H53" i="24"/>
  <c r="F53" i="24"/>
  <c r="E53" i="24"/>
  <c r="D53" i="24"/>
  <c r="B53" i="24"/>
  <c r="M52" i="24"/>
  <c r="H52" i="24"/>
  <c r="F52" i="24"/>
  <c r="E52" i="24"/>
  <c r="D52" i="24"/>
  <c r="B52" i="24"/>
  <c r="M51" i="24"/>
  <c r="H51" i="24"/>
  <c r="F51" i="24"/>
  <c r="E51" i="24"/>
  <c r="B51" i="24"/>
  <c r="P50" i="24"/>
  <c r="O50" i="24"/>
  <c r="N50" i="24"/>
  <c r="M50" i="24"/>
  <c r="H50" i="24"/>
  <c r="B50" i="24"/>
  <c r="V123" i="1"/>
  <c r="C47" i="24"/>
  <c r="C46" i="24"/>
  <c r="C45" i="24"/>
  <c r="C44" i="24"/>
  <c r="C43" i="24"/>
  <c r="C42" i="24"/>
  <c r="C41" i="24"/>
  <c r="C40" i="24"/>
  <c r="O7" i="24"/>
  <c r="E39" i="24"/>
  <c r="K7" i="24" s="1"/>
  <c r="C39" i="24"/>
  <c r="L7" i="24" s="1"/>
  <c r="E38" i="24"/>
  <c r="E37" i="24"/>
  <c r="C37" i="24"/>
  <c r="P6" i="24"/>
  <c r="C36" i="24"/>
  <c r="L6" i="24" s="1"/>
  <c r="O5" i="24"/>
  <c r="E35" i="24"/>
  <c r="K5" i="24" s="1"/>
  <c r="C35" i="24"/>
  <c r="L5" i="24" s="1"/>
  <c r="E34" i="24"/>
  <c r="A34" i="24" s="1"/>
  <c r="E33" i="24"/>
  <c r="A33" i="24" s="1"/>
  <c r="C32" i="24"/>
  <c r="L4" i="24" s="1"/>
  <c r="E31" i="24"/>
  <c r="E30" i="24"/>
  <c r="E29" i="24"/>
  <c r="A29" i="24" s="1"/>
  <c r="E28" i="24"/>
  <c r="A28" i="24" s="1"/>
  <c r="E27" i="24"/>
  <c r="A27" i="24" s="1"/>
  <c r="C26" i="24"/>
  <c r="L3" i="24" s="1"/>
  <c r="E25" i="24"/>
  <c r="A25" i="24" s="1"/>
  <c r="E24" i="24"/>
  <c r="A24" i="24" s="1"/>
  <c r="E23" i="24"/>
  <c r="A23" i="24" s="1"/>
  <c r="E22" i="24"/>
  <c r="A22" i="24" s="1"/>
  <c r="E21" i="24"/>
  <c r="C20" i="24"/>
  <c r="L2" i="24" s="1"/>
  <c r="C19" i="24"/>
  <c r="C17" i="24"/>
  <c r="C16" i="24"/>
  <c r="C15" i="24"/>
  <c r="P11" i="24"/>
  <c r="O11" i="24"/>
  <c r="N11" i="24"/>
  <c r="Q10" i="24"/>
  <c r="S11" i="24" s="1"/>
  <c r="B8" i="24"/>
  <c r="P7" i="24"/>
  <c r="N7" i="24"/>
  <c r="M7" i="24"/>
  <c r="P5" i="24"/>
  <c r="N5" i="24"/>
  <c r="M5" i="24"/>
  <c r="P4" i="24"/>
  <c r="E2" i="24"/>
  <c r="Z50" i="1"/>
  <c r="R50" i="1"/>
  <c r="E35" i="6"/>
  <c r="F57" i="6"/>
  <c r="F58" i="6"/>
  <c r="F52" i="6"/>
  <c r="E21" i="6"/>
  <c r="A21" i="6" s="1"/>
  <c r="B51" i="6"/>
  <c r="Q11" i="6"/>
  <c r="M50" i="6"/>
  <c r="M51" i="6"/>
  <c r="M58" i="6"/>
  <c r="M57" i="6"/>
  <c r="M56" i="6"/>
  <c r="M55" i="6"/>
  <c r="M54" i="6"/>
  <c r="M53" i="6"/>
  <c r="M52" i="6"/>
  <c r="H58" i="6"/>
  <c r="H57" i="6"/>
  <c r="H56" i="6"/>
  <c r="H55" i="6"/>
  <c r="H54" i="6"/>
  <c r="H53" i="6"/>
  <c r="H52" i="6"/>
  <c r="H51" i="6"/>
  <c r="B52" i="6"/>
  <c r="B53" i="6"/>
  <c r="B54" i="6"/>
  <c r="B55" i="6"/>
  <c r="B56" i="6"/>
  <c r="B57" i="6"/>
  <c r="B58" i="6"/>
  <c r="H50" i="6"/>
  <c r="B50" i="6"/>
  <c r="O39" i="6"/>
  <c r="H39" i="6" s="1"/>
  <c r="O24" i="6"/>
  <c r="O25" i="6"/>
  <c r="O28" i="6"/>
  <c r="O29" i="6"/>
  <c r="O30" i="6"/>
  <c r="O26" i="6" s="1"/>
  <c r="O31" i="6"/>
  <c r="O33" i="6"/>
  <c r="O34" i="6"/>
  <c r="O38" i="6"/>
  <c r="O37" i="6"/>
  <c r="P44" i="6"/>
  <c r="D52" i="6"/>
  <c r="F53" i="6"/>
  <c r="F54" i="6"/>
  <c r="F55" i="6"/>
  <c r="F56" i="6"/>
  <c r="D55" i="6"/>
  <c r="D54" i="6"/>
  <c r="E55" i="6"/>
  <c r="E56" i="6"/>
  <c r="E57" i="6"/>
  <c r="E58" i="6"/>
  <c r="V44" i="1" s="1"/>
  <c r="E53" i="6"/>
  <c r="D53" i="6"/>
  <c r="D56" i="6"/>
  <c r="D57" i="6"/>
  <c r="D58" i="6"/>
  <c r="P7" i="6"/>
  <c r="P5" i="6"/>
  <c r="N7" i="6"/>
  <c r="N5" i="6"/>
  <c r="M7" i="6"/>
  <c r="M5" i="6"/>
  <c r="E27" i="6"/>
  <c r="A27" i="6" s="1"/>
  <c r="E33" i="6"/>
  <c r="A33" i="6" s="1"/>
  <c r="E34" i="6"/>
  <c r="A34" i="6" s="1"/>
  <c r="E28" i="6"/>
  <c r="A28" i="6" s="1"/>
  <c r="E29" i="6"/>
  <c r="A29" i="6" s="1"/>
  <c r="E30" i="6"/>
  <c r="A30" i="6" s="1"/>
  <c r="E31" i="6"/>
  <c r="A31" i="6" s="1"/>
  <c r="E22" i="6"/>
  <c r="A22" i="6" s="1"/>
  <c r="E23" i="6"/>
  <c r="A23" i="6" s="1"/>
  <c r="E24" i="6"/>
  <c r="A24" i="6" s="1"/>
  <c r="E25" i="6"/>
  <c r="A25" i="6" s="1"/>
  <c r="C20" i="6"/>
  <c r="L2" i="6" s="1"/>
  <c r="C37" i="6"/>
  <c r="L6" i="6"/>
  <c r="C35" i="6"/>
  <c r="L5" i="6" s="1"/>
  <c r="C32" i="6"/>
  <c r="L4" i="6" s="1"/>
  <c r="C26" i="6"/>
  <c r="L3" i="6" s="1"/>
  <c r="C39" i="6"/>
  <c r="L7" i="6" s="1"/>
  <c r="C47" i="6"/>
  <c r="C42" i="6"/>
  <c r="C43" i="6"/>
  <c r="C44" i="6"/>
  <c r="C45" i="6"/>
  <c r="C46" i="6"/>
  <c r="C41" i="6"/>
  <c r="D116" i="1"/>
  <c r="C19" i="6"/>
  <c r="C17" i="6"/>
  <c r="C16" i="6"/>
  <c r="C15" i="6"/>
  <c r="E2" i="6"/>
  <c r="P5" i="1"/>
  <c r="E4" i="24" s="1"/>
  <c r="Q6" i="1"/>
  <c r="R6" i="1"/>
  <c r="S6" i="1"/>
  <c r="Q7" i="1"/>
  <c r="R7" i="1"/>
  <c r="S7" i="1"/>
  <c r="Q8" i="1"/>
  <c r="R8" i="1"/>
  <c r="S8" i="1"/>
  <c r="Q9" i="1"/>
  <c r="R9" i="1"/>
  <c r="S9" i="1"/>
  <c r="Q10" i="1"/>
  <c r="R10" i="1"/>
  <c r="S10" i="1"/>
  <c r="Q11" i="1"/>
  <c r="R11" i="1"/>
  <c r="S11" i="1"/>
  <c r="Q12" i="1"/>
  <c r="R12" i="1"/>
  <c r="S12" i="1"/>
  <c r="Q13" i="1"/>
  <c r="F6" i="6" s="1"/>
  <c r="R13" i="1"/>
  <c r="G6" i="28" s="1"/>
  <c r="S13" i="1"/>
  <c r="H6" i="6" s="1"/>
  <c r="P13" i="1"/>
  <c r="E6" i="24" s="1"/>
  <c r="P14" i="1"/>
  <c r="Q14" i="1"/>
  <c r="D117" i="1"/>
  <c r="R95" i="1"/>
  <c r="R92" i="1"/>
  <c r="R93" i="1"/>
  <c r="J91" i="1"/>
  <c r="J93" i="1"/>
  <c r="E28" i="22"/>
  <c r="E22" i="22"/>
  <c r="E49" i="21"/>
  <c r="M4" i="2"/>
  <c r="N4" i="2"/>
  <c r="J26" i="1"/>
  <c r="E50" i="21"/>
  <c r="N70" i="1" s="1"/>
  <c r="E49" i="22"/>
  <c r="V69" i="1" s="1"/>
  <c r="K72" i="21"/>
  <c r="K21" i="21"/>
  <c r="K74" i="21" s="1"/>
  <c r="J21" i="21"/>
  <c r="J74" i="21" s="1"/>
  <c r="K73" i="21"/>
  <c r="J48" i="21"/>
  <c r="J47" i="21" s="1"/>
  <c r="J30" i="22"/>
  <c r="E23" i="22"/>
  <c r="E26" i="21"/>
  <c r="E26" i="22"/>
  <c r="E25" i="21"/>
  <c r="J9" i="22"/>
  <c r="J56" i="22" s="1"/>
  <c r="D102" i="2"/>
  <c r="D103" i="2"/>
  <c r="D104" i="2"/>
  <c r="D105" i="2"/>
  <c r="D69" i="1"/>
  <c r="D70" i="1"/>
  <c r="M70" i="2"/>
  <c r="L70" i="2" s="1"/>
  <c r="M66" i="2"/>
  <c r="L66" i="2" s="1"/>
  <c r="M68" i="2"/>
  <c r="L68" i="2" s="1"/>
  <c r="M69" i="2"/>
  <c r="L69" i="2" s="1"/>
  <c r="E39" i="2"/>
  <c r="C37" i="2" s="1"/>
  <c r="L9" i="1"/>
  <c r="S51" i="1"/>
  <c r="E82" i="22"/>
  <c r="C82" i="22"/>
  <c r="E81" i="22"/>
  <c r="C81" i="22"/>
  <c r="E80" i="22"/>
  <c r="C80" i="22"/>
  <c r="AN79" i="22"/>
  <c r="AN78" i="22" s="1"/>
  <c r="AM79" i="22"/>
  <c r="AM78" i="22" s="1"/>
  <c r="AL79" i="22"/>
  <c r="AL78" i="22" s="1"/>
  <c r="AK79" i="22"/>
  <c r="AK78" i="22" s="1"/>
  <c r="AJ79" i="22"/>
  <c r="AJ78" i="22" s="1"/>
  <c r="AI79" i="22"/>
  <c r="AI78" i="22" s="1"/>
  <c r="AH79" i="22"/>
  <c r="AH78" i="22" s="1"/>
  <c r="AG79" i="22"/>
  <c r="AG78" i="22" s="1"/>
  <c r="AF79" i="22"/>
  <c r="AF78" i="22" s="1"/>
  <c r="AE79" i="22"/>
  <c r="AE78" i="22" s="1"/>
  <c r="AD79" i="22"/>
  <c r="AD78" i="22" s="1"/>
  <c r="AC79" i="22"/>
  <c r="AC78" i="22" s="1"/>
  <c r="AB79" i="22"/>
  <c r="AB78" i="22" s="1"/>
  <c r="AA79" i="22"/>
  <c r="AA78" i="22" s="1"/>
  <c r="Z79" i="22"/>
  <c r="Z78" i="22" s="1"/>
  <c r="Y79" i="22"/>
  <c r="Y78" i="22" s="1"/>
  <c r="X79" i="22"/>
  <c r="X78" i="22" s="1"/>
  <c r="W79" i="22"/>
  <c r="W78" i="22" s="1"/>
  <c r="V79" i="22"/>
  <c r="V78" i="22" s="1"/>
  <c r="U79" i="22"/>
  <c r="U78" i="22" s="1"/>
  <c r="T79" i="22"/>
  <c r="T78" i="22" s="1"/>
  <c r="S79" i="22"/>
  <c r="S78" i="22" s="1"/>
  <c r="R79" i="22"/>
  <c r="R78" i="22" s="1"/>
  <c r="Q79" i="22"/>
  <c r="Q78" i="22" s="1"/>
  <c r="P79" i="22"/>
  <c r="P78" i="22" s="1"/>
  <c r="O79" i="22"/>
  <c r="O78" i="22" s="1"/>
  <c r="N79" i="22"/>
  <c r="N78" i="22" s="1"/>
  <c r="M79" i="22"/>
  <c r="M78" i="22" s="1"/>
  <c r="L79" i="22"/>
  <c r="L78" i="22" s="1"/>
  <c r="K79" i="22"/>
  <c r="K78" i="22" s="1"/>
  <c r="J79" i="22"/>
  <c r="J78" i="22" s="1"/>
  <c r="C79"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C77"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C76"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C75"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C74"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C73"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C72" i="22"/>
  <c r="C71" i="22"/>
  <c r="E69" i="22"/>
  <c r="C69" i="22"/>
  <c r="E68" i="22"/>
  <c r="V88" i="1" s="1"/>
  <c r="C68" i="22"/>
  <c r="E67" i="22"/>
  <c r="V87" i="1" s="1"/>
  <c r="C67" i="22"/>
  <c r="E66" i="22"/>
  <c r="V86" i="1" s="1"/>
  <c r="C66" i="22"/>
  <c r="E65" i="22"/>
  <c r="V85" i="1" s="1"/>
  <c r="C65" i="22"/>
  <c r="E64" i="22"/>
  <c r="V84" i="1" s="1"/>
  <c r="C64" i="22"/>
  <c r="C63" i="22"/>
  <c r="Z47" i="22"/>
  <c r="J62" i="22"/>
  <c r="C62" i="22"/>
  <c r="E61" i="22"/>
  <c r="C61" i="22"/>
  <c r="E60" i="22"/>
  <c r="C60" i="22"/>
  <c r="E59" i="22"/>
  <c r="V79" i="1" s="1"/>
  <c r="C59" i="22"/>
  <c r="C58" i="22"/>
  <c r="C57" i="22"/>
  <c r="E56" i="22"/>
  <c r="C56" i="22"/>
  <c r="C55" i="22"/>
  <c r="E54" i="22"/>
  <c r="V74" i="1" s="1"/>
  <c r="C54" i="22"/>
  <c r="E53" i="22"/>
  <c r="V73" i="1" s="1"/>
  <c r="C53" i="22"/>
  <c r="E52" i="22"/>
  <c r="V72" i="1" s="1"/>
  <c r="C52" i="22"/>
  <c r="E51" i="22"/>
  <c r="V71" i="1" s="1"/>
  <c r="C51" i="22"/>
  <c r="E50" i="22"/>
  <c r="C50" i="22"/>
  <c r="C49" i="22"/>
  <c r="J48" i="22"/>
  <c r="J47" i="22" s="1"/>
  <c r="C48" i="22"/>
  <c r="E45" i="22"/>
  <c r="V66" i="1" s="1"/>
  <c r="C45" i="22"/>
  <c r="V65" i="1"/>
  <c r="C44" i="22"/>
  <c r="E43" i="22"/>
  <c r="V64" i="1" s="1"/>
  <c r="F64" i="1" s="1"/>
  <c r="C43" i="22"/>
  <c r="E42" i="22"/>
  <c r="V63" i="1" s="1"/>
  <c r="C42" i="22"/>
  <c r="E41" i="22"/>
  <c r="V62" i="1" s="1"/>
  <c r="C41" i="22"/>
  <c r="E40" i="22"/>
  <c r="C40"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J39" i="22"/>
  <c r="J38" i="22" s="1"/>
  <c r="C39" i="22"/>
  <c r="E37" i="22"/>
  <c r="V59" i="1" s="1"/>
  <c r="C37" i="22"/>
  <c r="E36" i="22"/>
  <c r="V58" i="1" s="1"/>
  <c r="C36" i="22"/>
  <c r="E35" i="22"/>
  <c r="V57" i="1" s="1"/>
  <c r="C35" i="22"/>
  <c r="E34" i="22"/>
  <c r="V56" i="1" s="1"/>
  <c r="C34" i="22"/>
  <c r="E33" i="22"/>
  <c r="V55" i="1" s="1"/>
  <c r="C33" i="22"/>
  <c r="E32" i="22"/>
  <c r="C32"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C31" i="22"/>
  <c r="C28" i="22"/>
  <c r="E27" i="22"/>
  <c r="C27" i="22"/>
  <c r="C26" i="22"/>
  <c r="E25" i="22"/>
  <c r="C25" i="22"/>
  <c r="E24" i="22"/>
  <c r="C24" i="22"/>
  <c r="K21" i="22"/>
  <c r="J74" i="22"/>
  <c r="C21" i="22"/>
  <c r="E20" i="22"/>
  <c r="E19" i="22"/>
  <c r="E18" i="22"/>
  <c r="E17" i="22"/>
  <c r="K73" i="22"/>
  <c r="J15" i="22"/>
  <c r="C15" i="22"/>
  <c r="E14" i="22"/>
  <c r="E13" i="22"/>
  <c r="E12" i="22"/>
  <c r="E11" i="22"/>
  <c r="AN8" i="22"/>
  <c r="AN7" i="22" s="1"/>
  <c r="AB8" i="22"/>
  <c r="AB7" i="22" s="1"/>
  <c r="P8" i="22"/>
  <c r="P7" i="22" s="1"/>
  <c r="C9" i="22"/>
  <c r="J6" i="22"/>
  <c r="K5" i="22"/>
  <c r="C28" i="21"/>
  <c r="C27" i="21"/>
  <c r="C26" i="21"/>
  <c r="C25" i="21"/>
  <c r="C24" i="21"/>
  <c r="C21" i="21"/>
  <c r="C15" i="21"/>
  <c r="C9" i="21"/>
  <c r="E58" i="21"/>
  <c r="N78" i="1" s="1"/>
  <c r="E64" i="21"/>
  <c r="K6" i="21"/>
  <c r="E61" i="21"/>
  <c r="E60" i="21"/>
  <c r="E59" i="21"/>
  <c r="N79" i="1" s="1"/>
  <c r="C64" i="21"/>
  <c r="C65" i="21"/>
  <c r="C66" i="21"/>
  <c r="C67" i="21"/>
  <c r="C68" i="21"/>
  <c r="C63" i="21"/>
  <c r="C62" i="21"/>
  <c r="C57" i="21"/>
  <c r="C58" i="21"/>
  <c r="C59" i="21"/>
  <c r="C60" i="21"/>
  <c r="C61" i="21"/>
  <c r="C56" i="21"/>
  <c r="C55" i="21"/>
  <c r="K47" i="21"/>
  <c r="C50" i="21"/>
  <c r="C51" i="21"/>
  <c r="C52" i="21"/>
  <c r="C53" i="21"/>
  <c r="C54" i="21"/>
  <c r="C49" i="21"/>
  <c r="C48" i="21"/>
  <c r="E54" i="21"/>
  <c r="E53" i="21"/>
  <c r="E52" i="21"/>
  <c r="E51" i="21"/>
  <c r="E65" i="21"/>
  <c r="N85" i="1" s="1"/>
  <c r="F85" i="1" s="1"/>
  <c r="E66" i="21"/>
  <c r="N86" i="1" s="1"/>
  <c r="E67" i="21"/>
  <c r="N87" i="1" s="1"/>
  <c r="F87" i="1" s="1"/>
  <c r="E68" i="21"/>
  <c r="N88" i="1" s="1"/>
  <c r="F88" i="1" s="1"/>
  <c r="E82" i="21"/>
  <c r="C82" i="21"/>
  <c r="E81" i="21"/>
  <c r="C81" i="21"/>
  <c r="E80" i="21"/>
  <c r="C80" i="21"/>
  <c r="AN79" i="21"/>
  <c r="AN78" i="21" s="1"/>
  <c r="AM79" i="21"/>
  <c r="AM78" i="21" s="1"/>
  <c r="AL79" i="21"/>
  <c r="AL78" i="21" s="1"/>
  <c r="AK79" i="21"/>
  <c r="AK78" i="21" s="1"/>
  <c r="AJ79" i="21"/>
  <c r="AJ78" i="21" s="1"/>
  <c r="AI79" i="21"/>
  <c r="AI78" i="21" s="1"/>
  <c r="AH79" i="21"/>
  <c r="AH78" i="21" s="1"/>
  <c r="AG79" i="21"/>
  <c r="AG78" i="21" s="1"/>
  <c r="AF79" i="21"/>
  <c r="AF78" i="21" s="1"/>
  <c r="AE79" i="21"/>
  <c r="AE78" i="21" s="1"/>
  <c r="AD79" i="21"/>
  <c r="AD78" i="21" s="1"/>
  <c r="AC79" i="21"/>
  <c r="AC78" i="21" s="1"/>
  <c r="AB79" i="21"/>
  <c r="AB78" i="21" s="1"/>
  <c r="AA79" i="21"/>
  <c r="AA78" i="21" s="1"/>
  <c r="Z79" i="21"/>
  <c r="Z78" i="21" s="1"/>
  <c r="Y79" i="21"/>
  <c r="Y78" i="21" s="1"/>
  <c r="X79" i="21"/>
  <c r="X78" i="21" s="1"/>
  <c r="W79" i="21"/>
  <c r="W78" i="21" s="1"/>
  <c r="V79" i="21"/>
  <c r="V78" i="21" s="1"/>
  <c r="U79" i="21"/>
  <c r="U78" i="21" s="1"/>
  <c r="T79" i="21"/>
  <c r="T78" i="21" s="1"/>
  <c r="S79" i="21"/>
  <c r="S78" i="21" s="1"/>
  <c r="R79" i="21"/>
  <c r="R78" i="21" s="1"/>
  <c r="Q79" i="21"/>
  <c r="Q78" i="21" s="1"/>
  <c r="P79" i="21"/>
  <c r="P78" i="21" s="1"/>
  <c r="O79" i="21"/>
  <c r="O78" i="21" s="1"/>
  <c r="N79" i="21"/>
  <c r="N78" i="21" s="1"/>
  <c r="M79" i="21"/>
  <c r="M78" i="21" s="1"/>
  <c r="L79" i="21"/>
  <c r="L78" i="21" s="1"/>
  <c r="K79" i="21"/>
  <c r="K78" i="21" s="1"/>
  <c r="J79" i="21"/>
  <c r="J78" i="21" s="1"/>
  <c r="C79"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C77"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C76"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C75"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C74"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C73"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C72" i="21"/>
  <c r="C71" i="21"/>
  <c r="E69" i="21"/>
  <c r="C69" i="21"/>
  <c r="E45" i="21"/>
  <c r="N66" i="1" s="1"/>
  <c r="C45" i="21"/>
  <c r="E44" i="21"/>
  <c r="N65" i="1" s="1"/>
  <c r="C44" i="21"/>
  <c r="C43" i="21"/>
  <c r="E42" i="21"/>
  <c r="N63" i="1" s="1"/>
  <c r="C42" i="21"/>
  <c r="E41" i="21"/>
  <c r="N62" i="1" s="1"/>
  <c r="C41" i="21"/>
  <c r="C40"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9" i="21"/>
  <c r="K38" i="21" s="1"/>
  <c r="J39" i="21"/>
  <c r="J38" i="21" s="1"/>
  <c r="C39" i="21"/>
  <c r="E37" i="21"/>
  <c r="N59" i="1" s="1"/>
  <c r="C37" i="21"/>
  <c r="E36" i="21"/>
  <c r="N58" i="1" s="1"/>
  <c r="C36" i="21"/>
  <c r="E35" i="21"/>
  <c r="N57" i="1" s="1"/>
  <c r="C35" i="21"/>
  <c r="E34" i="21"/>
  <c r="N56" i="1" s="1"/>
  <c r="C34" i="21"/>
  <c r="E33" i="21"/>
  <c r="N55" i="1" s="1"/>
  <c r="C33" i="21"/>
  <c r="C32"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C31" i="21"/>
  <c r="E28" i="21"/>
  <c r="E27" i="21"/>
  <c r="E24" i="21"/>
  <c r="E23" i="21"/>
  <c r="E22" i="21"/>
  <c r="E20" i="21"/>
  <c r="E19" i="21"/>
  <c r="E18" i="21"/>
  <c r="E17" i="21"/>
  <c r="E14" i="21"/>
  <c r="E13" i="21"/>
  <c r="E12" i="21"/>
  <c r="E11" i="21"/>
  <c r="L37" i="1" l="1"/>
  <c r="D50" i="6"/>
  <c r="F50" i="6"/>
  <c r="G51" i="6" s="1"/>
  <c r="E98" i="2"/>
  <c r="I100" i="2"/>
  <c r="U100" i="2"/>
  <c r="Q100" i="2"/>
  <c r="M100" i="2"/>
  <c r="D143" i="2"/>
  <c r="D40" i="6"/>
  <c r="O109" i="1"/>
  <c r="I80" i="2"/>
  <c r="P131" i="1"/>
  <c r="AN123" i="1"/>
  <c r="AO123" i="1" s="1"/>
  <c r="I73" i="2"/>
  <c r="E94" i="1"/>
  <c r="M82" i="2"/>
  <c r="I145" i="2"/>
  <c r="H145" i="2" s="1"/>
  <c r="E76" i="1"/>
  <c r="G76" i="1" s="1"/>
  <c r="H76" i="1" s="1"/>
  <c r="M103" i="1"/>
  <c r="E103" i="1"/>
  <c r="M109" i="2"/>
  <c r="U109" i="2"/>
  <c r="Q109" i="2"/>
  <c r="H143" i="2"/>
  <c r="L127" i="1"/>
  <c r="H130" i="2"/>
  <c r="I129" i="2" s="1"/>
  <c r="M125" i="1" s="1"/>
  <c r="O40" i="6"/>
  <c r="F86" i="1"/>
  <c r="E56" i="21"/>
  <c r="J55" i="21"/>
  <c r="K74" i="22"/>
  <c r="K58" i="22"/>
  <c r="E21" i="21"/>
  <c r="F79" i="1"/>
  <c r="E62" i="21"/>
  <c r="F62" i="21" s="1"/>
  <c r="G62" i="21" s="1"/>
  <c r="H64" i="2"/>
  <c r="L60" i="1" s="1"/>
  <c r="D40" i="26"/>
  <c r="D41" i="28"/>
  <c r="F41" i="28" s="1"/>
  <c r="G41" i="28" s="1"/>
  <c r="P31" i="1"/>
  <c r="P32" i="1"/>
  <c r="V76" i="1"/>
  <c r="V82" i="1"/>
  <c r="E62" i="22"/>
  <c r="N80" i="1"/>
  <c r="N74" i="1"/>
  <c r="E48" i="21"/>
  <c r="V61" i="1"/>
  <c r="E39" i="22"/>
  <c r="E31" i="22"/>
  <c r="J73" i="22"/>
  <c r="J57" i="22"/>
  <c r="E9" i="21"/>
  <c r="J73" i="21"/>
  <c r="J71" i="21" s="1"/>
  <c r="J70" i="21" s="1"/>
  <c r="E57" i="21"/>
  <c r="J72" i="21"/>
  <c r="V80" i="1"/>
  <c r="V81" i="1"/>
  <c r="P41" i="6"/>
  <c r="P40" i="6" s="1"/>
  <c r="AJ8" i="28"/>
  <c r="DD8" i="28"/>
  <c r="BV8" i="24"/>
  <c r="BR8" i="24"/>
  <c r="BB8" i="24"/>
  <c r="DN8" i="24"/>
  <c r="AS8" i="24"/>
  <c r="AX8" i="24"/>
  <c r="AY8" i="24" s="1"/>
  <c r="AY19" i="24" s="1"/>
  <c r="DB8" i="24"/>
  <c r="BA8" i="24"/>
  <c r="U8" i="24"/>
  <c r="DU8" i="24"/>
  <c r="DW8" i="24" s="1"/>
  <c r="DW19" i="24" s="1"/>
  <c r="AD8" i="24"/>
  <c r="CH8" i="24"/>
  <c r="CI8" i="24" s="1"/>
  <c r="CI19" i="24" s="1"/>
  <c r="EF8" i="6"/>
  <c r="DR8" i="6"/>
  <c r="CZ8" i="6"/>
  <c r="BJ8" i="6"/>
  <c r="AS8" i="6"/>
  <c r="AB8" i="6"/>
  <c r="O20" i="6"/>
  <c r="H20" i="6" s="1"/>
  <c r="I2" i="6" s="1"/>
  <c r="P46" i="6"/>
  <c r="N115" i="1"/>
  <c r="BT8" i="6"/>
  <c r="DE8" i="6"/>
  <c r="P3" i="6"/>
  <c r="BM8" i="6"/>
  <c r="P19" i="6"/>
  <c r="N16" i="6"/>
  <c r="T40" i="6"/>
  <c r="M16" i="6"/>
  <c r="M17" i="6" s="1"/>
  <c r="AD8" i="6"/>
  <c r="N15" i="6"/>
  <c r="O15" i="6" s="1"/>
  <c r="BB8" i="6"/>
  <c r="CH8" i="6"/>
  <c r="CI8" i="6" s="1"/>
  <c r="CI19" i="6" s="1"/>
  <c r="DQ8" i="6"/>
  <c r="O32" i="6"/>
  <c r="BA8" i="6"/>
  <c r="CD8" i="6"/>
  <c r="AX8" i="6"/>
  <c r="BZ8" i="6"/>
  <c r="CA8" i="6" s="1"/>
  <c r="CA19" i="6" s="1"/>
  <c r="EB8" i="6"/>
  <c r="M145" i="2"/>
  <c r="L145" i="2" s="1"/>
  <c r="M88" i="2"/>
  <c r="E102" i="2"/>
  <c r="I102" i="2" s="1"/>
  <c r="AK89" i="1"/>
  <c r="U89" i="1"/>
  <c r="E6" i="28"/>
  <c r="AB89" i="1"/>
  <c r="T89" i="1"/>
  <c r="U2" i="16"/>
  <c r="V1" i="16"/>
  <c r="W1" i="11"/>
  <c r="X1" i="11" s="1"/>
  <c r="U2" i="11"/>
  <c r="DL8" i="28"/>
  <c r="CO8" i="28"/>
  <c r="BY8" i="28"/>
  <c r="BP8" i="28"/>
  <c r="X8" i="28"/>
  <c r="AN8" i="28"/>
  <c r="BO3" i="28"/>
  <c r="BS4" i="28"/>
  <c r="CQ2" i="28"/>
  <c r="AI3" i="28"/>
  <c r="AF8" i="28"/>
  <c r="AV8" i="28"/>
  <c r="BL8" i="28"/>
  <c r="CE2" i="28"/>
  <c r="BC6" i="28"/>
  <c r="CY6" i="28"/>
  <c r="R8" i="28"/>
  <c r="S8" i="28" s="1"/>
  <c r="S19" i="28" s="1"/>
  <c r="CE3" i="28"/>
  <c r="AW8" i="28"/>
  <c r="EA3" i="28"/>
  <c r="AU3" i="28"/>
  <c r="CQ3" i="28"/>
  <c r="W3" i="28"/>
  <c r="DO3" i="28"/>
  <c r="BS2" i="28"/>
  <c r="BC4" i="28"/>
  <c r="CY4" i="28"/>
  <c r="AE4" i="28"/>
  <c r="CA4" i="28"/>
  <c r="DW4" i="28"/>
  <c r="BO6" i="28"/>
  <c r="DT8" i="28"/>
  <c r="BG4" i="28"/>
  <c r="AI4" i="28"/>
  <c r="W6" i="28"/>
  <c r="BS6" i="28"/>
  <c r="DO6" i="28"/>
  <c r="AU6" i="28"/>
  <c r="CQ6" i="28"/>
  <c r="BK4" i="28"/>
  <c r="DG4" i="28"/>
  <c r="BK6" i="28"/>
  <c r="DG6" i="28"/>
  <c r="CI6" i="28"/>
  <c r="BM8" i="28"/>
  <c r="AM3" i="28"/>
  <c r="CI3" i="28"/>
  <c r="BA8" i="28"/>
  <c r="AQ6" i="28"/>
  <c r="CM6" i="28"/>
  <c r="DK6" i="28"/>
  <c r="EE3" i="28"/>
  <c r="CE4" i="28"/>
  <c r="AI6" i="28"/>
  <c r="AU4" i="28"/>
  <c r="CQ4" i="28"/>
  <c r="W4" i="28"/>
  <c r="DO4" i="28"/>
  <c r="BQ8" i="28"/>
  <c r="EA6" i="28"/>
  <c r="R11" i="28"/>
  <c r="BO2" i="28"/>
  <c r="DK2" i="28"/>
  <c r="DC3" i="28"/>
  <c r="AY4" i="28"/>
  <c r="CU4" i="28"/>
  <c r="CP6" i="28"/>
  <c r="BF3" i="28"/>
  <c r="AX2" i="28"/>
  <c r="CC8" i="28"/>
  <c r="CR2" i="28"/>
  <c r="CR8" i="28" s="1"/>
  <c r="DU2" i="28"/>
  <c r="DU8" i="28" s="1"/>
  <c r="AD3" i="28"/>
  <c r="AH4" i="28"/>
  <c r="BJ4" i="28"/>
  <c r="DB4" i="28"/>
  <c r="ED4" i="28"/>
  <c r="V6" i="28"/>
  <c r="BJ6" i="28"/>
  <c r="AP3" i="28"/>
  <c r="CS2" i="28"/>
  <c r="CS8" i="28" s="1"/>
  <c r="BZ4" i="28"/>
  <c r="AP6" i="28"/>
  <c r="BV4" i="28"/>
  <c r="AG2" i="28"/>
  <c r="AG8" i="28" s="1"/>
  <c r="DJ3" i="28"/>
  <c r="CT6" i="28"/>
  <c r="DI8" i="28"/>
  <c r="CI2" i="28"/>
  <c r="BC3" i="28"/>
  <c r="CX4" i="28"/>
  <c r="DE2" i="28"/>
  <c r="DE8" i="28" s="1"/>
  <c r="U8" i="28"/>
  <c r="H23" i="28"/>
  <c r="CX3" i="28"/>
  <c r="CD6" i="28"/>
  <c r="DX8" i="28"/>
  <c r="EE2" i="28"/>
  <c r="AT3" i="28"/>
  <c r="CP4" i="28"/>
  <c r="AL2" i="28"/>
  <c r="DY8" i="28"/>
  <c r="Y2" i="28"/>
  <c r="Y8" i="28" s="1"/>
  <c r="BD8" i="28"/>
  <c r="CG2" i="28"/>
  <c r="CG8" i="28" s="1"/>
  <c r="CW8" i="28"/>
  <c r="E26" i="28"/>
  <c r="AL97" i="1" s="1"/>
  <c r="CN3" i="28"/>
  <c r="DB3" i="28"/>
  <c r="BG3" i="28"/>
  <c r="AL4" i="28"/>
  <c r="CD4" i="28"/>
  <c r="DF4" i="28"/>
  <c r="AA4" i="28"/>
  <c r="BW4" i="28"/>
  <c r="DS4" i="28"/>
  <c r="CH6" i="28"/>
  <c r="CH8" i="28" s="1"/>
  <c r="DB6" i="28"/>
  <c r="AH3" i="28"/>
  <c r="Q11" i="28"/>
  <c r="Z2" i="28"/>
  <c r="AO8" i="28"/>
  <c r="BE8" i="28"/>
  <c r="DM8" i="28"/>
  <c r="EB2" i="28"/>
  <c r="AX3" i="28"/>
  <c r="BN3" i="28"/>
  <c r="BB4" i="28"/>
  <c r="DH4" i="28"/>
  <c r="DH8" i="28" s="1"/>
  <c r="DV4" i="28"/>
  <c r="T8" i="28"/>
  <c r="Z3" i="28"/>
  <c r="BR3" i="28"/>
  <c r="DJ6" i="28"/>
  <c r="BZ2" i="28"/>
  <c r="BF6" i="28"/>
  <c r="DN6" i="28"/>
  <c r="DN8" i="28" s="1"/>
  <c r="BV3" i="28"/>
  <c r="CT2" i="28"/>
  <c r="DR6" i="28"/>
  <c r="DJ2" i="28"/>
  <c r="BN4" i="28"/>
  <c r="AT6" i="28"/>
  <c r="DW6" i="28"/>
  <c r="CJ8" i="28"/>
  <c r="V3" i="28"/>
  <c r="AZ3" i="28"/>
  <c r="CP3" i="28"/>
  <c r="DR3" i="28"/>
  <c r="CF4" i="28"/>
  <c r="CF8" i="28" s="1"/>
  <c r="BR6" i="28"/>
  <c r="DF6" i="28"/>
  <c r="DZ6" i="28"/>
  <c r="DZ8" i="28" s="1"/>
  <c r="H39" i="28"/>
  <c r="I7" i="28" s="1"/>
  <c r="AL122" i="1" s="1"/>
  <c r="AI7" i="28"/>
  <c r="DV3" i="28"/>
  <c r="BV6" i="28"/>
  <c r="H22" i="28"/>
  <c r="AK8" i="28"/>
  <c r="CL3" i="28"/>
  <c r="V4" i="28"/>
  <c r="AX4" i="28"/>
  <c r="DR4" i="28"/>
  <c r="BB2" i="28"/>
  <c r="AE6" i="28"/>
  <c r="BU8" i="28"/>
  <c r="CZ8" i="28"/>
  <c r="EC2" i="28"/>
  <c r="EC8" i="28" s="1"/>
  <c r="S11" i="28"/>
  <c r="AB8" i="28"/>
  <c r="AR8" i="28"/>
  <c r="BH8" i="28"/>
  <c r="BV2" i="28"/>
  <c r="CK8" i="28"/>
  <c r="DA8" i="28"/>
  <c r="DP2" i="28"/>
  <c r="DP8" i="28" s="1"/>
  <c r="BG2" i="28"/>
  <c r="DC2" i="28"/>
  <c r="CD3" i="28"/>
  <c r="AP4" i="28"/>
  <c r="CV4" i="28"/>
  <c r="CV8" i="28" s="1"/>
  <c r="DJ4" i="28"/>
  <c r="AH6" i="28"/>
  <c r="CL6" i="28"/>
  <c r="BJ2" i="28"/>
  <c r="CN2" i="28"/>
  <c r="AD4" i="28"/>
  <c r="ED6" i="28"/>
  <c r="CT3" i="28"/>
  <c r="AL6" i="28"/>
  <c r="CB2" i="28"/>
  <c r="CB8" i="28" s="1"/>
  <c r="CL4" i="28"/>
  <c r="EB3" i="28"/>
  <c r="AZ4" i="28"/>
  <c r="BN6" i="28"/>
  <c r="CA6" i="28"/>
  <c r="T11" i="28"/>
  <c r="AC8" i="28"/>
  <c r="AS2" i="28"/>
  <c r="AS8" i="28" s="1"/>
  <c r="BI2" i="28"/>
  <c r="BI8" i="28" s="1"/>
  <c r="BX8" i="28"/>
  <c r="CL2" i="28"/>
  <c r="DQ8" i="28"/>
  <c r="BK2" i="28"/>
  <c r="BB3" i="28"/>
  <c r="BW3" i="28"/>
  <c r="DS3" i="28"/>
  <c r="H29" i="28"/>
  <c r="H31" i="28"/>
  <c r="BT4" i="28"/>
  <c r="BT8" i="28" s="1"/>
  <c r="AQ4" i="28"/>
  <c r="CM4" i="28"/>
  <c r="AA6" i="28"/>
  <c r="BW6" i="28"/>
  <c r="DS6" i="28"/>
  <c r="A35" i="28"/>
  <c r="M8" i="28"/>
  <c r="D50" i="28"/>
  <c r="K5" i="28"/>
  <c r="E50" i="28"/>
  <c r="F50" i="28"/>
  <c r="G55" i="28" s="1"/>
  <c r="AL100" i="1"/>
  <c r="AL101" i="1"/>
  <c r="P8" i="28"/>
  <c r="N8" i="28"/>
  <c r="K7" i="28"/>
  <c r="E50" i="26"/>
  <c r="BO4" i="26"/>
  <c r="DH8" i="26"/>
  <c r="EA2" i="26"/>
  <c r="N2" i="26"/>
  <c r="AW8" i="26"/>
  <c r="AI3" i="26"/>
  <c r="CF8" i="26"/>
  <c r="CM2" i="26"/>
  <c r="CQ3" i="26"/>
  <c r="H39" i="26"/>
  <c r="I7" i="26" s="1"/>
  <c r="AD122" i="1" s="1"/>
  <c r="AM6" i="26"/>
  <c r="AK8" i="26"/>
  <c r="EE6" i="26"/>
  <c r="BS2" i="26"/>
  <c r="CM6" i="26"/>
  <c r="DO4" i="26"/>
  <c r="CW8" i="26"/>
  <c r="AQ6" i="26"/>
  <c r="N6" i="26"/>
  <c r="DA8" i="26"/>
  <c r="DQ8" i="26"/>
  <c r="BG2" i="26"/>
  <c r="AY6" i="26"/>
  <c r="CU6" i="26"/>
  <c r="AU2" i="26"/>
  <c r="BW6" i="26"/>
  <c r="DS6" i="26"/>
  <c r="AI4" i="26"/>
  <c r="CE4" i="26"/>
  <c r="EA4" i="26"/>
  <c r="BC4" i="26"/>
  <c r="CY4" i="26"/>
  <c r="AE6" i="26"/>
  <c r="CA6" i="26"/>
  <c r="DW6" i="26"/>
  <c r="DK4" i="26"/>
  <c r="BG4" i="26"/>
  <c r="DC4" i="26"/>
  <c r="W3" i="26"/>
  <c r="BK3" i="26"/>
  <c r="DG3" i="26"/>
  <c r="AU4" i="26"/>
  <c r="CQ4" i="26"/>
  <c r="AU6" i="26"/>
  <c r="CQ6" i="26"/>
  <c r="O3" i="26"/>
  <c r="AM3" i="26"/>
  <c r="S11" i="26"/>
  <c r="CN8" i="26"/>
  <c r="BO2" i="26"/>
  <c r="AU3" i="26"/>
  <c r="DE8" i="26"/>
  <c r="AI2" i="26"/>
  <c r="BK6" i="26"/>
  <c r="DG6" i="26"/>
  <c r="EA6" i="26"/>
  <c r="EE3" i="26"/>
  <c r="AS8" i="26"/>
  <c r="DD8" i="26"/>
  <c r="DK2" i="26"/>
  <c r="AV8" i="26"/>
  <c r="CE3" i="26"/>
  <c r="CI3" i="26"/>
  <c r="CY6" i="26"/>
  <c r="BL8" i="26"/>
  <c r="AE2" i="26"/>
  <c r="CA2" i="26"/>
  <c r="DW2" i="26"/>
  <c r="W2" i="26"/>
  <c r="BS3" i="26"/>
  <c r="W4" i="26"/>
  <c r="CM4" i="26"/>
  <c r="U10" i="26"/>
  <c r="U11" i="26" s="1"/>
  <c r="U12" i="26" s="1"/>
  <c r="AA4" i="26"/>
  <c r="BW4" i="26"/>
  <c r="BC6" i="26"/>
  <c r="Q8" i="26"/>
  <c r="AA6" i="26"/>
  <c r="H28" i="26"/>
  <c r="BG3" i="26"/>
  <c r="AE4" i="26"/>
  <c r="CA4" i="26"/>
  <c r="DW4" i="26"/>
  <c r="EE8" i="24"/>
  <c r="EE19" i="24" s="1"/>
  <c r="DZ8" i="24"/>
  <c r="EA8" i="24"/>
  <c r="EA19" i="24" s="1"/>
  <c r="DR8" i="24"/>
  <c r="DM8" i="24"/>
  <c r="DO8" i="24" s="1"/>
  <c r="DO19" i="24" s="1"/>
  <c r="DJ8" i="24"/>
  <c r="DK8" i="24" s="1"/>
  <c r="DK19" i="24" s="1"/>
  <c r="DF8" i="24"/>
  <c r="DC8" i="24"/>
  <c r="DC19" i="24" s="1"/>
  <c r="CX8" i="24"/>
  <c r="CU8" i="24"/>
  <c r="CU19" i="24" s="1"/>
  <c r="CP8" i="24"/>
  <c r="CQ8" i="24" s="1"/>
  <c r="CQ19" i="24" s="1"/>
  <c r="CM8" i="24"/>
  <c r="CM19" i="24" s="1"/>
  <c r="CE8" i="24"/>
  <c r="CE19" i="24" s="1"/>
  <c r="CA8" i="24"/>
  <c r="CA19" i="24" s="1"/>
  <c r="BW8" i="24"/>
  <c r="BW19" i="24" s="1"/>
  <c r="BT8" i="24"/>
  <c r="BS8" i="24"/>
  <c r="BS19" i="24" s="1"/>
  <c r="BN8" i="24"/>
  <c r="BM8" i="24"/>
  <c r="BO8" i="24"/>
  <c r="BO19" i="24" s="1"/>
  <c r="BJ8" i="24"/>
  <c r="BK8" i="24"/>
  <c r="BK19" i="24" s="1"/>
  <c r="BE8" i="24"/>
  <c r="BG8" i="24" s="1"/>
  <c r="BG19" i="24" s="1"/>
  <c r="BC8" i="24"/>
  <c r="BC19" i="24" s="1"/>
  <c r="AU8" i="24"/>
  <c r="AU19" i="24" s="1"/>
  <c r="AQ8" i="24"/>
  <c r="AQ19" i="24" s="1"/>
  <c r="AK8" i="24"/>
  <c r="AM8" i="24" s="1"/>
  <c r="AM19" i="24" s="1"/>
  <c r="AG8" i="24"/>
  <c r="AH8" i="24"/>
  <c r="AI8" i="24"/>
  <c r="AI19" i="24" s="1"/>
  <c r="AC8" i="24"/>
  <c r="Y8" i="24"/>
  <c r="Z8" i="24"/>
  <c r="V8" i="24"/>
  <c r="W8" i="24" s="1"/>
  <c r="W19" i="24" s="1"/>
  <c r="R8" i="24"/>
  <c r="ED8" i="6"/>
  <c r="DZ8" i="6"/>
  <c r="DY8" i="6"/>
  <c r="DV8" i="6"/>
  <c r="DW8" i="6"/>
  <c r="DW19" i="6" s="1"/>
  <c r="DS8" i="6"/>
  <c r="DS19" i="6" s="1"/>
  <c r="DN8" i="6"/>
  <c r="DO8" i="6"/>
  <c r="DO19" i="6" s="1"/>
  <c r="DK8" i="6"/>
  <c r="DK19" i="6" s="1"/>
  <c r="DF8" i="6"/>
  <c r="DD8" i="6"/>
  <c r="DA8" i="6"/>
  <c r="CX8" i="6"/>
  <c r="CY8" i="6" s="1"/>
  <c r="CY19" i="6" s="1"/>
  <c r="CT8" i="6"/>
  <c r="CU8" i="6" s="1"/>
  <c r="CU19" i="6" s="1"/>
  <c r="CP8" i="6"/>
  <c r="CQ8" i="6" s="1"/>
  <c r="CQ19" i="6" s="1"/>
  <c r="CM8" i="6"/>
  <c r="CM19" i="6" s="1"/>
  <c r="CE8" i="6"/>
  <c r="CE19" i="6" s="1"/>
  <c r="BV8" i="6"/>
  <c r="BS8" i="6"/>
  <c r="BS19" i="6" s="1"/>
  <c r="BN8" i="6"/>
  <c r="BP8" i="6"/>
  <c r="BK8" i="6"/>
  <c r="BK19" i="6" s="1"/>
  <c r="BF8" i="6"/>
  <c r="BG8" i="6" s="1"/>
  <c r="BG19" i="6" s="1"/>
  <c r="AZ8" i="6"/>
  <c r="AW8" i="6"/>
  <c r="AY8" i="6" s="1"/>
  <c r="AY19" i="6" s="1"/>
  <c r="AV8" i="6"/>
  <c r="AT8" i="6"/>
  <c r="AU8" i="6" s="1"/>
  <c r="AU19" i="6" s="1"/>
  <c r="AP8" i="6"/>
  <c r="AQ8" i="6" s="1"/>
  <c r="AQ19" i="6" s="1"/>
  <c r="AK8" i="6"/>
  <c r="AL8" i="6"/>
  <c r="AI8" i="6"/>
  <c r="AI19" i="6" s="1"/>
  <c r="AF8" i="6"/>
  <c r="AE8" i="6"/>
  <c r="AE19" i="6" s="1"/>
  <c r="Y8" i="6"/>
  <c r="Z8" i="6"/>
  <c r="V8" i="6"/>
  <c r="W8" i="6" s="1"/>
  <c r="W19" i="6" s="1"/>
  <c r="S15" i="6"/>
  <c r="Q17" i="6"/>
  <c r="S17" i="6" s="1"/>
  <c r="S16" i="6"/>
  <c r="R8" i="6"/>
  <c r="S8" i="6" s="1"/>
  <c r="S19" i="6" s="1"/>
  <c r="D50" i="26"/>
  <c r="F50" i="26"/>
  <c r="G54" i="26" s="1"/>
  <c r="H25" i="26"/>
  <c r="H21" i="26"/>
  <c r="A35" i="26"/>
  <c r="K5" i="26"/>
  <c r="M6" i="26"/>
  <c r="AD101" i="1"/>
  <c r="K7" i="26"/>
  <c r="A47" i="26"/>
  <c r="P2" i="26"/>
  <c r="BB3" i="26"/>
  <c r="CD3" i="26"/>
  <c r="BV4" i="26"/>
  <c r="DZ4" i="26"/>
  <c r="AT6" i="26"/>
  <c r="R2" i="26"/>
  <c r="BH2" i="26"/>
  <c r="BH8" i="26" s="1"/>
  <c r="BU8" i="26"/>
  <c r="CJ2" i="26"/>
  <c r="CJ8" i="26" s="1"/>
  <c r="CX2" i="26"/>
  <c r="DM2" i="26"/>
  <c r="DM8" i="26" s="1"/>
  <c r="EB8" i="26"/>
  <c r="BK2" i="26"/>
  <c r="DG2" i="26"/>
  <c r="BD3" i="26"/>
  <c r="BD8" i="26" s="1"/>
  <c r="DV3" i="26"/>
  <c r="V4" i="26"/>
  <c r="CL4" i="26"/>
  <c r="AD6" i="26"/>
  <c r="BO6" i="26"/>
  <c r="DK6" i="26"/>
  <c r="S2" i="26"/>
  <c r="AG8" i="26"/>
  <c r="BV2" i="26"/>
  <c r="CK2" i="26"/>
  <c r="CK8" i="26" s="1"/>
  <c r="CZ8" i="26"/>
  <c r="DN2" i="26"/>
  <c r="EC8" i="26"/>
  <c r="AM2" i="26"/>
  <c r="CI2" i="26"/>
  <c r="EE2" i="26"/>
  <c r="AP3" i="26"/>
  <c r="CS3" i="26"/>
  <c r="CS8" i="26" s="1"/>
  <c r="DX3" i="26"/>
  <c r="DX8" i="26" s="1"/>
  <c r="DO3" i="26"/>
  <c r="H29" i="26"/>
  <c r="AX4" i="26"/>
  <c r="DN4" i="26"/>
  <c r="AX6" i="26"/>
  <c r="CH6" i="26"/>
  <c r="CX6" i="26"/>
  <c r="DR6" i="26"/>
  <c r="W6" i="26"/>
  <c r="BS6" i="26"/>
  <c r="DO6" i="26"/>
  <c r="BX2" i="26"/>
  <c r="BX8" i="26" s="1"/>
  <c r="AR3" i="26"/>
  <c r="CG3" i="26"/>
  <c r="CG8" i="26" s="1"/>
  <c r="AL4" i="26"/>
  <c r="BZ4" i="26"/>
  <c r="H35" i="26"/>
  <c r="I5" i="26" s="1"/>
  <c r="AD120" i="1" s="1"/>
  <c r="O6" i="26"/>
  <c r="BT2" i="26"/>
  <c r="BT8" i="26" s="1"/>
  <c r="CL2" i="26"/>
  <c r="CQ2" i="26"/>
  <c r="AH6" i="26"/>
  <c r="DB6" i="26"/>
  <c r="AX2" i="26"/>
  <c r="DR2" i="26"/>
  <c r="CY2" i="26"/>
  <c r="DO2" i="26"/>
  <c r="BP4" i="26"/>
  <c r="BP8" i="26" s="1"/>
  <c r="CD4" i="26"/>
  <c r="DR4" i="26"/>
  <c r="E36" i="26"/>
  <c r="A36" i="26" s="1"/>
  <c r="T6" i="26"/>
  <c r="O7" i="26"/>
  <c r="X2" i="26"/>
  <c r="X8" i="26" s="1"/>
  <c r="AL2" i="26"/>
  <c r="BA2" i="26"/>
  <c r="BA8" i="26" s="1"/>
  <c r="DF2" i="26"/>
  <c r="DF8" i="26" s="1"/>
  <c r="DU8" i="26"/>
  <c r="DC2" i="26"/>
  <c r="DN3" i="26"/>
  <c r="AQ3" i="26"/>
  <c r="CM3" i="26"/>
  <c r="AL6" i="26"/>
  <c r="BF6" i="26"/>
  <c r="BF8" i="26" s="1"/>
  <c r="BJ2" i="26"/>
  <c r="BJ8" i="26" s="1"/>
  <c r="V2" i="26"/>
  <c r="BM2" i="26"/>
  <c r="BM8" i="26" s="1"/>
  <c r="H34" i="26"/>
  <c r="CL6" i="26"/>
  <c r="AZ2" i="26"/>
  <c r="AZ8" i="26" s="1"/>
  <c r="DT2" i="26"/>
  <c r="DT8" i="26" s="1"/>
  <c r="AF3" i="26"/>
  <c r="AF8" i="26" s="1"/>
  <c r="BI3" i="26"/>
  <c r="BI8" i="26" s="1"/>
  <c r="CX3" i="26"/>
  <c r="AP4" i="26"/>
  <c r="Q11" i="26"/>
  <c r="Q12" i="26" s="1"/>
  <c r="Y8" i="26"/>
  <c r="AN8" i="26"/>
  <c r="CC2" i="26"/>
  <c r="CC8" i="26" s="1"/>
  <c r="CR8" i="26"/>
  <c r="T3" i="26"/>
  <c r="AH3" i="26"/>
  <c r="CL3" i="26"/>
  <c r="AD4" i="26"/>
  <c r="BR4" i="26"/>
  <c r="CT4" i="26"/>
  <c r="BZ6" i="26"/>
  <c r="CP6" i="26"/>
  <c r="DZ6" i="26"/>
  <c r="AD2" i="26"/>
  <c r="DZ3" i="26"/>
  <c r="BN4" i="26"/>
  <c r="ED4" i="26"/>
  <c r="AY2" i="26"/>
  <c r="M3" i="26"/>
  <c r="Z2" i="26"/>
  <c r="AO2" i="26"/>
  <c r="AO8" i="26" s="1"/>
  <c r="BQ2" i="26"/>
  <c r="BQ8" i="26" s="1"/>
  <c r="CD2" i="26"/>
  <c r="DI2" i="26"/>
  <c r="DI8" i="26" s="1"/>
  <c r="DB3" i="26"/>
  <c r="CU3" i="26"/>
  <c r="DV4" i="26"/>
  <c r="S4" i="26"/>
  <c r="CH2" i="26"/>
  <c r="ED2" i="26"/>
  <c r="BW3" i="26"/>
  <c r="P3" i="26"/>
  <c r="BB4" i="26"/>
  <c r="BV6" i="26"/>
  <c r="DV6" i="26"/>
  <c r="N3" i="26"/>
  <c r="AB8" i="26"/>
  <c r="BE2" i="26"/>
  <c r="BE8" i="26" s="1"/>
  <c r="BR2" i="26"/>
  <c r="CT2" i="26"/>
  <c r="DY2" i="26"/>
  <c r="DY8" i="26" s="1"/>
  <c r="H24" i="26"/>
  <c r="V3" i="26"/>
  <c r="DR3" i="26"/>
  <c r="BC3" i="26"/>
  <c r="CY3" i="26"/>
  <c r="H31" i="26"/>
  <c r="R4" i="26"/>
  <c r="AT4" i="26"/>
  <c r="DJ4" i="26"/>
  <c r="Z6" i="26"/>
  <c r="AP6" i="26"/>
  <c r="DJ6" i="26"/>
  <c r="DL2" i="26"/>
  <c r="DL8" i="26" s="1"/>
  <c r="U2" i="26"/>
  <c r="U8" i="26" s="1"/>
  <c r="BY2" i="26"/>
  <c r="BY8" i="26" s="1"/>
  <c r="EF8" i="26"/>
  <c r="DJ3" i="26"/>
  <c r="DC3" i="26"/>
  <c r="CB4" i="26"/>
  <c r="CB8" i="26" s="1"/>
  <c r="DP4" i="26"/>
  <c r="DP8" i="26" s="1"/>
  <c r="AJ2" i="26"/>
  <c r="AJ8" i="26" s="1"/>
  <c r="CU2" i="26"/>
  <c r="BB6" i="26"/>
  <c r="CO2" i="26"/>
  <c r="CO8" i="26" s="1"/>
  <c r="AC8" i="26"/>
  <c r="AR2" i="26"/>
  <c r="CV2" i="26"/>
  <c r="CV8" i="26" s="1"/>
  <c r="AA2" i="26"/>
  <c r="BW2" i="26"/>
  <c r="DS2" i="26"/>
  <c r="BN3" i="26"/>
  <c r="CP3" i="26"/>
  <c r="H27" i="26"/>
  <c r="CX4" i="26"/>
  <c r="CD6" i="26"/>
  <c r="CT6" i="26"/>
  <c r="ED6" i="26"/>
  <c r="L44" i="1"/>
  <c r="V42" i="1"/>
  <c r="M3" i="24"/>
  <c r="V99" i="1"/>
  <c r="N3" i="24"/>
  <c r="L40" i="1"/>
  <c r="F42" i="1"/>
  <c r="A56" i="24" s="1"/>
  <c r="F43" i="1"/>
  <c r="A57" i="6" s="1"/>
  <c r="V43" i="1"/>
  <c r="V41" i="1"/>
  <c r="V39" i="1"/>
  <c r="V37" i="1"/>
  <c r="M6" i="24"/>
  <c r="O6" i="24"/>
  <c r="N4" i="24"/>
  <c r="V101" i="1"/>
  <c r="P3" i="24"/>
  <c r="V8" i="21"/>
  <c r="V7" i="21" s="1"/>
  <c r="AH8" i="21"/>
  <c r="AH7" i="21" s="1"/>
  <c r="P42" i="6"/>
  <c r="M19" i="6"/>
  <c r="F41" i="1"/>
  <c r="A55" i="28" s="1"/>
  <c r="L43" i="1"/>
  <c r="E6" i="26"/>
  <c r="F44" i="1"/>
  <c r="A58" i="24" s="1"/>
  <c r="L42" i="1"/>
  <c r="F6" i="26"/>
  <c r="AC89" i="1"/>
  <c r="L38" i="1"/>
  <c r="G6" i="26"/>
  <c r="C3" i="26" s="1"/>
  <c r="L41" i="1"/>
  <c r="E4" i="28"/>
  <c r="F6" i="28"/>
  <c r="H6" i="28"/>
  <c r="C3" i="28" s="1"/>
  <c r="L39" i="1"/>
  <c r="H6" i="26"/>
  <c r="E4" i="26"/>
  <c r="F39" i="1"/>
  <c r="F37" i="1"/>
  <c r="A51" i="28" s="1"/>
  <c r="F40" i="1"/>
  <c r="A54" i="24" s="1"/>
  <c r="F38" i="1"/>
  <c r="A52" i="24" s="1"/>
  <c r="Q12" i="28"/>
  <c r="E20" i="28"/>
  <c r="AL96" i="1" s="1"/>
  <c r="H25" i="28"/>
  <c r="AU2" i="28"/>
  <c r="AI2" i="28"/>
  <c r="H33" i="28"/>
  <c r="AM2" i="28"/>
  <c r="A24" i="28"/>
  <c r="AY2" i="28"/>
  <c r="V11" i="28"/>
  <c r="Y10" i="28"/>
  <c r="X11" i="28"/>
  <c r="W11" i="28"/>
  <c r="AA3" i="28"/>
  <c r="H27" i="28"/>
  <c r="H30" i="28"/>
  <c r="E32" i="28"/>
  <c r="AL98" i="1" s="1"/>
  <c r="AE3" i="28"/>
  <c r="CA3" i="28"/>
  <c r="DW3" i="28"/>
  <c r="M12" i="28"/>
  <c r="EA2" i="28"/>
  <c r="H21" i="28"/>
  <c r="H24" i="28"/>
  <c r="H34" i="28"/>
  <c r="H37" i="28"/>
  <c r="CY3" i="28"/>
  <c r="H28" i="28"/>
  <c r="BK3" i="28"/>
  <c r="DG3" i="28"/>
  <c r="AE2" i="28"/>
  <c r="CA2" i="28"/>
  <c r="DW2" i="28"/>
  <c r="DK3" i="28"/>
  <c r="E44" i="28"/>
  <c r="AL113" i="1" s="1"/>
  <c r="H35" i="28"/>
  <c r="I5" i="28" s="1"/>
  <c r="AL120" i="1" s="1"/>
  <c r="H38" i="28"/>
  <c r="AQ2" i="28"/>
  <c r="CM2" i="28"/>
  <c r="A22" i="28"/>
  <c r="AM4" i="28"/>
  <c r="CI4" i="28"/>
  <c r="EE4" i="28"/>
  <c r="A36" i="28"/>
  <c r="BC2" i="28"/>
  <c r="CY2" i="28"/>
  <c r="AY3" i="28"/>
  <c r="CU3" i="28"/>
  <c r="M12" i="26"/>
  <c r="BC2" i="26"/>
  <c r="E26" i="26"/>
  <c r="AD97" i="1" s="1"/>
  <c r="H23" i="26"/>
  <c r="A28" i="26"/>
  <c r="A29" i="26"/>
  <c r="E20" i="26"/>
  <c r="AD96" i="1" s="1"/>
  <c r="AY3" i="26"/>
  <c r="DS3" i="26"/>
  <c r="CE2" i="26"/>
  <c r="AQ2" i="26"/>
  <c r="E32" i="26"/>
  <c r="AD98" i="1" s="1"/>
  <c r="H33" i="26"/>
  <c r="T11" i="26"/>
  <c r="AA3" i="26"/>
  <c r="AE3" i="26"/>
  <c r="CA3" i="26"/>
  <c r="DW3" i="26"/>
  <c r="BK4" i="26"/>
  <c r="DG4" i="26"/>
  <c r="EA3" i="26"/>
  <c r="E44" i="26"/>
  <c r="AD113" i="1" s="1"/>
  <c r="DS4" i="26"/>
  <c r="H38" i="26"/>
  <c r="AM4" i="26"/>
  <c r="CI4" i="26"/>
  <c r="EE4" i="26"/>
  <c r="E46" i="26"/>
  <c r="AD115" i="1" s="1"/>
  <c r="S3" i="26"/>
  <c r="BO3" i="26"/>
  <c r="DK3" i="26"/>
  <c r="H30" i="26"/>
  <c r="H22" i="26"/>
  <c r="S6" i="26"/>
  <c r="H37" i="26"/>
  <c r="U10" i="24"/>
  <c r="U11" i="24" s="1"/>
  <c r="U12" i="24" s="1"/>
  <c r="Q11" i="24"/>
  <c r="R11" i="24"/>
  <c r="T11" i="24"/>
  <c r="H30" i="6"/>
  <c r="A39" i="24"/>
  <c r="P2" i="24"/>
  <c r="H34" i="24"/>
  <c r="E32" i="6"/>
  <c r="N98" i="1" s="1"/>
  <c r="P4" i="6"/>
  <c r="A21" i="24"/>
  <c r="K5" i="6"/>
  <c r="H6" i="24"/>
  <c r="N99" i="1"/>
  <c r="H31" i="24"/>
  <c r="G6" i="6"/>
  <c r="G6" i="24"/>
  <c r="M12" i="6"/>
  <c r="E26" i="6"/>
  <c r="N97" i="1" s="1"/>
  <c r="M2" i="24"/>
  <c r="F6" i="24"/>
  <c r="C3" i="24" s="1"/>
  <c r="V113" i="1"/>
  <c r="H25" i="24"/>
  <c r="H30" i="24"/>
  <c r="E50" i="24"/>
  <c r="D50" i="24"/>
  <c r="F50" i="24"/>
  <c r="G51" i="24" s="1"/>
  <c r="A38" i="24"/>
  <c r="E32" i="24"/>
  <c r="V98" i="1" s="1"/>
  <c r="A35" i="24"/>
  <c r="N2" i="24"/>
  <c r="N8" i="24" s="1"/>
  <c r="H37" i="24"/>
  <c r="E46" i="24"/>
  <c r="V115" i="1" s="1"/>
  <c r="E26" i="24"/>
  <c r="M12" i="24"/>
  <c r="H28" i="24"/>
  <c r="H29" i="24"/>
  <c r="V96" i="1"/>
  <c r="H21" i="24"/>
  <c r="H27" i="24"/>
  <c r="E36" i="24"/>
  <c r="V100" i="1" s="1"/>
  <c r="H22" i="24"/>
  <c r="H39" i="24"/>
  <c r="I7" i="24" s="1"/>
  <c r="V122" i="1" s="1"/>
  <c r="H24" i="24"/>
  <c r="H23" i="24"/>
  <c r="A30" i="24"/>
  <c r="H38" i="24"/>
  <c r="A47" i="24"/>
  <c r="H33" i="24"/>
  <c r="H35" i="24"/>
  <c r="I5" i="24" s="1"/>
  <c r="V120" i="1" s="1"/>
  <c r="A31" i="24"/>
  <c r="A37" i="24"/>
  <c r="I7" i="6"/>
  <c r="N122" i="1" s="1"/>
  <c r="H37" i="6"/>
  <c r="E4" i="6"/>
  <c r="C2" i="6" s="1"/>
  <c r="H38" i="6"/>
  <c r="M8" i="21"/>
  <c r="M7" i="21" s="1"/>
  <c r="N8" i="22"/>
  <c r="N7" i="22" s="1"/>
  <c r="Z8" i="22"/>
  <c r="Z7" i="22" s="1"/>
  <c r="AL8" i="22"/>
  <c r="AL7" i="22" s="1"/>
  <c r="H35" i="6"/>
  <c r="I5" i="6" s="1"/>
  <c r="N120" i="1" s="1"/>
  <c r="H31" i="6"/>
  <c r="AB47" i="22"/>
  <c r="AN47" i="22"/>
  <c r="E6" i="6"/>
  <c r="C3" i="6" s="1"/>
  <c r="R47" i="22"/>
  <c r="N96" i="1"/>
  <c r="H34" i="6"/>
  <c r="H25" i="6"/>
  <c r="H33" i="6"/>
  <c r="H23" i="6"/>
  <c r="O7" i="6"/>
  <c r="N113" i="1"/>
  <c r="F113" i="1" s="1"/>
  <c r="H29" i="6"/>
  <c r="H28" i="6"/>
  <c r="N3" i="6"/>
  <c r="M2" i="6"/>
  <c r="M3" i="6"/>
  <c r="M4" i="6"/>
  <c r="R11" i="6"/>
  <c r="Q12" i="6"/>
  <c r="AD47" i="21"/>
  <c r="M8" i="22"/>
  <c r="M7" i="22" s="1"/>
  <c r="Y8" i="22"/>
  <c r="Y7" i="22" s="1"/>
  <c r="AK8" i="22"/>
  <c r="AK7" i="22" s="1"/>
  <c r="F27" i="1"/>
  <c r="T62" i="1"/>
  <c r="N4" i="6"/>
  <c r="U8" i="21"/>
  <c r="U7" i="21" s="1"/>
  <c r="AG8" i="21"/>
  <c r="AG7" i="21" s="1"/>
  <c r="L8" i="21"/>
  <c r="L7" i="21" s="1"/>
  <c r="R8" i="22"/>
  <c r="R7" i="22" s="1"/>
  <c r="AD8" i="22"/>
  <c r="AD7" i="22" s="1"/>
  <c r="AK8" i="21"/>
  <c r="AK7" i="21" s="1"/>
  <c r="AL8" i="21"/>
  <c r="AL7" i="21" s="1"/>
  <c r="F23" i="1"/>
  <c r="P43" i="6"/>
  <c r="A35" i="6"/>
  <c r="AA8" i="21"/>
  <c r="AA7" i="21" s="1"/>
  <c r="F29" i="1"/>
  <c r="W47" i="22"/>
  <c r="R71" i="22"/>
  <c r="R70" i="22" s="1"/>
  <c r="U8" i="22"/>
  <c r="U7" i="22" s="1"/>
  <c r="AG8" i="22"/>
  <c r="AG7" i="22" s="1"/>
  <c r="E9" i="22"/>
  <c r="T8" i="22"/>
  <c r="T7" i="22" s="1"/>
  <c r="AF8" i="22"/>
  <c r="AF7" i="22" s="1"/>
  <c r="F20" i="1"/>
  <c r="X47" i="22"/>
  <c r="AJ47" i="22"/>
  <c r="P47" i="22"/>
  <c r="AI47" i="22"/>
  <c r="E15" i="21"/>
  <c r="W8" i="22"/>
  <c r="W7" i="22" s="1"/>
  <c r="AI8" i="22"/>
  <c r="AI7" i="22" s="1"/>
  <c r="AD47" i="22"/>
  <c r="T66" i="1"/>
  <c r="AM8" i="21"/>
  <c r="AM7" i="21" s="1"/>
  <c r="L8" i="22"/>
  <c r="L7" i="22" s="1"/>
  <c r="X8" i="22"/>
  <c r="X7" i="22" s="1"/>
  <c r="AJ8" i="22"/>
  <c r="AJ7" i="22" s="1"/>
  <c r="O8" i="22"/>
  <c r="O7" i="22" s="1"/>
  <c r="AA8" i="22"/>
  <c r="AA7" i="22" s="1"/>
  <c r="AM8" i="22"/>
  <c r="AM7" i="22" s="1"/>
  <c r="AJ8" i="21"/>
  <c r="AJ7" i="21" s="1"/>
  <c r="Q8" i="22"/>
  <c r="Q7" i="22" s="1"/>
  <c r="AC8" i="22"/>
  <c r="AC7" i="22" s="1"/>
  <c r="O71" i="22"/>
  <c r="O70" i="22" s="1"/>
  <c r="AA71" i="22"/>
  <c r="AA70" i="22" s="1"/>
  <c r="AM71" i="22"/>
  <c r="AM70" i="22" s="1"/>
  <c r="E74" i="22"/>
  <c r="Y8" i="21"/>
  <c r="Y7" i="21" s="1"/>
  <c r="F32" i="1"/>
  <c r="AM47" i="22"/>
  <c r="N69" i="1"/>
  <c r="Q8" i="21"/>
  <c r="Q7" i="21" s="1"/>
  <c r="AC8" i="21"/>
  <c r="AC7" i="21" s="1"/>
  <c r="X8" i="21"/>
  <c r="X7" i="21" s="1"/>
  <c r="E48" i="22"/>
  <c r="AA47" i="22"/>
  <c r="R8" i="21"/>
  <c r="R7" i="21" s="1"/>
  <c r="AD8" i="21"/>
  <c r="AD7" i="21" s="1"/>
  <c r="Q47" i="22"/>
  <c r="AC47" i="22"/>
  <c r="J8" i="22"/>
  <c r="J7" i="22" s="1"/>
  <c r="L71" i="22"/>
  <c r="L70" i="22" s="1"/>
  <c r="X71" i="22"/>
  <c r="X70" i="22" s="1"/>
  <c r="AJ71" i="22"/>
  <c r="AJ70" i="22" s="1"/>
  <c r="Z8" i="21"/>
  <c r="Z7" i="21" s="1"/>
  <c r="O8" i="21"/>
  <c r="O7" i="21" s="1"/>
  <c r="AL47" i="22"/>
  <c r="O47" i="22"/>
  <c r="V54" i="1"/>
  <c r="F54" i="1" s="1"/>
  <c r="U27" i="1" s="1"/>
  <c r="S8" i="21"/>
  <c r="S7" i="21" s="1"/>
  <c r="AE8" i="21"/>
  <c r="AE7" i="21" s="1"/>
  <c r="T8" i="21"/>
  <c r="T7" i="21" s="1"/>
  <c r="AF8" i="21"/>
  <c r="AF7" i="21" s="1"/>
  <c r="S8" i="22"/>
  <c r="S7" i="22" s="1"/>
  <c r="AE8" i="22"/>
  <c r="AE7" i="22" s="1"/>
  <c r="N8" i="21"/>
  <c r="N7" i="21" s="1"/>
  <c r="N47" i="22"/>
  <c r="F22" i="1"/>
  <c r="J8" i="21"/>
  <c r="J7" i="21" s="1"/>
  <c r="F19" i="1"/>
  <c r="O4" i="2"/>
  <c r="K72" i="22"/>
  <c r="K71" i="22" s="1"/>
  <c r="K70" i="22" s="1"/>
  <c r="K8" i="22"/>
  <c r="K7" i="22" s="1"/>
  <c r="E77" i="22"/>
  <c r="F31" i="1"/>
  <c r="N73" i="1"/>
  <c r="L47" i="21"/>
  <c r="L65" i="1"/>
  <c r="U71" i="22"/>
  <c r="U70" i="22" s="1"/>
  <c r="AG71" i="22"/>
  <c r="AG70" i="22" s="1"/>
  <c r="L63" i="1"/>
  <c r="M67" i="2"/>
  <c r="L67" i="2" s="1"/>
  <c r="L66" i="1"/>
  <c r="P71" i="22"/>
  <c r="P70" i="22" s="1"/>
  <c r="AB71" i="22"/>
  <c r="AB70" i="22" s="1"/>
  <c r="AN71" i="22"/>
  <c r="AN70" i="22" s="1"/>
  <c r="V71" i="22"/>
  <c r="V70" i="22" s="1"/>
  <c r="AH71" i="22"/>
  <c r="AH70" i="22" s="1"/>
  <c r="AI8" i="21"/>
  <c r="AI7" i="21" s="1"/>
  <c r="M65" i="2"/>
  <c r="M60" i="1"/>
  <c r="D39" i="21" s="1"/>
  <c r="AD71" i="22"/>
  <c r="AD70" i="22" s="1"/>
  <c r="E75" i="22"/>
  <c r="V70" i="1"/>
  <c r="V68" i="1" s="1"/>
  <c r="N71" i="1"/>
  <c r="W8" i="21"/>
  <c r="W7" i="21" s="1"/>
  <c r="P8" i="21"/>
  <c r="P7" i="21" s="1"/>
  <c r="AB8" i="21"/>
  <c r="AB7" i="21" s="1"/>
  <c r="AN8" i="21"/>
  <c r="AN7" i="21" s="1"/>
  <c r="V8" i="22"/>
  <c r="V7" i="22" s="1"/>
  <c r="AH8" i="22"/>
  <c r="AH7" i="22" s="1"/>
  <c r="K8" i="21"/>
  <c r="K7" i="21" s="1"/>
  <c r="F21" i="1"/>
  <c r="S71" i="22"/>
  <c r="S70" i="22" s="1"/>
  <c r="AE71" i="22"/>
  <c r="AE70" i="22" s="1"/>
  <c r="AE47" i="21"/>
  <c r="S47" i="21"/>
  <c r="S47" i="22"/>
  <c r="AE47" i="22"/>
  <c r="T71" i="22"/>
  <c r="T70" i="22" s="1"/>
  <c r="AF71" i="22"/>
  <c r="AF70" i="22" s="1"/>
  <c r="N71" i="22"/>
  <c r="N70" i="22" s="1"/>
  <c r="Z71" i="22"/>
  <c r="Z70" i="22" s="1"/>
  <c r="AL71" i="22"/>
  <c r="AL70" i="22" s="1"/>
  <c r="F30" i="1"/>
  <c r="T47" i="22"/>
  <c r="AF47" i="22"/>
  <c r="M71" i="22"/>
  <c r="M70" i="22" s="1"/>
  <c r="Y71" i="22"/>
  <c r="Y70" i="22" s="1"/>
  <c r="AK71" i="22"/>
  <c r="AK70" i="22" s="1"/>
  <c r="E79" i="22"/>
  <c r="U47" i="22"/>
  <c r="AG47" i="22"/>
  <c r="F28" i="1"/>
  <c r="V47" i="22"/>
  <c r="AH47" i="22"/>
  <c r="W71" i="22"/>
  <c r="W70" i="22" s="1"/>
  <c r="AI71" i="22"/>
  <c r="AI70" i="22" s="1"/>
  <c r="Q71" i="22"/>
  <c r="Q70" i="22" s="1"/>
  <c r="AC71" i="22"/>
  <c r="AC70" i="22" s="1"/>
  <c r="E21" i="22"/>
  <c r="E76" i="22"/>
  <c r="E15" i="22"/>
  <c r="J72" i="22"/>
  <c r="J71" i="22" s="1"/>
  <c r="J70" i="22" s="1"/>
  <c r="E73" i="22"/>
  <c r="L5" i="22"/>
  <c r="M47" i="22"/>
  <c r="Y47" i="22"/>
  <c r="AK47" i="22"/>
  <c r="K6" i="22"/>
  <c r="N84" i="1"/>
  <c r="N81" i="1"/>
  <c r="R47" i="21"/>
  <c r="M47" i="21"/>
  <c r="AJ47" i="21"/>
  <c r="O47" i="21"/>
  <c r="AH47" i="21"/>
  <c r="V47" i="21"/>
  <c r="U47" i="21"/>
  <c r="AF47" i="21"/>
  <c r="Q47" i="21"/>
  <c r="AB47" i="21"/>
  <c r="P47" i="21"/>
  <c r="AM47" i="21"/>
  <c r="AA47" i="21"/>
  <c r="AG47" i="21"/>
  <c r="T47" i="21"/>
  <c r="AN47" i="21"/>
  <c r="AC47" i="21"/>
  <c r="W47" i="21"/>
  <c r="AI47" i="21"/>
  <c r="X47" i="21"/>
  <c r="Y47" i="21"/>
  <c r="AK47" i="21"/>
  <c r="N47" i="21"/>
  <c r="Z47" i="21"/>
  <c r="AL47" i="21"/>
  <c r="O71" i="21"/>
  <c r="O70" i="21" s="1"/>
  <c r="AA71" i="21"/>
  <c r="AA70" i="21" s="1"/>
  <c r="AM71" i="21"/>
  <c r="AM70" i="21" s="1"/>
  <c r="V71" i="21"/>
  <c r="V70" i="21" s="1"/>
  <c r="AH71" i="21"/>
  <c r="AH70" i="21" s="1"/>
  <c r="U71" i="21"/>
  <c r="U70" i="21" s="1"/>
  <c r="AG71" i="21"/>
  <c r="AG70" i="21" s="1"/>
  <c r="M71" i="21"/>
  <c r="M70" i="21" s="1"/>
  <c r="Y71" i="21"/>
  <c r="Y70" i="21" s="1"/>
  <c r="AK71" i="21"/>
  <c r="AK70" i="21" s="1"/>
  <c r="Q71" i="21"/>
  <c r="Q70" i="21" s="1"/>
  <c r="AC71" i="21"/>
  <c r="AC70" i="21" s="1"/>
  <c r="E75" i="21"/>
  <c r="N71" i="21"/>
  <c r="N70" i="21" s="1"/>
  <c r="Z71" i="21"/>
  <c r="Z70" i="21" s="1"/>
  <c r="AL71" i="21"/>
  <c r="AL70" i="21" s="1"/>
  <c r="E79" i="21"/>
  <c r="E39" i="21"/>
  <c r="E77" i="21"/>
  <c r="R71" i="21"/>
  <c r="R70" i="21" s="1"/>
  <c r="AD71" i="21"/>
  <c r="AD70" i="21" s="1"/>
  <c r="S71" i="21"/>
  <c r="S70" i="21" s="1"/>
  <c r="AE71" i="21"/>
  <c r="AE70" i="21" s="1"/>
  <c r="P71" i="21"/>
  <c r="P70" i="21" s="1"/>
  <c r="AB71" i="21"/>
  <c r="AB70" i="21" s="1"/>
  <c r="AN71" i="21"/>
  <c r="AN70" i="21" s="1"/>
  <c r="T71" i="21"/>
  <c r="T70" i="21" s="1"/>
  <c r="AF71" i="21"/>
  <c r="AF70" i="21" s="1"/>
  <c r="E76" i="21"/>
  <c r="K71" i="21"/>
  <c r="K70" i="21" s="1"/>
  <c r="L71" i="21"/>
  <c r="L70" i="21" s="1"/>
  <c r="X71" i="21"/>
  <c r="X70" i="21" s="1"/>
  <c r="AJ71" i="21"/>
  <c r="AJ70" i="21" s="1"/>
  <c r="E74" i="21"/>
  <c r="W71" i="21"/>
  <c r="W70" i="21" s="1"/>
  <c r="AI71" i="21"/>
  <c r="AI70" i="21" s="1"/>
  <c r="E73" i="21"/>
  <c r="E72" i="21"/>
  <c r="L5" i="21"/>
  <c r="D118" i="1"/>
  <c r="D119" i="1"/>
  <c r="D120" i="1"/>
  <c r="D121" i="1"/>
  <c r="D122" i="1"/>
  <c r="D115" i="1"/>
  <c r="D104" i="1"/>
  <c r="D96" i="1"/>
  <c r="D113" i="1"/>
  <c r="Z93" i="1"/>
  <c r="Z92" i="1"/>
  <c r="Z91" i="1"/>
  <c r="R91" i="1"/>
  <c r="D91" i="1"/>
  <c r="B8" i="1"/>
  <c r="AK115" i="1"/>
  <c r="AK114" i="1"/>
  <c r="AK113" i="1"/>
  <c r="AK112" i="1"/>
  <c r="AK111" i="1"/>
  <c r="T98" i="2"/>
  <c r="AJ94" i="1" s="1"/>
  <c r="AC115" i="1"/>
  <c r="AC114" i="1"/>
  <c r="AC113" i="1"/>
  <c r="AC112" i="1"/>
  <c r="AC111" i="1"/>
  <c r="U123" i="1"/>
  <c r="D47" i="24" s="1"/>
  <c r="F47" i="24" s="1"/>
  <c r="G47" i="24" s="1"/>
  <c r="U115" i="1"/>
  <c r="U114" i="1"/>
  <c r="U113" i="1"/>
  <c r="U112" i="1"/>
  <c r="T90" i="1"/>
  <c r="M13" i="1"/>
  <c r="N13" i="1"/>
  <c r="L13" i="1"/>
  <c r="O13" i="1"/>
  <c r="L14" i="1"/>
  <c r="L12" i="1"/>
  <c r="D106" i="1"/>
  <c r="D123" i="1"/>
  <c r="D110" i="1"/>
  <c r="D111" i="1"/>
  <c r="D112" i="1"/>
  <c r="D105" i="1"/>
  <c r="D101" i="1"/>
  <c r="D97" i="1"/>
  <c r="D98" i="1"/>
  <c r="D99" i="1"/>
  <c r="D100" i="1"/>
  <c r="D94" i="1"/>
  <c r="C124" i="1"/>
  <c r="C126" i="1"/>
  <c r="C127" i="1"/>
  <c r="C128" i="1"/>
  <c r="C129" i="1"/>
  <c r="C130" i="1"/>
  <c r="C131" i="1"/>
  <c r="M65" i="1"/>
  <c r="D44" i="21" s="1"/>
  <c r="D67" i="1"/>
  <c r="D56" i="2"/>
  <c r="H71" i="2"/>
  <c r="L67" i="1" s="1"/>
  <c r="M61" i="1"/>
  <c r="D40" i="21" s="1"/>
  <c r="U62" i="1"/>
  <c r="D41" i="22" s="1"/>
  <c r="U64" i="1"/>
  <c r="D43" i="22" s="1"/>
  <c r="U65" i="1"/>
  <c r="D44" i="22" s="1"/>
  <c r="U66" i="1"/>
  <c r="D45" i="22" s="1"/>
  <c r="I29" i="2"/>
  <c r="D30" i="2"/>
  <c r="C49" i="1"/>
  <c r="S49" i="1"/>
  <c r="K49" i="1"/>
  <c r="K89" i="1"/>
  <c r="K51" i="1"/>
  <c r="M62" i="1"/>
  <c r="M63" i="1"/>
  <c r="M66" i="1"/>
  <c r="D45" i="21" s="1"/>
  <c r="L52" i="1"/>
  <c r="F66" i="1"/>
  <c r="F57" i="1"/>
  <c r="R82" i="1"/>
  <c r="R75" i="1"/>
  <c r="K67" i="1"/>
  <c r="K52" i="1"/>
  <c r="J82" i="1"/>
  <c r="D84" i="1"/>
  <c r="D85" i="1"/>
  <c r="D86" i="1"/>
  <c r="C89" i="1"/>
  <c r="L71" i="2"/>
  <c r="T67" i="1" s="1"/>
  <c r="J50" i="1"/>
  <c r="B90" i="1"/>
  <c r="B89" i="1"/>
  <c r="B52" i="1"/>
  <c r="C51" i="1"/>
  <c r="C50" i="1"/>
  <c r="L141" i="2"/>
  <c r="L129" i="2"/>
  <c r="H141" i="2"/>
  <c r="K47" i="26"/>
  <c r="T52" i="1"/>
  <c r="F47" i="1"/>
  <c r="E47" i="1"/>
  <c r="D47" i="1"/>
  <c r="C27" i="1"/>
  <c r="C17" i="1"/>
  <c r="C18" i="1"/>
  <c r="C19" i="1"/>
  <c r="C20" i="1"/>
  <c r="C21" i="1"/>
  <c r="C22" i="1"/>
  <c r="C23" i="1"/>
  <c r="S26" i="1"/>
  <c r="B45" i="1"/>
  <c r="O32" i="1"/>
  <c r="H47" i="1"/>
  <c r="G47" i="1"/>
  <c r="S41" i="1"/>
  <c r="S42" i="1"/>
  <c r="S43" i="1"/>
  <c r="S44" i="1"/>
  <c r="S40" i="1"/>
  <c r="S39" i="1"/>
  <c r="S38" i="1"/>
  <c r="S37" i="1"/>
  <c r="I38" i="1"/>
  <c r="J36" i="1"/>
  <c r="D129" i="2"/>
  <c r="D125" i="1" s="1"/>
  <c r="H28" i="2"/>
  <c r="E28" i="2"/>
  <c r="C28" i="1"/>
  <c r="D36" i="1"/>
  <c r="C44" i="1"/>
  <c r="C38" i="1"/>
  <c r="C39" i="1"/>
  <c r="C40" i="1"/>
  <c r="C41" i="1"/>
  <c r="C42" i="1"/>
  <c r="C43" i="1"/>
  <c r="C37" i="1"/>
  <c r="I142" i="2" l="1"/>
  <c r="M138" i="1" s="1"/>
  <c r="M76" i="1"/>
  <c r="M80" i="2"/>
  <c r="V105" i="1"/>
  <c r="AD105" i="1"/>
  <c r="N105" i="1"/>
  <c r="AL105" i="1"/>
  <c r="F141" i="1"/>
  <c r="M73" i="2"/>
  <c r="AL104" i="1"/>
  <c r="AD104" i="1"/>
  <c r="N104" i="1"/>
  <c r="F140" i="1"/>
  <c r="V104" i="1"/>
  <c r="C15" i="1"/>
  <c r="V106" i="1"/>
  <c r="AL106" i="1"/>
  <c r="AD106" i="1"/>
  <c r="N106" i="1"/>
  <c r="L31" i="1"/>
  <c r="AD107" i="1"/>
  <c r="V107" i="1"/>
  <c r="N107" i="1"/>
  <c r="AL107" i="1"/>
  <c r="F139" i="1"/>
  <c r="AL103" i="1"/>
  <c r="N103" i="1"/>
  <c r="V103" i="1"/>
  <c r="AD103" i="1"/>
  <c r="L32" i="1"/>
  <c r="AD108" i="1"/>
  <c r="N108" i="1"/>
  <c r="AL108" i="1"/>
  <c r="V108" i="1"/>
  <c r="E81" i="2"/>
  <c r="M108" i="2"/>
  <c r="I108" i="2"/>
  <c r="E108" i="2"/>
  <c r="H142" i="2"/>
  <c r="L139" i="1"/>
  <c r="W2" i="11"/>
  <c r="O4" i="16"/>
  <c r="P4" i="16"/>
  <c r="U102" i="2"/>
  <c r="M102" i="2"/>
  <c r="Q102" i="2"/>
  <c r="Q108" i="2"/>
  <c r="U76" i="1"/>
  <c r="D56" i="22" s="1"/>
  <c r="F56" i="22" s="1"/>
  <c r="G56" i="22" s="1"/>
  <c r="U108" i="2"/>
  <c r="F29" i="2"/>
  <c r="J29" i="2"/>
  <c r="P27" i="1"/>
  <c r="P26" i="1" s="1"/>
  <c r="F84" i="1"/>
  <c r="F148" i="1"/>
  <c r="F82" i="1"/>
  <c r="F80" i="1"/>
  <c r="K55" i="22"/>
  <c r="E58" i="22"/>
  <c r="V78" i="1" s="1"/>
  <c r="F78" i="1" s="1"/>
  <c r="F81" i="1"/>
  <c r="N75" i="1"/>
  <c r="L36" i="1"/>
  <c r="D45" i="24"/>
  <c r="D46" i="26"/>
  <c r="AE115" i="1"/>
  <c r="AF115" i="1" s="1"/>
  <c r="D46" i="28"/>
  <c r="F46" i="28" s="1"/>
  <c r="G46" i="28" s="1"/>
  <c r="AM115" i="1"/>
  <c r="AN115" i="1" s="1"/>
  <c r="W123" i="1"/>
  <c r="X123" i="1" s="1"/>
  <c r="W115" i="1"/>
  <c r="X115" i="1" s="1"/>
  <c r="D46" i="24"/>
  <c r="D42" i="26"/>
  <c r="D42" i="28"/>
  <c r="F40" i="21"/>
  <c r="G40" i="21" s="1"/>
  <c r="AE112" i="1"/>
  <c r="AF112" i="1" s="1"/>
  <c r="D43" i="26"/>
  <c r="F43" i="26" s="1"/>
  <c r="G43" i="26" s="1"/>
  <c r="D43" i="28"/>
  <c r="F43" i="28" s="1"/>
  <c r="G43" i="28" s="1"/>
  <c r="D43" i="24"/>
  <c r="AE113" i="1"/>
  <c r="AF113" i="1" s="1"/>
  <c r="D44" i="26"/>
  <c r="AM113" i="1"/>
  <c r="AN113" i="1" s="1"/>
  <c r="AO113" i="1" s="1"/>
  <c r="D44" i="28"/>
  <c r="D44" i="24"/>
  <c r="W113" i="1"/>
  <c r="X113" i="1" s="1"/>
  <c r="D45" i="26"/>
  <c r="AM114" i="1"/>
  <c r="AN114" i="1" s="1"/>
  <c r="D45" i="28"/>
  <c r="F115" i="1"/>
  <c r="P30" i="1"/>
  <c r="G123" i="1"/>
  <c r="N68" i="1"/>
  <c r="E55" i="21"/>
  <c r="O82" i="1"/>
  <c r="E57" i="22"/>
  <c r="J55" i="22"/>
  <c r="I28" i="1"/>
  <c r="L27" i="1"/>
  <c r="I27" i="1"/>
  <c r="O2" i="6"/>
  <c r="O16" i="6"/>
  <c r="P8" i="26"/>
  <c r="T8" i="26"/>
  <c r="DB8" i="26"/>
  <c r="N8" i="26"/>
  <c r="AA8" i="24"/>
  <c r="AA19" i="24" s="1"/>
  <c r="F96" i="1"/>
  <c r="DG8" i="6"/>
  <c r="DG19" i="6" s="1"/>
  <c r="BO8" i="6"/>
  <c r="BO19" i="6" s="1"/>
  <c r="BC8" i="6"/>
  <c r="BC19" i="6" s="1"/>
  <c r="E19" i="6"/>
  <c r="M112" i="1"/>
  <c r="O112" i="1" s="1"/>
  <c r="L65" i="2"/>
  <c r="L64" i="2" s="1"/>
  <c r="M64" i="2"/>
  <c r="U60" i="1" s="1"/>
  <c r="D39" i="22" s="1"/>
  <c r="F39" i="22" s="1"/>
  <c r="M111" i="1"/>
  <c r="L62" i="1"/>
  <c r="M143" i="2"/>
  <c r="T123" i="1"/>
  <c r="F47" i="26"/>
  <c r="G47" i="26" s="1"/>
  <c r="M126" i="1"/>
  <c r="O126" i="1" s="1"/>
  <c r="P126" i="1" s="1"/>
  <c r="L115" i="1"/>
  <c r="E101" i="2"/>
  <c r="T114" i="1"/>
  <c r="K47" i="28"/>
  <c r="L112" i="1"/>
  <c r="L111" i="1"/>
  <c r="M83" i="1"/>
  <c r="D63" i="21" s="1"/>
  <c r="L30" i="1"/>
  <c r="L29" i="1"/>
  <c r="V2" i="16"/>
  <c r="W1" i="16"/>
  <c r="X2" i="11"/>
  <c r="Y1" i="11"/>
  <c r="DR8" i="28"/>
  <c r="DS8" i="28" s="1"/>
  <c r="DS19" i="28" s="1"/>
  <c r="CX8" i="28"/>
  <c r="CY8" i="28" s="1"/>
  <c r="CY19" i="28" s="1"/>
  <c r="CP8" i="28"/>
  <c r="CQ8" i="28" s="1"/>
  <c r="CQ19" i="28" s="1"/>
  <c r="BZ8" i="28"/>
  <c r="CA8" i="28" s="1"/>
  <c r="CA19" i="28" s="1"/>
  <c r="BN8" i="28"/>
  <c r="AZ8" i="28"/>
  <c r="AT8" i="28"/>
  <c r="AD8" i="28"/>
  <c r="EB8" i="28"/>
  <c r="DF8" i="28"/>
  <c r="O8" i="28"/>
  <c r="O19" i="28" s="1"/>
  <c r="BF8" i="28"/>
  <c r="V8" i="28"/>
  <c r="DV8" i="28"/>
  <c r="AL8" i="28"/>
  <c r="AM8" i="28" s="1"/>
  <c r="AM19" i="28" s="1"/>
  <c r="CD8" i="28"/>
  <c r="DB8" i="28"/>
  <c r="AP8" i="28"/>
  <c r="AH8" i="28"/>
  <c r="AI8" i="28" s="1"/>
  <c r="AI19" i="28" s="1"/>
  <c r="BJ8" i="28"/>
  <c r="CL8" i="28"/>
  <c r="BR8" i="28"/>
  <c r="BO8" i="28"/>
  <c r="BO19" i="28" s="1"/>
  <c r="EA8" i="28"/>
  <c r="EA19" i="28" s="1"/>
  <c r="CE8" i="28"/>
  <c r="CE19" i="28" s="1"/>
  <c r="CN8" i="28"/>
  <c r="DJ8" i="28"/>
  <c r="E42" i="28"/>
  <c r="AL111" i="1" s="1"/>
  <c r="DO8" i="28"/>
  <c r="DO19" i="28" s="1"/>
  <c r="AX8" i="28"/>
  <c r="E15" i="28"/>
  <c r="AL91" i="1" s="1"/>
  <c r="A26" i="28"/>
  <c r="K3" i="28"/>
  <c r="AU8" i="28"/>
  <c r="AU19" i="28" s="1"/>
  <c r="BV8" i="28"/>
  <c r="H19" i="28"/>
  <c r="AL116" i="1" s="1"/>
  <c r="Z8" i="28"/>
  <c r="AE8" i="28"/>
  <c r="AE19" i="28" s="1"/>
  <c r="CT8" i="28"/>
  <c r="G58" i="28"/>
  <c r="CI8" i="28"/>
  <c r="CI19" i="28" s="1"/>
  <c r="BB8" i="28"/>
  <c r="G51" i="28"/>
  <c r="ED8" i="28"/>
  <c r="EE8" i="28" s="1"/>
  <c r="EE19" i="28" s="1"/>
  <c r="G56" i="28"/>
  <c r="G52" i="28"/>
  <c r="G54" i="28"/>
  <c r="G57" i="28"/>
  <c r="G53" i="28"/>
  <c r="DJ8" i="26"/>
  <c r="AT8" i="26"/>
  <c r="G57" i="26"/>
  <c r="AH8" i="26"/>
  <c r="AD8" i="26"/>
  <c r="G52" i="26"/>
  <c r="G55" i="26"/>
  <c r="BZ8" i="26"/>
  <c r="CA8" i="26" s="1"/>
  <c r="CA19" i="26" s="1"/>
  <c r="DV8" i="26"/>
  <c r="DW8" i="26" s="1"/>
  <c r="DW19" i="26" s="1"/>
  <c r="V11" i="26"/>
  <c r="AX8" i="26"/>
  <c r="CP8" i="26"/>
  <c r="CQ8" i="26" s="1"/>
  <c r="CQ19" i="26" s="1"/>
  <c r="W11" i="26"/>
  <c r="M8" i="26"/>
  <c r="O8" i="26" s="1"/>
  <c r="O19" i="26" s="1"/>
  <c r="X11" i="26"/>
  <c r="AP8" i="26"/>
  <c r="Y10" i="26"/>
  <c r="Z11" i="26" s="1"/>
  <c r="G53" i="26"/>
  <c r="DZ8" i="26"/>
  <c r="BB8" i="26"/>
  <c r="AR8" i="26"/>
  <c r="CX8" i="26"/>
  <c r="ED8" i="26"/>
  <c r="G51" i="26"/>
  <c r="G56" i="26"/>
  <c r="DR8" i="26"/>
  <c r="BN8" i="26"/>
  <c r="G58" i="26"/>
  <c r="CH8" i="26"/>
  <c r="DS8" i="24"/>
  <c r="DS19" i="24" s="1"/>
  <c r="DG8" i="24"/>
  <c r="DG19" i="24" s="1"/>
  <c r="CY8" i="24"/>
  <c r="CY19" i="24" s="1"/>
  <c r="AE8" i="24"/>
  <c r="AE19" i="24" s="1"/>
  <c r="S8" i="24"/>
  <c r="S19" i="24" s="1"/>
  <c r="EE8" i="6"/>
  <c r="EE19" i="6" s="1"/>
  <c r="EA8" i="6"/>
  <c r="EA19" i="6" s="1"/>
  <c r="DC8" i="6"/>
  <c r="DC19" i="6" s="1"/>
  <c r="BW8" i="6"/>
  <c r="BW19" i="6" s="1"/>
  <c r="AM8" i="6"/>
  <c r="AM19" i="6" s="1"/>
  <c r="AA8" i="6"/>
  <c r="AA19" i="6" s="1"/>
  <c r="DC8" i="26"/>
  <c r="DC19" i="26" s="1"/>
  <c r="AU8" i="26"/>
  <c r="AU19" i="26" s="1"/>
  <c r="BK8" i="26"/>
  <c r="BK19" i="26" s="1"/>
  <c r="CT8" i="26"/>
  <c r="CL8" i="26"/>
  <c r="BR8" i="26"/>
  <c r="Z8" i="26"/>
  <c r="AB11" i="26"/>
  <c r="BG8" i="26"/>
  <c r="BG19" i="26" s="1"/>
  <c r="DN8" i="26"/>
  <c r="CD8" i="26"/>
  <c r="V8" i="26"/>
  <c r="AI8" i="26"/>
  <c r="AI19" i="26" s="1"/>
  <c r="AE8" i="26"/>
  <c r="AE19" i="26" s="1"/>
  <c r="DG8" i="26"/>
  <c r="DG19" i="26" s="1"/>
  <c r="BV8" i="26"/>
  <c r="R8" i="26"/>
  <c r="E45" i="26"/>
  <c r="AD114" i="1" s="1"/>
  <c r="AE114" i="1" s="1"/>
  <c r="AF114" i="1" s="1"/>
  <c r="K6" i="26"/>
  <c r="AD100" i="1"/>
  <c r="AL8" i="26"/>
  <c r="V11" i="24"/>
  <c r="Y10" i="24"/>
  <c r="M8" i="24"/>
  <c r="O8" i="24" s="1"/>
  <c r="O19" i="24" s="1"/>
  <c r="A56" i="26"/>
  <c r="E15" i="24"/>
  <c r="V91" i="1" s="1"/>
  <c r="X11" i="24"/>
  <c r="A56" i="28"/>
  <c r="A57" i="26"/>
  <c r="W11" i="24"/>
  <c r="P8" i="24"/>
  <c r="A44" i="24"/>
  <c r="A57" i="28"/>
  <c r="A57" i="24"/>
  <c r="E19" i="24"/>
  <c r="V95" i="1" s="1"/>
  <c r="V97" i="1"/>
  <c r="N17" i="6"/>
  <c r="E15" i="6"/>
  <c r="K3" i="6"/>
  <c r="A51" i="24"/>
  <c r="A58" i="28"/>
  <c r="A51" i="26"/>
  <c r="A58" i="26"/>
  <c r="A54" i="28"/>
  <c r="A54" i="26"/>
  <c r="A55" i="24"/>
  <c r="A58" i="6"/>
  <c r="A55" i="26"/>
  <c r="A53" i="26"/>
  <c r="A53" i="28"/>
  <c r="A52" i="28"/>
  <c r="A52" i="26"/>
  <c r="A53" i="24"/>
  <c r="G53" i="24"/>
  <c r="G54" i="24"/>
  <c r="G55" i="24"/>
  <c r="F36" i="1"/>
  <c r="H36" i="28"/>
  <c r="I6" i="28" s="1"/>
  <c r="AL121" i="1" s="1"/>
  <c r="H26" i="28"/>
  <c r="I3" i="28" s="1"/>
  <c r="AL118" i="1" s="1"/>
  <c r="O3" i="28"/>
  <c r="A44" i="28"/>
  <c r="H32" i="28"/>
  <c r="I4" i="28" s="1"/>
  <c r="AL119" i="1" s="1"/>
  <c r="E43" i="28"/>
  <c r="AL112" i="1" s="1"/>
  <c r="AM112" i="1" s="1"/>
  <c r="AN112" i="1" s="1"/>
  <c r="K2" i="28"/>
  <c r="A20" i="28"/>
  <c r="A32" i="28"/>
  <c r="K4" i="28"/>
  <c r="AC10" i="28"/>
  <c r="Y11" i="28"/>
  <c r="AA11" i="28"/>
  <c r="AB11" i="28"/>
  <c r="Z11" i="28"/>
  <c r="A46" i="28"/>
  <c r="E45" i="28"/>
  <c r="AL114" i="1" s="1"/>
  <c r="H20" i="28"/>
  <c r="I2" i="28" s="1"/>
  <c r="E16" i="28"/>
  <c r="AL92" i="1" s="1"/>
  <c r="E41" i="28"/>
  <c r="AL110" i="1" s="1"/>
  <c r="AM110" i="1" s="1"/>
  <c r="AN110" i="1" s="1"/>
  <c r="E19" i="28"/>
  <c r="AL95" i="1" s="1"/>
  <c r="A32" i="26"/>
  <c r="K4" i="26"/>
  <c r="H19" i="26"/>
  <c r="AD116" i="1" s="1"/>
  <c r="A20" i="26"/>
  <c r="K2" i="26"/>
  <c r="H26" i="26"/>
  <c r="I3" i="26" s="1"/>
  <c r="AD118" i="1" s="1"/>
  <c r="E43" i="26"/>
  <c r="AD112" i="1" s="1"/>
  <c r="H36" i="26"/>
  <c r="I6" i="26" s="1"/>
  <c r="AD121" i="1" s="1"/>
  <c r="A26" i="26"/>
  <c r="K3" i="26"/>
  <c r="A44" i="26"/>
  <c r="H32" i="26"/>
  <c r="I4" i="26" s="1"/>
  <c r="AD119" i="1" s="1"/>
  <c r="O4" i="26"/>
  <c r="H20" i="26"/>
  <c r="I2" i="26" s="1"/>
  <c r="AD117" i="1" s="1"/>
  <c r="O2" i="26"/>
  <c r="A46" i="26"/>
  <c r="E19" i="26"/>
  <c r="AD95" i="1" s="1"/>
  <c r="E42" i="26"/>
  <c r="AD111" i="1" s="1"/>
  <c r="AE111" i="1" s="1"/>
  <c r="AF111" i="1" s="1"/>
  <c r="E16" i="26"/>
  <c r="AD92" i="1" s="1"/>
  <c r="E15" i="26"/>
  <c r="AD91" i="1" s="1"/>
  <c r="Q12" i="24"/>
  <c r="G56" i="24"/>
  <c r="G58" i="24"/>
  <c r="G52" i="24"/>
  <c r="G57" i="24"/>
  <c r="E45" i="24"/>
  <c r="H19" i="24"/>
  <c r="V116" i="1" s="1"/>
  <c r="A46" i="6"/>
  <c r="A44" i="6"/>
  <c r="H36" i="24"/>
  <c r="I6" i="24" s="1"/>
  <c r="V121" i="1" s="1"/>
  <c r="H32" i="24"/>
  <c r="I4" i="24" s="1"/>
  <c r="O4" i="24"/>
  <c r="K2" i="24"/>
  <c r="J2" i="24" s="1"/>
  <c r="A20" i="24"/>
  <c r="E16" i="24"/>
  <c r="V92" i="1" s="1"/>
  <c r="A36" i="24"/>
  <c r="K6" i="24"/>
  <c r="Y11" i="24"/>
  <c r="AC10" i="24"/>
  <c r="AB11" i="24"/>
  <c r="AA11" i="24"/>
  <c r="Z11" i="24"/>
  <c r="E43" i="24"/>
  <c r="V112" i="1" s="1"/>
  <c r="W112" i="1" s="1"/>
  <c r="X112" i="1" s="1"/>
  <c r="I3" i="24"/>
  <c r="V118" i="1" s="1"/>
  <c r="O3" i="24"/>
  <c r="A32" i="24"/>
  <c r="K4" i="24"/>
  <c r="H20" i="24"/>
  <c r="V117" i="1" s="1"/>
  <c r="O2" i="24"/>
  <c r="E42" i="24"/>
  <c r="A46" i="24"/>
  <c r="A26" i="24"/>
  <c r="K3" i="24"/>
  <c r="N118" i="1"/>
  <c r="O4" i="6"/>
  <c r="H32" i="6"/>
  <c r="I4" i="6" s="1"/>
  <c r="N119" i="1" s="1"/>
  <c r="N121" i="1"/>
  <c r="E16" i="6"/>
  <c r="A16" i="6" s="1"/>
  <c r="F16" i="1"/>
  <c r="A26" i="6"/>
  <c r="G55" i="6"/>
  <c r="G56" i="6"/>
  <c r="G58" i="6"/>
  <c r="G57" i="6"/>
  <c r="G54" i="6"/>
  <c r="G53" i="6"/>
  <c r="G52" i="6"/>
  <c r="E8" i="22"/>
  <c r="E7" i="22" s="1"/>
  <c r="E74" i="2"/>
  <c r="L28" i="1"/>
  <c r="F26" i="1"/>
  <c r="C46" i="22"/>
  <c r="C46" i="21"/>
  <c r="E72" i="22"/>
  <c r="E71" i="22" s="1"/>
  <c r="C29" i="21"/>
  <c r="C29" i="22"/>
  <c r="U63" i="1"/>
  <c r="D42" i="22" s="1"/>
  <c r="U61" i="1"/>
  <c r="D40" i="22" s="1"/>
  <c r="F18" i="1"/>
  <c r="F17" i="1"/>
  <c r="E8" i="21"/>
  <c r="D42" i="21"/>
  <c r="D41" i="21"/>
  <c r="L6" i="22"/>
  <c r="M5" i="22"/>
  <c r="E71" i="21"/>
  <c r="M5" i="21"/>
  <c r="L6" i="21"/>
  <c r="T63" i="1"/>
  <c r="W62" i="1"/>
  <c r="X62" i="1" s="1"/>
  <c r="O61" i="1"/>
  <c r="P61" i="1" s="1"/>
  <c r="W65" i="1"/>
  <c r="X65" i="1" s="1"/>
  <c r="V53" i="1"/>
  <c r="W64" i="1"/>
  <c r="X64" i="1" s="1"/>
  <c r="O66" i="1"/>
  <c r="P66" i="1" s="1"/>
  <c r="W66" i="1"/>
  <c r="X66" i="1" s="1"/>
  <c r="F58" i="1"/>
  <c r="V60" i="1"/>
  <c r="O64" i="1"/>
  <c r="P64" i="1" s="1"/>
  <c r="O65" i="1"/>
  <c r="P65" i="1" s="1"/>
  <c r="F55" i="1"/>
  <c r="U28" i="1" s="1"/>
  <c r="T64" i="1"/>
  <c r="T65" i="1"/>
  <c r="C36" i="1"/>
  <c r="P9" i="1"/>
  <c r="P10" i="1"/>
  <c r="S14" i="1"/>
  <c r="R14" i="1"/>
  <c r="P7" i="1"/>
  <c r="M12" i="1"/>
  <c r="N12" i="1"/>
  <c r="P12" i="1"/>
  <c r="M14" i="1"/>
  <c r="N14" i="1"/>
  <c r="AD102" i="1" l="1"/>
  <c r="V102" i="1"/>
  <c r="AL102" i="1"/>
  <c r="F103" i="1"/>
  <c r="N102" i="1"/>
  <c r="L138" i="1"/>
  <c r="F138" i="1"/>
  <c r="N138" i="1" s="1"/>
  <c r="V138" i="1" s="1"/>
  <c r="G139" i="1"/>
  <c r="F105" i="1"/>
  <c r="E70" i="1"/>
  <c r="I74" i="2"/>
  <c r="F107" i="1"/>
  <c r="D43" i="6"/>
  <c r="F43" i="6" s="1"/>
  <c r="G43" i="6" s="1"/>
  <c r="M81" i="2"/>
  <c r="I81" i="2"/>
  <c r="F104" i="1"/>
  <c r="I101" i="2"/>
  <c r="F146" i="1"/>
  <c r="F108" i="1"/>
  <c r="F160" i="1"/>
  <c r="F168" i="1"/>
  <c r="F153" i="1"/>
  <c r="G153" i="1" s="1"/>
  <c r="H153" i="1" s="1"/>
  <c r="H123" i="1"/>
  <c r="I123" i="1" s="1"/>
  <c r="D56" i="21"/>
  <c r="F56" i="21" s="1"/>
  <c r="G56" i="21" s="1"/>
  <c r="O76" i="1"/>
  <c r="P76" i="1" s="1"/>
  <c r="O103" i="1"/>
  <c r="P103" i="1" s="1"/>
  <c r="F106" i="1"/>
  <c r="W76" i="1"/>
  <c r="X76" i="1" s="1"/>
  <c r="G29" i="2"/>
  <c r="G39" i="22"/>
  <c r="U101" i="2"/>
  <c r="M101" i="2"/>
  <c r="Q101" i="2"/>
  <c r="M142" i="2"/>
  <c r="L143" i="2"/>
  <c r="L142" i="2" s="1"/>
  <c r="F112" i="1"/>
  <c r="E40" i="24"/>
  <c r="F40" i="24" s="1"/>
  <c r="G40" i="24" s="1"/>
  <c r="O110" i="1"/>
  <c r="P110" i="1" s="1"/>
  <c r="N109" i="1"/>
  <c r="F40" i="6"/>
  <c r="G40" i="6" s="1"/>
  <c r="F118" i="1"/>
  <c r="W60" i="1"/>
  <c r="Y62" i="1"/>
  <c r="Q27" i="1"/>
  <c r="F42" i="26"/>
  <c r="G42" i="26" s="1"/>
  <c r="O111" i="1"/>
  <c r="P111" i="1" s="1"/>
  <c r="O83" i="1"/>
  <c r="P83" i="1" s="1"/>
  <c r="F43" i="24"/>
  <c r="G43" i="24" s="1"/>
  <c r="P112" i="1"/>
  <c r="AO115" i="1"/>
  <c r="AM111" i="1"/>
  <c r="AN111" i="1" s="1"/>
  <c r="AN109" i="1" s="1"/>
  <c r="AO109" i="1" s="1"/>
  <c r="Y123" i="1"/>
  <c r="P29" i="1"/>
  <c r="AO112" i="1"/>
  <c r="Y66" i="1"/>
  <c r="AO114" i="1"/>
  <c r="F63" i="21"/>
  <c r="G63" i="21" s="1"/>
  <c r="Q66" i="1"/>
  <c r="Q64" i="1"/>
  <c r="Q65" i="1"/>
  <c r="I83" i="1"/>
  <c r="E55" i="22"/>
  <c r="V77" i="1"/>
  <c r="D42" i="6"/>
  <c r="F42" i="6" s="1"/>
  <c r="G42" i="6" s="1"/>
  <c r="F42" i="28"/>
  <c r="G42" i="28" s="1"/>
  <c r="F42" i="24"/>
  <c r="G42" i="24" s="1"/>
  <c r="V111" i="1"/>
  <c r="V119" i="1"/>
  <c r="Y110" i="1"/>
  <c r="N91" i="1"/>
  <c r="F91" i="1" s="1"/>
  <c r="U83" i="1"/>
  <c r="T60" i="1"/>
  <c r="AG123" i="1"/>
  <c r="O3" i="11"/>
  <c r="F47" i="28"/>
  <c r="G47" i="28" s="1"/>
  <c r="T115" i="1"/>
  <c r="Y115" i="1" s="1"/>
  <c r="AB114" i="1"/>
  <c r="AG114" i="1" s="1"/>
  <c r="T112" i="1"/>
  <c r="Y112" i="1" s="1"/>
  <c r="T111" i="1"/>
  <c r="L26" i="1"/>
  <c r="M96" i="1"/>
  <c r="O96" i="1" s="1"/>
  <c r="P96" i="1" s="1"/>
  <c r="Q61" i="1"/>
  <c r="W2" i="16"/>
  <c r="X1" i="16"/>
  <c r="Y2" i="11"/>
  <c r="Z1" i="11"/>
  <c r="BG8" i="28"/>
  <c r="BG19" i="28" s="1"/>
  <c r="A15" i="28"/>
  <c r="DK8" i="28"/>
  <c r="DK19" i="28" s="1"/>
  <c r="AA8" i="28"/>
  <c r="AA19" i="28" s="1"/>
  <c r="DG8" i="28"/>
  <c r="DG19" i="28" s="1"/>
  <c r="BS8" i="28"/>
  <c r="BS19" i="28" s="1"/>
  <c r="DC8" i="28"/>
  <c r="DC19" i="28" s="1"/>
  <c r="DW8" i="28"/>
  <c r="DW19" i="28" s="1"/>
  <c r="CM8" i="28"/>
  <c r="CM19" i="28" s="1"/>
  <c r="AQ8" i="28"/>
  <c r="AQ19" i="28" s="1"/>
  <c r="BK8" i="28"/>
  <c r="BK19" i="28" s="1"/>
  <c r="W8" i="28"/>
  <c r="W19" i="28" s="1"/>
  <c r="BC8" i="28"/>
  <c r="BC19" i="28" s="1"/>
  <c r="A42" i="28"/>
  <c r="AY8" i="28"/>
  <c r="AY19" i="28" s="1"/>
  <c r="G50" i="28"/>
  <c r="BW8" i="28"/>
  <c r="BW19" i="28" s="1"/>
  <c r="CU8" i="28"/>
  <c r="CU19" i="28" s="1"/>
  <c r="AO110" i="1"/>
  <c r="EA8" i="26"/>
  <c r="EA19" i="26" s="1"/>
  <c r="DK8" i="26"/>
  <c r="DK19" i="26" s="1"/>
  <c r="BC8" i="26"/>
  <c r="BC19" i="26" s="1"/>
  <c r="G50" i="26"/>
  <c r="AQ8" i="26"/>
  <c r="AQ19" i="26" s="1"/>
  <c r="AA11" i="26"/>
  <c r="DS8" i="26"/>
  <c r="DS19" i="26" s="1"/>
  <c r="AY8" i="26"/>
  <c r="AY19" i="26" s="1"/>
  <c r="CU8" i="26"/>
  <c r="CU19" i="26" s="1"/>
  <c r="CY8" i="26"/>
  <c r="CY19" i="26" s="1"/>
  <c r="Y11" i="26"/>
  <c r="Y12" i="26" s="1"/>
  <c r="BS8" i="26"/>
  <c r="BS19" i="26" s="1"/>
  <c r="AC10" i="26"/>
  <c r="AG10" i="26" s="1"/>
  <c r="AA8" i="26"/>
  <c r="AA19" i="26" s="1"/>
  <c r="CI8" i="26"/>
  <c r="CI19" i="26" s="1"/>
  <c r="BO8" i="26"/>
  <c r="BO19" i="26" s="1"/>
  <c r="DO8" i="26"/>
  <c r="DO19" i="26" s="1"/>
  <c r="EE8" i="26"/>
  <c r="EE19" i="26" s="1"/>
  <c r="AF11" i="26"/>
  <c r="A41" i="26"/>
  <c r="W8" i="26"/>
  <c r="W19" i="26" s="1"/>
  <c r="AM8" i="26"/>
  <c r="AM19" i="26" s="1"/>
  <c r="S8" i="26"/>
  <c r="S19" i="26" s="1"/>
  <c r="BW8" i="26"/>
  <c r="BW19" i="26" s="1"/>
  <c r="AD110" i="1"/>
  <c r="CE8" i="26"/>
  <c r="CE19" i="26" s="1"/>
  <c r="A45" i="26"/>
  <c r="CM8" i="26"/>
  <c r="CM19" i="26" s="1"/>
  <c r="A45" i="24"/>
  <c r="V114" i="1"/>
  <c r="G50" i="24"/>
  <c r="A50" i="28"/>
  <c r="A50" i="26"/>
  <c r="A50" i="24"/>
  <c r="A43" i="28"/>
  <c r="Y12" i="28"/>
  <c r="A16" i="28"/>
  <c r="AD11" i="28"/>
  <c r="AC11" i="28"/>
  <c r="AG10" i="28"/>
  <c r="AF11" i="28"/>
  <c r="AE11" i="28"/>
  <c r="A45" i="28"/>
  <c r="E17" i="28"/>
  <c r="AL93" i="1" s="1"/>
  <c r="A19" i="28"/>
  <c r="J6" i="28"/>
  <c r="J5" i="28"/>
  <c r="J4" i="28"/>
  <c r="J3" i="28"/>
  <c r="J7" i="28"/>
  <c r="J2" i="28"/>
  <c r="A41" i="28"/>
  <c r="E40" i="28"/>
  <c r="AL109" i="1" s="1"/>
  <c r="AM109" i="1" s="1"/>
  <c r="E17" i="26"/>
  <c r="AD93" i="1" s="1"/>
  <c r="A42" i="26"/>
  <c r="J7" i="26"/>
  <c r="J3" i="26"/>
  <c r="A19" i="26"/>
  <c r="J5" i="26"/>
  <c r="J6" i="26"/>
  <c r="J4" i="26"/>
  <c r="J2" i="26"/>
  <c r="A15" i="26"/>
  <c r="A16" i="26"/>
  <c r="A43" i="26"/>
  <c r="J7" i="24"/>
  <c r="J6" i="24"/>
  <c r="J5" i="24"/>
  <c r="J4" i="24"/>
  <c r="J3" i="24"/>
  <c r="A42" i="6"/>
  <c r="A43" i="6"/>
  <c r="E17" i="24"/>
  <c r="V93" i="1" s="1"/>
  <c r="A16" i="24"/>
  <c r="A43" i="24"/>
  <c r="A15" i="24"/>
  <c r="AE11" i="24"/>
  <c r="AG10" i="24"/>
  <c r="AF11" i="24"/>
  <c r="AD11" i="24"/>
  <c r="AC11" i="24"/>
  <c r="A41" i="24"/>
  <c r="A42" i="24"/>
  <c r="A19" i="24"/>
  <c r="Y12" i="24"/>
  <c r="D28" i="1"/>
  <c r="F15" i="1"/>
  <c r="D23" i="1" s="1"/>
  <c r="H23" i="1" s="1"/>
  <c r="E17" i="6"/>
  <c r="D27" i="1"/>
  <c r="W63" i="1"/>
  <c r="X63" i="1" s="1"/>
  <c r="E7" i="21"/>
  <c r="W61" i="1"/>
  <c r="X61" i="1" s="1"/>
  <c r="E69" i="1"/>
  <c r="E78" i="21"/>
  <c r="E78" i="22"/>
  <c r="F39" i="21"/>
  <c r="G39" i="21" s="1"/>
  <c r="F44" i="22"/>
  <c r="G44" i="22" s="1"/>
  <c r="F44" i="21"/>
  <c r="G44" i="21" s="1"/>
  <c r="F41" i="22"/>
  <c r="G41" i="22" s="1"/>
  <c r="F41" i="21"/>
  <c r="G41" i="21" s="1"/>
  <c r="F42" i="22"/>
  <c r="G42" i="22" s="1"/>
  <c r="F42" i="21"/>
  <c r="G42" i="21" s="1"/>
  <c r="F43" i="21"/>
  <c r="G43" i="21" s="1"/>
  <c r="F43" i="22"/>
  <c r="G43" i="22" s="1"/>
  <c r="F45" i="22"/>
  <c r="G45" i="22" s="1"/>
  <c r="F45" i="21"/>
  <c r="G45" i="21" s="1"/>
  <c r="F40" i="22"/>
  <c r="G40" i="22" s="1"/>
  <c r="T61" i="1"/>
  <c r="M6" i="22"/>
  <c r="N5" i="22"/>
  <c r="N5" i="21"/>
  <c r="M6" i="21"/>
  <c r="Y65" i="1"/>
  <c r="O63" i="1"/>
  <c r="P63" i="1" s="1"/>
  <c r="F63" i="1"/>
  <c r="Y64" i="1"/>
  <c r="K27" i="1"/>
  <c r="E28" i="1"/>
  <c r="G28" i="1" s="1"/>
  <c r="E27" i="1"/>
  <c r="G27" i="1" s="1"/>
  <c r="F56" i="1"/>
  <c r="O62" i="1"/>
  <c r="P62" i="1" s="1"/>
  <c r="N60" i="1"/>
  <c r="O60" i="1" s="1"/>
  <c r="K28" i="1"/>
  <c r="M5" i="18"/>
  <c r="R6" i="18"/>
  <c r="R5" i="18"/>
  <c r="R6" i="19"/>
  <c r="R5" i="19"/>
  <c r="R4" i="19"/>
  <c r="R6" i="17"/>
  <c r="R6" i="11"/>
  <c r="R5" i="11"/>
  <c r="U127" i="1"/>
  <c r="M6" i="17"/>
  <c r="S3" i="19"/>
  <c r="T3" i="19"/>
  <c r="X3" i="19"/>
  <c r="U3" i="19"/>
  <c r="V3" i="19"/>
  <c r="W3" i="19"/>
  <c r="M97" i="1" l="1"/>
  <c r="O97" i="1" s="1"/>
  <c r="P97" i="1" s="1"/>
  <c r="F102" i="1"/>
  <c r="G103" i="1"/>
  <c r="H103" i="1" s="1"/>
  <c r="X60" i="1"/>
  <c r="F116" i="1"/>
  <c r="P28" i="1"/>
  <c r="AO111" i="1"/>
  <c r="AE110" i="1"/>
  <c r="AF110" i="1" s="1"/>
  <c r="AF109" i="1" s="1"/>
  <c r="W114" i="1"/>
  <c r="X114" i="1" s="1"/>
  <c r="Y114" i="1" s="1"/>
  <c r="D63" i="22"/>
  <c r="F63" i="22" s="1"/>
  <c r="G63" i="22" s="1"/>
  <c r="W83" i="1"/>
  <c r="X83" i="1" s="1"/>
  <c r="W111" i="1"/>
  <c r="X111" i="1" s="1"/>
  <c r="Y111" i="1" s="1"/>
  <c r="F111" i="1"/>
  <c r="V75" i="1"/>
  <c r="Q63" i="1"/>
  <c r="P60" i="1"/>
  <c r="Q60" i="1" s="1"/>
  <c r="V109" i="1"/>
  <c r="W109" i="1" s="1"/>
  <c r="AB109" i="1"/>
  <c r="M74" i="2"/>
  <c r="AB112" i="1"/>
  <c r="AG112" i="1" s="1"/>
  <c r="M70" i="1"/>
  <c r="AB111" i="1"/>
  <c r="AG111" i="1" s="1"/>
  <c r="AB115" i="1"/>
  <c r="AG115" i="1" s="1"/>
  <c r="AB113" i="1"/>
  <c r="AG113" i="1" s="1"/>
  <c r="Y1" i="16"/>
  <c r="X2" i="16"/>
  <c r="Z2" i="11"/>
  <c r="AA1" i="11"/>
  <c r="AE11" i="26"/>
  <c r="AD11" i="26"/>
  <c r="AC11" i="26"/>
  <c r="AC12" i="26" s="1"/>
  <c r="AD109" i="1"/>
  <c r="AE109" i="1" s="1"/>
  <c r="AH11" i="26"/>
  <c r="AJ11" i="26"/>
  <c r="AK10" i="26"/>
  <c r="AI11" i="26"/>
  <c r="AG11" i="26"/>
  <c r="AG12" i="26" s="1"/>
  <c r="AH11" i="28"/>
  <c r="AJ11" i="28"/>
  <c r="AK10" i="28"/>
  <c r="AI11" i="28"/>
  <c r="AG11" i="28"/>
  <c r="AC12" i="28"/>
  <c r="A40" i="28"/>
  <c r="A17" i="28"/>
  <c r="A40" i="26"/>
  <c r="A17" i="26"/>
  <c r="AJ11" i="24"/>
  <c r="AI11" i="24"/>
  <c r="AH11" i="24"/>
  <c r="AK10" i="24"/>
  <c r="AG11" i="24"/>
  <c r="A40" i="24"/>
  <c r="A17" i="24"/>
  <c r="AC12" i="24"/>
  <c r="Y61" i="1"/>
  <c r="D16" i="1"/>
  <c r="H16" i="1" s="1"/>
  <c r="M28" i="1"/>
  <c r="U69" i="1"/>
  <c r="D49" i="22" s="1"/>
  <c r="M69" i="1"/>
  <c r="O69" i="1" s="1"/>
  <c r="P69" i="1" s="1"/>
  <c r="N6" i="22"/>
  <c r="O5" i="22"/>
  <c r="O5" i="21"/>
  <c r="N6" i="21"/>
  <c r="B163" i="1"/>
  <c r="M4" i="19"/>
  <c r="AJ90" i="1"/>
  <c r="E126" i="2"/>
  <c r="E122" i="1" s="1"/>
  <c r="E125" i="2"/>
  <c r="E124" i="2"/>
  <c r="E123" i="2"/>
  <c r="E122" i="2"/>
  <c r="E112" i="1"/>
  <c r="G112" i="1" s="1"/>
  <c r="H112" i="1" s="1"/>
  <c r="E111" i="1"/>
  <c r="I44" i="1"/>
  <c r="I43" i="1"/>
  <c r="I42" i="1"/>
  <c r="I41" i="1"/>
  <c r="I40" i="1"/>
  <c r="I39" i="1"/>
  <c r="I37" i="1"/>
  <c r="E88" i="1"/>
  <c r="E90" i="2"/>
  <c r="E89" i="2"/>
  <c r="E86" i="2" s="1"/>
  <c r="H87" i="2" s="1"/>
  <c r="D62" i="1"/>
  <c r="D52" i="1"/>
  <c r="E58" i="2"/>
  <c r="C39" i="2"/>
  <c r="O12" i="2"/>
  <c r="O12" i="1" s="1"/>
  <c r="O14" i="2"/>
  <c r="O14" i="1" s="1"/>
  <c r="C6" i="2"/>
  <c r="O28" i="1"/>
  <c r="O29" i="1"/>
  <c r="O30" i="1"/>
  <c r="O31" i="1"/>
  <c r="Q31" i="1" s="1"/>
  <c r="I32" i="2"/>
  <c r="I33" i="2"/>
  <c r="I31" i="2"/>
  <c r="M6" i="19"/>
  <c r="M5" i="19"/>
  <c r="AW3" i="19"/>
  <c r="AV3" i="19"/>
  <c r="AU3" i="19"/>
  <c r="AT3" i="19"/>
  <c r="AS3" i="19"/>
  <c r="AR3" i="19"/>
  <c r="AQ3" i="19"/>
  <c r="AP3" i="19"/>
  <c r="AO3" i="19"/>
  <c r="AN3" i="19"/>
  <c r="AM3" i="19"/>
  <c r="AL3" i="19"/>
  <c r="AK3" i="19"/>
  <c r="AJ3" i="19"/>
  <c r="AI3" i="19"/>
  <c r="AH3" i="19"/>
  <c r="AG3" i="19"/>
  <c r="AF3" i="19"/>
  <c r="AE3" i="19"/>
  <c r="AD3" i="19"/>
  <c r="AC3" i="19"/>
  <c r="AB3" i="19"/>
  <c r="AA3" i="19"/>
  <c r="Z3" i="19"/>
  <c r="Y3" i="19"/>
  <c r="AW6" i="18"/>
  <c r="AV6" i="18"/>
  <c r="AU6" i="18"/>
  <c r="AT6" i="18"/>
  <c r="AS6" i="18"/>
  <c r="AR6" i="18"/>
  <c r="AQ6" i="18"/>
  <c r="AP6" i="18"/>
  <c r="AO6" i="18"/>
  <c r="AN6" i="18"/>
  <c r="AM6" i="18"/>
  <c r="AL6" i="18"/>
  <c r="AK6" i="18"/>
  <c r="AJ6" i="18"/>
  <c r="AI6" i="18"/>
  <c r="AH6" i="18"/>
  <c r="AG6" i="18"/>
  <c r="AF6" i="18"/>
  <c r="AE6" i="18"/>
  <c r="AD6" i="18"/>
  <c r="AC6" i="18"/>
  <c r="AB6" i="18"/>
  <c r="AA6" i="18"/>
  <c r="Z6" i="18"/>
  <c r="Y6" i="18"/>
  <c r="X6" i="18"/>
  <c r="W6" i="18"/>
  <c r="V6" i="18"/>
  <c r="U6" i="18"/>
  <c r="M6" i="18"/>
  <c r="AW5" i="18"/>
  <c r="AV5" i="18"/>
  <c r="AU5" i="18"/>
  <c r="AT5" i="18"/>
  <c r="AS5" i="18"/>
  <c r="AR5" i="18"/>
  <c r="AQ5" i="18"/>
  <c r="AP5" i="18"/>
  <c r="AO5" i="18"/>
  <c r="AN5" i="18"/>
  <c r="AM5" i="18"/>
  <c r="AL5" i="18"/>
  <c r="AK5" i="18"/>
  <c r="AJ5" i="18"/>
  <c r="AI5" i="18"/>
  <c r="AH5" i="18"/>
  <c r="AG5" i="18"/>
  <c r="AF5" i="18"/>
  <c r="AE5" i="18"/>
  <c r="AD5" i="18"/>
  <c r="AC5" i="18"/>
  <c r="AB5" i="18"/>
  <c r="AA5" i="18"/>
  <c r="Z5" i="18"/>
  <c r="Y5" i="18"/>
  <c r="X5" i="18"/>
  <c r="W5" i="18"/>
  <c r="V5" i="18"/>
  <c r="AW3" i="18"/>
  <c r="AV3" i="18"/>
  <c r="AU3" i="18"/>
  <c r="AT3" i="18"/>
  <c r="AS3" i="18"/>
  <c r="AR3" i="18"/>
  <c r="AQ3" i="18"/>
  <c r="AP3" i="18"/>
  <c r="AO3" i="18"/>
  <c r="AN3" i="18"/>
  <c r="AM3" i="18"/>
  <c r="AL3" i="18"/>
  <c r="AK3" i="18"/>
  <c r="AJ3" i="18"/>
  <c r="AI3" i="18"/>
  <c r="AH3" i="18"/>
  <c r="AG3" i="18"/>
  <c r="AF3" i="18"/>
  <c r="AE3" i="18"/>
  <c r="AD3" i="18"/>
  <c r="AC3" i="18"/>
  <c r="AB3" i="18"/>
  <c r="AA3" i="18"/>
  <c r="Z3" i="18"/>
  <c r="Y3" i="18"/>
  <c r="X3" i="18"/>
  <c r="W3" i="18"/>
  <c r="V3" i="18"/>
  <c r="U3" i="18"/>
  <c r="T3" i="18"/>
  <c r="S3" i="18"/>
  <c r="AW6" i="17"/>
  <c r="AV6" i="17"/>
  <c r="AU6" i="17"/>
  <c r="AT6" i="17"/>
  <c r="AS6" i="17"/>
  <c r="AR6" i="17"/>
  <c r="AQ6" i="17"/>
  <c r="AP6" i="17"/>
  <c r="AO6" i="17"/>
  <c r="AN6" i="17"/>
  <c r="AM6" i="17"/>
  <c r="AL6" i="17"/>
  <c r="AK6" i="17"/>
  <c r="AJ6" i="17"/>
  <c r="AI6" i="17"/>
  <c r="AH6" i="17"/>
  <c r="AG6" i="17"/>
  <c r="AF6" i="17"/>
  <c r="AE6" i="17"/>
  <c r="AD6" i="17"/>
  <c r="AC6" i="17"/>
  <c r="AB6" i="17"/>
  <c r="AA6" i="17"/>
  <c r="Z6" i="17"/>
  <c r="Y6" i="17"/>
  <c r="X6" i="17"/>
  <c r="W6" i="17"/>
  <c r="V6" i="17"/>
  <c r="AW5" i="17"/>
  <c r="AV5" i="17"/>
  <c r="AU5" i="17"/>
  <c r="AT5" i="17"/>
  <c r="AS5" i="17"/>
  <c r="AR5" i="17"/>
  <c r="AQ5" i="17"/>
  <c r="AP5" i="17"/>
  <c r="AO5" i="17"/>
  <c r="AN5" i="17"/>
  <c r="AM5" i="17"/>
  <c r="AL5" i="17"/>
  <c r="AK5" i="17"/>
  <c r="AJ5" i="17"/>
  <c r="AI5" i="17"/>
  <c r="AH5" i="17"/>
  <c r="AG5" i="17"/>
  <c r="AF5" i="17"/>
  <c r="AE5" i="17"/>
  <c r="AD5" i="17"/>
  <c r="AC5" i="17"/>
  <c r="AB5" i="17"/>
  <c r="AA5" i="17"/>
  <c r="Z5" i="17"/>
  <c r="Y5" i="17"/>
  <c r="X5" i="17"/>
  <c r="W5" i="17"/>
  <c r="V5" i="17"/>
  <c r="U5" i="17"/>
  <c r="T5" i="17"/>
  <c r="S5" i="17"/>
  <c r="E54" i="6"/>
  <c r="V40" i="1" s="1"/>
  <c r="E52" i="6"/>
  <c r="V38" i="1" s="1"/>
  <c r="O50" i="6"/>
  <c r="E38" i="6"/>
  <c r="O6" i="6"/>
  <c r="E37" i="6"/>
  <c r="K4" i="6"/>
  <c r="P11" i="6"/>
  <c r="E169" i="1"/>
  <c r="E167" i="1"/>
  <c r="D171" i="2"/>
  <c r="D167" i="1" s="1"/>
  <c r="E163" i="1"/>
  <c r="D167" i="2"/>
  <c r="D163" i="1" s="1"/>
  <c r="E161" i="1"/>
  <c r="E160" i="1"/>
  <c r="E159" i="1"/>
  <c r="D163" i="2"/>
  <c r="D159" i="1" s="1"/>
  <c r="E156" i="1"/>
  <c r="D160" i="2"/>
  <c r="D156" i="1" s="1"/>
  <c r="D152" i="1"/>
  <c r="D154" i="2"/>
  <c r="D150" i="1" s="1"/>
  <c r="U148" i="1"/>
  <c r="E148" i="1"/>
  <c r="G148" i="1" s="1"/>
  <c r="T137" i="1"/>
  <c r="L137" i="1"/>
  <c r="D141" i="2"/>
  <c r="D137" i="1" s="1"/>
  <c r="U131" i="1"/>
  <c r="L126" i="1"/>
  <c r="T125" i="1"/>
  <c r="L125" i="1"/>
  <c r="E121" i="1"/>
  <c r="E117" i="1"/>
  <c r="G117" i="1" s="1"/>
  <c r="H117" i="1" s="1"/>
  <c r="I117" i="1" s="1"/>
  <c r="E113" i="1"/>
  <c r="G113" i="1" s="1"/>
  <c r="H113" i="1" s="1"/>
  <c r="L94" i="1"/>
  <c r="AB90" i="1"/>
  <c r="D94" i="2"/>
  <c r="D90" i="1" s="1"/>
  <c r="E87" i="1"/>
  <c r="G87" i="1" s="1"/>
  <c r="H87" i="1" s="1"/>
  <c r="D71" i="1"/>
  <c r="I34" i="2"/>
  <c r="J35" i="2" s="1"/>
  <c r="D34" i="2"/>
  <c r="D33" i="2"/>
  <c r="D32" i="2"/>
  <c r="E75" i="2"/>
  <c r="I30" i="2"/>
  <c r="C28" i="2"/>
  <c r="O11" i="2"/>
  <c r="O11" i="1" s="1"/>
  <c r="O10" i="2"/>
  <c r="O10" i="1" s="1"/>
  <c r="O9" i="2"/>
  <c r="O9" i="1" s="1"/>
  <c r="O8" i="2"/>
  <c r="O8" i="1" s="1"/>
  <c r="O7" i="2"/>
  <c r="O7" i="1" s="1"/>
  <c r="O6" i="2"/>
  <c r="O6" i="1" s="1"/>
  <c r="M4" i="1"/>
  <c r="D169" i="1"/>
  <c r="D168" i="1"/>
  <c r="C167" i="1"/>
  <c r="E166" i="1"/>
  <c r="D166" i="1"/>
  <c r="E165" i="1"/>
  <c r="D165" i="1"/>
  <c r="D164" i="1"/>
  <c r="C163" i="1"/>
  <c r="E162" i="1"/>
  <c r="D162" i="1"/>
  <c r="C162" i="1"/>
  <c r="B162" i="1"/>
  <c r="D161" i="1"/>
  <c r="D160" i="1"/>
  <c r="C159" i="1"/>
  <c r="E158" i="1"/>
  <c r="D158" i="1"/>
  <c r="E157" i="1"/>
  <c r="D157" i="1"/>
  <c r="C156" i="1"/>
  <c r="B156" i="1"/>
  <c r="E155" i="1"/>
  <c r="D155" i="1"/>
  <c r="C155" i="1"/>
  <c r="B155" i="1"/>
  <c r="D154" i="1"/>
  <c r="D153" i="1"/>
  <c r="C152" i="1"/>
  <c r="D151" i="1"/>
  <c r="C150" i="1"/>
  <c r="B150" i="1"/>
  <c r="E149" i="1"/>
  <c r="D149" i="1"/>
  <c r="C149" i="1"/>
  <c r="B149" i="1"/>
  <c r="D148" i="1"/>
  <c r="C148" i="1"/>
  <c r="D147" i="1"/>
  <c r="C147" i="1"/>
  <c r="D146" i="1"/>
  <c r="C145" i="1"/>
  <c r="D144" i="1"/>
  <c r="C144" i="1"/>
  <c r="D143" i="1"/>
  <c r="C143" i="1"/>
  <c r="D142" i="1"/>
  <c r="C141" i="1"/>
  <c r="C140" i="1"/>
  <c r="D138" i="1"/>
  <c r="S137" i="1"/>
  <c r="K137" i="1"/>
  <c r="C137" i="1"/>
  <c r="U136" i="1"/>
  <c r="T136" i="1"/>
  <c r="L136" i="1"/>
  <c r="E136" i="1"/>
  <c r="D136" i="1"/>
  <c r="C136" i="1"/>
  <c r="U135" i="1"/>
  <c r="T135" i="1"/>
  <c r="L135" i="1"/>
  <c r="E135" i="1"/>
  <c r="U134" i="1"/>
  <c r="M134" i="1"/>
  <c r="E134" i="1"/>
  <c r="C134" i="1"/>
  <c r="U133" i="1"/>
  <c r="M133" i="1"/>
  <c r="E133" i="1"/>
  <c r="C133" i="1"/>
  <c r="U132" i="1"/>
  <c r="C132" i="1"/>
  <c r="U130" i="1"/>
  <c r="M130" i="1"/>
  <c r="L130" i="1"/>
  <c r="E130" i="1"/>
  <c r="U129" i="1"/>
  <c r="T129" i="1"/>
  <c r="M129" i="1"/>
  <c r="E129" i="1"/>
  <c r="U128" i="1"/>
  <c r="M128" i="1"/>
  <c r="L128" i="1"/>
  <c r="E128" i="1"/>
  <c r="T126" i="1"/>
  <c r="B125" i="1"/>
  <c r="K124" i="1"/>
  <c r="B124" i="1"/>
  <c r="D114" i="1"/>
  <c r="E109" i="1"/>
  <c r="D109" i="1"/>
  <c r="D108" i="1"/>
  <c r="D107" i="1"/>
  <c r="AI94" i="1"/>
  <c r="AA94" i="1"/>
  <c r="S94" i="1"/>
  <c r="K94" i="1"/>
  <c r="D93" i="1"/>
  <c r="J92" i="1"/>
  <c r="D92" i="1"/>
  <c r="AI90" i="1"/>
  <c r="AA90" i="1"/>
  <c r="S90" i="1"/>
  <c r="K90" i="1"/>
  <c r="D88" i="1"/>
  <c r="D87" i="1"/>
  <c r="D81" i="1"/>
  <c r="D80" i="1"/>
  <c r="D79" i="1"/>
  <c r="D78" i="1"/>
  <c r="D77" i="1"/>
  <c r="D76" i="1"/>
  <c r="J75" i="1"/>
  <c r="D75" i="1"/>
  <c r="E66" i="1"/>
  <c r="E65" i="1"/>
  <c r="E64" i="1"/>
  <c r="E63" i="1"/>
  <c r="E62" i="1"/>
  <c r="E61" i="1"/>
  <c r="D60" i="1"/>
  <c r="B51" i="1"/>
  <c r="S50" i="1"/>
  <c r="K50" i="1"/>
  <c r="C48" i="1"/>
  <c r="B48" i="1"/>
  <c r="A48" i="1"/>
  <c r="I47" i="1"/>
  <c r="C47" i="1"/>
  <c r="B47" i="1"/>
  <c r="A47" i="1"/>
  <c r="I46" i="1"/>
  <c r="H46" i="1"/>
  <c r="G46" i="1"/>
  <c r="F46" i="1"/>
  <c r="E46" i="1"/>
  <c r="D46" i="1"/>
  <c r="C46" i="1"/>
  <c r="B46" i="1"/>
  <c r="A46" i="1"/>
  <c r="A45" i="1"/>
  <c r="T36" i="1"/>
  <c r="C32" i="1"/>
  <c r="C31" i="1"/>
  <c r="K31" i="1" s="1"/>
  <c r="M31" i="1" s="1"/>
  <c r="C30" i="1"/>
  <c r="K30" i="1" s="1"/>
  <c r="M30" i="1" s="1"/>
  <c r="C29" i="1"/>
  <c r="K29" i="1" s="1"/>
  <c r="M29" i="1" s="1"/>
  <c r="P11" i="1"/>
  <c r="N11" i="1"/>
  <c r="M11" i="1"/>
  <c r="L11" i="1"/>
  <c r="N10" i="1"/>
  <c r="M10" i="1"/>
  <c r="L10" i="1"/>
  <c r="N9" i="1"/>
  <c r="M9" i="1"/>
  <c r="P8" i="1"/>
  <c r="N8" i="1"/>
  <c r="L8" i="1"/>
  <c r="N7" i="1"/>
  <c r="M7" i="1"/>
  <c r="L7" i="1"/>
  <c r="P6" i="1"/>
  <c r="N6" i="1"/>
  <c r="M6" i="1"/>
  <c r="L6" i="1"/>
  <c r="S5" i="1"/>
  <c r="R5" i="1"/>
  <c r="Q5" i="1"/>
  <c r="I30" i="1"/>
  <c r="P4" i="1"/>
  <c r="L4" i="1"/>
  <c r="L2" i="1"/>
  <c r="W131" i="1" l="1"/>
  <c r="X131" i="1" s="1"/>
  <c r="I154" i="1"/>
  <c r="I75" i="2"/>
  <c r="G161" i="1"/>
  <c r="H161" i="1" s="1"/>
  <c r="W135" i="1"/>
  <c r="X135" i="1" s="1"/>
  <c r="E110" i="2"/>
  <c r="U110" i="2"/>
  <c r="Q110" i="2"/>
  <c r="I110" i="2"/>
  <c r="E83" i="2"/>
  <c r="M110" i="2"/>
  <c r="E111" i="2"/>
  <c r="E84" i="2"/>
  <c r="I111" i="2"/>
  <c r="I103" i="1"/>
  <c r="E85" i="2"/>
  <c r="I112" i="2"/>
  <c r="E112" i="2"/>
  <c r="Q126" i="1"/>
  <c r="I144" i="1"/>
  <c r="E120" i="2"/>
  <c r="H56" i="21"/>
  <c r="H62" i="21"/>
  <c r="Q3" i="11"/>
  <c r="H40" i="21"/>
  <c r="H41" i="21"/>
  <c r="H63" i="21"/>
  <c r="Q3" i="16"/>
  <c r="P3" i="16"/>
  <c r="F30" i="2"/>
  <c r="E59" i="2" s="1"/>
  <c r="I151" i="2"/>
  <c r="Y60" i="1"/>
  <c r="H90" i="2"/>
  <c r="E82" i="1"/>
  <c r="G82" i="1" s="1"/>
  <c r="H88" i="2"/>
  <c r="H89" i="2"/>
  <c r="H92" i="2"/>
  <c r="H91" i="2"/>
  <c r="L87" i="2"/>
  <c r="L88" i="2"/>
  <c r="E104" i="2"/>
  <c r="I104" i="2" s="1"/>
  <c r="U111" i="2"/>
  <c r="Q111" i="2"/>
  <c r="M111" i="2"/>
  <c r="E105" i="2"/>
  <c r="I105" i="2" s="1"/>
  <c r="M112" i="2"/>
  <c r="Q112" i="2"/>
  <c r="U112" i="2"/>
  <c r="G111" i="1"/>
  <c r="H111" i="1" s="1"/>
  <c r="U70" i="1"/>
  <c r="D50" i="22" s="1"/>
  <c r="H50" i="22" s="1"/>
  <c r="Q62" i="1"/>
  <c r="AG110" i="1"/>
  <c r="G110" i="1"/>
  <c r="H110" i="1" s="1"/>
  <c r="X109" i="1"/>
  <c r="Y63" i="1"/>
  <c r="E70" i="21"/>
  <c r="AG109" i="1"/>
  <c r="M89" i="2"/>
  <c r="M90" i="2"/>
  <c r="L90" i="2" s="1"/>
  <c r="E103" i="2"/>
  <c r="D28" i="2"/>
  <c r="E131" i="1"/>
  <c r="G131" i="1" s="1"/>
  <c r="H131" i="1" s="1"/>
  <c r="I131" i="1" s="1"/>
  <c r="D137" i="2"/>
  <c r="M58" i="2"/>
  <c r="E96" i="2"/>
  <c r="K35" i="2"/>
  <c r="I35" i="2"/>
  <c r="U97" i="1"/>
  <c r="W97" i="1" s="1"/>
  <c r="X97" i="1" s="1"/>
  <c r="U96" i="1"/>
  <c r="W96" i="1" s="1"/>
  <c r="Q5" i="16"/>
  <c r="Q6" i="16"/>
  <c r="Q4" i="11"/>
  <c r="Q4" i="16"/>
  <c r="D50" i="21"/>
  <c r="F50" i="21" s="1"/>
  <c r="AK103" i="1"/>
  <c r="AM103" i="1" s="1"/>
  <c r="AN103" i="1" s="1"/>
  <c r="U103" i="1"/>
  <c r="AC103" i="1"/>
  <c r="AE103" i="1" s="1"/>
  <c r="AF103" i="1" s="1"/>
  <c r="Z1" i="16"/>
  <c r="Y2" i="16"/>
  <c r="AA2" i="11"/>
  <c r="AB1" i="11"/>
  <c r="AK11" i="26"/>
  <c r="AK12" i="26" s="1"/>
  <c r="AM11" i="26"/>
  <c r="AO10" i="26"/>
  <c r="AN11" i="26"/>
  <c r="AL11" i="26"/>
  <c r="C14" i="24"/>
  <c r="C14" i="26"/>
  <c r="C14" i="28"/>
  <c r="F4" i="24"/>
  <c r="C2" i="24" s="1"/>
  <c r="F4" i="26"/>
  <c r="F4" i="28"/>
  <c r="H4" i="24"/>
  <c r="H4" i="28"/>
  <c r="C2" i="28" s="1"/>
  <c r="H4" i="26"/>
  <c r="C18" i="24"/>
  <c r="C18" i="26"/>
  <c r="C18" i="28"/>
  <c r="G4" i="24"/>
  <c r="G4" i="26"/>
  <c r="C2" i="26" s="1"/>
  <c r="G4" i="28"/>
  <c r="AG12" i="28"/>
  <c r="AL11" i="28"/>
  <c r="AK11" i="28"/>
  <c r="AN11" i="28"/>
  <c r="AM11" i="28"/>
  <c r="AO10" i="28"/>
  <c r="K47" i="24"/>
  <c r="AG12" i="24"/>
  <c r="AL11" i="24"/>
  <c r="AK11" i="24"/>
  <c r="AO10" i="24"/>
  <c r="AN11" i="24"/>
  <c r="AM11" i="24"/>
  <c r="A56" i="6"/>
  <c r="E50" i="6"/>
  <c r="C18" i="6"/>
  <c r="C14" i="6"/>
  <c r="P6" i="6"/>
  <c r="P8" i="6" s="1"/>
  <c r="M6" i="6"/>
  <c r="M8" i="6" s="1"/>
  <c r="N6" i="6"/>
  <c r="A38" i="6"/>
  <c r="A37" i="6"/>
  <c r="E97" i="2"/>
  <c r="H39" i="21"/>
  <c r="H42" i="22"/>
  <c r="H42" i="21"/>
  <c r="H44" i="22"/>
  <c r="H43" i="21"/>
  <c r="H63" i="22"/>
  <c r="H39" i="22"/>
  <c r="H44" i="21"/>
  <c r="H43" i="22"/>
  <c r="H41" i="22"/>
  <c r="H45" i="22"/>
  <c r="H45" i="21"/>
  <c r="H40" i="22"/>
  <c r="M91" i="2"/>
  <c r="L91" i="2" s="1"/>
  <c r="F49" i="22"/>
  <c r="G49" i="22" s="1"/>
  <c r="D49" i="21"/>
  <c r="E61" i="2"/>
  <c r="E85" i="1"/>
  <c r="G85" i="1" s="1"/>
  <c r="H85" i="1" s="1"/>
  <c r="O6" i="22"/>
  <c r="P5" i="22"/>
  <c r="P5" i="21"/>
  <c r="O6" i="21"/>
  <c r="AK107" i="1"/>
  <c r="AC107" i="1"/>
  <c r="AE107" i="1" s="1"/>
  <c r="AF107" i="1" s="1"/>
  <c r="E84" i="1"/>
  <c r="G84" i="1" s="1"/>
  <c r="H84" i="1" s="1"/>
  <c r="O26" i="1"/>
  <c r="Q5" i="11"/>
  <c r="Q6" i="11"/>
  <c r="U141" i="1"/>
  <c r="E78" i="2"/>
  <c r="L138" i="2"/>
  <c r="L135" i="2" s="1"/>
  <c r="M129" i="2" s="1"/>
  <c r="U125" i="1" s="1"/>
  <c r="C26" i="1"/>
  <c r="N6" i="17"/>
  <c r="N5" i="18"/>
  <c r="N6" i="18"/>
  <c r="D22" i="1"/>
  <c r="H22" i="1" s="1"/>
  <c r="D19" i="1"/>
  <c r="H19" i="1" s="1"/>
  <c r="D20" i="1"/>
  <c r="D21" i="1"/>
  <c r="H21" i="1" s="1"/>
  <c r="I28" i="2"/>
  <c r="Q29" i="1"/>
  <c r="O4" i="1"/>
  <c r="M140" i="1"/>
  <c r="F34" i="2"/>
  <c r="G34" i="2" s="1"/>
  <c r="E77" i="2"/>
  <c r="I77" i="2" s="1"/>
  <c r="E114" i="1"/>
  <c r="E120" i="1"/>
  <c r="M114" i="1"/>
  <c r="E115" i="1"/>
  <c r="E118" i="1"/>
  <c r="G118" i="1" s="1"/>
  <c r="H118" i="1" s="1"/>
  <c r="M115" i="1"/>
  <c r="O115" i="1" s="1"/>
  <c r="P115" i="1" s="1"/>
  <c r="D67" i="2"/>
  <c r="D63" i="1" s="1"/>
  <c r="E60" i="1"/>
  <c r="D38" i="22" s="1"/>
  <c r="D70" i="2"/>
  <c r="D66" i="1" s="1"/>
  <c r="S11" i="6"/>
  <c r="U10" i="6"/>
  <c r="U11" i="6" s="1"/>
  <c r="U12" i="6" s="1"/>
  <c r="T11" i="6"/>
  <c r="B11" i="1"/>
  <c r="E41" i="1"/>
  <c r="E43" i="1"/>
  <c r="E44" i="1"/>
  <c r="N4" i="1"/>
  <c r="C34" i="1"/>
  <c r="F31" i="2"/>
  <c r="F33" i="2"/>
  <c r="G33" i="2" s="1"/>
  <c r="F32" i="2"/>
  <c r="G32" i="2" s="1"/>
  <c r="J31" i="2"/>
  <c r="J33" i="2"/>
  <c r="J32" i="2"/>
  <c r="W136" i="1"/>
  <c r="E37" i="1"/>
  <c r="D74" i="1"/>
  <c r="D72" i="1"/>
  <c r="T128" i="1"/>
  <c r="T130" i="1"/>
  <c r="U126" i="1"/>
  <c r="F59" i="1"/>
  <c r="F53" i="1" s="1"/>
  <c r="E30" i="21" s="1"/>
  <c r="D129" i="1"/>
  <c r="D130" i="1"/>
  <c r="D128" i="1"/>
  <c r="J34" i="2"/>
  <c r="C5" i="1"/>
  <c r="E71" i="1"/>
  <c r="L129" i="1"/>
  <c r="H4" i="6"/>
  <c r="C6" i="1"/>
  <c r="D73" i="1"/>
  <c r="E42" i="1"/>
  <c r="E39" i="1"/>
  <c r="E29" i="1"/>
  <c r="G29" i="1" s="1"/>
  <c r="K32" i="1"/>
  <c r="E38" i="1"/>
  <c r="G38" i="1" s="1"/>
  <c r="E30" i="1"/>
  <c r="G30" i="1" s="1"/>
  <c r="E31" i="1"/>
  <c r="G31" i="1" s="1"/>
  <c r="I31" i="1"/>
  <c r="F65" i="1"/>
  <c r="E32" i="1"/>
  <c r="E140" i="1"/>
  <c r="E40" i="1"/>
  <c r="K40" i="1" s="1"/>
  <c r="E86" i="1"/>
  <c r="E141" i="1"/>
  <c r="E76" i="2"/>
  <c r="I76" i="2" s="1"/>
  <c r="L114" i="1"/>
  <c r="F4" i="6"/>
  <c r="G4" i="6"/>
  <c r="D69" i="2"/>
  <c r="D65" i="1" s="1"/>
  <c r="D68" i="2"/>
  <c r="D64" i="1" s="1"/>
  <c r="Q6" i="17"/>
  <c r="J30" i="2"/>
  <c r="A39" i="6"/>
  <c r="A32" i="6"/>
  <c r="E36" i="6"/>
  <c r="Q6" i="18"/>
  <c r="Q5" i="18"/>
  <c r="Q6" i="19"/>
  <c r="Q5" i="19"/>
  <c r="Q4" i="19"/>
  <c r="H86" i="2" l="1"/>
  <c r="I106" i="2"/>
  <c r="I84" i="2"/>
  <c r="M84" i="2"/>
  <c r="I150" i="2"/>
  <c r="M146" i="1" s="1"/>
  <c r="O146" i="1" s="1"/>
  <c r="M151" i="2"/>
  <c r="H151" i="2"/>
  <c r="H150" i="2" s="1"/>
  <c r="E72" i="2"/>
  <c r="H74" i="2" s="1"/>
  <c r="M59" i="2"/>
  <c r="I83" i="2"/>
  <c r="M83" i="2" s="1"/>
  <c r="D144" i="2"/>
  <c r="E141" i="2" s="1"/>
  <c r="E129" i="2"/>
  <c r="W126" i="1"/>
  <c r="X126" i="1" s="1"/>
  <c r="I103" i="2"/>
  <c r="I99" i="2" s="1"/>
  <c r="E99" i="2"/>
  <c r="E74" i="1"/>
  <c r="I78" i="2"/>
  <c r="X136" i="1"/>
  <c r="Y136" i="1" s="1"/>
  <c r="D133" i="1"/>
  <c r="I85" i="2"/>
  <c r="W103" i="1"/>
  <c r="X103" i="1" s="1"/>
  <c r="P5" i="18"/>
  <c r="F157" i="1"/>
  <c r="P6" i="18"/>
  <c r="F158" i="1"/>
  <c r="U104" i="2"/>
  <c r="M104" i="2"/>
  <c r="Q104" i="2"/>
  <c r="I121" i="2"/>
  <c r="U122" i="2"/>
  <c r="Q124" i="2"/>
  <c r="M125" i="2"/>
  <c r="I124" i="2"/>
  <c r="U123" i="2"/>
  <c r="Q125" i="2"/>
  <c r="I125" i="2"/>
  <c r="U124" i="2"/>
  <c r="Q126" i="2"/>
  <c r="I126" i="2"/>
  <c r="U125" i="2"/>
  <c r="M121" i="2"/>
  <c r="U126" i="2"/>
  <c r="U121" i="2"/>
  <c r="Q121" i="2"/>
  <c r="M126" i="2"/>
  <c r="M122" i="2"/>
  <c r="Q122" i="2"/>
  <c r="M123" i="2"/>
  <c r="I122" i="2"/>
  <c r="E116" i="1"/>
  <c r="G116" i="1" s="1"/>
  <c r="Q123" i="2"/>
  <c r="M124" i="2"/>
  <c r="I123" i="2"/>
  <c r="M102" i="1"/>
  <c r="O102" i="1" s="1"/>
  <c r="U106" i="2"/>
  <c r="T101" i="2"/>
  <c r="U103" i="2"/>
  <c r="M103" i="2"/>
  <c r="Q103" i="2"/>
  <c r="M106" i="2"/>
  <c r="M147" i="1"/>
  <c r="L148" i="1"/>
  <c r="L152" i="2"/>
  <c r="T148" i="1" s="1"/>
  <c r="Q106" i="2"/>
  <c r="F50" i="22"/>
  <c r="G50" i="22" s="1"/>
  <c r="E60" i="2"/>
  <c r="G31" i="2"/>
  <c r="T28" i="1"/>
  <c r="V28" i="1" s="1"/>
  <c r="T27" i="1"/>
  <c r="V27" i="1" s="1"/>
  <c r="U108" i="1"/>
  <c r="W108" i="1" s="1"/>
  <c r="X108" i="1" s="1"/>
  <c r="G30" i="2"/>
  <c r="F28" i="2"/>
  <c r="E57" i="2" s="1"/>
  <c r="U107" i="1"/>
  <c r="W107" i="1" s="1"/>
  <c r="X107" i="1" s="1"/>
  <c r="U105" i="2"/>
  <c r="M105" i="2"/>
  <c r="Q105" i="2"/>
  <c r="L89" i="2"/>
  <c r="G65" i="1"/>
  <c r="H65" i="1" s="1"/>
  <c r="F60" i="1"/>
  <c r="E38" i="22" s="1"/>
  <c r="F38" i="22" s="1"/>
  <c r="E70" i="22"/>
  <c r="G115" i="1"/>
  <c r="H115" i="1" s="1"/>
  <c r="I110" i="1"/>
  <c r="X96" i="1"/>
  <c r="AM107" i="1"/>
  <c r="AN107" i="1" s="1"/>
  <c r="H50" i="21"/>
  <c r="I85" i="1"/>
  <c r="E30" i="22"/>
  <c r="I84" i="1"/>
  <c r="F49" i="21"/>
  <c r="G49" i="21" s="1"/>
  <c r="T131" i="1"/>
  <c r="AC97" i="1"/>
  <c r="D26" i="24"/>
  <c r="D132" i="1"/>
  <c r="M75" i="2"/>
  <c r="L88" i="1"/>
  <c r="L87" i="1"/>
  <c r="L85" i="1"/>
  <c r="Q97" i="2"/>
  <c r="P97" i="2" s="1"/>
  <c r="AB93" i="1" s="1"/>
  <c r="U97" i="2"/>
  <c r="AC96" i="1"/>
  <c r="T132" i="1"/>
  <c r="D20" i="24"/>
  <c r="G141" i="1"/>
  <c r="H141" i="1" s="1"/>
  <c r="G140" i="1"/>
  <c r="H140" i="1" s="1"/>
  <c r="Z2" i="16"/>
  <c r="AA1" i="16"/>
  <c r="AB2" i="11"/>
  <c r="AC1" i="11"/>
  <c r="AP11" i="26"/>
  <c r="AS10" i="26"/>
  <c r="AO11" i="26"/>
  <c r="AO12" i="26" s="1"/>
  <c r="AR11" i="26"/>
  <c r="AQ11" i="26"/>
  <c r="F45" i="26"/>
  <c r="G45" i="26" s="1"/>
  <c r="F45" i="28"/>
  <c r="G45" i="28" s="1"/>
  <c r="U37" i="1"/>
  <c r="Y37" i="1" s="1"/>
  <c r="G37" i="1"/>
  <c r="F46" i="26"/>
  <c r="G46" i="26" s="1"/>
  <c r="AK12" i="28"/>
  <c r="AR11" i="28"/>
  <c r="AS10" i="28"/>
  <c r="AQ11" i="28"/>
  <c r="AP11" i="28"/>
  <c r="AO11" i="28"/>
  <c r="T133" i="1"/>
  <c r="AQ11" i="24"/>
  <c r="AR11" i="24"/>
  <c r="AP11" i="24"/>
  <c r="AO11" i="24"/>
  <c r="AS10" i="24"/>
  <c r="AK12" i="24"/>
  <c r="K47" i="6"/>
  <c r="D46" i="6"/>
  <c r="F46" i="6" s="1"/>
  <c r="G46" i="6" s="1"/>
  <c r="D45" i="6"/>
  <c r="N95" i="1"/>
  <c r="A51" i="6"/>
  <c r="A20" i="6"/>
  <c r="A36" i="6"/>
  <c r="K6" i="6"/>
  <c r="A52" i="6"/>
  <c r="A55" i="6"/>
  <c r="A53" i="6"/>
  <c r="A54" i="6"/>
  <c r="P45" i="6"/>
  <c r="N114" i="1"/>
  <c r="F114" i="1" s="1"/>
  <c r="V11" i="6"/>
  <c r="W11" i="6"/>
  <c r="E16" i="1"/>
  <c r="J11" i="1"/>
  <c r="I97" i="2"/>
  <c r="M88" i="1"/>
  <c r="O88" i="1" s="1"/>
  <c r="P88" i="1" s="1"/>
  <c r="M61" i="2"/>
  <c r="T87" i="1"/>
  <c r="U87" i="1"/>
  <c r="M87" i="1"/>
  <c r="O87" i="1" s="1"/>
  <c r="P87" i="1" s="1"/>
  <c r="M85" i="1"/>
  <c r="O85" i="1" s="1"/>
  <c r="P85" i="1" s="1"/>
  <c r="M84" i="1"/>
  <c r="O84" i="1" s="1"/>
  <c r="P84" i="1" s="1"/>
  <c r="E93" i="1"/>
  <c r="M97" i="2"/>
  <c r="L86" i="1"/>
  <c r="M86" i="1"/>
  <c r="O86" i="1" s="1"/>
  <c r="P86" i="1" s="1"/>
  <c r="E80" i="1"/>
  <c r="M80" i="1"/>
  <c r="E73" i="1"/>
  <c r="M77" i="2"/>
  <c r="H49" i="21"/>
  <c r="E72" i="1"/>
  <c r="M76" i="2"/>
  <c r="L134" i="1"/>
  <c r="M71" i="1"/>
  <c r="H49" i="22"/>
  <c r="D38" i="21"/>
  <c r="H38" i="21" s="1"/>
  <c r="M92" i="2"/>
  <c r="L92" i="2" s="1"/>
  <c r="G50" i="21"/>
  <c r="D78" i="22"/>
  <c r="D78" i="21"/>
  <c r="P6" i="22"/>
  <c r="Q5" i="22"/>
  <c r="Q5" i="21"/>
  <c r="P6" i="21"/>
  <c r="F99" i="1"/>
  <c r="F98" i="1"/>
  <c r="U32" i="1"/>
  <c r="M106" i="1"/>
  <c r="M108" i="1"/>
  <c r="O108" i="1" s="1"/>
  <c r="P108" i="1" s="1"/>
  <c r="E101" i="1"/>
  <c r="E100" i="1"/>
  <c r="E99" i="1"/>
  <c r="E98" i="1"/>
  <c r="Y10" i="6"/>
  <c r="AA11" i="6" s="1"/>
  <c r="AK104" i="1"/>
  <c r="AC104" i="1"/>
  <c r="AE104" i="1" s="1"/>
  <c r="AF104" i="1" s="1"/>
  <c r="X11" i="6"/>
  <c r="AK105" i="1"/>
  <c r="AC105" i="1"/>
  <c r="M78" i="1"/>
  <c r="O78" i="1" s="1"/>
  <c r="P78" i="1" s="1"/>
  <c r="U78" i="1"/>
  <c r="T32" i="1"/>
  <c r="T29" i="1"/>
  <c r="E36" i="1"/>
  <c r="M55" i="1"/>
  <c r="U55" i="1"/>
  <c r="D33" i="22" s="1"/>
  <c r="AC37" i="1"/>
  <c r="K37" i="1"/>
  <c r="M37" i="1" s="1"/>
  <c r="U44" i="1"/>
  <c r="W44" i="1" s="1"/>
  <c r="K44" i="1"/>
  <c r="O44" i="1" s="1"/>
  <c r="K43" i="1"/>
  <c r="M43" i="1" s="1"/>
  <c r="U43" i="1"/>
  <c r="Y43" i="1" s="1"/>
  <c r="K39" i="1"/>
  <c r="M39" i="1" s="1"/>
  <c r="AC39" i="1"/>
  <c r="G41" i="1"/>
  <c r="K41" i="1"/>
  <c r="AC42" i="1"/>
  <c r="K42" i="1"/>
  <c r="E23" i="1"/>
  <c r="G23" i="1" s="1"/>
  <c r="E22" i="1"/>
  <c r="K38" i="1"/>
  <c r="AC38" i="1"/>
  <c r="V36" i="1"/>
  <c r="D139" i="1"/>
  <c r="E125" i="1"/>
  <c r="K26" i="1"/>
  <c r="Q30" i="1"/>
  <c r="U31" i="1"/>
  <c r="U29" i="1"/>
  <c r="T30" i="1"/>
  <c r="T31" i="1"/>
  <c r="E26" i="1"/>
  <c r="E20" i="1"/>
  <c r="E17" i="1"/>
  <c r="O6" i="17"/>
  <c r="P6" i="17"/>
  <c r="D17" i="1"/>
  <c r="D18" i="1"/>
  <c r="H18" i="1" s="1"/>
  <c r="O6" i="18"/>
  <c r="J28" i="2"/>
  <c r="U138" i="1"/>
  <c r="W138" i="1" s="1"/>
  <c r="X138" i="1" s="1"/>
  <c r="T141" i="1"/>
  <c r="T134" i="1"/>
  <c r="L132" i="1"/>
  <c r="L140" i="1"/>
  <c r="L133" i="1"/>
  <c r="E106" i="1"/>
  <c r="G106" i="1" s="1"/>
  <c r="H106" i="1" s="1"/>
  <c r="E79" i="2"/>
  <c r="D44" i="2"/>
  <c r="D45" i="2"/>
  <c r="D46" i="2"/>
  <c r="F46" i="2" s="1"/>
  <c r="D47" i="2"/>
  <c r="D43" i="2"/>
  <c r="D42" i="2"/>
  <c r="D41" i="2"/>
  <c r="D40" i="2"/>
  <c r="E19" i="1"/>
  <c r="E63" i="2"/>
  <c r="D63" i="2" s="1"/>
  <c r="G158" i="1"/>
  <c r="H158" i="1" s="1"/>
  <c r="G44" i="1"/>
  <c r="AC44" i="1"/>
  <c r="E21" i="1"/>
  <c r="E78" i="1"/>
  <c r="G78" i="1" s="1"/>
  <c r="H78" i="1" s="1"/>
  <c r="E18" i="1"/>
  <c r="AC43" i="1"/>
  <c r="E119" i="1"/>
  <c r="G119" i="1" s="1"/>
  <c r="H119" i="1" s="1"/>
  <c r="G43" i="1"/>
  <c r="G64" i="1"/>
  <c r="H64" i="1" s="1"/>
  <c r="D141" i="1"/>
  <c r="D134" i="1"/>
  <c r="G61" i="1"/>
  <c r="H61" i="1" s="1"/>
  <c r="G157" i="1"/>
  <c r="H157" i="1" s="1"/>
  <c r="E96" i="1"/>
  <c r="G96" i="1" s="1"/>
  <c r="G39" i="1"/>
  <c r="U39" i="1"/>
  <c r="G50" i="6"/>
  <c r="M107" i="1"/>
  <c r="O107" i="1" s="1"/>
  <c r="P107" i="1" s="1"/>
  <c r="E107" i="1"/>
  <c r="G107" i="1" s="1"/>
  <c r="H107" i="1" s="1"/>
  <c r="T138" i="1"/>
  <c r="G66" i="1"/>
  <c r="H66" i="1" s="1"/>
  <c r="E68" i="1"/>
  <c r="D47" i="21" s="1"/>
  <c r="G42" i="1"/>
  <c r="U42" i="1"/>
  <c r="E62" i="2"/>
  <c r="D62" i="2" s="1"/>
  <c r="AC40" i="1"/>
  <c r="U40" i="1"/>
  <c r="E97" i="1"/>
  <c r="H20" i="1"/>
  <c r="U140" i="1"/>
  <c r="K11" i="1"/>
  <c r="G62" i="1"/>
  <c r="H62" i="1" s="1"/>
  <c r="U38" i="1"/>
  <c r="M141" i="1"/>
  <c r="U41" i="1"/>
  <c r="AC41" i="1"/>
  <c r="T127" i="1"/>
  <c r="U139" i="1"/>
  <c r="G40" i="1"/>
  <c r="O5" i="18"/>
  <c r="D140" i="1" l="1"/>
  <c r="E147" i="2"/>
  <c r="H60" i="2"/>
  <c r="I147" i="2"/>
  <c r="M147" i="2"/>
  <c r="D58" i="2"/>
  <c r="O147" i="1"/>
  <c r="P147" i="1" s="1"/>
  <c r="H83" i="2"/>
  <c r="I79" i="2"/>
  <c r="M75" i="1" s="1"/>
  <c r="D55" i="21" s="1"/>
  <c r="D59" i="2"/>
  <c r="H73" i="2"/>
  <c r="L69" i="1" s="1"/>
  <c r="Q69" i="1" s="1"/>
  <c r="L73" i="2"/>
  <c r="T69" i="1" s="1"/>
  <c r="L74" i="2"/>
  <c r="H96" i="1"/>
  <c r="M60" i="2"/>
  <c r="D60" i="2"/>
  <c r="O106" i="1"/>
  <c r="P106" i="1" s="1"/>
  <c r="H85" i="2"/>
  <c r="AE105" i="1"/>
  <c r="AF105" i="1" s="1"/>
  <c r="H75" i="2"/>
  <c r="L71" i="1" s="1"/>
  <c r="M85" i="2"/>
  <c r="G98" i="1"/>
  <c r="H98" i="1" s="1"/>
  <c r="H84" i="2"/>
  <c r="H82" i="2"/>
  <c r="H80" i="2"/>
  <c r="L80" i="2"/>
  <c r="H81" i="2"/>
  <c r="AC93" i="1"/>
  <c r="D17" i="26" s="1"/>
  <c r="F17" i="26" s="1"/>
  <c r="G17" i="26" s="1"/>
  <c r="H77" i="2"/>
  <c r="L73" i="1" s="1"/>
  <c r="D61" i="2"/>
  <c r="E106" i="2"/>
  <c r="T107" i="2" s="1"/>
  <c r="E143" i="1"/>
  <c r="E146" i="2"/>
  <c r="E142" i="1" s="1"/>
  <c r="H104" i="2"/>
  <c r="L100" i="1" s="1"/>
  <c r="L104" i="2"/>
  <c r="L105" i="2"/>
  <c r="L151" i="2"/>
  <c r="L150" i="2" s="1"/>
  <c r="M150" i="2"/>
  <c r="U146" i="1" s="1"/>
  <c r="T126" i="2"/>
  <c r="AJ122" i="1" s="1"/>
  <c r="AK122" i="1"/>
  <c r="T122" i="2"/>
  <c r="AJ118" i="1" s="1"/>
  <c r="AK118" i="1"/>
  <c r="AM118" i="1" s="1"/>
  <c r="L124" i="2"/>
  <c r="T120" i="1" s="1"/>
  <c r="U120" i="1"/>
  <c r="T125" i="2"/>
  <c r="AJ121" i="1" s="1"/>
  <c r="AK121" i="1"/>
  <c r="M119" i="1"/>
  <c r="O119" i="1" s="1"/>
  <c r="P119" i="1" s="1"/>
  <c r="H123" i="2"/>
  <c r="L119" i="1" s="1"/>
  <c r="L144" i="1"/>
  <c r="P123" i="2"/>
  <c r="AC119" i="1"/>
  <c r="AE119" i="1" s="1"/>
  <c r="AF119" i="1" s="1"/>
  <c r="M122" i="1"/>
  <c r="H126" i="2"/>
  <c r="L122" i="1" s="1"/>
  <c r="U93" i="1"/>
  <c r="D17" i="24" s="1"/>
  <c r="F17" i="24" s="1"/>
  <c r="G17" i="24" s="1"/>
  <c r="L97" i="2"/>
  <c r="T93" i="1" s="1"/>
  <c r="M93" i="1"/>
  <c r="H97" i="2"/>
  <c r="L93" i="1" s="1"/>
  <c r="G28" i="2"/>
  <c r="Q99" i="2"/>
  <c r="M118" i="1"/>
  <c r="H122" i="2"/>
  <c r="L118" i="1" s="1"/>
  <c r="T124" i="2"/>
  <c r="AJ120" i="1" s="1"/>
  <c r="AK120" i="1"/>
  <c r="L112" i="2"/>
  <c r="L103" i="2"/>
  <c r="M99" i="2"/>
  <c r="L123" i="2"/>
  <c r="T119" i="1" s="1"/>
  <c r="U119" i="1"/>
  <c r="W119" i="1" s="1"/>
  <c r="X119" i="1" s="1"/>
  <c r="M121" i="1"/>
  <c r="H125" i="2"/>
  <c r="L121" i="1" s="1"/>
  <c r="G99" i="1"/>
  <c r="H99" i="1" s="1"/>
  <c r="I99" i="1" s="1"/>
  <c r="U99" i="2"/>
  <c r="P122" i="2"/>
  <c r="AC118" i="1"/>
  <c r="AE118" i="1" s="1"/>
  <c r="AF118" i="1" s="1"/>
  <c r="P125" i="2"/>
  <c r="AC121" i="1"/>
  <c r="AK93" i="1"/>
  <c r="AM93" i="1" s="1"/>
  <c r="AN93" i="1" s="1"/>
  <c r="T97" i="2"/>
  <c r="AJ93" i="1" s="1"/>
  <c r="H100" i="2"/>
  <c r="P100" i="2"/>
  <c r="L100" i="2"/>
  <c r="T96" i="1" s="1"/>
  <c r="L102" i="2"/>
  <c r="L101" i="2"/>
  <c r="T97" i="1" s="1"/>
  <c r="H101" i="2"/>
  <c r="L97" i="1" s="1"/>
  <c r="P101" i="2"/>
  <c r="AB97" i="1" s="1"/>
  <c r="L122" i="2"/>
  <c r="U118" i="1"/>
  <c r="W118" i="1" s="1"/>
  <c r="X118" i="1" s="1"/>
  <c r="T123" i="2"/>
  <c r="AJ119" i="1" s="1"/>
  <c r="AK119" i="1"/>
  <c r="AM119" i="1" s="1"/>
  <c r="L147" i="1"/>
  <c r="H121" i="2"/>
  <c r="M117" i="1"/>
  <c r="I120" i="2"/>
  <c r="M116" i="1" s="1"/>
  <c r="E56" i="1"/>
  <c r="G56" i="1" s="1"/>
  <c r="H56" i="1" s="1"/>
  <c r="L126" i="2"/>
  <c r="T122" i="1" s="1"/>
  <c r="U122" i="1"/>
  <c r="M120" i="1"/>
  <c r="H124" i="2"/>
  <c r="L120" i="1" s="1"/>
  <c r="H105" i="2"/>
  <c r="L101" i="1" s="1"/>
  <c r="L121" i="2"/>
  <c r="M120" i="2"/>
  <c r="U116" i="1" s="1"/>
  <c r="U117" i="1"/>
  <c r="W117" i="1" s="1"/>
  <c r="X117" i="1" s="1"/>
  <c r="H139" i="1"/>
  <c r="I139" i="1" s="1"/>
  <c r="P126" i="2"/>
  <c r="AB122" i="1" s="1"/>
  <c r="AC122" i="1"/>
  <c r="H102" i="2"/>
  <c r="L98" i="1" s="1"/>
  <c r="M95" i="1"/>
  <c r="D19" i="6" s="1"/>
  <c r="H103" i="2"/>
  <c r="L99" i="1" s="1"/>
  <c r="P121" i="2"/>
  <c r="Q120" i="2"/>
  <c r="AC116" i="1" s="1"/>
  <c r="AC117" i="1"/>
  <c r="AE117" i="1" s="1"/>
  <c r="AF117" i="1" s="1"/>
  <c r="L125" i="2"/>
  <c r="U121" i="1"/>
  <c r="T121" i="2"/>
  <c r="U120" i="2"/>
  <c r="AK116" i="1" s="1"/>
  <c r="AK117" i="1"/>
  <c r="AM117" i="1" s="1"/>
  <c r="AN117" i="1" s="1"/>
  <c r="P124" i="2"/>
  <c r="AC120" i="1"/>
  <c r="F109" i="1"/>
  <c r="G109" i="1" s="1"/>
  <c r="M86" i="2"/>
  <c r="U82" i="1" s="1"/>
  <c r="L86" i="2"/>
  <c r="D20" i="26"/>
  <c r="AE96" i="1"/>
  <c r="AF96" i="1" s="1"/>
  <c r="AM105" i="1"/>
  <c r="AN105" i="1" s="1"/>
  <c r="W87" i="1"/>
  <c r="D67" i="22"/>
  <c r="F67" i="22" s="1"/>
  <c r="G67" i="22" s="1"/>
  <c r="O80" i="1"/>
  <c r="P80" i="1" s="1"/>
  <c r="G80" i="1"/>
  <c r="H80" i="1" s="1"/>
  <c r="O114" i="1"/>
  <c r="P114" i="1" s="1"/>
  <c r="D26" i="26"/>
  <c r="AE97" i="1"/>
  <c r="AF97" i="1" s="1"/>
  <c r="D33" i="21"/>
  <c r="P82" i="1"/>
  <c r="AM104" i="1"/>
  <c r="AN104" i="1" s="1"/>
  <c r="D58" i="22"/>
  <c r="F58" i="22" s="1"/>
  <c r="G58" i="22" s="1"/>
  <c r="W78" i="1"/>
  <c r="X78" i="1" s="1"/>
  <c r="G114" i="1"/>
  <c r="H114" i="1" s="1"/>
  <c r="H109" i="1" s="1"/>
  <c r="K45" i="24"/>
  <c r="F45" i="24"/>
  <c r="G45" i="24" s="1"/>
  <c r="K46" i="24"/>
  <c r="F46" i="24"/>
  <c r="G46" i="24" s="1"/>
  <c r="L84" i="1"/>
  <c r="L82" i="1"/>
  <c r="L59" i="2"/>
  <c r="H58" i="2"/>
  <c r="K45" i="6"/>
  <c r="F45" i="6"/>
  <c r="G45" i="6" s="1"/>
  <c r="T100" i="2"/>
  <c r="AK97" i="1"/>
  <c r="T83" i="1"/>
  <c r="Y83" i="1" s="1"/>
  <c r="T118" i="1"/>
  <c r="D30" i="24"/>
  <c r="F30" i="24" s="1"/>
  <c r="G30" i="24" s="1"/>
  <c r="D27" i="24"/>
  <c r="F27" i="24" s="1"/>
  <c r="G27" i="24" s="1"/>
  <c r="D31" i="24"/>
  <c r="F31" i="24" s="1"/>
  <c r="G31" i="24" s="1"/>
  <c r="D28" i="24"/>
  <c r="F28" i="24" s="1"/>
  <c r="G28" i="24" s="1"/>
  <c r="D29" i="24"/>
  <c r="F29" i="24" s="1"/>
  <c r="G29" i="24" s="1"/>
  <c r="F26" i="24"/>
  <c r="G26" i="24" s="1"/>
  <c r="K26" i="24"/>
  <c r="T121" i="1"/>
  <c r="U57" i="1"/>
  <c r="L61" i="2"/>
  <c r="H63" i="2"/>
  <c r="H62" i="2"/>
  <c r="L58" i="1" s="1"/>
  <c r="H61" i="2"/>
  <c r="L57" i="1" s="1"/>
  <c r="H59" i="2"/>
  <c r="E137" i="1"/>
  <c r="M78" i="2"/>
  <c r="L78" i="2" s="1"/>
  <c r="T74" i="1" s="1"/>
  <c r="H78" i="2"/>
  <c r="L74" i="1" s="1"/>
  <c r="I72" i="2"/>
  <c r="U147" i="1"/>
  <c r="U56" i="1"/>
  <c r="D34" i="22" s="1"/>
  <c r="L60" i="2"/>
  <c r="L83" i="1"/>
  <c r="Q83" i="1" s="1"/>
  <c r="L58" i="2"/>
  <c r="AJ97" i="1"/>
  <c r="U71" i="1"/>
  <c r="M104" i="1"/>
  <c r="O104" i="1" s="1"/>
  <c r="P104" i="1" s="1"/>
  <c r="P102" i="1" s="1"/>
  <c r="U104" i="1"/>
  <c r="W104" i="1" s="1"/>
  <c r="X104" i="1" s="1"/>
  <c r="M105" i="1"/>
  <c r="O105" i="1" s="1"/>
  <c r="P105" i="1" s="1"/>
  <c r="U105" i="1"/>
  <c r="W105" i="1" s="1"/>
  <c r="X105" i="1" s="1"/>
  <c r="D60" i="21"/>
  <c r="F60" i="21" s="1"/>
  <c r="G60" i="21" s="1"/>
  <c r="U106" i="1"/>
  <c r="W106" i="1" s="1"/>
  <c r="X106" i="1" s="1"/>
  <c r="AC106" i="1"/>
  <c r="AK106" i="1"/>
  <c r="AM106" i="1" s="1"/>
  <c r="AN106" i="1" s="1"/>
  <c r="P104" i="2"/>
  <c r="U100" i="1"/>
  <c r="M98" i="1"/>
  <c r="O98" i="1" s="1"/>
  <c r="P98" i="1" s="1"/>
  <c r="I140" i="1"/>
  <c r="E95" i="1"/>
  <c r="I141" i="1"/>
  <c r="AK96" i="1"/>
  <c r="AK108" i="1"/>
  <c r="Q96" i="2"/>
  <c r="U96" i="2"/>
  <c r="D21" i="24"/>
  <c r="F21" i="24" s="1"/>
  <c r="G21" i="24" s="1"/>
  <c r="D23" i="24"/>
  <c r="F23" i="24" s="1"/>
  <c r="G23" i="24" s="1"/>
  <c r="D25" i="24"/>
  <c r="F25" i="24" s="1"/>
  <c r="G25" i="24" s="1"/>
  <c r="D24" i="24"/>
  <c r="F24" i="24" s="1"/>
  <c r="G24" i="24" s="1"/>
  <c r="D22" i="24"/>
  <c r="F22" i="24" s="1"/>
  <c r="G22" i="24" s="1"/>
  <c r="K20" i="24"/>
  <c r="F20" i="24"/>
  <c r="G20" i="24" s="1"/>
  <c r="I19" i="28"/>
  <c r="AC108" i="1"/>
  <c r="AE108" i="1" s="1"/>
  <c r="AF108" i="1" s="1"/>
  <c r="I19" i="24"/>
  <c r="G18" i="1"/>
  <c r="AB1" i="16"/>
  <c r="AA2" i="16"/>
  <c r="AD1" i="11"/>
  <c r="AC2" i="11"/>
  <c r="AV11" i="26"/>
  <c r="AU11" i="26"/>
  <c r="AT11" i="26"/>
  <c r="AW10" i="26"/>
  <c r="AS11" i="26"/>
  <c r="AS12" i="26" s="1"/>
  <c r="G36" i="1"/>
  <c r="H37" i="1" s="1"/>
  <c r="K46" i="26"/>
  <c r="Q111" i="1"/>
  <c r="D17" i="6"/>
  <c r="F17" i="6" s="1"/>
  <c r="K45" i="28"/>
  <c r="K45" i="26"/>
  <c r="K46" i="28"/>
  <c r="AO12" i="28"/>
  <c r="AT11" i="28"/>
  <c r="AV11" i="28"/>
  <c r="AU11" i="28"/>
  <c r="AW10" i="28"/>
  <c r="AS11" i="28"/>
  <c r="M100" i="1"/>
  <c r="O100" i="1" s="1"/>
  <c r="P100" i="1" s="1"/>
  <c r="A45" i="6"/>
  <c r="L70" i="1"/>
  <c r="AV11" i="24"/>
  <c r="AU11" i="24"/>
  <c r="AT11" i="24"/>
  <c r="AS11" i="24"/>
  <c r="AW10" i="24"/>
  <c r="AO12" i="24"/>
  <c r="L75" i="2"/>
  <c r="T71" i="1" s="1"/>
  <c r="M57" i="1"/>
  <c r="A19" i="6"/>
  <c r="J3" i="6"/>
  <c r="J4" i="6"/>
  <c r="J5" i="6"/>
  <c r="G16" i="1"/>
  <c r="D9" i="21"/>
  <c r="A50" i="6"/>
  <c r="D26" i="6"/>
  <c r="K26" i="6" s="1"/>
  <c r="G17" i="1"/>
  <c r="D15" i="21"/>
  <c r="D16" i="21" s="1"/>
  <c r="F16" i="21" s="1"/>
  <c r="K46" i="6"/>
  <c r="D9" i="22"/>
  <c r="D10" i="22" s="1"/>
  <c r="F10" i="22" s="1"/>
  <c r="J6" i="6"/>
  <c r="AC10" i="6"/>
  <c r="AF11" i="6" s="1"/>
  <c r="Y11" i="6"/>
  <c r="AB11" i="6"/>
  <c r="Z11" i="6"/>
  <c r="I96" i="2"/>
  <c r="D76" i="21"/>
  <c r="H76" i="21" s="1"/>
  <c r="D76" i="22"/>
  <c r="H76" i="22" s="1"/>
  <c r="I40" i="2"/>
  <c r="F40" i="2"/>
  <c r="F101" i="1"/>
  <c r="G101" i="1" s="1"/>
  <c r="H101" i="1" s="1"/>
  <c r="M56" i="1"/>
  <c r="I98" i="1"/>
  <c r="L76" i="2"/>
  <c r="T72" i="1" s="1"/>
  <c r="U72" i="1"/>
  <c r="G19" i="1"/>
  <c r="D24" i="22"/>
  <c r="F24" i="22" s="1"/>
  <c r="G24" i="22" s="1"/>
  <c r="D24" i="21"/>
  <c r="F24" i="21" s="1"/>
  <c r="G24" i="21" s="1"/>
  <c r="M63" i="2"/>
  <c r="E81" i="1"/>
  <c r="G81" i="1" s="1"/>
  <c r="H81" i="1" s="1"/>
  <c r="M81" i="1"/>
  <c r="D61" i="21" s="1"/>
  <c r="D28" i="21"/>
  <c r="F28" i="21" s="1"/>
  <c r="G28" i="21" s="1"/>
  <c r="D28" i="22"/>
  <c r="G22" i="1"/>
  <c r="D26" i="22"/>
  <c r="F26" i="22" s="1"/>
  <c r="G26" i="22" s="1"/>
  <c r="D26" i="21"/>
  <c r="F26" i="21" s="1"/>
  <c r="G26" i="21" s="1"/>
  <c r="D27" i="22"/>
  <c r="F27" i="22" s="1"/>
  <c r="G27" i="22" s="1"/>
  <c r="G21" i="1"/>
  <c r="D27" i="21"/>
  <c r="F27" i="21" s="1"/>
  <c r="G27" i="21" s="1"/>
  <c r="V32" i="1"/>
  <c r="H76" i="2"/>
  <c r="M72" i="1"/>
  <c r="L77" i="2"/>
  <c r="T73" i="1" s="1"/>
  <c r="U73" i="1"/>
  <c r="M99" i="1"/>
  <c r="O99" i="1" s="1"/>
  <c r="P99" i="1" s="1"/>
  <c r="M73" i="1"/>
  <c r="D64" i="21"/>
  <c r="W56" i="1"/>
  <c r="X56" i="1" s="1"/>
  <c r="D66" i="21"/>
  <c r="Q86" i="1"/>
  <c r="D80" i="21"/>
  <c r="D80" i="22"/>
  <c r="D65" i="21"/>
  <c r="Q85" i="1"/>
  <c r="D15" i="22"/>
  <c r="F15" i="22" s="1"/>
  <c r="G15" i="22" s="1"/>
  <c r="M96" i="2"/>
  <c r="D51" i="21"/>
  <c r="D67" i="21"/>
  <c r="D81" i="21"/>
  <c r="D81" i="22"/>
  <c r="Q87" i="1"/>
  <c r="M74" i="1"/>
  <c r="E55" i="1"/>
  <c r="D25" i="22"/>
  <c r="F25" i="22" s="1"/>
  <c r="G25" i="22" s="1"/>
  <c r="G20" i="1"/>
  <c r="D25" i="21"/>
  <c r="D21" i="21"/>
  <c r="F21" i="21" s="1"/>
  <c r="G21" i="21" s="1"/>
  <c r="D21" i="22"/>
  <c r="F21" i="22" s="1"/>
  <c r="G21" i="22" s="1"/>
  <c r="T86" i="1"/>
  <c r="U86" i="1"/>
  <c r="E15" i="1"/>
  <c r="D79" i="22"/>
  <c r="T88" i="1"/>
  <c r="U88" i="1"/>
  <c r="D68" i="21"/>
  <c r="D82" i="21"/>
  <c r="D82" i="22"/>
  <c r="Q88" i="1"/>
  <c r="D79" i="21"/>
  <c r="T84" i="1"/>
  <c r="U84" i="1"/>
  <c r="T85" i="1"/>
  <c r="U85" i="1"/>
  <c r="K40" i="2"/>
  <c r="E79" i="1"/>
  <c r="G79" i="1" s="1"/>
  <c r="H79" i="1" s="1"/>
  <c r="M54" i="1"/>
  <c r="L84" i="2"/>
  <c r="E38" i="21"/>
  <c r="F38" i="21" s="1"/>
  <c r="G38" i="21" s="1"/>
  <c r="E77" i="1"/>
  <c r="G77" i="1" s="1"/>
  <c r="H77" i="1" s="1"/>
  <c r="E105" i="1"/>
  <c r="G105" i="1" s="1"/>
  <c r="H105" i="1" s="1"/>
  <c r="D58" i="21"/>
  <c r="F58" i="21" s="1"/>
  <c r="G58" i="21" s="1"/>
  <c r="D74" i="21"/>
  <c r="D74" i="22"/>
  <c r="H78" i="21"/>
  <c r="F78" i="21"/>
  <c r="G78" i="21" s="1"/>
  <c r="H78" i="22"/>
  <c r="F78" i="22"/>
  <c r="G78" i="22" s="1"/>
  <c r="D47" i="22"/>
  <c r="H47" i="21"/>
  <c r="H38" i="22"/>
  <c r="G38" i="22"/>
  <c r="R5" i="22"/>
  <c r="Q6" i="22"/>
  <c r="H17" i="1"/>
  <c r="H15" i="1" s="1"/>
  <c r="D15" i="1"/>
  <c r="Q6" i="21"/>
  <c r="R5" i="21"/>
  <c r="M44" i="1"/>
  <c r="M101" i="1"/>
  <c r="F97" i="1"/>
  <c r="G97" i="1" s="1"/>
  <c r="H97" i="1" s="1"/>
  <c r="F100" i="1"/>
  <c r="G100" i="1" s="1"/>
  <c r="H100" i="1" s="1"/>
  <c r="E54" i="1"/>
  <c r="G54" i="1" s="1"/>
  <c r="H54" i="1" s="1"/>
  <c r="E59" i="1"/>
  <c r="G59" i="1" s="1"/>
  <c r="H59" i="1" s="1"/>
  <c r="E104" i="1"/>
  <c r="G104" i="1" s="1"/>
  <c r="H104" i="1" s="1"/>
  <c r="E108" i="1"/>
  <c r="G108" i="1" s="1"/>
  <c r="H108" i="1" s="1"/>
  <c r="W70" i="1"/>
  <c r="X70" i="1" s="1"/>
  <c r="V29" i="1"/>
  <c r="W55" i="1"/>
  <c r="X55" i="1" s="1"/>
  <c r="G60" i="1"/>
  <c r="O55" i="1"/>
  <c r="P55" i="1" s="1"/>
  <c r="K36" i="1"/>
  <c r="O43" i="1"/>
  <c r="E57" i="1"/>
  <c r="G57" i="1" s="1"/>
  <c r="H57" i="1" s="1"/>
  <c r="T26" i="1"/>
  <c r="AC36" i="1"/>
  <c r="W37" i="1"/>
  <c r="U36" i="1"/>
  <c r="E58" i="1"/>
  <c r="U30" i="1"/>
  <c r="V31" i="1"/>
  <c r="W43" i="1"/>
  <c r="D39" i="2"/>
  <c r="F45" i="2"/>
  <c r="G45" i="2" s="1"/>
  <c r="K45" i="2"/>
  <c r="I45" i="2"/>
  <c r="J45" i="2" s="1"/>
  <c r="F44" i="2"/>
  <c r="G44" i="2" s="1"/>
  <c r="K44" i="2"/>
  <c r="I44" i="2"/>
  <c r="J44" i="2" s="1"/>
  <c r="Y44" i="1"/>
  <c r="T139" i="1"/>
  <c r="O37" i="1"/>
  <c r="L141" i="1"/>
  <c r="T140" i="1"/>
  <c r="E92" i="1"/>
  <c r="I158" i="1"/>
  <c r="Y38" i="1"/>
  <c r="W38" i="1"/>
  <c r="K47" i="2"/>
  <c r="I47" i="2"/>
  <c r="J47" i="2" s="1"/>
  <c r="F47" i="2"/>
  <c r="G47" i="2" s="1"/>
  <c r="Y135" i="1"/>
  <c r="F42" i="2"/>
  <c r="K42" i="2"/>
  <c r="I42" i="2"/>
  <c r="J42" i="2" s="1"/>
  <c r="K43" i="2"/>
  <c r="I43" i="2"/>
  <c r="J43" i="2" s="1"/>
  <c r="F43" i="2"/>
  <c r="G43" i="2" s="1"/>
  <c r="G46" i="2"/>
  <c r="K46" i="2"/>
  <c r="I46" i="2"/>
  <c r="J46" i="2" s="1"/>
  <c r="N92" i="1"/>
  <c r="F92" i="1" s="1"/>
  <c r="W41" i="1"/>
  <c r="Y41" i="1"/>
  <c r="O41" i="1"/>
  <c r="M41" i="1"/>
  <c r="O38" i="1"/>
  <c r="M38" i="1"/>
  <c r="Y42" i="1"/>
  <c r="W42" i="1"/>
  <c r="O39" i="1"/>
  <c r="O42" i="1"/>
  <c r="M42" i="1"/>
  <c r="Y39" i="1"/>
  <c r="W39" i="1"/>
  <c r="G63" i="1"/>
  <c r="H63" i="1" s="1"/>
  <c r="H60" i="1" s="1"/>
  <c r="I60" i="1" s="1"/>
  <c r="K41" i="2"/>
  <c r="I41" i="2"/>
  <c r="J41" i="2" s="1"/>
  <c r="F41" i="2"/>
  <c r="G41" i="2" s="1"/>
  <c r="Y40" i="1"/>
  <c r="W40" i="1"/>
  <c r="O40" i="1"/>
  <c r="M40" i="1"/>
  <c r="U74" i="1" l="1"/>
  <c r="O75" i="1"/>
  <c r="D17" i="28"/>
  <c r="F17" i="28" s="1"/>
  <c r="G17" i="28" s="1"/>
  <c r="P109" i="2"/>
  <c r="T112" i="2"/>
  <c r="AJ108" i="1" s="1"/>
  <c r="P107" i="2"/>
  <c r="E102" i="1"/>
  <c r="G102" i="1" s="1"/>
  <c r="H102" i="1"/>
  <c r="P95" i="1"/>
  <c r="AE106" i="1"/>
  <c r="AF106" i="1" s="1"/>
  <c r="AF102" i="1" s="1"/>
  <c r="X87" i="1"/>
  <c r="Y87" i="1" s="1"/>
  <c r="H79" i="2"/>
  <c r="Q147" i="1"/>
  <c r="P146" i="1"/>
  <c r="I19" i="26"/>
  <c r="DW1" i="26" s="1"/>
  <c r="O116" i="1"/>
  <c r="H75" i="1"/>
  <c r="I75" i="1" s="1"/>
  <c r="E56" i="2"/>
  <c r="E52" i="1" s="1"/>
  <c r="I32" i="6"/>
  <c r="H95" i="1"/>
  <c r="I95" i="1" s="1"/>
  <c r="L147" i="2"/>
  <c r="L146" i="2" s="1"/>
  <c r="I96" i="1"/>
  <c r="I146" i="2"/>
  <c r="H147" i="2"/>
  <c r="H146" i="2" s="1"/>
  <c r="I141" i="2" s="1"/>
  <c r="M143" i="1"/>
  <c r="AN119" i="1"/>
  <c r="AO119" i="1" s="1"/>
  <c r="AN118" i="1"/>
  <c r="P111" i="2"/>
  <c r="H107" i="2"/>
  <c r="H72" i="2"/>
  <c r="Y97" i="1"/>
  <c r="P112" i="2"/>
  <c r="H108" i="2"/>
  <c r="H109" i="2"/>
  <c r="L109" i="2"/>
  <c r="T109" i="2"/>
  <c r="AJ105" i="1" s="1"/>
  <c r="AO105" i="1" s="1"/>
  <c r="L108" i="2"/>
  <c r="T104" i="1" s="1"/>
  <c r="Y104" i="1" s="1"/>
  <c r="L110" i="2"/>
  <c r="T106" i="1" s="1"/>
  <c r="H110" i="2"/>
  <c r="L106" i="1" s="1"/>
  <c r="H112" i="2"/>
  <c r="L108" i="1" s="1"/>
  <c r="L107" i="2"/>
  <c r="T111" i="2"/>
  <c r="AJ107" i="1" s="1"/>
  <c r="AO107" i="1" s="1"/>
  <c r="H111" i="2"/>
  <c r="L107" i="1" s="1"/>
  <c r="T110" i="2"/>
  <c r="AJ106" i="1" s="1"/>
  <c r="T108" i="2"/>
  <c r="AJ104" i="1" s="1"/>
  <c r="AO104" i="1" s="1"/>
  <c r="P108" i="2"/>
  <c r="P110" i="2"/>
  <c r="L111" i="2"/>
  <c r="T107" i="1" s="1"/>
  <c r="H99" i="2"/>
  <c r="I102" i="1"/>
  <c r="I76" i="1"/>
  <c r="Y119" i="1"/>
  <c r="I19" i="6"/>
  <c r="DW1" i="6" s="1"/>
  <c r="T145" i="1"/>
  <c r="AM116" i="1"/>
  <c r="L120" i="2"/>
  <c r="T116" i="1" s="1"/>
  <c r="I39" i="26"/>
  <c r="I39" i="28"/>
  <c r="I39" i="24"/>
  <c r="O122" i="1"/>
  <c r="P122" i="1" s="1"/>
  <c r="I39" i="6"/>
  <c r="T120" i="2"/>
  <c r="AJ116" i="1" s="1"/>
  <c r="AJ117" i="1"/>
  <c r="AO117" i="1" s="1"/>
  <c r="L96" i="1"/>
  <c r="I26" i="28"/>
  <c r="I26" i="26"/>
  <c r="I26" i="24"/>
  <c r="I26" i="6"/>
  <c r="O118" i="1"/>
  <c r="P118" i="1" s="1"/>
  <c r="W121" i="1"/>
  <c r="AM122" i="1"/>
  <c r="Q82" i="1"/>
  <c r="AE122" i="1"/>
  <c r="AF122" i="1" s="1"/>
  <c r="AF116" i="1" s="1"/>
  <c r="I36" i="26"/>
  <c r="I36" i="28"/>
  <c r="O121" i="1"/>
  <c r="P121" i="1" s="1"/>
  <c r="I36" i="24"/>
  <c r="I36" i="6"/>
  <c r="Y118" i="1"/>
  <c r="O120" i="1"/>
  <c r="P120" i="1" s="1"/>
  <c r="I35" i="28"/>
  <c r="I35" i="26"/>
  <c r="I35" i="24"/>
  <c r="I35" i="6"/>
  <c r="T117" i="1"/>
  <c r="Y117" i="1" s="1"/>
  <c r="AJ103" i="1"/>
  <c r="AO103" i="1" s="1"/>
  <c r="AE116" i="1"/>
  <c r="AE121" i="1"/>
  <c r="AF121" i="1" s="1"/>
  <c r="H55" i="21"/>
  <c r="F55" i="21"/>
  <c r="G55" i="21" s="1"/>
  <c r="I32" i="28"/>
  <c r="I32" i="26"/>
  <c r="I32" i="24"/>
  <c r="W71" i="1"/>
  <c r="X71" i="1" s="1"/>
  <c r="Y71" i="1" s="1"/>
  <c r="P120" i="2"/>
  <c r="AB116" i="1" s="1"/>
  <c r="L79" i="1"/>
  <c r="L78" i="1"/>
  <c r="E75" i="1"/>
  <c r="G75" i="1" s="1"/>
  <c r="L81" i="1"/>
  <c r="T76" i="1"/>
  <c r="Y76" i="1" s="1"/>
  <c r="L82" i="2"/>
  <c r="T78" i="1" s="1"/>
  <c r="AM121" i="1"/>
  <c r="T144" i="1"/>
  <c r="AJ96" i="1"/>
  <c r="AE120" i="1"/>
  <c r="AF120" i="1" s="1"/>
  <c r="I20" i="6"/>
  <c r="I20" i="28"/>
  <c r="I20" i="26"/>
  <c r="O117" i="1"/>
  <c r="P117" i="1" s="1"/>
  <c r="P116" i="1" s="1"/>
  <c r="Q116" i="1" s="1"/>
  <c r="I20" i="24"/>
  <c r="AM120" i="1"/>
  <c r="L145" i="1"/>
  <c r="W120" i="1"/>
  <c r="X120" i="1" s="1"/>
  <c r="Y120" i="1" s="1"/>
  <c r="W122" i="1"/>
  <c r="H120" i="2"/>
  <c r="L116" i="1" s="1"/>
  <c r="L117" i="1"/>
  <c r="L99" i="2"/>
  <c r="T146" i="1"/>
  <c r="T147" i="1"/>
  <c r="M72" i="2"/>
  <c r="U68" i="1" s="1"/>
  <c r="I114" i="1"/>
  <c r="I109" i="1"/>
  <c r="D51" i="22"/>
  <c r="W57" i="1"/>
  <c r="X57" i="1" s="1"/>
  <c r="D35" i="22"/>
  <c r="H35" i="22" s="1"/>
  <c r="D34" i="21"/>
  <c r="D52" i="22"/>
  <c r="D54" i="22"/>
  <c r="W86" i="1"/>
  <c r="X86" i="1" s="1"/>
  <c r="Y86" i="1" s="1"/>
  <c r="D66" i="22"/>
  <c r="F66" i="22" s="1"/>
  <c r="G66" i="22" s="1"/>
  <c r="D77" i="21"/>
  <c r="H77" i="21" s="1"/>
  <c r="O81" i="1"/>
  <c r="P81" i="1" s="1"/>
  <c r="O57" i="1"/>
  <c r="P57" i="1" s="1"/>
  <c r="Q57" i="1" s="1"/>
  <c r="D26" i="28"/>
  <c r="AM97" i="1"/>
  <c r="AN97" i="1" s="1"/>
  <c r="AO97" i="1" s="1"/>
  <c r="D32" i="21"/>
  <c r="F32" i="21" s="1"/>
  <c r="G32" i="21" s="1"/>
  <c r="O54" i="1"/>
  <c r="P54" i="1" s="1"/>
  <c r="W85" i="1"/>
  <c r="X85" i="1" s="1"/>
  <c r="D65" i="22"/>
  <c r="F65" i="22" s="1"/>
  <c r="G65" i="22" s="1"/>
  <c r="AM108" i="1"/>
  <c r="AN108" i="1" s="1"/>
  <c r="AO108" i="1" s="1"/>
  <c r="D29" i="26"/>
  <c r="F29" i="26" s="1"/>
  <c r="G29" i="26" s="1"/>
  <c r="D30" i="26"/>
  <c r="F30" i="26" s="1"/>
  <c r="G30" i="26" s="1"/>
  <c r="D27" i="26"/>
  <c r="F27" i="26" s="1"/>
  <c r="G27" i="26" s="1"/>
  <c r="K26" i="26"/>
  <c r="F26" i="26"/>
  <c r="G26" i="26" s="1"/>
  <c r="D28" i="26"/>
  <c r="F28" i="26" s="1"/>
  <c r="G28" i="26" s="1"/>
  <c r="D31" i="26"/>
  <c r="F31" i="26" s="1"/>
  <c r="G31" i="26" s="1"/>
  <c r="D21" i="26"/>
  <c r="F21" i="26" s="1"/>
  <c r="G21" i="26" s="1"/>
  <c r="D25" i="26"/>
  <c r="F25" i="26" s="1"/>
  <c r="G25" i="26" s="1"/>
  <c r="D24" i="26"/>
  <c r="F24" i="26" s="1"/>
  <c r="G24" i="26" s="1"/>
  <c r="F20" i="26"/>
  <c r="G20" i="26" s="1"/>
  <c r="D22" i="26"/>
  <c r="F22" i="26" s="1"/>
  <c r="G22" i="26" s="1"/>
  <c r="K20" i="26"/>
  <c r="D23" i="26"/>
  <c r="F23" i="26" s="1"/>
  <c r="G23" i="26" s="1"/>
  <c r="D62" i="22"/>
  <c r="F62" i="22" s="1"/>
  <c r="G62" i="22" s="1"/>
  <c r="W82" i="1"/>
  <c r="X102" i="1"/>
  <c r="D20" i="28"/>
  <c r="AM96" i="1"/>
  <c r="AN96" i="1" s="1"/>
  <c r="W88" i="1"/>
  <c r="D68" i="22"/>
  <c r="F68" i="22" s="1"/>
  <c r="G68" i="22" s="1"/>
  <c r="D39" i="6"/>
  <c r="F39" i="6" s="1"/>
  <c r="G39" i="6" s="1"/>
  <c r="O101" i="1"/>
  <c r="P101" i="1" s="1"/>
  <c r="D53" i="22"/>
  <c r="W100" i="1"/>
  <c r="X100" i="1" s="1"/>
  <c r="W84" i="1"/>
  <c r="D64" i="22"/>
  <c r="F64" i="22" s="1"/>
  <c r="G64" i="22" s="1"/>
  <c r="Y96" i="1"/>
  <c r="F28" i="22"/>
  <c r="G28" i="22" s="1"/>
  <c r="H24" i="21"/>
  <c r="D12" i="21"/>
  <c r="F12" i="21" s="1"/>
  <c r="D11" i="21"/>
  <c r="F11" i="21" s="1"/>
  <c r="AC92" i="1"/>
  <c r="D16" i="26" s="1"/>
  <c r="F16" i="26" s="1"/>
  <c r="G16" i="26" s="1"/>
  <c r="P96" i="2"/>
  <c r="M92" i="1"/>
  <c r="H96" i="2"/>
  <c r="AK92" i="1"/>
  <c r="D16" i="28" s="1"/>
  <c r="F16" i="28" s="1"/>
  <c r="G16" i="28" s="1"/>
  <c r="T96" i="2"/>
  <c r="U92" i="1"/>
  <c r="D16" i="24" s="1"/>
  <c r="F16" i="24" s="1"/>
  <c r="G16" i="24" s="1"/>
  <c r="L96" i="2"/>
  <c r="H57" i="2"/>
  <c r="I56" i="2" s="1"/>
  <c r="M52" i="1" s="1"/>
  <c r="I119" i="1"/>
  <c r="L72" i="2"/>
  <c r="AE1" i="6"/>
  <c r="DS1" i="6"/>
  <c r="L104" i="1"/>
  <c r="Q104" i="1" s="1"/>
  <c r="AB119" i="1"/>
  <c r="AG119" i="1" s="1"/>
  <c r="W146" i="1"/>
  <c r="U99" i="1"/>
  <c r="AG97" i="1"/>
  <c r="AB117" i="1"/>
  <c r="AG117" i="1" s="1"/>
  <c r="AB120" i="1"/>
  <c r="H60" i="21"/>
  <c r="U59" i="1"/>
  <c r="W59" i="1" s="1"/>
  <c r="L63" i="2"/>
  <c r="T59" i="1" s="1"/>
  <c r="AB121" i="1"/>
  <c r="AB118" i="1"/>
  <c r="AG118" i="1" s="1"/>
  <c r="U95" i="1"/>
  <c r="U101" i="1"/>
  <c r="T100" i="1"/>
  <c r="L80" i="1"/>
  <c r="AB96" i="1"/>
  <c r="T70" i="1"/>
  <c r="L72" i="1"/>
  <c r="T82" i="1"/>
  <c r="D32" i="6"/>
  <c r="K32" i="6" s="1"/>
  <c r="BK1" i="6"/>
  <c r="W1" i="6"/>
  <c r="L103" i="1"/>
  <c r="Q103" i="1" s="1"/>
  <c r="M79" i="1"/>
  <c r="O79" i="1" s="1"/>
  <c r="P79" i="1" s="1"/>
  <c r="L105" i="1"/>
  <c r="Q105" i="1" s="1"/>
  <c r="T108" i="1"/>
  <c r="U77" i="1"/>
  <c r="M144" i="1"/>
  <c r="T105" i="1"/>
  <c r="Y105" i="1" s="1"/>
  <c r="L55" i="1"/>
  <c r="Q55" i="1" s="1"/>
  <c r="O56" i="1"/>
  <c r="P56" i="1" s="1"/>
  <c r="U98" i="1"/>
  <c r="W98" i="1" s="1"/>
  <c r="X98" i="1" s="1"/>
  <c r="AC102" i="1"/>
  <c r="AE102" i="1" s="1"/>
  <c r="BG1" i="24"/>
  <c r="BW1" i="24"/>
  <c r="S1" i="24"/>
  <c r="O1" i="24"/>
  <c r="DW1" i="24"/>
  <c r="BS1" i="24"/>
  <c r="CE1" i="24"/>
  <c r="AA1" i="24"/>
  <c r="DC1" i="24"/>
  <c r="DO1" i="24"/>
  <c r="BC1" i="24"/>
  <c r="BO1" i="24"/>
  <c r="AU1" i="24"/>
  <c r="W1" i="24"/>
  <c r="EE1" i="24"/>
  <c r="DK1" i="24"/>
  <c r="CA1" i="24"/>
  <c r="CU1" i="24"/>
  <c r="BK1" i="24"/>
  <c r="AY1" i="24"/>
  <c r="AM1" i="24"/>
  <c r="DS1" i="24"/>
  <c r="CM1" i="24"/>
  <c r="EA1" i="24"/>
  <c r="DG1" i="24"/>
  <c r="CI1" i="24"/>
  <c r="CQ1" i="24"/>
  <c r="CY1" i="24"/>
  <c r="AQ1" i="24"/>
  <c r="AI1" i="24"/>
  <c r="AE1" i="24"/>
  <c r="D36" i="24"/>
  <c r="K36" i="24" s="1"/>
  <c r="AC100" i="1"/>
  <c r="U102" i="1"/>
  <c r="W102" i="1" s="1"/>
  <c r="Q98" i="1"/>
  <c r="EA1" i="26"/>
  <c r="AK102" i="1"/>
  <c r="AM102" i="1" s="1"/>
  <c r="S1" i="28"/>
  <c r="EA1" i="28"/>
  <c r="AI1" i="28"/>
  <c r="DS1" i="28"/>
  <c r="DO1" i="28"/>
  <c r="AE1" i="28"/>
  <c r="CY1" i="28"/>
  <c r="CQ1" i="28"/>
  <c r="O1" i="28"/>
  <c r="CI1" i="28"/>
  <c r="CE1" i="28"/>
  <c r="CA1" i="28"/>
  <c r="BO1" i="28"/>
  <c r="AU1" i="28"/>
  <c r="EE1" i="28"/>
  <c r="AM1" i="28"/>
  <c r="AY1" i="28"/>
  <c r="AQ1" i="28"/>
  <c r="DW1" i="28"/>
  <c r="AA1" i="28"/>
  <c r="DK1" i="28"/>
  <c r="W1" i="28"/>
  <c r="DG1" i="28"/>
  <c r="DC1" i="28"/>
  <c r="BW1" i="28"/>
  <c r="CU1" i="28"/>
  <c r="CM1" i="28"/>
  <c r="BS1" i="28"/>
  <c r="BK1" i="28"/>
  <c r="BG1" i="28"/>
  <c r="BC1" i="28"/>
  <c r="Y36" i="1"/>
  <c r="M68" i="1"/>
  <c r="K19" i="6"/>
  <c r="G92" i="1"/>
  <c r="D10" i="21"/>
  <c r="F10" i="21" s="1"/>
  <c r="H9" i="21"/>
  <c r="G146" i="1"/>
  <c r="AB2" i="16"/>
  <c r="AC1" i="16"/>
  <c r="AE1" i="11"/>
  <c r="AD2" i="11"/>
  <c r="AZ11" i="26"/>
  <c r="BA10" i="26"/>
  <c r="AW11" i="26"/>
  <c r="AW12" i="26" s="1"/>
  <c r="AX11" i="26"/>
  <c r="AY11" i="26"/>
  <c r="Q118" i="1"/>
  <c r="M36" i="1"/>
  <c r="N38" i="1" s="1"/>
  <c r="AS12" i="28"/>
  <c r="AY11" i="28"/>
  <c r="AX11" i="28"/>
  <c r="AW11" i="28"/>
  <c r="BA10" i="28"/>
  <c r="AZ11" i="28"/>
  <c r="I111" i="1"/>
  <c r="I118" i="1"/>
  <c r="O95" i="1"/>
  <c r="D13" i="21"/>
  <c r="F13" i="21" s="1"/>
  <c r="D36" i="6"/>
  <c r="AY11" i="24"/>
  <c r="AX11" i="24"/>
  <c r="AW11" i="24"/>
  <c r="AW12" i="24" s="1"/>
  <c r="AZ11" i="24"/>
  <c r="BA10" i="24"/>
  <c r="AS12" i="24"/>
  <c r="F76" i="22"/>
  <c r="G76" i="22" s="1"/>
  <c r="D13" i="22"/>
  <c r="F13" i="22" s="1"/>
  <c r="D14" i="22"/>
  <c r="F14" i="22" s="1"/>
  <c r="D14" i="21"/>
  <c r="F14" i="21" s="1"/>
  <c r="F15" i="21"/>
  <c r="G15" i="21" s="1"/>
  <c r="D35" i="21"/>
  <c r="H35" i="21" s="1"/>
  <c r="Y12" i="6"/>
  <c r="H9" i="22"/>
  <c r="D11" i="22"/>
  <c r="F11" i="22" s="1"/>
  <c r="D31" i="6"/>
  <c r="F31" i="6" s="1"/>
  <c r="G31" i="6" s="1"/>
  <c r="D30" i="6"/>
  <c r="F30" i="6" s="1"/>
  <c r="G30" i="6" s="1"/>
  <c r="D27" i="6"/>
  <c r="F27" i="6" s="1"/>
  <c r="G27" i="6" s="1"/>
  <c r="D28" i="6"/>
  <c r="F28" i="6" s="1"/>
  <c r="G28" i="6" s="1"/>
  <c r="D29" i="6"/>
  <c r="F29" i="6" s="1"/>
  <c r="G29" i="6" s="1"/>
  <c r="F26" i="6"/>
  <c r="G26" i="6" s="1"/>
  <c r="D12" i="22"/>
  <c r="F12" i="22" s="1"/>
  <c r="D20" i="6"/>
  <c r="D77" i="22"/>
  <c r="H77" i="22" s="1"/>
  <c r="Q99" i="1"/>
  <c r="D35" i="6"/>
  <c r="F9" i="22"/>
  <c r="G9" i="22" s="1"/>
  <c r="H42" i="1"/>
  <c r="AD11" i="6"/>
  <c r="AE11" i="6"/>
  <c r="AC11" i="6"/>
  <c r="AG10" i="6"/>
  <c r="AI11" i="6" s="1"/>
  <c r="A17" i="6"/>
  <c r="D8" i="22"/>
  <c r="F76" i="21"/>
  <c r="G76" i="21" s="1"/>
  <c r="M53" i="1"/>
  <c r="G15" i="1"/>
  <c r="W74" i="1"/>
  <c r="X74" i="1" s="1"/>
  <c r="D8" i="21"/>
  <c r="F25" i="21"/>
  <c r="G25" i="21" s="1"/>
  <c r="I39" i="2"/>
  <c r="F9" i="21"/>
  <c r="G9" i="21" s="1"/>
  <c r="D22" i="22"/>
  <c r="F22" i="22" s="1"/>
  <c r="H15" i="21"/>
  <c r="D17" i="21"/>
  <c r="F17" i="21" s="1"/>
  <c r="D18" i="21"/>
  <c r="F18" i="21" s="1"/>
  <c r="D19" i="21"/>
  <c r="F19" i="21" s="1"/>
  <c r="D20" i="21"/>
  <c r="F20" i="21" s="1"/>
  <c r="H26" i="22"/>
  <c r="D7" i="22"/>
  <c r="D7" i="21"/>
  <c r="F7" i="21" s="1"/>
  <c r="G7" i="21" s="1"/>
  <c r="H81" i="22"/>
  <c r="F81" i="22"/>
  <c r="G81" i="22" s="1"/>
  <c r="H24" i="22"/>
  <c r="F81" i="21"/>
  <c r="G81" i="21" s="1"/>
  <c r="H81" i="21"/>
  <c r="F65" i="21"/>
  <c r="G65" i="21" s="1"/>
  <c r="H65" i="21"/>
  <c r="H67" i="22"/>
  <c r="D52" i="21"/>
  <c r="H28" i="22"/>
  <c r="F39" i="2"/>
  <c r="H82" i="21"/>
  <c r="F82" i="21"/>
  <c r="G82" i="21" s="1"/>
  <c r="H25" i="22"/>
  <c r="H67" i="21"/>
  <c r="F67" i="21"/>
  <c r="G67" i="21" s="1"/>
  <c r="H28" i="21"/>
  <c r="D69" i="21"/>
  <c r="D69" i="22"/>
  <c r="D54" i="21"/>
  <c r="H82" i="22"/>
  <c r="F82" i="22"/>
  <c r="G82" i="22" s="1"/>
  <c r="H68" i="21"/>
  <c r="F68" i="21"/>
  <c r="G68" i="21" s="1"/>
  <c r="D23" i="22"/>
  <c r="F23" i="22" s="1"/>
  <c r="H21" i="22"/>
  <c r="F80" i="22"/>
  <c r="H80" i="22"/>
  <c r="Q84" i="1"/>
  <c r="P103" i="2"/>
  <c r="H64" i="21"/>
  <c r="F64" i="21"/>
  <c r="G64" i="21" s="1"/>
  <c r="H27" i="21"/>
  <c r="H25" i="21"/>
  <c r="D23" i="21"/>
  <c r="F23" i="21" s="1"/>
  <c r="D22" i="21"/>
  <c r="F22" i="21" s="1"/>
  <c r="H21" i="21"/>
  <c r="M62" i="2"/>
  <c r="F51" i="21"/>
  <c r="G51" i="21" s="1"/>
  <c r="H51" i="21"/>
  <c r="H80" i="21"/>
  <c r="F80" i="21"/>
  <c r="D53" i="21"/>
  <c r="T80" i="1"/>
  <c r="U80" i="1"/>
  <c r="U54" i="1"/>
  <c r="H51" i="22"/>
  <c r="F51" i="22"/>
  <c r="G51" i="22" s="1"/>
  <c r="H27" i="22"/>
  <c r="D17" i="22"/>
  <c r="F17" i="22" s="1"/>
  <c r="D18" i="22"/>
  <c r="F18" i="22" s="1"/>
  <c r="D20" i="22"/>
  <c r="F20" i="22" s="1"/>
  <c r="H15" i="22"/>
  <c r="D16" i="22"/>
  <c r="F16" i="22" s="1"/>
  <c r="D19" i="22"/>
  <c r="F19" i="22" s="1"/>
  <c r="D72" i="22"/>
  <c r="D72" i="21"/>
  <c r="M58" i="1"/>
  <c r="Y85" i="1"/>
  <c r="H66" i="21"/>
  <c r="F66" i="21"/>
  <c r="G66" i="21" s="1"/>
  <c r="H26" i="21"/>
  <c r="L59" i="1"/>
  <c r="M59" i="1"/>
  <c r="V30" i="1"/>
  <c r="V26" i="1" s="1"/>
  <c r="W28" i="1" s="1"/>
  <c r="U26" i="1"/>
  <c r="M77" i="1"/>
  <c r="O77" i="1" s="1"/>
  <c r="P77" i="1" s="1"/>
  <c r="H58" i="22"/>
  <c r="H74" i="22"/>
  <c r="F74" i="22"/>
  <c r="G74" i="22" s="1"/>
  <c r="H74" i="21"/>
  <c r="F74" i="21"/>
  <c r="G74" i="21" s="1"/>
  <c r="H58" i="21"/>
  <c r="D54" i="1"/>
  <c r="I54" i="1" s="1"/>
  <c r="H34" i="22"/>
  <c r="F34" i="22"/>
  <c r="G34" i="22" s="1"/>
  <c r="H33" i="22"/>
  <c r="F33" i="22"/>
  <c r="G33" i="22" s="1"/>
  <c r="H34" i="21"/>
  <c r="F34" i="21"/>
  <c r="G34" i="21" s="1"/>
  <c r="H33" i="21"/>
  <c r="F33" i="21"/>
  <c r="G33" i="21" s="1"/>
  <c r="H47" i="22"/>
  <c r="S5" i="22"/>
  <c r="R6" i="22"/>
  <c r="F95" i="1"/>
  <c r="G95" i="1" s="1"/>
  <c r="R6" i="21"/>
  <c r="S5" i="21"/>
  <c r="P102" i="2"/>
  <c r="W69" i="1"/>
  <c r="X69" i="1" s="1"/>
  <c r="T57" i="1"/>
  <c r="W73" i="1"/>
  <c r="X73" i="1" s="1"/>
  <c r="W72" i="1"/>
  <c r="X72" i="1" s="1"/>
  <c r="G58" i="1"/>
  <c r="H58" i="1" s="1"/>
  <c r="T56" i="1"/>
  <c r="Y56" i="1" s="1"/>
  <c r="L56" i="1"/>
  <c r="W36" i="1"/>
  <c r="O36" i="1"/>
  <c r="K39" i="2"/>
  <c r="E53" i="1"/>
  <c r="G53" i="1" s="1"/>
  <c r="D56" i="1"/>
  <c r="I56" i="1" s="1"/>
  <c r="I64" i="1"/>
  <c r="G42" i="2"/>
  <c r="I61" i="1"/>
  <c r="H43" i="1"/>
  <c r="H44" i="1"/>
  <c r="H39" i="1"/>
  <c r="G40" i="2"/>
  <c r="W147" i="1"/>
  <c r="I62" i="1"/>
  <c r="J40" i="2"/>
  <c r="J39" i="2" s="1"/>
  <c r="G55" i="1"/>
  <c r="I65" i="1"/>
  <c r="Y138" i="1"/>
  <c r="G120" i="1"/>
  <c r="H120" i="1" s="1"/>
  <c r="Q120" i="1"/>
  <c r="Y131" i="1"/>
  <c r="G121" i="1"/>
  <c r="H121" i="1" s="1"/>
  <c r="Q28" i="1"/>
  <c r="I157" i="1"/>
  <c r="W148" i="1"/>
  <c r="H38" i="1"/>
  <c r="H41" i="1"/>
  <c r="I66" i="1"/>
  <c r="G122" i="1"/>
  <c r="H122" i="1" s="1"/>
  <c r="Q32" i="1"/>
  <c r="Y126" i="1"/>
  <c r="V125" i="1" s="1"/>
  <c r="H40" i="1"/>
  <c r="AM92" i="1"/>
  <c r="L106" i="2" l="1"/>
  <c r="AN102" i="1"/>
  <c r="BO1" i="26"/>
  <c r="EA1" i="6"/>
  <c r="AO118" i="1"/>
  <c r="EE1" i="26"/>
  <c r="CY1" i="6"/>
  <c r="BW1" i="6"/>
  <c r="W1" i="26"/>
  <c r="DO1" i="6"/>
  <c r="CM1" i="26"/>
  <c r="CQ1" i="26"/>
  <c r="BC1" i="6"/>
  <c r="BK1" i="26"/>
  <c r="AM1" i="6"/>
  <c r="BW1" i="26"/>
  <c r="CI1" i="26"/>
  <c r="H68" i="22"/>
  <c r="CY1" i="26"/>
  <c r="DG1" i="26"/>
  <c r="CQ1" i="6"/>
  <c r="AG116" i="1"/>
  <c r="BS1" i="26"/>
  <c r="CA1" i="6"/>
  <c r="CM1" i="6"/>
  <c r="H32" i="21"/>
  <c r="DO1" i="26"/>
  <c r="AU1" i="26"/>
  <c r="BS1" i="6"/>
  <c r="CE1" i="6"/>
  <c r="O1" i="26"/>
  <c r="CA1" i="26"/>
  <c r="AM1" i="26"/>
  <c r="DG1" i="6"/>
  <c r="CU1" i="26"/>
  <c r="AA1" i="26"/>
  <c r="BG1" i="26"/>
  <c r="AQ1" i="6"/>
  <c r="S1" i="6"/>
  <c r="ED1" i="6"/>
  <c r="X84" i="1"/>
  <c r="Y84" i="1" s="1"/>
  <c r="X59" i="1"/>
  <c r="X122" i="1"/>
  <c r="Y122" i="1" s="1"/>
  <c r="Y145" i="1"/>
  <c r="F143" i="1"/>
  <c r="O143" i="1"/>
  <c r="P143" i="1" s="1"/>
  <c r="Q145" i="1"/>
  <c r="Y144" i="1"/>
  <c r="M142" i="1"/>
  <c r="M7" i="11"/>
  <c r="H55" i="1"/>
  <c r="H53" i="1" s="1"/>
  <c r="DS1" i="26"/>
  <c r="DC1" i="26"/>
  <c r="AY1" i="6"/>
  <c r="AA1" i="6"/>
  <c r="AN120" i="1"/>
  <c r="AO120" i="1" s="1"/>
  <c r="AN121" i="1"/>
  <c r="AO121" i="1" s="1"/>
  <c r="AQ1" i="26"/>
  <c r="DK1" i="26"/>
  <c r="CI1" i="6"/>
  <c r="AN122" i="1"/>
  <c r="AO122" i="1" s="1"/>
  <c r="I71" i="2"/>
  <c r="M67" i="1" s="1"/>
  <c r="O144" i="1"/>
  <c r="P144" i="1" s="1"/>
  <c r="Q144" i="1" s="1"/>
  <c r="AE92" i="1"/>
  <c r="O92" i="1"/>
  <c r="H65" i="22"/>
  <c r="D16" i="6"/>
  <c r="AY1" i="26"/>
  <c r="AE1" i="26"/>
  <c r="DC1" i="6"/>
  <c r="EE1" i="6"/>
  <c r="X88" i="1"/>
  <c r="Y88" i="1" s="1"/>
  <c r="BC1" i="26"/>
  <c r="AI1" i="26"/>
  <c r="AI1" i="6"/>
  <c r="DK1" i="6"/>
  <c r="CU1" i="6"/>
  <c r="X121" i="1"/>
  <c r="Y121" i="1" s="1"/>
  <c r="H116" i="1"/>
  <c r="S1" i="26"/>
  <c r="CE1" i="26"/>
  <c r="BG1" i="6"/>
  <c r="BO1" i="6"/>
  <c r="AU1" i="6"/>
  <c r="F156" i="1"/>
  <c r="G156" i="1" s="1"/>
  <c r="H156" i="1" s="1"/>
  <c r="H106" i="2"/>
  <c r="L102" i="1" s="1"/>
  <c r="T103" i="1"/>
  <c r="Y103" i="1" s="1"/>
  <c r="F77" i="21"/>
  <c r="G77" i="21" s="1"/>
  <c r="L83" i="2"/>
  <c r="M79" i="2"/>
  <c r="U75" i="1" s="1"/>
  <c r="T106" i="2"/>
  <c r="AJ102" i="1" s="1"/>
  <c r="AO106" i="1"/>
  <c r="P106" i="2"/>
  <c r="AB102" i="1" s="1"/>
  <c r="T102" i="1"/>
  <c r="M98" i="2"/>
  <c r="U94" i="1" s="1"/>
  <c r="AD1" i="24"/>
  <c r="V1" i="6"/>
  <c r="BB1" i="6"/>
  <c r="BN1" i="6"/>
  <c r="AT1" i="6"/>
  <c r="AD1" i="26"/>
  <c r="N1" i="26"/>
  <c r="DJ1" i="26"/>
  <c r="BN1" i="26"/>
  <c r="ED1" i="26"/>
  <c r="BB1" i="26"/>
  <c r="BV1" i="26"/>
  <c r="BR1" i="26"/>
  <c r="AH1" i="26"/>
  <c r="CD1" i="26"/>
  <c r="DF1" i="26"/>
  <c r="AX1" i="26"/>
  <c r="CL1" i="26"/>
  <c r="V1" i="26"/>
  <c r="DZ1" i="26"/>
  <c r="AT1" i="26"/>
  <c r="DV1" i="26"/>
  <c r="CX1" i="26"/>
  <c r="CP1" i="26"/>
  <c r="DB1" i="26"/>
  <c r="Z1" i="26"/>
  <c r="CH1" i="26"/>
  <c r="DR1" i="26"/>
  <c r="R1" i="26"/>
  <c r="BF1" i="26"/>
  <c r="BJ1" i="26"/>
  <c r="AL1" i="26"/>
  <c r="AP1" i="26"/>
  <c r="CT1" i="26"/>
  <c r="BZ1" i="26"/>
  <c r="DN1" i="26"/>
  <c r="L143" i="1"/>
  <c r="CX1" i="6"/>
  <c r="BJ1" i="6"/>
  <c r="DB1" i="6"/>
  <c r="BZ1" i="28"/>
  <c r="AP1" i="28"/>
  <c r="AH1" i="28"/>
  <c r="CP1" i="28"/>
  <c r="DB1" i="28"/>
  <c r="BV1" i="28"/>
  <c r="AL1" i="28"/>
  <c r="BR1" i="28"/>
  <c r="CH1" i="28"/>
  <c r="AT1" i="28"/>
  <c r="CT1" i="28"/>
  <c r="BF1" i="28"/>
  <c r="DJ1" i="28"/>
  <c r="DZ1" i="28"/>
  <c r="CD1" i="28"/>
  <c r="ED1" i="28"/>
  <c r="DF1" i="28"/>
  <c r="DV1" i="28"/>
  <c r="AD1" i="28"/>
  <c r="CX1" i="28"/>
  <c r="BB1" i="28"/>
  <c r="V1" i="28"/>
  <c r="BJ1" i="28"/>
  <c r="R1" i="28"/>
  <c r="BN1" i="28"/>
  <c r="CL1" i="28"/>
  <c r="DN1" i="28"/>
  <c r="AX1" i="28"/>
  <c r="Z1" i="28"/>
  <c r="DR1" i="28"/>
  <c r="N1" i="28"/>
  <c r="DJ1" i="6"/>
  <c r="AL1" i="6"/>
  <c r="DV1" i="6"/>
  <c r="DR1" i="6"/>
  <c r="X116" i="1"/>
  <c r="Y116" i="1" s="1"/>
  <c r="DF1" i="6"/>
  <c r="R1" i="6"/>
  <c r="BF1" i="6"/>
  <c r="DZ1" i="6"/>
  <c r="Q96" i="1"/>
  <c r="AH1" i="6"/>
  <c r="BR1" i="6"/>
  <c r="BV1" i="6"/>
  <c r="CT1" i="6"/>
  <c r="Z1" i="6"/>
  <c r="BZ1" i="6"/>
  <c r="L95" i="1"/>
  <c r="CD1" i="6"/>
  <c r="AX1" i="6"/>
  <c r="AD1" i="6"/>
  <c r="DN1" i="6"/>
  <c r="H66" i="22"/>
  <c r="CP1" i="6"/>
  <c r="CL1" i="6"/>
  <c r="AP1" i="6"/>
  <c r="T95" i="1"/>
  <c r="ED1" i="24"/>
  <c r="BB1" i="24"/>
  <c r="DF1" i="24"/>
  <c r="DZ1" i="24"/>
  <c r="CD1" i="24"/>
  <c r="AL1" i="24"/>
  <c r="BF1" i="24"/>
  <c r="DJ1" i="24"/>
  <c r="BV1" i="24"/>
  <c r="DR1" i="24"/>
  <c r="CT1" i="24"/>
  <c r="CP1" i="24"/>
  <c r="BN1" i="24"/>
  <c r="CL1" i="24"/>
  <c r="CH1" i="24"/>
  <c r="DN1" i="24"/>
  <c r="R1" i="24"/>
  <c r="Z1" i="24"/>
  <c r="V1" i="24"/>
  <c r="N1" i="24"/>
  <c r="BR1" i="24"/>
  <c r="BZ1" i="24"/>
  <c r="AT1" i="24"/>
  <c r="AP1" i="24"/>
  <c r="DB1" i="24"/>
  <c r="CX1" i="24"/>
  <c r="BJ1" i="24"/>
  <c r="DV1" i="24"/>
  <c r="AH1" i="24"/>
  <c r="AX1" i="24"/>
  <c r="CH1" i="6"/>
  <c r="Q117" i="1"/>
  <c r="M141" i="2"/>
  <c r="T143" i="1"/>
  <c r="P75" i="1"/>
  <c r="H64" i="22"/>
  <c r="Y57" i="1"/>
  <c r="U81" i="1"/>
  <c r="W81" i="1" s="1"/>
  <c r="X81" i="1" s="1"/>
  <c r="L85" i="2"/>
  <c r="T81" i="1" s="1"/>
  <c r="L81" i="2"/>
  <c r="W68" i="1"/>
  <c r="D48" i="22"/>
  <c r="F48" i="22" s="1"/>
  <c r="G48" i="22" s="1"/>
  <c r="D57" i="22"/>
  <c r="F57" i="22" s="1"/>
  <c r="G57" i="22" s="1"/>
  <c r="W77" i="1"/>
  <c r="X77" i="1" s="1"/>
  <c r="D29" i="28"/>
  <c r="F29" i="28" s="1"/>
  <c r="G29" i="28" s="1"/>
  <c r="D28" i="28"/>
  <c r="F28" i="28" s="1"/>
  <c r="G28" i="28" s="1"/>
  <c r="F26" i="28"/>
  <c r="G26" i="28" s="1"/>
  <c r="D27" i="28"/>
  <c r="F27" i="28" s="1"/>
  <c r="G27" i="28" s="1"/>
  <c r="D30" i="28"/>
  <c r="F30" i="28" s="1"/>
  <c r="G30" i="28" s="1"/>
  <c r="D31" i="28"/>
  <c r="F31" i="28" s="1"/>
  <c r="G31" i="28" s="1"/>
  <c r="K26" i="28"/>
  <c r="D35" i="24"/>
  <c r="F35" i="24" s="1"/>
  <c r="G35" i="24" s="1"/>
  <c r="W99" i="1"/>
  <c r="X99" i="1" s="1"/>
  <c r="W80" i="1"/>
  <c r="X80" i="1" s="1"/>
  <c r="D60" i="22"/>
  <c r="H62" i="22"/>
  <c r="O58" i="1"/>
  <c r="P58" i="1" s="1"/>
  <c r="Y74" i="1"/>
  <c r="K39" i="6"/>
  <c r="W92" i="1"/>
  <c r="F35" i="22"/>
  <c r="G35" i="22" s="1"/>
  <c r="D37" i="22"/>
  <c r="F37" i="22" s="1"/>
  <c r="G37" i="22" s="1"/>
  <c r="D39" i="24"/>
  <c r="K39" i="24" s="1"/>
  <c r="W101" i="1"/>
  <c r="X101" i="1" s="1"/>
  <c r="D21" i="28"/>
  <c r="F21" i="28" s="1"/>
  <c r="G21" i="28" s="1"/>
  <c r="D25" i="28"/>
  <c r="F25" i="28" s="1"/>
  <c r="G25" i="28" s="1"/>
  <c r="D22" i="28"/>
  <c r="F22" i="28" s="1"/>
  <c r="G22" i="28" s="1"/>
  <c r="K20" i="28"/>
  <c r="D24" i="28"/>
  <c r="F24" i="28" s="1"/>
  <c r="G24" i="28" s="1"/>
  <c r="F20" i="28"/>
  <c r="G20" i="28" s="1"/>
  <c r="D23" i="28"/>
  <c r="F23" i="28" s="1"/>
  <c r="G23" i="28" s="1"/>
  <c r="D36" i="26"/>
  <c r="K36" i="26" s="1"/>
  <c r="AE100" i="1"/>
  <c r="AF100" i="1" s="1"/>
  <c r="X82" i="1"/>
  <c r="Y82" i="1" s="1"/>
  <c r="D48" i="21"/>
  <c r="F48" i="21" s="1"/>
  <c r="G48" i="21" s="1"/>
  <c r="O68" i="1"/>
  <c r="D31" i="21"/>
  <c r="F31" i="21" s="1"/>
  <c r="G31" i="21" s="1"/>
  <c r="O53" i="1"/>
  <c r="I116" i="1"/>
  <c r="F94" i="1" s="1"/>
  <c r="D33" i="6"/>
  <c r="F33" i="6" s="1"/>
  <c r="G33" i="6" s="1"/>
  <c r="D34" i="6"/>
  <c r="F34" i="6" s="1"/>
  <c r="G34" i="6" s="1"/>
  <c r="H61" i="21"/>
  <c r="F61" i="21"/>
  <c r="G61" i="21" s="1"/>
  <c r="Y69" i="1"/>
  <c r="I145" i="1"/>
  <c r="T92" i="1"/>
  <c r="AJ92" i="1"/>
  <c r="L92" i="1"/>
  <c r="AB92" i="1"/>
  <c r="I101" i="1"/>
  <c r="EF48" i="6"/>
  <c r="DL48" i="6"/>
  <c r="AV48" i="6"/>
  <c r="AB48" i="6"/>
  <c r="DH48" i="6"/>
  <c r="BX48" i="6"/>
  <c r="CR48" i="6"/>
  <c r="AR48" i="6"/>
  <c r="CN48" i="6"/>
  <c r="BT48" i="6"/>
  <c r="BP48" i="6"/>
  <c r="DX48" i="6"/>
  <c r="DT48" i="6"/>
  <c r="CV48" i="6"/>
  <c r="CB48" i="6"/>
  <c r="BD48" i="6"/>
  <c r="AZ48" i="6"/>
  <c r="AF48" i="6"/>
  <c r="DD48" i="6"/>
  <c r="BL48" i="6"/>
  <c r="AN48" i="6"/>
  <c r="CJ48" i="6"/>
  <c r="X48" i="6"/>
  <c r="CZ48" i="6"/>
  <c r="AJ48" i="6"/>
  <c r="EB48" i="6"/>
  <c r="DP48" i="6"/>
  <c r="CF48" i="6"/>
  <c r="BH48" i="6"/>
  <c r="I104" i="1"/>
  <c r="T68" i="1"/>
  <c r="Y70" i="1"/>
  <c r="AK100" i="1"/>
  <c r="T104" i="2"/>
  <c r="AJ100" i="1" s="1"/>
  <c r="Y100" i="1"/>
  <c r="AC101" i="1"/>
  <c r="P105" i="2"/>
  <c r="P99" i="2" s="1"/>
  <c r="AO96" i="1"/>
  <c r="AG96" i="1"/>
  <c r="T101" i="1"/>
  <c r="L53" i="1"/>
  <c r="T98" i="1"/>
  <c r="T99" i="1"/>
  <c r="L62" i="2"/>
  <c r="M57" i="2"/>
  <c r="F36" i="24"/>
  <c r="G36" i="24" s="1"/>
  <c r="AG120" i="1"/>
  <c r="D38" i="24"/>
  <c r="F38" i="24" s="1"/>
  <c r="G38" i="24" s="1"/>
  <c r="AB100" i="1"/>
  <c r="Q56" i="1"/>
  <c r="L68" i="1"/>
  <c r="F32" i="6"/>
  <c r="G32" i="6" s="1"/>
  <c r="D75" i="21"/>
  <c r="H75" i="21" s="1"/>
  <c r="D75" i="22"/>
  <c r="H75" i="22" s="1"/>
  <c r="D59" i="21"/>
  <c r="F59" i="21" s="1"/>
  <c r="G59" i="21" s="1"/>
  <c r="Y106" i="1"/>
  <c r="Q106" i="1"/>
  <c r="L77" i="1"/>
  <c r="AB108" i="1"/>
  <c r="AB104" i="1"/>
  <c r="AG104" i="1" s="1"/>
  <c r="AB107" i="1"/>
  <c r="Y108" i="1"/>
  <c r="Y107" i="1"/>
  <c r="AB106" i="1"/>
  <c r="D70" i="22"/>
  <c r="H70" i="22" s="1"/>
  <c r="AB103" i="1"/>
  <c r="AG103" i="1" s="1"/>
  <c r="Y78" i="1"/>
  <c r="AB105" i="1"/>
  <c r="U58" i="1"/>
  <c r="W58" i="1" s="1"/>
  <c r="X58" i="1" s="1"/>
  <c r="AC98" i="1"/>
  <c r="AC95" i="1"/>
  <c r="AC99" i="1"/>
  <c r="D19" i="24"/>
  <c r="W95" i="1"/>
  <c r="D37" i="24"/>
  <c r="F37" i="24" s="1"/>
  <c r="G37" i="24" s="1"/>
  <c r="D32" i="24"/>
  <c r="F16" i="6"/>
  <c r="G16" i="6" s="1"/>
  <c r="Q119" i="1"/>
  <c r="AR1" i="6"/>
  <c r="T48" i="6"/>
  <c r="DT1" i="6"/>
  <c r="T1" i="6"/>
  <c r="BD1" i="6"/>
  <c r="AJ1" i="6"/>
  <c r="BL1" i="6"/>
  <c r="CJ1" i="6"/>
  <c r="EB1" i="6"/>
  <c r="CV1" i="6"/>
  <c r="AB1" i="6"/>
  <c r="BT1" i="6"/>
  <c r="AN1" i="6"/>
  <c r="CB1" i="6"/>
  <c r="BH1" i="6"/>
  <c r="DH1" i="6"/>
  <c r="BX1" i="6"/>
  <c r="DL1" i="6"/>
  <c r="CN1" i="6"/>
  <c r="CF1" i="6"/>
  <c r="EF1" i="6"/>
  <c r="X1" i="6"/>
  <c r="CR1" i="6"/>
  <c r="DX1" i="6"/>
  <c r="CZ1" i="6"/>
  <c r="DP1" i="6"/>
  <c r="AV1" i="6"/>
  <c r="BP1" i="6"/>
  <c r="AZ1" i="6"/>
  <c r="AF1" i="6"/>
  <c r="DD1" i="6"/>
  <c r="AC2" i="16"/>
  <c r="AD1" i="16"/>
  <c r="AF1" i="11"/>
  <c r="AE2" i="11"/>
  <c r="BE10" i="26"/>
  <c r="BD11" i="26"/>
  <c r="BB11" i="26"/>
  <c r="BA11" i="26"/>
  <c r="BA12" i="26" s="1"/>
  <c r="BC11" i="26"/>
  <c r="P48" i="6"/>
  <c r="AN92" i="1"/>
  <c r="D70" i="21"/>
  <c r="H70" i="21" s="1"/>
  <c r="N37" i="1"/>
  <c r="N43" i="1"/>
  <c r="N39" i="1"/>
  <c r="N42" i="1"/>
  <c r="H36" i="1"/>
  <c r="N44" i="1"/>
  <c r="N41" i="1"/>
  <c r="N40" i="1"/>
  <c r="BA11" i="28"/>
  <c r="BA12" i="28" s="1"/>
  <c r="BD11" i="28"/>
  <c r="BC11" i="28"/>
  <c r="BB11" i="28"/>
  <c r="BE10" i="28"/>
  <c r="AW12" i="28"/>
  <c r="D37" i="6"/>
  <c r="F37" i="6" s="1"/>
  <c r="G37" i="6" s="1"/>
  <c r="K36" i="6"/>
  <c r="F35" i="6"/>
  <c r="G35" i="6" s="1"/>
  <c r="K35" i="6"/>
  <c r="D21" i="6"/>
  <c r="F21" i="6" s="1"/>
  <c r="G21" i="6" s="1"/>
  <c r="K20" i="6"/>
  <c r="F36" i="6"/>
  <c r="G36" i="6" s="1"/>
  <c r="D38" i="6"/>
  <c r="F38" i="6" s="1"/>
  <c r="G38" i="6" s="1"/>
  <c r="I151" i="1"/>
  <c r="BC11" i="24"/>
  <c r="BE10" i="24"/>
  <c r="BD11" i="24"/>
  <c r="BB11" i="24"/>
  <c r="BA11" i="24"/>
  <c r="BA12" i="24" s="1"/>
  <c r="F8" i="22"/>
  <c r="G8" i="22" s="1"/>
  <c r="F35" i="21"/>
  <c r="G35" i="21" s="1"/>
  <c r="P1" i="6"/>
  <c r="F77" i="22"/>
  <c r="G77" i="22" s="1"/>
  <c r="AC12" i="6"/>
  <c r="AG11" i="6"/>
  <c r="AK10" i="6"/>
  <c r="AM11" i="6" s="1"/>
  <c r="D23" i="6"/>
  <c r="F23" i="6" s="1"/>
  <c r="G23" i="6" s="1"/>
  <c r="D22" i="6"/>
  <c r="F22" i="6" s="1"/>
  <c r="G22" i="6" s="1"/>
  <c r="D25" i="6"/>
  <c r="F25" i="6" s="1"/>
  <c r="G25" i="6" s="1"/>
  <c r="D24" i="6"/>
  <c r="F24" i="6" s="1"/>
  <c r="G24" i="6" s="1"/>
  <c r="F20" i="6"/>
  <c r="G20" i="6" s="1"/>
  <c r="AJ11" i="6"/>
  <c r="AH11" i="6"/>
  <c r="H8" i="22"/>
  <c r="H8" i="21"/>
  <c r="H79" i="22"/>
  <c r="H7" i="21"/>
  <c r="D36" i="21"/>
  <c r="H36" i="21" s="1"/>
  <c r="H7" i="22"/>
  <c r="F7" i="22"/>
  <c r="G7" i="22" s="1"/>
  <c r="H22" i="21"/>
  <c r="F8" i="21"/>
  <c r="G8" i="21" s="1"/>
  <c r="H54" i="21"/>
  <c r="F54" i="21"/>
  <c r="G54" i="21" s="1"/>
  <c r="H56" i="22"/>
  <c r="H52" i="21"/>
  <c r="F52" i="21"/>
  <c r="G52" i="21" s="1"/>
  <c r="H52" i="22"/>
  <c r="F52" i="22"/>
  <c r="G52" i="22" s="1"/>
  <c r="G80" i="22"/>
  <c r="F79" i="22"/>
  <c r="G79" i="22" s="1"/>
  <c r="H69" i="22"/>
  <c r="F69" i="22"/>
  <c r="G69" i="22" s="1"/>
  <c r="H54" i="22"/>
  <c r="F54" i="22"/>
  <c r="G54" i="22" s="1"/>
  <c r="H23" i="21"/>
  <c r="H69" i="21"/>
  <c r="F69" i="21"/>
  <c r="G69" i="21" s="1"/>
  <c r="D32" i="22"/>
  <c r="H32" i="22" s="1"/>
  <c r="W54" i="1"/>
  <c r="X54" i="1" s="1"/>
  <c r="H22" i="22"/>
  <c r="H53" i="21"/>
  <c r="F53" i="21"/>
  <c r="G53" i="21" s="1"/>
  <c r="H23" i="22"/>
  <c r="U79" i="1"/>
  <c r="F53" i="22"/>
  <c r="G53" i="22" s="1"/>
  <c r="H53" i="22"/>
  <c r="D37" i="21"/>
  <c r="O59" i="1"/>
  <c r="H72" i="21"/>
  <c r="F72" i="21"/>
  <c r="G72" i="21" s="1"/>
  <c r="G80" i="21"/>
  <c r="F79" i="21"/>
  <c r="G79" i="21" s="1"/>
  <c r="Y59" i="1"/>
  <c r="H72" i="22"/>
  <c r="F72" i="22"/>
  <c r="G72" i="22" s="1"/>
  <c r="H79" i="21"/>
  <c r="Q26" i="1"/>
  <c r="R27" i="1" s="1"/>
  <c r="D73" i="22"/>
  <c r="D73" i="21"/>
  <c r="D57" i="21"/>
  <c r="F57" i="21" s="1"/>
  <c r="G57" i="21" s="1"/>
  <c r="D71" i="22"/>
  <c r="D71" i="21"/>
  <c r="Q80" i="1"/>
  <c r="L76" i="1"/>
  <c r="Q76" i="1" s="1"/>
  <c r="Q79" i="1"/>
  <c r="T55" i="1"/>
  <c r="Y55" i="1" s="1"/>
  <c r="D57" i="1"/>
  <c r="I57" i="1" s="1"/>
  <c r="D30" i="21"/>
  <c r="F30" i="21" s="1"/>
  <c r="G30" i="21" s="1"/>
  <c r="D30" i="22"/>
  <c r="H30" i="22" s="1"/>
  <c r="T5" i="22"/>
  <c r="S6" i="22"/>
  <c r="S6" i="21"/>
  <c r="T5" i="21"/>
  <c r="T105" i="2"/>
  <c r="I113" i="1"/>
  <c r="I100" i="1"/>
  <c r="T54" i="1"/>
  <c r="L54" i="1"/>
  <c r="Q54" i="1" s="1"/>
  <c r="Y72" i="1"/>
  <c r="Y73" i="1"/>
  <c r="W29" i="1"/>
  <c r="W32" i="1"/>
  <c r="W30" i="1"/>
  <c r="D58" i="1"/>
  <c r="I58" i="1" s="1"/>
  <c r="D55" i="1"/>
  <c r="W31" i="1"/>
  <c r="D59" i="1"/>
  <c r="W27" i="1"/>
  <c r="O142" i="1"/>
  <c r="P142" i="1" s="1"/>
  <c r="G39" i="2"/>
  <c r="X37" i="1"/>
  <c r="X44" i="1"/>
  <c r="X43" i="1"/>
  <c r="Q114" i="1"/>
  <c r="Q100" i="1"/>
  <c r="I29" i="1"/>
  <c r="X147" i="1"/>
  <c r="H148" i="1"/>
  <c r="Q97" i="1"/>
  <c r="X38" i="1"/>
  <c r="X42" i="1"/>
  <c r="I63" i="1"/>
  <c r="AF92" i="1"/>
  <c r="P92" i="1"/>
  <c r="X39" i="1"/>
  <c r="G17" i="6"/>
  <c r="N93" i="1"/>
  <c r="F93" i="1" s="1"/>
  <c r="G93" i="1" s="1"/>
  <c r="H93" i="1" s="1"/>
  <c r="X40" i="1"/>
  <c r="F19" i="6"/>
  <c r="G19" i="6" s="1"/>
  <c r="M32" i="1"/>
  <c r="I32" i="1"/>
  <c r="G32" i="1"/>
  <c r="G26" i="1" s="1"/>
  <c r="H28" i="1" s="1"/>
  <c r="H92" i="1"/>
  <c r="I92" i="1" s="1"/>
  <c r="X148" i="1"/>
  <c r="X41" i="1"/>
  <c r="H147" i="1"/>
  <c r="H146" i="1" s="1"/>
  <c r="I146" i="1" s="1"/>
  <c r="X95" i="1" l="1"/>
  <c r="AN116" i="1"/>
  <c r="AO116" i="1" s="1"/>
  <c r="AO102" i="1"/>
  <c r="F142" i="1"/>
  <c r="G142" i="1" s="1"/>
  <c r="H142" i="1" s="1"/>
  <c r="G143" i="1"/>
  <c r="H143" i="1" s="1"/>
  <c r="Q7" i="11"/>
  <c r="O7" i="11"/>
  <c r="P7" i="11"/>
  <c r="K35" i="24"/>
  <c r="F150" i="1"/>
  <c r="X146" i="1"/>
  <c r="P59" i="1"/>
  <c r="P53" i="1" s="1"/>
  <c r="Q53" i="1" s="1"/>
  <c r="N52" i="1" s="1"/>
  <c r="Q143" i="1"/>
  <c r="D61" i="22"/>
  <c r="F61" i="22" s="1"/>
  <c r="G61" i="22" s="1"/>
  <c r="Y102" i="1"/>
  <c r="Q98" i="2"/>
  <c r="AC94" i="1" s="1"/>
  <c r="Q102" i="1"/>
  <c r="Y95" i="1"/>
  <c r="X92" i="1"/>
  <c r="Y92" i="1" s="1"/>
  <c r="U53" i="1"/>
  <c r="L75" i="1"/>
  <c r="Q75" i="1" s="1"/>
  <c r="I156" i="1"/>
  <c r="AG122" i="1"/>
  <c r="T142" i="1"/>
  <c r="L79" i="2"/>
  <c r="Q122" i="1"/>
  <c r="AG121" i="1"/>
  <c r="X53" i="1"/>
  <c r="X68" i="1"/>
  <c r="Y68" i="1" s="1"/>
  <c r="Q121" i="1"/>
  <c r="L142" i="1"/>
  <c r="Y125" i="1"/>
  <c r="W125" i="1"/>
  <c r="X125" i="1" s="1"/>
  <c r="G94" i="1"/>
  <c r="H31" i="21"/>
  <c r="H48" i="22"/>
  <c r="D55" i="22"/>
  <c r="F55" i="22" s="1"/>
  <c r="G55" i="22" s="1"/>
  <c r="W75" i="1"/>
  <c r="Q58" i="1"/>
  <c r="F39" i="24"/>
  <c r="G39" i="24" s="1"/>
  <c r="H60" i="22"/>
  <c r="F60" i="22"/>
  <c r="G60" i="22" s="1"/>
  <c r="AE95" i="1"/>
  <c r="D19" i="26"/>
  <c r="D32" i="26"/>
  <c r="AE98" i="1"/>
  <c r="AF98" i="1" s="1"/>
  <c r="W79" i="1"/>
  <c r="X79" i="1" s="1"/>
  <c r="X75" i="1" s="1"/>
  <c r="D59" i="22"/>
  <c r="F59" i="22" s="1"/>
  <c r="G59" i="22" s="1"/>
  <c r="D39" i="26"/>
  <c r="AE101" i="1"/>
  <c r="AF101" i="1" s="1"/>
  <c r="D38" i="26"/>
  <c r="F38" i="26" s="1"/>
  <c r="G38" i="26" s="1"/>
  <c r="D36" i="28"/>
  <c r="AM100" i="1"/>
  <c r="AN100" i="1" s="1"/>
  <c r="D37" i="26"/>
  <c r="F37" i="26" s="1"/>
  <c r="G37" i="26" s="1"/>
  <c r="H61" i="22"/>
  <c r="F36" i="26"/>
  <c r="G36" i="26" s="1"/>
  <c r="H37" i="22"/>
  <c r="D35" i="26"/>
  <c r="AE99" i="1"/>
  <c r="AF99" i="1" s="1"/>
  <c r="I94" i="1"/>
  <c r="T79" i="1"/>
  <c r="Q95" i="1"/>
  <c r="I97" i="1"/>
  <c r="I26" i="1"/>
  <c r="AB95" i="1"/>
  <c r="T102" i="2"/>
  <c r="AJ98" i="1" s="1"/>
  <c r="AK95" i="1"/>
  <c r="Y99" i="1"/>
  <c r="Y101" i="1"/>
  <c r="F75" i="21"/>
  <c r="G75" i="21" s="1"/>
  <c r="AK101" i="1"/>
  <c r="AJ101" i="1"/>
  <c r="AK99" i="1"/>
  <c r="T103" i="2"/>
  <c r="T77" i="1"/>
  <c r="T58" i="1"/>
  <c r="Y58" i="1" s="1"/>
  <c r="L57" i="2"/>
  <c r="M56" i="2" s="1"/>
  <c r="AB101" i="1"/>
  <c r="AB99" i="1"/>
  <c r="AB98" i="1"/>
  <c r="D36" i="22"/>
  <c r="F36" i="22" s="1"/>
  <c r="G36" i="22" s="1"/>
  <c r="H48" i="21"/>
  <c r="H59" i="21"/>
  <c r="F75" i="22"/>
  <c r="G75" i="22" s="1"/>
  <c r="F70" i="22"/>
  <c r="G70" i="22" s="1"/>
  <c r="AG107" i="1"/>
  <c r="AG106" i="1"/>
  <c r="AG108" i="1"/>
  <c r="F19" i="24"/>
  <c r="G19" i="24" s="1"/>
  <c r="K19" i="24"/>
  <c r="AK98" i="1"/>
  <c r="F70" i="21"/>
  <c r="G70" i="21" s="1"/>
  <c r="Y98" i="1"/>
  <c r="K32" i="24"/>
  <c r="D34" i="24"/>
  <c r="F34" i="24" s="1"/>
  <c r="G34" i="24" s="1"/>
  <c r="D33" i="24"/>
  <c r="F33" i="24" s="1"/>
  <c r="G33" i="24" s="1"/>
  <c r="F32" i="24"/>
  <c r="G32" i="24" s="1"/>
  <c r="AE1" i="16"/>
  <c r="AD2" i="16"/>
  <c r="AG1" i="11"/>
  <c r="AF2" i="11"/>
  <c r="BG11" i="26"/>
  <c r="BE11" i="26"/>
  <c r="BE12" i="26" s="1"/>
  <c r="BF11" i="26"/>
  <c r="BI10" i="26"/>
  <c r="BH11" i="26"/>
  <c r="AO92" i="1"/>
  <c r="N36" i="1"/>
  <c r="BF11" i="28"/>
  <c r="BH11" i="28"/>
  <c r="BG11" i="28"/>
  <c r="BE11" i="28"/>
  <c r="BE12" i="28" s="1"/>
  <c r="BI10" i="28"/>
  <c r="Q101" i="1"/>
  <c r="BH11" i="24"/>
  <c r="BI10" i="24"/>
  <c r="BG11" i="24"/>
  <c r="BF11" i="24"/>
  <c r="BE11" i="24"/>
  <c r="BE12" i="24" s="1"/>
  <c r="Y81" i="1"/>
  <c r="F36" i="21"/>
  <c r="G36" i="21" s="1"/>
  <c r="AL11" i="6"/>
  <c r="AN11" i="6"/>
  <c r="AO10" i="6"/>
  <c r="AP11" i="6" s="1"/>
  <c r="AK11" i="6"/>
  <c r="AG12" i="6"/>
  <c r="Y54" i="1"/>
  <c r="H37" i="21"/>
  <c r="F37" i="21"/>
  <c r="G37" i="21" s="1"/>
  <c r="W53" i="1"/>
  <c r="D31" i="22"/>
  <c r="H31" i="22" s="1"/>
  <c r="Q59" i="1"/>
  <c r="F32" i="22"/>
  <c r="G32" i="22" s="1"/>
  <c r="R28" i="1"/>
  <c r="H57" i="21"/>
  <c r="H73" i="21"/>
  <c r="H71" i="21" s="1"/>
  <c r="F73" i="21"/>
  <c r="H73" i="22"/>
  <c r="H71" i="22" s="1"/>
  <c r="F73" i="22"/>
  <c r="H57" i="22"/>
  <c r="F30" i="22"/>
  <c r="G30" i="22" s="1"/>
  <c r="H30" i="21"/>
  <c r="U5" i="22"/>
  <c r="T6" i="22"/>
  <c r="T6" i="21"/>
  <c r="U5" i="21"/>
  <c r="I59" i="1"/>
  <c r="W26" i="1"/>
  <c r="D34" i="1" s="1"/>
  <c r="X36" i="1"/>
  <c r="D29" i="1"/>
  <c r="I122" i="1"/>
  <c r="I148" i="1"/>
  <c r="G88" i="1"/>
  <c r="H88" i="1" s="1"/>
  <c r="I79" i="1"/>
  <c r="Y147" i="1"/>
  <c r="Y146" i="1"/>
  <c r="AE93" i="1"/>
  <c r="D30" i="1"/>
  <c r="D31" i="1"/>
  <c r="Q77" i="1"/>
  <c r="M27" i="1"/>
  <c r="M26" i="1" s="1"/>
  <c r="N29" i="1" s="1"/>
  <c r="I120" i="1"/>
  <c r="G86" i="1"/>
  <c r="H86" i="1" s="1"/>
  <c r="I147" i="1"/>
  <c r="Q148" i="1"/>
  <c r="D32" i="1"/>
  <c r="O93" i="1"/>
  <c r="Q115" i="1"/>
  <c r="AG92" i="1"/>
  <c r="I121" i="1"/>
  <c r="Y148" i="1"/>
  <c r="W93" i="1"/>
  <c r="I80" i="1"/>
  <c r="Q92" i="1"/>
  <c r="I150" i="1" l="1"/>
  <c r="H82" i="1"/>
  <c r="G150" i="1"/>
  <c r="H150" i="1" s="1"/>
  <c r="Q142" i="1"/>
  <c r="M146" i="2"/>
  <c r="U143" i="1"/>
  <c r="M71" i="2"/>
  <c r="U67" i="1" s="1"/>
  <c r="AF95" i="1"/>
  <c r="AG95" i="1" s="1"/>
  <c r="AG99" i="1"/>
  <c r="H55" i="22"/>
  <c r="T99" i="2"/>
  <c r="U98" i="2" s="1"/>
  <c r="AK94" i="1" s="1"/>
  <c r="H94" i="1"/>
  <c r="AM95" i="1"/>
  <c r="D19" i="28"/>
  <c r="F35" i="26"/>
  <c r="G35" i="26" s="1"/>
  <c r="K35" i="26"/>
  <c r="F39" i="26"/>
  <c r="G39" i="26" s="1"/>
  <c r="K39" i="26"/>
  <c r="D35" i="28"/>
  <c r="AM99" i="1"/>
  <c r="AN99" i="1" s="1"/>
  <c r="D34" i="26"/>
  <c r="F34" i="26" s="1"/>
  <c r="G34" i="26" s="1"/>
  <c r="K32" i="26"/>
  <c r="F32" i="26"/>
  <c r="G32" i="26" s="1"/>
  <c r="D33" i="26"/>
  <c r="F33" i="26" s="1"/>
  <c r="G33" i="26" s="1"/>
  <c r="K19" i="26"/>
  <c r="F19" i="26"/>
  <c r="G19" i="26" s="1"/>
  <c r="AG98" i="1"/>
  <c r="Y77" i="1"/>
  <c r="H59" i="22"/>
  <c r="D39" i="28"/>
  <c r="AM101" i="1"/>
  <c r="AN101" i="1" s="1"/>
  <c r="D32" i="28"/>
  <c r="AM98" i="1"/>
  <c r="AN98" i="1" s="1"/>
  <c r="D37" i="28"/>
  <c r="F37" i="28" s="1"/>
  <c r="G37" i="28" s="1"/>
  <c r="K36" i="28"/>
  <c r="F36" i="28"/>
  <c r="G36" i="28" s="1"/>
  <c r="D38" i="28"/>
  <c r="F38" i="28" s="1"/>
  <c r="G38" i="28" s="1"/>
  <c r="Q52" i="1"/>
  <c r="DP48" i="24"/>
  <c r="BT48" i="24"/>
  <c r="X48" i="24"/>
  <c r="DL48" i="24"/>
  <c r="BP48" i="24"/>
  <c r="DT48" i="24"/>
  <c r="DH48" i="24"/>
  <c r="BL48" i="24"/>
  <c r="CZ48" i="24"/>
  <c r="BD48" i="24"/>
  <c r="DD48" i="24"/>
  <c r="BH48" i="24"/>
  <c r="CV48" i="24"/>
  <c r="AZ48" i="24"/>
  <c r="CR48" i="24"/>
  <c r="AV48" i="24"/>
  <c r="T48" i="24"/>
  <c r="CN48" i="24"/>
  <c r="AR48" i="24"/>
  <c r="P48" i="24"/>
  <c r="CJ48" i="24"/>
  <c r="AN48" i="24"/>
  <c r="CB48" i="24"/>
  <c r="AF48" i="24"/>
  <c r="BX48" i="24"/>
  <c r="EF48" i="24"/>
  <c r="EB48" i="24"/>
  <c r="CF48" i="24"/>
  <c r="AJ48" i="24"/>
  <c r="DX48" i="24"/>
  <c r="AB48" i="24"/>
  <c r="T75" i="1"/>
  <c r="Y75" i="1" s="1"/>
  <c r="V67" i="1" s="1"/>
  <c r="Q81" i="1"/>
  <c r="AJ99" i="1"/>
  <c r="H36" i="22"/>
  <c r="AG101" i="1"/>
  <c r="T53" i="1"/>
  <c r="U52" i="1"/>
  <c r="AO100" i="1"/>
  <c r="BL1" i="24"/>
  <c r="DT1" i="24"/>
  <c r="CB1" i="24"/>
  <c r="AF1" i="24"/>
  <c r="AZ1" i="24"/>
  <c r="DH1" i="24"/>
  <c r="P1" i="24"/>
  <c r="AB1" i="24"/>
  <c r="X1" i="24"/>
  <c r="BH1" i="24"/>
  <c r="BT1" i="24"/>
  <c r="DL1" i="24"/>
  <c r="EB1" i="24"/>
  <c r="DD1" i="24"/>
  <c r="EF1" i="24"/>
  <c r="CF1" i="24"/>
  <c r="CN1" i="24"/>
  <c r="BP1" i="24"/>
  <c r="AR1" i="24"/>
  <c r="BD1" i="24"/>
  <c r="CZ1" i="24"/>
  <c r="BX1" i="24"/>
  <c r="T1" i="24"/>
  <c r="CV1" i="24"/>
  <c r="AV1" i="24"/>
  <c r="CR1" i="24"/>
  <c r="CJ1" i="24"/>
  <c r="AJ1" i="24"/>
  <c r="DP1" i="24"/>
  <c r="DX1" i="24"/>
  <c r="AN1" i="24"/>
  <c r="AG100" i="1"/>
  <c r="AF1" i="16"/>
  <c r="AE2" i="16"/>
  <c r="AH1" i="11"/>
  <c r="AG2" i="11"/>
  <c r="BM10" i="26"/>
  <c r="BL11" i="26"/>
  <c r="BI11" i="26"/>
  <c r="BI12" i="26" s="1"/>
  <c r="BK11" i="26"/>
  <c r="BJ11" i="26"/>
  <c r="I93" i="1"/>
  <c r="BI11" i="28"/>
  <c r="BI12" i="28" s="1"/>
  <c r="BL11" i="28"/>
  <c r="BK11" i="28"/>
  <c r="BJ11" i="28"/>
  <c r="BM10" i="28"/>
  <c r="AK12" i="6"/>
  <c r="AS10" i="6"/>
  <c r="AU11" i="6" s="1"/>
  <c r="AO11" i="6"/>
  <c r="AO12" i="6" s="1"/>
  <c r="BM10" i="24"/>
  <c r="BL11" i="24"/>
  <c r="BK11" i="24"/>
  <c r="BJ11" i="24"/>
  <c r="BI11" i="24"/>
  <c r="BI12" i="24" s="1"/>
  <c r="AQ11" i="6"/>
  <c r="AR11" i="6"/>
  <c r="F31" i="22"/>
  <c r="G31" i="22" s="1"/>
  <c r="Y80" i="1"/>
  <c r="F71" i="22"/>
  <c r="G71" i="22" s="1"/>
  <c r="G73" i="22"/>
  <c r="G73" i="21"/>
  <c r="F71" i="21"/>
  <c r="G71" i="21" s="1"/>
  <c r="V5" i="22"/>
  <c r="U6" i="22"/>
  <c r="U6" i="21"/>
  <c r="V5" i="21"/>
  <c r="O71" i="1"/>
  <c r="P71" i="1" s="1"/>
  <c r="F71" i="1"/>
  <c r="D26" i="1"/>
  <c r="H29" i="1"/>
  <c r="H32" i="1"/>
  <c r="H27" i="1"/>
  <c r="I115" i="1"/>
  <c r="H31" i="1"/>
  <c r="H30" i="1"/>
  <c r="X93" i="1"/>
  <c r="Y93" i="1" s="1"/>
  <c r="K8" i="1"/>
  <c r="J8" i="1"/>
  <c r="R31" i="1"/>
  <c r="R30" i="1"/>
  <c r="R29" i="1"/>
  <c r="R32" i="1"/>
  <c r="P93" i="1"/>
  <c r="N27" i="1"/>
  <c r="G168" i="1"/>
  <c r="H168" i="1" s="1"/>
  <c r="AF93" i="1"/>
  <c r="G160" i="1"/>
  <c r="H160" i="1" s="1"/>
  <c r="AO98" i="1" l="1"/>
  <c r="AN95" i="1"/>
  <c r="AO99" i="1"/>
  <c r="AJ95" i="1"/>
  <c r="W143" i="1"/>
  <c r="X143" i="1" s="1"/>
  <c r="Y143" i="1" s="1"/>
  <c r="M7" i="16"/>
  <c r="U142" i="1"/>
  <c r="AO95" i="1"/>
  <c r="AL94" i="1" s="1"/>
  <c r="AO94" i="1" s="1"/>
  <c r="Y53" i="1"/>
  <c r="V52" i="1" s="1"/>
  <c r="I82" i="1"/>
  <c r="Y67" i="1"/>
  <c r="W67" i="1"/>
  <c r="X67" i="1" s="1"/>
  <c r="K39" i="28"/>
  <c r="F39" i="28"/>
  <c r="G39" i="28" s="1"/>
  <c r="K35" i="28"/>
  <c r="F35" i="28"/>
  <c r="G35" i="28" s="1"/>
  <c r="AO101" i="1"/>
  <c r="CB48" i="26"/>
  <c r="AB48" i="26"/>
  <c r="CF1" i="26"/>
  <c r="CZ1" i="26"/>
  <c r="AR1" i="26"/>
  <c r="DH48" i="26"/>
  <c r="DT1" i="26"/>
  <c r="AF48" i="26"/>
  <c r="CR48" i="26"/>
  <c r="AF1" i="26"/>
  <c r="EB1" i="26"/>
  <c r="BH48" i="26"/>
  <c r="AZ1" i="26"/>
  <c r="BL48" i="26"/>
  <c r="BH1" i="26"/>
  <c r="EB48" i="26"/>
  <c r="DH1" i="26"/>
  <c r="DP1" i="26"/>
  <c r="DP48" i="26"/>
  <c r="DL48" i="26"/>
  <c r="AV48" i="26"/>
  <c r="X1" i="26"/>
  <c r="AJ1" i="26"/>
  <c r="BD48" i="26"/>
  <c r="AB1" i="26"/>
  <c r="CN1" i="26"/>
  <c r="DD48" i="26"/>
  <c r="EF1" i="26"/>
  <c r="DX1" i="26"/>
  <c r="BT48" i="26"/>
  <c r="BP48" i="26"/>
  <c r="CN48" i="26"/>
  <c r="T1" i="26"/>
  <c r="AV1" i="26"/>
  <c r="BX1" i="26"/>
  <c r="AN48" i="26"/>
  <c r="BT1" i="26"/>
  <c r="P48" i="26"/>
  <c r="CB1" i="26"/>
  <c r="CF48" i="26"/>
  <c r="BD1" i="26"/>
  <c r="AN1" i="26"/>
  <c r="X48" i="26"/>
  <c r="T48" i="26"/>
  <c r="AR48" i="26"/>
  <c r="BP1" i="26"/>
  <c r="CV1" i="26"/>
  <c r="EF48" i="26"/>
  <c r="DL1" i="26"/>
  <c r="AZ48" i="26"/>
  <c r="DD1" i="26"/>
  <c r="CV48" i="26"/>
  <c r="CJ48" i="26"/>
  <c r="CZ48" i="26"/>
  <c r="P1" i="26"/>
  <c r="AJ48" i="26"/>
  <c r="DT48" i="26"/>
  <c r="DX48" i="26"/>
  <c r="BX48" i="26"/>
  <c r="CJ1" i="26"/>
  <c r="CR1" i="26"/>
  <c r="BL1" i="26"/>
  <c r="F19" i="28"/>
  <c r="G19" i="28" s="1"/>
  <c r="K19" i="28"/>
  <c r="F32" i="28"/>
  <c r="G32" i="28" s="1"/>
  <c r="K32" i="28"/>
  <c r="D34" i="28"/>
  <c r="F34" i="28" s="1"/>
  <c r="G34" i="28" s="1"/>
  <c r="D33" i="28"/>
  <c r="F33" i="28" s="1"/>
  <c r="G33" i="28" s="1"/>
  <c r="O52" i="1"/>
  <c r="Q78" i="1"/>
  <c r="AG1" i="16"/>
  <c r="AF2" i="16"/>
  <c r="AH2" i="11"/>
  <c r="AI1" i="11"/>
  <c r="BP11" i="26"/>
  <c r="BO11" i="26"/>
  <c r="BN11" i="26"/>
  <c r="BM11" i="26"/>
  <c r="BM12" i="26" s="1"/>
  <c r="BQ10" i="26"/>
  <c r="AS11" i="6"/>
  <c r="AW10" i="6"/>
  <c r="AZ11" i="6" s="1"/>
  <c r="AV11" i="6"/>
  <c r="AT11" i="6"/>
  <c r="AO93" i="1"/>
  <c r="BM11" i="28"/>
  <c r="BM12" i="28" s="1"/>
  <c r="BQ10" i="28"/>
  <c r="BO11" i="28"/>
  <c r="BP11" i="28"/>
  <c r="BN11" i="28"/>
  <c r="BO11" i="24"/>
  <c r="BQ10" i="24"/>
  <c r="BP11" i="24"/>
  <c r="BN11" i="24"/>
  <c r="BM11" i="24"/>
  <c r="BM12" i="24" s="1"/>
  <c r="R26" i="1"/>
  <c r="Y79" i="1"/>
  <c r="Q71" i="1"/>
  <c r="W5" i="22"/>
  <c r="V6" i="22"/>
  <c r="V6" i="21"/>
  <c r="W5" i="21"/>
  <c r="G69" i="1"/>
  <c r="H69" i="1" s="1"/>
  <c r="G71" i="1"/>
  <c r="H26" i="1"/>
  <c r="I88" i="1"/>
  <c r="AG93" i="1"/>
  <c r="AS12" i="6"/>
  <c r="Q93" i="1"/>
  <c r="F169" i="1"/>
  <c r="G169" i="1" s="1"/>
  <c r="H169" i="1" s="1"/>
  <c r="I87" i="1"/>
  <c r="I143" i="1"/>
  <c r="I86" i="1"/>
  <c r="N30" i="1"/>
  <c r="F72" i="1" s="1"/>
  <c r="N31" i="1"/>
  <c r="F73" i="1" s="1"/>
  <c r="N28" i="1"/>
  <c r="F70" i="1" s="1"/>
  <c r="N32" i="1"/>
  <c r="F74" i="1" s="1"/>
  <c r="W52" i="1" l="1"/>
  <c r="X52" i="1" s="1"/>
  <c r="H71" i="1"/>
  <c r="I71" i="1" s="1"/>
  <c r="AM94" i="1"/>
  <c r="AN94" i="1" s="1"/>
  <c r="W142" i="1"/>
  <c r="Q7" i="16"/>
  <c r="O7" i="16"/>
  <c r="P7" i="16"/>
  <c r="I69" i="1"/>
  <c r="P52" i="1"/>
  <c r="AW11" i="6"/>
  <c r="AW12" i="6" s="1"/>
  <c r="AY11" i="6"/>
  <c r="EF48" i="28"/>
  <c r="T48" i="28"/>
  <c r="AZ48" i="28"/>
  <c r="CZ1" i="28"/>
  <c r="BP1" i="28"/>
  <c r="CN1" i="28"/>
  <c r="AJ1" i="28"/>
  <c r="DH48" i="28"/>
  <c r="DL1" i="28"/>
  <c r="DP1" i="28"/>
  <c r="CB1" i="28"/>
  <c r="DH1" i="28"/>
  <c r="CJ48" i="28"/>
  <c r="BL48" i="28"/>
  <c r="AV48" i="28"/>
  <c r="CR1" i="28"/>
  <c r="AF1" i="28"/>
  <c r="AZ1" i="28"/>
  <c r="BH1" i="28"/>
  <c r="EF1" i="28"/>
  <c r="BD48" i="28"/>
  <c r="CJ1" i="28"/>
  <c r="AN48" i="28"/>
  <c r="P48" i="28"/>
  <c r="AR48" i="28"/>
  <c r="AV1" i="28"/>
  <c r="BL1" i="28"/>
  <c r="DD48" i="28"/>
  <c r="X1" i="28"/>
  <c r="EB48" i="28"/>
  <c r="BH48" i="28"/>
  <c r="CF48" i="28"/>
  <c r="AB1" i="28"/>
  <c r="BD1" i="28"/>
  <c r="EB1" i="28"/>
  <c r="CB48" i="28"/>
  <c r="DT48" i="28"/>
  <c r="CR48" i="28"/>
  <c r="CF1" i="28"/>
  <c r="AN1" i="28"/>
  <c r="CN48" i="28"/>
  <c r="AB48" i="28"/>
  <c r="AJ48" i="28"/>
  <c r="CV1" i="28"/>
  <c r="DP48" i="28"/>
  <c r="DD1" i="28"/>
  <c r="BT48" i="28"/>
  <c r="AR1" i="28"/>
  <c r="DT1" i="28"/>
  <c r="DL48" i="28"/>
  <c r="DX1" i="28"/>
  <c r="BX48" i="28"/>
  <c r="BX1" i="28"/>
  <c r="DX48" i="28"/>
  <c r="X48" i="28"/>
  <c r="CZ48" i="28"/>
  <c r="AF48" i="28"/>
  <c r="BP48" i="28"/>
  <c r="CV48" i="28"/>
  <c r="P1" i="28"/>
  <c r="BT1" i="28"/>
  <c r="T1" i="28"/>
  <c r="Y52" i="1"/>
  <c r="AX11" i="6"/>
  <c r="BA10" i="6"/>
  <c r="BA11" i="6" s="1"/>
  <c r="BA12" i="6" s="1"/>
  <c r="AG2" i="16"/>
  <c r="AH1" i="16"/>
  <c r="AI2" i="11"/>
  <c r="AJ1" i="11"/>
  <c r="BU10" i="26"/>
  <c r="BQ11" i="26"/>
  <c r="BQ12" i="26" s="1"/>
  <c r="BS11" i="26"/>
  <c r="BR11" i="26"/>
  <c r="BT11" i="26"/>
  <c r="F68" i="1"/>
  <c r="BR11" i="28"/>
  <c r="BU10" i="28"/>
  <c r="BS11" i="28"/>
  <c r="BQ11" i="28"/>
  <c r="BQ12" i="28" s="1"/>
  <c r="BT11" i="28"/>
  <c r="BS11" i="24"/>
  <c r="BR11" i="24"/>
  <c r="BQ11" i="24"/>
  <c r="BQ12" i="24" s="1"/>
  <c r="BU10" i="24"/>
  <c r="BT11" i="24"/>
  <c r="W6" i="22"/>
  <c r="X5" i="22"/>
  <c r="X5" i="21"/>
  <c r="W6" i="21"/>
  <c r="G73" i="1"/>
  <c r="H73" i="1" s="1"/>
  <c r="G74" i="1"/>
  <c r="H74" i="1" s="1"/>
  <c r="G70" i="1"/>
  <c r="H70" i="1" s="1"/>
  <c r="G72" i="1"/>
  <c r="O74" i="1"/>
  <c r="P74" i="1" s="1"/>
  <c r="O70" i="1"/>
  <c r="P70" i="1" s="1"/>
  <c r="O73" i="1"/>
  <c r="P73" i="1" s="1"/>
  <c r="O72" i="1"/>
  <c r="P72" i="1" s="1"/>
  <c r="N26" i="1"/>
  <c r="I168" i="1"/>
  <c r="BE10" i="6"/>
  <c r="BD11" i="6"/>
  <c r="BB11" i="6"/>
  <c r="I153" i="1"/>
  <c r="F152" i="1" s="1"/>
  <c r="I160" i="1"/>
  <c r="I142" i="1"/>
  <c r="X142" i="1" l="1"/>
  <c r="Y142" i="1" s="1"/>
  <c r="H72" i="1"/>
  <c r="H68" i="1" s="1"/>
  <c r="I68" i="1" s="1"/>
  <c r="F67" i="1" s="1"/>
  <c r="I70" i="1"/>
  <c r="BC11" i="6"/>
  <c r="G68" i="1"/>
  <c r="E47" i="21"/>
  <c r="F47" i="21" s="1"/>
  <c r="G47" i="21" s="1"/>
  <c r="P68" i="1"/>
  <c r="Q68" i="1" s="1"/>
  <c r="N67" i="1" s="1"/>
  <c r="O67" i="1" s="1"/>
  <c r="AH2" i="16"/>
  <c r="AI1" i="16"/>
  <c r="AJ2" i="11"/>
  <c r="AK1" i="11"/>
  <c r="BU11" i="26"/>
  <c r="BU12" i="26" s="1"/>
  <c r="BY10" i="26"/>
  <c r="BV11" i="26"/>
  <c r="BX11" i="26"/>
  <c r="BW11" i="26"/>
  <c r="BU11" i="28"/>
  <c r="BU12" i="28" s="1"/>
  <c r="BY10" i="28"/>
  <c r="BX11" i="28"/>
  <c r="BW11" i="28"/>
  <c r="BV11" i="28"/>
  <c r="BX11" i="24"/>
  <c r="BY10" i="24"/>
  <c r="BW11" i="24"/>
  <c r="BV11" i="24"/>
  <c r="BU11" i="24"/>
  <c r="BU12" i="24" s="1"/>
  <c r="E47" i="22"/>
  <c r="F47" i="22" s="1"/>
  <c r="G47" i="22" s="1"/>
  <c r="X6" i="22"/>
  <c r="Y5" i="22"/>
  <c r="Y5" i="21"/>
  <c r="X6" i="21"/>
  <c r="BG11" i="6"/>
  <c r="BF11" i="6"/>
  <c r="BE11" i="6"/>
  <c r="BE12" i="6" s="1"/>
  <c r="BH11" i="6"/>
  <c r="BI10" i="6"/>
  <c r="I78" i="1"/>
  <c r="I77" i="1"/>
  <c r="I81" i="1"/>
  <c r="I72" i="1" l="1"/>
  <c r="V137" i="1"/>
  <c r="P67" i="1"/>
  <c r="I67" i="1"/>
  <c r="Q67" i="1"/>
  <c r="AI2" i="16"/>
  <c r="AJ1" i="16"/>
  <c r="AK2" i="11"/>
  <c r="AL1" i="11"/>
  <c r="CC10" i="26"/>
  <c r="BZ11" i="26"/>
  <c r="CB11" i="26"/>
  <c r="BY11" i="26"/>
  <c r="BY12" i="26" s="1"/>
  <c r="CA11" i="26"/>
  <c r="CA11" i="28"/>
  <c r="CC10" i="28"/>
  <c r="BZ11" i="28"/>
  <c r="BY11" i="28"/>
  <c r="BY12" i="28" s="1"/>
  <c r="CB11" i="28"/>
  <c r="CA11" i="24"/>
  <c r="BY11" i="24"/>
  <c r="BY12" i="24" s="1"/>
  <c r="CC10" i="24"/>
  <c r="CB11" i="24"/>
  <c r="BZ11" i="24"/>
  <c r="Y6" i="22"/>
  <c r="Z5" i="22"/>
  <c r="Z5" i="21"/>
  <c r="Y6" i="21"/>
  <c r="I73" i="1"/>
  <c r="I74" i="1"/>
  <c r="Q70" i="1"/>
  <c r="Q74" i="1"/>
  <c r="Q73" i="1"/>
  <c r="Q72" i="1"/>
  <c r="I169" i="1"/>
  <c r="F167" i="1" s="1"/>
  <c r="BI11" i="6"/>
  <c r="BI12" i="6" s="1"/>
  <c r="BJ11" i="6"/>
  <c r="BM10" i="6"/>
  <c r="BL11" i="6"/>
  <c r="BK11" i="6"/>
  <c r="I161" i="1"/>
  <c r="F159" i="1" s="1"/>
  <c r="G152" i="1" l="1"/>
  <c r="H152" i="1" s="1"/>
  <c r="I152" i="1"/>
  <c r="AJ2" i="16"/>
  <c r="AK1" i="16"/>
  <c r="AL2" i="11"/>
  <c r="AM1" i="11"/>
  <c r="CG10" i="26"/>
  <c r="CE11" i="26"/>
  <c r="CC11" i="26"/>
  <c r="CC12" i="26" s="1"/>
  <c r="CF11" i="26"/>
  <c r="CD11" i="26"/>
  <c r="CD11" i="28"/>
  <c r="CC11" i="28"/>
  <c r="CC12" i="28" s="1"/>
  <c r="CF11" i="28"/>
  <c r="CE11" i="28"/>
  <c r="CG10" i="28"/>
  <c r="CF11" i="24"/>
  <c r="CE11" i="24"/>
  <c r="CG10" i="24"/>
  <c r="CD11" i="24"/>
  <c r="CC11" i="24"/>
  <c r="CC12" i="24" s="1"/>
  <c r="Z6" i="22"/>
  <c r="AA5" i="22"/>
  <c r="AA5" i="21"/>
  <c r="Z6" i="21"/>
  <c r="BP11" i="6"/>
  <c r="BN11" i="6"/>
  <c r="BM11" i="6"/>
  <c r="BM12" i="6" s="1"/>
  <c r="BQ10" i="6"/>
  <c r="BO11" i="6"/>
  <c r="Y137" i="1" l="1"/>
  <c r="I167" i="1"/>
  <c r="G167" i="1"/>
  <c r="H167" i="1" s="1"/>
  <c r="I159" i="1"/>
  <c r="G159" i="1"/>
  <c r="H159" i="1" s="1"/>
  <c r="AK2" i="16"/>
  <c r="AL1" i="16"/>
  <c r="AM2" i="11"/>
  <c r="AN1" i="11"/>
  <c r="CJ11" i="26"/>
  <c r="CH11" i="26"/>
  <c r="CG11" i="26"/>
  <c r="CG12" i="26" s="1"/>
  <c r="CI11" i="26"/>
  <c r="CK10" i="26"/>
  <c r="CG11" i="28"/>
  <c r="CG12" i="28" s="1"/>
  <c r="CK10" i="28"/>
  <c r="CI11" i="28"/>
  <c r="CJ11" i="28"/>
  <c r="CH11" i="28"/>
  <c r="CJ11" i="24"/>
  <c r="CI11" i="24"/>
  <c r="CH11" i="24"/>
  <c r="CG11" i="24"/>
  <c r="CG12" i="24" s="1"/>
  <c r="CK10" i="24"/>
  <c r="AA6" i="22"/>
  <c r="AB5" i="22"/>
  <c r="AB5" i="21"/>
  <c r="AA6" i="21"/>
  <c r="BS11" i="6"/>
  <c r="BR11" i="6"/>
  <c r="BT11" i="6"/>
  <c r="BQ11" i="6"/>
  <c r="BQ12" i="6" s="1"/>
  <c r="BU10" i="6"/>
  <c r="AM1" i="16" l="1"/>
  <c r="AL2" i="16"/>
  <c r="AO1" i="11"/>
  <c r="AN2" i="11"/>
  <c r="CN11" i="26"/>
  <c r="CO10" i="26"/>
  <c r="CM11" i="26"/>
  <c r="CK11" i="26"/>
  <c r="CK12" i="26" s="1"/>
  <c r="CL11" i="26"/>
  <c r="CN11" i="28"/>
  <c r="CM11" i="28"/>
  <c r="CL11" i="28"/>
  <c r="CK11" i="28"/>
  <c r="CK12" i="28" s="1"/>
  <c r="CO10" i="28"/>
  <c r="CM11" i="24"/>
  <c r="CL11" i="24"/>
  <c r="CK11" i="24"/>
  <c r="CK12" i="24" s="1"/>
  <c r="CN11" i="24"/>
  <c r="CO10" i="24"/>
  <c r="AB6" i="22"/>
  <c r="AC5" i="22"/>
  <c r="AC5" i="21"/>
  <c r="AB6" i="21"/>
  <c r="BU11" i="6"/>
  <c r="BU12" i="6" s="1"/>
  <c r="BY10" i="6"/>
  <c r="BX11" i="6"/>
  <c r="BW11" i="6"/>
  <c r="BV11" i="6"/>
  <c r="AN1" i="16" l="1"/>
  <c r="AM2" i="16"/>
  <c r="AP1" i="11"/>
  <c r="AO2" i="11"/>
  <c r="CO11" i="26"/>
  <c r="CO12" i="26" s="1"/>
  <c r="CS10" i="26"/>
  <c r="CR11" i="26"/>
  <c r="CQ11" i="26"/>
  <c r="CP11" i="26"/>
  <c r="CP11" i="28"/>
  <c r="CO11" i="28"/>
  <c r="CO12" i="28" s="1"/>
  <c r="CR11" i="28"/>
  <c r="CS10" i="28"/>
  <c r="CQ11" i="28"/>
  <c r="CQ11" i="24"/>
  <c r="CP11" i="24"/>
  <c r="CO11" i="24"/>
  <c r="CO12" i="24" s="1"/>
  <c r="CS10" i="24"/>
  <c r="CR11" i="24"/>
  <c r="AD5" i="22"/>
  <c r="AC6" i="22"/>
  <c r="AC6" i="21"/>
  <c r="AD5" i="21"/>
  <c r="CC10" i="6"/>
  <c r="BZ11" i="6"/>
  <c r="BY11" i="6"/>
  <c r="BY12" i="6" s="1"/>
  <c r="CB11" i="6"/>
  <c r="CA11" i="6"/>
  <c r="AO1" i="16" l="1"/>
  <c r="AN2" i="16"/>
  <c r="AQ1" i="11"/>
  <c r="AP2" i="11"/>
  <c r="CV11" i="26"/>
  <c r="CU11" i="26"/>
  <c r="CS11" i="26"/>
  <c r="CS12" i="26" s="1"/>
  <c r="CT11" i="26"/>
  <c r="CW10" i="26"/>
  <c r="CS11" i="28"/>
  <c r="CS12" i="28" s="1"/>
  <c r="CW10" i="28"/>
  <c r="CV11" i="28"/>
  <c r="CU11" i="28"/>
  <c r="CT11" i="28"/>
  <c r="CV11" i="24"/>
  <c r="CU11" i="24"/>
  <c r="CW10" i="24"/>
  <c r="CT11" i="24"/>
  <c r="CS11" i="24"/>
  <c r="CS12" i="24" s="1"/>
  <c r="AE5" i="22"/>
  <c r="AD6" i="22"/>
  <c r="AD6" i="21"/>
  <c r="AE5" i="21"/>
  <c r="CE11" i="6"/>
  <c r="CD11" i="6"/>
  <c r="CF11" i="6"/>
  <c r="CC11" i="6"/>
  <c r="CC12" i="6" s="1"/>
  <c r="CG10" i="6"/>
  <c r="AP1" i="16" l="1"/>
  <c r="AO2" i="16"/>
  <c r="AR1" i="11"/>
  <c r="AQ2" i="11"/>
  <c r="CY11" i="26"/>
  <c r="CZ11" i="26"/>
  <c r="CX11" i="26"/>
  <c r="CW11" i="26"/>
  <c r="CW12" i="26" s="1"/>
  <c r="DA10" i="26"/>
  <c r="CZ11" i="28"/>
  <c r="DA10" i="28"/>
  <c r="CY11" i="28"/>
  <c r="CX11" i="28"/>
  <c r="CW11" i="28"/>
  <c r="CW12" i="28" s="1"/>
  <c r="CY11" i="24"/>
  <c r="CZ11" i="24"/>
  <c r="CX11" i="24"/>
  <c r="CW11" i="24"/>
  <c r="CW12" i="24" s="1"/>
  <c r="DA10" i="24"/>
  <c r="AF5" i="22"/>
  <c r="AE6" i="22"/>
  <c r="AE6" i="21"/>
  <c r="AF5" i="21"/>
  <c r="CG11" i="6"/>
  <c r="CG12" i="6" s="1"/>
  <c r="CK10" i="6"/>
  <c r="CJ11" i="6"/>
  <c r="CI11" i="6"/>
  <c r="CH11" i="6"/>
  <c r="AQ1" i="16" l="1"/>
  <c r="AP2" i="16"/>
  <c r="AR2" i="11"/>
  <c r="AS1" i="11"/>
  <c r="DB11" i="26"/>
  <c r="DD11" i="26"/>
  <c r="DA11" i="26"/>
  <c r="DA12" i="26" s="1"/>
  <c r="DE10" i="26"/>
  <c r="DC11" i="26"/>
  <c r="DB11" i="28"/>
  <c r="DD11" i="28"/>
  <c r="DC11" i="28"/>
  <c r="DA11" i="28"/>
  <c r="DA12" i="28" s="1"/>
  <c r="DE10" i="28"/>
  <c r="DB11" i="24"/>
  <c r="DE10" i="24"/>
  <c r="DD11" i="24"/>
  <c r="DC11" i="24"/>
  <c r="DA11" i="24"/>
  <c r="DA12" i="24" s="1"/>
  <c r="AG5" i="22"/>
  <c r="AF6" i="22"/>
  <c r="AF6" i="21"/>
  <c r="AG5" i="21"/>
  <c r="CN11" i="6"/>
  <c r="CM11" i="6"/>
  <c r="CL11" i="6"/>
  <c r="CK11" i="6"/>
  <c r="CK12" i="6" s="1"/>
  <c r="CO10" i="6"/>
  <c r="AQ2" i="16" l="1"/>
  <c r="AR1" i="16"/>
  <c r="AS2" i="11"/>
  <c r="AT1" i="11"/>
  <c r="DG11" i="26"/>
  <c r="DF11" i="26"/>
  <c r="DE11" i="26"/>
  <c r="DE12" i="26" s="1"/>
  <c r="DI10" i="26"/>
  <c r="DH11" i="26"/>
  <c r="DE11" i="28"/>
  <c r="DE12" i="28" s="1"/>
  <c r="DG11" i="28"/>
  <c r="DH11" i="28"/>
  <c r="DI10" i="28"/>
  <c r="DF11" i="28"/>
  <c r="DI10" i="24"/>
  <c r="DH11" i="24"/>
  <c r="DG11" i="24"/>
  <c r="DF11" i="24"/>
  <c r="DE11" i="24"/>
  <c r="DE12" i="24" s="1"/>
  <c r="AH5" i="22"/>
  <c r="AG6" i="22"/>
  <c r="AG6" i="21"/>
  <c r="AH5" i="21"/>
  <c r="CQ11" i="6"/>
  <c r="CP11" i="6"/>
  <c r="CS10" i="6"/>
  <c r="CR11" i="6"/>
  <c r="CO11" i="6"/>
  <c r="CO12" i="6" s="1"/>
  <c r="AR2" i="16" l="1"/>
  <c r="AS1" i="16"/>
  <c r="AU1" i="11"/>
  <c r="AT2" i="11"/>
  <c r="DM10" i="26"/>
  <c r="DL11" i="26"/>
  <c r="DK11" i="26"/>
  <c r="DJ11" i="26"/>
  <c r="DI11" i="26"/>
  <c r="DI12" i="26" s="1"/>
  <c r="DJ11" i="28"/>
  <c r="DI11" i="28"/>
  <c r="DI12" i="28" s="1"/>
  <c r="DM10" i="28"/>
  <c r="DL11" i="28"/>
  <c r="DK11" i="28"/>
  <c r="DK11" i="24"/>
  <c r="DL11" i="24"/>
  <c r="DJ11" i="24"/>
  <c r="DI11" i="24"/>
  <c r="DI12" i="24" s="1"/>
  <c r="DM10" i="24"/>
  <c r="AI5" i="22"/>
  <c r="AH6" i="22"/>
  <c r="AH6" i="21"/>
  <c r="AI5" i="21"/>
  <c r="CS11" i="6"/>
  <c r="CS12" i="6" s="1"/>
  <c r="CW10" i="6"/>
  <c r="CV11" i="6"/>
  <c r="CU11" i="6"/>
  <c r="CT11" i="6"/>
  <c r="AS2" i="16" l="1"/>
  <c r="AT1" i="16"/>
  <c r="AU2" i="11"/>
  <c r="AV1" i="11"/>
  <c r="DO11" i="26"/>
  <c r="DN11" i="26"/>
  <c r="DP11" i="26"/>
  <c r="DM11" i="26"/>
  <c r="DM12" i="26" s="1"/>
  <c r="DQ10" i="26"/>
  <c r="DN11" i="28"/>
  <c r="DP11" i="28"/>
  <c r="DQ10" i="28"/>
  <c r="DO11" i="28"/>
  <c r="DM11" i="28"/>
  <c r="DM12" i="28" s="1"/>
  <c r="DM11" i="24"/>
  <c r="DM12" i="24" s="1"/>
  <c r="DQ10" i="24"/>
  <c r="DO11" i="24"/>
  <c r="DP11" i="24"/>
  <c r="DN11" i="24"/>
  <c r="AI6" i="22"/>
  <c r="AJ5" i="22"/>
  <c r="AJ5" i="21"/>
  <c r="AI6" i="21"/>
  <c r="CY11" i="6"/>
  <c r="DA10" i="6"/>
  <c r="CZ11" i="6"/>
  <c r="CW11" i="6"/>
  <c r="CW12" i="6" s="1"/>
  <c r="CX11" i="6"/>
  <c r="AT2" i="16" l="1"/>
  <c r="AU1" i="16"/>
  <c r="AV2" i="11"/>
  <c r="AW1" i="11"/>
  <c r="AW2" i="11" s="1"/>
  <c r="DU10" i="26"/>
  <c r="DT11" i="26"/>
  <c r="DR11" i="26"/>
  <c r="DS11" i="26"/>
  <c r="DQ11" i="26"/>
  <c r="DQ12" i="26" s="1"/>
  <c r="DQ11" i="28"/>
  <c r="DQ12" i="28" s="1"/>
  <c r="DU10" i="28"/>
  <c r="DS11" i="28"/>
  <c r="DR11" i="28"/>
  <c r="DT11" i="28"/>
  <c r="DQ11" i="24"/>
  <c r="DQ12" i="24" s="1"/>
  <c r="DT11" i="24"/>
  <c r="DS11" i="24"/>
  <c r="DR11" i="24"/>
  <c r="DU10" i="24"/>
  <c r="AJ6" i="22"/>
  <c r="AK5" i="22"/>
  <c r="AK5" i="21"/>
  <c r="AJ6" i="21"/>
  <c r="DC11" i="6"/>
  <c r="DB11" i="6"/>
  <c r="DE10" i="6"/>
  <c r="DD11" i="6"/>
  <c r="DA11" i="6"/>
  <c r="DA12" i="6" s="1"/>
  <c r="AV1" i="16" l="1"/>
  <c r="AU2" i="16"/>
  <c r="DU11" i="26"/>
  <c r="DU12" i="26" s="1"/>
  <c r="DY10" i="26"/>
  <c r="DX11" i="26"/>
  <c r="DW11" i="26"/>
  <c r="DV11" i="26"/>
  <c r="DY10" i="28"/>
  <c r="DU11" i="28"/>
  <c r="DU12" i="28" s="1"/>
  <c r="DX11" i="28"/>
  <c r="DW11" i="28"/>
  <c r="DV11" i="28"/>
  <c r="DW11" i="24"/>
  <c r="DY10" i="24"/>
  <c r="DX11" i="24"/>
  <c r="DV11" i="24"/>
  <c r="DU11" i="24"/>
  <c r="DU12" i="24" s="1"/>
  <c r="AK6" i="22"/>
  <c r="AL5" i="22"/>
  <c r="AL5" i="21"/>
  <c r="AK6" i="21"/>
  <c r="DE11" i="6"/>
  <c r="DE12" i="6" s="1"/>
  <c r="DG11" i="6"/>
  <c r="DF11" i="6"/>
  <c r="DH11" i="6"/>
  <c r="DI10" i="6"/>
  <c r="AV2" i="16" l="1"/>
  <c r="AW1" i="16"/>
  <c r="AW2" i="16" s="1"/>
  <c r="AW4" i="16"/>
  <c r="EA11" i="26"/>
  <c r="DZ11" i="26"/>
  <c r="EC10" i="26"/>
  <c r="EB11" i="26"/>
  <c r="DY11" i="26"/>
  <c r="DZ11" i="28"/>
  <c r="EC10" i="28"/>
  <c r="EB11" i="28"/>
  <c r="EA11" i="28"/>
  <c r="DY11" i="28"/>
  <c r="DY12" i="28" s="1"/>
  <c r="DZ11" i="24"/>
  <c r="EC10" i="24"/>
  <c r="DY11" i="24"/>
  <c r="DY12" i="24" s="1"/>
  <c r="EB11" i="24"/>
  <c r="EA11" i="24"/>
  <c r="AL6" i="22"/>
  <c r="AM5" i="22"/>
  <c r="AM5" i="21"/>
  <c r="AL6" i="21"/>
  <c r="DM10" i="6"/>
  <c r="DL11" i="6"/>
  <c r="DI11" i="6"/>
  <c r="DI12" i="6" s="1"/>
  <c r="DK11" i="6"/>
  <c r="DJ11" i="6"/>
  <c r="AW3" i="16" l="1"/>
  <c r="V131" i="1"/>
  <c r="O4" i="11"/>
  <c r="P4" i="11"/>
  <c r="P5" i="11"/>
  <c r="O5" i="11"/>
  <c r="O6" i="11"/>
  <c r="P6" i="11"/>
  <c r="P3" i="11"/>
  <c r="DY12" i="26"/>
  <c r="J51" i="26"/>
  <c r="J58" i="26"/>
  <c r="L16" i="26"/>
  <c r="L28" i="26"/>
  <c r="J52" i="26"/>
  <c r="J39" i="26"/>
  <c r="ED11" i="26"/>
  <c r="L25" i="26" s="1"/>
  <c r="EF11" i="26"/>
  <c r="EC11" i="26"/>
  <c r="EC12" i="26" s="1"/>
  <c r="C7" i="26" s="1"/>
  <c r="B9" i="26" s="1"/>
  <c r="EE11" i="26"/>
  <c r="EC11" i="28"/>
  <c r="EC12" i="28" s="1"/>
  <c r="C7" i="28" s="1"/>
  <c r="B9" i="28" s="1"/>
  <c r="EF11" i="28"/>
  <c r="EE11" i="28"/>
  <c r="ED11" i="28"/>
  <c r="EF11" i="24"/>
  <c r="EE11" i="24"/>
  <c r="ED11" i="24"/>
  <c r="EC11" i="24"/>
  <c r="EC12" i="24" s="1"/>
  <c r="C7" i="24" s="1"/>
  <c r="B9" i="24" s="1"/>
  <c r="AM6" i="22"/>
  <c r="AN5" i="22"/>
  <c r="AN5" i="21"/>
  <c r="AM6" i="21"/>
  <c r="DO11" i="6"/>
  <c r="DN11" i="6"/>
  <c r="DP11" i="6"/>
  <c r="DM11" i="6"/>
  <c r="DM12" i="6" s="1"/>
  <c r="DQ10" i="6"/>
  <c r="O3" i="16" l="1"/>
  <c r="I40" i="21"/>
  <c r="I32" i="21"/>
  <c r="I7" i="22"/>
  <c r="I63" i="22"/>
  <c r="O136" i="1"/>
  <c r="P136" i="1" s="1"/>
  <c r="F136" i="1"/>
  <c r="F135" i="1"/>
  <c r="O135" i="1"/>
  <c r="P135" i="1" s="1"/>
  <c r="J23" i="26"/>
  <c r="L23" i="26"/>
  <c r="L38" i="26"/>
  <c r="L21" i="26"/>
  <c r="J57" i="26"/>
  <c r="L24" i="26"/>
  <c r="L44" i="26"/>
  <c r="L29" i="26"/>
  <c r="L17" i="26"/>
  <c r="L57" i="26"/>
  <c r="L39" i="26"/>
  <c r="K51" i="26"/>
  <c r="L22" i="26"/>
  <c r="L45" i="26"/>
  <c r="J31" i="26"/>
  <c r="J37" i="26"/>
  <c r="J29" i="26"/>
  <c r="J21" i="26"/>
  <c r="K53" i="26"/>
  <c r="J38" i="26"/>
  <c r="J33" i="26"/>
  <c r="J27" i="26"/>
  <c r="J35" i="26"/>
  <c r="J54" i="26"/>
  <c r="L54" i="26"/>
  <c r="K54" i="26"/>
  <c r="L46" i="26"/>
  <c r="L35" i="26"/>
  <c r="L51" i="26"/>
  <c r="L31" i="26"/>
  <c r="K16" i="26"/>
  <c r="K17" i="26"/>
  <c r="K57" i="26"/>
  <c r="K55" i="26"/>
  <c r="L26" i="26"/>
  <c r="J30" i="26"/>
  <c r="L52" i="26"/>
  <c r="L55" i="26"/>
  <c r="J19" i="26"/>
  <c r="J24" i="26"/>
  <c r="J56" i="26"/>
  <c r="J22" i="26"/>
  <c r="L58" i="26"/>
  <c r="J28" i="26"/>
  <c r="L33" i="26"/>
  <c r="L47" i="26"/>
  <c r="L15" i="26"/>
  <c r="J55" i="26"/>
  <c r="L19" i="26"/>
  <c r="J25" i="26"/>
  <c r="K56" i="26"/>
  <c r="L27" i="26"/>
  <c r="J34" i="26"/>
  <c r="L56" i="26"/>
  <c r="L37" i="26"/>
  <c r="L30" i="26"/>
  <c r="K58" i="26"/>
  <c r="L34" i="26"/>
  <c r="L53" i="26"/>
  <c r="L32" i="26"/>
  <c r="L36" i="26"/>
  <c r="K52" i="26"/>
  <c r="L20" i="26"/>
  <c r="J53" i="26"/>
  <c r="L23" i="28"/>
  <c r="J39" i="28"/>
  <c r="K56" i="28"/>
  <c r="L44" i="28"/>
  <c r="L58" i="28"/>
  <c r="L30" i="28"/>
  <c r="J37" i="28"/>
  <c r="L53" i="28"/>
  <c r="K53" i="28"/>
  <c r="J23" i="28"/>
  <c r="L56" i="28"/>
  <c r="L21" i="28"/>
  <c r="L22" i="28"/>
  <c r="J34" i="28"/>
  <c r="L52" i="28"/>
  <c r="J35" i="28"/>
  <c r="L15" i="28"/>
  <c r="L24" i="28"/>
  <c r="J52" i="28"/>
  <c r="J56" i="28"/>
  <c r="J22" i="28"/>
  <c r="J24" i="28"/>
  <c r="L26" i="28"/>
  <c r="K55" i="28"/>
  <c r="L27" i="28"/>
  <c r="J21" i="28"/>
  <c r="L20" i="28"/>
  <c r="J54" i="28"/>
  <c r="L28" i="28"/>
  <c r="L46" i="28"/>
  <c r="L16" i="28"/>
  <c r="J53" i="28"/>
  <c r="L36" i="28"/>
  <c r="K58" i="28"/>
  <c r="L54" i="28"/>
  <c r="L55" i="28"/>
  <c r="J55" i="28"/>
  <c r="L25" i="28"/>
  <c r="L39" i="28"/>
  <c r="J38" i="28"/>
  <c r="L31" i="28"/>
  <c r="J28" i="28"/>
  <c r="L37" i="28"/>
  <c r="L32" i="28"/>
  <c r="J33" i="28"/>
  <c r="J31" i="28"/>
  <c r="K51" i="28"/>
  <c r="L17" i="28"/>
  <c r="L35" i="28"/>
  <c r="J51" i="28"/>
  <c r="L34" i="28"/>
  <c r="J19" i="28"/>
  <c r="J57" i="28"/>
  <c r="L19" i="28"/>
  <c r="J29" i="28"/>
  <c r="L33" i="28"/>
  <c r="J30" i="28"/>
  <c r="L47" i="28"/>
  <c r="K54" i="28"/>
  <c r="K57" i="28"/>
  <c r="L38" i="28"/>
  <c r="K52" i="28"/>
  <c r="L45" i="28"/>
  <c r="J25" i="28"/>
  <c r="L29" i="28"/>
  <c r="L51" i="28"/>
  <c r="L57" i="28"/>
  <c r="J58" i="28"/>
  <c r="J27" i="28"/>
  <c r="K17" i="28"/>
  <c r="K16" i="28"/>
  <c r="L27" i="24"/>
  <c r="L33" i="24"/>
  <c r="L31" i="24"/>
  <c r="L21" i="24"/>
  <c r="L29" i="24"/>
  <c r="L30" i="24"/>
  <c r="L26" i="24"/>
  <c r="L25" i="24"/>
  <c r="L23" i="24"/>
  <c r="L22" i="24"/>
  <c r="L28" i="24"/>
  <c r="L34" i="24"/>
  <c r="L24" i="24"/>
  <c r="L35" i="24"/>
  <c r="L37" i="24"/>
  <c r="L38" i="24"/>
  <c r="K16" i="24"/>
  <c r="K17" i="24"/>
  <c r="L47" i="24"/>
  <c r="L19" i="24"/>
  <c r="J23" i="24"/>
  <c r="J33" i="24"/>
  <c r="K58" i="24"/>
  <c r="J29" i="24"/>
  <c r="L57" i="24"/>
  <c r="J24" i="24"/>
  <c r="L51" i="24"/>
  <c r="J56" i="24"/>
  <c r="K51" i="24"/>
  <c r="J38" i="24"/>
  <c r="J21" i="24"/>
  <c r="L36" i="24"/>
  <c r="J53" i="24"/>
  <c r="L56" i="24"/>
  <c r="J27" i="24"/>
  <c r="J25" i="24"/>
  <c r="K54" i="24"/>
  <c r="L16" i="24"/>
  <c r="L55" i="24"/>
  <c r="L54" i="24"/>
  <c r="J22" i="24"/>
  <c r="J55" i="24"/>
  <c r="J39" i="24"/>
  <c r="J57" i="24"/>
  <c r="J30" i="24"/>
  <c r="J58" i="24"/>
  <c r="L15" i="24"/>
  <c r="K52" i="24"/>
  <c r="L44" i="24"/>
  <c r="L52" i="24"/>
  <c r="L46" i="24"/>
  <c r="J31" i="24"/>
  <c r="J34" i="24"/>
  <c r="L17" i="24"/>
  <c r="L32" i="24"/>
  <c r="K56" i="24"/>
  <c r="L45" i="24"/>
  <c r="L39" i="24"/>
  <c r="K55" i="24"/>
  <c r="K53" i="24"/>
  <c r="J52" i="24"/>
  <c r="K57" i="24"/>
  <c r="J51" i="24"/>
  <c r="J28" i="24"/>
  <c r="J37" i="24"/>
  <c r="J35" i="24"/>
  <c r="J54" i="24"/>
  <c r="L58" i="24"/>
  <c r="L20" i="24"/>
  <c r="L53" i="24"/>
  <c r="I26" i="21"/>
  <c r="I38" i="21"/>
  <c r="I7" i="21"/>
  <c r="I26" i="22"/>
  <c r="I30" i="22"/>
  <c r="AN6" i="22"/>
  <c r="I82" i="22"/>
  <c r="I45" i="22"/>
  <c r="I16" i="22"/>
  <c r="I35" i="22"/>
  <c r="I43" i="22"/>
  <c r="I68" i="22"/>
  <c r="I51" i="22"/>
  <c r="I57" i="22"/>
  <c r="I59" i="22"/>
  <c r="I24" i="22"/>
  <c r="I76" i="22"/>
  <c r="I81" i="22"/>
  <c r="I50" i="22"/>
  <c r="I52" i="22"/>
  <c r="I78" i="22"/>
  <c r="I74" i="22"/>
  <c r="I41" i="22"/>
  <c r="I10" i="22"/>
  <c r="I20" i="22"/>
  <c r="I34" i="22"/>
  <c r="I49" i="22"/>
  <c r="I73" i="22"/>
  <c r="I67" i="22"/>
  <c r="I36" i="22"/>
  <c r="I54" i="22"/>
  <c r="I11" i="22"/>
  <c r="I13" i="22"/>
  <c r="I23" i="22"/>
  <c r="I60" i="22"/>
  <c r="I69" i="22"/>
  <c r="I66" i="22"/>
  <c r="I56" i="22"/>
  <c r="I61" i="22"/>
  <c r="I22" i="22"/>
  <c r="I70" i="22"/>
  <c r="I58" i="22"/>
  <c r="I12" i="22"/>
  <c r="I44" i="22"/>
  <c r="I47" i="22"/>
  <c r="I17" i="22"/>
  <c r="I27" i="22"/>
  <c r="I14" i="22"/>
  <c r="I25" i="22"/>
  <c r="I77" i="22"/>
  <c r="I33" i="22"/>
  <c r="I19" i="22"/>
  <c r="I32" i="22"/>
  <c r="I38" i="22"/>
  <c r="I72" i="22"/>
  <c r="I18" i="22"/>
  <c r="I40" i="22"/>
  <c r="I80" i="22"/>
  <c r="I64" i="22"/>
  <c r="I75" i="22"/>
  <c r="I28" i="22"/>
  <c r="I53" i="22"/>
  <c r="I42" i="22"/>
  <c r="I65" i="22"/>
  <c r="I37" i="22"/>
  <c r="I56" i="21"/>
  <c r="I22" i="21"/>
  <c r="I60" i="21"/>
  <c r="I57" i="21"/>
  <c r="I58" i="21"/>
  <c r="I61" i="21"/>
  <c r="I59" i="21"/>
  <c r="I52" i="21"/>
  <c r="I53" i="21"/>
  <c r="I50" i="21"/>
  <c r="I51" i="21"/>
  <c r="I49" i="21"/>
  <c r="I54" i="21"/>
  <c r="I78" i="21"/>
  <c r="I66" i="21"/>
  <c r="I68" i="21"/>
  <c r="I63" i="21"/>
  <c r="I65" i="21"/>
  <c r="I64" i="21"/>
  <c r="I67" i="21"/>
  <c r="AN6" i="21"/>
  <c r="I41" i="21"/>
  <c r="I76" i="21"/>
  <c r="I33" i="21"/>
  <c r="I11" i="21"/>
  <c r="I75" i="21"/>
  <c r="I82" i="21"/>
  <c r="I45" i="21"/>
  <c r="I14" i="21"/>
  <c r="I12" i="21"/>
  <c r="I27" i="21"/>
  <c r="I30" i="21"/>
  <c r="I47" i="21"/>
  <c r="I42" i="21"/>
  <c r="I18" i="21"/>
  <c r="I73" i="21"/>
  <c r="I80" i="21"/>
  <c r="I74" i="21"/>
  <c r="I44" i="21"/>
  <c r="I10" i="21"/>
  <c r="I36" i="21"/>
  <c r="I69" i="21"/>
  <c r="I24" i="21"/>
  <c r="I81" i="21"/>
  <c r="I34" i="21"/>
  <c r="I35" i="21"/>
  <c r="I37" i="21"/>
  <c r="I20" i="21"/>
  <c r="I17" i="21"/>
  <c r="I72" i="21"/>
  <c r="I16" i="21"/>
  <c r="I43" i="21"/>
  <c r="I70" i="21"/>
  <c r="I28" i="21"/>
  <c r="I25" i="21"/>
  <c r="I23" i="21"/>
  <c r="I77" i="21"/>
  <c r="I19" i="21"/>
  <c r="I13" i="21"/>
  <c r="DQ11" i="6"/>
  <c r="DQ12" i="6" s="1"/>
  <c r="DU10" i="6"/>
  <c r="DT11" i="6"/>
  <c r="DS11" i="6"/>
  <c r="DR11" i="6"/>
  <c r="I55" i="22" l="1"/>
  <c r="I62" i="22"/>
  <c r="I62" i="21"/>
  <c r="I55" i="21"/>
  <c r="I48" i="21"/>
  <c r="G135" i="1"/>
  <c r="H135" i="1" s="1"/>
  <c r="I135" i="1" s="1"/>
  <c r="G136" i="1"/>
  <c r="H136" i="1" s="1"/>
  <c r="I136" i="1" s="1"/>
  <c r="J50" i="26"/>
  <c r="J36" i="26"/>
  <c r="K50" i="26"/>
  <c r="J26" i="26"/>
  <c r="J32" i="26"/>
  <c r="L40" i="26"/>
  <c r="J20" i="26"/>
  <c r="L50" i="26"/>
  <c r="J32" i="28"/>
  <c r="K50" i="28"/>
  <c r="J26" i="28"/>
  <c r="J36" i="28"/>
  <c r="L50" i="28"/>
  <c r="L40" i="28"/>
  <c r="J50" i="28"/>
  <c r="J20" i="28"/>
  <c r="J20" i="24"/>
  <c r="J32" i="24"/>
  <c r="J36" i="24"/>
  <c r="J50" i="24"/>
  <c r="L50" i="24"/>
  <c r="L40" i="24"/>
  <c r="J26" i="24"/>
  <c r="K50" i="24"/>
  <c r="I48" i="22"/>
  <c r="I31" i="22"/>
  <c r="I9" i="21"/>
  <c r="I15" i="21"/>
  <c r="I15" i="22"/>
  <c r="I39" i="22"/>
  <c r="I79" i="22"/>
  <c r="I21" i="22"/>
  <c r="I9" i="22"/>
  <c r="I71" i="22"/>
  <c r="I21" i="21"/>
  <c r="I31" i="21"/>
  <c r="I39" i="21"/>
  <c r="I79" i="21"/>
  <c r="I71" i="21"/>
  <c r="DY10" i="6"/>
  <c r="DW11" i="6"/>
  <c r="DV11" i="6"/>
  <c r="DU11" i="6"/>
  <c r="DU12" i="6" s="1"/>
  <c r="DX11" i="6"/>
  <c r="G126" i="1" l="1"/>
  <c r="H126" i="1" s="1"/>
  <c r="Q135" i="1"/>
  <c r="Q136" i="1"/>
  <c r="I8" i="21"/>
  <c r="I8" i="22"/>
  <c r="EA11" i="6"/>
  <c r="DZ11" i="6"/>
  <c r="DY11" i="6"/>
  <c r="DY12" i="6" s="1"/>
  <c r="EB11" i="6"/>
  <c r="EC10" i="6"/>
  <c r="I126" i="1" l="1"/>
  <c r="F125" i="1" s="1"/>
  <c r="EC11" i="6"/>
  <c r="EC12" i="6" s="1"/>
  <c r="C7" i="6" s="1"/>
  <c r="EF11" i="6"/>
  <c r="EE11" i="6"/>
  <c r="ED11" i="6"/>
  <c r="L21" i="6" l="1"/>
  <c r="L20" i="6"/>
  <c r="J51" i="6"/>
  <c r="P37" i="1" s="1"/>
  <c r="J37" i="6"/>
  <c r="J21" i="6"/>
  <c r="L39" i="6"/>
  <c r="L33" i="6"/>
  <c r="L25" i="6"/>
  <c r="L22" i="6"/>
  <c r="L37" i="6"/>
  <c r="L31" i="6"/>
  <c r="L27" i="6"/>
  <c r="L26" i="6"/>
  <c r="L32" i="6"/>
  <c r="L35" i="6"/>
  <c r="L23" i="6"/>
  <c r="L24" i="6"/>
  <c r="L36" i="6"/>
  <c r="L28" i="6"/>
  <c r="L29" i="6"/>
  <c r="L30" i="6"/>
  <c r="L34" i="6"/>
  <c r="J27" i="6"/>
  <c r="J28" i="6"/>
  <c r="L47" i="6"/>
  <c r="J19" i="6"/>
  <c r="L51" i="6"/>
  <c r="AD37" i="1" s="1"/>
  <c r="J38" i="6"/>
  <c r="J24" i="6"/>
  <c r="J33" i="6"/>
  <c r="L15" i="6"/>
  <c r="L17" i="6"/>
  <c r="L16" i="6"/>
  <c r="L19" i="6"/>
  <c r="J29" i="6"/>
  <c r="J39" i="6"/>
  <c r="J30" i="6"/>
  <c r="J34" i="6"/>
  <c r="J22" i="6"/>
  <c r="J31" i="6"/>
  <c r="J25" i="6"/>
  <c r="J23" i="6"/>
  <c r="J35" i="6"/>
  <c r="K57" i="6"/>
  <c r="Z43" i="1" s="1"/>
  <c r="AA43" i="1" s="1"/>
  <c r="L58" i="6"/>
  <c r="AD44" i="1" s="1"/>
  <c r="AE44" i="1" s="1"/>
  <c r="AF44" i="1" s="1"/>
  <c r="L56" i="6"/>
  <c r="AD42" i="1" s="1"/>
  <c r="K55" i="6"/>
  <c r="Z41" i="1" s="1"/>
  <c r="L55" i="6"/>
  <c r="AD41" i="1" s="1"/>
  <c r="J56" i="6"/>
  <c r="P42" i="1" s="1"/>
  <c r="K56" i="6"/>
  <c r="Z42" i="1" s="1"/>
  <c r="K58" i="6"/>
  <c r="Z44" i="1" s="1"/>
  <c r="AA44" i="1" s="1"/>
  <c r="L57" i="6"/>
  <c r="AD43" i="1" s="1"/>
  <c r="AE43" i="1" s="1"/>
  <c r="AF43" i="1" s="1"/>
  <c r="J58" i="6"/>
  <c r="P44" i="1" s="1"/>
  <c r="Q44" i="1" s="1"/>
  <c r="J57" i="6"/>
  <c r="P43" i="1" s="1"/>
  <c r="Q43" i="1" s="1"/>
  <c r="J55" i="6"/>
  <c r="P41" i="1" s="1"/>
  <c r="L46" i="6"/>
  <c r="L44" i="6"/>
  <c r="J52" i="6"/>
  <c r="P38" i="1" s="1"/>
  <c r="J53" i="6"/>
  <c r="P39" i="1" s="1"/>
  <c r="K52" i="6"/>
  <c r="Z38" i="1" s="1"/>
  <c r="L45" i="6"/>
  <c r="L38" i="6"/>
  <c r="J54" i="6"/>
  <c r="P40" i="1" s="1"/>
  <c r="L53" i="6"/>
  <c r="AD39" i="1" s="1"/>
  <c r="L54" i="6"/>
  <c r="AD40" i="1" s="1"/>
  <c r="K54" i="6"/>
  <c r="Z40" i="1" s="1"/>
  <c r="K53" i="6"/>
  <c r="Z39" i="1" s="1"/>
  <c r="L52" i="6"/>
  <c r="AD38" i="1" s="1"/>
  <c r="K51" i="6"/>
  <c r="Z37" i="1" s="1"/>
  <c r="G125" i="1" l="1"/>
  <c r="H125" i="1" s="1"/>
  <c r="J50" i="6"/>
  <c r="J26" i="6"/>
  <c r="J20" i="6"/>
  <c r="J32" i="6"/>
  <c r="L50" i="6"/>
  <c r="K50" i="6"/>
  <c r="J36" i="6"/>
  <c r="L40" i="6"/>
  <c r="I125" i="1" l="1"/>
  <c r="AE37" i="1"/>
  <c r="Q40" i="1"/>
  <c r="AA38" i="1"/>
  <c r="Q42" i="1"/>
  <c r="AE39" i="1"/>
  <c r="AF39" i="1" s="1"/>
  <c r="AA42" i="1"/>
  <c r="AA41" i="1"/>
  <c r="AE40" i="1"/>
  <c r="AF40" i="1" s="1"/>
  <c r="AE41" i="1"/>
  <c r="AF41" i="1" s="1"/>
  <c r="AE38" i="1"/>
  <c r="AF38" i="1" s="1"/>
  <c r="AA40" i="1"/>
  <c r="Q39" i="1"/>
  <c r="AE42" i="1"/>
  <c r="AF42" i="1" s="1"/>
  <c r="AA39" i="1"/>
  <c r="Q38" i="1"/>
  <c r="Q41" i="1"/>
  <c r="P36" i="1"/>
  <c r="Z36" i="1" l="1"/>
  <c r="AD36" i="1"/>
  <c r="AE36" i="1"/>
  <c r="Q37" i="1"/>
  <c r="Q36" i="1" s="1"/>
  <c r="AA37" i="1"/>
  <c r="AA36" i="1" l="1"/>
  <c r="AB37" i="1" s="1"/>
  <c r="AF37" i="1"/>
  <c r="AF36" i="1" s="1"/>
  <c r="R43" i="1"/>
  <c r="R44" i="1"/>
  <c r="R38" i="1"/>
  <c r="R39" i="1"/>
  <c r="R42" i="1"/>
  <c r="R40" i="1"/>
  <c r="R41" i="1"/>
  <c r="R37" i="1"/>
  <c r="AB43" i="1" l="1"/>
  <c r="AB42" i="1"/>
  <c r="AB40" i="1"/>
  <c r="AB41" i="1"/>
  <c r="AB39" i="1"/>
  <c r="AB38" i="1"/>
  <c r="AB44" i="1"/>
  <c r="R36" i="1"/>
  <c r="AB36" i="1" l="1"/>
  <c r="T4" i="19"/>
  <c r="AC4" i="19"/>
  <c r="AO4" i="19"/>
  <c r="AF5" i="19"/>
  <c r="AR5" i="19"/>
  <c r="W6" i="19"/>
  <c r="AI6" i="19"/>
  <c r="AU6" i="19"/>
  <c r="AE4" i="19"/>
  <c r="AQ4" i="19"/>
  <c r="V5" i="19"/>
  <c r="AH5" i="19"/>
  <c r="AT5" i="19"/>
  <c r="Y6" i="19"/>
  <c r="AK6" i="19"/>
  <c r="AW6" i="19"/>
  <c r="AF4" i="19"/>
  <c r="AR4" i="19"/>
  <c r="W5" i="19"/>
  <c r="AI5" i="19"/>
  <c r="AU5" i="19"/>
  <c r="Z6" i="19"/>
  <c r="AL6" i="19"/>
  <c r="U4" i="19"/>
  <c r="AG4" i="19"/>
  <c r="AS4" i="19"/>
  <c r="X5" i="19"/>
  <c r="AJ5" i="19"/>
  <c r="AV5" i="19"/>
  <c r="AA6" i="19"/>
  <c r="AM6" i="19"/>
  <c r="V4" i="19"/>
  <c r="AH4" i="19"/>
  <c r="AT4" i="19"/>
  <c r="Y5" i="19"/>
  <c r="AK5" i="19"/>
  <c r="AW5" i="19"/>
  <c r="AB6" i="19"/>
  <c r="AN6" i="19"/>
  <c r="W4" i="19"/>
  <c r="AI4" i="19"/>
  <c r="AU4" i="19"/>
  <c r="Z5" i="19"/>
  <c r="AL5" i="19"/>
  <c r="AC6" i="19"/>
  <c r="AO6" i="19"/>
  <c r="AD4" i="19"/>
  <c r="AP4" i="19"/>
  <c r="U5" i="19"/>
  <c r="AG5" i="19"/>
  <c r="AS5" i="19"/>
  <c r="X6" i="19"/>
  <c r="AJ6" i="19"/>
  <c r="AV6" i="19"/>
  <c r="X4" i="19"/>
  <c r="AJ4" i="19"/>
  <c r="AV4" i="19"/>
  <c r="AA5" i="19"/>
  <c r="AM5" i="19"/>
  <c r="AD6" i="19"/>
  <c r="AP6" i="19"/>
  <c r="Y4" i="19"/>
  <c r="AK4" i="19"/>
  <c r="AW4" i="19"/>
  <c r="AB5" i="19"/>
  <c r="AN5" i="19"/>
  <c r="AE6" i="19"/>
  <c r="AQ6" i="19"/>
  <c r="Z4" i="19"/>
  <c r="AL4" i="19"/>
  <c r="AC5" i="19"/>
  <c r="AO5" i="19"/>
  <c r="AF6" i="19"/>
  <c r="AR6" i="19"/>
  <c r="AA4" i="19"/>
  <c r="AM4" i="19"/>
  <c r="AD5" i="19"/>
  <c r="AP5" i="19"/>
  <c r="U6" i="19"/>
  <c r="AG6" i="19"/>
  <c r="AS6" i="19"/>
  <c r="AB4" i="19"/>
  <c r="AN4" i="19"/>
  <c r="AE5" i="19"/>
  <c r="AQ5" i="19"/>
  <c r="V6" i="19"/>
  <c r="AH6" i="19"/>
  <c r="AT6" i="19"/>
  <c r="N6" i="19" l="1"/>
  <c r="N5" i="19"/>
  <c r="N4" i="19"/>
  <c r="F164" i="1" s="1"/>
  <c r="F165" i="1"/>
  <c r="F166" i="1"/>
  <c r="P4" i="19" l="1"/>
  <c r="O4" i="19"/>
  <c r="P5" i="19"/>
  <c r="O5" i="19"/>
  <c r="P6" i="19"/>
  <c r="O6" i="19"/>
  <c r="G166" i="1"/>
  <c r="H166" i="1" s="1"/>
  <c r="G164" i="1"/>
  <c r="H164" i="1" s="1"/>
  <c r="G165" i="1"/>
  <c r="H165" i="1" s="1"/>
  <c r="I166" i="1" l="1"/>
  <c r="I164" i="1"/>
  <c r="I165" i="1"/>
  <c r="F163" i="1" l="1"/>
  <c r="I163" i="1"/>
  <c r="G163" i="1"/>
  <c r="H163" i="1" s="1"/>
  <c r="I55" i="1"/>
  <c r="U137" i="1" l="1"/>
  <c r="W137" i="1" l="1"/>
  <c r="X137" i="1" l="1"/>
  <c r="Q107" i="1"/>
  <c r="Q108" i="1"/>
  <c r="I108" i="1" l="1"/>
  <c r="I106" i="1" l="1"/>
  <c r="I107" i="1"/>
  <c r="N19" i="6" l="1"/>
  <c r="H19" i="6" s="1"/>
  <c r="N116" i="1" s="1"/>
  <c r="N2" i="6"/>
  <c r="N8" i="6" s="1"/>
  <c r="O8" i="6" s="1"/>
  <c r="O19" i="6" s="1"/>
  <c r="N1" i="6" l="1"/>
  <c r="O1" i="6"/>
  <c r="A41" i="6"/>
  <c r="B8" i="6"/>
  <c r="B9" i="6" s="1"/>
  <c r="O17" i="6"/>
  <c r="K17" i="6" l="1"/>
  <c r="K16" i="6"/>
  <c r="A40" i="6" l="1"/>
  <c r="O3" i="6"/>
  <c r="Q112" i="1" l="1"/>
  <c r="I112" i="1" l="1"/>
  <c r="AG105" i="1" l="1"/>
  <c r="AG102" i="1"/>
  <c r="AD94" i="1" s="1"/>
  <c r="AG94" i="1" l="1"/>
  <c r="AE94" i="1"/>
  <c r="I105" i="1"/>
  <c r="AF94" i="1" l="1"/>
  <c r="D53" i="1" l="1"/>
  <c r="I53" i="1" l="1"/>
  <c r="F52" i="1" s="1"/>
  <c r="I52" i="1" s="1"/>
  <c r="G52" i="1"/>
  <c r="H52" i="1" l="1"/>
  <c r="E95" i="2"/>
  <c r="M95" i="2" l="1"/>
  <c r="L95" i="2" s="1"/>
  <c r="I95" i="2"/>
  <c r="H95" i="2" s="1"/>
  <c r="E91" i="1"/>
  <c r="G91" i="1" s="1"/>
  <c r="H91" i="1" s="1"/>
  <c r="I91" i="1" s="1"/>
  <c r="Q95" i="2"/>
  <c r="U95" i="2"/>
  <c r="T95" i="2" s="1"/>
  <c r="M91" i="1"/>
  <c r="O91" i="1" s="1"/>
  <c r="AK91" i="1"/>
  <c r="F90" i="1" l="1"/>
  <c r="G90" i="1" s="1"/>
  <c r="AJ91" i="1"/>
  <c r="U94" i="2"/>
  <c r="AK90" i="1" s="1"/>
  <c r="P95" i="2"/>
  <c r="AC91" i="1"/>
  <c r="D15" i="6"/>
  <c r="M1" i="6" s="1"/>
  <c r="L91" i="1"/>
  <c r="I94" i="2"/>
  <c r="M90" i="1" s="1"/>
  <c r="T91" i="1"/>
  <c r="M94" i="2"/>
  <c r="U90" i="1" s="1"/>
  <c r="U91" i="1"/>
  <c r="P91" i="1"/>
  <c r="D15" i="28"/>
  <c r="AM91" i="1"/>
  <c r="Q1" i="6"/>
  <c r="EC1" i="6"/>
  <c r="AC1" i="6"/>
  <c r="H90" i="1" l="1"/>
  <c r="DU1" i="6"/>
  <c r="BQ1" i="6"/>
  <c r="CS1" i="6"/>
  <c r="K15" i="6"/>
  <c r="DY1" i="6"/>
  <c r="BE1" i="6"/>
  <c r="BM1" i="6"/>
  <c r="AO1" i="6"/>
  <c r="DE1" i="6"/>
  <c r="BA1" i="6"/>
  <c r="BI1" i="6"/>
  <c r="CW1" i="6"/>
  <c r="AW1" i="6"/>
  <c r="DA1" i="6"/>
  <c r="DQ1" i="6"/>
  <c r="AS1" i="6"/>
  <c r="CK1" i="6"/>
  <c r="CG1" i="6"/>
  <c r="W91" i="1"/>
  <c r="D15" i="24"/>
  <c r="DM1" i="6"/>
  <c r="AG1" i="6"/>
  <c r="CO1" i="6"/>
  <c r="CC1" i="6"/>
  <c r="D15" i="26"/>
  <c r="AE91" i="1"/>
  <c r="BU1" i="6"/>
  <c r="AB91" i="1"/>
  <c r="Q94" i="2"/>
  <c r="AC90" i="1" s="1"/>
  <c r="D14" i="24"/>
  <c r="D14" i="6"/>
  <c r="D14" i="28"/>
  <c r="D14" i="26"/>
  <c r="AK1" i="6"/>
  <c r="U1" i="6"/>
  <c r="F15" i="6"/>
  <c r="G15" i="6" s="1"/>
  <c r="Y1" i="6"/>
  <c r="BY1" i="6"/>
  <c r="DI1" i="6"/>
  <c r="AN91" i="1"/>
  <c r="BA1" i="28"/>
  <c r="Y1" i="28"/>
  <c r="EC1" i="28"/>
  <c r="BE1" i="28"/>
  <c r="AC1" i="28"/>
  <c r="Q1" i="28"/>
  <c r="CW1" i="28"/>
  <c r="U1" i="28"/>
  <c r="K15" i="28"/>
  <c r="CS1" i="28"/>
  <c r="AK1" i="28"/>
  <c r="DQ1" i="28"/>
  <c r="DU1" i="28"/>
  <c r="CO1" i="28"/>
  <c r="BY1" i="28"/>
  <c r="BM1" i="28"/>
  <c r="BU1" i="28"/>
  <c r="AS1" i="28"/>
  <c r="AG1" i="28"/>
  <c r="M1" i="28"/>
  <c r="F15" i="28"/>
  <c r="G15" i="28" s="1"/>
  <c r="DI1" i="28"/>
  <c r="BI1" i="28"/>
  <c r="CK1" i="28"/>
  <c r="CG1" i="28"/>
  <c r="DM1" i="28"/>
  <c r="AW1" i="28"/>
  <c r="DY1" i="28"/>
  <c r="DA1" i="28"/>
  <c r="CC1" i="28"/>
  <c r="BQ1" i="28"/>
  <c r="DE1" i="28"/>
  <c r="AO1" i="28"/>
  <c r="Q91" i="1"/>
  <c r="N90" i="1" s="1"/>
  <c r="O90" i="1" l="1"/>
  <c r="P90" i="1" s="1"/>
  <c r="AF91" i="1"/>
  <c r="AS1" i="26"/>
  <c r="DA1" i="26"/>
  <c r="DU1" i="26"/>
  <c r="Q1" i="26"/>
  <c r="BA1" i="26"/>
  <c r="K15" i="26"/>
  <c r="CO1" i="26"/>
  <c r="DQ1" i="26"/>
  <c r="CC1" i="26"/>
  <c r="BY1" i="26"/>
  <c r="CK1" i="26"/>
  <c r="AO1" i="26"/>
  <c r="CW1" i="26"/>
  <c r="DY1" i="26"/>
  <c r="U1" i="26"/>
  <c r="BQ1" i="26"/>
  <c r="AG1" i="26"/>
  <c r="AK1" i="26"/>
  <c r="BM1" i="26"/>
  <c r="DI1" i="26"/>
  <c r="EC1" i="26"/>
  <c r="M1" i="26"/>
  <c r="Y1" i="26"/>
  <c r="AC1" i="26"/>
  <c r="DE1" i="26"/>
  <c r="BI1" i="26"/>
  <c r="BU1" i="26"/>
  <c r="DM1" i="26"/>
  <c r="CG1" i="26"/>
  <c r="AW1" i="26"/>
  <c r="BE1" i="26"/>
  <c r="F15" i="26"/>
  <c r="G15" i="26" s="1"/>
  <c r="CS1" i="26"/>
  <c r="AS1" i="24"/>
  <c r="Q1" i="24"/>
  <c r="EC1" i="24"/>
  <c r="DU1" i="24"/>
  <c r="BI1" i="24"/>
  <c r="AC1" i="24"/>
  <c r="K15" i="24"/>
  <c r="BY1" i="24"/>
  <c r="AO1" i="24"/>
  <c r="AW1" i="24"/>
  <c r="AK1" i="24"/>
  <c r="M1" i="24"/>
  <c r="BM1" i="24"/>
  <c r="F15" i="24"/>
  <c r="G15" i="24" s="1"/>
  <c r="CS1" i="24"/>
  <c r="BA1" i="24"/>
  <c r="DQ1" i="24"/>
  <c r="CC1" i="24"/>
  <c r="CG1" i="24"/>
  <c r="BQ1" i="24"/>
  <c r="DM1" i="24"/>
  <c r="U1" i="24"/>
  <c r="DI1" i="24"/>
  <c r="CK1" i="24"/>
  <c r="CO1" i="24"/>
  <c r="Y1" i="24"/>
  <c r="BE1" i="24"/>
  <c r="BU1" i="24"/>
  <c r="DE1" i="24"/>
  <c r="CW1" i="24"/>
  <c r="DA1" i="24"/>
  <c r="AG1" i="24"/>
  <c r="DY1" i="24"/>
  <c r="X91" i="1"/>
  <c r="AO91" i="1"/>
  <c r="AL90" i="1" s="1"/>
  <c r="Q90" i="1" l="1"/>
  <c r="AO90" i="1"/>
  <c r="AM90" i="1"/>
  <c r="Y91" i="1"/>
  <c r="V90" i="1" s="1"/>
  <c r="AG91" i="1"/>
  <c r="I90" i="1"/>
  <c r="AN90" i="1" l="1"/>
  <c r="AD90" i="1"/>
  <c r="AE90" i="1" s="1"/>
  <c r="W90" i="1"/>
  <c r="F41" i="26"/>
  <c r="G41" i="26" s="1"/>
  <c r="L110" i="1"/>
  <c r="Q110" i="1" s="1"/>
  <c r="X90" i="1" l="1"/>
  <c r="AF90" i="1"/>
  <c r="Y90" i="1"/>
  <c r="AG90" i="1"/>
  <c r="F41" i="24"/>
  <c r="G41" i="24" s="1"/>
  <c r="F41" i="6"/>
  <c r="G41" i="6" s="1"/>
  <c r="M113" i="1" l="1"/>
  <c r="H117" i="2"/>
  <c r="H113" i="2" s="1"/>
  <c r="I98" i="2" s="1"/>
  <c r="M94" i="1" l="1"/>
  <c r="D18" i="6" s="1"/>
  <c r="F44" i="26"/>
  <c r="G44" i="26" s="1"/>
  <c r="O113" i="1"/>
  <c r="P113" i="1" s="1"/>
  <c r="P109" i="1" s="1"/>
  <c r="T113" i="1"/>
  <c r="F40" i="26"/>
  <c r="G40" i="26" s="1"/>
  <c r="L109" i="1"/>
  <c r="K44" i="26"/>
  <c r="T109" i="1"/>
  <c r="D44" i="6"/>
  <c r="F44" i="6" s="1"/>
  <c r="G44" i="6" s="1"/>
  <c r="F44" i="28"/>
  <c r="G44" i="28" s="1"/>
  <c r="L113" i="1"/>
  <c r="F44" i="24"/>
  <c r="G44" i="24" s="1"/>
  <c r="Y109" i="1" l="1"/>
  <c r="V94" i="1" s="1"/>
  <c r="Y113" i="1"/>
  <c r="Q109" i="1"/>
  <c r="N94" i="1" s="1"/>
  <c r="D18" i="24"/>
  <c r="D18" i="26"/>
  <c r="D18" i="28"/>
  <c r="K40" i="6"/>
  <c r="K44" i="24"/>
  <c r="K40" i="24"/>
  <c r="K44" i="28"/>
  <c r="K40" i="28"/>
  <c r="K44" i="6"/>
  <c r="K40" i="26"/>
  <c r="O94" i="1" l="1"/>
  <c r="P94" i="1" s="1"/>
  <c r="Q94" i="1"/>
  <c r="Q113" i="1"/>
  <c r="W94" i="1" l="1"/>
  <c r="Y94" i="1"/>
  <c r="L131" i="1"/>
  <c r="Q131" i="1" s="1"/>
  <c r="N125" i="1" s="1"/>
  <c r="O125" i="1" s="1"/>
  <c r="P125" i="1" s="1"/>
  <c r="Q125" i="1" l="1"/>
  <c r="X94" i="1"/>
  <c r="L146" i="1"/>
  <c r="Q146" i="1" s="1"/>
  <c r="M137" i="1"/>
  <c r="G67" i="1" l="1"/>
  <c r="H67" i="1" s="1"/>
  <c r="G138" i="1" l="1"/>
  <c r="O138" i="1"/>
  <c r="P138" i="1" s="1"/>
  <c r="H138" i="1" l="1"/>
  <c r="I138" i="1" l="1"/>
  <c r="F137" i="1" s="1"/>
  <c r="Q138" i="1"/>
  <c r="N137" i="1" l="1"/>
  <c r="G137" i="1"/>
  <c r="I137" i="1"/>
  <c r="H137" i="1" l="1"/>
  <c r="O137" i="1"/>
  <c r="Q137" i="1"/>
  <c r="P137" i="1" l="1"/>
</calcChain>
</file>

<file path=xl/sharedStrings.xml><?xml version="1.0" encoding="utf-8"?>
<sst xmlns="http://schemas.openxmlformats.org/spreadsheetml/2006/main" count="2669" uniqueCount="234">
  <si>
    <t xml:space="preserve">Mr/Ms: </t>
  </si>
  <si>
    <t>I</t>
  </si>
  <si>
    <t>FACEBOOK</t>
  </si>
  <si>
    <t>LANDING PAGE</t>
  </si>
  <si>
    <t>WEBSITE</t>
  </si>
  <si>
    <t>TIKTOKSHOP</t>
  </si>
  <si>
    <t>SHOPPEE</t>
  </si>
  <si>
    <t>BRANDING</t>
  </si>
  <si>
    <t>BOOKING</t>
  </si>
  <si>
    <t>II</t>
  </si>
  <si>
    <t>SALE</t>
  </si>
  <si>
    <t>DIGITAL</t>
  </si>
  <si>
    <t>ARPU</t>
  </si>
  <si>
    <t>COMBO</t>
  </si>
  <si>
    <t>III</t>
  </si>
  <si>
    <t>P1</t>
  </si>
  <si>
    <t>&lt;50%</t>
  </si>
  <si>
    <t>50 - 70%</t>
  </si>
  <si>
    <t>&gt;= 80%</t>
  </si>
  <si>
    <t>&gt;= 90%</t>
  </si>
  <si>
    <t>P2</t>
  </si>
  <si>
    <t>P3</t>
  </si>
  <si>
    <t>DATA</t>
  </si>
  <si>
    <t>ADS</t>
  </si>
  <si>
    <t>Q&amp;A</t>
  </si>
  <si>
    <t>CLIP</t>
  </si>
  <si>
    <t>SOURCE</t>
  </si>
  <si>
    <t>TỔNG A/S</t>
  </si>
  <si>
    <t>TỔNG CVR</t>
  </si>
  <si>
    <t>CVR</t>
  </si>
  <si>
    <t>Rr</t>
  </si>
  <si>
    <t>NOTE</t>
  </si>
  <si>
    <t>VOICE</t>
  </si>
  <si>
    <t>MARKETING MONTHLY SALES REVENUE</t>
  </si>
  <si>
    <t>Due Date</t>
  </si>
  <si>
    <t>Start Date</t>
  </si>
  <si>
    <t>Person Responsible</t>
  </si>
  <si>
    <t>Sales Revenue (VND)</t>
  </si>
  <si>
    <t>Person in charge</t>
  </si>
  <si>
    <t>Position</t>
  </si>
  <si>
    <t>Estimated</t>
  </si>
  <si>
    <t>Remaining</t>
  </si>
  <si>
    <t>Actual</t>
  </si>
  <si>
    <t>Ratio</t>
  </si>
  <si>
    <t>Person #1</t>
  </si>
  <si>
    <t>Person #4</t>
  </si>
  <si>
    <t>Person #3</t>
  </si>
  <si>
    <t>Person #2</t>
  </si>
  <si>
    <t>Senior Manager</t>
  </si>
  <si>
    <t>Junior Executive</t>
  </si>
  <si>
    <t>Digital Marketer</t>
  </si>
  <si>
    <t>E-Com Operations</t>
  </si>
  <si>
    <t>Designer</t>
  </si>
  <si>
    <t>Quantity</t>
  </si>
  <si>
    <t>Media Editor</t>
  </si>
  <si>
    <t>Graphic Designer</t>
  </si>
  <si>
    <t>Expense Budget</t>
  </si>
  <si>
    <t>Sales Revenue</t>
  </si>
  <si>
    <t>Expense Budget (VND)</t>
  </si>
  <si>
    <t>Key Platform</t>
  </si>
  <si>
    <t>ZALO</t>
  </si>
  <si>
    <t>Sales Estimated</t>
  </si>
  <si>
    <t>New Customers
Data Lead</t>
  </si>
  <si>
    <t>Existing Customers</t>
  </si>
  <si>
    <t>PRODUCT</t>
  </si>
  <si>
    <t>BUNDLE COMBO</t>
  </si>
  <si>
    <t>Retail Price</t>
  </si>
  <si>
    <t>Sales Volume</t>
  </si>
  <si>
    <t>Daily Unit Sales</t>
  </si>
  <si>
    <t>Combo Price</t>
  </si>
  <si>
    <t>Products</t>
  </si>
  <si>
    <t>Daily Sales Estimated</t>
  </si>
  <si>
    <t>Estimated
Conversiton Rate</t>
  </si>
  <si>
    <t>In charge</t>
  </si>
  <si>
    <t>KPIs</t>
  </si>
  <si>
    <t>Metric</t>
  </si>
  <si>
    <t>CAMPAIGN</t>
  </si>
  <si>
    <t>Daily
Sales Actual</t>
  </si>
  <si>
    <t>SALES REVENUE</t>
  </si>
  <si>
    <t>VND</t>
  </si>
  <si>
    <t>A/S RATIO</t>
  </si>
  <si>
    <t>TOTAL</t>
  </si>
  <si>
    <t>CALL</t>
  </si>
  <si>
    <t>SMS</t>
  </si>
  <si>
    <t>CONVERSION RATE</t>
  </si>
  <si>
    <t>NON-FULFILLMENT RATE</t>
  </si>
  <si>
    <t>Sale</t>
  </si>
  <si>
    <t>REPEAT PURCHASE RATE</t>
  </si>
  <si>
    <t>Content</t>
  </si>
  <si>
    <t>POST</t>
  </si>
  <si>
    <t>SCRIPT</t>
  </si>
  <si>
    <t>SEO</t>
  </si>
  <si>
    <t>E-Com Operation</t>
  </si>
  <si>
    <t>Digital Team</t>
  </si>
  <si>
    <t>Graphic
Designer</t>
  </si>
  <si>
    <t>Media
Editor</t>
  </si>
  <si>
    <t>Editor</t>
  </si>
  <si>
    <t>AI Excecutive</t>
  </si>
  <si>
    <t>Fresher AI
Officer</t>
  </si>
  <si>
    <t>Fresher AI Officer</t>
  </si>
  <si>
    <t>Trainee</t>
  </si>
  <si>
    <t>VISUAL</t>
  </si>
  <si>
    <t>DESCRIPTION</t>
  </si>
  <si>
    <t>STATUS</t>
  </si>
  <si>
    <t>DUE DATE</t>
  </si>
  <si>
    <t>FILE</t>
  </si>
  <si>
    <t>CHECK</t>
  </si>
  <si>
    <t>ESTIMATED</t>
  </si>
  <si>
    <t>REMAINING</t>
  </si>
  <si>
    <t>RATIO</t>
  </si>
  <si>
    <t>TASKS COMPLETED</t>
  </si>
  <si>
    <t>CHANNEL</t>
  </si>
  <si>
    <t>REQUEST</t>
  </si>
  <si>
    <t>MONTH</t>
  </si>
  <si>
    <t>YEAR</t>
  </si>
  <si>
    <t>KPIs TRACKING</t>
  </si>
  <si>
    <t>TOPIC/  CAMPAIGN</t>
  </si>
  <si>
    <t>TOPIC/ CAMPAIGN</t>
  </si>
  <si>
    <t>Not Started</t>
  </si>
  <si>
    <t>Planned</t>
  </si>
  <si>
    <t>In Progress</t>
  </si>
  <si>
    <t>Pending</t>
  </si>
  <si>
    <t>Under Review</t>
  </si>
  <si>
    <t>Failed</t>
  </si>
  <si>
    <t>Completed</t>
  </si>
  <si>
    <t>Boss</t>
  </si>
  <si>
    <t>Manager</t>
  </si>
  <si>
    <t>Colleague</t>
  </si>
  <si>
    <t>Digital
Marketer</t>
  </si>
  <si>
    <t>CLOUD</t>
  </si>
  <si>
    <t>BUDGET</t>
  </si>
  <si>
    <t xml:space="preserve">SALES </t>
  </si>
  <si>
    <t>HBPHARMA</t>
  </si>
  <si>
    <t>HOTLINE</t>
  </si>
  <si>
    <t>VISION</t>
  </si>
  <si>
    <t>BLACKHAIR</t>
  </si>
  <si>
    <t>GLUTAWHITE</t>
  </si>
  <si>
    <t>GLUTATHION</t>
  </si>
  <si>
    <t>CORDY</t>
  </si>
  <si>
    <t>Actual Sales</t>
  </si>
  <si>
    <t>Actual Budget</t>
  </si>
  <si>
    <t>ACTUAL</t>
  </si>
  <si>
    <t>Expense Ratio</t>
  </si>
  <si>
    <t>Remaining Ratio</t>
  </si>
  <si>
    <t>% P2+P3</t>
  </si>
  <si>
    <t>Actual
Customers Data</t>
  </si>
  <si>
    <t>Actual Ratio</t>
  </si>
  <si>
    <t>Expense</t>
  </si>
  <si>
    <t xml:space="preserve">Actual </t>
  </si>
  <si>
    <t>MARKETING MONTHLY SALES REVENUE DASHBOARD</t>
  </si>
  <si>
    <t xml:space="preserve">Expense Sales </t>
  </si>
  <si>
    <t>Total Sales</t>
  </si>
  <si>
    <t>Total Actual Sales</t>
  </si>
  <si>
    <t>Data Lead</t>
  </si>
  <si>
    <t>Sale #1</t>
  </si>
  <si>
    <t>Sale #2</t>
  </si>
  <si>
    <t>Sale #3</t>
  </si>
  <si>
    <t>Sale #4</t>
  </si>
  <si>
    <t>Content #1</t>
  </si>
  <si>
    <t>Content #2</t>
  </si>
  <si>
    <t>Daily
Conversiton Rate</t>
  </si>
  <si>
    <t>Daily Data</t>
  </si>
  <si>
    <t>Estimated Conversiton Rate</t>
  </si>
  <si>
    <t>đ/ Order/ Customer</t>
  </si>
  <si>
    <t>Actual Quantity</t>
  </si>
  <si>
    <t>Push Sale</t>
  </si>
  <si>
    <t>Daily Quantity</t>
  </si>
  <si>
    <t>Actual Daily Quantity</t>
  </si>
  <si>
    <t>Sales KPI</t>
  </si>
  <si>
    <t>Direct Marketing Platform</t>
  </si>
  <si>
    <t>3P Compensation</t>
  </si>
  <si>
    <t>P3: Performance</t>
  </si>
  <si>
    <t>P2: Person</t>
  </si>
  <si>
    <t>P1: Postion</t>
  </si>
  <si>
    <t>Weight Rate</t>
  </si>
  <si>
    <t>Phone</t>
  </si>
  <si>
    <t>Message</t>
  </si>
  <si>
    <t>Dialogue</t>
  </si>
  <si>
    <t>Team</t>
  </si>
  <si>
    <t>SALE + DIGITAL</t>
  </si>
  <si>
    <t>TIKTOK SHOP</t>
  </si>
  <si>
    <t>SHOPEE</t>
  </si>
  <si>
    <t>Ratio/ Team</t>
  </si>
  <si>
    <t>PHONE</t>
  </si>
  <si>
    <t>MESSAGE</t>
  </si>
  <si>
    <t>DIALOGUE</t>
  </si>
  <si>
    <t>DESIGNS</t>
  </si>
  <si>
    <t>VIDEO</t>
  </si>
  <si>
    <t>POST/ VIDEO</t>
  </si>
  <si>
    <t>CHANNELS</t>
  </si>
  <si>
    <t xml:space="preserve">KPIs TRACKING	</t>
  </si>
  <si>
    <t>SATURDAY</t>
  </si>
  <si>
    <t>FULL DAY</t>
  </si>
  <si>
    <t>HALF-DAY</t>
  </si>
  <si>
    <t>TOTAL WORKDAY</t>
  </si>
  <si>
    <t>*FILL IN BOX B5 THE NUMBER OF HALF-DAY OFF DAYS IN THE MONTH (EXCEPT SATURDAY)</t>
  </si>
  <si>
    <t>*UNTICK SUNDAY AND FULL HOLIDAY</t>
  </si>
  <si>
    <t>DAY T-1</t>
  </si>
  <si>
    <t>MONTHLY CVR</t>
  </si>
  <si>
    <t>DAILY CVR</t>
  </si>
  <si>
    <t>AVERAGE CVR</t>
  </si>
  <si>
    <t>SALES</t>
  </si>
  <si>
    <t>DONE</t>
  </si>
  <si>
    <t>WORKDAYS</t>
  </si>
  <si>
    <t>SALES/ TEAM</t>
  </si>
  <si>
    <t>RATIO/ TEAM</t>
  </si>
  <si>
    <t>TEAM</t>
  </si>
  <si>
    <t>PRODUCTS</t>
  </si>
  <si>
    <t>UNITS</t>
  </si>
  <si>
    <t>MONTHLY CVR OF PERSON BY PLATFORM</t>
  </si>
  <si>
    <t>MONTHLY REVENUE RATIO OF PERSON BY PLATFORM</t>
  </si>
  <si>
    <t>SALES
REVENUE</t>
  </si>
  <si>
    <t>TOTAL WORKDAYS</t>
  </si>
  <si>
    <t>NEW ORDER</t>
  </si>
  <si>
    <t>1. FILL IN BC IN ALL GREEN CELLS (AS ABOVE)
2. CLOSE BC ON DAY T BEFORE 12AM ON DAY T+1
3. FILL IN Q&amp;A AT LINK
4. O40:O42 IS THE NUMBER OF COMPLETED ORDERS IN THE DAY ON THE PLATFORMS
5. DO NOT FILL IN THE CELLS THAT ALREADY HAVE THE FORMULA</t>
  </si>
  <si>
    <r>
      <t xml:space="preserve">1. REPORT IN ORDER WITH LATEST DATE ON TOP. FILL IN BC IN ALL GREEN CELLS (AS ABOVE)
2. FINAL REPORT ON THE SAME DAY BEFORE 5:30 PM
3. ALL APPROVED EXPORT FILES MUST BE SAVED IN THE COMPANY ACCOUNT IN ACCORDANCE WITH THE FOLDER AND FILE NAMING INSTRUCTIONS AS FOLLOWS:
</t>
    </r>
    <r>
      <rPr>
        <b/>
        <sz val="10"/>
        <color theme="1"/>
        <rFont val="Verdana"/>
        <family val="2"/>
      </rPr>
      <t>HB MARKETING -&gt; LOCATION + NAME -&gt; BY DEPLOYMENT CONTENT -&gt; FILE NAME: TITLE FILE</t>
    </r>
  </si>
  <si>
    <r>
      <rPr>
        <sz val="10"/>
        <color theme="1"/>
        <rFont val="Verdana"/>
        <family val="2"/>
      </rPr>
      <t xml:space="preserve">1. REPORT IN ORDER WITH LATEST DATE ON TOP. FILL IN BC IN ALL GREEN CELLS (AS ABOVE)
2. FINAL REPORT ON THE SAME DAY BEFORE 5:30 PM
3. ALL APPROVED EXPORT FILES MUST BE SAVED IN THE COMPANY ACCOUNT IN ACCORDANCE WITH THE FOLDER AND FILE NAMING INSTRUCTIONS AS FOLLOWS:
</t>
    </r>
    <r>
      <rPr>
        <b/>
        <sz val="10"/>
        <color theme="1"/>
        <rFont val="Verdana"/>
        <family val="2"/>
      </rPr>
      <t>HB MARKETING -&gt; LOCATION + NAME -&gt; BY DEPLOYMENT CONTENT -&gt; BY PRODUCT -&gt; BY CHANNEL -&gt; FILE NAME: TITLE FILE</t>
    </r>
  </si>
  <si>
    <r>
      <rPr>
        <sz val="10"/>
        <color theme="1"/>
        <rFont val="Verdana"/>
        <family val="2"/>
      </rPr>
      <t>1. REPORT IN ORDER WITH LATEST DATE ON TOP. FILL IN BC IN ALL GREEN CELLS (AS ABOVE)
2. FINAL REPORT ON THE SAME DAY BEFORE 5:30 PM
3. ALL APPROVED EXPORT FILES MUST BE SAVED IN THE COMPANY ACCOUNT IN ACCORDANCE WITH THE FOLDER AND FILE NAMING INSTRUCTIONS AS FOLLOWS:</t>
    </r>
    <r>
      <rPr>
        <b/>
        <sz val="10"/>
        <color rgb="FFFF0000"/>
        <rFont val="Verdana"/>
        <family val="2"/>
      </rPr>
      <t xml:space="preserve">
</t>
    </r>
    <r>
      <rPr>
        <b/>
        <sz val="10"/>
        <color theme="1"/>
        <rFont val="Verdana"/>
        <family val="2"/>
      </rPr>
      <t>HB MARKETING -&gt; LOCATION + NAME -&gt; BY DEPLOYMENT CONTENT -&gt; BY PRODUCT -&gt; BY CHANNEL -&gt; FILE NAME: TITLE FILE</t>
    </r>
  </si>
  <si>
    <r>
      <t xml:space="preserve">1. REPORT IN ORDER WITH LATEST DATE ON TOP. FILL IN BC IN ALL GREEN CELLS (AS ABOVE)
2. FINAL REPORT ON THE SAME DAY BEFORE 5:30 PM
3. ALL APPROVED EXPORT FILES MUST BE SAVED IN THE COMPANY ACCOUNT IN ACCORDANCE WITH THE FOLDER AND FILE NAMING INSTRUCTIONS AS FOLLOWS:
</t>
    </r>
    <r>
      <rPr>
        <b/>
        <sz val="10"/>
        <color theme="1"/>
        <rFont val="Verdana"/>
        <family val="2"/>
      </rPr>
      <t>HB MARKETING -&gt; LOCATION + NAME -&gt; BY-PRODUCT | GENERAL | OTHER -&gt; BY DIMENSIONS (HORIZON | VERTICAL | SQUARE) -&gt; BY DATE (MM/YYYY) -&gt; BY TOPIC -&gt; FILE NAME: TITLE FILE</t>
    </r>
  </si>
  <si>
    <r>
      <t xml:space="preserve">1. REPORT IN ORDER WITH LATEST DATE ON TOP. FILL IN BC IN ALL GREEN CELLS (AS ABOVE)
2. FINAL REPORT ON THE SAME DAY BEFORE 5:30 PM
3. ALL APPROVED EXPORT FILES MUST BE SAVED IN THE COMPANY ACCOUNT IN ACCORDANCE WITH THE FOLDER AND FILE NAMING INSTRUCTIONS AS FOLLOWS:
</t>
    </r>
    <r>
      <rPr>
        <b/>
        <sz val="10"/>
        <color theme="1"/>
        <rFont val="Verdana"/>
        <family val="2"/>
      </rPr>
      <t>HB MARKETING -&gt; LOCATION + NAME -&gt; BY-PRODUCT | GENERAL | OTHER -&gt; BY DIMENSIONS (HORIZON | VERTICAL | SQUARE) -&gt; BY SUBJECT | CHARACTER -&gt; LOCATION -&gt; FILE NAME: TITLE FILE</t>
    </r>
  </si>
  <si>
    <t>1. REPORT IN ORDER WITH LATEST DATE ON TOP. FILL IN BC IN ALL GREEN CELLS (AS ABOVE)
2. FINAL REPORT ON THE SAME DAY BEFORE 5:30 PM
3. ALL APPROVED EXPORT FILES MUST BE SAVED IN THE COMPANY ACCOUNT IN ACCORDANCE WITH THE FOLDER AND FILE NAMING INSTRUCTIONS AS FOLLOWS:
HB MARKETING -&gt; LOCATION + NAME -&gt; BY DEPLOYMENT CONTENT -&gt; BY CHANNEL -&gt; BY TOPIC -&gt; FILE NAME: TITLE FILE</t>
  </si>
  <si>
    <t>ENGAGEMENT</t>
  </si>
  <si>
    <t>HIGHER = BAD</t>
  </si>
  <si>
    <t>HIGHER = GOOD</t>
  </si>
  <si>
    <t>LIKES, COMMENTS, SHARES</t>
  </si>
  <si>
    <t>MEDIA PLATFORMS</t>
  </si>
  <si>
    <t>BONE &amp; JOINT HEALTH</t>
  </si>
  <si>
    <t>LIVER, DIGESTION, ALLERGIES</t>
  </si>
  <si>
    <t>BRAIN &amp; EYE HEALTH</t>
  </si>
  <si>
    <t>CARDIOVASCULAR HEALTH</t>
  </si>
  <si>
    <t>SKIN, HAIR, AND WEIGHT MANAGEMENT</t>
  </si>
  <si>
    <t>HORMONAL HEALTH</t>
  </si>
  <si>
    <t>IMMUNE SUPPORT</t>
  </si>
  <si>
    <t>MATERNITY &amp; CHILDREN’S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</si>
</sst>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1" formatCode="_(* #,##0_);_(* \(#,##0\);_(* &quot;-&quot;_);_(@_)"/>
    <numFmt numFmtId="164" formatCode="dd/mm/yyyy"/>
    <numFmt numFmtId="165" formatCode="mm/dd/yy"/>
    <numFmt numFmtId="166" formatCode="#,##0\ [$đ-42A]"/>
    <numFmt numFmtId="167" formatCode="d\.m"/>
    <numFmt numFmtId="168" formatCode="d/m/yyyy"/>
    <numFmt numFmtId="169" formatCode="0.0"/>
    <numFmt numFmtId="170" formatCode="&quot;₫&quot;#,##0"/>
    <numFmt numFmtId="171" formatCode="0.0%"/>
  </numFmts>
  <fonts count="121" x14ac:knownFonts="1">
    <font>
      <sz val="10"/>
      <color rgb="FF000000"/>
      <name val="Arial"/>
      <scheme val="minor"/>
    </font>
    <font>
      <sz val="10"/>
      <color theme="1"/>
      <name val="Arial"/>
      <family val="2"/>
      <scheme val="minor"/>
    </font>
    <font>
      <b/>
      <sz val="10"/>
      <color rgb="FFFFFFFF"/>
      <name val="Arial"/>
      <family val="2"/>
    </font>
    <font>
      <b/>
      <sz val="10"/>
      <color rgb="FFFF0000"/>
      <name val="Arial"/>
      <family val="2"/>
    </font>
    <font>
      <b/>
      <sz val="10"/>
      <color rgb="FF548135"/>
      <name val="Arial"/>
      <family val="2"/>
    </font>
    <font>
      <b/>
      <sz val="10"/>
      <color rgb="FFFBBC04"/>
      <name val="Arial"/>
      <family val="2"/>
    </font>
    <font>
      <sz val="12"/>
      <color theme="1"/>
      <name val="Verdana"/>
      <family val="2"/>
    </font>
    <font>
      <sz val="10"/>
      <color theme="1"/>
      <name val="Verdana"/>
      <family val="2"/>
    </font>
    <font>
      <b/>
      <sz val="10"/>
      <color theme="1"/>
      <name val="Verdana"/>
      <family val="2"/>
    </font>
    <font>
      <sz val="11"/>
      <color theme="1"/>
      <name val="Verdana"/>
      <family val="2"/>
    </font>
    <font>
      <sz val="10"/>
      <color rgb="FF000000"/>
      <name val="Verdana"/>
      <family val="2"/>
    </font>
    <font>
      <b/>
      <sz val="22"/>
      <color rgb="FFFFFFFF"/>
      <name val="Verdana"/>
      <family val="2"/>
    </font>
    <font>
      <b/>
      <sz val="22"/>
      <color rgb="FF4285F4"/>
      <name val="Verdana"/>
      <family val="2"/>
    </font>
    <font>
      <b/>
      <i/>
      <sz val="11"/>
      <color theme="1"/>
      <name val="Verdana"/>
      <family val="2"/>
    </font>
    <font>
      <b/>
      <sz val="11"/>
      <color theme="1"/>
      <name val="Verdana"/>
      <family val="2"/>
    </font>
    <font>
      <b/>
      <sz val="12"/>
      <color theme="1"/>
      <name val="Verdana"/>
      <family val="2"/>
    </font>
    <font>
      <b/>
      <sz val="12"/>
      <color rgb="FF4285F4"/>
      <name val="Verdana"/>
      <family val="2"/>
    </font>
    <font>
      <b/>
      <sz val="12"/>
      <color rgb="FF000000"/>
      <name val="Verdana"/>
      <family val="2"/>
    </font>
    <font>
      <b/>
      <sz val="11"/>
      <color rgb="FFFF0000"/>
      <name val="Verdana"/>
      <family val="2"/>
    </font>
    <font>
      <sz val="10"/>
      <name val="Verdana"/>
      <family val="2"/>
    </font>
    <font>
      <b/>
      <sz val="12"/>
      <color rgb="FFFFFFFF"/>
      <name val="Verdana"/>
      <family val="2"/>
    </font>
    <font>
      <b/>
      <sz val="12"/>
      <color theme="2"/>
      <name val="Verdana"/>
      <family val="2"/>
    </font>
    <font>
      <b/>
      <sz val="12"/>
      <color rgb="FFEA4335"/>
      <name val="Verdana"/>
      <family val="2"/>
    </font>
    <font>
      <b/>
      <sz val="12"/>
      <color rgb="FF34A853"/>
      <name val="Verdana"/>
      <family val="2"/>
    </font>
    <font>
      <b/>
      <sz val="12"/>
      <color rgb="FFFBBC04"/>
      <name val="Verdana"/>
      <family val="2"/>
    </font>
    <font>
      <b/>
      <sz val="14"/>
      <color rgb="FFF6F8F9"/>
      <name val="Verdana"/>
      <family val="2"/>
    </font>
    <font>
      <sz val="16"/>
      <color theme="1"/>
      <name val="Verdana"/>
      <family val="2"/>
    </font>
    <font>
      <b/>
      <sz val="16"/>
      <color rgb="FF1155CC"/>
      <name val="Verdana"/>
      <family val="2"/>
    </font>
    <font>
      <sz val="14"/>
      <color theme="1"/>
      <name val="Verdana"/>
      <family val="2"/>
    </font>
    <font>
      <b/>
      <sz val="14"/>
      <color rgb="FF980000"/>
      <name val="Verdana"/>
      <family val="2"/>
    </font>
    <font>
      <b/>
      <sz val="14"/>
      <color theme="7"/>
      <name val="Verdana"/>
      <family val="2"/>
    </font>
    <font>
      <b/>
      <sz val="14"/>
      <color rgb="FFFFFFFF"/>
      <name val="Verdana"/>
      <family val="2"/>
    </font>
    <font>
      <b/>
      <sz val="16"/>
      <color rgb="FFBF9000"/>
      <name val="Verdana"/>
      <family val="2"/>
    </font>
    <font>
      <b/>
      <sz val="14"/>
      <color rgb="FFCC0000"/>
      <name val="Verdana"/>
      <family val="2"/>
    </font>
    <font>
      <b/>
      <sz val="16"/>
      <color rgb="FFCC0000"/>
      <name val="Verdana"/>
      <family val="2"/>
    </font>
    <font>
      <b/>
      <sz val="14"/>
      <color rgb="FF595959"/>
      <name val="Verdana"/>
      <family val="2"/>
    </font>
    <font>
      <b/>
      <sz val="12"/>
      <color rgb="FF45818E"/>
      <name val="Verdana"/>
      <family val="2"/>
    </font>
    <font>
      <b/>
      <sz val="10"/>
      <color rgb="FFFFFFFF"/>
      <name val="Verdana"/>
      <family val="2"/>
    </font>
    <font>
      <sz val="12"/>
      <color rgb="FF45818E"/>
      <name val="Verdana"/>
      <family val="2"/>
    </font>
    <font>
      <b/>
      <sz val="10"/>
      <color rgb="FF333F4F"/>
      <name val="Verdana"/>
      <family val="2"/>
    </font>
    <font>
      <b/>
      <sz val="12"/>
      <color rgb="FF595959"/>
      <name val="Verdana"/>
      <family val="2"/>
    </font>
    <font>
      <sz val="10"/>
      <color rgb="FF434343"/>
      <name val="Verdana"/>
      <family val="2"/>
    </font>
    <font>
      <b/>
      <sz val="12"/>
      <color rgb="FF333F4F"/>
      <name val="Verdana"/>
      <family val="2"/>
    </font>
    <font>
      <b/>
      <sz val="10"/>
      <color rgb="FF34A853"/>
      <name val="Verdana"/>
      <family val="2"/>
    </font>
    <font>
      <sz val="10"/>
      <color rgb="FF34A853"/>
      <name val="Verdana"/>
      <family val="2"/>
    </font>
    <font>
      <b/>
      <sz val="10"/>
      <color theme="4" tint="-0.249977111117893"/>
      <name val="Verdana"/>
      <family val="2"/>
    </font>
    <font>
      <b/>
      <sz val="12"/>
      <color theme="4" tint="-0.249977111117893"/>
      <name val="Verdana"/>
      <family val="2"/>
    </font>
    <font>
      <sz val="10"/>
      <color theme="4" tint="-0.249977111117893"/>
      <name val="Verdana"/>
      <family val="2"/>
    </font>
    <font>
      <b/>
      <sz val="12"/>
      <color theme="4" tint="-0.499984740745262"/>
      <name val="Verdana"/>
      <family val="2"/>
    </font>
    <font>
      <b/>
      <sz val="14"/>
      <color theme="0"/>
      <name val="Verdana"/>
      <family val="2"/>
    </font>
    <font>
      <b/>
      <sz val="12"/>
      <color rgb="FF1C4586"/>
      <name val="Verdana"/>
      <family val="2"/>
    </font>
    <font>
      <b/>
      <sz val="10"/>
      <color rgb="FF1C4586"/>
      <name val="Verdana"/>
      <family val="2"/>
    </font>
    <font>
      <b/>
      <sz val="10"/>
      <color rgb="FF00B050"/>
      <name val="Verdana"/>
      <family val="2"/>
    </font>
    <font>
      <b/>
      <sz val="10"/>
      <color rgb="FFFF0000"/>
      <name val="Verdana"/>
      <family val="2"/>
    </font>
    <font>
      <b/>
      <sz val="10"/>
      <color rgb="FF92D050"/>
      <name val="Verdana"/>
      <family val="2"/>
    </font>
    <font>
      <b/>
      <sz val="10"/>
      <color theme="6" tint="-0.249977111117893"/>
      <name val="Verdana"/>
      <family val="2"/>
    </font>
    <font>
      <b/>
      <sz val="10"/>
      <color theme="7"/>
      <name val="Verdana"/>
      <family val="2"/>
    </font>
    <font>
      <b/>
      <sz val="10"/>
      <color theme="8"/>
      <name val="Verdana"/>
      <family val="2"/>
    </font>
    <font>
      <b/>
      <sz val="10"/>
      <color rgb="FF7030A0"/>
      <name val="Verdana"/>
      <family val="2"/>
    </font>
    <font>
      <b/>
      <sz val="10"/>
      <color theme="0"/>
      <name val="Verdana"/>
      <family val="2"/>
    </font>
    <font>
      <b/>
      <sz val="10"/>
      <color rgb="FF000000"/>
      <name val="Verdana"/>
      <family val="2"/>
    </font>
    <font>
      <b/>
      <sz val="18"/>
      <color theme="4" tint="-0.499984740745262"/>
      <name val="Verdana"/>
      <family val="2"/>
    </font>
    <font>
      <sz val="18"/>
      <color theme="4" tint="-0.499984740745262"/>
      <name val="Verdana"/>
      <family val="2"/>
    </font>
    <font>
      <b/>
      <sz val="18"/>
      <color rgb="FF093D93"/>
      <name val="Verdana"/>
      <family val="2"/>
    </font>
    <font>
      <sz val="10"/>
      <color theme="4" tint="-0.499984740745262"/>
      <name val="Verdana"/>
      <family val="2"/>
    </font>
    <font>
      <b/>
      <sz val="10"/>
      <color rgb="FF980000"/>
      <name val="Verdana"/>
      <family val="2"/>
    </font>
    <font>
      <b/>
      <sz val="12"/>
      <color rgb="FF980000"/>
      <name val="Verdana"/>
      <family val="2"/>
    </font>
    <font>
      <b/>
      <sz val="10"/>
      <color rgb="FF548135"/>
      <name val="Verdana"/>
      <family val="2"/>
    </font>
    <font>
      <b/>
      <sz val="10"/>
      <color rgb="FFFBBC04"/>
      <name val="Verdana"/>
      <family val="2"/>
    </font>
    <font>
      <sz val="10"/>
      <color rgb="FFFF0000"/>
      <name val="Verdana"/>
      <family val="2"/>
    </font>
    <font>
      <sz val="10"/>
      <color rgb="FF548135"/>
      <name val="Verdana"/>
      <family val="2"/>
    </font>
    <font>
      <sz val="10"/>
      <color rgb="FFFBBC04"/>
      <name val="Verdana"/>
      <family val="2"/>
    </font>
    <font>
      <sz val="9"/>
      <color rgb="FF000000"/>
      <name val="Verdana"/>
      <family val="2"/>
    </font>
    <font>
      <sz val="10"/>
      <color rgb="FFEA4335"/>
      <name val="Verdana"/>
      <family val="2"/>
    </font>
    <font>
      <sz val="10"/>
      <color theme="6" tint="-0.249977111117893"/>
      <name val="Verdana"/>
      <family val="2"/>
    </font>
    <font>
      <b/>
      <sz val="10"/>
      <color theme="7" tint="-0.499984740745262"/>
      <name val="Verdana"/>
      <family val="2"/>
    </font>
    <font>
      <b/>
      <sz val="12"/>
      <color rgb="FF548135"/>
      <name val="Verdana"/>
      <family val="2"/>
    </font>
    <font>
      <b/>
      <sz val="12"/>
      <color theme="0"/>
      <name val="Verdana"/>
      <family val="2"/>
    </font>
    <font>
      <sz val="16"/>
      <color rgb="FF1155CC"/>
      <name val="Verdana"/>
      <family val="2"/>
    </font>
    <font>
      <sz val="16"/>
      <color rgb="FFCC0000"/>
      <name val="Verdana"/>
      <family val="2"/>
    </font>
    <font>
      <b/>
      <sz val="12"/>
      <color rgb="FFFF0000"/>
      <name val="Verdana"/>
      <family val="2"/>
    </font>
    <font>
      <sz val="9"/>
      <color rgb="FF11A9CC"/>
      <name val="Verdana"/>
      <family val="2"/>
    </font>
    <font>
      <b/>
      <sz val="8"/>
      <color rgb="FFFF0000"/>
      <name val="Verdana"/>
      <family val="2"/>
    </font>
    <font>
      <b/>
      <sz val="9"/>
      <color rgb="FF548135"/>
      <name val="Verdana"/>
      <family val="2"/>
    </font>
    <font>
      <sz val="9"/>
      <color theme="1"/>
      <name val="Verdana"/>
      <family val="2"/>
    </font>
    <font>
      <b/>
      <sz val="14"/>
      <color theme="1" tint="0.34998626667073579"/>
      <name val="Verdana"/>
      <family val="2"/>
    </font>
    <font>
      <b/>
      <sz val="12"/>
      <color theme="1" tint="0.34998626667073579"/>
      <name val="Verdana"/>
      <family val="2"/>
    </font>
    <font>
      <sz val="10"/>
      <color theme="1" tint="0.34998626667073579"/>
      <name val="Verdana"/>
      <family val="2"/>
    </font>
    <font>
      <sz val="12"/>
      <color theme="1" tint="0.34998626667073579"/>
      <name val="Verdana"/>
      <family val="2"/>
    </font>
    <font>
      <sz val="12"/>
      <color theme="4" tint="-0.249977111117893"/>
      <name val="Verdana"/>
      <family val="2"/>
    </font>
    <font>
      <sz val="12"/>
      <color rgb="FF000000"/>
      <name val="Verdana"/>
      <family val="2"/>
    </font>
    <font>
      <sz val="10"/>
      <color rgb="FF000000"/>
      <name val="Arial"/>
      <family val="2"/>
      <scheme val="minor"/>
    </font>
    <font>
      <b/>
      <sz val="12"/>
      <color theme="5"/>
      <name val="Verdana"/>
      <family val="2"/>
    </font>
    <font>
      <sz val="10"/>
      <color theme="5"/>
      <name val="Verdana"/>
      <family val="2"/>
    </font>
    <font>
      <b/>
      <sz val="16"/>
      <color theme="5"/>
      <name val="Verdana"/>
      <family val="2"/>
    </font>
    <font>
      <b/>
      <sz val="12"/>
      <color theme="7"/>
      <name val="Verdana"/>
      <family val="2"/>
    </font>
    <font>
      <b/>
      <sz val="14"/>
      <color theme="4" tint="-0.499984740745262"/>
      <name val="Verdana"/>
      <family val="2"/>
    </font>
    <font>
      <b/>
      <sz val="12"/>
      <color theme="7" tint="-0.249977111117893"/>
      <name val="Verdana"/>
      <family val="2"/>
    </font>
    <font>
      <sz val="12"/>
      <color theme="0"/>
      <name val="Verdana"/>
      <family val="2"/>
    </font>
    <font>
      <sz val="12"/>
      <name val="Verdana"/>
      <family val="2"/>
    </font>
    <font>
      <sz val="22"/>
      <color rgb="FF1C4586"/>
      <name val="Verdana"/>
      <family val="2"/>
    </font>
    <font>
      <sz val="22"/>
      <color theme="4" tint="-0.499984740745262"/>
      <name val="Verdana"/>
      <family val="2"/>
    </font>
    <font>
      <sz val="10"/>
      <color rgb="FF000000"/>
      <name val="Arial"/>
      <family val="2"/>
      <scheme val="minor"/>
    </font>
    <font>
      <sz val="10"/>
      <color rgb="FF00B050"/>
      <name val="Verdana"/>
      <family val="2"/>
    </font>
    <font>
      <b/>
      <sz val="10"/>
      <color rgb="FFBF9001"/>
      <name val="Verdana"/>
      <family val="2"/>
    </font>
    <font>
      <b/>
      <sz val="10"/>
      <color rgb="FF674EA7"/>
      <name val="Verdana"/>
      <family val="2"/>
    </font>
    <font>
      <b/>
      <sz val="10"/>
      <color rgb="FF33A852"/>
      <name val="Verdana"/>
      <family val="2"/>
    </font>
    <font>
      <b/>
      <sz val="10"/>
      <color theme="4" tint="-0.499984740745262"/>
      <name val="Verdana"/>
      <family val="2"/>
    </font>
    <font>
      <b/>
      <sz val="11"/>
      <color rgb="FF34A853"/>
      <name val="Verdana"/>
      <family val="2"/>
    </font>
    <font>
      <b/>
      <sz val="10"/>
      <color theme="5"/>
      <name val="Verdana"/>
      <family val="2"/>
    </font>
    <font>
      <b/>
      <sz val="10"/>
      <color rgb="FF4285F4"/>
      <name val="Verdana"/>
      <family val="2"/>
    </font>
    <font>
      <b/>
      <sz val="10"/>
      <color rgb="FF434343"/>
      <name val="Verdana"/>
      <family val="2"/>
    </font>
    <font>
      <b/>
      <sz val="10"/>
      <color rgb="FFEA4335"/>
      <name val="Verdana"/>
      <family val="2"/>
    </font>
    <font>
      <b/>
      <sz val="10"/>
      <color rgb="FF595959"/>
      <name val="Verdana"/>
      <family val="2"/>
    </font>
    <font>
      <b/>
      <sz val="10"/>
      <color rgb="FF002060"/>
      <name val="Verdana"/>
      <family val="2"/>
    </font>
    <font>
      <b/>
      <sz val="9"/>
      <color rgb="FFFFFFFF"/>
      <name val="Verdana"/>
      <family val="2"/>
    </font>
    <font>
      <sz val="10"/>
      <color theme="7"/>
      <name val="Verdana"/>
      <family val="2"/>
    </font>
    <font>
      <b/>
      <sz val="9"/>
      <color rgb="FFFF0000"/>
      <name val="Verdana"/>
      <family val="2"/>
    </font>
    <font>
      <b/>
      <sz val="9"/>
      <color rgb="FFFBBC04"/>
      <name val="Verdana"/>
      <family val="2"/>
    </font>
    <font>
      <b/>
      <sz val="10"/>
      <name val="Verdana"/>
      <family val="2"/>
    </font>
    <font>
      <b/>
      <sz val="11"/>
      <color theme="0"/>
      <name val="Verdana"/>
      <family val="2"/>
    </font>
  </fonts>
  <fills count="108">
    <fill>
      <patternFill patternType="none"/>
    </fill>
    <fill>
      <patternFill patternType="gray125"/>
    </fill>
    <fill>
      <patternFill patternType="solid">
        <fgColor rgb="FF1C4587"/>
        <bgColor rgb="FF1C4587"/>
      </patternFill>
    </fill>
    <fill>
      <patternFill patternType="solid">
        <fgColor rgb="FFF2F2F2"/>
        <bgColor rgb="FFF2F2F2"/>
      </patternFill>
    </fill>
    <fill>
      <patternFill patternType="solid">
        <fgColor theme="0"/>
        <bgColor theme="0"/>
      </patternFill>
    </fill>
    <fill>
      <patternFill patternType="solid">
        <fgColor rgb="FF6D9EEB"/>
        <bgColor rgb="FF6D9EEB"/>
      </patternFill>
    </fill>
    <fill>
      <patternFill patternType="solid">
        <fgColor rgb="FFF4CCCC"/>
        <bgColor rgb="FFF4CCCC"/>
      </patternFill>
    </fill>
    <fill>
      <patternFill patternType="solid">
        <fgColor rgb="FFD9EAD3"/>
        <bgColor rgb="FFD9EAD3"/>
      </patternFill>
    </fill>
    <fill>
      <patternFill patternType="solid">
        <fgColor rgb="FFFFF2CC"/>
        <bgColor rgb="FFFFF2CC"/>
      </patternFill>
    </fill>
    <fill>
      <patternFill patternType="solid">
        <fgColor rgb="FFF1C232"/>
        <bgColor rgb="FFF1C232"/>
      </patternFill>
    </fill>
    <fill>
      <patternFill patternType="solid">
        <fgColor rgb="FFE06666"/>
        <bgColor rgb="FFE06666"/>
      </patternFill>
    </fill>
    <fill>
      <patternFill patternType="solid">
        <fgColor rgb="FFC9DAF8"/>
        <bgColor rgb="FFC9DAF8"/>
      </patternFill>
    </fill>
    <fill>
      <patternFill patternType="solid">
        <fgColor rgb="FFFCE5CD"/>
        <bgColor rgb="FFFCE5CD"/>
      </patternFill>
    </fill>
    <fill>
      <patternFill patternType="solid">
        <fgColor rgb="FFBF9000"/>
        <bgColor rgb="FFBF9000"/>
      </patternFill>
    </fill>
    <fill>
      <patternFill patternType="solid">
        <fgColor rgb="FF999999"/>
        <bgColor rgb="FF999999"/>
      </patternFill>
    </fill>
    <fill>
      <patternFill patternType="solid">
        <fgColor rgb="FFEAD1DC"/>
        <bgColor rgb="FFEAD1DC"/>
      </patternFill>
    </fill>
    <fill>
      <patternFill patternType="solid">
        <fgColor rgb="FFD9D9D9"/>
        <bgColor rgb="FFD9D9D9"/>
      </patternFill>
    </fill>
    <fill>
      <patternFill patternType="solid">
        <fgColor rgb="FFDEEAF6"/>
        <bgColor rgb="FFDEEAF6"/>
      </patternFill>
    </fill>
    <fill>
      <patternFill patternType="solid">
        <fgColor rgb="FFEFEFEF"/>
        <bgColor rgb="FFEFEFEF"/>
      </patternFill>
    </fill>
    <fill>
      <patternFill patternType="solid">
        <fgColor rgb="FFF3F3F3"/>
        <bgColor rgb="FFF3F3F3"/>
      </patternFill>
    </fill>
    <fill>
      <patternFill patternType="solid">
        <fgColor rgb="FFFFFFFF"/>
        <bgColor rgb="FFFFFFFF"/>
      </patternFill>
    </fill>
    <fill>
      <patternFill patternType="solid">
        <fgColor rgb="FF8E7CC3"/>
        <bgColor rgb="FF8E7CC3"/>
      </patternFill>
    </fill>
    <fill>
      <patternFill patternType="solid">
        <fgColor rgb="FF674EA7"/>
        <bgColor rgb="FF674EA7"/>
      </patternFill>
    </fill>
    <fill>
      <patternFill patternType="solid">
        <fgColor rgb="FFB4A7D6"/>
        <bgColor rgb="FFB4A7D6"/>
      </patternFill>
    </fill>
    <fill>
      <patternFill patternType="solid">
        <fgColor rgb="FFD9D2E9"/>
        <bgColor rgb="FFD9D2E9"/>
      </patternFill>
    </fill>
    <fill>
      <patternFill patternType="solid">
        <fgColor rgb="FF34A853"/>
        <bgColor rgb="FF34A853"/>
      </patternFill>
    </fill>
    <fill>
      <patternFill patternType="solid">
        <fgColor rgb="FFD0E0E3"/>
        <bgColor rgb="FFD0E0E3"/>
      </patternFill>
    </fill>
    <fill>
      <patternFill patternType="solid">
        <fgColor theme="7"/>
        <bgColor theme="7"/>
      </patternFill>
    </fill>
    <fill>
      <patternFill patternType="solid">
        <fgColor rgb="FFF6F8F9"/>
        <bgColor rgb="FFF6F8F9"/>
      </patternFill>
    </fill>
    <fill>
      <patternFill patternType="solid">
        <fgColor rgb="FFB6D7A8"/>
        <bgColor rgb="FFB6D7A8"/>
      </patternFill>
    </fill>
    <fill>
      <patternFill patternType="solid">
        <fgColor rgb="FF00B0F0"/>
        <bgColor rgb="FFF4CCCC"/>
      </patternFill>
    </fill>
    <fill>
      <patternFill patternType="solid">
        <fgColor rgb="FF92D050"/>
        <bgColor rgb="FFD9EAD3"/>
      </patternFill>
    </fill>
    <fill>
      <patternFill patternType="solid">
        <fgColor theme="6"/>
        <bgColor rgb="FFFFF2CC"/>
      </patternFill>
    </fill>
    <fill>
      <patternFill patternType="solid">
        <fgColor theme="0" tint="-4.9989318521683403E-2"/>
        <bgColor rgb="FFF2F2F2"/>
      </patternFill>
    </fill>
    <fill>
      <patternFill patternType="solid">
        <fgColor theme="0" tint="-4.9989318521683403E-2"/>
        <bgColor rgb="FFEFEFEF"/>
      </patternFill>
    </fill>
    <fill>
      <patternFill patternType="solid">
        <fgColor theme="9" tint="0.59999389629810485"/>
        <bgColor rgb="FF3C78D8"/>
      </patternFill>
    </fill>
    <fill>
      <patternFill patternType="solid">
        <fgColor theme="9" tint="0.59999389629810485"/>
        <bgColor indexed="64"/>
      </patternFill>
    </fill>
    <fill>
      <patternFill patternType="solid">
        <fgColor theme="7"/>
        <bgColor rgb="FFD9EAD3"/>
      </patternFill>
    </fill>
    <fill>
      <patternFill patternType="solid">
        <fgColor theme="7" tint="-0.499984740745262"/>
        <bgColor rgb="FF34A853"/>
      </patternFill>
    </fill>
    <fill>
      <patternFill patternType="solid">
        <fgColor theme="4" tint="-0.249977111117893"/>
        <bgColor rgb="FFE06666"/>
      </patternFill>
    </fill>
    <fill>
      <patternFill patternType="solid">
        <fgColor theme="1"/>
        <bgColor rgb="FFE06666"/>
      </patternFill>
    </fill>
    <fill>
      <patternFill patternType="solid">
        <fgColor theme="4" tint="0.39997558519241921"/>
        <bgColor rgb="FFE06666"/>
      </patternFill>
    </fill>
    <fill>
      <patternFill patternType="solid">
        <fgColor rgb="FF002060"/>
        <bgColor rgb="FF000000"/>
      </patternFill>
    </fill>
    <fill>
      <patternFill patternType="solid">
        <fgColor theme="4" tint="0.79998168889431442"/>
        <bgColor rgb="FFE06666"/>
      </patternFill>
    </fill>
    <fill>
      <patternFill patternType="solid">
        <fgColor theme="4" tint="-0.249977111117893"/>
        <bgColor indexed="64"/>
      </patternFill>
    </fill>
    <fill>
      <patternFill patternType="solid">
        <fgColor theme="4" tint="0.79998168889431442"/>
        <bgColor indexed="64"/>
      </patternFill>
    </fill>
    <fill>
      <patternFill patternType="solid">
        <fgColor rgb="FF002060"/>
        <bgColor indexed="64"/>
      </patternFill>
    </fill>
    <fill>
      <patternFill patternType="solid">
        <fgColor theme="4" tint="0.79998168889431442"/>
        <bgColor rgb="FFF4CCCC"/>
      </patternFill>
    </fill>
    <fill>
      <patternFill patternType="solid">
        <fgColor theme="4"/>
        <bgColor theme="9"/>
      </patternFill>
    </fill>
    <fill>
      <patternFill patternType="solid">
        <fgColor theme="4"/>
        <bgColor rgb="FFE06666"/>
      </patternFill>
    </fill>
    <fill>
      <patternFill patternType="solid">
        <fgColor theme="4"/>
        <bgColor indexed="64"/>
      </patternFill>
    </fill>
    <fill>
      <patternFill patternType="solid">
        <fgColor theme="4"/>
        <bgColor rgb="FF3C78D8"/>
      </patternFill>
    </fill>
    <fill>
      <patternFill patternType="solid">
        <fgColor theme="4" tint="-0.499984740745262"/>
        <bgColor rgb="FFA4C2F4"/>
      </patternFill>
    </fill>
    <fill>
      <patternFill patternType="solid">
        <fgColor theme="4" tint="-0.499984740745262"/>
        <bgColor rgb="FFF1C232"/>
      </patternFill>
    </fill>
    <fill>
      <patternFill patternType="solid">
        <fgColor rgb="FF3B78D8"/>
        <bgColor rgb="FFC27BA0"/>
      </patternFill>
    </fill>
    <fill>
      <patternFill patternType="solid">
        <fgColor rgb="FF3B78D8"/>
        <bgColor rgb="FF999999"/>
      </patternFill>
    </fill>
    <fill>
      <patternFill patternType="solid">
        <fgColor rgb="FF3B78D8"/>
        <bgColor rgb="FF3C78D8"/>
      </patternFill>
    </fill>
    <fill>
      <patternFill patternType="solid">
        <fgColor rgb="FF3B78D8"/>
        <bgColor rgb="FF6D9EEB"/>
      </patternFill>
    </fill>
    <fill>
      <patternFill patternType="solid">
        <fgColor theme="4" tint="-0.499984740745262"/>
        <bgColor rgb="FFB7B7B7"/>
      </patternFill>
    </fill>
    <fill>
      <patternFill patternType="solid">
        <fgColor rgb="FF8E7CC3"/>
        <bgColor rgb="FF674EA7"/>
      </patternFill>
    </fill>
    <fill>
      <patternFill patternType="solid">
        <fgColor rgb="FF674EA7"/>
        <bgColor rgb="FFF1C232"/>
      </patternFill>
    </fill>
    <fill>
      <patternFill patternType="solid">
        <fgColor rgb="FF8E7CC3"/>
        <bgColor rgb="FFBF9000"/>
      </patternFill>
    </fill>
    <fill>
      <patternFill patternType="solid">
        <fgColor rgb="FF8E7CC3"/>
        <bgColor rgb="FFB4A7D6"/>
      </patternFill>
    </fill>
    <fill>
      <patternFill patternType="solid">
        <fgColor theme="7" tint="0.79998168889431442"/>
        <bgColor rgb="FFF2F2F2"/>
      </patternFill>
    </fill>
    <fill>
      <patternFill patternType="solid">
        <fgColor theme="7" tint="0.79998168889431442"/>
        <bgColor rgb="FFD9EAD3"/>
      </patternFill>
    </fill>
    <fill>
      <patternFill patternType="solid">
        <fgColor theme="0" tint="-4.9989318521683403E-2"/>
        <bgColor rgb="FFBFBFBF"/>
      </patternFill>
    </fill>
    <fill>
      <patternFill patternType="solid">
        <fgColor rgb="FF33A852"/>
        <bgColor indexed="64"/>
      </patternFill>
    </fill>
    <fill>
      <patternFill patternType="solid">
        <fgColor rgb="FF3B78D8"/>
        <bgColor indexed="64"/>
      </patternFill>
    </fill>
    <fill>
      <patternFill patternType="solid">
        <fgColor rgb="FF674EA7"/>
        <bgColor indexed="64"/>
      </patternFill>
    </fill>
    <fill>
      <patternFill patternType="solid">
        <fgColor rgb="FFF2F2F2"/>
        <bgColor indexed="64"/>
      </patternFill>
    </fill>
    <fill>
      <patternFill patternType="solid">
        <fgColor theme="0" tint="-4.9989318521683403E-2"/>
        <bgColor indexed="64"/>
      </patternFill>
    </fill>
    <fill>
      <patternFill patternType="solid">
        <fgColor theme="0" tint="-4.9989318521683403E-2"/>
        <bgColor rgb="FFFFFFFF"/>
      </patternFill>
    </fill>
    <fill>
      <patternFill patternType="solid">
        <fgColor theme="0" tint="-4.9989318521683403E-2"/>
        <bgColor rgb="FF999999"/>
      </patternFill>
    </fill>
    <fill>
      <patternFill patternType="solid">
        <fgColor theme="0" tint="-4.9989318521683403E-2"/>
        <bgColor rgb="FFA64D79"/>
      </patternFill>
    </fill>
    <fill>
      <patternFill patternType="solid">
        <fgColor theme="0" tint="-4.9989318521683403E-2"/>
        <bgColor rgb="FFCCCCCC"/>
      </patternFill>
    </fill>
    <fill>
      <patternFill patternType="solid">
        <fgColor theme="0" tint="-4.9989318521683403E-2"/>
        <bgColor rgb="FF1C4587"/>
      </patternFill>
    </fill>
    <fill>
      <patternFill patternType="solid">
        <fgColor theme="0" tint="-4.9989318521683403E-2"/>
        <bgColor rgb="FF8E7CC3"/>
      </patternFill>
    </fill>
    <fill>
      <patternFill patternType="solid">
        <fgColor theme="0" tint="-4.9989318521683403E-2"/>
        <bgColor rgb="FF6FA8DC"/>
      </patternFill>
    </fill>
    <fill>
      <patternFill patternType="solid">
        <fgColor theme="7" tint="0.79998168889431442"/>
        <bgColor indexed="64"/>
      </patternFill>
    </fill>
    <fill>
      <patternFill patternType="solid">
        <fgColor theme="7" tint="0.79998168889431442"/>
        <bgColor rgb="FFF3F3F3"/>
      </patternFill>
    </fill>
    <fill>
      <patternFill patternType="solid">
        <fgColor theme="7" tint="0.79998168889431442"/>
        <bgColor rgb="FFF4CCCC"/>
      </patternFill>
    </fill>
    <fill>
      <patternFill patternType="solid">
        <fgColor theme="7" tint="0.39997558519241921"/>
        <bgColor indexed="64"/>
      </patternFill>
    </fill>
    <fill>
      <patternFill patternType="solid">
        <fgColor theme="9" tint="0.79998168889431442"/>
        <bgColor indexed="64"/>
      </patternFill>
    </fill>
    <fill>
      <patternFill patternType="solid">
        <fgColor theme="9" tint="0.79998168889431442"/>
        <bgColor rgb="FFFFFFFF"/>
      </patternFill>
    </fill>
    <fill>
      <patternFill patternType="solid">
        <fgColor theme="7" tint="0.39997558519241921"/>
        <bgColor rgb="FFFFFFFF"/>
      </patternFill>
    </fill>
    <fill>
      <patternFill patternType="solid">
        <fgColor theme="4" tint="0.59999389629810485"/>
        <bgColor rgb="FF4A86E8"/>
      </patternFill>
    </fill>
    <fill>
      <patternFill patternType="solid">
        <fgColor theme="4" tint="0.39997558519241921"/>
        <bgColor rgb="FF4A86E8"/>
      </patternFill>
    </fill>
    <fill>
      <patternFill patternType="solid">
        <fgColor theme="7"/>
        <bgColor rgb="FF34A853"/>
      </patternFill>
    </fill>
    <fill>
      <patternFill patternType="solid">
        <fgColor theme="4" tint="0.39997558519241921"/>
        <bgColor rgb="FFFFF2CC"/>
      </patternFill>
    </fill>
    <fill>
      <patternFill patternType="solid">
        <fgColor theme="4" tint="-0.249977111117893"/>
        <bgColor theme="7"/>
      </patternFill>
    </fill>
    <fill>
      <patternFill patternType="solid">
        <fgColor theme="4" tint="0.39997558519241921"/>
        <bgColor theme="7"/>
      </patternFill>
    </fill>
    <fill>
      <patternFill patternType="solid">
        <fgColor theme="4" tint="0.39997558519241921"/>
        <bgColor indexed="64"/>
      </patternFill>
    </fill>
    <fill>
      <patternFill patternType="solid">
        <fgColor theme="4" tint="-0.499984740745262"/>
        <bgColor theme="7"/>
      </patternFill>
    </fill>
    <fill>
      <patternFill patternType="solid">
        <fgColor theme="4" tint="-0.499984740745262"/>
        <bgColor rgb="FFFFF2CC"/>
      </patternFill>
    </fill>
    <fill>
      <patternFill patternType="solid">
        <fgColor rgb="FF33A852"/>
        <bgColor theme="7"/>
      </patternFill>
    </fill>
    <fill>
      <patternFill patternType="solid">
        <fgColor rgb="FFF2F2F2"/>
        <bgColor rgb="FF000000"/>
      </patternFill>
    </fill>
    <fill>
      <patternFill patternType="solid">
        <fgColor theme="5" tint="0.79998168889431442"/>
        <bgColor rgb="FFF4CCCC"/>
      </patternFill>
    </fill>
    <fill>
      <patternFill patternType="solid">
        <fgColor theme="7" tint="0.79998168889431442"/>
        <bgColor rgb="FFEFEFEF"/>
      </patternFill>
    </fill>
    <fill>
      <patternFill patternType="solid">
        <fgColor rgb="FFF5CDCC"/>
        <bgColor rgb="FFF4CCCC"/>
      </patternFill>
    </fill>
    <fill>
      <patternFill patternType="solid">
        <fgColor theme="9" tint="0.79998168889431442"/>
        <bgColor rgb="FFF3F3F3"/>
      </patternFill>
    </fill>
    <fill>
      <patternFill patternType="solid">
        <fgColor theme="6" tint="0.79998168889431442"/>
        <bgColor indexed="64"/>
      </patternFill>
    </fill>
    <fill>
      <patternFill patternType="solid">
        <fgColor theme="6" tint="0.79998168889431442"/>
        <bgColor rgb="FFF3F3F3"/>
      </patternFill>
    </fill>
    <fill>
      <patternFill patternType="solid">
        <fgColor theme="9" tint="0.79998168889431442"/>
        <bgColor rgb="FFD0E0E3"/>
      </patternFill>
    </fill>
    <fill>
      <patternFill patternType="solid">
        <fgColor theme="6" tint="0.79998168889431442"/>
        <bgColor rgb="FFFFFFFF"/>
      </patternFill>
    </fill>
    <fill>
      <patternFill patternType="solid">
        <fgColor theme="2" tint="-4.9989318521683403E-2"/>
        <bgColor indexed="64"/>
      </patternFill>
    </fill>
    <fill>
      <patternFill patternType="solid">
        <fgColor theme="2" tint="-4.9989318521683403E-2"/>
        <bgColor rgb="FFF2F2F2"/>
      </patternFill>
    </fill>
    <fill>
      <patternFill patternType="solid">
        <fgColor theme="2" tint="-4.9989318521683403E-2"/>
        <bgColor rgb="FF000000"/>
      </patternFill>
    </fill>
    <fill>
      <patternFill patternType="solid">
        <fgColor rgb="FF8E7CC3"/>
        <bgColor indexed="64"/>
      </patternFill>
    </fill>
  </fills>
  <borders count="180">
    <border>
      <left/>
      <right/>
      <top/>
      <bottom/>
      <diagonal/>
    </border>
    <border>
      <left style="thin">
        <color rgb="FFBFBFBF"/>
      </left>
      <right style="thin">
        <color rgb="FFBFBFBF"/>
      </right>
      <top style="thin">
        <color rgb="FFBFBFBF"/>
      </top>
      <bottom style="thin">
        <color rgb="FFBFBFBF"/>
      </bottom>
      <diagonal/>
    </border>
    <border>
      <left/>
      <right/>
      <top/>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EFEFEF"/>
      </left>
      <right/>
      <top style="thin">
        <color rgb="FFEFEFEF"/>
      </top>
      <bottom style="thin">
        <color rgb="FFEFEFEF"/>
      </bottom>
      <diagonal/>
    </border>
    <border>
      <left/>
      <right/>
      <top style="thin">
        <color rgb="FFEFEFEF"/>
      </top>
      <bottom style="thin">
        <color rgb="FFEFEFEF"/>
      </bottom>
      <diagonal/>
    </border>
    <border>
      <left/>
      <right style="thin">
        <color rgb="FFEFEFEF"/>
      </right>
      <top style="thin">
        <color rgb="FFEFEFEF"/>
      </top>
      <bottom style="thin">
        <color rgb="FFEFEFEF"/>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EFEFEF"/>
      </left>
      <right style="thin">
        <color rgb="FFEFEFEF"/>
      </right>
      <top style="thin">
        <color rgb="FFEFEFEF"/>
      </top>
      <bottom style="thin">
        <color rgb="FFEFEFEF"/>
      </bottom>
      <diagonal/>
    </border>
    <border>
      <left style="thin">
        <color rgb="FFBFBFBF"/>
      </left>
      <right/>
      <top/>
      <bottom/>
      <diagonal/>
    </border>
    <border>
      <left style="thin">
        <color rgb="FFCCCCCC"/>
      </left>
      <right style="thin">
        <color rgb="FFCCCCCC"/>
      </right>
      <top style="thin">
        <color rgb="FFCCCCCC"/>
      </top>
      <bottom style="thin">
        <color rgb="FFCCCCCC"/>
      </bottom>
      <diagonal/>
    </border>
    <border>
      <left/>
      <right style="thin">
        <color rgb="FFD9D9D9"/>
      </right>
      <top/>
      <bottom/>
      <diagonal/>
    </border>
    <border>
      <left/>
      <right style="thin">
        <color rgb="FFD9D9D9"/>
      </right>
      <top/>
      <bottom style="thin">
        <color rgb="FFBFBFBF"/>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right style="thin">
        <color rgb="FFBFBFBF"/>
      </right>
      <top/>
      <bottom style="thin">
        <color rgb="FFBFBFBF"/>
      </bottom>
      <diagonal/>
    </border>
    <border>
      <left/>
      <right style="medium">
        <color rgb="FF34A853"/>
      </right>
      <top/>
      <bottom/>
      <diagonal/>
    </border>
    <border>
      <left style="medium">
        <color rgb="FF34A853"/>
      </left>
      <right/>
      <top/>
      <bottom/>
      <diagonal/>
    </border>
    <border>
      <left/>
      <right style="thin">
        <color rgb="FF34A853"/>
      </right>
      <top/>
      <bottom/>
      <diagonal/>
    </border>
    <border>
      <left style="medium">
        <color rgb="FF34A853"/>
      </left>
      <right/>
      <top style="thin">
        <color rgb="FF34A853"/>
      </top>
      <bottom/>
      <diagonal/>
    </border>
    <border>
      <left/>
      <right/>
      <top style="thin">
        <color rgb="FF34A853"/>
      </top>
      <bottom/>
      <diagonal/>
    </border>
    <border>
      <left/>
      <right style="medium">
        <color rgb="FF34A853"/>
      </right>
      <top style="thin">
        <color rgb="FF34A853"/>
      </top>
      <bottom/>
      <diagonal/>
    </border>
    <border>
      <left style="thin">
        <color rgb="FFD9D9D9"/>
      </left>
      <right/>
      <top style="thin">
        <color rgb="FFD9D9D9"/>
      </top>
      <bottom/>
      <diagonal/>
    </border>
    <border>
      <left/>
      <right/>
      <top style="thin">
        <color rgb="FFD9D9D9"/>
      </top>
      <bottom/>
      <diagonal/>
    </border>
    <border>
      <left/>
      <right style="thin">
        <color rgb="FFCCCCCC"/>
      </right>
      <top style="thin">
        <color rgb="FFCCCCCC"/>
      </top>
      <bottom style="thin">
        <color rgb="FFCCCCCC"/>
      </bottom>
      <diagonal/>
    </border>
    <border>
      <left/>
      <right/>
      <top/>
      <bottom style="thin">
        <color rgb="FFB7B7B7"/>
      </bottom>
      <diagonal/>
    </border>
    <border>
      <left/>
      <right style="medium">
        <color rgb="FF34A853"/>
      </right>
      <top/>
      <bottom style="thin">
        <color rgb="FFB7B7B7"/>
      </bottom>
      <diagonal/>
    </border>
    <border>
      <left/>
      <right/>
      <top style="thin">
        <color rgb="FF000000"/>
      </top>
      <bottom/>
      <diagonal/>
    </border>
    <border>
      <left/>
      <right/>
      <top/>
      <bottom style="thin">
        <color rgb="FF000000"/>
      </bottom>
      <diagonal/>
    </border>
    <border>
      <left/>
      <right style="thin">
        <color rgb="FF000000"/>
      </right>
      <top/>
      <bottom style="thin">
        <color rgb="FF000000"/>
      </bottom>
      <diagonal/>
    </border>
    <border>
      <left/>
      <right/>
      <top/>
      <bottom/>
      <diagonal/>
    </border>
    <border>
      <left/>
      <right/>
      <top/>
      <bottom style="thin">
        <color rgb="FFBFBFBF"/>
      </bottom>
      <diagonal/>
    </border>
    <border>
      <left style="thin">
        <color rgb="FF742932"/>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742932"/>
      </right>
      <top style="thin">
        <color rgb="FFFFFFFF"/>
      </top>
      <bottom style="thin">
        <color rgb="FFFFFFFF"/>
      </bottom>
      <diagonal/>
    </border>
    <border>
      <left style="thin">
        <color rgb="FF742932"/>
      </left>
      <right style="thin">
        <color rgb="FFFFFFFF"/>
      </right>
      <top style="thin">
        <color rgb="FFFFFFFF"/>
      </top>
      <bottom style="thin">
        <color rgb="FF742932"/>
      </bottom>
      <diagonal/>
    </border>
    <border>
      <left style="thin">
        <color rgb="FFFFFFFF"/>
      </left>
      <right style="thin">
        <color rgb="FFFFFFFF"/>
      </right>
      <top style="thin">
        <color rgb="FFFFFFFF"/>
      </top>
      <bottom style="thin">
        <color rgb="FF742932"/>
      </bottom>
      <diagonal/>
    </border>
    <border>
      <left style="thin">
        <color rgb="FFFFFFFF"/>
      </left>
      <right style="thin">
        <color rgb="FF742932"/>
      </right>
      <top style="thin">
        <color rgb="FFFFFFFF"/>
      </top>
      <bottom style="thin">
        <color rgb="FF742932"/>
      </bottom>
      <diagonal/>
    </border>
    <border>
      <left/>
      <right/>
      <top/>
      <bottom style="thin">
        <color indexed="64"/>
      </bottom>
      <diagonal/>
    </border>
    <border>
      <left style="thin">
        <color indexed="64"/>
      </left>
      <right style="thin">
        <color indexed="64"/>
      </right>
      <top style="thin">
        <color indexed="64"/>
      </top>
      <bottom/>
      <diagonal/>
    </border>
    <border>
      <left style="thin">
        <color theme="0" tint="-0.14999847407452621"/>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bottom style="thin">
        <color rgb="FF742932"/>
      </bottom>
      <diagonal/>
    </border>
    <border>
      <left/>
      <right/>
      <top/>
      <bottom style="medium">
        <color rgb="FF00B050"/>
      </bottom>
      <diagonal/>
    </border>
    <border>
      <left style="medium">
        <color rgb="FF34A853"/>
      </left>
      <right/>
      <top style="medium">
        <color rgb="FF00B050"/>
      </top>
      <bottom/>
      <diagonal/>
    </border>
    <border>
      <left/>
      <right/>
      <top style="medium">
        <color rgb="FF00B050"/>
      </top>
      <bottom/>
      <diagonal/>
    </border>
    <border>
      <left/>
      <right style="medium">
        <color rgb="FF34A853"/>
      </right>
      <top/>
      <bottom style="medium">
        <color rgb="FF00B050"/>
      </bottom>
      <diagonal/>
    </border>
    <border>
      <left/>
      <right style="medium">
        <color rgb="FF34A853"/>
      </right>
      <top style="medium">
        <color rgb="FF00B050"/>
      </top>
      <bottom/>
      <diagonal/>
    </border>
    <border>
      <left style="medium">
        <color rgb="FF00B050"/>
      </left>
      <right style="medium">
        <color rgb="FF34A853"/>
      </right>
      <top style="medium">
        <color rgb="FF00B050"/>
      </top>
      <bottom/>
      <diagonal/>
    </border>
    <border>
      <left style="medium">
        <color rgb="FF00B050"/>
      </left>
      <right style="medium">
        <color rgb="FF34A853"/>
      </right>
      <top/>
      <bottom/>
      <diagonal/>
    </border>
    <border>
      <left style="medium">
        <color rgb="FF00B050"/>
      </left>
      <right/>
      <top style="medium">
        <color rgb="FF00B050"/>
      </top>
      <bottom/>
      <diagonal/>
    </border>
    <border>
      <left style="medium">
        <color rgb="FF00B050"/>
      </left>
      <right/>
      <top/>
      <bottom/>
      <diagonal/>
    </border>
    <border>
      <left style="medium">
        <color rgb="FF00B050"/>
      </left>
      <right/>
      <top style="thin">
        <color rgb="FF34A853"/>
      </top>
      <bottom/>
      <diagonal/>
    </border>
    <border>
      <left style="medium">
        <color rgb="FF00B050"/>
      </left>
      <right/>
      <top/>
      <bottom style="medium">
        <color rgb="FF00B050"/>
      </bottom>
      <diagonal/>
    </border>
    <border>
      <left/>
      <right style="medium">
        <color theme="0" tint="-0.499984740745262"/>
      </right>
      <top/>
      <bottom style="thin">
        <color rgb="FFD9D9D9"/>
      </bottom>
      <diagonal/>
    </border>
    <border>
      <left style="thin">
        <color rgb="FFD9D9D9"/>
      </left>
      <right style="medium">
        <color theme="0" tint="-0.499984740745262"/>
      </right>
      <top style="thin">
        <color rgb="FFD9D9D9"/>
      </top>
      <bottom style="thin">
        <color rgb="FFD9D9D9"/>
      </bottom>
      <diagonal/>
    </border>
    <border>
      <left/>
      <right style="medium">
        <color theme="0" tint="-0.499984740745262"/>
      </right>
      <top/>
      <bottom/>
      <diagonal/>
    </border>
    <border>
      <left/>
      <right style="medium">
        <color theme="0" tint="-0.499984740745262"/>
      </right>
      <top/>
      <bottom style="thin">
        <color rgb="FFBFBFBF"/>
      </bottom>
      <diagonal/>
    </border>
    <border>
      <left style="thin">
        <color rgb="FFCCCCCC"/>
      </left>
      <right style="medium">
        <color theme="0" tint="-0.499984740745262"/>
      </right>
      <top style="thin">
        <color rgb="FFCCCCCC"/>
      </top>
      <bottom style="thin">
        <color rgb="FFCCCCCC"/>
      </bottom>
      <diagonal/>
    </border>
    <border>
      <left/>
      <right/>
      <top/>
      <bottom style="medium">
        <color theme="0" tint="-0.499984740745262"/>
      </bottom>
      <diagonal/>
    </border>
    <border>
      <left/>
      <right style="medium">
        <color theme="0" tint="-0.499984740745262"/>
      </right>
      <top style="medium">
        <color theme="0" tint="-0.499984740745262"/>
      </top>
      <bottom/>
      <diagonal/>
    </border>
    <border>
      <left/>
      <right style="medium">
        <color theme="0" tint="-0.499984740745262"/>
      </right>
      <top style="thin">
        <color rgb="FFBFBFBF"/>
      </top>
      <bottom style="medium">
        <color theme="0" tint="-0.499984740745262"/>
      </bottom>
      <diagonal/>
    </border>
    <border>
      <left/>
      <right style="thin">
        <color rgb="FFBFBFBF"/>
      </right>
      <top style="thin">
        <color rgb="FFBFBFBF"/>
      </top>
      <bottom style="medium">
        <color theme="0" tint="-0.499984740745262"/>
      </bottom>
      <diagonal/>
    </border>
    <border>
      <left style="medium">
        <color theme="0" tint="-0.499984740745262"/>
      </left>
      <right/>
      <top style="thin">
        <color rgb="FFBFBFBF"/>
      </top>
      <bottom style="medium">
        <color theme="0" tint="-0.499984740745262"/>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medium">
        <color theme="0" tint="-0.499984740745262"/>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medium">
        <color theme="0" tint="-0.499984740745262"/>
      </left>
      <right style="thin">
        <color rgb="FFCCCCCC"/>
      </right>
      <top style="thin">
        <color rgb="FFCCCCCC"/>
      </top>
      <bottom style="medium">
        <color theme="0" tint="-0.499984740745262"/>
      </bottom>
      <diagonal/>
    </border>
    <border>
      <left style="thin">
        <color rgb="FFCCCCCC"/>
      </left>
      <right style="thin">
        <color rgb="FFCCCCCC"/>
      </right>
      <top style="thin">
        <color rgb="FFCCCCCC"/>
      </top>
      <bottom style="medium">
        <color theme="0" tint="-0.499984740745262"/>
      </bottom>
      <diagonal/>
    </border>
    <border>
      <left style="thin">
        <color rgb="FFCCCCCC"/>
      </left>
      <right style="medium">
        <color theme="0" tint="-0.499984740745262"/>
      </right>
      <top style="thin">
        <color rgb="FFCCCCCC"/>
      </top>
      <bottom style="medium">
        <color theme="0" tint="-0.499984740745262"/>
      </bottom>
      <diagonal/>
    </border>
    <border>
      <left style="medium">
        <color theme="0" tint="-0.499984740745262"/>
      </left>
      <right style="medium">
        <color theme="0" tint="-0.499984740745262"/>
      </right>
      <top/>
      <bottom style="medium">
        <color theme="0" tint="-0.499984740745262"/>
      </bottom>
      <diagonal/>
    </border>
    <border>
      <left style="thin">
        <color rgb="FFD9D9D9"/>
      </left>
      <right style="thin">
        <color rgb="FFD9D9D9"/>
      </right>
      <top style="thin">
        <color rgb="FFD9D9D9"/>
      </top>
      <bottom style="medium">
        <color theme="0" tint="-0.499984740745262"/>
      </bottom>
      <diagonal/>
    </border>
    <border>
      <left style="thin">
        <color rgb="FFD9D9D9"/>
      </left>
      <right style="medium">
        <color theme="0" tint="-0.499984740745262"/>
      </right>
      <top style="thin">
        <color rgb="FFD9D9D9"/>
      </top>
      <bottom style="medium">
        <color theme="0" tint="-0.499984740745262"/>
      </bottom>
      <diagonal/>
    </border>
    <border>
      <left/>
      <right style="medium">
        <color theme="0" tint="-0.499984740745262"/>
      </right>
      <top style="thin">
        <color rgb="FFD9D9D9"/>
      </top>
      <bottom style="thin">
        <color rgb="FFD9D9D9"/>
      </bottom>
      <diagonal/>
    </border>
    <border>
      <left style="medium">
        <color theme="0" tint="-0.499984740745262"/>
      </left>
      <right style="medium">
        <color theme="0" tint="-0.499984740745262"/>
      </right>
      <top style="thin">
        <color rgb="FFD9D9D9"/>
      </top>
      <bottom style="medium">
        <color theme="0" tint="-0.499984740745262"/>
      </bottom>
      <diagonal/>
    </border>
    <border>
      <left/>
      <right style="medium">
        <color theme="0" tint="-0.499984740745262"/>
      </right>
      <top/>
      <bottom style="medium">
        <color theme="0" tint="-0.499984740745262"/>
      </bottom>
      <diagonal/>
    </border>
    <border>
      <left style="medium">
        <color theme="0" tint="-0.499984740745262"/>
      </left>
      <right style="thin">
        <color rgb="FFD9D9D9"/>
      </right>
      <top style="medium">
        <color theme="0" tint="-0.499984740745262"/>
      </top>
      <bottom style="thin">
        <color rgb="FFD9D9D9"/>
      </bottom>
      <diagonal/>
    </border>
    <border>
      <left style="thin">
        <color rgb="FFD9D9D9"/>
      </left>
      <right style="thin">
        <color rgb="FFD9D9D9"/>
      </right>
      <top style="medium">
        <color theme="0" tint="-0.499984740745262"/>
      </top>
      <bottom style="thin">
        <color rgb="FFD9D9D9"/>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medium">
        <color theme="0" tint="-0.499984740745262"/>
      </left>
      <right style="thin">
        <color rgb="FFD9D9D9"/>
      </right>
      <top/>
      <bottom style="thin">
        <color rgb="FFD9D9D9"/>
      </bottom>
      <diagonal/>
    </border>
    <border>
      <left style="thin">
        <color rgb="FFD9D9D9"/>
      </left>
      <right style="medium">
        <color theme="0" tint="-0.499984740745262"/>
      </right>
      <top/>
      <bottom style="thin">
        <color rgb="FFD9D9D9"/>
      </bottom>
      <diagonal/>
    </border>
    <border>
      <left/>
      <right/>
      <top style="medium">
        <color theme="0" tint="-0.499984740745262"/>
      </top>
      <bottom style="medium">
        <color theme="0" tint="-0.499984740745262"/>
      </bottom>
      <diagonal/>
    </border>
    <border>
      <left style="thin">
        <color rgb="FFCCCCCC"/>
      </left>
      <right style="medium">
        <color theme="0" tint="-0.499984740745262"/>
      </right>
      <top style="medium">
        <color theme="0" tint="-0.499984740745262"/>
      </top>
      <bottom style="thin">
        <color rgb="FFCCCCCC"/>
      </bottom>
      <diagonal/>
    </border>
    <border>
      <left style="thin">
        <color rgb="FFCCCCCC"/>
      </left>
      <right style="thin">
        <color rgb="FFCCCCCC"/>
      </right>
      <top style="medium">
        <color theme="0" tint="-0.499984740745262"/>
      </top>
      <bottom style="thin">
        <color rgb="FFCCCCCC"/>
      </bottom>
      <diagonal/>
    </border>
    <border>
      <left style="medium">
        <color theme="0" tint="-0.499984740745262"/>
      </left>
      <right/>
      <top style="medium">
        <color theme="0" tint="-0.499984740745262"/>
      </top>
      <bottom/>
      <diagonal/>
    </border>
    <border>
      <left style="medium">
        <color theme="0" tint="-0.499984740745262"/>
      </left>
      <right style="medium">
        <color theme="0" tint="-0.499984740745262"/>
      </right>
      <top style="medium">
        <color theme="0" tint="-0.499984740745262"/>
      </top>
      <bottom/>
      <diagonal/>
    </border>
    <border>
      <left/>
      <right/>
      <top style="medium">
        <color theme="0" tint="-0.499984740745262"/>
      </top>
      <bottom/>
      <diagonal/>
    </border>
    <border>
      <left style="thin">
        <color rgb="FFD9D9D9"/>
      </left>
      <right style="medium">
        <color theme="0" tint="-0.499984740745262"/>
      </right>
      <top style="medium">
        <color theme="0" tint="-0.499984740745262"/>
      </top>
      <bottom style="thin">
        <color rgb="FFD9D9D9"/>
      </bottom>
      <diagonal/>
    </border>
    <border>
      <left style="medium">
        <color theme="0" tint="-0.499984740745262"/>
      </left>
      <right/>
      <top/>
      <bottom style="medium">
        <color theme="0" tint="-0.499984740745262"/>
      </bottom>
      <diagonal/>
    </border>
    <border>
      <left style="thin">
        <color rgb="FFEFEFEF"/>
      </left>
      <right style="medium">
        <color theme="0" tint="-0.499984740745262"/>
      </right>
      <top style="thin">
        <color rgb="FFEFEFEF"/>
      </top>
      <bottom style="thin">
        <color rgb="FFEFEFEF"/>
      </bottom>
      <diagonal/>
    </border>
    <border>
      <left style="thin">
        <color rgb="FFD9D9D9"/>
      </left>
      <right/>
      <top style="medium">
        <color theme="0" tint="-0.499984740745262"/>
      </top>
      <bottom style="thin">
        <color rgb="FFD9D9D9"/>
      </bottom>
      <diagonal/>
    </border>
    <border>
      <left style="medium">
        <color theme="0" tint="-0.499984740745262"/>
      </left>
      <right style="thin">
        <color rgb="FFD9D9D9"/>
      </right>
      <top style="thin">
        <color rgb="FFD9D9D9"/>
      </top>
      <bottom style="thin">
        <color rgb="FFD9D9D9"/>
      </bottom>
      <diagonal/>
    </border>
    <border>
      <left style="medium">
        <color theme="0" tint="-0.499984740745262"/>
      </left>
      <right style="thin">
        <color rgb="FFD9D9D9"/>
      </right>
      <top style="thin">
        <color rgb="FFD9D9D9"/>
      </top>
      <bottom/>
      <diagonal/>
    </border>
    <border>
      <left style="medium">
        <color theme="0" tint="-0.499984740745262"/>
      </left>
      <right style="thin">
        <color rgb="FFD9D9D9"/>
      </right>
      <top style="thin">
        <color rgb="FFD9D9D9"/>
      </top>
      <bottom style="medium">
        <color theme="0" tint="-0.499984740745262"/>
      </bottom>
      <diagonal/>
    </border>
    <border>
      <left style="medium">
        <color theme="0" tint="-0.499984740745262"/>
      </left>
      <right style="medium">
        <color theme="0" tint="-0.499984740745262"/>
      </right>
      <top/>
      <bottom/>
      <diagonal/>
    </border>
    <border>
      <left style="medium">
        <color theme="0" tint="-0.499984740745262"/>
      </left>
      <right style="medium">
        <color theme="0" tint="-0.499984740745262"/>
      </right>
      <top style="thin">
        <color rgb="FFBFBFBF"/>
      </top>
      <bottom style="thin">
        <color rgb="FFBFBFBF"/>
      </bottom>
      <diagonal/>
    </border>
    <border>
      <left style="medium">
        <color theme="0" tint="-0.499984740745262"/>
      </left>
      <right style="medium">
        <color theme="0" tint="-0.499984740745262"/>
      </right>
      <top style="thin">
        <color rgb="FFBFBFBF"/>
      </top>
      <bottom style="medium">
        <color theme="0" tint="-0.499984740745262"/>
      </bottom>
      <diagonal/>
    </border>
    <border>
      <left style="medium">
        <color theme="0" tint="-0.499984740745262"/>
      </left>
      <right/>
      <top/>
      <bottom/>
      <diagonal/>
    </border>
    <border>
      <left style="thin">
        <color rgb="FF000000"/>
      </left>
      <right style="medium">
        <color theme="0" tint="-0.499984740745262"/>
      </right>
      <top style="medium">
        <color theme="0" tint="-0.499984740745262"/>
      </top>
      <bottom style="medium">
        <color theme="0" tint="-0.499984740745262"/>
      </bottom>
      <diagonal/>
    </border>
    <border>
      <left style="thin">
        <color rgb="FF000000"/>
      </left>
      <right style="thin">
        <color rgb="FF000000"/>
      </right>
      <top style="medium">
        <color theme="0" tint="-0.499984740745262"/>
      </top>
      <bottom style="medium">
        <color theme="0" tint="-0.499984740745262"/>
      </bottom>
      <diagonal/>
    </border>
    <border>
      <left style="medium">
        <color theme="0" tint="-0.499984740745262"/>
      </left>
      <right style="medium">
        <color theme="0" tint="-0.499984740745262"/>
      </right>
      <top/>
      <bottom style="thin">
        <color rgb="FFD9D9D9"/>
      </bottom>
      <diagonal/>
    </border>
    <border>
      <left style="medium">
        <color theme="0" tint="-0.499984740745262"/>
      </left>
      <right style="thin">
        <color rgb="FFCCCCCC"/>
      </right>
      <top style="thin">
        <color rgb="FFCCCCCC"/>
      </top>
      <bottom style="thin">
        <color rgb="FFCCCCCC"/>
      </bottom>
      <diagonal/>
    </border>
    <border>
      <left/>
      <right style="thin">
        <color rgb="FFD9D9D9"/>
      </right>
      <top/>
      <bottom style="medium">
        <color theme="0" tint="-0.499984740745262"/>
      </bottom>
      <diagonal/>
    </border>
    <border>
      <left style="thin">
        <color rgb="FFD9D9D9"/>
      </left>
      <right/>
      <top style="thin">
        <color rgb="FFD9D9D9"/>
      </top>
      <bottom style="medium">
        <color theme="0" tint="-0.499984740745262"/>
      </bottom>
      <diagonal/>
    </border>
    <border>
      <left style="thin">
        <color rgb="FFD9D9D9"/>
      </left>
      <right style="thin">
        <color rgb="FFD9D9D9"/>
      </right>
      <top/>
      <bottom style="medium">
        <color theme="0" tint="-0.499984740745262"/>
      </bottom>
      <diagonal/>
    </border>
    <border>
      <left/>
      <right style="thin">
        <color rgb="FFBFBFBF"/>
      </right>
      <top/>
      <bottom style="medium">
        <color theme="0" tint="-0.499984740745262"/>
      </bottom>
      <diagonal/>
    </border>
    <border>
      <left/>
      <right style="thin">
        <color rgb="FFD9D9D9"/>
      </right>
      <top style="thin">
        <color rgb="FFD9D9D9"/>
      </top>
      <bottom style="medium">
        <color theme="0" tint="-0.499984740745262"/>
      </bottom>
      <diagonal/>
    </border>
    <border>
      <left style="medium">
        <color theme="0" tint="-0.499984740745262"/>
      </left>
      <right style="thin">
        <color rgb="FFCCCCCC"/>
      </right>
      <top/>
      <bottom style="thin">
        <color rgb="FFCCCCCC"/>
      </bottom>
      <diagonal/>
    </border>
    <border>
      <left style="thin">
        <color rgb="FFEFEFEF"/>
      </left>
      <right style="thin">
        <color rgb="FFEFEFEF"/>
      </right>
      <top style="thin">
        <color rgb="FFEFEFEF"/>
      </top>
      <bottom style="medium">
        <color theme="0" tint="-0.499984740745262"/>
      </bottom>
      <diagonal/>
    </border>
    <border>
      <left style="thin">
        <color rgb="FFEFEFEF"/>
      </left>
      <right style="medium">
        <color theme="0" tint="-0.499984740745262"/>
      </right>
      <top style="thin">
        <color rgb="FFEFEFEF"/>
      </top>
      <bottom style="medium">
        <color theme="0" tint="-0.499984740745262"/>
      </bottom>
      <diagonal/>
    </border>
    <border>
      <left style="medium">
        <color theme="0" tint="-0.499984740745262"/>
      </left>
      <right/>
      <top style="thin">
        <color rgb="FFEFEFEF"/>
      </top>
      <bottom style="thin">
        <color rgb="FFEFEFEF"/>
      </bottom>
      <diagonal/>
    </border>
    <border>
      <left style="thin">
        <color rgb="FFBFBFBF"/>
      </left>
      <right/>
      <top style="medium">
        <color theme="0" tint="-0.499984740745262"/>
      </top>
      <bottom/>
      <diagonal/>
    </border>
    <border>
      <left style="medium">
        <color theme="0" tint="-0.499984740745262"/>
      </left>
      <right/>
      <top/>
      <bottom style="thin">
        <color rgb="FFBFBFBF"/>
      </bottom>
      <diagonal/>
    </border>
    <border>
      <left/>
      <right style="medium">
        <color rgb="FF00B050"/>
      </right>
      <top style="medium">
        <color rgb="FF00B050"/>
      </top>
      <bottom/>
      <diagonal/>
    </border>
    <border>
      <left/>
      <right style="thin">
        <color theme="0" tint="-0.14999847407452621"/>
      </right>
      <top/>
      <bottom/>
      <diagonal/>
    </border>
    <border>
      <left style="thin">
        <color theme="0" tint="-0.14999847407452621"/>
      </left>
      <right style="thin">
        <color theme="0" tint="-0.14999847407452621"/>
      </right>
      <top/>
      <bottom/>
      <diagonal/>
    </border>
    <border>
      <left style="thin">
        <color theme="0" tint="-0.14999847407452621"/>
      </left>
      <right style="thin">
        <color theme="0" tint="-0.14999847407452621"/>
      </right>
      <top style="thin">
        <color theme="0" tint="-0.14999847407452621"/>
      </top>
      <bottom style="medium">
        <color rgb="FF00B050"/>
      </bottom>
      <diagonal/>
    </border>
    <border>
      <left style="medium">
        <color theme="0" tint="-0.34998626667073579"/>
      </left>
      <right style="medium">
        <color theme="0" tint="-0.34998626667073579"/>
      </right>
      <top style="medium">
        <color theme="0" tint="-0.34998626667073579"/>
      </top>
      <bottom/>
      <diagonal/>
    </border>
    <border>
      <left style="medium">
        <color theme="0" tint="-0.34998626667073579"/>
      </left>
      <right style="medium">
        <color theme="0" tint="-0.34998626667073579"/>
      </right>
      <top/>
      <bottom/>
      <diagonal/>
    </border>
    <border>
      <left/>
      <right style="medium">
        <color theme="0" tint="-0.34998626667073579"/>
      </right>
      <top style="thin">
        <color rgb="FF000000"/>
      </top>
      <bottom/>
      <diagonal/>
    </border>
    <border>
      <left/>
      <right style="medium">
        <color theme="0" tint="-0.34998626667073579"/>
      </right>
      <top/>
      <bottom style="thin">
        <color rgb="FF000000"/>
      </bottom>
      <diagonal/>
    </border>
    <border>
      <left style="medium">
        <color theme="0" tint="-0.34998626667073579"/>
      </left>
      <right style="medium">
        <color theme="0" tint="-0.34998626667073579"/>
      </right>
      <top/>
      <bottom style="medium">
        <color rgb="FF00B050"/>
      </bottom>
      <diagonal/>
    </border>
    <border>
      <left style="thin">
        <color theme="0" tint="-0.14999847407452621"/>
      </left>
      <right style="thin">
        <color theme="0" tint="-0.14999847407452621"/>
      </right>
      <top/>
      <bottom style="thin">
        <color theme="0" tint="-0.14999847407452621"/>
      </bottom>
      <diagonal/>
    </border>
    <border>
      <left style="medium">
        <color theme="0" tint="-0.34998626667073579"/>
      </left>
      <right style="medium">
        <color theme="0" tint="-0.34998626667073579"/>
      </right>
      <top/>
      <bottom style="medium">
        <color theme="0" tint="-0.499984740745262"/>
      </bottom>
      <diagonal/>
    </border>
    <border>
      <left style="medium">
        <color theme="0" tint="-0.34998626667073579"/>
      </left>
      <right style="medium">
        <color theme="0" tint="-0.34998626667073579"/>
      </right>
      <top/>
      <bottom style="thin">
        <color rgb="FF33A852"/>
      </bottom>
      <diagonal/>
    </border>
    <border>
      <left/>
      <right/>
      <top/>
      <bottom style="thin">
        <color rgb="FF33A852"/>
      </bottom>
      <diagonal/>
    </border>
    <border>
      <left/>
      <right style="medium">
        <color theme="0" tint="-0.499984740745262"/>
      </right>
      <top/>
      <bottom style="thin">
        <color rgb="FF33A852"/>
      </bottom>
      <diagonal/>
    </border>
    <border>
      <left/>
      <right style="medium">
        <color theme="0" tint="-0.499984740745262"/>
      </right>
      <top/>
      <bottom style="thin">
        <color rgb="FF000000"/>
      </bottom>
      <diagonal/>
    </border>
    <border>
      <left/>
      <right style="medium">
        <color theme="0" tint="-0.499984740745262"/>
      </right>
      <top/>
      <bottom style="medium">
        <color rgb="FF00B050"/>
      </bottom>
      <diagonal/>
    </border>
    <border>
      <left/>
      <right style="medium">
        <color theme="0" tint="-0.499984740745262"/>
      </right>
      <top style="thin">
        <color rgb="FF000000"/>
      </top>
      <bottom/>
      <diagonal/>
    </border>
    <border>
      <left style="medium">
        <color theme="0" tint="-0.34998626667073579"/>
      </left>
      <right/>
      <top/>
      <bottom style="medium">
        <color rgb="FF33A852"/>
      </bottom>
      <diagonal/>
    </border>
    <border>
      <left/>
      <right style="medium">
        <color theme="0" tint="-0.499984740745262"/>
      </right>
      <top style="medium">
        <color rgb="FF00B050"/>
      </top>
      <bottom/>
      <diagonal/>
    </border>
    <border>
      <left style="medium">
        <color theme="0" tint="-0.499984740745262"/>
      </left>
      <right style="thin">
        <color rgb="FFEFEFEF"/>
      </right>
      <top style="thin">
        <color rgb="FFEFEFEF"/>
      </top>
      <bottom style="medium">
        <color theme="0" tint="-0.499984740745262"/>
      </bottom>
      <diagonal/>
    </border>
    <border>
      <left/>
      <right/>
      <top/>
      <bottom style="medium">
        <color rgb="FF33A852"/>
      </bottom>
      <diagonal/>
    </border>
    <border>
      <left style="medium">
        <color theme="7"/>
      </left>
      <right style="medium">
        <color theme="7"/>
      </right>
      <top style="medium">
        <color theme="7"/>
      </top>
      <bottom/>
      <diagonal/>
    </border>
    <border>
      <left style="medium">
        <color theme="7"/>
      </left>
      <right style="medium">
        <color theme="7"/>
      </right>
      <top/>
      <bottom/>
      <diagonal/>
    </border>
    <border>
      <left style="medium">
        <color theme="7"/>
      </left>
      <right style="medium">
        <color theme="7"/>
      </right>
      <top/>
      <bottom style="medium">
        <color theme="7"/>
      </bottom>
      <diagonal/>
    </border>
    <border>
      <left style="medium">
        <color theme="7"/>
      </left>
      <right/>
      <top/>
      <bottom style="medium">
        <color theme="7"/>
      </bottom>
      <diagonal/>
    </border>
    <border>
      <left/>
      <right/>
      <top/>
      <bottom style="medium">
        <color theme="7"/>
      </bottom>
      <diagonal/>
    </border>
    <border>
      <left/>
      <right style="medium">
        <color rgb="FF34A853"/>
      </right>
      <top/>
      <bottom style="medium">
        <color theme="7"/>
      </bottom>
      <diagonal/>
    </border>
    <border>
      <left/>
      <right style="medium">
        <color theme="7"/>
      </right>
      <top/>
      <bottom/>
      <diagonal/>
    </border>
    <border>
      <left style="medium">
        <color theme="7"/>
      </left>
      <right/>
      <top/>
      <bottom/>
      <diagonal/>
    </border>
    <border>
      <left style="medium">
        <color theme="7"/>
      </left>
      <right style="thin">
        <color theme="0" tint="-0.14999847407452621"/>
      </right>
      <top/>
      <bottom style="thin">
        <color theme="0" tint="-0.14999847407452621"/>
      </bottom>
      <diagonal/>
    </border>
    <border>
      <left style="medium">
        <color theme="7" tint="-0.249977111117893"/>
      </left>
      <right/>
      <top/>
      <bottom style="medium">
        <color theme="7"/>
      </bottom>
      <diagonal/>
    </border>
    <border>
      <left/>
      <right style="medium">
        <color theme="7" tint="-0.249977111117893"/>
      </right>
      <top/>
      <bottom style="medium">
        <color theme="7"/>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0" tint="-0.34998626667073579"/>
      </top>
      <bottom style="medium">
        <color theme="7"/>
      </bottom>
      <diagonal/>
    </border>
    <border>
      <left style="medium">
        <color theme="0" tint="-0.34998626667073579"/>
      </left>
      <right/>
      <top style="thin">
        <color theme="0" tint="-0.34998626667073579"/>
      </top>
      <bottom style="medium">
        <color theme="7"/>
      </bottom>
      <diagonal/>
    </border>
    <border>
      <left/>
      <right style="medium">
        <color theme="7" tint="-0.249977111117893"/>
      </right>
      <top style="thin">
        <color theme="0" tint="-0.34998626667073579"/>
      </top>
      <bottom style="medium">
        <color theme="7"/>
      </bottom>
      <diagonal/>
    </border>
    <border>
      <left style="medium">
        <color rgb="FF00B050"/>
      </left>
      <right/>
      <top/>
      <bottom style="medium">
        <color theme="7"/>
      </bottom>
      <diagonal/>
    </border>
    <border>
      <left/>
      <right style="medium">
        <color theme="7"/>
      </right>
      <top style="medium">
        <color theme="0" tint="-0.499984740745262"/>
      </top>
      <bottom/>
      <diagonal/>
    </border>
    <border>
      <left/>
      <right style="medium">
        <color theme="7"/>
      </right>
      <top/>
      <bottom style="medium">
        <color rgb="FF00B050"/>
      </bottom>
      <diagonal/>
    </border>
    <border>
      <left style="medium">
        <color theme="7"/>
      </left>
      <right style="medium">
        <color rgb="FF00B050"/>
      </right>
      <top/>
      <bottom/>
      <diagonal/>
    </border>
    <border>
      <left style="medium">
        <color theme="7"/>
      </left>
      <right style="medium">
        <color rgb="FF00B050"/>
      </right>
      <top/>
      <bottom style="medium">
        <color theme="7"/>
      </bottom>
      <diagonal/>
    </border>
    <border>
      <left style="thin">
        <color rgb="FFD9D9D9"/>
      </left>
      <right style="thin">
        <color rgb="FFD9D9D9"/>
      </right>
      <top style="thin">
        <color rgb="FFBFBFBF"/>
      </top>
      <bottom style="medium">
        <color theme="0" tint="-0.499984740745262"/>
      </bottom>
      <diagonal/>
    </border>
    <border>
      <left style="thin">
        <color rgb="FFBFBFBF"/>
      </left>
      <right style="thin">
        <color rgb="FFCCCCCC"/>
      </right>
      <top style="thin">
        <color rgb="FFD9D9D9"/>
      </top>
      <bottom style="medium">
        <color theme="0" tint="-0.499984740745262"/>
      </bottom>
      <diagonal/>
    </border>
    <border>
      <left style="thin">
        <color rgb="FFBFBFBF"/>
      </left>
      <right style="thin">
        <color rgb="FFBFBFBF"/>
      </right>
      <top style="thin">
        <color rgb="FFBFBFBF"/>
      </top>
      <bottom style="medium">
        <color theme="0" tint="-0.499984740745262"/>
      </bottom>
      <diagonal/>
    </border>
    <border>
      <left/>
      <right style="medium">
        <color theme="7"/>
      </right>
      <top/>
      <bottom style="medium">
        <color theme="7"/>
      </bottom>
      <diagonal/>
    </border>
    <border>
      <left style="thin">
        <color rgb="FFBFBFBF"/>
      </left>
      <right style="thin">
        <color rgb="FFBFBFBF"/>
      </right>
      <top style="thin">
        <color rgb="FFBFBFBF"/>
      </top>
      <bottom style="medium">
        <color theme="7"/>
      </bottom>
      <diagonal/>
    </border>
    <border>
      <left style="thin">
        <color rgb="FFBFBFBF"/>
      </left>
      <right style="thin">
        <color rgb="FFBFBFBF"/>
      </right>
      <top style="thin">
        <color rgb="FFBFBFBF"/>
      </top>
      <bottom/>
      <diagonal/>
    </border>
    <border>
      <left/>
      <right style="medium">
        <color theme="0" tint="-0.499984740745262"/>
      </right>
      <top/>
      <bottom style="medium">
        <color theme="7"/>
      </bottom>
      <diagonal/>
    </border>
    <border>
      <left/>
      <right/>
      <top/>
      <bottom style="thin">
        <color theme="7"/>
      </bottom>
      <diagonal/>
    </border>
    <border>
      <left/>
      <right style="medium">
        <color theme="0" tint="-0.499984740745262"/>
      </right>
      <top/>
      <bottom style="thin">
        <color theme="7"/>
      </bottom>
      <diagonal/>
    </border>
    <border>
      <left style="thin">
        <color theme="0" tint="-0.14999847407452621"/>
      </left>
      <right/>
      <top/>
      <bottom style="medium">
        <color theme="7"/>
      </bottom>
      <diagonal/>
    </border>
    <border>
      <left/>
      <right style="medium">
        <color theme="0" tint="-0.499984740745262"/>
      </right>
      <top style="thin">
        <color rgb="FF33A852"/>
      </top>
      <bottom/>
      <diagonal/>
    </border>
    <border>
      <left/>
      <right style="medium">
        <color theme="0" tint="-0.499984740745262"/>
      </right>
      <top style="thin">
        <color rgb="FF000000"/>
      </top>
      <bottom style="medium">
        <color theme="0" tint="-0.499984740745262"/>
      </bottom>
      <diagonal/>
    </border>
    <border>
      <left/>
      <right/>
      <top style="thin">
        <color rgb="FF000000"/>
      </top>
      <bottom style="medium">
        <color theme="0" tint="-0.499984740745262"/>
      </bottom>
      <diagonal/>
    </border>
    <border>
      <left style="thin">
        <color theme="0" tint="-0.34998626667073579"/>
      </left>
      <right style="medium">
        <color theme="7"/>
      </right>
      <top style="thin">
        <color theme="0" tint="-0.34998626667073579"/>
      </top>
      <bottom style="thin">
        <color theme="0" tint="-0.34998626667073579"/>
      </bottom>
      <diagonal/>
    </border>
    <border>
      <left style="medium">
        <color theme="7"/>
      </left>
      <right style="thin">
        <color rgb="FFBFBFBF"/>
      </right>
      <top style="thin">
        <color rgb="FFBFBFBF"/>
      </top>
      <bottom style="thin">
        <color rgb="FFBFBFBF"/>
      </bottom>
      <diagonal/>
    </border>
    <border>
      <left style="medium">
        <color theme="7"/>
      </left>
      <right style="thin">
        <color rgb="FFBFBFBF"/>
      </right>
      <top style="thin">
        <color rgb="FFBFBFBF"/>
      </top>
      <bottom style="medium">
        <color theme="7"/>
      </bottom>
      <diagonal/>
    </border>
    <border>
      <left/>
      <right style="medium">
        <color theme="7"/>
      </right>
      <top style="thin">
        <color theme="0" tint="-0.34998626667073579"/>
      </top>
      <bottom style="medium">
        <color theme="7"/>
      </bottom>
      <diagonal/>
    </border>
    <border>
      <left style="medium">
        <color rgb="FF34A853"/>
      </left>
      <right/>
      <top/>
      <bottom style="medium">
        <color theme="7"/>
      </bottom>
      <diagonal/>
    </border>
    <border>
      <left/>
      <right/>
      <top style="thin">
        <color theme="7"/>
      </top>
      <bottom/>
      <diagonal/>
    </border>
    <border>
      <left style="thin">
        <color theme="0" tint="-0.14999847407452621"/>
      </left>
      <right style="medium">
        <color theme="0" tint="-0.499984740745262"/>
      </right>
      <top/>
      <bottom style="medium">
        <color theme="7"/>
      </bottom>
      <diagonal/>
    </border>
  </borders>
  <cellStyleXfs count="3">
    <xf numFmtId="0" fontId="0" fillId="0" borderId="0"/>
    <xf numFmtId="41" fontId="91" fillId="0" borderId="0" applyFont="0" applyFill="0" applyBorder="0" applyAlignment="0" applyProtection="0"/>
    <xf numFmtId="9" fontId="102" fillId="0" borderId="0" applyFont="0" applyFill="0" applyBorder="0" applyAlignment="0" applyProtection="0"/>
  </cellStyleXfs>
  <cellXfs count="1473">
    <xf numFmtId="0" fontId="0" fillId="0" borderId="0" xfId="0" applyFont="1" applyAlignment="1"/>
    <xf numFmtId="3" fontId="4" fillId="0" borderId="0" xfId="0" applyNumberFormat="1" applyFont="1" applyAlignment="1">
      <alignment horizontal="center" vertical="center"/>
    </xf>
    <xf numFmtId="0" fontId="1" fillId="0" borderId="0" xfId="0" applyFont="1" applyAlignment="1">
      <alignment horizontal="center" vertical="center"/>
    </xf>
    <xf numFmtId="3" fontId="3" fillId="0" borderId="0" xfId="0" applyNumberFormat="1" applyFont="1" applyAlignment="1">
      <alignment horizontal="center" vertical="center"/>
    </xf>
    <xf numFmtId="10" fontId="3" fillId="0" borderId="0" xfId="0" applyNumberFormat="1" applyFont="1" applyAlignment="1">
      <alignment horizontal="center" vertical="center"/>
    </xf>
    <xf numFmtId="0" fontId="3" fillId="0" borderId="0" xfId="0" applyFont="1" applyAlignment="1">
      <alignment horizontal="center" vertical="center"/>
    </xf>
    <xf numFmtId="169" fontId="3" fillId="0" borderId="0" xfId="0" applyNumberFormat="1" applyFont="1" applyAlignment="1">
      <alignment horizontal="center" vertical="center"/>
    </xf>
    <xf numFmtId="0" fontId="5"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vertical="center"/>
    </xf>
    <xf numFmtId="0" fontId="7" fillId="0" borderId="0" xfId="0" applyFont="1" applyAlignment="1">
      <alignment vertical="center"/>
    </xf>
    <xf numFmtId="3" fontId="7" fillId="0" borderId="0" xfId="0" applyNumberFormat="1" applyFont="1" applyAlignment="1">
      <alignment vertical="center"/>
    </xf>
    <xf numFmtId="0" fontId="9" fillId="0" borderId="0" xfId="0" applyFont="1" applyAlignment="1">
      <alignment horizontal="center" vertical="center"/>
    </xf>
    <xf numFmtId="0" fontId="10" fillId="0" borderId="0" xfId="0" applyFont="1" applyAlignment="1"/>
    <xf numFmtId="0" fontId="11" fillId="2" borderId="0" xfId="0" applyFont="1" applyFill="1" applyAlignment="1">
      <alignment horizontal="center" vertical="center"/>
    </xf>
    <xf numFmtId="0" fontId="11" fillId="0" borderId="0" xfId="0" applyFont="1" applyAlignment="1">
      <alignment horizontal="center" vertical="center"/>
    </xf>
    <xf numFmtId="0" fontId="7" fillId="0" borderId="0" xfId="0" applyFont="1"/>
    <xf numFmtId="9" fontId="7" fillId="0" borderId="0" xfId="0" applyNumberFormat="1" applyFont="1" applyAlignment="1">
      <alignment vertical="center"/>
    </xf>
    <xf numFmtId="3" fontId="9" fillId="0" borderId="0" xfId="0" applyNumberFormat="1" applyFont="1" applyAlignment="1">
      <alignment vertical="center"/>
    </xf>
    <xf numFmtId="0" fontId="9" fillId="0" borderId="0" xfId="0" applyFont="1" applyAlignment="1">
      <alignment vertical="center"/>
    </xf>
    <xf numFmtId="0" fontId="8" fillId="0" borderId="0" xfId="0" applyFont="1" applyAlignment="1">
      <alignment horizontal="center" vertical="center"/>
    </xf>
    <xf numFmtId="0" fontId="13" fillId="0" borderId="0" xfId="0" applyFont="1" applyAlignment="1">
      <alignment vertical="center"/>
    </xf>
    <xf numFmtId="0" fontId="14" fillId="0" borderId="0" xfId="0" applyFont="1" applyAlignment="1">
      <alignment vertical="center"/>
    </xf>
    <xf numFmtId="0" fontId="8" fillId="0" borderId="0" xfId="0" applyFont="1"/>
    <xf numFmtId="0" fontId="15" fillId="0" borderId="0" xfId="0" applyFont="1" applyAlignment="1">
      <alignment horizontal="center" vertical="center"/>
    </xf>
    <xf numFmtId="3" fontId="18" fillId="4" borderId="2" xfId="0" applyNumberFormat="1" applyFont="1" applyFill="1" applyBorder="1" applyAlignment="1">
      <alignment horizontal="center" vertical="center"/>
    </xf>
    <xf numFmtId="165" fontId="14" fillId="4" borderId="2" xfId="0" applyNumberFormat="1" applyFont="1" applyFill="1" applyBorder="1" applyAlignment="1">
      <alignment horizontal="left" vertical="center"/>
    </xf>
    <xf numFmtId="0" fontId="18" fillId="0" borderId="0" xfId="0" applyFont="1" applyAlignment="1">
      <alignment horizontal="center" vertical="center"/>
    </xf>
    <xf numFmtId="0" fontId="26" fillId="0" borderId="0" xfId="0" applyFont="1" applyAlignment="1">
      <alignment horizontal="center" vertical="center"/>
    </xf>
    <xf numFmtId="3" fontId="27" fillId="0" borderId="7" xfId="0" applyNumberFormat="1" applyFont="1" applyBorder="1" applyAlignment="1">
      <alignment horizontal="center" vertical="center"/>
    </xf>
    <xf numFmtId="3" fontId="27" fillId="3" borderId="6" xfId="0" applyNumberFormat="1" applyFont="1" applyFill="1" applyBorder="1" applyAlignment="1">
      <alignment horizontal="center" vertical="center"/>
    </xf>
    <xf numFmtId="3" fontId="27" fillId="3" borderId="7" xfId="0" applyNumberFormat="1" applyFont="1" applyFill="1" applyBorder="1" applyAlignment="1">
      <alignment horizontal="center" vertical="center"/>
    </xf>
    <xf numFmtId="3" fontId="27" fillId="3" borderId="8" xfId="0" applyNumberFormat="1" applyFont="1" applyFill="1" applyBorder="1" applyAlignment="1">
      <alignment horizontal="center" vertical="center"/>
    </xf>
    <xf numFmtId="0" fontId="26" fillId="0" borderId="0" xfId="0" applyFont="1" applyAlignment="1">
      <alignment vertical="center"/>
    </xf>
    <xf numFmtId="0" fontId="26" fillId="0" borderId="0" xfId="0" applyFont="1"/>
    <xf numFmtId="0" fontId="28" fillId="0" borderId="0" xfId="0" applyFont="1" applyAlignment="1">
      <alignment horizontal="center" vertical="center"/>
    </xf>
    <xf numFmtId="9" fontId="29" fillId="0" borderId="0" xfId="0" applyNumberFormat="1" applyFont="1" applyAlignment="1">
      <alignment horizontal="center" vertical="center"/>
    </xf>
    <xf numFmtId="9" fontId="30" fillId="0" borderId="0" xfId="0" applyNumberFormat="1" applyFont="1" applyAlignment="1">
      <alignment horizontal="center" vertical="center"/>
    </xf>
    <xf numFmtId="0" fontId="28" fillId="0" borderId="0" xfId="0" applyFont="1" applyAlignment="1">
      <alignment vertical="center"/>
    </xf>
    <xf numFmtId="0" fontId="28" fillId="0" borderId="0" xfId="0" applyFont="1"/>
    <xf numFmtId="0" fontId="31" fillId="10" borderId="27" xfId="0" applyFont="1" applyFill="1" applyBorder="1" applyAlignment="1">
      <alignment horizontal="center" vertical="center"/>
    </xf>
    <xf numFmtId="0" fontId="31" fillId="10" borderId="28" xfId="0" applyFont="1" applyFill="1" applyBorder="1" applyAlignment="1">
      <alignment horizontal="center" vertical="center"/>
    </xf>
    <xf numFmtId="0" fontId="31" fillId="10" borderId="10" xfId="0" applyFont="1" applyFill="1" applyBorder="1" applyAlignment="1">
      <alignment horizontal="center" vertical="center"/>
    </xf>
    <xf numFmtId="0" fontId="31" fillId="10" borderId="11" xfId="0" applyFont="1" applyFill="1" applyBorder="1" applyAlignment="1">
      <alignment horizontal="center" vertical="center"/>
    </xf>
    <xf numFmtId="3" fontId="32" fillId="0" borderId="0" xfId="0" applyNumberFormat="1" applyFont="1" applyAlignment="1">
      <alignment horizontal="center" vertical="center"/>
    </xf>
    <xf numFmtId="0" fontId="26" fillId="0" borderId="0" xfId="0" applyFont="1" applyAlignment="1">
      <alignment horizontal="center"/>
    </xf>
    <xf numFmtId="0" fontId="7" fillId="3" borderId="9" xfId="0" applyFont="1" applyFill="1" applyBorder="1"/>
    <xf numFmtId="9" fontId="33" fillId="3" borderId="10" xfId="0" applyNumberFormat="1" applyFont="1" applyFill="1" applyBorder="1" applyAlignment="1">
      <alignment horizontal="center" vertical="center"/>
    </xf>
    <xf numFmtId="9" fontId="33" fillId="3" borderId="11" xfId="0" applyNumberFormat="1" applyFont="1" applyFill="1" applyBorder="1" applyAlignment="1">
      <alignment horizontal="center" vertical="center"/>
    </xf>
    <xf numFmtId="3" fontId="34" fillId="0" borderId="10" xfId="0" applyNumberFormat="1" applyFont="1" applyBorder="1" applyAlignment="1">
      <alignment horizontal="center" vertical="center"/>
    </xf>
    <xf numFmtId="3" fontId="34" fillId="0" borderId="11" xfId="0" applyNumberFormat="1" applyFont="1" applyBorder="1" applyAlignment="1">
      <alignment horizontal="center" vertical="center"/>
    </xf>
    <xf numFmtId="0" fontId="35" fillId="0" borderId="0" xfId="0" applyFont="1" applyAlignment="1">
      <alignment horizontal="center" vertical="center"/>
    </xf>
    <xf numFmtId="0" fontId="35" fillId="0" borderId="0" xfId="0" applyFont="1" applyAlignment="1">
      <alignment vertical="center"/>
    </xf>
    <xf numFmtId="9" fontId="9" fillId="0" borderId="0" xfId="0" applyNumberFormat="1" applyFont="1" applyAlignment="1">
      <alignment vertical="center"/>
    </xf>
    <xf numFmtId="9" fontId="15" fillId="11" borderId="0" xfId="0" applyNumberFormat="1" applyFont="1" applyFill="1" applyAlignment="1">
      <alignment horizontal="center" vertical="center"/>
    </xf>
    <xf numFmtId="166" fontId="8" fillId="0" borderId="0" xfId="0" applyNumberFormat="1" applyFont="1" applyAlignment="1">
      <alignment horizontal="center" vertical="center"/>
    </xf>
    <xf numFmtId="9" fontId="38" fillId="0" borderId="0" xfId="0" applyNumberFormat="1" applyFont="1" applyAlignment="1">
      <alignment horizontal="center" vertical="center"/>
    </xf>
    <xf numFmtId="0" fontId="39" fillId="0" borderId="0" xfId="0" applyFont="1" applyAlignment="1">
      <alignment horizontal="center" vertical="center"/>
    </xf>
    <xf numFmtId="0" fontId="39" fillId="0" borderId="0" xfId="0" applyFont="1" applyAlignment="1">
      <alignment vertical="center" wrapText="1"/>
    </xf>
    <xf numFmtId="0" fontId="42" fillId="0" borderId="0" xfId="0" applyFont="1" applyAlignment="1">
      <alignment horizontal="center" vertical="center"/>
    </xf>
    <xf numFmtId="0" fontId="7" fillId="0" borderId="0" xfId="0" applyFont="1" applyAlignment="1"/>
    <xf numFmtId="1" fontId="7" fillId="0" borderId="0" xfId="0" applyNumberFormat="1" applyFont="1"/>
    <xf numFmtId="9" fontId="7" fillId="0" borderId="0" xfId="0" applyNumberFormat="1" applyFont="1"/>
    <xf numFmtId="3" fontId="7" fillId="0" borderId="0" xfId="0" applyNumberFormat="1" applyFont="1"/>
    <xf numFmtId="1" fontId="7" fillId="0" borderId="0" xfId="0" applyNumberFormat="1" applyFont="1" applyAlignment="1"/>
    <xf numFmtId="10" fontId="7" fillId="0" borderId="0" xfId="0" applyNumberFormat="1" applyFont="1"/>
    <xf numFmtId="0" fontId="45" fillId="0" borderId="0" xfId="0" applyFont="1" applyAlignment="1">
      <alignment horizontal="center" vertical="center"/>
    </xf>
    <xf numFmtId="0" fontId="10" fillId="0" borderId="0" xfId="0" applyFont="1" applyAlignment="1">
      <alignment vertical="center"/>
    </xf>
    <xf numFmtId="3" fontId="7" fillId="0" borderId="21" xfId="0" applyNumberFormat="1" applyFont="1" applyBorder="1" applyAlignment="1">
      <alignment vertical="center"/>
    </xf>
    <xf numFmtId="9" fontId="48" fillId="0" borderId="24" xfId="0" applyNumberFormat="1" applyFont="1" applyBorder="1" applyAlignment="1">
      <alignment vertical="center"/>
    </xf>
    <xf numFmtId="3" fontId="7" fillId="0" borderId="26" xfId="0" applyNumberFormat="1" applyFont="1" applyBorder="1" applyAlignment="1">
      <alignment vertical="center"/>
    </xf>
    <xf numFmtId="9" fontId="43" fillId="3" borderId="0" xfId="0" applyNumberFormat="1" applyFont="1" applyFill="1" applyAlignment="1">
      <alignment horizontal="center" vertical="center"/>
    </xf>
    <xf numFmtId="3" fontId="7" fillId="0" borderId="0" xfId="0" applyNumberFormat="1" applyFont="1" applyAlignment="1">
      <alignment horizontal="right" vertical="center"/>
    </xf>
    <xf numFmtId="3" fontId="8" fillId="0" borderId="21" xfId="0" applyNumberFormat="1" applyFont="1" applyBorder="1" applyAlignment="1">
      <alignment vertical="center"/>
    </xf>
    <xf numFmtId="9" fontId="7" fillId="0" borderId="0" xfId="0" applyNumberFormat="1" applyFont="1" applyAlignment="1">
      <alignment horizontal="right" vertical="center"/>
    </xf>
    <xf numFmtId="10" fontId="7" fillId="0" borderId="21" xfId="0" applyNumberFormat="1" applyFont="1" applyBorder="1" applyAlignment="1">
      <alignment vertical="center"/>
    </xf>
    <xf numFmtId="9" fontId="48" fillId="0" borderId="22" xfId="0" applyNumberFormat="1" applyFont="1" applyBorder="1" applyAlignment="1">
      <alignment vertical="center"/>
    </xf>
    <xf numFmtId="9" fontId="45" fillId="0" borderId="0" xfId="0" applyNumberFormat="1" applyFont="1" applyAlignment="1">
      <alignment horizontal="center" vertical="center"/>
    </xf>
    <xf numFmtId="9" fontId="50" fillId="0" borderId="22" xfId="0" applyNumberFormat="1" applyFont="1" applyBorder="1" applyAlignment="1">
      <alignment vertical="center"/>
    </xf>
    <xf numFmtId="9" fontId="50" fillId="0" borderId="24" xfId="0" applyNumberFormat="1" applyFont="1" applyBorder="1" applyAlignment="1">
      <alignment vertical="center"/>
    </xf>
    <xf numFmtId="0" fontId="8" fillId="0" borderId="0" xfId="0" applyFont="1" applyAlignment="1">
      <alignment horizontal="center" vertical="center" wrapText="1"/>
    </xf>
    <xf numFmtId="168" fontId="53" fillId="0" borderId="0" xfId="0" applyNumberFormat="1" applyFont="1"/>
    <xf numFmtId="164" fontId="53" fillId="39" borderId="0" xfId="0" applyNumberFormat="1" applyFont="1" applyFill="1"/>
    <xf numFmtId="164" fontId="37" fillId="39" borderId="32" xfId="0" applyNumberFormat="1" applyFont="1" applyFill="1" applyBorder="1" applyAlignment="1">
      <alignment horizontal="center" vertical="center"/>
    </xf>
    <xf numFmtId="0" fontId="55" fillId="43" borderId="0" xfId="0" applyFont="1" applyFill="1" applyAlignment="1">
      <alignment horizontal="center" vertical="center" wrapText="1"/>
    </xf>
    <xf numFmtId="0" fontId="56" fillId="43" borderId="0" xfId="0" applyFont="1" applyFill="1" applyAlignment="1">
      <alignment horizontal="center" vertical="center"/>
    </xf>
    <xf numFmtId="0" fontId="57" fillId="43" borderId="0" xfId="0" applyFont="1" applyFill="1" applyAlignment="1">
      <alignment horizontal="center" vertical="center"/>
    </xf>
    <xf numFmtId="0" fontId="58" fillId="43" borderId="0" xfId="0" applyFont="1" applyFill="1" applyAlignment="1">
      <alignment horizontal="center" vertical="center"/>
    </xf>
    <xf numFmtId="0" fontId="37" fillId="42" borderId="35" xfId="0" applyFont="1" applyFill="1" applyBorder="1" applyAlignment="1">
      <alignment horizontal="center" vertical="center" wrapText="1"/>
    </xf>
    <xf numFmtId="0" fontId="37" fillId="41" borderId="33" xfId="0" applyFont="1" applyFill="1" applyBorder="1" applyAlignment="1">
      <alignment horizontal="center" vertical="center"/>
    </xf>
    <xf numFmtId="0" fontId="37" fillId="10" borderId="33" xfId="0" applyFont="1" applyFill="1" applyBorder="1" applyAlignment="1">
      <alignment horizontal="center" vertical="center"/>
    </xf>
    <xf numFmtId="0" fontId="37" fillId="41" borderId="34" xfId="0" applyFont="1" applyFill="1" applyBorder="1" applyAlignment="1">
      <alignment horizontal="center" vertical="center"/>
    </xf>
    <xf numFmtId="164" fontId="37" fillId="0" borderId="0" xfId="0" applyNumberFormat="1" applyFont="1"/>
    <xf numFmtId="0" fontId="37" fillId="42" borderId="0" xfId="0" applyFont="1" applyFill="1" applyAlignment="1">
      <alignment horizontal="center" vertical="center"/>
    </xf>
    <xf numFmtId="0" fontId="60" fillId="0" borderId="0" xfId="0" applyFont="1" applyAlignment="1">
      <alignment horizontal="center" vertical="center"/>
    </xf>
    <xf numFmtId="3" fontId="37" fillId="42" borderId="0" xfId="0" applyNumberFormat="1" applyFont="1" applyFill="1" applyAlignment="1">
      <alignment horizontal="left" vertical="center" wrapText="1" indent="1"/>
    </xf>
    <xf numFmtId="0" fontId="8" fillId="46" borderId="0" xfId="0" applyFont="1" applyFill="1" applyAlignment="1">
      <alignment horizontal="left" vertical="center" wrapText="1" indent="1"/>
    </xf>
    <xf numFmtId="0" fontId="54" fillId="42" borderId="0" xfId="0" applyFont="1" applyFill="1" applyAlignment="1">
      <alignment horizontal="right" vertical="center" indent="1"/>
    </xf>
    <xf numFmtId="166" fontId="54" fillId="42" borderId="0" xfId="0" applyNumberFormat="1" applyFont="1" applyFill="1" applyAlignment="1">
      <alignment horizontal="right" vertical="center" indent="1"/>
    </xf>
    <xf numFmtId="0" fontId="8" fillId="46" borderId="0" xfId="0" applyFont="1" applyFill="1" applyAlignment="1">
      <alignment horizontal="right" vertical="center" wrapText="1" indent="1"/>
    </xf>
    <xf numFmtId="0" fontId="10" fillId="0" borderId="0" xfId="0" applyFont="1" applyAlignment="1"/>
    <xf numFmtId="0" fontId="59" fillId="44" borderId="44" xfId="0" applyFont="1" applyFill="1" applyBorder="1" applyAlignment="1">
      <alignment horizontal="center" vertical="center" wrapText="1"/>
    </xf>
    <xf numFmtId="0" fontId="59" fillId="42" borderId="44" xfId="0" applyFont="1" applyFill="1" applyBorder="1" applyAlignment="1">
      <alignment horizontal="center" vertical="center" wrapText="1"/>
    </xf>
    <xf numFmtId="0" fontId="10" fillId="0" borderId="46" xfId="0" applyFont="1" applyBorder="1" applyAlignment="1"/>
    <xf numFmtId="0" fontId="7" fillId="20" borderId="46" xfId="0" applyFont="1" applyFill="1" applyBorder="1" applyAlignment="1">
      <alignment vertical="center"/>
    </xf>
    <xf numFmtId="0" fontId="37" fillId="0" borderId="0" xfId="0" applyFont="1" applyFill="1" applyAlignment="1">
      <alignment horizontal="center" vertical="center"/>
    </xf>
    <xf numFmtId="0" fontId="10" fillId="0" borderId="0" xfId="0" applyFont="1" applyAlignment="1"/>
    <xf numFmtId="49" fontId="7" fillId="20" borderId="46" xfId="0" applyNumberFormat="1" applyFont="1" applyFill="1" applyBorder="1" applyAlignment="1">
      <alignment vertical="center"/>
    </xf>
    <xf numFmtId="49" fontId="41" fillId="20" borderId="46" xfId="0" applyNumberFormat="1" applyFont="1" applyFill="1" applyBorder="1" applyAlignment="1">
      <alignment vertical="center"/>
    </xf>
    <xf numFmtId="0" fontId="53" fillId="0" borderId="0" xfId="0" applyFont="1" applyAlignment="1"/>
    <xf numFmtId="168" fontId="7" fillId="0" borderId="0" xfId="0" applyNumberFormat="1" applyFont="1" applyAlignment="1"/>
    <xf numFmtId="0" fontId="10" fillId="0" borderId="45" xfId="0" applyFont="1" applyBorder="1" applyAlignment="1"/>
    <xf numFmtId="0" fontId="37" fillId="0" borderId="0" xfId="0" applyFont="1" applyAlignment="1">
      <alignment horizontal="center" vertical="center"/>
    </xf>
    <xf numFmtId="168" fontId="7" fillId="0" borderId="0" xfId="0" applyNumberFormat="1" applyFont="1" applyAlignment="1">
      <alignment horizontal="center" vertical="center"/>
    </xf>
    <xf numFmtId="164" fontId="53" fillId="0" borderId="0" xfId="0" applyNumberFormat="1" applyFont="1" applyFill="1"/>
    <xf numFmtId="0" fontId="65" fillId="0" borderId="0" xfId="0" applyFont="1" applyFill="1" applyAlignment="1">
      <alignment horizontal="center" vertical="center"/>
    </xf>
    <xf numFmtId="0" fontId="37" fillId="49" borderId="33" xfId="0" applyFont="1" applyFill="1" applyBorder="1" applyAlignment="1">
      <alignment horizontal="center" vertical="center"/>
    </xf>
    <xf numFmtId="0" fontId="8" fillId="0" borderId="35" xfId="0" applyFont="1" applyFill="1" applyBorder="1" applyAlignment="1">
      <alignment horizontal="center" vertical="center" wrapText="1"/>
    </xf>
    <xf numFmtId="49" fontId="7" fillId="20" borderId="40" xfId="0" applyNumberFormat="1" applyFont="1" applyFill="1" applyBorder="1" applyAlignment="1">
      <alignment vertical="center"/>
    </xf>
    <xf numFmtId="0" fontId="7" fillId="20" borderId="41" xfId="0" applyFont="1" applyFill="1" applyBorder="1" applyAlignment="1">
      <alignment vertical="center"/>
    </xf>
    <xf numFmtId="49" fontId="41" fillId="20" borderId="41" xfId="0" applyNumberFormat="1" applyFont="1" applyFill="1" applyBorder="1" applyAlignment="1">
      <alignment vertical="center"/>
    </xf>
    <xf numFmtId="49" fontId="7" fillId="20" borderId="41" xfId="0" applyNumberFormat="1" applyFont="1" applyFill="1" applyBorder="1" applyAlignment="1">
      <alignment vertical="center"/>
    </xf>
    <xf numFmtId="0" fontId="7" fillId="20" borderId="42" xfId="0" applyFont="1" applyFill="1" applyBorder="1" applyAlignment="1">
      <alignment vertical="center"/>
    </xf>
    <xf numFmtId="0" fontId="7" fillId="20" borderId="35" xfId="0" applyFont="1" applyFill="1" applyBorder="1" applyAlignment="1">
      <alignment vertical="center"/>
    </xf>
    <xf numFmtId="49" fontId="7" fillId="20" borderId="37" xfId="0" applyNumberFormat="1" applyFont="1" applyFill="1" applyBorder="1" applyAlignment="1">
      <alignment vertical="center"/>
    </xf>
    <xf numFmtId="0" fontId="7" fillId="0" borderId="38" xfId="0" applyFont="1" applyBorder="1" applyAlignment="1">
      <alignment vertical="center" wrapText="1"/>
    </xf>
    <xf numFmtId="49" fontId="41" fillId="20" borderId="38" xfId="0" applyNumberFormat="1" applyFont="1" applyFill="1" applyBorder="1" applyAlignment="1">
      <alignment vertical="center"/>
    </xf>
    <xf numFmtId="49" fontId="7" fillId="20" borderId="38" xfId="0" applyNumberFormat="1" applyFont="1" applyFill="1" applyBorder="1" applyAlignment="1">
      <alignment vertical="center"/>
    </xf>
    <xf numFmtId="0" fontId="7" fillId="20" borderId="39" xfId="0" applyFont="1" applyFill="1" applyBorder="1" applyAlignment="1">
      <alignment vertical="center"/>
    </xf>
    <xf numFmtId="164" fontId="41" fillId="20" borderId="38" xfId="0" applyNumberFormat="1" applyFont="1" applyFill="1" applyBorder="1" applyAlignment="1">
      <alignment horizontal="center" vertical="center"/>
    </xf>
    <xf numFmtId="164" fontId="41" fillId="20" borderId="41" xfId="0" applyNumberFormat="1" applyFont="1" applyFill="1" applyBorder="1" applyAlignment="1">
      <alignment horizontal="center" vertical="center"/>
    </xf>
    <xf numFmtId="49" fontId="7" fillId="20" borderId="35" xfId="0" applyNumberFormat="1" applyFont="1" applyFill="1" applyBorder="1" applyAlignment="1">
      <alignment vertical="center"/>
    </xf>
    <xf numFmtId="0" fontId="7" fillId="0" borderId="35" xfId="0" applyFont="1" applyBorder="1" applyAlignment="1">
      <alignment vertical="center" wrapText="1"/>
    </xf>
    <xf numFmtId="49" fontId="41" fillId="20" borderId="35" xfId="0" applyNumberFormat="1" applyFont="1" applyFill="1" applyBorder="1" applyAlignment="1">
      <alignment vertical="center"/>
    </xf>
    <xf numFmtId="164" fontId="41" fillId="20" borderId="35" xfId="0" applyNumberFormat="1" applyFont="1" applyFill="1" applyBorder="1" applyAlignment="1">
      <alignment horizontal="center" vertical="center"/>
    </xf>
    <xf numFmtId="0" fontId="10" fillId="0" borderId="35" xfId="0" applyFont="1" applyFill="1" applyBorder="1" applyAlignment="1"/>
    <xf numFmtId="0" fontId="7" fillId="28" borderId="38" xfId="0" applyFont="1" applyFill="1" applyBorder="1" applyAlignment="1">
      <alignment horizontal="center" vertical="center"/>
    </xf>
    <xf numFmtId="0" fontId="7" fillId="20" borderId="38" xfId="0" applyFont="1" applyFill="1" applyBorder="1" applyAlignment="1">
      <alignment horizontal="center" vertical="center"/>
    </xf>
    <xf numFmtId="0" fontId="7" fillId="28" borderId="41" xfId="0" applyFont="1" applyFill="1" applyBorder="1" applyAlignment="1">
      <alignment horizontal="center" vertical="center"/>
    </xf>
    <xf numFmtId="0" fontId="7" fillId="20" borderId="41" xfId="0" applyFont="1" applyFill="1" applyBorder="1" applyAlignment="1">
      <alignment horizontal="center" vertical="center"/>
    </xf>
    <xf numFmtId="0" fontId="7" fillId="28" borderId="46" xfId="0" applyFont="1" applyFill="1" applyBorder="1" applyAlignment="1">
      <alignment horizontal="center" vertical="center"/>
    </xf>
    <xf numFmtId="0" fontId="7" fillId="20" borderId="46" xfId="0" applyFont="1" applyFill="1" applyBorder="1" applyAlignment="1">
      <alignment horizontal="center" vertical="center"/>
    </xf>
    <xf numFmtId="164" fontId="41" fillId="20" borderId="46" xfId="0" applyNumberFormat="1" applyFont="1" applyFill="1" applyBorder="1" applyAlignment="1">
      <alignment horizontal="center" vertical="center"/>
    </xf>
    <xf numFmtId="164" fontId="10" fillId="0" borderId="46" xfId="0" applyNumberFormat="1" applyFont="1" applyBorder="1" applyAlignment="1">
      <alignment horizontal="center" vertical="center"/>
    </xf>
    <xf numFmtId="0" fontId="10" fillId="0" borderId="46" xfId="0" applyFont="1" applyBorder="1" applyAlignment="1">
      <alignment horizontal="center" vertical="center"/>
    </xf>
    <xf numFmtId="0" fontId="7" fillId="0" borderId="35" xfId="0" applyFont="1" applyFill="1" applyBorder="1" applyAlignment="1">
      <alignment horizontal="center" vertical="center"/>
    </xf>
    <xf numFmtId="0" fontId="7" fillId="20" borderId="35" xfId="0" applyFont="1" applyFill="1" applyBorder="1" applyAlignment="1">
      <alignment horizontal="center" vertical="center"/>
    </xf>
    <xf numFmtId="0" fontId="39" fillId="0" borderId="0" xfId="0" applyFont="1" applyAlignment="1">
      <alignment vertical="center" wrapText="1"/>
    </xf>
    <xf numFmtId="0" fontId="0" fillId="0" borderId="0" xfId="0" applyFont="1" applyAlignment="1">
      <alignment vertical="center"/>
    </xf>
    <xf numFmtId="0" fontId="0" fillId="0" borderId="0" xfId="0" applyFont="1" applyAlignment="1">
      <alignment horizontal="right" vertical="center" indent="1"/>
    </xf>
    <xf numFmtId="0" fontId="2" fillId="0" borderId="0" xfId="0" applyFont="1" applyAlignment="1">
      <alignment horizontal="right" vertical="center" indent="1"/>
    </xf>
    <xf numFmtId="0" fontId="8" fillId="0" borderId="0" xfId="0" applyFont="1" applyAlignment="1">
      <alignment horizontal="right" vertical="center" wrapText="1" indent="1"/>
    </xf>
    <xf numFmtId="3" fontId="8" fillId="0" borderId="0" xfId="0" applyNumberFormat="1" applyFont="1" applyAlignment="1">
      <alignment horizontal="center" vertical="center" wrapText="1"/>
    </xf>
    <xf numFmtId="168" fontId="53" fillId="0" borderId="0" xfId="0" applyNumberFormat="1" applyFont="1" applyAlignment="1">
      <alignment vertical="center"/>
    </xf>
    <xf numFmtId="0" fontId="53" fillId="0" borderId="0" xfId="0" applyFont="1" applyAlignment="1">
      <alignment horizontal="right" vertical="center" wrapText="1" indent="1"/>
    </xf>
    <xf numFmtId="0" fontId="10" fillId="0" borderId="0" xfId="0" applyFont="1" applyAlignment="1">
      <alignment horizontal="right" vertical="center" indent="1"/>
    </xf>
    <xf numFmtId="164" fontId="37" fillId="0" borderId="0" xfId="0" applyNumberFormat="1" applyFont="1" applyAlignment="1">
      <alignment vertical="center"/>
    </xf>
    <xf numFmtId="168" fontId="53" fillId="0" borderId="0" xfId="0" applyNumberFormat="1" applyFont="1" applyAlignment="1">
      <alignment horizontal="right" vertical="center" indent="1"/>
    </xf>
    <xf numFmtId="3" fontId="53" fillId="39" borderId="0" xfId="0" applyNumberFormat="1" applyFont="1" applyFill="1" applyAlignment="1">
      <alignment vertical="center"/>
    </xf>
    <xf numFmtId="164" fontId="53" fillId="39" borderId="0" xfId="0" applyNumberFormat="1" applyFont="1" applyFill="1" applyAlignment="1">
      <alignment vertical="center"/>
    </xf>
    <xf numFmtId="3" fontId="37" fillId="41" borderId="33" xfId="0" applyNumberFormat="1" applyFont="1" applyFill="1" applyBorder="1" applyAlignment="1">
      <alignment horizontal="center" vertical="center"/>
    </xf>
    <xf numFmtId="0" fontId="66" fillId="6" borderId="0" xfId="0" applyFont="1" applyFill="1" applyAlignment="1">
      <alignment horizontal="right" vertical="center" wrapText="1" indent="1"/>
    </xf>
    <xf numFmtId="3" fontId="53" fillId="6" borderId="0" xfId="0" applyNumberFormat="1" applyFont="1" applyFill="1" applyAlignment="1">
      <alignment horizontal="center" vertical="center"/>
    </xf>
    <xf numFmtId="3" fontId="67" fillId="6" borderId="0" xfId="0" applyNumberFormat="1" applyFont="1" applyFill="1" applyAlignment="1">
      <alignment horizontal="center" vertical="center"/>
    </xf>
    <xf numFmtId="3" fontId="68" fillId="6" borderId="0" xfId="0" applyNumberFormat="1" applyFont="1" applyFill="1" applyAlignment="1">
      <alignment horizontal="center" vertical="center"/>
    </xf>
    <xf numFmtId="10" fontId="53" fillId="6" borderId="0" xfId="0" applyNumberFormat="1" applyFont="1" applyFill="1" applyAlignment="1">
      <alignment horizontal="center" vertical="center"/>
    </xf>
    <xf numFmtId="0" fontId="53" fillId="6" borderId="0" xfId="0" applyFont="1" applyFill="1" applyAlignment="1">
      <alignment horizontal="center" vertical="center"/>
    </xf>
    <xf numFmtId="3" fontId="8" fillId="6" borderId="0" xfId="0" applyNumberFormat="1" applyFont="1" applyFill="1" applyAlignment="1">
      <alignment horizontal="center" vertical="center"/>
    </xf>
    <xf numFmtId="3" fontId="67" fillId="0" borderId="0" xfId="0" applyNumberFormat="1" applyFont="1" applyAlignment="1">
      <alignment horizontal="center" vertical="center"/>
    </xf>
    <xf numFmtId="3" fontId="68" fillId="0" borderId="0" xfId="0" applyNumberFormat="1" applyFont="1" applyAlignment="1">
      <alignment horizontal="center" vertical="center"/>
    </xf>
    <xf numFmtId="10" fontId="53" fillId="0" borderId="0" xfId="0" applyNumberFormat="1" applyFont="1" applyAlignment="1">
      <alignment horizontal="center" vertical="center"/>
    </xf>
    <xf numFmtId="0" fontId="7" fillId="0" borderId="0" xfId="0" applyFont="1" applyAlignment="1">
      <alignment horizontal="right" vertical="center"/>
    </xf>
    <xf numFmtId="3" fontId="7" fillId="6" borderId="0" xfId="0" applyNumberFormat="1" applyFont="1" applyFill="1" applyAlignment="1">
      <alignment horizontal="center" vertical="center"/>
    </xf>
    <xf numFmtId="0" fontId="7" fillId="6" borderId="0" xfId="0" applyFont="1" applyFill="1" applyAlignment="1">
      <alignment horizontal="center" vertical="center"/>
    </xf>
    <xf numFmtId="0" fontId="53" fillId="20" borderId="0" xfId="0" applyFont="1" applyFill="1" applyAlignment="1">
      <alignment horizontal="center" vertical="center"/>
    </xf>
    <xf numFmtId="0" fontId="7" fillId="0" borderId="22" xfId="0" applyFont="1" applyBorder="1" applyAlignment="1">
      <alignment horizontal="right" vertical="center" indent="1"/>
    </xf>
    <xf numFmtId="1" fontId="7" fillId="0" borderId="0" xfId="0" applyNumberFormat="1" applyFont="1" applyAlignment="1">
      <alignment vertical="center"/>
    </xf>
    <xf numFmtId="10" fontId="7" fillId="0" borderId="0" xfId="0" applyNumberFormat="1" applyFont="1" applyAlignment="1">
      <alignment horizontal="right" vertical="center"/>
    </xf>
    <xf numFmtId="0" fontId="43" fillId="0" borderId="22" xfId="0" applyFont="1" applyBorder="1" applyAlignment="1">
      <alignment horizontal="right" vertical="center" indent="1"/>
    </xf>
    <xf numFmtId="3" fontId="6" fillId="0" borderId="0" xfId="0" applyNumberFormat="1" applyFont="1" applyAlignment="1">
      <alignment horizontal="right" vertical="center"/>
    </xf>
    <xf numFmtId="9" fontId="43" fillId="0" borderId="0" xfId="0" applyNumberFormat="1" applyFont="1" applyAlignment="1">
      <alignment horizontal="center" vertical="center"/>
    </xf>
    <xf numFmtId="169" fontId="53" fillId="0" borderId="0" xfId="0" applyNumberFormat="1" applyFont="1" applyAlignment="1">
      <alignment horizontal="center" vertical="center"/>
    </xf>
    <xf numFmtId="9" fontId="68" fillId="0" borderId="0" xfId="0" applyNumberFormat="1" applyFont="1" applyAlignment="1">
      <alignment horizontal="center" vertical="center"/>
    </xf>
    <xf numFmtId="0" fontId="7" fillId="0" borderId="35" xfId="0" applyFont="1" applyBorder="1" applyAlignment="1">
      <alignment horizontal="right" vertical="center"/>
    </xf>
    <xf numFmtId="0" fontId="8" fillId="0" borderId="35" xfId="0" applyFont="1" applyBorder="1" applyAlignment="1">
      <alignment vertical="center"/>
    </xf>
    <xf numFmtId="3" fontId="56" fillId="0" borderId="0" xfId="0" applyNumberFormat="1" applyFont="1" applyAlignment="1">
      <alignment horizontal="center" vertical="center"/>
    </xf>
    <xf numFmtId="3" fontId="56" fillId="6" borderId="0" xfId="0" applyNumberFormat="1" applyFont="1" applyFill="1" applyAlignment="1">
      <alignment horizontal="center" vertical="center"/>
    </xf>
    <xf numFmtId="3" fontId="57" fillId="6" borderId="0" xfId="0" applyNumberFormat="1" applyFont="1" applyFill="1" applyAlignment="1">
      <alignment horizontal="center" vertical="center"/>
    </xf>
    <xf numFmtId="10" fontId="7" fillId="0" borderId="0" xfId="0" applyNumberFormat="1" applyFont="1" applyAlignment="1">
      <alignment vertical="center"/>
    </xf>
    <xf numFmtId="10" fontId="7" fillId="0" borderId="0" xfId="0" applyNumberFormat="1" applyFont="1" applyAlignment="1">
      <alignment horizontal="center" vertical="center"/>
    </xf>
    <xf numFmtId="0" fontId="7" fillId="0" borderId="0" xfId="0" applyFont="1" applyFill="1" applyAlignment="1">
      <alignment vertical="center"/>
    </xf>
    <xf numFmtId="0" fontId="56" fillId="6" borderId="0" xfId="0" applyFont="1" applyFill="1" applyAlignment="1">
      <alignment horizontal="center" vertical="center"/>
    </xf>
    <xf numFmtId="3" fontId="75" fillId="6" borderId="0" xfId="0" applyNumberFormat="1" applyFont="1" applyFill="1" applyAlignment="1">
      <alignment horizontal="center" vertical="center"/>
    </xf>
    <xf numFmtId="9" fontId="7" fillId="0" borderId="0" xfId="0" applyNumberFormat="1" applyFont="1" applyAlignment="1">
      <alignment vertical="center" wrapText="1"/>
    </xf>
    <xf numFmtId="0" fontId="20" fillId="9" borderId="0" xfId="0" applyFont="1" applyFill="1" applyAlignment="1">
      <alignment horizontal="center" vertical="center" wrapText="1"/>
    </xf>
    <xf numFmtId="166" fontId="15" fillId="0" borderId="0" xfId="0" applyNumberFormat="1" applyFont="1" applyAlignment="1">
      <alignment horizontal="center" vertical="center" wrapText="1"/>
    </xf>
    <xf numFmtId="10" fontId="76" fillId="0" borderId="0" xfId="0" applyNumberFormat="1" applyFont="1" applyAlignment="1">
      <alignment horizontal="center" vertical="center" wrapText="1"/>
    </xf>
    <xf numFmtId="0" fontId="7" fillId="0" borderId="0" xfId="0" applyFont="1" applyAlignment="1">
      <alignment vertical="center" wrapText="1"/>
    </xf>
    <xf numFmtId="9" fontId="73" fillId="0" borderId="0" xfId="0" applyNumberFormat="1" applyFont="1" applyAlignment="1">
      <alignment horizontal="center" vertical="center"/>
    </xf>
    <xf numFmtId="10" fontId="73" fillId="0" borderId="0" xfId="0" applyNumberFormat="1" applyFont="1" applyAlignment="1">
      <alignment horizontal="center" vertical="center"/>
    </xf>
    <xf numFmtId="0" fontId="7" fillId="0" borderId="21" xfId="0" applyFont="1" applyBorder="1" applyAlignment="1">
      <alignment vertical="center"/>
    </xf>
    <xf numFmtId="9" fontId="44" fillId="0" borderId="0" xfId="0" applyNumberFormat="1" applyFont="1" applyAlignment="1">
      <alignment horizontal="center" vertical="center"/>
    </xf>
    <xf numFmtId="3" fontId="44" fillId="0" borderId="0" xfId="0" applyNumberFormat="1" applyFont="1" applyAlignment="1">
      <alignment horizontal="center" vertical="center"/>
    </xf>
    <xf numFmtId="1" fontId="44" fillId="0" borderId="0" xfId="0" applyNumberFormat="1" applyFont="1" applyAlignment="1">
      <alignment horizontal="center" vertical="center"/>
    </xf>
    <xf numFmtId="1" fontId="7" fillId="0" borderId="0" xfId="0" applyNumberFormat="1" applyFont="1" applyAlignment="1">
      <alignment horizontal="right" vertical="center"/>
    </xf>
    <xf numFmtId="3" fontId="7" fillId="0" borderId="21" xfId="0" applyNumberFormat="1" applyFont="1" applyBorder="1" applyAlignment="1">
      <alignment horizontal="center" vertical="center"/>
    </xf>
    <xf numFmtId="0" fontId="7" fillId="0" borderId="22" xfId="0" applyFont="1" applyBorder="1" applyAlignment="1">
      <alignment vertical="center"/>
    </xf>
    <xf numFmtId="3" fontId="7" fillId="0" borderId="0" xfId="0" applyNumberFormat="1" applyFont="1" applyAlignment="1">
      <alignment horizontal="center" vertical="center"/>
    </xf>
    <xf numFmtId="9" fontId="7" fillId="0" borderId="0" xfId="0" applyNumberFormat="1" applyFont="1" applyAlignment="1">
      <alignment horizontal="center" vertical="center"/>
    </xf>
    <xf numFmtId="1" fontId="20" fillId="25" borderId="0" xfId="0" applyNumberFormat="1" applyFont="1" applyFill="1" applyAlignment="1">
      <alignment horizontal="center" vertical="center"/>
    </xf>
    <xf numFmtId="0" fontId="20" fillId="25" borderId="0" xfId="0" applyFont="1" applyFill="1" applyAlignment="1">
      <alignment horizontal="center" vertical="center"/>
    </xf>
    <xf numFmtId="3" fontId="20" fillId="25" borderId="0" xfId="0" applyNumberFormat="1" applyFont="1" applyFill="1" applyAlignment="1">
      <alignment horizontal="center" vertical="center"/>
    </xf>
    <xf numFmtId="1" fontId="20" fillId="25" borderId="22" xfId="0" applyNumberFormat="1" applyFont="1" applyFill="1" applyBorder="1" applyAlignment="1">
      <alignment horizontal="center" vertical="center"/>
    </xf>
    <xf numFmtId="0" fontId="20" fillId="25" borderId="21" xfId="0" applyFont="1" applyFill="1" applyBorder="1" applyAlignment="1">
      <alignment horizontal="center" vertical="center"/>
    </xf>
    <xf numFmtId="3" fontId="7" fillId="0" borderId="0" xfId="0" applyNumberFormat="1" applyFont="1" applyAlignment="1">
      <alignment vertical="center" wrapText="1"/>
    </xf>
    <xf numFmtId="0" fontId="9" fillId="0" borderId="0" xfId="0" applyFont="1" applyAlignment="1">
      <alignment horizontal="center" vertical="center" wrapText="1"/>
    </xf>
    <xf numFmtId="3" fontId="9" fillId="0" borderId="0" xfId="0" applyNumberFormat="1" applyFont="1" applyAlignment="1">
      <alignment vertical="center" wrapText="1"/>
    </xf>
    <xf numFmtId="0" fontId="9" fillId="0" borderId="0" xfId="0" applyFont="1" applyAlignment="1">
      <alignment vertical="center" wrapText="1"/>
    </xf>
    <xf numFmtId="164" fontId="9" fillId="3" borderId="1" xfId="0" applyNumberFormat="1" applyFont="1" applyFill="1" applyBorder="1" applyAlignment="1">
      <alignment horizontal="left" vertical="center" wrapText="1"/>
    </xf>
    <xf numFmtId="3" fontId="18" fillId="4" borderId="2" xfId="0" applyNumberFormat="1" applyFont="1" applyFill="1" applyBorder="1" applyAlignment="1">
      <alignment horizontal="center" vertical="center" wrapText="1"/>
    </xf>
    <xf numFmtId="165" fontId="9" fillId="4" borderId="2" xfId="0" applyNumberFormat="1" applyFont="1" applyFill="1" applyBorder="1" applyAlignment="1">
      <alignment horizontal="left" vertical="center" wrapText="1"/>
    </xf>
    <xf numFmtId="0" fontId="25" fillId="9" borderId="6" xfId="0" applyFont="1" applyFill="1" applyBorder="1" applyAlignment="1">
      <alignment horizontal="center" vertical="center" wrapText="1"/>
    </xf>
    <xf numFmtId="0" fontId="78" fillId="0" borderId="0" xfId="0" applyFont="1" applyAlignment="1">
      <alignment vertical="center" wrapText="1"/>
    </xf>
    <xf numFmtId="166" fontId="27" fillId="0" borderId="6" xfId="0" applyNumberFormat="1" applyFont="1" applyBorder="1" applyAlignment="1">
      <alignment horizontal="center" vertical="center" wrapText="1"/>
    </xf>
    <xf numFmtId="0" fontId="28" fillId="0" borderId="0" xfId="0" applyFont="1" applyAlignment="1">
      <alignment vertical="center" wrapText="1"/>
    </xf>
    <xf numFmtId="3" fontId="34" fillId="0" borderId="0" xfId="0" applyNumberFormat="1" applyFont="1" applyAlignment="1">
      <alignment horizontal="center" vertical="center" wrapText="1"/>
    </xf>
    <xf numFmtId="0" fontId="34" fillId="0" borderId="0" xfId="0" applyFont="1" applyAlignment="1">
      <alignment horizontal="center" vertical="center" wrapText="1"/>
    </xf>
    <xf numFmtId="9" fontId="9" fillId="0" borderId="0" xfId="0" applyNumberFormat="1" applyFont="1" applyAlignment="1">
      <alignment vertical="center" wrapText="1"/>
    </xf>
    <xf numFmtId="0" fontId="6" fillId="0" borderId="0" xfId="0" applyFont="1" applyAlignment="1">
      <alignment vertical="center" wrapText="1"/>
    </xf>
    <xf numFmtId="9" fontId="35" fillId="0" borderId="0" xfId="0" applyNumberFormat="1" applyFont="1" applyAlignment="1">
      <alignment horizontal="center" vertical="center" wrapText="1"/>
    </xf>
    <xf numFmtId="0" fontId="20" fillId="0" borderId="0" xfId="0" applyFont="1" applyAlignment="1">
      <alignment horizontal="right" vertical="center" wrapText="1"/>
    </xf>
    <xf numFmtId="0" fontId="31" fillId="0" borderId="0" xfId="0" applyFont="1" applyAlignment="1">
      <alignment horizontal="center" vertical="center" wrapText="1"/>
    </xf>
    <xf numFmtId="0" fontId="7" fillId="0" borderId="0" xfId="0" applyFont="1" applyAlignment="1">
      <alignment horizontal="center" vertical="center" wrapText="1"/>
    </xf>
    <xf numFmtId="9" fontId="40" fillId="11" borderId="0" xfId="0" applyNumberFormat="1" applyFont="1" applyFill="1" applyAlignment="1">
      <alignment horizontal="center" vertical="center" wrapText="1"/>
    </xf>
    <xf numFmtId="9" fontId="76" fillId="11" borderId="0" xfId="0" applyNumberFormat="1" applyFont="1" applyFill="1" applyAlignment="1">
      <alignment horizontal="center" vertical="center" wrapText="1"/>
    </xf>
    <xf numFmtId="9" fontId="76" fillId="16" borderId="12" xfId="0" applyNumberFormat="1" applyFont="1" applyFill="1" applyBorder="1" applyAlignment="1">
      <alignment horizontal="center" vertical="center" wrapText="1"/>
    </xf>
    <xf numFmtId="3" fontId="40" fillId="11" borderId="12" xfId="0" applyNumberFormat="1" applyFont="1" applyFill="1" applyBorder="1" applyAlignment="1">
      <alignment horizontal="center" vertical="center" wrapText="1"/>
    </xf>
    <xf numFmtId="3" fontId="76" fillId="11" borderId="12" xfId="0" applyNumberFormat="1" applyFont="1" applyFill="1" applyBorder="1" applyAlignment="1">
      <alignment horizontal="center" vertical="center" wrapText="1"/>
    </xf>
    <xf numFmtId="3" fontId="40" fillId="0" borderId="0" xfId="0" applyNumberFormat="1" applyFont="1" applyAlignment="1">
      <alignment horizontal="center" vertical="center" wrapText="1"/>
    </xf>
    <xf numFmtId="3" fontId="76" fillId="0" borderId="0" xfId="0" applyNumberFormat="1" applyFont="1" applyAlignment="1">
      <alignment horizontal="center" vertical="center" wrapText="1"/>
    </xf>
    <xf numFmtId="3" fontId="70" fillId="0" borderId="0" xfId="0" applyNumberFormat="1" applyFont="1" applyAlignment="1">
      <alignment horizontal="right" vertical="center" wrapText="1"/>
    </xf>
    <xf numFmtId="10" fontId="70" fillId="0" borderId="0" xfId="0" applyNumberFormat="1" applyFont="1" applyAlignment="1">
      <alignment horizontal="right" vertical="center" wrapText="1"/>
    </xf>
    <xf numFmtId="3" fontId="40" fillId="11" borderId="15" xfId="0" applyNumberFormat="1" applyFont="1" applyFill="1" applyBorder="1" applyAlignment="1">
      <alignment horizontal="center" vertical="center" wrapText="1"/>
    </xf>
    <xf numFmtId="0" fontId="41" fillId="0" borderId="12" xfId="0" applyFont="1" applyBorder="1" applyAlignment="1">
      <alignment horizontal="center" vertical="center" wrapText="1"/>
    </xf>
    <xf numFmtId="0" fontId="41" fillId="0" borderId="19" xfId="0" applyFont="1" applyBorder="1" applyAlignment="1">
      <alignment horizontal="center" vertical="center" wrapText="1"/>
    </xf>
    <xf numFmtId="0" fontId="20" fillId="14" borderId="0" xfId="0" applyFont="1" applyFill="1" applyAlignment="1">
      <alignment horizontal="center" vertical="center" wrapText="1"/>
    </xf>
    <xf numFmtId="0" fontId="8" fillId="0" borderId="0" xfId="0" applyFont="1" applyAlignment="1">
      <alignment vertical="center" wrapText="1"/>
    </xf>
    <xf numFmtId="164" fontId="9" fillId="3" borderId="1" xfId="0" applyNumberFormat="1" applyFont="1" applyFill="1" applyBorder="1" applyAlignment="1">
      <alignment horizontal="left" vertical="center"/>
    </xf>
    <xf numFmtId="0" fontId="25" fillId="51" borderId="6" xfId="0" applyFont="1" applyFill="1" applyBorder="1" applyAlignment="1">
      <alignment horizontal="center" vertical="center"/>
    </xf>
    <xf numFmtId="0" fontId="25" fillId="51" borderId="7" xfId="0" applyFont="1" applyFill="1" applyBorder="1" applyAlignment="1">
      <alignment horizontal="center" vertical="center"/>
    </xf>
    <xf numFmtId="0" fontId="25" fillId="51" borderId="8" xfId="0" applyFont="1" applyFill="1" applyBorder="1" applyAlignment="1">
      <alignment horizontal="center" vertical="center"/>
    </xf>
    <xf numFmtId="0" fontId="85" fillId="0" borderId="0" xfId="0" applyFont="1" applyAlignment="1">
      <alignment horizontal="center" vertical="center"/>
    </xf>
    <xf numFmtId="0" fontId="85" fillId="0" borderId="0" xfId="0" applyFont="1" applyAlignment="1">
      <alignment vertical="center"/>
    </xf>
    <xf numFmtId="0" fontId="87" fillId="0" borderId="0" xfId="0" applyFont="1" applyAlignment="1">
      <alignment horizontal="center" vertical="center"/>
    </xf>
    <xf numFmtId="3" fontId="86" fillId="11" borderId="0" xfId="0" applyNumberFormat="1" applyFont="1" applyFill="1" applyAlignment="1">
      <alignment horizontal="center" vertical="center"/>
    </xf>
    <xf numFmtId="0" fontId="88" fillId="0" borderId="0" xfId="0" applyFont="1" applyAlignment="1">
      <alignment vertical="center" wrapText="1"/>
    </xf>
    <xf numFmtId="0" fontId="85" fillId="0" borderId="0" xfId="0" applyFont="1" applyAlignment="1">
      <alignment vertical="center" wrapText="1"/>
    </xf>
    <xf numFmtId="0" fontId="86" fillId="0" borderId="0" xfId="0" applyFont="1" applyAlignment="1">
      <alignment horizontal="center" vertical="center" wrapText="1"/>
    </xf>
    <xf numFmtId="9" fontId="15" fillId="0" borderId="0" xfId="0" applyNumberFormat="1" applyFont="1" applyAlignment="1">
      <alignment horizontal="center" vertical="center"/>
    </xf>
    <xf numFmtId="0" fontId="10" fillId="0" borderId="0" xfId="0" applyFont="1" applyAlignment="1">
      <alignment horizontal="center" vertical="center"/>
    </xf>
    <xf numFmtId="0" fontId="86" fillId="0" borderId="35" xfId="0" applyFont="1" applyBorder="1" applyAlignment="1">
      <alignment horizontal="center" vertical="center" wrapText="1"/>
    </xf>
    <xf numFmtId="9" fontId="76" fillId="11" borderId="35" xfId="0" applyNumberFormat="1" applyFont="1" applyFill="1" applyBorder="1" applyAlignment="1">
      <alignment horizontal="center" vertical="center" wrapText="1"/>
    </xf>
    <xf numFmtId="0" fontId="7" fillId="0" borderId="35" xfId="0" applyFont="1" applyBorder="1" applyAlignment="1">
      <alignment vertical="center"/>
    </xf>
    <xf numFmtId="9" fontId="50" fillId="0" borderId="0" xfId="0" applyNumberFormat="1" applyFont="1" applyAlignment="1">
      <alignment horizontal="center" vertical="center"/>
    </xf>
    <xf numFmtId="0" fontId="10" fillId="0" borderId="35" xfId="0" applyFont="1" applyBorder="1" applyAlignment="1">
      <alignment vertical="center"/>
    </xf>
    <xf numFmtId="9" fontId="50" fillId="0" borderId="25" xfId="0" applyNumberFormat="1" applyFont="1" applyBorder="1" applyAlignment="1">
      <alignment horizontal="center" vertical="center"/>
    </xf>
    <xf numFmtId="0" fontId="79" fillId="0" borderId="0" xfId="0" applyFont="1" applyAlignment="1">
      <alignment vertical="center" wrapText="1"/>
    </xf>
    <xf numFmtId="3" fontId="81" fillId="0" borderId="0" xfId="0" applyNumberFormat="1" applyFont="1" applyAlignment="1">
      <alignment vertical="center" wrapText="1"/>
    </xf>
    <xf numFmtId="0" fontId="82" fillId="20" borderId="0" xfId="0" applyFont="1" applyFill="1" applyAlignment="1">
      <alignment horizontal="center" vertical="center"/>
    </xf>
    <xf numFmtId="1" fontId="7" fillId="0" borderId="35" xfId="0" applyNumberFormat="1" applyFont="1" applyBorder="1" applyAlignment="1">
      <alignment vertical="center"/>
    </xf>
    <xf numFmtId="9" fontId="70" fillId="18" borderId="12" xfId="0" applyNumberFormat="1" applyFont="1" applyFill="1" applyBorder="1" applyAlignment="1">
      <alignment horizontal="center" vertical="center" wrapText="1"/>
    </xf>
    <xf numFmtId="0" fontId="10" fillId="0" borderId="0" xfId="0" applyFont="1" applyAlignment="1">
      <alignment vertical="center"/>
    </xf>
    <xf numFmtId="0" fontId="10" fillId="0" borderId="0" xfId="0" applyFont="1" applyAlignment="1"/>
    <xf numFmtId="0" fontId="90" fillId="0" borderId="0" xfId="0" applyFont="1" applyAlignment="1">
      <alignment vertical="center"/>
    </xf>
    <xf numFmtId="0" fontId="15" fillId="0" borderId="0" xfId="0" applyFont="1" applyAlignment="1">
      <alignment vertical="center" wrapText="1"/>
    </xf>
    <xf numFmtId="0" fontId="15" fillId="0" borderId="0" xfId="0" applyFont="1" applyAlignment="1">
      <alignment vertical="center"/>
    </xf>
    <xf numFmtId="9" fontId="37" fillId="10" borderId="6" xfId="0" applyNumberFormat="1" applyFont="1" applyFill="1" applyBorder="1" applyAlignment="1">
      <alignment horizontal="right" vertical="center" indent="1"/>
    </xf>
    <xf numFmtId="0" fontId="37" fillId="10" borderId="6" xfId="0" applyFont="1" applyFill="1" applyBorder="1" applyAlignment="1">
      <alignment horizontal="right" vertical="center" indent="1"/>
    </xf>
    <xf numFmtId="0" fontId="37" fillId="57" borderId="1" xfId="0" applyFont="1" applyFill="1" applyBorder="1" applyAlignment="1">
      <alignment horizontal="right" vertical="center" indent="1"/>
    </xf>
    <xf numFmtId="0" fontId="86" fillId="11" borderId="14" xfId="0" applyFont="1" applyFill="1" applyBorder="1" applyAlignment="1">
      <alignment horizontal="right" vertical="center" indent="1"/>
    </xf>
    <xf numFmtId="9" fontId="86" fillId="11" borderId="0" xfId="0" applyNumberFormat="1" applyFont="1" applyFill="1" applyAlignment="1">
      <alignment horizontal="right" vertical="center" indent="1"/>
    </xf>
    <xf numFmtId="0" fontId="40" fillId="11" borderId="14" xfId="0" applyFont="1" applyFill="1" applyBorder="1" applyAlignment="1">
      <alignment horizontal="right" vertical="center" wrapText="1" indent="1"/>
    </xf>
    <xf numFmtId="0" fontId="40" fillId="11" borderId="14" xfId="0" applyFont="1" applyFill="1" applyBorder="1" applyAlignment="1">
      <alignment horizontal="right" vertical="center" indent="1"/>
    </xf>
    <xf numFmtId="9" fontId="7" fillId="17" borderId="1" xfId="0" applyNumberFormat="1" applyFont="1" applyFill="1" applyBorder="1" applyAlignment="1">
      <alignment horizontal="center" vertical="center" wrapText="1"/>
    </xf>
    <xf numFmtId="0" fontId="48" fillId="0" borderId="0" xfId="0" applyFont="1" applyAlignment="1">
      <alignment horizontal="center" vertical="center"/>
    </xf>
    <xf numFmtId="0" fontId="76" fillId="0" borderId="0" xfId="0" applyFont="1" applyAlignment="1">
      <alignment horizontal="center" vertical="center" wrapText="1"/>
    </xf>
    <xf numFmtId="0" fontId="10" fillId="0" borderId="0" xfId="0" applyFont="1" applyAlignment="1">
      <alignment vertical="center"/>
    </xf>
    <xf numFmtId="3" fontId="48" fillId="12" borderId="12" xfId="0" applyNumberFormat="1" applyFont="1" applyFill="1" applyBorder="1" applyAlignment="1">
      <alignment horizontal="center" vertical="center" wrapText="1"/>
    </xf>
    <xf numFmtId="166" fontId="94" fillId="0" borderId="6" xfId="0" applyNumberFormat="1" applyFont="1" applyBorder="1" applyAlignment="1">
      <alignment horizontal="center" vertical="center" wrapText="1"/>
    </xf>
    <xf numFmtId="166" fontId="46" fillId="12" borderId="15" xfId="0" applyNumberFormat="1" applyFont="1" applyFill="1" applyBorder="1" applyAlignment="1">
      <alignment horizontal="center" vertical="center" wrapText="1"/>
    </xf>
    <xf numFmtId="1" fontId="46" fillId="12" borderId="12" xfId="0" applyNumberFormat="1" applyFont="1" applyFill="1" applyBorder="1" applyAlignment="1">
      <alignment horizontal="center" vertical="center" wrapText="1"/>
    </xf>
    <xf numFmtId="3" fontId="46" fillId="8" borderId="9" xfId="0" applyNumberFormat="1" applyFont="1" applyFill="1" applyBorder="1" applyAlignment="1">
      <alignment horizontal="center" vertical="center" wrapText="1"/>
    </xf>
    <xf numFmtId="9" fontId="46" fillId="12" borderId="12" xfId="0" applyNumberFormat="1" applyFont="1" applyFill="1" applyBorder="1" applyAlignment="1">
      <alignment horizontal="center" vertical="center" wrapText="1"/>
    </xf>
    <xf numFmtId="3" fontId="48" fillId="12" borderId="15" xfId="0" applyNumberFormat="1" applyFont="1" applyFill="1" applyBorder="1" applyAlignment="1">
      <alignment horizontal="center" vertical="center" wrapText="1"/>
    </xf>
    <xf numFmtId="166" fontId="7" fillId="0" borderId="15" xfId="0" applyNumberFormat="1" applyFont="1" applyBorder="1" applyAlignment="1">
      <alignment horizontal="right" vertical="center" indent="1"/>
    </xf>
    <xf numFmtId="166" fontId="7" fillId="33" borderId="15" xfId="0" applyNumberFormat="1" applyFont="1" applyFill="1" applyBorder="1" applyAlignment="1">
      <alignment horizontal="right" vertical="center" indent="1"/>
    </xf>
    <xf numFmtId="9" fontId="70" fillId="17" borderId="3" xfId="0" applyNumberFormat="1" applyFont="1" applyFill="1" applyBorder="1" applyAlignment="1">
      <alignment horizontal="center" vertical="center" wrapText="1"/>
    </xf>
    <xf numFmtId="166" fontId="64" fillId="0" borderId="13" xfId="0" applyNumberFormat="1" applyFont="1" applyBorder="1" applyAlignment="1">
      <alignment horizontal="right" vertical="center" wrapText="1" indent="1"/>
    </xf>
    <xf numFmtId="0" fontId="20" fillId="60" borderId="35" xfId="0" applyFont="1" applyFill="1" applyBorder="1" applyAlignment="1">
      <alignment horizontal="center" vertical="center" wrapText="1"/>
    </xf>
    <xf numFmtId="170" fontId="46" fillId="0" borderId="0" xfId="0" applyNumberFormat="1" applyFont="1" applyAlignment="1">
      <alignment horizontal="center" vertical="center"/>
    </xf>
    <xf numFmtId="0" fontId="48" fillId="0" borderId="0" xfId="0" applyFont="1" applyAlignment="1">
      <alignment horizontal="center" vertical="center" wrapText="1"/>
    </xf>
    <xf numFmtId="166" fontId="46" fillId="12" borderId="12" xfId="0" applyNumberFormat="1" applyFont="1" applyFill="1" applyBorder="1" applyAlignment="1">
      <alignment horizontal="right" vertical="center" wrapText="1" indent="1"/>
    </xf>
    <xf numFmtId="166" fontId="70" fillId="0" borderId="12" xfId="0" applyNumberFormat="1" applyFont="1" applyBorder="1" applyAlignment="1">
      <alignment horizontal="right" vertical="center" wrapText="1" indent="1"/>
    </xf>
    <xf numFmtId="3" fontId="40" fillId="11" borderId="12" xfId="0" applyNumberFormat="1" applyFont="1" applyFill="1" applyBorder="1" applyAlignment="1">
      <alignment horizontal="right" vertical="center" wrapText="1" indent="1"/>
    </xf>
    <xf numFmtId="3" fontId="7" fillId="0" borderId="12" xfId="0" applyNumberFormat="1" applyFont="1" applyBorder="1" applyAlignment="1">
      <alignment horizontal="right" vertical="center" wrapText="1" indent="1"/>
    </xf>
    <xf numFmtId="3" fontId="17" fillId="15" borderId="35" xfId="0" applyNumberFormat="1" applyFont="1" applyFill="1" applyBorder="1" applyAlignment="1">
      <alignment horizontal="right" vertical="center" indent="1"/>
    </xf>
    <xf numFmtId="166" fontId="46" fillId="8" borderId="12" xfId="0" applyNumberFormat="1" applyFont="1" applyFill="1" applyBorder="1" applyAlignment="1">
      <alignment horizontal="right" vertical="center" wrapText="1" indent="1"/>
    </xf>
    <xf numFmtId="3" fontId="7" fillId="0" borderId="17" xfId="0" applyNumberFormat="1" applyFont="1" applyBorder="1" applyAlignment="1">
      <alignment horizontal="right" vertical="center" wrapText="1" indent="1"/>
    </xf>
    <xf numFmtId="166" fontId="40" fillId="15" borderId="12" xfId="0" applyNumberFormat="1" applyFont="1" applyFill="1" applyBorder="1" applyAlignment="1">
      <alignment horizontal="right" vertical="center" wrapText="1" indent="1"/>
    </xf>
    <xf numFmtId="166" fontId="76" fillId="15" borderId="12" xfId="0" applyNumberFormat="1" applyFont="1" applyFill="1" applyBorder="1" applyAlignment="1">
      <alignment horizontal="right" vertical="center" wrapText="1" indent="1"/>
    </xf>
    <xf numFmtId="166" fontId="7" fillId="0" borderId="12" xfId="0" applyNumberFormat="1" applyFont="1" applyBorder="1" applyAlignment="1">
      <alignment horizontal="right" vertical="center" wrapText="1" indent="1"/>
    </xf>
    <xf numFmtId="3" fontId="7" fillId="0" borderId="20" xfId="0" applyNumberFormat="1" applyFont="1" applyBorder="1" applyAlignment="1">
      <alignment horizontal="center" vertical="center" wrapText="1"/>
    </xf>
    <xf numFmtId="3" fontId="7" fillId="0" borderId="12" xfId="0" applyNumberFormat="1" applyFont="1" applyBorder="1" applyAlignment="1">
      <alignment horizontal="center" vertical="center" wrapText="1"/>
    </xf>
    <xf numFmtId="3" fontId="70" fillId="0" borderId="12" xfId="0" applyNumberFormat="1" applyFont="1" applyBorder="1" applyAlignment="1">
      <alignment horizontal="center" vertical="center" wrapText="1"/>
    </xf>
    <xf numFmtId="3" fontId="7" fillId="0" borderId="20" xfId="0" applyNumberFormat="1" applyFont="1" applyBorder="1" applyAlignment="1">
      <alignment horizontal="center" vertical="center"/>
    </xf>
    <xf numFmtId="3" fontId="48" fillId="11" borderId="29" xfId="0" applyNumberFormat="1" applyFont="1" applyFill="1" applyBorder="1" applyAlignment="1">
      <alignment horizontal="center" vertical="center"/>
    </xf>
    <xf numFmtId="0" fontId="7" fillId="34" borderId="29" xfId="0" applyFont="1" applyFill="1" applyBorder="1" applyAlignment="1">
      <alignment horizontal="center" vertical="center"/>
    </xf>
    <xf numFmtId="166" fontId="47" fillId="8" borderId="12" xfId="0" applyNumberFormat="1" applyFont="1" applyFill="1" applyBorder="1" applyAlignment="1">
      <alignment horizontal="right" vertical="center" wrapText="1" indent="1"/>
    </xf>
    <xf numFmtId="3" fontId="47" fillId="8" borderId="9" xfId="0" applyNumberFormat="1" applyFont="1" applyFill="1" applyBorder="1" applyAlignment="1">
      <alignment horizontal="center" vertical="center" wrapText="1"/>
    </xf>
    <xf numFmtId="9" fontId="47" fillId="8" borderId="12" xfId="0" applyNumberFormat="1" applyFont="1" applyFill="1" applyBorder="1" applyAlignment="1">
      <alignment horizontal="center" vertical="center" wrapText="1"/>
    </xf>
    <xf numFmtId="3" fontId="47" fillId="8" borderId="12" xfId="0" applyNumberFormat="1" applyFont="1" applyFill="1" applyBorder="1" applyAlignment="1">
      <alignment horizontal="center" vertical="center" wrapText="1"/>
    </xf>
    <xf numFmtId="166" fontId="47" fillId="8" borderId="15" xfId="0" applyNumberFormat="1" applyFont="1" applyFill="1" applyBorder="1" applyAlignment="1">
      <alignment horizontal="center" vertical="center" wrapText="1"/>
    </xf>
    <xf numFmtId="3" fontId="86" fillId="11" borderId="12" xfId="0" applyNumberFormat="1" applyFont="1" applyFill="1" applyBorder="1" applyAlignment="1">
      <alignment horizontal="center" vertical="center"/>
    </xf>
    <xf numFmtId="3" fontId="7" fillId="0" borderId="12" xfId="0" applyNumberFormat="1" applyFont="1" applyBorder="1" applyAlignment="1">
      <alignment horizontal="center" vertical="center"/>
    </xf>
    <xf numFmtId="166" fontId="7" fillId="33" borderId="20" xfId="0" applyNumberFormat="1" applyFont="1" applyFill="1" applyBorder="1" applyAlignment="1">
      <alignment horizontal="right" vertical="center" indent="1"/>
    </xf>
    <xf numFmtId="9" fontId="48" fillId="20" borderId="0" xfId="0" applyNumberFormat="1" applyFont="1" applyFill="1" applyAlignment="1">
      <alignment horizontal="left" vertical="center"/>
    </xf>
    <xf numFmtId="9" fontId="48" fillId="3" borderId="0" xfId="0" applyNumberFormat="1" applyFont="1" applyFill="1" applyAlignment="1">
      <alignment horizontal="center" vertical="center"/>
    </xf>
    <xf numFmtId="0" fontId="6" fillId="0" borderId="0" xfId="0" applyFont="1" applyAlignment="1">
      <alignment horizontal="center" vertical="center"/>
    </xf>
    <xf numFmtId="1" fontId="20" fillId="38" borderId="0" xfId="0" applyNumberFormat="1" applyFont="1" applyFill="1" applyAlignment="1">
      <alignment horizontal="center" vertical="center"/>
    </xf>
    <xf numFmtId="0" fontId="20" fillId="38" borderId="0" xfId="0" applyFont="1" applyFill="1" applyAlignment="1">
      <alignment horizontal="center" vertical="center"/>
    </xf>
    <xf numFmtId="3" fontId="20" fillId="38" borderId="0" xfId="0" applyNumberFormat="1" applyFont="1" applyFill="1" applyAlignment="1">
      <alignment horizontal="center" vertical="center"/>
    </xf>
    <xf numFmtId="1" fontId="6" fillId="0" borderId="0" xfId="0" applyNumberFormat="1" applyFont="1" applyAlignment="1">
      <alignment horizontal="center" vertical="center"/>
    </xf>
    <xf numFmtId="0" fontId="6" fillId="0" borderId="23" xfId="0" applyFont="1" applyBorder="1" applyAlignment="1">
      <alignment horizontal="center" vertical="center"/>
    </xf>
    <xf numFmtId="0" fontId="90" fillId="0" borderId="0" xfId="0" applyFont="1" applyAlignment="1">
      <alignment horizontal="center" vertical="center"/>
    </xf>
    <xf numFmtId="0" fontId="77" fillId="37" borderId="0" xfId="0" applyFont="1" applyFill="1" applyAlignment="1">
      <alignment horizontal="center" vertical="center"/>
    </xf>
    <xf numFmtId="0" fontId="98" fillId="37" borderId="31" xfId="0" applyFont="1" applyFill="1" applyBorder="1" applyAlignment="1">
      <alignment horizontal="center" vertical="center"/>
    </xf>
    <xf numFmtId="9" fontId="6" fillId="0" borderId="0" xfId="0" applyNumberFormat="1" applyFont="1" applyAlignment="1">
      <alignment horizontal="center" vertical="center"/>
    </xf>
    <xf numFmtId="0" fontId="6" fillId="0" borderId="0" xfId="0" applyFont="1" applyAlignment="1">
      <alignment vertical="center"/>
    </xf>
    <xf numFmtId="1" fontId="6" fillId="0" borderId="0" xfId="0" applyNumberFormat="1" applyFont="1" applyAlignment="1">
      <alignment vertical="center"/>
    </xf>
    <xf numFmtId="1" fontId="6" fillId="0" borderId="0" xfId="0" applyNumberFormat="1" applyFont="1"/>
    <xf numFmtId="0" fontId="90" fillId="0" borderId="0" xfId="0" applyFont="1" applyAlignment="1"/>
    <xf numFmtId="0" fontId="98" fillId="37" borderId="0" xfId="0" applyFont="1" applyFill="1" applyAlignment="1">
      <alignment horizontal="center" vertical="center"/>
    </xf>
    <xf numFmtId="0" fontId="6" fillId="0" borderId="22" xfId="0" applyFont="1" applyBorder="1" applyAlignment="1">
      <alignment vertical="center"/>
    </xf>
    <xf numFmtId="9" fontId="6" fillId="0" borderId="0" xfId="0" applyNumberFormat="1" applyFont="1" applyAlignment="1">
      <alignment vertical="center"/>
    </xf>
    <xf numFmtId="3" fontId="6" fillId="0" borderId="0" xfId="0" applyNumberFormat="1" applyFont="1" applyAlignment="1">
      <alignment vertical="center"/>
    </xf>
    <xf numFmtId="0" fontId="6" fillId="0" borderId="35" xfId="0" applyFont="1" applyBorder="1" applyAlignment="1">
      <alignment vertical="center"/>
    </xf>
    <xf numFmtId="0" fontId="6" fillId="0" borderId="0" xfId="0" applyFont="1"/>
    <xf numFmtId="0" fontId="6" fillId="0" borderId="0" xfId="0" applyFont="1" applyAlignment="1"/>
    <xf numFmtId="9" fontId="48" fillId="0" borderId="0" xfId="0" applyNumberFormat="1" applyFont="1" applyAlignment="1">
      <alignment horizontal="center" vertical="center"/>
    </xf>
    <xf numFmtId="9" fontId="48" fillId="0" borderId="25" xfId="0" applyNumberFormat="1" applyFont="1" applyBorder="1" applyAlignment="1">
      <alignment horizontal="center" vertical="center"/>
    </xf>
    <xf numFmtId="3" fontId="6" fillId="0" borderId="21" xfId="0" applyNumberFormat="1" applyFont="1" applyBorder="1" applyAlignment="1">
      <alignment vertical="center"/>
    </xf>
    <xf numFmtId="9" fontId="7" fillId="0" borderId="22" xfId="0" applyNumberFormat="1" applyFont="1" applyBorder="1" applyAlignment="1">
      <alignment horizontal="right" vertical="center" indent="1"/>
    </xf>
    <xf numFmtId="9" fontId="43" fillId="0" borderId="22" xfId="0" applyNumberFormat="1" applyFont="1" applyBorder="1" applyAlignment="1">
      <alignment horizontal="right" vertical="center" wrapText="1" indent="1"/>
    </xf>
    <xf numFmtId="1" fontId="43" fillId="0" borderId="22" xfId="0" applyNumberFormat="1" applyFont="1" applyBorder="1" applyAlignment="1">
      <alignment horizontal="right" vertical="center" indent="1"/>
    </xf>
    <xf numFmtId="3" fontId="7" fillId="0" borderId="0" xfId="0" applyNumberFormat="1" applyFont="1" applyAlignment="1">
      <alignment horizontal="right" vertical="center" indent="1"/>
    </xf>
    <xf numFmtId="9" fontId="7" fillId="0" borderId="0" xfId="0" applyNumberFormat="1" applyFont="1" applyAlignment="1">
      <alignment horizontal="right" vertical="center" indent="1"/>
    </xf>
    <xf numFmtId="3" fontId="7" fillId="0" borderId="0" xfId="0" applyNumberFormat="1" applyFont="1" applyFill="1" applyAlignment="1">
      <alignment horizontal="right" vertical="center" indent="1"/>
    </xf>
    <xf numFmtId="1" fontId="7" fillId="0" borderId="0" xfId="0" applyNumberFormat="1" applyFont="1" applyFill="1" applyAlignment="1">
      <alignment horizontal="right" vertical="center" indent="1"/>
    </xf>
    <xf numFmtId="9" fontId="43" fillId="0" borderId="22" xfId="0" applyNumberFormat="1" applyFont="1" applyBorder="1" applyAlignment="1">
      <alignment horizontal="right" vertical="center" indent="1"/>
    </xf>
    <xf numFmtId="3" fontId="43" fillId="3" borderId="21" xfId="0" applyNumberFormat="1" applyFont="1" applyFill="1" applyBorder="1" applyAlignment="1">
      <alignment horizontal="left" vertical="center" indent="1"/>
    </xf>
    <xf numFmtId="3" fontId="51" fillId="0" borderId="25" xfId="0" applyNumberFormat="1" applyFont="1" applyBorder="1" applyAlignment="1">
      <alignment vertical="center"/>
    </xf>
    <xf numFmtId="3" fontId="7" fillId="0" borderId="21" xfId="0" applyNumberFormat="1" applyFont="1" applyBorder="1" applyAlignment="1">
      <alignment horizontal="left" vertical="center" indent="1"/>
    </xf>
    <xf numFmtId="3" fontId="7" fillId="0" borderId="26" xfId="0" applyNumberFormat="1" applyFont="1" applyBorder="1" applyAlignment="1">
      <alignment horizontal="left" vertical="center" indent="1"/>
    </xf>
    <xf numFmtId="3" fontId="8" fillId="0" borderId="35" xfId="0" applyNumberFormat="1" applyFont="1" applyBorder="1" applyAlignment="1">
      <alignment vertical="center"/>
    </xf>
    <xf numFmtId="0" fontId="6" fillId="66" borderId="0" xfId="0" applyFont="1" applyFill="1" applyAlignment="1">
      <alignment horizontal="center" vertical="center"/>
    </xf>
    <xf numFmtId="9" fontId="6" fillId="66" borderId="0" xfId="0" applyNumberFormat="1" applyFont="1" applyFill="1" applyAlignment="1">
      <alignment horizontal="center" vertical="center"/>
    </xf>
    <xf numFmtId="1" fontId="6" fillId="66" borderId="0" xfId="0" applyNumberFormat="1" applyFont="1" applyFill="1" applyAlignment="1">
      <alignment horizontal="center" vertical="center"/>
    </xf>
    <xf numFmtId="0" fontId="6" fillId="66" borderId="22" xfId="0" applyFont="1" applyFill="1" applyBorder="1" applyAlignment="1">
      <alignment vertical="center"/>
    </xf>
    <xf numFmtId="9" fontId="6" fillId="66" borderId="0" xfId="0" applyNumberFormat="1" applyFont="1" applyFill="1" applyAlignment="1">
      <alignment vertical="center"/>
    </xf>
    <xf numFmtId="3" fontId="6" fillId="66" borderId="0" xfId="0" applyNumberFormat="1" applyFont="1" applyFill="1" applyAlignment="1">
      <alignment vertical="center"/>
    </xf>
    <xf numFmtId="0" fontId="6" fillId="66" borderId="0" xfId="0" applyFont="1" applyFill="1" applyAlignment="1">
      <alignment vertical="center"/>
    </xf>
    <xf numFmtId="3" fontId="43" fillId="0" borderId="21" xfId="0" applyNumberFormat="1" applyFont="1" applyFill="1" applyBorder="1" applyAlignment="1">
      <alignment horizontal="left" vertical="center" indent="1"/>
    </xf>
    <xf numFmtId="9" fontId="48" fillId="3" borderId="35" xfId="0" applyNumberFormat="1" applyFont="1" applyFill="1" applyBorder="1" applyAlignment="1">
      <alignment horizontal="center" vertical="center"/>
    </xf>
    <xf numFmtId="9" fontId="48" fillId="20" borderId="35" xfId="0" applyNumberFormat="1" applyFont="1" applyFill="1" applyBorder="1" applyAlignment="1">
      <alignment horizontal="left" vertical="center"/>
    </xf>
    <xf numFmtId="0" fontId="48" fillId="0" borderId="0" xfId="0" applyFont="1" applyFill="1" applyAlignment="1">
      <alignment horizontal="center" vertical="center"/>
    </xf>
    <xf numFmtId="3" fontId="7" fillId="0" borderId="51" xfId="0" applyNumberFormat="1" applyFont="1" applyBorder="1" applyAlignment="1">
      <alignment vertical="center"/>
    </xf>
    <xf numFmtId="1" fontId="20" fillId="38" borderId="56" xfId="0" applyNumberFormat="1" applyFont="1" applyFill="1" applyBorder="1" applyAlignment="1">
      <alignment horizontal="center" vertical="center"/>
    </xf>
    <xf numFmtId="1" fontId="20" fillId="38" borderId="35" xfId="0" applyNumberFormat="1" applyFont="1" applyFill="1" applyBorder="1" applyAlignment="1">
      <alignment horizontal="center" vertical="center"/>
    </xf>
    <xf numFmtId="0" fontId="20" fillId="38" borderId="35" xfId="0" applyFont="1" applyFill="1" applyBorder="1" applyAlignment="1">
      <alignment horizontal="center" vertical="center"/>
    </xf>
    <xf numFmtId="3" fontId="20" fillId="38" borderId="35" xfId="0" applyNumberFormat="1" applyFont="1" applyFill="1" applyBorder="1" applyAlignment="1">
      <alignment horizontal="center" vertical="center"/>
    </xf>
    <xf numFmtId="9" fontId="77" fillId="37" borderId="56" xfId="0" applyNumberFormat="1" applyFont="1" applyFill="1" applyBorder="1" applyAlignment="1">
      <alignment horizontal="center" vertical="center"/>
    </xf>
    <xf numFmtId="3" fontId="98" fillId="37" borderId="35" xfId="0" applyNumberFormat="1" applyFont="1" applyFill="1" applyBorder="1" applyAlignment="1">
      <alignment horizontal="center" vertical="center"/>
    </xf>
    <xf numFmtId="9" fontId="48" fillId="0" borderId="56" xfId="0" applyNumberFormat="1" applyFont="1" applyBorder="1" applyAlignment="1">
      <alignment vertical="center"/>
    </xf>
    <xf numFmtId="9" fontId="48" fillId="0" borderId="35" xfId="0" applyNumberFormat="1" applyFont="1" applyBorder="1" applyAlignment="1">
      <alignment horizontal="center" vertical="center"/>
    </xf>
    <xf numFmtId="3" fontId="7" fillId="0" borderId="35" xfId="0" applyNumberFormat="1" applyFont="1" applyBorder="1" applyAlignment="1">
      <alignment vertical="center"/>
    </xf>
    <xf numFmtId="1" fontId="43" fillId="0" borderId="56" xfId="0" applyNumberFormat="1" applyFont="1" applyBorder="1" applyAlignment="1">
      <alignment horizontal="right" vertical="center" indent="1"/>
    </xf>
    <xf numFmtId="9" fontId="7" fillId="0" borderId="56" xfId="0" applyNumberFormat="1" applyFont="1" applyBorder="1" applyAlignment="1">
      <alignment horizontal="right" vertical="center" indent="1"/>
    </xf>
    <xf numFmtId="9" fontId="7" fillId="0" borderId="35" xfId="0" applyNumberFormat="1" applyFont="1" applyFill="1" applyBorder="1" applyAlignment="1">
      <alignment horizontal="right" vertical="center" indent="1"/>
    </xf>
    <xf numFmtId="3" fontId="7" fillId="0" borderId="35" xfId="0" applyNumberFormat="1" applyFont="1" applyBorder="1" applyAlignment="1">
      <alignment horizontal="right" vertical="center" indent="1"/>
    </xf>
    <xf numFmtId="3" fontId="7" fillId="0" borderId="35" xfId="0" applyNumberFormat="1" applyFont="1" applyFill="1" applyBorder="1" applyAlignment="1">
      <alignment horizontal="right" vertical="center" indent="1"/>
    </xf>
    <xf numFmtId="9" fontId="48" fillId="0" borderId="57" xfId="0" applyNumberFormat="1" applyFont="1" applyBorder="1" applyAlignment="1">
      <alignment vertical="center"/>
    </xf>
    <xf numFmtId="9" fontId="7" fillId="0" borderId="35" xfId="0" applyNumberFormat="1" applyFont="1" applyBorder="1" applyAlignment="1">
      <alignment horizontal="right" vertical="center" indent="1"/>
    </xf>
    <xf numFmtId="9" fontId="43" fillId="0" borderId="56" xfId="0" applyNumberFormat="1" applyFont="1" applyBorder="1" applyAlignment="1">
      <alignment horizontal="right" vertical="center" indent="1"/>
    </xf>
    <xf numFmtId="9" fontId="43" fillId="0" borderId="56" xfId="0" applyNumberFormat="1" applyFont="1" applyBorder="1" applyAlignment="1">
      <alignment horizontal="right" vertical="center" wrapText="1" indent="1"/>
    </xf>
    <xf numFmtId="9" fontId="50" fillId="0" borderId="56" xfId="0" applyNumberFormat="1" applyFont="1" applyBorder="1" applyAlignment="1">
      <alignment vertical="center"/>
    </xf>
    <xf numFmtId="9" fontId="50" fillId="0" borderId="35" xfId="0" applyNumberFormat="1" applyFont="1" applyBorder="1" applyAlignment="1">
      <alignment horizontal="center" vertical="center"/>
    </xf>
    <xf numFmtId="1" fontId="7" fillId="0" borderId="35" xfId="0" applyNumberFormat="1" applyFont="1" applyFill="1" applyBorder="1" applyAlignment="1">
      <alignment horizontal="right" vertical="center" indent="1"/>
    </xf>
    <xf numFmtId="9" fontId="50" fillId="0" borderId="57" xfId="0" applyNumberFormat="1" applyFont="1" applyBorder="1" applyAlignment="1">
      <alignment vertical="center"/>
    </xf>
    <xf numFmtId="3" fontId="51" fillId="0" borderId="35" xfId="0" applyNumberFormat="1" applyFont="1" applyBorder="1" applyAlignment="1">
      <alignment vertical="center"/>
    </xf>
    <xf numFmtId="3" fontId="43" fillId="19" borderId="35" xfId="0" applyNumberFormat="1" applyFont="1" applyFill="1" applyBorder="1" applyAlignment="1">
      <alignment horizontal="left" vertical="center" indent="1"/>
    </xf>
    <xf numFmtId="3" fontId="43" fillId="3" borderId="35" xfId="0" applyNumberFormat="1" applyFont="1" applyFill="1" applyBorder="1" applyAlignment="1">
      <alignment horizontal="left" vertical="center" indent="1"/>
    </xf>
    <xf numFmtId="3" fontId="86" fillId="11" borderId="60" xfId="0" applyNumberFormat="1" applyFont="1" applyFill="1" applyBorder="1" applyAlignment="1">
      <alignment horizontal="center" vertical="center"/>
    </xf>
    <xf numFmtId="3" fontId="86" fillId="11" borderId="61" xfId="0" applyNumberFormat="1" applyFont="1" applyFill="1" applyBorder="1" applyAlignment="1">
      <alignment horizontal="center" vertical="center"/>
    </xf>
    <xf numFmtId="3" fontId="7" fillId="0" borderId="62" xfId="0" applyNumberFormat="1" applyFont="1" applyBorder="1" applyAlignment="1">
      <alignment horizontal="center" vertical="center"/>
    </xf>
    <xf numFmtId="9" fontId="86" fillId="11" borderId="63" xfId="0" applyNumberFormat="1" applyFont="1" applyFill="1" applyBorder="1" applyAlignment="1">
      <alignment horizontal="center" vertical="center"/>
    </xf>
    <xf numFmtId="9" fontId="7" fillId="17" borderId="63" xfId="0" applyNumberFormat="1" applyFont="1" applyFill="1" applyBorder="1" applyAlignment="1">
      <alignment horizontal="center" vertical="center"/>
    </xf>
    <xf numFmtId="0" fontId="20" fillId="22" borderId="61" xfId="0" applyFont="1" applyFill="1" applyBorder="1" applyAlignment="1">
      <alignment horizontal="center" vertical="center" wrapText="1"/>
    </xf>
    <xf numFmtId="166" fontId="86" fillId="11" borderId="61" xfId="0" applyNumberFormat="1" applyFont="1" applyFill="1" applyBorder="1" applyAlignment="1">
      <alignment horizontal="right" vertical="center" indent="1"/>
    </xf>
    <xf numFmtId="166" fontId="7" fillId="0" borderId="62" xfId="0" applyNumberFormat="1" applyFont="1" applyBorder="1" applyAlignment="1">
      <alignment horizontal="right" vertical="center" indent="1"/>
    </xf>
    <xf numFmtId="166" fontId="7" fillId="0" borderId="60" xfId="0" applyNumberFormat="1" applyFont="1" applyBorder="1" applyAlignment="1">
      <alignment horizontal="right" vertical="center" indent="1"/>
    </xf>
    <xf numFmtId="0" fontId="20" fillId="22" borderId="35" xfId="0" applyFont="1" applyFill="1" applyBorder="1" applyAlignment="1">
      <alignment horizontal="center" vertical="center" wrapText="1"/>
    </xf>
    <xf numFmtId="166" fontId="86" fillId="11" borderId="35" xfId="0" applyNumberFormat="1" applyFont="1" applyFill="1" applyBorder="1" applyAlignment="1">
      <alignment horizontal="right" vertical="center" indent="1"/>
    </xf>
    <xf numFmtId="166" fontId="7" fillId="33" borderId="36" xfId="0" applyNumberFormat="1" applyFont="1" applyFill="1" applyBorder="1" applyAlignment="1">
      <alignment horizontal="right" vertical="center" indent="1"/>
    </xf>
    <xf numFmtId="0" fontId="10" fillId="0" borderId="64" xfId="0" applyFont="1" applyBorder="1" applyAlignment="1"/>
    <xf numFmtId="0" fontId="8" fillId="0" borderId="64" xfId="0" applyFont="1" applyBorder="1" applyAlignment="1"/>
    <xf numFmtId="3" fontId="8" fillId="0" borderId="64" xfId="0" applyNumberFormat="1" applyFont="1" applyBorder="1"/>
    <xf numFmtId="0" fontId="8" fillId="0" borderId="64" xfId="0" applyFont="1" applyBorder="1"/>
    <xf numFmtId="3" fontId="7" fillId="0" borderId="67" xfId="0" applyNumberFormat="1" applyFont="1" applyBorder="1" applyAlignment="1">
      <alignment horizontal="center" vertical="center"/>
    </xf>
    <xf numFmtId="3" fontId="7" fillId="0" borderId="66" xfId="0" applyNumberFormat="1" applyFont="1" applyBorder="1" applyAlignment="1">
      <alignment horizontal="center" vertical="center"/>
    </xf>
    <xf numFmtId="166" fontId="7" fillId="33" borderId="67" xfId="0" applyNumberFormat="1" applyFont="1" applyFill="1" applyBorder="1" applyAlignment="1">
      <alignment horizontal="right" vertical="center" indent="1"/>
    </xf>
    <xf numFmtId="166" fontId="7" fillId="0" borderId="66" xfId="0" applyNumberFormat="1" applyFont="1" applyBorder="1" applyAlignment="1">
      <alignment horizontal="right" vertical="center" indent="1"/>
    </xf>
    <xf numFmtId="166" fontId="7" fillId="33" borderId="68" xfId="0" applyNumberFormat="1" applyFont="1" applyFill="1" applyBorder="1" applyAlignment="1">
      <alignment horizontal="right" vertical="center" indent="1"/>
    </xf>
    <xf numFmtId="0" fontId="39" fillId="0" borderId="64" xfId="0" applyFont="1" applyBorder="1" applyAlignment="1">
      <alignment vertical="center"/>
    </xf>
    <xf numFmtId="0" fontId="7" fillId="0" borderId="64" xfId="0" applyFont="1" applyBorder="1" applyAlignment="1">
      <alignment vertical="center"/>
    </xf>
    <xf numFmtId="0" fontId="7" fillId="34" borderId="72" xfId="0" applyFont="1" applyFill="1" applyBorder="1" applyAlignment="1">
      <alignment horizontal="center" vertical="center"/>
    </xf>
    <xf numFmtId="166" fontId="7" fillId="0" borderId="73" xfId="0" applyNumberFormat="1" applyFont="1" applyBorder="1" applyAlignment="1">
      <alignment horizontal="right" vertical="center" indent="1"/>
    </xf>
    <xf numFmtId="166" fontId="7" fillId="33" borderId="73" xfId="0" applyNumberFormat="1" applyFont="1" applyFill="1" applyBorder="1" applyAlignment="1">
      <alignment horizontal="right" vertical="center" indent="1"/>
    </xf>
    <xf numFmtId="9" fontId="7" fillId="17" borderId="74" xfId="0" applyNumberFormat="1" applyFont="1" applyFill="1" applyBorder="1" applyAlignment="1">
      <alignment horizontal="center" vertical="center"/>
    </xf>
    <xf numFmtId="3" fontId="7" fillId="0" borderId="76" xfId="0" applyNumberFormat="1" applyFont="1" applyBorder="1" applyAlignment="1">
      <alignment horizontal="center" vertical="center"/>
    </xf>
    <xf numFmtId="166" fontId="7" fillId="0" borderId="78" xfId="0" applyNumberFormat="1" applyFont="1" applyBorder="1" applyAlignment="1">
      <alignment horizontal="right" vertical="center" indent="1"/>
    </xf>
    <xf numFmtId="166" fontId="7" fillId="0" borderId="79" xfId="0" applyNumberFormat="1" applyFont="1" applyBorder="1" applyAlignment="1">
      <alignment horizontal="right" vertical="center" indent="1"/>
    </xf>
    <xf numFmtId="0" fontId="20" fillId="56" borderId="81" xfId="0" applyFont="1" applyFill="1" applyBorder="1" applyAlignment="1">
      <alignment horizontal="center" vertical="center" wrapText="1"/>
    </xf>
    <xf numFmtId="0" fontId="20" fillId="56" borderId="83" xfId="0" applyFont="1" applyFill="1" applyBorder="1" applyAlignment="1">
      <alignment horizontal="center" vertical="center" wrapText="1"/>
    </xf>
    <xf numFmtId="0" fontId="20" fillId="56" borderId="85" xfId="0" applyFont="1" applyFill="1" applyBorder="1" applyAlignment="1">
      <alignment horizontal="center" vertical="center" wrapText="1"/>
    </xf>
    <xf numFmtId="0" fontId="20" fillId="56" borderId="19" xfId="0" applyFont="1" applyFill="1" applyBorder="1" applyAlignment="1">
      <alignment horizontal="center" vertical="center" wrapText="1"/>
    </xf>
    <xf numFmtId="0" fontId="20" fillId="56" borderId="86" xfId="0" applyFont="1" applyFill="1" applyBorder="1" applyAlignment="1">
      <alignment horizontal="center" vertical="center" wrapText="1"/>
    </xf>
    <xf numFmtId="0" fontId="20" fillId="56" borderId="89" xfId="0" applyFont="1" applyFill="1" applyBorder="1" applyAlignment="1">
      <alignment horizontal="center" vertical="center" wrapText="1"/>
    </xf>
    <xf numFmtId="0" fontId="20" fillId="52" borderId="88" xfId="0" applyFont="1" applyFill="1" applyBorder="1" applyAlignment="1">
      <alignment horizontal="center" vertical="center" wrapText="1"/>
    </xf>
    <xf numFmtId="0" fontId="20" fillId="22" borderId="91" xfId="0" applyFont="1" applyFill="1" applyBorder="1" applyAlignment="1">
      <alignment horizontal="center" vertical="center"/>
    </xf>
    <xf numFmtId="0" fontId="20" fillId="22" borderId="92" xfId="0" applyFont="1" applyFill="1" applyBorder="1" applyAlignment="1">
      <alignment horizontal="center" vertical="center" wrapText="1"/>
    </xf>
    <xf numFmtId="3" fontId="20" fillId="22" borderId="92" xfId="0" applyNumberFormat="1" applyFont="1" applyFill="1" applyBorder="1" applyAlignment="1">
      <alignment horizontal="center" vertical="center" wrapText="1"/>
    </xf>
    <xf numFmtId="3" fontId="20" fillId="22" borderId="65" xfId="0" applyNumberFormat="1" applyFont="1" applyFill="1" applyBorder="1" applyAlignment="1">
      <alignment horizontal="center" vertical="center" wrapText="1"/>
    </xf>
    <xf numFmtId="0" fontId="20" fillId="22" borderId="35" xfId="0" applyFont="1" applyFill="1" applyBorder="1" applyAlignment="1">
      <alignment horizontal="center" vertical="center"/>
    </xf>
    <xf numFmtId="3" fontId="20" fillId="22" borderId="35" xfId="0" applyNumberFormat="1" applyFont="1" applyFill="1" applyBorder="1" applyAlignment="1">
      <alignment horizontal="center" vertical="center" wrapText="1"/>
    </xf>
    <xf numFmtId="3" fontId="45" fillId="0" borderId="0" xfId="0" applyNumberFormat="1" applyFont="1" applyAlignment="1">
      <alignment horizontal="center" vertical="center"/>
    </xf>
    <xf numFmtId="9" fontId="48" fillId="65" borderId="0" xfId="0" applyNumberFormat="1" applyFont="1" applyFill="1" applyAlignment="1">
      <alignment horizontal="center" vertical="center"/>
    </xf>
    <xf numFmtId="0" fontId="10" fillId="0" borderId="35" xfId="0" applyFont="1" applyBorder="1" applyAlignment="1"/>
    <xf numFmtId="166" fontId="7" fillId="0" borderId="77" xfId="0" applyNumberFormat="1" applyFont="1" applyBorder="1" applyAlignment="1">
      <alignment horizontal="right" vertical="center" indent="1"/>
    </xf>
    <xf numFmtId="0" fontId="20" fillId="10" borderId="82" xfId="0" applyFont="1" applyFill="1" applyBorder="1" applyAlignment="1">
      <alignment horizontal="center" vertical="center" wrapText="1"/>
    </xf>
    <xf numFmtId="0" fontId="20" fillId="10" borderId="93" xfId="0" applyFont="1" applyFill="1" applyBorder="1" applyAlignment="1">
      <alignment horizontal="center" vertical="center" wrapText="1"/>
    </xf>
    <xf numFmtId="0" fontId="85" fillId="0" borderId="35" xfId="0" applyFont="1" applyBorder="1" applyAlignment="1">
      <alignment vertical="center"/>
    </xf>
    <xf numFmtId="0" fontId="31" fillId="0" borderId="35" xfId="0" applyFont="1" applyBorder="1" applyAlignment="1">
      <alignment horizontal="right" vertical="center"/>
    </xf>
    <xf numFmtId="166" fontId="15" fillId="0" borderId="35" xfId="0" applyNumberFormat="1" applyFont="1" applyBorder="1" applyAlignment="1">
      <alignment horizontal="center" vertical="center"/>
    </xf>
    <xf numFmtId="9" fontId="36" fillId="0" borderId="35" xfId="0" applyNumberFormat="1" applyFont="1" applyBorder="1" applyAlignment="1">
      <alignment horizontal="center" vertical="center"/>
    </xf>
    <xf numFmtId="166" fontId="8" fillId="0" borderId="35" xfId="0" applyNumberFormat="1" applyFont="1" applyBorder="1" applyAlignment="1">
      <alignment horizontal="center" vertical="center"/>
    </xf>
    <xf numFmtId="9" fontId="38" fillId="0" borderId="35" xfId="0" applyNumberFormat="1" applyFont="1" applyBorder="1" applyAlignment="1">
      <alignment horizontal="center" vertical="center"/>
    </xf>
    <xf numFmtId="0" fontId="20" fillId="10" borderId="81" xfId="0" applyFont="1" applyFill="1" applyBorder="1" applyAlignment="1">
      <alignment horizontal="center" vertical="center"/>
    </xf>
    <xf numFmtId="9" fontId="7" fillId="33" borderId="97" xfId="0" applyNumberFormat="1" applyFont="1" applyFill="1" applyBorder="1" applyAlignment="1">
      <alignment horizontal="center" vertical="center"/>
    </xf>
    <xf numFmtId="9" fontId="7" fillId="33" borderId="98" xfId="0" applyNumberFormat="1" applyFont="1" applyFill="1" applyBorder="1" applyAlignment="1">
      <alignment horizontal="center" vertical="center"/>
    </xf>
    <xf numFmtId="9" fontId="7" fillId="33" borderId="99" xfId="0" applyNumberFormat="1" applyFont="1" applyFill="1" applyBorder="1" applyAlignment="1">
      <alignment horizontal="center" vertical="center"/>
    </xf>
    <xf numFmtId="9" fontId="86" fillId="11" borderId="100" xfId="0" applyNumberFormat="1" applyFont="1" applyFill="1" applyBorder="1" applyAlignment="1">
      <alignment horizontal="center" vertical="center"/>
    </xf>
    <xf numFmtId="9" fontId="7" fillId="33" borderId="101" xfId="0" applyNumberFormat="1" applyFont="1" applyFill="1" applyBorder="1" applyAlignment="1">
      <alignment horizontal="center" vertical="center"/>
    </xf>
    <xf numFmtId="9" fontId="7" fillId="33" borderId="102" xfId="0" applyNumberFormat="1" applyFont="1" applyFill="1" applyBorder="1" applyAlignment="1">
      <alignment horizontal="center" vertical="center"/>
    </xf>
    <xf numFmtId="9" fontId="85" fillId="67" borderId="90" xfId="0" applyNumberFormat="1" applyFont="1" applyFill="1" applyBorder="1" applyAlignment="1">
      <alignment horizontal="center" vertical="center"/>
    </xf>
    <xf numFmtId="0" fontId="10" fillId="67" borderId="61" xfId="0" applyFont="1" applyFill="1" applyBorder="1" applyAlignment="1"/>
    <xf numFmtId="0" fontId="20" fillId="56" borderId="35" xfId="0" applyFont="1" applyFill="1" applyBorder="1" applyAlignment="1">
      <alignment horizontal="center" vertical="center" wrapText="1"/>
    </xf>
    <xf numFmtId="0" fontId="49" fillId="67" borderId="103" xfId="0" applyFont="1" applyFill="1" applyBorder="1" applyAlignment="1">
      <alignment horizontal="center" vertical="center"/>
    </xf>
    <xf numFmtId="9" fontId="49" fillId="68" borderId="100" xfId="0" applyNumberFormat="1" applyFont="1" applyFill="1" applyBorder="1" applyAlignment="1">
      <alignment horizontal="center" vertical="center"/>
    </xf>
    <xf numFmtId="0" fontId="20" fillId="38" borderId="69" xfId="0" applyFont="1" applyFill="1" applyBorder="1" applyAlignment="1">
      <alignment horizontal="center" vertical="center" wrapText="1"/>
    </xf>
    <xf numFmtId="0" fontId="97" fillId="64" borderId="69" xfId="0" applyFont="1" applyFill="1" applyBorder="1" applyAlignment="1">
      <alignment horizontal="center" vertical="center"/>
    </xf>
    <xf numFmtId="3" fontId="97" fillId="64" borderId="69" xfId="0" applyNumberFormat="1" applyFont="1" applyFill="1" applyBorder="1" applyAlignment="1">
      <alignment horizontal="center" vertical="center" wrapText="1"/>
    </xf>
    <xf numFmtId="0" fontId="97" fillId="64" borderId="69" xfId="0" applyFont="1" applyFill="1" applyBorder="1" applyAlignment="1">
      <alignment horizontal="center" vertical="center" wrapText="1"/>
    </xf>
    <xf numFmtId="9" fontId="97" fillId="64" borderId="69" xfId="0" applyNumberFormat="1" applyFont="1" applyFill="1" applyBorder="1" applyAlignment="1">
      <alignment horizontal="center" vertical="center" wrapText="1"/>
    </xf>
    <xf numFmtId="0" fontId="77" fillId="37" borderId="69" xfId="0" applyFont="1" applyFill="1" applyBorder="1" applyAlignment="1">
      <alignment horizontal="center" vertical="center" wrapText="1"/>
    </xf>
    <xf numFmtId="9" fontId="6" fillId="65" borderId="69" xfId="0" applyNumberFormat="1" applyFont="1" applyFill="1" applyBorder="1" applyAlignment="1">
      <alignment horizontal="center" vertical="center"/>
    </xf>
    <xf numFmtId="0" fontId="20" fillId="57" borderId="69" xfId="0" applyFont="1" applyFill="1" applyBorder="1" applyAlignment="1">
      <alignment horizontal="center" vertical="center"/>
    </xf>
    <xf numFmtId="0" fontId="21" fillId="30" borderId="69" xfId="0" applyFont="1" applyFill="1" applyBorder="1" applyAlignment="1">
      <alignment horizontal="center" vertical="center"/>
    </xf>
    <xf numFmtId="0" fontId="21" fillId="31" borderId="69" xfId="0" applyFont="1" applyFill="1" applyBorder="1" applyAlignment="1">
      <alignment horizontal="center" vertical="center"/>
    </xf>
    <xf numFmtId="0" fontId="21" fillId="32" borderId="69" xfId="0" applyFont="1" applyFill="1" applyBorder="1" applyAlignment="1">
      <alignment horizontal="center" vertical="center"/>
    </xf>
    <xf numFmtId="9" fontId="46" fillId="3" borderId="35" xfId="0" applyNumberFormat="1" applyFont="1" applyFill="1" applyBorder="1" applyAlignment="1">
      <alignment horizontal="center" vertical="center"/>
    </xf>
    <xf numFmtId="9" fontId="46" fillId="3" borderId="61" xfId="0" applyNumberFormat="1" applyFont="1" applyFill="1" applyBorder="1" applyAlignment="1">
      <alignment horizontal="center" vertical="center"/>
    </xf>
    <xf numFmtId="9" fontId="46" fillId="3" borderId="64" xfId="0" applyNumberFormat="1" applyFont="1" applyFill="1" applyBorder="1" applyAlignment="1">
      <alignment horizontal="center" vertical="center"/>
    </xf>
    <xf numFmtId="9" fontId="46" fillId="3" borderId="80" xfId="0" applyNumberFormat="1" applyFont="1" applyFill="1" applyBorder="1" applyAlignment="1">
      <alignment horizontal="center" vertical="center"/>
    </xf>
    <xf numFmtId="0" fontId="24" fillId="3" borderId="100" xfId="0" applyFont="1" applyFill="1" applyBorder="1" applyAlignment="1">
      <alignment horizontal="center" vertical="center"/>
    </xf>
    <xf numFmtId="0" fontId="24" fillId="3" borderId="75" xfId="0" applyFont="1" applyFill="1" applyBorder="1" applyAlignment="1">
      <alignment horizontal="center" vertical="center"/>
    </xf>
    <xf numFmtId="0" fontId="20" fillId="57" borderId="70" xfId="0" applyFont="1" applyFill="1" applyBorder="1" applyAlignment="1">
      <alignment horizontal="center" vertical="center"/>
    </xf>
    <xf numFmtId="0" fontId="21" fillId="30" borderId="105" xfId="0" applyFont="1" applyFill="1" applyBorder="1" applyAlignment="1">
      <alignment horizontal="center" vertical="center"/>
    </xf>
    <xf numFmtId="0" fontId="21" fillId="31" borderId="104" xfId="0" applyFont="1" applyFill="1" applyBorder="1" applyAlignment="1">
      <alignment horizontal="center" vertical="center"/>
    </xf>
    <xf numFmtId="0" fontId="20" fillId="57" borderId="87" xfId="0" applyFont="1" applyFill="1" applyBorder="1" applyAlignment="1">
      <alignment horizontal="center" vertical="center"/>
    </xf>
    <xf numFmtId="0" fontId="20" fillId="57" borderId="71" xfId="0" applyFont="1" applyFill="1" applyBorder="1" applyAlignment="1">
      <alignment horizontal="center" vertical="center"/>
    </xf>
    <xf numFmtId="0" fontId="23" fillId="3" borderId="61" xfId="0" applyFont="1" applyFill="1" applyBorder="1" applyAlignment="1">
      <alignment horizontal="center" vertical="center"/>
    </xf>
    <xf numFmtId="0" fontId="23" fillId="3" borderId="80" xfId="0" applyFont="1" applyFill="1" applyBorder="1" applyAlignment="1">
      <alignment horizontal="center" vertical="center"/>
    </xf>
    <xf numFmtId="0" fontId="22" fillId="3" borderId="91" xfId="0" applyFont="1" applyFill="1" applyBorder="1" applyAlignment="1">
      <alignment horizontal="center" vertical="center"/>
    </xf>
    <xf numFmtId="0" fontId="22" fillId="3" borderId="100" xfId="0" applyFont="1" applyFill="1" applyBorder="1" applyAlignment="1">
      <alignment horizontal="center" vertical="center"/>
    </xf>
    <xf numFmtId="0" fontId="22" fillId="3" borderId="75" xfId="0" applyFont="1" applyFill="1" applyBorder="1" applyAlignment="1">
      <alignment horizontal="center" vertical="center"/>
    </xf>
    <xf numFmtId="0" fontId="22" fillId="33" borderId="100" xfId="0" applyFont="1" applyFill="1" applyBorder="1" applyAlignment="1">
      <alignment horizontal="center" vertical="center"/>
    </xf>
    <xf numFmtId="0" fontId="22" fillId="33" borderId="75" xfId="0" applyFont="1" applyFill="1" applyBorder="1" applyAlignment="1">
      <alignment horizontal="center" vertical="center"/>
    </xf>
    <xf numFmtId="0" fontId="23" fillId="33" borderId="100" xfId="0" applyFont="1" applyFill="1" applyBorder="1" applyAlignment="1">
      <alignment horizontal="center" vertical="center"/>
    </xf>
    <xf numFmtId="0" fontId="23" fillId="33" borderId="75" xfId="0" applyFont="1" applyFill="1" applyBorder="1" applyAlignment="1">
      <alignment horizontal="center" vertical="center"/>
    </xf>
    <xf numFmtId="9" fontId="46" fillId="33" borderId="103" xfId="0" applyNumberFormat="1" applyFont="1" applyFill="1" applyBorder="1" applyAlignment="1">
      <alignment horizontal="center" vertical="center"/>
    </xf>
    <xf numFmtId="0" fontId="89" fillId="0" borderId="91" xfId="0" applyFont="1" applyFill="1" applyBorder="1" applyAlignment="1">
      <alignment horizontal="right" vertical="center"/>
    </xf>
    <xf numFmtId="0" fontId="89" fillId="0" borderId="100" xfId="0" applyFont="1" applyFill="1" applyBorder="1" applyAlignment="1">
      <alignment horizontal="right" vertical="center"/>
    </xf>
    <xf numFmtId="0" fontId="89" fillId="0" borderId="75" xfId="0" applyFont="1" applyFill="1" applyBorder="1" applyAlignment="1">
      <alignment horizontal="right" vertical="center"/>
    </xf>
    <xf numFmtId="0" fontId="89" fillId="0" borderId="106" xfId="0" applyFont="1" applyBorder="1" applyAlignment="1">
      <alignment horizontal="right" vertical="center"/>
    </xf>
    <xf numFmtId="0" fontId="89" fillId="0" borderId="79" xfId="0" applyFont="1" applyBorder="1" applyAlignment="1">
      <alignment horizontal="right" vertical="center"/>
    </xf>
    <xf numFmtId="0" fontId="20" fillId="53" borderId="35" xfId="0" applyFont="1" applyFill="1" applyBorder="1" applyAlignment="1">
      <alignment horizontal="center" vertical="center" wrapText="1"/>
    </xf>
    <xf numFmtId="0" fontId="20" fillId="53" borderId="61" xfId="0" applyFont="1" applyFill="1" applyBorder="1" applyAlignment="1">
      <alignment horizontal="center" vertical="center" wrapText="1"/>
    </xf>
    <xf numFmtId="3" fontId="48" fillId="15" borderId="97" xfId="0" applyNumberFormat="1" applyFont="1" applyFill="1" applyBorder="1" applyAlignment="1">
      <alignment horizontal="center" vertical="center" wrapText="1"/>
    </xf>
    <xf numFmtId="0" fontId="41" fillId="0" borderId="97" xfId="0" applyFont="1" applyBorder="1" applyAlignment="1">
      <alignment horizontal="center" vertical="center" wrapText="1"/>
    </xf>
    <xf numFmtId="0" fontId="41" fillId="0" borderId="99" xfId="0" applyFont="1" applyBorder="1" applyAlignment="1">
      <alignment horizontal="center" vertical="center" wrapText="1"/>
    </xf>
    <xf numFmtId="166" fontId="7" fillId="0" borderId="76" xfId="0" applyNumberFormat="1" applyFont="1" applyBorder="1" applyAlignment="1">
      <alignment horizontal="right" vertical="center" wrapText="1" indent="1"/>
    </xf>
    <xf numFmtId="166" fontId="70" fillId="0" borderId="76" xfId="0" applyNumberFormat="1" applyFont="1" applyBorder="1" applyAlignment="1">
      <alignment horizontal="right" vertical="center" wrapText="1" indent="1"/>
    </xf>
    <xf numFmtId="166" fontId="47" fillId="8" borderId="76" xfId="0" applyNumberFormat="1" applyFont="1" applyFill="1" applyBorder="1" applyAlignment="1">
      <alignment horizontal="right" vertical="center" wrapText="1" indent="1"/>
    </xf>
    <xf numFmtId="9" fontId="40" fillId="16" borderId="97" xfId="0" applyNumberFormat="1" applyFont="1" applyFill="1" applyBorder="1" applyAlignment="1">
      <alignment horizontal="center" vertical="center" wrapText="1"/>
    </xf>
    <xf numFmtId="9" fontId="7" fillId="18" borderId="97" xfId="0" applyNumberFormat="1" applyFont="1" applyFill="1" applyBorder="1" applyAlignment="1">
      <alignment horizontal="center" vertical="center" wrapText="1"/>
    </xf>
    <xf numFmtId="9" fontId="7" fillId="18" borderId="99" xfId="0" applyNumberFormat="1" applyFont="1" applyFill="1" applyBorder="1" applyAlignment="1">
      <alignment horizontal="center" vertical="center" wrapText="1"/>
    </xf>
    <xf numFmtId="9" fontId="70" fillId="18" borderId="76" xfId="0" applyNumberFormat="1" applyFont="1" applyFill="1" applyBorder="1" applyAlignment="1">
      <alignment horizontal="center" vertical="center" wrapText="1"/>
    </xf>
    <xf numFmtId="9" fontId="47" fillId="8" borderId="76" xfId="0" applyNumberFormat="1" applyFont="1" applyFill="1" applyBorder="1" applyAlignment="1">
      <alignment horizontal="center" vertical="center" wrapText="1"/>
    </xf>
    <xf numFmtId="3" fontId="40" fillId="11" borderId="97" xfId="0" applyNumberFormat="1" applyFont="1" applyFill="1" applyBorder="1" applyAlignment="1">
      <alignment horizontal="center" vertical="center" wrapText="1"/>
    </xf>
    <xf numFmtId="3" fontId="7" fillId="0" borderId="76" xfId="0" applyNumberFormat="1" applyFont="1" applyBorder="1" applyAlignment="1">
      <alignment horizontal="center" vertical="center" wrapText="1"/>
    </xf>
    <xf numFmtId="3" fontId="70" fillId="0" borderId="76" xfId="0" applyNumberFormat="1" applyFont="1" applyBorder="1" applyAlignment="1">
      <alignment horizontal="center" vertical="center" wrapText="1"/>
    </xf>
    <xf numFmtId="3" fontId="47" fillId="8" borderId="76" xfId="0" applyNumberFormat="1" applyFont="1" applyFill="1" applyBorder="1" applyAlignment="1">
      <alignment horizontal="center" vertical="center" wrapText="1"/>
    </xf>
    <xf numFmtId="3" fontId="48" fillId="11" borderId="97" xfId="0" applyNumberFormat="1" applyFont="1" applyFill="1" applyBorder="1" applyAlignment="1">
      <alignment horizontal="center" vertical="center"/>
    </xf>
    <xf numFmtId="0" fontId="7" fillId="34" borderId="107" xfId="0" applyFont="1" applyFill="1" applyBorder="1" applyAlignment="1">
      <alignment horizontal="center" vertical="center"/>
    </xf>
    <xf numFmtId="0" fontId="20" fillId="54" borderId="85" xfId="0" applyFont="1" applyFill="1" applyBorder="1" applyAlignment="1">
      <alignment horizontal="center" vertical="center" wrapText="1"/>
    </xf>
    <xf numFmtId="0" fontId="20" fillId="54" borderId="19" xfId="0" applyFont="1" applyFill="1" applyBorder="1" applyAlignment="1">
      <alignment horizontal="center" vertical="center" wrapText="1"/>
    </xf>
    <xf numFmtId="0" fontId="20" fillId="55" borderId="85" xfId="0" applyFont="1" applyFill="1" applyBorder="1" applyAlignment="1">
      <alignment horizontal="center" vertical="center" wrapText="1"/>
    </xf>
    <xf numFmtId="0" fontId="20" fillId="55" borderId="19" xfId="0" applyFont="1" applyFill="1" applyBorder="1" applyAlignment="1">
      <alignment horizontal="center" vertical="center" wrapText="1"/>
    </xf>
    <xf numFmtId="0" fontId="20" fillId="9" borderId="92" xfId="0" applyFont="1" applyFill="1" applyBorder="1" applyAlignment="1">
      <alignment horizontal="center" vertical="center" wrapText="1"/>
    </xf>
    <xf numFmtId="0" fontId="20" fillId="13" borderId="93" xfId="0" applyFont="1" applyFill="1" applyBorder="1" applyAlignment="1">
      <alignment horizontal="center" vertical="center" wrapText="1"/>
    </xf>
    <xf numFmtId="166" fontId="48" fillId="11" borderId="97" xfId="0" applyNumberFormat="1" applyFont="1" applyFill="1" applyBorder="1" applyAlignment="1">
      <alignment horizontal="right" vertical="center" wrapText="1" indent="1"/>
    </xf>
    <xf numFmtId="166" fontId="92" fillId="12" borderId="60" xfId="0" applyNumberFormat="1" applyFont="1" applyFill="1" applyBorder="1" applyAlignment="1">
      <alignment horizontal="right" vertical="center" wrapText="1" indent="1"/>
    </xf>
    <xf numFmtId="166" fontId="64" fillId="0" borderId="97" xfId="0" applyNumberFormat="1" applyFont="1" applyBorder="1" applyAlignment="1">
      <alignment horizontal="right" vertical="center" wrapText="1" indent="1"/>
    </xf>
    <xf numFmtId="166" fontId="93" fillId="0" borderId="60" xfId="0" applyNumberFormat="1" applyFont="1" applyBorder="1" applyAlignment="1">
      <alignment horizontal="right" vertical="center" wrapText="1" indent="1"/>
    </xf>
    <xf numFmtId="166" fontId="64" fillId="0" borderId="99" xfId="0" applyNumberFormat="1" applyFont="1" applyBorder="1" applyAlignment="1">
      <alignment horizontal="right" vertical="center" wrapText="1" indent="1"/>
    </xf>
    <xf numFmtId="166" fontId="93" fillId="0" borderId="77" xfId="0" applyNumberFormat="1" applyFont="1" applyBorder="1" applyAlignment="1">
      <alignment horizontal="right" vertical="center" wrapText="1" indent="1"/>
    </xf>
    <xf numFmtId="0" fontId="20" fillId="60" borderId="61" xfId="0" applyFont="1" applyFill="1" applyBorder="1" applyAlignment="1">
      <alignment horizontal="center" vertical="center" wrapText="1"/>
    </xf>
    <xf numFmtId="166" fontId="80" fillId="12" borderId="97" xfId="0" applyNumberFormat="1" applyFont="1" applyFill="1" applyBorder="1" applyAlignment="1">
      <alignment horizontal="right" vertical="center" wrapText="1" indent="1"/>
    </xf>
    <xf numFmtId="166" fontId="7" fillId="0" borderId="97" xfId="0" applyNumberFormat="1" applyFont="1" applyBorder="1" applyAlignment="1">
      <alignment horizontal="right" vertical="center" wrapText="1" indent="1"/>
    </xf>
    <xf numFmtId="166" fontId="7" fillId="0" borderId="99" xfId="0" applyNumberFormat="1" applyFont="1" applyBorder="1" applyAlignment="1">
      <alignment horizontal="right" vertical="center" wrapText="1" indent="1"/>
    </xf>
    <xf numFmtId="0" fontId="41" fillId="0" borderId="76" xfId="0" applyFont="1" applyBorder="1" applyAlignment="1">
      <alignment horizontal="center" vertical="center" wrapText="1"/>
    </xf>
    <xf numFmtId="3" fontId="7" fillId="0" borderId="76" xfId="0" applyNumberFormat="1" applyFont="1" applyBorder="1" applyAlignment="1">
      <alignment horizontal="right" vertical="center" wrapText="1" indent="1"/>
    </xf>
    <xf numFmtId="3" fontId="47" fillId="8" borderId="109" xfId="0" applyNumberFormat="1" applyFont="1" applyFill="1" applyBorder="1" applyAlignment="1">
      <alignment horizontal="center" vertical="center" wrapText="1"/>
    </xf>
    <xf numFmtId="166" fontId="80" fillId="12" borderId="107" xfId="0" applyNumberFormat="1" applyFont="1" applyFill="1" applyBorder="1" applyAlignment="1">
      <alignment horizontal="right" vertical="center" wrapText="1" indent="1"/>
    </xf>
    <xf numFmtId="166" fontId="7" fillId="0" borderId="85" xfId="0" applyNumberFormat="1" applyFont="1" applyBorder="1" applyAlignment="1">
      <alignment horizontal="right" vertical="center" wrapText="1" indent="1"/>
    </xf>
    <xf numFmtId="0" fontId="41" fillId="0" borderId="110" xfId="0" applyFont="1" applyBorder="1" applyAlignment="1">
      <alignment horizontal="center" vertical="center" wrapText="1"/>
    </xf>
    <xf numFmtId="3" fontId="7" fillId="0" borderId="111" xfId="0" applyNumberFormat="1" applyFont="1" applyBorder="1" applyAlignment="1">
      <alignment horizontal="center" vertical="center" wrapText="1"/>
    </xf>
    <xf numFmtId="166" fontId="47" fillId="8" borderId="73" xfId="0" applyNumberFormat="1" applyFont="1" applyFill="1" applyBorder="1" applyAlignment="1">
      <alignment horizontal="center" vertical="center" wrapText="1"/>
    </xf>
    <xf numFmtId="0" fontId="20" fillId="61" borderId="85" xfId="0" applyFont="1" applyFill="1" applyBorder="1" applyAlignment="1">
      <alignment horizontal="center" vertical="center" wrapText="1"/>
    </xf>
    <xf numFmtId="0" fontId="20" fillId="61" borderId="19" xfId="0" applyFont="1" applyFill="1" applyBorder="1" applyAlignment="1">
      <alignment horizontal="center" vertical="center" wrapText="1"/>
    </xf>
    <xf numFmtId="3" fontId="20" fillId="62" borderId="19" xfId="0" applyNumberFormat="1" applyFont="1" applyFill="1" applyBorder="1" applyAlignment="1">
      <alignment horizontal="center" vertical="center" wrapText="1"/>
    </xf>
    <xf numFmtId="0" fontId="20" fillId="61" borderId="113" xfId="0" applyFont="1" applyFill="1" applyBorder="1" applyAlignment="1">
      <alignment horizontal="center" vertical="center" wrapText="1"/>
    </xf>
    <xf numFmtId="0" fontId="20" fillId="61" borderId="84" xfId="0" applyFont="1" applyFill="1" applyBorder="1" applyAlignment="1">
      <alignment horizontal="center" vertical="center" wrapText="1"/>
    </xf>
    <xf numFmtId="0" fontId="20" fillId="58" borderId="18" xfId="0" applyFont="1" applyFill="1" applyBorder="1" applyAlignment="1">
      <alignment horizontal="center" vertical="center" wrapText="1"/>
    </xf>
    <xf numFmtId="0" fontId="20" fillId="58" borderId="19" xfId="0" applyFont="1" applyFill="1" applyBorder="1" applyAlignment="1">
      <alignment horizontal="center" vertical="center" wrapText="1"/>
    </xf>
    <xf numFmtId="0" fontId="20" fillId="10" borderId="81" xfId="0" applyFont="1" applyFill="1" applyBorder="1" applyAlignment="1">
      <alignment horizontal="center" vertical="center" wrapText="1"/>
    </xf>
    <xf numFmtId="0" fontId="20" fillId="10" borderId="92" xfId="0" applyFont="1" applyFill="1" applyBorder="1" applyAlignment="1">
      <alignment horizontal="center" vertical="center" wrapText="1"/>
    </xf>
    <xf numFmtId="0" fontId="20" fillId="10" borderId="65" xfId="0" applyFont="1" applyFill="1" applyBorder="1" applyAlignment="1">
      <alignment horizontal="center" vertical="center" wrapText="1"/>
    </xf>
    <xf numFmtId="166" fontId="48" fillId="11" borderId="35" xfId="0" applyNumberFormat="1" applyFont="1" applyFill="1" applyBorder="1" applyAlignment="1">
      <alignment horizontal="right" vertical="center" wrapText="1" indent="1"/>
    </xf>
    <xf numFmtId="166" fontId="76" fillId="11" borderId="61" xfId="0" applyNumberFormat="1" applyFont="1" applyFill="1" applyBorder="1" applyAlignment="1">
      <alignment horizontal="right" vertical="center" wrapText="1" indent="1"/>
    </xf>
    <xf numFmtId="9" fontId="7" fillId="0" borderId="97" xfId="0" applyNumberFormat="1" applyFont="1" applyBorder="1" applyAlignment="1">
      <alignment horizontal="center" vertical="center"/>
    </xf>
    <xf numFmtId="166" fontId="70" fillId="0" borderId="95" xfId="0" applyNumberFormat="1" applyFont="1" applyBorder="1" applyAlignment="1">
      <alignment horizontal="right" vertical="center" wrapText="1" indent="1"/>
    </xf>
    <xf numFmtId="9" fontId="7" fillId="0" borderId="99" xfId="0" applyNumberFormat="1" applyFont="1" applyBorder="1" applyAlignment="1">
      <alignment horizontal="center" vertical="center"/>
    </xf>
    <xf numFmtId="166" fontId="64" fillId="0" borderId="114" xfId="0" applyNumberFormat="1" applyFont="1" applyBorder="1" applyAlignment="1">
      <alignment horizontal="right" vertical="center" wrapText="1" indent="1"/>
    </xf>
    <xf numFmtId="166" fontId="70" fillId="0" borderId="115" xfId="0" applyNumberFormat="1" applyFont="1" applyBorder="1" applyAlignment="1">
      <alignment horizontal="right" vertical="center" wrapText="1" indent="1"/>
    </xf>
    <xf numFmtId="0" fontId="20" fillId="9" borderId="90" xfId="0" applyFont="1" applyFill="1" applyBorder="1" applyAlignment="1">
      <alignment horizontal="center" vertical="center" wrapText="1"/>
    </xf>
    <xf numFmtId="0" fontId="20" fillId="9" borderId="65" xfId="0" applyFont="1" applyFill="1" applyBorder="1" applyAlignment="1">
      <alignment horizontal="center" vertical="center" wrapText="1"/>
    </xf>
    <xf numFmtId="166" fontId="46" fillId="12" borderId="103" xfId="0" applyNumberFormat="1" applyFont="1" applyFill="1" applyBorder="1" applyAlignment="1">
      <alignment horizontal="right" vertical="center" wrapText="1" indent="1"/>
    </xf>
    <xf numFmtId="166" fontId="47" fillId="8" borderId="116" xfId="0" applyNumberFormat="1" applyFont="1" applyFill="1" applyBorder="1" applyAlignment="1">
      <alignment horizontal="right" vertical="center" wrapText="1" indent="1"/>
    </xf>
    <xf numFmtId="0" fontId="46" fillId="0" borderId="35" xfId="0" applyFont="1" applyFill="1" applyBorder="1" applyAlignment="1">
      <alignment horizontal="center" vertical="center" wrapText="1"/>
    </xf>
    <xf numFmtId="0" fontId="20" fillId="56" borderId="96" xfId="0" applyFont="1" applyFill="1" applyBorder="1" applyAlignment="1">
      <alignment horizontal="center" vertical="center" wrapText="1"/>
    </xf>
    <xf numFmtId="166" fontId="76" fillId="11" borderId="9" xfId="0" applyNumberFormat="1" applyFont="1" applyFill="1" applyBorder="1" applyAlignment="1">
      <alignment horizontal="right" vertical="center" wrapText="1" indent="1"/>
    </xf>
    <xf numFmtId="166" fontId="70" fillId="0" borderId="9" xfId="0" applyNumberFormat="1" applyFont="1" applyBorder="1" applyAlignment="1">
      <alignment horizontal="right" vertical="center" wrapText="1" indent="1"/>
    </xf>
    <xf numFmtId="166" fontId="46" fillId="12" borderId="97" xfId="0" applyNumberFormat="1" applyFont="1" applyFill="1" applyBorder="1" applyAlignment="1">
      <alignment horizontal="right" vertical="center" wrapText="1" indent="1"/>
    </xf>
    <xf numFmtId="166" fontId="47" fillId="8" borderId="97" xfId="0" applyNumberFormat="1" applyFont="1" applyFill="1" applyBorder="1" applyAlignment="1">
      <alignment horizontal="right" vertical="center" wrapText="1" indent="1"/>
    </xf>
    <xf numFmtId="166" fontId="47" fillId="8" borderId="99" xfId="0" applyNumberFormat="1" applyFont="1" applyFill="1" applyBorder="1" applyAlignment="1">
      <alignment horizontal="right" vertical="center" wrapText="1" indent="1"/>
    </xf>
    <xf numFmtId="166" fontId="70" fillId="0" borderId="109" xfId="0" applyNumberFormat="1" applyFont="1" applyBorder="1" applyAlignment="1">
      <alignment horizontal="right" vertical="center" wrapText="1" indent="1"/>
    </xf>
    <xf numFmtId="0" fontId="20" fillId="59" borderId="90" xfId="0" applyFont="1" applyFill="1" applyBorder="1" applyAlignment="1">
      <alignment horizontal="center" vertical="center" wrapText="1"/>
    </xf>
    <xf numFmtId="0" fontId="20" fillId="59" borderId="117" xfId="0" applyFont="1" applyFill="1" applyBorder="1" applyAlignment="1">
      <alignment horizontal="center" vertical="center" wrapText="1"/>
    </xf>
    <xf numFmtId="0" fontId="20" fillId="60" borderId="92" xfId="0" applyFont="1" applyFill="1" applyBorder="1" applyAlignment="1">
      <alignment horizontal="center" vertical="center" wrapText="1"/>
    </xf>
    <xf numFmtId="0" fontId="20" fillId="60" borderId="65" xfId="0" applyFont="1" applyFill="1" applyBorder="1" applyAlignment="1">
      <alignment horizontal="center" vertical="center" wrapText="1"/>
    </xf>
    <xf numFmtId="0" fontId="97" fillId="63" borderId="69" xfId="0" applyFont="1" applyFill="1" applyBorder="1" applyAlignment="1">
      <alignment horizontal="center" vertical="center"/>
    </xf>
    <xf numFmtId="3" fontId="97" fillId="63" borderId="69" xfId="0" applyNumberFormat="1" applyFont="1" applyFill="1" applyBorder="1" applyAlignment="1">
      <alignment horizontal="center" vertical="center" wrapText="1"/>
    </xf>
    <xf numFmtId="0" fontId="97" fillId="63" borderId="69" xfId="0" applyFont="1" applyFill="1" applyBorder="1" applyAlignment="1">
      <alignment horizontal="center" vertical="center" wrapText="1"/>
    </xf>
    <xf numFmtId="9" fontId="97" fillId="63" borderId="69" xfId="0" applyNumberFormat="1" applyFont="1" applyFill="1" applyBorder="1" applyAlignment="1">
      <alignment horizontal="center" vertical="center" wrapText="1"/>
    </xf>
    <xf numFmtId="9" fontId="6" fillId="33" borderId="69" xfId="0" applyNumberFormat="1" applyFont="1" applyFill="1" applyBorder="1" applyAlignment="1">
      <alignment horizontal="center" vertical="center"/>
    </xf>
    <xf numFmtId="1" fontId="20" fillId="14" borderId="0" xfId="0" applyNumberFormat="1" applyFont="1" applyFill="1" applyAlignment="1">
      <alignment horizontal="center" vertical="center"/>
    </xf>
    <xf numFmtId="0" fontId="20" fillId="14" borderId="0" xfId="0" applyFont="1" applyFill="1" applyAlignment="1">
      <alignment horizontal="center" vertical="center"/>
    </xf>
    <xf numFmtId="3" fontId="20" fillId="14" borderId="0" xfId="0" applyNumberFormat="1" applyFont="1" applyFill="1" applyAlignment="1">
      <alignment horizontal="center" vertical="center"/>
    </xf>
    <xf numFmtId="1" fontId="20" fillId="14" borderId="22" xfId="0" applyNumberFormat="1" applyFont="1" applyFill="1" applyBorder="1" applyAlignment="1">
      <alignment horizontal="center" vertical="center"/>
    </xf>
    <xf numFmtId="9" fontId="6" fillId="0" borderId="0" xfId="0" applyNumberFormat="1" applyFont="1" applyAlignment="1">
      <alignment vertical="center" wrapText="1"/>
    </xf>
    <xf numFmtId="9" fontId="48" fillId="0" borderId="50" xfId="0" applyNumberFormat="1" applyFont="1" applyBorder="1" applyAlignment="1">
      <alignment horizontal="center" vertical="center"/>
    </xf>
    <xf numFmtId="1" fontId="7" fillId="0" borderId="0" xfId="0" applyNumberFormat="1" applyFont="1" applyAlignment="1">
      <alignment horizontal="right" vertical="center" indent="1"/>
    </xf>
    <xf numFmtId="3" fontId="52" fillId="0" borderId="21" xfId="0" applyNumberFormat="1" applyFont="1" applyBorder="1" applyAlignment="1">
      <alignment horizontal="left" vertical="center" indent="1"/>
    </xf>
    <xf numFmtId="3" fontId="48" fillId="0" borderId="52" xfId="0" applyNumberFormat="1" applyFont="1" applyBorder="1" applyAlignment="1">
      <alignment horizontal="left" vertical="center" indent="1"/>
    </xf>
    <xf numFmtId="3" fontId="48" fillId="0" borderId="0" xfId="0" applyNumberFormat="1" applyFont="1" applyAlignment="1">
      <alignment horizontal="left" vertical="center" indent="1"/>
    </xf>
    <xf numFmtId="166" fontId="7" fillId="0" borderId="0" xfId="1" applyNumberFormat="1" applyFont="1" applyAlignment="1">
      <alignment horizontal="right" vertical="center" indent="1"/>
    </xf>
    <xf numFmtId="166" fontId="46" fillId="12" borderId="12" xfId="1" applyNumberFormat="1" applyFont="1" applyFill="1" applyBorder="1" applyAlignment="1">
      <alignment horizontal="right" vertical="center" wrapText="1" indent="1"/>
    </xf>
    <xf numFmtId="166" fontId="47" fillId="8" borderId="12" xfId="1" applyNumberFormat="1" applyFont="1" applyFill="1" applyBorder="1" applyAlignment="1">
      <alignment horizontal="right" vertical="center" wrapText="1" indent="1"/>
    </xf>
    <xf numFmtId="166" fontId="47" fillId="8" borderId="76" xfId="1" applyNumberFormat="1" applyFont="1" applyFill="1" applyBorder="1" applyAlignment="1">
      <alignment horizontal="right" vertical="center" wrapText="1" indent="1"/>
    </xf>
    <xf numFmtId="166" fontId="48" fillId="11" borderId="103" xfId="0" applyNumberFormat="1" applyFont="1" applyFill="1" applyBorder="1" applyAlignment="1">
      <alignment horizontal="right" vertical="center" wrapText="1" indent="1"/>
    </xf>
    <xf numFmtId="166" fontId="64" fillId="0" borderId="118" xfId="1" applyNumberFormat="1" applyFont="1" applyBorder="1" applyAlignment="1">
      <alignment horizontal="right" vertical="center" wrapText="1" indent="1"/>
    </xf>
    <xf numFmtId="166" fontId="64" fillId="0" borderId="94" xfId="1" applyNumberFormat="1" applyFont="1" applyBorder="1" applyAlignment="1">
      <alignment horizontal="right" vertical="center" wrapText="1" indent="1"/>
    </xf>
    <xf numFmtId="166" fontId="86" fillId="11" borderId="15" xfId="0" applyNumberFormat="1" applyFont="1" applyFill="1" applyBorder="1" applyAlignment="1">
      <alignment horizontal="right" vertical="center" indent="1"/>
    </xf>
    <xf numFmtId="166" fontId="86" fillId="11" borderId="59" xfId="0" applyNumberFormat="1" applyFont="1" applyFill="1" applyBorder="1" applyAlignment="1">
      <alignment horizontal="right" vertical="center" indent="1"/>
    </xf>
    <xf numFmtId="166" fontId="7" fillId="0" borderId="35" xfId="0" applyNumberFormat="1" applyFont="1" applyBorder="1" applyAlignment="1">
      <alignment horizontal="right" vertical="center" indent="1"/>
    </xf>
    <xf numFmtId="9" fontId="43" fillId="3" borderId="35" xfId="0" applyNumberFormat="1" applyFont="1" applyFill="1" applyBorder="1" applyAlignment="1">
      <alignment horizontal="center" vertical="center"/>
    </xf>
    <xf numFmtId="9" fontId="43" fillId="33" borderId="35" xfId="0" applyNumberFormat="1" applyFont="1" applyFill="1" applyBorder="1" applyAlignment="1">
      <alignment horizontal="center" vertical="center"/>
    </xf>
    <xf numFmtId="9" fontId="43" fillId="69" borderId="0" xfId="0" applyNumberFormat="1" applyFont="1" applyFill="1" applyAlignment="1">
      <alignment horizontal="center" vertical="center"/>
    </xf>
    <xf numFmtId="3" fontId="43" fillId="69" borderId="0" xfId="0" applyNumberFormat="1" applyFont="1" applyFill="1" applyAlignment="1">
      <alignment horizontal="center" vertical="center"/>
    </xf>
    <xf numFmtId="166" fontId="7" fillId="0" borderId="0" xfId="0" applyNumberFormat="1" applyFont="1" applyAlignment="1">
      <alignment horizontal="right" vertical="center" indent="1"/>
    </xf>
    <xf numFmtId="3" fontId="47" fillId="20" borderId="60" xfId="0" applyNumberFormat="1" applyFont="1" applyFill="1" applyBorder="1" applyAlignment="1">
      <alignment horizontal="center" vertical="center"/>
    </xf>
    <xf numFmtId="3" fontId="47" fillId="20" borderId="77" xfId="0" applyNumberFormat="1" applyFont="1" applyFill="1" applyBorder="1" applyAlignment="1">
      <alignment horizontal="center" vertical="center"/>
    </xf>
    <xf numFmtId="0" fontId="7" fillId="0" borderId="0" xfId="0" applyFont="1" applyFill="1" applyAlignment="1">
      <alignment horizontal="center" vertical="center" wrapText="1"/>
    </xf>
    <xf numFmtId="1" fontId="7" fillId="0" borderId="0" xfId="0" applyNumberFormat="1" applyFont="1" applyFill="1" applyAlignment="1">
      <alignment horizontal="center" vertical="center"/>
    </xf>
    <xf numFmtId="0" fontId="7" fillId="0" borderId="0" xfId="0" applyFont="1" applyFill="1" applyAlignment="1">
      <alignment horizontal="center" vertical="center"/>
    </xf>
    <xf numFmtId="0" fontId="7" fillId="0" borderId="0" xfId="0" applyFont="1" applyFill="1" applyAlignment="1">
      <alignment vertical="center" wrapText="1"/>
    </xf>
    <xf numFmtId="1" fontId="7" fillId="0" borderId="0" xfId="0" applyNumberFormat="1" applyFont="1" applyFill="1" applyAlignment="1">
      <alignment vertical="center"/>
    </xf>
    <xf numFmtId="9" fontId="7" fillId="0" borderId="0" xfId="0" applyNumberFormat="1" applyFont="1" applyFill="1" applyAlignment="1">
      <alignment vertical="center" wrapText="1"/>
    </xf>
    <xf numFmtId="9" fontId="7" fillId="0" borderId="0" xfId="0" applyNumberFormat="1" applyFont="1" applyFill="1" applyAlignment="1">
      <alignment horizontal="center" vertical="center" wrapText="1"/>
    </xf>
    <xf numFmtId="0" fontId="7" fillId="0" borderId="35" xfId="0" applyFont="1" applyFill="1" applyBorder="1" applyAlignment="1">
      <alignment vertical="center" wrapText="1"/>
    </xf>
    <xf numFmtId="1" fontId="7" fillId="0" borderId="35" xfId="0" applyNumberFormat="1" applyFont="1" applyFill="1" applyBorder="1" applyAlignment="1">
      <alignment vertical="center"/>
    </xf>
    <xf numFmtId="9" fontId="7" fillId="0" borderId="35" xfId="0" applyNumberFormat="1" applyFont="1" applyFill="1" applyBorder="1" applyAlignment="1">
      <alignment vertical="center" wrapText="1"/>
    </xf>
    <xf numFmtId="9" fontId="7" fillId="0" borderId="35" xfId="0" applyNumberFormat="1" applyFont="1" applyFill="1" applyBorder="1" applyAlignment="1">
      <alignment horizontal="center" vertical="center" wrapText="1"/>
    </xf>
    <xf numFmtId="0" fontId="7" fillId="0" borderId="35" xfId="0" applyFont="1" applyFill="1" applyBorder="1" applyAlignment="1">
      <alignment vertical="center"/>
    </xf>
    <xf numFmtId="3" fontId="48" fillId="0" borderId="35" xfId="0" applyNumberFormat="1" applyFont="1" applyBorder="1" applyAlignment="1">
      <alignment horizontal="left" vertical="center" indent="1"/>
    </xf>
    <xf numFmtId="0" fontId="7" fillId="0" borderId="56" xfId="0" applyFont="1" applyBorder="1" applyAlignment="1">
      <alignment vertical="center"/>
    </xf>
    <xf numFmtId="9" fontId="7" fillId="0" borderId="35" xfId="0" applyNumberFormat="1" applyFont="1" applyBorder="1" applyAlignment="1">
      <alignment vertical="center" wrapText="1"/>
    </xf>
    <xf numFmtId="9" fontId="7" fillId="0" borderId="35" xfId="0" applyNumberFormat="1" applyFont="1" applyBorder="1" applyAlignment="1">
      <alignment vertical="center"/>
    </xf>
    <xf numFmtId="9" fontId="6" fillId="0" borderId="35" xfId="0" applyNumberFormat="1" applyFont="1" applyBorder="1" applyAlignment="1">
      <alignment vertical="center"/>
    </xf>
    <xf numFmtId="9" fontId="96" fillId="0" borderId="50" xfId="0" applyNumberFormat="1" applyFont="1" applyBorder="1" applyAlignment="1">
      <alignment vertical="center"/>
    </xf>
    <xf numFmtId="3" fontId="48" fillId="0" borderId="119" xfId="0" applyNumberFormat="1" applyFont="1" applyBorder="1" applyAlignment="1">
      <alignment horizontal="left" vertical="center" indent="1"/>
    </xf>
    <xf numFmtId="0" fontId="48" fillId="0" borderId="22" xfId="0" applyFont="1" applyBorder="1" applyAlignment="1">
      <alignment vertical="center"/>
    </xf>
    <xf numFmtId="0" fontId="48" fillId="0" borderId="21" xfId="0" applyFont="1" applyBorder="1" applyAlignment="1">
      <alignment horizontal="left" vertical="center"/>
    </xf>
    <xf numFmtId="0" fontId="48" fillId="0" borderId="24" xfId="0" applyFont="1" applyBorder="1" applyAlignment="1">
      <alignment vertical="center"/>
    </xf>
    <xf numFmtId="3" fontId="48" fillId="0" borderId="26" xfId="0" applyNumberFormat="1" applyFont="1" applyBorder="1" applyAlignment="1">
      <alignment horizontal="left" vertical="center"/>
    </xf>
    <xf numFmtId="3" fontId="48" fillId="0" borderId="21" xfId="0" applyNumberFormat="1" applyFont="1" applyBorder="1" applyAlignment="1">
      <alignment horizontal="left" vertical="center" indent="1"/>
    </xf>
    <xf numFmtId="3" fontId="48" fillId="0" borderId="26" xfId="0" applyNumberFormat="1" applyFont="1" applyBorder="1" applyAlignment="1">
      <alignment horizontal="left" vertical="center" indent="1"/>
    </xf>
    <xf numFmtId="0" fontId="20" fillId="25" borderId="0" xfId="0" applyNumberFormat="1" applyFont="1" applyFill="1" applyAlignment="1">
      <alignment horizontal="center" vertical="center"/>
    </xf>
    <xf numFmtId="9" fontId="46" fillId="33" borderId="90" xfId="0" applyNumberFormat="1" applyFont="1" applyFill="1" applyBorder="1" applyAlignment="1">
      <alignment horizontal="center" vertical="center"/>
    </xf>
    <xf numFmtId="9" fontId="46" fillId="33" borderId="94" xfId="0" applyNumberFormat="1" applyFont="1" applyFill="1" applyBorder="1" applyAlignment="1">
      <alignment horizontal="center" vertical="center"/>
    </xf>
    <xf numFmtId="0" fontId="24" fillId="33" borderId="103" xfId="0" applyFont="1" applyFill="1" applyBorder="1" applyAlignment="1">
      <alignment horizontal="center" vertical="center"/>
    </xf>
    <xf numFmtId="0" fontId="24" fillId="33" borderId="94" xfId="0" applyFont="1" applyFill="1" applyBorder="1" applyAlignment="1">
      <alignment horizontal="center" vertical="center"/>
    </xf>
    <xf numFmtId="0" fontId="20" fillId="57" borderId="90" xfId="0" applyFont="1" applyFill="1" applyBorder="1" applyAlignment="1">
      <alignment horizontal="center" vertical="center"/>
    </xf>
    <xf numFmtId="0" fontId="20" fillId="57" borderId="92" xfId="0" applyFont="1" applyFill="1" applyBorder="1" applyAlignment="1">
      <alignment horizontal="center" vertical="center"/>
    </xf>
    <xf numFmtId="0" fontId="20" fillId="57" borderId="65" xfId="0" applyFont="1" applyFill="1" applyBorder="1" applyAlignment="1">
      <alignment horizontal="center" vertical="center"/>
    </xf>
    <xf numFmtId="9" fontId="46" fillId="33" borderId="35" xfId="0" applyNumberFormat="1" applyFont="1" applyFill="1" applyBorder="1" applyAlignment="1">
      <alignment horizontal="center" vertical="center"/>
    </xf>
    <xf numFmtId="9" fontId="46" fillId="33" borderId="92" xfId="0" applyNumberFormat="1" applyFont="1" applyFill="1" applyBorder="1" applyAlignment="1">
      <alignment horizontal="center" vertical="center"/>
    </xf>
    <xf numFmtId="9" fontId="46" fillId="33" borderId="65" xfId="0" applyNumberFormat="1" applyFont="1" applyFill="1" applyBorder="1" applyAlignment="1">
      <alignment horizontal="center" vertical="center"/>
    </xf>
    <xf numFmtId="9" fontId="46" fillId="33" borderId="61" xfId="0" applyNumberFormat="1" applyFont="1" applyFill="1" applyBorder="1" applyAlignment="1">
      <alignment horizontal="center" vertical="center"/>
    </xf>
    <xf numFmtId="9" fontId="46" fillId="33" borderId="64" xfId="0" applyNumberFormat="1" applyFont="1" applyFill="1" applyBorder="1" applyAlignment="1">
      <alignment horizontal="center" vertical="center"/>
    </xf>
    <xf numFmtId="9" fontId="46" fillId="33" borderId="80" xfId="0" applyNumberFormat="1" applyFont="1" applyFill="1" applyBorder="1" applyAlignment="1">
      <alignment horizontal="center" vertical="center"/>
    </xf>
    <xf numFmtId="0" fontId="96" fillId="70" borderId="91" xfId="0" applyFont="1" applyFill="1" applyBorder="1" applyAlignment="1">
      <alignment horizontal="center" vertical="center"/>
    </xf>
    <xf numFmtId="166" fontId="46" fillId="70" borderId="100" xfId="0" applyNumberFormat="1" applyFont="1" applyFill="1" applyBorder="1" applyAlignment="1">
      <alignment horizontal="center" vertical="center"/>
    </xf>
    <xf numFmtId="0" fontId="46" fillId="71" borderId="61" xfId="0" applyFont="1" applyFill="1" applyBorder="1" applyAlignment="1">
      <alignment horizontal="center" vertical="center"/>
    </xf>
    <xf numFmtId="9" fontId="23" fillId="70" borderId="55" xfId="0" applyNumberFormat="1" applyFont="1" applyFill="1" applyBorder="1" applyAlignment="1">
      <alignment horizontal="center" vertical="center" wrapText="1"/>
    </xf>
    <xf numFmtId="0" fontId="99" fillId="70" borderId="50" xfId="0" applyFont="1" applyFill="1" applyBorder="1" applyAlignment="1">
      <alignment vertical="center"/>
    </xf>
    <xf numFmtId="0" fontId="99" fillId="70" borderId="52" xfId="0" applyFont="1" applyFill="1" applyBorder="1" applyAlignment="1">
      <alignment vertical="center"/>
    </xf>
    <xf numFmtId="0" fontId="23" fillId="70" borderId="49" xfId="0" applyFont="1" applyFill="1" applyBorder="1" applyAlignment="1">
      <alignment horizontal="center" vertical="center" wrapText="1"/>
    </xf>
    <xf numFmtId="0" fontId="23" fillId="70" borderId="50" xfId="0" applyFont="1" applyFill="1" applyBorder="1" applyAlignment="1">
      <alignment vertical="center" wrapText="1"/>
    </xf>
    <xf numFmtId="0" fontId="23" fillId="70" borderId="52" xfId="0" applyFont="1" applyFill="1" applyBorder="1" applyAlignment="1">
      <alignment vertical="center" wrapText="1"/>
    </xf>
    <xf numFmtId="9" fontId="23" fillId="70" borderId="49" xfId="0" applyNumberFormat="1" applyFont="1" applyFill="1" applyBorder="1" applyAlignment="1">
      <alignment horizontal="center" vertical="center" wrapText="1"/>
    </xf>
    <xf numFmtId="9" fontId="43" fillId="70" borderId="50" xfId="0" applyNumberFormat="1" applyFont="1" applyFill="1" applyBorder="1" applyAlignment="1">
      <alignment horizontal="center" vertical="center" wrapText="1"/>
    </xf>
    <xf numFmtId="9" fontId="43" fillId="70" borderId="52" xfId="0" applyNumberFormat="1" applyFont="1" applyFill="1" applyBorder="1" applyAlignment="1">
      <alignment horizontal="center" vertical="center" wrapText="1"/>
    </xf>
    <xf numFmtId="0" fontId="7" fillId="70" borderId="53" xfId="0" applyFont="1" applyFill="1" applyBorder="1" applyAlignment="1">
      <alignment vertical="center"/>
    </xf>
    <xf numFmtId="0" fontId="48" fillId="70" borderId="54" xfId="0" applyFont="1" applyFill="1" applyBorder="1" applyAlignment="1">
      <alignment horizontal="center" vertical="center"/>
    </xf>
    <xf numFmtId="0" fontId="43" fillId="70" borderId="50" xfId="0" applyFont="1" applyFill="1" applyBorder="1" applyAlignment="1">
      <alignment horizontal="center" vertical="center" wrapText="1"/>
    </xf>
    <xf numFmtId="0" fontId="43" fillId="70" borderId="52" xfId="0" applyFont="1" applyFill="1" applyBorder="1" applyAlignment="1">
      <alignment horizontal="center" vertical="center" wrapText="1"/>
    </xf>
    <xf numFmtId="9" fontId="43" fillId="70" borderId="0" xfId="0" applyNumberFormat="1" applyFont="1" applyFill="1" applyAlignment="1">
      <alignment horizontal="center" vertical="center"/>
    </xf>
    <xf numFmtId="166" fontId="43" fillId="70" borderId="0" xfId="0" applyNumberFormat="1" applyFont="1" applyFill="1" applyAlignment="1">
      <alignment horizontal="right" vertical="center" indent="1"/>
    </xf>
    <xf numFmtId="3" fontId="52" fillId="70" borderId="21" xfId="0" applyNumberFormat="1" applyFont="1" applyFill="1" applyBorder="1" applyAlignment="1">
      <alignment horizontal="left" vertical="center" indent="1"/>
    </xf>
    <xf numFmtId="3" fontId="43" fillId="33" borderId="21" xfId="0" applyNumberFormat="1" applyFont="1" applyFill="1" applyBorder="1" applyAlignment="1">
      <alignment horizontal="left" vertical="center" indent="1"/>
    </xf>
    <xf numFmtId="9" fontId="52" fillId="70" borderId="0" xfId="0" applyNumberFormat="1" applyFont="1" applyFill="1" applyAlignment="1">
      <alignment horizontal="center" vertical="center"/>
    </xf>
    <xf numFmtId="3" fontId="43" fillId="70" borderId="0" xfId="0" applyNumberFormat="1" applyFont="1" applyFill="1" applyAlignment="1">
      <alignment horizontal="center" vertical="center"/>
    </xf>
    <xf numFmtId="3" fontId="43" fillId="70" borderId="21" xfId="0" applyNumberFormat="1" applyFont="1" applyFill="1" applyBorder="1" applyAlignment="1">
      <alignment horizontal="left" vertical="center" indent="1"/>
    </xf>
    <xf numFmtId="1" fontId="43" fillId="70" borderId="0" xfId="0" applyNumberFormat="1" applyFont="1" applyFill="1" applyAlignment="1">
      <alignment horizontal="center" vertical="center"/>
    </xf>
    <xf numFmtId="9" fontId="43" fillId="33" borderId="0" xfId="0" applyNumberFormat="1" applyFont="1" applyFill="1" applyAlignment="1">
      <alignment horizontal="center" vertical="center"/>
    </xf>
    <xf numFmtId="0" fontId="48" fillId="0" borderId="21" xfId="0" applyFont="1" applyBorder="1" applyAlignment="1">
      <alignment horizontal="left" vertical="center" indent="1"/>
    </xf>
    <xf numFmtId="166" fontId="52" fillId="70" borderId="0" xfId="0" applyNumberFormat="1" applyFont="1" applyFill="1" applyAlignment="1">
      <alignment horizontal="center" vertical="center"/>
    </xf>
    <xf numFmtId="166" fontId="56" fillId="8" borderId="0" xfId="0" applyNumberFormat="1" applyFont="1" applyFill="1" applyAlignment="1">
      <alignment horizontal="right" vertical="center" indent="1"/>
    </xf>
    <xf numFmtId="166" fontId="57" fillId="8" borderId="0" xfId="0" applyNumberFormat="1" applyFont="1" applyFill="1" applyAlignment="1">
      <alignment horizontal="right" vertical="center" indent="1"/>
    </xf>
    <xf numFmtId="166" fontId="75" fillId="8" borderId="0" xfId="0" applyNumberFormat="1" applyFont="1" applyFill="1" applyAlignment="1">
      <alignment horizontal="right" vertical="center" indent="1"/>
    </xf>
    <xf numFmtId="166" fontId="69" fillId="0" borderId="0" xfId="0" applyNumberFormat="1" applyFont="1" applyAlignment="1">
      <alignment horizontal="right" vertical="center" indent="1"/>
    </xf>
    <xf numFmtId="166" fontId="103" fillId="0" borderId="0" xfId="0" applyNumberFormat="1" applyFont="1" applyAlignment="1">
      <alignment horizontal="right" vertical="center" indent="1"/>
    </xf>
    <xf numFmtId="166" fontId="8" fillId="6" borderId="0" xfId="0" applyNumberFormat="1" applyFont="1" applyFill="1" applyAlignment="1">
      <alignment horizontal="right" vertical="center" indent="1"/>
    </xf>
    <xf numFmtId="166" fontId="8" fillId="8" borderId="0" xfId="0" applyNumberFormat="1" applyFont="1" applyFill="1" applyAlignment="1">
      <alignment horizontal="right" vertical="center" indent="1"/>
    </xf>
    <xf numFmtId="166" fontId="8" fillId="0" borderId="0" xfId="0" applyNumberFormat="1" applyFont="1" applyAlignment="1">
      <alignment horizontal="right" vertical="center" indent="1"/>
    </xf>
    <xf numFmtId="166" fontId="55" fillId="8" borderId="35" xfId="0" applyNumberFormat="1" applyFont="1" applyFill="1" applyBorder="1" applyAlignment="1">
      <alignment horizontal="right" vertical="center" indent="1"/>
    </xf>
    <xf numFmtId="3" fontId="55" fillId="6" borderId="35" xfId="0" applyNumberFormat="1" applyFont="1" applyFill="1" applyBorder="1" applyAlignment="1">
      <alignment horizontal="center" vertical="center"/>
    </xf>
    <xf numFmtId="0" fontId="20" fillId="9" borderId="124" xfId="0" applyFont="1" applyFill="1" applyBorder="1" applyAlignment="1">
      <alignment horizontal="right" vertical="center" wrapText="1" indent="1"/>
    </xf>
    <xf numFmtId="0" fontId="10" fillId="0" borderId="124" xfId="0" applyFont="1" applyFill="1" applyBorder="1" applyAlignment="1">
      <alignment horizontal="right" vertical="center" indent="1"/>
    </xf>
    <xf numFmtId="3" fontId="10" fillId="0" borderId="124" xfId="0" applyNumberFormat="1" applyFont="1" applyFill="1" applyBorder="1" applyAlignment="1">
      <alignment horizontal="right" vertical="center" indent="1"/>
    </xf>
    <xf numFmtId="0" fontId="66" fillId="6" borderId="124" xfId="0" applyFont="1" applyFill="1" applyBorder="1" applyAlignment="1">
      <alignment horizontal="right" vertical="center" wrapText="1" indent="1"/>
    </xf>
    <xf numFmtId="9" fontId="7" fillId="0" borderId="124" xfId="0" applyNumberFormat="1" applyFont="1" applyBorder="1" applyAlignment="1">
      <alignment horizontal="right" vertical="center" indent="1"/>
    </xf>
    <xf numFmtId="0" fontId="7" fillId="0" borderId="124" xfId="0" applyFont="1" applyBorder="1" applyAlignment="1">
      <alignment horizontal="right" vertical="center" indent="1"/>
    </xf>
    <xf numFmtId="164" fontId="37" fillId="39" borderId="125" xfId="0" applyNumberFormat="1" applyFont="1" applyFill="1" applyBorder="1" applyAlignment="1">
      <alignment horizontal="center" vertical="center"/>
    </xf>
    <xf numFmtId="0" fontId="37" fillId="41" borderId="126" xfId="0" applyFont="1" applyFill="1" applyBorder="1" applyAlignment="1">
      <alignment horizontal="center" vertical="center"/>
    </xf>
    <xf numFmtId="0" fontId="7" fillId="0" borderId="127" xfId="0" applyFont="1" applyBorder="1" applyAlignment="1">
      <alignment horizontal="right" vertical="center" indent="1"/>
    </xf>
    <xf numFmtId="166" fontId="7" fillId="6" borderId="0" xfId="0" applyNumberFormat="1" applyFont="1" applyFill="1" applyAlignment="1">
      <alignment horizontal="right" vertical="center" indent="1"/>
    </xf>
    <xf numFmtId="9" fontId="7" fillId="0" borderId="129" xfId="0" applyNumberFormat="1" applyFont="1" applyBorder="1" applyAlignment="1">
      <alignment horizontal="right" vertical="center" indent="1"/>
    </xf>
    <xf numFmtId="9" fontId="7" fillId="0" borderId="130" xfId="0" applyNumberFormat="1" applyFont="1" applyBorder="1" applyAlignment="1">
      <alignment horizontal="right" vertical="center" indent="1"/>
    </xf>
    <xf numFmtId="9" fontId="7" fillId="0" borderId="131" xfId="0" applyNumberFormat="1" applyFont="1" applyBorder="1" applyAlignment="1">
      <alignment horizontal="center" vertical="center"/>
    </xf>
    <xf numFmtId="166" fontId="7" fillId="0" borderId="131" xfId="0" applyNumberFormat="1" applyFont="1" applyBorder="1" applyAlignment="1">
      <alignment horizontal="right" vertical="center" indent="1"/>
    </xf>
    <xf numFmtId="1" fontId="7" fillId="0" borderId="120" xfId="0" applyNumberFormat="1" applyFont="1" applyBorder="1" applyAlignment="1">
      <alignment horizontal="center" vertical="center"/>
    </xf>
    <xf numFmtId="0" fontId="72" fillId="20" borderId="46" xfId="0" applyFont="1" applyFill="1" applyBorder="1" applyAlignment="1">
      <alignment horizontal="center" vertical="center"/>
    </xf>
    <xf numFmtId="169" fontId="7" fillId="0" borderId="0" xfId="0" applyNumberFormat="1" applyFont="1" applyAlignment="1">
      <alignment horizontal="center" vertical="center"/>
    </xf>
    <xf numFmtId="1" fontId="7" fillId="20" borderId="46" xfId="0" applyNumberFormat="1" applyFont="1" applyFill="1" applyBorder="1" applyAlignment="1">
      <alignment horizontal="center" vertical="center"/>
    </xf>
    <xf numFmtId="169" fontId="7" fillId="0" borderId="48" xfId="0" applyNumberFormat="1" applyFont="1" applyBorder="1" applyAlignment="1">
      <alignment horizontal="center" vertical="center"/>
    </xf>
    <xf numFmtId="1" fontId="7" fillId="20" borderId="122" xfId="0" applyNumberFormat="1" applyFont="1" applyFill="1" applyBorder="1" applyAlignment="1">
      <alignment horizontal="center" vertical="center"/>
    </xf>
    <xf numFmtId="3" fontId="7" fillId="0" borderId="35" xfId="0" applyNumberFormat="1" applyFont="1" applyBorder="1" applyAlignment="1">
      <alignment horizontal="center" vertical="center"/>
    </xf>
    <xf numFmtId="3" fontId="7" fillId="0" borderId="48" xfId="0" applyNumberFormat="1" applyFont="1" applyBorder="1" applyAlignment="1">
      <alignment horizontal="center" vertical="center"/>
    </xf>
    <xf numFmtId="166" fontId="43" fillId="70" borderId="0" xfId="0" applyNumberFormat="1" applyFont="1" applyFill="1" applyAlignment="1">
      <alignment horizontal="center" vertical="center"/>
    </xf>
    <xf numFmtId="3" fontId="43" fillId="78" borderId="35" xfId="0" applyNumberFormat="1" applyFont="1" applyFill="1" applyBorder="1" applyAlignment="1">
      <alignment horizontal="center" vertical="center"/>
    </xf>
    <xf numFmtId="166" fontId="43" fillId="78" borderId="35" xfId="0" applyNumberFormat="1" applyFont="1" applyFill="1" applyBorder="1" applyAlignment="1">
      <alignment horizontal="right" vertical="center" indent="1"/>
    </xf>
    <xf numFmtId="1" fontId="43" fillId="78" borderId="35" xfId="0" applyNumberFormat="1" applyFont="1" applyFill="1" applyBorder="1" applyAlignment="1">
      <alignment horizontal="center" vertical="center"/>
    </xf>
    <xf numFmtId="3" fontId="43" fillId="78" borderId="0" xfId="0" applyNumberFormat="1" applyFont="1" applyFill="1" applyAlignment="1">
      <alignment horizontal="center" vertical="center"/>
    </xf>
    <xf numFmtId="1" fontId="43" fillId="63" borderId="35" xfId="0" applyNumberFormat="1" applyFont="1" applyFill="1" applyBorder="1" applyAlignment="1">
      <alignment horizontal="center" vertical="center"/>
    </xf>
    <xf numFmtId="1" fontId="43" fillId="78" borderId="0" xfId="0" applyNumberFormat="1" applyFont="1" applyFill="1" applyAlignment="1">
      <alignment horizontal="center" vertical="center"/>
    </xf>
    <xf numFmtId="1" fontId="43" fillId="63" borderId="0" xfId="0" applyNumberFormat="1" applyFont="1" applyFill="1" applyAlignment="1">
      <alignment horizontal="center" vertical="center"/>
    </xf>
    <xf numFmtId="1" fontId="43" fillId="79" borderId="35" xfId="0" applyNumberFormat="1" applyFont="1" applyFill="1" applyBorder="1" applyAlignment="1">
      <alignment horizontal="center" vertical="center"/>
    </xf>
    <xf numFmtId="166" fontId="43" fillId="78" borderId="35" xfId="0" applyNumberFormat="1" applyFont="1" applyFill="1" applyBorder="1" applyAlignment="1">
      <alignment horizontal="center" vertical="center"/>
    </xf>
    <xf numFmtId="9" fontId="43" fillId="78" borderId="35" xfId="0" applyNumberFormat="1" applyFont="1" applyFill="1" applyBorder="1" applyAlignment="1">
      <alignment horizontal="center" vertical="center"/>
    </xf>
    <xf numFmtId="9" fontId="43" fillId="78" borderId="48" xfId="0" applyNumberFormat="1" applyFont="1" applyFill="1" applyBorder="1" applyAlignment="1">
      <alignment horizontal="center" vertical="center"/>
    </xf>
    <xf numFmtId="0" fontId="37" fillId="41" borderId="133" xfId="0" applyFont="1" applyFill="1" applyBorder="1" applyAlignment="1">
      <alignment horizontal="center" vertical="center"/>
    </xf>
    <xf numFmtId="3" fontId="7" fillId="6" borderId="61" xfId="0" applyNumberFormat="1" applyFont="1" applyFill="1" applyBorder="1" applyAlignment="1">
      <alignment horizontal="center" vertical="center"/>
    </xf>
    <xf numFmtId="166" fontId="8" fillId="6" borderId="135" xfId="0" applyNumberFormat="1" applyFont="1" applyFill="1" applyBorder="1" applyAlignment="1">
      <alignment horizontal="right" vertical="center" indent="1"/>
    </xf>
    <xf numFmtId="3" fontId="7" fillId="0" borderId="136" xfId="0" applyNumberFormat="1" applyFont="1" applyBorder="1" applyAlignment="1">
      <alignment horizontal="center" vertical="center"/>
    </xf>
    <xf numFmtId="166" fontId="7" fillId="6" borderId="61" xfId="0" applyNumberFormat="1" applyFont="1" applyFill="1" applyBorder="1" applyAlignment="1">
      <alignment horizontal="right" vertical="center" indent="1"/>
    </xf>
    <xf numFmtId="0" fontId="48" fillId="81" borderId="124" xfId="0" applyFont="1" applyFill="1" applyBorder="1" applyAlignment="1">
      <alignment horizontal="right" vertical="center" indent="1"/>
    </xf>
    <xf numFmtId="9" fontId="43" fillId="82" borderId="124" xfId="0" applyNumberFormat="1" applyFont="1" applyFill="1" applyBorder="1" applyAlignment="1">
      <alignment horizontal="right" vertical="center" indent="1"/>
    </xf>
    <xf numFmtId="166" fontId="104" fillId="82" borderId="35" xfId="0" applyNumberFormat="1" applyFont="1" applyFill="1" applyBorder="1" applyAlignment="1">
      <alignment horizontal="center" vertical="center"/>
    </xf>
    <xf numFmtId="166" fontId="56" fillId="82" borderId="0" xfId="0" applyNumberFormat="1" applyFont="1" applyFill="1" applyAlignment="1">
      <alignment horizontal="center" vertical="center"/>
    </xf>
    <xf numFmtId="166" fontId="57" fillId="82" borderId="0" xfId="0" applyNumberFormat="1" applyFont="1" applyFill="1" applyAlignment="1">
      <alignment horizontal="center" vertical="center"/>
    </xf>
    <xf numFmtId="166" fontId="75" fillId="82" borderId="0" xfId="0" applyNumberFormat="1" applyFont="1" applyFill="1" applyAlignment="1">
      <alignment horizontal="center" vertical="center"/>
    </xf>
    <xf numFmtId="166" fontId="56" fillId="83" borderId="46" xfId="0" applyNumberFormat="1" applyFont="1" applyFill="1" applyBorder="1" applyAlignment="1">
      <alignment horizontal="center" vertical="center"/>
    </xf>
    <xf numFmtId="9" fontId="56" fillId="82" borderId="35" xfId="1" applyNumberFormat="1" applyFont="1" applyFill="1" applyBorder="1" applyAlignment="1">
      <alignment horizontal="center" vertical="center"/>
    </xf>
    <xf numFmtId="9" fontId="8" fillId="82" borderId="124" xfId="0" applyNumberFormat="1" applyFont="1" applyFill="1" applyBorder="1" applyAlignment="1">
      <alignment horizontal="right" vertical="center" indent="1"/>
    </xf>
    <xf numFmtId="166" fontId="55" fillId="82" borderId="35" xfId="0" applyNumberFormat="1" applyFont="1" applyFill="1" applyBorder="1" applyAlignment="1">
      <alignment horizontal="right" vertical="center" indent="1"/>
    </xf>
    <xf numFmtId="166" fontId="56" fillId="82" borderId="0" xfId="0" applyNumberFormat="1" applyFont="1" applyFill="1" applyAlignment="1">
      <alignment horizontal="right" vertical="center" indent="1"/>
    </xf>
    <xf numFmtId="166" fontId="57" fillId="82" borderId="0" xfId="0" applyNumberFormat="1" applyFont="1" applyFill="1" applyAlignment="1">
      <alignment horizontal="right" vertical="center" indent="1"/>
    </xf>
    <xf numFmtId="166" fontId="75" fillId="82" borderId="0" xfId="0" applyNumberFormat="1" applyFont="1" applyFill="1" applyAlignment="1">
      <alignment horizontal="right" vertical="center" indent="1"/>
    </xf>
    <xf numFmtId="166" fontId="103" fillId="82" borderId="0" xfId="0" applyNumberFormat="1" applyFont="1" applyFill="1" applyAlignment="1">
      <alignment horizontal="right" vertical="center" indent="1"/>
    </xf>
    <xf numFmtId="9" fontId="60" fillId="82" borderId="124" xfId="0" applyNumberFormat="1" applyFont="1" applyFill="1" applyBorder="1" applyAlignment="1">
      <alignment horizontal="right" vertical="center" indent="1"/>
    </xf>
    <xf numFmtId="0" fontId="60" fillId="82" borderId="124" xfId="0" applyFont="1" applyFill="1" applyBorder="1" applyAlignment="1">
      <alignment horizontal="right" vertical="center" indent="1"/>
    </xf>
    <xf numFmtId="0" fontId="60" fillId="82" borderId="127" xfId="0" applyFont="1" applyFill="1" applyBorder="1" applyAlignment="1">
      <alignment horizontal="right" vertical="center" indent="1"/>
    </xf>
    <xf numFmtId="166" fontId="55" fillId="82" borderId="48" xfId="0" applyNumberFormat="1" applyFont="1" applyFill="1" applyBorder="1" applyAlignment="1">
      <alignment horizontal="right" vertical="center" indent="1"/>
    </xf>
    <xf numFmtId="166" fontId="56" fillId="82" borderId="48" xfId="0" applyNumberFormat="1" applyFont="1" applyFill="1" applyBorder="1" applyAlignment="1">
      <alignment horizontal="right" vertical="center" indent="1"/>
    </xf>
    <xf numFmtId="166" fontId="57" fillId="82" borderId="48" xfId="0" applyNumberFormat="1" applyFont="1" applyFill="1" applyBorder="1" applyAlignment="1">
      <alignment horizontal="right" vertical="center" indent="1"/>
    </xf>
    <xf numFmtId="166" fontId="75" fillId="82" borderId="48" xfId="0" applyNumberFormat="1" applyFont="1" applyFill="1" applyBorder="1" applyAlignment="1">
      <alignment horizontal="right" vertical="center" indent="1"/>
    </xf>
    <xf numFmtId="166" fontId="103" fillId="82" borderId="48" xfId="0" applyNumberFormat="1" applyFont="1" applyFill="1" applyBorder="1" applyAlignment="1">
      <alignment horizontal="right" vertical="center" indent="1"/>
    </xf>
    <xf numFmtId="1" fontId="43" fillId="82" borderId="124" xfId="0" applyNumberFormat="1" applyFont="1" applyFill="1" applyBorder="1" applyAlignment="1">
      <alignment horizontal="right" vertical="center" indent="1"/>
    </xf>
    <xf numFmtId="3" fontId="104" fillId="82" borderId="35" xfId="0" applyNumberFormat="1" applyFont="1" applyFill="1" applyBorder="1" applyAlignment="1">
      <alignment horizontal="center" vertical="center"/>
    </xf>
    <xf numFmtId="3" fontId="56" fillId="82" borderId="0" xfId="0" applyNumberFormat="1" applyFont="1" applyFill="1" applyAlignment="1">
      <alignment horizontal="center" vertical="center"/>
    </xf>
    <xf numFmtId="3" fontId="57" fillId="82" borderId="0" xfId="0" applyNumberFormat="1" applyFont="1" applyFill="1" applyAlignment="1">
      <alignment horizontal="center" vertical="center"/>
    </xf>
    <xf numFmtId="1" fontId="75" fillId="82" borderId="120" xfId="0" applyNumberFormat="1" applyFont="1" applyFill="1" applyBorder="1" applyAlignment="1">
      <alignment horizontal="center" vertical="center"/>
    </xf>
    <xf numFmtId="0" fontId="56" fillId="83" borderId="121" xfId="0" applyFont="1" applyFill="1" applyBorder="1" applyAlignment="1">
      <alignment horizontal="center" vertical="center"/>
    </xf>
    <xf numFmtId="1" fontId="75" fillId="82" borderId="0" xfId="0" applyNumberFormat="1" applyFont="1" applyFill="1" applyAlignment="1">
      <alignment horizontal="center" vertical="center"/>
    </xf>
    <xf numFmtId="3" fontId="56" fillId="83" borderId="46" xfId="0" applyNumberFormat="1" applyFont="1" applyFill="1" applyBorder="1" applyAlignment="1">
      <alignment horizontal="center" vertical="center"/>
    </xf>
    <xf numFmtId="3" fontId="74" fillId="81" borderId="35" xfId="0" applyNumberFormat="1" applyFont="1" applyFill="1" applyBorder="1" applyAlignment="1">
      <alignment horizontal="center" vertical="center"/>
    </xf>
    <xf numFmtId="3" fontId="70" fillId="81" borderId="35" xfId="0" applyNumberFormat="1" applyFont="1" applyFill="1" applyBorder="1" applyAlignment="1">
      <alignment horizontal="center" vertical="center"/>
    </xf>
    <xf numFmtId="0" fontId="71" fillId="81" borderId="35" xfId="0" applyFont="1" applyFill="1" applyBorder="1" applyAlignment="1">
      <alignment horizontal="center" vertical="center"/>
    </xf>
    <xf numFmtId="10" fontId="69" fillId="81" borderId="35" xfId="0" applyNumberFormat="1" applyFont="1" applyFill="1" applyBorder="1" applyAlignment="1">
      <alignment horizontal="center" vertical="center"/>
    </xf>
    <xf numFmtId="169" fontId="69" fillId="81" borderId="35" xfId="0" applyNumberFormat="1" applyFont="1" applyFill="1" applyBorder="1" applyAlignment="1">
      <alignment horizontal="center" vertical="center"/>
    </xf>
    <xf numFmtId="0" fontId="69" fillId="81" borderId="35" xfId="0" applyFont="1" applyFill="1" applyBorder="1" applyAlignment="1">
      <alignment horizontal="center" vertical="center"/>
    </xf>
    <xf numFmtId="3" fontId="73" fillId="81" borderId="35" xfId="0" applyNumberFormat="1" applyFont="1" applyFill="1" applyBorder="1" applyAlignment="1">
      <alignment horizontal="center" vertical="center"/>
    </xf>
    <xf numFmtId="3" fontId="67" fillId="81" borderId="35" xfId="0" applyNumberFormat="1" applyFont="1" applyFill="1" applyBorder="1" applyAlignment="1">
      <alignment horizontal="center" vertical="center"/>
    </xf>
    <xf numFmtId="0" fontId="68" fillId="81" borderId="35" xfId="0" applyFont="1" applyFill="1" applyBorder="1" applyAlignment="1">
      <alignment horizontal="center" vertical="center"/>
    </xf>
    <xf numFmtId="10" fontId="53" fillId="81" borderId="35" xfId="0" applyNumberFormat="1" applyFont="1" applyFill="1" applyBorder="1" applyAlignment="1">
      <alignment horizontal="center" vertical="center"/>
    </xf>
    <xf numFmtId="169" fontId="53" fillId="81" borderId="35" xfId="0" applyNumberFormat="1" applyFont="1" applyFill="1" applyBorder="1" applyAlignment="1">
      <alignment horizontal="center" vertical="center"/>
    </xf>
    <xf numFmtId="0" fontId="53" fillId="84" borderId="35" xfId="0" applyFont="1" applyFill="1" applyBorder="1" applyAlignment="1">
      <alignment horizontal="center" vertical="center"/>
    </xf>
    <xf numFmtId="0" fontId="7" fillId="81" borderId="35" xfId="0" applyFont="1" applyFill="1" applyBorder="1" applyAlignment="1">
      <alignment horizontal="center" vertical="center"/>
    </xf>
    <xf numFmtId="0" fontId="7" fillId="81" borderId="61" xfId="0" applyFont="1" applyFill="1" applyBorder="1" applyAlignment="1">
      <alignment horizontal="center" vertical="center"/>
    </xf>
    <xf numFmtId="0" fontId="7" fillId="81" borderId="137" xfId="0" applyFont="1" applyFill="1" applyBorder="1" applyAlignment="1">
      <alignment horizontal="center" vertical="center"/>
    </xf>
    <xf numFmtId="0" fontId="7" fillId="6" borderId="61" xfId="0" applyFont="1" applyFill="1" applyBorder="1" applyAlignment="1">
      <alignment horizontal="center" vertical="center"/>
    </xf>
    <xf numFmtId="166" fontId="8" fillId="8" borderId="61" xfId="0" applyNumberFormat="1" applyFont="1" applyFill="1" applyBorder="1" applyAlignment="1">
      <alignment horizontal="right" vertical="center" indent="1"/>
    </xf>
    <xf numFmtId="9" fontId="7" fillId="0" borderId="21" xfId="0" applyNumberFormat="1" applyFont="1" applyBorder="1" applyAlignment="1">
      <alignment horizontal="left" vertical="center" indent="1"/>
    </xf>
    <xf numFmtId="9" fontId="7" fillId="0" borderId="21" xfId="2" applyFont="1" applyBorder="1" applyAlignment="1">
      <alignment horizontal="left" vertical="center" indent="1"/>
    </xf>
    <xf numFmtId="166" fontId="47" fillId="8" borderId="138" xfId="0" applyNumberFormat="1" applyFont="1" applyFill="1" applyBorder="1" applyAlignment="1">
      <alignment horizontal="right" vertical="center" wrapText="1" indent="1"/>
    </xf>
    <xf numFmtId="1" fontId="7" fillId="0" borderId="0" xfId="1" applyNumberFormat="1" applyFont="1" applyAlignment="1">
      <alignment horizontal="center" vertical="center"/>
    </xf>
    <xf numFmtId="1" fontId="7" fillId="0" borderId="48" xfId="1" applyNumberFormat="1" applyFont="1" applyBorder="1" applyAlignment="1">
      <alignment horizontal="center" vertical="center"/>
    </xf>
    <xf numFmtId="166" fontId="57" fillId="82" borderId="139" xfId="0" applyNumberFormat="1" applyFont="1" applyFill="1" applyBorder="1" applyAlignment="1">
      <alignment horizontal="right" vertical="center" indent="1"/>
    </xf>
    <xf numFmtId="0" fontId="8" fillId="11" borderId="0" xfId="0" applyFont="1" applyFill="1" applyAlignment="1">
      <alignment horizontal="center" vertical="center" wrapText="1"/>
    </xf>
    <xf numFmtId="9" fontId="8" fillId="0" borderId="0" xfId="0" applyNumberFormat="1" applyFont="1" applyAlignment="1">
      <alignment horizontal="center" vertical="center" wrapText="1"/>
    </xf>
    <xf numFmtId="0" fontId="111" fillId="0" borderId="0" xfId="0" applyFont="1" applyAlignment="1">
      <alignment horizontal="center" vertical="center" wrapText="1"/>
    </xf>
    <xf numFmtId="0" fontId="44" fillId="0" borderId="0" xfId="0" applyFont="1"/>
    <xf numFmtId="3" fontId="43" fillId="0" borderId="0" xfId="0" applyNumberFormat="1" applyFont="1" applyAlignment="1">
      <alignment horizontal="left" vertical="center" wrapText="1"/>
    </xf>
    <xf numFmtId="3" fontId="8" fillId="0" borderId="0" xfId="0" applyNumberFormat="1" applyFont="1" applyAlignment="1">
      <alignment horizontal="left" vertical="center" wrapText="1"/>
    </xf>
    <xf numFmtId="0" fontId="53" fillId="0" borderId="0" xfId="0" applyFont="1" applyAlignment="1">
      <alignment horizontal="right" vertical="center" wrapText="1"/>
    </xf>
    <xf numFmtId="9" fontId="8" fillId="0" borderId="0" xfId="0" applyNumberFormat="1" applyFont="1" applyAlignment="1">
      <alignment horizontal="center" vertical="center"/>
    </xf>
    <xf numFmtId="9" fontId="56" fillId="0" borderId="0" xfId="0" applyNumberFormat="1" applyFont="1" applyAlignment="1">
      <alignment horizontal="center" vertical="center"/>
    </xf>
    <xf numFmtId="0" fontId="56" fillId="0" borderId="0" xfId="0" applyFont="1"/>
    <xf numFmtId="0" fontId="67" fillId="0" borderId="0" xfId="0" applyFont="1"/>
    <xf numFmtId="0" fontId="113" fillId="0" borderId="0" xfId="0" applyFont="1" applyAlignment="1">
      <alignment horizontal="center" vertical="center"/>
    </xf>
    <xf numFmtId="0" fontId="8" fillId="29" borderId="19" xfId="0" applyFont="1" applyFill="1" applyBorder="1" applyAlignment="1">
      <alignment horizontal="center" vertical="center"/>
    </xf>
    <xf numFmtId="0" fontId="37" fillId="23" borderId="0" xfId="0" applyFont="1" applyFill="1" applyAlignment="1">
      <alignment horizontal="center" vertical="center" wrapText="1"/>
    </xf>
    <xf numFmtId="3" fontId="60" fillId="15" borderId="0" xfId="0" applyNumberFormat="1" applyFont="1" applyFill="1" applyAlignment="1">
      <alignment vertical="center"/>
    </xf>
    <xf numFmtId="9" fontId="60" fillId="15" borderId="0" xfId="0" applyNumberFormat="1" applyFont="1" applyFill="1" applyAlignment="1">
      <alignment vertical="center"/>
    </xf>
    <xf numFmtId="3" fontId="10" fillId="24" borderId="0" xfId="0" applyNumberFormat="1" applyFont="1" applyFill="1" applyAlignment="1">
      <alignment horizontal="right" vertical="center"/>
    </xf>
    <xf numFmtId="9" fontId="10" fillId="24" borderId="0" xfId="0" applyNumberFormat="1" applyFont="1" applyFill="1" applyAlignment="1">
      <alignment horizontal="right" vertical="center"/>
    </xf>
    <xf numFmtId="9" fontId="107" fillId="11" borderId="0" xfId="0" applyNumberFormat="1" applyFont="1" applyFill="1" applyAlignment="1">
      <alignment horizontal="center" vertical="center" wrapText="1"/>
    </xf>
    <xf numFmtId="0" fontId="8" fillId="86" borderId="0" xfId="0" applyFont="1" applyFill="1" applyAlignment="1">
      <alignment horizontal="center" vertical="center" wrapText="1"/>
    </xf>
    <xf numFmtId="0" fontId="9" fillId="0" borderId="35" xfId="0" applyFont="1" applyBorder="1" applyAlignment="1">
      <alignment vertical="center" wrapText="1"/>
    </xf>
    <xf numFmtId="0" fontId="25" fillId="9" borderId="35" xfId="0" applyFont="1" applyFill="1" applyBorder="1" applyAlignment="1">
      <alignment horizontal="center" vertical="center" wrapText="1"/>
    </xf>
    <xf numFmtId="10" fontId="27" fillId="0" borderId="35" xfId="0" applyNumberFormat="1" applyFont="1" applyBorder="1" applyAlignment="1">
      <alignment horizontal="center" vertical="center" wrapText="1"/>
    </xf>
    <xf numFmtId="0" fontId="28" fillId="0" borderId="35" xfId="0" applyFont="1" applyBorder="1" applyAlignment="1">
      <alignment vertical="center" wrapText="1"/>
    </xf>
    <xf numFmtId="10" fontId="94" fillId="0" borderId="35" xfId="0" applyNumberFormat="1" applyFont="1" applyBorder="1" applyAlignment="1">
      <alignment horizontal="center" vertical="center" wrapText="1"/>
    </xf>
    <xf numFmtId="10" fontId="34" fillId="0" borderId="35" xfId="0" applyNumberFormat="1" applyFont="1" applyBorder="1" applyAlignment="1">
      <alignment horizontal="center" vertical="center" wrapText="1"/>
    </xf>
    <xf numFmtId="0" fontId="6" fillId="0" borderId="35" xfId="0" applyFont="1" applyBorder="1" applyAlignment="1">
      <alignment vertical="center" wrapText="1"/>
    </xf>
    <xf numFmtId="0" fontId="111" fillId="0" borderId="0" xfId="0" applyFont="1" applyAlignment="1">
      <alignment horizontal="center" vertical="center"/>
    </xf>
    <xf numFmtId="3" fontId="60" fillId="85" borderId="0" xfId="0" applyNumberFormat="1" applyFont="1" applyFill="1" applyAlignment="1">
      <alignment horizontal="right" vertical="center" wrapText="1" indent="1"/>
    </xf>
    <xf numFmtId="3" fontId="111" fillId="19" borderId="0" xfId="0" applyNumberFormat="1" applyFont="1" applyFill="1" applyAlignment="1">
      <alignment horizontal="right" vertical="center" wrapText="1" indent="1"/>
    </xf>
    <xf numFmtId="3" fontId="8" fillId="85" borderId="0" xfId="0" applyNumberFormat="1" applyFont="1" applyFill="1" applyAlignment="1">
      <alignment horizontal="right" vertical="center" wrapText="1" indent="1"/>
    </xf>
    <xf numFmtId="0" fontId="8" fillId="86" borderId="0" xfId="0" applyFont="1" applyFill="1" applyAlignment="1">
      <alignment horizontal="right" vertical="center" indent="1"/>
    </xf>
    <xf numFmtId="0" fontId="107" fillId="0" borderId="0" xfId="0" applyFont="1" applyAlignment="1">
      <alignment horizontal="left" vertical="center" indent="1"/>
    </xf>
    <xf numFmtId="0" fontId="10" fillId="0" borderId="0" xfId="0" applyFont="1" applyAlignment="1">
      <alignment vertical="center"/>
    </xf>
    <xf numFmtId="0" fontId="10" fillId="0" borderId="0" xfId="0" applyFont="1" applyAlignment="1"/>
    <xf numFmtId="0" fontId="10" fillId="0" borderId="35" xfId="0" applyFont="1" applyBorder="1" applyAlignment="1">
      <alignment vertical="center"/>
    </xf>
    <xf numFmtId="9" fontId="48" fillId="0" borderId="35" xfId="0" applyNumberFormat="1" applyFont="1" applyBorder="1" applyAlignment="1">
      <alignment vertical="center"/>
    </xf>
    <xf numFmtId="1" fontId="43" fillId="0" borderId="35" xfId="0" applyNumberFormat="1" applyFont="1" applyBorder="1" applyAlignment="1">
      <alignment horizontal="right" vertical="center" indent="1"/>
    </xf>
    <xf numFmtId="9" fontId="43" fillId="0" borderId="35" xfId="0" applyNumberFormat="1" applyFont="1" applyBorder="1" applyAlignment="1">
      <alignment horizontal="right" vertical="center" indent="1"/>
    </xf>
    <xf numFmtId="9" fontId="43" fillId="0" borderId="35" xfId="0" applyNumberFormat="1" applyFont="1" applyBorder="1" applyAlignment="1">
      <alignment horizontal="right" vertical="center" wrapText="1" indent="1"/>
    </xf>
    <xf numFmtId="9" fontId="48" fillId="0" borderId="25" xfId="0" applyNumberFormat="1" applyFont="1" applyBorder="1" applyAlignment="1">
      <alignment vertical="center"/>
    </xf>
    <xf numFmtId="9" fontId="52" fillId="0" borderId="35" xfId="0" applyNumberFormat="1" applyFont="1" applyBorder="1" applyAlignment="1">
      <alignment horizontal="right" vertical="center" indent="1"/>
    </xf>
    <xf numFmtId="9" fontId="108" fillId="0" borderId="35" xfId="0" applyNumberFormat="1" applyFont="1" applyBorder="1" applyAlignment="1">
      <alignment horizontal="right" vertical="center" indent="1"/>
    </xf>
    <xf numFmtId="1" fontId="20" fillId="87" borderId="35" xfId="0" applyNumberFormat="1" applyFont="1" applyFill="1" applyBorder="1" applyAlignment="1">
      <alignment horizontal="center" vertical="center"/>
    </xf>
    <xf numFmtId="1" fontId="20" fillId="25" borderId="35" xfId="0" applyNumberFormat="1" applyFont="1" applyFill="1" applyBorder="1" applyAlignment="1">
      <alignment horizontal="center" vertical="center"/>
    </xf>
    <xf numFmtId="0" fontId="77" fillId="25" borderId="141" xfId="0" applyFont="1" applyFill="1" applyBorder="1" applyAlignment="1">
      <alignment horizontal="center" vertical="center"/>
    </xf>
    <xf numFmtId="0" fontId="77" fillId="25" borderId="140" xfId="0" applyFont="1" applyFill="1" applyBorder="1" applyAlignment="1">
      <alignment horizontal="center" vertical="center"/>
    </xf>
    <xf numFmtId="0" fontId="77" fillId="25" borderId="142" xfId="0" applyFont="1" applyFill="1" applyBorder="1" applyAlignment="1">
      <alignment horizontal="center" vertical="center"/>
    </xf>
    <xf numFmtId="3" fontId="7" fillId="0" borderId="145" xfId="0" applyNumberFormat="1" applyFont="1" applyBorder="1" applyAlignment="1">
      <alignment vertical="center"/>
    </xf>
    <xf numFmtId="0" fontId="59" fillId="88" borderId="0" xfId="0" applyFont="1" applyFill="1" applyAlignment="1">
      <alignment horizontal="center" vertical="center"/>
    </xf>
    <xf numFmtId="9" fontId="56" fillId="0" borderId="0" xfId="0" applyNumberFormat="1" applyFont="1" applyAlignment="1">
      <alignment horizontal="right" vertical="center" indent="1"/>
    </xf>
    <xf numFmtId="1" fontId="56" fillId="0" borderId="0" xfId="0" applyNumberFormat="1" applyFont="1" applyAlignment="1">
      <alignment horizontal="right" vertical="center" indent="1"/>
    </xf>
    <xf numFmtId="0" fontId="56" fillId="0" borderId="0" xfId="0" applyFont="1" applyAlignment="1">
      <alignment vertical="center"/>
    </xf>
    <xf numFmtId="10" fontId="112" fillId="0" borderId="0" xfId="0" applyNumberFormat="1" applyFont="1" applyAlignment="1">
      <alignment horizontal="center" vertical="center"/>
    </xf>
    <xf numFmtId="0" fontId="7" fillId="0" borderId="0" xfId="0" applyFont="1" applyAlignment="1">
      <alignment horizontal="right" vertical="center" indent="1"/>
    </xf>
    <xf numFmtId="0" fontId="10" fillId="0" borderId="0" xfId="0" applyFont="1" applyAlignment="1">
      <alignment horizontal="right" vertical="center" indent="1"/>
    </xf>
    <xf numFmtId="9" fontId="8" fillId="0" borderId="0" xfId="0" applyNumberFormat="1" applyFont="1" applyAlignment="1">
      <alignment horizontal="right" vertical="center" indent="1"/>
    </xf>
    <xf numFmtId="3" fontId="37" fillId="0" borderId="0" xfId="0" applyNumberFormat="1" applyFont="1" applyAlignment="1">
      <alignment horizontal="right" vertical="center" indent="1"/>
    </xf>
    <xf numFmtId="0" fontId="37" fillId="0" borderId="0" xfId="0" applyFont="1" applyAlignment="1">
      <alignment horizontal="right" vertical="center" indent="1"/>
    </xf>
    <xf numFmtId="166" fontId="56" fillId="0" borderId="0" xfId="0" applyNumberFormat="1" applyFont="1" applyAlignment="1">
      <alignment horizontal="right" vertical="center" indent="1"/>
    </xf>
    <xf numFmtId="9" fontId="45" fillId="3" borderId="94" xfId="0" applyNumberFormat="1" applyFont="1" applyFill="1" applyBorder="1" applyAlignment="1">
      <alignment horizontal="center" vertical="center"/>
    </xf>
    <xf numFmtId="9" fontId="45" fillId="3" borderId="64" xfId="0" applyNumberFormat="1" applyFont="1" applyFill="1" applyBorder="1" applyAlignment="1">
      <alignment horizontal="center" vertical="center"/>
    </xf>
    <xf numFmtId="9" fontId="45" fillId="3" borderId="80" xfId="0" applyNumberFormat="1" applyFont="1" applyFill="1" applyBorder="1" applyAlignment="1">
      <alignment horizontal="center" vertical="center"/>
    </xf>
    <xf numFmtId="9" fontId="7" fillId="3" borderId="103" xfId="0" applyNumberFormat="1" applyFont="1" applyFill="1" applyBorder="1" applyAlignment="1">
      <alignment horizontal="center" vertical="center"/>
    </xf>
    <xf numFmtId="9" fontId="7" fillId="3" borderId="35" xfId="0" applyNumberFormat="1" applyFont="1" applyFill="1" applyBorder="1" applyAlignment="1">
      <alignment horizontal="center" vertical="center"/>
    </xf>
    <xf numFmtId="0" fontId="7" fillId="3" borderId="35" xfId="0" applyFont="1" applyFill="1" applyBorder="1" applyAlignment="1">
      <alignment horizontal="center" vertical="center"/>
    </xf>
    <xf numFmtId="0" fontId="7" fillId="3" borderId="61" xfId="0" applyFont="1" applyFill="1" applyBorder="1" applyAlignment="1">
      <alignment horizontal="center" vertical="center"/>
    </xf>
    <xf numFmtId="0" fontId="37" fillId="5" borderId="70" xfId="0" applyFont="1" applyFill="1" applyBorder="1" applyAlignment="1">
      <alignment horizontal="center" vertical="center"/>
    </xf>
    <xf numFmtId="0" fontId="37" fillId="5" borderId="87" xfId="0" applyFont="1" applyFill="1" applyBorder="1" applyAlignment="1">
      <alignment horizontal="center" vertical="center"/>
    </xf>
    <xf numFmtId="0" fontId="37" fillId="5" borderId="71" xfId="0" applyFont="1" applyFill="1" applyBorder="1" applyAlignment="1">
      <alignment horizontal="center" vertical="center"/>
    </xf>
    <xf numFmtId="166" fontId="10" fillId="0" borderId="0" xfId="0" applyNumberFormat="1" applyFont="1" applyAlignment="1">
      <alignment horizontal="right" vertical="center" indent="1"/>
    </xf>
    <xf numFmtId="166" fontId="7" fillId="0" borderId="0" xfId="0" applyNumberFormat="1" applyFont="1" applyAlignment="1">
      <alignment vertical="center"/>
    </xf>
    <xf numFmtId="166" fontId="10" fillId="0" borderId="0" xfId="0" applyNumberFormat="1" applyFont="1" applyAlignment="1">
      <alignment vertical="center"/>
    </xf>
    <xf numFmtId="10" fontId="112" fillId="0" borderId="0" xfId="0" applyNumberFormat="1" applyFont="1" applyAlignment="1">
      <alignment vertical="center"/>
    </xf>
    <xf numFmtId="9" fontId="60" fillId="0" borderId="0" xfId="0" applyNumberFormat="1" applyFont="1" applyAlignment="1">
      <alignment horizontal="center" vertical="center"/>
    </xf>
    <xf numFmtId="0" fontId="56" fillId="0" borderId="0" xfId="0" applyFont="1" applyFill="1" applyAlignment="1">
      <alignment horizontal="center" vertical="center"/>
    </xf>
    <xf numFmtId="9" fontId="56" fillId="0" borderId="0" xfId="0" applyNumberFormat="1" applyFont="1" applyFill="1" applyAlignment="1">
      <alignment horizontal="center" vertical="center"/>
    </xf>
    <xf numFmtId="3" fontId="56" fillId="0" borderId="0" xfId="0" applyNumberFormat="1" applyFont="1" applyFill="1" applyAlignment="1">
      <alignment horizontal="center" vertical="center"/>
    </xf>
    <xf numFmtId="0" fontId="8" fillId="0" borderId="0" xfId="0" applyFont="1" applyFill="1" applyAlignment="1">
      <alignment horizontal="center" vertical="center"/>
    </xf>
    <xf numFmtId="9" fontId="8" fillId="0" borderId="0" xfId="0" applyNumberFormat="1" applyFont="1" applyFill="1" applyAlignment="1">
      <alignment horizontal="center" vertical="center"/>
    </xf>
    <xf numFmtId="3" fontId="114" fillId="0" borderId="0" xfId="0" applyNumberFormat="1" applyFont="1" applyAlignment="1">
      <alignment horizontal="center" vertical="center" wrapText="1"/>
    </xf>
    <xf numFmtId="0" fontId="114" fillId="0" borderId="0" xfId="0" applyFont="1" applyAlignment="1">
      <alignment horizontal="center" vertical="center" wrapText="1"/>
    </xf>
    <xf numFmtId="0" fontId="113" fillId="11" borderId="14" xfId="0" applyFont="1" applyFill="1" applyBorder="1" applyAlignment="1">
      <alignment horizontal="right" vertical="center" indent="1"/>
    </xf>
    <xf numFmtId="3" fontId="37" fillId="21" borderId="1" xfId="0" applyNumberFormat="1" applyFont="1" applyFill="1" applyBorder="1" applyAlignment="1">
      <alignment horizontal="right" vertical="center" indent="1"/>
    </xf>
    <xf numFmtId="10" fontId="113" fillId="11" borderId="14" xfId="0" applyNumberFormat="1" applyFont="1" applyFill="1" applyBorder="1" applyAlignment="1">
      <alignment horizontal="right" vertical="center" indent="1"/>
    </xf>
    <xf numFmtId="0" fontId="60" fillId="7" borderId="0" xfId="0" applyFont="1" applyFill="1" applyAlignment="1">
      <alignment horizontal="center" vertical="center"/>
    </xf>
    <xf numFmtId="3" fontId="7" fillId="26" borderId="0" xfId="0" applyNumberFormat="1" applyFont="1" applyFill="1" applyAlignment="1">
      <alignment horizontal="center" vertical="center" wrapText="1"/>
    </xf>
    <xf numFmtId="166" fontId="60" fillId="15" borderId="0" xfId="0" applyNumberFormat="1" applyFont="1" applyFill="1" applyAlignment="1">
      <alignment horizontal="right" vertical="center" indent="1"/>
    </xf>
    <xf numFmtId="166" fontId="10" fillId="24" borderId="0" xfId="0" applyNumberFormat="1" applyFont="1" applyFill="1" applyAlignment="1">
      <alignment horizontal="right" vertical="center" indent="1"/>
    </xf>
    <xf numFmtId="10" fontId="52" fillId="0" borderId="0" xfId="0" applyNumberFormat="1" applyFont="1" applyAlignment="1">
      <alignment horizontal="center" vertical="center"/>
    </xf>
    <xf numFmtId="166" fontId="8" fillId="0" borderId="0" xfId="0" applyNumberFormat="1" applyFont="1" applyAlignment="1">
      <alignment horizontal="right" vertical="center" wrapText="1" indent="1"/>
    </xf>
    <xf numFmtId="3" fontId="8" fillId="0" borderId="35" xfId="0" applyNumberFormat="1" applyFont="1" applyBorder="1" applyAlignment="1">
      <alignment vertical="center" wrapText="1"/>
    </xf>
    <xf numFmtId="9" fontId="8" fillId="0" borderId="128" xfId="0" applyNumberFormat="1" applyFont="1" applyBorder="1" applyAlignment="1">
      <alignment horizontal="center" vertical="center"/>
    </xf>
    <xf numFmtId="0" fontId="109" fillId="0" borderId="35" xfId="0" applyFont="1" applyBorder="1" applyAlignment="1">
      <alignment horizontal="center" vertical="center" wrapText="1"/>
    </xf>
    <xf numFmtId="9" fontId="8" fillId="0" borderId="35" xfId="0" applyNumberFormat="1" applyFont="1" applyBorder="1" applyAlignment="1">
      <alignment horizontal="right" vertical="center" wrapText="1" indent="1"/>
    </xf>
    <xf numFmtId="3" fontId="8" fillId="0" borderId="35" xfId="0" applyNumberFormat="1" applyFont="1" applyBorder="1" applyAlignment="1">
      <alignment horizontal="right" vertical="center" wrapText="1" indent="1"/>
    </xf>
    <xf numFmtId="3" fontId="107" fillId="0" borderId="35" xfId="0" applyNumberFormat="1" applyFont="1" applyBorder="1" applyAlignment="1">
      <alignment horizontal="center" vertical="center"/>
    </xf>
    <xf numFmtId="0" fontId="8" fillId="0" borderId="35" xfId="0" applyFont="1" applyBorder="1" applyAlignment="1">
      <alignment horizontal="center" vertical="center" wrapText="1"/>
    </xf>
    <xf numFmtId="3" fontId="8" fillId="0" borderId="35" xfId="0" applyNumberFormat="1" applyFont="1" applyBorder="1" applyAlignment="1">
      <alignment horizontal="center" vertical="center" wrapText="1"/>
    </xf>
    <xf numFmtId="166" fontId="107" fillId="0" borderId="146" xfId="0" applyNumberFormat="1" applyFont="1" applyBorder="1" applyAlignment="1">
      <alignment horizontal="center" vertical="center"/>
    </xf>
    <xf numFmtId="166" fontId="8" fillId="0" borderId="146" xfId="0" applyNumberFormat="1" applyFont="1" applyBorder="1" applyAlignment="1">
      <alignment horizontal="right" vertical="center" wrapText="1" indent="1"/>
    </xf>
    <xf numFmtId="3" fontId="56" fillId="0" borderId="35" xfId="0" applyNumberFormat="1" applyFont="1" applyBorder="1" applyAlignment="1">
      <alignment horizontal="center" vertical="center"/>
    </xf>
    <xf numFmtId="9" fontId="8" fillId="0" borderId="35" xfId="0" applyNumberFormat="1" applyFont="1" applyBorder="1" applyAlignment="1">
      <alignment horizontal="right" vertical="center" indent="1"/>
    </xf>
    <xf numFmtId="0" fontId="37" fillId="0" borderId="35" xfId="0" applyFont="1" applyBorder="1" applyAlignment="1">
      <alignment horizontal="right" vertical="center" indent="1"/>
    </xf>
    <xf numFmtId="0" fontId="37" fillId="23" borderId="35" xfId="0" applyFont="1" applyFill="1" applyBorder="1" applyAlignment="1">
      <alignment horizontal="center" vertical="center" wrapText="1"/>
    </xf>
    <xf numFmtId="166" fontId="60" fillId="15" borderId="35" xfId="0" applyNumberFormat="1" applyFont="1" applyFill="1" applyBorder="1" applyAlignment="1">
      <alignment horizontal="right" vertical="center" indent="1"/>
    </xf>
    <xf numFmtId="166" fontId="10" fillId="24" borderId="35" xfId="0" applyNumberFormat="1" applyFont="1" applyFill="1" applyBorder="1" applyAlignment="1">
      <alignment horizontal="right" vertical="center" indent="1"/>
    </xf>
    <xf numFmtId="0" fontId="7" fillId="0" borderId="147" xfId="0" applyFont="1" applyBorder="1" applyAlignment="1">
      <alignment horizontal="right" vertical="center" indent="1"/>
    </xf>
    <xf numFmtId="166" fontId="56" fillId="0" borderId="146" xfId="0" applyNumberFormat="1" applyFont="1" applyFill="1" applyBorder="1" applyAlignment="1">
      <alignment horizontal="center" vertical="center"/>
    </xf>
    <xf numFmtId="0" fontId="8" fillId="0" borderId="146" xfId="0" applyFont="1" applyFill="1" applyBorder="1" applyAlignment="1">
      <alignment horizontal="center" vertical="center"/>
    </xf>
    <xf numFmtId="166" fontId="8" fillId="0" borderId="146" xfId="0" applyNumberFormat="1" applyFont="1" applyBorder="1" applyAlignment="1">
      <alignment horizontal="right" vertical="center" indent="1"/>
    </xf>
    <xf numFmtId="0" fontId="8" fillId="20" borderId="148" xfId="0" applyFont="1" applyFill="1" applyBorder="1" applyAlignment="1">
      <alignment horizontal="center" vertical="center"/>
    </xf>
    <xf numFmtId="3" fontId="56" fillId="0" borderId="35" xfId="0" applyNumberFormat="1" applyFont="1" applyBorder="1" applyAlignment="1">
      <alignment horizontal="right" vertical="center" wrapText="1" indent="1"/>
    </xf>
    <xf numFmtId="0" fontId="56" fillId="26" borderId="35" xfId="0" applyFont="1" applyFill="1" applyBorder="1" applyAlignment="1">
      <alignment horizontal="center" vertical="center"/>
    </xf>
    <xf numFmtId="166" fontId="56" fillId="26" borderId="146" xfId="0" applyNumberFormat="1" applyFont="1" applyFill="1" applyBorder="1" applyAlignment="1">
      <alignment horizontal="right" vertical="center" indent="1"/>
    </xf>
    <xf numFmtId="166" fontId="8" fillId="0" borderId="146" xfId="0" applyNumberFormat="1" applyFont="1" applyFill="1" applyBorder="1" applyAlignment="1">
      <alignment horizontal="right" vertical="center" indent="1"/>
    </xf>
    <xf numFmtId="1" fontId="56" fillId="0" borderId="147" xfId="0" applyNumberFormat="1" applyFont="1" applyFill="1" applyBorder="1" applyAlignment="1">
      <alignment horizontal="center" vertical="center"/>
    </xf>
    <xf numFmtId="1" fontId="8" fillId="0" borderId="147" xfId="0" applyNumberFormat="1" applyFont="1" applyFill="1" applyBorder="1" applyAlignment="1">
      <alignment horizontal="right" vertical="center"/>
    </xf>
    <xf numFmtId="1" fontId="8" fillId="0" borderId="147" xfId="0" applyNumberFormat="1" applyFont="1" applyBorder="1" applyAlignment="1">
      <alignment horizontal="center" vertical="center"/>
    </xf>
    <xf numFmtId="1" fontId="8" fillId="0" borderId="147" xfId="0" applyNumberFormat="1" applyFont="1" applyFill="1" applyBorder="1" applyAlignment="1">
      <alignment horizontal="center" vertical="center"/>
    </xf>
    <xf numFmtId="1" fontId="8" fillId="0" borderId="147" xfId="0" applyNumberFormat="1" applyFont="1" applyBorder="1" applyAlignment="1">
      <alignment horizontal="center" vertical="center" wrapText="1"/>
    </xf>
    <xf numFmtId="1" fontId="56" fillId="26" borderId="147" xfId="0" applyNumberFormat="1" applyFont="1" applyFill="1" applyBorder="1" applyAlignment="1">
      <alignment horizontal="center" vertical="center"/>
    </xf>
    <xf numFmtId="1" fontId="107" fillId="0" borderId="147" xfId="0" applyNumberFormat="1" applyFont="1" applyBorder="1" applyAlignment="1">
      <alignment horizontal="center" vertical="center" wrapText="1"/>
    </xf>
    <xf numFmtId="1" fontId="8" fillId="0" borderId="35" xfId="0" applyNumberFormat="1" applyFont="1" applyBorder="1" applyAlignment="1">
      <alignment horizontal="center" vertical="center"/>
    </xf>
    <xf numFmtId="1" fontId="8" fillId="0" borderId="35" xfId="0" applyNumberFormat="1" applyFont="1" applyFill="1" applyBorder="1" applyAlignment="1">
      <alignment horizontal="center" vertical="center"/>
    </xf>
    <xf numFmtId="9" fontId="7" fillId="0" borderId="0" xfId="0" applyNumberFormat="1" applyFont="1" applyFill="1" applyAlignment="1">
      <alignment horizontal="center" vertical="center"/>
    </xf>
    <xf numFmtId="0" fontId="114" fillId="0" borderId="0" xfId="0" applyFont="1" applyAlignment="1">
      <alignment horizontal="right" vertical="center" indent="1"/>
    </xf>
    <xf numFmtId="166" fontId="114" fillId="0" borderId="146" xfId="0" applyNumberFormat="1" applyFont="1" applyBorder="1" applyAlignment="1">
      <alignment horizontal="right" vertical="center" indent="1"/>
    </xf>
    <xf numFmtId="9" fontId="53" fillId="0" borderId="0" xfId="0" applyNumberFormat="1" applyFont="1" applyAlignment="1">
      <alignment vertical="center"/>
    </xf>
    <xf numFmtId="169" fontId="53" fillId="0" borderId="0" xfId="0" applyNumberFormat="1" applyFont="1" applyAlignment="1">
      <alignment vertical="center"/>
    </xf>
    <xf numFmtId="0" fontId="37" fillId="27" borderId="144" xfId="0" applyFont="1" applyFill="1" applyBorder="1" applyAlignment="1">
      <alignment horizontal="center" vertical="center"/>
    </xf>
    <xf numFmtId="3" fontId="37" fillId="27" borderId="144" xfId="0" applyNumberFormat="1" applyFont="1" applyFill="1" applyBorder="1" applyAlignment="1">
      <alignment horizontal="center" vertical="center"/>
    </xf>
    <xf numFmtId="3" fontId="37" fillId="27" borderId="150" xfId="0" applyNumberFormat="1" applyFont="1" applyFill="1" applyBorder="1" applyAlignment="1">
      <alignment horizontal="center" vertical="center"/>
    </xf>
    <xf numFmtId="0" fontId="113" fillId="0" borderId="147" xfId="0" applyFont="1" applyBorder="1" applyAlignment="1">
      <alignment horizontal="center" vertical="center"/>
    </xf>
    <xf numFmtId="0" fontId="113" fillId="11" borderId="147" xfId="0" applyFont="1" applyFill="1" applyBorder="1" applyAlignment="1">
      <alignment horizontal="right" vertical="center" indent="1"/>
    </xf>
    <xf numFmtId="0" fontId="116" fillId="0" borderId="0" xfId="0" applyFont="1" applyAlignment="1">
      <alignment vertical="center"/>
    </xf>
    <xf numFmtId="0" fontId="84" fillId="0" borderId="0" xfId="0" applyFont="1"/>
    <xf numFmtId="0" fontId="115" fillId="0" borderId="0" xfId="0" applyFont="1" applyAlignment="1">
      <alignment vertical="center"/>
    </xf>
    <xf numFmtId="3" fontId="117" fillId="0" borderId="0" xfId="0" applyNumberFormat="1" applyFont="1" applyAlignment="1">
      <alignment horizontal="center" vertical="center"/>
    </xf>
    <xf numFmtId="0" fontId="83" fillId="0" borderId="0" xfId="0" applyFont="1" applyAlignment="1">
      <alignment horizontal="center" vertical="center"/>
    </xf>
    <xf numFmtId="0" fontId="118" fillId="0" borderId="0" xfId="0" applyFont="1" applyAlignment="1">
      <alignment horizontal="center" vertical="center"/>
    </xf>
    <xf numFmtId="10" fontId="117" fillId="0" borderId="0" xfId="0" applyNumberFormat="1" applyFont="1" applyAlignment="1">
      <alignment horizontal="center" vertical="center"/>
    </xf>
    <xf numFmtId="169" fontId="117" fillId="0" borderId="0" xfId="0" applyNumberFormat="1" applyFont="1" applyAlignment="1">
      <alignment horizontal="center" vertical="center"/>
    </xf>
    <xf numFmtId="0" fontId="117" fillId="0" borderId="35" xfId="0" applyFont="1" applyBorder="1" applyAlignment="1">
      <alignment horizontal="center" vertical="center"/>
    </xf>
    <xf numFmtId="0" fontId="84" fillId="0" borderId="35" xfId="0" applyFont="1" applyBorder="1" applyAlignment="1">
      <alignment horizontal="center" vertical="center"/>
    </xf>
    <xf numFmtId="0" fontId="84" fillId="0" borderId="0" xfId="0" applyFont="1" applyAlignment="1">
      <alignment horizontal="center" vertical="center"/>
    </xf>
    <xf numFmtId="1" fontId="8" fillId="0" borderId="35" xfId="0" applyNumberFormat="1" applyFont="1" applyBorder="1" applyAlignment="1">
      <alignment horizontal="center" vertical="center" wrapText="1"/>
    </xf>
    <xf numFmtId="1" fontId="56" fillId="0" borderId="0" xfId="0" applyNumberFormat="1" applyFont="1" applyFill="1" applyAlignment="1">
      <alignment horizontal="center" vertical="center"/>
    </xf>
    <xf numFmtId="0" fontId="56" fillId="0" borderId="147" xfId="0" applyFont="1" applyFill="1" applyBorder="1" applyAlignment="1">
      <alignment horizontal="right" vertical="center" indent="1"/>
    </xf>
    <xf numFmtId="0" fontId="8" fillId="0" borderId="121" xfId="0" applyFont="1" applyBorder="1" applyAlignment="1">
      <alignment horizontal="center" vertical="center"/>
    </xf>
    <xf numFmtId="1" fontId="56" fillId="0" borderId="35" xfId="0" applyNumberFormat="1" applyFont="1" applyFill="1" applyBorder="1" applyAlignment="1">
      <alignment horizontal="center" vertical="center"/>
    </xf>
    <xf numFmtId="164" fontId="37" fillId="92" borderId="151" xfId="0" applyNumberFormat="1" applyFont="1" applyFill="1" applyBorder="1" applyAlignment="1">
      <alignment horizontal="center" vertical="center"/>
    </xf>
    <xf numFmtId="166" fontId="8" fillId="0" borderId="35" xfId="0" applyNumberFormat="1" applyFont="1" applyBorder="1" applyAlignment="1">
      <alignment horizontal="right" vertical="center" indent="1"/>
    </xf>
    <xf numFmtId="3" fontId="37" fillId="27" borderId="152" xfId="0" applyNumberFormat="1" applyFont="1" applyFill="1" applyBorder="1" applyAlignment="1">
      <alignment horizontal="center" vertical="center"/>
    </xf>
    <xf numFmtId="0" fontId="10" fillId="0" borderId="0" xfId="0" applyFont="1" applyFill="1" applyAlignment="1">
      <alignment vertical="center"/>
    </xf>
    <xf numFmtId="10" fontId="10" fillId="0" borderId="0" xfId="0" applyNumberFormat="1" applyFont="1" applyFill="1" applyAlignment="1">
      <alignment vertical="center"/>
    </xf>
    <xf numFmtId="0" fontId="8" fillId="0" borderId="147" xfId="0" applyFont="1" applyFill="1" applyBorder="1" applyAlignment="1">
      <alignment horizontal="right" vertical="center" indent="1"/>
    </xf>
    <xf numFmtId="10" fontId="56" fillId="0" borderId="146" xfId="0" applyNumberFormat="1" applyFont="1" applyFill="1" applyBorder="1" applyAlignment="1">
      <alignment horizontal="center" vertical="center"/>
    </xf>
    <xf numFmtId="0" fontId="53" fillId="0" borderId="0" xfId="0" applyFont="1" applyAlignment="1">
      <alignment horizontal="right" vertical="center" indent="1"/>
    </xf>
    <xf numFmtId="166" fontId="56" fillId="0" borderId="35" xfId="0" applyNumberFormat="1" applyFont="1" applyBorder="1" applyAlignment="1">
      <alignment horizontal="right" vertical="center" indent="1"/>
    </xf>
    <xf numFmtId="0" fontId="59" fillId="93" borderId="0" xfId="0" applyFont="1" applyFill="1" applyAlignment="1">
      <alignment horizontal="center" vertical="center" wrapText="1"/>
    </xf>
    <xf numFmtId="3" fontId="60" fillId="0" borderId="35" xfId="0" applyNumberFormat="1" applyFont="1" applyBorder="1" applyAlignment="1">
      <alignment horizontal="right" vertical="center" indent="1"/>
    </xf>
    <xf numFmtId="9" fontId="10" fillId="0" borderId="35" xfId="0" applyNumberFormat="1" applyFont="1" applyBorder="1" applyAlignment="1">
      <alignment horizontal="right" vertical="center" indent="1"/>
    </xf>
    <xf numFmtId="0" fontId="10" fillId="0" borderId="35" xfId="0" applyFont="1" applyBorder="1" applyAlignment="1">
      <alignment horizontal="right" vertical="center" indent="1"/>
    </xf>
    <xf numFmtId="9" fontId="56" fillId="0" borderId="35" xfId="0" applyNumberFormat="1" applyFont="1" applyBorder="1" applyAlignment="1">
      <alignment horizontal="right" vertical="center" indent="1"/>
    </xf>
    <xf numFmtId="0" fontId="67" fillId="0" borderId="35" xfId="0" applyFont="1" applyBorder="1"/>
    <xf numFmtId="0" fontId="7" fillId="0" borderId="35" xfId="0" applyFont="1" applyBorder="1"/>
    <xf numFmtId="0" fontId="8" fillId="0" borderId="35" xfId="0" applyFont="1" applyBorder="1"/>
    <xf numFmtId="0" fontId="8" fillId="0" borderId="35" xfId="0" applyFont="1" applyBorder="1" applyAlignment="1">
      <alignment horizontal="right" vertical="center"/>
    </xf>
    <xf numFmtId="0" fontId="56" fillId="0" borderId="35" xfId="0" applyFont="1" applyBorder="1"/>
    <xf numFmtId="0" fontId="114" fillId="0" borderId="0" xfId="0" applyFont="1" applyAlignment="1">
      <alignment horizontal="center" vertical="center"/>
    </xf>
    <xf numFmtId="0" fontId="37" fillId="94" borderId="149" xfId="0" applyFont="1" applyFill="1" applyBorder="1" applyAlignment="1">
      <alignment horizontal="center" vertical="center"/>
    </xf>
    <xf numFmtId="49" fontId="8" fillId="0" borderId="0" xfId="0" applyNumberFormat="1" applyFont="1" applyAlignment="1">
      <alignment horizontal="center" vertical="center"/>
    </xf>
    <xf numFmtId="49" fontId="114" fillId="0" borderId="0" xfId="0" applyNumberFormat="1" applyFont="1" applyFill="1" applyAlignment="1">
      <alignment horizontal="center" vertical="center"/>
    </xf>
    <xf numFmtId="1" fontId="37" fillId="94" borderId="149" xfId="0" applyNumberFormat="1" applyFont="1" applyFill="1" applyBorder="1" applyAlignment="1">
      <alignment horizontal="center" vertical="center"/>
    </xf>
    <xf numFmtId="1" fontId="37" fillId="27" borderId="144" xfId="0" applyNumberFormat="1" applyFont="1" applyFill="1" applyBorder="1" applyAlignment="1">
      <alignment horizontal="center" vertical="center"/>
    </xf>
    <xf numFmtId="1" fontId="37" fillId="27" borderId="150" xfId="0" applyNumberFormat="1" applyFont="1" applyFill="1" applyBorder="1" applyAlignment="1">
      <alignment horizontal="center" vertical="center"/>
    </xf>
    <xf numFmtId="0" fontId="8" fillId="0" borderId="0" xfId="0" applyNumberFormat="1" applyFont="1" applyAlignment="1">
      <alignment horizontal="right" vertical="center" indent="1"/>
    </xf>
    <xf numFmtId="0" fontId="60" fillId="16" borderId="0" xfId="0" applyFont="1" applyFill="1" applyAlignment="1">
      <alignment horizontal="center" vertical="center"/>
    </xf>
    <xf numFmtId="166" fontId="60" fillId="16" borderId="146" xfId="0" applyNumberFormat="1" applyFont="1" applyFill="1" applyBorder="1" applyAlignment="1">
      <alignment horizontal="right" vertical="center" indent="1"/>
    </xf>
    <xf numFmtId="0" fontId="37" fillId="94" borderId="153" xfId="0" applyFont="1" applyFill="1" applyBorder="1" applyAlignment="1">
      <alignment horizontal="center" vertical="center"/>
    </xf>
    <xf numFmtId="0" fontId="37" fillId="27" borderId="152" xfId="0" applyFont="1" applyFill="1" applyBorder="1" applyAlignment="1">
      <alignment horizontal="center" vertical="center"/>
    </xf>
    <xf numFmtId="3" fontId="37" fillId="27" borderId="154" xfId="0" applyNumberFormat="1" applyFont="1" applyFill="1" applyBorder="1" applyAlignment="1">
      <alignment horizontal="center" vertical="center"/>
    </xf>
    <xf numFmtId="0" fontId="37" fillId="94" borderId="144" xfId="0" applyFont="1" applyFill="1" applyBorder="1" applyAlignment="1">
      <alignment horizontal="center" vertical="center"/>
    </xf>
    <xf numFmtId="3" fontId="37" fillId="27" borderId="35" xfId="0" applyNumberFormat="1" applyFont="1" applyFill="1" applyBorder="1" applyAlignment="1">
      <alignment horizontal="center" vertical="center"/>
    </xf>
    <xf numFmtId="0" fontId="10" fillId="0" borderId="0" xfId="0" applyFont="1" applyAlignment="1">
      <alignment vertical="center"/>
    </xf>
    <xf numFmtId="0" fontId="10" fillId="0" borderId="0" xfId="0" applyFont="1" applyAlignment="1"/>
    <xf numFmtId="0" fontId="10" fillId="0" borderId="35" xfId="0" applyFont="1" applyBorder="1" applyAlignment="1">
      <alignment vertical="center"/>
    </xf>
    <xf numFmtId="0" fontId="7" fillId="0" borderId="0" xfId="0" applyFont="1" applyAlignment="1">
      <alignment vertical="center"/>
    </xf>
    <xf numFmtId="0" fontId="10" fillId="0" borderId="35" xfId="0" applyFont="1" applyFill="1" applyBorder="1" applyAlignment="1">
      <alignment horizontal="right" vertical="center" indent="1"/>
    </xf>
    <xf numFmtId="3" fontId="10" fillId="0" borderId="35" xfId="0" applyNumberFormat="1" applyFont="1" applyFill="1" applyBorder="1" applyAlignment="1">
      <alignment horizontal="right" vertical="center" indent="1"/>
    </xf>
    <xf numFmtId="9" fontId="52" fillId="95" borderId="35" xfId="0" applyNumberFormat="1" applyFont="1" applyFill="1" applyBorder="1" applyAlignment="1">
      <alignment horizontal="center" vertical="center"/>
    </xf>
    <xf numFmtId="166" fontId="52" fillId="95" borderId="35" xfId="0" applyNumberFormat="1" applyFont="1" applyFill="1" applyBorder="1" applyAlignment="1">
      <alignment horizontal="center" vertical="center"/>
    </xf>
    <xf numFmtId="3" fontId="52" fillId="95" borderId="21" xfId="0" applyNumberFormat="1" applyFont="1" applyFill="1" applyBorder="1" applyAlignment="1">
      <alignment horizontal="left" vertical="center" indent="1"/>
    </xf>
    <xf numFmtId="9" fontId="10" fillId="0" borderId="56" xfId="0" applyNumberFormat="1" applyFont="1" applyBorder="1" applyAlignment="1">
      <alignment horizontal="right" vertical="center" indent="1"/>
    </xf>
    <xf numFmtId="166" fontId="10" fillId="0" borderId="35" xfId="0" applyNumberFormat="1" applyFont="1" applyBorder="1" applyAlignment="1">
      <alignment horizontal="right" vertical="center" indent="1"/>
    </xf>
    <xf numFmtId="9" fontId="43" fillId="95" borderId="35" xfId="0" applyNumberFormat="1" applyFont="1" applyFill="1" applyBorder="1" applyAlignment="1">
      <alignment horizontal="center" vertical="center"/>
    </xf>
    <xf numFmtId="0" fontId="10" fillId="0" borderId="0" xfId="0" applyFont="1" applyAlignment="1">
      <alignment vertical="center"/>
    </xf>
    <xf numFmtId="0" fontId="10" fillId="0" borderId="0" xfId="0" applyFont="1" applyAlignment="1"/>
    <xf numFmtId="0" fontId="10" fillId="0" borderId="35" xfId="0" applyFont="1" applyBorder="1" applyAlignment="1">
      <alignment vertical="center"/>
    </xf>
    <xf numFmtId="0" fontId="7" fillId="0" borderId="0" xfId="0" applyFont="1" applyAlignment="1">
      <alignment vertical="center"/>
    </xf>
    <xf numFmtId="0" fontId="10" fillId="0" borderId="0" xfId="0" applyFont="1" applyAlignment="1"/>
    <xf numFmtId="9" fontId="56" fillId="70" borderId="0" xfId="0" applyNumberFormat="1" applyFont="1" applyFill="1" applyAlignment="1">
      <alignment horizontal="center" vertical="center"/>
    </xf>
    <xf numFmtId="166" fontId="60" fillId="0" borderId="0" xfId="0" applyNumberFormat="1" applyFont="1" applyAlignment="1">
      <alignment horizontal="right" vertical="center" indent="1"/>
    </xf>
    <xf numFmtId="9" fontId="43" fillId="0" borderId="155" xfId="0" applyNumberFormat="1" applyFont="1" applyBorder="1" applyAlignment="1">
      <alignment horizontal="right" vertical="center" wrapText="1" indent="1"/>
    </xf>
    <xf numFmtId="9" fontId="43" fillId="70" borderId="144" xfId="0" applyNumberFormat="1" applyFont="1" applyFill="1" applyBorder="1" applyAlignment="1">
      <alignment horizontal="center" vertical="center"/>
    </xf>
    <xf numFmtId="3" fontId="52" fillId="95" borderId="145" xfId="0" applyNumberFormat="1" applyFont="1" applyFill="1" applyBorder="1" applyAlignment="1">
      <alignment horizontal="left" vertical="center" indent="1"/>
    </xf>
    <xf numFmtId="0" fontId="7" fillId="0" borderId="156" xfId="0" applyFont="1" applyBorder="1" applyAlignment="1">
      <alignment vertical="center"/>
    </xf>
    <xf numFmtId="0" fontId="10" fillId="0" borderId="146" xfId="0" applyFont="1" applyBorder="1" applyAlignment="1">
      <alignment vertical="center"/>
    </xf>
    <xf numFmtId="0" fontId="7" fillId="0" borderId="146" xfId="0" applyFont="1" applyBorder="1" applyAlignment="1">
      <alignment vertical="center"/>
    </xf>
    <xf numFmtId="0" fontId="7" fillId="0" borderId="157" xfId="0" applyFont="1" applyBorder="1" applyAlignment="1">
      <alignment vertical="center"/>
    </xf>
    <xf numFmtId="0" fontId="6" fillId="38" borderId="158" xfId="0" applyFont="1" applyFill="1" applyBorder="1" applyAlignment="1">
      <alignment horizontal="center" vertical="center"/>
    </xf>
    <xf numFmtId="0" fontId="77" fillId="37" borderId="158" xfId="0" applyFont="1" applyFill="1" applyBorder="1" applyAlignment="1">
      <alignment horizontal="center" vertical="center"/>
    </xf>
    <xf numFmtId="3" fontId="48" fillId="0" borderId="21" xfId="0" applyNumberFormat="1" applyFont="1" applyBorder="1" applyAlignment="1">
      <alignment horizontal="left" vertical="center"/>
    </xf>
    <xf numFmtId="9" fontId="48" fillId="0" borderId="25" xfId="1" applyNumberFormat="1" applyFont="1" applyBorder="1" applyAlignment="1">
      <alignment horizontal="center" vertical="center"/>
    </xf>
    <xf numFmtId="9" fontId="77" fillId="37" borderId="35" xfId="0" applyNumberFormat="1" applyFont="1" applyFill="1" applyBorder="1" applyAlignment="1">
      <alignment horizontal="center" vertical="center"/>
    </xf>
    <xf numFmtId="3" fontId="77" fillId="37" borderId="35" xfId="0" applyNumberFormat="1" applyFont="1" applyFill="1" applyBorder="1" applyAlignment="1">
      <alignment horizontal="center" vertical="center"/>
    </xf>
    <xf numFmtId="9" fontId="77" fillId="37" borderId="0" xfId="0" applyNumberFormat="1" applyFont="1" applyFill="1" applyAlignment="1">
      <alignment horizontal="center" vertical="center"/>
    </xf>
    <xf numFmtId="3" fontId="77" fillId="37" borderId="0" xfId="0" applyNumberFormat="1" applyFont="1" applyFill="1" applyAlignment="1">
      <alignment horizontal="center" vertical="center"/>
    </xf>
    <xf numFmtId="3" fontId="10" fillId="24" borderId="16" xfId="0" applyNumberFormat="1" applyFont="1" applyFill="1" applyBorder="1" applyAlignment="1">
      <alignment horizontal="right" vertical="center" indent="1"/>
    </xf>
    <xf numFmtId="3" fontId="10" fillId="24" borderId="108" xfId="0" applyNumberFormat="1" applyFont="1" applyFill="1" applyBorder="1" applyAlignment="1">
      <alignment horizontal="right" vertical="center" indent="1"/>
    </xf>
    <xf numFmtId="0" fontId="46" fillId="12" borderId="12" xfId="0" applyNumberFormat="1" applyFont="1" applyFill="1" applyBorder="1" applyAlignment="1">
      <alignment horizontal="center" vertical="center" wrapText="1"/>
    </xf>
    <xf numFmtId="0" fontId="47" fillId="8" borderId="12" xfId="0" applyNumberFormat="1" applyFont="1" applyFill="1" applyBorder="1" applyAlignment="1">
      <alignment horizontal="center" vertical="center" wrapText="1"/>
    </xf>
    <xf numFmtId="0" fontId="47" fillId="8" borderId="76" xfId="0" applyNumberFormat="1" applyFont="1" applyFill="1" applyBorder="1" applyAlignment="1">
      <alignment horizontal="center" vertical="center" wrapText="1"/>
    </xf>
    <xf numFmtId="3" fontId="7" fillId="0" borderId="160" xfId="0" applyNumberFormat="1" applyFont="1" applyBorder="1" applyAlignment="1">
      <alignment horizontal="right" vertical="center" wrapText="1" indent="1"/>
    </xf>
    <xf numFmtId="3" fontId="7" fillId="0" borderId="161" xfId="0" applyNumberFormat="1" applyFont="1" applyBorder="1" applyAlignment="1">
      <alignment horizontal="center" vertical="center" wrapText="1"/>
    </xf>
    <xf numFmtId="0" fontId="40" fillId="11" borderId="15" xfId="0" applyNumberFormat="1" applyFont="1" applyFill="1" applyBorder="1" applyAlignment="1">
      <alignment horizontal="center" vertical="center" wrapText="1"/>
    </xf>
    <xf numFmtId="0" fontId="7" fillId="0" borderId="20" xfId="0" applyNumberFormat="1" applyFont="1" applyBorder="1" applyAlignment="1">
      <alignment horizontal="center" vertical="center" wrapText="1"/>
    </xf>
    <xf numFmtId="0" fontId="7" fillId="0" borderId="162" xfId="0" applyNumberFormat="1" applyFont="1" applyBorder="1" applyAlignment="1">
      <alignment horizontal="center" vertical="center" wrapText="1"/>
    </xf>
    <xf numFmtId="0" fontId="46" fillId="12" borderId="15" xfId="0" applyNumberFormat="1" applyFont="1" applyFill="1" applyBorder="1" applyAlignment="1">
      <alignment horizontal="center" vertical="center" wrapText="1"/>
    </xf>
    <xf numFmtId="0" fontId="47" fillId="8" borderId="18" xfId="0" applyNumberFormat="1" applyFont="1" applyFill="1" applyBorder="1" applyAlignment="1">
      <alignment horizontal="center" vertical="center" wrapText="1"/>
    </xf>
    <xf numFmtId="0" fontId="47" fillId="8" borderId="11" xfId="0" applyNumberFormat="1" applyFont="1" applyFill="1" applyBorder="1" applyAlignment="1">
      <alignment horizontal="center" vertical="center" wrapText="1"/>
    </xf>
    <xf numFmtId="0" fontId="47" fillId="8" borderId="112" xfId="0" applyNumberFormat="1" applyFont="1" applyFill="1" applyBorder="1" applyAlignment="1">
      <alignment horizontal="center" vertical="center" wrapText="1"/>
    </xf>
    <xf numFmtId="166" fontId="40" fillId="16" borderId="11" xfId="0" applyNumberFormat="1" applyFont="1" applyFill="1" applyBorder="1" applyAlignment="1">
      <alignment horizontal="right" vertical="center" wrapText="1" indent="1"/>
    </xf>
    <xf numFmtId="166" fontId="40" fillId="16" borderId="16" xfId="0" applyNumberFormat="1" applyFont="1" applyFill="1" applyBorder="1" applyAlignment="1">
      <alignment horizontal="right" vertical="center" wrapText="1" indent="1"/>
    </xf>
    <xf numFmtId="166" fontId="7" fillId="0" borderId="11" xfId="0" applyNumberFormat="1" applyFont="1" applyBorder="1" applyAlignment="1">
      <alignment horizontal="right" vertical="center" wrapText="1" indent="1"/>
    </xf>
    <xf numFmtId="166" fontId="7" fillId="0" borderId="17" xfId="0" applyNumberFormat="1" applyFont="1" applyBorder="1" applyAlignment="1">
      <alignment horizontal="right" vertical="center" wrapText="1" indent="1"/>
    </xf>
    <xf numFmtId="166" fontId="7" fillId="0" borderId="112" xfId="0" applyNumberFormat="1" applyFont="1" applyBorder="1" applyAlignment="1">
      <alignment horizontal="right" vertical="center" wrapText="1" indent="1"/>
    </xf>
    <xf numFmtId="166" fontId="7" fillId="0" borderId="160" xfId="0" applyNumberFormat="1" applyFont="1" applyBorder="1" applyAlignment="1">
      <alignment horizontal="right" vertical="center" wrapText="1" indent="1"/>
    </xf>
    <xf numFmtId="166" fontId="10" fillId="24" borderId="144" xfId="0" applyNumberFormat="1" applyFont="1" applyFill="1" applyBorder="1" applyAlignment="1">
      <alignment horizontal="right" vertical="center" indent="1"/>
    </xf>
    <xf numFmtId="3" fontId="37" fillId="21" borderId="164" xfId="0" applyNumberFormat="1" applyFont="1" applyFill="1" applyBorder="1" applyAlignment="1">
      <alignment horizontal="right" vertical="center" indent="1"/>
    </xf>
    <xf numFmtId="3" fontId="7" fillId="26" borderId="144" xfId="0" applyNumberFormat="1" applyFont="1" applyFill="1" applyBorder="1" applyAlignment="1">
      <alignment horizontal="center" vertical="center" wrapText="1"/>
    </xf>
    <xf numFmtId="3" fontId="10" fillId="24" borderId="144" xfId="0" applyNumberFormat="1" applyFont="1" applyFill="1" applyBorder="1" applyAlignment="1">
      <alignment horizontal="right" vertical="center"/>
    </xf>
    <xf numFmtId="171" fontId="56" fillId="0" borderId="146" xfId="0" applyNumberFormat="1" applyFont="1" applyFill="1" applyBorder="1" applyAlignment="1">
      <alignment horizontal="center" vertical="center"/>
    </xf>
    <xf numFmtId="171" fontId="8" fillId="0" borderId="146" xfId="0" applyNumberFormat="1" applyFont="1" applyFill="1" applyBorder="1" applyAlignment="1">
      <alignment horizontal="center" vertical="center"/>
    </xf>
    <xf numFmtId="1" fontId="7" fillId="78" borderId="147" xfId="0" applyNumberFormat="1" applyFont="1" applyFill="1" applyBorder="1" applyAlignment="1">
      <alignment horizontal="center" vertical="center"/>
    </xf>
    <xf numFmtId="1" fontId="7" fillId="78" borderId="35" xfId="0" applyNumberFormat="1" applyFont="1" applyFill="1" applyBorder="1" applyAlignment="1">
      <alignment horizontal="center" vertical="center"/>
    </xf>
    <xf numFmtId="0" fontId="8" fillId="80" borderId="0" xfId="0" applyFont="1" applyFill="1" applyAlignment="1">
      <alignment horizontal="left" vertical="center" wrapText="1"/>
    </xf>
    <xf numFmtId="166" fontId="7" fillId="78" borderId="146" xfId="0" applyNumberFormat="1" applyFont="1" applyFill="1" applyBorder="1" applyAlignment="1">
      <alignment horizontal="right" vertical="center" indent="1"/>
    </xf>
    <xf numFmtId="0" fontId="10" fillId="97" borderId="0" xfId="0" applyFont="1" applyFill="1" applyAlignment="1">
      <alignment horizontal="center" vertical="center"/>
    </xf>
    <xf numFmtId="3" fontId="10" fillId="97" borderId="0" xfId="0" applyNumberFormat="1" applyFont="1" applyFill="1" applyAlignment="1">
      <alignment horizontal="center" vertical="center"/>
    </xf>
    <xf numFmtId="3" fontId="10" fillId="97" borderId="144" xfId="0" applyNumberFormat="1" applyFont="1" applyFill="1" applyBorder="1" applyAlignment="1">
      <alignment horizontal="center" vertical="center"/>
    </xf>
    <xf numFmtId="0" fontId="84" fillId="0" borderId="35" xfId="0" applyFont="1" applyFill="1" applyBorder="1" applyAlignment="1">
      <alignment horizontal="center" vertical="center"/>
    </xf>
    <xf numFmtId="0" fontId="84" fillId="0" borderId="0" xfId="0" applyFont="1" applyFill="1" applyAlignment="1">
      <alignment horizontal="center" vertical="center"/>
    </xf>
    <xf numFmtId="0" fontId="10" fillId="0" borderId="0" xfId="0" applyFont="1" applyFill="1" applyAlignment="1"/>
    <xf numFmtId="0" fontId="113" fillId="0" borderId="14" xfId="0" applyFont="1" applyFill="1" applyBorder="1" applyAlignment="1">
      <alignment horizontal="right" vertical="center" indent="1"/>
    </xf>
    <xf numFmtId="3" fontId="37" fillId="0" borderId="1" xfId="0" applyNumberFormat="1" applyFont="1" applyFill="1" applyBorder="1" applyAlignment="1">
      <alignment horizontal="right" vertical="center" indent="1"/>
    </xf>
    <xf numFmtId="3" fontId="37" fillId="0" borderId="165" xfId="0" applyNumberFormat="1" applyFont="1" applyFill="1" applyBorder="1" applyAlignment="1">
      <alignment horizontal="right" vertical="center" indent="1"/>
    </xf>
    <xf numFmtId="3" fontId="37" fillId="0" borderId="35" xfId="0" applyNumberFormat="1" applyFont="1" applyFill="1" applyBorder="1" applyAlignment="1">
      <alignment horizontal="right" vertical="center" indent="1"/>
    </xf>
    <xf numFmtId="0" fontId="113" fillId="0" borderId="35" xfId="0" applyFont="1" applyFill="1" applyBorder="1" applyAlignment="1">
      <alignment horizontal="center" vertical="center"/>
    </xf>
    <xf numFmtId="166" fontId="7" fillId="79" borderId="0" xfId="0" applyNumberFormat="1" applyFont="1" applyFill="1" applyAlignment="1">
      <alignment horizontal="right" vertical="center" indent="1"/>
    </xf>
    <xf numFmtId="0" fontId="7" fillId="78" borderId="0" xfId="0" applyFont="1" applyFill="1" applyAlignment="1">
      <alignment horizontal="center" vertical="center"/>
    </xf>
    <xf numFmtId="0" fontId="7" fillId="79" borderId="0" xfId="0" applyFont="1" applyFill="1" applyAlignment="1">
      <alignment horizontal="center" vertical="center"/>
    </xf>
    <xf numFmtId="0" fontId="66" fillId="98" borderId="124" xfId="0" applyFont="1" applyFill="1" applyBorder="1" applyAlignment="1">
      <alignment horizontal="right" vertical="center" wrapText="1" indent="1"/>
    </xf>
    <xf numFmtId="3" fontId="55" fillId="98" borderId="35" xfId="0" applyNumberFormat="1" applyFont="1" applyFill="1" applyBorder="1" applyAlignment="1">
      <alignment horizontal="center" vertical="center"/>
    </xf>
    <xf numFmtId="3" fontId="56" fillId="98" borderId="0" xfId="0" applyNumberFormat="1" applyFont="1" applyFill="1" applyAlignment="1">
      <alignment horizontal="center" vertical="center"/>
    </xf>
    <xf numFmtId="3" fontId="57" fillId="98" borderId="0" xfId="0" applyNumberFormat="1" applyFont="1" applyFill="1" applyAlignment="1">
      <alignment horizontal="center" vertical="center"/>
    </xf>
    <xf numFmtId="3" fontId="75" fillId="98" borderId="0" xfId="0" applyNumberFormat="1" applyFont="1" applyFill="1" applyAlignment="1">
      <alignment horizontal="center" vertical="center"/>
    </xf>
    <xf numFmtId="0" fontId="56" fillId="98" borderId="0" xfId="0" applyFont="1" applyFill="1" applyAlignment="1">
      <alignment horizontal="center" vertical="center"/>
    </xf>
    <xf numFmtId="0" fontId="66" fillId="98" borderId="123" xfId="0" applyFont="1" applyFill="1" applyBorder="1" applyAlignment="1">
      <alignment horizontal="right" vertical="center" wrapText="1" indent="1"/>
    </xf>
    <xf numFmtId="166" fontId="55" fillId="98" borderId="35" xfId="0" applyNumberFormat="1" applyFont="1" applyFill="1" applyBorder="1" applyAlignment="1">
      <alignment horizontal="right" vertical="center" indent="1"/>
    </xf>
    <xf numFmtId="166" fontId="57" fillId="98" borderId="0" xfId="0" applyNumberFormat="1" applyFont="1" applyFill="1" applyAlignment="1">
      <alignment horizontal="right" vertical="center" indent="1"/>
    </xf>
    <xf numFmtId="166" fontId="75" fillId="98" borderId="0" xfId="0" applyNumberFormat="1" applyFont="1" applyFill="1" applyAlignment="1">
      <alignment horizontal="right" vertical="center" indent="1"/>
    </xf>
    <xf numFmtId="166" fontId="56" fillId="98" borderId="0" xfId="0" applyNumberFormat="1" applyFont="1" applyFill="1" applyAlignment="1">
      <alignment horizontal="right" vertical="center" indent="1"/>
    </xf>
    <xf numFmtId="3" fontId="66" fillId="98" borderId="124" xfId="0" applyNumberFormat="1" applyFont="1" applyFill="1" applyBorder="1" applyAlignment="1">
      <alignment horizontal="right" vertical="center" wrapText="1" indent="1"/>
    </xf>
    <xf numFmtId="166" fontId="55" fillId="98" borderId="35" xfId="0" applyNumberFormat="1" applyFont="1" applyFill="1" applyBorder="1" applyAlignment="1">
      <alignment horizontal="center" vertical="center"/>
    </xf>
    <xf numFmtId="166" fontId="56" fillId="98" borderId="0" xfId="0" applyNumberFormat="1" applyFont="1" applyFill="1" applyAlignment="1">
      <alignment horizontal="center" vertical="center"/>
    </xf>
    <xf numFmtId="166" fontId="57" fillId="98" borderId="0" xfId="0" applyNumberFormat="1" applyFont="1" applyFill="1" applyAlignment="1">
      <alignment horizontal="center" vertical="center"/>
    </xf>
    <xf numFmtId="166" fontId="75" fillId="98" borderId="0" xfId="0" applyNumberFormat="1" applyFont="1" applyFill="1" applyAlignment="1">
      <alignment horizontal="center" vertical="center"/>
    </xf>
    <xf numFmtId="0" fontId="7" fillId="79" borderId="48" xfId="0" applyFont="1" applyFill="1" applyBorder="1" applyAlignment="1">
      <alignment horizontal="center" vertical="center"/>
    </xf>
    <xf numFmtId="166" fontId="7" fillId="78" borderId="0" xfId="0" applyNumberFormat="1" applyFont="1" applyFill="1" applyAlignment="1">
      <alignment horizontal="right" vertical="center" indent="1"/>
    </xf>
    <xf numFmtId="166" fontId="7" fillId="63" borderId="131" xfId="0" applyNumberFormat="1" applyFont="1" applyFill="1" applyBorder="1" applyAlignment="1">
      <alignment horizontal="right" vertical="center" indent="1"/>
    </xf>
    <xf numFmtId="166" fontId="8" fillId="78" borderId="0" xfId="0" applyNumberFormat="1" applyFont="1" applyFill="1" applyAlignment="1">
      <alignment horizontal="right" vertical="center" indent="1"/>
    </xf>
    <xf numFmtId="166" fontId="8" fillId="79" borderId="0" xfId="0" applyNumberFormat="1" applyFont="1" applyFill="1" applyAlignment="1">
      <alignment horizontal="right" vertical="center" indent="1"/>
    </xf>
    <xf numFmtId="166" fontId="8" fillId="82" borderId="0" xfId="0" applyNumberFormat="1" applyFont="1" applyFill="1" applyAlignment="1">
      <alignment horizontal="right" vertical="center" indent="1"/>
    </xf>
    <xf numFmtId="166" fontId="8" fillId="82" borderId="61" xfId="0" applyNumberFormat="1" applyFont="1" applyFill="1" applyBorder="1" applyAlignment="1">
      <alignment horizontal="right" vertical="center" indent="1"/>
    </xf>
    <xf numFmtId="166" fontId="7" fillId="79" borderId="61" xfId="0" applyNumberFormat="1" applyFont="1" applyFill="1" applyBorder="1" applyAlignment="1">
      <alignment horizontal="right" vertical="center" indent="1"/>
    </xf>
    <xf numFmtId="166" fontId="8" fillId="79" borderId="61" xfId="0" applyNumberFormat="1" applyFont="1" applyFill="1" applyBorder="1" applyAlignment="1">
      <alignment horizontal="right" vertical="center" indent="1"/>
    </xf>
    <xf numFmtId="0" fontId="8" fillId="82" borderId="0" xfId="0" applyFont="1" applyFill="1" applyAlignment="1">
      <alignment horizontal="center" vertical="center"/>
    </xf>
    <xf numFmtId="166" fontId="8" fillId="78" borderId="144" xfId="0" applyNumberFormat="1" applyFont="1" applyFill="1" applyBorder="1" applyAlignment="1">
      <alignment horizontal="right" vertical="center" indent="1"/>
    </xf>
    <xf numFmtId="166" fontId="8" fillId="79" borderId="144" xfId="0" applyNumberFormat="1" applyFont="1" applyFill="1" applyBorder="1" applyAlignment="1">
      <alignment horizontal="right" vertical="center" indent="1"/>
    </xf>
    <xf numFmtId="166" fontId="8" fillId="79" borderId="166" xfId="0" applyNumberFormat="1" applyFont="1" applyFill="1" applyBorder="1" applyAlignment="1">
      <alignment horizontal="right" vertical="center" indent="1"/>
    </xf>
    <xf numFmtId="0" fontId="8" fillId="82" borderId="61" xfId="0" applyFont="1" applyFill="1" applyBorder="1" applyAlignment="1">
      <alignment horizontal="center" vertical="center"/>
    </xf>
    <xf numFmtId="0" fontId="7" fillId="78" borderId="61" xfId="0" applyFont="1" applyFill="1" applyBorder="1" applyAlignment="1">
      <alignment horizontal="center" vertical="center"/>
    </xf>
    <xf numFmtId="0" fontId="7" fillId="79" borderId="61" xfId="0" applyFont="1" applyFill="1" applyBorder="1" applyAlignment="1">
      <alignment horizontal="center" vertical="center"/>
    </xf>
    <xf numFmtId="0" fontId="7" fillId="79" borderId="134" xfId="0" applyFont="1" applyFill="1" applyBorder="1" applyAlignment="1">
      <alignment horizontal="center" vertical="center"/>
    </xf>
    <xf numFmtId="166" fontId="7" fillId="78" borderId="167" xfId="0" applyNumberFormat="1" applyFont="1" applyFill="1" applyBorder="1" applyAlignment="1">
      <alignment horizontal="right" vertical="center" indent="1"/>
    </xf>
    <xf numFmtId="166" fontId="7" fillId="78" borderId="61" xfId="0" applyNumberFormat="1" applyFont="1" applyFill="1" applyBorder="1" applyAlignment="1">
      <alignment horizontal="right" vertical="center" indent="1"/>
    </xf>
    <xf numFmtId="166" fontId="7" fillId="78" borderId="168" xfId="0" applyNumberFormat="1" applyFont="1" applyFill="1" applyBorder="1" applyAlignment="1">
      <alignment horizontal="right" vertical="center" indent="1"/>
    </xf>
    <xf numFmtId="166" fontId="8" fillId="82" borderId="144" xfId="0" applyNumberFormat="1" applyFont="1" applyFill="1" applyBorder="1" applyAlignment="1">
      <alignment horizontal="right" vertical="center" indent="1"/>
    </xf>
    <xf numFmtId="0" fontId="7" fillId="79" borderId="169" xfId="0" applyFont="1" applyFill="1" applyBorder="1" applyAlignment="1">
      <alignment horizontal="center" vertical="center"/>
    </xf>
    <xf numFmtId="166" fontId="7" fillId="100" borderId="0" xfId="0" applyNumberFormat="1" applyFont="1" applyFill="1" applyAlignment="1">
      <alignment horizontal="right" vertical="center" indent="1"/>
    </xf>
    <xf numFmtId="3" fontId="56" fillId="100" borderId="0" xfId="0" applyNumberFormat="1" applyFont="1" applyFill="1" applyAlignment="1">
      <alignment horizontal="center" vertical="center"/>
    </xf>
    <xf numFmtId="166" fontId="7" fillId="101" borderId="0" xfId="0" applyNumberFormat="1" applyFont="1" applyFill="1" applyAlignment="1">
      <alignment horizontal="right" vertical="center" indent="1"/>
    </xf>
    <xf numFmtId="3" fontId="7" fillId="100" borderId="0" xfId="0" applyNumberFormat="1" applyFont="1" applyFill="1" applyAlignment="1">
      <alignment horizontal="center" vertical="center"/>
    </xf>
    <xf numFmtId="3" fontId="7" fillId="100" borderId="48" xfId="0" applyNumberFormat="1" applyFont="1" applyFill="1" applyBorder="1" applyAlignment="1">
      <alignment horizontal="center" vertical="center"/>
    </xf>
    <xf numFmtId="166" fontId="7" fillId="100" borderId="131" xfId="0" applyNumberFormat="1" applyFont="1" applyFill="1" applyBorder="1" applyAlignment="1">
      <alignment horizontal="right" vertical="center" indent="1"/>
    </xf>
    <xf numFmtId="9" fontId="7" fillId="100" borderId="0" xfId="0" applyNumberFormat="1" applyFont="1" applyFill="1" applyAlignment="1">
      <alignment horizontal="center" vertical="center"/>
    </xf>
    <xf numFmtId="9" fontId="7" fillId="100" borderId="64" xfId="0" applyNumberFormat="1" applyFont="1" applyFill="1" applyBorder="1" applyAlignment="1">
      <alignment horizontal="center" vertical="center"/>
    </xf>
    <xf numFmtId="166" fontId="56" fillId="0" borderId="0" xfId="0" applyNumberFormat="1" applyFont="1" applyFill="1" applyAlignment="1">
      <alignment horizontal="right" vertical="center" indent="1"/>
    </xf>
    <xf numFmtId="9" fontId="107" fillId="0" borderId="0" xfId="0" applyNumberFormat="1" applyFont="1" applyAlignment="1">
      <alignment horizontal="center" vertical="center"/>
    </xf>
    <xf numFmtId="9" fontId="8" fillId="0" borderId="0" xfId="1" applyNumberFormat="1" applyFont="1" applyAlignment="1">
      <alignment horizontal="center" vertical="center" wrapText="1"/>
    </xf>
    <xf numFmtId="9" fontId="8" fillId="0" borderId="35" xfId="2" applyNumberFormat="1" applyFont="1" applyBorder="1" applyAlignment="1">
      <alignment horizontal="center" vertical="center" wrapText="1"/>
    </xf>
    <xf numFmtId="9" fontId="56" fillId="26" borderId="35" xfId="0" applyNumberFormat="1" applyFont="1" applyFill="1" applyBorder="1" applyAlignment="1">
      <alignment horizontal="center" vertical="center"/>
    </xf>
    <xf numFmtId="1" fontId="56" fillId="102" borderId="147" xfId="0" applyNumberFormat="1" applyFont="1" applyFill="1" applyBorder="1" applyAlignment="1">
      <alignment horizontal="center" vertical="center"/>
    </xf>
    <xf numFmtId="0" fontId="56" fillId="102" borderId="35" xfId="0" applyFont="1" applyFill="1" applyBorder="1" applyAlignment="1">
      <alignment horizontal="center" vertical="center"/>
    </xf>
    <xf numFmtId="9" fontId="56" fillId="102" borderId="35" xfId="0" applyNumberFormat="1" applyFont="1" applyFill="1" applyBorder="1" applyAlignment="1">
      <alignment horizontal="center" vertical="center"/>
    </xf>
    <xf numFmtId="166" fontId="56" fillId="102" borderId="146" xfId="0" applyNumberFormat="1" applyFont="1" applyFill="1" applyBorder="1" applyAlignment="1">
      <alignment horizontal="right" vertical="center" indent="1"/>
    </xf>
    <xf numFmtId="9" fontId="107" fillId="0" borderId="35" xfId="0" applyNumberFormat="1" applyFont="1" applyBorder="1" applyAlignment="1">
      <alignment horizontal="center" vertical="center"/>
    </xf>
    <xf numFmtId="166" fontId="8" fillId="99" borderId="61" xfId="0" applyNumberFormat="1" applyFont="1" applyFill="1" applyBorder="1" applyAlignment="1">
      <alignment horizontal="right" vertical="center" indent="1"/>
    </xf>
    <xf numFmtId="164" fontId="37" fillId="39" borderId="135" xfId="0" applyNumberFormat="1" applyFont="1" applyFill="1" applyBorder="1" applyAlignment="1">
      <alignment horizontal="center" vertical="center"/>
    </xf>
    <xf numFmtId="166" fontId="7" fillId="63" borderId="132" xfId="0" applyNumberFormat="1" applyFont="1" applyFill="1" applyBorder="1" applyAlignment="1">
      <alignment horizontal="right" vertical="center" indent="1"/>
    </xf>
    <xf numFmtId="0" fontId="66" fillId="96" borderId="123" xfId="0" applyFont="1" applyFill="1" applyBorder="1" applyAlignment="1">
      <alignment horizontal="right" vertical="center" wrapText="1" indent="1"/>
    </xf>
    <xf numFmtId="166" fontId="55" fillId="96" borderId="35" xfId="0" applyNumberFormat="1" applyFont="1" applyFill="1" applyBorder="1" applyAlignment="1">
      <alignment horizontal="right" vertical="center" indent="1"/>
    </xf>
    <xf numFmtId="166" fontId="52" fillId="96" borderId="0" xfId="0" applyNumberFormat="1" applyFont="1" applyFill="1" applyAlignment="1">
      <alignment horizontal="right" vertical="center" indent="1"/>
    </xf>
    <xf numFmtId="166" fontId="57" fillId="96" borderId="0" xfId="0" applyNumberFormat="1" applyFont="1" applyFill="1" applyAlignment="1">
      <alignment horizontal="right" vertical="center" indent="1"/>
    </xf>
    <xf numFmtId="166" fontId="75" fillId="96" borderId="0" xfId="0" applyNumberFormat="1" applyFont="1" applyFill="1" applyAlignment="1">
      <alignment horizontal="right" vertical="center" indent="1"/>
    </xf>
    <xf numFmtId="166" fontId="56" fillId="96" borderId="0" xfId="0" applyNumberFormat="1" applyFont="1" applyFill="1" applyAlignment="1">
      <alignment horizontal="right" vertical="center" indent="1"/>
    </xf>
    <xf numFmtId="9" fontId="8" fillId="0" borderId="0" xfId="1" applyNumberFormat="1" applyFont="1" applyAlignment="1">
      <alignment horizontal="center" vertical="center"/>
    </xf>
    <xf numFmtId="9" fontId="7" fillId="0" borderId="0" xfId="1" applyNumberFormat="1" applyFont="1" applyAlignment="1">
      <alignment horizontal="center" vertical="center"/>
    </xf>
    <xf numFmtId="1" fontId="8" fillId="78" borderId="147" xfId="0" applyNumberFormat="1" applyFont="1" applyFill="1" applyBorder="1" applyAlignment="1">
      <alignment horizontal="center" vertical="center"/>
    </xf>
    <xf numFmtId="1" fontId="8" fillId="78" borderId="35" xfId="0" applyNumberFormat="1" applyFont="1" applyFill="1" applyBorder="1" applyAlignment="1">
      <alignment horizontal="center" vertical="center"/>
    </xf>
    <xf numFmtId="166" fontId="8" fillId="78" borderId="146" xfId="0" applyNumberFormat="1" applyFont="1" applyFill="1" applyBorder="1" applyAlignment="1">
      <alignment horizontal="right" vertical="center" indent="1"/>
    </xf>
    <xf numFmtId="166" fontId="7" fillId="78" borderId="163" xfId="0" applyNumberFormat="1" applyFont="1" applyFill="1" applyBorder="1" applyAlignment="1">
      <alignment horizontal="right" vertical="center" indent="1"/>
    </xf>
    <xf numFmtId="168" fontId="53" fillId="0" borderId="35" xfId="0" applyNumberFormat="1" applyFont="1" applyBorder="1"/>
    <xf numFmtId="0" fontId="56" fillId="43" borderId="35" xfId="0" applyFont="1" applyFill="1" applyBorder="1" applyAlignment="1">
      <alignment horizontal="center" vertical="center"/>
    </xf>
    <xf numFmtId="0" fontId="57" fillId="43" borderId="35" xfId="0" applyFont="1" applyFill="1" applyBorder="1" applyAlignment="1">
      <alignment horizontal="center" vertical="center"/>
    </xf>
    <xf numFmtId="0" fontId="58" fillId="43" borderId="35" xfId="0" applyFont="1" applyFill="1" applyBorder="1" applyAlignment="1">
      <alignment horizontal="center" vertical="center"/>
    </xf>
    <xf numFmtId="0" fontId="37" fillId="42" borderId="90" xfId="0" applyFont="1" applyFill="1" applyBorder="1" applyAlignment="1">
      <alignment horizontal="left" vertical="center" indent="1"/>
    </xf>
    <xf numFmtId="1" fontId="55" fillId="0" borderId="92" xfId="0" applyNumberFormat="1" applyFont="1" applyBorder="1" applyAlignment="1">
      <alignment horizontal="center" vertical="center"/>
    </xf>
    <xf numFmtId="0" fontId="56" fillId="0" borderId="92" xfId="0" applyFont="1" applyBorder="1" applyAlignment="1">
      <alignment horizontal="center" vertical="center"/>
    </xf>
    <xf numFmtId="1" fontId="57" fillId="0" borderId="92" xfId="0" applyNumberFormat="1" applyFont="1" applyBorder="1" applyAlignment="1">
      <alignment horizontal="center" vertical="center"/>
    </xf>
    <xf numFmtId="10" fontId="58" fillId="0" borderId="92" xfId="0" applyNumberFormat="1" applyFont="1" applyBorder="1" applyAlignment="1">
      <alignment horizontal="center" vertical="center"/>
    </xf>
    <xf numFmtId="0" fontId="56" fillId="103" borderId="92" xfId="0" applyFont="1" applyFill="1" applyBorder="1" applyAlignment="1">
      <alignment horizontal="center" vertical="center"/>
    </xf>
    <xf numFmtId="0" fontId="7" fillId="78" borderId="92" xfId="0" applyFont="1" applyFill="1" applyBorder="1" applyAlignment="1">
      <alignment horizontal="center" vertical="center"/>
    </xf>
    <xf numFmtId="0" fontId="7" fillId="78" borderId="65" xfId="0" applyFont="1" applyFill="1" applyBorder="1" applyAlignment="1">
      <alignment horizontal="center" vertical="center"/>
    </xf>
    <xf numFmtId="0" fontId="37" fillId="42" borderId="103" xfId="0" applyFont="1" applyFill="1" applyBorder="1" applyAlignment="1">
      <alignment horizontal="left" vertical="center" indent="1"/>
    </xf>
    <xf numFmtId="1" fontId="55" fillId="0" borderId="35" xfId="0" applyNumberFormat="1" applyFont="1" applyBorder="1" applyAlignment="1">
      <alignment horizontal="center" vertical="center"/>
    </xf>
    <xf numFmtId="0" fontId="56" fillId="0" borderId="35" xfId="0" applyFont="1" applyBorder="1" applyAlignment="1">
      <alignment horizontal="center" vertical="center"/>
    </xf>
    <xf numFmtId="1" fontId="57" fillId="0" borderId="35" xfId="0" applyNumberFormat="1" applyFont="1" applyBorder="1" applyAlignment="1">
      <alignment horizontal="center" vertical="center"/>
    </xf>
    <xf numFmtId="10" fontId="58" fillId="0" borderId="35" xfId="0" applyNumberFormat="1" applyFont="1" applyBorder="1" applyAlignment="1">
      <alignment horizontal="center" vertical="center"/>
    </xf>
    <xf numFmtId="169" fontId="75" fillId="103" borderId="35" xfId="0" applyNumberFormat="1" applyFont="1" applyFill="1" applyBorder="1" applyAlignment="1">
      <alignment horizontal="center" vertical="center"/>
    </xf>
    <xf numFmtId="0" fontId="56" fillId="103" borderId="35" xfId="0" applyFont="1" applyFill="1" applyBorder="1" applyAlignment="1">
      <alignment horizontal="center" vertical="center"/>
    </xf>
    <xf numFmtId="0" fontId="7" fillId="78" borderId="35" xfId="0" applyFont="1" applyFill="1" applyBorder="1" applyAlignment="1">
      <alignment horizontal="center" vertical="center"/>
    </xf>
    <xf numFmtId="1" fontId="75" fillId="103" borderId="35" xfId="0" applyNumberFormat="1" applyFont="1" applyFill="1" applyBorder="1" applyAlignment="1">
      <alignment horizontal="center" vertical="center"/>
    </xf>
    <xf numFmtId="0" fontId="37" fillId="42" borderId="94" xfId="0" applyFont="1" applyFill="1" applyBorder="1" applyAlignment="1">
      <alignment horizontal="left" vertical="center" indent="1"/>
    </xf>
    <xf numFmtId="1" fontId="55" fillId="0" borderId="64" xfId="0" applyNumberFormat="1" applyFont="1" applyBorder="1" applyAlignment="1">
      <alignment horizontal="center" vertical="center"/>
    </xf>
    <xf numFmtId="0" fontId="56" fillId="0" borderId="64" xfId="0" applyFont="1" applyBorder="1" applyAlignment="1">
      <alignment horizontal="center" vertical="center"/>
    </xf>
    <xf numFmtId="1" fontId="57" fillId="0" borderId="64" xfId="0" applyNumberFormat="1" applyFont="1" applyBorder="1" applyAlignment="1">
      <alignment horizontal="center" vertical="center"/>
    </xf>
    <xf numFmtId="10" fontId="58" fillId="0" borderId="64" xfId="0" applyNumberFormat="1" applyFont="1" applyBorder="1" applyAlignment="1">
      <alignment horizontal="center" vertical="center"/>
    </xf>
    <xf numFmtId="1" fontId="75" fillId="103" borderId="64" xfId="0" applyNumberFormat="1" applyFont="1" applyFill="1" applyBorder="1" applyAlignment="1">
      <alignment horizontal="center" vertical="center"/>
    </xf>
    <xf numFmtId="0" fontId="56" fillId="103" borderId="64" xfId="0" applyFont="1" applyFill="1" applyBorder="1" applyAlignment="1">
      <alignment horizontal="center" vertical="center"/>
    </xf>
    <xf numFmtId="0" fontId="7" fillId="78" borderId="64" xfId="0" applyFont="1" applyFill="1" applyBorder="1" applyAlignment="1">
      <alignment horizontal="center" vertical="center"/>
    </xf>
    <xf numFmtId="0" fontId="7" fillId="78" borderId="80" xfId="0" applyFont="1" applyFill="1" applyBorder="1" applyAlignment="1">
      <alignment horizontal="center" vertical="center"/>
    </xf>
    <xf numFmtId="164" fontId="53" fillId="39" borderId="103" xfId="0" applyNumberFormat="1" applyFont="1" applyFill="1" applyBorder="1"/>
    <xf numFmtId="0" fontId="55" fillId="43" borderId="94" xfId="0" applyFont="1" applyFill="1" applyBorder="1" applyAlignment="1">
      <alignment horizontal="center" vertical="center" wrapText="1"/>
    </xf>
    <xf numFmtId="1" fontId="75" fillId="103" borderId="92" xfId="0" applyNumberFormat="1" applyFont="1" applyFill="1" applyBorder="1" applyAlignment="1">
      <alignment horizontal="center" vertical="center"/>
    </xf>
    <xf numFmtId="0" fontId="55" fillId="43" borderId="103" xfId="0" applyFont="1" applyFill="1" applyBorder="1" applyAlignment="1">
      <alignment horizontal="center" vertical="center" wrapText="1"/>
    </xf>
    <xf numFmtId="1" fontId="55" fillId="0" borderId="103" xfId="0" applyNumberFormat="1" applyFont="1" applyBorder="1" applyAlignment="1">
      <alignment horizontal="center" vertical="center"/>
    </xf>
    <xf numFmtId="1" fontId="55" fillId="0" borderId="94" xfId="0" applyNumberFormat="1" applyFont="1" applyBorder="1" applyAlignment="1">
      <alignment horizontal="center" vertical="center"/>
    </xf>
    <xf numFmtId="164" fontId="53" fillId="39" borderId="90" xfId="0" applyNumberFormat="1" applyFont="1" applyFill="1" applyBorder="1"/>
    <xf numFmtId="164" fontId="53" fillId="39" borderId="92" xfId="0" applyNumberFormat="1" applyFont="1" applyFill="1" applyBorder="1"/>
    <xf numFmtId="0" fontId="37" fillId="42" borderId="92" xfId="0" applyFont="1" applyFill="1" applyBorder="1" applyAlignment="1">
      <alignment horizontal="center" vertical="center"/>
    </xf>
    <xf numFmtId="164" fontId="37" fillId="39" borderId="92" xfId="0" applyNumberFormat="1" applyFont="1" applyFill="1" applyBorder="1" applyAlignment="1">
      <alignment horizontal="center" vertical="center"/>
    </xf>
    <xf numFmtId="164" fontId="37" fillId="48" borderId="92" xfId="0" applyNumberFormat="1" applyFont="1" applyFill="1" applyBorder="1" applyAlignment="1" applyProtection="1">
      <alignment horizontal="center" vertical="center"/>
      <protection locked="0"/>
    </xf>
    <xf numFmtId="164" fontId="37" fillId="39" borderId="65" xfId="0" applyNumberFormat="1" applyFont="1" applyFill="1" applyBorder="1" applyAlignment="1">
      <alignment horizontal="center" vertical="center"/>
    </xf>
    <xf numFmtId="0" fontId="7" fillId="78" borderId="172" xfId="0" applyFont="1" applyFill="1" applyBorder="1" applyAlignment="1">
      <alignment horizontal="center" vertical="center"/>
    </xf>
    <xf numFmtId="0" fontId="7" fillId="78" borderId="171" xfId="0" applyFont="1" applyFill="1" applyBorder="1" applyAlignment="1">
      <alignment horizontal="center" vertical="center"/>
    </xf>
    <xf numFmtId="164" fontId="37" fillId="10" borderId="92" xfId="0" applyNumberFormat="1" applyFont="1" applyFill="1" applyBorder="1" applyAlignment="1">
      <alignment horizontal="center" vertical="center"/>
    </xf>
    <xf numFmtId="169" fontId="75" fillId="103" borderId="64" xfId="0" applyNumberFormat="1" applyFont="1" applyFill="1" applyBorder="1" applyAlignment="1">
      <alignment horizontal="center" vertical="center"/>
    </xf>
    <xf numFmtId="0" fontId="37" fillId="42" borderId="91" xfId="0" applyFont="1" applyFill="1" applyBorder="1" applyAlignment="1">
      <alignment horizontal="center" vertical="center"/>
    </xf>
    <xf numFmtId="0" fontId="37" fillId="42" borderId="100" xfId="0" applyFont="1" applyFill="1" applyBorder="1" applyAlignment="1">
      <alignment horizontal="center" vertical="center"/>
    </xf>
    <xf numFmtId="0" fontId="37" fillId="42" borderId="75" xfId="0" applyFont="1" applyFill="1" applyBorder="1" applyAlignment="1">
      <alignment horizontal="center" vertical="center"/>
    </xf>
    <xf numFmtId="0" fontId="52" fillId="103" borderId="35" xfId="0" applyFont="1" applyFill="1" applyBorder="1" applyAlignment="1">
      <alignment horizontal="center" vertical="center"/>
    </xf>
    <xf numFmtId="164" fontId="37" fillId="40" borderId="92" xfId="0" applyNumberFormat="1" applyFont="1" applyFill="1" applyBorder="1" applyAlignment="1">
      <alignment horizontal="center" vertical="center"/>
    </xf>
    <xf numFmtId="0" fontId="52" fillId="103" borderId="64" xfId="0" applyFont="1" applyFill="1" applyBorder="1" applyAlignment="1">
      <alignment horizontal="center" vertical="center"/>
    </xf>
    <xf numFmtId="0" fontId="8" fillId="78" borderId="0" xfId="0" applyFont="1" applyFill="1" applyAlignment="1">
      <alignment horizontal="center" vertical="center" wrapText="1"/>
    </xf>
    <xf numFmtId="0" fontId="8" fillId="0" borderId="0" xfId="0" applyFont="1" applyFill="1" applyAlignment="1">
      <alignment horizontal="center" vertical="center" wrapText="1"/>
    </xf>
    <xf numFmtId="164" fontId="37" fillId="92" borderId="173" xfId="0" applyNumberFormat="1" applyFont="1" applyFill="1" applyBorder="1" applyAlignment="1">
      <alignment horizontal="center" vertical="center"/>
    </xf>
    <xf numFmtId="3" fontId="37" fillId="27" borderId="163" xfId="0" applyNumberFormat="1" applyFont="1" applyFill="1" applyBorder="1" applyAlignment="1">
      <alignment horizontal="center" vertical="center"/>
    </xf>
    <xf numFmtId="9" fontId="60" fillId="15" borderId="0" xfId="0" applyNumberFormat="1" applyFont="1" applyFill="1" applyAlignment="1">
      <alignment horizontal="center" vertical="center"/>
    </xf>
    <xf numFmtId="9" fontId="10" fillId="24" borderId="0" xfId="0" applyNumberFormat="1" applyFont="1" applyFill="1" applyAlignment="1">
      <alignment horizontal="center" vertical="center"/>
    </xf>
    <xf numFmtId="9" fontId="10" fillId="24" borderId="144" xfId="0" applyNumberFormat="1" applyFont="1" applyFill="1" applyBorder="1" applyAlignment="1">
      <alignment horizontal="center" vertical="center"/>
    </xf>
    <xf numFmtId="0" fontId="10" fillId="97" borderId="144" xfId="0" applyFont="1" applyFill="1" applyBorder="1" applyAlignment="1">
      <alignment horizontal="center" vertical="center"/>
    </xf>
    <xf numFmtId="3" fontId="37" fillId="21" borderId="174" xfId="0" applyNumberFormat="1" applyFont="1" applyFill="1" applyBorder="1" applyAlignment="1">
      <alignment horizontal="right" vertical="center" indent="1"/>
    </xf>
    <xf numFmtId="3" fontId="37" fillId="21" borderId="175" xfId="0" applyNumberFormat="1" applyFont="1" applyFill="1" applyBorder="1" applyAlignment="1">
      <alignment horizontal="right" vertical="center" indent="1"/>
    </xf>
    <xf numFmtId="3" fontId="37" fillId="27" borderId="176" xfId="0" applyNumberFormat="1" applyFont="1" applyFill="1" applyBorder="1" applyAlignment="1">
      <alignment horizontal="center" vertical="center"/>
    </xf>
    <xf numFmtId="9" fontId="43" fillId="78" borderId="0" xfId="0" applyNumberFormat="1" applyFont="1" applyFill="1" applyAlignment="1">
      <alignment horizontal="center" vertical="center"/>
    </xf>
    <xf numFmtId="3" fontId="48" fillId="0" borderId="0" xfId="0" applyNumberFormat="1" applyFont="1" applyAlignment="1">
      <alignment vertical="center"/>
    </xf>
    <xf numFmtId="3" fontId="48" fillId="0" borderId="25" xfId="0" applyNumberFormat="1" applyFont="1" applyBorder="1" applyAlignment="1">
      <alignment vertical="center"/>
    </xf>
    <xf numFmtId="9" fontId="52" fillId="104" borderId="0" xfId="0" applyNumberFormat="1" applyFont="1" applyFill="1" applyAlignment="1">
      <alignment horizontal="center" vertical="center"/>
    </xf>
    <xf numFmtId="1" fontId="52" fillId="104" borderId="0" xfId="0" applyNumberFormat="1" applyFont="1" applyFill="1" applyAlignment="1">
      <alignment horizontal="center" vertical="center"/>
    </xf>
    <xf numFmtId="3" fontId="52" fillId="104" borderId="21" xfId="0" applyNumberFormat="1" applyFont="1" applyFill="1" applyBorder="1" applyAlignment="1">
      <alignment horizontal="left" vertical="center" indent="1"/>
    </xf>
    <xf numFmtId="9" fontId="43" fillId="104" borderId="0" xfId="0" applyNumberFormat="1" applyFont="1" applyFill="1" applyAlignment="1">
      <alignment horizontal="center" vertical="center"/>
    </xf>
    <xf numFmtId="1" fontId="43" fillId="104" borderId="0" xfId="0" applyNumberFormat="1" applyFont="1" applyFill="1" applyAlignment="1">
      <alignment horizontal="center" vertical="center"/>
    </xf>
    <xf numFmtId="0" fontId="48" fillId="0" borderId="21" xfId="0" applyFont="1" applyBorder="1" applyAlignment="1">
      <alignment vertical="center"/>
    </xf>
    <xf numFmtId="3" fontId="48" fillId="0" borderId="26" xfId="0" applyNumberFormat="1" applyFont="1" applyBorder="1" applyAlignment="1">
      <alignment vertical="center"/>
    </xf>
    <xf numFmtId="1" fontId="20" fillId="0" borderId="22" xfId="0" applyNumberFormat="1" applyFont="1" applyFill="1" applyBorder="1" applyAlignment="1">
      <alignment horizontal="center" vertical="center"/>
    </xf>
    <xf numFmtId="1" fontId="20" fillId="0" borderId="0" xfId="0" applyNumberFormat="1" applyFont="1" applyFill="1" applyAlignment="1">
      <alignment horizontal="center" vertical="center"/>
    </xf>
    <xf numFmtId="3" fontId="20" fillId="0" borderId="0" xfId="0" applyNumberFormat="1" applyFont="1" applyFill="1" applyAlignment="1">
      <alignment horizontal="center" vertical="center"/>
    </xf>
    <xf numFmtId="0" fontId="20" fillId="0" borderId="0" xfId="0" applyFont="1" applyFill="1" applyAlignment="1">
      <alignment horizontal="center" vertical="center"/>
    </xf>
    <xf numFmtId="1" fontId="20" fillId="0" borderId="35" xfId="0" applyNumberFormat="1" applyFont="1" applyFill="1" applyBorder="1" applyAlignment="1">
      <alignment horizontal="center" vertical="center"/>
    </xf>
    <xf numFmtId="0" fontId="20" fillId="0" borderId="35" xfId="0" applyFont="1" applyFill="1" applyBorder="1" applyAlignment="1">
      <alignment horizontal="center" vertical="center"/>
    </xf>
    <xf numFmtId="3" fontId="52" fillId="0" borderId="21" xfId="0" applyNumberFormat="1" applyFont="1" applyFill="1" applyBorder="1" applyAlignment="1">
      <alignment horizontal="left" vertical="center" indent="1"/>
    </xf>
    <xf numFmtId="166" fontId="43" fillId="104" borderId="0" xfId="0" applyNumberFormat="1" applyFont="1" applyFill="1" applyAlignment="1">
      <alignment horizontal="right" vertical="center" indent="1"/>
    </xf>
    <xf numFmtId="3" fontId="43" fillId="105" borderId="21" xfId="0" applyNumberFormat="1" applyFont="1" applyFill="1" applyBorder="1" applyAlignment="1">
      <alignment horizontal="left" vertical="center" indent="1"/>
    </xf>
    <xf numFmtId="9" fontId="56" fillId="104" borderId="0" xfId="0" applyNumberFormat="1" applyFont="1" applyFill="1" applyAlignment="1">
      <alignment horizontal="center" vertical="center"/>
    </xf>
    <xf numFmtId="1" fontId="56" fillId="104" borderId="0" xfId="0" applyNumberFormat="1" applyFont="1" applyFill="1" applyAlignment="1">
      <alignment horizontal="center" vertical="center"/>
    </xf>
    <xf numFmtId="0" fontId="56" fillId="104" borderId="21" xfId="0" applyFont="1" applyFill="1" applyBorder="1" applyAlignment="1">
      <alignment horizontal="center" vertical="center"/>
    </xf>
    <xf numFmtId="3" fontId="56" fillId="104" borderId="21" xfId="0" applyNumberFormat="1" applyFont="1" applyFill="1" applyBorder="1" applyAlignment="1">
      <alignment horizontal="center" vertical="center"/>
    </xf>
    <xf numFmtId="0" fontId="56" fillId="104" borderId="21" xfId="0" applyFont="1" applyFill="1" applyBorder="1" applyAlignment="1">
      <alignment vertical="center"/>
    </xf>
    <xf numFmtId="3" fontId="56" fillId="104" borderId="21" xfId="0" applyNumberFormat="1" applyFont="1" applyFill="1" applyBorder="1" applyAlignment="1">
      <alignment vertical="center"/>
    </xf>
    <xf numFmtId="9" fontId="56" fillId="104" borderId="0" xfId="0" applyNumberFormat="1" applyFont="1" applyFill="1" applyAlignment="1">
      <alignment vertical="center"/>
    </xf>
    <xf numFmtId="1" fontId="56" fillId="104" borderId="0" xfId="0" applyNumberFormat="1" applyFont="1" applyFill="1" applyAlignment="1">
      <alignment vertical="center"/>
    </xf>
    <xf numFmtId="9" fontId="7" fillId="0" borderId="177" xfId="0" applyNumberFormat="1" applyFont="1" applyBorder="1" applyAlignment="1">
      <alignment horizontal="right" vertical="center" indent="1"/>
    </xf>
    <xf numFmtId="3" fontId="56" fillId="104" borderId="0" xfId="0" applyNumberFormat="1" applyFont="1" applyFill="1" applyAlignment="1">
      <alignment horizontal="center" vertical="center"/>
    </xf>
    <xf numFmtId="166" fontId="56" fillId="104" borderId="0" xfId="0" applyNumberFormat="1" applyFont="1" applyFill="1" applyAlignment="1">
      <alignment horizontal="right" vertical="center" indent="1"/>
    </xf>
    <xf numFmtId="9" fontId="77" fillId="37" borderId="30" xfId="0" applyNumberFormat="1" applyFont="1" applyFill="1" applyBorder="1" applyAlignment="1">
      <alignment horizontal="center" vertical="center"/>
    </xf>
    <xf numFmtId="3" fontId="77" fillId="37" borderId="30" xfId="0" applyNumberFormat="1" applyFont="1" applyFill="1" applyBorder="1" applyAlignment="1">
      <alignment horizontal="center" vertical="center"/>
    </xf>
    <xf numFmtId="10" fontId="77" fillId="37" borderId="35" xfId="0" applyNumberFormat="1" applyFont="1" applyFill="1" applyBorder="1" applyAlignment="1">
      <alignment horizontal="center" vertical="center"/>
    </xf>
    <xf numFmtId="164" fontId="10" fillId="0" borderId="0" xfId="0" applyNumberFormat="1" applyFont="1" applyAlignment="1"/>
    <xf numFmtId="9" fontId="58" fillId="0" borderId="92" xfId="0" applyNumberFormat="1" applyFont="1" applyBorder="1" applyAlignment="1">
      <alignment horizontal="center" vertical="center"/>
    </xf>
    <xf numFmtId="9" fontId="58" fillId="0" borderId="35" xfId="0" applyNumberFormat="1" applyFont="1" applyBorder="1" applyAlignment="1">
      <alignment horizontal="center" vertical="center"/>
    </xf>
    <xf numFmtId="9" fontId="58" fillId="0" borderId="64" xfId="0" applyNumberFormat="1" applyFont="1" applyBorder="1" applyAlignment="1">
      <alignment horizontal="center" vertical="center"/>
    </xf>
    <xf numFmtId="1" fontId="45" fillId="0" borderId="0" xfId="0" applyNumberFormat="1" applyFont="1" applyAlignment="1">
      <alignment horizontal="center" vertical="center"/>
    </xf>
    <xf numFmtId="41" fontId="10" fillId="0" borderId="0" xfId="1" applyFont="1" applyAlignment="1"/>
    <xf numFmtId="9" fontId="10" fillId="0" borderId="0" xfId="0" applyNumberFormat="1" applyFont="1" applyAlignment="1"/>
    <xf numFmtId="41" fontId="7" fillId="0" borderId="0" xfId="1" applyFont="1" applyAlignment="1">
      <alignment vertical="center"/>
    </xf>
    <xf numFmtId="171" fontId="7" fillId="0" borderId="0" xfId="0" applyNumberFormat="1" applyFont="1" applyAlignment="1">
      <alignment horizontal="right" vertical="center" indent="1"/>
    </xf>
    <xf numFmtId="171" fontId="7" fillId="0" borderId="0" xfId="0" applyNumberFormat="1" applyFont="1" applyAlignment="1">
      <alignment vertical="center"/>
    </xf>
    <xf numFmtId="171" fontId="7" fillId="0" borderId="21" xfId="0" applyNumberFormat="1" applyFont="1" applyBorder="1" applyAlignment="1">
      <alignment vertical="center"/>
    </xf>
    <xf numFmtId="9" fontId="43" fillId="19" borderId="35" xfId="0" applyNumberFormat="1" applyFont="1" applyFill="1" applyBorder="1" applyAlignment="1">
      <alignment horizontal="center" vertical="center"/>
    </xf>
    <xf numFmtId="9" fontId="43" fillId="3" borderId="48" xfId="0" applyNumberFormat="1" applyFont="1" applyFill="1" applyBorder="1" applyAlignment="1">
      <alignment horizontal="center" vertical="center"/>
    </xf>
    <xf numFmtId="9" fontId="52" fillId="70" borderId="145" xfId="0" applyNumberFormat="1" applyFont="1" applyFill="1" applyBorder="1" applyAlignment="1">
      <alignment horizontal="left" vertical="center" indent="1"/>
    </xf>
    <xf numFmtId="9" fontId="43" fillId="95" borderId="144" xfId="0" applyNumberFormat="1" applyFont="1" applyFill="1" applyBorder="1" applyAlignment="1">
      <alignment horizontal="center" vertical="center"/>
    </xf>
    <xf numFmtId="1" fontId="7" fillId="78" borderId="0" xfId="0" applyNumberFormat="1" applyFont="1" applyFill="1" applyAlignment="1">
      <alignment horizontal="center" vertical="center"/>
    </xf>
    <xf numFmtId="171" fontId="7" fillId="0" borderId="146" xfId="0" applyNumberFormat="1" applyFont="1" applyFill="1" applyBorder="1" applyAlignment="1">
      <alignment horizontal="center" vertical="center"/>
    </xf>
    <xf numFmtId="9" fontId="52" fillId="0" borderId="0" xfId="0" applyNumberFormat="1" applyFont="1" applyAlignment="1">
      <alignment horizontal="center" vertical="center"/>
    </xf>
    <xf numFmtId="9" fontId="7" fillId="0" borderId="0" xfId="0" applyNumberFormat="1" applyFont="1" applyFill="1" applyAlignment="1">
      <alignment horizontal="right" vertical="center" indent="1"/>
    </xf>
    <xf numFmtId="9" fontId="7" fillId="0" borderId="56" xfId="0" applyNumberFormat="1" applyFont="1" applyFill="1" applyBorder="1" applyAlignment="1">
      <alignment horizontal="right" vertical="center" indent="1"/>
    </xf>
    <xf numFmtId="9" fontId="10" fillId="0" borderId="56" xfId="0" applyNumberFormat="1" applyFont="1" applyFill="1" applyBorder="1" applyAlignment="1">
      <alignment horizontal="right" vertical="center" indent="1"/>
    </xf>
    <xf numFmtId="9" fontId="10" fillId="0" borderId="35" xfId="0" applyNumberFormat="1" applyFont="1" applyFill="1" applyBorder="1" applyAlignment="1">
      <alignment horizontal="right" vertical="center" indent="1"/>
    </xf>
    <xf numFmtId="9" fontId="43" fillId="0" borderId="56" xfId="0" applyNumberFormat="1" applyFont="1" applyFill="1" applyBorder="1" applyAlignment="1">
      <alignment horizontal="right" vertical="center" indent="1"/>
    </xf>
    <xf numFmtId="9" fontId="43" fillId="106" borderId="35" xfId="0" applyNumberFormat="1" applyFont="1" applyFill="1" applyBorder="1" applyAlignment="1">
      <alignment horizontal="center" vertical="center"/>
    </xf>
    <xf numFmtId="9" fontId="52" fillId="106" borderId="35" xfId="0" applyNumberFormat="1" applyFont="1" applyFill="1" applyBorder="1" applyAlignment="1">
      <alignment horizontal="center" vertical="center"/>
    </xf>
    <xf numFmtId="3" fontId="52" fillId="106" borderId="21" xfId="0" applyNumberFormat="1" applyFont="1" applyFill="1" applyBorder="1" applyAlignment="1">
      <alignment horizontal="left" vertical="center" indent="1"/>
    </xf>
    <xf numFmtId="9" fontId="52" fillId="69" borderId="0" xfId="0" applyNumberFormat="1" applyFont="1" applyFill="1" applyAlignment="1">
      <alignment horizontal="center" vertical="center"/>
    </xf>
    <xf numFmtId="3" fontId="52" fillId="69" borderId="21" xfId="0" applyNumberFormat="1" applyFont="1" applyFill="1" applyBorder="1" applyAlignment="1">
      <alignment horizontal="left" vertical="center" indent="1"/>
    </xf>
    <xf numFmtId="9" fontId="43" fillId="0" borderId="35" xfId="0" applyNumberFormat="1" applyFont="1" applyFill="1" applyBorder="1" applyAlignment="1">
      <alignment horizontal="right" vertical="center" indent="1"/>
    </xf>
    <xf numFmtId="171" fontId="58" fillId="0" borderId="0" xfId="0" applyNumberFormat="1" applyFont="1" applyFill="1" applyAlignment="1">
      <alignment horizontal="center" vertical="center"/>
    </xf>
    <xf numFmtId="9" fontId="57" fillId="82" borderId="35" xfId="0" applyNumberFormat="1" applyFont="1" applyFill="1" applyBorder="1" applyAlignment="1">
      <alignment horizontal="center" vertical="center"/>
    </xf>
    <xf numFmtId="9" fontId="106" fillId="82" borderId="35" xfId="0" applyNumberFormat="1" applyFont="1" applyFill="1" applyBorder="1" applyAlignment="1">
      <alignment horizontal="center" vertical="center"/>
    </xf>
    <xf numFmtId="3" fontId="107" fillId="0" borderId="21" xfId="0" applyNumberFormat="1" applyFont="1" applyFill="1" applyBorder="1" applyAlignment="1">
      <alignment horizontal="left" vertical="center" indent="1"/>
    </xf>
    <xf numFmtId="9" fontId="8" fillId="0" borderId="35" xfId="0" applyNumberFormat="1" applyFont="1" applyBorder="1" applyAlignment="1">
      <alignment vertical="center"/>
    </xf>
    <xf numFmtId="166" fontId="8" fillId="78" borderId="61" xfId="0" applyNumberFormat="1" applyFont="1" applyFill="1" applyBorder="1" applyAlignment="1">
      <alignment horizontal="right" vertical="center" indent="1"/>
    </xf>
    <xf numFmtId="3" fontId="107" fillId="0" borderId="21" xfId="0" applyNumberFormat="1" applyFont="1" applyFill="1" applyBorder="1" applyAlignment="1">
      <alignment horizontal="center" vertical="center"/>
    </xf>
    <xf numFmtId="166" fontId="8" fillId="82" borderId="166" xfId="0" applyNumberFormat="1" applyFont="1" applyFill="1" applyBorder="1" applyAlignment="1">
      <alignment horizontal="right" vertical="center" indent="1"/>
    </xf>
    <xf numFmtId="0" fontId="7" fillId="79" borderId="179" xfId="0" applyFont="1" applyFill="1" applyBorder="1" applyAlignment="1">
      <alignment horizontal="center" vertical="center"/>
    </xf>
    <xf numFmtId="1" fontId="43" fillId="70" borderId="167" xfId="0" applyNumberFormat="1" applyFont="1" applyFill="1" applyBorder="1" applyAlignment="1">
      <alignment horizontal="center" vertical="center"/>
    </xf>
    <xf numFmtId="9" fontId="43" fillId="70" borderId="167" xfId="0" applyNumberFormat="1" applyFont="1" applyFill="1" applyBorder="1" applyAlignment="1">
      <alignment horizontal="center" vertical="center"/>
    </xf>
    <xf numFmtId="9" fontId="48" fillId="0" borderId="178" xfId="0" applyNumberFormat="1" applyFont="1" applyBorder="1" applyAlignment="1">
      <alignment horizontal="center" vertical="center"/>
    </xf>
    <xf numFmtId="9" fontId="48" fillId="0" borderId="35" xfId="0" applyNumberFormat="1" applyFont="1" applyFill="1" applyBorder="1" applyAlignment="1">
      <alignment horizontal="center" vertical="center"/>
    </xf>
    <xf numFmtId="3" fontId="43" fillId="70" borderId="35" xfId="0" applyNumberFormat="1" applyFont="1" applyFill="1" applyBorder="1" applyAlignment="1">
      <alignment horizontal="center" vertical="center"/>
    </xf>
    <xf numFmtId="9" fontId="43" fillId="70" borderId="35" xfId="0" applyNumberFormat="1" applyFont="1" applyFill="1" applyBorder="1" applyAlignment="1">
      <alignment horizontal="center" vertical="center"/>
    </xf>
    <xf numFmtId="9" fontId="7" fillId="0" borderId="35" xfId="1" applyNumberFormat="1" applyFont="1" applyFill="1" applyBorder="1" applyAlignment="1">
      <alignment horizontal="right" vertical="center" indent="1"/>
    </xf>
    <xf numFmtId="9" fontId="10" fillId="0" borderId="0" xfId="0" applyNumberFormat="1" applyFont="1" applyFill="1" applyAlignment="1">
      <alignment horizontal="center" vertical="center"/>
    </xf>
    <xf numFmtId="9" fontId="58" fillId="98" borderId="0" xfId="0" applyNumberFormat="1" applyFont="1" applyFill="1" applyAlignment="1">
      <alignment horizontal="center" vertical="center"/>
    </xf>
    <xf numFmtId="9" fontId="58" fillId="8" borderId="0" xfId="0" applyNumberFormat="1" applyFont="1" applyFill="1" applyAlignment="1">
      <alignment horizontal="center" vertical="center"/>
    </xf>
    <xf numFmtId="9" fontId="58" fillId="82" borderId="0" xfId="0" applyNumberFormat="1" applyFont="1" applyFill="1" applyAlignment="1">
      <alignment horizontal="center" vertical="center"/>
    </xf>
    <xf numFmtId="9" fontId="58" fillId="0" borderId="0" xfId="0" applyNumberFormat="1" applyFont="1" applyFill="1" applyAlignment="1">
      <alignment horizontal="center" vertical="center"/>
    </xf>
    <xf numFmtId="9" fontId="58" fillId="82" borderId="144" xfId="0" applyNumberFormat="1" applyFont="1" applyFill="1" applyBorder="1" applyAlignment="1">
      <alignment horizontal="center" vertical="center"/>
    </xf>
    <xf numFmtId="9" fontId="58" fillId="6" borderId="0" xfId="0" applyNumberFormat="1" applyFont="1" applyFill="1" applyAlignment="1">
      <alignment horizontal="center" vertical="center"/>
    </xf>
    <xf numFmtId="9" fontId="7" fillId="0" borderId="48" xfId="0" applyNumberFormat="1" applyFont="1" applyBorder="1" applyAlignment="1">
      <alignment horizontal="center" vertical="center"/>
    </xf>
    <xf numFmtId="9" fontId="105" fillId="82" borderId="35" xfId="0" applyNumberFormat="1" applyFont="1" applyFill="1" applyBorder="1" applyAlignment="1">
      <alignment horizontal="center" vertical="center"/>
    </xf>
    <xf numFmtId="9" fontId="7" fillId="0" borderId="167" xfId="0" applyNumberFormat="1" applyFont="1" applyBorder="1" applyAlignment="1">
      <alignment horizontal="center" vertical="center"/>
    </xf>
    <xf numFmtId="9" fontId="58" fillId="82" borderId="35" xfId="0" applyNumberFormat="1" applyFont="1" applyFill="1" applyBorder="1" applyAlignment="1">
      <alignment horizontal="center" vertical="center"/>
    </xf>
    <xf numFmtId="9" fontId="7" fillId="0" borderId="64" xfId="0" applyNumberFormat="1" applyFont="1" applyBorder="1" applyAlignment="1">
      <alignment horizontal="center" vertical="center"/>
    </xf>
    <xf numFmtId="9" fontId="56" fillId="83" borderId="128" xfId="0" applyNumberFormat="1" applyFont="1" applyFill="1" applyBorder="1" applyAlignment="1">
      <alignment horizontal="center" vertical="center"/>
    </xf>
    <xf numFmtId="9" fontId="7" fillId="0" borderId="35" xfId="0" applyNumberFormat="1" applyFont="1" applyBorder="1" applyAlignment="1">
      <alignment horizontal="center" vertical="center"/>
    </xf>
    <xf numFmtId="9" fontId="75" fillId="82" borderId="35" xfId="0" applyNumberFormat="1" applyFont="1" applyFill="1" applyBorder="1" applyAlignment="1">
      <alignment horizontal="center" vertical="center"/>
    </xf>
    <xf numFmtId="9" fontId="8" fillId="82" borderId="35" xfId="0" applyNumberFormat="1" applyFont="1" applyFill="1" applyBorder="1" applyAlignment="1">
      <alignment horizontal="center" vertical="center"/>
    </xf>
    <xf numFmtId="9" fontId="8" fillId="82" borderId="61" xfId="0" applyNumberFormat="1" applyFont="1" applyFill="1" applyBorder="1" applyAlignment="1">
      <alignment horizontal="center" vertical="center"/>
    </xf>
    <xf numFmtId="9" fontId="7" fillId="0" borderId="0" xfId="1" applyNumberFormat="1" applyFont="1" applyFill="1" applyAlignment="1">
      <alignment horizontal="center" vertical="center"/>
    </xf>
    <xf numFmtId="9" fontId="7" fillId="0" borderId="61" xfId="1" applyNumberFormat="1" applyFont="1" applyFill="1" applyBorder="1" applyAlignment="1">
      <alignment horizontal="center" vertical="center"/>
    </xf>
    <xf numFmtId="9" fontId="7" fillId="0" borderId="167" xfId="1" applyNumberFormat="1" applyFont="1" applyFill="1" applyBorder="1" applyAlignment="1">
      <alignment horizontal="center" vertical="center"/>
    </xf>
    <xf numFmtId="9" fontId="7" fillId="0" borderId="168" xfId="1" applyNumberFormat="1" applyFont="1" applyFill="1" applyBorder="1" applyAlignment="1">
      <alignment horizontal="center" vertical="center"/>
    </xf>
    <xf numFmtId="9" fontId="8" fillId="82" borderId="0" xfId="0" applyNumberFormat="1" applyFont="1" applyFill="1" applyAlignment="1">
      <alignment horizontal="center" vertical="center"/>
    </xf>
    <xf numFmtId="9" fontId="7" fillId="78" borderId="0" xfId="0" applyNumberFormat="1" applyFont="1" applyFill="1" applyAlignment="1">
      <alignment horizontal="center" vertical="center"/>
    </xf>
    <xf numFmtId="9" fontId="7" fillId="78" borderId="0" xfId="1" applyNumberFormat="1" applyFont="1" applyFill="1" applyAlignment="1">
      <alignment horizontal="center" vertical="center"/>
    </xf>
    <xf numFmtId="9" fontId="7" fillId="78" borderId="61" xfId="1" applyNumberFormat="1" applyFont="1" applyFill="1" applyBorder="1" applyAlignment="1">
      <alignment horizontal="center" vertical="center"/>
    </xf>
    <xf numFmtId="9" fontId="7" fillId="78" borderId="61" xfId="0" applyNumberFormat="1" applyFont="1" applyFill="1" applyBorder="1" applyAlignment="1">
      <alignment horizontal="center" vertical="center"/>
    </xf>
    <xf numFmtId="9" fontId="7" fillId="63" borderId="0" xfId="0" applyNumberFormat="1" applyFont="1" applyFill="1" applyAlignment="1">
      <alignment horizontal="center" vertical="center"/>
    </xf>
    <xf numFmtId="9" fontId="7" fillId="63" borderId="61" xfId="1" applyNumberFormat="1" applyFont="1" applyFill="1" applyBorder="1" applyAlignment="1">
      <alignment horizontal="center" vertical="center"/>
    </xf>
    <xf numFmtId="9" fontId="7" fillId="63" borderId="64" xfId="0" applyNumberFormat="1" applyFont="1" applyFill="1" applyBorder="1" applyAlignment="1">
      <alignment horizontal="center" vertical="center"/>
    </xf>
    <xf numFmtId="9" fontId="7" fillId="63" borderId="80" xfId="1" applyNumberFormat="1" applyFont="1" applyFill="1" applyBorder="1" applyAlignment="1">
      <alignment horizontal="center" vertical="center"/>
    </xf>
    <xf numFmtId="9" fontId="104" fillId="82" borderId="35" xfId="0" applyNumberFormat="1" applyFont="1" applyFill="1" applyBorder="1" applyAlignment="1">
      <alignment horizontal="center" vertical="center"/>
    </xf>
    <xf numFmtId="9" fontId="7" fillId="100" borderId="0" xfId="1" applyNumberFormat="1" applyFont="1" applyFill="1" applyAlignment="1">
      <alignment horizontal="center" vertical="center"/>
    </xf>
    <xf numFmtId="9" fontId="7" fillId="100" borderId="131" xfId="1" applyNumberFormat="1" applyFont="1" applyFill="1" applyBorder="1" applyAlignment="1">
      <alignment horizontal="center" vertical="center"/>
    </xf>
    <xf numFmtId="9" fontId="104" fillId="82" borderId="35" xfId="1" applyNumberFormat="1" applyFont="1" applyFill="1" applyBorder="1" applyAlignment="1">
      <alignment horizontal="center" vertical="center"/>
    </xf>
    <xf numFmtId="9" fontId="7" fillId="0" borderId="35" xfId="1" applyNumberFormat="1" applyFont="1" applyBorder="1" applyAlignment="1">
      <alignment horizontal="center" vertical="center"/>
    </xf>
    <xf numFmtId="9" fontId="7" fillId="0" borderId="64" xfId="1" applyNumberFormat="1" applyFont="1" applyBorder="1" applyAlignment="1">
      <alignment horizontal="center" vertical="center"/>
    </xf>
    <xf numFmtId="9" fontId="69" fillId="0" borderId="0" xfId="0" applyNumberFormat="1" applyFont="1" applyAlignment="1">
      <alignment horizontal="right" vertical="center"/>
    </xf>
    <xf numFmtId="9" fontId="69" fillId="81" borderId="35" xfId="0" applyNumberFormat="1" applyFont="1" applyFill="1" applyBorder="1" applyAlignment="1">
      <alignment horizontal="center" vertical="center"/>
    </xf>
    <xf numFmtId="9" fontId="53" fillId="81" borderId="35" xfId="0" applyNumberFormat="1" applyFont="1" applyFill="1" applyBorder="1" applyAlignment="1">
      <alignment horizontal="center" vertical="center"/>
    </xf>
    <xf numFmtId="9" fontId="8" fillId="82" borderId="170" xfId="0" applyNumberFormat="1" applyFont="1" applyFill="1" applyBorder="1" applyAlignment="1">
      <alignment horizontal="center" vertical="center"/>
    </xf>
    <xf numFmtId="9" fontId="7" fillId="78" borderId="167" xfId="1" applyNumberFormat="1" applyFont="1" applyFill="1" applyBorder="1" applyAlignment="1">
      <alignment horizontal="center" vertical="center"/>
    </xf>
    <xf numFmtId="9" fontId="7" fillId="0" borderId="132" xfId="1" applyNumberFormat="1" applyFont="1" applyFill="1" applyBorder="1" applyAlignment="1">
      <alignment horizontal="center" vertical="center"/>
    </xf>
    <xf numFmtId="9" fontId="7" fillId="63" borderId="61" xfId="0" applyNumberFormat="1" applyFont="1" applyFill="1" applyBorder="1" applyAlignment="1">
      <alignment horizontal="center" vertical="center"/>
    </xf>
    <xf numFmtId="9" fontId="7" fillId="63" borderId="80" xfId="0" applyNumberFormat="1" applyFont="1" applyFill="1" applyBorder="1" applyAlignment="1">
      <alignment horizontal="center" vertical="center"/>
    </xf>
    <xf numFmtId="9" fontId="56" fillId="0" borderId="146" xfId="0" applyNumberFormat="1" applyFont="1" applyFill="1" applyBorder="1" applyAlignment="1">
      <alignment horizontal="center" vertical="center"/>
    </xf>
    <xf numFmtId="9" fontId="8" fillId="0" borderId="146" xfId="0" applyNumberFormat="1" applyFont="1" applyFill="1" applyBorder="1" applyAlignment="1">
      <alignment horizontal="center" vertical="center"/>
    </xf>
    <xf numFmtId="9" fontId="52" fillId="0" borderId="21" xfId="0" applyNumberFormat="1" applyFont="1" applyBorder="1" applyAlignment="1">
      <alignment horizontal="left" vertical="center" indent="1"/>
    </xf>
    <xf numFmtId="10" fontId="69" fillId="0" borderId="0" xfId="0" applyNumberFormat="1" applyFont="1" applyAlignment="1">
      <alignment horizontal="right" vertical="center" indent="1"/>
    </xf>
    <xf numFmtId="0" fontId="100" fillId="35" borderId="158" xfId="0" applyFont="1" applyFill="1" applyBorder="1" applyAlignment="1">
      <alignment horizontal="center" vertical="center" wrapText="1"/>
    </xf>
    <xf numFmtId="0" fontId="100" fillId="36" borderId="158" xfId="0" applyFont="1" applyFill="1" applyBorder="1" applyAlignment="1">
      <alignment horizontal="center" vertical="center"/>
    </xf>
    <xf numFmtId="0" fontId="100" fillId="36" borderId="159" xfId="0" applyFont="1" applyFill="1" applyBorder="1" applyAlignment="1">
      <alignment horizontal="center" vertical="center"/>
    </xf>
    <xf numFmtId="0" fontId="46" fillId="72" borderId="70" xfId="0" applyFont="1" applyFill="1" applyBorder="1" applyAlignment="1">
      <alignment horizontal="center" vertical="center"/>
    </xf>
    <xf numFmtId="0" fontId="46" fillId="72" borderId="87" xfId="0" applyFont="1" applyFill="1" applyBorder="1" applyAlignment="1">
      <alignment horizontal="center" vertical="center"/>
    </xf>
    <xf numFmtId="0" fontId="46" fillId="72" borderId="71" xfId="0" applyFont="1" applyFill="1" applyBorder="1" applyAlignment="1">
      <alignment horizontal="center" vertical="center"/>
    </xf>
    <xf numFmtId="0" fontId="8" fillId="0" borderId="0" xfId="0" applyFont="1" applyAlignment="1">
      <alignment vertical="center" wrapText="1"/>
    </xf>
    <xf numFmtId="0" fontId="10" fillId="0" borderId="0" xfId="0" applyFont="1" applyAlignment="1">
      <alignment vertical="center"/>
    </xf>
    <xf numFmtId="0" fontId="101" fillId="35" borderId="158" xfId="0" applyFont="1" applyFill="1" applyBorder="1" applyAlignment="1">
      <alignment horizontal="center" vertical="center" wrapText="1"/>
    </xf>
    <xf numFmtId="0" fontId="101" fillId="36" borderId="158" xfId="0" applyFont="1" applyFill="1" applyBorder="1" applyAlignment="1">
      <alignment horizontal="center" vertical="center"/>
    </xf>
    <xf numFmtId="0" fontId="101" fillId="35" borderId="158" xfId="0" applyFont="1" applyFill="1" applyBorder="1" applyAlignment="1">
      <alignment horizontal="center" vertical="center"/>
    </xf>
    <xf numFmtId="0" fontId="47" fillId="70" borderId="87" xfId="0" applyFont="1" applyFill="1" applyBorder="1" applyAlignment="1"/>
    <xf numFmtId="0" fontId="47" fillId="70" borderId="71" xfId="0" applyFont="1" applyFill="1" applyBorder="1"/>
    <xf numFmtId="0" fontId="47" fillId="70" borderId="87" xfId="0" applyFont="1" applyFill="1" applyBorder="1"/>
    <xf numFmtId="0" fontId="39" fillId="0" borderId="0" xfId="0" applyFont="1" applyAlignment="1">
      <alignment vertical="center" wrapText="1"/>
    </xf>
    <xf numFmtId="0" fontId="10" fillId="0" borderId="0" xfId="0" applyFont="1" applyAlignment="1"/>
    <xf numFmtId="0" fontId="25" fillId="51" borderId="6" xfId="0" applyFont="1" applyFill="1" applyBorder="1" applyAlignment="1">
      <alignment horizontal="left" vertical="center" wrapText="1" indent="1"/>
    </xf>
    <xf numFmtId="0" fontId="25" fillId="51" borderId="7" xfId="0" applyFont="1" applyFill="1" applyBorder="1" applyAlignment="1">
      <alignment horizontal="left" vertical="center" wrapText="1" indent="1"/>
    </xf>
    <xf numFmtId="0" fontId="31" fillId="10" borderId="9" xfId="0" applyFont="1" applyFill="1" applyBorder="1" applyAlignment="1">
      <alignment horizontal="left" vertical="center" wrapText="1" indent="1"/>
    </xf>
    <xf numFmtId="0" fontId="31" fillId="10" borderId="10" xfId="0" applyFont="1" applyFill="1" applyBorder="1" applyAlignment="1">
      <alignment horizontal="left" vertical="center" wrapText="1" indent="1"/>
    </xf>
    <xf numFmtId="0" fontId="12" fillId="0" borderId="0" xfId="0" applyFont="1" applyAlignment="1">
      <alignment horizontal="center" vertical="center"/>
    </xf>
    <xf numFmtId="0" fontId="16" fillId="0" borderId="0" xfId="0" applyFont="1" applyAlignment="1">
      <alignment horizontal="center" vertical="center"/>
    </xf>
    <xf numFmtId="0" fontId="17" fillId="0" borderId="0" xfId="0" applyFont="1" applyAlignment="1">
      <alignment horizontal="center" vertical="center"/>
    </xf>
    <xf numFmtId="0" fontId="14" fillId="3" borderId="3" xfId="0" applyFont="1" applyFill="1" applyBorder="1" applyAlignment="1">
      <alignment horizontal="left" vertical="center"/>
    </xf>
    <xf numFmtId="0" fontId="19" fillId="0" borderId="4" xfId="0" applyFont="1" applyBorder="1"/>
    <xf numFmtId="0" fontId="19" fillId="0" borderId="5" xfId="0" applyFont="1" applyBorder="1"/>
    <xf numFmtId="0" fontId="46" fillId="75" borderId="70" xfId="0" applyFont="1" applyFill="1" applyBorder="1" applyAlignment="1">
      <alignment horizontal="center" vertical="center" wrapText="1"/>
    </xf>
    <xf numFmtId="0" fontId="46" fillId="75" borderId="87" xfId="0" applyFont="1" applyFill="1" applyBorder="1" applyAlignment="1">
      <alignment horizontal="center" vertical="center" wrapText="1"/>
    </xf>
    <xf numFmtId="0" fontId="46" fillId="75" borderId="71" xfId="0" applyFont="1" applyFill="1" applyBorder="1" applyAlignment="1">
      <alignment horizontal="center" vertical="center" wrapText="1"/>
    </xf>
    <xf numFmtId="0" fontId="46" fillId="77" borderId="70" xfId="0" applyFont="1" applyFill="1" applyBorder="1" applyAlignment="1">
      <alignment horizontal="center" vertical="center"/>
    </xf>
    <xf numFmtId="0" fontId="46" fillId="77" borderId="87" xfId="0" applyFont="1" applyFill="1" applyBorder="1" applyAlignment="1">
      <alignment horizontal="center" vertical="center"/>
    </xf>
    <xf numFmtId="0" fontId="46" fillId="77" borderId="71" xfId="0" applyFont="1" applyFill="1" applyBorder="1" applyAlignment="1">
      <alignment horizontal="center" vertical="center"/>
    </xf>
    <xf numFmtId="0" fontId="46" fillId="76" borderId="70" xfId="0" applyFont="1" applyFill="1" applyBorder="1" applyAlignment="1">
      <alignment horizontal="center" vertical="center"/>
    </xf>
    <xf numFmtId="0" fontId="46" fillId="76" borderId="87" xfId="0" applyFont="1" applyFill="1" applyBorder="1" applyAlignment="1">
      <alignment horizontal="center" vertical="center"/>
    </xf>
    <xf numFmtId="0" fontId="46" fillId="76" borderId="71" xfId="0" applyFont="1" applyFill="1" applyBorder="1" applyAlignment="1">
      <alignment horizontal="center" vertical="center"/>
    </xf>
    <xf numFmtId="0" fontId="101" fillId="35" borderId="141" xfId="0" applyFont="1" applyFill="1" applyBorder="1" applyAlignment="1">
      <alignment horizontal="center" vertical="center" wrapText="1"/>
    </xf>
    <xf numFmtId="0" fontId="101" fillId="36" borderId="141" xfId="0" applyFont="1" applyFill="1" applyBorder="1" applyAlignment="1">
      <alignment horizontal="center" vertical="center" wrapText="1"/>
    </xf>
    <xf numFmtId="0" fontId="101" fillId="36" borderId="142" xfId="0" applyFont="1" applyFill="1" applyBorder="1" applyAlignment="1">
      <alignment horizontal="center" vertical="center" wrapText="1"/>
    </xf>
    <xf numFmtId="3" fontId="27" fillId="0" borderId="6" xfId="0" applyNumberFormat="1" applyFont="1" applyBorder="1" applyAlignment="1">
      <alignment horizontal="center" vertical="center" wrapText="1"/>
    </xf>
    <xf numFmtId="0" fontId="19" fillId="0" borderId="7" xfId="0" applyFont="1" applyBorder="1" applyAlignment="1">
      <alignment vertical="center"/>
    </xf>
    <xf numFmtId="0" fontId="19" fillId="0" borderId="8" xfId="0" applyFont="1" applyBorder="1" applyAlignment="1">
      <alignment vertical="center"/>
    </xf>
    <xf numFmtId="166" fontId="27" fillId="0" borderId="6" xfId="0" applyNumberFormat="1" applyFont="1" applyBorder="1" applyAlignment="1">
      <alignment horizontal="center" vertical="center" wrapText="1"/>
    </xf>
    <xf numFmtId="9" fontId="29" fillId="0" borderId="0" xfId="0" applyNumberFormat="1" applyFont="1" applyAlignment="1">
      <alignment horizontal="center" vertical="center" wrapText="1"/>
    </xf>
    <xf numFmtId="9" fontId="30" fillId="0" borderId="0" xfId="0" applyNumberFormat="1" applyFont="1" applyAlignment="1">
      <alignment horizontal="center" vertical="center" wrapText="1"/>
    </xf>
    <xf numFmtId="0" fontId="31" fillId="10" borderId="9" xfId="0" applyFont="1" applyFill="1" applyBorder="1" applyAlignment="1">
      <alignment horizontal="center" vertical="center"/>
    </xf>
    <xf numFmtId="0" fontId="19" fillId="0" borderId="10" xfId="0" applyFont="1" applyBorder="1" applyAlignment="1">
      <alignment vertical="center"/>
    </xf>
    <xf numFmtId="0" fontId="19" fillId="0" borderId="11" xfId="0" applyFont="1" applyBorder="1" applyAlignment="1">
      <alignment vertical="center"/>
    </xf>
    <xf numFmtId="0" fontId="31" fillId="10" borderId="6" xfId="0" applyFont="1" applyFill="1" applyBorder="1" applyAlignment="1">
      <alignment horizontal="center" vertical="center" wrapText="1"/>
    </xf>
    <xf numFmtId="3" fontId="34" fillId="0" borderId="6" xfId="0" applyNumberFormat="1" applyFont="1" applyBorder="1" applyAlignment="1">
      <alignment horizontal="center" vertical="center" wrapText="1"/>
    </xf>
    <xf numFmtId="0" fontId="101" fillId="35" borderId="140" xfId="0" applyFont="1" applyFill="1" applyBorder="1" applyAlignment="1">
      <alignment horizontal="center" vertical="center" wrapText="1"/>
    </xf>
    <xf numFmtId="0" fontId="101" fillId="35" borderId="140" xfId="0" applyFont="1" applyFill="1" applyBorder="1" applyAlignment="1">
      <alignment horizontal="center" vertical="center"/>
    </xf>
    <xf numFmtId="0" fontId="101" fillId="36" borderId="141" xfId="0" applyFont="1" applyFill="1" applyBorder="1" applyAlignment="1">
      <alignment horizontal="center" vertical="center"/>
    </xf>
    <xf numFmtId="0" fontId="101" fillId="36" borderId="142" xfId="0" applyFont="1" applyFill="1" applyBorder="1" applyAlignment="1">
      <alignment horizontal="center" vertical="center"/>
    </xf>
    <xf numFmtId="0" fontId="25" fillId="51" borderId="6" xfId="0" applyFont="1" applyFill="1" applyBorder="1" applyAlignment="1">
      <alignment horizontal="center" vertical="center" wrapText="1"/>
    </xf>
    <xf numFmtId="0" fontId="19" fillId="50" borderId="7" xfId="0" applyFont="1" applyFill="1" applyBorder="1" applyAlignment="1">
      <alignment vertical="center"/>
    </xf>
    <xf numFmtId="0" fontId="19" fillId="50" borderId="8" xfId="0" applyFont="1" applyFill="1" applyBorder="1" applyAlignment="1">
      <alignment vertical="center"/>
    </xf>
    <xf numFmtId="166" fontId="94" fillId="0" borderId="6" xfId="0" applyNumberFormat="1" applyFont="1" applyBorder="1" applyAlignment="1">
      <alignment horizontal="center" vertical="center" wrapText="1"/>
    </xf>
    <xf numFmtId="0" fontId="93" fillId="0" borderId="7" xfId="0" applyFont="1" applyBorder="1" applyAlignment="1">
      <alignment vertical="center"/>
    </xf>
    <xf numFmtId="0" fontId="93" fillId="0" borderId="8" xfId="0" applyFont="1" applyBorder="1" applyAlignment="1">
      <alignment vertical="center"/>
    </xf>
    <xf numFmtId="0" fontId="46" fillId="74" borderId="70" xfId="0" applyFont="1" applyFill="1" applyBorder="1" applyAlignment="1">
      <alignment horizontal="center" vertical="center" wrapText="1"/>
    </xf>
    <xf numFmtId="0" fontId="89" fillId="70" borderId="87" xfId="0" applyFont="1" applyFill="1" applyBorder="1" applyAlignment="1">
      <alignment vertical="center"/>
    </xf>
    <xf numFmtId="0" fontId="89" fillId="70" borderId="71" xfId="0" applyFont="1" applyFill="1" applyBorder="1" applyAlignment="1">
      <alignment vertical="center"/>
    </xf>
    <xf numFmtId="0" fontId="8" fillId="0" borderId="35" xfId="0" applyFont="1" applyBorder="1" applyAlignment="1">
      <alignment vertical="center" wrapText="1"/>
    </xf>
    <xf numFmtId="0" fontId="10" fillId="0" borderId="35" xfId="0" applyFont="1" applyBorder="1" applyAlignment="1">
      <alignment vertical="center"/>
    </xf>
    <xf numFmtId="0" fontId="46" fillId="73" borderId="70" xfId="0" applyFont="1" applyFill="1" applyBorder="1" applyAlignment="1">
      <alignment horizontal="center" vertical="center" wrapText="1"/>
    </xf>
    <xf numFmtId="0" fontId="46" fillId="73" borderId="87" xfId="0" applyFont="1" applyFill="1" applyBorder="1" applyAlignment="1">
      <alignment horizontal="center" vertical="center" wrapText="1"/>
    </xf>
    <xf numFmtId="0" fontId="46" fillId="73" borderId="71" xfId="0" applyFont="1" applyFill="1" applyBorder="1" applyAlignment="1">
      <alignment horizontal="center" vertical="center" wrapText="1"/>
    </xf>
    <xf numFmtId="0" fontId="11" fillId="2" borderId="0" xfId="0" applyFont="1" applyFill="1" applyAlignment="1">
      <alignment horizontal="center" vertical="center" wrapText="1"/>
    </xf>
    <xf numFmtId="0" fontId="60" fillId="0" borderId="0" xfId="0" applyFont="1" applyAlignment="1">
      <alignment vertical="center"/>
    </xf>
    <xf numFmtId="0" fontId="10" fillId="0" borderId="0" xfId="0" applyFont="1" applyAlignment="1">
      <alignment horizontal="center" vertical="center"/>
    </xf>
    <xf numFmtId="0" fontId="9" fillId="3" borderId="3" xfId="0" applyFont="1" applyFill="1" applyBorder="1" applyAlignment="1">
      <alignment horizontal="left" vertical="center" wrapText="1"/>
    </xf>
    <xf numFmtId="0" fontId="19" fillId="0" borderId="4" xfId="0" applyFont="1" applyBorder="1" applyAlignment="1">
      <alignment vertical="center"/>
    </xf>
    <xf numFmtId="0" fontId="19" fillId="0" borderId="5" xfId="0" applyFont="1" applyBorder="1" applyAlignment="1">
      <alignment vertical="center"/>
    </xf>
    <xf numFmtId="0" fontId="8" fillId="0" borderId="36" xfId="0" applyFont="1" applyBorder="1" applyAlignment="1">
      <alignment horizontal="left" vertical="center" wrapText="1"/>
    </xf>
    <xf numFmtId="0" fontId="19" fillId="45" borderId="35" xfId="0" applyFont="1" applyFill="1" applyBorder="1" applyAlignment="1">
      <alignment horizontal="left" vertical="center" wrapText="1" indent="2"/>
    </xf>
    <xf numFmtId="0" fontId="10" fillId="45" borderId="35" xfId="0" applyFont="1" applyFill="1" applyBorder="1" applyAlignment="1">
      <alignment horizontal="left" vertical="center" indent="2"/>
    </xf>
    <xf numFmtId="3" fontId="59" fillId="90" borderId="151" xfId="0" applyNumberFormat="1" applyFont="1" applyFill="1" applyBorder="1" applyAlignment="1">
      <alignment horizontal="center" vertical="center"/>
    </xf>
    <xf numFmtId="0" fontId="119" fillId="91" borderId="151" xfId="0" applyFont="1" applyFill="1" applyBorder="1"/>
    <xf numFmtId="0" fontId="119" fillId="91" borderId="173" xfId="0" applyFont="1" applyFill="1" applyBorder="1"/>
    <xf numFmtId="0" fontId="37" fillId="42" borderId="0" xfId="0" applyFont="1" applyFill="1" applyAlignment="1">
      <alignment horizontal="center" vertical="center"/>
    </xf>
    <xf numFmtId="0" fontId="10" fillId="46" borderId="0" xfId="0" applyFont="1" applyFill="1" applyAlignment="1"/>
    <xf numFmtId="3" fontId="61" fillId="0" borderId="0" xfId="0" applyNumberFormat="1" applyFont="1" applyAlignment="1">
      <alignment horizontal="center" vertical="center" wrapText="1"/>
    </xf>
    <xf numFmtId="0" fontId="62" fillId="0" borderId="0" xfId="0" applyFont="1" applyAlignment="1"/>
    <xf numFmtId="0" fontId="110" fillId="0" borderId="0" xfId="0" applyFont="1" applyAlignment="1">
      <alignment horizontal="center" vertical="center"/>
    </xf>
    <xf numFmtId="0" fontId="8" fillId="19" borderId="147" xfId="0" applyFont="1" applyFill="1" applyBorder="1" applyAlignment="1">
      <alignment horizontal="center" vertical="center"/>
    </xf>
    <xf numFmtId="0" fontId="8" fillId="19" borderId="35" xfId="0" applyFont="1" applyFill="1" applyBorder="1" applyAlignment="1">
      <alignment horizontal="center" vertical="center"/>
    </xf>
    <xf numFmtId="0" fontId="8" fillId="19" borderId="146" xfId="0" applyFont="1" applyFill="1" applyBorder="1" applyAlignment="1">
      <alignment horizontal="center" vertical="center"/>
    </xf>
    <xf numFmtId="3" fontId="37" fillId="39" borderId="0" xfId="0" applyNumberFormat="1" applyFont="1" applyFill="1" applyAlignment="1">
      <alignment horizontal="center" vertical="center"/>
    </xf>
    <xf numFmtId="0" fontId="10" fillId="44" borderId="0" xfId="0" applyFont="1" applyFill="1" applyAlignment="1"/>
    <xf numFmtId="0" fontId="7" fillId="0" borderId="0" xfId="0" applyFont="1" applyAlignment="1">
      <alignment vertical="center"/>
    </xf>
    <xf numFmtId="164" fontId="37" fillId="89" borderId="151" xfId="0" applyNumberFormat="1" applyFont="1" applyFill="1" applyBorder="1" applyAlignment="1">
      <alignment horizontal="center" vertical="center"/>
    </xf>
    <xf numFmtId="0" fontId="119" fillId="44" borderId="151" xfId="0" applyFont="1" applyFill="1" applyBorder="1"/>
    <xf numFmtId="0" fontId="43" fillId="0" borderId="0" xfId="0" applyFont="1" applyAlignment="1">
      <alignment horizontal="center" vertical="center" wrapText="1"/>
    </xf>
    <xf numFmtId="3" fontId="43" fillId="0" borderId="0" xfId="0" applyNumberFormat="1" applyFont="1" applyAlignment="1">
      <alignment horizontal="center" vertical="center" wrapText="1"/>
    </xf>
    <xf numFmtId="0" fontId="119" fillId="44" borderId="173" xfId="0" applyFont="1" applyFill="1" applyBorder="1"/>
    <xf numFmtId="3" fontId="63" fillId="20" borderId="0" xfId="0" applyNumberFormat="1" applyFont="1" applyFill="1" applyAlignment="1">
      <alignment horizontal="center" vertical="center" wrapText="1"/>
    </xf>
    <xf numFmtId="3" fontId="7" fillId="47" borderId="0" xfId="0" applyNumberFormat="1" applyFont="1" applyFill="1" applyAlignment="1">
      <alignment horizontal="left" vertical="center" wrapText="1" indent="2"/>
    </xf>
    <xf numFmtId="0" fontId="8" fillId="47" borderId="35" xfId="0" applyFont="1" applyFill="1" applyBorder="1" applyAlignment="1">
      <alignment horizontal="left" vertical="center" wrapText="1" indent="2"/>
    </xf>
    <xf numFmtId="0" fontId="8" fillId="47" borderId="43" xfId="0" applyFont="1" applyFill="1" applyBorder="1" applyAlignment="1">
      <alignment horizontal="left" vertical="center" wrapText="1" indent="2"/>
    </xf>
    <xf numFmtId="0" fontId="7" fillId="47" borderId="35" xfId="0" applyFont="1" applyFill="1" applyBorder="1" applyAlignment="1">
      <alignment horizontal="left" vertical="center" wrapText="1" indent="2"/>
    </xf>
    <xf numFmtId="0" fontId="7" fillId="47" borderId="47" xfId="0" applyFont="1" applyFill="1" applyBorder="1" applyAlignment="1">
      <alignment horizontal="left" vertical="center" wrapText="1" indent="2"/>
    </xf>
    <xf numFmtId="0" fontId="7" fillId="47" borderId="43" xfId="0" applyFont="1" applyFill="1" applyBorder="1" applyAlignment="1">
      <alignment horizontal="left" vertical="center" wrapText="1" indent="2"/>
    </xf>
    <xf numFmtId="3" fontId="61" fillId="20" borderId="0" xfId="0" applyNumberFormat="1" applyFont="1" applyFill="1" applyAlignment="1">
      <alignment horizontal="center" vertical="center" wrapText="1"/>
    </xf>
    <xf numFmtId="0" fontId="62" fillId="0" borderId="0" xfId="0" applyFont="1" applyAlignment="1">
      <alignment horizontal="center"/>
    </xf>
    <xf numFmtId="0" fontId="7" fillId="45" borderId="35" xfId="0" applyFont="1" applyFill="1" applyBorder="1" applyAlignment="1">
      <alignment horizontal="left" vertical="center" wrapText="1" indent="2"/>
    </xf>
    <xf numFmtId="0" fontId="7" fillId="45" borderId="43" xfId="0" applyFont="1" applyFill="1" applyBorder="1" applyAlignment="1">
      <alignment horizontal="left" vertical="center" wrapText="1" indent="2"/>
    </xf>
    <xf numFmtId="170" fontId="95" fillId="20" borderId="35" xfId="0" applyNumberFormat="1" applyFont="1" applyFill="1" applyBorder="1" applyAlignment="1">
      <alignment horizontal="center" vertical="center"/>
    </xf>
    <xf numFmtId="9" fontId="7" fillId="0" borderId="144" xfId="0" applyNumberFormat="1" applyFont="1" applyBorder="1" applyAlignment="1">
      <alignment horizontal="right" vertical="center" indent="1"/>
    </xf>
    <xf numFmtId="167" fontId="85" fillId="0" borderId="0" xfId="0" applyNumberFormat="1" applyFont="1" applyAlignment="1">
      <alignment horizontal="center" vertical="center"/>
    </xf>
    <xf numFmtId="9" fontId="43" fillId="0" borderId="58" xfId="0" applyNumberFormat="1" applyFont="1" applyBorder="1" applyAlignment="1">
      <alignment horizontal="right" vertical="center" indent="1"/>
    </xf>
    <xf numFmtId="9" fontId="43" fillId="0" borderId="143" xfId="0" applyNumberFormat="1" applyFont="1" applyBorder="1" applyAlignment="1">
      <alignment horizontal="right" vertical="center" indent="1"/>
    </xf>
    <xf numFmtId="1" fontId="43" fillId="0" borderId="0" xfId="0" applyNumberFormat="1" applyFont="1" applyAlignment="1">
      <alignment horizontal="center" vertical="center"/>
    </xf>
    <xf numFmtId="166" fontId="43" fillId="0" borderId="0" xfId="0" applyNumberFormat="1" applyFont="1" applyAlignment="1">
      <alignment horizontal="right" vertical="center" indent="1"/>
    </xf>
    <xf numFmtId="9" fontId="43" fillId="0" borderId="144" xfId="0" applyNumberFormat="1" applyFont="1" applyBorder="1" applyAlignment="1">
      <alignment horizontal="center" vertical="center"/>
    </xf>
    <xf numFmtId="0" fontId="20" fillId="9" borderId="35" xfId="0" applyFont="1" applyFill="1" applyBorder="1" applyAlignment="1">
      <alignment horizontal="center" vertical="center" wrapText="1"/>
    </xf>
    <xf numFmtId="9" fontId="56" fillId="0" borderId="56" xfId="0" applyNumberFormat="1" applyFont="1" applyBorder="1" applyAlignment="1">
      <alignment horizontal="right" vertical="center" indent="1"/>
    </xf>
    <xf numFmtId="9" fontId="56" fillId="69" borderId="35" xfId="0" applyNumberFormat="1" applyFont="1" applyFill="1" applyBorder="1" applyAlignment="1">
      <alignment horizontal="center" vertical="center"/>
    </xf>
    <xf numFmtId="9" fontId="56" fillId="78" borderId="35" xfId="0" applyNumberFormat="1" applyFont="1" applyFill="1" applyBorder="1" applyAlignment="1">
      <alignment horizontal="center" vertical="center"/>
    </xf>
    <xf numFmtId="9" fontId="56" fillId="69" borderId="0" xfId="0" applyNumberFormat="1" applyFont="1" applyFill="1" applyAlignment="1">
      <alignment horizontal="center" vertical="center"/>
    </xf>
    <xf numFmtId="3" fontId="56" fillId="104" borderId="21" xfId="0" applyNumberFormat="1" applyFont="1" applyFill="1" applyBorder="1" applyAlignment="1">
      <alignment horizontal="left" vertical="center" indent="1"/>
    </xf>
    <xf numFmtId="9" fontId="56" fillId="104" borderId="21" xfId="0" applyNumberFormat="1" applyFont="1" applyFill="1" applyBorder="1" applyAlignment="1">
      <alignment horizontal="left" vertical="center" indent="1"/>
    </xf>
    <xf numFmtId="3" fontId="56" fillId="0" borderId="21" xfId="0" applyNumberFormat="1" applyFont="1" applyBorder="1" applyAlignment="1">
      <alignment horizontal="left" vertical="center" indent="1"/>
    </xf>
    <xf numFmtId="3" fontId="56" fillId="69" borderId="21" xfId="0" applyNumberFormat="1" applyFont="1" applyFill="1" applyBorder="1" applyAlignment="1">
      <alignment horizontal="left" vertical="center" indent="1"/>
    </xf>
    <xf numFmtId="3" fontId="43" fillId="78" borderId="0" xfId="1" applyNumberFormat="1" applyFont="1" applyFill="1" applyAlignment="1">
      <alignment horizontal="center" vertical="center"/>
    </xf>
    <xf numFmtId="3" fontId="43" fillId="78" borderId="35" xfId="1" applyNumberFormat="1" applyFont="1" applyFill="1" applyBorder="1" applyAlignment="1">
      <alignment horizontal="center" vertical="center"/>
    </xf>
    <xf numFmtId="3" fontId="7" fillId="0" borderId="35" xfId="1" applyNumberFormat="1" applyFont="1" applyBorder="1" applyAlignment="1">
      <alignment horizontal="right" vertical="center" indent="1"/>
    </xf>
    <xf numFmtId="3" fontId="43" fillId="104" borderId="0" xfId="0" applyNumberFormat="1" applyFont="1" applyFill="1" applyAlignment="1">
      <alignment horizontal="center" vertical="center"/>
    </xf>
    <xf numFmtId="0" fontId="7" fillId="0" borderId="21" xfId="0" applyFont="1" applyBorder="1" applyAlignment="1">
      <alignment horizontal="left" vertical="center" indent="1"/>
    </xf>
    <xf numFmtId="3" fontId="7" fillId="0" borderId="145" xfId="0" applyNumberFormat="1" applyFont="1" applyBorder="1" applyAlignment="1">
      <alignment horizontal="left" vertical="center" indent="1"/>
    </xf>
    <xf numFmtId="166" fontId="56" fillId="104" borderId="0" xfId="0" applyNumberFormat="1" applyFont="1" applyFill="1" applyAlignment="1">
      <alignment horizontal="center" vertical="center"/>
    </xf>
    <xf numFmtId="3" fontId="55" fillId="0" borderId="64" xfId="0" applyNumberFormat="1" applyFont="1" applyBorder="1" applyAlignment="1">
      <alignment horizontal="center" vertical="center"/>
    </xf>
    <xf numFmtId="3" fontId="56" fillId="0" borderId="64" xfId="0" applyNumberFormat="1" applyFont="1" applyBorder="1" applyAlignment="1">
      <alignment horizontal="center" vertical="center"/>
    </xf>
    <xf numFmtId="3" fontId="57" fillId="0" borderId="64" xfId="0" applyNumberFormat="1" applyFont="1" applyBorder="1" applyAlignment="1">
      <alignment horizontal="center" vertical="center"/>
    </xf>
    <xf numFmtId="3" fontId="75" fillId="103" borderId="64" xfId="0" applyNumberFormat="1" applyFont="1" applyFill="1" applyBorder="1" applyAlignment="1">
      <alignment horizontal="center" vertical="center"/>
    </xf>
    <xf numFmtId="3" fontId="7" fillId="78" borderId="64" xfId="0" applyNumberFormat="1" applyFont="1" applyFill="1" applyBorder="1" applyAlignment="1">
      <alignment horizontal="center" vertical="center"/>
    </xf>
    <xf numFmtId="3" fontId="7" fillId="78" borderId="80" xfId="0" applyNumberFormat="1" applyFont="1" applyFill="1" applyBorder="1" applyAlignment="1">
      <alignment horizontal="center" vertical="center"/>
    </xf>
    <xf numFmtId="9" fontId="48" fillId="11" borderId="97" xfId="0" applyNumberFormat="1" applyFont="1" applyFill="1" applyBorder="1" applyAlignment="1">
      <alignment horizontal="center" vertical="center"/>
    </xf>
    <xf numFmtId="166" fontId="48" fillId="11" borderId="60" xfId="0" applyNumberFormat="1" applyFont="1" applyFill="1" applyBorder="1" applyAlignment="1">
      <alignment horizontal="right" vertical="center" indent="1"/>
    </xf>
    <xf numFmtId="9" fontId="48" fillId="11" borderId="0" xfId="0" applyNumberFormat="1" applyFont="1" applyFill="1" applyAlignment="1">
      <alignment horizontal="center" vertical="center" wrapText="1"/>
    </xf>
    <xf numFmtId="9" fontId="76" fillId="11" borderId="12" xfId="0" applyNumberFormat="1" applyFont="1" applyFill="1" applyBorder="1" applyAlignment="1">
      <alignment horizontal="center" vertical="center"/>
    </xf>
    <xf numFmtId="9" fontId="70" fillId="0" borderId="12" xfId="0" applyNumberFormat="1" applyFont="1" applyBorder="1" applyAlignment="1">
      <alignment horizontal="center" vertical="center"/>
    </xf>
    <xf numFmtId="9" fontId="70" fillId="0" borderId="76" xfId="0" applyNumberFormat="1" applyFont="1" applyBorder="1" applyAlignment="1">
      <alignment horizontal="center" vertical="center"/>
    </xf>
    <xf numFmtId="9" fontId="76" fillId="12" borderId="61" xfId="0" applyNumberFormat="1" applyFont="1" applyFill="1" applyBorder="1" applyAlignment="1">
      <alignment horizontal="right" vertical="center" wrapText="1" indent="1"/>
    </xf>
    <xf numFmtId="9" fontId="70" fillId="8" borderId="95" xfId="0" applyNumberFormat="1" applyFont="1" applyFill="1" applyBorder="1" applyAlignment="1">
      <alignment horizontal="right" vertical="center" wrapText="1" indent="1"/>
    </xf>
    <xf numFmtId="9" fontId="70" fillId="8" borderId="115" xfId="0" applyNumberFormat="1" applyFont="1" applyFill="1" applyBorder="1" applyAlignment="1">
      <alignment horizontal="right" vertical="center" wrapText="1" indent="1"/>
    </xf>
    <xf numFmtId="9" fontId="76" fillId="12" borderId="12" xfId="0" applyNumberFormat="1" applyFont="1" applyFill="1" applyBorder="1" applyAlignment="1">
      <alignment horizontal="right" vertical="center" wrapText="1" indent="1"/>
    </xf>
    <xf numFmtId="9" fontId="70" fillId="8" borderId="12" xfId="0" applyNumberFormat="1" applyFont="1" applyFill="1" applyBorder="1" applyAlignment="1">
      <alignment horizontal="right" vertical="center" wrapText="1" indent="1"/>
    </xf>
    <xf numFmtId="9" fontId="70" fillId="8" borderId="76" xfId="0" applyNumberFormat="1" applyFont="1" applyFill="1" applyBorder="1" applyAlignment="1">
      <alignment horizontal="right" vertical="center" wrapText="1" indent="1"/>
    </xf>
    <xf numFmtId="9" fontId="76" fillId="12" borderId="60" xfId="0" applyNumberFormat="1" applyFont="1" applyFill="1" applyBorder="1" applyAlignment="1">
      <alignment horizontal="center" vertical="center" wrapText="1"/>
    </xf>
    <xf numFmtId="9" fontId="70" fillId="8" borderId="60" xfId="0" applyNumberFormat="1" applyFont="1" applyFill="1" applyBorder="1" applyAlignment="1">
      <alignment horizontal="center" vertical="center" wrapText="1"/>
    </xf>
    <xf numFmtId="9" fontId="70" fillId="8" borderId="77" xfId="0" applyNumberFormat="1" applyFont="1" applyFill="1" applyBorder="1" applyAlignment="1">
      <alignment horizontal="center" vertical="center" wrapText="1"/>
    </xf>
    <xf numFmtId="9" fontId="76" fillId="12" borderId="12" xfId="0" applyNumberFormat="1" applyFont="1" applyFill="1" applyBorder="1" applyAlignment="1">
      <alignment horizontal="center" vertical="center" wrapText="1"/>
    </xf>
    <xf numFmtId="9" fontId="70" fillId="8" borderId="12" xfId="0" applyNumberFormat="1" applyFont="1" applyFill="1" applyBorder="1" applyAlignment="1">
      <alignment horizontal="center" vertical="center" wrapText="1"/>
    </xf>
    <xf numFmtId="9" fontId="70" fillId="8" borderId="76" xfId="0" applyNumberFormat="1" applyFont="1" applyFill="1" applyBorder="1" applyAlignment="1">
      <alignment horizontal="center" vertical="center" wrapText="1"/>
    </xf>
    <xf numFmtId="9" fontId="76" fillId="8" borderId="60" xfId="0" applyNumberFormat="1" applyFont="1" applyFill="1" applyBorder="1" applyAlignment="1">
      <alignment horizontal="center" vertical="center" wrapText="1"/>
    </xf>
    <xf numFmtId="9" fontId="76" fillId="12" borderId="15" xfId="0" applyNumberFormat="1" applyFont="1" applyFill="1" applyBorder="1" applyAlignment="1">
      <alignment horizontal="center" vertical="center" wrapText="1"/>
    </xf>
    <xf numFmtId="9" fontId="70" fillId="8" borderId="18" xfId="0" applyNumberFormat="1" applyFont="1" applyFill="1" applyBorder="1" applyAlignment="1">
      <alignment horizontal="center" vertical="center" wrapText="1"/>
    </xf>
    <xf numFmtId="9" fontId="70" fillId="8" borderId="11" xfId="0" applyNumberFormat="1" applyFont="1" applyFill="1" applyBorder="1" applyAlignment="1">
      <alignment horizontal="center" vertical="center" wrapText="1"/>
    </xf>
    <xf numFmtId="9" fontId="70" fillId="8" borderId="112" xfId="0" applyNumberFormat="1" applyFont="1" applyFill="1" applyBorder="1" applyAlignment="1">
      <alignment horizontal="center" vertical="center" wrapText="1"/>
    </xf>
    <xf numFmtId="9" fontId="76" fillId="12" borderId="11" xfId="0" applyNumberFormat="1" applyFont="1" applyFill="1" applyBorder="1" applyAlignment="1">
      <alignment horizontal="center" vertical="center" wrapText="1"/>
    </xf>
    <xf numFmtId="164" fontId="41" fillId="0" borderId="35" xfId="0" applyNumberFormat="1" applyFont="1" applyFill="1" applyBorder="1" applyAlignment="1">
      <alignment horizontal="center" vertical="center"/>
    </xf>
    <xf numFmtId="1" fontId="56" fillId="104" borderId="167" xfId="0" applyNumberFormat="1" applyFont="1" applyFill="1" applyBorder="1" applyAlignment="1">
      <alignment horizontal="center" vertical="center"/>
    </xf>
    <xf numFmtId="9" fontId="56" fillId="104" borderId="167" xfId="0" applyNumberFormat="1" applyFont="1" applyFill="1" applyBorder="1" applyAlignment="1">
      <alignment horizontal="center" vertical="center"/>
    </xf>
    <xf numFmtId="9" fontId="96" fillId="0" borderId="0" xfId="0" applyNumberFormat="1" applyFont="1" applyFill="1" applyAlignment="1">
      <alignment horizontal="center" vertical="center"/>
    </xf>
    <xf numFmtId="9" fontId="43" fillId="0" borderId="35" xfId="0" applyNumberFormat="1" applyFont="1" applyBorder="1" applyAlignment="1">
      <alignment horizontal="center" vertical="center"/>
    </xf>
    <xf numFmtId="0" fontId="10" fillId="20" borderId="46" xfId="0" applyFont="1" applyFill="1" applyBorder="1" applyAlignment="1"/>
    <xf numFmtId="0" fontId="10" fillId="20" borderId="46" xfId="0" applyFont="1" applyFill="1" applyBorder="1" applyAlignment="1">
      <alignment horizontal="center" vertical="center"/>
    </xf>
    <xf numFmtId="164" fontId="10" fillId="20" borderId="46" xfId="0" applyNumberFormat="1" applyFont="1" applyFill="1" applyBorder="1" applyAlignment="1">
      <alignment horizontal="center" vertical="center"/>
    </xf>
    <xf numFmtId="0" fontId="120" fillId="107" borderId="0" xfId="0" applyFont="1" applyFill="1" applyAlignment="1">
      <alignment horizontal="right" vertical="center" indent="1"/>
    </xf>
  </cellXfs>
  <cellStyles count="3">
    <cellStyle name="Comma [0]" xfId="1" builtinId="6"/>
    <cellStyle name="Normal" xfId="0" builtinId="0"/>
    <cellStyle name="Per cent" xfId="2" builtinId="5"/>
  </cellStyles>
  <dxfs count="3245">
    <dxf>
      <fill>
        <patternFill patternType="solid">
          <fgColor rgb="FFD9D9D9"/>
          <bgColor rgb="FFD9D9D9"/>
        </patternFill>
      </fill>
    </dxf>
    <dxf>
      <font>
        <b/>
        <color theme="1"/>
      </font>
      <fill>
        <patternFill patternType="solid">
          <fgColor rgb="FFEFEFEF"/>
          <bgColor rgb="FFEFEFEF"/>
        </patternFill>
      </fill>
    </dxf>
    <dxf>
      <font>
        <b/>
        <color theme="1"/>
      </font>
      <fill>
        <patternFill patternType="solid">
          <fgColor rgb="FFEFEFEF"/>
          <bgColor rgb="FFEFEFEF"/>
        </patternFill>
      </fill>
    </dxf>
    <dxf>
      <fill>
        <patternFill patternType="solid">
          <fgColor rgb="FFD9D9D9"/>
          <bgColor rgb="FFD9D9D9"/>
        </patternFill>
      </fill>
    </dxf>
    <dxf>
      <font>
        <b/>
        <color theme="1"/>
      </font>
      <fill>
        <patternFill patternType="solid">
          <fgColor rgb="FFEFEFEF"/>
          <bgColor rgb="FFEFEFEF"/>
        </patternFill>
      </fill>
    </dxf>
    <dxf>
      <font>
        <b/>
        <color theme="1"/>
      </font>
      <fill>
        <patternFill patternType="solid">
          <fgColor rgb="FFEFEFEF"/>
          <bgColor rgb="FFEFEFEF"/>
        </patternFill>
      </fill>
    </dxf>
    <dxf>
      <fill>
        <patternFill patternType="solid">
          <fgColor rgb="FFB7E1CD"/>
          <bgColor rgb="FFB7E1CD"/>
        </patternFill>
      </fill>
    </dxf>
    <dxf>
      <font>
        <b/>
        <color theme="1"/>
      </font>
      <fill>
        <patternFill patternType="solid">
          <fgColor rgb="FFEFEFEF"/>
          <bgColor rgb="FFEFEFEF"/>
        </patternFill>
      </fill>
    </dxf>
    <dxf>
      <font>
        <b/>
        <color theme="1"/>
      </font>
      <fill>
        <patternFill patternType="solid">
          <fgColor rgb="FFEFEFEF"/>
          <bgColor rgb="FFEFEFEF"/>
        </patternFill>
      </fill>
    </dxf>
    <dxf>
      <fill>
        <patternFill patternType="solid">
          <fgColor rgb="FFEAD1DC"/>
          <bgColor rgb="FFEAD1DC"/>
        </patternFill>
      </fill>
    </dxf>
    <dxf>
      <fill>
        <patternFill patternType="solid">
          <fgColor rgb="FFCCCCCC"/>
          <bgColor rgb="FFCCCCCC"/>
        </patternFill>
      </fill>
    </dxf>
    <dxf>
      <fill>
        <patternFill patternType="solid">
          <fgColor rgb="FFEAD1DC"/>
          <bgColor rgb="FFEAD1DC"/>
        </patternFill>
      </fill>
    </dxf>
    <dxf>
      <fill>
        <patternFill patternType="solid">
          <fgColor rgb="FFCCCCCC"/>
          <bgColor rgb="FFCCCCCC"/>
        </patternFill>
      </fill>
    </dxf>
    <dxf>
      <fill>
        <patternFill patternType="solid">
          <fgColor rgb="FFD9D9D9"/>
          <bgColor rgb="FFD9D9D9"/>
        </patternFill>
      </fill>
    </dxf>
    <dxf>
      <font>
        <b/>
        <color theme="1"/>
      </font>
      <fill>
        <patternFill patternType="solid">
          <fgColor rgb="FFEFEFEF"/>
          <bgColor rgb="FFEFEFEF"/>
        </patternFill>
      </fill>
    </dxf>
    <dxf>
      <font>
        <b/>
        <color theme="1"/>
      </font>
      <fill>
        <patternFill patternType="solid">
          <fgColor rgb="FFEFEFEF"/>
          <bgColor rgb="FFEFEFEF"/>
        </patternFill>
      </fill>
    </dxf>
    <dxf>
      <fill>
        <patternFill patternType="solid">
          <fgColor rgb="FFD9D9D9"/>
          <bgColor rgb="FFD9D9D9"/>
        </patternFill>
      </fill>
    </dxf>
    <dxf>
      <font>
        <b/>
        <color theme="1"/>
      </font>
      <fill>
        <patternFill patternType="solid">
          <fgColor rgb="FFEFEFEF"/>
          <bgColor rgb="FFEFEFEF"/>
        </patternFill>
      </fill>
    </dxf>
    <dxf>
      <font>
        <b/>
        <color theme="1"/>
      </font>
      <fill>
        <patternFill patternType="solid">
          <fgColor rgb="FFEFEFEF"/>
          <bgColor rgb="FFEFEFEF"/>
        </patternFill>
      </fill>
    </dxf>
    <dxf>
      <fill>
        <patternFill patternType="solid">
          <fgColor rgb="FFEAD1DC"/>
          <bgColor rgb="FFEAD1DC"/>
        </patternFill>
      </fill>
    </dxf>
    <dxf>
      <fill>
        <patternFill patternType="solid">
          <fgColor rgb="FFCCCCCC"/>
          <bgColor rgb="FFCCCCCC"/>
        </patternFill>
      </fill>
    </dxf>
    <dxf>
      <fill>
        <patternFill patternType="solid">
          <fgColor rgb="FFD9D9D9"/>
          <bgColor rgb="FFD9D9D9"/>
        </patternFill>
      </fill>
    </dxf>
    <dxf>
      <font>
        <b/>
        <color theme="1"/>
      </font>
      <fill>
        <patternFill patternType="solid">
          <fgColor rgb="FFEFEFEF"/>
          <bgColor rgb="FFEFEFEF"/>
        </patternFill>
      </fill>
    </dxf>
    <dxf>
      <font>
        <b/>
        <color theme="1"/>
      </font>
      <fill>
        <patternFill patternType="solid">
          <fgColor rgb="FFEFEFEF"/>
          <bgColor rgb="FFEFEFEF"/>
        </patternFill>
      </fill>
    </dxf>
    <dxf>
      <fill>
        <patternFill patternType="solid">
          <fgColor rgb="FFD9D9D9"/>
          <bgColor rgb="FFD9D9D9"/>
        </patternFill>
      </fill>
    </dxf>
    <dxf>
      <fill>
        <patternFill patternType="solid">
          <fgColor rgb="FFD9D9D9"/>
          <bgColor rgb="FFD9D9D9"/>
        </patternFill>
      </fill>
    </dxf>
    <dxf>
      <font>
        <b/>
        <color theme="1"/>
      </font>
      <fill>
        <patternFill patternType="solid">
          <fgColor rgb="FFEFEFEF"/>
          <bgColor rgb="FFEFEFEF"/>
        </patternFill>
      </fill>
    </dxf>
    <dxf>
      <font>
        <b/>
        <color theme="1"/>
      </font>
      <fill>
        <patternFill patternType="solid">
          <fgColor rgb="FFEFEFEF"/>
          <bgColor rgb="FFEFEFEF"/>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3C78D8"/>
          <bgColor rgb="FF3C78D8"/>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3C78D8"/>
          <bgColor rgb="FF3C78D8"/>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3C78D8"/>
          <bgColor rgb="FF3C78D8"/>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CCCCCC"/>
          <bgColor rgb="FFCCCCCC"/>
        </patternFill>
      </fill>
    </dxf>
    <dxf>
      <fill>
        <patternFill patternType="solid">
          <fgColor rgb="FFF4CCCC"/>
          <bgColor rgb="FFF4CCCC"/>
        </patternFill>
      </fill>
    </dxf>
    <dxf>
      <fill>
        <patternFill patternType="solid">
          <fgColor rgb="FF3C78D8"/>
          <bgColor rgb="FF3C78D8"/>
        </patternFill>
      </fill>
    </dxf>
    <dxf>
      <fill>
        <patternFill patternType="solid">
          <fgColor rgb="FFEAD1DC"/>
          <bgColor rgb="FFEAD1DC"/>
        </patternFill>
      </fill>
    </dxf>
    <dxf>
      <fill>
        <patternFill patternType="solid">
          <fgColor rgb="FFCCCCCC"/>
          <bgColor rgb="FFCCCCCC"/>
        </patternFill>
      </fill>
    </dxf>
    <dxf>
      <fill>
        <patternFill patternType="solid">
          <fgColor rgb="FFD9D9D9"/>
          <bgColor rgb="FFD9D9D9"/>
        </patternFill>
      </fill>
    </dxf>
    <dxf>
      <font>
        <b/>
        <color theme="1"/>
      </font>
      <fill>
        <patternFill patternType="solid">
          <fgColor rgb="FFEFEFEF"/>
          <bgColor rgb="FFEFEFEF"/>
        </patternFill>
      </fill>
    </dxf>
    <dxf>
      <font>
        <b/>
        <color theme="1"/>
      </font>
      <fill>
        <patternFill patternType="solid">
          <fgColor rgb="FFEFEFEF"/>
          <bgColor rgb="FFEFEFEF"/>
        </patternFill>
      </fill>
    </dxf>
    <dxf>
      <fill>
        <patternFill patternType="solid">
          <fgColor rgb="FFEAD1DC"/>
          <bgColor rgb="FFEAD1DC"/>
        </patternFill>
      </fill>
    </dxf>
    <dxf>
      <fill>
        <patternFill patternType="solid">
          <fgColor rgb="FFCCCCCC"/>
          <bgColor rgb="FFCCCCCC"/>
        </patternFill>
      </fill>
    </dxf>
    <dxf>
      <fill>
        <patternFill patternType="solid">
          <fgColor rgb="FFEAD1DC"/>
          <bgColor rgb="FFEAD1DC"/>
        </patternFill>
      </fill>
    </dxf>
    <dxf>
      <fill>
        <patternFill patternType="solid">
          <fgColor rgb="FFCCCCCC"/>
          <bgColor rgb="FFCCCCCC"/>
        </patternFill>
      </fill>
    </dxf>
    <dxf>
      <fill>
        <patternFill patternType="solid">
          <fgColor rgb="FFD9D9D9"/>
          <bgColor rgb="FFD9D9D9"/>
        </patternFill>
      </fill>
    </dxf>
    <dxf>
      <font>
        <b/>
        <color theme="1"/>
      </font>
      <fill>
        <patternFill patternType="solid">
          <fgColor rgb="FFEFEFEF"/>
          <bgColor rgb="FFEFEFEF"/>
        </patternFill>
      </fill>
    </dxf>
    <dxf>
      <font>
        <b/>
        <color theme="1"/>
      </font>
      <fill>
        <patternFill patternType="solid">
          <fgColor rgb="FFEFEFEF"/>
          <bgColor rgb="FFEFEFEF"/>
        </patternFill>
      </fill>
    </dxf>
    <dxf>
      <fill>
        <patternFill patternType="solid">
          <fgColor rgb="FFD9D9D9"/>
          <bgColor rgb="FFD9D9D9"/>
        </patternFill>
      </fill>
    </dxf>
    <dxf>
      <font>
        <b/>
        <color theme="1"/>
      </font>
      <fill>
        <patternFill patternType="solid">
          <fgColor rgb="FFEFEFEF"/>
          <bgColor rgb="FFEFEFEF"/>
        </patternFill>
      </fill>
    </dxf>
    <dxf>
      <font>
        <b/>
        <color theme="1"/>
      </font>
      <fill>
        <patternFill patternType="solid">
          <fgColor rgb="FFEFEFEF"/>
          <bgColor rgb="FFEFEFEF"/>
        </patternFill>
      </fill>
    </dxf>
    <dxf>
      <fill>
        <patternFill patternType="solid">
          <fgColor rgb="FFEAD1DC"/>
          <bgColor rgb="FFEAD1DC"/>
        </patternFill>
      </fill>
    </dxf>
    <dxf>
      <fill>
        <patternFill patternType="solid">
          <fgColor rgb="FFCCCCCC"/>
          <bgColor rgb="FFCCCCCC"/>
        </patternFill>
      </fill>
    </dxf>
    <dxf>
      <fill>
        <patternFill patternType="solid">
          <fgColor rgb="FFD9D9D9"/>
          <bgColor rgb="FFD9D9D9"/>
        </patternFill>
      </fill>
    </dxf>
    <dxf>
      <font>
        <b/>
        <color theme="1"/>
      </font>
      <fill>
        <patternFill patternType="solid">
          <fgColor rgb="FFEFEFEF"/>
          <bgColor rgb="FFEFEFEF"/>
        </patternFill>
      </fill>
    </dxf>
    <dxf>
      <font>
        <b/>
        <color theme="1"/>
      </font>
      <fill>
        <patternFill patternType="solid">
          <fgColor rgb="FFEFEFEF"/>
          <bgColor rgb="FFEFEFEF"/>
        </patternFill>
      </fill>
    </dxf>
    <dxf>
      <fill>
        <patternFill patternType="solid">
          <fgColor rgb="FFD9D9D9"/>
          <bgColor rgb="FFD9D9D9"/>
        </patternFill>
      </fill>
    </dxf>
    <dxf>
      <fill>
        <patternFill patternType="solid">
          <fgColor rgb="FFEAD1DC"/>
          <bgColor rgb="FFEAD1DC"/>
        </patternFill>
      </fill>
    </dxf>
    <dxf>
      <fill>
        <patternFill patternType="solid">
          <fgColor rgb="FFCCCCCC"/>
          <bgColor rgb="FFCCCCCC"/>
        </patternFill>
      </fill>
    </dxf>
    <dxf>
      <fill>
        <patternFill patternType="solid">
          <fgColor rgb="FFD9D9D9"/>
          <bgColor rgb="FFD9D9D9"/>
        </patternFill>
      </fill>
    </dxf>
    <dxf>
      <font>
        <b/>
        <color theme="1"/>
      </font>
      <fill>
        <patternFill patternType="solid">
          <fgColor rgb="FFEFEFEF"/>
          <bgColor rgb="FFEFEFEF"/>
        </patternFill>
      </fill>
    </dxf>
    <dxf>
      <font>
        <b/>
        <color theme="1"/>
      </font>
      <fill>
        <patternFill patternType="solid">
          <fgColor rgb="FFEFEFEF"/>
          <bgColor rgb="FFEFEFEF"/>
        </patternFill>
      </fill>
    </dxf>
    <dxf>
      <fill>
        <patternFill patternType="solid">
          <fgColor rgb="FFEAD1DC"/>
          <bgColor rgb="FFEAD1DC"/>
        </patternFill>
      </fill>
    </dxf>
    <dxf>
      <fill>
        <patternFill patternType="solid">
          <fgColor rgb="FFCCCCCC"/>
          <bgColor rgb="FFCCCCCC"/>
        </patternFill>
      </fill>
    </dxf>
    <dxf>
      <fill>
        <patternFill patternType="solid">
          <fgColor rgb="FFD9D9D9"/>
          <bgColor rgb="FFD9D9D9"/>
        </patternFill>
      </fill>
    </dxf>
    <dxf>
      <font>
        <b/>
        <color theme="1"/>
      </font>
      <fill>
        <patternFill patternType="solid">
          <fgColor rgb="FFEFEFEF"/>
          <bgColor rgb="FFEFEFEF"/>
        </patternFill>
      </fill>
    </dxf>
    <dxf>
      <font>
        <b/>
        <color theme="1"/>
      </font>
      <fill>
        <patternFill patternType="solid">
          <fgColor rgb="FFEFEFEF"/>
          <bgColor rgb="FFEFEFEF"/>
        </patternFill>
      </fill>
    </dxf>
    <dxf>
      <fill>
        <patternFill patternType="solid">
          <fgColor rgb="FFEAD1DC"/>
          <bgColor rgb="FFEAD1DC"/>
        </patternFill>
      </fill>
    </dxf>
    <dxf>
      <fill>
        <patternFill patternType="solid">
          <fgColor rgb="FFCCCCCC"/>
          <bgColor rgb="FFCCCCCC"/>
        </patternFill>
      </fill>
    </dxf>
    <dxf>
      <fill>
        <patternFill patternType="solid">
          <fgColor rgb="FFD9D9D9"/>
          <bgColor rgb="FFD9D9D9"/>
        </patternFill>
      </fill>
    </dxf>
    <dxf>
      <font>
        <b/>
        <color theme="1"/>
      </font>
      <fill>
        <patternFill patternType="solid">
          <fgColor rgb="FFEFEFEF"/>
          <bgColor rgb="FFEFEFEF"/>
        </patternFill>
      </fill>
    </dxf>
    <dxf>
      <font>
        <b/>
        <color theme="1"/>
      </font>
      <fill>
        <patternFill patternType="solid">
          <fgColor rgb="FFEFEFEF"/>
          <bgColor rgb="FFEFEFEF"/>
        </patternFill>
      </fill>
    </dxf>
    <dxf>
      <fill>
        <patternFill patternType="solid">
          <fgColor rgb="FFEAD1DC"/>
          <bgColor rgb="FFEAD1DC"/>
        </patternFill>
      </fill>
    </dxf>
    <dxf>
      <fill>
        <patternFill patternType="solid">
          <fgColor rgb="FFCCCCCC"/>
          <bgColor rgb="FFCCCCCC"/>
        </patternFill>
      </fill>
    </dxf>
    <dxf>
      <fill>
        <patternFill patternType="solid">
          <fgColor rgb="FFD9D9D9"/>
          <bgColor rgb="FFD9D9D9"/>
        </patternFill>
      </fill>
    </dxf>
    <dxf>
      <font>
        <b/>
        <color theme="1"/>
      </font>
      <fill>
        <patternFill patternType="solid">
          <fgColor rgb="FFEFEFEF"/>
          <bgColor rgb="FFEFEFEF"/>
        </patternFill>
      </fill>
    </dxf>
    <dxf>
      <font>
        <b/>
        <color theme="1"/>
      </font>
      <fill>
        <patternFill patternType="solid">
          <fgColor rgb="FFEFEFEF"/>
          <bgColor rgb="FFEFEFEF"/>
        </patternFill>
      </fill>
    </dxf>
    <dxf>
      <fill>
        <patternFill patternType="solid">
          <fgColor rgb="FFEAD1DC"/>
          <bgColor rgb="FFEAD1DC"/>
        </patternFill>
      </fill>
    </dxf>
    <dxf>
      <fill>
        <patternFill patternType="solid">
          <fgColor rgb="FFCCCCCC"/>
          <bgColor rgb="FFCCCCCC"/>
        </patternFill>
      </fill>
    </dxf>
    <dxf>
      <fill>
        <patternFill patternType="solid">
          <fgColor rgb="FFD9D9D9"/>
          <bgColor rgb="FFD9D9D9"/>
        </patternFill>
      </fill>
    </dxf>
    <dxf>
      <font>
        <b/>
        <color theme="1"/>
      </font>
      <fill>
        <patternFill patternType="solid">
          <fgColor rgb="FFEFEFEF"/>
          <bgColor rgb="FFEFEFEF"/>
        </patternFill>
      </fill>
    </dxf>
    <dxf>
      <font>
        <b/>
        <color theme="1"/>
      </font>
      <fill>
        <patternFill patternType="solid">
          <fgColor rgb="FFEFEFEF"/>
          <bgColor rgb="FFEFEFEF"/>
        </patternFill>
      </fill>
    </dxf>
    <dxf>
      <fill>
        <patternFill patternType="solid">
          <fgColor rgb="FFD9D9D9"/>
          <bgColor rgb="FFD9D9D9"/>
        </patternFill>
      </fill>
    </dxf>
    <dxf>
      <fill>
        <patternFill patternType="solid">
          <fgColor rgb="FFEAD1DC"/>
          <bgColor rgb="FFEAD1DC"/>
        </patternFill>
      </fill>
    </dxf>
    <dxf>
      <fill>
        <patternFill patternType="solid">
          <fgColor rgb="FFCCCCCC"/>
          <bgColor rgb="FFCCCCCC"/>
        </patternFill>
      </fill>
    </dxf>
    <dxf>
      <fill>
        <patternFill patternType="solid">
          <fgColor rgb="FFD9D9D9"/>
          <bgColor rgb="FFD9D9D9"/>
        </patternFill>
      </fill>
    </dxf>
    <dxf>
      <font>
        <b/>
        <color theme="1"/>
      </font>
      <fill>
        <patternFill patternType="solid">
          <fgColor rgb="FFEFEFEF"/>
          <bgColor rgb="FFEFEFEF"/>
        </patternFill>
      </fill>
    </dxf>
    <dxf>
      <font>
        <b/>
        <color theme="1"/>
      </font>
      <fill>
        <patternFill patternType="solid">
          <fgColor rgb="FFEFEFEF"/>
          <bgColor rgb="FFEFEFEF"/>
        </patternFill>
      </fill>
    </dxf>
    <dxf>
      <fill>
        <patternFill patternType="solid">
          <fgColor rgb="FFEAD1DC"/>
          <bgColor rgb="FFEAD1DC"/>
        </patternFill>
      </fill>
    </dxf>
    <dxf>
      <fill>
        <patternFill patternType="solid">
          <fgColor rgb="FFCCCCCC"/>
          <bgColor rgb="FFCCCCCC"/>
        </patternFill>
      </fill>
    </dxf>
    <dxf>
      <fill>
        <patternFill patternType="solid">
          <fgColor rgb="FFD9D9D9"/>
          <bgColor rgb="FFD9D9D9"/>
        </patternFill>
      </fill>
    </dxf>
    <dxf>
      <font>
        <b/>
        <color theme="1"/>
      </font>
      <fill>
        <patternFill patternType="solid">
          <fgColor rgb="FFEFEFEF"/>
          <bgColor rgb="FFEFEFEF"/>
        </patternFill>
      </fill>
    </dxf>
    <dxf>
      <font>
        <b/>
        <color theme="1"/>
      </font>
      <fill>
        <patternFill patternType="solid">
          <fgColor rgb="FFEFEFEF"/>
          <bgColor rgb="FFEFEFEF"/>
        </patternFill>
      </fill>
    </dxf>
    <dxf>
      <font>
        <b val="0"/>
        <strike val="0"/>
        <outline val="0"/>
        <shadow val="0"/>
        <vertAlign val="baseline"/>
        <color theme="1"/>
        <name val="Verdana"/>
        <family val="2"/>
        <scheme val="none"/>
      </font>
      <fill>
        <patternFill patternType="solid">
          <fgColor rgb="FFFFFFFF"/>
          <bgColor rgb="FFFFFFFF"/>
        </patternFill>
      </fill>
      <alignment horizontal="general" vertical="center" textRotation="0" wrapText="0" indent="0" justifyLastLine="0" shrinkToFit="0" readingOrder="0"/>
    </dxf>
    <dxf>
      <font>
        <strike val="0"/>
        <outline val="0"/>
        <shadow val="0"/>
        <vertAlign val="baseline"/>
        <name val="Verdana"/>
        <family val="2"/>
        <scheme val="none"/>
      </font>
    </dxf>
    <dxf>
      <font>
        <strike val="0"/>
        <outline val="0"/>
        <shadow val="0"/>
        <vertAlign val="baseline"/>
        <name val="Verdana"/>
        <family val="2"/>
        <scheme val="none"/>
      </font>
    </dxf>
    <dxf>
      <font>
        <strike val="0"/>
        <outline val="0"/>
        <shadow val="0"/>
        <vertAlign val="baseline"/>
        <name val="Verdana"/>
        <family val="2"/>
        <scheme val="none"/>
      </font>
      <border outline="0">
        <left style="thin">
          <color rgb="FFFFFFFF"/>
        </left>
      </border>
    </dxf>
    <dxf>
      <font>
        <strike val="0"/>
        <outline val="0"/>
        <shadow val="0"/>
        <vertAlign val="baseline"/>
        <name val="Verdana"/>
        <family val="2"/>
        <scheme val="none"/>
      </font>
      <alignment horizontal="center" vertical="center" textRotation="0" wrapText="0" indent="0" justifyLastLine="0" shrinkToFit="0" readingOrder="0"/>
      <border outline="0">
        <left style="thin">
          <color rgb="FFFFFFFF"/>
        </left>
      </border>
    </dxf>
    <dxf>
      <font>
        <strike val="0"/>
        <outline val="0"/>
        <shadow val="0"/>
        <vertAlign val="baseline"/>
        <name val="Verdana"/>
        <family val="2"/>
        <scheme val="none"/>
      </font>
      <alignment horizontal="center" vertical="center" textRotation="0" wrapText="0" indent="0" justifyLastLine="0" shrinkToFit="0" readingOrder="0"/>
      <border outline="0">
        <left style="thin">
          <color rgb="FFFFFFFF"/>
        </left>
        <right style="thin">
          <color rgb="FFFFFFFF"/>
        </right>
      </border>
    </dxf>
    <dxf>
      <font>
        <strike val="0"/>
        <outline val="0"/>
        <shadow val="0"/>
        <vertAlign val="baseline"/>
        <name val="Verdana"/>
        <family val="2"/>
        <scheme val="none"/>
      </font>
      <alignment horizontal="center" vertical="center" textRotation="0" wrapText="0" indent="0" justifyLastLine="0" shrinkToFit="0" readingOrder="0"/>
      <border outline="0">
        <right style="thin">
          <color rgb="FFFFFFFF"/>
        </right>
      </border>
    </dxf>
    <dxf>
      <font>
        <strike val="0"/>
        <outline val="0"/>
        <shadow val="0"/>
        <vertAlign val="baseline"/>
        <name val="Verdana"/>
        <family val="2"/>
        <scheme val="none"/>
      </font>
      <border outline="0">
        <right style="thin">
          <color rgb="FFFFFFFF"/>
        </right>
      </border>
    </dxf>
    <dxf>
      <font>
        <strike val="0"/>
        <outline val="0"/>
        <shadow val="0"/>
        <vertAlign val="baseline"/>
        <name val="Verdana"/>
        <family val="2"/>
        <scheme val="none"/>
      </font>
    </dxf>
    <dxf>
      <font>
        <strike val="0"/>
        <outline val="0"/>
        <shadow val="0"/>
        <vertAlign val="baseline"/>
        <name val="Verdana"/>
        <family val="2"/>
        <scheme val="none"/>
      </font>
    </dxf>
    <dxf>
      <font>
        <strike val="0"/>
        <outline val="0"/>
        <shadow val="0"/>
        <vertAlign val="baseline"/>
        <name val="Verdana"/>
        <family val="2"/>
        <scheme val="none"/>
      </font>
    </dxf>
    <dxf>
      <font>
        <strike val="0"/>
        <outline val="0"/>
        <shadow val="0"/>
        <vertAlign val="baseline"/>
        <name val="Verdana"/>
        <family val="2"/>
        <scheme val="none"/>
      </font>
    </dxf>
    <dxf>
      <font>
        <b/>
        <i val="0"/>
        <strike val="0"/>
        <condense val="0"/>
        <extend val="0"/>
        <outline val="0"/>
        <shadow val="0"/>
        <u val="none"/>
        <vertAlign val="baseline"/>
        <sz val="10"/>
        <color theme="0"/>
        <name val="Verdana"/>
        <family val="2"/>
        <scheme val="none"/>
      </font>
      <fill>
        <patternFill patternType="solid">
          <fgColor indexed="64"/>
          <bgColor theme="4"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Verdana"/>
        <family val="2"/>
        <scheme val="none"/>
      </font>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strike val="0"/>
        <outline val="0"/>
        <shadow val="0"/>
        <u val="none"/>
        <vertAlign val="baseline"/>
        <sz val="10"/>
        <name val="Verdana"/>
        <family val="2"/>
        <scheme val="none"/>
      </font>
      <alignment horizontal="general" vertical="bottom" textRotation="0" wrapText="0"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strike val="0"/>
        <outline val="0"/>
        <shadow val="0"/>
        <u val="none"/>
        <vertAlign val="baseline"/>
        <sz val="10"/>
        <name val="Verdana"/>
        <family val="2"/>
        <scheme val="none"/>
      </font>
      <alignment horizontal="general" vertical="bottom" textRotation="0" wrapText="0"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strike val="0"/>
        <outline val="0"/>
        <shadow val="0"/>
        <u val="none"/>
        <vertAlign val="baseline"/>
        <sz val="10"/>
        <name val="Verdana"/>
        <family val="2"/>
        <scheme val="none"/>
      </font>
      <alignment horizontal="general" vertical="bottom" textRotation="0" wrapText="0"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strike val="0"/>
        <outline val="0"/>
        <shadow val="0"/>
        <u val="none"/>
        <vertAlign val="baseline"/>
        <sz val="10"/>
        <name val="Verdana"/>
        <family val="2"/>
        <scheme val="none"/>
      </font>
      <numFmt numFmtId="164" formatCode="dd/mm/yyyy"/>
      <alignment horizontal="center" vertical="center" textRotation="0" wrapText="0"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strike val="0"/>
        <outline val="0"/>
        <shadow val="0"/>
        <u val="none"/>
        <vertAlign val="baseline"/>
        <sz val="10"/>
        <name val="Verdana"/>
        <family val="2"/>
        <scheme val="none"/>
      </font>
      <alignment horizontal="center" vertical="center" textRotation="0" wrapText="0"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strike val="0"/>
        <outline val="0"/>
        <shadow val="0"/>
        <u val="none"/>
        <vertAlign val="baseline"/>
        <sz val="10"/>
        <name val="Verdana"/>
        <family val="2"/>
        <scheme val="none"/>
      </font>
      <alignment horizontal="center" vertical="center" textRotation="0" wrapText="0"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strike val="0"/>
        <outline val="0"/>
        <shadow val="0"/>
        <u val="none"/>
        <vertAlign val="baseline"/>
        <sz val="10"/>
        <name val="Verdana"/>
        <family val="2"/>
        <scheme val="none"/>
      </font>
      <alignment horizontal="general" vertical="bottom" textRotation="0" wrapText="0"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strike val="0"/>
        <outline val="0"/>
        <shadow val="0"/>
        <u val="none"/>
        <vertAlign val="baseline"/>
        <sz val="10"/>
        <name val="Verdana"/>
        <family val="2"/>
        <scheme val="none"/>
      </font>
      <alignment horizontal="general" vertical="bottom" textRotation="0" wrapText="0"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strike val="0"/>
        <outline val="0"/>
        <shadow val="0"/>
        <u val="none"/>
        <vertAlign val="baseline"/>
        <sz val="10"/>
        <name val="Verdana"/>
        <family val="2"/>
        <scheme val="none"/>
      </font>
      <alignment horizontal="general" vertical="bottom" textRotation="0" wrapText="0"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strike val="0"/>
        <outline val="0"/>
        <shadow val="0"/>
        <u val="none"/>
        <vertAlign val="baseline"/>
        <sz val="10"/>
        <name val="Verdana"/>
        <family val="2"/>
        <scheme val="none"/>
      </font>
    </dxf>
    <dxf>
      <font>
        <strike val="0"/>
        <outline val="0"/>
        <shadow val="0"/>
        <u val="none"/>
        <vertAlign val="baseline"/>
        <sz val="10"/>
        <name val="Verdana"/>
        <family val="2"/>
        <scheme val="none"/>
      </font>
    </dxf>
    <dxf>
      <border>
        <bottom style="thin">
          <color indexed="64"/>
        </bottom>
      </border>
    </dxf>
    <dxf>
      <font>
        <strike val="0"/>
        <outline val="0"/>
        <shadow val="0"/>
        <u val="none"/>
        <vertAlign val="baseline"/>
        <sz val="10"/>
        <name val="Verdana"/>
        <family val="2"/>
        <scheme val="none"/>
      </font>
      <border diagonalUp="0" diagonalDown="0" outline="0">
        <left style="thin">
          <color indexed="64"/>
        </left>
        <right style="thin">
          <color indexed="64"/>
        </right>
        <top/>
        <bottom/>
      </border>
    </dxf>
    <dxf>
      <font>
        <strike val="0"/>
        <outline val="0"/>
        <shadow val="0"/>
        <u val="none"/>
        <vertAlign val="baseline"/>
        <name val="Verdana"/>
        <family val="2"/>
        <scheme val="none"/>
      </font>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strike val="0"/>
        <outline val="0"/>
        <shadow val="0"/>
        <u val="none"/>
        <vertAlign val="baseline"/>
        <name val="Verdana"/>
        <family val="2"/>
        <scheme val="none"/>
      </font>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strike val="0"/>
        <outline val="0"/>
        <shadow val="0"/>
        <u val="none"/>
        <vertAlign val="baseline"/>
        <name val="Verdana"/>
        <family val="2"/>
        <scheme val="none"/>
      </font>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strike val="0"/>
        <outline val="0"/>
        <shadow val="0"/>
        <u val="none"/>
        <vertAlign val="baseline"/>
        <name val="Verdana"/>
        <family val="2"/>
        <scheme val="none"/>
      </font>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strike val="0"/>
        <outline val="0"/>
        <shadow val="0"/>
        <u val="none"/>
        <vertAlign val="baseline"/>
        <name val="Verdana"/>
        <family val="2"/>
        <scheme val="none"/>
      </font>
      <alignment horizontal="center" vertical="center" textRotation="0" wrapText="0"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strike val="0"/>
        <outline val="0"/>
        <shadow val="0"/>
        <u val="none"/>
        <vertAlign val="baseline"/>
        <name val="Verdana"/>
        <family val="2"/>
        <scheme val="none"/>
      </font>
      <alignment horizontal="center" vertical="center" textRotation="0" wrapText="0"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strike val="0"/>
        <outline val="0"/>
        <shadow val="0"/>
        <u val="none"/>
        <vertAlign val="baseline"/>
        <name val="Verdana"/>
        <family val="2"/>
        <scheme val="none"/>
      </font>
      <alignment horizontal="center" vertical="center" textRotation="0" wrapText="0"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strike val="0"/>
        <outline val="0"/>
        <shadow val="0"/>
        <u val="none"/>
        <vertAlign val="baseline"/>
        <name val="Verdana"/>
        <family val="2"/>
        <scheme val="none"/>
      </font>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strike val="0"/>
        <outline val="0"/>
        <shadow val="0"/>
        <u val="none"/>
        <vertAlign val="baseline"/>
        <name val="Verdana"/>
        <family val="2"/>
        <scheme val="none"/>
      </font>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strike val="0"/>
        <outline val="0"/>
        <shadow val="0"/>
        <u val="none"/>
        <vertAlign val="baseline"/>
        <name val="Verdana"/>
        <family val="2"/>
        <scheme val="none"/>
      </font>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strike val="0"/>
        <outline val="0"/>
        <shadow val="0"/>
        <u val="none"/>
        <vertAlign val="baseline"/>
        <name val="Verdana"/>
        <family val="2"/>
        <scheme val="none"/>
      </font>
    </dxf>
    <dxf>
      <font>
        <strike val="0"/>
        <outline val="0"/>
        <shadow val="0"/>
        <u val="none"/>
        <vertAlign val="baseline"/>
        <name val="Verdana"/>
        <family val="2"/>
        <scheme val="none"/>
      </font>
    </dxf>
    <dxf>
      <border outline="0">
        <bottom style="thin">
          <color indexed="64"/>
        </bottom>
      </border>
    </dxf>
    <dxf>
      <font>
        <b/>
        <i val="0"/>
        <strike val="0"/>
        <condense val="0"/>
        <extend val="0"/>
        <outline val="0"/>
        <shadow val="0"/>
        <u val="none"/>
        <vertAlign val="baseline"/>
        <sz val="10"/>
        <color theme="0"/>
        <name val="Verdana"/>
        <family val="2"/>
        <scheme val="none"/>
      </font>
      <fill>
        <patternFill patternType="solid">
          <fgColor indexed="64"/>
          <bgColor theme="4"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border outline="0">
        <left style="thin">
          <color rgb="FFFFFFFF"/>
        </left>
      </border>
    </dxf>
    <dxf>
      <font>
        <strike val="0"/>
        <outline val="0"/>
        <shadow val="0"/>
        <u val="none"/>
        <vertAlign val="baseline"/>
        <name val="Verdana"/>
        <family val="2"/>
        <scheme val="none"/>
      </font>
      <alignment horizontal="center" vertical="center" textRotation="0" wrapText="0" indent="0" justifyLastLine="0" shrinkToFit="0" readingOrder="0"/>
      <border outline="0">
        <left style="thin">
          <color rgb="FFFFFFFF"/>
        </left>
      </border>
    </dxf>
    <dxf>
      <font>
        <strike val="0"/>
        <outline val="0"/>
        <shadow val="0"/>
        <u val="none"/>
        <vertAlign val="baseline"/>
        <name val="Verdana"/>
        <family val="2"/>
        <scheme val="none"/>
      </font>
      <alignment horizontal="center" vertical="center" textRotation="0" wrapText="0" indent="0" justifyLastLine="0" shrinkToFit="0" readingOrder="0"/>
      <border outline="0">
        <left style="thin">
          <color rgb="FFFFFFFF"/>
        </left>
        <right style="thin">
          <color rgb="FFFFFFFF"/>
        </right>
      </border>
    </dxf>
    <dxf>
      <font>
        <strike val="0"/>
        <outline val="0"/>
        <shadow val="0"/>
        <u val="none"/>
        <vertAlign val="baseline"/>
        <name val="Verdana"/>
        <family val="2"/>
        <scheme val="none"/>
      </font>
      <alignment horizontal="center" vertical="center" textRotation="0" wrapText="0" indent="0" justifyLastLine="0" shrinkToFit="0" readingOrder="0"/>
      <border outline="0">
        <right style="thin">
          <color rgb="FFFFFFFF"/>
        </right>
      </border>
    </dxf>
    <dxf>
      <font>
        <strike val="0"/>
        <outline val="0"/>
        <shadow val="0"/>
        <u val="none"/>
        <vertAlign val="baseline"/>
        <name val="Verdana"/>
        <family val="2"/>
        <scheme val="none"/>
      </font>
      <border outline="0">
        <right style="thin">
          <color rgb="FFFFFFFF"/>
        </right>
      </border>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b/>
        <i val="0"/>
        <strike val="0"/>
        <condense val="0"/>
        <extend val="0"/>
        <outline val="0"/>
        <shadow val="0"/>
        <u val="none"/>
        <vertAlign val="baseline"/>
        <sz val="10"/>
        <color theme="0"/>
        <name val="Verdana"/>
        <family val="2"/>
        <scheme val="none"/>
      </font>
      <fill>
        <patternFill patternType="solid">
          <fgColor indexed="64"/>
          <bgColor theme="4"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alignment horizontal="center" vertical="center" textRotation="0" wrapText="0" indent="0" justifyLastLine="0" shrinkToFit="0" readingOrder="0"/>
    </dxf>
    <dxf>
      <font>
        <strike val="0"/>
        <outline val="0"/>
        <shadow val="0"/>
        <u val="none"/>
        <vertAlign val="baseline"/>
        <name val="Verdana"/>
        <family val="2"/>
        <scheme val="none"/>
      </font>
      <alignment horizontal="center" vertical="center" textRotation="0" wrapText="0" indent="0" justifyLastLine="0" shrinkToFit="0" readingOrder="0"/>
    </dxf>
    <dxf>
      <font>
        <strike val="0"/>
        <outline val="0"/>
        <shadow val="0"/>
        <u val="none"/>
        <vertAlign val="baseline"/>
        <name val="Verdana"/>
        <family val="2"/>
        <scheme val="none"/>
      </font>
      <alignment horizontal="center" vertical="center" textRotation="0" wrapText="0" indent="0" justifyLastLine="0" shrinkToFit="0" readingOrder="0"/>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b/>
        <i val="0"/>
        <strike val="0"/>
        <condense val="0"/>
        <extend val="0"/>
        <outline val="0"/>
        <shadow val="0"/>
        <u val="none"/>
        <vertAlign val="baseline"/>
        <sz val="10"/>
        <color theme="0"/>
        <name val="Verdana"/>
        <family val="2"/>
        <scheme val="none"/>
      </font>
      <fill>
        <patternFill patternType="solid">
          <fgColor indexed="64"/>
          <bgColor theme="4"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border diagonalUp="0" diagonalDown="0">
        <left/>
        <right style="medium">
          <color rgb="FF1A5529"/>
        </right>
        <top style="thin">
          <color rgb="FF000000"/>
        </top>
        <bottom/>
      </border>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border diagonalUp="0" diagonalDown="0">
        <left/>
        <right style="medium">
          <color rgb="FF1A5529"/>
        </right>
        <top style="thin">
          <color rgb="FF000000"/>
        </top>
        <bottom/>
      </border>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border diagonalUp="0" diagonalDown="0">
        <left/>
        <right style="medium">
          <color rgb="FF1A5529"/>
        </right>
        <top style="thin">
          <color rgb="FF000000"/>
        </top>
        <bottom/>
      </border>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border diagonalUp="0" diagonalDown="0">
        <left/>
        <right style="medium">
          <color rgb="FFA6A6A6"/>
        </right>
        <top style="thin">
          <color rgb="FF000000"/>
        </top>
        <bottom/>
      </border>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border diagonalUp="0" diagonalDown="0">
        <left/>
        <right style="medium">
          <color rgb="FF1A5529"/>
        </right>
        <top style="thin">
          <color rgb="FF000000"/>
        </top>
        <bottom/>
      </border>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border diagonalUp="0" diagonalDown="0">
        <left style="medium">
          <color rgb="FF1A5529"/>
        </left>
        <right/>
        <top style="thin">
          <color rgb="FF000000"/>
        </top>
        <bottom/>
      </border>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sz val="10"/>
        <name val="Verdana"/>
        <family val="2"/>
        <scheme val="none"/>
      </font>
    </dxf>
    <dxf>
      <font>
        <strike val="0"/>
        <outline val="0"/>
        <shadow val="0"/>
        <u val="none"/>
        <vertAlign val="baseline"/>
        <sz val="10"/>
        <name val="Verdana"/>
        <family val="2"/>
        <scheme val="none"/>
      </font>
    </dxf>
    <dxf>
      <font>
        <strike val="0"/>
        <outline val="0"/>
        <shadow val="0"/>
        <u val="none"/>
        <vertAlign val="baseline"/>
        <sz val="10"/>
        <name val="Verdana"/>
        <family val="2"/>
        <scheme val="none"/>
      </font>
    </dxf>
    <dxf>
      <font>
        <strike val="0"/>
        <outline val="0"/>
        <shadow val="0"/>
        <u val="none"/>
        <vertAlign val="baseline"/>
        <sz val="10"/>
        <name val="Verdana"/>
        <family val="2"/>
        <scheme val="none"/>
      </font>
    </dxf>
    <dxf>
      <font>
        <strike val="0"/>
        <outline val="0"/>
        <shadow val="0"/>
        <u val="none"/>
        <vertAlign val="baseline"/>
        <sz val="10"/>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border diagonalUp="0" diagonalDown="0">
        <left/>
        <right style="medium">
          <color rgb="FF1A5529"/>
        </right>
        <top style="thin">
          <color rgb="FF000000"/>
        </top>
        <bottom/>
      </border>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border diagonalUp="0" diagonalDown="0">
        <left/>
        <right style="medium">
          <color rgb="FF1A5529"/>
        </right>
        <top style="thin">
          <color rgb="FF000000"/>
        </top>
        <bottom/>
      </border>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border diagonalUp="0" diagonalDown="0">
        <left/>
        <right style="medium">
          <color rgb="FF1A5529"/>
        </right>
        <top style="thin">
          <color rgb="FF000000"/>
        </top>
        <bottom/>
      </border>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border diagonalUp="0" diagonalDown="0">
        <left/>
        <right style="medium">
          <color rgb="FFA6A6A6"/>
        </right>
        <top style="thin">
          <color rgb="FF000000"/>
        </top>
        <bottom/>
      </border>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border diagonalUp="0" diagonalDown="0">
        <left/>
        <right style="medium">
          <color rgb="FF1A5529"/>
        </right>
        <top style="thin">
          <color rgb="FF000000"/>
        </top>
        <bottom/>
      </border>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border diagonalUp="0" diagonalDown="0">
        <left style="medium">
          <color rgb="FF1A5529"/>
        </left>
        <right/>
        <top style="thin">
          <color rgb="FF000000"/>
        </top>
        <bottom/>
      </border>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sz val="10"/>
        <name val="Verdana"/>
        <family val="2"/>
        <scheme val="none"/>
      </font>
    </dxf>
    <dxf>
      <font>
        <strike val="0"/>
        <outline val="0"/>
        <shadow val="0"/>
        <u val="none"/>
        <vertAlign val="baseline"/>
        <sz val="10"/>
        <name val="Verdana"/>
        <family val="2"/>
        <scheme val="none"/>
      </font>
    </dxf>
    <dxf>
      <font>
        <strike val="0"/>
        <outline val="0"/>
        <shadow val="0"/>
        <u val="none"/>
        <vertAlign val="baseline"/>
        <sz val="10"/>
        <name val="Verdana"/>
        <family val="2"/>
        <scheme val="none"/>
      </font>
    </dxf>
    <dxf>
      <font>
        <strike val="0"/>
        <outline val="0"/>
        <shadow val="0"/>
        <u val="none"/>
        <vertAlign val="baseline"/>
        <sz val="10"/>
        <name val="Verdana"/>
        <family val="2"/>
        <scheme val="none"/>
      </font>
    </dxf>
    <dxf>
      <font>
        <strike val="0"/>
        <outline val="0"/>
        <shadow val="0"/>
        <u val="none"/>
        <vertAlign val="baseline"/>
        <sz val="10"/>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border diagonalUp="0" diagonalDown="0">
        <left/>
        <right style="medium">
          <color rgb="FF1A5529"/>
        </right>
        <top style="thin">
          <color rgb="FF000000"/>
        </top>
        <bottom/>
      </border>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border diagonalUp="0" diagonalDown="0">
        <left/>
        <right style="medium">
          <color rgb="FF1A5529"/>
        </right>
        <top style="thin">
          <color rgb="FF000000"/>
        </top>
        <bottom/>
      </border>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border diagonalUp="0" diagonalDown="0">
        <left/>
        <right style="medium">
          <color rgb="FF1A5529"/>
        </right>
        <top style="thin">
          <color rgb="FF000000"/>
        </top>
        <bottom/>
      </border>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border diagonalUp="0" diagonalDown="0">
        <left/>
        <right style="medium">
          <color rgb="FFA6A6A6"/>
        </right>
        <top style="thin">
          <color rgb="FF000000"/>
        </top>
        <bottom/>
      </border>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border diagonalUp="0" diagonalDown="0">
        <left/>
        <right style="medium">
          <color rgb="FF1A5529"/>
        </right>
        <top style="thin">
          <color rgb="FF000000"/>
        </top>
        <bottom/>
      </border>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border diagonalUp="0" diagonalDown="0">
        <left style="medium">
          <color rgb="FF1A5529"/>
        </left>
        <right/>
        <top style="thin">
          <color rgb="FF000000"/>
        </top>
        <bottom/>
      </border>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sz val="10"/>
        <name val="Verdana"/>
        <family val="2"/>
        <scheme val="none"/>
      </font>
    </dxf>
    <dxf>
      <font>
        <strike val="0"/>
        <outline val="0"/>
        <shadow val="0"/>
        <u val="none"/>
        <vertAlign val="baseline"/>
        <sz val="10"/>
        <name val="Verdana"/>
        <family val="2"/>
        <scheme val="none"/>
      </font>
    </dxf>
    <dxf>
      <font>
        <strike val="0"/>
        <outline val="0"/>
        <shadow val="0"/>
        <u val="none"/>
        <vertAlign val="baseline"/>
        <sz val="10"/>
        <name val="Verdana"/>
        <family val="2"/>
        <scheme val="none"/>
      </font>
    </dxf>
    <dxf>
      <font>
        <strike val="0"/>
        <outline val="0"/>
        <shadow val="0"/>
        <u val="none"/>
        <vertAlign val="baseline"/>
        <sz val="10"/>
        <name val="Verdana"/>
        <family val="2"/>
        <scheme val="none"/>
      </font>
    </dxf>
    <dxf>
      <font>
        <strike val="0"/>
        <outline val="0"/>
        <shadow val="0"/>
        <u val="none"/>
        <vertAlign val="baseline"/>
        <sz val="10"/>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border diagonalUp="0" diagonalDown="0">
        <left/>
        <right style="medium">
          <color theme="7" tint="-0.499984740745262"/>
        </right>
        <top style="thin">
          <color rgb="FF000000"/>
        </top>
        <bottom/>
      </border>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border diagonalUp="0" diagonalDown="0">
        <left/>
        <right style="medium">
          <color theme="7" tint="-0.499984740745262"/>
        </right>
        <top style="thin">
          <color rgb="FF000000"/>
        </top>
        <bottom/>
      </border>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border diagonalUp="0" diagonalDown="0">
        <left/>
        <right style="medium">
          <color theme="7" tint="-0.499984740745262"/>
        </right>
        <top style="thin">
          <color rgb="FF000000"/>
        </top>
        <bottom/>
      </border>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border diagonalUp="0" diagonalDown="0">
        <left/>
        <right style="medium">
          <color theme="0" tint="-0.34998626667073579"/>
        </right>
        <top style="thin">
          <color rgb="FF000000"/>
        </top>
        <bottom/>
      </border>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border diagonalUp="0" diagonalDown="0">
        <left/>
        <right style="medium">
          <color theme="7" tint="-0.499984740745262"/>
        </right>
        <top style="thin">
          <color rgb="FF000000"/>
        </top>
        <bottom/>
      </border>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border diagonalUp="0" diagonalDown="0">
        <left style="medium">
          <color theme="7" tint="-0.499984740745262"/>
        </left>
        <right/>
        <top style="thin">
          <color rgb="FF000000"/>
        </top>
        <bottom/>
      </border>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name val="Verdana"/>
        <family val="2"/>
        <scheme val="none"/>
      </font>
    </dxf>
    <dxf>
      <font>
        <strike val="0"/>
        <outline val="0"/>
        <shadow val="0"/>
        <u val="none"/>
        <vertAlign val="baseline"/>
        <sz val="10"/>
        <name val="Verdana"/>
        <family val="2"/>
        <scheme val="none"/>
      </font>
    </dxf>
    <dxf>
      <font>
        <strike val="0"/>
        <outline val="0"/>
        <shadow val="0"/>
        <u val="none"/>
        <vertAlign val="baseline"/>
        <sz val="10"/>
        <name val="Verdana"/>
        <family val="2"/>
        <scheme val="none"/>
      </font>
    </dxf>
    <dxf>
      <font>
        <strike val="0"/>
        <outline val="0"/>
        <shadow val="0"/>
        <u val="none"/>
        <vertAlign val="baseline"/>
        <sz val="10"/>
        <name val="Verdana"/>
        <family val="2"/>
        <scheme val="none"/>
      </font>
    </dxf>
    <dxf>
      <font>
        <strike val="0"/>
        <outline val="0"/>
        <shadow val="0"/>
        <u val="none"/>
        <vertAlign val="baseline"/>
        <sz val="10"/>
        <name val="Verdana"/>
        <family val="2"/>
        <scheme val="none"/>
      </font>
    </dxf>
    <dxf>
      <font>
        <strike val="0"/>
        <outline val="0"/>
        <shadow val="0"/>
        <u val="none"/>
        <vertAlign val="baseline"/>
        <sz val="10"/>
        <name val="Verdana"/>
        <family val="2"/>
        <scheme val="none"/>
      </font>
    </dxf>
    <dxf>
      <fill>
        <patternFill patternType="solid">
          <fgColor rgb="FFF6F8F9"/>
          <bgColor rgb="FFF6F8F9"/>
        </patternFill>
      </fill>
    </dxf>
    <dxf>
      <fill>
        <patternFill patternType="solid">
          <fgColor rgb="FFFFFFFF"/>
          <bgColor rgb="FFFFFFFF"/>
        </patternFill>
      </fill>
    </dxf>
    <dxf>
      <fill>
        <patternFill patternType="solid">
          <fgColor rgb="FF9B3642"/>
          <bgColor rgb="FF9B3642"/>
        </patternFill>
      </fill>
    </dxf>
    <dxf>
      <fill>
        <patternFill patternType="solid">
          <fgColor rgb="FFF6F8F9"/>
          <bgColor rgb="FFF6F8F9"/>
        </patternFill>
      </fill>
    </dxf>
    <dxf>
      <fill>
        <patternFill patternType="solid">
          <fgColor rgb="FFFFFFFF"/>
          <bgColor rgb="FFFFFFFF"/>
        </patternFill>
      </fill>
    </dxf>
    <dxf>
      <fill>
        <patternFill patternType="solid">
          <fgColor rgb="FF9B3642"/>
          <bgColor rgb="FF9B3642"/>
        </patternFill>
      </fill>
    </dxf>
    <dxf>
      <fill>
        <patternFill patternType="solid">
          <fgColor rgb="FFF6F8F9"/>
          <bgColor rgb="FFF6F8F9"/>
        </patternFill>
      </fill>
    </dxf>
    <dxf>
      <fill>
        <patternFill patternType="solid">
          <fgColor rgb="FFFFFFFF"/>
          <bgColor rgb="FFFFFFFF"/>
        </patternFill>
      </fill>
    </dxf>
    <dxf>
      <fill>
        <patternFill patternType="solid">
          <fgColor rgb="FF9B3642"/>
          <bgColor rgb="FF9B3642"/>
        </patternFill>
      </fill>
    </dxf>
    <dxf>
      <fill>
        <patternFill patternType="solid">
          <fgColor rgb="FFF6F8F9"/>
          <bgColor rgb="FFF6F8F9"/>
        </patternFill>
      </fill>
    </dxf>
    <dxf>
      <fill>
        <patternFill patternType="solid">
          <fgColor rgb="FFFFFFFF"/>
          <bgColor rgb="FFFFFFFF"/>
        </patternFill>
      </fill>
    </dxf>
    <dxf>
      <fill>
        <patternFill patternType="solid">
          <fgColor rgb="FF9B3642"/>
          <bgColor rgb="FF9B3642"/>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9B3642"/>
          <bgColor rgb="FF9B3642"/>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s>
  <tableStyles count="600">
    <tableStyle name="SALE1-style" pivot="0" count="2" xr9:uid="{00000000-0011-0000-FFFF-FFFF00000000}">
      <tableStyleElement type="firstRowStripe" dxfId="3244"/>
      <tableStyleElement type="secondRowStripe" dxfId="3243"/>
    </tableStyle>
    <tableStyle name="SALE1-style 2" pivot="0" count="2" xr9:uid="{00000000-0011-0000-FFFF-FFFF01000000}">
      <tableStyleElement type="firstRowStripe" dxfId="3242"/>
      <tableStyleElement type="secondRowStripe" dxfId="3241"/>
    </tableStyle>
    <tableStyle name="SALE1-style 3" pivot="0" count="2" xr9:uid="{00000000-0011-0000-FFFF-FFFF02000000}">
      <tableStyleElement type="firstRowStripe" dxfId="3240"/>
      <tableStyleElement type="secondRowStripe" dxfId="3239"/>
    </tableStyle>
    <tableStyle name="SALE1-style 4" pivot="0" count="2" xr9:uid="{00000000-0011-0000-FFFF-FFFF03000000}">
      <tableStyleElement type="firstRowStripe" dxfId="3238"/>
      <tableStyleElement type="secondRowStripe" dxfId="3237"/>
    </tableStyle>
    <tableStyle name="SALE1-style 5" pivot="0" count="2" xr9:uid="{00000000-0011-0000-FFFF-FFFF04000000}">
      <tableStyleElement type="firstRowStripe" dxfId="3236"/>
      <tableStyleElement type="secondRowStripe" dxfId="3235"/>
    </tableStyle>
    <tableStyle name="SALE1-style 6" pivot="0" count="2" xr9:uid="{00000000-0011-0000-FFFF-FFFF05000000}">
      <tableStyleElement type="firstRowStripe" dxfId="3234"/>
      <tableStyleElement type="secondRowStripe" dxfId="3233"/>
    </tableStyle>
    <tableStyle name="SALE1-style 7" pivot="0" count="2" xr9:uid="{00000000-0011-0000-FFFF-FFFF06000000}">
      <tableStyleElement type="firstRowStripe" dxfId="3232"/>
      <tableStyleElement type="secondRowStripe" dxfId="3231"/>
    </tableStyle>
    <tableStyle name="SALE1-style 8" pivot="0" count="2" xr9:uid="{00000000-0011-0000-FFFF-FFFF07000000}">
      <tableStyleElement type="firstRowStripe" dxfId="3230"/>
      <tableStyleElement type="secondRowStripe" dxfId="3229"/>
    </tableStyle>
    <tableStyle name="SALE1-style 9" pivot="0" count="2" xr9:uid="{00000000-0011-0000-FFFF-FFFF08000000}">
      <tableStyleElement type="firstRowStripe" dxfId="3228"/>
      <tableStyleElement type="secondRowStripe" dxfId="3227"/>
    </tableStyle>
    <tableStyle name="SALE1-style 10" pivot="0" count="2" xr9:uid="{00000000-0011-0000-FFFF-FFFF09000000}">
      <tableStyleElement type="firstRowStripe" dxfId="3226"/>
      <tableStyleElement type="secondRowStripe" dxfId="3225"/>
    </tableStyle>
    <tableStyle name="SALE1-style 11" pivot="0" count="2" xr9:uid="{00000000-0011-0000-FFFF-FFFF0A000000}">
      <tableStyleElement type="firstRowStripe" dxfId="3224"/>
      <tableStyleElement type="secondRowStripe" dxfId="3223"/>
    </tableStyle>
    <tableStyle name="SALE1-style 12" pivot="0" count="2" xr9:uid="{00000000-0011-0000-FFFF-FFFF0B000000}">
      <tableStyleElement type="firstRowStripe" dxfId="3222"/>
      <tableStyleElement type="secondRowStripe" dxfId="3221"/>
    </tableStyle>
    <tableStyle name="SALE1-style 13" pivot="0" count="2" xr9:uid="{00000000-0011-0000-FFFF-FFFF0C000000}">
      <tableStyleElement type="firstRowStripe" dxfId="3220"/>
      <tableStyleElement type="secondRowStripe" dxfId="3219"/>
    </tableStyle>
    <tableStyle name="SALE1-style 14" pivot="0" count="2" xr9:uid="{00000000-0011-0000-FFFF-FFFF0D000000}">
      <tableStyleElement type="firstRowStripe" dxfId="3218"/>
      <tableStyleElement type="secondRowStripe" dxfId="3217"/>
    </tableStyle>
    <tableStyle name="SALE1-style 15" pivot="0" count="2" xr9:uid="{00000000-0011-0000-FFFF-FFFF0E000000}">
      <tableStyleElement type="firstRowStripe" dxfId="3216"/>
      <tableStyleElement type="secondRowStripe" dxfId="3215"/>
    </tableStyle>
    <tableStyle name="SALE1-style 16" pivot="0" count="2" xr9:uid="{00000000-0011-0000-FFFF-FFFF0F000000}">
      <tableStyleElement type="firstRowStripe" dxfId="3214"/>
      <tableStyleElement type="secondRowStripe" dxfId="3213"/>
    </tableStyle>
    <tableStyle name="SALE1-style 17" pivot="0" count="2" xr9:uid="{00000000-0011-0000-FFFF-FFFF10000000}">
      <tableStyleElement type="firstRowStripe" dxfId="3212"/>
      <tableStyleElement type="secondRowStripe" dxfId="3211"/>
    </tableStyle>
    <tableStyle name="SALE1-style 18" pivot="0" count="2" xr9:uid="{00000000-0011-0000-FFFF-FFFF11000000}">
      <tableStyleElement type="firstRowStripe" dxfId="3210"/>
      <tableStyleElement type="secondRowStripe" dxfId="3209"/>
    </tableStyle>
    <tableStyle name="SALE1-style 19" pivot="0" count="2" xr9:uid="{00000000-0011-0000-FFFF-FFFF12000000}">
      <tableStyleElement type="firstRowStripe" dxfId="3208"/>
      <tableStyleElement type="secondRowStripe" dxfId="3207"/>
    </tableStyle>
    <tableStyle name="SALE1-style 20" pivot="0" count="2" xr9:uid="{00000000-0011-0000-FFFF-FFFF13000000}">
      <tableStyleElement type="firstRowStripe" dxfId="3206"/>
      <tableStyleElement type="secondRowStripe" dxfId="3205"/>
    </tableStyle>
    <tableStyle name="SALE1-style 21" pivot="0" count="2" xr9:uid="{00000000-0011-0000-FFFF-FFFF14000000}">
      <tableStyleElement type="firstRowStripe" dxfId="3204"/>
      <tableStyleElement type="secondRowStripe" dxfId="3203"/>
    </tableStyle>
    <tableStyle name="SALE1-style 22" pivot="0" count="2" xr9:uid="{00000000-0011-0000-FFFF-FFFF15000000}">
      <tableStyleElement type="firstRowStripe" dxfId="3202"/>
      <tableStyleElement type="secondRowStripe" dxfId="3201"/>
    </tableStyle>
    <tableStyle name="SALE1-style 23" pivot="0" count="2" xr9:uid="{00000000-0011-0000-FFFF-FFFF16000000}">
      <tableStyleElement type="firstRowStripe" dxfId="3200"/>
      <tableStyleElement type="secondRowStripe" dxfId="3199"/>
    </tableStyle>
    <tableStyle name="SALE1-style 24" pivot="0" count="2" xr9:uid="{00000000-0011-0000-FFFF-FFFF17000000}">
      <tableStyleElement type="firstRowStripe" dxfId="3198"/>
      <tableStyleElement type="secondRowStripe" dxfId="3197"/>
    </tableStyle>
    <tableStyle name="SALE1-style 25" pivot="0" count="2" xr9:uid="{00000000-0011-0000-FFFF-FFFF18000000}">
      <tableStyleElement type="firstRowStripe" dxfId="3196"/>
      <tableStyleElement type="secondRowStripe" dxfId="3195"/>
    </tableStyle>
    <tableStyle name="SALE1-style 26" pivot="0" count="2" xr9:uid="{00000000-0011-0000-FFFF-FFFF19000000}">
      <tableStyleElement type="firstRowStripe" dxfId="3194"/>
      <tableStyleElement type="secondRowStripe" dxfId="3193"/>
    </tableStyle>
    <tableStyle name="SALE1-style 27" pivot="0" count="2" xr9:uid="{00000000-0011-0000-FFFF-FFFF1A000000}">
      <tableStyleElement type="firstRowStripe" dxfId="3192"/>
      <tableStyleElement type="secondRowStripe" dxfId="3191"/>
    </tableStyle>
    <tableStyle name="SALE1-style 28" pivot="0" count="2" xr9:uid="{00000000-0011-0000-FFFF-FFFF1B000000}">
      <tableStyleElement type="firstRowStripe" dxfId="3190"/>
      <tableStyleElement type="secondRowStripe" dxfId="3189"/>
    </tableStyle>
    <tableStyle name="SALE1-style 29" pivot="0" count="2" xr9:uid="{00000000-0011-0000-FFFF-FFFF1C000000}">
      <tableStyleElement type="firstRowStripe" dxfId="3188"/>
      <tableStyleElement type="secondRowStripe" dxfId="3187"/>
    </tableStyle>
    <tableStyle name="SALE1-style 30" pivot="0" count="2" xr9:uid="{00000000-0011-0000-FFFF-FFFF1D000000}">
      <tableStyleElement type="firstRowStripe" dxfId="3186"/>
      <tableStyleElement type="secondRowStripe" dxfId="3185"/>
    </tableStyle>
    <tableStyle name="SALE1-style 31" pivot="0" count="2" xr9:uid="{00000000-0011-0000-FFFF-FFFF1E000000}">
      <tableStyleElement type="firstRowStripe" dxfId="3184"/>
      <tableStyleElement type="secondRowStripe" dxfId="3183"/>
    </tableStyle>
    <tableStyle name="SALE1-style 32" pivot="0" count="2" xr9:uid="{00000000-0011-0000-FFFF-FFFF1F000000}">
      <tableStyleElement type="firstRowStripe" dxfId="3182"/>
      <tableStyleElement type="secondRowStripe" dxfId="3181"/>
    </tableStyle>
    <tableStyle name="SALE1-style 33" pivot="0" count="2" xr9:uid="{00000000-0011-0000-FFFF-FFFF20000000}">
      <tableStyleElement type="firstRowStripe" dxfId="3180"/>
      <tableStyleElement type="secondRowStripe" dxfId="3179"/>
    </tableStyle>
    <tableStyle name="SALE1-style 34" pivot="0" count="2" xr9:uid="{00000000-0011-0000-FFFF-FFFF21000000}">
      <tableStyleElement type="firstRowStripe" dxfId="3178"/>
      <tableStyleElement type="secondRowStripe" dxfId="3177"/>
    </tableStyle>
    <tableStyle name="SALE1-style 35" pivot="0" count="2" xr9:uid="{00000000-0011-0000-FFFF-FFFF22000000}">
      <tableStyleElement type="firstRowStripe" dxfId="3176"/>
      <tableStyleElement type="secondRowStripe" dxfId="3175"/>
    </tableStyle>
    <tableStyle name="SALE1-style 36" pivot="0" count="2" xr9:uid="{00000000-0011-0000-FFFF-FFFF23000000}">
      <tableStyleElement type="firstRowStripe" dxfId="3174"/>
      <tableStyleElement type="secondRowStripe" dxfId="3173"/>
    </tableStyle>
    <tableStyle name="SALE1-style 37" pivot="0" count="2" xr9:uid="{00000000-0011-0000-FFFF-FFFF24000000}">
      <tableStyleElement type="firstRowStripe" dxfId="3172"/>
      <tableStyleElement type="secondRowStripe" dxfId="3171"/>
    </tableStyle>
    <tableStyle name="SALE1-style 38" pivot="0" count="2" xr9:uid="{00000000-0011-0000-FFFF-FFFF25000000}">
      <tableStyleElement type="firstRowStripe" dxfId="3170"/>
      <tableStyleElement type="secondRowStripe" dxfId="3169"/>
    </tableStyle>
    <tableStyle name="SALE1-style 39" pivot="0" count="2" xr9:uid="{00000000-0011-0000-FFFF-FFFF26000000}">
      <tableStyleElement type="firstRowStripe" dxfId="3168"/>
      <tableStyleElement type="secondRowStripe" dxfId="3167"/>
    </tableStyle>
    <tableStyle name="SALE1-style 40" pivot="0" count="2" xr9:uid="{00000000-0011-0000-FFFF-FFFF27000000}">
      <tableStyleElement type="firstRowStripe" dxfId="3166"/>
      <tableStyleElement type="secondRowStripe" dxfId="3165"/>
    </tableStyle>
    <tableStyle name="SALE1-style 41" pivot="0" count="2" xr9:uid="{00000000-0011-0000-FFFF-FFFF28000000}">
      <tableStyleElement type="firstRowStripe" dxfId="3164"/>
      <tableStyleElement type="secondRowStripe" dxfId="3163"/>
    </tableStyle>
    <tableStyle name="SALE1-style 42" pivot="0" count="2" xr9:uid="{00000000-0011-0000-FFFF-FFFF29000000}">
      <tableStyleElement type="firstRowStripe" dxfId="3162"/>
      <tableStyleElement type="secondRowStripe" dxfId="3161"/>
    </tableStyle>
    <tableStyle name="SALE1-style 43" pivot="0" count="2" xr9:uid="{00000000-0011-0000-FFFF-FFFF2A000000}">
      <tableStyleElement type="firstRowStripe" dxfId="3160"/>
      <tableStyleElement type="secondRowStripe" dxfId="3159"/>
    </tableStyle>
    <tableStyle name="SALE1-style 44" pivot="0" count="2" xr9:uid="{00000000-0011-0000-FFFF-FFFF2B000000}">
      <tableStyleElement type="firstRowStripe" dxfId="3158"/>
      <tableStyleElement type="secondRowStripe" dxfId="3157"/>
    </tableStyle>
    <tableStyle name="SALE1-style 45" pivot="0" count="2" xr9:uid="{00000000-0011-0000-FFFF-FFFF2C000000}">
      <tableStyleElement type="firstRowStripe" dxfId="3156"/>
      <tableStyleElement type="secondRowStripe" dxfId="3155"/>
    </tableStyle>
    <tableStyle name="SALE1-style 46" pivot="0" count="2" xr9:uid="{00000000-0011-0000-FFFF-FFFF2D000000}">
      <tableStyleElement type="firstRowStripe" dxfId="3154"/>
      <tableStyleElement type="secondRowStripe" dxfId="3153"/>
    </tableStyle>
    <tableStyle name="SALE1-style 47" pivot="0" count="2" xr9:uid="{00000000-0011-0000-FFFF-FFFF2E000000}">
      <tableStyleElement type="firstRowStripe" dxfId="3152"/>
      <tableStyleElement type="secondRowStripe" dxfId="3151"/>
    </tableStyle>
    <tableStyle name="SALE1-style 48" pivot="0" count="2" xr9:uid="{00000000-0011-0000-FFFF-FFFF2F000000}">
      <tableStyleElement type="firstRowStripe" dxfId="3150"/>
      <tableStyleElement type="secondRowStripe" dxfId="3149"/>
    </tableStyle>
    <tableStyle name="SALE1-style 49" pivot="0" count="2" xr9:uid="{00000000-0011-0000-FFFF-FFFF30000000}">
      <tableStyleElement type="firstRowStripe" dxfId="3148"/>
      <tableStyleElement type="secondRowStripe" dxfId="3147"/>
    </tableStyle>
    <tableStyle name="SALE1-style 50" pivot="0" count="2" xr9:uid="{00000000-0011-0000-FFFF-FFFF31000000}">
      <tableStyleElement type="firstRowStripe" dxfId="3146"/>
      <tableStyleElement type="secondRowStripe" dxfId="3145"/>
    </tableStyle>
    <tableStyle name="SALE1-style 51" pivot="0" count="2" xr9:uid="{00000000-0011-0000-FFFF-FFFF32000000}">
      <tableStyleElement type="firstRowStripe" dxfId="3144"/>
      <tableStyleElement type="secondRowStripe" dxfId="3143"/>
    </tableStyle>
    <tableStyle name="SALE1-style 52" pivot="0" count="2" xr9:uid="{00000000-0011-0000-FFFF-FFFF33000000}">
      <tableStyleElement type="firstRowStripe" dxfId="3142"/>
      <tableStyleElement type="secondRowStripe" dxfId="3141"/>
    </tableStyle>
    <tableStyle name="SALE1-style 53" pivot="0" count="2" xr9:uid="{00000000-0011-0000-FFFF-FFFF34000000}">
      <tableStyleElement type="firstRowStripe" dxfId="3140"/>
      <tableStyleElement type="secondRowStripe" dxfId="3139"/>
    </tableStyle>
    <tableStyle name="SALE1-style 54" pivot="0" count="2" xr9:uid="{00000000-0011-0000-FFFF-FFFF35000000}">
      <tableStyleElement type="firstRowStripe" dxfId="3138"/>
      <tableStyleElement type="secondRowStripe" dxfId="3137"/>
    </tableStyle>
    <tableStyle name="SALE1-style 55" pivot="0" count="2" xr9:uid="{00000000-0011-0000-FFFF-FFFF36000000}">
      <tableStyleElement type="firstRowStripe" dxfId="3136"/>
      <tableStyleElement type="secondRowStripe" dxfId="3135"/>
    </tableStyle>
    <tableStyle name="SALE1-style 56" pivot="0" count="2" xr9:uid="{00000000-0011-0000-FFFF-FFFF37000000}">
      <tableStyleElement type="firstRowStripe" dxfId="3134"/>
      <tableStyleElement type="secondRowStripe" dxfId="3133"/>
    </tableStyle>
    <tableStyle name="SALE1-style 57" pivot="0" count="2" xr9:uid="{00000000-0011-0000-FFFF-FFFF38000000}">
      <tableStyleElement type="firstRowStripe" dxfId="3132"/>
      <tableStyleElement type="secondRowStripe" dxfId="3131"/>
    </tableStyle>
    <tableStyle name="SALE1-style 58" pivot="0" count="2" xr9:uid="{00000000-0011-0000-FFFF-FFFF39000000}">
      <tableStyleElement type="firstRowStripe" dxfId="3130"/>
      <tableStyleElement type="secondRowStripe" dxfId="3129"/>
    </tableStyle>
    <tableStyle name="SALE1-style 59" pivot="0" count="2" xr9:uid="{00000000-0011-0000-FFFF-FFFF3A000000}">
      <tableStyleElement type="firstRowStripe" dxfId="3128"/>
      <tableStyleElement type="secondRowStripe" dxfId="3127"/>
    </tableStyle>
    <tableStyle name="SALE1-style 60" pivot="0" count="2" xr9:uid="{00000000-0011-0000-FFFF-FFFF3B000000}">
      <tableStyleElement type="firstRowStripe" dxfId="3126"/>
      <tableStyleElement type="secondRowStripe" dxfId="3125"/>
    </tableStyle>
    <tableStyle name="SALE1-style 61" pivot="0" count="2" xr9:uid="{00000000-0011-0000-FFFF-FFFF3C000000}">
      <tableStyleElement type="firstRowStripe" dxfId="3124"/>
      <tableStyleElement type="secondRowStripe" dxfId="3123"/>
    </tableStyle>
    <tableStyle name="SALE1-style 62" pivot="0" count="2" xr9:uid="{00000000-0011-0000-FFFF-FFFF3D000000}">
      <tableStyleElement type="firstRowStripe" dxfId="3122"/>
      <tableStyleElement type="secondRowStripe" dxfId="3121"/>
    </tableStyle>
    <tableStyle name="SALE2-style" pivot="0" count="2" xr9:uid="{00000000-0011-0000-FFFF-FFFF3E000000}">
      <tableStyleElement type="firstRowStripe" dxfId="3120"/>
      <tableStyleElement type="secondRowStripe" dxfId="3119"/>
    </tableStyle>
    <tableStyle name="SALE2-style 2" pivot="0" count="2" xr9:uid="{00000000-0011-0000-FFFF-FFFF3F000000}">
      <tableStyleElement type="firstRowStripe" dxfId="3118"/>
      <tableStyleElement type="secondRowStripe" dxfId="3117"/>
    </tableStyle>
    <tableStyle name="SALE2-style 3" pivot="0" count="2" xr9:uid="{00000000-0011-0000-FFFF-FFFF40000000}">
      <tableStyleElement type="firstRowStripe" dxfId="3116"/>
      <tableStyleElement type="secondRowStripe" dxfId="3115"/>
    </tableStyle>
    <tableStyle name="SALE2-style 4" pivot="0" count="2" xr9:uid="{00000000-0011-0000-FFFF-FFFF41000000}">
      <tableStyleElement type="firstRowStripe" dxfId="3114"/>
      <tableStyleElement type="secondRowStripe" dxfId="3113"/>
    </tableStyle>
    <tableStyle name="SALE2-style 5" pivot="0" count="2" xr9:uid="{00000000-0011-0000-FFFF-FFFF42000000}">
      <tableStyleElement type="firstRowStripe" dxfId="3112"/>
      <tableStyleElement type="secondRowStripe" dxfId="3111"/>
    </tableStyle>
    <tableStyle name="SALE2-style 6" pivot="0" count="2" xr9:uid="{00000000-0011-0000-FFFF-FFFF43000000}">
      <tableStyleElement type="firstRowStripe" dxfId="3110"/>
      <tableStyleElement type="secondRowStripe" dxfId="3109"/>
    </tableStyle>
    <tableStyle name="SALE2-style 7" pivot="0" count="2" xr9:uid="{00000000-0011-0000-FFFF-FFFF44000000}">
      <tableStyleElement type="firstRowStripe" dxfId="3108"/>
      <tableStyleElement type="secondRowStripe" dxfId="3107"/>
    </tableStyle>
    <tableStyle name="SALE2-style 8" pivot="0" count="2" xr9:uid="{00000000-0011-0000-FFFF-FFFF45000000}">
      <tableStyleElement type="firstRowStripe" dxfId="3106"/>
      <tableStyleElement type="secondRowStripe" dxfId="3105"/>
    </tableStyle>
    <tableStyle name="SALE2-style 9" pivot="0" count="2" xr9:uid="{00000000-0011-0000-FFFF-FFFF46000000}">
      <tableStyleElement type="firstRowStripe" dxfId="3104"/>
      <tableStyleElement type="secondRowStripe" dxfId="3103"/>
    </tableStyle>
    <tableStyle name="SALE2-style 10" pivot="0" count="2" xr9:uid="{00000000-0011-0000-FFFF-FFFF47000000}">
      <tableStyleElement type="firstRowStripe" dxfId="3102"/>
      <tableStyleElement type="secondRowStripe" dxfId="3101"/>
    </tableStyle>
    <tableStyle name="SALE2-style 11" pivot="0" count="2" xr9:uid="{00000000-0011-0000-FFFF-FFFF48000000}">
      <tableStyleElement type="firstRowStripe" dxfId="3100"/>
      <tableStyleElement type="secondRowStripe" dxfId="3099"/>
    </tableStyle>
    <tableStyle name="SALE2-style 12" pivot="0" count="2" xr9:uid="{00000000-0011-0000-FFFF-FFFF49000000}">
      <tableStyleElement type="firstRowStripe" dxfId="3098"/>
      <tableStyleElement type="secondRowStripe" dxfId="3097"/>
    </tableStyle>
    <tableStyle name="SALE2-style 13" pivot="0" count="2" xr9:uid="{00000000-0011-0000-FFFF-FFFF4A000000}">
      <tableStyleElement type="firstRowStripe" dxfId="3096"/>
      <tableStyleElement type="secondRowStripe" dxfId="3095"/>
    </tableStyle>
    <tableStyle name="SALE2-style 14" pivot="0" count="2" xr9:uid="{00000000-0011-0000-FFFF-FFFF4B000000}">
      <tableStyleElement type="firstRowStripe" dxfId="3094"/>
      <tableStyleElement type="secondRowStripe" dxfId="3093"/>
    </tableStyle>
    <tableStyle name="SALE2-style 15" pivot="0" count="2" xr9:uid="{00000000-0011-0000-FFFF-FFFF4C000000}">
      <tableStyleElement type="firstRowStripe" dxfId="3092"/>
      <tableStyleElement type="secondRowStripe" dxfId="3091"/>
    </tableStyle>
    <tableStyle name="SALE2-style 16" pivot="0" count="2" xr9:uid="{00000000-0011-0000-FFFF-FFFF4D000000}">
      <tableStyleElement type="firstRowStripe" dxfId="3090"/>
      <tableStyleElement type="secondRowStripe" dxfId="3089"/>
    </tableStyle>
    <tableStyle name="SALE2-style 17" pivot="0" count="2" xr9:uid="{00000000-0011-0000-FFFF-FFFF4E000000}">
      <tableStyleElement type="firstRowStripe" dxfId="3088"/>
      <tableStyleElement type="secondRowStripe" dxfId="3087"/>
    </tableStyle>
    <tableStyle name="SALE2-style 18" pivot="0" count="2" xr9:uid="{00000000-0011-0000-FFFF-FFFF4F000000}">
      <tableStyleElement type="firstRowStripe" dxfId="3086"/>
      <tableStyleElement type="secondRowStripe" dxfId="3085"/>
    </tableStyle>
    <tableStyle name="SALE2-style 19" pivot="0" count="2" xr9:uid="{00000000-0011-0000-FFFF-FFFF50000000}">
      <tableStyleElement type="firstRowStripe" dxfId="3084"/>
      <tableStyleElement type="secondRowStripe" dxfId="3083"/>
    </tableStyle>
    <tableStyle name="SALE2-style 20" pivot="0" count="2" xr9:uid="{00000000-0011-0000-FFFF-FFFF51000000}">
      <tableStyleElement type="firstRowStripe" dxfId="3082"/>
      <tableStyleElement type="secondRowStripe" dxfId="3081"/>
    </tableStyle>
    <tableStyle name="SALE2-style 21" pivot="0" count="2" xr9:uid="{00000000-0011-0000-FFFF-FFFF52000000}">
      <tableStyleElement type="firstRowStripe" dxfId="3080"/>
      <tableStyleElement type="secondRowStripe" dxfId="3079"/>
    </tableStyle>
    <tableStyle name="SALE2-style 22" pivot="0" count="2" xr9:uid="{00000000-0011-0000-FFFF-FFFF53000000}">
      <tableStyleElement type="firstRowStripe" dxfId="3078"/>
      <tableStyleElement type="secondRowStripe" dxfId="3077"/>
    </tableStyle>
    <tableStyle name="SALE2-style 23" pivot="0" count="2" xr9:uid="{00000000-0011-0000-FFFF-FFFF54000000}">
      <tableStyleElement type="firstRowStripe" dxfId="3076"/>
      <tableStyleElement type="secondRowStripe" dxfId="3075"/>
    </tableStyle>
    <tableStyle name="SALE2-style 24" pivot="0" count="2" xr9:uid="{00000000-0011-0000-FFFF-FFFF55000000}">
      <tableStyleElement type="firstRowStripe" dxfId="3074"/>
      <tableStyleElement type="secondRowStripe" dxfId="3073"/>
    </tableStyle>
    <tableStyle name="SALE2-style 25" pivot="0" count="2" xr9:uid="{00000000-0011-0000-FFFF-FFFF56000000}">
      <tableStyleElement type="firstRowStripe" dxfId="3072"/>
      <tableStyleElement type="secondRowStripe" dxfId="3071"/>
    </tableStyle>
    <tableStyle name="SALE2-style 26" pivot="0" count="2" xr9:uid="{00000000-0011-0000-FFFF-FFFF57000000}">
      <tableStyleElement type="firstRowStripe" dxfId="3070"/>
      <tableStyleElement type="secondRowStripe" dxfId="3069"/>
    </tableStyle>
    <tableStyle name="SALE2-style 27" pivot="0" count="2" xr9:uid="{00000000-0011-0000-FFFF-FFFF58000000}">
      <tableStyleElement type="firstRowStripe" dxfId="3068"/>
      <tableStyleElement type="secondRowStripe" dxfId="3067"/>
    </tableStyle>
    <tableStyle name="SALE2-style 28" pivot="0" count="2" xr9:uid="{00000000-0011-0000-FFFF-FFFF59000000}">
      <tableStyleElement type="firstRowStripe" dxfId="3066"/>
      <tableStyleElement type="secondRowStripe" dxfId="3065"/>
    </tableStyle>
    <tableStyle name="SALE2-style 29" pivot="0" count="2" xr9:uid="{00000000-0011-0000-FFFF-FFFF5A000000}">
      <tableStyleElement type="firstRowStripe" dxfId="3064"/>
      <tableStyleElement type="secondRowStripe" dxfId="3063"/>
    </tableStyle>
    <tableStyle name="SALE2-style 30" pivot="0" count="2" xr9:uid="{00000000-0011-0000-FFFF-FFFF5B000000}">
      <tableStyleElement type="firstRowStripe" dxfId="3062"/>
      <tableStyleElement type="secondRowStripe" dxfId="3061"/>
    </tableStyle>
    <tableStyle name="SALE2-style 31" pivot="0" count="2" xr9:uid="{00000000-0011-0000-FFFF-FFFF5C000000}">
      <tableStyleElement type="firstRowStripe" dxfId="3060"/>
      <tableStyleElement type="secondRowStripe" dxfId="3059"/>
    </tableStyle>
    <tableStyle name="SALE2-style 32" pivot="0" count="2" xr9:uid="{00000000-0011-0000-FFFF-FFFF5D000000}">
      <tableStyleElement type="firstRowStripe" dxfId="3058"/>
      <tableStyleElement type="secondRowStripe" dxfId="3057"/>
    </tableStyle>
    <tableStyle name="SALE2-style 33" pivot="0" count="2" xr9:uid="{00000000-0011-0000-FFFF-FFFF5E000000}">
      <tableStyleElement type="firstRowStripe" dxfId="3056"/>
      <tableStyleElement type="secondRowStripe" dxfId="3055"/>
    </tableStyle>
    <tableStyle name="SALE2-style 34" pivot="0" count="2" xr9:uid="{00000000-0011-0000-FFFF-FFFF5F000000}">
      <tableStyleElement type="firstRowStripe" dxfId="3054"/>
      <tableStyleElement type="secondRowStripe" dxfId="3053"/>
    </tableStyle>
    <tableStyle name="SALE2-style 35" pivot="0" count="2" xr9:uid="{00000000-0011-0000-FFFF-FFFF60000000}">
      <tableStyleElement type="firstRowStripe" dxfId="3052"/>
      <tableStyleElement type="secondRowStripe" dxfId="3051"/>
    </tableStyle>
    <tableStyle name="SALE2-style 36" pivot="0" count="2" xr9:uid="{00000000-0011-0000-FFFF-FFFF61000000}">
      <tableStyleElement type="firstRowStripe" dxfId="3050"/>
      <tableStyleElement type="secondRowStripe" dxfId="3049"/>
    </tableStyle>
    <tableStyle name="SALE2-style 37" pivot="0" count="2" xr9:uid="{00000000-0011-0000-FFFF-FFFF62000000}">
      <tableStyleElement type="firstRowStripe" dxfId="3048"/>
      <tableStyleElement type="secondRowStripe" dxfId="3047"/>
    </tableStyle>
    <tableStyle name="SALE2-style 38" pivot="0" count="2" xr9:uid="{00000000-0011-0000-FFFF-FFFF63000000}">
      <tableStyleElement type="firstRowStripe" dxfId="3046"/>
      <tableStyleElement type="secondRowStripe" dxfId="3045"/>
    </tableStyle>
    <tableStyle name="SALE2-style 39" pivot="0" count="2" xr9:uid="{00000000-0011-0000-FFFF-FFFF64000000}">
      <tableStyleElement type="firstRowStripe" dxfId="3044"/>
      <tableStyleElement type="secondRowStripe" dxfId="3043"/>
    </tableStyle>
    <tableStyle name="SALE2-style 40" pivot="0" count="2" xr9:uid="{00000000-0011-0000-FFFF-FFFF65000000}">
      <tableStyleElement type="firstRowStripe" dxfId="3042"/>
      <tableStyleElement type="secondRowStripe" dxfId="3041"/>
    </tableStyle>
    <tableStyle name="SALE2-style 41" pivot="0" count="2" xr9:uid="{00000000-0011-0000-FFFF-FFFF66000000}">
      <tableStyleElement type="firstRowStripe" dxfId="3040"/>
      <tableStyleElement type="secondRowStripe" dxfId="3039"/>
    </tableStyle>
    <tableStyle name="SALE2-style 42" pivot="0" count="2" xr9:uid="{00000000-0011-0000-FFFF-FFFF67000000}">
      <tableStyleElement type="firstRowStripe" dxfId="3038"/>
      <tableStyleElement type="secondRowStripe" dxfId="3037"/>
    </tableStyle>
    <tableStyle name="SALE2-style 43" pivot="0" count="2" xr9:uid="{00000000-0011-0000-FFFF-FFFF68000000}">
      <tableStyleElement type="firstRowStripe" dxfId="3036"/>
      <tableStyleElement type="secondRowStripe" dxfId="3035"/>
    </tableStyle>
    <tableStyle name="SALE2-style 44" pivot="0" count="2" xr9:uid="{00000000-0011-0000-FFFF-FFFF69000000}">
      <tableStyleElement type="firstRowStripe" dxfId="3034"/>
      <tableStyleElement type="secondRowStripe" dxfId="3033"/>
    </tableStyle>
    <tableStyle name="SALE2-style 45" pivot="0" count="2" xr9:uid="{00000000-0011-0000-FFFF-FFFF6A000000}">
      <tableStyleElement type="firstRowStripe" dxfId="3032"/>
      <tableStyleElement type="secondRowStripe" dxfId="3031"/>
    </tableStyle>
    <tableStyle name="SALE2-style 46" pivot="0" count="2" xr9:uid="{00000000-0011-0000-FFFF-FFFF6B000000}">
      <tableStyleElement type="firstRowStripe" dxfId="3030"/>
      <tableStyleElement type="secondRowStripe" dxfId="3029"/>
    </tableStyle>
    <tableStyle name="SALE2-style 47" pivot="0" count="2" xr9:uid="{00000000-0011-0000-FFFF-FFFF6C000000}">
      <tableStyleElement type="firstRowStripe" dxfId="3028"/>
      <tableStyleElement type="secondRowStripe" dxfId="3027"/>
    </tableStyle>
    <tableStyle name="SALE2-style 48" pivot="0" count="2" xr9:uid="{00000000-0011-0000-FFFF-FFFF6D000000}">
      <tableStyleElement type="firstRowStripe" dxfId="3026"/>
      <tableStyleElement type="secondRowStripe" dxfId="3025"/>
    </tableStyle>
    <tableStyle name="SALE2-style 49" pivot="0" count="2" xr9:uid="{00000000-0011-0000-FFFF-FFFF6E000000}">
      <tableStyleElement type="firstRowStripe" dxfId="3024"/>
      <tableStyleElement type="secondRowStripe" dxfId="3023"/>
    </tableStyle>
    <tableStyle name="SALE2-style 50" pivot="0" count="2" xr9:uid="{00000000-0011-0000-FFFF-FFFF6F000000}">
      <tableStyleElement type="firstRowStripe" dxfId="3022"/>
      <tableStyleElement type="secondRowStripe" dxfId="3021"/>
    </tableStyle>
    <tableStyle name="SALE2-style 51" pivot="0" count="2" xr9:uid="{00000000-0011-0000-FFFF-FFFF70000000}">
      <tableStyleElement type="firstRowStripe" dxfId="3020"/>
      <tableStyleElement type="secondRowStripe" dxfId="3019"/>
    </tableStyle>
    <tableStyle name="SALE2-style 52" pivot="0" count="2" xr9:uid="{00000000-0011-0000-FFFF-FFFF71000000}">
      <tableStyleElement type="firstRowStripe" dxfId="3018"/>
      <tableStyleElement type="secondRowStripe" dxfId="3017"/>
    </tableStyle>
    <tableStyle name="SALE2-style 53" pivot="0" count="2" xr9:uid="{00000000-0011-0000-FFFF-FFFF72000000}">
      <tableStyleElement type="firstRowStripe" dxfId="3016"/>
      <tableStyleElement type="secondRowStripe" dxfId="3015"/>
    </tableStyle>
    <tableStyle name="SALE2-style 54" pivot="0" count="2" xr9:uid="{00000000-0011-0000-FFFF-FFFF73000000}">
      <tableStyleElement type="firstRowStripe" dxfId="3014"/>
      <tableStyleElement type="secondRowStripe" dxfId="3013"/>
    </tableStyle>
    <tableStyle name="SALE2-style 55" pivot="0" count="2" xr9:uid="{00000000-0011-0000-FFFF-FFFF74000000}">
      <tableStyleElement type="firstRowStripe" dxfId="3012"/>
      <tableStyleElement type="secondRowStripe" dxfId="3011"/>
    </tableStyle>
    <tableStyle name="SALE2-style 56" pivot="0" count="2" xr9:uid="{00000000-0011-0000-FFFF-FFFF75000000}">
      <tableStyleElement type="firstRowStripe" dxfId="3010"/>
      <tableStyleElement type="secondRowStripe" dxfId="3009"/>
    </tableStyle>
    <tableStyle name="SALE2-style 57" pivot="0" count="2" xr9:uid="{00000000-0011-0000-FFFF-FFFF76000000}">
      <tableStyleElement type="firstRowStripe" dxfId="3008"/>
      <tableStyleElement type="secondRowStripe" dxfId="3007"/>
    </tableStyle>
    <tableStyle name="SALE2-style 58" pivot="0" count="2" xr9:uid="{00000000-0011-0000-FFFF-FFFF77000000}">
      <tableStyleElement type="firstRowStripe" dxfId="3006"/>
      <tableStyleElement type="secondRowStripe" dxfId="3005"/>
    </tableStyle>
    <tableStyle name="SALE2-style 59" pivot="0" count="2" xr9:uid="{00000000-0011-0000-FFFF-FFFF78000000}">
      <tableStyleElement type="firstRowStripe" dxfId="3004"/>
      <tableStyleElement type="secondRowStripe" dxfId="3003"/>
    </tableStyle>
    <tableStyle name="SALE2-style 60" pivot="0" count="2" xr9:uid="{00000000-0011-0000-FFFF-FFFF79000000}">
      <tableStyleElement type="firstRowStripe" dxfId="3002"/>
      <tableStyleElement type="secondRowStripe" dxfId="3001"/>
    </tableStyle>
    <tableStyle name="SALE2-style 61" pivot="0" count="2" xr9:uid="{00000000-0011-0000-FFFF-FFFF7A000000}">
      <tableStyleElement type="firstRowStripe" dxfId="3000"/>
      <tableStyleElement type="secondRowStripe" dxfId="2999"/>
    </tableStyle>
    <tableStyle name="SALE2-style 62" pivot="0" count="2" xr9:uid="{00000000-0011-0000-FFFF-FFFF7B000000}">
      <tableStyleElement type="firstRowStripe" dxfId="2998"/>
      <tableStyleElement type="secondRowStripe" dxfId="2997"/>
    </tableStyle>
    <tableStyle name="SALE2-style 63" pivot="0" count="2" xr9:uid="{00000000-0011-0000-FFFF-FFFF7C000000}">
      <tableStyleElement type="firstRowStripe" dxfId="2996"/>
      <tableStyleElement type="secondRowStripe" dxfId="2995"/>
    </tableStyle>
    <tableStyle name="SALE3-style" pivot="0" count="2" xr9:uid="{00000000-0011-0000-FFFF-FFFF7D000000}">
      <tableStyleElement type="firstRowStripe" dxfId="2994"/>
      <tableStyleElement type="secondRowStripe" dxfId="2993"/>
    </tableStyle>
    <tableStyle name="SALE3-style 2" pivot="0" count="2" xr9:uid="{00000000-0011-0000-FFFF-FFFF7E000000}">
      <tableStyleElement type="firstRowStripe" dxfId="2992"/>
      <tableStyleElement type="secondRowStripe" dxfId="2991"/>
    </tableStyle>
    <tableStyle name="SALE3-style 3" pivot="0" count="2" xr9:uid="{00000000-0011-0000-FFFF-FFFF7F000000}">
      <tableStyleElement type="firstRowStripe" dxfId="2990"/>
      <tableStyleElement type="secondRowStripe" dxfId="2989"/>
    </tableStyle>
    <tableStyle name="SALE3-style 4" pivot="0" count="2" xr9:uid="{00000000-0011-0000-FFFF-FFFF80000000}">
      <tableStyleElement type="firstRowStripe" dxfId="2988"/>
      <tableStyleElement type="secondRowStripe" dxfId="2987"/>
    </tableStyle>
    <tableStyle name="SALE3-style 5" pivot="0" count="2" xr9:uid="{00000000-0011-0000-FFFF-FFFF81000000}">
      <tableStyleElement type="firstRowStripe" dxfId="2986"/>
      <tableStyleElement type="secondRowStripe" dxfId="2985"/>
    </tableStyle>
    <tableStyle name="SALE3-style 6" pivot="0" count="2" xr9:uid="{00000000-0011-0000-FFFF-FFFF82000000}">
      <tableStyleElement type="firstRowStripe" dxfId="2984"/>
      <tableStyleElement type="secondRowStripe" dxfId="2983"/>
    </tableStyle>
    <tableStyle name="SALE3-style 7" pivot="0" count="2" xr9:uid="{00000000-0011-0000-FFFF-FFFF83000000}">
      <tableStyleElement type="firstRowStripe" dxfId="2982"/>
      <tableStyleElement type="secondRowStripe" dxfId="2981"/>
    </tableStyle>
    <tableStyle name="SALE3-style 8" pivot="0" count="2" xr9:uid="{00000000-0011-0000-FFFF-FFFF84000000}">
      <tableStyleElement type="firstRowStripe" dxfId="2980"/>
      <tableStyleElement type="secondRowStripe" dxfId="2979"/>
    </tableStyle>
    <tableStyle name="SALE3-style 9" pivot="0" count="2" xr9:uid="{00000000-0011-0000-FFFF-FFFF85000000}">
      <tableStyleElement type="firstRowStripe" dxfId="2978"/>
      <tableStyleElement type="secondRowStripe" dxfId="2977"/>
    </tableStyle>
    <tableStyle name="SALE3-style 10" pivot="0" count="2" xr9:uid="{00000000-0011-0000-FFFF-FFFF86000000}">
      <tableStyleElement type="firstRowStripe" dxfId="2976"/>
      <tableStyleElement type="secondRowStripe" dxfId="2975"/>
    </tableStyle>
    <tableStyle name="SALE3-style 11" pivot="0" count="2" xr9:uid="{00000000-0011-0000-FFFF-FFFF87000000}">
      <tableStyleElement type="firstRowStripe" dxfId="2974"/>
      <tableStyleElement type="secondRowStripe" dxfId="2973"/>
    </tableStyle>
    <tableStyle name="SALE3-style 12" pivot="0" count="2" xr9:uid="{00000000-0011-0000-FFFF-FFFF88000000}">
      <tableStyleElement type="firstRowStripe" dxfId="2972"/>
      <tableStyleElement type="secondRowStripe" dxfId="2971"/>
    </tableStyle>
    <tableStyle name="SALE3-style 13" pivot="0" count="2" xr9:uid="{00000000-0011-0000-FFFF-FFFF89000000}">
      <tableStyleElement type="firstRowStripe" dxfId="2970"/>
      <tableStyleElement type="secondRowStripe" dxfId="2969"/>
    </tableStyle>
    <tableStyle name="SALE3-style 14" pivot="0" count="2" xr9:uid="{00000000-0011-0000-FFFF-FFFF8A000000}">
      <tableStyleElement type="firstRowStripe" dxfId="2968"/>
      <tableStyleElement type="secondRowStripe" dxfId="2967"/>
    </tableStyle>
    <tableStyle name="SALE3-style 15" pivot="0" count="2" xr9:uid="{00000000-0011-0000-FFFF-FFFF8B000000}">
      <tableStyleElement type="firstRowStripe" dxfId="2966"/>
      <tableStyleElement type="secondRowStripe" dxfId="2965"/>
    </tableStyle>
    <tableStyle name="SALE3-style 16" pivot="0" count="2" xr9:uid="{00000000-0011-0000-FFFF-FFFF8C000000}">
      <tableStyleElement type="firstRowStripe" dxfId="2964"/>
      <tableStyleElement type="secondRowStripe" dxfId="2963"/>
    </tableStyle>
    <tableStyle name="SALE3-style 17" pivot="0" count="2" xr9:uid="{00000000-0011-0000-FFFF-FFFF8D000000}">
      <tableStyleElement type="firstRowStripe" dxfId="2962"/>
      <tableStyleElement type="secondRowStripe" dxfId="2961"/>
    </tableStyle>
    <tableStyle name="SALE3-style 18" pivot="0" count="2" xr9:uid="{00000000-0011-0000-FFFF-FFFF8E000000}">
      <tableStyleElement type="firstRowStripe" dxfId="2960"/>
      <tableStyleElement type="secondRowStripe" dxfId="2959"/>
    </tableStyle>
    <tableStyle name="SALE3-style 19" pivot="0" count="2" xr9:uid="{00000000-0011-0000-FFFF-FFFF8F000000}">
      <tableStyleElement type="firstRowStripe" dxfId="2958"/>
      <tableStyleElement type="secondRowStripe" dxfId="2957"/>
    </tableStyle>
    <tableStyle name="SALE3-style 20" pivot="0" count="2" xr9:uid="{00000000-0011-0000-FFFF-FFFF90000000}">
      <tableStyleElement type="firstRowStripe" dxfId="2956"/>
      <tableStyleElement type="secondRowStripe" dxfId="2955"/>
    </tableStyle>
    <tableStyle name="SALE3-style 21" pivot="0" count="2" xr9:uid="{00000000-0011-0000-FFFF-FFFF91000000}">
      <tableStyleElement type="firstRowStripe" dxfId="2954"/>
      <tableStyleElement type="secondRowStripe" dxfId="2953"/>
    </tableStyle>
    <tableStyle name="SALE3-style 22" pivot="0" count="2" xr9:uid="{00000000-0011-0000-FFFF-FFFF92000000}">
      <tableStyleElement type="firstRowStripe" dxfId="2952"/>
      <tableStyleElement type="secondRowStripe" dxfId="2951"/>
    </tableStyle>
    <tableStyle name="SALE3-style 23" pivot="0" count="2" xr9:uid="{00000000-0011-0000-FFFF-FFFF93000000}">
      <tableStyleElement type="firstRowStripe" dxfId="2950"/>
      <tableStyleElement type="secondRowStripe" dxfId="2949"/>
    </tableStyle>
    <tableStyle name="SALE3-style 24" pivot="0" count="2" xr9:uid="{00000000-0011-0000-FFFF-FFFF94000000}">
      <tableStyleElement type="firstRowStripe" dxfId="2948"/>
      <tableStyleElement type="secondRowStripe" dxfId="2947"/>
    </tableStyle>
    <tableStyle name="SALE3-style 25" pivot="0" count="2" xr9:uid="{00000000-0011-0000-FFFF-FFFF95000000}">
      <tableStyleElement type="firstRowStripe" dxfId="2946"/>
      <tableStyleElement type="secondRowStripe" dxfId="2945"/>
    </tableStyle>
    <tableStyle name="SALE3-style 26" pivot="0" count="2" xr9:uid="{00000000-0011-0000-FFFF-FFFF96000000}">
      <tableStyleElement type="firstRowStripe" dxfId="2944"/>
      <tableStyleElement type="secondRowStripe" dxfId="2943"/>
    </tableStyle>
    <tableStyle name="SALE3-style 27" pivot="0" count="2" xr9:uid="{00000000-0011-0000-FFFF-FFFF97000000}">
      <tableStyleElement type="firstRowStripe" dxfId="2942"/>
      <tableStyleElement type="secondRowStripe" dxfId="2941"/>
    </tableStyle>
    <tableStyle name="SALE3-style 28" pivot="0" count="2" xr9:uid="{00000000-0011-0000-FFFF-FFFF98000000}">
      <tableStyleElement type="firstRowStripe" dxfId="2940"/>
      <tableStyleElement type="secondRowStripe" dxfId="2939"/>
    </tableStyle>
    <tableStyle name="SALE3-style 29" pivot="0" count="2" xr9:uid="{00000000-0011-0000-FFFF-FFFF99000000}">
      <tableStyleElement type="firstRowStripe" dxfId="2938"/>
      <tableStyleElement type="secondRowStripe" dxfId="2937"/>
    </tableStyle>
    <tableStyle name="SALE3-style 30" pivot="0" count="2" xr9:uid="{00000000-0011-0000-FFFF-FFFF9A000000}">
      <tableStyleElement type="firstRowStripe" dxfId="2936"/>
      <tableStyleElement type="secondRowStripe" dxfId="2935"/>
    </tableStyle>
    <tableStyle name="SALE3-style 31" pivot="0" count="2" xr9:uid="{00000000-0011-0000-FFFF-FFFF9B000000}">
      <tableStyleElement type="firstRowStripe" dxfId="2934"/>
      <tableStyleElement type="secondRowStripe" dxfId="2933"/>
    </tableStyle>
    <tableStyle name="SALE3-style 32" pivot="0" count="2" xr9:uid="{00000000-0011-0000-FFFF-FFFF9C000000}">
      <tableStyleElement type="firstRowStripe" dxfId="2932"/>
      <tableStyleElement type="secondRowStripe" dxfId="2931"/>
    </tableStyle>
    <tableStyle name="SALE3-style 33" pivot="0" count="2" xr9:uid="{00000000-0011-0000-FFFF-FFFF9D000000}">
      <tableStyleElement type="firstRowStripe" dxfId="2930"/>
      <tableStyleElement type="secondRowStripe" dxfId="2929"/>
    </tableStyle>
    <tableStyle name="SALE3-style 34" pivot="0" count="2" xr9:uid="{00000000-0011-0000-FFFF-FFFF9E000000}">
      <tableStyleElement type="firstRowStripe" dxfId="2928"/>
      <tableStyleElement type="secondRowStripe" dxfId="2927"/>
    </tableStyle>
    <tableStyle name="SALE3-style 35" pivot="0" count="2" xr9:uid="{00000000-0011-0000-FFFF-FFFF9F000000}">
      <tableStyleElement type="firstRowStripe" dxfId="2926"/>
      <tableStyleElement type="secondRowStripe" dxfId="2925"/>
    </tableStyle>
    <tableStyle name="SALE3-style 36" pivot="0" count="2" xr9:uid="{00000000-0011-0000-FFFF-FFFFA0000000}">
      <tableStyleElement type="firstRowStripe" dxfId="2924"/>
      <tableStyleElement type="secondRowStripe" dxfId="2923"/>
    </tableStyle>
    <tableStyle name="SALE3-style 37" pivot="0" count="2" xr9:uid="{00000000-0011-0000-FFFF-FFFFA1000000}">
      <tableStyleElement type="firstRowStripe" dxfId="2922"/>
      <tableStyleElement type="secondRowStripe" dxfId="2921"/>
    </tableStyle>
    <tableStyle name="SALE3-style 38" pivot="0" count="2" xr9:uid="{00000000-0011-0000-FFFF-FFFFA2000000}">
      <tableStyleElement type="firstRowStripe" dxfId="2920"/>
      <tableStyleElement type="secondRowStripe" dxfId="2919"/>
    </tableStyle>
    <tableStyle name="SALE3-style 39" pivot="0" count="2" xr9:uid="{00000000-0011-0000-FFFF-FFFFA3000000}">
      <tableStyleElement type="firstRowStripe" dxfId="2918"/>
      <tableStyleElement type="secondRowStripe" dxfId="2917"/>
    </tableStyle>
    <tableStyle name="SALE3-style 40" pivot="0" count="2" xr9:uid="{00000000-0011-0000-FFFF-FFFFA4000000}">
      <tableStyleElement type="firstRowStripe" dxfId="2916"/>
      <tableStyleElement type="secondRowStripe" dxfId="2915"/>
    </tableStyle>
    <tableStyle name="SALE3-style 41" pivot="0" count="2" xr9:uid="{00000000-0011-0000-FFFF-FFFFA5000000}">
      <tableStyleElement type="firstRowStripe" dxfId="2914"/>
      <tableStyleElement type="secondRowStripe" dxfId="2913"/>
    </tableStyle>
    <tableStyle name="SALE3-style 42" pivot="0" count="2" xr9:uid="{00000000-0011-0000-FFFF-FFFFA6000000}">
      <tableStyleElement type="firstRowStripe" dxfId="2912"/>
      <tableStyleElement type="secondRowStripe" dxfId="2911"/>
    </tableStyle>
    <tableStyle name="SALE3-style 43" pivot="0" count="2" xr9:uid="{00000000-0011-0000-FFFF-FFFFA7000000}">
      <tableStyleElement type="firstRowStripe" dxfId="2910"/>
      <tableStyleElement type="secondRowStripe" dxfId="2909"/>
    </tableStyle>
    <tableStyle name="SALE3-style 44" pivot="0" count="2" xr9:uid="{00000000-0011-0000-FFFF-FFFFA8000000}">
      <tableStyleElement type="firstRowStripe" dxfId="2908"/>
      <tableStyleElement type="secondRowStripe" dxfId="2907"/>
    </tableStyle>
    <tableStyle name="SALE3-style 45" pivot="0" count="2" xr9:uid="{00000000-0011-0000-FFFF-FFFFA9000000}">
      <tableStyleElement type="firstRowStripe" dxfId="2906"/>
      <tableStyleElement type="secondRowStripe" dxfId="2905"/>
    </tableStyle>
    <tableStyle name="SALE3-style 46" pivot="0" count="2" xr9:uid="{00000000-0011-0000-FFFF-FFFFAA000000}">
      <tableStyleElement type="firstRowStripe" dxfId="2904"/>
      <tableStyleElement type="secondRowStripe" dxfId="2903"/>
    </tableStyle>
    <tableStyle name="SALE3-style 47" pivot="0" count="2" xr9:uid="{00000000-0011-0000-FFFF-FFFFAB000000}">
      <tableStyleElement type="firstRowStripe" dxfId="2902"/>
      <tableStyleElement type="secondRowStripe" dxfId="2901"/>
    </tableStyle>
    <tableStyle name="SALE3-style 48" pivot="0" count="2" xr9:uid="{00000000-0011-0000-FFFF-FFFFAC000000}">
      <tableStyleElement type="firstRowStripe" dxfId="2900"/>
      <tableStyleElement type="secondRowStripe" dxfId="2899"/>
    </tableStyle>
    <tableStyle name="SALE3-style 49" pivot="0" count="2" xr9:uid="{00000000-0011-0000-FFFF-FFFFAD000000}">
      <tableStyleElement type="firstRowStripe" dxfId="2898"/>
      <tableStyleElement type="secondRowStripe" dxfId="2897"/>
    </tableStyle>
    <tableStyle name="SALE3-style 50" pivot="0" count="2" xr9:uid="{00000000-0011-0000-FFFF-FFFFAE000000}">
      <tableStyleElement type="firstRowStripe" dxfId="2896"/>
      <tableStyleElement type="secondRowStripe" dxfId="2895"/>
    </tableStyle>
    <tableStyle name="SALE3-style 51" pivot="0" count="2" xr9:uid="{00000000-0011-0000-FFFF-FFFFAF000000}">
      <tableStyleElement type="firstRowStripe" dxfId="2894"/>
      <tableStyleElement type="secondRowStripe" dxfId="2893"/>
    </tableStyle>
    <tableStyle name="SALE3-style 52" pivot="0" count="2" xr9:uid="{00000000-0011-0000-FFFF-FFFFB0000000}">
      <tableStyleElement type="firstRowStripe" dxfId="2892"/>
      <tableStyleElement type="secondRowStripe" dxfId="2891"/>
    </tableStyle>
    <tableStyle name="SALE3-style 53" pivot="0" count="2" xr9:uid="{00000000-0011-0000-FFFF-FFFFB1000000}">
      <tableStyleElement type="firstRowStripe" dxfId="2890"/>
      <tableStyleElement type="secondRowStripe" dxfId="2889"/>
    </tableStyle>
    <tableStyle name="SALE3-style 54" pivot="0" count="2" xr9:uid="{00000000-0011-0000-FFFF-FFFFB2000000}">
      <tableStyleElement type="firstRowStripe" dxfId="2888"/>
      <tableStyleElement type="secondRowStripe" dxfId="2887"/>
    </tableStyle>
    <tableStyle name="SALE3-style 55" pivot="0" count="2" xr9:uid="{00000000-0011-0000-FFFF-FFFFB3000000}">
      <tableStyleElement type="firstRowStripe" dxfId="2886"/>
      <tableStyleElement type="secondRowStripe" dxfId="2885"/>
    </tableStyle>
    <tableStyle name="SALE3-style 56" pivot="0" count="2" xr9:uid="{00000000-0011-0000-FFFF-FFFFB4000000}">
      <tableStyleElement type="firstRowStripe" dxfId="2884"/>
      <tableStyleElement type="secondRowStripe" dxfId="2883"/>
    </tableStyle>
    <tableStyle name="SALE3-style 57" pivot="0" count="2" xr9:uid="{00000000-0011-0000-FFFF-FFFFB5000000}">
      <tableStyleElement type="firstRowStripe" dxfId="2882"/>
      <tableStyleElement type="secondRowStripe" dxfId="2881"/>
    </tableStyle>
    <tableStyle name="SALE3-style 58" pivot="0" count="2" xr9:uid="{00000000-0011-0000-FFFF-FFFFB6000000}">
      <tableStyleElement type="firstRowStripe" dxfId="2880"/>
      <tableStyleElement type="secondRowStripe" dxfId="2879"/>
    </tableStyle>
    <tableStyle name="SALE3-style 59" pivot="0" count="2" xr9:uid="{00000000-0011-0000-FFFF-FFFFB7000000}">
      <tableStyleElement type="firstRowStripe" dxfId="2878"/>
      <tableStyleElement type="secondRowStripe" dxfId="2877"/>
    </tableStyle>
    <tableStyle name="SALE3-style 60" pivot="0" count="2" xr9:uid="{00000000-0011-0000-FFFF-FFFFB8000000}">
      <tableStyleElement type="firstRowStripe" dxfId="2876"/>
      <tableStyleElement type="secondRowStripe" dxfId="2875"/>
    </tableStyle>
    <tableStyle name="SALE3-style 61" pivot="0" count="2" xr9:uid="{00000000-0011-0000-FFFF-FFFFB9000000}">
      <tableStyleElement type="firstRowStripe" dxfId="2874"/>
      <tableStyleElement type="secondRowStripe" dxfId="2873"/>
    </tableStyle>
    <tableStyle name="SALE3-style 62" pivot="0" count="2" xr9:uid="{00000000-0011-0000-FFFF-FFFFBA000000}">
      <tableStyleElement type="firstRowStripe" dxfId="2872"/>
      <tableStyleElement type="secondRowStripe" dxfId="2871"/>
    </tableStyle>
    <tableStyle name="SALE3-style 63" pivot="0" count="2" xr9:uid="{00000000-0011-0000-FFFF-FFFFBB000000}">
      <tableStyleElement type="firstRowStripe" dxfId="2870"/>
      <tableStyleElement type="secondRowStripe" dxfId="2869"/>
    </tableStyle>
    <tableStyle name="SALE3 BỎ-style" pivot="0" count="2" xr9:uid="{00000000-0011-0000-FFFF-FFFFBC000000}">
      <tableStyleElement type="firstRowStripe" dxfId="2868"/>
      <tableStyleElement type="secondRowStripe" dxfId="2867"/>
    </tableStyle>
    <tableStyle name="SALE3 BỎ-style 2" pivot="0" count="2" xr9:uid="{00000000-0011-0000-FFFF-FFFFBD000000}">
      <tableStyleElement type="firstRowStripe" dxfId="2866"/>
      <tableStyleElement type="secondRowStripe" dxfId="2865"/>
    </tableStyle>
    <tableStyle name="SALE3 BỎ-style 3" pivot="0" count="2" xr9:uid="{00000000-0011-0000-FFFF-FFFFBE000000}">
      <tableStyleElement type="firstRowStripe" dxfId="2864"/>
      <tableStyleElement type="secondRowStripe" dxfId="2863"/>
    </tableStyle>
    <tableStyle name="SALE3 BỎ-style 4" pivot="0" count="2" xr9:uid="{00000000-0011-0000-FFFF-FFFFBF000000}">
      <tableStyleElement type="firstRowStripe" dxfId="2862"/>
      <tableStyleElement type="secondRowStripe" dxfId="2861"/>
    </tableStyle>
    <tableStyle name="SALE3 BỎ-style 5" pivot="0" count="2" xr9:uid="{00000000-0011-0000-FFFF-FFFFC0000000}">
      <tableStyleElement type="firstRowStripe" dxfId="2860"/>
      <tableStyleElement type="secondRowStripe" dxfId="2859"/>
    </tableStyle>
    <tableStyle name="SALE3 BỎ-style 6" pivot="0" count="2" xr9:uid="{00000000-0011-0000-FFFF-FFFFC1000000}">
      <tableStyleElement type="firstRowStripe" dxfId="2858"/>
      <tableStyleElement type="secondRowStripe" dxfId="2857"/>
    </tableStyle>
    <tableStyle name="SALE3 BỎ-style 7" pivot="0" count="2" xr9:uid="{00000000-0011-0000-FFFF-FFFFC2000000}">
      <tableStyleElement type="firstRowStripe" dxfId="2856"/>
      <tableStyleElement type="secondRowStripe" dxfId="2855"/>
    </tableStyle>
    <tableStyle name="SALE3 BỎ-style 8" pivot="0" count="2" xr9:uid="{00000000-0011-0000-FFFF-FFFFC3000000}">
      <tableStyleElement type="firstRowStripe" dxfId="2854"/>
      <tableStyleElement type="secondRowStripe" dxfId="2853"/>
    </tableStyle>
    <tableStyle name="SALE3 BỎ-style 9" pivot="0" count="2" xr9:uid="{00000000-0011-0000-FFFF-FFFFC4000000}">
      <tableStyleElement type="firstRowStripe" dxfId="2852"/>
      <tableStyleElement type="secondRowStripe" dxfId="2851"/>
    </tableStyle>
    <tableStyle name="SALE3 BỎ-style 10" pivot="0" count="2" xr9:uid="{00000000-0011-0000-FFFF-FFFFC5000000}">
      <tableStyleElement type="firstRowStripe" dxfId="2850"/>
      <tableStyleElement type="secondRowStripe" dxfId="2849"/>
    </tableStyle>
    <tableStyle name="SALE3 BỎ-style 11" pivot="0" count="2" xr9:uid="{00000000-0011-0000-FFFF-FFFFC6000000}">
      <tableStyleElement type="firstRowStripe" dxfId="2848"/>
      <tableStyleElement type="secondRowStripe" dxfId="2847"/>
    </tableStyle>
    <tableStyle name="SALE3 BỎ-style 12" pivot="0" count="2" xr9:uid="{00000000-0011-0000-FFFF-FFFFC7000000}">
      <tableStyleElement type="firstRowStripe" dxfId="2846"/>
      <tableStyleElement type="secondRowStripe" dxfId="2845"/>
    </tableStyle>
    <tableStyle name="SALE3 BỎ-style 13" pivot="0" count="2" xr9:uid="{00000000-0011-0000-FFFF-FFFFC8000000}">
      <tableStyleElement type="firstRowStripe" dxfId="2844"/>
      <tableStyleElement type="secondRowStripe" dxfId="2843"/>
    </tableStyle>
    <tableStyle name="SALE3 BỎ-style 14" pivot="0" count="2" xr9:uid="{00000000-0011-0000-FFFF-FFFFC9000000}">
      <tableStyleElement type="firstRowStripe" dxfId="2842"/>
      <tableStyleElement type="secondRowStripe" dxfId="2841"/>
    </tableStyle>
    <tableStyle name="SALE3 BỎ-style 15" pivot="0" count="2" xr9:uid="{00000000-0011-0000-FFFF-FFFFCA000000}">
      <tableStyleElement type="firstRowStripe" dxfId="2840"/>
      <tableStyleElement type="secondRowStripe" dxfId="2839"/>
    </tableStyle>
    <tableStyle name="SALE3 BỎ-style 16" pivot="0" count="2" xr9:uid="{00000000-0011-0000-FFFF-FFFFCB000000}">
      <tableStyleElement type="firstRowStripe" dxfId="2838"/>
      <tableStyleElement type="secondRowStripe" dxfId="2837"/>
    </tableStyle>
    <tableStyle name="SALE3 BỎ-style 17" pivot="0" count="2" xr9:uid="{00000000-0011-0000-FFFF-FFFFCC000000}">
      <tableStyleElement type="firstRowStripe" dxfId="2836"/>
      <tableStyleElement type="secondRowStripe" dxfId="2835"/>
    </tableStyle>
    <tableStyle name="SALE3 BỎ-style 18" pivot="0" count="2" xr9:uid="{00000000-0011-0000-FFFF-FFFFCD000000}">
      <tableStyleElement type="firstRowStripe" dxfId="2834"/>
      <tableStyleElement type="secondRowStripe" dxfId="2833"/>
    </tableStyle>
    <tableStyle name="SALE3 BỎ-style 19" pivot="0" count="2" xr9:uid="{00000000-0011-0000-FFFF-FFFFCE000000}">
      <tableStyleElement type="firstRowStripe" dxfId="2832"/>
      <tableStyleElement type="secondRowStripe" dxfId="2831"/>
    </tableStyle>
    <tableStyle name="SALE3 BỎ-style 20" pivot="0" count="2" xr9:uid="{00000000-0011-0000-FFFF-FFFFCF000000}">
      <tableStyleElement type="firstRowStripe" dxfId="2830"/>
      <tableStyleElement type="secondRowStripe" dxfId="2829"/>
    </tableStyle>
    <tableStyle name="SALE3 BỎ-style 21" pivot="0" count="2" xr9:uid="{00000000-0011-0000-FFFF-FFFFD0000000}">
      <tableStyleElement type="firstRowStripe" dxfId="2828"/>
      <tableStyleElement type="secondRowStripe" dxfId="2827"/>
    </tableStyle>
    <tableStyle name="SALE3 BỎ-style 22" pivot="0" count="2" xr9:uid="{00000000-0011-0000-FFFF-FFFFD1000000}">
      <tableStyleElement type="firstRowStripe" dxfId="2826"/>
      <tableStyleElement type="secondRowStripe" dxfId="2825"/>
    </tableStyle>
    <tableStyle name="SALE3 BỎ-style 23" pivot="0" count="2" xr9:uid="{00000000-0011-0000-FFFF-FFFFD2000000}">
      <tableStyleElement type="firstRowStripe" dxfId="2824"/>
      <tableStyleElement type="secondRowStripe" dxfId="2823"/>
    </tableStyle>
    <tableStyle name="SALE3 BỎ-style 24" pivot="0" count="2" xr9:uid="{00000000-0011-0000-FFFF-FFFFD3000000}">
      <tableStyleElement type="firstRowStripe" dxfId="2822"/>
      <tableStyleElement type="secondRowStripe" dxfId="2821"/>
    </tableStyle>
    <tableStyle name="SALE3 BỎ-style 25" pivot="0" count="2" xr9:uid="{00000000-0011-0000-FFFF-FFFFD4000000}">
      <tableStyleElement type="firstRowStripe" dxfId="2820"/>
      <tableStyleElement type="secondRowStripe" dxfId="2819"/>
    </tableStyle>
    <tableStyle name="SALE3 BỎ-style 26" pivot="0" count="2" xr9:uid="{00000000-0011-0000-FFFF-FFFFD5000000}">
      <tableStyleElement type="firstRowStripe" dxfId="2818"/>
      <tableStyleElement type="secondRowStripe" dxfId="2817"/>
    </tableStyle>
    <tableStyle name="SALE3 BỎ-style 27" pivot="0" count="2" xr9:uid="{00000000-0011-0000-FFFF-FFFFD6000000}">
      <tableStyleElement type="firstRowStripe" dxfId="2816"/>
      <tableStyleElement type="secondRowStripe" dxfId="2815"/>
    </tableStyle>
    <tableStyle name="SALE3 BỎ-style 28" pivot="0" count="2" xr9:uid="{00000000-0011-0000-FFFF-FFFFD7000000}">
      <tableStyleElement type="firstRowStripe" dxfId="2814"/>
      <tableStyleElement type="secondRowStripe" dxfId="2813"/>
    </tableStyle>
    <tableStyle name="SALE3 BỎ-style 29" pivot="0" count="2" xr9:uid="{00000000-0011-0000-FFFF-FFFFD8000000}">
      <tableStyleElement type="firstRowStripe" dxfId="2812"/>
      <tableStyleElement type="secondRowStripe" dxfId="2811"/>
    </tableStyle>
    <tableStyle name="SALE3 BỎ-style 30" pivot="0" count="2" xr9:uid="{00000000-0011-0000-FFFF-FFFFD9000000}">
      <tableStyleElement type="firstRowStripe" dxfId="2810"/>
      <tableStyleElement type="secondRowStripe" dxfId="2809"/>
    </tableStyle>
    <tableStyle name="SALE3 BỎ-style 31" pivot="0" count="2" xr9:uid="{00000000-0011-0000-FFFF-FFFFDA000000}">
      <tableStyleElement type="firstRowStripe" dxfId="2808"/>
      <tableStyleElement type="secondRowStripe" dxfId="2807"/>
    </tableStyle>
    <tableStyle name="SALE3 BỎ-style 32" pivot="0" count="2" xr9:uid="{00000000-0011-0000-FFFF-FFFFDB000000}">
      <tableStyleElement type="firstRowStripe" dxfId="2806"/>
      <tableStyleElement type="secondRowStripe" dxfId="2805"/>
    </tableStyle>
    <tableStyle name="SALE3 BỎ-style 33" pivot="0" count="2" xr9:uid="{00000000-0011-0000-FFFF-FFFFDC000000}">
      <tableStyleElement type="firstRowStripe" dxfId="2804"/>
      <tableStyleElement type="secondRowStripe" dxfId="2803"/>
    </tableStyle>
    <tableStyle name="SALE3 BỎ-style 34" pivot="0" count="2" xr9:uid="{00000000-0011-0000-FFFF-FFFFDD000000}">
      <tableStyleElement type="firstRowStripe" dxfId="2802"/>
      <tableStyleElement type="secondRowStripe" dxfId="2801"/>
    </tableStyle>
    <tableStyle name="SALE3 BỎ-style 35" pivot="0" count="2" xr9:uid="{00000000-0011-0000-FFFF-FFFFDE000000}">
      <tableStyleElement type="firstRowStripe" dxfId="2800"/>
      <tableStyleElement type="secondRowStripe" dxfId="2799"/>
    </tableStyle>
    <tableStyle name="SALE3 BỎ-style 36" pivot="0" count="2" xr9:uid="{00000000-0011-0000-FFFF-FFFFDF000000}">
      <tableStyleElement type="firstRowStripe" dxfId="2798"/>
      <tableStyleElement type="secondRowStripe" dxfId="2797"/>
    </tableStyle>
    <tableStyle name="SALE3 BỎ-style 37" pivot="0" count="2" xr9:uid="{00000000-0011-0000-FFFF-FFFFE0000000}">
      <tableStyleElement type="firstRowStripe" dxfId="2796"/>
      <tableStyleElement type="secondRowStripe" dxfId="2795"/>
    </tableStyle>
    <tableStyle name="SALE3 BỎ-style 38" pivot="0" count="2" xr9:uid="{00000000-0011-0000-FFFF-FFFFE1000000}">
      <tableStyleElement type="firstRowStripe" dxfId="2794"/>
      <tableStyleElement type="secondRowStripe" dxfId="2793"/>
    </tableStyle>
    <tableStyle name="SALE3 BỎ-style 39" pivot="0" count="2" xr9:uid="{00000000-0011-0000-FFFF-FFFFE2000000}">
      <tableStyleElement type="firstRowStripe" dxfId="2792"/>
      <tableStyleElement type="secondRowStripe" dxfId="2791"/>
    </tableStyle>
    <tableStyle name="SALE3 BỎ-style 40" pivot="0" count="2" xr9:uid="{00000000-0011-0000-FFFF-FFFFE3000000}">
      <tableStyleElement type="firstRowStripe" dxfId="2790"/>
      <tableStyleElement type="secondRowStripe" dxfId="2789"/>
    </tableStyle>
    <tableStyle name="SALE3 BỎ-style 41" pivot="0" count="2" xr9:uid="{00000000-0011-0000-FFFF-FFFFE4000000}">
      <tableStyleElement type="firstRowStripe" dxfId="2788"/>
      <tableStyleElement type="secondRowStripe" dxfId="2787"/>
    </tableStyle>
    <tableStyle name="SALE3 BỎ-style 42" pivot="0" count="2" xr9:uid="{00000000-0011-0000-FFFF-FFFFE5000000}">
      <tableStyleElement type="firstRowStripe" dxfId="2786"/>
      <tableStyleElement type="secondRowStripe" dxfId="2785"/>
    </tableStyle>
    <tableStyle name="SALE3 BỎ-style 43" pivot="0" count="2" xr9:uid="{00000000-0011-0000-FFFF-FFFFE6000000}">
      <tableStyleElement type="firstRowStripe" dxfId="2784"/>
      <tableStyleElement type="secondRowStripe" dxfId="2783"/>
    </tableStyle>
    <tableStyle name="SALE3 BỎ-style 44" pivot="0" count="2" xr9:uid="{00000000-0011-0000-FFFF-FFFFE7000000}">
      <tableStyleElement type="firstRowStripe" dxfId="2782"/>
      <tableStyleElement type="secondRowStripe" dxfId="2781"/>
    </tableStyle>
    <tableStyle name="SALE3 BỎ-style 45" pivot="0" count="2" xr9:uid="{00000000-0011-0000-FFFF-FFFFE8000000}">
      <tableStyleElement type="firstRowStripe" dxfId="2780"/>
      <tableStyleElement type="secondRowStripe" dxfId="2779"/>
    </tableStyle>
    <tableStyle name="SALE3 BỎ-style 46" pivot="0" count="2" xr9:uid="{00000000-0011-0000-FFFF-FFFFE9000000}">
      <tableStyleElement type="firstRowStripe" dxfId="2778"/>
      <tableStyleElement type="secondRowStripe" dxfId="2777"/>
    </tableStyle>
    <tableStyle name="SALE3 BỎ-style 47" pivot="0" count="2" xr9:uid="{00000000-0011-0000-FFFF-FFFFEA000000}">
      <tableStyleElement type="firstRowStripe" dxfId="2776"/>
      <tableStyleElement type="secondRowStripe" dxfId="2775"/>
    </tableStyle>
    <tableStyle name="SALE3 BỎ-style 48" pivot="0" count="2" xr9:uid="{00000000-0011-0000-FFFF-FFFFEB000000}">
      <tableStyleElement type="firstRowStripe" dxfId="2774"/>
      <tableStyleElement type="secondRowStripe" dxfId="2773"/>
    </tableStyle>
    <tableStyle name="SALE3 BỎ-style 49" pivot="0" count="2" xr9:uid="{00000000-0011-0000-FFFF-FFFFEC000000}">
      <tableStyleElement type="firstRowStripe" dxfId="2772"/>
      <tableStyleElement type="secondRowStripe" dxfId="2771"/>
    </tableStyle>
    <tableStyle name="SALE3 BỎ-style 50" pivot="0" count="2" xr9:uid="{00000000-0011-0000-FFFF-FFFFED000000}">
      <tableStyleElement type="firstRowStripe" dxfId="2770"/>
      <tableStyleElement type="secondRowStripe" dxfId="2769"/>
    </tableStyle>
    <tableStyle name="SALE3 BỎ-style 51" pivot="0" count="2" xr9:uid="{00000000-0011-0000-FFFF-FFFFEE000000}">
      <tableStyleElement type="firstRowStripe" dxfId="2768"/>
      <tableStyleElement type="secondRowStripe" dxfId="2767"/>
    </tableStyle>
    <tableStyle name="SALE3 BỎ-style 52" pivot="0" count="2" xr9:uid="{00000000-0011-0000-FFFF-FFFFEF000000}">
      <tableStyleElement type="firstRowStripe" dxfId="2766"/>
      <tableStyleElement type="secondRowStripe" dxfId="2765"/>
    </tableStyle>
    <tableStyle name="SALE3 BỎ-style 53" pivot="0" count="2" xr9:uid="{00000000-0011-0000-FFFF-FFFFF0000000}">
      <tableStyleElement type="firstRowStripe" dxfId="2764"/>
      <tableStyleElement type="secondRowStripe" dxfId="2763"/>
    </tableStyle>
    <tableStyle name="SALE3 BỎ-style 54" pivot="0" count="2" xr9:uid="{00000000-0011-0000-FFFF-FFFFF1000000}">
      <tableStyleElement type="firstRowStripe" dxfId="2762"/>
      <tableStyleElement type="secondRowStripe" dxfId="2761"/>
    </tableStyle>
    <tableStyle name="SALE3 BỎ-style 55" pivot="0" count="2" xr9:uid="{00000000-0011-0000-FFFF-FFFFF2000000}">
      <tableStyleElement type="firstRowStripe" dxfId="2760"/>
      <tableStyleElement type="secondRowStripe" dxfId="2759"/>
    </tableStyle>
    <tableStyle name="SALE3 BỎ-style 56" pivot="0" count="2" xr9:uid="{00000000-0011-0000-FFFF-FFFFF3000000}">
      <tableStyleElement type="firstRowStripe" dxfId="2758"/>
      <tableStyleElement type="secondRowStripe" dxfId="2757"/>
    </tableStyle>
    <tableStyle name="SALE3 BỎ-style 57" pivot="0" count="2" xr9:uid="{00000000-0011-0000-FFFF-FFFFF4000000}">
      <tableStyleElement type="firstRowStripe" dxfId="2756"/>
      <tableStyleElement type="secondRowStripe" dxfId="2755"/>
    </tableStyle>
    <tableStyle name="SALE3 BỎ-style 58" pivot="0" count="2" xr9:uid="{00000000-0011-0000-FFFF-FFFFF5000000}">
      <tableStyleElement type="firstRowStripe" dxfId="2754"/>
      <tableStyleElement type="secondRowStripe" dxfId="2753"/>
    </tableStyle>
    <tableStyle name="SALE3 BỎ-style 59" pivot="0" count="2" xr9:uid="{00000000-0011-0000-FFFF-FFFFF6000000}">
      <tableStyleElement type="firstRowStripe" dxfId="2752"/>
      <tableStyleElement type="secondRowStripe" dxfId="2751"/>
    </tableStyle>
    <tableStyle name="SALE3 BỎ-style 60" pivot="0" count="2" xr9:uid="{00000000-0011-0000-FFFF-FFFFF7000000}">
      <tableStyleElement type="firstRowStripe" dxfId="2750"/>
      <tableStyleElement type="secondRowStripe" dxfId="2749"/>
    </tableStyle>
    <tableStyle name="SALE3 BỎ-style 61" pivot="0" count="2" xr9:uid="{00000000-0011-0000-FFFF-FFFFF8000000}">
      <tableStyleElement type="firstRowStripe" dxfId="2748"/>
      <tableStyleElement type="secondRowStripe" dxfId="2747"/>
    </tableStyle>
    <tableStyle name="SALE3 BỎ-style 62" pivot="0" count="2" xr9:uid="{00000000-0011-0000-FFFF-FFFFF9000000}">
      <tableStyleElement type="firstRowStripe" dxfId="2746"/>
      <tableStyleElement type="secondRowStripe" dxfId="2745"/>
    </tableStyle>
    <tableStyle name="SALE3 BỎ-style 63" pivot="0" count="2" xr9:uid="{00000000-0011-0000-FFFF-FFFFFA000000}">
      <tableStyleElement type="firstRowStripe" dxfId="2744"/>
      <tableStyleElement type="secondRowStripe" dxfId="2743"/>
    </tableStyle>
    <tableStyle name="SALE3 BỎ-style 64" pivot="0" count="2" xr9:uid="{00000000-0011-0000-FFFF-FFFFFB000000}">
      <tableStyleElement type="firstRowStripe" dxfId="2742"/>
      <tableStyleElement type="secondRowStripe" dxfId="2741"/>
    </tableStyle>
    <tableStyle name="SALE3 BỎ-style 65" pivot="0" count="2" xr9:uid="{00000000-0011-0000-FFFF-FFFFFC000000}">
      <tableStyleElement type="firstRowStripe" dxfId="2740"/>
      <tableStyleElement type="secondRowStripe" dxfId="2739"/>
    </tableStyle>
    <tableStyle name="SALE3 BỎ-style 66" pivot="0" count="2" xr9:uid="{00000000-0011-0000-FFFF-FFFFFD000000}">
      <tableStyleElement type="firstRowStripe" dxfId="2738"/>
      <tableStyleElement type="secondRowStripe" dxfId="2737"/>
    </tableStyle>
    <tableStyle name="SALE3 BỎ-style 67" pivot="0" count="2" xr9:uid="{00000000-0011-0000-FFFF-FFFFFE000000}">
      <tableStyleElement type="firstRowStripe" dxfId="2736"/>
      <tableStyleElement type="secondRowStripe" dxfId="2735"/>
    </tableStyle>
    <tableStyle name="SALE3 BỎ-style 68" pivot="0" count="2" xr9:uid="{00000000-0011-0000-FFFF-FFFFFF000000}">
      <tableStyleElement type="firstRowStripe" dxfId="2734"/>
      <tableStyleElement type="secondRowStripe" dxfId="2733"/>
    </tableStyle>
    <tableStyle name="SALE3 BỎ-style 69" pivot="0" count="2" xr9:uid="{00000000-0011-0000-FFFF-FFFF00010000}">
      <tableStyleElement type="firstRowStripe" dxfId="2732"/>
      <tableStyleElement type="secondRowStripe" dxfId="2731"/>
    </tableStyle>
    <tableStyle name="SALE3 BỎ-style 70" pivot="0" count="2" xr9:uid="{00000000-0011-0000-FFFF-FFFF01010000}">
      <tableStyleElement type="firstRowStripe" dxfId="2730"/>
      <tableStyleElement type="secondRowStripe" dxfId="2729"/>
    </tableStyle>
    <tableStyle name="SALE3 BỎ-style 71" pivot="0" count="2" xr9:uid="{00000000-0011-0000-FFFF-FFFF02010000}">
      <tableStyleElement type="firstRowStripe" dxfId="2728"/>
      <tableStyleElement type="secondRowStripe" dxfId="2727"/>
    </tableStyle>
    <tableStyle name="SALE3 BỎ-style 72" pivot="0" count="2" xr9:uid="{00000000-0011-0000-FFFF-FFFF03010000}">
      <tableStyleElement type="firstRowStripe" dxfId="2726"/>
      <tableStyleElement type="secondRowStripe" dxfId="2725"/>
    </tableStyle>
    <tableStyle name="SALE3 BỎ-style 73" pivot="0" count="2" xr9:uid="{00000000-0011-0000-FFFF-FFFF04010000}">
      <tableStyleElement type="firstRowStripe" dxfId="2724"/>
      <tableStyleElement type="secondRowStripe" dxfId="2723"/>
    </tableStyle>
    <tableStyle name="SALE3 BỎ-style 74" pivot="0" count="2" xr9:uid="{00000000-0011-0000-FFFF-FFFF05010000}">
      <tableStyleElement type="firstRowStripe" dxfId="2722"/>
      <tableStyleElement type="secondRowStripe" dxfId="2721"/>
    </tableStyle>
    <tableStyle name="SALE3 BỎ-style 75" pivot="0" count="2" xr9:uid="{00000000-0011-0000-FFFF-FFFF06010000}">
      <tableStyleElement type="firstRowStripe" dxfId="2720"/>
      <tableStyleElement type="secondRowStripe" dxfId="2719"/>
    </tableStyle>
    <tableStyle name="SALE3 BỎ-style 76" pivot="0" count="2" xr9:uid="{00000000-0011-0000-FFFF-FFFF07010000}">
      <tableStyleElement type="firstRowStripe" dxfId="2718"/>
      <tableStyleElement type="secondRowStripe" dxfId="2717"/>
    </tableStyle>
    <tableStyle name="SALE3 BỎ-style 77" pivot="0" count="2" xr9:uid="{00000000-0011-0000-FFFF-FFFF08010000}">
      <tableStyleElement type="firstRowStripe" dxfId="2716"/>
      <tableStyleElement type="secondRowStripe" dxfId="2715"/>
    </tableStyle>
    <tableStyle name="SALE3 BỎ-style 78" pivot="0" count="2" xr9:uid="{00000000-0011-0000-FFFF-FFFF09010000}">
      <tableStyleElement type="firstRowStripe" dxfId="2714"/>
      <tableStyleElement type="secondRowStripe" dxfId="2713"/>
    </tableStyle>
    <tableStyle name="SALE3 BỎ-style 79" pivot="0" count="2" xr9:uid="{00000000-0011-0000-FFFF-FFFF0A010000}">
      <tableStyleElement type="firstRowStripe" dxfId="2712"/>
      <tableStyleElement type="secondRowStripe" dxfId="2711"/>
    </tableStyle>
    <tableStyle name="SALE3 BỎ-style 80" pivot="0" count="2" xr9:uid="{00000000-0011-0000-FFFF-FFFF0B010000}">
      <tableStyleElement type="firstRowStripe" dxfId="2710"/>
      <tableStyleElement type="secondRowStripe" dxfId="2709"/>
    </tableStyle>
    <tableStyle name="SALE3 BỎ-style 81" pivot="0" count="2" xr9:uid="{00000000-0011-0000-FFFF-FFFF0C010000}">
      <tableStyleElement type="firstRowStripe" dxfId="2708"/>
      <tableStyleElement type="secondRowStripe" dxfId="2707"/>
    </tableStyle>
    <tableStyle name="SALE4-style" pivot="0" count="2" xr9:uid="{00000000-0011-0000-FFFF-FFFF0D010000}">
      <tableStyleElement type="firstRowStripe" dxfId="2706"/>
      <tableStyleElement type="secondRowStripe" dxfId="2705"/>
    </tableStyle>
    <tableStyle name="SALE4-style 2" pivot="0" count="2" xr9:uid="{00000000-0011-0000-FFFF-FFFF0E010000}">
      <tableStyleElement type="firstRowStripe" dxfId="2704"/>
      <tableStyleElement type="secondRowStripe" dxfId="2703"/>
    </tableStyle>
    <tableStyle name="SALE4-style 3" pivot="0" count="2" xr9:uid="{00000000-0011-0000-FFFF-FFFF0F010000}">
      <tableStyleElement type="firstRowStripe" dxfId="2702"/>
      <tableStyleElement type="secondRowStripe" dxfId="2701"/>
    </tableStyle>
    <tableStyle name="SALE4-style 4" pivot="0" count="2" xr9:uid="{00000000-0011-0000-FFFF-FFFF10010000}">
      <tableStyleElement type="firstRowStripe" dxfId="2700"/>
      <tableStyleElement type="secondRowStripe" dxfId="2699"/>
    </tableStyle>
    <tableStyle name="SALE4-style 5" pivot="0" count="2" xr9:uid="{00000000-0011-0000-FFFF-FFFF11010000}">
      <tableStyleElement type="firstRowStripe" dxfId="2698"/>
      <tableStyleElement type="secondRowStripe" dxfId="2697"/>
    </tableStyle>
    <tableStyle name="SALE4-style 6" pivot="0" count="2" xr9:uid="{00000000-0011-0000-FFFF-FFFF12010000}">
      <tableStyleElement type="firstRowStripe" dxfId="2696"/>
      <tableStyleElement type="secondRowStripe" dxfId="2695"/>
    </tableStyle>
    <tableStyle name="SALE4-style 7" pivot="0" count="2" xr9:uid="{00000000-0011-0000-FFFF-FFFF13010000}">
      <tableStyleElement type="firstRowStripe" dxfId="2694"/>
      <tableStyleElement type="secondRowStripe" dxfId="2693"/>
    </tableStyle>
    <tableStyle name="SALE4-style 8" pivot="0" count="2" xr9:uid="{00000000-0011-0000-FFFF-FFFF14010000}">
      <tableStyleElement type="firstRowStripe" dxfId="2692"/>
      <tableStyleElement type="secondRowStripe" dxfId="2691"/>
    </tableStyle>
    <tableStyle name="SALE4-style 9" pivot="0" count="2" xr9:uid="{00000000-0011-0000-FFFF-FFFF15010000}">
      <tableStyleElement type="firstRowStripe" dxfId="2690"/>
      <tableStyleElement type="secondRowStripe" dxfId="2689"/>
    </tableStyle>
    <tableStyle name="SALE4-style 10" pivot="0" count="2" xr9:uid="{00000000-0011-0000-FFFF-FFFF16010000}">
      <tableStyleElement type="firstRowStripe" dxfId="2688"/>
      <tableStyleElement type="secondRowStripe" dxfId="2687"/>
    </tableStyle>
    <tableStyle name="SALE4-style 11" pivot="0" count="2" xr9:uid="{00000000-0011-0000-FFFF-FFFF17010000}">
      <tableStyleElement type="firstRowStripe" dxfId="2686"/>
      <tableStyleElement type="secondRowStripe" dxfId="2685"/>
    </tableStyle>
    <tableStyle name="SALE4-style 12" pivot="0" count="2" xr9:uid="{00000000-0011-0000-FFFF-FFFF18010000}">
      <tableStyleElement type="firstRowStripe" dxfId="2684"/>
      <tableStyleElement type="secondRowStripe" dxfId="2683"/>
    </tableStyle>
    <tableStyle name="SALE4-style 13" pivot="0" count="2" xr9:uid="{00000000-0011-0000-FFFF-FFFF19010000}">
      <tableStyleElement type="firstRowStripe" dxfId="2682"/>
      <tableStyleElement type="secondRowStripe" dxfId="2681"/>
    </tableStyle>
    <tableStyle name="SALE4-style 14" pivot="0" count="2" xr9:uid="{00000000-0011-0000-FFFF-FFFF1A010000}">
      <tableStyleElement type="firstRowStripe" dxfId="2680"/>
      <tableStyleElement type="secondRowStripe" dxfId="2679"/>
    </tableStyle>
    <tableStyle name="SALE4-style 15" pivot="0" count="2" xr9:uid="{00000000-0011-0000-FFFF-FFFF1B010000}">
      <tableStyleElement type="firstRowStripe" dxfId="2678"/>
      <tableStyleElement type="secondRowStripe" dxfId="2677"/>
    </tableStyle>
    <tableStyle name="SALE4-style 16" pivot="0" count="2" xr9:uid="{00000000-0011-0000-FFFF-FFFF1C010000}">
      <tableStyleElement type="firstRowStripe" dxfId="2676"/>
      <tableStyleElement type="secondRowStripe" dxfId="2675"/>
    </tableStyle>
    <tableStyle name="SALE4-style 17" pivot="0" count="2" xr9:uid="{00000000-0011-0000-FFFF-FFFF1D010000}">
      <tableStyleElement type="firstRowStripe" dxfId="2674"/>
      <tableStyleElement type="secondRowStripe" dxfId="2673"/>
    </tableStyle>
    <tableStyle name="SALE4-style 18" pivot="0" count="2" xr9:uid="{00000000-0011-0000-FFFF-FFFF1E010000}">
      <tableStyleElement type="firstRowStripe" dxfId="2672"/>
      <tableStyleElement type="secondRowStripe" dxfId="2671"/>
    </tableStyle>
    <tableStyle name="SALE4-style 19" pivot="0" count="2" xr9:uid="{00000000-0011-0000-FFFF-FFFF1F010000}">
      <tableStyleElement type="firstRowStripe" dxfId="2670"/>
      <tableStyleElement type="secondRowStripe" dxfId="2669"/>
    </tableStyle>
    <tableStyle name="SALE4-style 20" pivot="0" count="2" xr9:uid="{00000000-0011-0000-FFFF-FFFF20010000}">
      <tableStyleElement type="firstRowStripe" dxfId="2668"/>
      <tableStyleElement type="secondRowStripe" dxfId="2667"/>
    </tableStyle>
    <tableStyle name="SALE4-style 21" pivot="0" count="2" xr9:uid="{00000000-0011-0000-FFFF-FFFF21010000}">
      <tableStyleElement type="firstRowStripe" dxfId="2666"/>
      <tableStyleElement type="secondRowStripe" dxfId="2665"/>
    </tableStyle>
    <tableStyle name="SALE4-style 22" pivot="0" count="2" xr9:uid="{00000000-0011-0000-FFFF-FFFF22010000}">
      <tableStyleElement type="firstRowStripe" dxfId="2664"/>
      <tableStyleElement type="secondRowStripe" dxfId="2663"/>
    </tableStyle>
    <tableStyle name="SALE4-style 23" pivot="0" count="2" xr9:uid="{00000000-0011-0000-FFFF-FFFF23010000}">
      <tableStyleElement type="firstRowStripe" dxfId="2662"/>
      <tableStyleElement type="secondRowStripe" dxfId="2661"/>
    </tableStyle>
    <tableStyle name="SALE4-style 24" pivot="0" count="2" xr9:uid="{00000000-0011-0000-FFFF-FFFF24010000}">
      <tableStyleElement type="firstRowStripe" dxfId="2660"/>
      <tableStyleElement type="secondRowStripe" dxfId="2659"/>
    </tableStyle>
    <tableStyle name="SALE4-style 25" pivot="0" count="2" xr9:uid="{00000000-0011-0000-FFFF-FFFF25010000}">
      <tableStyleElement type="firstRowStripe" dxfId="2658"/>
      <tableStyleElement type="secondRowStripe" dxfId="2657"/>
    </tableStyle>
    <tableStyle name="SALE4-style 26" pivot="0" count="2" xr9:uid="{00000000-0011-0000-FFFF-FFFF26010000}">
      <tableStyleElement type="firstRowStripe" dxfId="2656"/>
      <tableStyleElement type="secondRowStripe" dxfId="2655"/>
    </tableStyle>
    <tableStyle name="SALE4-style 27" pivot="0" count="2" xr9:uid="{00000000-0011-0000-FFFF-FFFF27010000}">
      <tableStyleElement type="firstRowStripe" dxfId="2654"/>
      <tableStyleElement type="secondRowStripe" dxfId="2653"/>
    </tableStyle>
    <tableStyle name="SALE4-style 28" pivot="0" count="2" xr9:uid="{00000000-0011-0000-FFFF-FFFF28010000}">
      <tableStyleElement type="firstRowStripe" dxfId="2652"/>
      <tableStyleElement type="secondRowStripe" dxfId="2651"/>
    </tableStyle>
    <tableStyle name="SALE4-style 29" pivot="0" count="2" xr9:uid="{00000000-0011-0000-FFFF-FFFF29010000}">
      <tableStyleElement type="firstRowStripe" dxfId="2650"/>
      <tableStyleElement type="secondRowStripe" dxfId="2649"/>
    </tableStyle>
    <tableStyle name="SALE4-style 30" pivot="0" count="2" xr9:uid="{00000000-0011-0000-FFFF-FFFF2A010000}">
      <tableStyleElement type="firstRowStripe" dxfId="2648"/>
      <tableStyleElement type="secondRowStripe" dxfId="2647"/>
    </tableStyle>
    <tableStyle name="SALE4-style 31" pivot="0" count="2" xr9:uid="{00000000-0011-0000-FFFF-FFFF2B010000}">
      <tableStyleElement type="firstRowStripe" dxfId="2646"/>
      <tableStyleElement type="secondRowStripe" dxfId="2645"/>
    </tableStyle>
    <tableStyle name="SALE4-style 32" pivot="0" count="2" xr9:uid="{00000000-0011-0000-FFFF-FFFF2C010000}">
      <tableStyleElement type="firstRowStripe" dxfId="2644"/>
      <tableStyleElement type="secondRowStripe" dxfId="2643"/>
    </tableStyle>
    <tableStyle name="SALE4-style 33" pivot="0" count="2" xr9:uid="{00000000-0011-0000-FFFF-FFFF2D010000}">
      <tableStyleElement type="firstRowStripe" dxfId="2642"/>
      <tableStyleElement type="secondRowStripe" dxfId="2641"/>
    </tableStyle>
    <tableStyle name="SALE4-style 34" pivot="0" count="2" xr9:uid="{00000000-0011-0000-FFFF-FFFF2E010000}">
      <tableStyleElement type="firstRowStripe" dxfId="2640"/>
      <tableStyleElement type="secondRowStripe" dxfId="2639"/>
    </tableStyle>
    <tableStyle name="SALE4-style 35" pivot="0" count="2" xr9:uid="{00000000-0011-0000-FFFF-FFFF2F010000}">
      <tableStyleElement type="firstRowStripe" dxfId="2638"/>
      <tableStyleElement type="secondRowStripe" dxfId="2637"/>
    </tableStyle>
    <tableStyle name="SALE4-style 36" pivot="0" count="2" xr9:uid="{00000000-0011-0000-FFFF-FFFF30010000}">
      <tableStyleElement type="firstRowStripe" dxfId="2636"/>
      <tableStyleElement type="secondRowStripe" dxfId="2635"/>
    </tableStyle>
    <tableStyle name="SALE4-style 37" pivot="0" count="2" xr9:uid="{00000000-0011-0000-FFFF-FFFF31010000}">
      <tableStyleElement type="firstRowStripe" dxfId="2634"/>
      <tableStyleElement type="secondRowStripe" dxfId="2633"/>
    </tableStyle>
    <tableStyle name="SALE4-style 38" pivot="0" count="2" xr9:uid="{00000000-0011-0000-FFFF-FFFF32010000}">
      <tableStyleElement type="firstRowStripe" dxfId="2632"/>
      <tableStyleElement type="secondRowStripe" dxfId="2631"/>
    </tableStyle>
    <tableStyle name="SALE4-style 39" pivot="0" count="2" xr9:uid="{00000000-0011-0000-FFFF-FFFF33010000}">
      <tableStyleElement type="firstRowStripe" dxfId="2630"/>
      <tableStyleElement type="secondRowStripe" dxfId="2629"/>
    </tableStyle>
    <tableStyle name="SALE4-style 40" pivot="0" count="2" xr9:uid="{00000000-0011-0000-FFFF-FFFF34010000}">
      <tableStyleElement type="firstRowStripe" dxfId="2628"/>
      <tableStyleElement type="secondRowStripe" dxfId="2627"/>
    </tableStyle>
    <tableStyle name="SALE4-style 41" pivot="0" count="2" xr9:uid="{00000000-0011-0000-FFFF-FFFF35010000}">
      <tableStyleElement type="firstRowStripe" dxfId="2626"/>
      <tableStyleElement type="secondRowStripe" dxfId="2625"/>
    </tableStyle>
    <tableStyle name="SALE4-style 42" pivot="0" count="2" xr9:uid="{00000000-0011-0000-FFFF-FFFF36010000}">
      <tableStyleElement type="firstRowStripe" dxfId="2624"/>
      <tableStyleElement type="secondRowStripe" dxfId="2623"/>
    </tableStyle>
    <tableStyle name="SALE4-style 43" pivot="0" count="2" xr9:uid="{00000000-0011-0000-FFFF-FFFF37010000}">
      <tableStyleElement type="firstRowStripe" dxfId="2622"/>
      <tableStyleElement type="secondRowStripe" dxfId="2621"/>
    </tableStyle>
    <tableStyle name="SALE4-style 44" pivot="0" count="2" xr9:uid="{00000000-0011-0000-FFFF-FFFF38010000}">
      <tableStyleElement type="firstRowStripe" dxfId="2620"/>
      <tableStyleElement type="secondRowStripe" dxfId="2619"/>
    </tableStyle>
    <tableStyle name="SALE4-style 45" pivot="0" count="2" xr9:uid="{00000000-0011-0000-FFFF-FFFF39010000}">
      <tableStyleElement type="firstRowStripe" dxfId="2618"/>
      <tableStyleElement type="secondRowStripe" dxfId="2617"/>
    </tableStyle>
    <tableStyle name="SALE4-style 46" pivot="0" count="2" xr9:uid="{00000000-0011-0000-FFFF-FFFF3A010000}">
      <tableStyleElement type="firstRowStripe" dxfId="2616"/>
      <tableStyleElement type="secondRowStripe" dxfId="2615"/>
    </tableStyle>
    <tableStyle name="SALE4-style 47" pivot="0" count="2" xr9:uid="{00000000-0011-0000-FFFF-FFFF3B010000}">
      <tableStyleElement type="firstRowStripe" dxfId="2614"/>
      <tableStyleElement type="secondRowStripe" dxfId="2613"/>
    </tableStyle>
    <tableStyle name="SALE4-style 48" pivot="0" count="2" xr9:uid="{00000000-0011-0000-FFFF-FFFF3C010000}">
      <tableStyleElement type="firstRowStripe" dxfId="2612"/>
      <tableStyleElement type="secondRowStripe" dxfId="2611"/>
    </tableStyle>
    <tableStyle name="SALE4-style 49" pivot="0" count="2" xr9:uid="{00000000-0011-0000-FFFF-FFFF3D010000}">
      <tableStyleElement type="firstRowStripe" dxfId="2610"/>
      <tableStyleElement type="secondRowStripe" dxfId="2609"/>
    </tableStyle>
    <tableStyle name="SALE4-style 50" pivot="0" count="2" xr9:uid="{00000000-0011-0000-FFFF-FFFF3E010000}">
      <tableStyleElement type="firstRowStripe" dxfId="2608"/>
      <tableStyleElement type="secondRowStripe" dxfId="2607"/>
    </tableStyle>
    <tableStyle name="SALE4-style 51" pivot="0" count="2" xr9:uid="{00000000-0011-0000-FFFF-FFFF3F010000}">
      <tableStyleElement type="firstRowStripe" dxfId="2606"/>
      <tableStyleElement type="secondRowStripe" dxfId="2605"/>
    </tableStyle>
    <tableStyle name="SALE4-style 52" pivot="0" count="2" xr9:uid="{00000000-0011-0000-FFFF-FFFF40010000}">
      <tableStyleElement type="firstRowStripe" dxfId="2604"/>
      <tableStyleElement type="secondRowStripe" dxfId="2603"/>
    </tableStyle>
    <tableStyle name="SALE4-style 53" pivot="0" count="2" xr9:uid="{00000000-0011-0000-FFFF-FFFF41010000}">
      <tableStyleElement type="firstRowStripe" dxfId="2602"/>
      <tableStyleElement type="secondRowStripe" dxfId="2601"/>
    </tableStyle>
    <tableStyle name="SALE4-style 54" pivot="0" count="2" xr9:uid="{00000000-0011-0000-FFFF-FFFF42010000}">
      <tableStyleElement type="firstRowStripe" dxfId="2600"/>
      <tableStyleElement type="secondRowStripe" dxfId="2599"/>
    </tableStyle>
    <tableStyle name="SALE4-style 55" pivot="0" count="2" xr9:uid="{00000000-0011-0000-FFFF-FFFF43010000}">
      <tableStyleElement type="firstRowStripe" dxfId="2598"/>
      <tableStyleElement type="secondRowStripe" dxfId="2597"/>
    </tableStyle>
    <tableStyle name="SALE4-style 56" pivot="0" count="2" xr9:uid="{00000000-0011-0000-FFFF-FFFF44010000}">
      <tableStyleElement type="firstRowStripe" dxfId="2596"/>
      <tableStyleElement type="secondRowStripe" dxfId="2595"/>
    </tableStyle>
    <tableStyle name="SALE4-style 57" pivot="0" count="2" xr9:uid="{00000000-0011-0000-FFFF-FFFF45010000}">
      <tableStyleElement type="firstRowStripe" dxfId="2594"/>
      <tableStyleElement type="secondRowStripe" dxfId="2593"/>
    </tableStyle>
    <tableStyle name="SALE4-style 58" pivot="0" count="2" xr9:uid="{00000000-0011-0000-FFFF-FFFF46010000}">
      <tableStyleElement type="firstRowStripe" dxfId="2592"/>
      <tableStyleElement type="secondRowStripe" dxfId="2591"/>
    </tableStyle>
    <tableStyle name="SALE4-style 59" pivot="0" count="2" xr9:uid="{00000000-0011-0000-FFFF-FFFF47010000}">
      <tableStyleElement type="firstRowStripe" dxfId="2590"/>
      <tableStyleElement type="secondRowStripe" dxfId="2589"/>
    </tableStyle>
    <tableStyle name="SALE4-style 60" pivot="0" count="2" xr9:uid="{00000000-0011-0000-FFFF-FFFF48010000}">
      <tableStyleElement type="firstRowStripe" dxfId="2588"/>
      <tableStyleElement type="secondRowStripe" dxfId="2587"/>
    </tableStyle>
    <tableStyle name="SALE4-style 61" pivot="0" count="2" xr9:uid="{00000000-0011-0000-FFFF-FFFF49010000}">
      <tableStyleElement type="firstRowStripe" dxfId="2586"/>
      <tableStyleElement type="secondRowStripe" dxfId="2585"/>
    </tableStyle>
    <tableStyle name="SALE4-style 62" pivot="0" count="2" xr9:uid="{00000000-0011-0000-FFFF-FFFF4A010000}">
      <tableStyleElement type="firstRowStripe" dxfId="2584"/>
      <tableStyleElement type="secondRowStripe" dxfId="2583"/>
    </tableStyle>
    <tableStyle name="SALE4-style 63" pivot="0" count="2" xr9:uid="{00000000-0011-0000-FFFF-FFFF4B010000}">
      <tableStyleElement type="firstRowStripe" dxfId="2582"/>
      <tableStyleElement type="secondRowStripe" dxfId="2581"/>
    </tableStyle>
    <tableStyle name="CONT_1-style" pivot="0" count="3" xr9:uid="{00000000-0011-0000-FFFF-FFFF4C010000}">
      <tableStyleElement type="headerRow" dxfId="2580"/>
      <tableStyleElement type="firstRowStripe" dxfId="2579"/>
      <tableStyleElement type="secondRowStripe" dxfId="2578"/>
    </tableStyle>
    <tableStyle name="SALE2 BỎ-style" pivot="0" count="2" xr9:uid="{00000000-0011-0000-FFFF-FFFF4D010000}">
      <tableStyleElement type="firstRowStripe" dxfId="2577"/>
      <tableStyleElement type="secondRowStripe" dxfId="2576"/>
    </tableStyle>
    <tableStyle name="SALE2 BỎ-style 2" pivot="0" count="2" xr9:uid="{00000000-0011-0000-FFFF-FFFF4E010000}">
      <tableStyleElement type="firstRowStripe" dxfId="2575"/>
      <tableStyleElement type="secondRowStripe" dxfId="2574"/>
    </tableStyle>
    <tableStyle name="SALE2 BỎ-style 3" pivot="0" count="2" xr9:uid="{00000000-0011-0000-FFFF-FFFF4F010000}">
      <tableStyleElement type="firstRowStripe" dxfId="2573"/>
      <tableStyleElement type="secondRowStripe" dxfId="2572"/>
    </tableStyle>
    <tableStyle name="SALE2 BỎ-style 4" pivot="0" count="2" xr9:uid="{00000000-0011-0000-FFFF-FFFF50010000}">
      <tableStyleElement type="firstRowStripe" dxfId="2571"/>
      <tableStyleElement type="secondRowStripe" dxfId="2570"/>
    </tableStyle>
    <tableStyle name="SALE2 BỎ-style 5" pivot="0" count="2" xr9:uid="{00000000-0011-0000-FFFF-FFFF51010000}">
      <tableStyleElement type="firstRowStripe" dxfId="2569"/>
      <tableStyleElement type="secondRowStripe" dxfId="2568"/>
    </tableStyle>
    <tableStyle name="SALE2 BỎ-style 6" pivot="0" count="2" xr9:uid="{00000000-0011-0000-FFFF-FFFF52010000}">
      <tableStyleElement type="firstRowStripe" dxfId="2567"/>
      <tableStyleElement type="secondRowStripe" dxfId="2566"/>
    </tableStyle>
    <tableStyle name="SALE2 BỎ-style 7" pivot="0" count="2" xr9:uid="{00000000-0011-0000-FFFF-FFFF53010000}">
      <tableStyleElement type="firstRowStripe" dxfId="2565"/>
      <tableStyleElement type="secondRowStripe" dxfId="2564"/>
    </tableStyle>
    <tableStyle name="SALE2 BỎ-style 8" pivot="0" count="2" xr9:uid="{00000000-0011-0000-FFFF-FFFF54010000}">
      <tableStyleElement type="firstRowStripe" dxfId="2563"/>
      <tableStyleElement type="secondRowStripe" dxfId="2562"/>
    </tableStyle>
    <tableStyle name="SALE2 BỎ-style 9" pivot="0" count="2" xr9:uid="{00000000-0011-0000-FFFF-FFFF55010000}">
      <tableStyleElement type="firstRowStripe" dxfId="2561"/>
      <tableStyleElement type="secondRowStripe" dxfId="2560"/>
    </tableStyle>
    <tableStyle name="SALE2 BỎ-style 10" pivot="0" count="2" xr9:uid="{00000000-0011-0000-FFFF-FFFF56010000}">
      <tableStyleElement type="firstRowStripe" dxfId="2559"/>
      <tableStyleElement type="secondRowStripe" dxfId="2558"/>
    </tableStyle>
    <tableStyle name="SALE2 BỎ-style 11" pivot="0" count="2" xr9:uid="{00000000-0011-0000-FFFF-FFFF57010000}">
      <tableStyleElement type="firstRowStripe" dxfId="2557"/>
      <tableStyleElement type="secondRowStripe" dxfId="2556"/>
    </tableStyle>
    <tableStyle name="SALE2 BỎ-style 12" pivot="0" count="2" xr9:uid="{00000000-0011-0000-FFFF-FFFF58010000}">
      <tableStyleElement type="firstRowStripe" dxfId="2555"/>
      <tableStyleElement type="secondRowStripe" dxfId="2554"/>
    </tableStyle>
    <tableStyle name="SALE2 BỎ-style 13" pivot="0" count="2" xr9:uid="{00000000-0011-0000-FFFF-FFFF59010000}">
      <tableStyleElement type="firstRowStripe" dxfId="2553"/>
      <tableStyleElement type="secondRowStripe" dxfId="2552"/>
    </tableStyle>
    <tableStyle name="SALE2 BỎ-style 14" pivot="0" count="2" xr9:uid="{00000000-0011-0000-FFFF-FFFF5A010000}">
      <tableStyleElement type="firstRowStripe" dxfId="2551"/>
      <tableStyleElement type="secondRowStripe" dxfId="2550"/>
    </tableStyle>
    <tableStyle name="SALE2 BỎ-style 15" pivot="0" count="2" xr9:uid="{00000000-0011-0000-FFFF-FFFF5B010000}">
      <tableStyleElement type="firstRowStripe" dxfId="2549"/>
      <tableStyleElement type="secondRowStripe" dxfId="2548"/>
    </tableStyle>
    <tableStyle name="SALE2 BỎ-style 16" pivot="0" count="2" xr9:uid="{00000000-0011-0000-FFFF-FFFF5C010000}">
      <tableStyleElement type="firstRowStripe" dxfId="2547"/>
      <tableStyleElement type="secondRowStripe" dxfId="2546"/>
    </tableStyle>
    <tableStyle name="SALE2 BỎ-style 17" pivot="0" count="2" xr9:uid="{00000000-0011-0000-FFFF-FFFF5D010000}">
      <tableStyleElement type="firstRowStripe" dxfId="2545"/>
      <tableStyleElement type="secondRowStripe" dxfId="2544"/>
    </tableStyle>
    <tableStyle name="SALE2 BỎ-style 18" pivot="0" count="2" xr9:uid="{00000000-0011-0000-FFFF-FFFF5E010000}">
      <tableStyleElement type="firstRowStripe" dxfId="2543"/>
      <tableStyleElement type="secondRowStripe" dxfId="2542"/>
    </tableStyle>
    <tableStyle name="SALE2 BỎ-style 19" pivot="0" count="2" xr9:uid="{00000000-0011-0000-FFFF-FFFF5F010000}">
      <tableStyleElement type="firstRowStripe" dxfId="2541"/>
      <tableStyleElement type="secondRowStripe" dxfId="2540"/>
    </tableStyle>
    <tableStyle name="SALE2 BỎ-style 20" pivot="0" count="2" xr9:uid="{00000000-0011-0000-FFFF-FFFF60010000}">
      <tableStyleElement type="firstRowStripe" dxfId="2539"/>
      <tableStyleElement type="secondRowStripe" dxfId="2538"/>
    </tableStyle>
    <tableStyle name="SALE2 BỎ-style 21" pivot="0" count="2" xr9:uid="{00000000-0011-0000-FFFF-FFFF61010000}">
      <tableStyleElement type="firstRowStripe" dxfId="2537"/>
      <tableStyleElement type="secondRowStripe" dxfId="2536"/>
    </tableStyle>
    <tableStyle name="SALE2 BỎ-style 22" pivot="0" count="2" xr9:uid="{00000000-0011-0000-FFFF-FFFF62010000}">
      <tableStyleElement type="firstRowStripe" dxfId="2535"/>
      <tableStyleElement type="secondRowStripe" dxfId="2534"/>
    </tableStyle>
    <tableStyle name="SALE2 BỎ-style 23" pivot="0" count="2" xr9:uid="{00000000-0011-0000-FFFF-FFFF63010000}">
      <tableStyleElement type="firstRowStripe" dxfId="2533"/>
      <tableStyleElement type="secondRowStripe" dxfId="2532"/>
    </tableStyle>
    <tableStyle name="SALE2 BỎ-style 24" pivot="0" count="2" xr9:uid="{00000000-0011-0000-FFFF-FFFF64010000}">
      <tableStyleElement type="firstRowStripe" dxfId="2531"/>
      <tableStyleElement type="secondRowStripe" dxfId="2530"/>
    </tableStyle>
    <tableStyle name="SALE2 BỎ-style 25" pivot="0" count="2" xr9:uid="{00000000-0011-0000-FFFF-FFFF65010000}">
      <tableStyleElement type="firstRowStripe" dxfId="2529"/>
      <tableStyleElement type="secondRowStripe" dxfId="2528"/>
    </tableStyle>
    <tableStyle name="SALE2 BỎ-style 26" pivot="0" count="2" xr9:uid="{00000000-0011-0000-FFFF-FFFF66010000}">
      <tableStyleElement type="firstRowStripe" dxfId="2527"/>
      <tableStyleElement type="secondRowStripe" dxfId="2526"/>
    </tableStyle>
    <tableStyle name="SALE2 BỎ-style 27" pivot="0" count="2" xr9:uid="{00000000-0011-0000-FFFF-FFFF67010000}">
      <tableStyleElement type="firstRowStripe" dxfId="2525"/>
      <tableStyleElement type="secondRowStripe" dxfId="2524"/>
    </tableStyle>
    <tableStyle name="SALE2 BỎ-style 28" pivot="0" count="2" xr9:uid="{00000000-0011-0000-FFFF-FFFF68010000}">
      <tableStyleElement type="firstRowStripe" dxfId="2523"/>
      <tableStyleElement type="secondRowStripe" dxfId="2522"/>
    </tableStyle>
    <tableStyle name="SALE2 BỎ-style 29" pivot="0" count="2" xr9:uid="{00000000-0011-0000-FFFF-FFFF69010000}">
      <tableStyleElement type="firstRowStripe" dxfId="2521"/>
      <tableStyleElement type="secondRowStripe" dxfId="2520"/>
    </tableStyle>
    <tableStyle name="SALE2 BỎ-style 30" pivot="0" count="2" xr9:uid="{00000000-0011-0000-FFFF-FFFF6A010000}">
      <tableStyleElement type="firstRowStripe" dxfId="2519"/>
      <tableStyleElement type="secondRowStripe" dxfId="2518"/>
    </tableStyle>
    <tableStyle name="SALE2 BỎ-style 31" pivot="0" count="2" xr9:uid="{00000000-0011-0000-FFFF-FFFF6B010000}">
      <tableStyleElement type="firstRowStripe" dxfId="2517"/>
      <tableStyleElement type="secondRowStripe" dxfId="2516"/>
    </tableStyle>
    <tableStyle name="SALE2 BỎ-style 32" pivot="0" count="2" xr9:uid="{00000000-0011-0000-FFFF-FFFF6C010000}">
      <tableStyleElement type="firstRowStripe" dxfId="2515"/>
      <tableStyleElement type="secondRowStripe" dxfId="2514"/>
    </tableStyle>
    <tableStyle name="SALE2 BỎ-style 33" pivot="0" count="2" xr9:uid="{00000000-0011-0000-FFFF-FFFF6D010000}">
      <tableStyleElement type="firstRowStripe" dxfId="2513"/>
      <tableStyleElement type="secondRowStripe" dxfId="2512"/>
    </tableStyle>
    <tableStyle name="SALE2 BỎ-style 34" pivot="0" count="2" xr9:uid="{00000000-0011-0000-FFFF-FFFF6E010000}">
      <tableStyleElement type="firstRowStripe" dxfId="2511"/>
      <tableStyleElement type="secondRowStripe" dxfId="2510"/>
    </tableStyle>
    <tableStyle name="SALE2 BỎ-style 35" pivot="0" count="2" xr9:uid="{00000000-0011-0000-FFFF-FFFF6F010000}">
      <tableStyleElement type="firstRowStripe" dxfId="2509"/>
      <tableStyleElement type="secondRowStripe" dxfId="2508"/>
    </tableStyle>
    <tableStyle name="SALE2 BỎ-style 36" pivot="0" count="2" xr9:uid="{00000000-0011-0000-FFFF-FFFF70010000}">
      <tableStyleElement type="firstRowStripe" dxfId="2507"/>
      <tableStyleElement type="secondRowStripe" dxfId="2506"/>
    </tableStyle>
    <tableStyle name="SALE2 BỎ-style 37" pivot="0" count="2" xr9:uid="{00000000-0011-0000-FFFF-FFFF71010000}">
      <tableStyleElement type="firstRowStripe" dxfId="2505"/>
      <tableStyleElement type="secondRowStripe" dxfId="2504"/>
    </tableStyle>
    <tableStyle name="SALE2 BỎ-style 38" pivot="0" count="2" xr9:uid="{00000000-0011-0000-FFFF-FFFF72010000}">
      <tableStyleElement type="firstRowStripe" dxfId="2503"/>
      <tableStyleElement type="secondRowStripe" dxfId="2502"/>
    </tableStyle>
    <tableStyle name="SALE2 BỎ-style 39" pivot="0" count="2" xr9:uid="{00000000-0011-0000-FFFF-FFFF73010000}">
      <tableStyleElement type="firstRowStripe" dxfId="2501"/>
      <tableStyleElement type="secondRowStripe" dxfId="2500"/>
    </tableStyle>
    <tableStyle name="SALE2 BỎ-style 40" pivot="0" count="2" xr9:uid="{00000000-0011-0000-FFFF-FFFF74010000}">
      <tableStyleElement type="firstRowStripe" dxfId="2499"/>
      <tableStyleElement type="secondRowStripe" dxfId="2498"/>
    </tableStyle>
    <tableStyle name="SALE2 BỎ-style 41" pivot="0" count="2" xr9:uid="{00000000-0011-0000-FFFF-FFFF75010000}">
      <tableStyleElement type="firstRowStripe" dxfId="2497"/>
      <tableStyleElement type="secondRowStripe" dxfId="2496"/>
    </tableStyle>
    <tableStyle name="SALE2 BỎ-style 42" pivot="0" count="2" xr9:uid="{00000000-0011-0000-FFFF-FFFF76010000}">
      <tableStyleElement type="firstRowStripe" dxfId="2495"/>
      <tableStyleElement type="secondRowStripe" dxfId="2494"/>
    </tableStyle>
    <tableStyle name="SALE2 BỎ-style 43" pivot="0" count="2" xr9:uid="{00000000-0011-0000-FFFF-FFFF77010000}">
      <tableStyleElement type="firstRowStripe" dxfId="2493"/>
      <tableStyleElement type="secondRowStripe" dxfId="2492"/>
    </tableStyle>
    <tableStyle name="SALE2 BỎ-style 44" pivot="0" count="2" xr9:uid="{00000000-0011-0000-FFFF-FFFF78010000}">
      <tableStyleElement type="firstRowStripe" dxfId="2491"/>
      <tableStyleElement type="secondRowStripe" dxfId="2490"/>
    </tableStyle>
    <tableStyle name="SALE2 BỎ-style 45" pivot="0" count="2" xr9:uid="{00000000-0011-0000-FFFF-FFFF79010000}">
      <tableStyleElement type="firstRowStripe" dxfId="2489"/>
      <tableStyleElement type="secondRowStripe" dxfId="2488"/>
    </tableStyle>
    <tableStyle name="SALE2 BỎ-style 46" pivot="0" count="2" xr9:uid="{00000000-0011-0000-FFFF-FFFF7A010000}">
      <tableStyleElement type="firstRowStripe" dxfId="2487"/>
      <tableStyleElement type="secondRowStripe" dxfId="2486"/>
    </tableStyle>
    <tableStyle name="SALE2 BỎ-style 47" pivot="0" count="2" xr9:uid="{00000000-0011-0000-FFFF-FFFF7B010000}">
      <tableStyleElement type="firstRowStripe" dxfId="2485"/>
      <tableStyleElement type="secondRowStripe" dxfId="2484"/>
    </tableStyle>
    <tableStyle name="SALE2 BỎ-style 48" pivot="0" count="2" xr9:uid="{00000000-0011-0000-FFFF-FFFF7C010000}">
      <tableStyleElement type="firstRowStripe" dxfId="2483"/>
      <tableStyleElement type="secondRowStripe" dxfId="2482"/>
    </tableStyle>
    <tableStyle name="SALE2 BỎ-style 49" pivot="0" count="2" xr9:uid="{00000000-0011-0000-FFFF-FFFF7D010000}">
      <tableStyleElement type="firstRowStripe" dxfId="2481"/>
      <tableStyleElement type="secondRowStripe" dxfId="2480"/>
    </tableStyle>
    <tableStyle name="SALE2 BỎ-style 50" pivot="0" count="2" xr9:uid="{00000000-0011-0000-FFFF-FFFF7E010000}">
      <tableStyleElement type="firstRowStripe" dxfId="2479"/>
      <tableStyleElement type="secondRowStripe" dxfId="2478"/>
    </tableStyle>
    <tableStyle name="SALE2 BỎ-style 51" pivot="0" count="2" xr9:uid="{00000000-0011-0000-FFFF-FFFF7F010000}">
      <tableStyleElement type="firstRowStripe" dxfId="2477"/>
      <tableStyleElement type="secondRowStripe" dxfId="2476"/>
    </tableStyle>
    <tableStyle name="SALE2 BỎ-style 52" pivot="0" count="2" xr9:uid="{00000000-0011-0000-FFFF-FFFF80010000}">
      <tableStyleElement type="firstRowStripe" dxfId="2475"/>
      <tableStyleElement type="secondRowStripe" dxfId="2474"/>
    </tableStyle>
    <tableStyle name="SALE2 BỎ-style 53" pivot="0" count="2" xr9:uid="{00000000-0011-0000-FFFF-FFFF81010000}">
      <tableStyleElement type="firstRowStripe" dxfId="2473"/>
      <tableStyleElement type="secondRowStripe" dxfId="2472"/>
    </tableStyle>
    <tableStyle name="SALE2 BỎ-style 54" pivot="0" count="2" xr9:uid="{00000000-0011-0000-FFFF-FFFF82010000}">
      <tableStyleElement type="firstRowStripe" dxfId="2471"/>
      <tableStyleElement type="secondRowStripe" dxfId="2470"/>
    </tableStyle>
    <tableStyle name="SALE2 BỎ-style 55" pivot="0" count="2" xr9:uid="{00000000-0011-0000-FFFF-FFFF83010000}">
      <tableStyleElement type="firstRowStripe" dxfId="2469"/>
      <tableStyleElement type="secondRowStripe" dxfId="2468"/>
    </tableStyle>
    <tableStyle name="SALE2 BỎ-style 56" pivot="0" count="2" xr9:uid="{00000000-0011-0000-FFFF-FFFF84010000}">
      <tableStyleElement type="firstRowStripe" dxfId="2467"/>
      <tableStyleElement type="secondRowStripe" dxfId="2466"/>
    </tableStyle>
    <tableStyle name="SALE2 BỎ-style 57" pivot="0" count="2" xr9:uid="{00000000-0011-0000-FFFF-FFFF85010000}">
      <tableStyleElement type="firstRowStripe" dxfId="2465"/>
      <tableStyleElement type="secondRowStripe" dxfId="2464"/>
    </tableStyle>
    <tableStyle name="SALE2 BỎ-style 58" pivot="0" count="2" xr9:uid="{00000000-0011-0000-FFFF-FFFF86010000}">
      <tableStyleElement type="firstRowStripe" dxfId="2463"/>
      <tableStyleElement type="secondRowStripe" dxfId="2462"/>
    </tableStyle>
    <tableStyle name="SALE2 BỎ-style 59" pivot="0" count="2" xr9:uid="{00000000-0011-0000-FFFF-FFFF87010000}">
      <tableStyleElement type="firstRowStripe" dxfId="2461"/>
      <tableStyleElement type="secondRowStripe" dxfId="2460"/>
    </tableStyle>
    <tableStyle name="SALE2 BỎ-style 60" pivot="0" count="2" xr9:uid="{00000000-0011-0000-FFFF-FFFF88010000}">
      <tableStyleElement type="firstRowStripe" dxfId="2459"/>
      <tableStyleElement type="secondRowStripe" dxfId="2458"/>
    </tableStyle>
    <tableStyle name="SALE2 BỎ-style 61" pivot="0" count="2" xr9:uid="{00000000-0011-0000-FFFF-FFFF89010000}">
      <tableStyleElement type="firstRowStripe" dxfId="2457"/>
      <tableStyleElement type="secondRowStripe" dxfId="2456"/>
    </tableStyle>
    <tableStyle name="SALE2 BỎ-style 62" pivot="0" count="2" xr9:uid="{00000000-0011-0000-FFFF-FFFF8A010000}">
      <tableStyleElement type="firstRowStripe" dxfId="2455"/>
      <tableStyleElement type="secondRowStripe" dxfId="2454"/>
    </tableStyle>
    <tableStyle name="SALE2 BỎ-style 63" pivot="0" count="2" xr9:uid="{00000000-0011-0000-FFFF-FFFF8B010000}">
      <tableStyleElement type="firstRowStripe" dxfId="2453"/>
      <tableStyleElement type="secondRowStripe" dxfId="2452"/>
    </tableStyle>
    <tableStyle name="SALE2 BỎ-style 64" pivot="0" count="2" xr9:uid="{00000000-0011-0000-FFFF-FFFF8C010000}">
      <tableStyleElement type="firstRowStripe" dxfId="2451"/>
      <tableStyleElement type="secondRowStripe" dxfId="2450"/>
    </tableStyle>
    <tableStyle name="SALE2 BỎ-style 65" pivot="0" count="2" xr9:uid="{00000000-0011-0000-FFFF-FFFF8D010000}">
      <tableStyleElement type="firstRowStripe" dxfId="2449"/>
      <tableStyleElement type="secondRowStripe" dxfId="2448"/>
    </tableStyle>
    <tableStyle name="SALE2 BỎ-style 66" pivot="0" count="2" xr9:uid="{00000000-0011-0000-FFFF-FFFF8E010000}">
      <tableStyleElement type="firstRowStripe" dxfId="2447"/>
      <tableStyleElement type="secondRowStripe" dxfId="2446"/>
    </tableStyle>
    <tableStyle name="SALE2 BỎ-style 67" pivot="0" count="2" xr9:uid="{00000000-0011-0000-FFFF-FFFF8F010000}">
      <tableStyleElement type="firstRowStripe" dxfId="2445"/>
      <tableStyleElement type="secondRowStripe" dxfId="2444"/>
    </tableStyle>
    <tableStyle name="SALE2 BỎ-style 68" pivot="0" count="2" xr9:uid="{00000000-0011-0000-FFFF-FFFF90010000}">
      <tableStyleElement type="firstRowStripe" dxfId="2443"/>
      <tableStyleElement type="secondRowStripe" dxfId="2442"/>
    </tableStyle>
    <tableStyle name="SALE2 BỎ-style 69" pivot="0" count="2" xr9:uid="{00000000-0011-0000-FFFF-FFFF91010000}">
      <tableStyleElement type="firstRowStripe" dxfId="2441"/>
      <tableStyleElement type="secondRowStripe" dxfId="2440"/>
    </tableStyle>
    <tableStyle name="SALE2 BỎ-style 70" pivot="0" count="2" xr9:uid="{00000000-0011-0000-FFFF-FFFF92010000}">
      <tableStyleElement type="firstRowStripe" dxfId="2439"/>
      <tableStyleElement type="secondRowStripe" dxfId="2438"/>
    </tableStyle>
    <tableStyle name="SALE2 BỎ-style 71" pivot="0" count="2" xr9:uid="{00000000-0011-0000-FFFF-FFFF93010000}">
      <tableStyleElement type="firstRowStripe" dxfId="2437"/>
      <tableStyleElement type="secondRowStripe" dxfId="2436"/>
    </tableStyle>
    <tableStyle name="SALE2 BỎ-style 72" pivot="0" count="2" xr9:uid="{00000000-0011-0000-FFFF-FFFF94010000}">
      <tableStyleElement type="firstRowStripe" dxfId="2435"/>
      <tableStyleElement type="secondRowStripe" dxfId="2434"/>
    </tableStyle>
    <tableStyle name="SALE2 BỎ-style 73" pivot="0" count="2" xr9:uid="{00000000-0011-0000-FFFF-FFFF95010000}">
      <tableStyleElement type="firstRowStripe" dxfId="2433"/>
      <tableStyleElement type="secondRowStripe" dxfId="2432"/>
    </tableStyle>
    <tableStyle name="SALE2 BỎ-style 74" pivot="0" count="2" xr9:uid="{00000000-0011-0000-FFFF-FFFF96010000}">
      <tableStyleElement type="firstRowStripe" dxfId="2431"/>
      <tableStyleElement type="secondRowStripe" dxfId="2430"/>
    </tableStyle>
    <tableStyle name="SALE2 BỎ-style 75" pivot="0" count="2" xr9:uid="{00000000-0011-0000-FFFF-FFFF97010000}">
      <tableStyleElement type="firstRowStripe" dxfId="2429"/>
      <tableStyleElement type="secondRowStripe" dxfId="2428"/>
    </tableStyle>
    <tableStyle name="SALE2 BỎ-style 76" pivot="0" count="2" xr9:uid="{00000000-0011-0000-FFFF-FFFF98010000}">
      <tableStyleElement type="firstRowStripe" dxfId="2427"/>
      <tableStyleElement type="secondRowStripe" dxfId="2426"/>
    </tableStyle>
    <tableStyle name="SALE2 BỎ-style 77" pivot="0" count="2" xr9:uid="{00000000-0011-0000-FFFF-FFFF99010000}">
      <tableStyleElement type="firstRowStripe" dxfId="2425"/>
      <tableStyleElement type="secondRowStripe" dxfId="2424"/>
    </tableStyle>
    <tableStyle name="SALE2 BỎ-style 78" pivot="0" count="2" xr9:uid="{00000000-0011-0000-FFFF-FFFF9A010000}">
      <tableStyleElement type="firstRowStripe" dxfId="2423"/>
      <tableStyleElement type="secondRowStripe" dxfId="2422"/>
    </tableStyle>
    <tableStyle name="SALE2 BỎ-style 79" pivot="0" count="2" xr9:uid="{00000000-0011-0000-FFFF-FFFF9B010000}">
      <tableStyleElement type="firstRowStripe" dxfId="2421"/>
      <tableStyleElement type="secondRowStripe" dxfId="2420"/>
    </tableStyle>
    <tableStyle name="SALE2 BỎ-style 80" pivot="0" count="2" xr9:uid="{00000000-0011-0000-FFFF-FFFF9C010000}">
      <tableStyleElement type="firstRowStripe" dxfId="2419"/>
      <tableStyleElement type="secondRowStripe" dxfId="2418"/>
    </tableStyle>
    <tableStyle name="SALE2 BỎ-style 81" pivot="0" count="2" xr9:uid="{00000000-0011-0000-FFFF-FFFF9D010000}">
      <tableStyleElement type="firstRowStripe" dxfId="2417"/>
      <tableStyleElement type="secondRowStripe" dxfId="2416"/>
    </tableStyle>
    <tableStyle name="BC DIGI-style" pivot="0" count="2" xr9:uid="{00000000-0011-0000-FFFF-FFFF9E010000}">
      <tableStyleElement type="firstRowStripe" dxfId="2415"/>
      <tableStyleElement type="secondRowStripe" dxfId="2414"/>
    </tableStyle>
    <tableStyle name="BC DIGI-style 2" pivot="0" count="2" xr9:uid="{00000000-0011-0000-FFFF-FFFF9F010000}">
      <tableStyleElement type="firstRowStripe" dxfId="2413"/>
      <tableStyleElement type="secondRowStripe" dxfId="2412"/>
    </tableStyle>
    <tableStyle name="BC DIGI-style 3" pivot="0" count="2" xr9:uid="{00000000-0011-0000-FFFF-FFFFA0010000}">
      <tableStyleElement type="firstRowStripe" dxfId="2411"/>
      <tableStyleElement type="secondRowStripe" dxfId="2410"/>
    </tableStyle>
    <tableStyle name="BC DIGI-style 4" pivot="0" count="2" xr9:uid="{00000000-0011-0000-FFFF-FFFFA1010000}">
      <tableStyleElement type="firstRowStripe" dxfId="2409"/>
      <tableStyleElement type="secondRowStripe" dxfId="2408"/>
    </tableStyle>
    <tableStyle name="BC DIGI-style 5" pivot="0" count="2" xr9:uid="{00000000-0011-0000-FFFF-FFFFA2010000}">
      <tableStyleElement type="firstRowStripe" dxfId="2407"/>
      <tableStyleElement type="secondRowStripe" dxfId="2406"/>
    </tableStyle>
    <tableStyle name="BC DIGI-style 6" pivot="0" count="2" xr9:uid="{00000000-0011-0000-FFFF-FFFFA3010000}">
      <tableStyleElement type="firstRowStripe" dxfId="2405"/>
      <tableStyleElement type="secondRowStripe" dxfId="2404"/>
    </tableStyle>
    <tableStyle name="BC DIGI-style 7" pivot="0" count="2" xr9:uid="{00000000-0011-0000-FFFF-FFFFA4010000}">
      <tableStyleElement type="firstRowStripe" dxfId="2403"/>
      <tableStyleElement type="secondRowStripe" dxfId="2402"/>
    </tableStyle>
    <tableStyle name="BC DIGI-style 8" pivot="0" count="2" xr9:uid="{00000000-0011-0000-FFFF-FFFFA5010000}">
      <tableStyleElement type="firstRowStripe" dxfId="2401"/>
      <tableStyleElement type="secondRowStripe" dxfId="2400"/>
    </tableStyle>
    <tableStyle name="BC DIGI-style 9" pivot="0" count="2" xr9:uid="{00000000-0011-0000-FFFF-FFFFA6010000}">
      <tableStyleElement type="firstRowStripe" dxfId="2399"/>
      <tableStyleElement type="secondRowStripe" dxfId="2398"/>
    </tableStyle>
    <tableStyle name="BC DIGI-style 10" pivot="0" count="2" xr9:uid="{00000000-0011-0000-FFFF-FFFFA7010000}">
      <tableStyleElement type="firstRowStripe" dxfId="2397"/>
      <tableStyleElement type="secondRowStripe" dxfId="2396"/>
    </tableStyle>
    <tableStyle name="BC DIGI-style 11" pivot="0" count="2" xr9:uid="{00000000-0011-0000-FFFF-FFFFA8010000}">
      <tableStyleElement type="firstRowStripe" dxfId="2395"/>
      <tableStyleElement type="secondRowStripe" dxfId="2394"/>
    </tableStyle>
    <tableStyle name="BC DIGI-style 12" pivot="0" count="2" xr9:uid="{00000000-0011-0000-FFFF-FFFFA9010000}">
      <tableStyleElement type="firstRowStripe" dxfId="2393"/>
      <tableStyleElement type="secondRowStripe" dxfId="2392"/>
    </tableStyle>
    <tableStyle name="BC DIGI-style 13" pivot="0" count="2" xr9:uid="{00000000-0011-0000-FFFF-FFFFAA010000}">
      <tableStyleElement type="firstRowStripe" dxfId="2391"/>
      <tableStyleElement type="secondRowStripe" dxfId="2390"/>
    </tableStyle>
    <tableStyle name="BC DIGI-style 14" pivot="0" count="2" xr9:uid="{00000000-0011-0000-FFFF-FFFFAB010000}">
      <tableStyleElement type="firstRowStripe" dxfId="2389"/>
      <tableStyleElement type="secondRowStripe" dxfId="2388"/>
    </tableStyle>
    <tableStyle name="BC DIGI-style 15" pivot="0" count="2" xr9:uid="{00000000-0011-0000-FFFF-FFFFAC010000}">
      <tableStyleElement type="firstRowStripe" dxfId="2387"/>
      <tableStyleElement type="secondRowStripe" dxfId="2386"/>
    </tableStyle>
    <tableStyle name="BC DIGI-style 16" pivot="0" count="2" xr9:uid="{00000000-0011-0000-FFFF-FFFFAD010000}">
      <tableStyleElement type="firstRowStripe" dxfId="2385"/>
      <tableStyleElement type="secondRowStripe" dxfId="2384"/>
    </tableStyle>
    <tableStyle name="BC DIGI-style 17" pivot="0" count="2" xr9:uid="{00000000-0011-0000-FFFF-FFFFAE010000}">
      <tableStyleElement type="firstRowStripe" dxfId="2383"/>
      <tableStyleElement type="secondRowStripe" dxfId="2382"/>
    </tableStyle>
    <tableStyle name="BC DIGI-style 18" pivot="0" count="2" xr9:uid="{00000000-0011-0000-FFFF-FFFFAF010000}">
      <tableStyleElement type="firstRowStripe" dxfId="2381"/>
      <tableStyleElement type="secondRowStripe" dxfId="2380"/>
    </tableStyle>
    <tableStyle name="BC DIGI-style 19" pivot="0" count="2" xr9:uid="{00000000-0011-0000-FFFF-FFFFB0010000}">
      <tableStyleElement type="firstRowStripe" dxfId="2379"/>
      <tableStyleElement type="secondRowStripe" dxfId="2378"/>
    </tableStyle>
    <tableStyle name="BC DIGI-style 20" pivot="0" count="2" xr9:uid="{00000000-0011-0000-FFFF-FFFFB1010000}">
      <tableStyleElement type="firstRowStripe" dxfId="2377"/>
      <tableStyleElement type="secondRowStripe" dxfId="2376"/>
    </tableStyle>
    <tableStyle name="BC DIGI-style 21" pivot="0" count="2" xr9:uid="{00000000-0011-0000-FFFF-FFFFB2010000}">
      <tableStyleElement type="firstRowStripe" dxfId="2375"/>
      <tableStyleElement type="secondRowStripe" dxfId="2374"/>
    </tableStyle>
    <tableStyle name="BC DIGI-style 22" pivot="0" count="2" xr9:uid="{00000000-0011-0000-FFFF-FFFFB3010000}">
      <tableStyleElement type="firstRowStripe" dxfId="2373"/>
      <tableStyleElement type="secondRowStripe" dxfId="2372"/>
    </tableStyle>
    <tableStyle name="BC DIGI-style 23" pivot="0" count="2" xr9:uid="{00000000-0011-0000-FFFF-FFFFB4010000}">
      <tableStyleElement type="firstRowStripe" dxfId="2371"/>
      <tableStyleElement type="secondRowStripe" dxfId="2370"/>
    </tableStyle>
    <tableStyle name="BC DIGI-style 24" pivot="0" count="2" xr9:uid="{00000000-0011-0000-FFFF-FFFFB5010000}">
      <tableStyleElement type="firstRowStripe" dxfId="2369"/>
      <tableStyleElement type="secondRowStripe" dxfId="2368"/>
    </tableStyle>
    <tableStyle name="BC DIGI-style 25" pivot="0" count="2" xr9:uid="{00000000-0011-0000-FFFF-FFFFB6010000}">
      <tableStyleElement type="firstRowStripe" dxfId="2367"/>
      <tableStyleElement type="secondRowStripe" dxfId="2366"/>
    </tableStyle>
    <tableStyle name="BC DIGI-style 26" pivot="0" count="2" xr9:uid="{00000000-0011-0000-FFFF-FFFFB7010000}">
      <tableStyleElement type="firstRowStripe" dxfId="2365"/>
      <tableStyleElement type="secondRowStripe" dxfId="2364"/>
    </tableStyle>
    <tableStyle name="BC DIGI-style 27" pivot="0" count="2" xr9:uid="{00000000-0011-0000-FFFF-FFFFB8010000}">
      <tableStyleElement type="firstRowStripe" dxfId="2363"/>
      <tableStyleElement type="secondRowStripe" dxfId="2362"/>
    </tableStyle>
    <tableStyle name="BC DIGI-style 28" pivot="0" count="2" xr9:uid="{00000000-0011-0000-FFFF-FFFFB9010000}">
      <tableStyleElement type="firstRowStripe" dxfId="2361"/>
      <tableStyleElement type="secondRowStripe" dxfId="2360"/>
    </tableStyle>
    <tableStyle name="BC DIGI-style 29" pivot="0" count="2" xr9:uid="{00000000-0011-0000-FFFF-FFFFBA010000}">
      <tableStyleElement type="firstRowStripe" dxfId="2359"/>
      <tableStyleElement type="secondRowStripe" dxfId="2358"/>
    </tableStyle>
    <tableStyle name="BC DIGI-style 30" pivot="0" count="2" xr9:uid="{00000000-0011-0000-FFFF-FFFFBB010000}">
      <tableStyleElement type="firstRowStripe" dxfId="2357"/>
      <tableStyleElement type="secondRowStripe" dxfId="2356"/>
    </tableStyle>
    <tableStyle name="BC DIGI-style 31" pivot="0" count="2" xr9:uid="{00000000-0011-0000-FFFF-FFFFBC010000}">
      <tableStyleElement type="firstRowStripe" dxfId="2355"/>
      <tableStyleElement type="secondRowStripe" dxfId="2354"/>
    </tableStyle>
    <tableStyle name="BC DIGI-style 32" pivot="0" count="2" xr9:uid="{00000000-0011-0000-FFFF-FFFFBD010000}">
      <tableStyleElement type="firstRowStripe" dxfId="2353"/>
      <tableStyleElement type="secondRowStripe" dxfId="2352"/>
    </tableStyle>
    <tableStyle name="BC DIGI-style 33" pivot="0" count="2" xr9:uid="{00000000-0011-0000-FFFF-FFFFBE010000}">
      <tableStyleElement type="firstRowStripe" dxfId="2351"/>
      <tableStyleElement type="secondRowStripe" dxfId="2350"/>
    </tableStyle>
    <tableStyle name="BC DIGI-style 34" pivot="0" count="2" xr9:uid="{00000000-0011-0000-FFFF-FFFFBF010000}">
      <tableStyleElement type="firstRowStripe" dxfId="2349"/>
      <tableStyleElement type="secondRowStripe" dxfId="2348"/>
    </tableStyle>
    <tableStyle name="BC DIGI-style 35" pivot="0" count="2" xr9:uid="{00000000-0011-0000-FFFF-FFFFC0010000}">
      <tableStyleElement type="firstRowStripe" dxfId="2347"/>
      <tableStyleElement type="secondRowStripe" dxfId="2346"/>
    </tableStyle>
    <tableStyle name="BC DIGI-style 36" pivot="0" count="2" xr9:uid="{00000000-0011-0000-FFFF-FFFFC1010000}">
      <tableStyleElement type="firstRowStripe" dxfId="2345"/>
      <tableStyleElement type="secondRowStripe" dxfId="2344"/>
    </tableStyle>
    <tableStyle name="BC DIGI-style 37" pivot="0" count="2" xr9:uid="{00000000-0011-0000-FFFF-FFFFC2010000}">
      <tableStyleElement type="firstRowStripe" dxfId="2343"/>
      <tableStyleElement type="secondRowStripe" dxfId="2342"/>
    </tableStyle>
    <tableStyle name="BC DIGI-style 38" pivot="0" count="2" xr9:uid="{00000000-0011-0000-FFFF-FFFFC3010000}">
      <tableStyleElement type="firstRowStripe" dxfId="2341"/>
      <tableStyleElement type="secondRowStripe" dxfId="2340"/>
    </tableStyle>
    <tableStyle name="BC DIGI-style 39" pivot="0" count="2" xr9:uid="{00000000-0011-0000-FFFF-FFFFC4010000}">
      <tableStyleElement type="firstRowStripe" dxfId="2339"/>
      <tableStyleElement type="secondRowStripe" dxfId="2338"/>
    </tableStyle>
    <tableStyle name="BC DIGI-style 40" pivot="0" count="2" xr9:uid="{00000000-0011-0000-FFFF-FFFFC5010000}">
      <tableStyleElement type="firstRowStripe" dxfId="2337"/>
      <tableStyleElement type="secondRowStripe" dxfId="2336"/>
    </tableStyle>
    <tableStyle name="BC DIGI-style 41" pivot="0" count="2" xr9:uid="{00000000-0011-0000-FFFF-FFFFC6010000}">
      <tableStyleElement type="firstRowStripe" dxfId="2335"/>
      <tableStyleElement type="secondRowStripe" dxfId="2334"/>
    </tableStyle>
    <tableStyle name="BC DIGI-style 42" pivot="0" count="2" xr9:uid="{00000000-0011-0000-FFFF-FFFFC7010000}">
      <tableStyleElement type="firstRowStripe" dxfId="2333"/>
      <tableStyleElement type="secondRowStripe" dxfId="2332"/>
    </tableStyle>
    <tableStyle name="BC DIGI-style 43" pivot="0" count="2" xr9:uid="{00000000-0011-0000-FFFF-FFFFC8010000}">
      <tableStyleElement type="firstRowStripe" dxfId="2331"/>
      <tableStyleElement type="secondRowStripe" dxfId="2330"/>
    </tableStyle>
    <tableStyle name="BC DIGI-style 44" pivot="0" count="2" xr9:uid="{00000000-0011-0000-FFFF-FFFFC9010000}">
      <tableStyleElement type="firstRowStripe" dxfId="2329"/>
      <tableStyleElement type="secondRowStripe" dxfId="2328"/>
    </tableStyle>
    <tableStyle name="BC DIGI-style 45" pivot="0" count="2" xr9:uid="{00000000-0011-0000-FFFF-FFFFCA010000}">
      <tableStyleElement type="firstRowStripe" dxfId="2327"/>
      <tableStyleElement type="secondRowStripe" dxfId="2326"/>
    </tableStyle>
    <tableStyle name="BC DIGI-style 46" pivot="0" count="2" xr9:uid="{00000000-0011-0000-FFFF-FFFFCB010000}">
      <tableStyleElement type="firstRowStripe" dxfId="2325"/>
      <tableStyleElement type="secondRowStripe" dxfId="2324"/>
    </tableStyle>
    <tableStyle name="BC DIGI-style 47" pivot="0" count="2" xr9:uid="{00000000-0011-0000-FFFF-FFFFCC010000}">
      <tableStyleElement type="firstRowStripe" dxfId="2323"/>
      <tableStyleElement type="secondRowStripe" dxfId="2322"/>
    </tableStyle>
    <tableStyle name="BC DIGI-style 48" pivot="0" count="2" xr9:uid="{00000000-0011-0000-FFFF-FFFFCD010000}">
      <tableStyleElement type="firstRowStripe" dxfId="2321"/>
      <tableStyleElement type="secondRowStripe" dxfId="2320"/>
    </tableStyle>
    <tableStyle name="BC DIGI-style 49" pivot="0" count="2" xr9:uid="{00000000-0011-0000-FFFF-FFFFCE010000}">
      <tableStyleElement type="firstRowStripe" dxfId="2319"/>
      <tableStyleElement type="secondRowStripe" dxfId="2318"/>
    </tableStyle>
    <tableStyle name="BC DIGI-style 50" pivot="0" count="2" xr9:uid="{00000000-0011-0000-FFFF-FFFFCF010000}">
      <tableStyleElement type="firstRowStripe" dxfId="2317"/>
      <tableStyleElement type="secondRowStripe" dxfId="2316"/>
    </tableStyle>
    <tableStyle name="BC DIGI-style 51" pivot="0" count="2" xr9:uid="{00000000-0011-0000-FFFF-FFFFD0010000}">
      <tableStyleElement type="firstRowStripe" dxfId="2315"/>
      <tableStyleElement type="secondRowStripe" dxfId="2314"/>
    </tableStyle>
    <tableStyle name="BC DIGI-style 52" pivot="0" count="2" xr9:uid="{00000000-0011-0000-FFFF-FFFFD1010000}">
      <tableStyleElement type="firstRowStripe" dxfId="2313"/>
      <tableStyleElement type="secondRowStripe" dxfId="2312"/>
    </tableStyle>
    <tableStyle name="BC DIGI-style 53" pivot="0" count="2" xr9:uid="{00000000-0011-0000-FFFF-FFFFD2010000}">
      <tableStyleElement type="firstRowStripe" dxfId="2311"/>
      <tableStyleElement type="secondRowStripe" dxfId="2310"/>
    </tableStyle>
    <tableStyle name="BC DIGI-style 54" pivot="0" count="2" xr9:uid="{00000000-0011-0000-FFFF-FFFFD3010000}">
      <tableStyleElement type="firstRowStripe" dxfId="2309"/>
      <tableStyleElement type="secondRowStripe" dxfId="2308"/>
    </tableStyle>
    <tableStyle name="BC DIGI-style 55" pivot="0" count="2" xr9:uid="{00000000-0011-0000-FFFF-FFFFD4010000}">
      <tableStyleElement type="firstRowStripe" dxfId="2307"/>
      <tableStyleElement type="secondRowStripe" dxfId="2306"/>
    </tableStyle>
    <tableStyle name="BC DIGI-style 56" pivot="0" count="2" xr9:uid="{00000000-0011-0000-FFFF-FFFFD5010000}">
      <tableStyleElement type="firstRowStripe" dxfId="2305"/>
      <tableStyleElement type="secondRowStripe" dxfId="2304"/>
    </tableStyle>
    <tableStyle name="BC DIGI-style 57" pivot="0" count="2" xr9:uid="{00000000-0011-0000-FFFF-FFFFD6010000}">
      <tableStyleElement type="firstRowStripe" dxfId="2303"/>
      <tableStyleElement type="secondRowStripe" dxfId="2302"/>
    </tableStyle>
    <tableStyle name="BC DIGI-style 58" pivot="0" count="2" xr9:uid="{00000000-0011-0000-FFFF-FFFFD7010000}">
      <tableStyleElement type="firstRowStripe" dxfId="2301"/>
      <tableStyleElement type="secondRowStripe" dxfId="2300"/>
    </tableStyle>
    <tableStyle name="BC DIGI-style 59" pivot="0" count="2" xr9:uid="{00000000-0011-0000-FFFF-FFFFD8010000}">
      <tableStyleElement type="firstRowStripe" dxfId="2299"/>
      <tableStyleElement type="secondRowStripe" dxfId="2298"/>
    </tableStyle>
    <tableStyle name="BC DIGI-style 60" pivot="0" count="2" xr9:uid="{00000000-0011-0000-FFFF-FFFFD9010000}">
      <tableStyleElement type="firstRowStripe" dxfId="2297"/>
      <tableStyleElement type="secondRowStripe" dxfId="2296"/>
    </tableStyle>
    <tableStyle name="BC DIGI-style 61" pivot="0" count="2" xr9:uid="{00000000-0011-0000-FFFF-FFFFDA010000}">
      <tableStyleElement type="firstRowStripe" dxfId="2295"/>
      <tableStyleElement type="secondRowStripe" dxfId="2294"/>
    </tableStyle>
    <tableStyle name="BC DIGI-style 62" pivot="0" count="2" xr9:uid="{00000000-0011-0000-FFFF-FFFFDB010000}">
      <tableStyleElement type="firstRowStripe" dxfId="2293"/>
      <tableStyleElement type="secondRowStripe" dxfId="2292"/>
    </tableStyle>
    <tableStyle name="BC DIGI-style 63" pivot="0" count="2" xr9:uid="{00000000-0011-0000-FFFF-FFFFDC010000}">
      <tableStyleElement type="firstRowStripe" dxfId="2291"/>
      <tableStyleElement type="secondRowStripe" dxfId="2290"/>
    </tableStyle>
    <tableStyle name="BC DIGI-style 64" pivot="0" count="2" xr9:uid="{00000000-0011-0000-FFFF-FFFFDD010000}">
      <tableStyleElement type="firstRowStripe" dxfId="2289"/>
      <tableStyleElement type="secondRowStripe" dxfId="2288"/>
    </tableStyle>
    <tableStyle name="BC DIGI-style 65" pivot="0" count="2" xr9:uid="{00000000-0011-0000-FFFF-FFFFDE010000}">
      <tableStyleElement type="firstRowStripe" dxfId="2287"/>
      <tableStyleElement type="secondRowStripe" dxfId="2286"/>
    </tableStyle>
    <tableStyle name="BC DIGI-style 66" pivot="0" count="2" xr9:uid="{00000000-0011-0000-FFFF-FFFFDF010000}">
      <tableStyleElement type="firstRowStripe" dxfId="2285"/>
      <tableStyleElement type="secondRowStripe" dxfId="2284"/>
    </tableStyle>
    <tableStyle name="BC DIGI-style 67" pivot="0" count="2" xr9:uid="{00000000-0011-0000-FFFF-FFFFE0010000}">
      <tableStyleElement type="firstRowStripe" dxfId="2283"/>
      <tableStyleElement type="secondRowStripe" dxfId="2282"/>
    </tableStyle>
    <tableStyle name="BC DIGI-style 68" pivot="0" count="2" xr9:uid="{00000000-0011-0000-FFFF-FFFFE1010000}">
      <tableStyleElement type="firstRowStripe" dxfId="2281"/>
      <tableStyleElement type="secondRowStripe" dxfId="2280"/>
    </tableStyle>
    <tableStyle name="BC DIGI-style 69" pivot="0" count="2" xr9:uid="{00000000-0011-0000-FFFF-FFFFE2010000}">
      <tableStyleElement type="firstRowStripe" dxfId="2279"/>
      <tableStyleElement type="secondRowStripe" dxfId="2278"/>
    </tableStyle>
    <tableStyle name="BC DIGI-style 70" pivot="0" count="2" xr9:uid="{00000000-0011-0000-FFFF-FFFFE3010000}">
      <tableStyleElement type="firstRowStripe" dxfId="2277"/>
      <tableStyleElement type="secondRowStripe" dxfId="2276"/>
    </tableStyle>
    <tableStyle name="BC DIGI-style 71" pivot="0" count="2" xr9:uid="{00000000-0011-0000-FFFF-FFFFE4010000}">
      <tableStyleElement type="firstRowStripe" dxfId="2275"/>
      <tableStyleElement type="secondRowStripe" dxfId="2274"/>
    </tableStyle>
    <tableStyle name="BC DIGI-style 72" pivot="0" count="2" xr9:uid="{00000000-0011-0000-FFFF-FFFFE5010000}">
      <tableStyleElement type="firstRowStripe" dxfId="2273"/>
      <tableStyleElement type="secondRowStripe" dxfId="2272"/>
    </tableStyle>
    <tableStyle name="BC DIGI-style 73" pivot="0" count="2" xr9:uid="{00000000-0011-0000-FFFF-FFFFE6010000}">
      <tableStyleElement type="firstRowStripe" dxfId="2271"/>
      <tableStyleElement type="secondRowStripe" dxfId="2270"/>
    </tableStyle>
    <tableStyle name="BC DIGI-style 74" pivot="0" count="2" xr9:uid="{00000000-0011-0000-FFFF-FFFFE7010000}">
      <tableStyleElement type="firstRowStripe" dxfId="2269"/>
      <tableStyleElement type="secondRowStripe" dxfId="2268"/>
    </tableStyle>
    <tableStyle name="BC DIGI-style 75" pivot="0" count="2" xr9:uid="{00000000-0011-0000-FFFF-FFFFE8010000}">
      <tableStyleElement type="firstRowStripe" dxfId="2267"/>
      <tableStyleElement type="secondRowStripe" dxfId="2266"/>
    </tableStyle>
    <tableStyle name="BC DIGI-style 76" pivot="0" count="2" xr9:uid="{00000000-0011-0000-FFFF-FFFFE9010000}">
      <tableStyleElement type="firstRowStripe" dxfId="2265"/>
      <tableStyleElement type="secondRowStripe" dxfId="2264"/>
    </tableStyle>
    <tableStyle name="BC DIGI-style 77" pivot="0" count="2" xr9:uid="{00000000-0011-0000-FFFF-FFFFEA010000}">
      <tableStyleElement type="firstRowStripe" dxfId="2263"/>
      <tableStyleElement type="secondRowStripe" dxfId="2262"/>
    </tableStyle>
    <tableStyle name="SALE4 BỎ-style" pivot="0" count="2" xr9:uid="{00000000-0011-0000-FFFF-FFFFEB010000}">
      <tableStyleElement type="firstRowStripe" dxfId="2261"/>
      <tableStyleElement type="secondRowStripe" dxfId="2260"/>
    </tableStyle>
    <tableStyle name="SALE4 BỎ-style 2" pivot="0" count="2" xr9:uid="{00000000-0011-0000-FFFF-FFFFEC010000}">
      <tableStyleElement type="firstRowStripe" dxfId="2259"/>
      <tableStyleElement type="secondRowStripe" dxfId="2258"/>
    </tableStyle>
    <tableStyle name="SALE4 BỎ-style 3" pivot="0" count="2" xr9:uid="{00000000-0011-0000-FFFF-FFFFED010000}">
      <tableStyleElement type="firstRowStripe" dxfId="2257"/>
      <tableStyleElement type="secondRowStripe" dxfId="2256"/>
    </tableStyle>
    <tableStyle name="SALE4 BỎ-style 4" pivot="0" count="2" xr9:uid="{00000000-0011-0000-FFFF-FFFFEE010000}">
      <tableStyleElement type="firstRowStripe" dxfId="2255"/>
      <tableStyleElement type="secondRowStripe" dxfId="2254"/>
    </tableStyle>
    <tableStyle name="SALE4 BỎ-style 5" pivot="0" count="2" xr9:uid="{00000000-0011-0000-FFFF-FFFFEF010000}">
      <tableStyleElement type="firstRowStripe" dxfId="2253"/>
      <tableStyleElement type="secondRowStripe" dxfId="2252"/>
    </tableStyle>
    <tableStyle name="SALE4 BỎ-style 6" pivot="0" count="2" xr9:uid="{00000000-0011-0000-FFFF-FFFFF0010000}">
      <tableStyleElement type="firstRowStripe" dxfId="2251"/>
      <tableStyleElement type="secondRowStripe" dxfId="2250"/>
    </tableStyle>
    <tableStyle name="SALE4 BỎ-style 7" pivot="0" count="2" xr9:uid="{00000000-0011-0000-FFFF-FFFFF1010000}">
      <tableStyleElement type="firstRowStripe" dxfId="2249"/>
      <tableStyleElement type="secondRowStripe" dxfId="2248"/>
    </tableStyle>
    <tableStyle name="SALE4 BỎ-style 8" pivot="0" count="2" xr9:uid="{00000000-0011-0000-FFFF-FFFFF2010000}">
      <tableStyleElement type="firstRowStripe" dxfId="2247"/>
      <tableStyleElement type="secondRowStripe" dxfId="2246"/>
    </tableStyle>
    <tableStyle name="SALE4 BỎ-style 9" pivot="0" count="2" xr9:uid="{00000000-0011-0000-FFFF-FFFFF3010000}">
      <tableStyleElement type="firstRowStripe" dxfId="2245"/>
      <tableStyleElement type="secondRowStripe" dxfId="2244"/>
    </tableStyle>
    <tableStyle name="SALE4 BỎ-style 10" pivot="0" count="2" xr9:uid="{00000000-0011-0000-FFFF-FFFFF4010000}">
      <tableStyleElement type="firstRowStripe" dxfId="2243"/>
      <tableStyleElement type="secondRowStripe" dxfId="2242"/>
    </tableStyle>
    <tableStyle name="SALE4 BỎ-style 11" pivot="0" count="2" xr9:uid="{00000000-0011-0000-FFFF-FFFFF5010000}">
      <tableStyleElement type="firstRowStripe" dxfId="2241"/>
      <tableStyleElement type="secondRowStripe" dxfId="2240"/>
    </tableStyle>
    <tableStyle name="SALE4 BỎ-style 12" pivot="0" count="2" xr9:uid="{00000000-0011-0000-FFFF-FFFFF6010000}">
      <tableStyleElement type="firstRowStripe" dxfId="2239"/>
      <tableStyleElement type="secondRowStripe" dxfId="2238"/>
    </tableStyle>
    <tableStyle name="SALE4 BỎ-style 13" pivot="0" count="2" xr9:uid="{00000000-0011-0000-FFFF-FFFFF7010000}">
      <tableStyleElement type="firstRowStripe" dxfId="2237"/>
      <tableStyleElement type="secondRowStripe" dxfId="2236"/>
    </tableStyle>
    <tableStyle name="SALE4 BỎ-style 14" pivot="0" count="2" xr9:uid="{00000000-0011-0000-FFFF-FFFFF8010000}">
      <tableStyleElement type="firstRowStripe" dxfId="2235"/>
      <tableStyleElement type="secondRowStripe" dxfId="2234"/>
    </tableStyle>
    <tableStyle name="SALE4 BỎ-style 15" pivot="0" count="2" xr9:uid="{00000000-0011-0000-FFFF-FFFFF9010000}">
      <tableStyleElement type="firstRowStripe" dxfId="2233"/>
      <tableStyleElement type="secondRowStripe" dxfId="2232"/>
    </tableStyle>
    <tableStyle name="SALE4 BỎ-style 16" pivot="0" count="2" xr9:uid="{00000000-0011-0000-FFFF-FFFFFA010000}">
      <tableStyleElement type="firstRowStripe" dxfId="2231"/>
      <tableStyleElement type="secondRowStripe" dxfId="2230"/>
    </tableStyle>
    <tableStyle name="SALE4 BỎ-style 17" pivot="0" count="2" xr9:uid="{00000000-0011-0000-FFFF-FFFFFB010000}">
      <tableStyleElement type="firstRowStripe" dxfId="2229"/>
      <tableStyleElement type="secondRowStripe" dxfId="2228"/>
    </tableStyle>
    <tableStyle name="SALE4 BỎ-style 18" pivot="0" count="2" xr9:uid="{00000000-0011-0000-FFFF-FFFFFC010000}">
      <tableStyleElement type="firstRowStripe" dxfId="2227"/>
      <tableStyleElement type="secondRowStripe" dxfId="2226"/>
    </tableStyle>
    <tableStyle name="SALE4 BỎ-style 19" pivot="0" count="2" xr9:uid="{00000000-0011-0000-FFFF-FFFFFD010000}">
      <tableStyleElement type="firstRowStripe" dxfId="2225"/>
      <tableStyleElement type="secondRowStripe" dxfId="2224"/>
    </tableStyle>
    <tableStyle name="SALE4 BỎ-style 20" pivot="0" count="2" xr9:uid="{00000000-0011-0000-FFFF-FFFFFE010000}">
      <tableStyleElement type="firstRowStripe" dxfId="2223"/>
      <tableStyleElement type="secondRowStripe" dxfId="2222"/>
    </tableStyle>
    <tableStyle name="SALE4 BỎ-style 21" pivot="0" count="2" xr9:uid="{00000000-0011-0000-FFFF-FFFFFF010000}">
      <tableStyleElement type="firstRowStripe" dxfId="2221"/>
      <tableStyleElement type="secondRowStripe" dxfId="2220"/>
    </tableStyle>
    <tableStyle name="SALE4 BỎ-style 22" pivot="0" count="2" xr9:uid="{00000000-0011-0000-FFFF-FFFF00020000}">
      <tableStyleElement type="firstRowStripe" dxfId="2219"/>
      <tableStyleElement type="secondRowStripe" dxfId="2218"/>
    </tableStyle>
    <tableStyle name="SALE4 BỎ-style 23" pivot="0" count="2" xr9:uid="{00000000-0011-0000-FFFF-FFFF01020000}">
      <tableStyleElement type="firstRowStripe" dxfId="2217"/>
      <tableStyleElement type="secondRowStripe" dxfId="2216"/>
    </tableStyle>
    <tableStyle name="SALE4 BỎ-style 24" pivot="0" count="2" xr9:uid="{00000000-0011-0000-FFFF-FFFF02020000}">
      <tableStyleElement type="firstRowStripe" dxfId="2215"/>
      <tableStyleElement type="secondRowStripe" dxfId="2214"/>
    </tableStyle>
    <tableStyle name="SALE4 BỎ-style 25" pivot="0" count="2" xr9:uid="{00000000-0011-0000-FFFF-FFFF03020000}">
      <tableStyleElement type="firstRowStripe" dxfId="2213"/>
      <tableStyleElement type="secondRowStripe" dxfId="2212"/>
    </tableStyle>
    <tableStyle name="SALE4 BỎ-style 26" pivot="0" count="2" xr9:uid="{00000000-0011-0000-FFFF-FFFF04020000}">
      <tableStyleElement type="firstRowStripe" dxfId="2211"/>
      <tableStyleElement type="secondRowStripe" dxfId="2210"/>
    </tableStyle>
    <tableStyle name="SALE4 BỎ-style 27" pivot="0" count="2" xr9:uid="{00000000-0011-0000-FFFF-FFFF05020000}">
      <tableStyleElement type="firstRowStripe" dxfId="2209"/>
      <tableStyleElement type="secondRowStripe" dxfId="2208"/>
    </tableStyle>
    <tableStyle name="SALE4 BỎ-style 28" pivot="0" count="2" xr9:uid="{00000000-0011-0000-FFFF-FFFF06020000}">
      <tableStyleElement type="firstRowStripe" dxfId="2207"/>
      <tableStyleElement type="secondRowStripe" dxfId="2206"/>
    </tableStyle>
    <tableStyle name="SALE4 BỎ-style 29" pivot="0" count="2" xr9:uid="{00000000-0011-0000-FFFF-FFFF07020000}">
      <tableStyleElement type="firstRowStripe" dxfId="2205"/>
      <tableStyleElement type="secondRowStripe" dxfId="2204"/>
    </tableStyle>
    <tableStyle name="SALE4 BỎ-style 30" pivot="0" count="2" xr9:uid="{00000000-0011-0000-FFFF-FFFF08020000}">
      <tableStyleElement type="firstRowStripe" dxfId="2203"/>
      <tableStyleElement type="secondRowStripe" dxfId="2202"/>
    </tableStyle>
    <tableStyle name="SALE4 BỎ-style 31" pivot="0" count="2" xr9:uid="{00000000-0011-0000-FFFF-FFFF09020000}">
      <tableStyleElement type="firstRowStripe" dxfId="2201"/>
      <tableStyleElement type="secondRowStripe" dxfId="2200"/>
    </tableStyle>
    <tableStyle name="SALE4 BỎ-style 32" pivot="0" count="2" xr9:uid="{00000000-0011-0000-FFFF-FFFF0A020000}">
      <tableStyleElement type="firstRowStripe" dxfId="2199"/>
      <tableStyleElement type="secondRowStripe" dxfId="2198"/>
    </tableStyle>
    <tableStyle name="SALE4 BỎ-style 33" pivot="0" count="2" xr9:uid="{00000000-0011-0000-FFFF-FFFF0B020000}">
      <tableStyleElement type="firstRowStripe" dxfId="2197"/>
      <tableStyleElement type="secondRowStripe" dxfId="2196"/>
    </tableStyle>
    <tableStyle name="SALE4 BỎ-style 34" pivot="0" count="2" xr9:uid="{00000000-0011-0000-FFFF-FFFF0C020000}">
      <tableStyleElement type="firstRowStripe" dxfId="2195"/>
      <tableStyleElement type="secondRowStripe" dxfId="2194"/>
    </tableStyle>
    <tableStyle name="SALE4 BỎ-style 35" pivot="0" count="2" xr9:uid="{00000000-0011-0000-FFFF-FFFF0D020000}">
      <tableStyleElement type="firstRowStripe" dxfId="2193"/>
      <tableStyleElement type="secondRowStripe" dxfId="2192"/>
    </tableStyle>
    <tableStyle name="SALE4 BỎ-style 36" pivot="0" count="2" xr9:uid="{00000000-0011-0000-FFFF-FFFF0E020000}">
      <tableStyleElement type="firstRowStripe" dxfId="2191"/>
      <tableStyleElement type="secondRowStripe" dxfId="2190"/>
    </tableStyle>
    <tableStyle name="SALE4 BỎ-style 37" pivot="0" count="2" xr9:uid="{00000000-0011-0000-FFFF-FFFF0F020000}">
      <tableStyleElement type="firstRowStripe" dxfId="2189"/>
      <tableStyleElement type="secondRowStripe" dxfId="2188"/>
    </tableStyle>
    <tableStyle name="SALE4 BỎ-style 38" pivot="0" count="2" xr9:uid="{00000000-0011-0000-FFFF-FFFF10020000}">
      <tableStyleElement type="firstRowStripe" dxfId="2187"/>
      <tableStyleElement type="secondRowStripe" dxfId="2186"/>
    </tableStyle>
    <tableStyle name="SALE4 BỎ-style 39" pivot="0" count="2" xr9:uid="{00000000-0011-0000-FFFF-FFFF11020000}">
      <tableStyleElement type="firstRowStripe" dxfId="2185"/>
      <tableStyleElement type="secondRowStripe" dxfId="2184"/>
    </tableStyle>
    <tableStyle name="SALE4 BỎ-style 40" pivot="0" count="2" xr9:uid="{00000000-0011-0000-FFFF-FFFF12020000}">
      <tableStyleElement type="firstRowStripe" dxfId="2183"/>
      <tableStyleElement type="secondRowStripe" dxfId="2182"/>
    </tableStyle>
    <tableStyle name="SALE4 BỎ-style 41" pivot="0" count="2" xr9:uid="{00000000-0011-0000-FFFF-FFFF13020000}">
      <tableStyleElement type="firstRowStripe" dxfId="2181"/>
      <tableStyleElement type="secondRowStripe" dxfId="2180"/>
    </tableStyle>
    <tableStyle name="SALE4 BỎ-style 42" pivot="0" count="2" xr9:uid="{00000000-0011-0000-FFFF-FFFF14020000}">
      <tableStyleElement type="firstRowStripe" dxfId="2179"/>
      <tableStyleElement type="secondRowStripe" dxfId="2178"/>
    </tableStyle>
    <tableStyle name="SALE4 BỎ-style 43" pivot="0" count="2" xr9:uid="{00000000-0011-0000-FFFF-FFFF15020000}">
      <tableStyleElement type="firstRowStripe" dxfId="2177"/>
      <tableStyleElement type="secondRowStripe" dxfId="2176"/>
    </tableStyle>
    <tableStyle name="SALE4 BỎ-style 44" pivot="0" count="2" xr9:uid="{00000000-0011-0000-FFFF-FFFF16020000}">
      <tableStyleElement type="firstRowStripe" dxfId="2175"/>
      <tableStyleElement type="secondRowStripe" dxfId="2174"/>
    </tableStyle>
    <tableStyle name="SALE4 BỎ-style 45" pivot="0" count="2" xr9:uid="{00000000-0011-0000-FFFF-FFFF17020000}">
      <tableStyleElement type="firstRowStripe" dxfId="2173"/>
      <tableStyleElement type="secondRowStripe" dxfId="2172"/>
    </tableStyle>
    <tableStyle name="SALE4 BỎ-style 46" pivot="0" count="2" xr9:uid="{00000000-0011-0000-FFFF-FFFF18020000}">
      <tableStyleElement type="firstRowStripe" dxfId="2171"/>
      <tableStyleElement type="secondRowStripe" dxfId="2170"/>
    </tableStyle>
    <tableStyle name="SALE4 BỎ-style 47" pivot="0" count="2" xr9:uid="{00000000-0011-0000-FFFF-FFFF19020000}">
      <tableStyleElement type="firstRowStripe" dxfId="2169"/>
      <tableStyleElement type="secondRowStripe" dxfId="2168"/>
    </tableStyle>
    <tableStyle name="SALE4 BỎ-style 48" pivot="0" count="2" xr9:uid="{00000000-0011-0000-FFFF-FFFF1A020000}">
      <tableStyleElement type="firstRowStripe" dxfId="2167"/>
      <tableStyleElement type="secondRowStripe" dxfId="2166"/>
    </tableStyle>
    <tableStyle name="SALE4 BỎ-style 49" pivot="0" count="2" xr9:uid="{00000000-0011-0000-FFFF-FFFF1B020000}">
      <tableStyleElement type="firstRowStripe" dxfId="2165"/>
      <tableStyleElement type="secondRowStripe" dxfId="2164"/>
    </tableStyle>
    <tableStyle name="SALE4 BỎ-style 50" pivot="0" count="2" xr9:uid="{00000000-0011-0000-FFFF-FFFF1C020000}">
      <tableStyleElement type="firstRowStripe" dxfId="2163"/>
      <tableStyleElement type="secondRowStripe" dxfId="2162"/>
    </tableStyle>
    <tableStyle name="SALE4 BỎ-style 51" pivot="0" count="2" xr9:uid="{00000000-0011-0000-FFFF-FFFF1D020000}">
      <tableStyleElement type="firstRowStripe" dxfId="2161"/>
      <tableStyleElement type="secondRowStripe" dxfId="2160"/>
    </tableStyle>
    <tableStyle name="SALE4 BỎ-style 52" pivot="0" count="2" xr9:uid="{00000000-0011-0000-FFFF-FFFF1E020000}">
      <tableStyleElement type="firstRowStripe" dxfId="2159"/>
      <tableStyleElement type="secondRowStripe" dxfId="2158"/>
    </tableStyle>
    <tableStyle name="SALE4 BỎ-style 53" pivot="0" count="2" xr9:uid="{00000000-0011-0000-FFFF-FFFF1F020000}">
      <tableStyleElement type="firstRowStripe" dxfId="2157"/>
      <tableStyleElement type="secondRowStripe" dxfId="2156"/>
    </tableStyle>
    <tableStyle name="SALE4 BỎ-style 54" pivot="0" count="2" xr9:uid="{00000000-0011-0000-FFFF-FFFF20020000}">
      <tableStyleElement type="firstRowStripe" dxfId="2155"/>
      <tableStyleElement type="secondRowStripe" dxfId="2154"/>
    </tableStyle>
    <tableStyle name="SALE4 BỎ-style 55" pivot="0" count="2" xr9:uid="{00000000-0011-0000-FFFF-FFFF21020000}">
      <tableStyleElement type="firstRowStripe" dxfId="2153"/>
      <tableStyleElement type="secondRowStripe" dxfId="2152"/>
    </tableStyle>
    <tableStyle name="SALE4 BỎ-style 56" pivot="0" count="2" xr9:uid="{00000000-0011-0000-FFFF-FFFF22020000}">
      <tableStyleElement type="firstRowStripe" dxfId="2151"/>
      <tableStyleElement type="secondRowStripe" dxfId="2150"/>
    </tableStyle>
    <tableStyle name="SALE4 BỎ-style 57" pivot="0" count="2" xr9:uid="{00000000-0011-0000-FFFF-FFFF23020000}">
      <tableStyleElement type="firstRowStripe" dxfId="2149"/>
      <tableStyleElement type="secondRowStripe" dxfId="2148"/>
    </tableStyle>
    <tableStyle name="SALE4 BỎ-style 58" pivot="0" count="2" xr9:uid="{00000000-0011-0000-FFFF-FFFF24020000}">
      <tableStyleElement type="firstRowStripe" dxfId="2147"/>
      <tableStyleElement type="secondRowStripe" dxfId="2146"/>
    </tableStyle>
    <tableStyle name="SALE4 BỎ-style 59" pivot="0" count="2" xr9:uid="{00000000-0011-0000-FFFF-FFFF25020000}">
      <tableStyleElement type="firstRowStripe" dxfId="2145"/>
      <tableStyleElement type="secondRowStripe" dxfId="2144"/>
    </tableStyle>
    <tableStyle name="SALE4 BỎ-style 60" pivot="0" count="2" xr9:uid="{00000000-0011-0000-FFFF-FFFF26020000}">
      <tableStyleElement type="firstRowStripe" dxfId="2143"/>
      <tableStyleElement type="secondRowStripe" dxfId="2142"/>
    </tableStyle>
    <tableStyle name="SALE4 BỎ-style 61" pivot="0" count="2" xr9:uid="{00000000-0011-0000-FFFF-FFFF27020000}">
      <tableStyleElement type="firstRowStripe" dxfId="2141"/>
      <tableStyleElement type="secondRowStripe" dxfId="2140"/>
    </tableStyle>
    <tableStyle name="SALE4 BỎ-style 62" pivot="0" count="2" xr9:uid="{00000000-0011-0000-FFFF-FFFF28020000}">
      <tableStyleElement type="firstRowStripe" dxfId="2139"/>
      <tableStyleElement type="secondRowStripe" dxfId="2138"/>
    </tableStyle>
    <tableStyle name="SALE4 BỎ-style 63" pivot="0" count="2" xr9:uid="{00000000-0011-0000-FFFF-FFFF29020000}">
      <tableStyleElement type="firstRowStripe" dxfId="2137"/>
      <tableStyleElement type="secondRowStripe" dxfId="2136"/>
    </tableStyle>
    <tableStyle name="SALE4 BỎ-style 64" pivot="0" count="2" xr9:uid="{00000000-0011-0000-FFFF-FFFF2A020000}">
      <tableStyleElement type="firstRowStripe" dxfId="2135"/>
      <tableStyleElement type="secondRowStripe" dxfId="2134"/>
    </tableStyle>
    <tableStyle name="SALE4 BỎ-style 65" pivot="0" count="2" xr9:uid="{00000000-0011-0000-FFFF-FFFF2B020000}">
      <tableStyleElement type="firstRowStripe" dxfId="2133"/>
      <tableStyleElement type="secondRowStripe" dxfId="2132"/>
    </tableStyle>
    <tableStyle name="SALE4 BỎ-style 66" pivot="0" count="2" xr9:uid="{00000000-0011-0000-FFFF-FFFF2C020000}">
      <tableStyleElement type="firstRowStripe" dxfId="2131"/>
      <tableStyleElement type="secondRowStripe" dxfId="2130"/>
    </tableStyle>
    <tableStyle name="SALE4 BỎ-style 67" pivot="0" count="2" xr9:uid="{00000000-0011-0000-FFFF-FFFF2D020000}">
      <tableStyleElement type="firstRowStripe" dxfId="2129"/>
      <tableStyleElement type="secondRowStripe" dxfId="2128"/>
    </tableStyle>
    <tableStyle name="SALE4 BỎ-style 68" pivot="0" count="2" xr9:uid="{00000000-0011-0000-FFFF-FFFF2E020000}">
      <tableStyleElement type="firstRowStripe" dxfId="2127"/>
      <tableStyleElement type="secondRowStripe" dxfId="2126"/>
    </tableStyle>
    <tableStyle name="SALE4 BỎ-style 69" pivot="0" count="2" xr9:uid="{00000000-0011-0000-FFFF-FFFF2F020000}">
      <tableStyleElement type="firstRowStripe" dxfId="2125"/>
      <tableStyleElement type="secondRowStripe" dxfId="2124"/>
    </tableStyle>
    <tableStyle name="SALE4 BỎ-style 70" pivot="0" count="2" xr9:uid="{00000000-0011-0000-FFFF-FFFF30020000}">
      <tableStyleElement type="firstRowStripe" dxfId="2123"/>
      <tableStyleElement type="secondRowStripe" dxfId="2122"/>
    </tableStyle>
    <tableStyle name="SALE4 BỎ-style 71" pivot="0" count="2" xr9:uid="{00000000-0011-0000-FFFF-FFFF31020000}">
      <tableStyleElement type="firstRowStripe" dxfId="2121"/>
      <tableStyleElement type="secondRowStripe" dxfId="2120"/>
    </tableStyle>
    <tableStyle name="SALE4 BỎ-style 72" pivot="0" count="2" xr9:uid="{00000000-0011-0000-FFFF-FFFF32020000}">
      <tableStyleElement type="firstRowStripe" dxfId="2119"/>
      <tableStyleElement type="secondRowStripe" dxfId="2118"/>
    </tableStyle>
    <tableStyle name="SALE4 BỎ-style 73" pivot="0" count="2" xr9:uid="{00000000-0011-0000-FFFF-FFFF33020000}">
      <tableStyleElement type="firstRowStripe" dxfId="2117"/>
      <tableStyleElement type="secondRowStripe" dxfId="2116"/>
    </tableStyle>
    <tableStyle name="SALE4 BỎ-style 74" pivot="0" count="2" xr9:uid="{00000000-0011-0000-FFFF-FFFF34020000}">
      <tableStyleElement type="firstRowStripe" dxfId="2115"/>
      <tableStyleElement type="secondRowStripe" dxfId="2114"/>
    </tableStyle>
    <tableStyle name="SALE4 BỎ-style 75" pivot="0" count="2" xr9:uid="{00000000-0011-0000-FFFF-FFFF35020000}">
      <tableStyleElement type="firstRowStripe" dxfId="2113"/>
      <tableStyleElement type="secondRowStripe" dxfId="2112"/>
    </tableStyle>
    <tableStyle name="SALE4 BỎ-style 76" pivot="0" count="2" xr9:uid="{00000000-0011-0000-FFFF-FFFF36020000}">
      <tableStyleElement type="firstRowStripe" dxfId="2111"/>
      <tableStyleElement type="secondRowStripe" dxfId="2110"/>
    </tableStyle>
    <tableStyle name="Trang tính6-style" pivot="0" count="2" xr9:uid="{00000000-0011-0000-FFFF-FFFF37020000}">
      <tableStyleElement type="firstRowStripe" dxfId="2109"/>
      <tableStyleElement type="secondRowStripe" dxfId="2108"/>
    </tableStyle>
    <tableStyle name="Trang tính6-style 2" pivot="0" count="2" xr9:uid="{00000000-0011-0000-FFFF-FFFF38020000}">
      <tableStyleElement type="firstRowStripe" dxfId="2107"/>
      <tableStyleElement type="secondRowStripe" dxfId="2106"/>
    </tableStyle>
    <tableStyle name="Trang tính6-style 3" pivot="0" count="2" xr9:uid="{00000000-0011-0000-FFFF-FFFF39020000}">
      <tableStyleElement type="firstRowStripe" dxfId="2105"/>
      <tableStyleElement type="secondRowStripe" dxfId="2104"/>
    </tableStyle>
    <tableStyle name="Trang tính6-style 4" pivot="0" count="2" xr9:uid="{00000000-0011-0000-FFFF-FFFF3A020000}">
      <tableStyleElement type="firstRowStripe" dxfId="2103"/>
      <tableStyleElement type="secondRowStripe" dxfId="2102"/>
    </tableStyle>
    <tableStyle name="Trang tính6-style 5" pivot="0" count="2" xr9:uid="{00000000-0011-0000-FFFF-FFFF3B020000}">
      <tableStyleElement type="firstRowStripe" dxfId="2101"/>
      <tableStyleElement type="secondRowStripe" dxfId="2100"/>
    </tableStyle>
    <tableStyle name="Trang tính6-style 6" pivot="0" count="2" xr9:uid="{00000000-0011-0000-FFFF-FFFF3C020000}">
      <tableStyleElement type="firstRowStripe" dxfId="2099"/>
      <tableStyleElement type="secondRowStripe" dxfId="2098"/>
    </tableStyle>
    <tableStyle name="Trang tính6-style 7" pivot="0" count="2" xr9:uid="{00000000-0011-0000-FFFF-FFFF3D020000}">
      <tableStyleElement type="firstRowStripe" dxfId="2097"/>
      <tableStyleElement type="secondRowStripe" dxfId="2096"/>
    </tableStyle>
    <tableStyle name="Trang tính6-style 8" pivot="0" count="2" xr9:uid="{00000000-0011-0000-FFFF-FFFF3E020000}">
      <tableStyleElement type="firstRowStripe" dxfId="2095"/>
      <tableStyleElement type="secondRowStripe" dxfId="2094"/>
    </tableStyle>
    <tableStyle name="Trang tính6-style 9" pivot="0" count="2" xr9:uid="{00000000-0011-0000-FFFF-FFFF3F020000}">
      <tableStyleElement type="firstRowStripe" dxfId="2093"/>
      <tableStyleElement type="secondRowStripe" dxfId="2092"/>
    </tableStyle>
    <tableStyle name="Trang tính6-style 10" pivot="0" count="2" xr9:uid="{00000000-0011-0000-FFFF-FFFF40020000}">
      <tableStyleElement type="firstRowStripe" dxfId="2091"/>
      <tableStyleElement type="secondRowStripe" dxfId="2090"/>
    </tableStyle>
    <tableStyle name="Trang tính6-style 11" pivot="0" count="2" xr9:uid="{00000000-0011-0000-FFFF-FFFF41020000}">
      <tableStyleElement type="firstRowStripe" dxfId="2089"/>
      <tableStyleElement type="secondRowStripe" dxfId="2088"/>
    </tableStyle>
    <tableStyle name="Trang tính6-style 12" pivot="0" count="2" xr9:uid="{00000000-0011-0000-FFFF-FFFF42020000}">
      <tableStyleElement type="firstRowStripe" dxfId="2087"/>
      <tableStyleElement type="secondRowStripe" dxfId="2086"/>
    </tableStyle>
    <tableStyle name="Trang tính6-style 13" pivot="0" count="2" xr9:uid="{00000000-0011-0000-FFFF-FFFF43020000}">
      <tableStyleElement type="firstRowStripe" dxfId="2085"/>
      <tableStyleElement type="secondRowStripe" dxfId="2084"/>
    </tableStyle>
    <tableStyle name="Trang tính6-style 14" pivot="0" count="2" xr9:uid="{00000000-0011-0000-FFFF-FFFF44020000}">
      <tableStyleElement type="firstRowStripe" dxfId="2083"/>
      <tableStyleElement type="secondRowStripe" dxfId="2082"/>
    </tableStyle>
    <tableStyle name="Trang tính6-style 15" pivot="0" count="2" xr9:uid="{00000000-0011-0000-FFFF-FFFF45020000}">
      <tableStyleElement type="firstRowStripe" dxfId="2081"/>
      <tableStyleElement type="secondRowStripe" dxfId="2080"/>
    </tableStyle>
    <tableStyle name="Trang tính6-style 16" pivot="0" count="2" xr9:uid="{00000000-0011-0000-FFFF-FFFF46020000}">
      <tableStyleElement type="firstRowStripe" dxfId="2079"/>
      <tableStyleElement type="secondRowStripe" dxfId="2078"/>
    </tableStyle>
    <tableStyle name="Trang tính6-style 17" pivot="0" count="2" xr9:uid="{00000000-0011-0000-FFFF-FFFF47020000}">
      <tableStyleElement type="firstRowStripe" dxfId="2077"/>
      <tableStyleElement type="secondRowStripe" dxfId="2076"/>
    </tableStyle>
    <tableStyle name="Trang tính6-style 18" pivot="0" count="2" xr9:uid="{00000000-0011-0000-FFFF-FFFF48020000}">
      <tableStyleElement type="firstRowStripe" dxfId="2075"/>
      <tableStyleElement type="secondRowStripe" dxfId="2074"/>
    </tableStyle>
    <tableStyle name="Trang tính6-style 19" pivot="0" count="2" xr9:uid="{00000000-0011-0000-FFFF-FFFF49020000}">
      <tableStyleElement type="firstRowStripe" dxfId="2073"/>
      <tableStyleElement type="secondRowStripe" dxfId="2072"/>
    </tableStyle>
    <tableStyle name="Trang tính6-style 20" pivot="0" count="2" xr9:uid="{00000000-0011-0000-FFFF-FFFF4A020000}">
      <tableStyleElement type="firstRowStripe" dxfId="2071"/>
      <tableStyleElement type="secondRowStripe" dxfId="2070"/>
    </tableStyle>
    <tableStyle name="Trang tính6-style 21" pivot="0" count="2" xr9:uid="{00000000-0011-0000-FFFF-FFFF4B020000}">
      <tableStyleElement type="firstRowStripe" dxfId="2069"/>
      <tableStyleElement type="secondRowStripe" dxfId="2068"/>
    </tableStyle>
    <tableStyle name="Trang tính6-style 22" pivot="0" count="2" xr9:uid="{00000000-0011-0000-FFFF-FFFF4C020000}">
      <tableStyleElement type="firstRowStripe" dxfId="2067"/>
      <tableStyleElement type="secondRowStripe" dxfId="2066"/>
    </tableStyle>
    <tableStyle name="Trang tính6-style 23" pivot="0" count="2" xr9:uid="{00000000-0011-0000-FFFF-FFFF4D020000}">
      <tableStyleElement type="firstRowStripe" dxfId="2065"/>
      <tableStyleElement type="secondRowStripe" dxfId="2064"/>
    </tableStyle>
    <tableStyle name="Trang tính6-style 24" pivot="0" count="2" xr9:uid="{00000000-0011-0000-FFFF-FFFF4E020000}">
      <tableStyleElement type="firstRowStripe" dxfId="2063"/>
      <tableStyleElement type="secondRowStripe" dxfId="2062"/>
    </tableStyle>
    <tableStyle name="Trang tính6-style 25" pivot="0" count="2" xr9:uid="{00000000-0011-0000-FFFF-FFFF4F020000}">
      <tableStyleElement type="firstRowStripe" dxfId="2061"/>
      <tableStyleElement type="secondRowStripe" dxfId="2060"/>
    </tableStyle>
    <tableStyle name="Trang tính6-style 26" pivot="0" count="2" xr9:uid="{00000000-0011-0000-FFFF-FFFF50020000}">
      <tableStyleElement type="firstRowStripe" dxfId="2059"/>
      <tableStyleElement type="secondRowStripe" dxfId="2058"/>
    </tableStyle>
    <tableStyle name="Trang tính6-style 27" pivot="0" count="2" xr9:uid="{00000000-0011-0000-FFFF-FFFF51020000}">
      <tableStyleElement type="firstRowStripe" dxfId="2057"/>
      <tableStyleElement type="secondRowStripe" dxfId="2056"/>
    </tableStyle>
    <tableStyle name="Trang tính6-style 28" pivot="0" count="2" xr9:uid="{00000000-0011-0000-FFFF-FFFF52020000}">
      <tableStyleElement type="firstRowStripe" dxfId="2055"/>
      <tableStyleElement type="secondRowStripe" dxfId="2054"/>
    </tableStyle>
    <tableStyle name="Trang tính6-style 29" pivot="0" count="2" xr9:uid="{00000000-0011-0000-FFFF-FFFF53020000}">
      <tableStyleElement type="firstRowStripe" dxfId="2053"/>
      <tableStyleElement type="secondRowStripe" dxfId="2052"/>
    </tableStyle>
    <tableStyle name="CONT_2-style" pivot="0" count="3" xr9:uid="{00000000-0011-0000-FFFF-FFFF54020000}">
      <tableStyleElement type="headerRow" dxfId="2051"/>
      <tableStyleElement type="firstRowStripe" dxfId="2050"/>
      <tableStyleElement type="secondRowStripe" dxfId="2049"/>
    </tableStyle>
    <tableStyle name="DES-style" pivot="0" count="3" xr9:uid="{00000000-0011-0000-FFFF-FFFF55020000}">
      <tableStyleElement type="headerRow" dxfId="2048"/>
      <tableStyleElement type="firstRowStripe" dxfId="2047"/>
      <tableStyleElement type="secondRowStripe" dxfId="2046"/>
    </tableStyle>
    <tableStyle name="EDIT-style" pivot="0" count="3" xr9:uid="{00000000-0011-0000-FFFF-FFFF56020000}">
      <tableStyleElement type="headerRow" dxfId="2045"/>
      <tableStyleElement type="firstRowStripe" dxfId="2044"/>
      <tableStyleElement type="secondRowStripe" dxfId="2043"/>
    </tableStyle>
    <tableStyle name="AI-style" pivot="0" count="3" xr9:uid="{00000000-0011-0000-FFFF-FFFF57020000}">
      <tableStyleElement type="headerRow" dxfId="2042"/>
      <tableStyleElement type="firstRowStripe" dxfId="2041"/>
      <tableStyleElement type="secondRowStripe" dxfId="2040"/>
    </tableStyle>
  </tableStyles>
  <colors>
    <mruColors>
      <color rgb="FF8E7CC3"/>
      <color rgb="FFF2F2F2"/>
      <color rgb="FFF5CDCC"/>
      <color rgb="FF33A852"/>
      <color rgb="FFBF9001"/>
      <color rgb="FF674EA7"/>
      <color rgb="FFD9D9D9"/>
      <color rgb="FF3B78D8"/>
      <color rgb="FF1C458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rgbClr val="757575"/>
                </a:solidFill>
                <a:latin typeface="+mn-lt"/>
                <a:ea typeface="+mn-ea"/>
                <a:cs typeface="+mn-cs"/>
              </a:defRPr>
            </a:pPr>
            <a:r>
              <a:rPr lang="en-GB" b="1">
                <a:solidFill>
                  <a:srgbClr val="757575"/>
                </a:solidFill>
                <a:latin typeface="+mn-lt"/>
              </a:rPr>
              <a:t>SALES REVENUE ON DIGITAL MARKETING PLATFORM</a:t>
            </a:r>
          </a:p>
        </c:rich>
      </c:tx>
      <c:overlay val="0"/>
    </c:title>
    <c:autoTitleDeleted val="0"/>
    <c:plotArea>
      <c:layout/>
      <c:barChart>
        <c:barDir val="col"/>
        <c:grouping val="clustered"/>
        <c:varyColors val="1"/>
        <c:ser>
          <c:idx val="0"/>
          <c:order val="0"/>
          <c:tx>
            <c:strRef>
              <c:f>'Action Plan'!$C$26:$C$28</c:f>
              <c:strCache>
                <c:ptCount val="3"/>
                <c:pt idx="0">
                  <c:v>Sales Revenue</c:v>
                </c:pt>
                <c:pt idx="1">
                  <c:v>Ratio</c:v>
                </c:pt>
                <c:pt idx="2">
                  <c:v>100%</c:v>
                </c:pt>
              </c:strCache>
            </c:strRef>
          </c:tx>
          <c:spPr>
            <a:solidFill>
              <a:srgbClr val="4285F4"/>
            </a:solidFill>
            <a:ln cmpd="sng">
              <a:solidFill>
                <a:srgbClr val="000000"/>
              </a:solidFill>
            </a:ln>
          </c:spPr>
          <c:invertIfNegative val="1"/>
          <c:cat>
            <c:strRef>
              <c:f>'Action Plan'!$B$29:$B$34</c:f>
              <c:strCache>
                <c:ptCount val="6"/>
                <c:pt idx="0">
                  <c:v>FACEBOOK</c:v>
                </c:pt>
                <c:pt idx="1">
                  <c:v>LANDING PAGE</c:v>
                </c:pt>
                <c:pt idx="2">
                  <c:v>WEBSITE</c:v>
                </c:pt>
                <c:pt idx="3">
                  <c:v>TIKTOK SHOP</c:v>
                </c:pt>
                <c:pt idx="4">
                  <c:v>SHOPEE</c:v>
                </c:pt>
                <c:pt idx="5">
                  <c:v>ZALO</c:v>
                </c:pt>
              </c:strCache>
            </c:strRef>
          </c:cat>
          <c:val>
            <c:numRef>
              <c:f>'Action Plan'!$C$29:$C$34</c:f>
              <c:numCache>
                <c:formatCode>0%</c:formatCode>
                <c:ptCount val="6"/>
                <c:pt idx="0">
                  <c:v>0.1</c:v>
                </c:pt>
                <c:pt idx="1">
                  <c:v>0.5</c:v>
                </c:pt>
                <c:pt idx="2">
                  <c:v>0.1</c:v>
                </c:pt>
                <c:pt idx="3">
                  <c:v>0.1</c:v>
                </c:pt>
                <c:pt idx="4">
                  <c:v>0.1</c:v>
                </c:pt>
                <c:pt idx="5">
                  <c:v>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534-B44C-81CD-8A986CE89B72}"/>
            </c:ext>
          </c:extLst>
        </c:ser>
        <c:dLbls>
          <c:showLegendKey val="0"/>
          <c:showVal val="0"/>
          <c:showCatName val="0"/>
          <c:showSerName val="0"/>
          <c:showPercent val="0"/>
          <c:showBubbleSize val="0"/>
        </c:dLbls>
        <c:gapWidth val="150"/>
        <c:axId val="349304532"/>
        <c:axId val="405860909"/>
      </c:barChart>
      <c:catAx>
        <c:axId val="349304532"/>
        <c:scaling>
          <c:orientation val="minMax"/>
        </c:scaling>
        <c:delete val="0"/>
        <c:axPos val="b"/>
        <c:title>
          <c:tx>
            <c:rich>
              <a:bodyPr/>
              <a:lstStyle/>
              <a:p>
                <a:pPr lvl="0">
                  <a:defRPr b="1">
                    <a:solidFill>
                      <a:srgbClr val="000000"/>
                    </a:solidFill>
                    <a:latin typeface="+mn-lt"/>
                  </a:defRPr>
                </a:pPr>
                <a:r>
                  <a:rPr lang="en-GB" b="1">
                    <a:solidFill>
                      <a:srgbClr val="000000"/>
                    </a:solidFill>
                    <a:latin typeface="+mn-lt"/>
                  </a:rPr>
                  <a:t>DIGITAL MARKETING PLATFORM</a:t>
                </a:r>
              </a:p>
            </c:rich>
          </c:tx>
          <c:overlay val="0"/>
        </c:title>
        <c:numFmt formatCode="General" sourceLinked="1"/>
        <c:majorTickMark val="out"/>
        <c:minorTickMark val="none"/>
        <c:tickLblPos val="nextTo"/>
        <c:txPr>
          <a:bodyPr/>
          <a:lstStyle/>
          <a:p>
            <a:pPr lvl="0">
              <a:defRPr b="0">
                <a:solidFill>
                  <a:srgbClr val="000000"/>
                </a:solidFill>
                <a:latin typeface="+mn-lt"/>
              </a:defRPr>
            </a:pPr>
            <a:endParaRPr lang="en-VN"/>
          </a:p>
        </c:txPr>
        <c:crossAx val="405860909"/>
        <c:crosses val="autoZero"/>
        <c:auto val="1"/>
        <c:lblAlgn val="ctr"/>
        <c:lblOffset val="100"/>
        <c:noMultiLvlLbl val="1"/>
      </c:catAx>
      <c:valAx>
        <c:axId val="4058609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lang="en-GB" b="1">
                    <a:solidFill>
                      <a:srgbClr val="000000"/>
                    </a:solidFill>
                    <a:latin typeface="+mn-lt"/>
                  </a:rPr>
                  <a:t>RATIO</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VN"/>
          </a:p>
        </c:txPr>
        <c:crossAx val="349304532"/>
        <c:crosses val="autoZero"/>
        <c:crossBetween val="between"/>
      </c:valAx>
    </c:plotArea>
    <c:legend>
      <c:legendPos val="r"/>
      <c:overlay val="0"/>
      <c:txPr>
        <a:bodyPr/>
        <a:lstStyle/>
        <a:p>
          <a:pPr lvl="0">
            <a:defRPr b="0">
              <a:solidFill>
                <a:srgbClr val="1A1A1A"/>
              </a:solidFill>
              <a:latin typeface="+mn-lt"/>
            </a:defRPr>
          </a:pPr>
          <a:endParaRPr lang="en-VN"/>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757575"/>
                </a:solidFill>
                <a:latin typeface="+mn-lt"/>
              </a:defRPr>
            </a:pPr>
            <a:r>
              <a:rPr lang="en-GB" b="1">
                <a:solidFill>
                  <a:srgbClr val="757575"/>
                </a:solidFill>
                <a:latin typeface="+mn-lt"/>
              </a:rPr>
              <a:t>SALES REVENUE OF PRODUCTS PORTFOLIO </a:t>
            </a:r>
          </a:p>
        </c:rich>
      </c:tx>
      <c:overlay val="0"/>
    </c:title>
    <c:autoTitleDeleted val="0"/>
    <c:plotArea>
      <c:layout/>
      <c:barChart>
        <c:barDir val="col"/>
        <c:grouping val="clustered"/>
        <c:varyColors val="1"/>
        <c:ser>
          <c:idx val="0"/>
          <c:order val="0"/>
          <c:spPr>
            <a:solidFill>
              <a:srgbClr val="674EA7"/>
            </a:solidFill>
            <a:ln cmpd="sng">
              <a:solidFill>
                <a:srgbClr val="000000"/>
              </a:solidFill>
            </a:ln>
          </c:spPr>
          <c:invertIfNegative val="1"/>
          <c:dPt>
            <c:idx val="0"/>
            <c:invertIfNegative val="1"/>
            <c:bubble3D val="0"/>
            <c:extLst>
              <c:ext xmlns:c16="http://schemas.microsoft.com/office/drawing/2014/chart" uri="{C3380CC4-5D6E-409C-BE32-E72D297353CC}">
                <c16:uniqueId val="{00000000-E0BA-7846-94AF-9E84F15CA2A1}"/>
              </c:ext>
            </c:extLst>
          </c:dPt>
          <c:cat>
            <c:strRef>
              <c:f>'Action Plan'!$B$40:$B$47</c:f>
              <c:strCache>
                <c:ptCount val="8"/>
                <c:pt idx="0">
                  <c:v>BONE &amp; JOINT HEALTH</c:v>
                </c:pt>
                <c:pt idx="1">
                  <c:v>LIVER, DIGESTION, ALLERGIES</c:v>
                </c:pt>
                <c:pt idx="2">
                  <c:v>BRAIN &amp; EYE HEALTH</c:v>
                </c:pt>
                <c:pt idx="3">
                  <c:v>CARDIOVASCULAR HEALTH</c:v>
                </c:pt>
                <c:pt idx="4">
                  <c:v>SKIN, HAIR, AND WEIGHT MANAGEMENT</c:v>
                </c:pt>
                <c:pt idx="5">
                  <c:v>HORMONAL HEALTH</c:v>
                </c:pt>
                <c:pt idx="6">
                  <c:v>IMMUNE SUPPORT</c:v>
                </c:pt>
                <c:pt idx="7">
                  <c:v>MATERNITY &amp; CHILDREN’S HEALTH</c:v>
                </c:pt>
              </c:strCache>
            </c:strRef>
          </c:cat>
          <c:val>
            <c:numRef>
              <c:f>'Action Plan'!$C$40:$C$47</c:f>
              <c:numCache>
                <c:formatCode>0%</c:formatCode>
                <c:ptCount val="8"/>
                <c:pt idx="0">
                  <c:v>0.35</c:v>
                </c:pt>
                <c:pt idx="1">
                  <c:v>0.3</c:v>
                </c:pt>
                <c:pt idx="2">
                  <c:v>0.1</c:v>
                </c:pt>
                <c:pt idx="3">
                  <c:v>0.08</c:v>
                </c:pt>
                <c:pt idx="4">
                  <c:v>0.08</c:v>
                </c:pt>
                <c:pt idx="5">
                  <c:v>0.03</c:v>
                </c:pt>
                <c:pt idx="6">
                  <c:v>0.03</c:v>
                </c:pt>
                <c:pt idx="7">
                  <c:v>0.03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E0BA-7846-94AF-9E84F15CA2A1}"/>
            </c:ext>
          </c:extLst>
        </c:ser>
        <c:dLbls>
          <c:showLegendKey val="0"/>
          <c:showVal val="0"/>
          <c:showCatName val="0"/>
          <c:showSerName val="0"/>
          <c:showPercent val="0"/>
          <c:showBubbleSize val="0"/>
        </c:dLbls>
        <c:gapWidth val="150"/>
        <c:axId val="402723776"/>
        <c:axId val="1209643502"/>
      </c:barChart>
      <c:catAx>
        <c:axId val="402723776"/>
        <c:scaling>
          <c:orientation val="minMax"/>
        </c:scaling>
        <c:delete val="0"/>
        <c:axPos val="b"/>
        <c:title>
          <c:tx>
            <c:rich>
              <a:bodyPr/>
              <a:lstStyle/>
              <a:p>
                <a:pPr lvl="0">
                  <a:defRPr b="1">
                    <a:solidFill>
                      <a:srgbClr val="000000"/>
                    </a:solidFill>
                    <a:latin typeface="+mn-lt"/>
                  </a:defRPr>
                </a:pPr>
                <a:r>
                  <a:rPr lang="en-GB" b="1">
                    <a:solidFill>
                      <a:srgbClr val="000000"/>
                    </a:solidFill>
                    <a:latin typeface="+mn-lt"/>
                  </a:rPr>
                  <a:t>PRODUCTS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VN"/>
          </a:p>
        </c:txPr>
        <c:crossAx val="1209643502"/>
        <c:crosses val="autoZero"/>
        <c:auto val="1"/>
        <c:lblAlgn val="ctr"/>
        <c:lblOffset val="100"/>
        <c:noMultiLvlLbl val="1"/>
      </c:catAx>
      <c:valAx>
        <c:axId val="12096435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lang="en-GB" b="1">
                    <a:solidFill>
                      <a:srgbClr val="000000"/>
                    </a:solidFill>
                    <a:latin typeface="+mn-lt"/>
                  </a:rPr>
                  <a:t>RATIO</a:t>
                </a:r>
              </a:p>
            </c:rich>
          </c:tx>
          <c:overlay val="0"/>
        </c:title>
        <c:numFmt formatCode="0%" sourceLinked="1"/>
        <c:majorTickMark val="cross"/>
        <c:minorTickMark val="none"/>
        <c:tickLblPos val="nextTo"/>
        <c:spPr>
          <a:ln/>
        </c:spPr>
        <c:txPr>
          <a:bodyPr/>
          <a:lstStyle/>
          <a:p>
            <a:pPr lvl="0">
              <a:defRPr b="0">
                <a:solidFill>
                  <a:srgbClr val="000000"/>
                </a:solidFill>
                <a:latin typeface="+mn-lt"/>
              </a:defRPr>
            </a:pPr>
            <a:endParaRPr lang="en-VN"/>
          </a:p>
        </c:txPr>
        <c:crossAx val="402723776"/>
        <c:crosses val="autoZero"/>
        <c:crossBetween val="between"/>
      </c:valAx>
    </c:plotArea>
    <c:legend>
      <c:legendPos val="r"/>
      <c:overlay val="0"/>
      <c:txPr>
        <a:bodyPr/>
        <a:lstStyle/>
        <a:p>
          <a:pPr lvl="0">
            <a:defRPr b="0">
              <a:solidFill>
                <a:srgbClr val="1A1A1A"/>
              </a:solidFill>
              <a:latin typeface="+mn-lt"/>
            </a:defRPr>
          </a:pPr>
          <a:endParaRPr lang="en-VN"/>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11</xdr:col>
      <xdr:colOff>187158</xdr:colOff>
      <xdr:row>15</xdr:row>
      <xdr:rowOff>0</xdr:rowOff>
    </xdr:from>
    <xdr:ext cx="9321967" cy="5213684"/>
    <xdr:graphicFrame macro="">
      <xdr:nvGraphicFramePr>
        <xdr:cNvPr id="2" name="Chart 1" title="Biểu đồ">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11</xdr:col>
      <xdr:colOff>194386</xdr:colOff>
      <xdr:row>34</xdr:row>
      <xdr:rowOff>194388</xdr:rowOff>
    </xdr:from>
    <xdr:ext cx="9265817" cy="4315408"/>
    <xdr:graphicFrame macro="">
      <xdr:nvGraphicFramePr>
        <xdr:cNvPr id="3" name="Chart 2" title="Biểu đồ">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O13:P14" headerRowCount="0" headerRowDxfId="2039" dataDxfId="2038" totalsRowDxfId="2037">
  <tableColumns count="2">
    <tableColumn id="1" xr3:uid="{00000000-0010-0000-0000-000001000000}" name="Column1" dataDxfId="2036"/>
    <tableColumn id="2" xr3:uid="{00000000-0010-0000-0000-000002000000}" name="Column2" dataDxfId="2035"/>
  </tableColumns>
  <tableStyleInfo name="SALE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Q13:Q58" headerRowCount="0" headerRowDxfId="2034" dataDxfId="2033" totalsRowDxfId="2032">
  <tableColumns count="1">
    <tableColumn id="1" xr3:uid="{00000000-0010-0000-0100-000001000000}" name="Column1" dataDxfId="2031"/>
  </tableColumns>
  <tableStyleInfo name="SALE1-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U13" headerRowCount="0" headerRowDxfId="2030" dataDxfId="2029" totalsRowDxfId="2027" tableBorderDxfId="2028">
  <tableColumns count="1">
    <tableColumn id="1" xr3:uid="{00000000-0010-0000-0300-000001000000}" name="Column1" dataDxfId="2026"/>
  </tableColumns>
  <tableStyleInfo name="SALE1-style 4"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X13" headerRowCount="0" headerRowDxfId="2025" dataDxfId="2024" totalsRowDxfId="2022" tableBorderDxfId="2023">
  <tableColumns count="1">
    <tableColumn id="1" xr3:uid="{00000000-0010-0000-0500-000001000000}" name="Column1" dataDxfId="2021"/>
  </tableColumns>
  <tableStyleInfo name="SALE1-style 6"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Y13" headerRowCount="0" headerRowDxfId="2020" dataDxfId="2019" totalsRowDxfId="2018">
  <tableColumns count="1">
    <tableColumn id="1" xr3:uid="{00000000-0010-0000-0600-000001000000}" name="Column1" dataDxfId="2017"/>
  </tableColumns>
  <tableStyleInfo name="SALE1-style 7"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AC13" headerRowCount="0" headerRowDxfId="2016" dataDxfId="2015" totalsRowDxfId="2014">
  <tableColumns count="1">
    <tableColumn id="1" xr3:uid="{00000000-0010-0000-0800-000001000000}" name="Column1" dataDxfId="2013"/>
  </tableColumns>
  <tableStyleInfo name="SALE1-style 9"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F13" headerRowCount="0" headerRowDxfId="2012" dataDxfId="2011" totalsRowDxfId="2009" tableBorderDxfId="2010">
  <tableColumns count="1">
    <tableColumn id="1" xr3:uid="{00000000-0010-0000-0A00-000001000000}" name="Column1" dataDxfId="2008"/>
  </tableColumns>
  <tableStyleInfo name="SALE1-style 11"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AG13" headerRowCount="0" headerRowDxfId="2007" dataDxfId="2006" totalsRowDxfId="2005">
  <tableColumns count="1">
    <tableColumn id="1" xr3:uid="{00000000-0010-0000-0B00-000001000000}" name="Column1" dataDxfId="2004"/>
  </tableColumns>
  <tableStyleInfo name="SALE1-style 12"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AK13" headerRowCount="0" headerRowDxfId="2003" dataDxfId="2002" totalsRowDxfId="2001">
  <tableColumns count="1">
    <tableColumn id="1" xr3:uid="{00000000-0010-0000-0D00-000001000000}" name="Column1" dataDxfId="2000"/>
  </tableColumns>
  <tableStyleInfo name="SALE1-style 14"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6" displayName="Table_16" ref="AN13" headerRowCount="0" headerRowDxfId="1999" dataDxfId="1998" totalsRowDxfId="1996" tableBorderDxfId="1997">
  <tableColumns count="1">
    <tableColumn id="1" xr3:uid="{00000000-0010-0000-0F00-000001000000}" name="Column1" dataDxfId="1995"/>
  </tableColumns>
  <tableStyleInfo name="SALE1-style 16"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7" displayName="Table_17" ref="AO13" headerRowCount="0" headerRowDxfId="1994" dataDxfId="1993" totalsRowDxfId="1992">
  <tableColumns count="1">
    <tableColumn id="1" xr3:uid="{00000000-0010-0000-1000-000001000000}" name="Column1" dataDxfId="1991"/>
  </tableColumns>
  <tableStyleInfo name="SALE1-style 17"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9" displayName="Table_19" ref="AS13" headerRowCount="0" headerRowDxfId="1990" dataDxfId="1989" totalsRowDxfId="1988">
  <tableColumns count="1">
    <tableColumn id="1" xr3:uid="{00000000-0010-0000-1200-000001000000}" name="Column1" dataDxfId="1987"/>
  </tableColumns>
  <tableStyleInfo name="SALE1-style 19"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21" displayName="Table_21" ref="AV13" headerRowCount="0" headerRowDxfId="1986" dataDxfId="1985" totalsRowDxfId="1983" tableBorderDxfId="1984">
  <tableColumns count="1">
    <tableColumn id="1" xr3:uid="{00000000-0010-0000-1400-000001000000}" name="Column1" dataDxfId="1982"/>
  </tableColumns>
  <tableStyleInfo name="SALE1-style 21"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22" displayName="Table_22" ref="AW13" headerRowCount="0" headerRowDxfId="1981" dataDxfId="1980" totalsRowDxfId="1979">
  <tableColumns count="1">
    <tableColumn id="1" xr3:uid="{00000000-0010-0000-1500-000001000000}" name="Column1" dataDxfId="1978"/>
  </tableColumns>
  <tableStyleInfo name="SALE1-style 22"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_24" displayName="Table_24" ref="BA13" headerRowCount="0" headerRowDxfId="1977" dataDxfId="1976" totalsRowDxfId="1975">
  <tableColumns count="1">
    <tableColumn id="1" xr3:uid="{00000000-0010-0000-1700-000001000000}" name="Column1" dataDxfId="1974"/>
  </tableColumns>
  <tableStyleInfo name="SALE1-style 24"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_26" displayName="Table_26" ref="BD13" headerRowCount="0" headerRowDxfId="1973" dataDxfId="1972" totalsRowDxfId="1970" tableBorderDxfId="1971">
  <tableColumns count="1">
    <tableColumn id="1" xr3:uid="{00000000-0010-0000-1900-000001000000}" name="Column1" dataDxfId="1969"/>
  </tableColumns>
  <tableStyleInfo name="SALE1-style 26"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_27" displayName="Table_27" ref="BE13" headerRowCount="0" headerRowDxfId="1968" dataDxfId="1967" totalsRowDxfId="1966">
  <tableColumns count="1">
    <tableColumn id="1" xr3:uid="{00000000-0010-0000-1A00-000001000000}" name="Column1" dataDxfId="1965"/>
  </tableColumns>
  <tableStyleInfo name="SALE1-style 27"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_29" displayName="Table_29" ref="BI13" headerRowCount="0" headerRowDxfId="1964" dataDxfId="1963" totalsRowDxfId="1962">
  <tableColumns count="1">
    <tableColumn id="1" xr3:uid="{00000000-0010-0000-1C00-000001000000}" name="Column1" dataDxfId="1961"/>
  </tableColumns>
  <tableStyleInfo name="SALE1-style 29"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_31" displayName="Table_31" ref="BL13" headerRowCount="0" headerRowDxfId="1960" dataDxfId="1959" totalsRowDxfId="1958">
  <tableColumns count="1">
    <tableColumn id="1" xr3:uid="{00000000-0010-0000-1E00-000001000000}" name="Column1" dataDxfId="1957"/>
  </tableColumns>
  <tableStyleInfo name="SALE1-style 31"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_32" displayName="Table_32" ref="BM13" headerRowCount="0" headerRowDxfId="1956" dataDxfId="1955" totalsRowDxfId="1954">
  <tableColumns count="1">
    <tableColumn id="1" xr3:uid="{00000000-0010-0000-1F00-000001000000}" name="Column1" dataDxfId="1953"/>
  </tableColumns>
  <tableStyleInfo name="SALE1-style 32"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_34" displayName="Table_34" ref="BQ13" headerRowCount="0" headerRowDxfId="1952" dataDxfId="1951" totalsRowDxfId="1950">
  <tableColumns count="1">
    <tableColumn id="1" xr3:uid="{00000000-0010-0000-2100-000001000000}" name="Column1" dataDxfId="1949"/>
  </tableColumns>
  <tableStyleInfo name="SALE1-style 34"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_36" displayName="Table_36" ref="BT13" headerRowCount="0" headerRowDxfId="1948" dataDxfId="1947" totalsRowDxfId="1946">
  <tableColumns count="1">
    <tableColumn id="1" xr3:uid="{00000000-0010-0000-2300-000001000000}" name="Column1" dataDxfId="1945"/>
  </tableColumns>
  <tableStyleInfo name="SALE1-style 36" showFirstColumn="1"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_37" displayName="Table_37" ref="BU13" headerRowCount="0" headerRowDxfId="1944" dataDxfId="1943" totalsRowDxfId="1942">
  <tableColumns count="1">
    <tableColumn id="1" xr3:uid="{00000000-0010-0000-2400-000001000000}" name="Column1" dataDxfId="1941"/>
  </tableColumns>
  <tableStyleInfo name="SALE1-style 37" showFirstColumn="1" showLastColumn="1"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Table_39" displayName="Table_39" ref="BY13" headerRowCount="0" headerRowDxfId="1940" dataDxfId="1939" totalsRowDxfId="1938">
  <tableColumns count="1">
    <tableColumn id="1" xr3:uid="{00000000-0010-0000-2600-000001000000}" name="Column1" dataDxfId="1937"/>
  </tableColumns>
  <tableStyleInfo name="SALE1-style 39" showFirstColumn="1" showLastColumn="1"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Table_41" displayName="Table_41" ref="CB13" headerRowCount="0" headerRowDxfId="1936" dataDxfId="1935" totalsRowDxfId="1934">
  <tableColumns count="1">
    <tableColumn id="1" xr3:uid="{00000000-0010-0000-2800-000001000000}" name="Column1" dataDxfId="1933"/>
  </tableColumns>
  <tableStyleInfo name="SALE1-style 41" showFirstColumn="1" showLastColumn="1"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Table_42" displayName="Table_42" ref="CC13" headerRowCount="0" headerRowDxfId="1932" dataDxfId="1931" totalsRowDxfId="1930">
  <tableColumns count="1">
    <tableColumn id="1" xr3:uid="{00000000-0010-0000-2900-000001000000}" name="Column1" dataDxfId="1929"/>
  </tableColumns>
  <tableStyleInfo name="SALE1-style 42" showFirstColumn="1" showLastColumn="1"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_44" displayName="Table_44" ref="CG13" headerRowCount="0" headerRowDxfId="1928" dataDxfId="1927" totalsRowDxfId="1926">
  <tableColumns count="1">
    <tableColumn id="1" xr3:uid="{00000000-0010-0000-2B00-000001000000}" name="Column1" dataDxfId="1925"/>
  </tableColumns>
  <tableStyleInfo name="SALE1-style 44" showFirstColumn="1" showLastColumn="1"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_46" displayName="Table_46" ref="CJ13" headerRowCount="0" headerRowDxfId="1924" dataDxfId="1923" totalsRowDxfId="1922">
  <tableColumns count="1">
    <tableColumn id="1" xr3:uid="{00000000-0010-0000-2D00-000001000000}" name="Column1" dataDxfId="1921"/>
  </tableColumns>
  <tableStyleInfo name="SALE1-style 46" showFirstColumn="1" showLastColumn="1"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_47" displayName="Table_47" ref="CK13" headerRowCount="0" headerRowDxfId="1920" dataDxfId="1919" totalsRowDxfId="1918">
  <tableColumns count="1">
    <tableColumn id="1" xr3:uid="{00000000-0010-0000-2E00-000001000000}" name="Column1" dataDxfId="1917"/>
  </tableColumns>
  <tableStyleInfo name="SALE1-style 47" showFirstColumn="1" showLastColumn="1"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DF4BBA-1763-7043-890C-3FFD712C4B5E}" name="Table_15" displayName="Table_15" ref="O13:P14" headerRowCount="0" headerRowDxfId="1916" dataDxfId="1915" totalsRowDxfId="1914">
  <tableColumns count="2">
    <tableColumn id="1" xr3:uid="{3238EBFE-BDE4-CB4E-AEF7-289BA13DFF94}" name="Column1" dataDxfId="1913"/>
    <tableColumn id="2" xr3:uid="{A5FAC47B-C7C5-EC40-A981-207D03FD96EC}" name="Column2" dataDxfId="1912"/>
  </tableColumns>
  <tableStyleInfo name="SALE1-style" showFirstColumn="1" showLastColumn="1"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24579CA-CB7B-5A42-8D3C-4DE6DF0C1254}" name="Table_28" displayName="Table_28" ref="Q13:Q58" headerRowCount="0" headerRowDxfId="1911" dataDxfId="1910" totalsRowDxfId="1909">
  <tableColumns count="1">
    <tableColumn id="1" xr3:uid="{1836FA86-F719-F24B-93CF-32FE6630FDBA}" name="Column1" dataDxfId="1908"/>
  </tableColumns>
  <tableStyleInfo name="SALE1-style 2" showFirstColumn="1" showLastColumn="1"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D84767A-031E-6E46-898F-5C5B08104EE5}" name="Table_49" displayName="Table_49" ref="U13" headerRowCount="0" headerRowDxfId="1907" dataDxfId="1906" totalsRowDxfId="1904" tableBorderDxfId="1905">
  <tableColumns count="1">
    <tableColumn id="1" xr3:uid="{FF8CEFAF-93DF-F54E-875F-314D209F9811}" name="Column1" dataDxfId="1903"/>
  </tableColumns>
  <tableStyleInfo name="SALE1-style 4" showFirstColumn="1" showLastColumn="1"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95F2E67-18B4-7D48-BCAC-2CC6318E4C6D}" name="Table_611" displayName="Table_611" ref="X13" headerRowCount="0" headerRowDxfId="1902" dataDxfId="1901" totalsRowDxfId="1899" tableBorderDxfId="1900">
  <tableColumns count="1">
    <tableColumn id="1" xr3:uid="{AA5BC8C1-C844-7347-A9F0-78D09B8DC850}" name="Column1" dataDxfId="1898"/>
  </tableColumns>
  <tableStyleInfo name="SALE1-style 6" showFirstColumn="1" showLastColumn="1"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045A922-8819-FC46-B377-BA9E09751E56}" name="Table_714" displayName="Table_714" ref="Y13" headerRowCount="0" headerRowDxfId="1897" dataDxfId="1896" totalsRowDxfId="1895">
  <tableColumns count="1">
    <tableColumn id="1" xr3:uid="{103EF389-139B-A24A-BEC0-A4BF8482AC4C}" name="Column1" dataDxfId="1894"/>
  </tableColumns>
  <tableStyleInfo name="SALE1-style 7" showFirstColumn="1" showLastColumn="1"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159617A-A47D-DA47-8BFB-C87E97E67E80}" name="Table_916" displayName="Table_916" ref="AC13" headerRowCount="0" headerRowDxfId="1893" dataDxfId="1892" totalsRowDxfId="1891">
  <tableColumns count="1">
    <tableColumn id="1" xr3:uid="{7BEB10F0-01BD-AE49-834A-6BBEA93810B4}" name="Column1" dataDxfId="1890"/>
  </tableColumns>
  <tableStyleInfo name="SALE1-style 9" showFirstColumn="1" showLastColumn="1"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2014BFD-5864-E748-A483-1FFD065FA989}" name="Table_1119" displayName="Table_1119" ref="AF13" headerRowCount="0" headerRowDxfId="1889" dataDxfId="1888" totalsRowDxfId="1886" tableBorderDxfId="1887">
  <tableColumns count="1">
    <tableColumn id="1" xr3:uid="{70BA8685-345F-F349-9C57-1F880A78A1CF}" name="Column1" dataDxfId="1885"/>
  </tableColumns>
  <tableStyleInfo name="SALE1-style 11" showFirstColumn="1" showLastColumn="1"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8BC13D18-E978-2D43-9A36-D742879559E6}" name="Table_1221" displayName="Table_1221" ref="AG13" headerRowCount="0" headerRowDxfId="1884" dataDxfId="1883" totalsRowDxfId="1882">
  <tableColumns count="1">
    <tableColumn id="1" xr3:uid="{E8EE2294-6E83-4349-B4E1-EA1DAF7494B0}" name="Column1" dataDxfId="1881"/>
  </tableColumns>
  <tableStyleInfo name="SALE1-style 12" showFirstColumn="1" showLastColumn="1"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9E94601-4136-E74B-BEB4-6893FF3B2F5B}" name="Table_1424" displayName="Table_1424" ref="AK13" headerRowCount="0" headerRowDxfId="1880" dataDxfId="1879" totalsRowDxfId="1878">
  <tableColumns count="1">
    <tableColumn id="1" xr3:uid="{70B581D1-D5B9-0B4E-A388-751BB98EE097}" name="Column1" dataDxfId="1877"/>
  </tableColumns>
  <tableStyleInfo name="SALE1-style 14" showFirstColumn="1" showLastColumn="1"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F9EE372-0A5C-5D4E-B407-272F59B5C52F}" name="Table_1626" displayName="Table_1626" ref="AN13" headerRowCount="0" headerRowDxfId="1876" dataDxfId="1875" totalsRowDxfId="1873" tableBorderDxfId="1874">
  <tableColumns count="1">
    <tableColumn id="1" xr3:uid="{2A15C4E9-6135-B445-9512-945B1937ADCB}" name="Column1" dataDxfId="1872"/>
  </tableColumns>
  <tableStyleInfo name="SALE1-style 16" showFirstColumn="1" showLastColumn="1"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6B7EF43E-0CB3-EB4E-9B8D-BB6B2D56B583}" name="Table_1729" displayName="Table_1729" ref="AO13" headerRowCount="0" headerRowDxfId="1871" dataDxfId="1870" totalsRowDxfId="1869">
  <tableColumns count="1">
    <tableColumn id="1" xr3:uid="{4B760ADE-DE01-FE45-940B-E6F80D327E38}" name="Column1" dataDxfId="1868"/>
  </tableColumns>
  <tableStyleInfo name="SALE1-style 17" showFirstColumn="1" showLastColumn="1"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41CA81A-3BA9-3E46-9026-451E1E2D5B48}" name="Table_1931" displayName="Table_1931" ref="AS13" headerRowCount="0" headerRowDxfId="1867" dataDxfId="1866" totalsRowDxfId="1865">
  <tableColumns count="1">
    <tableColumn id="1" xr3:uid="{B34246D3-9678-9F41-A011-780026A319E1}" name="Column1" dataDxfId="1864"/>
  </tableColumns>
  <tableStyleInfo name="SALE1-style 19" showFirstColumn="1" showLastColumn="1"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4BDA8D50-9DA2-E34D-8D14-17F6EF94A504}" name="Table_2134" displayName="Table_2134" ref="AV13" headerRowCount="0" headerRowDxfId="1863" dataDxfId="1862" totalsRowDxfId="1860" tableBorderDxfId="1861">
  <tableColumns count="1">
    <tableColumn id="1" xr3:uid="{AB09FACB-B820-A848-8648-D56A25DFC513}" name="Column1" dataDxfId="1859"/>
  </tableColumns>
  <tableStyleInfo name="SALE1-style 21" showFirstColumn="1" showLastColumn="1"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5FE1070-2B6E-3F47-8C39-9FF25A3BF18F}" name="Table_2236" displayName="Table_2236" ref="AW13" headerRowCount="0" headerRowDxfId="1858" dataDxfId="1857" totalsRowDxfId="1856">
  <tableColumns count="1">
    <tableColumn id="1" xr3:uid="{4DDD195A-0A35-AA48-8BC3-09A3955A352F}" name="Column1" dataDxfId="1855"/>
  </tableColumns>
  <tableStyleInfo name="SALE1-style 22" showFirstColumn="1" showLastColumn="1"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DE6EDEA6-071D-6541-BC89-02ABB6B30416}" name="Table_2439" displayName="Table_2439" ref="BA13" headerRowCount="0" headerRowDxfId="1854" dataDxfId="1853" totalsRowDxfId="1852">
  <tableColumns count="1">
    <tableColumn id="1" xr3:uid="{64C78D2B-F6FE-DA48-B064-B6D6AA247B9F}" name="Column1" dataDxfId="1851"/>
  </tableColumns>
  <tableStyleInfo name="SALE1-style 24" showFirstColumn="1" showLastColumn="1"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21B9DCE-B476-2043-ADA6-F4A8EC757F55}" name="Table_2641" displayName="Table_2641" ref="BD13" headerRowCount="0" headerRowDxfId="1850" dataDxfId="1849" totalsRowDxfId="1847" tableBorderDxfId="1848">
  <tableColumns count="1">
    <tableColumn id="1" xr3:uid="{6DC9BE14-B26D-224E-83D4-343C384B5DC7}" name="Column1" dataDxfId="1846"/>
  </tableColumns>
  <tableStyleInfo name="SALE1-style 26" showFirstColumn="1" showLastColumn="1"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62CF44C-F7C4-8C40-B3B5-C6F5EDF2C4C9}" name="Table_2744" displayName="Table_2744" ref="BE13" headerRowCount="0" headerRowDxfId="1845" dataDxfId="1844" totalsRowDxfId="1843">
  <tableColumns count="1">
    <tableColumn id="1" xr3:uid="{0978418B-F57C-AD45-80E6-4AE0D6D10BD2}" name="Column1" dataDxfId="1842"/>
  </tableColumns>
  <tableStyleInfo name="SALE1-style 27" showFirstColumn="1" showLastColumn="1"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9A2C5E34-31CA-014D-932D-C85B3EF446CB}" name="Table_2946" displayName="Table_2946" ref="BI13" headerRowCount="0" headerRowDxfId="1841" dataDxfId="1840" totalsRowDxfId="1839">
  <tableColumns count="1">
    <tableColumn id="1" xr3:uid="{383C4208-BD42-9A43-A97B-D3ABA187856A}" name="Column1" dataDxfId="1838"/>
  </tableColumns>
  <tableStyleInfo name="SALE1-style 29" showFirstColumn="1" showLastColumn="1"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60B7744-5351-6242-ABD9-F4BD19ACAF74}" name="Table_3149" displayName="Table_3149" ref="BL13" headerRowCount="0" headerRowDxfId="1837" dataDxfId="1836" totalsRowDxfId="1835">
  <tableColumns count="1">
    <tableColumn id="1" xr3:uid="{99CA9205-338F-D548-B6C9-88A31E0CAE14}" name="Column1" dataDxfId="1834"/>
  </tableColumns>
  <tableStyleInfo name="SALE1-style 31" showFirstColumn="1" showLastColumn="1"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CDA7B320-23DF-D944-9914-570735D687E6}" name="Table_3250" displayName="Table_3250" ref="BM13" headerRowCount="0" headerRowDxfId="1833" dataDxfId="1832" totalsRowDxfId="1831">
  <tableColumns count="1">
    <tableColumn id="1" xr3:uid="{574EE972-F0FA-8040-8338-877C47B22179}" name="Column1" dataDxfId="1830"/>
  </tableColumns>
  <tableStyleInfo name="SALE1-style 32" showFirstColumn="1" showLastColumn="1"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74A75B9B-6A3A-6143-B32E-C08E176E68AC}" name="Table_3451" displayName="Table_3451" ref="BQ13" headerRowCount="0" headerRowDxfId="1829" dataDxfId="1828" totalsRowDxfId="1827">
  <tableColumns count="1">
    <tableColumn id="1" xr3:uid="{4E34B23F-FC64-F440-835B-5379F2BED4AB}" name="Column1" dataDxfId="1826"/>
  </tableColumns>
  <tableStyleInfo name="SALE1-style 34" showFirstColumn="1" showLastColumn="1"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29840E2-3AED-F643-8E38-D35F60FF89AF}" name="Table_3652" displayName="Table_3652" ref="BT13" headerRowCount="0" headerRowDxfId="1825" dataDxfId="1824" totalsRowDxfId="1823">
  <tableColumns count="1">
    <tableColumn id="1" xr3:uid="{35F37F75-9D71-6F43-9443-6A9BA980684A}" name="Column1" dataDxfId="1822"/>
  </tableColumns>
  <tableStyleInfo name="SALE1-style 36" showFirstColumn="1" showLastColumn="1"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7EDDE47D-401D-7C4C-AE4E-B64D7ED530B4}" name="Table_3753" displayName="Table_3753" ref="BU13" headerRowCount="0" headerRowDxfId="1821" dataDxfId="1820" totalsRowDxfId="1819">
  <tableColumns count="1">
    <tableColumn id="1" xr3:uid="{E559B791-5596-5041-9646-96542F4CA1F0}" name="Column1" dataDxfId="1818"/>
  </tableColumns>
  <tableStyleInfo name="SALE1-style 37" showFirstColumn="1" showLastColumn="1"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130D542-8259-6743-9A84-F9508E86A960}" name="Table_3954" displayName="Table_3954" ref="BY13" headerRowCount="0" headerRowDxfId="1817" dataDxfId="1816" totalsRowDxfId="1815">
  <tableColumns count="1">
    <tableColumn id="1" xr3:uid="{B087E8F3-0D45-8747-874C-51161FC58209}" name="Column1" dataDxfId="1814"/>
  </tableColumns>
  <tableStyleInfo name="SALE1-style 39" showFirstColumn="1" showLastColumn="1"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121CADA-2374-EA4E-8F08-77C028362B26}" name="Table_4155" displayName="Table_4155" ref="CB13" headerRowCount="0" headerRowDxfId="1813" dataDxfId="1812" totalsRowDxfId="1811">
  <tableColumns count="1">
    <tableColumn id="1" xr3:uid="{D41034E9-A567-504E-A117-B7A56BCE4C1F}" name="Column1" dataDxfId="1810"/>
  </tableColumns>
  <tableStyleInfo name="SALE1-style 41" showFirstColumn="1" showLastColumn="1"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9FFCDF6-6DB7-B748-A881-EC7881AE6C4E}" name="Table_4256" displayName="Table_4256" ref="CC13" headerRowCount="0" headerRowDxfId="1809" dataDxfId="1808" totalsRowDxfId="1807">
  <tableColumns count="1">
    <tableColumn id="1" xr3:uid="{8E2A90A6-0620-8B43-A627-3F400614F924}" name="Column1" dataDxfId="1806"/>
  </tableColumns>
  <tableStyleInfo name="SALE1-style 42" showFirstColumn="1" showLastColumn="1"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CC30B435-1405-0745-BB22-3EDFC9A830EE}" name="Table_4457" displayName="Table_4457" ref="CG13" headerRowCount="0" headerRowDxfId="1805" dataDxfId="1804" totalsRowDxfId="1803">
  <tableColumns count="1">
    <tableColumn id="1" xr3:uid="{BEA53229-CBD2-174E-80FF-E28C9CB8B85C}" name="Column1" dataDxfId="1802"/>
  </tableColumns>
  <tableStyleInfo name="SALE1-style 44" showFirstColumn="1" showLastColumn="1"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DDC8A3DF-95D6-A64B-91F5-0551D9641A48}" name="Table_4658" displayName="Table_4658" ref="CJ13" headerRowCount="0" headerRowDxfId="1801" dataDxfId="1800" totalsRowDxfId="1799">
  <tableColumns count="1">
    <tableColumn id="1" xr3:uid="{4E239AAC-1BCF-B345-B612-E7E5F5FD94DC}" name="Column1" dataDxfId="1798"/>
  </tableColumns>
  <tableStyleInfo name="SALE1-style 46" showFirstColumn="1" showLastColumn="1"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287664A-6344-4C4D-A06D-CD9BB1CC43A0}" name="Table_4759" displayName="Table_4759" ref="CK13" headerRowCount="0" headerRowDxfId="1797" dataDxfId="1796" totalsRowDxfId="1795">
  <tableColumns count="1">
    <tableColumn id="1" xr3:uid="{5AD69941-7B56-824D-BFEF-98FD411FD9EE}" name="Column1" dataDxfId="1794"/>
  </tableColumns>
  <tableStyleInfo name="SALE1-style 47" showFirstColumn="1" showLastColumn="1"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434223F8-41BE-B644-94EC-A875D5D22364}" name="Table_189" displayName="Table_189" ref="O13:P14" headerRowCount="0" headerRowDxfId="1793" dataDxfId="1792" totalsRowDxfId="1791">
  <tableColumns count="2">
    <tableColumn id="1" xr3:uid="{AAF7A497-FB41-5E47-AD93-4F3840EBCBA2}" name="Column1" dataDxfId="1790"/>
    <tableColumn id="2" xr3:uid="{6579C4A9-6970-A945-8AE0-626388305CD1}" name="Column2" dataDxfId="1789"/>
  </tableColumns>
  <tableStyleInfo name="SALE1-style" showFirstColumn="1" showLastColumn="1"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F646EEE3-9456-9C43-91D3-3FC2E2E9ECEB}" name="Table_290" displayName="Table_290" ref="Q13:Q58" headerRowCount="0" headerRowDxfId="1788" dataDxfId="1787" totalsRowDxfId="1786">
  <tableColumns count="1">
    <tableColumn id="1" xr3:uid="{0C4B26FC-2679-2B44-9FE9-8B543DA20F02}" name="Column1" dataDxfId="1785"/>
  </tableColumns>
  <tableStyleInfo name="SALE1-style 2" showFirstColumn="1" showLastColumn="1"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455708EB-EEA6-E04F-B212-8DD6825C2A5C}" name="Table_491" displayName="Table_491" ref="U13" headerRowCount="0" headerRowDxfId="1784" dataDxfId="1783" totalsRowDxfId="1781" tableBorderDxfId="1782">
  <tableColumns count="1">
    <tableColumn id="1" xr3:uid="{B2B6A98A-5BC2-1442-B454-1E34D81D05CE}" name="Column1" dataDxfId="1780"/>
  </tableColumns>
  <tableStyleInfo name="SALE1-style 4" showFirstColumn="1" showLastColumn="1"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85FFB608-438A-5A4B-A12C-64BC5B51ED91}" name="Table_692" displayName="Table_692" ref="X13" headerRowCount="0" headerRowDxfId="1779" dataDxfId="1778" totalsRowDxfId="1776" tableBorderDxfId="1777">
  <tableColumns count="1">
    <tableColumn id="1" xr3:uid="{343CB1D3-AA3B-9347-9735-4D4B224A9481}" name="Column1" dataDxfId="1775"/>
  </tableColumns>
  <tableStyleInfo name="SALE1-style 6" showFirstColumn="1" showLastColumn="1"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07ED5947-394F-D148-B300-A7A457E207E7}" name="Table_793" displayName="Table_793" ref="Y13" headerRowCount="0" headerRowDxfId="1774" dataDxfId="1773" totalsRowDxfId="1772">
  <tableColumns count="1">
    <tableColumn id="1" xr3:uid="{610CE28D-C6EB-BE4F-906A-D92BEE16A4B4}" name="Column1" dataDxfId="1771"/>
  </tableColumns>
  <tableStyleInfo name="SALE1-style 7" showFirstColumn="1" showLastColumn="1"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B8D7FF43-96C5-6044-B4BF-4D5872A48AD5}" name="Table_994" displayName="Table_994" ref="AC13" headerRowCount="0" headerRowDxfId="1770" dataDxfId="1769" totalsRowDxfId="1768">
  <tableColumns count="1">
    <tableColumn id="1" xr3:uid="{62837A42-3ADD-8A41-8EBC-6094BE21DF49}" name="Column1" dataDxfId="1767"/>
  </tableColumns>
  <tableStyleInfo name="SALE1-style 9" showFirstColumn="1" showLastColumn="1"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78356C62-747F-4C49-B2A3-D39B3DD72D23}" name="Table_1195" displayName="Table_1195" ref="AF13" headerRowCount="0" headerRowDxfId="1766" dataDxfId="1765" totalsRowDxfId="1763" tableBorderDxfId="1764">
  <tableColumns count="1">
    <tableColumn id="1" xr3:uid="{D5D35C4E-AA3C-1A48-8AF1-C3FAC876B3F2}" name="Column1" dataDxfId="1762"/>
  </tableColumns>
  <tableStyleInfo name="SALE1-style 11" showFirstColumn="1" showLastColumn="1"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422AD431-C94D-B442-B731-8F25B5F62E23}" name="Table_1296" displayName="Table_1296" ref="AG13" headerRowCount="0" headerRowDxfId="1761" dataDxfId="1760" totalsRowDxfId="1759">
  <tableColumns count="1">
    <tableColumn id="1" xr3:uid="{6E4AD724-2ECA-154F-9A04-C0B742FFCCCA}" name="Column1" dataDxfId="1758"/>
  </tableColumns>
  <tableStyleInfo name="SALE1-style 12" showFirstColumn="1" showLastColumn="1"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94757F24-D92C-2E4B-A2A3-CF85CD544B2D}" name="Table_1497" displayName="Table_1497" ref="AK13" headerRowCount="0" headerRowDxfId="1757" dataDxfId="1756" totalsRowDxfId="1755">
  <tableColumns count="1">
    <tableColumn id="1" xr3:uid="{71999AF6-346F-9B47-A9C6-9497B9FBDF13}" name="Column1" dataDxfId="1754"/>
  </tableColumns>
  <tableStyleInfo name="SALE1-style 14" showFirstColumn="1" showLastColumn="1"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4FF0B23B-6FA6-984E-BF5F-CFFFC52C5AEB}" name="Table_1698" displayName="Table_1698" ref="AN13" headerRowCount="0" headerRowDxfId="1753" dataDxfId="1752" totalsRowDxfId="1750" tableBorderDxfId="1751">
  <tableColumns count="1">
    <tableColumn id="1" xr3:uid="{B154FD5B-762A-C54D-BF96-88E6232300AB}" name="Column1" dataDxfId="1749"/>
  </tableColumns>
  <tableStyleInfo name="SALE1-style 16" showFirstColumn="1" showLastColumn="1"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5DBD91E-A618-9842-BFB1-EF1785FFF4D3}" name="Table_1799" displayName="Table_1799" ref="AO13" headerRowCount="0" headerRowDxfId="1748" dataDxfId="1747" totalsRowDxfId="1746">
  <tableColumns count="1">
    <tableColumn id="1" xr3:uid="{0F53F9C4-2290-AF45-A161-AD06B5F7925D}" name="Column1" dataDxfId="1745"/>
  </tableColumns>
  <tableStyleInfo name="SALE1-style 17" showFirstColumn="1" showLastColumn="1"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F8CEB428-87D3-A947-8787-67260080355B}" name="Table_19100" displayName="Table_19100" ref="AS13" headerRowCount="0" headerRowDxfId="1744" dataDxfId="1743" totalsRowDxfId="1742">
  <tableColumns count="1">
    <tableColumn id="1" xr3:uid="{FEEE7CCA-7698-984B-9C13-3A145050B5BC}" name="Column1" dataDxfId="1741"/>
  </tableColumns>
  <tableStyleInfo name="SALE1-style 19" showFirstColumn="1" showLastColumn="1"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D8BB09C-C93A-A644-9578-8D4A2483005D}" name="Table_21101" displayName="Table_21101" ref="AV13" headerRowCount="0" headerRowDxfId="1740" dataDxfId="1739" totalsRowDxfId="1737" tableBorderDxfId="1738">
  <tableColumns count="1">
    <tableColumn id="1" xr3:uid="{AC987B8A-2622-C342-B7C5-519F7D178985}" name="Column1" dataDxfId="1736"/>
  </tableColumns>
  <tableStyleInfo name="SALE1-style 21" showFirstColumn="1" showLastColumn="1"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271AF201-93F3-D148-B3BA-55B9F19EFEF8}" name="Table_22102" displayName="Table_22102" ref="AW13" headerRowCount="0" headerRowDxfId="1735" dataDxfId="1734" totalsRowDxfId="1733">
  <tableColumns count="1">
    <tableColumn id="1" xr3:uid="{FB295269-419F-404A-8F45-8E21FE46BD7B}" name="Column1" dataDxfId="1732"/>
  </tableColumns>
  <tableStyleInfo name="SALE1-style 22" showFirstColumn="1" showLastColumn="1"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A882E669-1D8E-C34C-93DB-AA80C91209BA}" name="Table_24103" displayName="Table_24103" ref="BA13" headerRowCount="0" headerRowDxfId="1731" dataDxfId="1730" totalsRowDxfId="1729">
  <tableColumns count="1">
    <tableColumn id="1" xr3:uid="{5B26C3ED-3745-B341-9E6B-2B5FBA74A4A6}" name="Column1" dataDxfId="1728"/>
  </tableColumns>
  <tableStyleInfo name="SALE1-style 24" showFirstColumn="1" showLastColumn="1"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E9320738-D402-4845-B8AB-2A0D8F928540}" name="Table_26104" displayName="Table_26104" ref="BD13" headerRowCount="0" headerRowDxfId="1727" dataDxfId="1726" totalsRowDxfId="1724" tableBorderDxfId="1725">
  <tableColumns count="1">
    <tableColumn id="1" xr3:uid="{11AD7244-39C5-E845-A139-AF911FA71BB8}" name="Column1" dataDxfId="1723"/>
  </tableColumns>
  <tableStyleInfo name="SALE1-style 26" showFirstColumn="1" showLastColumn="1"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58DB51E2-1404-264B-A803-21E57584FEF0}" name="Table_27105" displayName="Table_27105" ref="BE13" headerRowCount="0" headerRowDxfId="1722" dataDxfId="1721" totalsRowDxfId="1720">
  <tableColumns count="1">
    <tableColumn id="1" xr3:uid="{25B43177-4946-8B41-9311-F1D682BE812F}" name="Column1" dataDxfId="1719"/>
  </tableColumns>
  <tableStyleInfo name="SALE1-style 27" showFirstColumn="1" showLastColumn="1"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E08F72A1-54E3-9346-8B20-9E55E7E5BF2D}" name="Table_29106" displayName="Table_29106" ref="BI13" headerRowCount="0" headerRowDxfId="1718" dataDxfId="1717" totalsRowDxfId="1716">
  <tableColumns count="1">
    <tableColumn id="1" xr3:uid="{29D9069A-7FDC-664E-87DA-E3CB35A66599}" name="Column1" dataDxfId="1715"/>
  </tableColumns>
  <tableStyleInfo name="SALE1-style 29" showFirstColumn="1" showLastColumn="1"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FF93E31C-2765-1142-96C9-B2D16406575B}" name="Table_31107" displayName="Table_31107" ref="BL13" headerRowCount="0" headerRowDxfId="1714" dataDxfId="1713" totalsRowDxfId="1712">
  <tableColumns count="1">
    <tableColumn id="1" xr3:uid="{275171EF-EEAC-4F4E-96AF-2B39A74DE731}" name="Column1" dataDxfId="1711"/>
  </tableColumns>
  <tableStyleInfo name="SALE1-style 31" showFirstColumn="1" showLastColumn="1"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5761975F-011D-9B4F-AC2F-378B52E0A9B2}" name="Table_32108" displayName="Table_32108" ref="BM13" headerRowCount="0" headerRowDxfId="1710" dataDxfId="1709" totalsRowDxfId="1708">
  <tableColumns count="1">
    <tableColumn id="1" xr3:uid="{DBB514CF-52E3-1E49-BF37-C128E91222C4}" name="Column1" dataDxfId="1707"/>
  </tableColumns>
  <tableStyleInfo name="SALE1-style 32" showFirstColumn="1" showLastColumn="1"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769DA48C-95BD-1C4A-A970-9D12FED016E6}" name="Table_34109" displayName="Table_34109" ref="BQ13" headerRowCount="0" headerRowDxfId="1706" dataDxfId="1705" totalsRowDxfId="1704">
  <tableColumns count="1">
    <tableColumn id="1" xr3:uid="{0C3E731D-851A-384D-AAF8-1280A47EF03F}" name="Column1" dataDxfId="1703"/>
  </tableColumns>
  <tableStyleInfo name="SALE1-style 34" showFirstColumn="1" showLastColumn="1"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AEF66F82-FDAA-7F4C-A51C-8CA005D3017B}" name="Table_36110" displayName="Table_36110" ref="BT13" headerRowCount="0" headerRowDxfId="1702" dataDxfId="1701" totalsRowDxfId="1700">
  <tableColumns count="1">
    <tableColumn id="1" xr3:uid="{93D20736-BF57-E54A-813B-F724AB136D50}" name="Column1" dataDxfId="1699"/>
  </tableColumns>
  <tableStyleInfo name="SALE1-style 36" showFirstColumn="1" showLastColumn="1"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9A376A33-03FF-5746-8EA2-F3BEC3CB0E71}" name="Table_37111" displayName="Table_37111" ref="BU13" headerRowCount="0" headerRowDxfId="1698" dataDxfId="1697" totalsRowDxfId="1696">
  <tableColumns count="1">
    <tableColumn id="1" xr3:uid="{37605FE1-0BA4-FC43-888D-F851DA2F937D}" name="Column1" dataDxfId="1695"/>
  </tableColumns>
  <tableStyleInfo name="SALE1-style 37" showFirstColumn="1" showLastColumn="1"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3EB7D976-A052-D345-816C-7C767AE15820}" name="Table_39112" displayName="Table_39112" ref="BY13" headerRowCount="0" headerRowDxfId="1694" dataDxfId="1693" totalsRowDxfId="1692">
  <tableColumns count="1">
    <tableColumn id="1" xr3:uid="{D206F877-3C84-6545-A067-C7DEAB798274}" name="Column1" dataDxfId="1691"/>
  </tableColumns>
  <tableStyleInfo name="SALE1-style 39" showFirstColumn="1" showLastColumn="1"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1EA3BFA8-7FCF-9D45-8432-E7CD1A26D88C}" name="Table_41113" displayName="Table_41113" ref="CB13" headerRowCount="0" headerRowDxfId="1690" dataDxfId="1689" totalsRowDxfId="1688">
  <tableColumns count="1">
    <tableColumn id="1" xr3:uid="{BF6D9888-5858-7240-9E8C-AEA919195650}" name="Column1" dataDxfId="1687"/>
  </tableColumns>
  <tableStyleInfo name="SALE1-style 41" showFirstColumn="1" showLastColumn="1"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3A26442E-5666-794A-8892-0B398B1F1C64}" name="Table_42114" displayName="Table_42114" ref="CC13" headerRowCount="0" headerRowDxfId="1686" dataDxfId="1685" totalsRowDxfId="1684">
  <tableColumns count="1">
    <tableColumn id="1" xr3:uid="{0DC229E4-980B-524E-9AB0-DD3F0BE2785A}" name="Column1" dataDxfId="1683"/>
  </tableColumns>
  <tableStyleInfo name="SALE1-style 42" showFirstColumn="1" showLastColumn="1"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85794E72-F603-6C40-8670-25BCE91CB54A}" name="Table_44115" displayName="Table_44115" ref="CG13" headerRowCount="0" headerRowDxfId="1682" dataDxfId="1681" totalsRowDxfId="1680">
  <tableColumns count="1">
    <tableColumn id="1" xr3:uid="{8035576F-3FAB-3942-BA09-E556A8A79604}" name="Column1" dataDxfId="1679"/>
  </tableColumns>
  <tableStyleInfo name="SALE1-style 44" showFirstColumn="1" showLastColumn="1"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A17443C9-04F7-904E-AABF-CC0CB54B9D1E}" name="Table_46116" displayName="Table_46116" ref="CJ13" headerRowCount="0" headerRowDxfId="1678" dataDxfId="1677" totalsRowDxfId="1676">
  <tableColumns count="1">
    <tableColumn id="1" xr3:uid="{86FC36DD-E014-244E-9E80-416E534C5CBA}" name="Column1" dataDxfId="1675"/>
  </tableColumns>
  <tableStyleInfo name="SALE1-style 46" showFirstColumn="1" showLastColumn="1"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8927B687-FA94-6D4D-A4B9-3C80CBCB0CD2}" name="Table_47117" displayName="Table_47117" ref="CK13" headerRowCount="0" headerRowDxfId="1674" dataDxfId="1673" totalsRowDxfId="1672">
  <tableColumns count="1">
    <tableColumn id="1" xr3:uid="{41D4479F-5A8F-9440-9DFD-A068ABFD2033}" name="Column1" dataDxfId="1671"/>
  </tableColumns>
  <tableStyleInfo name="SALE1-style 47" showFirstColumn="1" showLastColumn="1"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CBC56107-9CBD-DD4B-A21A-60F368B08748}" name="Table_1147" displayName="Table_1147" ref="O13:P14" headerRowCount="0" headerRowDxfId="1670" dataDxfId="1669" totalsRowDxfId="1668">
  <tableColumns count="2">
    <tableColumn id="1" xr3:uid="{9C260DC8-9537-A44E-BF02-5423CA772DE6}" name="Column1" dataDxfId="1667"/>
    <tableColumn id="2" xr3:uid="{1C47DA07-94B2-E84F-9EB4-2D59E44B3B3E}" name="Column2" dataDxfId="1666"/>
  </tableColumns>
  <tableStyleInfo name="SALE1-style" showFirstColumn="1" showLastColumn="1"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A89AA524-2C0A-2A46-9416-8B785DB4BA93}" name="Table_2148" displayName="Table_2148" ref="Q13:Q58" headerRowCount="0" headerRowDxfId="1665" dataDxfId="1664" totalsRowDxfId="1663">
  <tableColumns count="1">
    <tableColumn id="1" xr3:uid="{E8BCD3F6-35C9-834D-9E4B-343EE8FB4F0D}" name="Column1" dataDxfId="1662"/>
  </tableColumns>
  <tableStyleInfo name="SALE1-style 2" showFirstColumn="1" showLastColumn="1"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9C0A5E79-183C-7A49-93A5-C0DED6D952E6}" name="Table_4149" displayName="Table_4149" ref="U13" headerRowCount="0" headerRowDxfId="1661" dataDxfId="1660" totalsRowDxfId="1658" tableBorderDxfId="1659">
  <tableColumns count="1">
    <tableColumn id="1" xr3:uid="{4BFE4A9B-BEB1-D34C-9446-FEBA3B766463}" name="Column1" dataDxfId="1657"/>
  </tableColumns>
  <tableStyleInfo name="SALE1-style 4" showFirstColumn="1" showLastColumn="1"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0C2BE249-C370-664F-B4CB-622B7DE2D810}" name="Table_6150" displayName="Table_6150" ref="X13" headerRowCount="0" headerRowDxfId="1656" dataDxfId="1655" totalsRowDxfId="1653" tableBorderDxfId="1654">
  <tableColumns count="1">
    <tableColumn id="1" xr3:uid="{2B44135A-620C-B04F-85D1-01C2F5316786}" name="Column1" dataDxfId="1652"/>
  </tableColumns>
  <tableStyleInfo name="SALE1-style 6" showFirstColumn="1" showLastColumn="1"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CF58B1EC-A92E-854C-9FB5-F5D0F9D5B846}" name="Table_7151" displayName="Table_7151" ref="Y13" headerRowCount="0" headerRowDxfId="1651" dataDxfId="1650" totalsRowDxfId="1649">
  <tableColumns count="1">
    <tableColumn id="1" xr3:uid="{A24A32F6-2306-C34F-B489-D30ABF9AFF26}" name="Column1" dataDxfId="1648"/>
  </tableColumns>
  <tableStyleInfo name="SALE1-style 7" showFirstColumn="1" showLastColumn="1"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E41BF585-B64F-174A-8072-A14B07C50FB1}" name="Table_9152" displayName="Table_9152" ref="AC13" headerRowCount="0" headerRowDxfId="1647" dataDxfId="1646" totalsRowDxfId="1645">
  <tableColumns count="1">
    <tableColumn id="1" xr3:uid="{16DDEE81-738F-DD4A-B887-6C18A875F9BA}" name="Column1" dataDxfId="1644"/>
  </tableColumns>
  <tableStyleInfo name="SALE1-style 9" showFirstColumn="1" showLastColumn="1"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D8685ACF-6865-DB4B-81A8-E1CBC0D0AD14}" name="Table_11153" displayName="Table_11153" ref="AF13" headerRowCount="0" headerRowDxfId="1643" dataDxfId="1642" totalsRowDxfId="1640" tableBorderDxfId="1641">
  <tableColumns count="1">
    <tableColumn id="1" xr3:uid="{0EBFD59C-C54E-C44B-8AD0-35A5E2DA6237}" name="Column1" dataDxfId="1639"/>
  </tableColumns>
  <tableStyleInfo name="SALE1-style 11" showFirstColumn="1" showLastColumn="1"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87E23C13-4369-234E-84FB-C1B26E0EA24D}" name="Table_12154" displayName="Table_12154" ref="AG13" headerRowCount="0" headerRowDxfId="1638" dataDxfId="1637" totalsRowDxfId="1636">
  <tableColumns count="1">
    <tableColumn id="1" xr3:uid="{1D76CA0B-04F1-FC46-9370-D9E523893E54}" name="Column1" dataDxfId="1635"/>
  </tableColumns>
  <tableStyleInfo name="SALE1-style 12" showFirstColumn="1" showLastColumn="1"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328541C0-F81D-DE43-BB43-4B5A71CBBB91}" name="Table_14155" displayName="Table_14155" ref="AK13" headerRowCount="0" headerRowDxfId="1634" dataDxfId="1633" totalsRowDxfId="1632">
  <tableColumns count="1">
    <tableColumn id="1" xr3:uid="{3AF6CCFE-2D4C-734A-84FE-318BAFC40182}" name="Column1" dataDxfId="1631"/>
  </tableColumns>
  <tableStyleInfo name="SALE1-style 14" showFirstColumn="1" showLastColumn="1"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BD5A0614-CA24-D24C-B5BC-E09F2098E133}" name="Table_16156" displayName="Table_16156" ref="AN13" headerRowCount="0" headerRowDxfId="1630" dataDxfId="1629" totalsRowDxfId="1627" tableBorderDxfId="1628">
  <tableColumns count="1">
    <tableColumn id="1" xr3:uid="{67AF6AD6-77F4-E842-AB46-E154E8B35F1F}" name="Column1" dataDxfId="1626"/>
  </tableColumns>
  <tableStyleInfo name="SALE1-style 16" showFirstColumn="1" showLastColumn="1"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CA31E5DF-48EE-DF40-8F0F-BB645541F0C2}" name="Table_17157" displayName="Table_17157" ref="AO13" headerRowCount="0" headerRowDxfId="1625" dataDxfId="1624" totalsRowDxfId="1623">
  <tableColumns count="1">
    <tableColumn id="1" xr3:uid="{E1D32242-E3C1-0843-B88C-021A7B753FA0}" name="Column1" dataDxfId="1622"/>
  </tableColumns>
  <tableStyleInfo name="SALE1-style 17" showFirstColumn="1" showLastColumn="1"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D40A54E9-4B5B-FA41-B75D-F7D38F5E0A32}" name="Table_19158" displayName="Table_19158" ref="AS13" headerRowCount="0" headerRowDxfId="1621" dataDxfId="1620" totalsRowDxfId="1619">
  <tableColumns count="1">
    <tableColumn id="1" xr3:uid="{2D73BBD9-4CFD-AB4B-A0CE-328AF4E14CA6}" name="Column1" dataDxfId="1618"/>
  </tableColumns>
  <tableStyleInfo name="SALE1-style 19" showFirstColumn="1" showLastColumn="1"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9280DF72-B101-5E4E-AECA-003BB0560253}" name="Table_21159" displayName="Table_21159" ref="AV13" headerRowCount="0" headerRowDxfId="1617" dataDxfId="1616" totalsRowDxfId="1614" tableBorderDxfId="1615">
  <tableColumns count="1">
    <tableColumn id="1" xr3:uid="{9C4DA5AB-D076-CC45-A9E9-A36D0EB468D5}" name="Column1" dataDxfId="1613"/>
  </tableColumns>
  <tableStyleInfo name="SALE1-style 21" showFirstColumn="1" showLastColumn="1"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1C46DF6D-259A-1B46-A1D7-C92B8EAE91DA}" name="Table_22160" displayName="Table_22160" ref="AW13" headerRowCount="0" headerRowDxfId="1612" dataDxfId="1611" totalsRowDxfId="1610">
  <tableColumns count="1">
    <tableColumn id="1" xr3:uid="{4B83B6C1-8686-104B-8D47-B15F0E18A142}" name="Column1" dataDxfId="1609"/>
  </tableColumns>
  <tableStyleInfo name="SALE1-style 22" showFirstColumn="1" showLastColumn="1"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37EEC150-CE56-7448-AAEC-BE70F9173D37}" name="Table_24161" displayName="Table_24161" ref="BA13" headerRowCount="0" headerRowDxfId="1608" dataDxfId="1607" totalsRowDxfId="1606">
  <tableColumns count="1">
    <tableColumn id="1" xr3:uid="{D744D189-E69F-9640-AC36-5E726247CDCF}" name="Column1" dataDxfId="1605"/>
  </tableColumns>
  <tableStyleInfo name="SALE1-style 24" showFirstColumn="1" showLastColumn="1"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A81BE06E-9460-EF42-A534-0E8D354DC73A}" name="Table_26162" displayName="Table_26162" ref="BD13" headerRowCount="0" headerRowDxfId="1604" dataDxfId="1603" totalsRowDxfId="1601" tableBorderDxfId="1602">
  <tableColumns count="1">
    <tableColumn id="1" xr3:uid="{5B40A164-E5BB-964F-9A9C-82C36C857020}" name="Column1" dataDxfId="1600"/>
  </tableColumns>
  <tableStyleInfo name="SALE1-style 26" showFirstColumn="1" showLastColumn="1"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D2FBE1F6-512A-9B4B-AB0F-B110EB5D4234}" name="Table_27163" displayName="Table_27163" ref="BE13" headerRowCount="0" headerRowDxfId="1599" dataDxfId="1598" totalsRowDxfId="1597">
  <tableColumns count="1">
    <tableColumn id="1" xr3:uid="{B01A6D87-F4D8-DB42-8C19-57D1D1854304}" name="Column1" dataDxfId="1596"/>
  </tableColumns>
  <tableStyleInfo name="SALE1-style 27" showFirstColumn="1" showLastColumn="1"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975798FD-5170-224F-B46E-93BA0EFD6BFA}" name="Table_29164" displayName="Table_29164" ref="BI13" headerRowCount="0" headerRowDxfId="1595" dataDxfId="1594" totalsRowDxfId="1593">
  <tableColumns count="1">
    <tableColumn id="1" xr3:uid="{3E6DE66B-D4FB-8342-98DC-EC79EA6B4F5D}" name="Column1" dataDxfId="1592"/>
  </tableColumns>
  <tableStyleInfo name="SALE1-style 29" showFirstColumn="1" showLastColumn="1"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DF40DCF2-2924-FC4F-9E34-EB96DDD1C4FD}" name="Table_31165" displayName="Table_31165" ref="BL13" headerRowCount="0" headerRowDxfId="1591" dataDxfId="1590" totalsRowDxfId="1589">
  <tableColumns count="1">
    <tableColumn id="1" xr3:uid="{AC3B9024-1E7F-FD41-A8CA-953BED752E92}" name="Column1" dataDxfId="1588"/>
  </tableColumns>
  <tableStyleInfo name="SALE1-style 31" showFirstColumn="1" showLastColumn="1"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18FB9F39-AF04-9F4F-A82B-696FC871BA8C}" name="Table_32166" displayName="Table_32166" ref="BM13" headerRowCount="0" headerRowDxfId="1587" dataDxfId="1586" totalsRowDxfId="1585">
  <tableColumns count="1">
    <tableColumn id="1" xr3:uid="{9EC95AC2-E40B-0B44-B2D9-6C3B39529BCF}" name="Column1" dataDxfId="1584"/>
  </tableColumns>
  <tableStyleInfo name="SALE1-style 32" showFirstColumn="1" showLastColumn="1"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7D58A873-B3BF-8440-AB12-42F840BA82B5}" name="Table_34167" displayName="Table_34167" ref="BQ13" headerRowCount="0" headerRowDxfId="1583" dataDxfId="1582" totalsRowDxfId="1581">
  <tableColumns count="1">
    <tableColumn id="1" xr3:uid="{5F3D233A-B2B1-934A-A83B-FD50D0EC7A1D}" name="Column1" dataDxfId="1580"/>
  </tableColumns>
  <tableStyleInfo name="SALE1-style 34" showFirstColumn="1" showLastColumn="1"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8BFEEB21-2F2C-F64A-8B39-79F4695D6781}" name="Table_36168" displayName="Table_36168" ref="BT13" headerRowCount="0" headerRowDxfId="1579" dataDxfId="1578" totalsRowDxfId="1577">
  <tableColumns count="1">
    <tableColumn id="1" xr3:uid="{FFC7416E-7B8C-0F44-9E1B-4EC91335594C}" name="Column1" dataDxfId="1576"/>
  </tableColumns>
  <tableStyleInfo name="SALE1-style 36" showFirstColumn="1" showLastColumn="1"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75123A8B-CD18-BA44-B4AA-C5FE43CC8045}" name="Table_37169" displayName="Table_37169" ref="BU13" headerRowCount="0" headerRowDxfId="1575" dataDxfId="1574" totalsRowDxfId="1573">
  <tableColumns count="1">
    <tableColumn id="1" xr3:uid="{6E2E64CA-D40B-544F-970A-17FF9617910C}" name="Column1" dataDxfId="1572"/>
  </tableColumns>
  <tableStyleInfo name="SALE1-style 37" showFirstColumn="1" showLastColumn="1"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F37ABDED-E7AB-1C4C-BF7D-A985B2FDCDB9}" name="Table_39170" displayName="Table_39170" ref="BY13" headerRowCount="0" headerRowDxfId="1571" dataDxfId="1570" totalsRowDxfId="1569">
  <tableColumns count="1">
    <tableColumn id="1" xr3:uid="{02D02203-A24B-E942-8C36-39054FD4F684}" name="Column1" dataDxfId="1568"/>
  </tableColumns>
  <tableStyleInfo name="SALE1-style 39" showFirstColumn="1" showLastColumn="1"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CD442F43-E6B6-594A-8F13-865CE82D294B}" name="Table_41171" displayName="Table_41171" ref="CB13" headerRowCount="0" headerRowDxfId="1567" dataDxfId="1566" totalsRowDxfId="1565">
  <tableColumns count="1">
    <tableColumn id="1" xr3:uid="{93698E56-EF29-1940-BA45-074A1E692D48}" name="Column1" dataDxfId="1564"/>
  </tableColumns>
  <tableStyleInfo name="SALE1-style 41" showFirstColumn="1" showLastColumn="1"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431119F1-5840-8F48-9E6E-B016CC3BF4D3}" name="Table_42172" displayName="Table_42172" ref="CC13" headerRowCount="0" headerRowDxfId="1563" dataDxfId="1562" totalsRowDxfId="1561">
  <tableColumns count="1">
    <tableColumn id="1" xr3:uid="{56625B6A-6B96-774D-9622-D31C173F3715}" name="Column1" dataDxfId="1560"/>
  </tableColumns>
  <tableStyleInfo name="SALE1-style 42" showFirstColumn="1" showLastColumn="1"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1B1F5092-48CB-B842-A5A6-26A5E348C430}" name="Table_44173" displayName="Table_44173" ref="CG13" headerRowCount="0" headerRowDxfId="1559" dataDxfId="1558" totalsRowDxfId="1557">
  <tableColumns count="1">
    <tableColumn id="1" xr3:uid="{1E2EBD4F-CB60-1248-8657-3B52D790CC3D}" name="Column1" dataDxfId="1556"/>
  </tableColumns>
  <tableStyleInfo name="SALE1-style 44" showFirstColumn="1" showLastColumn="1"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AC0859FD-1B92-B54F-A2AA-140874A0B24E}" name="Table_46174" displayName="Table_46174" ref="CJ13" headerRowCount="0" headerRowDxfId="1555" dataDxfId="1554" totalsRowDxfId="1553">
  <tableColumns count="1">
    <tableColumn id="1" xr3:uid="{21F53887-5173-5146-9732-5F46721478E5}" name="Column1" dataDxfId="1552"/>
  </tableColumns>
  <tableStyleInfo name="SALE1-style 46" showFirstColumn="1" showLastColumn="1"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EA563A60-19D9-3D42-8EFB-1333C69AB857}" name="Table_47175" displayName="Table_47175" ref="CK13" headerRowCount="0" headerRowDxfId="1551" dataDxfId="1550" totalsRowDxfId="1549">
  <tableColumns count="1">
    <tableColumn id="1" xr3:uid="{E7AFCFC1-9AED-2243-BF81-C051ABAEE664}" name="Column1" dataDxfId="1548"/>
  </tableColumns>
  <tableStyleInfo name="SALE1-style 47" showFirstColumn="1" showLastColumn="1"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3" xr:uid="{00000000-000C-0000-FFFF-FFFF4C010000}" name="CONTENT_QUYÊN" displayName="CONTENT_QUYÊN" ref="A6:J7" headerRowDxfId="1493" dataDxfId="1492" totalsRowDxfId="1491">
  <tableColumns count="10">
    <tableColumn id="1" xr3:uid="{00000000-0010-0000-4C01-000001000000}" name="CHANNEL" dataDxfId="1490"/>
    <tableColumn id="2" xr3:uid="{00000000-0010-0000-4C01-000002000000}" name="TOPIC/  CAMPAIGN" dataDxfId="1489"/>
    <tableColumn id="3" xr3:uid="{00000000-0010-0000-4C01-000003000000}" name="DESCRIPTION" dataDxfId="1488"/>
    <tableColumn id="4" xr3:uid="{00000000-0010-0000-4C01-000004000000}" name="REQUEST" dataDxfId="1487"/>
    <tableColumn id="5" xr3:uid="{00000000-0010-0000-4C01-000005000000}" name="STATUS" dataDxfId="1486"/>
    <tableColumn id="6" xr3:uid="{00000000-0010-0000-4C01-000006000000}" name="DUE DATE" dataDxfId="1485"/>
    <tableColumn id="7" xr3:uid="{00000000-0010-0000-4C01-000007000000}" name="FILE" dataDxfId="1484"/>
    <tableColumn id="8" xr3:uid="{00000000-0010-0000-4C01-000008000000}" name="CLOUD" dataDxfId="1483"/>
    <tableColumn id="9" xr3:uid="{00000000-0010-0000-4C01-000009000000}" name="NOTE" dataDxfId="1482"/>
    <tableColumn id="10" xr3:uid="{00000000-0010-0000-4C01-00000A000000}" name="CHECK" dataDxfId="1481"/>
  </tableColumns>
  <tableStyleInfo name="CONT_1-style" showFirstColumn="1" showLastColumn="1"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7" xr:uid="{00000000-000C-0000-FFFF-FFFF54020000}" name="CONTENT_QUANG" displayName="CONTENT_QUANG" ref="A6:J13" headerRowDxfId="1547" dataDxfId="1546" totalsRowDxfId="1545">
  <tableColumns count="10">
    <tableColumn id="1" xr3:uid="{00000000-0010-0000-5402-000001000000}" name="CHANNEL" dataDxfId="1544"/>
    <tableColumn id="2" xr3:uid="{00000000-0010-0000-5402-000002000000}" name="TOPIC/  CAMPAIGN" dataDxfId="1543"/>
    <tableColumn id="3" xr3:uid="{00000000-0010-0000-5402-000003000000}" name="DESCRIPTION" dataDxfId="1542"/>
    <tableColumn id="4" xr3:uid="{00000000-0010-0000-5402-000004000000}" name="REQUEST" dataDxfId="1541"/>
    <tableColumn id="5" xr3:uid="{00000000-0010-0000-5402-000005000000}" name="STATUS" dataDxfId="1540"/>
    <tableColumn id="6" xr3:uid="{00000000-0010-0000-5402-000006000000}" name="DUE DATE" dataDxfId="1539"/>
    <tableColumn id="7" xr3:uid="{00000000-0010-0000-5402-000007000000}" name="FILE" dataDxfId="1538"/>
    <tableColumn id="8" xr3:uid="{00000000-0010-0000-5402-000008000000}" name="CLOUD" dataDxfId="1537"/>
    <tableColumn id="9" xr3:uid="{00000000-0010-0000-5402-000009000000}" name="NOTE" dataDxfId="1536"/>
    <tableColumn id="10" xr3:uid="{00000000-0010-0000-5402-00000A000000}" name="CHECK" dataDxfId="1535"/>
  </tableColumns>
  <tableStyleInfo name="CONT_2-style" showFirstColumn="1" showLastColumn="1"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8" xr:uid="{00000000-000C-0000-FFFF-FFFF55020000}" name="DESIGNER_ĐẠT" displayName="DESIGNER_ĐẠT" ref="A6:J7" headerRowDxfId="1534" dataDxfId="1533" totalsRowDxfId="1532">
  <tableColumns count="10">
    <tableColumn id="1" xr3:uid="{00000000-0010-0000-5502-000001000000}" name="CHANNEL" dataDxfId="1531"/>
    <tableColumn id="2" xr3:uid="{00000000-0010-0000-5502-000002000000}" name="TOPIC/  CAMPAIGN" dataDxfId="1530"/>
    <tableColumn id="3" xr3:uid="{00000000-0010-0000-5502-000003000000}" name="DESCRIPTION" dataDxfId="1529"/>
    <tableColumn id="4" xr3:uid="{00000000-0010-0000-5502-000004000000}" name="REQUEST" dataDxfId="1528"/>
    <tableColumn id="5" xr3:uid="{00000000-0010-0000-5502-000005000000}" name="STATUS" dataDxfId="1527"/>
    <tableColumn id="6" xr3:uid="{00000000-0010-0000-5502-000006000000}" name="DUE DATE" dataDxfId="1526"/>
    <tableColumn id="7" xr3:uid="{00000000-0010-0000-5502-000007000000}" name="FILE" dataDxfId="1525"/>
    <tableColumn id="8" xr3:uid="{00000000-0010-0000-5502-000008000000}" name="CLOUD" dataDxfId="1524"/>
    <tableColumn id="9" xr3:uid="{00000000-0010-0000-5502-000009000000}" name="NOTE" dataDxfId="1523"/>
    <tableColumn id="10" xr3:uid="{00000000-0010-0000-5502-00000A000000}" name="CHECK" dataDxfId="1522"/>
  </tableColumns>
  <tableStyleInfo name="DES-style" showFirstColumn="1" showLastColumn="1"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9" xr:uid="{00000000-000C-0000-FFFF-FFFF56020000}" name="EDIT_NHÂN" displayName="EDIT_NHÂN" ref="A6:J7" headerRowDxfId="1521" dataDxfId="1519" totalsRowDxfId="1518" headerRowBorderDxfId="1520">
  <tableColumns count="10">
    <tableColumn id="1" xr3:uid="{00000000-0010-0000-5602-000001000000}" name="CHANNEL" dataDxfId="1517"/>
    <tableColumn id="2" xr3:uid="{00000000-0010-0000-5602-000002000000}" name="TOPIC/ CAMPAIGN" dataDxfId="1516"/>
    <tableColumn id="3" xr3:uid="{00000000-0010-0000-5602-000003000000}" name="DESCRIPTION" dataDxfId="1515"/>
    <tableColumn id="4" xr3:uid="{00000000-0010-0000-5602-000004000000}" name="REQUEST" dataDxfId="1514"/>
    <tableColumn id="5" xr3:uid="{00000000-0010-0000-5602-000005000000}" name="STATUS" dataDxfId="1513"/>
    <tableColumn id="6" xr3:uid="{00000000-0010-0000-5602-000006000000}" name="DUE DATE" dataDxfId="1512"/>
    <tableColumn id="7" xr3:uid="{00000000-0010-0000-5602-000007000000}" name="FILE" dataDxfId="1511"/>
    <tableColumn id="8" xr3:uid="{00000000-0010-0000-5602-000008000000}" name="CLOUD" dataDxfId="1510"/>
    <tableColumn id="9" xr3:uid="{00000000-0010-0000-5602-000009000000}" name="NOTE" dataDxfId="1509"/>
    <tableColumn id="10" xr3:uid="{00000000-0010-0000-5602-00000A000000}" name="CHECK" dataDxfId="1508"/>
  </tableColumns>
  <tableStyleInfo name="EDIT-style" showFirstColumn="1" showLastColumn="1"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0" xr:uid="{00000000-000C-0000-FFFF-FFFF57020000}" name="AI_TIẾN" displayName="AI_TIẾN" ref="A6:J7" headerRowDxfId="1507" dataDxfId="1505" totalsRowDxfId="1504" headerRowBorderDxfId="1506">
  <tableColumns count="10">
    <tableColumn id="1" xr3:uid="{00000000-0010-0000-5702-000001000000}" name="CHANNEL" dataDxfId="1503"/>
    <tableColumn id="2" xr3:uid="{00000000-0010-0000-5702-000002000000}" name="TOPIC/  CAMPAIGN" dataDxfId="1502"/>
    <tableColumn id="3" xr3:uid="{00000000-0010-0000-5702-000003000000}" name="DESCRIPTION" dataDxfId="1501"/>
    <tableColumn id="4" xr3:uid="{00000000-0010-0000-5702-000004000000}" name="REQUEST" dataDxfId="1500"/>
    <tableColumn id="5" xr3:uid="{00000000-0010-0000-5702-000005000000}" name="STATUS" dataDxfId="1499"/>
    <tableColumn id="6" xr3:uid="{00000000-0010-0000-5702-000006000000}" name="DUE DATE" dataDxfId="1498"/>
    <tableColumn id="7" xr3:uid="{00000000-0010-0000-5702-000007000000}" name="FILE" dataDxfId="1497"/>
    <tableColumn id="8" xr3:uid="{00000000-0010-0000-5702-000008000000}" name="CLOUD" dataDxfId="1496"/>
    <tableColumn id="9" xr3:uid="{00000000-0010-0000-5702-000009000000}" name="NOTE" dataDxfId="1495"/>
    <tableColumn id="10" xr3:uid="{00000000-0010-0000-5702-00000A000000}" name="CHECK" dataDxfId="1494"/>
  </tableColumns>
  <tableStyleInfo name="AI-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29" Type="http://schemas.openxmlformats.org/officeDocument/2006/relationships/table" Target="../tables/table29.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s>
</file>

<file path=xl/worksheets/_rels/sheet6.xml.rels><?xml version="1.0" encoding="UTF-8" standalone="yes"?>
<Relationships xmlns="http://schemas.openxmlformats.org/package/2006/relationships"><Relationship Id="rId8" Type="http://schemas.openxmlformats.org/officeDocument/2006/relationships/table" Target="../tables/table37.xml"/><Relationship Id="rId13" Type="http://schemas.openxmlformats.org/officeDocument/2006/relationships/table" Target="../tables/table42.xml"/><Relationship Id="rId18" Type="http://schemas.openxmlformats.org/officeDocument/2006/relationships/table" Target="../tables/table47.xml"/><Relationship Id="rId26" Type="http://schemas.openxmlformats.org/officeDocument/2006/relationships/table" Target="../tables/table55.xml"/><Relationship Id="rId3" Type="http://schemas.openxmlformats.org/officeDocument/2006/relationships/table" Target="../tables/table32.xml"/><Relationship Id="rId21" Type="http://schemas.openxmlformats.org/officeDocument/2006/relationships/table" Target="../tables/table50.xml"/><Relationship Id="rId7" Type="http://schemas.openxmlformats.org/officeDocument/2006/relationships/table" Target="../tables/table36.xml"/><Relationship Id="rId12" Type="http://schemas.openxmlformats.org/officeDocument/2006/relationships/table" Target="../tables/table41.xml"/><Relationship Id="rId17" Type="http://schemas.openxmlformats.org/officeDocument/2006/relationships/table" Target="../tables/table46.xml"/><Relationship Id="rId25" Type="http://schemas.openxmlformats.org/officeDocument/2006/relationships/table" Target="../tables/table54.xml"/><Relationship Id="rId2" Type="http://schemas.openxmlformats.org/officeDocument/2006/relationships/table" Target="../tables/table31.xml"/><Relationship Id="rId16" Type="http://schemas.openxmlformats.org/officeDocument/2006/relationships/table" Target="../tables/table45.xml"/><Relationship Id="rId20" Type="http://schemas.openxmlformats.org/officeDocument/2006/relationships/table" Target="../tables/table49.xml"/><Relationship Id="rId29" Type="http://schemas.openxmlformats.org/officeDocument/2006/relationships/table" Target="../tables/table58.xml"/><Relationship Id="rId1" Type="http://schemas.openxmlformats.org/officeDocument/2006/relationships/table" Target="../tables/table30.xml"/><Relationship Id="rId6" Type="http://schemas.openxmlformats.org/officeDocument/2006/relationships/table" Target="../tables/table35.xml"/><Relationship Id="rId11" Type="http://schemas.openxmlformats.org/officeDocument/2006/relationships/table" Target="../tables/table40.xml"/><Relationship Id="rId24" Type="http://schemas.openxmlformats.org/officeDocument/2006/relationships/table" Target="../tables/table53.xml"/><Relationship Id="rId5" Type="http://schemas.openxmlformats.org/officeDocument/2006/relationships/table" Target="../tables/table34.xml"/><Relationship Id="rId15" Type="http://schemas.openxmlformats.org/officeDocument/2006/relationships/table" Target="../tables/table44.xml"/><Relationship Id="rId23" Type="http://schemas.openxmlformats.org/officeDocument/2006/relationships/table" Target="../tables/table52.xml"/><Relationship Id="rId28" Type="http://schemas.openxmlformats.org/officeDocument/2006/relationships/table" Target="../tables/table57.xml"/><Relationship Id="rId10" Type="http://schemas.openxmlformats.org/officeDocument/2006/relationships/table" Target="../tables/table39.xml"/><Relationship Id="rId19" Type="http://schemas.openxmlformats.org/officeDocument/2006/relationships/table" Target="../tables/table48.xml"/><Relationship Id="rId4" Type="http://schemas.openxmlformats.org/officeDocument/2006/relationships/table" Target="../tables/table33.xml"/><Relationship Id="rId9" Type="http://schemas.openxmlformats.org/officeDocument/2006/relationships/table" Target="../tables/table38.xml"/><Relationship Id="rId14" Type="http://schemas.openxmlformats.org/officeDocument/2006/relationships/table" Target="../tables/table43.xml"/><Relationship Id="rId22" Type="http://schemas.openxmlformats.org/officeDocument/2006/relationships/table" Target="../tables/table51.xml"/><Relationship Id="rId27" Type="http://schemas.openxmlformats.org/officeDocument/2006/relationships/table" Target="../tables/table56.xml"/></Relationships>
</file>

<file path=xl/worksheets/_rels/sheet7.xml.rels><?xml version="1.0" encoding="UTF-8" standalone="yes"?>
<Relationships xmlns="http://schemas.openxmlformats.org/package/2006/relationships"><Relationship Id="rId8" Type="http://schemas.openxmlformats.org/officeDocument/2006/relationships/table" Target="../tables/table66.xml"/><Relationship Id="rId13" Type="http://schemas.openxmlformats.org/officeDocument/2006/relationships/table" Target="../tables/table71.xml"/><Relationship Id="rId18" Type="http://schemas.openxmlformats.org/officeDocument/2006/relationships/table" Target="../tables/table76.xml"/><Relationship Id="rId26" Type="http://schemas.openxmlformats.org/officeDocument/2006/relationships/table" Target="../tables/table84.xml"/><Relationship Id="rId3" Type="http://schemas.openxmlformats.org/officeDocument/2006/relationships/table" Target="../tables/table61.xml"/><Relationship Id="rId21" Type="http://schemas.openxmlformats.org/officeDocument/2006/relationships/table" Target="../tables/table79.xml"/><Relationship Id="rId7" Type="http://schemas.openxmlformats.org/officeDocument/2006/relationships/table" Target="../tables/table65.xml"/><Relationship Id="rId12" Type="http://schemas.openxmlformats.org/officeDocument/2006/relationships/table" Target="../tables/table70.xml"/><Relationship Id="rId17" Type="http://schemas.openxmlformats.org/officeDocument/2006/relationships/table" Target="../tables/table75.xml"/><Relationship Id="rId25" Type="http://schemas.openxmlformats.org/officeDocument/2006/relationships/table" Target="../tables/table83.xml"/><Relationship Id="rId2" Type="http://schemas.openxmlformats.org/officeDocument/2006/relationships/table" Target="../tables/table60.xml"/><Relationship Id="rId16" Type="http://schemas.openxmlformats.org/officeDocument/2006/relationships/table" Target="../tables/table74.xml"/><Relationship Id="rId20" Type="http://schemas.openxmlformats.org/officeDocument/2006/relationships/table" Target="../tables/table78.xml"/><Relationship Id="rId29" Type="http://schemas.openxmlformats.org/officeDocument/2006/relationships/table" Target="../tables/table87.xml"/><Relationship Id="rId1" Type="http://schemas.openxmlformats.org/officeDocument/2006/relationships/table" Target="../tables/table59.xml"/><Relationship Id="rId6" Type="http://schemas.openxmlformats.org/officeDocument/2006/relationships/table" Target="../tables/table64.xml"/><Relationship Id="rId11" Type="http://schemas.openxmlformats.org/officeDocument/2006/relationships/table" Target="../tables/table69.xml"/><Relationship Id="rId24" Type="http://schemas.openxmlformats.org/officeDocument/2006/relationships/table" Target="../tables/table82.xml"/><Relationship Id="rId5" Type="http://schemas.openxmlformats.org/officeDocument/2006/relationships/table" Target="../tables/table63.xml"/><Relationship Id="rId15" Type="http://schemas.openxmlformats.org/officeDocument/2006/relationships/table" Target="../tables/table73.xml"/><Relationship Id="rId23" Type="http://schemas.openxmlformats.org/officeDocument/2006/relationships/table" Target="../tables/table81.xml"/><Relationship Id="rId28" Type="http://schemas.openxmlformats.org/officeDocument/2006/relationships/table" Target="../tables/table86.xml"/><Relationship Id="rId10" Type="http://schemas.openxmlformats.org/officeDocument/2006/relationships/table" Target="../tables/table68.xml"/><Relationship Id="rId19" Type="http://schemas.openxmlformats.org/officeDocument/2006/relationships/table" Target="../tables/table77.xml"/><Relationship Id="rId4" Type="http://schemas.openxmlformats.org/officeDocument/2006/relationships/table" Target="../tables/table62.xml"/><Relationship Id="rId9" Type="http://schemas.openxmlformats.org/officeDocument/2006/relationships/table" Target="../tables/table67.xml"/><Relationship Id="rId14" Type="http://schemas.openxmlformats.org/officeDocument/2006/relationships/table" Target="../tables/table72.xml"/><Relationship Id="rId22" Type="http://schemas.openxmlformats.org/officeDocument/2006/relationships/table" Target="../tables/table80.xml"/><Relationship Id="rId27" Type="http://schemas.openxmlformats.org/officeDocument/2006/relationships/table" Target="../tables/table85.xml"/></Relationships>
</file>

<file path=xl/worksheets/_rels/sheet8.xml.rels><?xml version="1.0" encoding="UTF-8" standalone="yes"?>
<Relationships xmlns="http://schemas.openxmlformats.org/package/2006/relationships"><Relationship Id="rId8" Type="http://schemas.openxmlformats.org/officeDocument/2006/relationships/table" Target="../tables/table95.xml"/><Relationship Id="rId13" Type="http://schemas.openxmlformats.org/officeDocument/2006/relationships/table" Target="../tables/table100.xml"/><Relationship Id="rId18" Type="http://schemas.openxmlformats.org/officeDocument/2006/relationships/table" Target="../tables/table105.xml"/><Relationship Id="rId26" Type="http://schemas.openxmlformats.org/officeDocument/2006/relationships/table" Target="../tables/table113.xml"/><Relationship Id="rId3" Type="http://schemas.openxmlformats.org/officeDocument/2006/relationships/table" Target="../tables/table90.xml"/><Relationship Id="rId21" Type="http://schemas.openxmlformats.org/officeDocument/2006/relationships/table" Target="../tables/table108.xml"/><Relationship Id="rId7" Type="http://schemas.openxmlformats.org/officeDocument/2006/relationships/table" Target="../tables/table94.xml"/><Relationship Id="rId12" Type="http://schemas.openxmlformats.org/officeDocument/2006/relationships/table" Target="../tables/table99.xml"/><Relationship Id="rId17" Type="http://schemas.openxmlformats.org/officeDocument/2006/relationships/table" Target="../tables/table104.xml"/><Relationship Id="rId25" Type="http://schemas.openxmlformats.org/officeDocument/2006/relationships/table" Target="../tables/table112.xml"/><Relationship Id="rId2" Type="http://schemas.openxmlformats.org/officeDocument/2006/relationships/table" Target="../tables/table89.xml"/><Relationship Id="rId16" Type="http://schemas.openxmlformats.org/officeDocument/2006/relationships/table" Target="../tables/table103.xml"/><Relationship Id="rId20" Type="http://schemas.openxmlformats.org/officeDocument/2006/relationships/table" Target="../tables/table107.xml"/><Relationship Id="rId29" Type="http://schemas.openxmlformats.org/officeDocument/2006/relationships/table" Target="../tables/table116.xml"/><Relationship Id="rId1" Type="http://schemas.openxmlformats.org/officeDocument/2006/relationships/table" Target="../tables/table88.xml"/><Relationship Id="rId6" Type="http://schemas.openxmlformats.org/officeDocument/2006/relationships/table" Target="../tables/table93.xml"/><Relationship Id="rId11" Type="http://schemas.openxmlformats.org/officeDocument/2006/relationships/table" Target="../tables/table98.xml"/><Relationship Id="rId24" Type="http://schemas.openxmlformats.org/officeDocument/2006/relationships/table" Target="../tables/table111.xml"/><Relationship Id="rId5" Type="http://schemas.openxmlformats.org/officeDocument/2006/relationships/table" Target="../tables/table92.xml"/><Relationship Id="rId15" Type="http://schemas.openxmlformats.org/officeDocument/2006/relationships/table" Target="../tables/table102.xml"/><Relationship Id="rId23" Type="http://schemas.openxmlformats.org/officeDocument/2006/relationships/table" Target="../tables/table110.xml"/><Relationship Id="rId28" Type="http://schemas.openxmlformats.org/officeDocument/2006/relationships/table" Target="../tables/table115.xml"/><Relationship Id="rId10" Type="http://schemas.openxmlformats.org/officeDocument/2006/relationships/table" Target="../tables/table97.xml"/><Relationship Id="rId19" Type="http://schemas.openxmlformats.org/officeDocument/2006/relationships/table" Target="../tables/table106.xml"/><Relationship Id="rId4" Type="http://schemas.openxmlformats.org/officeDocument/2006/relationships/table" Target="../tables/table91.xml"/><Relationship Id="rId9" Type="http://schemas.openxmlformats.org/officeDocument/2006/relationships/table" Target="../tables/table96.xml"/><Relationship Id="rId14" Type="http://schemas.openxmlformats.org/officeDocument/2006/relationships/table" Target="../tables/table101.xml"/><Relationship Id="rId22" Type="http://schemas.openxmlformats.org/officeDocument/2006/relationships/table" Target="../tables/table109.xml"/><Relationship Id="rId27" Type="http://schemas.openxmlformats.org/officeDocument/2006/relationships/table" Target="../tables/table11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1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1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ADB9CA"/>
    <pageSetUpPr fitToPage="1"/>
  </sheetPr>
  <dimension ref="A1:Z1003"/>
  <sheetViews>
    <sheetView showGridLines="0" tabSelected="1" zoomScaleNormal="100" workbookViewId="0">
      <pane xSplit="2" topLeftCell="C1" activePane="topRight" state="frozen"/>
      <selection pane="topRight" activeCell="F14" sqref="F14"/>
    </sheetView>
  </sheetViews>
  <sheetFormatPr baseColWidth="10" defaultColWidth="12.6640625" defaultRowHeight="20" customHeight="1" x14ac:dyDescent="0.15"/>
  <cols>
    <col min="1" max="1" width="5.83203125" style="13" customWidth="1"/>
    <col min="2" max="2" width="45.83203125" style="13" customWidth="1"/>
    <col min="3" max="3" width="32.33203125" style="13" customWidth="1"/>
    <col min="4" max="4" width="27.1640625" style="13" customWidth="1"/>
    <col min="5" max="5" width="25" style="13" customWidth="1"/>
    <col min="6" max="6" width="22.83203125" style="13" customWidth="1"/>
    <col min="7" max="7" width="35.83203125" style="13" customWidth="1"/>
    <col min="8" max="10" width="20.83203125" style="13" customWidth="1"/>
    <col min="11" max="11" width="35.83203125" style="13" customWidth="1"/>
    <col min="12" max="12" width="22.5" style="13" customWidth="1"/>
    <col min="13" max="14" width="20.83203125" style="13" customWidth="1"/>
    <col min="15" max="15" width="35.83203125" style="13" customWidth="1"/>
    <col min="16" max="18" width="20.83203125" style="13" customWidth="1"/>
    <col min="19" max="19" width="35.83203125" style="13" customWidth="1"/>
    <col min="20" max="22" width="20.83203125" style="13" customWidth="1"/>
    <col min="23" max="26" width="13.6640625" style="13" customWidth="1"/>
    <col min="27" max="16384" width="12.6640625" style="13"/>
  </cols>
  <sheetData>
    <row r="1" spans="1:26" ht="20" customHeight="1" x14ac:dyDescent="0.15">
      <c r="A1" s="8"/>
      <c r="B1" s="9"/>
      <c r="C1" s="9"/>
      <c r="D1" s="9"/>
      <c r="E1" s="10"/>
      <c r="F1" s="11"/>
      <c r="G1" s="10"/>
      <c r="H1" s="10"/>
      <c r="I1" s="10"/>
      <c r="J1" s="10"/>
      <c r="K1" s="10"/>
      <c r="L1" s="12"/>
      <c r="M1" s="10"/>
      <c r="N1" s="10"/>
      <c r="O1" s="10"/>
      <c r="P1" s="10"/>
      <c r="Q1" s="10"/>
      <c r="R1" s="10"/>
      <c r="S1" s="10"/>
      <c r="T1" s="10"/>
      <c r="U1" s="10"/>
      <c r="V1" s="10"/>
      <c r="W1" s="10"/>
      <c r="X1" s="10"/>
      <c r="Y1" s="10"/>
      <c r="Z1" s="10"/>
    </row>
    <row r="2" spans="1:26" ht="35" customHeight="1" x14ac:dyDescent="0.15">
      <c r="A2" s="8"/>
      <c r="B2" s="14"/>
      <c r="C2" s="14"/>
      <c r="D2" s="14"/>
      <c r="E2" s="14"/>
      <c r="F2" s="14" t="s">
        <v>33</v>
      </c>
      <c r="G2" s="14"/>
      <c r="H2" s="14"/>
      <c r="I2" s="14"/>
      <c r="J2" s="15"/>
      <c r="K2" s="15"/>
      <c r="L2" s="1324" t="s">
        <v>38</v>
      </c>
      <c r="M2" s="1311"/>
      <c r="N2" s="1311"/>
      <c r="O2" s="1311"/>
      <c r="P2" s="16"/>
      <c r="Q2" s="16"/>
      <c r="R2" s="16"/>
      <c r="S2" s="16"/>
      <c r="T2" s="15"/>
      <c r="U2" s="15"/>
      <c r="V2" s="15"/>
      <c r="W2" s="15"/>
      <c r="X2" s="15"/>
      <c r="Y2" s="15"/>
      <c r="Z2" s="15"/>
    </row>
    <row r="3" spans="1:26" ht="25" customHeight="1" x14ac:dyDescent="0.15">
      <c r="A3" s="8"/>
      <c r="B3" s="9"/>
      <c r="C3" s="17"/>
      <c r="D3" s="10"/>
      <c r="E3" s="10"/>
      <c r="F3" s="18"/>
      <c r="G3" s="19"/>
      <c r="H3" s="19"/>
      <c r="I3" s="19"/>
      <c r="J3" s="10"/>
      <c r="K3" s="19"/>
      <c r="L3" s="16"/>
      <c r="M3" s="16"/>
      <c r="N3" s="16"/>
      <c r="O3" s="16"/>
      <c r="P3" s="16"/>
      <c r="Q3" s="16"/>
      <c r="R3" s="16"/>
      <c r="S3" s="16"/>
      <c r="T3" s="19"/>
      <c r="U3" s="19"/>
      <c r="V3" s="19"/>
      <c r="W3" s="19"/>
      <c r="X3" s="19"/>
      <c r="Y3" s="19"/>
      <c r="Z3" s="19"/>
    </row>
    <row r="4" spans="1:26" ht="25" customHeight="1" thickBot="1" x14ac:dyDescent="0.2">
      <c r="A4" s="20"/>
      <c r="B4" s="9" t="s">
        <v>35</v>
      </c>
      <c r="C4" s="9"/>
      <c r="D4" s="9" t="s">
        <v>34</v>
      </c>
      <c r="E4" s="9"/>
      <c r="F4" s="9" t="s">
        <v>36</v>
      </c>
      <c r="G4" s="21"/>
      <c r="H4" s="22"/>
      <c r="I4" s="22"/>
      <c r="J4" s="23"/>
      <c r="K4" s="23"/>
      <c r="L4" s="24" t="s">
        <v>53</v>
      </c>
      <c r="M4" s="24">
        <f>SUM(M6:M14)</f>
        <v>20</v>
      </c>
      <c r="N4" s="24">
        <f>SUM(N6:N14)</f>
        <v>8</v>
      </c>
      <c r="O4" s="258">
        <f>N4/M4</f>
        <v>0.4</v>
      </c>
      <c r="P4" s="1325" t="s">
        <v>43</v>
      </c>
      <c r="Q4" s="1326"/>
      <c r="R4" s="1326"/>
      <c r="S4" s="1326"/>
      <c r="T4" s="23"/>
      <c r="U4" s="23"/>
      <c r="V4" s="23"/>
      <c r="W4" s="23"/>
      <c r="X4" s="23"/>
      <c r="Y4" s="23"/>
      <c r="Z4" s="23"/>
    </row>
    <row r="5" spans="1:26" ht="25" customHeight="1" thickBot="1" x14ac:dyDescent="0.2">
      <c r="A5" s="20"/>
      <c r="B5" s="247">
        <v>45748</v>
      </c>
      <c r="C5" s="25">
        <v>25</v>
      </c>
      <c r="D5" s="247">
        <v>45777</v>
      </c>
      <c r="E5" s="26"/>
      <c r="F5" s="1327"/>
      <c r="G5" s="1328"/>
      <c r="H5" s="1328"/>
      <c r="I5" s="1329"/>
      <c r="J5" s="23"/>
      <c r="K5" s="23"/>
      <c r="L5" s="475" t="s">
        <v>39</v>
      </c>
      <c r="M5" s="476" t="s">
        <v>40</v>
      </c>
      <c r="N5" s="477" t="s">
        <v>42</v>
      </c>
      <c r="O5" s="478" t="s">
        <v>41</v>
      </c>
      <c r="P5" s="643" t="s">
        <v>44</v>
      </c>
      <c r="Q5" s="644" t="s">
        <v>47</v>
      </c>
      <c r="R5" s="644" t="s">
        <v>46</v>
      </c>
      <c r="S5" s="645" t="s">
        <v>45</v>
      </c>
      <c r="T5" s="23"/>
      <c r="U5" s="23"/>
      <c r="V5" s="23"/>
      <c r="W5" s="23"/>
      <c r="X5" s="23"/>
      <c r="Y5" s="23"/>
      <c r="Z5" s="23"/>
    </row>
    <row r="6" spans="1:26" ht="25" customHeight="1" x14ac:dyDescent="0.15">
      <c r="A6" s="8"/>
      <c r="B6" s="22"/>
      <c r="C6" s="27">
        <f>NETWORKDAYS.INTL(B5,D5,11)</f>
        <v>26</v>
      </c>
      <c r="D6" s="22"/>
      <c r="E6" s="22"/>
      <c r="F6" s="22"/>
      <c r="G6" s="22"/>
      <c r="H6" s="22"/>
      <c r="I6" s="22"/>
      <c r="J6" s="22"/>
      <c r="K6" s="22"/>
      <c r="L6" s="503" t="s">
        <v>48</v>
      </c>
      <c r="M6" s="495">
        <v>1</v>
      </c>
      <c r="N6" s="497">
        <v>1</v>
      </c>
      <c r="O6" s="641">
        <f t="shared" ref="O6:O11" si="0">N6-M6</f>
        <v>0</v>
      </c>
      <c r="P6" s="639">
        <v>1</v>
      </c>
      <c r="Q6" s="647"/>
      <c r="R6" s="647"/>
      <c r="S6" s="648"/>
      <c r="T6" s="19"/>
      <c r="U6" s="19"/>
      <c r="V6" s="19"/>
      <c r="W6" s="19"/>
      <c r="X6" s="19"/>
      <c r="Y6" s="19"/>
      <c r="Z6" s="19"/>
    </row>
    <row r="7" spans="1:26" ht="25" customHeight="1" x14ac:dyDescent="0.15">
      <c r="A7" s="8"/>
      <c r="B7" s="248"/>
      <c r="C7" s="249"/>
      <c r="D7" s="249"/>
      <c r="E7" s="249"/>
      <c r="F7" s="1320" t="s">
        <v>37</v>
      </c>
      <c r="G7" s="1321"/>
      <c r="H7" s="249"/>
      <c r="I7" s="250"/>
      <c r="J7" s="10"/>
      <c r="L7" s="503" t="s">
        <v>49</v>
      </c>
      <c r="M7" s="495">
        <v>0</v>
      </c>
      <c r="N7" s="497">
        <v>0</v>
      </c>
      <c r="O7" s="641">
        <f t="shared" si="0"/>
        <v>0</v>
      </c>
      <c r="P7" s="499"/>
      <c r="Q7" s="646"/>
      <c r="R7" s="646"/>
      <c r="S7" s="649"/>
    </row>
    <row r="8" spans="1:26" ht="25" customHeight="1" x14ac:dyDescent="0.2">
      <c r="A8" s="28"/>
      <c r="C8" s="29"/>
      <c r="D8" s="29"/>
      <c r="E8" s="29"/>
      <c r="F8" s="30">
        <v>500000000</v>
      </c>
      <c r="G8" s="31"/>
      <c r="H8" s="31"/>
      <c r="I8" s="32"/>
      <c r="J8" s="33"/>
      <c r="K8" s="34"/>
      <c r="L8" s="503" t="s">
        <v>50</v>
      </c>
      <c r="M8" s="495">
        <v>1</v>
      </c>
      <c r="N8" s="497">
        <v>1</v>
      </c>
      <c r="O8" s="641">
        <f t="shared" si="0"/>
        <v>0</v>
      </c>
      <c r="P8" s="499">
        <v>1</v>
      </c>
      <c r="Q8" s="646"/>
      <c r="R8" s="646"/>
      <c r="S8" s="649"/>
      <c r="T8" s="34"/>
      <c r="U8" s="34"/>
      <c r="V8" s="34"/>
      <c r="W8" s="34"/>
      <c r="X8" s="34"/>
      <c r="Y8" s="34"/>
      <c r="Z8" s="34"/>
    </row>
    <row r="9" spans="1:26" ht="25" customHeight="1" x14ac:dyDescent="0.2">
      <c r="A9" s="35"/>
      <c r="B9" s="36"/>
      <c r="C9" s="36"/>
      <c r="D9" s="36"/>
      <c r="E9" s="36"/>
      <c r="F9" s="37"/>
      <c r="G9" s="37"/>
      <c r="H9" s="37"/>
      <c r="I9" s="37"/>
      <c r="J9" s="38"/>
      <c r="K9" s="38"/>
      <c r="L9" s="503" t="s">
        <v>51</v>
      </c>
      <c r="M9" s="495">
        <v>1</v>
      </c>
      <c r="N9" s="497">
        <v>1</v>
      </c>
      <c r="O9" s="641">
        <f t="shared" si="0"/>
        <v>0</v>
      </c>
      <c r="P9" s="499">
        <v>1</v>
      </c>
      <c r="Q9" s="646"/>
      <c r="R9" s="646"/>
      <c r="S9" s="649"/>
      <c r="T9" s="39"/>
      <c r="U9" s="39"/>
      <c r="V9" s="39"/>
      <c r="W9" s="39"/>
      <c r="X9" s="39"/>
      <c r="Y9" s="39"/>
      <c r="Z9" s="39"/>
    </row>
    <row r="10" spans="1:26" ht="25" customHeight="1" x14ac:dyDescent="0.15">
      <c r="A10" s="8"/>
      <c r="B10" s="40"/>
      <c r="C10" s="41"/>
      <c r="D10" s="41"/>
      <c r="E10" s="41"/>
      <c r="F10" s="1322" t="s">
        <v>58</v>
      </c>
      <c r="G10" s="1323"/>
      <c r="H10" s="42"/>
      <c r="I10" s="43"/>
      <c r="J10" s="44"/>
      <c r="L10" s="503" t="s">
        <v>54</v>
      </c>
      <c r="M10" s="495">
        <v>1</v>
      </c>
      <c r="N10" s="497">
        <v>0</v>
      </c>
      <c r="O10" s="641">
        <f t="shared" si="0"/>
        <v>-1</v>
      </c>
      <c r="P10" s="499"/>
      <c r="Q10" s="646"/>
      <c r="R10" s="646"/>
      <c r="S10" s="649"/>
    </row>
    <row r="11" spans="1:26" ht="25" customHeight="1" x14ac:dyDescent="0.2">
      <c r="A11" s="45"/>
      <c r="B11" s="46"/>
      <c r="C11" s="47"/>
      <c r="D11" s="47">
        <v>0.4</v>
      </c>
      <c r="E11" s="48"/>
      <c r="F11" s="49">
        <f>$D$11*F8</f>
        <v>200000000</v>
      </c>
      <c r="G11" s="49"/>
      <c r="H11" s="49"/>
      <c r="I11" s="50"/>
      <c r="J11" s="34"/>
      <c r="K11" s="34"/>
      <c r="L11" s="503" t="s">
        <v>55</v>
      </c>
      <c r="M11" s="495">
        <v>1</v>
      </c>
      <c r="N11" s="497">
        <v>1</v>
      </c>
      <c r="O11" s="641">
        <f t="shared" si="0"/>
        <v>0</v>
      </c>
      <c r="P11" s="499">
        <v>1</v>
      </c>
      <c r="Q11" s="646"/>
      <c r="R11" s="646"/>
      <c r="S11" s="649"/>
      <c r="T11" s="34"/>
      <c r="U11" s="34"/>
      <c r="V11" s="34"/>
      <c r="W11" s="34"/>
      <c r="X11" s="34"/>
      <c r="Y11" s="34"/>
      <c r="Z11" s="34"/>
    </row>
    <row r="12" spans="1:26" ht="25" customHeight="1" x14ac:dyDescent="0.15">
      <c r="A12" s="51"/>
      <c r="B12" s="52"/>
      <c r="C12" s="53"/>
      <c r="D12" s="19"/>
      <c r="E12" s="19"/>
      <c r="F12" s="18"/>
      <c r="G12" s="19"/>
      <c r="H12" s="19"/>
      <c r="I12" s="10"/>
      <c r="J12" s="10"/>
      <c r="K12" s="10"/>
      <c r="L12" s="503" t="s">
        <v>99</v>
      </c>
      <c r="M12" s="495">
        <v>1</v>
      </c>
      <c r="N12" s="497">
        <v>0</v>
      </c>
      <c r="O12" s="641">
        <f t="shared" ref="O12:O14" si="1">N12-M12</f>
        <v>-1</v>
      </c>
      <c r="P12" s="499"/>
      <c r="Q12" s="646"/>
      <c r="R12" s="646"/>
      <c r="S12" s="649"/>
    </row>
    <row r="13" spans="1:26" s="272" customFormat="1" ht="25" customHeight="1" x14ac:dyDescent="0.15">
      <c r="A13" s="51"/>
      <c r="B13" s="52"/>
      <c r="C13" s="53"/>
      <c r="D13" s="19"/>
      <c r="E13" s="19"/>
      <c r="F13" s="18"/>
      <c r="G13" s="19"/>
      <c r="H13" s="19"/>
      <c r="I13" s="10"/>
      <c r="J13" s="10"/>
      <c r="K13" s="10"/>
      <c r="L13" s="503" t="s">
        <v>86</v>
      </c>
      <c r="M13" s="495">
        <v>4</v>
      </c>
      <c r="N13" s="497">
        <v>4</v>
      </c>
      <c r="O13" s="641">
        <f t="shared" si="1"/>
        <v>0</v>
      </c>
      <c r="P13" s="499">
        <v>0.35</v>
      </c>
      <c r="Q13" s="646">
        <v>0.3</v>
      </c>
      <c r="R13" s="646">
        <v>0.25</v>
      </c>
      <c r="S13" s="649">
        <v>0.2</v>
      </c>
    </row>
    <row r="14" spans="1:26" ht="25" customHeight="1" thickBot="1" x14ac:dyDescent="0.2">
      <c r="A14" s="251" t="s">
        <v>1</v>
      </c>
      <c r="B14" s="252" t="s">
        <v>56</v>
      </c>
      <c r="C14" s="53"/>
      <c r="D14" s="19"/>
      <c r="E14" s="19"/>
      <c r="F14" s="18"/>
      <c r="G14" s="19"/>
      <c r="H14" s="19"/>
      <c r="I14" s="10"/>
      <c r="J14" s="10"/>
      <c r="K14" s="10"/>
      <c r="L14" s="504" t="s">
        <v>100</v>
      </c>
      <c r="M14" s="496">
        <v>10</v>
      </c>
      <c r="N14" s="498">
        <v>0</v>
      </c>
      <c r="O14" s="642">
        <f t="shared" si="1"/>
        <v>-10</v>
      </c>
      <c r="P14" s="640"/>
      <c r="Q14" s="650"/>
      <c r="R14" s="650"/>
      <c r="S14" s="651"/>
    </row>
    <row r="15" spans="1:26" ht="25" customHeight="1" x14ac:dyDescent="0.2">
      <c r="A15" s="35"/>
      <c r="B15" s="252" t="s">
        <v>169</v>
      </c>
      <c r="C15" s="456" t="s">
        <v>43</v>
      </c>
      <c r="D15" s="449" t="s">
        <v>56</v>
      </c>
      <c r="E15" s="451"/>
      <c r="F15" s="451"/>
      <c r="G15" s="39"/>
      <c r="H15" s="39"/>
      <c r="I15" s="38"/>
      <c r="J15" s="38"/>
      <c r="K15" s="38"/>
      <c r="L15" s="38"/>
      <c r="M15" s="39"/>
      <c r="N15" s="39"/>
      <c r="O15" s="39"/>
      <c r="P15" s="39"/>
      <c r="Q15" s="39"/>
      <c r="R15" s="39"/>
      <c r="S15" s="39"/>
      <c r="T15" s="39"/>
      <c r="U15" s="39"/>
      <c r="V15" s="39"/>
      <c r="W15" s="39"/>
      <c r="X15" s="39"/>
      <c r="Y15" s="39"/>
      <c r="Z15" s="39"/>
    </row>
    <row r="16" spans="1:26" ht="25" customHeight="1" x14ac:dyDescent="0.15">
      <c r="A16" s="8"/>
      <c r="B16" s="280" t="s">
        <v>81</v>
      </c>
      <c r="C16" s="1440">
        <f>SUM(C17:C24)</f>
        <v>0.85000000000000009</v>
      </c>
      <c r="D16" s="1441">
        <f>SUM(D17:D24)</f>
        <v>170000000</v>
      </c>
      <c r="E16" s="452"/>
      <c r="F16" s="453"/>
      <c r="I16" s="10"/>
      <c r="J16" s="10"/>
      <c r="K16" s="10"/>
      <c r="L16" s="10"/>
    </row>
    <row r="17" spans="1:12" ht="20" customHeight="1" x14ac:dyDescent="0.15">
      <c r="A17" s="8"/>
      <c r="B17" s="276" t="s">
        <v>2</v>
      </c>
      <c r="C17" s="457">
        <v>0.05</v>
      </c>
      <c r="D17" s="409">
        <f>$F$11*C17</f>
        <v>10000000</v>
      </c>
      <c r="E17" s="454"/>
      <c r="F17" s="455"/>
      <c r="H17" s="1216"/>
      <c r="I17" s="1218"/>
      <c r="J17" s="10"/>
      <c r="K17" s="10"/>
      <c r="L17" s="10"/>
    </row>
    <row r="18" spans="1:12" ht="20" customHeight="1" x14ac:dyDescent="0.15">
      <c r="A18" s="8"/>
      <c r="B18" s="276" t="s">
        <v>3</v>
      </c>
      <c r="C18" s="457">
        <v>0.3</v>
      </c>
      <c r="D18" s="409">
        <f>$F$11*C18</f>
        <v>60000000</v>
      </c>
      <c r="E18" s="55"/>
      <c r="F18" s="56"/>
      <c r="H18" s="1217"/>
      <c r="I18" s="17"/>
      <c r="J18" s="10"/>
      <c r="K18" s="10"/>
      <c r="L18" s="10"/>
    </row>
    <row r="19" spans="1:12" ht="20" customHeight="1" x14ac:dyDescent="0.15">
      <c r="A19" s="8"/>
      <c r="B19" s="276" t="s">
        <v>4</v>
      </c>
      <c r="C19" s="457">
        <v>0.05</v>
      </c>
      <c r="D19" s="409">
        <f>$F$11*C19</f>
        <v>10000000</v>
      </c>
      <c r="E19" s="55"/>
      <c r="F19" s="56"/>
      <c r="I19" s="10"/>
      <c r="J19" s="10"/>
      <c r="K19" s="10"/>
      <c r="L19" s="10"/>
    </row>
    <row r="20" spans="1:12" ht="20" customHeight="1" x14ac:dyDescent="0.15">
      <c r="A20" s="8"/>
      <c r="B20" s="276" t="s">
        <v>180</v>
      </c>
      <c r="C20" s="457">
        <v>0.1</v>
      </c>
      <c r="D20" s="409">
        <f>$F$11*C20</f>
        <v>20000000</v>
      </c>
      <c r="E20" s="55"/>
      <c r="F20" s="56"/>
      <c r="I20" s="10"/>
      <c r="J20" s="9"/>
      <c r="K20" s="10"/>
      <c r="L20" s="10"/>
    </row>
    <row r="21" spans="1:12" ht="20" customHeight="1" x14ac:dyDescent="0.15">
      <c r="A21" s="8"/>
      <c r="B21" s="276" t="s">
        <v>181</v>
      </c>
      <c r="C21" s="458">
        <v>0.05</v>
      </c>
      <c r="D21" s="409">
        <f>$F$11*C21</f>
        <v>10000000</v>
      </c>
      <c r="E21" s="55"/>
      <c r="F21" s="56"/>
      <c r="I21" s="10"/>
      <c r="J21" s="10"/>
      <c r="K21" s="10"/>
      <c r="L21" s="10"/>
    </row>
    <row r="22" spans="1:12" ht="20" customHeight="1" x14ac:dyDescent="0.15">
      <c r="A22" s="8"/>
      <c r="B22" s="277" t="s">
        <v>60</v>
      </c>
      <c r="C22" s="457">
        <v>0.2</v>
      </c>
      <c r="D22" s="409">
        <f>$F$11*C22</f>
        <v>40000000</v>
      </c>
      <c r="E22" s="55"/>
      <c r="F22" s="56"/>
      <c r="I22" s="10"/>
      <c r="J22" s="10"/>
      <c r="K22" s="10"/>
      <c r="L22" s="10"/>
    </row>
    <row r="23" spans="1:12" ht="20" customHeight="1" x14ac:dyDescent="0.15">
      <c r="A23" s="8"/>
      <c r="B23" s="277" t="s">
        <v>8</v>
      </c>
      <c r="C23" s="457">
        <v>0.05</v>
      </c>
      <c r="D23" s="409">
        <f>$F$11*C23</f>
        <v>10000000</v>
      </c>
      <c r="E23" s="55"/>
      <c r="F23" s="56"/>
      <c r="I23" s="10"/>
      <c r="J23" s="10"/>
      <c r="L23" s="10"/>
    </row>
    <row r="24" spans="1:12" ht="20" customHeight="1" thickBot="1" x14ac:dyDescent="0.2">
      <c r="A24" s="8"/>
      <c r="B24" s="277" t="s">
        <v>7</v>
      </c>
      <c r="C24" s="459">
        <v>0.05</v>
      </c>
      <c r="D24" s="447">
        <f>$F$11*C24</f>
        <v>10000000</v>
      </c>
      <c r="E24" s="55"/>
      <c r="F24" s="56"/>
      <c r="I24" s="10"/>
      <c r="J24" s="10"/>
      <c r="K24" s="10"/>
      <c r="L24" s="10"/>
    </row>
    <row r="25" spans="1:12" ht="20" customHeight="1" thickBot="1" x14ac:dyDescent="0.2">
      <c r="A25" s="8"/>
      <c r="B25" s="23"/>
      <c r="C25" s="446"/>
      <c r="D25" s="413"/>
      <c r="E25" s="413"/>
      <c r="F25" s="413"/>
      <c r="G25" s="413"/>
      <c r="H25" s="413"/>
      <c r="I25" s="422"/>
      <c r="J25" s="422"/>
      <c r="K25" s="423"/>
      <c r="L25" s="10"/>
    </row>
    <row r="26" spans="1:12" ht="25" customHeight="1" thickBot="1" x14ac:dyDescent="0.2">
      <c r="A26" s="251" t="s">
        <v>9</v>
      </c>
      <c r="B26" s="252" t="s">
        <v>57</v>
      </c>
      <c r="C26" s="463"/>
      <c r="D26" s="464"/>
      <c r="E26" s="1307" t="s">
        <v>11</v>
      </c>
      <c r="F26" s="1315"/>
      <c r="G26" s="1316"/>
      <c r="H26" s="1307" t="s">
        <v>10</v>
      </c>
      <c r="I26" s="1317"/>
      <c r="J26" s="1317"/>
      <c r="K26" s="1316"/>
    </row>
    <row r="27" spans="1:12" ht="25" customHeight="1" x14ac:dyDescent="0.15">
      <c r="A27" s="1412">
        <v>45293</v>
      </c>
      <c r="B27" s="450" t="s">
        <v>169</v>
      </c>
      <c r="C27" s="466" t="s">
        <v>43</v>
      </c>
      <c r="D27" s="465" t="s">
        <v>57</v>
      </c>
      <c r="E27" s="431" t="s">
        <v>59</v>
      </c>
      <c r="F27" s="434" t="s">
        <v>62</v>
      </c>
      <c r="G27" s="435" t="s">
        <v>145</v>
      </c>
      <c r="H27" s="432" t="s">
        <v>59</v>
      </c>
      <c r="I27" s="436" t="s">
        <v>61</v>
      </c>
      <c r="J27" s="436" t="s">
        <v>77</v>
      </c>
      <c r="K27" s="437" t="s">
        <v>72</v>
      </c>
    </row>
    <row r="28" spans="1:12" ht="25" customHeight="1" x14ac:dyDescent="0.15">
      <c r="A28" s="8"/>
      <c r="B28" s="279" t="s">
        <v>81</v>
      </c>
      <c r="C28" s="460">
        <f t="shared" ref="C28" si="2">SUM(C29:C34)</f>
        <v>0.99999999999999989</v>
      </c>
      <c r="D28" s="604">
        <f>SUM(D29:D34)</f>
        <v>500000000</v>
      </c>
      <c r="E28" s="522">
        <f>COUNTIF(E29:E34,"TRUE")</f>
        <v>6</v>
      </c>
      <c r="F28" s="322">
        <f>SUM(F29:F34)</f>
        <v>1680</v>
      </c>
      <c r="G28" s="401">
        <f>SUM(G29:G34)</f>
        <v>67.2</v>
      </c>
      <c r="H28" s="315">
        <f>COUNTIF(H29:H34,"TRUE")</f>
        <v>6</v>
      </c>
      <c r="I28" s="603">
        <f>SUM(I29:I34)</f>
        <v>500000000</v>
      </c>
      <c r="J28" s="603">
        <f>SUM(J29:J34)</f>
        <v>20000000</v>
      </c>
      <c r="K28" s="404">
        <f>SUM(K29:K34)/6</f>
        <v>0.45833333333333331</v>
      </c>
    </row>
    <row r="29" spans="1:12" ht="20" customHeight="1" x14ac:dyDescent="0.15">
      <c r="A29" s="8"/>
      <c r="B29" s="278" t="s">
        <v>2</v>
      </c>
      <c r="C29" s="461">
        <v>0.1</v>
      </c>
      <c r="D29" s="429">
        <f>$F$8*$C29</f>
        <v>50000000</v>
      </c>
      <c r="E29" s="523" t="b">
        <v>1</v>
      </c>
      <c r="F29" s="323">
        <f>ROUNDUP((I29/$C$37)/K29,0)</f>
        <v>313</v>
      </c>
      <c r="G29" s="611">
        <f>F29/$C$5</f>
        <v>12.52</v>
      </c>
      <c r="H29" s="316" t="b">
        <v>1</v>
      </c>
      <c r="I29" s="294">
        <f>$F$8*$C29</f>
        <v>50000000</v>
      </c>
      <c r="J29" s="295">
        <f>I29/$C$5</f>
        <v>2000000</v>
      </c>
      <c r="K29" s="405">
        <v>0.2</v>
      </c>
    </row>
    <row r="30" spans="1:12" ht="20" customHeight="1" x14ac:dyDescent="0.15">
      <c r="A30" s="8"/>
      <c r="B30" s="278" t="s">
        <v>3</v>
      </c>
      <c r="C30" s="461">
        <v>0.5</v>
      </c>
      <c r="D30" s="429">
        <f>$F$8*$C30</f>
        <v>250000000</v>
      </c>
      <c r="E30" s="523" t="b">
        <v>1</v>
      </c>
      <c r="F30" s="323">
        <f>ROUNDUP((I30/$C$37)/K30,0)</f>
        <v>348</v>
      </c>
      <c r="G30" s="611">
        <f t="shared" ref="G30:G32" si="3">F30/$C$5</f>
        <v>13.92</v>
      </c>
      <c r="H30" s="316" t="b">
        <v>1</v>
      </c>
      <c r="I30" s="294">
        <f t="shared" ref="I30" si="4">$F$8*$C30</f>
        <v>250000000</v>
      </c>
      <c r="J30" s="295">
        <f t="shared" ref="J30" si="5">I30/$C$5</f>
        <v>10000000</v>
      </c>
      <c r="K30" s="405">
        <v>0.9</v>
      </c>
    </row>
    <row r="31" spans="1:12" ht="20" customHeight="1" x14ac:dyDescent="0.15">
      <c r="A31" s="8"/>
      <c r="B31" s="278" t="s">
        <v>4</v>
      </c>
      <c r="C31" s="461">
        <v>0.1</v>
      </c>
      <c r="D31" s="429">
        <f>$F$8*$C31</f>
        <v>50000000</v>
      </c>
      <c r="E31" s="523" t="b">
        <v>1</v>
      </c>
      <c r="F31" s="323">
        <f t="shared" ref="F31:F34" si="6">ROUNDUP((I31/$C$37)/K31,0)</f>
        <v>125</v>
      </c>
      <c r="G31" s="611">
        <f t="shared" si="3"/>
        <v>5</v>
      </c>
      <c r="H31" s="316" t="b">
        <v>1</v>
      </c>
      <c r="I31" s="294">
        <f>$F$8*$C31</f>
        <v>50000000</v>
      </c>
      <c r="J31" s="295">
        <f>I31/$C$5</f>
        <v>2000000</v>
      </c>
      <c r="K31" s="405">
        <v>0.5</v>
      </c>
    </row>
    <row r="32" spans="1:12" ht="20" customHeight="1" x14ac:dyDescent="0.15">
      <c r="A32" s="8"/>
      <c r="B32" s="278" t="s">
        <v>180</v>
      </c>
      <c r="C32" s="461">
        <v>0.1</v>
      </c>
      <c r="D32" s="429">
        <f t="shared" ref="D32:D34" si="7">$F$8*$C32</f>
        <v>50000000</v>
      </c>
      <c r="E32" s="523" t="b">
        <v>1</v>
      </c>
      <c r="F32" s="323">
        <f t="shared" si="6"/>
        <v>90</v>
      </c>
      <c r="G32" s="611">
        <f t="shared" si="3"/>
        <v>3.6</v>
      </c>
      <c r="H32" s="316" t="b">
        <v>1</v>
      </c>
      <c r="I32" s="294">
        <f>$F$8*$C32</f>
        <v>50000000</v>
      </c>
      <c r="J32" s="295">
        <f t="shared" ref="J32:J33" si="8">I32/$C$5</f>
        <v>2000000</v>
      </c>
      <c r="K32" s="405">
        <v>0.7</v>
      </c>
    </row>
    <row r="33" spans="1:26" ht="20" customHeight="1" x14ac:dyDescent="0.15">
      <c r="A33" s="8"/>
      <c r="B33" s="278" t="s">
        <v>181</v>
      </c>
      <c r="C33" s="461">
        <v>0.1</v>
      </c>
      <c r="D33" s="429">
        <f t="shared" si="7"/>
        <v>50000000</v>
      </c>
      <c r="E33" s="523" t="b">
        <v>1</v>
      </c>
      <c r="F33" s="323">
        <f t="shared" si="6"/>
        <v>179</v>
      </c>
      <c r="G33" s="611">
        <f>F33/$C$5</f>
        <v>7.16</v>
      </c>
      <c r="H33" s="316" t="b">
        <v>1</v>
      </c>
      <c r="I33" s="294">
        <f t="shared" ref="I33" si="9">$F$8*$C33</f>
        <v>50000000</v>
      </c>
      <c r="J33" s="295">
        <f t="shared" si="8"/>
        <v>2000000</v>
      </c>
      <c r="K33" s="405">
        <v>0.35</v>
      </c>
    </row>
    <row r="34" spans="1:26" ht="20" customHeight="1" thickBot="1" x14ac:dyDescent="0.2">
      <c r="A34" s="8"/>
      <c r="B34" s="278" t="s">
        <v>60</v>
      </c>
      <c r="C34" s="462">
        <v>0.1</v>
      </c>
      <c r="D34" s="430">
        <f t="shared" si="7"/>
        <v>50000000</v>
      </c>
      <c r="E34" s="424" t="b">
        <v>1</v>
      </c>
      <c r="F34" s="428">
        <f t="shared" si="6"/>
        <v>625</v>
      </c>
      <c r="G34" s="612">
        <f>F34/$C$5</f>
        <v>25</v>
      </c>
      <c r="H34" s="424" t="b">
        <v>1</v>
      </c>
      <c r="I34" s="425">
        <f>$F$8*$C34</f>
        <v>50000000</v>
      </c>
      <c r="J34" s="426">
        <f>I34/$C$5</f>
        <v>2000000</v>
      </c>
      <c r="K34" s="427">
        <v>0.1</v>
      </c>
    </row>
    <row r="35" spans="1:26" ht="20" customHeight="1" thickBot="1" x14ac:dyDescent="0.2">
      <c r="A35" s="57"/>
      <c r="H35" s="66" t="s">
        <v>63</v>
      </c>
      <c r="I35" s="444">
        <f>J35*$C$5</f>
        <v>624.60961898813241</v>
      </c>
      <c r="J35" s="1215">
        <f>(((I34/$C$37)/$C$5)/K34)</f>
        <v>24.984384759525295</v>
      </c>
      <c r="K35" s="77">
        <f>J35*K34</f>
        <v>2.4984384759525295</v>
      </c>
      <c r="L35" s="1318"/>
      <c r="M35" s="1319"/>
      <c r="N35" s="1319"/>
      <c r="O35" s="1319"/>
      <c r="P35" s="1319"/>
      <c r="Q35" s="1319"/>
      <c r="R35" s="1319"/>
    </row>
    <row r="36" spans="1:26" ht="20" customHeight="1" thickBot="1" x14ac:dyDescent="0.2">
      <c r="A36" s="57"/>
      <c r="C36" s="652" t="s">
        <v>12</v>
      </c>
      <c r="D36" s="413"/>
      <c r="E36" s="413"/>
      <c r="F36" s="413"/>
      <c r="G36" s="413"/>
      <c r="H36" s="414"/>
      <c r="I36" s="415"/>
      <c r="K36" s="416"/>
      <c r="L36" s="58"/>
    </row>
    <row r="37" spans="1:26" ht="20" customHeight="1" thickBot="1" x14ac:dyDescent="0.2">
      <c r="A37" s="8"/>
      <c r="C37" s="653">
        <f>$E$39</f>
        <v>800500</v>
      </c>
      <c r="D37" s="654" t="s">
        <v>163</v>
      </c>
      <c r="E37" s="1307" t="s">
        <v>64</v>
      </c>
      <c r="F37" s="1308"/>
      <c r="G37" s="1309"/>
      <c r="H37" s="1307" t="s">
        <v>65</v>
      </c>
      <c r="I37" s="1308"/>
      <c r="J37" s="1308"/>
      <c r="K37" s="1309"/>
      <c r="L37" s="59"/>
    </row>
    <row r="38" spans="1:26" ht="25" customHeight="1" x14ac:dyDescent="0.15">
      <c r="A38" s="1412">
        <v>45324</v>
      </c>
      <c r="B38" s="450" t="s">
        <v>70</v>
      </c>
      <c r="C38" s="467" t="s">
        <v>43</v>
      </c>
      <c r="D38" s="438" t="s">
        <v>57</v>
      </c>
      <c r="E38" s="439" t="s">
        <v>66</v>
      </c>
      <c r="F38" s="440" t="s">
        <v>67</v>
      </c>
      <c r="G38" s="441" t="s">
        <v>68</v>
      </c>
      <c r="H38" s="442" t="s">
        <v>69</v>
      </c>
      <c r="I38" s="410" t="s">
        <v>67</v>
      </c>
      <c r="J38" s="443" t="s">
        <v>68</v>
      </c>
      <c r="K38" s="406" t="s">
        <v>71</v>
      </c>
      <c r="L38" s="10"/>
      <c r="M38" s="10"/>
      <c r="N38" s="10"/>
      <c r="O38" s="10"/>
      <c r="P38" s="10"/>
      <c r="Q38" s="10"/>
      <c r="R38" s="10"/>
      <c r="S38" s="10"/>
      <c r="T38" s="10"/>
      <c r="U38" s="10"/>
      <c r="V38" s="10"/>
      <c r="W38" s="10"/>
      <c r="X38" s="10"/>
      <c r="Y38" s="10"/>
      <c r="Z38" s="10"/>
    </row>
    <row r="39" spans="1:26" ht="25" customHeight="1" x14ac:dyDescent="0.15">
      <c r="A39" s="253"/>
      <c r="B39" s="279" t="s">
        <v>81</v>
      </c>
      <c r="C39" s="460">
        <f>SUM(C40:C47)</f>
        <v>0.99999999999999989</v>
      </c>
      <c r="D39" s="407">
        <f>SUM(D40:D47)</f>
        <v>500000000</v>
      </c>
      <c r="E39" s="411">
        <f>(SUM(E40:E47))/8</f>
        <v>800500</v>
      </c>
      <c r="F39" s="254">
        <f>SUM(F40:F47)</f>
        <v>571</v>
      </c>
      <c r="G39" s="402">
        <f>SUM(G40:G47)</f>
        <v>26</v>
      </c>
      <c r="H39" s="280"/>
      <c r="I39" s="254">
        <f>SUM(I40:I47)</f>
        <v>505</v>
      </c>
      <c r="J39" s="254">
        <f t="shared" ref="J39" si="10">SUM(J40:J47)</f>
        <v>23</v>
      </c>
      <c r="K39" s="407">
        <f>SUM(K40:K47)</f>
        <v>20000000</v>
      </c>
      <c r="L39" s="10"/>
      <c r="M39" s="10"/>
      <c r="N39" s="10"/>
      <c r="O39" s="10"/>
      <c r="P39" s="10"/>
      <c r="Q39" s="10"/>
      <c r="R39" s="10"/>
      <c r="S39" s="10"/>
      <c r="T39" s="10"/>
      <c r="U39" s="10"/>
      <c r="V39" s="10"/>
      <c r="W39" s="10"/>
      <c r="X39" s="10"/>
      <c r="Y39" s="10"/>
      <c r="Z39" s="10"/>
    </row>
    <row r="40" spans="1:26" ht="20" customHeight="1" x14ac:dyDescent="0.15">
      <c r="A40" s="8"/>
      <c r="B40" s="1472" t="s">
        <v>226</v>
      </c>
      <c r="C40" s="461">
        <v>0.35</v>
      </c>
      <c r="D40" s="408">
        <f>$I$28*$C40</f>
        <v>175000000</v>
      </c>
      <c r="E40" s="412">
        <v>945000</v>
      </c>
      <c r="F40" s="314">
        <f>ROUNDUP(D40/E40,0)</f>
        <v>186</v>
      </c>
      <c r="G40" s="403">
        <f>ROUNDUP(F40/$C$5,0)</f>
        <v>8</v>
      </c>
      <c r="H40" s="324">
        <v>1000000</v>
      </c>
      <c r="I40" s="314">
        <f>ROUNDUP(D40/H40,0)</f>
        <v>175</v>
      </c>
      <c r="J40" s="314">
        <f t="shared" ref="J40:J47" si="11">ROUNDUP(I40/$C$5,0)</f>
        <v>7</v>
      </c>
      <c r="K40" s="408">
        <f>D40/$C$5</f>
        <v>7000000</v>
      </c>
      <c r="L40" s="10"/>
      <c r="M40" s="10"/>
      <c r="N40" s="10"/>
      <c r="O40" s="10"/>
      <c r="P40" s="10"/>
      <c r="Q40" s="10"/>
      <c r="R40" s="10"/>
      <c r="S40" s="10"/>
      <c r="T40" s="10"/>
      <c r="U40" s="10"/>
      <c r="V40" s="10"/>
      <c r="W40" s="10"/>
      <c r="X40" s="10"/>
      <c r="Y40" s="10"/>
      <c r="Z40" s="10"/>
    </row>
    <row r="41" spans="1:26" ht="20" customHeight="1" x14ac:dyDescent="0.15">
      <c r="A41" s="8"/>
      <c r="B41" s="1472" t="s">
        <v>227</v>
      </c>
      <c r="C41" s="461">
        <v>0.3</v>
      </c>
      <c r="D41" s="408">
        <f>$I$28*$C41</f>
        <v>150000000</v>
      </c>
      <c r="E41" s="412">
        <v>1260000</v>
      </c>
      <c r="F41" s="314">
        <f t="shared" ref="F41:F43" si="12">ROUNDUP(D41/E41,0)</f>
        <v>120</v>
      </c>
      <c r="G41" s="403">
        <f t="shared" ref="G41:G47" si="13">ROUNDUP(F41/$C$5,0)</f>
        <v>5</v>
      </c>
      <c r="H41" s="324">
        <v>990000</v>
      </c>
      <c r="I41" s="314">
        <f t="shared" ref="I41:I47" si="14">ROUNDUP(D41/H41,0)</f>
        <v>152</v>
      </c>
      <c r="J41" s="314">
        <f t="shared" si="11"/>
        <v>7</v>
      </c>
      <c r="K41" s="408">
        <f t="shared" ref="K41:K47" si="15">D41/$C$5</f>
        <v>6000000</v>
      </c>
      <c r="L41" s="10"/>
      <c r="M41" s="10"/>
      <c r="N41" s="10"/>
      <c r="O41" s="10"/>
      <c r="P41" s="10"/>
      <c r="Q41" s="10"/>
      <c r="R41" s="10"/>
      <c r="S41" s="10"/>
      <c r="T41" s="10"/>
      <c r="U41" s="10"/>
      <c r="V41" s="10"/>
      <c r="W41" s="10"/>
      <c r="X41" s="10"/>
      <c r="Y41" s="10"/>
      <c r="Z41" s="10"/>
    </row>
    <row r="42" spans="1:26" ht="20" customHeight="1" x14ac:dyDescent="0.15">
      <c r="A42" s="8"/>
      <c r="B42" s="1472" t="s">
        <v>228</v>
      </c>
      <c r="C42" s="461">
        <v>0.1</v>
      </c>
      <c r="D42" s="408">
        <f>$I$28*$C42</f>
        <v>50000000</v>
      </c>
      <c r="E42" s="412">
        <v>586000</v>
      </c>
      <c r="F42" s="314">
        <f t="shared" si="12"/>
        <v>86</v>
      </c>
      <c r="G42" s="403">
        <f t="shared" si="13"/>
        <v>4</v>
      </c>
      <c r="H42" s="324">
        <v>1000000</v>
      </c>
      <c r="I42" s="314">
        <f t="shared" si="14"/>
        <v>50</v>
      </c>
      <c r="J42" s="314">
        <f t="shared" si="11"/>
        <v>2</v>
      </c>
      <c r="K42" s="408">
        <f t="shared" si="15"/>
        <v>2000000</v>
      </c>
      <c r="L42" s="10"/>
      <c r="M42" s="10"/>
      <c r="N42" s="10"/>
      <c r="O42" s="10"/>
      <c r="P42" s="10"/>
      <c r="Q42" s="10"/>
      <c r="R42" s="10"/>
      <c r="S42" s="10"/>
      <c r="T42" s="10"/>
      <c r="U42" s="10"/>
      <c r="V42" s="10"/>
      <c r="W42" s="10"/>
      <c r="X42" s="10"/>
      <c r="Y42" s="10"/>
      <c r="Z42" s="10"/>
    </row>
    <row r="43" spans="1:26" ht="20" customHeight="1" x14ac:dyDescent="0.15">
      <c r="A43" s="8"/>
      <c r="B43" s="1472" t="s">
        <v>229</v>
      </c>
      <c r="C43" s="461">
        <v>0.08</v>
      </c>
      <c r="D43" s="408">
        <f>$I$28*$C43</f>
        <v>40000000</v>
      </c>
      <c r="E43" s="412">
        <v>630000</v>
      </c>
      <c r="F43" s="314">
        <f t="shared" si="12"/>
        <v>64</v>
      </c>
      <c r="G43" s="403">
        <f t="shared" si="13"/>
        <v>3</v>
      </c>
      <c r="H43" s="324">
        <v>990000</v>
      </c>
      <c r="I43" s="314">
        <f t="shared" si="14"/>
        <v>41</v>
      </c>
      <c r="J43" s="314">
        <f t="shared" si="11"/>
        <v>2</v>
      </c>
      <c r="K43" s="408">
        <f t="shared" si="15"/>
        <v>1600000</v>
      </c>
      <c r="L43" s="10"/>
      <c r="M43" s="10"/>
      <c r="N43" s="10"/>
      <c r="O43" s="10"/>
      <c r="P43" s="10"/>
      <c r="Q43" s="10"/>
      <c r="R43" s="10"/>
      <c r="S43" s="10"/>
      <c r="T43" s="10"/>
      <c r="U43" s="10"/>
      <c r="V43" s="10"/>
      <c r="W43" s="10"/>
      <c r="X43" s="10"/>
      <c r="Y43" s="10"/>
      <c r="Z43" s="10"/>
    </row>
    <row r="44" spans="1:26" ht="20" customHeight="1" x14ac:dyDescent="0.15">
      <c r="A44" s="8"/>
      <c r="B44" s="1472" t="s">
        <v>230</v>
      </c>
      <c r="C44" s="461">
        <v>0.08</v>
      </c>
      <c r="D44" s="408">
        <f t="shared" ref="D44:D47" si="16">$I$28*$C44</f>
        <v>40000000</v>
      </c>
      <c r="E44" s="412">
        <v>856000</v>
      </c>
      <c r="F44" s="314">
        <f>ROUNDUP(D44/E44,0)</f>
        <v>47</v>
      </c>
      <c r="G44" s="403">
        <f t="shared" ref="G44:G45" si="17">ROUNDUP(F44/$C$5,0)</f>
        <v>2</v>
      </c>
      <c r="H44" s="324">
        <v>1000000</v>
      </c>
      <c r="I44" s="314">
        <f t="shared" ref="I44:I45" si="18">ROUNDUP(D44/H44,0)</f>
        <v>40</v>
      </c>
      <c r="J44" s="314">
        <f t="shared" ref="J44:J45" si="19">ROUNDUP(I44/$C$5,0)</f>
        <v>2</v>
      </c>
      <c r="K44" s="408">
        <f t="shared" ref="K44:K45" si="20">D44/$C$5</f>
        <v>1600000</v>
      </c>
      <c r="L44" s="10"/>
      <c r="M44" s="10"/>
      <c r="N44" s="10"/>
      <c r="O44" s="10"/>
      <c r="P44" s="10"/>
      <c r="Q44" s="10"/>
      <c r="R44" s="10"/>
      <c r="S44" s="10"/>
      <c r="T44" s="10"/>
      <c r="U44" s="10"/>
      <c r="V44" s="10"/>
      <c r="W44" s="10"/>
      <c r="X44" s="10"/>
      <c r="Y44" s="10"/>
      <c r="Z44" s="10"/>
    </row>
    <row r="45" spans="1:26" ht="20" customHeight="1" x14ac:dyDescent="0.15">
      <c r="A45" s="8"/>
      <c r="B45" s="1472" t="s">
        <v>231</v>
      </c>
      <c r="C45" s="461">
        <v>0.03</v>
      </c>
      <c r="D45" s="408">
        <f t="shared" si="16"/>
        <v>15000000</v>
      </c>
      <c r="E45" s="412">
        <v>529000</v>
      </c>
      <c r="F45" s="314">
        <f>IF(ROUNDUP(D45/E45,0)&lt;&gt;0,ROUNDUP(D45/E45,0),0)</f>
        <v>29</v>
      </c>
      <c r="G45" s="403">
        <f t="shared" si="17"/>
        <v>2</v>
      </c>
      <c r="H45" s="324">
        <v>990000</v>
      </c>
      <c r="I45" s="314">
        <f t="shared" si="18"/>
        <v>16</v>
      </c>
      <c r="J45" s="314">
        <f t="shared" si="19"/>
        <v>1</v>
      </c>
      <c r="K45" s="408">
        <f t="shared" si="20"/>
        <v>600000</v>
      </c>
      <c r="L45" s="10"/>
      <c r="M45" s="10"/>
      <c r="N45" s="10"/>
      <c r="O45" s="10"/>
      <c r="P45" s="10"/>
      <c r="Q45" s="10"/>
      <c r="R45" s="10"/>
      <c r="S45" s="10"/>
      <c r="T45" s="10"/>
      <c r="U45" s="10"/>
      <c r="V45" s="10"/>
      <c r="W45" s="10"/>
      <c r="X45" s="10"/>
      <c r="Y45" s="10"/>
      <c r="Z45" s="10"/>
    </row>
    <row r="46" spans="1:26" ht="20" customHeight="1" x14ac:dyDescent="0.15">
      <c r="A46" s="8"/>
      <c r="B46" s="1472" t="s">
        <v>232</v>
      </c>
      <c r="C46" s="461">
        <v>0.03</v>
      </c>
      <c r="D46" s="408">
        <f t="shared" si="16"/>
        <v>15000000</v>
      </c>
      <c r="E46" s="412">
        <v>850000</v>
      </c>
      <c r="F46" s="314">
        <f>ROUNDUP(D46/E46,0)</f>
        <v>18</v>
      </c>
      <c r="G46" s="403">
        <f t="shared" si="13"/>
        <v>1</v>
      </c>
      <c r="H46" s="324">
        <v>1000000</v>
      </c>
      <c r="I46" s="314">
        <f t="shared" si="14"/>
        <v>15</v>
      </c>
      <c r="J46" s="314">
        <f t="shared" si="11"/>
        <v>1</v>
      </c>
      <c r="K46" s="408">
        <f t="shared" si="15"/>
        <v>600000</v>
      </c>
      <c r="L46" s="10"/>
      <c r="M46" s="10"/>
      <c r="N46" s="10"/>
      <c r="O46" s="10"/>
      <c r="P46" s="10"/>
      <c r="Q46" s="10"/>
      <c r="R46" s="10"/>
      <c r="S46" s="10"/>
      <c r="T46" s="10"/>
      <c r="U46" s="10"/>
      <c r="V46" s="10"/>
      <c r="W46" s="10"/>
      <c r="X46" s="10"/>
      <c r="Y46" s="10"/>
      <c r="Z46" s="10"/>
    </row>
    <row r="47" spans="1:26" ht="20" customHeight="1" thickBot="1" x14ac:dyDescent="0.2">
      <c r="A47" s="8"/>
      <c r="B47" s="1472" t="s">
        <v>233</v>
      </c>
      <c r="C47" s="462">
        <v>0.03</v>
      </c>
      <c r="D47" s="420">
        <f t="shared" si="16"/>
        <v>15000000</v>
      </c>
      <c r="E47" s="421">
        <v>748000</v>
      </c>
      <c r="F47" s="417">
        <f>IF(ROUNDUP(D47/E47,0)&lt;&gt;0,ROUNDUP(D47/E47,0),0)</f>
        <v>21</v>
      </c>
      <c r="G47" s="418">
        <f t="shared" si="13"/>
        <v>1</v>
      </c>
      <c r="H47" s="419">
        <v>990000</v>
      </c>
      <c r="I47" s="417">
        <f t="shared" si="14"/>
        <v>16</v>
      </c>
      <c r="J47" s="417">
        <f t="shared" si="11"/>
        <v>1</v>
      </c>
      <c r="K47" s="420">
        <f t="shared" si="15"/>
        <v>600000</v>
      </c>
      <c r="L47" s="10"/>
      <c r="M47" s="10"/>
      <c r="N47" s="10"/>
      <c r="O47" s="10"/>
      <c r="P47" s="10"/>
      <c r="Q47" s="10"/>
      <c r="R47" s="10"/>
      <c r="S47" s="10"/>
      <c r="T47" s="10"/>
      <c r="U47" s="10"/>
      <c r="V47" s="10"/>
      <c r="W47" s="10"/>
      <c r="X47" s="10"/>
      <c r="Y47" s="10"/>
      <c r="Z47" s="10"/>
    </row>
    <row r="48" spans="1:26" ht="20" customHeight="1" x14ac:dyDescent="0.15">
      <c r="A48" s="8"/>
      <c r="B48" s="23"/>
      <c r="L48" s="10"/>
      <c r="M48" s="10"/>
      <c r="N48" s="10"/>
      <c r="O48" s="10"/>
      <c r="P48" s="10"/>
      <c r="Q48" s="10"/>
      <c r="R48" s="10"/>
      <c r="S48" s="10"/>
      <c r="T48" s="10"/>
      <c r="U48" s="10"/>
      <c r="V48" s="10"/>
      <c r="W48" s="10"/>
      <c r="X48" s="10"/>
      <c r="Y48" s="10"/>
      <c r="Z48" s="10"/>
    </row>
    <row r="49" spans="1:26" ht="25" customHeight="1" thickBot="1" x14ac:dyDescent="0.2">
      <c r="A49" s="251" t="s">
        <v>14</v>
      </c>
      <c r="B49" s="252" t="s">
        <v>170</v>
      </c>
      <c r="C49" s="10"/>
      <c r="D49" s="10"/>
      <c r="E49" s="10"/>
      <c r="F49" s="10"/>
      <c r="G49" s="10"/>
      <c r="H49" s="10"/>
      <c r="I49" s="10"/>
      <c r="J49" s="10"/>
      <c r="K49" s="10"/>
      <c r="L49" s="10"/>
      <c r="M49" s="10"/>
      <c r="N49" s="10"/>
      <c r="O49" s="10"/>
      <c r="P49" s="10"/>
      <c r="Q49" s="10"/>
      <c r="R49" s="10"/>
      <c r="S49" s="10"/>
      <c r="T49" s="10"/>
      <c r="U49" s="10"/>
      <c r="V49" s="10"/>
      <c r="W49" s="16"/>
      <c r="X49" s="16"/>
      <c r="Y49" s="16"/>
      <c r="Z49" s="16"/>
    </row>
    <row r="50" spans="1:26" ht="20" customHeight="1" thickBot="1" x14ac:dyDescent="0.2">
      <c r="A50" s="284" t="s">
        <v>15</v>
      </c>
      <c r="B50" s="445">
        <v>0.6</v>
      </c>
      <c r="C50" s="325" t="s">
        <v>173</v>
      </c>
      <c r="D50" s="468" t="s">
        <v>42</v>
      </c>
      <c r="E50" s="469" t="s">
        <v>16</v>
      </c>
      <c r="F50" s="470" t="s">
        <v>17</v>
      </c>
      <c r="G50" s="471" t="s">
        <v>18</v>
      </c>
      <c r="H50" s="471" t="s">
        <v>19</v>
      </c>
      <c r="I50" s="472">
        <v>1</v>
      </c>
      <c r="J50" s="10"/>
      <c r="K50" s="67"/>
      <c r="L50" s="10"/>
      <c r="M50" s="10"/>
      <c r="N50" s="10"/>
      <c r="O50" s="10"/>
      <c r="P50" s="10"/>
      <c r="Q50" s="10"/>
      <c r="R50" s="10"/>
      <c r="S50" s="10"/>
      <c r="T50" s="10"/>
      <c r="U50" s="10"/>
      <c r="V50" s="10"/>
      <c r="W50" s="16"/>
      <c r="X50" s="16"/>
      <c r="Y50" s="16"/>
      <c r="Z50" s="16"/>
    </row>
    <row r="51" spans="1:26" ht="20" customHeight="1" thickBot="1" x14ac:dyDescent="0.2">
      <c r="A51" s="284" t="s">
        <v>20</v>
      </c>
      <c r="B51" s="445">
        <v>0.2</v>
      </c>
      <c r="C51" s="325" t="s">
        <v>172</v>
      </c>
      <c r="D51" s="473" t="s">
        <v>144</v>
      </c>
      <c r="E51" s="474">
        <v>0.05</v>
      </c>
      <c r="F51" s="474">
        <v>0.05</v>
      </c>
      <c r="G51" s="474">
        <v>0.05</v>
      </c>
      <c r="H51" s="474">
        <v>0.05</v>
      </c>
      <c r="I51" s="474">
        <v>0.05</v>
      </c>
      <c r="J51" s="10"/>
      <c r="K51" s="1220"/>
      <c r="L51" s="10"/>
      <c r="M51" s="10"/>
      <c r="N51" s="10"/>
      <c r="O51" s="10"/>
      <c r="P51" s="10"/>
      <c r="Q51" s="10"/>
      <c r="R51" s="10"/>
      <c r="S51" s="10"/>
      <c r="T51" s="10"/>
      <c r="U51" s="10"/>
      <c r="V51" s="10"/>
      <c r="W51" s="16"/>
      <c r="X51" s="16"/>
      <c r="Y51" s="16"/>
      <c r="Z51" s="16"/>
    </row>
    <row r="52" spans="1:26" ht="20" customHeight="1" thickBot="1" x14ac:dyDescent="0.2">
      <c r="A52" s="284" t="s">
        <v>21</v>
      </c>
      <c r="B52" s="445">
        <v>0.2</v>
      </c>
      <c r="C52" s="325" t="s">
        <v>171</v>
      </c>
      <c r="D52" s="1310"/>
      <c r="E52" s="1311"/>
      <c r="F52" s="1311"/>
      <c r="G52" s="1311"/>
      <c r="H52" s="1311"/>
      <c r="I52" s="1311"/>
      <c r="J52" s="176"/>
      <c r="K52" s="176"/>
      <c r="L52" s="176"/>
      <c r="M52" s="176"/>
      <c r="N52" s="176"/>
      <c r="O52" s="176"/>
      <c r="P52" s="176"/>
      <c r="Q52" s="176"/>
      <c r="R52" s="176"/>
      <c r="S52" s="176"/>
      <c r="T52" s="176"/>
      <c r="U52" s="176"/>
      <c r="V52" s="176"/>
      <c r="W52" s="61"/>
      <c r="X52" s="61"/>
      <c r="Y52" s="61"/>
      <c r="Z52" s="61"/>
    </row>
    <row r="53" spans="1:26" s="340" customFormat="1" ht="20" customHeight="1" x14ac:dyDescent="0.2">
      <c r="A53" s="337"/>
      <c r="B53" s="345"/>
      <c r="C53" s="655" t="s">
        <v>178</v>
      </c>
      <c r="D53" s="656"/>
      <c r="E53" s="656"/>
      <c r="F53" s="657"/>
      <c r="G53" s="658" t="s">
        <v>44</v>
      </c>
      <c r="H53" s="659"/>
      <c r="I53" s="659"/>
      <c r="J53" s="660"/>
      <c r="K53" s="658" t="s">
        <v>47</v>
      </c>
      <c r="L53" s="656"/>
      <c r="M53" s="656"/>
      <c r="N53" s="657"/>
      <c r="O53" s="338"/>
      <c r="P53" s="338"/>
      <c r="Q53" s="338"/>
      <c r="R53" s="338"/>
      <c r="S53" s="338"/>
      <c r="T53" s="338"/>
      <c r="U53" s="338"/>
      <c r="V53" s="338"/>
      <c r="W53" s="339"/>
      <c r="X53" s="339"/>
      <c r="Y53" s="339"/>
      <c r="Z53" s="339"/>
    </row>
    <row r="54" spans="1:26" s="333" customFormat="1" ht="20" customHeight="1" x14ac:dyDescent="0.15">
      <c r="A54" s="327"/>
      <c r="B54" s="992"/>
      <c r="C54" s="376" t="s">
        <v>73</v>
      </c>
      <c r="D54" s="377" t="s">
        <v>43</v>
      </c>
      <c r="E54" s="378" t="s">
        <v>74</v>
      </c>
      <c r="F54" s="379" t="s">
        <v>75</v>
      </c>
      <c r="G54" s="328" t="s">
        <v>73</v>
      </c>
      <c r="H54" s="328" t="s">
        <v>182</v>
      </c>
      <c r="I54" s="329" t="s">
        <v>74</v>
      </c>
      <c r="J54" s="330" t="s">
        <v>75</v>
      </c>
      <c r="K54" s="328" t="s">
        <v>73</v>
      </c>
      <c r="L54" s="328" t="s">
        <v>182</v>
      </c>
      <c r="M54" s="329" t="s">
        <v>74</v>
      </c>
      <c r="N54" s="330" t="s">
        <v>75</v>
      </c>
      <c r="O54" s="331"/>
      <c r="P54" s="331"/>
      <c r="Q54" s="327"/>
      <c r="R54" s="327"/>
      <c r="S54" s="331"/>
      <c r="T54" s="331"/>
      <c r="U54" s="327"/>
      <c r="V54" s="327"/>
      <c r="W54" s="331"/>
      <c r="X54" s="331"/>
      <c r="Y54" s="327"/>
      <c r="Z54" s="332"/>
    </row>
    <row r="55" spans="1:26" s="333" customFormat="1" ht="20" customHeight="1" x14ac:dyDescent="0.15">
      <c r="A55" s="327"/>
      <c r="B55" s="993" t="s">
        <v>81</v>
      </c>
      <c r="C55" s="380" t="s">
        <v>93</v>
      </c>
      <c r="D55" s="996" t="str">
        <f>D54</f>
        <v>Ratio</v>
      </c>
      <c r="E55" s="1210" t="str">
        <f>E54</f>
        <v>KPIs</v>
      </c>
      <c r="F55" s="381"/>
      <c r="G55" s="334" t="s">
        <v>50</v>
      </c>
      <c r="H55" s="1208" t="str">
        <f>H54</f>
        <v>Ratio/ Team</v>
      </c>
      <c r="I55" s="1209" t="str">
        <f>I54</f>
        <v>KPIs</v>
      </c>
      <c r="J55" s="335"/>
      <c r="K55" s="334" t="s">
        <v>92</v>
      </c>
      <c r="L55" s="1208" t="str">
        <f>L54</f>
        <v>Ratio/ Team</v>
      </c>
      <c r="M55" s="1209" t="str">
        <f>M54</f>
        <v>KPIs</v>
      </c>
      <c r="N55" s="335"/>
      <c r="O55" s="327"/>
      <c r="P55" s="336"/>
      <c r="Q55" s="331"/>
      <c r="R55" s="327"/>
      <c r="S55" s="327"/>
      <c r="T55" s="336"/>
      <c r="U55" s="331"/>
      <c r="V55" s="327"/>
      <c r="W55" s="327"/>
      <c r="X55" s="336"/>
      <c r="Y55" s="331"/>
      <c r="Z55" s="332"/>
    </row>
    <row r="56" spans="1:26" ht="20" customHeight="1" x14ac:dyDescent="0.15">
      <c r="A56" s="10"/>
      <c r="B56" s="1312" t="s">
        <v>128</v>
      </c>
      <c r="C56" s="382" t="s">
        <v>20</v>
      </c>
      <c r="D56" s="383">
        <f>$B$51</f>
        <v>0.2</v>
      </c>
      <c r="E56" s="383">
        <f>D$57*SUM(D$58:D$63)+D$64*SUM(D$65:D$70)</f>
        <v>0.96785714285714286</v>
      </c>
      <c r="F56" s="384"/>
      <c r="G56" s="76" t="s">
        <v>20</v>
      </c>
      <c r="H56" s="348">
        <f>$B$51</f>
        <v>0.2</v>
      </c>
      <c r="I56" s="348">
        <f>AVERAGE(H57,H64)</f>
        <v>0.51190476190476186</v>
      </c>
      <c r="J56" s="11"/>
      <c r="K56" s="76" t="s">
        <v>20</v>
      </c>
      <c r="L56" s="348">
        <f>$B$51</f>
        <v>0.2</v>
      </c>
      <c r="M56" s="348">
        <f>AVERAGE(L57,L64)</f>
        <v>0.45595238095238094</v>
      </c>
      <c r="N56" s="371"/>
      <c r="O56" s="10"/>
      <c r="P56" s="10"/>
      <c r="Q56" s="10"/>
      <c r="R56" s="10"/>
      <c r="S56" s="10"/>
      <c r="T56" s="10"/>
      <c r="U56" s="10"/>
      <c r="V56" s="10"/>
      <c r="W56" s="60"/>
      <c r="X56" s="60"/>
      <c r="Y56" s="60"/>
      <c r="Z56" s="60"/>
    </row>
    <row r="57" spans="1:26" ht="20" customHeight="1" x14ac:dyDescent="0.15">
      <c r="A57" s="10"/>
      <c r="B57" s="1313"/>
      <c r="C57" s="385" t="s">
        <v>22</v>
      </c>
      <c r="D57" s="606">
        <v>0.5</v>
      </c>
      <c r="E57" s="712">
        <f>$F$28</f>
        <v>1680</v>
      </c>
      <c r="F57" s="359" t="s">
        <v>22</v>
      </c>
      <c r="G57" s="353" t="s">
        <v>22</v>
      </c>
      <c r="H57" s="71">
        <f>SUM($H$58:$H$63)</f>
        <v>0.59523809523809523</v>
      </c>
      <c r="I57" s="715">
        <f>SUM($I$58:$I$63)</f>
        <v>1000</v>
      </c>
      <c r="J57" s="359" t="s">
        <v>22</v>
      </c>
      <c r="K57" s="353" t="s">
        <v>22</v>
      </c>
      <c r="L57" s="71">
        <f>SUM($L$58:$L$63)</f>
        <v>0.34047619047619049</v>
      </c>
      <c r="M57" s="715">
        <f>SUM($M$58:$M$63)</f>
        <v>572</v>
      </c>
      <c r="N57" s="359" t="s">
        <v>22</v>
      </c>
      <c r="O57" s="10"/>
      <c r="P57" s="10"/>
      <c r="Q57" s="10"/>
      <c r="R57" s="10"/>
      <c r="S57" s="10"/>
      <c r="T57" s="10"/>
      <c r="U57" s="10"/>
      <c r="V57" s="10"/>
      <c r="W57" s="60"/>
      <c r="X57" s="60"/>
      <c r="Y57" s="60"/>
      <c r="Z57" s="60"/>
    </row>
    <row r="58" spans="1:26" ht="20" customHeight="1" x14ac:dyDescent="0.15">
      <c r="A58" s="10"/>
      <c r="B58" s="1313"/>
      <c r="C58" s="386" t="s">
        <v>2</v>
      </c>
      <c r="D58" s="387">
        <f>E58/$E$57</f>
        <v>0.18630952380952381</v>
      </c>
      <c r="E58" s="388">
        <f>$F$29</f>
        <v>313</v>
      </c>
      <c r="F58" s="361"/>
      <c r="G58" s="351" t="s">
        <v>2</v>
      </c>
      <c r="H58" s="1229">
        <f t="shared" ref="H58:H63" si="21">I58/$E$57</f>
        <v>0.23809523809523808</v>
      </c>
      <c r="I58" s="354">
        <v>400</v>
      </c>
      <c r="J58" s="361"/>
      <c r="K58" s="351" t="s">
        <v>2</v>
      </c>
      <c r="L58" s="1229">
        <f t="shared" ref="L58:L63" si="22">M58/$E$57</f>
        <v>-5.1785714285714289E-2</v>
      </c>
      <c r="M58" s="354">
        <f>E58-I58</f>
        <v>-87</v>
      </c>
      <c r="N58" s="361"/>
      <c r="O58" s="10"/>
      <c r="P58" s="10"/>
      <c r="Q58" s="10"/>
      <c r="R58" s="10"/>
      <c r="S58" s="10"/>
      <c r="T58" s="10"/>
      <c r="U58" s="10"/>
      <c r="V58" s="10"/>
      <c r="W58" s="60"/>
      <c r="X58" s="60"/>
      <c r="Y58" s="60"/>
      <c r="Z58" s="60"/>
    </row>
    <row r="59" spans="1:26" ht="20" customHeight="1" x14ac:dyDescent="0.15">
      <c r="A59" s="10"/>
      <c r="B59" s="1313"/>
      <c r="C59" s="386" t="s">
        <v>3</v>
      </c>
      <c r="D59" s="387">
        <f>E59/$E$57</f>
        <v>0.20714285714285716</v>
      </c>
      <c r="E59" s="388">
        <f>$F$30</f>
        <v>348</v>
      </c>
      <c r="F59" s="776"/>
      <c r="G59" s="351" t="s">
        <v>3</v>
      </c>
      <c r="H59" s="1229">
        <f t="shared" si="21"/>
        <v>0.17857142857142858</v>
      </c>
      <c r="I59" s="354">
        <v>300</v>
      </c>
      <c r="J59" s="361"/>
      <c r="K59" s="351" t="s">
        <v>3</v>
      </c>
      <c r="L59" s="1229">
        <f t="shared" si="22"/>
        <v>2.8571428571428571E-2</v>
      </c>
      <c r="M59" s="354">
        <f t="shared" ref="M59:M63" si="23">E59-I59</f>
        <v>48</v>
      </c>
      <c r="N59" s="361"/>
      <c r="O59" s="10"/>
      <c r="P59" s="10"/>
      <c r="Q59" s="10"/>
      <c r="R59" s="10"/>
      <c r="S59" s="10"/>
      <c r="T59" s="10"/>
      <c r="U59" s="10"/>
      <c r="V59" s="10"/>
      <c r="W59" s="60"/>
      <c r="X59" s="60"/>
      <c r="Y59" s="60"/>
      <c r="Z59" s="60"/>
    </row>
    <row r="60" spans="1:26" ht="20" customHeight="1" x14ac:dyDescent="0.15">
      <c r="A60" s="10"/>
      <c r="B60" s="1313"/>
      <c r="C60" s="386" t="s">
        <v>4</v>
      </c>
      <c r="D60" s="387">
        <f>E60/$E$57</f>
        <v>7.4404761904761904E-2</v>
      </c>
      <c r="E60" s="388">
        <f>$F$31</f>
        <v>125</v>
      </c>
      <c r="F60" s="361"/>
      <c r="G60" s="351" t="s">
        <v>4</v>
      </c>
      <c r="H60" s="1229">
        <f>I60/$E$57</f>
        <v>5.9523809523809521E-2</v>
      </c>
      <c r="I60" s="354">
        <v>100</v>
      </c>
      <c r="J60" s="361"/>
      <c r="K60" s="351" t="s">
        <v>4</v>
      </c>
      <c r="L60" s="1229">
        <f t="shared" si="22"/>
        <v>1.488095238095238E-2</v>
      </c>
      <c r="M60" s="354">
        <f t="shared" si="23"/>
        <v>25</v>
      </c>
      <c r="N60" s="361"/>
      <c r="O60" s="10"/>
      <c r="P60" s="10"/>
      <c r="Q60" s="10"/>
      <c r="R60" s="10"/>
      <c r="S60" s="10"/>
      <c r="T60" s="10"/>
      <c r="U60" s="10"/>
      <c r="V60" s="10"/>
      <c r="W60" s="60"/>
      <c r="X60" s="60"/>
      <c r="Y60" s="60"/>
      <c r="Z60" s="60"/>
    </row>
    <row r="61" spans="1:26" ht="20" customHeight="1" x14ac:dyDescent="0.15">
      <c r="A61" s="10"/>
      <c r="B61" s="1313"/>
      <c r="C61" s="386" t="s">
        <v>5</v>
      </c>
      <c r="D61" s="387">
        <f>E61/$E$57</f>
        <v>0.18630952380952381</v>
      </c>
      <c r="E61" s="388">
        <f>$F$29</f>
        <v>313</v>
      </c>
      <c r="F61" s="361"/>
      <c r="G61" s="351" t="s">
        <v>5</v>
      </c>
      <c r="H61" s="1229">
        <f t="shared" si="21"/>
        <v>2.976190476190476E-2</v>
      </c>
      <c r="I61" s="354">
        <v>50</v>
      </c>
      <c r="J61" s="361"/>
      <c r="K61" s="351" t="s">
        <v>5</v>
      </c>
      <c r="L61" s="1229">
        <f t="shared" si="22"/>
        <v>0.15654761904761905</v>
      </c>
      <c r="M61" s="354">
        <f t="shared" si="23"/>
        <v>263</v>
      </c>
      <c r="N61" s="361"/>
      <c r="O61" s="10"/>
      <c r="P61" s="10"/>
      <c r="Q61" s="10"/>
      <c r="R61" s="10"/>
      <c r="S61" s="10"/>
      <c r="T61" s="10"/>
      <c r="U61" s="10"/>
      <c r="V61" s="10"/>
      <c r="W61" s="60"/>
      <c r="X61" s="60"/>
      <c r="Y61" s="60"/>
      <c r="Z61" s="60"/>
    </row>
    <row r="62" spans="1:26" ht="20" customHeight="1" x14ac:dyDescent="0.15">
      <c r="A62" s="10"/>
      <c r="B62" s="1313"/>
      <c r="C62" s="386" t="s">
        <v>6</v>
      </c>
      <c r="D62" s="387">
        <f>E62/$E$57</f>
        <v>0.20714285714285716</v>
      </c>
      <c r="E62" s="388">
        <f>$F$30</f>
        <v>348</v>
      </c>
      <c r="F62" s="361"/>
      <c r="G62" s="351" t="s">
        <v>6</v>
      </c>
      <c r="H62" s="1229">
        <f t="shared" si="21"/>
        <v>2.976190476190476E-2</v>
      </c>
      <c r="I62" s="354">
        <v>50</v>
      </c>
      <c r="J62" s="361"/>
      <c r="K62" s="351" t="s">
        <v>6</v>
      </c>
      <c r="L62" s="1229">
        <f t="shared" si="22"/>
        <v>0.17738095238095239</v>
      </c>
      <c r="M62" s="354">
        <f t="shared" si="23"/>
        <v>298</v>
      </c>
      <c r="N62" s="361"/>
      <c r="O62" s="10"/>
      <c r="P62" s="10"/>
      <c r="Q62" s="10"/>
      <c r="R62" s="10"/>
      <c r="S62" s="10"/>
      <c r="T62" s="10"/>
      <c r="U62" s="10"/>
      <c r="V62" s="10"/>
      <c r="W62" s="60"/>
      <c r="X62" s="60"/>
      <c r="Y62" s="60"/>
      <c r="Z62" s="60"/>
    </row>
    <row r="63" spans="1:26" ht="20" customHeight="1" x14ac:dyDescent="0.15">
      <c r="A63" s="10"/>
      <c r="B63" s="1313"/>
      <c r="C63" s="386" t="s">
        <v>60</v>
      </c>
      <c r="D63" s="387">
        <f>E63/$E$57</f>
        <v>7.4404761904761904E-2</v>
      </c>
      <c r="E63" s="388">
        <f>$F$31</f>
        <v>125</v>
      </c>
      <c r="F63" s="361"/>
      <c r="G63" s="351" t="s">
        <v>60</v>
      </c>
      <c r="H63" s="1229">
        <f t="shared" si="21"/>
        <v>5.9523809523809521E-2</v>
      </c>
      <c r="I63" s="354">
        <v>100</v>
      </c>
      <c r="J63" s="361"/>
      <c r="K63" s="351" t="s">
        <v>60</v>
      </c>
      <c r="L63" s="1229">
        <f t="shared" si="22"/>
        <v>1.488095238095238E-2</v>
      </c>
      <c r="M63" s="354">
        <f t="shared" si="23"/>
        <v>25</v>
      </c>
      <c r="N63" s="361"/>
      <c r="O63" s="10"/>
      <c r="P63" s="10"/>
      <c r="Q63" s="10"/>
      <c r="R63" s="10"/>
      <c r="S63" s="10"/>
      <c r="T63" s="10"/>
      <c r="U63" s="10"/>
      <c r="V63" s="10"/>
      <c r="W63" s="60"/>
      <c r="X63" s="60"/>
      <c r="Y63" s="60"/>
      <c r="Z63" s="60"/>
    </row>
    <row r="64" spans="1:26" ht="20" customHeight="1" x14ac:dyDescent="0.15">
      <c r="A64" s="10"/>
      <c r="B64" s="1313"/>
      <c r="C64" s="385" t="s">
        <v>23</v>
      </c>
      <c r="D64" s="606">
        <v>0.5</v>
      </c>
      <c r="E64" s="712">
        <f>SUM($E$65:$E$70)</f>
        <v>70</v>
      </c>
      <c r="F64" s="359" t="s">
        <v>76</v>
      </c>
      <c r="G64" s="353" t="s">
        <v>23</v>
      </c>
      <c r="H64" s="71">
        <f>SUM($H$65:$H$70)</f>
        <v>0.42857142857142849</v>
      </c>
      <c r="I64" s="715">
        <f>SUM($I$65:$I$70)</f>
        <v>30</v>
      </c>
      <c r="J64" s="359" t="s">
        <v>76</v>
      </c>
      <c r="K64" s="353" t="s">
        <v>23</v>
      </c>
      <c r="L64" s="71">
        <f>SUM($L$65:$L$70)</f>
        <v>0.5714285714285714</v>
      </c>
      <c r="M64" s="715">
        <f>SUM($M$65:$M$70)</f>
        <v>40</v>
      </c>
      <c r="N64" s="359" t="s">
        <v>76</v>
      </c>
      <c r="O64" s="10"/>
      <c r="P64" s="10"/>
      <c r="Q64" s="10"/>
      <c r="R64" s="10"/>
      <c r="S64" s="10"/>
      <c r="T64" s="10"/>
      <c r="U64" s="10"/>
      <c r="V64" s="10"/>
      <c r="W64" s="60"/>
      <c r="X64" s="60"/>
      <c r="Y64" s="60"/>
      <c r="Z64" s="60"/>
    </row>
    <row r="65" spans="1:26" ht="20" customHeight="1" x14ac:dyDescent="0.15">
      <c r="A65" s="10"/>
      <c r="B65" s="1313"/>
      <c r="C65" s="386" t="s">
        <v>2</v>
      </c>
      <c r="D65" s="387">
        <f>E65/E$64</f>
        <v>0.14285714285714285</v>
      </c>
      <c r="E65" s="389">
        <v>10</v>
      </c>
      <c r="F65" s="361"/>
      <c r="G65" s="351" t="s">
        <v>2</v>
      </c>
      <c r="H65" s="1229">
        <f>I65/E$64</f>
        <v>0.14285714285714285</v>
      </c>
      <c r="I65" s="356">
        <v>10</v>
      </c>
      <c r="J65" s="775"/>
      <c r="K65" s="351" t="s">
        <v>2</v>
      </c>
      <c r="L65" s="1229">
        <f>M65/E$64</f>
        <v>0</v>
      </c>
      <c r="M65" s="356">
        <f>E65-I65</f>
        <v>0</v>
      </c>
      <c r="N65" s="361"/>
      <c r="O65" s="10"/>
      <c r="P65" s="10"/>
      <c r="Q65" s="10"/>
      <c r="R65" s="10"/>
      <c r="S65" s="10"/>
      <c r="T65" s="10"/>
      <c r="U65" s="10"/>
      <c r="V65" s="10"/>
      <c r="W65" s="60"/>
      <c r="X65" s="60"/>
      <c r="Y65" s="60"/>
      <c r="Z65" s="60"/>
    </row>
    <row r="66" spans="1:26" ht="20" customHeight="1" x14ac:dyDescent="0.15">
      <c r="A66" s="10"/>
      <c r="B66" s="1313"/>
      <c r="C66" s="386" t="s">
        <v>3</v>
      </c>
      <c r="D66" s="387">
        <f>E66/E$64</f>
        <v>0.14285714285714285</v>
      </c>
      <c r="E66" s="389">
        <v>10</v>
      </c>
      <c r="F66" s="775"/>
      <c r="G66" s="351" t="s">
        <v>3</v>
      </c>
      <c r="H66" s="1229">
        <f t="shared" ref="H66:H70" si="24">I66/E$64</f>
        <v>0.14285714285714285</v>
      </c>
      <c r="I66" s="356">
        <v>10</v>
      </c>
      <c r="J66" s="361"/>
      <c r="K66" s="351" t="s">
        <v>3</v>
      </c>
      <c r="L66" s="1229">
        <f t="shared" ref="L66:L70" si="25">M66/E$64</f>
        <v>0</v>
      </c>
      <c r="M66" s="356">
        <f t="shared" ref="M66:M70" si="26">E66-I66</f>
        <v>0</v>
      </c>
      <c r="N66" s="361"/>
      <c r="O66" s="10"/>
      <c r="P66" s="10"/>
      <c r="Q66" s="10"/>
      <c r="R66" s="10"/>
      <c r="S66" s="10"/>
      <c r="T66" s="10"/>
      <c r="U66" s="10"/>
      <c r="V66" s="10"/>
      <c r="W66" s="60"/>
      <c r="X66" s="60"/>
      <c r="Y66" s="60"/>
      <c r="Z66" s="60"/>
    </row>
    <row r="67" spans="1:26" ht="20" customHeight="1" x14ac:dyDescent="0.15">
      <c r="A67" s="10"/>
      <c r="B67" s="1313"/>
      <c r="C67" s="386" t="s">
        <v>4</v>
      </c>
      <c r="D67" s="387">
        <f t="shared" ref="D67:D70" si="27">E67/E$64</f>
        <v>7.1428571428571425E-2</v>
      </c>
      <c r="E67" s="389">
        <v>5</v>
      </c>
      <c r="F67" s="361"/>
      <c r="G67" s="351" t="s">
        <v>4</v>
      </c>
      <c r="H67" s="1229">
        <f>I67/E$64</f>
        <v>7.1428571428571425E-2</v>
      </c>
      <c r="I67" s="356">
        <v>5</v>
      </c>
      <c r="J67" s="361"/>
      <c r="K67" s="351" t="s">
        <v>4</v>
      </c>
      <c r="L67" s="1229">
        <f t="shared" si="25"/>
        <v>0</v>
      </c>
      <c r="M67" s="356">
        <f t="shared" si="26"/>
        <v>0</v>
      </c>
      <c r="N67" s="361"/>
      <c r="O67" s="10"/>
      <c r="P67" s="10"/>
      <c r="Q67" s="10"/>
      <c r="R67" s="10"/>
      <c r="S67" s="10"/>
      <c r="T67" s="10"/>
      <c r="U67" s="10"/>
      <c r="V67" s="10"/>
      <c r="W67" s="60"/>
      <c r="X67" s="60"/>
      <c r="Y67" s="60"/>
      <c r="Z67" s="60"/>
    </row>
    <row r="68" spans="1:26" ht="20" customHeight="1" x14ac:dyDescent="0.15">
      <c r="A68" s="10"/>
      <c r="B68" s="1313"/>
      <c r="C68" s="386" t="s">
        <v>5</v>
      </c>
      <c r="D68" s="387">
        <f t="shared" si="27"/>
        <v>0.2857142857142857</v>
      </c>
      <c r="E68" s="389">
        <v>20</v>
      </c>
      <c r="F68" s="361"/>
      <c r="G68" s="351" t="s">
        <v>5</v>
      </c>
      <c r="H68" s="1229">
        <f t="shared" si="24"/>
        <v>0</v>
      </c>
      <c r="I68" s="356">
        <v>0</v>
      </c>
      <c r="J68" s="361"/>
      <c r="K68" s="351" t="s">
        <v>5</v>
      </c>
      <c r="L68" s="1229">
        <f t="shared" si="25"/>
        <v>0.2857142857142857</v>
      </c>
      <c r="M68" s="356">
        <f t="shared" si="26"/>
        <v>20</v>
      </c>
      <c r="N68" s="361"/>
      <c r="O68" s="10"/>
      <c r="P68" s="10"/>
      <c r="Q68" s="10"/>
      <c r="R68" s="10"/>
      <c r="S68" s="10"/>
      <c r="T68" s="10"/>
      <c r="U68" s="10"/>
      <c r="V68" s="10"/>
      <c r="W68" s="60"/>
      <c r="X68" s="60"/>
      <c r="Y68" s="60"/>
      <c r="Z68" s="60"/>
    </row>
    <row r="69" spans="1:26" ht="20" customHeight="1" x14ac:dyDescent="0.15">
      <c r="A69" s="10"/>
      <c r="B69" s="1313"/>
      <c r="C69" s="386" t="s">
        <v>6</v>
      </c>
      <c r="D69" s="387">
        <f t="shared" si="27"/>
        <v>0.2857142857142857</v>
      </c>
      <c r="E69" s="389">
        <v>20</v>
      </c>
      <c r="F69" s="361"/>
      <c r="G69" s="351" t="s">
        <v>6</v>
      </c>
      <c r="H69" s="1229">
        <f t="shared" si="24"/>
        <v>0</v>
      </c>
      <c r="I69" s="356">
        <v>0</v>
      </c>
      <c r="J69" s="361"/>
      <c r="K69" s="351" t="s">
        <v>6</v>
      </c>
      <c r="L69" s="1229">
        <f t="shared" si="25"/>
        <v>0.2857142857142857</v>
      </c>
      <c r="M69" s="356">
        <f t="shared" si="26"/>
        <v>20</v>
      </c>
      <c r="N69" s="361"/>
      <c r="O69" s="10"/>
      <c r="P69" s="10"/>
      <c r="Q69" s="10"/>
      <c r="R69" s="10"/>
      <c r="S69" s="10"/>
      <c r="T69" s="10"/>
      <c r="U69" s="10"/>
      <c r="V69" s="10"/>
      <c r="W69" s="60"/>
      <c r="X69" s="60"/>
      <c r="Y69" s="60"/>
      <c r="Z69" s="60"/>
    </row>
    <row r="70" spans="1:26" ht="20" customHeight="1" x14ac:dyDescent="0.15">
      <c r="A70" s="10"/>
      <c r="B70" s="1313"/>
      <c r="C70" s="386" t="s">
        <v>60</v>
      </c>
      <c r="D70" s="387">
        <f t="shared" si="27"/>
        <v>7.1428571428571425E-2</v>
      </c>
      <c r="E70" s="389">
        <v>5</v>
      </c>
      <c r="F70" s="361"/>
      <c r="G70" s="351" t="s">
        <v>60</v>
      </c>
      <c r="H70" s="1229">
        <f t="shared" si="24"/>
        <v>7.1428571428571425E-2</v>
      </c>
      <c r="I70" s="356">
        <v>5</v>
      </c>
      <c r="J70" s="361"/>
      <c r="K70" s="351" t="s">
        <v>60</v>
      </c>
      <c r="L70" s="1229">
        <f t="shared" si="25"/>
        <v>0</v>
      </c>
      <c r="M70" s="356">
        <f t="shared" si="26"/>
        <v>0</v>
      </c>
      <c r="N70" s="361"/>
      <c r="O70" s="10"/>
      <c r="P70" s="10"/>
      <c r="Q70" s="10"/>
      <c r="R70" s="10"/>
      <c r="S70" s="10"/>
      <c r="T70" s="10"/>
      <c r="U70" s="10"/>
      <c r="V70" s="10"/>
      <c r="W70" s="60"/>
      <c r="X70" s="60"/>
      <c r="Y70" s="60"/>
      <c r="Z70" s="60"/>
    </row>
    <row r="71" spans="1:26" ht="20" customHeight="1" x14ac:dyDescent="0.15">
      <c r="A71" s="10"/>
      <c r="B71" s="1313"/>
      <c r="C71" s="390" t="s">
        <v>21</v>
      </c>
      <c r="D71" s="349">
        <f>$B$52</f>
        <v>0.2</v>
      </c>
      <c r="E71" s="349">
        <f>D$72*SUM(D$73:D$78)+D$79*SUM(D$80:D$85)+D$86*SUM(D$87:D$92)</f>
        <v>1</v>
      </c>
      <c r="F71" s="362"/>
      <c r="G71" s="390" t="s">
        <v>21</v>
      </c>
      <c r="H71" s="349">
        <f>$B$52</f>
        <v>0.2</v>
      </c>
      <c r="I71" s="349">
        <f>AVERAGE(H72,H79,H86)</f>
        <v>0.52121212121212113</v>
      </c>
      <c r="J71" s="362"/>
      <c r="K71" s="390" t="s">
        <v>21</v>
      </c>
      <c r="L71" s="349">
        <f>$B$52</f>
        <v>0.2</v>
      </c>
      <c r="M71" s="349">
        <f>AVERAGE(L72,L79,L86)</f>
        <v>0.47878787878787876</v>
      </c>
      <c r="N71" s="362"/>
      <c r="O71" s="10"/>
      <c r="P71" s="10"/>
      <c r="Q71" s="10"/>
      <c r="R71" s="10"/>
      <c r="S71" s="10"/>
      <c r="T71" s="10"/>
      <c r="U71" s="10"/>
      <c r="V71" s="10"/>
      <c r="W71" s="60"/>
      <c r="X71" s="62"/>
      <c r="Y71" s="64"/>
      <c r="Z71" s="63"/>
    </row>
    <row r="72" spans="1:26" ht="20" customHeight="1" x14ac:dyDescent="0.15">
      <c r="A72" s="10"/>
      <c r="B72" s="1313"/>
      <c r="C72" s="392" t="s">
        <v>78</v>
      </c>
      <c r="D72" s="606">
        <v>0.25</v>
      </c>
      <c r="E72" s="713">
        <f>SUM($E$73:$E$78)</f>
        <v>500000000</v>
      </c>
      <c r="F72" s="359" t="s">
        <v>79</v>
      </c>
      <c r="G72" s="392" t="s">
        <v>78</v>
      </c>
      <c r="H72" s="606">
        <f>SUM($H$73:$H$78)</f>
        <v>0.49999999999999994</v>
      </c>
      <c r="I72" s="713">
        <f>SUM($I$73:$I$78)</f>
        <v>250000000</v>
      </c>
      <c r="J72" s="359" t="s">
        <v>79</v>
      </c>
      <c r="K72" s="392" t="s">
        <v>78</v>
      </c>
      <c r="L72" s="606">
        <f>SUM($L$73:$L$78)</f>
        <v>0.49999999999999994</v>
      </c>
      <c r="M72" s="713">
        <f>SUM($M$73:$M$78)</f>
        <v>250000000</v>
      </c>
      <c r="N72" s="359" t="s">
        <v>79</v>
      </c>
      <c r="O72" s="10"/>
      <c r="P72" s="10"/>
      <c r="Q72" s="10"/>
      <c r="R72" s="10"/>
      <c r="S72" s="10"/>
      <c r="T72" s="10"/>
      <c r="U72" s="10"/>
      <c r="V72" s="10"/>
      <c r="W72" s="60"/>
      <c r="X72" s="62"/>
      <c r="Y72" s="61"/>
      <c r="Z72" s="63"/>
    </row>
    <row r="73" spans="1:26" ht="20" customHeight="1" x14ac:dyDescent="0.15">
      <c r="A73" s="10"/>
      <c r="B73" s="1313"/>
      <c r="C73" s="386" t="s">
        <v>2</v>
      </c>
      <c r="D73" s="387">
        <f t="shared" ref="D73:D78" si="28">$C29</f>
        <v>0.1</v>
      </c>
      <c r="E73" s="605">
        <f>$D$29</f>
        <v>50000000</v>
      </c>
      <c r="F73" s="75"/>
      <c r="G73" s="386" t="s">
        <v>2</v>
      </c>
      <c r="H73" s="387">
        <f>(I73/E$72)</f>
        <v>0.05</v>
      </c>
      <c r="I73" s="605">
        <f>E73/2</f>
        <v>25000000</v>
      </c>
      <c r="J73" s="75"/>
      <c r="K73" s="386" t="s">
        <v>2</v>
      </c>
      <c r="L73" s="1255">
        <f>M73/E$72</f>
        <v>0.05</v>
      </c>
      <c r="M73" s="605">
        <f>E73-I73</f>
        <v>25000000</v>
      </c>
      <c r="N73" s="75"/>
      <c r="O73" s="10"/>
      <c r="P73" s="10"/>
      <c r="Q73" s="10"/>
      <c r="R73" s="10"/>
      <c r="S73" s="10"/>
      <c r="T73" s="10"/>
      <c r="U73" s="10"/>
      <c r="V73" s="10"/>
      <c r="W73" s="60"/>
      <c r="X73" s="60"/>
      <c r="Y73" s="61"/>
      <c r="Z73" s="63"/>
    </row>
    <row r="74" spans="1:26" ht="20" customHeight="1" x14ac:dyDescent="0.15">
      <c r="A74" s="10"/>
      <c r="B74" s="1313"/>
      <c r="C74" s="386" t="s">
        <v>3</v>
      </c>
      <c r="D74" s="387">
        <f>$C30</f>
        <v>0.5</v>
      </c>
      <c r="E74" s="605">
        <f>$D$30</f>
        <v>250000000</v>
      </c>
      <c r="F74" s="68"/>
      <c r="G74" s="386" t="s">
        <v>3</v>
      </c>
      <c r="H74" s="387">
        <f>I74/E$72</f>
        <v>0.25</v>
      </c>
      <c r="I74" s="605">
        <f t="shared" ref="I74:I78" si="29">E74/2</f>
        <v>125000000</v>
      </c>
      <c r="J74" s="68"/>
      <c r="K74" s="386" t="s">
        <v>3</v>
      </c>
      <c r="L74" s="1255">
        <f>M74/E$72</f>
        <v>0.25</v>
      </c>
      <c r="M74" s="605">
        <f t="shared" ref="M74:M78" si="30">E74-I74</f>
        <v>125000000</v>
      </c>
      <c r="N74" s="68"/>
      <c r="O74" s="10"/>
      <c r="P74" s="10"/>
      <c r="Q74" s="10"/>
      <c r="R74" s="10"/>
      <c r="S74" s="10"/>
      <c r="T74" s="10"/>
      <c r="U74" s="10"/>
      <c r="V74" s="10"/>
      <c r="W74" s="60"/>
      <c r="X74" s="60"/>
      <c r="Y74" s="61"/>
      <c r="Z74" s="63"/>
    </row>
    <row r="75" spans="1:26" ht="20" customHeight="1" x14ac:dyDescent="0.15">
      <c r="A75" s="10"/>
      <c r="B75" s="1313"/>
      <c r="C75" s="386" t="s">
        <v>4</v>
      </c>
      <c r="D75" s="387">
        <f t="shared" si="28"/>
        <v>0.1</v>
      </c>
      <c r="E75" s="605">
        <f>$D$31</f>
        <v>50000000</v>
      </c>
      <c r="F75" s="68"/>
      <c r="G75" s="386" t="s">
        <v>4</v>
      </c>
      <c r="H75" s="387">
        <f>I75/E$72</f>
        <v>0.05</v>
      </c>
      <c r="I75" s="605">
        <f t="shared" si="29"/>
        <v>25000000</v>
      </c>
      <c r="J75" s="68"/>
      <c r="K75" s="386" t="s">
        <v>4</v>
      </c>
      <c r="L75" s="1255">
        <f t="shared" ref="L74:L78" si="31">M75/E$72</f>
        <v>0.05</v>
      </c>
      <c r="M75" s="605">
        <f t="shared" si="30"/>
        <v>25000000</v>
      </c>
      <c r="N75" s="68"/>
      <c r="O75" s="10"/>
      <c r="P75" s="10"/>
      <c r="Q75" s="10"/>
      <c r="R75" s="10"/>
      <c r="S75" s="10"/>
      <c r="T75" s="10"/>
      <c r="U75" s="10"/>
      <c r="V75" s="10"/>
      <c r="W75" s="60"/>
      <c r="X75" s="60"/>
      <c r="Y75" s="61"/>
      <c r="Z75" s="63"/>
    </row>
    <row r="76" spans="1:26" ht="20" customHeight="1" x14ac:dyDescent="0.15">
      <c r="A76" s="10"/>
      <c r="B76" s="1313"/>
      <c r="C76" s="386" t="s">
        <v>5</v>
      </c>
      <c r="D76" s="387">
        <f t="shared" si="28"/>
        <v>0.1</v>
      </c>
      <c r="E76" s="605">
        <f>$D$32</f>
        <v>50000000</v>
      </c>
      <c r="F76" s="68"/>
      <c r="G76" s="386" t="s">
        <v>5</v>
      </c>
      <c r="H76" s="387">
        <f t="shared" ref="H76" si="32">I76/E$72</f>
        <v>0.05</v>
      </c>
      <c r="I76" s="605">
        <f t="shared" si="29"/>
        <v>25000000</v>
      </c>
      <c r="J76" s="68"/>
      <c r="K76" s="386" t="s">
        <v>5</v>
      </c>
      <c r="L76" s="1255">
        <f t="shared" si="31"/>
        <v>0.05</v>
      </c>
      <c r="M76" s="605">
        <f t="shared" si="30"/>
        <v>25000000</v>
      </c>
      <c r="N76" s="68"/>
      <c r="O76" s="10"/>
      <c r="P76" s="10"/>
      <c r="Q76" s="10"/>
      <c r="R76" s="10"/>
      <c r="S76" s="10"/>
      <c r="T76" s="10"/>
      <c r="U76" s="10"/>
      <c r="V76" s="10"/>
      <c r="W76" s="60"/>
      <c r="X76" s="60"/>
      <c r="Y76" s="61"/>
      <c r="Z76" s="63"/>
    </row>
    <row r="77" spans="1:26" ht="20" customHeight="1" x14ac:dyDescent="0.15">
      <c r="A77" s="10"/>
      <c r="B77" s="1313"/>
      <c r="C77" s="386" t="s">
        <v>6</v>
      </c>
      <c r="D77" s="387">
        <f t="shared" si="28"/>
        <v>0.1</v>
      </c>
      <c r="E77" s="605">
        <f>$D$33</f>
        <v>50000000</v>
      </c>
      <c r="F77" s="68"/>
      <c r="G77" s="386" t="s">
        <v>6</v>
      </c>
      <c r="H77" s="387">
        <f>I77/E$72</f>
        <v>0.05</v>
      </c>
      <c r="I77" s="605">
        <f t="shared" si="29"/>
        <v>25000000</v>
      </c>
      <c r="J77" s="68"/>
      <c r="K77" s="386" t="s">
        <v>6</v>
      </c>
      <c r="L77" s="1255">
        <f t="shared" si="31"/>
        <v>0.05</v>
      </c>
      <c r="M77" s="605">
        <f t="shared" si="30"/>
        <v>25000000</v>
      </c>
      <c r="N77" s="68"/>
      <c r="O77" s="10"/>
      <c r="P77" s="10"/>
      <c r="Q77" s="10"/>
      <c r="R77" s="10"/>
      <c r="S77" s="10"/>
      <c r="T77" s="10"/>
      <c r="U77" s="10"/>
      <c r="V77" s="10"/>
      <c r="W77" s="60"/>
      <c r="X77" s="60"/>
      <c r="Y77" s="61"/>
      <c r="Z77" s="63"/>
    </row>
    <row r="78" spans="1:26" ht="20" customHeight="1" x14ac:dyDescent="0.15">
      <c r="A78" s="10"/>
      <c r="B78" s="1313"/>
      <c r="C78" s="386" t="s">
        <v>60</v>
      </c>
      <c r="D78" s="387">
        <f t="shared" si="28"/>
        <v>0.1</v>
      </c>
      <c r="E78" s="605">
        <f>$D$34</f>
        <v>50000000</v>
      </c>
      <c r="F78" s="68"/>
      <c r="G78" s="386" t="s">
        <v>60</v>
      </c>
      <c r="H78" s="387">
        <f>I78/E$72</f>
        <v>0.05</v>
      </c>
      <c r="I78" s="605">
        <f t="shared" si="29"/>
        <v>25000000</v>
      </c>
      <c r="J78" s="68"/>
      <c r="K78" s="386" t="s">
        <v>60</v>
      </c>
      <c r="L78" s="1255">
        <f t="shared" si="31"/>
        <v>0.05</v>
      </c>
      <c r="M78" s="605">
        <f t="shared" si="30"/>
        <v>25000000</v>
      </c>
      <c r="N78" s="68"/>
      <c r="O78" s="10"/>
      <c r="P78" s="10"/>
      <c r="Q78" s="10"/>
      <c r="R78" s="10"/>
      <c r="S78" s="10"/>
      <c r="T78" s="10"/>
      <c r="U78" s="10"/>
      <c r="V78" s="10"/>
      <c r="W78" s="60"/>
      <c r="X78" s="60"/>
      <c r="Y78" s="61"/>
      <c r="Z78" s="63"/>
    </row>
    <row r="79" spans="1:26" ht="20" customHeight="1" x14ac:dyDescent="0.15">
      <c r="A79" s="10"/>
      <c r="B79" s="1313"/>
      <c r="C79" s="393" t="s">
        <v>80</v>
      </c>
      <c r="D79" s="606">
        <v>0.5</v>
      </c>
      <c r="E79" s="721">
        <f>AVERAGE($E$80:$E$85)</f>
        <v>0.37333333333333335</v>
      </c>
      <c r="F79" s="359" t="s">
        <v>76</v>
      </c>
      <c r="G79" s="393" t="s">
        <v>80</v>
      </c>
      <c r="H79" s="606">
        <f>AVERAGE($H$80:$H$85)</f>
        <v>0.5</v>
      </c>
      <c r="I79" s="721">
        <f>AVERAGE($I$80:$I$85)</f>
        <v>0.18666666666666668</v>
      </c>
      <c r="J79" s="359" t="s">
        <v>76</v>
      </c>
      <c r="K79" s="393" t="s">
        <v>80</v>
      </c>
      <c r="L79" s="606">
        <f>AVERAGE($L$80:$L$85)</f>
        <v>0.5</v>
      </c>
      <c r="M79" s="721">
        <f>AVERAGE($M$80:$M$85)</f>
        <v>0.18666666666666668</v>
      </c>
      <c r="N79" s="359" t="s">
        <v>76</v>
      </c>
      <c r="O79" s="10"/>
      <c r="P79" s="10"/>
      <c r="Q79" s="10"/>
      <c r="R79" s="10"/>
      <c r="S79" s="10"/>
      <c r="T79" s="10"/>
      <c r="U79" s="10"/>
      <c r="V79" s="10"/>
      <c r="W79" s="60"/>
      <c r="X79" s="62"/>
      <c r="Y79" s="61"/>
      <c r="Z79" s="63"/>
    </row>
    <row r="80" spans="1:26" ht="20" customHeight="1" x14ac:dyDescent="0.15">
      <c r="A80" s="10"/>
      <c r="B80" s="1313"/>
      <c r="C80" s="386" t="s">
        <v>2</v>
      </c>
      <c r="D80" s="387">
        <v>0.2</v>
      </c>
      <c r="E80" s="391">
        <f>$D$17/$D$29</f>
        <v>0.2</v>
      </c>
      <c r="F80" s="68"/>
      <c r="G80" s="386" t="s">
        <v>2</v>
      </c>
      <c r="H80" s="387">
        <f>I80/E$79</f>
        <v>0.26785714285714285</v>
      </c>
      <c r="I80" s="391">
        <f>E80/2</f>
        <v>0.1</v>
      </c>
      <c r="J80" s="68"/>
      <c r="K80" s="386" t="s">
        <v>2</v>
      </c>
      <c r="L80" s="387">
        <f>M80/E$79</f>
        <v>0.26785714285714285</v>
      </c>
      <c r="M80" s="391">
        <f>E80-I80</f>
        <v>0.1</v>
      </c>
      <c r="N80" s="68"/>
      <c r="O80" s="10"/>
      <c r="P80" s="10"/>
      <c r="Q80" s="10"/>
      <c r="R80" s="10"/>
      <c r="S80" s="10"/>
      <c r="T80" s="10"/>
      <c r="U80" s="10"/>
      <c r="V80" s="10"/>
      <c r="W80" s="60"/>
      <c r="X80" s="60"/>
      <c r="Y80" s="61"/>
      <c r="Z80" s="63"/>
    </row>
    <row r="81" spans="1:26" ht="20" customHeight="1" x14ac:dyDescent="0.15">
      <c r="A81" s="10"/>
      <c r="B81" s="1313"/>
      <c r="C81" s="386" t="s">
        <v>3</v>
      </c>
      <c r="D81" s="387">
        <v>0.4</v>
      </c>
      <c r="E81" s="391">
        <f>$D$18/$D$30</f>
        <v>0.24</v>
      </c>
      <c r="F81" s="68"/>
      <c r="G81" s="386" t="s">
        <v>3</v>
      </c>
      <c r="H81" s="387">
        <f t="shared" ref="H81:H85" si="33">I81/E$79</f>
        <v>0.3214285714285714</v>
      </c>
      <c r="I81" s="391">
        <f t="shared" ref="I81:I85" si="34">E81/2</f>
        <v>0.12</v>
      </c>
      <c r="J81" s="68"/>
      <c r="K81" s="386" t="s">
        <v>3</v>
      </c>
      <c r="L81" s="387">
        <f t="shared" ref="L81:L85" si="35">M81/E$79</f>
        <v>0.3214285714285714</v>
      </c>
      <c r="M81" s="391">
        <f t="shared" ref="M81:M85" si="36">E81-I81</f>
        <v>0.12</v>
      </c>
      <c r="N81" s="68"/>
      <c r="O81" s="10"/>
      <c r="P81" s="10"/>
      <c r="Q81" s="10"/>
      <c r="R81" s="10"/>
      <c r="S81" s="10"/>
      <c r="T81" s="10"/>
      <c r="U81" s="10"/>
      <c r="V81" s="10"/>
      <c r="W81" s="60"/>
      <c r="X81" s="60"/>
      <c r="Y81" s="61"/>
      <c r="Z81" s="63"/>
    </row>
    <row r="82" spans="1:26" ht="20" customHeight="1" x14ac:dyDescent="0.15">
      <c r="A82" s="10"/>
      <c r="B82" s="1313"/>
      <c r="C82" s="386" t="s">
        <v>4</v>
      </c>
      <c r="D82" s="387">
        <v>0.1</v>
      </c>
      <c r="E82" s="391">
        <f>$D$19/$D$31</f>
        <v>0.2</v>
      </c>
      <c r="F82" s="68"/>
      <c r="G82" s="386" t="s">
        <v>4</v>
      </c>
      <c r="H82" s="387">
        <f t="shared" si="33"/>
        <v>0.26785714285714285</v>
      </c>
      <c r="I82" s="391">
        <f t="shared" si="34"/>
        <v>0.1</v>
      </c>
      <c r="J82" s="68"/>
      <c r="K82" s="386" t="s">
        <v>4</v>
      </c>
      <c r="L82" s="387">
        <f t="shared" si="35"/>
        <v>0.26785714285714285</v>
      </c>
      <c r="M82" s="391">
        <f t="shared" si="36"/>
        <v>0.1</v>
      </c>
      <c r="N82" s="68"/>
      <c r="O82" s="10"/>
      <c r="P82" s="10"/>
      <c r="Q82" s="10"/>
      <c r="R82" s="10"/>
      <c r="S82" s="10"/>
      <c r="T82" s="10"/>
      <c r="U82" s="10"/>
      <c r="V82" s="10"/>
      <c r="W82" s="60"/>
      <c r="X82" s="60"/>
      <c r="Y82" s="61"/>
      <c r="Z82" s="63"/>
    </row>
    <row r="83" spans="1:26" ht="20" customHeight="1" x14ac:dyDescent="0.15">
      <c r="A83" s="10"/>
      <c r="B83" s="1313"/>
      <c r="C83" s="386" t="s">
        <v>5</v>
      </c>
      <c r="D83" s="387">
        <v>0.1</v>
      </c>
      <c r="E83" s="391">
        <f>($D$20+$D$23)/$D$32</f>
        <v>0.6</v>
      </c>
      <c r="F83" s="68"/>
      <c r="G83" s="386" t="s">
        <v>5</v>
      </c>
      <c r="H83" s="387">
        <f t="shared" si="33"/>
        <v>0.80357142857142849</v>
      </c>
      <c r="I83" s="391">
        <f t="shared" si="34"/>
        <v>0.3</v>
      </c>
      <c r="J83" s="68"/>
      <c r="K83" s="386" t="s">
        <v>5</v>
      </c>
      <c r="L83" s="387">
        <f t="shared" si="35"/>
        <v>0.80357142857142849</v>
      </c>
      <c r="M83" s="391">
        <f t="shared" si="36"/>
        <v>0.3</v>
      </c>
      <c r="N83" s="68"/>
      <c r="O83" s="10"/>
      <c r="P83" s="10"/>
      <c r="Q83" s="10"/>
      <c r="R83" s="10"/>
      <c r="S83" s="10"/>
      <c r="T83" s="10"/>
      <c r="U83" s="10"/>
      <c r="V83" s="10"/>
      <c r="W83" s="60"/>
      <c r="X83" s="60"/>
      <c r="Y83" s="61"/>
      <c r="Z83" s="63"/>
    </row>
    <row r="84" spans="1:26" ht="20" customHeight="1" x14ac:dyDescent="0.15">
      <c r="A84" s="10"/>
      <c r="B84" s="1313"/>
      <c r="C84" s="386" t="s">
        <v>6</v>
      </c>
      <c r="D84" s="387">
        <v>0.1</v>
      </c>
      <c r="E84" s="391">
        <f>$D$21/$D$33</f>
        <v>0.2</v>
      </c>
      <c r="F84" s="68"/>
      <c r="G84" s="386" t="s">
        <v>6</v>
      </c>
      <c r="H84" s="387">
        <f t="shared" si="33"/>
        <v>0.26785714285714285</v>
      </c>
      <c r="I84" s="391">
        <f t="shared" si="34"/>
        <v>0.1</v>
      </c>
      <c r="J84" s="68"/>
      <c r="K84" s="386" t="s">
        <v>6</v>
      </c>
      <c r="L84" s="387">
        <f t="shared" si="35"/>
        <v>0.26785714285714285</v>
      </c>
      <c r="M84" s="391">
        <f t="shared" si="36"/>
        <v>0.1</v>
      </c>
      <c r="N84" s="68"/>
      <c r="O84" s="10"/>
      <c r="P84" s="10"/>
      <c r="Q84" s="10"/>
      <c r="R84" s="10"/>
      <c r="S84" s="10"/>
      <c r="T84" s="10"/>
      <c r="U84" s="10"/>
      <c r="V84" s="10"/>
      <c r="W84" s="60"/>
      <c r="X84" s="60"/>
      <c r="Y84" s="61"/>
      <c r="Z84" s="63"/>
    </row>
    <row r="85" spans="1:26" ht="20" customHeight="1" x14ac:dyDescent="0.15">
      <c r="A85" s="10"/>
      <c r="B85" s="1313"/>
      <c r="C85" s="386" t="s">
        <v>60</v>
      </c>
      <c r="D85" s="387">
        <v>0.1</v>
      </c>
      <c r="E85" s="391">
        <f>$D$22/$D$34</f>
        <v>0.8</v>
      </c>
      <c r="F85" s="68"/>
      <c r="G85" s="386" t="s">
        <v>60</v>
      </c>
      <c r="H85" s="387">
        <f t="shared" si="33"/>
        <v>1.0714285714285714</v>
      </c>
      <c r="I85" s="391">
        <f t="shared" si="34"/>
        <v>0.4</v>
      </c>
      <c r="J85" s="68"/>
      <c r="K85" s="386" t="s">
        <v>60</v>
      </c>
      <c r="L85" s="387">
        <f t="shared" si="35"/>
        <v>1.0714285714285714</v>
      </c>
      <c r="M85" s="391">
        <f t="shared" si="36"/>
        <v>0.4</v>
      </c>
      <c r="N85" s="68"/>
      <c r="O85" s="10"/>
      <c r="P85" s="10"/>
      <c r="Q85" s="10"/>
      <c r="R85" s="10"/>
      <c r="S85" s="10"/>
      <c r="T85" s="10"/>
      <c r="U85" s="10"/>
      <c r="V85" s="10"/>
      <c r="W85" s="60"/>
      <c r="X85" s="60"/>
      <c r="Y85" s="61"/>
      <c r="Z85" s="63"/>
    </row>
    <row r="86" spans="1:26" ht="20" customHeight="1" x14ac:dyDescent="0.15">
      <c r="A86" s="10"/>
      <c r="B86" s="1313"/>
      <c r="C86" s="392" t="s">
        <v>84</v>
      </c>
      <c r="D86" s="606">
        <v>0.25</v>
      </c>
      <c r="E86" s="721">
        <f>AVERAGE($E$87:$E$92)</f>
        <v>0.45833333333333331</v>
      </c>
      <c r="F86" s="359" t="s">
        <v>76</v>
      </c>
      <c r="G86" s="392" t="s">
        <v>84</v>
      </c>
      <c r="H86" s="606">
        <f>AVERAGE($H$87:$H$92)</f>
        <v>0.5636363636363636</v>
      </c>
      <c r="I86" s="721">
        <f>AVERAGE($I$87:$I$92)</f>
        <v>0.25833333333333336</v>
      </c>
      <c r="J86" s="359" t="s">
        <v>76</v>
      </c>
      <c r="K86" s="392" t="s">
        <v>84</v>
      </c>
      <c r="L86" s="606">
        <f>AVERAGE($L$87:$L$92)</f>
        <v>0.43636363636363629</v>
      </c>
      <c r="M86" s="721">
        <f>AVERAGE($M$87:$M$92)</f>
        <v>0.19999999999999998</v>
      </c>
      <c r="N86" s="359" t="s">
        <v>76</v>
      </c>
      <c r="O86" s="10"/>
      <c r="P86" s="10"/>
      <c r="Q86" s="10"/>
      <c r="R86" s="10"/>
      <c r="S86" s="10"/>
      <c r="T86" s="10"/>
      <c r="U86" s="10"/>
      <c r="V86" s="10"/>
      <c r="W86" s="60"/>
      <c r="X86" s="62"/>
      <c r="Y86" s="65"/>
      <c r="Z86" s="63"/>
    </row>
    <row r="87" spans="1:26" ht="20" customHeight="1" x14ac:dyDescent="0.15">
      <c r="A87" s="10"/>
      <c r="B87" s="1313"/>
      <c r="C87" s="386" t="s">
        <v>2</v>
      </c>
      <c r="D87" s="387">
        <v>0.2</v>
      </c>
      <c r="E87" s="391">
        <f>$K$29</f>
        <v>0.2</v>
      </c>
      <c r="F87" s="68"/>
      <c r="G87" s="386" t="s">
        <v>2</v>
      </c>
      <c r="H87" s="387">
        <f>I87/E$86</f>
        <v>0.32727272727272727</v>
      </c>
      <c r="I87" s="391">
        <v>0.15</v>
      </c>
      <c r="J87" s="68"/>
      <c r="K87" s="386" t="s">
        <v>2</v>
      </c>
      <c r="L87" s="387">
        <f>M87/E$86</f>
        <v>0.10909090909090913</v>
      </c>
      <c r="M87" s="391">
        <f>E87-I87</f>
        <v>5.0000000000000017E-2</v>
      </c>
      <c r="N87" s="68"/>
      <c r="O87" s="10"/>
      <c r="P87" s="10"/>
      <c r="Q87" s="10"/>
      <c r="R87" s="10"/>
      <c r="S87" s="10"/>
      <c r="T87" s="10"/>
      <c r="U87" s="10"/>
      <c r="V87" s="10"/>
      <c r="W87" s="60"/>
      <c r="X87" s="62"/>
      <c r="Y87" s="65"/>
      <c r="Z87" s="63"/>
    </row>
    <row r="88" spans="1:26" ht="20" customHeight="1" x14ac:dyDescent="0.15">
      <c r="A88" s="10"/>
      <c r="B88" s="1313"/>
      <c r="C88" s="386" t="s">
        <v>3</v>
      </c>
      <c r="D88" s="387">
        <v>0.4</v>
      </c>
      <c r="E88" s="391">
        <f>$K$30</f>
        <v>0.9</v>
      </c>
      <c r="F88" s="68"/>
      <c r="G88" s="386" t="s">
        <v>3</v>
      </c>
      <c r="H88" s="387">
        <f t="shared" ref="H88:H92" si="37">I88/E$86</f>
        <v>1.7454545454545456</v>
      </c>
      <c r="I88" s="391">
        <v>0.8</v>
      </c>
      <c r="J88" s="68"/>
      <c r="K88" s="386" t="s">
        <v>3</v>
      </c>
      <c r="L88" s="387">
        <f t="shared" ref="L88:L92" si="38">M88/E$86</f>
        <v>0.21818181818181814</v>
      </c>
      <c r="M88" s="391">
        <f>E88-I88</f>
        <v>9.9999999999999978E-2</v>
      </c>
      <c r="N88" s="68"/>
      <c r="O88" s="10"/>
      <c r="P88" s="10"/>
      <c r="Q88" s="10"/>
      <c r="R88" s="10"/>
      <c r="S88" s="10"/>
      <c r="T88" s="10"/>
      <c r="U88" s="10"/>
      <c r="V88" s="10"/>
      <c r="W88" s="60"/>
      <c r="X88" s="62"/>
      <c r="Y88" s="65"/>
      <c r="Z88" s="63"/>
    </row>
    <row r="89" spans="1:26" ht="20" customHeight="1" x14ac:dyDescent="0.15">
      <c r="A89" s="10"/>
      <c r="B89" s="1313"/>
      <c r="C89" s="386" t="s">
        <v>4</v>
      </c>
      <c r="D89" s="387">
        <v>0.1</v>
      </c>
      <c r="E89" s="391">
        <f>$K$31</f>
        <v>0.5</v>
      </c>
      <c r="F89" s="68"/>
      <c r="G89" s="386" t="s">
        <v>4</v>
      </c>
      <c r="H89" s="387">
        <f t="shared" si="37"/>
        <v>0.98181818181818192</v>
      </c>
      <c r="I89" s="391">
        <v>0.45</v>
      </c>
      <c r="J89" s="68"/>
      <c r="K89" s="386" t="s">
        <v>4</v>
      </c>
      <c r="L89" s="387">
        <f t="shared" si="38"/>
        <v>0.10909090909090907</v>
      </c>
      <c r="M89" s="391">
        <f>E89-I89</f>
        <v>4.9999999999999989E-2</v>
      </c>
      <c r="N89" s="68"/>
      <c r="O89" s="10"/>
      <c r="P89" s="10"/>
      <c r="Q89" s="10"/>
      <c r="R89" s="10"/>
      <c r="S89" s="10"/>
      <c r="T89" s="10"/>
      <c r="U89" s="10"/>
      <c r="V89" s="10"/>
      <c r="W89" s="60"/>
      <c r="X89" s="62"/>
      <c r="Y89" s="65"/>
      <c r="Z89" s="63"/>
    </row>
    <row r="90" spans="1:26" ht="20" customHeight="1" x14ac:dyDescent="0.15">
      <c r="A90" s="10"/>
      <c r="B90" s="1313"/>
      <c r="C90" s="386" t="s">
        <v>5</v>
      </c>
      <c r="D90" s="387">
        <v>0.1</v>
      </c>
      <c r="E90" s="391">
        <f>$K$32</f>
        <v>0.7</v>
      </c>
      <c r="F90" s="68"/>
      <c r="G90" s="386" t="s">
        <v>5</v>
      </c>
      <c r="H90" s="387">
        <f t="shared" si="37"/>
        <v>0.1090909090909091</v>
      </c>
      <c r="I90" s="391">
        <v>0.05</v>
      </c>
      <c r="J90" s="68"/>
      <c r="K90" s="386" t="s">
        <v>5</v>
      </c>
      <c r="L90" s="387">
        <f t="shared" si="38"/>
        <v>1.418181818181818</v>
      </c>
      <c r="M90" s="391">
        <f>E90-I90</f>
        <v>0.64999999999999991</v>
      </c>
      <c r="N90" s="68"/>
      <c r="O90" s="10"/>
      <c r="P90" s="10"/>
      <c r="Q90" s="10"/>
      <c r="R90" s="10"/>
      <c r="S90" s="17"/>
      <c r="T90" s="10"/>
      <c r="U90" s="10"/>
      <c r="V90" s="10"/>
      <c r="W90" s="60"/>
      <c r="X90" s="60"/>
      <c r="Y90" s="61"/>
      <c r="Z90" s="63"/>
    </row>
    <row r="91" spans="1:26" ht="20" customHeight="1" x14ac:dyDescent="0.15">
      <c r="A91" s="10"/>
      <c r="B91" s="1313"/>
      <c r="C91" s="386" t="s">
        <v>6</v>
      </c>
      <c r="D91" s="387">
        <v>0.1</v>
      </c>
      <c r="E91" s="391">
        <f>$K$33</f>
        <v>0.35</v>
      </c>
      <c r="F91" s="68"/>
      <c r="G91" s="386" t="s">
        <v>6</v>
      </c>
      <c r="H91" s="387">
        <f t="shared" si="37"/>
        <v>0.1090909090909091</v>
      </c>
      <c r="I91" s="391">
        <v>0.05</v>
      </c>
      <c r="J91" s="68"/>
      <c r="K91" s="386" t="s">
        <v>6</v>
      </c>
      <c r="L91" s="387">
        <f t="shared" si="38"/>
        <v>0.65454545454545454</v>
      </c>
      <c r="M91" s="391">
        <f t="shared" ref="M91:M92" si="39">E91-I91</f>
        <v>0.3</v>
      </c>
      <c r="N91" s="68"/>
      <c r="O91" s="10"/>
      <c r="P91" s="10"/>
      <c r="Q91" s="10"/>
      <c r="R91" s="10"/>
      <c r="S91" s="10"/>
      <c r="T91" s="10"/>
      <c r="U91" s="10"/>
      <c r="V91" s="10"/>
      <c r="W91" s="60"/>
      <c r="X91" s="60"/>
      <c r="Y91" s="61"/>
      <c r="Z91" s="63"/>
    </row>
    <row r="92" spans="1:26" ht="20" customHeight="1" x14ac:dyDescent="0.15">
      <c r="A92" s="10"/>
      <c r="B92" s="1313"/>
      <c r="C92" s="386" t="s">
        <v>60</v>
      </c>
      <c r="D92" s="387">
        <v>0.1</v>
      </c>
      <c r="E92" s="391">
        <f>$K$34</f>
        <v>0.1</v>
      </c>
      <c r="F92" s="68"/>
      <c r="G92" s="386" t="s">
        <v>60</v>
      </c>
      <c r="H92" s="387">
        <f t="shared" si="37"/>
        <v>0.1090909090909091</v>
      </c>
      <c r="I92" s="391">
        <v>0.05</v>
      </c>
      <c r="J92" s="68"/>
      <c r="K92" s="386" t="s">
        <v>60</v>
      </c>
      <c r="L92" s="387">
        <f t="shared" si="38"/>
        <v>0.1090909090909091</v>
      </c>
      <c r="M92" s="391">
        <f t="shared" si="39"/>
        <v>0.05</v>
      </c>
      <c r="N92" s="68"/>
      <c r="O92" s="10"/>
      <c r="P92" s="10"/>
      <c r="Q92" s="10"/>
      <c r="R92" s="10"/>
      <c r="S92" s="10"/>
      <c r="T92" s="10"/>
      <c r="U92" s="10"/>
      <c r="V92" s="10"/>
      <c r="W92" s="60"/>
      <c r="X92" s="60"/>
      <c r="Y92" s="61"/>
      <c r="Z92" s="63"/>
    </row>
    <row r="93" spans="1:26" s="333" customFormat="1" ht="20" customHeight="1" x14ac:dyDescent="0.15">
      <c r="A93" s="327"/>
      <c r="B93" s="993" t="s">
        <v>81</v>
      </c>
      <c r="C93" s="380" t="s">
        <v>86</v>
      </c>
      <c r="D93" s="996" t="str">
        <f>D55</f>
        <v>Ratio</v>
      </c>
      <c r="E93" s="997" t="str">
        <f>E54</f>
        <v>KPIs</v>
      </c>
      <c r="F93" s="381"/>
      <c r="G93" s="334" t="s">
        <v>154</v>
      </c>
      <c r="H93" s="998" t="str">
        <f>H54</f>
        <v>Ratio/ Team</v>
      </c>
      <c r="I93" s="999" t="str">
        <f>I54</f>
        <v>KPIs</v>
      </c>
      <c r="J93" s="341"/>
      <c r="K93" s="334" t="s">
        <v>155</v>
      </c>
      <c r="L93" s="998" t="str">
        <f>H93</f>
        <v>Ratio/ Team</v>
      </c>
      <c r="M93" s="999" t="str">
        <f>I93</f>
        <v>KPIs</v>
      </c>
      <c r="N93" s="341"/>
      <c r="O93" s="334" t="s">
        <v>156</v>
      </c>
      <c r="P93" s="998" t="str">
        <f>L93</f>
        <v>Ratio/ Team</v>
      </c>
      <c r="Q93" s="999" t="str">
        <f>M93</f>
        <v>KPIs</v>
      </c>
      <c r="R93" s="341"/>
      <c r="S93" s="334" t="s">
        <v>157</v>
      </c>
      <c r="T93" s="998" t="str">
        <f>P93</f>
        <v>Ratio/ Team</v>
      </c>
      <c r="U93" s="999" t="str">
        <f>Q93</f>
        <v>KPIs</v>
      </c>
      <c r="V93" s="341"/>
      <c r="W93" s="327"/>
      <c r="X93" s="327"/>
      <c r="Y93" s="327"/>
      <c r="Z93" s="327"/>
    </row>
    <row r="94" spans="1:26" ht="20" customHeight="1" x14ac:dyDescent="0.15">
      <c r="A94" s="10"/>
      <c r="B94" s="1314" t="s">
        <v>86</v>
      </c>
      <c r="C94" s="382" t="s">
        <v>20</v>
      </c>
      <c r="D94" s="383">
        <f>$B$51</f>
        <v>0.2</v>
      </c>
      <c r="E94" s="383">
        <f>SUM(D$95:D$97)</f>
        <v>1</v>
      </c>
      <c r="F94" s="350"/>
      <c r="G94" s="76" t="s">
        <v>20</v>
      </c>
      <c r="H94" s="348">
        <f>$B$51</f>
        <v>0.2</v>
      </c>
      <c r="I94" s="348">
        <f>AVERAGE(H95,H96,H97)</f>
        <v>0.34999999999999992</v>
      </c>
      <c r="J94" s="350"/>
      <c r="K94" s="76" t="s">
        <v>20</v>
      </c>
      <c r="L94" s="348">
        <f>$B$51</f>
        <v>0.2</v>
      </c>
      <c r="M94" s="348">
        <f>AVERAGE(L95,L96,L97)</f>
        <v>0.3</v>
      </c>
      <c r="N94" s="350"/>
      <c r="O94" s="76" t="s">
        <v>20</v>
      </c>
      <c r="P94" s="348">
        <f>$B$51</f>
        <v>0.2</v>
      </c>
      <c r="Q94" s="348">
        <f>AVERAGE(P95,P96,P97)</f>
        <v>0.25</v>
      </c>
      <c r="R94" s="350"/>
      <c r="S94" s="76" t="s">
        <v>20</v>
      </c>
      <c r="T94" s="348">
        <f>$B$51</f>
        <v>0.2</v>
      </c>
      <c r="U94" s="348">
        <f>AVERAGE(T95,T96,T97)</f>
        <v>0.20000000000000004</v>
      </c>
      <c r="V94" s="350"/>
      <c r="W94" s="16"/>
      <c r="X94" s="16"/>
      <c r="Y94" s="16"/>
      <c r="Z94" s="16"/>
    </row>
    <row r="95" spans="1:26" ht="20" customHeight="1" x14ac:dyDescent="0.15">
      <c r="A95" s="10"/>
      <c r="B95" s="1313"/>
      <c r="C95" s="385" t="s">
        <v>82</v>
      </c>
      <c r="D95" s="607">
        <v>0.4</v>
      </c>
      <c r="E95" s="712">
        <f>$E$59+$E$60+$E$63+$I$35</f>
        <v>1222.6096189881323</v>
      </c>
      <c r="F95" s="359" t="s">
        <v>183</v>
      </c>
      <c r="G95" s="353" t="s">
        <v>82</v>
      </c>
      <c r="H95" s="71">
        <f>I95/$E95</f>
        <v>0.35</v>
      </c>
      <c r="I95" s="715">
        <f>$E$95*$P$13</f>
        <v>427.91336664584628</v>
      </c>
      <c r="J95" s="359" t="s">
        <v>183</v>
      </c>
      <c r="K95" s="353" t="s">
        <v>82</v>
      </c>
      <c r="L95" s="71">
        <f>M95/$E95</f>
        <v>0.3</v>
      </c>
      <c r="M95" s="715">
        <f>$E$95*$Q$13</f>
        <v>366.78288569643968</v>
      </c>
      <c r="N95" s="359" t="s">
        <v>183</v>
      </c>
      <c r="O95" s="353" t="s">
        <v>82</v>
      </c>
      <c r="P95" s="71">
        <f>Q95/$E95</f>
        <v>0.25</v>
      </c>
      <c r="Q95" s="715">
        <f>$E$95*$R$13</f>
        <v>305.65240474703307</v>
      </c>
      <c r="R95" s="359" t="s">
        <v>183</v>
      </c>
      <c r="S95" s="353" t="s">
        <v>82</v>
      </c>
      <c r="T95" s="71">
        <f>U95/$E95</f>
        <v>0.2</v>
      </c>
      <c r="U95" s="715">
        <f>$E$95*$S$13</f>
        <v>244.52192379762647</v>
      </c>
      <c r="V95" s="359" t="s">
        <v>183</v>
      </c>
      <c r="W95" s="16"/>
      <c r="X95" s="16"/>
      <c r="Y95" s="16"/>
      <c r="Z95" s="16"/>
    </row>
    <row r="96" spans="1:26" ht="20" customHeight="1" x14ac:dyDescent="0.15">
      <c r="A96" s="10"/>
      <c r="B96" s="1313"/>
      <c r="C96" s="385" t="s">
        <v>83</v>
      </c>
      <c r="D96" s="607">
        <v>0.4</v>
      </c>
      <c r="E96" s="712">
        <f>$E$58</f>
        <v>313</v>
      </c>
      <c r="F96" s="359" t="s">
        <v>184</v>
      </c>
      <c r="G96" s="353" t="s">
        <v>83</v>
      </c>
      <c r="H96" s="71">
        <f>I96/$E96</f>
        <v>0.35</v>
      </c>
      <c r="I96" s="715">
        <f>$E$96*$P$13</f>
        <v>109.55</v>
      </c>
      <c r="J96" s="359" t="s">
        <v>184</v>
      </c>
      <c r="K96" s="353" t="s">
        <v>83</v>
      </c>
      <c r="L96" s="71">
        <f>M96/$E96</f>
        <v>0.3</v>
      </c>
      <c r="M96" s="715">
        <f>$E$96*$Q$13</f>
        <v>93.899999999999991</v>
      </c>
      <c r="N96" s="359" t="s">
        <v>184</v>
      </c>
      <c r="O96" s="353" t="s">
        <v>83</v>
      </c>
      <c r="P96" s="71">
        <f>Q96/$E96</f>
        <v>0.25</v>
      </c>
      <c r="Q96" s="715">
        <f>$E$96*$R$13</f>
        <v>78.25</v>
      </c>
      <c r="R96" s="359" t="s">
        <v>184</v>
      </c>
      <c r="S96" s="353" t="s">
        <v>83</v>
      </c>
      <c r="T96" s="71">
        <f>U96/$E96</f>
        <v>0.2</v>
      </c>
      <c r="U96" s="715">
        <f>$E$96*$S$13</f>
        <v>62.6</v>
      </c>
      <c r="V96" s="359" t="s">
        <v>184</v>
      </c>
      <c r="W96" s="16"/>
      <c r="X96" s="16"/>
      <c r="Y96" s="16"/>
      <c r="Z96" s="16"/>
    </row>
    <row r="97" spans="1:26" ht="20" customHeight="1" x14ac:dyDescent="0.15">
      <c r="A97" s="10"/>
      <c r="B97" s="1313"/>
      <c r="C97" s="385" t="s">
        <v>24</v>
      </c>
      <c r="D97" s="607">
        <v>0.2</v>
      </c>
      <c r="E97" s="714">
        <f>$N$13*$C$6</f>
        <v>104</v>
      </c>
      <c r="F97" s="359" t="s">
        <v>185</v>
      </c>
      <c r="G97" s="353" t="s">
        <v>24</v>
      </c>
      <c r="H97" s="71">
        <f>I97/$E97</f>
        <v>0.35</v>
      </c>
      <c r="I97" s="715">
        <f>$E$97*$P$13</f>
        <v>36.4</v>
      </c>
      <c r="J97" s="359" t="s">
        <v>185</v>
      </c>
      <c r="K97" s="353" t="s">
        <v>24</v>
      </c>
      <c r="L97" s="71">
        <f>M97/$E97</f>
        <v>0.3</v>
      </c>
      <c r="M97" s="715">
        <f>$E$97*$Q$13</f>
        <v>31.2</v>
      </c>
      <c r="N97" s="359" t="s">
        <v>185</v>
      </c>
      <c r="O97" s="353" t="s">
        <v>24</v>
      </c>
      <c r="P97" s="71">
        <f>Q97/$E97</f>
        <v>0.25</v>
      </c>
      <c r="Q97" s="715">
        <f>$E$97*$R$13</f>
        <v>26</v>
      </c>
      <c r="R97" s="359" t="s">
        <v>185</v>
      </c>
      <c r="S97" s="353" t="s">
        <v>24</v>
      </c>
      <c r="T97" s="71">
        <f>U97/$E97</f>
        <v>0.2</v>
      </c>
      <c r="U97" s="715">
        <f>$E$97*$S$13</f>
        <v>20.8</v>
      </c>
      <c r="V97" s="359" t="s">
        <v>185</v>
      </c>
      <c r="W97" s="16"/>
      <c r="X97" s="16"/>
      <c r="Y97" s="16"/>
      <c r="Z97" s="16"/>
    </row>
    <row r="98" spans="1:26" ht="20" customHeight="1" x14ac:dyDescent="0.15">
      <c r="A98" s="10"/>
      <c r="B98" s="1313"/>
      <c r="C98" s="390" t="s">
        <v>21</v>
      </c>
      <c r="D98" s="349">
        <f>$B$52</f>
        <v>0.2</v>
      </c>
      <c r="E98" s="349">
        <f>D$99*SUM(D$100:D$105)+D$106*SUM(D$107:D$112)+D$113*SUM(D$114:D$119)+D$120*SUM(D$121:D$126)+D$127</f>
        <v>1</v>
      </c>
      <c r="F98" s="70"/>
      <c r="G98" s="69" t="s">
        <v>21</v>
      </c>
      <c r="H98" s="349">
        <f>$B$52</f>
        <v>0.2</v>
      </c>
      <c r="I98" s="349">
        <f>AVERAGE(H99,H106,H113,H120,H127)</f>
        <v>0.35</v>
      </c>
      <c r="J98" s="70"/>
      <c r="K98" s="69" t="s">
        <v>21</v>
      </c>
      <c r="L98" s="349">
        <f>$B$52</f>
        <v>0.2</v>
      </c>
      <c r="M98" s="349">
        <f>AVERAGE(L99,L106,L113,L120,L127)</f>
        <v>0.30000000000000004</v>
      </c>
      <c r="N98" s="70"/>
      <c r="O98" s="69" t="s">
        <v>21</v>
      </c>
      <c r="P98" s="349">
        <f>$B$52</f>
        <v>0.2</v>
      </c>
      <c r="Q98" s="349">
        <f>AVERAGE(P99,P106,P113,P120,P127)</f>
        <v>0.25</v>
      </c>
      <c r="R98" s="70"/>
      <c r="S98" s="69" t="s">
        <v>21</v>
      </c>
      <c r="T98" s="349">
        <f>$B$52</f>
        <v>0.2</v>
      </c>
      <c r="U98" s="349">
        <f>AVERAGE(T99,T106,T113,T120,T127)</f>
        <v>0.2</v>
      </c>
      <c r="V98" s="70"/>
      <c r="W98" s="16"/>
      <c r="X98" s="16"/>
      <c r="Y98" s="16"/>
      <c r="Z98" s="16"/>
    </row>
    <row r="99" spans="1:26" ht="20" customHeight="1" x14ac:dyDescent="0.15">
      <c r="A99" s="10"/>
      <c r="B99" s="1313"/>
      <c r="C99" s="392" t="s">
        <v>78</v>
      </c>
      <c r="D99" s="607">
        <v>0.6</v>
      </c>
      <c r="E99" s="713">
        <f>SUM($E$100:$E$105)</f>
        <v>500000000</v>
      </c>
      <c r="F99" s="359" t="s">
        <v>79</v>
      </c>
      <c r="G99" s="358" t="s">
        <v>78</v>
      </c>
      <c r="H99" s="71">
        <f>SUM($H$100:$H$105)</f>
        <v>0.35000000000000009</v>
      </c>
      <c r="I99" s="713">
        <f>SUM($I$100:$I$105)</f>
        <v>175000000</v>
      </c>
      <c r="J99" s="359" t="s">
        <v>79</v>
      </c>
      <c r="K99" s="358" t="s">
        <v>78</v>
      </c>
      <c r="L99" s="71">
        <f>SUM($L$100:$L$105)</f>
        <v>0.30000000000000004</v>
      </c>
      <c r="M99" s="713">
        <f>SUM($M$100:$M$105)</f>
        <v>150000000</v>
      </c>
      <c r="N99" s="359" t="s">
        <v>79</v>
      </c>
      <c r="O99" s="358" t="s">
        <v>78</v>
      </c>
      <c r="P99" s="71">
        <f>SUM($P$100:$P$105)</f>
        <v>0.24999999999999997</v>
      </c>
      <c r="Q99" s="713">
        <f>SUM($Q$100:$Q$105)</f>
        <v>125000000</v>
      </c>
      <c r="R99" s="359" t="s">
        <v>79</v>
      </c>
      <c r="S99" s="358" t="s">
        <v>78</v>
      </c>
      <c r="T99" s="71">
        <f>SUM($T$100:$T$105)</f>
        <v>0.19999999999999998</v>
      </c>
      <c r="U99" s="713">
        <f>SUM($U$100:$U$105)</f>
        <v>100000000</v>
      </c>
      <c r="V99" s="359" t="s">
        <v>79</v>
      </c>
      <c r="W99" s="16"/>
      <c r="X99" s="16"/>
      <c r="Y99" s="16"/>
      <c r="Z99" s="16"/>
    </row>
    <row r="100" spans="1:26" ht="20" customHeight="1" x14ac:dyDescent="0.15">
      <c r="A100" s="10"/>
      <c r="B100" s="1313"/>
      <c r="C100" s="386" t="s">
        <v>2</v>
      </c>
      <c r="D100" s="387">
        <f>$C29</f>
        <v>0.1</v>
      </c>
      <c r="E100" s="605">
        <f>$D$29</f>
        <v>50000000</v>
      </c>
      <c r="F100" s="68"/>
      <c r="G100" s="351" t="s">
        <v>2</v>
      </c>
      <c r="H100" s="1229">
        <f>I100/E$99</f>
        <v>3.5000000000000003E-2</v>
      </c>
      <c r="I100" s="605">
        <f>E100*$P$13</f>
        <v>17500000</v>
      </c>
      <c r="J100" s="68"/>
      <c r="K100" s="351" t="s">
        <v>2</v>
      </c>
      <c r="L100" s="1229">
        <f>M100/E$99</f>
        <v>0.03</v>
      </c>
      <c r="M100" s="605">
        <f>E100*$Q$13</f>
        <v>15000000</v>
      </c>
      <c r="N100" s="68"/>
      <c r="O100" s="351" t="s">
        <v>2</v>
      </c>
      <c r="P100" s="1229">
        <f>Q100/E$99</f>
        <v>2.5000000000000001E-2</v>
      </c>
      <c r="Q100" s="605">
        <f>E100*$R$13</f>
        <v>12500000</v>
      </c>
      <c r="R100" s="68"/>
      <c r="S100" s="351" t="s">
        <v>2</v>
      </c>
      <c r="T100" s="1229">
        <f>U100/E$99</f>
        <v>0.02</v>
      </c>
      <c r="U100" s="605">
        <f>E100*$S$13</f>
        <v>10000000</v>
      </c>
      <c r="V100" s="68"/>
      <c r="W100" s="16"/>
      <c r="X100" s="16"/>
      <c r="Y100" s="16"/>
      <c r="Z100" s="16"/>
    </row>
    <row r="101" spans="1:26" ht="20" customHeight="1" x14ac:dyDescent="0.15">
      <c r="A101" s="10"/>
      <c r="B101" s="1313"/>
      <c r="C101" s="386" t="s">
        <v>3</v>
      </c>
      <c r="D101" s="387">
        <f t="shared" ref="D101:D105" si="40">$C30</f>
        <v>0.5</v>
      </c>
      <c r="E101" s="605">
        <f>$D$30</f>
        <v>250000000</v>
      </c>
      <c r="F101" s="68"/>
      <c r="G101" s="351" t="s">
        <v>3</v>
      </c>
      <c r="H101" s="1229">
        <f t="shared" ref="H101:H105" si="41">I101/E$99</f>
        <v>0.17499999999999999</v>
      </c>
      <c r="I101" s="605">
        <f>E101*$P$13</f>
        <v>87500000</v>
      </c>
      <c r="J101" s="68"/>
      <c r="K101" s="351" t="s">
        <v>3</v>
      </c>
      <c r="L101" s="1229">
        <f>M101/E$99</f>
        <v>0.15</v>
      </c>
      <c r="M101" s="605">
        <f>E101*$Q$13</f>
        <v>75000000</v>
      </c>
      <c r="N101" s="68"/>
      <c r="O101" s="351" t="s">
        <v>3</v>
      </c>
      <c r="P101" s="1229">
        <f>Q101/E$99</f>
        <v>0.125</v>
      </c>
      <c r="Q101" s="605">
        <f>E101*$R$13</f>
        <v>62500000</v>
      </c>
      <c r="R101" s="68"/>
      <c r="S101" s="351" t="s">
        <v>3</v>
      </c>
      <c r="T101" s="1229">
        <f>U101/E$99</f>
        <v>0.1</v>
      </c>
      <c r="U101" s="605">
        <f>E101*$S$13</f>
        <v>50000000</v>
      </c>
      <c r="V101" s="68"/>
      <c r="W101" s="16"/>
      <c r="X101" s="16"/>
      <c r="Y101" s="16"/>
      <c r="Z101" s="16"/>
    </row>
    <row r="102" spans="1:26" ht="20" customHeight="1" x14ac:dyDescent="0.15">
      <c r="A102" s="10"/>
      <c r="B102" s="1313"/>
      <c r="C102" s="386" t="s">
        <v>4</v>
      </c>
      <c r="D102" s="387">
        <f t="shared" si="40"/>
        <v>0.1</v>
      </c>
      <c r="E102" s="605">
        <f>$D$31</f>
        <v>50000000</v>
      </c>
      <c r="F102" s="68"/>
      <c r="G102" s="351" t="s">
        <v>4</v>
      </c>
      <c r="H102" s="1229">
        <f t="shared" si="41"/>
        <v>3.5000000000000003E-2</v>
      </c>
      <c r="I102" s="605">
        <f>E102*$P$13</f>
        <v>17500000</v>
      </c>
      <c r="J102" s="68"/>
      <c r="K102" s="351" t="s">
        <v>4</v>
      </c>
      <c r="L102" s="1229">
        <f t="shared" ref="L102:L105" si="42">M102/E$99</f>
        <v>0.03</v>
      </c>
      <c r="M102" s="605">
        <f>E102*$Q$13</f>
        <v>15000000</v>
      </c>
      <c r="N102" s="68"/>
      <c r="O102" s="351" t="s">
        <v>4</v>
      </c>
      <c r="P102" s="1229">
        <f>Q102/E$99</f>
        <v>2.5000000000000001E-2</v>
      </c>
      <c r="Q102" s="605">
        <f>E102*$R$13</f>
        <v>12500000</v>
      </c>
      <c r="R102" s="68"/>
      <c r="S102" s="351" t="s">
        <v>4</v>
      </c>
      <c r="T102" s="1229">
        <f>U102/E$99</f>
        <v>0.02</v>
      </c>
      <c r="U102" s="605">
        <f>E102*$S$13</f>
        <v>10000000</v>
      </c>
      <c r="V102" s="68"/>
      <c r="W102" s="16"/>
      <c r="X102" s="16"/>
      <c r="Y102" s="16"/>
      <c r="Z102" s="16"/>
    </row>
    <row r="103" spans="1:26" ht="20" customHeight="1" x14ac:dyDescent="0.15">
      <c r="A103" s="10"/>
      <c r="B103" s="1313"/>
      <c r="C103" s="386" t="s">
        <v>5</v>
      </c>
      <c r="D103" s="387">
        <f t="shared" si="40"/>
        <v>0.1</v>
      </c>
      <c r="E103" s="605">
        <f>$D$32</f>
        <v>50000000</v>
      </c>
      <c r="F103" s="1221"/>
      <c r="G103" s="351" t="s">
        <v>5</v>
      </c>
      <c r="H103" s="1229">
        <f t="shared" si="41"/>
        <v>3.5000000000000003E-2</v>
      </c>
      <c r="I103" s="605">
        <f>E103*$P$13</f>
        <v>17500000</v>
      </c>
      <c r="J103" s="1221"/>
      <c r="K103" s="351" t="s">
        <v>5</v>
      </c>
      <c r="L103" s="1229">
        <f>M103/E$99</f>
        <v>0.03</v>
      </c>
      <c r="M103" s="605">
        <f>E103*$Q$13</f>
        <v>15000000</v>
      </c>
      <c r="N103" s="1221"/>
      <c r="O103" s="351" t="s">
        <v>5</v>
      </c>
      <c r="P103" s="1229">
        <f t="shared" ref="P103:P105" si="43">Q103/E$99</f>
        <v>2.5000000000000001E-2</v>
      </c>
      <c r="Q103" s="605">
        <f>E103*$R$13</f>
        <v>12500000</v>
      </c>
      <c r="R103" s="1221"/>
      <c r="S103" s="351" t="s">
        <v>5</v>
      </c>
      <c r="T103" s="1229">
        <f t="shared" ref="T103:T104" si="44">U103/E$99</f>
        <v>0.02</v>
      </c>
      <c r="U103" s="605">
        <f>E103*$S$13</f>
        <v>10000000</v>
      </c>
      <c r="V103" s="1221"/>
      <c r="W103" s="16"/>
      <c r="X103" s="16"/>
      <c r="Y103" s="16"/>
      <c r="Z103" s="16"/>
    </row>
    <row r="104" spans="1:26" ht="20" customHeight="1" x14ac:dyDescent="0.15">
      <c r="A104" s="10"/>
      <c r="B104" s="1313"/>
      <c r="C104" s="386" t="s">
        <v>6</v>
      </c>
      <c r="D104" s="387">
        <f t="shared" si="40"/>
        <v>0.1</v>
      </c>
      <c r="E104" s="605">
        <f>$D$33</f>
        <v>50000000</v>
      </c>
      <c r="F104" s="75"/>
      <c r="G104" s="351" t="s">
        <v>6</v>
      </c>
      <c r="H104" s="1229">
        <f t="shared" si="41"/>
        <v>3.5000000000000003E-2</v>
      </c>
      <c r="I104" s="605">
        <f>E104*$P$13</f>
        <v>17500000</v>
      </c>
      <c r="J104" s="75"/>
      <c r="K104" s="351" t="s">
        <v>6</v>
      </c>
      <c r="L104" s="1229">
        <f t="shared" si="42"/>
        <v>0.03</v>
      </c>
      <c r="M104" s="605">
        <f>E104*$Q$13</f>
        <v>15000000</v>
      </c>
      <c r="N104" s="75"/>
      <c r="O104" s="351" t="s">
        <v>6</v>
      </c>
      <c r="P104" s="1229">
        <f t="shared" si="43"/>
        <v>2.5000000000000001E-2</v>
      </c>
      <c r="Q104" s="605">
        <f>E104*$R$13</f>
        <v>12500000</v>
      </c>
      <c r="R104" s="75"/>
      <c r="S104" s="351" t="s">
        <v>6</v>
      </c>
      <c r="T104" s="1229">
        <f t="shared" si="44"/>
        <v>0.02</v>
      </c>
      <c r="U104" s="605">
        <f>E104*$S$13</f>
        <v>10000000</v>
      </c>
      <c r="V104" s="75"/>
      <c r="W104" s="16"/>
      <c r="X104" s="16"/>
      <c r="Y104" s="16"/>
      <c r="Z104" s="16"/>
    </row>
    <row r="105" spans="1:26" ht="20" customHeight="1" x14ac:dyDescent="0.15">
      <c r="A105" s="10"/>
      <c r="B105" s="1313"/>
      <c r="C105" s="386" t="s">
        <v>60</v>
      </c>
      <c r="D105" s="387">
        <f t="shared" si="40"/>
        <v>0.1</v>
      </c>
      <c r="E105" s="605">
        <f>$D$34</f>
        <v>50000000</v>
      </c>
      <c r="F105" s="68"/>
      <c r="G105" s="351" t="s">
        <v>60</v>
      </c>
      <c r="H105" s="1229">
        <f t="shared" si="41"/>
        <v>3.5000000000000003E-2</v>
      </c>
      <c r="I105" s="605">
        <f>E105*$P$13</f>
        <v>17500000</v>
      </c>
      <c r="J105" s="68"/>
      <c r="K105" s="351" t="s">
        <v>60</v>
      </c>
      <c r="L105" s="1229">
        <f t="shared" si="42"/>
        <v>0.03</v>
      </c>
      <c r="M105" s="605">
        <f>E105*$Q$13</f>
        <v>15000000</v>
      </c>
      <c r="N105" s="68"/>
      <c r="O105" s="351" t="s">
        <v>60</v>
      </c>
      <c r="P105" s="1229">
        <f t="shared" si="43"/>
        <v>2.5000000000000001E-2</v>
      </c>
      <c r="Q105" s="605">
        <f>E105*$R$13</f>
        <v>12500000</v>
      </c>
      <c r="R105" s="68"/>
      <c r="S105" s="351" t="s">
        <v>60</v>
      </c>
      <c r="T105" s="1229">
        <f>U105/E$99</f>
        <v>0.02</v>
      </c>
      <c r="U105" s="605">
        <f>E105*$S$13</f>
        <v>10000000</v>
      </c>
      <c r="V105" s="68"/>
      <c r="W105" s="16"/>
      <c r="X105" s="16"/>
      <c r="Y105" s="16"/>
      <c r="Z105" s="16"/>
    </row>
    <row r="106" spans="1:26" ht="20" customHeight="1" x14ac:dyDescent="0.15">
      <c r="A106" s="10"/>
      <c r="B106" s="1313"/>
      <c r="C106" s="392" t="s">
        <v>80</v>
      </c>
      <c r="D106" s="606">
        <v>0.05</v>
      </c>
      <c r="E106" s="721">
        <f>AVERAGE($E$107:$E$112)</f>
        <v>0.37333333333333335</v>
      </c>
      <c r="F106" s="359" t="s">
        <v>76</v>
      </c>
      <c r="G106" s="358" t="s">
        <v>80</v>
      </c>
      <c r="H106" s="71">
        <f>AVERAGE($H$107:$H$112)</f>
        <v>0.35000000000000003</v>
      </c>
      <c r="I106" s="1178">
        <f>AVERAGE($I$107:$I$112)</f>
        <v>0.13066666666666663</v>
      </c>
      <c r="J106" s="359" t="s">
        <v>76</v>
      </c>
      <c r="K106" s="358" t="s">
        <v>80</v>
      </c>
      <c r="L106" s="71">
        <f>AVERAGE($L$107:$L$112)</f>
        <v>0.3</v>
      </c>
      <c r="M106" s="1178">
        <f>AVERAGE($M$107:$M$112)</f>
        <v>0.11199999999999999</v>
      </c>
      <c r="N106" s="359" t="s">
        <v>76</v>
      </c>
      <c r="O106" s="358" t="s">
        <v>80</v>
      </c>
      <c r="P106" s="71">
        <f>AVERAGE($P$107:$P$112)</f>
        <v>0.25</v>
      </c>
      <c r="Q106" s="1178">
        <f>AVERAGE($Q$107:$Q$112)</f>
        <v>9.3333333333333338E-2</v>
      </c>
      <c r="R106" s="359" t="s">
        <v>76</v>
      </c>
      <c r="S106" s="358" t="s">
        <v>80</v>
      </c>
      <c r="T106" s="71">
        <f>AVERAGE($T$107:$T$112)</f>
        <v>0.20000000000000004</v>
      </c>
      <c r="U106" s="1178">
        <f>AVERAGE($U$107:$U$112)</f>
        <v>7.4666666666666673E-2</v>
      </c>
      <c r="V106" s="359" t="s">
        <v>76</v>
      </c>
      <c r="W106" s="16"/>
      <c r="X106" s="16"/>
      <c r="Y106" s="16"/>
      <c r="Z106" s="16"/>
    </row>
    <row r="107" spans="1:26" ht="20" customHeight="1" x14ac:dyDescent="0.15">
      <c r="A107" s="10"/>
      <c r="B107" s="1313"/>
      <c r="C107" s="386" t="s">
        <v>2</v>
      </c>
      <c r="D107" s="387">
        <v>0.2</v>
      </c>
      <c r="E107" s="391">
        <f>$D$17/$D$29</f>
        <v>0.2</v>
      </c>
      <c r="F107" s="68"/>
      <c r="G107" s="351" t="s">
        <v>2</v>
      </c>
      <c r="H107" s="1229">
        <f>(I107/E$106)</f>
        <v>0.18749999999999997</v>
      </c>
      <c r="I107" s="355">
        <f>(D17/D29)*$P$13</f>
        <v>6.9999999999999993E-2</v>
      </c>
      <c r="J107" s="68"/>
      <c r="K107" s="351" t="s">
        <v>2</v>
      </c>
      <c r="L107" s="1229">
        <f>(M107/E$106)</f>
        <v>0.1607142857142857</v>
      </c>
      <c r="M107" s="355">
        <f>(D17/D29)*$Q$13</f>
        <v>0.06</v>
      </c>
      <c r="N107" s="68"/>
      <c r="O107" s="351" t="s">
        <v>2</v>
      </c>
      <c r="P107" s="1229">
        <f>(Q107/E$106)</f>
        <v>0.13392857142857142</v>
      </c>
      <c r="Q107" s="355">
        <f>(D17/D29)*$R$13</f>
        <v>0.05</v>
      </c>
      <c r="R107" s="68"/>
      <c r="S107" s="351" t="s">
        <v>2</v>
      </c>
      <c r="T107" s="1229">
        <f>(U107/E$106)</f>
        <v>0.10714285714285716</v>
      </c>
      <c r="U107" s="355">
        <f>(D17/D29)*$S$13</f>
        <v>4.0000000000000008E-2</v>
      </c>
      <c r="V107" s="68"/>
      <c r="W107" s="16"/>
      <c r="X107" s="16"/>
      <c r="Y107" s="16"/>
      <c r="Z107" s="16"/>
    </row>
    <row r="108" spans="1:26" ht="20" customHeight="1" x14ac:dyDescent="0.15">
      <c r="A108" s="10"/>
      <c r="B108" s="1313"/>
      <c r="C108" s="386" t="s">
        <v>3</v>
      </c>
      <c r="D108" s="387">
        <v>0.4</v>
      </c>
      <c r="E108" s="391">
        <f>$D$18/$D$30</f>
        <v>0.24</v>
      </c>
      <c r="F108" s="68"/>
      <c r="G108" s="351" t="s">
        <v>3</v>
      </c>
      <c r="H108" s="1229">
        <f>(I108/E$106)</f>
        <v>0.22499999999999998</v>
      </c>
      <c r="I108" s="355">
        <f>(D18/D30)*$P$13</f>
        <v>8.3999999999999991E-2</v>
      </c>
      <c r="J108" s="68"/>
      <c r="K108" s="351" t="s">
        <v>3</v>
      </c>
      <c r="L108" s="1229">
        <f>(M108/E$106)</f>
        <v>0.19285714285714284</v>
      </c>
      <c r="M108" s="355">
        <f>(D18/D30)*$Q$13</f>
        <v>7.1999999999999995E-2</v>
      </c>
      <c r="N108" s="68"/>
      <c r="O108" s="351" t="s">
        <v>3</v>
      </c>
      <c r="P108" s="1229">
        <f t="shared" ref="P108:P112" si="45">(Q108/E$106)</f>
        <v>0.1607142857142857</v>
      </c>
      <c r="Q108" s="355">
        <f>(D18/D30)*$R$13</f>
        <v>0.06</v>
      </c>
      <c r="R108" s="68"/>
      <c r="S108" s="351" t="s">
        <v>3</v>
      </c>
      <c r="T108" s="1229">
        <f>(U108/E$106)</f>
        <v>0.12857142857142856</v>
      </c>
      <c r="U108" s="355">
        <f>(D18/D30)*$S$13</f>
        <v>4.8000000000000001E-2</v>
      </c>
      <c r="V108" s="68"/>
      <c r="W108" s="16"/>
      <c r="X108" s="16"/>
      <c r="Y108" s="16"/>
      <c r="Z108" s="16"/>
    </row>
    <row r="109" spans="1:26" ht="20" customHeight="1" x14ac:dyDescent="0.15">
      <c r="A109" s="10"/>
      <c r="B109" s="1313"/>
      <c r="C109" s="386" t="s">
        <v>4</v>
      </c>
      <c r="D109" s="387">
        <v>0.1</v>
      </c>
      <c r="E109" s="391">
        <f>$D$19/$D$31</f>
        <v>0.2</v>
      </c>
      <c r="F109" s="68"/>
      <c r="G109" s="351" t="s">
        <v>4</v>
      </c>
      <c r="H109" s="1229">
        <f t="shared" ref="H109:H112" si="46">(I109/E$106)</f>
        <v>0.18749999999999997</v>
      </c>
      <c r="I109" s="355">
        <f>(D19/D31)*$P$13</f>
        <v>6.9999999999999993E-2</v>
      </c>
      <c r="J109" s="68"/>
      <c r="K109" s="351" t="s">
        <v>4</v>
      </c>
      <c r="L109" s="1229">
        <f t="shared" ref="L109:L112" si="47">(M109/E$106)</f>
        <v>0.1607142857142857</v>
      </c>
      <c r="M109" s="355">
        <f>(D19/D31)*$Q$13</f>
        <v>0.06</v>
      </c>
      <c r="N109" s="68"/>
      <c r="O109" s="351" t="s">
        <v>4</v>
      </c>
      <c r="P109" s="1229">
        <f t="shared" si="45"/>
        <v>0.13392857142857142</v>
      </c>
      <c r="Q109" s="355">
        <f>(D19/D31)*$R$13</f>
        <v>0.05</v>
      </c>
      <c r="R109" s="68"/>
      <c r="S109" s="351" t="s">
        <v>4</v>
      </c>
      <c r="T109" s="1229">
        <f t="shared" ref="T109:T112" si="48">(U109/E$106)</f>
        <v>0.10714285714285716</v>
      </c>
      <c r="U109" s="355">
        <f>(D19/D31)*$S$13</f>
        <v>4.0000000000000008E-2</v>
      </c>
      <c r="V109" s="68"/>
      <c r="W109" s="16"/>
      <c r="X109" s="16"/>
      <c r="Y109" s="16"/>
      <c r="Z109" s="16"/>
    </row>
    <row r="110" spans="1:26" ht="20" customHeight="1" x14ac:dyDescent="0.15">
      <c r="A110" s="10"/>
      <c r="B110" s="1313"/>
      <c r="C110" s="386" t="s">
        <v>5</v>
      </c>
      <c r="D110" s="387">
        <v>0.1</v>
      </c>
      <c r="E110" s="391">
        <f>($D$20+$D$23)/$D$32</f>
        <v>0.6</v>
      </c>
      <c r="F110" s="68"/>
      <c r="G110" s="351" t="s">
        <v>5</v>
      </c>
      <c r="H110" s="1229">
        <f t="shared" si="46"/>
        <v>0.5625</v>
      </c>
      <c r="I110" s="355">
        <f>(($D$20+$D$23)/$D$32)*$P$13</f>
        <v>0.21</v>
      </c>
      <c r="J110" s="68"/>
      <c r="K110" s="351" t="s">
        <v>5</v>
      </c>
      <c r="L110" s="1229">
        <f>(M110/E$106)</f>
        <v>0.4821428571428571</v>
      </c>
      <c r="M110" s="355">
        <f>(($D$20+$D$23)/$D$32)*$Q$13</f>
        <v>0.18</v>
      </c>
      <c r="N110" s="68"/>
      <c r="O110" s="351" t="s">
        <v>5</v>
      </c>
      <c r="P110" s="1229">
        <f t="shared" si="45"/>
        <v>0.40178571428571425</v>
      </c>
      <c r="Q110" s="355">
        <f>(($D$20+$D$23)/$D$32)*$R$13</f>
        <v>0.15</v>
      </c>
      <c r="R110" s="68"/>
      <c r="S110" s="351" t="s">
        <v>5</v>
      </c>
      <c r="T110" s="1229">
        <f t="shared" si="48"/>
        <v>0.3214285714285714</v>
      </c>
      <c r="U110" s="355">
        <f>(($D$20+$D$23)/$D$32)*$S$13</f>
        <v>0.12</v>
      </c>
      <c r="V110" s="68"/>
      <c r="W110" s="16"/>
      <c r="X110" s="16"/>
      <c r="Y110" s="16"/>
      <c r="Z110" s="16"/>
    </row>
    <row r="111" spans="1:26" ht="20" customHeight="1" x14ac:dyDescent="0.15">
      <c r="A111" s="10"/>
      <c r="B111" s="1313"/>
      <c r="C111" s="386" t="s">
        <v>6</v>
      </c>
      <c r="D111" s="387">
        <v>0.1</v>
      </c>
      <c r="E111" s="391">
        <f>$D$21/$D$33</f>
        <v>0.2</v>
      </c>
      <c r="F111" s="68"/>
      <c r="G111" s="351" t="s">
        <v>6</v>
      </c>
      <c r="H111" s="1229">
        <f t="shared" si="46"/>
        <v>0.18749999999999997</v>
      </c>
      <c r="I111" s="355">
        <f>(D21/D33)*$P$13</f>
        <v>6.9999999999999993E-2</v>
      </c>
      <c r="J111" s="68"/>
      <c r="K111" s="351" t="s">
        <v>6</v>
      </c>
      <c r="L111" s="1229">
        <f t="shared" si="47"/>
        <v>0.1607142857142857</v>
      </c>
      <c r="M111" s="355">
        <f>(D21/D33)*$Q$13</f>
        <v>0.06</v>
      </c>
      <c r="N111" s="68"/>
      <c r="O111" s="351" t="s">
        <v>6</v>
      </c>
      <c r="P111" s="1229">
        <f t="shared" si="45"/>
        <v>0.13392857142857142</v>
      </c>
      <c r="Q111" s="355">
        <f>(D21/D33)*$R$13</f>
        <v>0.05</v>
      </c>
      <c r="R111" s="68"/>
      <c r="S111" s="351" t="s">
        <v>6</v>
      </c>
      <c r="T111" s="1229">
        <f t="shared" si="48"/>
        <v>0.10714285714285716</v>
      </c>
      <c r="U111" s="355">
        <f>(D21/D33)*$S$13</f>
        <v>4.0000000000000008E-2</v>
      </c>
      <c r="V111" s="68"/>
      <c r="W111" s="16"/>
      <c r="X111" s="16"/>
      <c r="Y111" s="16"/>
      <c r="Z111" s="16"/>
    </row>
    <row r="112" spans="1:26" ht="20" customHeight="1" x14ac:dyDescent="0.15">
      <c r="A112" s="10"/>
      <c r="B112" s="1313"/>
      <c r="C112" s="386" t="s">
        <v>60</v>
      </c>
      <c r="D112" s="387">
        <v>0.1</v>
      </c>
      <c r="E112" s="391">
        <f>$D$22/$D$34</f>
        <v>0.8</v>
      </c>
      <c r="F112" s="68"/>
      <c r="G112" s="351" t="s">
        <v>60</v>
      </c>
      <c r="H112" s="1229">
        <f t="shared" si="46"/>
        <v>0.74999999999999989</v>
      </c>
      <c r="I112" s="355">
        <f>(D22/D34)*$P$13</f>
        <v>0.27999999999999997</v>
      </c>
      <c r="J112" s="68"/>
      <c r="K112" s="351" t="s">
        <v>60</v>
      </c>
      <c r="L112" s="1229">
        <f t="shared" si="47"/>
        <v>0.64285714285714279</v>
      </c>
      <c r="M112" s="355">
        <f>(D22/D34)*$Q$13</f>
        <v>0.24</v>
      </c>
      <c r="N112" s="68"/>
      <c r="O112" s="351" t="s">
        <v>60</v>
      </c>
      <c r="P112" s="1229">
        <f t="shared" si="45"/>
        <v>0.5357142857142857</v>
      </c>
      <c r="Q112" s="355">
        <f>(D22/D34)*$R$13</f>
        <v>0.2</v>
      </c>
      <c r="R112" s="68"/>
      <c r="S112" s="351" t="s">
        <v>60</v>
      </c>
      <c r="T112" s="1229">
        <f t="shared" si="48"/>
        <v>0.42857142857142866</v>
      </c>
      <c r="U112" s="355">
        <f>(D22/D34)*$S$13</f>
        <v>0.16000000000000003</v>
      </c>
      <c r="V112" s="68"/>
      <c r="W112" s="16"/>
      <c r="X112" s="16"/>
      <c r="Y112" s="16"/>
      <c r="Z112" s="16"/>
    </row>
    <row r="113" spans="1:26" ht="20" customHeight="1" x14ac:dyDescent="0.15">
      <c r="A113" s="10"/>
      <c r="B113" s="1313"/>
      <c r="C113" s="393" t="s">
        <v>85</v>
      </c>
      <c r="D113" s="606">
        <v>0.1</v>
      </c>
      <c r="E113" s="721">
        <v>0.1</v>
      </c>
      <c r="F113" s="73"/>
      <c r="G113" s="352" t="s">
        <v>85</v>
      </c>
      <c r="H113" s="71">
        <f>AVERAGE($H$114:$H$119)</f>
        <v>0.34999999999999992</v>
      </c>
      <c r="I113" s="1178">
        <f>AVERAGE($I$114:$I$119)</f>
        <v>3.4999999999999996E-2</v>
      </c>
      <c r="J113" s="73"/>
      <c r="K113" s="352" t="s">
        <v>85</v>
      </c>
      <c r="L113" s="71">
        <f>AVERAGE($L$114:$L$119)</f>
        <v>0.3</v>
      </c>
      <c r="M113" s="1178">
        <f>AVERAGE($M$114:$M$119)</f>
        <v>0.03</v>
      </c>
      <c r="N113" s="73"/>
      <c r="O113" s="352" t="s">
        <v>85</v>
      </c>
      <c r="P113" s="71">
        <f>AVERAGE($P$114:$P$119)</f>
        <v>0.25</v>
      </c>
      <c r="Q113" s="1178">
        <f>AVERAGE($Q$114:$Q$119)</f>
        <v>2.4999999999999998E-2</v>
      </c>
      <c r="R113" s="73"/>
      <c r="S113" s="352" t="s">
        <v>85</v>
      </c>
      <c r="T113" s="71">
        <f>AVERAGE($T$114:$T$119)</f>
        <v>0.20000000000000004</v>
      </c>
      <c r="U113" s="1178">
        <f>AVERAGE($U$114:$U$119)</f>
        <v>2.0000000000000004E-2</v>
      </c>
      <c r="V113" s="73"/>
      <c r="W113" s="16"/>
      <c r="X113" s="16"/>
      <c r="Y113" s="16"/>
      <c r="Z113" s="16"/>
    </row>
    <row r="114" spans="1:26" ht="20" customHeight="1" x14ac:dyDescent="0.15">
      <c r="A114" s="10"/>
      <c r="B114" s="1313"/>
      <c r="C114" s="386" t="s">
        <v>2</v>
      </c>
      <c r="D114" s="387">
        <v>0.2</v>
      </c>
      <c r="E114" s="391">
        <v>0.05</v>
      </c>
      <c r="F114" s="68"/>
      <c r="G114" s="351" t="s">
        <v>2</v>
      </c>
      <c r="H114" s="1229">
        <f>(I114/E$113)</f>
        <v>0.34999999999999992</v>
      </c>
      <c r="I114" s="355">
        <f>$E$113*$P$13</f>
        <v>3.4999999999999996E-2</v>
      </c>
      <c r="J114" s="68"/>
      <c r="K114" s="351" t="s">
        <v>2</v>
      </c>
      <c r="L114" s="1229">
        <f>(M114/E$113)</f>
        <v>0.3</v>
      </c>
      <c r="M114" s="355">
        <f>$E$113*$Q$13</f>
        <v>0.03</v>
      </c>
      <c r="N114" s="68"/>
      <c r="O114" s="351" t="s">
        <v>2</v>
      </c>
      <c r="P114" s="1229">
        <f>(Q114/E$113)</f>
        <v>0.25</v>
      </c>
      <c r="Q114" s="355">
        <f>$E$113*$R$13</f>
        <v>2.5000000000000001E-2</v>
      </c>
      <c r="R114" s="68"/>
      <c r="S114" s="351" t="s">
        <v>2</v>
      </c>
      <c r="T114" s="1229">
        <f>(U114/E$113)</f>
        <v>0.20000000000000004</v>
      </c>
      <c r="U114" s="355">
        <f>$E$113*$S$13</f>
        <v>2.0000000000000004E-2</v>
      </c>
      <c r="V114" s="68"/>
      <c r="W114" s="16"/>
      <c r="X114" s="16"/>
      <c r="Y114" s="16"/>
      <c r="Z114" s="16"/>
    </row>
    <row r="115" spans="1:26" ht="20" customHeight="1" x14ac:dyDescent="0.15">
      <c r="A115" s="10"/>
      <c r="B115" s="1313"/>
      <c r="C115" s="386" t="s">
        <v>3</v>
      </c>
      <c r="D115" s="387">
        <v>0.2</v>
      </c>
      <c r="E115" s="391">
        <v>0.05</v>
      </c>
      <c r="F115" s="68"/>
      <c r="G115" s="351" t="s">
        <v>3</v>
      </c>
      <c r="H115" s="1229">
        <f t="shared" ref="H115:H119" si="49">(I115/E$113)</f>
        <v>0.34999999999999992</v>
      </c>
      <c r="I115" s="355">
        <f>$E$113*$P$13</f>
        <v>3.4999999999999996E-2</v>
      </c>
      <c r="J115" s="68"/>
      <c r="K115" s="351" t="s">
        <v>3</v>
      </c>
      <c r="L115" s="1229">
        <f t="shared" ref="L115:L119" si="50">(M115/E$113)</f>
        <v>0.3</v>
      </c>
      <c r="M115" s="355">
        <f>$E$113*$Q$13</f>
        <v>0.03</v>
      </c>
      <c r="N115" s="68"/>
      <c r="O115" s="351" t="s">
        <v>3</v>
      </c>
      <c r="P115" s="1229">
        <f t="shared" ref="P115:P119" si="51">(Q115/E$113)</f>
        <v>0.25</v>
      </c>
      <c r="Q115" s="355">
        <f>$E$113*$R$13</f>
        <v>2.5000000000000001E-2</v>
      </c>
      <c r="R115" s="68"/>
      <c r="S115" s="351" t="s">
        <v>3</v>
      </c>
      <c r="T115" s="1229">
        <f t="shared" ref="T115:T119" si="52">(U115/E$113)</f>
        <v>0.20000000000000004</v>
      </c>
      <c r="U115" s="355">
        <f>$E$113*$S$13</f>
        <v>2.0000000000000004E-2</v>
      </c>
      <c r="V115" s="68"/>
      <c r="W115" s="16"/>
      <c r="X115" s="16"/>
      <c r="Y115" s="16"/>
      <c r="Z115" s="16"/>
    </row>
    <row r="116" spans="1:26" ht="20" customHeight="1" x14ac:dyDescent="0.15">
      <c r="A116" s="10"/>
      <c r="B116" s="1313"/>
      <c r="C116" s="386" t="s">
        <v>4</v>
      </c>
      <c r="D116" s="387">
        <v>0.2</v>
      </c>
      <c r="E116" s="391">
        <v>0.05</v>
      </c>
      <c r="F116" s="68"/>
      <c r="G116" s="351" t="s">
        <v>4</v>
      </c>
      <c r="H116" s="1229">
        <f t="shared" si="49"/>
        <v>0.34999999999999992</v>
      </c>
      <c r="I116" s="355">
        <f>$E$113*$P$13</f>
        <v>3.4999999999999996E-2</v>
      </c>
      <c r="J116" s="68"/>
      <c r="K116" s="351" t="s">
        <v>4</v>
      </c>
      <c r="L116" s="1229">
        <f t="shared" si="50"/>
        <v>0.3</v>
      </c>
      <c r="M116" s="355">
        <f>$E$113*$Q$13</f>
        <v>0.03</v>
      </c>
      <c r="N116" s="68"/>
      <c r="O116" s="351" t="s">
        <v>4</v>
      </c>
      <c r="P116" s="1229">
        <f t="shared" si="51"/>
        <v>0.25</v>
      </c>
      <c r="Q116" s="355">
        <f>$E$113*$R$13</f>
        <v>2.5000000000000001E-2</v>
      </c>
      <c r="R116" s="68"/>
      <c r="S116" s="351" t="s">
        <v>4</v>
      </c>
      <c r="T116" s="1229">
        <f t="shared" si="52"/>
        <v>0.20000000000000004</v>
      </c>
      <c r="U116" s="355">
        <f>$E$113*$S$13</f>
        <v>2.0000000000000004E-2</v>
      </c>
      <c r="V116" s="68"/>
      <c r="W116" s="16"/>
      <c r="X116" s="16"/>
      <c r="Y116" s="16"/>
      <c r="Z116" s="16"/>
    </row>
    <row r="117" spans="1:26" ht="20" customHeight="1" x14ac:dyDescent="0.15">
      <c r="A117" s="10"/>
      <c r="B117" s="1313"/>
      <c r="C117" s="386" t="s">
        <v>5</v>
      </c>
      <c r="D117" s="387">
        <v>0.2</v>
      </c>
      <c r="E117" s="391">
        <v>0.15</v>
      </c>
      <c r="F117" s="68"/>
      <c r="G117" s="351" t="s">
        <v>5</v>
      </c>
      <c r="H117" s="1229">
        <f t="shared" si="49"/>
        <v>0.34999999999999992</v>
      </c>
      <c r="I117" s="355">
        <f>$E$113*$P$13</f>
        <v>3.4999999999999996E-2</v>
      </c>
      <c r="J117" s="68"/>
      <c r="K117" s="351" t="s">
        <v>5</v>
      </c>
      <c r="L117" s="1229">
        <f t="shared" si="50"/>
        <v>0.3</v>
      </c>
      <c r="M117" s="355">
        <f>$E$113*$Q$13</f>
        <v>0.03</v>
      </c>
      <c r="N117" s="68"/>
      <c r="O117" s="351" t="s">
        <v>5</v>
      </c>
      <c r="P117" s="1229">
        <f t="shared" si="51"/>
        <v>0.25</v>
      </c>
      <c r="Q117" s="355">
        <f>$E$113*$R$13</f>
        <v>2.5000000000000001E-2</v>
      </c>
      <c r="R117" s="68"/>
      <c r="S117" s="351" t="s">
        <v>5</v>
      </c>
      <c r="T117" s="1229">
        <f t="shared" si="52"/>
        <v>0.20000000000000004</v>
      </c>
      <c r="U117" s="355">
        <f>$E$113*$S$13</f>
        <v>2.0000000000000004E-2</v>
      </c>
      <c r="V117" s="68"/>
      <c r="W117" s="16"/>
      <c r="X117" s="16"/>
      <c r="Y117" s="16"/>
      <c r="Z117" s="16"/>
    </row>
    <row r="118" spans="1:26" ht="20" customHeight="1" x14ac:dyDescent="0.15">
      <c r="A118" s="10"/>
      <c r="B118" s="1313"/>
      <c r="C118" s="386" t="s">
        <v>6</v>
      </c>
      <c r="D118" s="387">
        <v>0.1</v>
      </c>
      <c r="E118" s="391">
        <v>0.15</v>
      </c>
      <c r="F118" s="68"/>
      <c r="G118" s="351" t="s">
        <v>6</v>
      </c>
      <c r="H118" s="1229">
        <f t="shared" si="49"/>
        <v>0.34999999999999992</v>
      </c>
      <c r="I118" s="355">
        <f>$E$113*$P$13</f>
        <v>3.4999999999999996E-2</v>
      </c>
      <c r="J118" s="68"/>
      <c r="K118" s="351" t="s">
        <v>6</v>
      </c>
      <c r="L118" s="1229">
        <f t="shared" si="50"/>
        <v>0.3</v>
      </c>
      <c r="M118" s="355">
        <f>$E$113*$Q$13</f>
        <v>0.03</v>
      </c>
      <c r="N118" s="68"/>
      <c r="O118" s="351" t="s">
        <v>6</v>
      </c>
      <c r="P118" s="1229">
        <f t="shared" si="51"/>
        <v>0.25</v>
      </c>
      <c r="Q118" s="355">
        <f>$E$113*$R$13</f>
        <v>2.5000000000000001E-2</v>
      </c>
      <c r="R118" s="68"/>
      <c r="S118" s="351" t="s">
        <v>6</v>
      </c>
      <c r="T118" s="1229">
        <f t="shared" si="52"/>
        <v>0.20000000000000004</v>
      </c>
      <c r="U118" s="355">
        <f>$E$113*$S$13</f>
        <v>2.0000000000000004E-2</v>
      </c>
      <c r="V118" s="68"/>
      <c r="W118" s="16"/>
      <c r="X118" s="16"/>
      <c r="Y118" s="16"/>
      <c r="Z118" s="16"/>
    </row>
    <row r="119" spans="1:26" ht="20" customHeight="1" x14ac:dyDescent="0.15">
      <c r="A119" s="10"/>
      <c r="B119" s="1313"/>
      <c r="C119" s="386" t="s">
        <v>60</v>
      </c>
      <c r="D119" s="387">
        <v>0.1</v>
      </c>
      <c r="E119" s="391">
        <v>0.05</v>
      </c>
      <c r="F119" s="68"/>
      <c r="G119" s="351" t="s">
        <v>60</v>
      </c>
      <c r="H119" s="1229">
        <f t="shared" si="49"/>
        <v>0.34999999999999992</v>
      </c>
      <c r="I119" s="355">
        <f>$E$113*$P$13</f>
        <v>3.4999999999999996E-2</v>
      </c>
      <c r="J119" s="68"/>
      <c r="K119" s="351" t="s">
        <v>60</v>
      </c>
      <c r="L119" s="1229">
        <f t="shared" si="50"/>
        <v>0.3</v>
      </c>
      <c r="M119" s="355">
        <f>$E$113*$Q$13</f>
        <v>0.03</v>
      </c>
      <c r="N119" s="68"/>
      <c r="O119" s="351" t="s">
        <v>60</v>
      </c>
      <c r="P119" s="1229">
        <f t="shared" si="51"/>
        <v>0.25</v>
      </c>
      <c r="Q119" s="355">
        <f>$E$113*$R$13</f>
        <v>2.5000000000000001E-2</v>
      </c>
      <c r="R119" s="68"/>
      <c r="S119" s="351" t="s">
        <v>60</v>
      </c>
      <c r="T119" s="1229">
        <f t="shared" si="52"/>
        <v>0.20000000000000004</v>
      </c>
      <c r="U119" s="355">
        <f>$E$113*$S$13</f>
        <v>2.0000000000000004E-2</v>
      </c>
      <c r="V119" s="68"/>
      <c r="W119" s="16"/>
      <c r="X119" s="16"/>
      <c r="Y119" s="16"/>
      <c r="Z119" s="16"/>
    </row>
    <row r="120" spans="1:26" ht="20" customHeight="1" x14ac:dyDescent="0.15">
      <c r="A120" s="10"/>
      <c r="B120" s="1313"/>
      <c r="C120" s="392" t="s">
        <v>84</v>
      </c>
      <c r="D120" s="606">
        <v>0.05</v>
      </c>
      <c r="E120" s="721">
        <f>AVERAGE($E$121:$E$126)</f>
        <v>0.45833333333333331</v>
      </c>
      <c r="F120" s="359" t="s">
        <v>76</v>
      </c>
      <c r="G120" s="358" t="s">
        <v>84</v>
      </c>
      <c r="H120" s="71">
        <f>AVERAGE($H$121:$H$126)</f>
        <v>0.35000000000000003</v>
      </c>
      <c r="I120" s="1178">
        <f>AVERAGE($I$121:$I$126)</f>
        <v>0.16041666666666665</v>
      </c>
      <c r="J120" s="359" t="s">
        <v>76</v>
      </c>
      <c r="K120" s="358" t="s">
        <v>84</v>
      </c>
      <c r="L120" s="71">
        <f>AVERAGE($L$121:$L$126)</f>
        <v>0.3</v>
      </c>
      <c r="M120" s="1178">
        <f>AVERAGE($M$121:$M$126)</f>
        <v>0.13749999999999998</v>
      </c>
      <c r="N120" s="359" t="s">
        <v>76</v>
      </c>
      <c r="O120" s="358" t="s">
        <v>84</v>
      </c>
      <c r="P120" s="71">
        <f>AVERAGE($P$121:$P$126)</f>
        <v>0.25</v>
      </c>
      <c r="Q120" s="1178">
        <f>AVERAGE($Q$121:$Q$126)</f>
        <v>0.11458333333333333</v>
      </c>
      <c r="R120" s="359" t="s">
        <v>76</v>
      </c>
      <c r="S120" s="358" t="s">
        <v>84</v>
      </c>
      <c r="T120" s="71">
        <f>AVERAGE($T$121:$T$126)</f>
        <v>0.19999999999999998</v>
      </c>
      <c r="U120" s="1178">
        <f>AVERAGE($U$121:$U$126)</f>
        <v>9.1666666666666674E-2</v>
      </c>
      <c r="V120" s="359" t="s">
        <v>76</v>
      </c>
      <c r="W120" s="16"/>
      <c r="X120" s="16"/>
      <c r="Y120" s="16"/>
      <c r="Z120" s="16"/>
    </row>
    <row r="121" spans="1:26" ht="20" customHeight="1" x14ac:dyDescent="0.15">
      <c r="A121" s="10"/>
      <c r="B121" s="1313"/>
      <c r="C121" s="386" t="s">
        <v>2</v>
      </c>
      <c r="D121" s="387">
        <v>0.2</v>
      </c>
      <c r="E121" s="391">
        <f>$K$29</f>
        <v>0.2</v>
      </c>
      <c r="F121" s="68"/>
      <c r="G121" s="351" t="s">
        <v>2</v>
      </c>
      <c r="H121" s="1229">
        <f>I121/E$120</f>
        <v>0.35</v>
      </c>
      <c r="I121" s="355">
        <f>$E$120*$P$13</f>
        <v>0.16041666666666665</v>
      </c>
      <c r="J121" s="68"/>
      <c r="K121" s="351" t="s">
        <v>2</v>
      </c>
      <c r="L121" s="1229">
        <f>M121/E$120</f>
        <v>0.3</v>
      </c>
      <c r="M121" s="355">
        <f>$E$120*$Q$13</f>
        <v>0.13749999999999998</v>
      </c>
      <c r="N121" s="68"/>
      <c r="O121" s="351" t="s">
        <v>2</v>
      </c>
      <c r="P121" s="1229">
        <f>Q121/E$120</f>
        <v>0.25</v>
      </c>
      <c r="Q121" s="355">
        <f>$E$120*$R$13</f>
        <v>0.11458333333333333</v>
      </c>
      <c r="R121" s="68"/>
      <c r="S121" s="351" t="s">
        <v>2</v>
      </c>
      <c r="T121" s="1229">
        <f>U121/E$120</f>
        <v>0.2</v>
      </c>
      <c r="U121" s="355">
        <f>$E$120*$S$13</f>
        <v>9.1666666666666674E-2</v>
      </c>
      <c r="V121" s="68"/>
      <c r="W121" s="16"/>
      <c r="X121" s="16"/>
      <c r="Y121" s="16"/>
      <c r="Z121" s="16"/>
    </row>
    <row r="122" spans="1:26" ht="20" customHeight="1" x14ac:dyDescent="0.15">
      <c r="A122" s="10"/>
      <c r="B122" s="1313"/>
      <c r="C122" s="386" t="s">
        <v>3</v>
      </c>
      <c r="D122" s="387">
        <v>0.4</v>
      </c>
      <c r="E122" s="391">
        <f>$K$30</f>
        <v>0.9</v>
      </c>
      <c r="F122" s="68"/>
      <c r="G122" s="351" t="s">
        <v>3</v>
      </c>
      <c r="H122" s="1229">
        <f t="shared" ref="H122:H126" si="53">I122/E$120</f>
        <v>0.35</v>
      </c>
      <c r="I122" s="355">
        <f>$E$120*$P$13</f>
        <v>0.16041666666666665</v>
      </c>
      <c r="J122" s="68"/>
      <c r="K122" s="351" t="s">
        <v>3</v>
      </c>
      <c r="L122" s="1229">
        <f t="shared" ref="L122:L126" si="54">M122/E$120</f>
        <v>0.3</v>
      </c>
      <c r="M122" s="355">
        <f>$E$120*$Q$13</f>
        <v>0.13749999999999998</v>
      </c>
      <c r="N122" s="68"/>
      <c r="O122" s="351" t="s">
        <v>3</v>
      </c>
      <c r="P122" s="1229">
        <f t="shared" ref="P122:P126" si="55">Q122/E$120</f>
        <v>0.25</v>
      </c>
      <c r="Q122" s="355">
        <f>$E$120*$R$13</f>
        <v>0.11458333333333333</v>
      </c>
      <c r="R122" s="68"/>
      <c r="S122" s="351" t="s">
        <v>3</v>
      </c>
      <c r="T122" s="1229">
        <f t="shared" ref="T122:T126" si="56">U122/E$120</f>
        <v>0.2</v>
      </c>
      <c r="U122" s="355">
        <f>$E$120*$S$13</f>
        <v>9.1666666666666674E-2</v>
      </c>
      <c r="V122" s="68"/>
      <c r="W122" s="16"/>
      <c r="X122" s="16"/>
      <c r="Y122" s="16"/>
      <c r="Z122" s="16"/>
    </row>
    <row r="123" spans="1:26" ht="20" customHeight="1" x14ac:dyDescent="0.15">
      <c r="A123" s="10"/>
      <c r="B123" s="1313"/>
      <c r="C123" s="386" t="s">
        <v>4</v>
      </c>
      <c r="D123" s="387">
        <v>0.1</v>
      </c>
      <c r="E123" s="391">
        <f>$K$31</f>
        <v>0.5</v>
      </c>
      <c r="F123" s="68"/>
      <c r="G123" s="351" t="s">
        <v>4</v>
      </c>
      <c r="H123" s="1229">
        <f t="shared" si="53"/>
        <v>0.35</v>
      </c>
      <c r="I123" s="355">
        <f>$E$120*$P$13</f>
        <v>0.16041666666666665</v>
      </c>
      <c r="J123" s="68"/>
      <c r="K123" s="351" t="s">
        <v>4</v>
      </c>
      <c r="L123" s="1229">
        <f t="shared" si="54"/>
        <v>0.3</v>
      </c>
      <c r="M123" s="355">
        <f>$E$120*$Q$13</f>
        <v>0.13749999999999998</v>
      </c>
      <c r="N123" s="68"/>
      <c r="O123" s="351" t="s">
        <v>4</v>
      </c>
      <c r="P123" s="1229">
        <f t="shared" si="55"/>
        <v>0.25</v>
      </c>
      <c r="Q123" s="355">
        <f>$E$120*$R$13</f>
        <v>0.11458333333333333</v>
      </c>
      <c r="R123" s="68"/>
      <c r="S123" s="351" t="s">
        <v>4</v>
      </c>
      <c r="T123" s="1229">
        <f t="shared" si="56"/>
        <v>0.2</v>
      </c>
      <c r="U123" s="355">
        <f>$E$120*$S$13</f>
        <v>9.1666666666666674E-2</v>
      </c>
      <c r="V123" s="68"/>
      <c r="W123" s="16"/>
      <c r="X123" s="16"/>
      <c r="Y123" s="16"/>
      <c r="Z123" s="16"/>
    </row>
    <row r="124" spans="1:26" ht="20" customHeight="1" x14ac:dyDescent="0.15">
      <c r="A124" s="10"/>
      <c r="B124" s="1313"/>
      <c r="C124" s="386" t="s">
        <v>5</v>
      </c>
      <c r="D124" s="387">
        <v>0.1</v>
      </c>
      <c r="E124" s="391">
        <f>$K$32</f>
        <v>0.7</v>
      </c>
      <c r="F124" s="68"/>
      <c r="G124" s="351" t="s">
        <v>5</v>
      </c>
      <c r="H124" s="1229">
        <f t="shared" si="53"/>
        <v>0.35</v>
      </c>
      <c r="I124" s="355">
        <f>$E$120*$P$13</f>
        <v>0.16041666666666665</v>
      </c>
      <c r="J124" s="68"/>
      <c r="K124" s="351" t="s">
        <v>5</v>
      </c>
      <c r="L124" s="1229">
        <f t="shared" si="54"/>
        <v>0.3</v>
      </c>
      <c r="M124" s="355">
        <f>$E$120*$Q$13</f>
        <v>0.13749999999999998</v>
      </c>
      <c r="N124" s="68"/>
      <c r="O124" s="351" t="s">
        <v>5</v>
      </c>
      <c r="P124" s="1229">
        <f t="shared" si="55"/>
        <v>0.25</v>
      </c>
      <c r="Q124" s="355">
        <f>$E$120*$R$13</f>
        <v>0.11458333333333333</v>
      </c>
      <c r="R124" s="68"/>
      <c r="S124" s="351" t="s">
        <v>5</v>
      </c>
      <c r="T124" s="1229">
        <f t="shared" si="56"/>
        <v>0.2</v>
      </c>
      <c r="U124" s="355">
        <f>$E$120*$S$13</f>
        <v>9.1666666666666674E-2</v>
      </c>
      <c r="V124" s="68"/>
      <c r="W124" s="16"/>
      <c r="X124" s="16"/>
      <c r="Y124" s="16"/>
      <c r="Z124" s="16"/>
    </row>
    <row r="125" spans="1:26" ht="20" customHeight="1" x14ac:dyDescent="0.15">
      <c r="A125" s="10"/>
      <c r="B125" s="1313"/>
      <c r="C125" s="386" t="s">
        <v>6</v>
      </c>
      <c r="D125" s="387">
        <v>0.1</v>
      </c>
      <c r="E125" s="391">
        <f>$K$33</f>
        <v>0.35</v>
      </c>
      <c r="F125" s="68"/>
      <c r="G125" s="351" t="s">
        <v>6</v>
      </c>
      <c r="H125" s="1229">
        <f t="shared" si="53"/>
        <v>0.35</v>
      </c>
      <c r="I125" s="355">
        <f>$E$120*$P$13</f>
        <v>0.16041666666666665</v>
      </c>
      <c r="J125" s="68"/>
      <c r="K125" s="351" t="s">
        <v>6</v>
      </c>
      <c r="L125" s="1229">
        <f t="shared" si="54"/>
        <v>0.3</v>
      </c>
      <c r="M125" s="355">
        <f>$E$120*$Q$13</f>
        <v>0.13749999999999998</v>
      </c>
      <c r="N125" s="68"/>
      <c r="O125" s="351" t="s">
        <v>6</v>
      </c>
      <c r="P125" s="1229">
        <f t="shared" si="55"/>
        <v>0.25</v>
      </c>
      <c r="Q125" s="355">
        <f>$E$120*$R$13</f>
        <v>0.11458333333333333</v>
      </c>
      <c r="R125" s="68"/>
      <c r="S125" s="351" t="s">
        <v>6</v>
      </c>
      <c r="T125" s="1229">
        <f t="shared" si="56"/>
        <v>0.2</v>
      </c>
      <c r="U125" s="355">
        <f>$E$120*$S$13</f>
        <v>9.1666666666666674E-2</v>
      </c>
      <c r="V125" s="68"/>
      <c r="W125" s="16"/>
      <c r="X125" s="16"/>
      <c r="Y125" s="16"/>
      <c r="Z125" s="16"/>
    </row>
    <row r="126" spans="1:26" ht="20" customHeight="1" x14ac:dyDescent="0.15">
      <c r="A126" s="10"/>
      <c r="B126" s="1313"/>
      <c r="C126" s="386" t="s">
        <v>60</v>
      </c>
      <c r="D126" s="387">
        <v>0.1</v>
      </c>
      <c r="E126" s="391">
        <f>$K$34</f>
        <v>0.1</v>
      </c>
      <c r="F126" s="68"/>
      <c r="G126" s="351" t="s">
        <v>60</v>
      </c>
      <c r="H126" s="1229">
        <f t="shared" si="53"/>
        <v>0.35</v>
      </c>
      <c r="I126" s="355">
        <f>$E$120*$P$13</f>
        <v>0.16041666666666665</v>
      </c>
      <c r="J126" s="68"/>
      <c r="K126" s="351" t="s">
        <v>60</v>
      </c>
      <c r="L126" s="1229">
        <f t="shared" si="54"/>
        <v>0.3</v>
      </c>
      <c r="M126" s="355">
        <f>$E$120*$Q$13</f>
        <v>0.13749999999999998</v>
      </c>
      <c r="N126" s="68"/>
      <c r="O126" s="351" t="s">
        <v>60</v>
      </c>
      <c r="P126" s="1229">
        <f t="shared" si="55"/>
        <v>0.25</v>
      </c>
      <c r="Q126" s="355">
        <f>$E$120*$R$13</f>
        <v>0.11458333333333333</v>
      </c>
      <c r="R126" s="68"/>
      <c r="S126" s="351" t="s">
        <v>60</v>
      </c>
      <c r="T126" s="1229">
        <f t="shared" si="56"/>
        <v>0.2</v>
      </c>
      <c r="U126" s="355">
        <f>$E$120*$S$13</f>
        <v>9.1666666666666674E-2</v>
      </c>
      <c r="V126" s="68"/>
      <c r="W126" s="16"/>
      <c r="X126" s="16"/>
      <c r="Y126" s="16"/>
      <c r="Z126" s="16"/>
    </row>
    <row r="127" spans="1:26" s="67" customFormat="1" ht="20" customHeight="1" x14ac:dyDescent="0.15">
      <c r="A127" s="10"/>
      <c r="B127" s="1313"/>
      <c r="C127" s="393" t="s">
        <v>87</v>
      </c>
      <c r="D127" s="606">
        <v>0.2</v>
      </c>
      <c r="E127" s="721">
        <f>$K$34</f>
        <v>0.1</v>
      </c>
      <c r="F127" s="73"/>
      <c r="G127" s="352" t="s">
        <v>87</v>
      </c>
      <c r="H127" s="71">
        <f>I127/E$127</f>
        <v>0.34999999999999992</v>
      </c>
      <c r="I127" s="1178">
        <f>$E$127*$P$13</f>
        <v>3.4999999999999996E-2</v>
      </c>
      <c r="J127" s="73"/>
      <c r="K127" s="352" t="s">
        <v>87</v>
      </c>
      <c r="L127" s="71">
        <f>M127/E$127</f>
        <v>0.3</v>
      </c>
      <c r="M127" s="1178">
        <f>$E$127*$Q$13</f>
        <v>0.03</v>
      </c>
      <c r="N127" s="73"/>
      <c r="O127" s="352" t="s">
        <v>87</v>
      </c>
      <c r="P127" s="71">
        <f>Q127/E$127</f>
        <v>0.25</v>
      </c>
      <c r="Q127" s="1178">
        <f>$E$127*$R$13</f>
        <v>2.5000000000000001E-2</v>
      </c>
      <c r="R127" s="73"/>
      <c r="S127" s="352" t="s">
        <v>87</v>
      </c>
      <c r="T127" s="71">
        <f>U127/E$127</f>
        <v>0.20000000000000004</v>
      </c>
      <c r="U127" s="1178">
        <f>$E$127*$S$13</f>
        <v>2.0000000000000004E-2</v>
      </c>
      <c r="V127" s="73"/>
      <c r="W127" s="10"/>
      <c r="X127" s="10"/>
      <c r="Y127" s="10"/>
      <c r="Z127" s="10"/>
    </row>
    <row r="128" spans="1:26" s="333" customFormat="1" ht="20" customHeight="1" x14ac:dyDescent="0.15">
      <c r="A128" s="327"/>
      <c r="B128" s="993" t="s">
        <v>81</v>
      </c>
      <c r="C128" s="380" t="s">
        <v>88</v>
      </c>
      <c r="D128" s="996" t="str">
        <f>D55</f>
        <v>Ratio</v>
      </c>
      <c r="E128" s="997" t="str">
        <f>E55</f>
        <v>KPIs</v>
      </c>
      <c r="F128" s="381"/>
      <c r="G128" s="334" t="s">
        <v>158</v>
      </c>
      <c r="H128" s="998" t="str">
        <f>H55</f>
        <v>Ratio/ Team</v>
      </c>
      <c r="I128" s="999" t="str">
        <f>I55</f>
        <v>KPIs</v>
      </c>
      <c r="J128" s="341"/>
      <c r="K128" s="334" t="s">
        <v>159</v>
      </c>
      <c r="L128" s="998" t="str">
        <f>L55</f>
        <v>Ratio/ Team</v>
      </c>
      <c r="M128" s="999" t="str">
        <f>M55</f>
        <v>KPIs</v>
      </c>
      <c r="N128" s="341"/>
      <c r="O128" s="364"/>
      <c r="P128" s="365"/>
      <c r="Q128" s="366"/>
      <c r="R128" s="364"/>
      <c r="S128" s="364"/>
      <c r="T128" s="365"/>
      <c r="U128" s="364"/>
      <c r="V128" s="364"/>
      <c r="W128" s="327"/>
      <c r="X128" s="327"/>
      <c r="Y128" s="327"/>
      <c r="Z128" s="327"/>
    </row>
    <row r="129" spans="1:26" ht="20" customHeight="1" x14ac:dyDescent="0.15">
      <c r="A129" s="10"/>
      <c r="B129" s="1314" t="s">
        <v>88</v>
      </c>
      <c r="C129" s="394" t="s">
        <v>20</v>
      </c>
      <c r="D129" s="395">
        <f>$B$52</f>
        <v>0.2</v>
      </c>
      <c r="E129" s="395">
        <f>D$130*SUM(D$131:D$134)+D$135*SUM(D$136:D$138)+D$139+D$140</f>
        <v>1</v>
      </c>
      <c r="F129" s="68"/>
      <c r="G129" s="78" t="s">
        <v>20</v>
      </c>
      <c r="H129" s="263">
        <f>$B$52</f>
        <v>0.2</v>
      </c>
      <c r="I129" s="263">
        <f>AVERAGE(H130,H135,H139,H140)</f>
        <v>0.60833333333333339</v>
      </c>
      <c r="J129" s="68"/>
      <c r="K129" s="78" t="s">
        <v>20</v>
      </c>
      <c r="L129" s="263">
        <f>$B$52</f>
        <v>0.2</v>
      </c>
      <c r="M129" s="263">
        <f>AVERAGE(L130,L135,L139,L140)</f>
        <v>0.39166666666666666</v>
      </c>
      <c r="N129" s="68"/>
      <c r="O129" s="10"/>
      <c r="P129" s="10"/>
      <c r="Q129" s="10"/>
      <c r="R129" s="10"/>
      <c r="S129" s="10"/>
      <c r="T129" s="10"/>
      <c r="U129" s="10"/>
      <c r="V129" s="10"/>
      <c r="W129" s="16"/>
      <c r="X129" s="16"/>
      <c r="Y129" s="16"/>
      <c r="Z129" s="16"/>
    </row>
    <row r="130" spans="1:26" ht="20" customHeight="1" x14ac:dyDescent="0.15">
      <c r="A130" s="10"/>
      <c r="B130" s="1313"/>
      <c r="C130" s="392" t="s">
        <v>89</v>
      </c>
      <c r="D130" s="606">
        <v>0.5</v>
      </c>
      <c r="E130" s="714">
        <f>SUM(E$131:E$134)</f>
        <v>240</v>
      </c>
      <c r="F130" s="73"/>
      <c r="G130" s="358" t="s">
        <v>89</v>
      </c>
      <c r="H130" s="71">
        <f>SUM(H131:H134)</f>
        <v>0.83333333333333337</v>
      </c>
      <c r="I130" s="717">
        <f>SUM(I$131:I$134)</f>
        <v>200</v>
      </c>
      <c r="J130" s="73"/>
      <c r="K130" s="358" t="s">
        <v>89</v>
      </c>
      <c r="L130" s="71">
        <f>SUM(L131:L134)</f>
        <v>0.16666666666666666</v>
      </c>
      <c r="M130" s="717">
        <f>SUM(M$131:M$134)</f>
        <v>40</v>
      </c>
      <c r="N130" s="73"/>
      <c r="O130" s="10"/>
      <c r="P130" s="262"/>
      <c r="Q130" s="262"/>
      <c r="R130" s="262"/>
      <c r="S130" s="262"/>
      <c r="T130" s="10"/>
      <c r="U130" s="10"/>
      <c r="V130" s="10"/>
      <c r="W130" s="16"/>
      <c r="X130" s="16"/>
      <c r="Y130" s="16"/>
      <c r="Z130" s="16"/>
    </row>
    <row r="131" spans="1:26" ht="20" customHeight="1" x14ac:dyDescent="0.15">
      <c r="A131" s="10"/>
      <c r="B131" s="1313"/>
      <c r="C131" s="386" t="s">
        <v>2</v>
      </c>
      <c r="D131" s="391">
        <v>0.4</v>
      </c>
      <c r="E131" s="396">
        <v>90</v>
      </c>
      <c r="F131" s="670" t="s">
        <v>89</v>
      </c>
      <c r="G131" s="351" t="s">
        <v>2</v>
      </c>
      <c r="H131" s="355">
        <f>I131/E$130</f>
        <v>0.33333333333333331</v>
      </c>
      <c r="I131" s="357">
        <v>80</v>
      </c>
      <c r="J131" s="670" t="s">
        <v>89</v>
      </c>
      <c r="K131" s="351" t="s">
        <v>2</v>
      </c>
      <c r="L131" s="355">
        <f>M131/E$130</f>
        <v>4.1666666666666664E-2</v>
      </c>
      <c r="M131" s="357">
        <f>E131-I131</f>
        <v>10</v>
      </c>
      <c r="N131" s="670" t="s">
        <v>89</v>
      </c>
      <c r="O131" s="10"/>
      <c r="P131" s="262"/>
      <c r="Q131" s="262"/>
      <c r="R131" s="262"/>
      <c r="S131" s="262"/>
      <c r="T131" s="10"/>
      <c r="U131" s="10"/>
      <c r="V131" s="10"/>
      <c r="W131" s="16"/>
      <c r="X131" s="16"/>
      <c r="Y131" s="16"/>
      <c r="Z131" s="16"/>
    </row>
    <row r="132" spans="1:26" ht="20" customHeight="1" x14ac:dyDescent="0.15">
      <c r="A132" s="10"/>
      <c r="B132" s="1313"/>
      <c r="C132" s="386" t="s">
        <v>4</v>
      </c>
      <c r="D132" s="391">
        <v>0.3</v>
      </c>
      <c r="E132" s="396">
        <v>90</v>
      </c>
      <c r="F132" s="670" t="s">
        <v>91</v>
      </c>
      <c r="G132" s="351" t="s">
        <v>4</v>
      </c>
      <c r="H132" s="355">
        <f>I132/E$130</f>
        <v>0.33333333333333331</v>
      </c>
      <c r="I132" s="357">
        <v>80</v>
      </c>
      <c r="J132" s="670" t="s">
        <v>91</v>
      </c>
      <c r="K132" s="351" t="s">
        <v>4</v>
      </c>
      <c r="L132" s="355">
        <f t="shared" ref="L132:L134" si="57">M132/E$130</f>
        <v>4.1666666666666664E-2</v>
      </c>
      <c r="M132" s="357">
        <f t="shared" ref="M132:M134" si="58">E132-I132</f>
        <v>10</v>
      </c>
      <c r="N132" s="670" t="s">
        <v>91</v>
      </c>
      <c r="O132" s="10"/>
      <c r="P132" s="262"/>
      <c r="Q132" s="262"/>
      <c r="R132" s="262"/>
      <c r="S132" s="262"/>
      <c r="T132" s="10"/>
      <c r="U132" s="10"/>
      <c r="V132" s="10"/>
      <c r="W132" s="16"/>
      <c r="X132" s="16"/>
      <c r="Y132" s="16"/>
      <c r="Z132" s="16"/>
    </row>
    <row r="133" spans="1:26" ht="20" customHeight="1" x14ac:dyDescent="0.15">
      <c r="A133" s="10"/>
      <c r="B133" s="1313"/>
      <c r="C133" s="386" t="s">
        <v>5</v>
      </c>
      <c r="D133" s="391">
        <v>0.1</v>
      </c>
      <c r="E133" s="396">
        <v>30</v>
      </c>
      <c r="F133" s="670" t="s">
        <v>187</v>
      </c>
      <c r="G133" s="351" t="s">
        <v>5</v>
      </c>
      <c r="H133" s="355">
        <f>I133/E$130</f>
        <v>8.3333333333333329E-2</v>
      </c>
      <c r="I133" s="357">
        <v>20</v>
      </c>
      <c r="J133" s="670" t="s">
        <v>187</v>
      </c>
      <c r="K133" s="351" t="s">
        <v>5</v>
      </c>
      <c r="L133" s="355">
        <f t="shared" si="57"/>
        <v>4.1666666666666664E-2</v>
      </c>
      <c r="M133" s="357">
        <f t="shared" si="58"/>
        <v>10</v>
      </c>
      <c r="N133" s="670" t="s">
        <v>187</v>
      </c>
      <c r="O133" s="10"/>
      <c r="P133" s="262"/>
      <c r="Q133" s="262"/>
      <c r="R133" s="262"/>
      <c r="S133" s="262"/>
      <c r="T133" s="10"/>
      <c r="U133" s="10"/>
      <c r="V133" s="10"/>
      <c r="W133" s="16"/>
      <c r="X133" s="16"/>
      <c r="Y133" s="16"/>
      <c r="Z133" s="16"/>
    </row>
    <row r="134" spans="1:26" ht="20" customHeight="1" x14ac:dyDescent="0.15">
      <c r="A134" s="10"/>
      <c r="B134" s="1313"/>
      <c r="C134" s="386" t="s">
        <v>60</v>
      </c>
      <c r="D134" s="391">
        <v>0.2</v>
      </c>
      <c r="E134" s="396">
        <v>30</v>
      </c>
      <c r="F134" s="670" t="s">
        <v>188</v>
      </c>
      <c r="G134" s="351" t="s">
        <v>60</v>
      </c>
      <c r="H134" s="355">
        <f>I134/E$130</f>
        <v>8.3333333333333329E-2</v>
      </c>
      <c r="I134" s="357">
        <v>20</v>
      </c>
      <c r="J134" s="670" t="s">
        <v>188</v>
      </c>
      <c r="K134" s="351" t="s">
        <v>60</v>
      </c>
      <c r="L134" s="355">
        <f t="shared" si="57"/>
        <v>4.1666666666666664E-2</v>
      </c>
      <c r="M134" s="357">
        <f t="shared" si="58"/>
        <v>10</v>
      </c>
      <c r="N134" s="670" t="s">
        <v>188</v>
      </c>
      <c r="O134" s="10"/>
      <c r="P134" s="10"/>
      <c r="Q134" s="10"/>
      <c r="R134" s="10"/>
      <c r="S134" s="10"/>
      <c r="T134" s="10"/>
      <c r="U134" s="10"/>
      <c r="V134" s="10"/>
      <c r="W134" s="16"/>
      <c r="X134" s="16"/>
      <c r="Y134" s="16"/>
      <c r="Z134" s="16"/>
    </row>
    <row r="135" spans="1:26" ht="20" customHeight="1" x14ac:dyDescent="0.15">
      <c r="A135" s="10"/>
      <c r="B135" s="1313"/>
      <c r="C135" s="385" t="s">
        <v>23</v>
      </c>
      <c r="D135" s="606">
        <v>0.3</v>
      </c>
      <c r="E135" s="714">
        <f>SUM(E$136:E$138)</f>
        <v>15</v>
      </c>
      <c r="F135" s="73"/>
      <c r="G135" s="353" t="s">
        <v>23</v>
      </c>
      <c r="H135" s="71">
        <f>SUM(H136:H138)</f>
        <v>0.60000000000000009</v>
      </c>
      <c r="I135" s="717">
        <f>SUM(I$136:I$138)</f>
        <v>9</v>
      </c>
      <c r="J135" s="73"/>
      <c r="K135" s="353" t="s">
        <v>23</v>
      </c>
      <c r="L135" s="71">
        <f>SUM(L136:L138)</f>
        <v>0.4</v>
      </c>
      <c r="M135" s="717">
        <f>SUM(M$136:M$138)</f>
        <v>6</v>
      </c>
      <c r="N135" s="73"/>
      <c r="O135" s="10"/>
      <c r="P135" s="10"/>
      <c r="Q135" s="10"/>
      <c r="R135" s="10"/>
      <c r="S135" s="10"/>
      <c r="T135" s="10"/>
      <c r="U135" s="10"/>
      <c r="V135" s="10"/>
      <c r="W135" s="16"/>
      <c r="X135" s="16"/>
      <c r="Y135" s="16"/>
      <c r="Z135" s="16"/>
    </row>
    <row r="136" spans="1:26" ht="20" customHeight="1" x14ac:dyDescent="0.15">
      <c r="A136" s="10"/>
      <c r="B136" s="1313"/>
      <c r="C136" s="386" t="s">
        <v>2</v>
      </c>
      <c r="D136" s="391">
        <f>E136/$E$135</f>
        <v>0.33333333333333331</v>
      </c>
      <c r="E136" s="396">
        <v>5</v>
      </c>
      <c r="F136" s="670" t="s">
        <v>89</v>
      </c>
      <c r="G136" s="351" t="s">
        <v>2</v>
      </c>
      <c r="H136" s="355">
        <f>I136/$E$135</f>
        <v>0.2</v>
      </c>
      <c r="I136" s="357">
        <v>3</v>
      </c>
      <c r="J136" s="670" t="s">
        <v>89</v>
      </c>
      <c r="K136" s="351" t="s">
        <v>2</v>
      </c>
      <c r="L136" s="355">
        <f>M136/$E$135</f>
        <v>0.13333333333333333</v>
      </c>
      <c r="M136" s="357">
        <f>E136-I136</f>
        <v>2</v>
      </c>
      <c r="N136" s="670" t="s">
        <v>89</v>
      </c>
      <c r="O136" s="10"/>
      <c r="P136" s="10"/>
      <c r="Q136" s="10"/>
      <c r="R136" s="10"/>
      <c r="S136" s="10"/>
      <c r="T136" s="10"/>
      <c r="U136" s="10"/>
      <c r="V136" s="10"/>
      <c r="W136" s="16"/>
      <c r="X136" s="16"/>
      <c r="Y136" s="16"/>
      <c r="Z136" s="16"/>
    </row>
    <row r="137" spans="1:26" ht="20" customHeight="1" x14ac:dyDescent="0.15">
      <c r="A137" s="10"/>
      <c r="B137" s="1313"/>
      <c r="C137" s="386" t="s">
        <v>3</v>
      </c>
      <c r="D137" s="391">
        <f>E137/$E$135</f>
        <v>0.33333333333333331</v>
      </c>
      <c r="E137" s="396">
        <v>5</v>
      </c>
      <c r="F137" s="670" t="s">
        <v>89</v>
      </c>
      <c r="G137" s="351" t="s">
        <v>3</v>
      </c>
      <c r="H137" s="355">
        <f>I137/$E$135</f>
        <v>0.2</v>
      </c>
      <c r="I137" s="357">
        <v>3</v>
      </c>
      <c r="J137" s="670" t="s">
        <v>89</v>
      </c>
      <c r="K137" s="351" t="s">
        <v>3</v>
      </c>
      <c r="L137" s="355">
        <f>M137/$E$135</f>
        <v>0.13333333333333333</v>
      </c>
      <c r="M137" s="357">
        <f t="shared" ref="M137:M138" si="59">E137-I137</f>
        <v>2</v>
      </c>
      <c r="N137" s="670" t="s">
        <v>89</v>
      </c>
      <c r="O137" s="10"/>
      <c r="P137" s="10"/>
      <c r="Q137" s="10"/>
      <c r="R137" s="10"/>
      <c r="S137" s="10"/>
      <c r="T137" s="10"/>
      <c r="U137" s="10"/>
      <c r="V137" s="10"/>
      <c r="W137" s="16"/>
      <c r="X137" s="16"/>
      <c r="Y137" s="16"/>
      <c r="Z137" s="16"/>
    </row>
    <row r="138" spans="1:26" ht="20" customHeight="1" x14ac:dyDescent="0.15">
      <c r="A138" s="10"/>
      <c r="B138" s="1313"/>
      <c r="C138" s="386" t="s">
        <v>5</v>
      </c>
      <c r="D138" s="391">
        <f>E138/$E$135</f>
        <v>0.33333333333333331</v>
      </c>
      <c r="E138" s="396">
        <v>5</v>
      </c>
      <c r="F138" s="670" t="s">
        <v>187</v>
      </c>
      <c r="G138" s="351" t="s">
        <v>5</v>
      </c>
      <c r="H138" s="355">
        <f>I138/$E$135</f>
        <v>0.2</v>
      </c>
      <c r="I138" s="357">
        <v>3</v>
      </c>
      <c r="J138" s="670" t="s">
        <v>187</v>
      </c>
      <c r="K138" s="351" t="s">
        <v>5</v>
      </c>
      <c r="L138" s="355">
        <f t="shared" ref="L138" si="60">M138/$E$135</f>
        <v>0.13333333333333333</v>
      </c>
      <c r="M138" s="357">
        <f t="shared" si="59"/>
        <v>2</v>
      </c>
      <c r="N138" s="670" t="s">
        <v>187</v>
      </c>
      <c r="O138" s="10"/>
      <c r="P138" s="10"/>
      <c r="Q138" s="10"/>
      <c r="R138" s="10"/>
      <c r="S138" s="10"/>
      <c r="T138" s="10"/>
      <c r="U138" s="10"/>
      <c r="V138" s="10"/>
      <c r="W138" s="16"/>
      <c r="X138" s="16"/>
      <c r="Y138" s="16"/>
      <c r="Z138" s="16"/>
    </row>
    <row r="139" spans="1:26" ht="20" customHeight="1" x14ac:dyDescent="0.15">
      <c r="A139" s="10"/>
      <c r="B139" s="1313"/>
      <c r="C139" s="392" t="s">
        <v>90</v>
      </c>
      <c r="D139" s="606">
        <v>0.1</v>
      </c>
      <c r="E139" s="716">
        <v>20</v>
      </c>
      <c r="F139" s="359" t="s">
        <v>187</v>
      </c>
      <c r="G139" s="358" t="s">
        <v>90</v>
      </c>
      <c r="H139" s="71">
        <f>I139/E$139</f>
        <v>0.5</v>
      </c>
      <c r="I139" s="718">
        <v>10</v>
      </c>
      <c r="J139" s="359" t="s">
        <v>187</v>
      </c>
      <c r="K139" s="358" t="s">
        <v>90</v>
      </c>
      <c r="L139" s="71">
        <f>M139/E$139</f>
        <v>0.5</v>
      </c>
      <c r="M139" s="718">
        <f>E139-I139</f>
        <v>10</v>
      </c>
      <c r="N139" s="359" t="s">
        <v>187</v>
      </c>
      <c r="O139" s="10"/>
      <c r="P139" s="10"/>
      <c r="Q139" s="10"/>
      <c r="R139" s="10"/>
      <c r="S139" s="10"/>
      <c r="T139" s="10"/>
      <c r="U139" s="10"/>
      <c r="V139" s="10"/>
      <c r="W139" s="16"/>
      <c r="X139" s="16"/>
      <c r="Y139" s="16"/>
      <c r="Z139" s="16"/>
    </row>
    <row r="140" spans="1:26" ht="20" customHeight="1" x14ac:dyDescent="0.15">
      <c r="A140" s="10"/>
      <c r="B140" s="1313"/>
      <c r="C140" s="392" t="s">
        <v>8</v>
      </c>
      <c r="D140" s="606">
        <v>0.1</v>
      </c>
      <c r="E140" s="716">
        <v>100</v>
      </c>
      <c r="F140" s="359" t="s">
        <v>189</v>
      </c>
      <c r="G140" s="358" t="s">
        <v>8</v>
      </c>
      <c r="H140" s="71">
        <f>I140/E$140</f>
        <v>0.5</v>
      </c>
      <c r="I140" s="718">
        <v>50</v>
      </c>
      <c r="J140" s="359" t="s">
        <v>189</v>
      </c>
      <c r="K140" s="358" t="s">
        <v>8</v>
      </c>
      <c r="L140" s="71">
        <f>M140/E$140</f>
        <v>0.5</v>
      </c>
      <c r="M140" s="718">
        <f>E140-I140</f>
        <v>50</v>
      </c>
      <c r="N140" s="359" t="s">
        <v>189</v>
      </c>
      <c r="O140" s="10"/>
      <c r="P140" s="10"/>
      <c r="Q140" s="10"/>
      <c r="R140" s="10"/>
      <c r="S140" s="10"/>
      <c r="T140" s="10"/>
      <c r="U140" s="10"/>
      <c r="V140" s="10"/>
      <c r="W140" s="16"/>
      <c r="X140" s="16"/>
      <c r="Y140" s="16"/>
      <c r="Z140" s="16"/>
    </row>
    <row r="141" spans="1:26" ht="20" customHeight="1" x14ac:dyDescent="0.15">
      <c r="A141" s="10"/>
      <c r="B141" s="1313"/>
      <c r="C141" s="397" t="s">
        <v>21</v>
      </c>
      <c r="D141" s="265">
        <f>$B$52</f>
        <v>0.2</v>
      </c>
      <c r="E141" s="265">
        <f>D$142*SUM(D$143:D$145)+D$146*SUM(D$147)+D$148*SUM(D$149)++D$150*SUM(D$151:D$152)</f>
        <v>0.99999999999999989</v>
      </c>
      <c r="F141" s="70"/>
      <c r="G141" s="79" t="s">
        <v>21</v>
      </c>
      <c r="H141" s="265">
        <f>$B$52</f>
        <v>0.2</v>
      </c>
      <c r="I141" s="265">
        <f>AVERAGE(H142,H146,H150)</f>
        <v>0.61111111111111116</v>
      </c>
      <c r="J141" s="70"/>
      <c r="K141" s="79" t="s">
        <v>21</v>
      </c>
      <c r="L141" s="265">
        <f>$B$52</f>
        <v>0.2</v>
      </c>
      <c r="M141" s="265">
        <f>AVERAGE(L142,L146,L150)</f>
        <v>0.38888888888888884</v>
      </c>
      <c r="N141" s="70"/>
      <c r="O141" s="10"/>
      <c r="P141" s="10"/>
      <c r="Q141" s="10"/>
      <c r="R141" s="10"/>
      <c r="S141" s="10"/>
      <c r="T141" s="10"/>
      <c r="U141" s="10"/>
      <c r="V141" s="10"/>
      <c r="W141" s="16"/>
      <c r="X141" s="16"/>
      <c r="Y141" s="16"/>
      <c r="Z141" s="16"/>
    </row>
    <row r="142" spans="1:26" ht="20" customHeight="1" x14ac:dyDescent="0.15">
      <c r="A142" s="10"/>
      <c r="B142" s="1313"/>
      <c r="C142" s="392" t="s">
        <v>78</v>
      </c>
      <c r="D142" s="606">
        <v>0.1</v>
      </c>
      <c r="E142" s="713">
        <f>$F$8*20%</f>
        <v>100000000</v>
      </c>
      <c r="F142" s="359" t="s">
        <v>79</v>
      </c>
      <c r="G142" s="358" t="s">
        <v>78</v>
      </c>
      <c r="H142" s="71">
        <f>SUM(H143:H145)</f>
        <v>0.5</v>
      </c>
      <c r="I142" s="713">
        <f>SUM(I143:I145)</f>
        <v>50000000</v>
      </c>
      <c r="J142" s="359" t="s">
        <v>79</v>
      </c>
      <c r="K142" s="358" t="s">
        <v>78</v>
      </c>
      <c r="L142" s="71">
        <f>SUM(L143:L145)</f>
        <v>0.5</v>
      </c>
      <c r="M142" s="713">
        <f>SUM(M143:M145)</f>
        <v>50000000</v>
      </c>
      <c r="N142" s="359" t="s">
        <v>79</v>
      </c>
      <c r="O142" s="10"/>
      <c r="P142" s="10"/>
      <c r="Q142" s="10"/>
      <c r="R142" s="10"/>
      <c r="S142" s="10"/>
      <c r="T142" s="10"/>
      <c r="U142" s="10"/>
      <c r="V142" s="10"/>
      <c r="W142" s="16"/>
      <c r="X142" s="16"/>
      <c r="Y142" s="16"/>
      <c r="Z142" s="16"/>
    </row>
    <row r="143" spans="1:26" ht="20" customHeight="1" x14ac:dyDescent="0.15">
      <c r="A143" s="10"/>
      <c r="B143" s="1313"/>
      <c r="C143" s="386" t="s">
        <v>2</v>
      </c>
      <c r="D143" s="391">
        <f>D136</f>
        <v>0.33333333333333331</v>
      </c>
      <c r="E143" s="605">
        <f>$E$142/3</f>
        <v>33333333.333333332</v>
      </c>
      <c r="F143" s="68"/>
      <c r="G143" s="351" t="s">
        <v>2</v>
      </c>
      <c r="H143" s="355">
        <f>I143/E$142</f>
        <v>0.16666666666666666</v>
      </c>
      <c r="I143" s="605">
        <f>E143/2</f>
        <v>16666666.666666666</v>
      </c>
      <c r="J143" s="68"/>
      <c r="K143" s="351" t="s">
        <v>2</v>
      </c>
      <c r="L143" s="355">
        <f>M143/E$142</f>
        <v>0.16666666666666666</v>
      </c>
      <c r="M143" s="605">
        <f>E143-I143</f>
        <v>16666666.666666666</v>
      </c>
      <c r="N143" s="68"/>
      <c r="O143" s="10"/>
      <c r="P143" s="10"/>
      <c r="Q143" s="10"/>
      <c r="R143" s="10"/>
      <c r="S143" s="10"/>
      <c r="T143" s="10"/>
      <c r="U143" s="10"/>
      <c r="V143" s="10"/>
      <c r="W143" s="16"/>
      <c r="X143" s="16"/>
      <c r="Y143" s="16"/>
      <c r="Z143" s="16"/>
    </row>
    <row r="144" spans="1:26" ht="20" customHeight="1" x14ac:dyDescent="0.15">
      <c r="A144" s="10"/>
      <c r="B144" s="1313"/>
      <c r="C144" s="386" t="s">
        <v>3</v>
      </c>
      <c r="D144" s="391">
        <f>D137</f>
        <v>0.33333333333333331</v>
      </c>
      <c r="E144" s="605">
        <f t="shared" ref="E144:E145" si="61">$E$142/3</f>
        <v>33333333.333333332</v>
      </c>
      <c r="F144" s="68"/>
      <c r="G144" s="351" t="s">
        <v>3</v>
      </c>
      <c r="H144" s="355">
        <f t="shared" ref="H144:H145" si="62">I144/E$142</f>
        <v>0.16666666666666666</v>
      </c>
      <c r="I144" s="605">
        <f>E144/2</f>
        <v>16666666.666666666</v>
      </c>
      <c r="J144" s="68"/>
      <c r="K144" s="351" t="s">
        <v>3</v>
      </c>
      <c r="L144" s="355">
        <f t="shared" ref="L144:L145" si="63">M144/E$142</f>
        <v>0.16666666666666666</v>
      </c>
      <c r="M144" s="605">
        <f t="shared" ref="M144:M145" si="64">E144-I144</f>
        <v>16666666.666666666</v>
      </c>
      <c r="N144" s="68"/>
      <c r="O144" s="10"/>
      <c r="P144" s="10"/>
      <c r="Q144" s="10"/>
      <c r="R144" s="10"/>
      <c r="S144" s="10"/>
      <c r="T144" s="10"/>
      <c r="U144" s="10"/>
      <c r="V144" s="10"/>
      <c r="W144" s="16"/>
      <c r="X144" s="16"/>
      <c r="Y144" s="16"/>
      <c r="Z144" s="16"/>
    </row>
    <row r="145" spans="1:26" ht="20" customHeight="1" x14ac:dyDescent="0.15">
      <c r="A145" s="10"/>
      <c r="B145" s="1313"/>
      <c r="C145" s="386" t="s">
        <v>5</v>
      </c>
      <c r="D145" s="391">
        <f>D138</f>
        <v>0.33333333333333331</v>
      </c>
      <c r="E145" s="605">
        <f t="shared" si="61"/>
        <v>33333333.333333332</v>
      </c>
      <c r="F145" s="68"/>
      <c r="G145" s="351" t="s">
        <v>5</v>
      </c>
      <c r="H145" s="355">
        <f t="shared" si="62"/>
        <v>0.16666666666666666</v>
      </c>
      <c r="I145" s="605">
        <f>E145/2</f>
        <v>16666666.666666666</v>
      </c>
      <c r="J145" s="68"/>
      <c r="K145" s="351" t="s">
        <v>5</v>
      </c>
      <c r="L145" s="355">
        <f t="shared" si="63"/>
        <v>0.16666666666666666</v>
      </c>
      <c r="M145" s="605">
        <f t="shared" si="64"/>
        <v>16666666.666666666</v>
      </c>
      <c r="N145" s="68"/>
      <c r="O145" s="10"/>
      <c r="P145" s="10"/>
      <c r="Q145" s="10"/>
      <c r="R145" s="10"/>
      <c r="S145" s="10"/>
      <c r="T145" s="10"/>
      <c r="U145" s="10"/>
      <c r="V145" s="10"/>
      <c r="W145" s="16"/>
      <c r="X145" s="16"/>
      <c r="Y145" s="16"/>
      <c r="Z145" s="16"/>
    </row>
    <row r="146" spans="1:26" ht="20" customHeight="1" x14ac:dyDescent="0.15">
      <c r="A146" s="10"/>
      <c r="B146" s="1313"/>
      <c r="C146" s="392" t="s">
        <v>221</v>
      </c>
      <c r="D146" s="606">
        <v>0.7</v>
      </c>
      <c r="E146" s="1428">
        <f>AVERAGE($E$147)</f>
        <v>403200</v>
      </c>
      <c r="F146" s="359" t="s">
        <v>76</v>
      </c>
      <c r="G146" s="392" t="s">
        <v>221</v>
      </c>
      <c r="H146" s="71">
        <f>AVERAGE($H$147)</f>
        <v>0.83333333333333337</v>
      </c>
      <c r="I146" s="1427">
        <f>AVERAGE($I$147)</f>
        <v>336000</v>
      </c>
      <c r="J146" s="359" t="s">
        <v>76</v>
      </c>
      <c r="K146" s="392" t="s">
        <v>221</v>
      </c>
      <c r="L146" s="71">
        <f>AVERAGE($L$147)</f>
        <v>0.16666666666666666</v>
      </c>
      <c r="M146" s="1427">
        <f>AVERAGE($M$147)</f>
        <v>67200</v>
      </c>
      <c r="N146" s="359" t="s">
        <v>76</v>
      </c>
      <c r="O146" s="10"/>
      <c r="P146" s="10"/>
      <c r="Q146" s="10"/>
      <c r="R146" s="10"/>
      <c r="S146" s="10"/>
      <c r="T146" s="10"/>
      <c r="U146" s="10"/>
      <c r="V146" s="10"/>
      <c r="W146" s="16"/>
      <c r="X146" s="16"/>
      <c r="Y146" s="16"/>
      <c r="Z146" s="16"/>
    </row>
    <row r="147" spans="1:26" ht="20" customHeight="1" x14ac:dyDescent="0.15">
      <c r="A147" s="10"/>
      <c r="B147" s="1313"/>
      <c r="C147" s="386" t="s">
        <v>224</v>
      </c>
      <c r="D147" s="387">
        <v>1</v>
      </c>
      <c r="E147" s="1429">
        <f>SUM(E131:E134)*E57</f>
        <v>403200</v>
      </c>
      <c r="F147" s="68"/>
      <c r="G147" s="386" t="s">
        <v>224</v>
      </c>
      <c r="H147" s="387">
        <f>I147/E146</f>
        <v>0.83333333333333337</v>
      </c>
      <c r="I147" s="1429">
        <f>SUM(I131:I134)*E57</f>
        <v>336000</v>
      </c>
      <c r="J147" s="68"/>
      <c r="K147" s="386" t="s">
        <v>224</v>
      </c>
      <c r="L147" s="387">
        <f>M147/E146</f>
        <v>0.16666666666666666</v>
      </c>
      <c r="M147" s="1429">
        <f>SUM(M131:M134)*E57</f>
        <v>67200</v>
      </c>
      <c r="N147" s="68"/>
      <c r="O147" s="10"/>
      <c r="P147" s="10"/>
      <c r="Q147" s="10"/>
      <c r="R147" s="10"/>
      <c r="S147" s="10"/>
      <c r="T147" s="10"/>
      <c r="U147" s="10"/>
      <c r="V147" s="10"/>
      <c r="W147" s="16"/>
      <c r="X147" s="16"/>
      <c r="Y147" s="16"/>
      <c r="Z147" s="16"/>
    </row>
    <row r="148" spans="1:26" ht="20" customHeight="1" x14ac:dyDescent="0.15">
      <c r="A148" s="10"/>
      <c r="B148" s="1313"/>
      <c r="C148" s="1419" t="s">
        <v>80</v>
      </c>
      <c r="D148" s="1420">
        <v>0.1</v>
      </c>
      <c r="E148" s="1421">
        <f>AVERAGE($E$149)</f>
        <v>0.4</v>
      </c>
      <c r="F148" s="359" t="s">
        <v>76</v>
      </c>
      <c r="G148" s="1419" t="s">
        <v>80</v>
      </c>
      <c r="H148" s="1420">
        <f>AVERAGE($H$149)</f>
        <v>0.5</v>
      </c>
      <c r="I148" s="1421">
        <f>AVERAGE($I$149)</f>
        <v>0.2</v>
      </c>
      <c r="J148" s="359" t="s">
        <v>76</v>
      </c>
      <c r="K148" s="1419" t="s">
        <v>80</v>
      </c>
      <c r="L148" s="1420">
        <f>AVERAGE($L$149)</f>
        <v>0.5</v>
      </c>
      <c r="M148" s="1421">
        <f>AVERAGE($M$149)</f>
        <v>0.2</v>
      </c>
      <c r="N148" s="359" t="s">
        <v>76</v>
      </c>
      <c r="O148" s="10"/>
      <c r="P148" s="10"/>
      <c r="Q148" s="10"/>
      <c r="R148" s="10"/>
      <c r="S148" s="10"/>
      <c r="T148" s="10"/>
      <c r="U148" s="10"/>
      <c r="V148" s="10"/>
      <c r="W148" s="16"/>
      <c r="X148" s="16"/>
      <c r="Y148" s="16"/>
      <c r="Z148" s="16"/>
    </row>
    <row r="149" spans="1:26" ht="20" customHeight="1" x14ac:dyDescent="0.15">
      <c r="A149" s="10"/>
      <c r="B149" s="1313"/>
      <c r="C149" s="386" t="s">
        <v>225</v>
      </c>
      <c r="D149" s="387">
        <v>1</v>
      </c>
      <c r="E149" s="391">
        <f>$D$11</f>
        <v>0.4</v>
      </c>
      <c r="F149" s="68"/>
      <c r="G149" s="386" t="s">
        <v>225</v>
      </c>
      <c r="H149" s="387">
        <f>I149/E148</f>
        <v>0.5</v>
      </c>
      <c r="I149" s="391">
        <f>E149/2</f>
        <v>0.2</v>
      </c>
      <c r="J149" s="68"/>
      <c r="K149" s="386" t="s">
        <v>225</v>
      </c>
      <c r="L149" s="387">
        <f>M149/E148</f>
        <v>0.5</v>
      </c>
      <c r="M149" s="391">
        <f>E149-I149</f>
        <v>0.2</v>
      </c>
      <c r="N149" s="68"/>
      <c r="O149" s="10"/>
      <c r="P149" s="10"/>
      <c r="Q149" s="10"/>
      <c r="R149" s="10"/>
      <c r="S149" s="10"/>
      <c r="T149" s="10"/>
      <c r="U149" s="10"/>
      <c r="V149" s="10"/>
      <c r="W149" s="16"/>
      <c r="X149" s="16"/>
      <c r="Y149" s="16"/>
      <c r="Z149" s="16"/>
    </row>
    <row r="150" spans="1:26" ht="20" customHeight="1" x14ac:dyDescent="0.15">
      <c r="A150" s="10"/>
      <c r="B150" s="1313"/>
      <c r="C150" s="392" t="s">
        <v>84</v>
      </c>
      <c r="D150" s="606">
        <v>0.1</v>
      </c>
      <c r="E150" s="721">
        <f>AVERAGE(E$151:E$152)</f>
        <v>0.55000000000000004</v>
      </c>
      <c r="F150" s="359" t="s">
        <v>76</v>
      </c>
      <c r="G150" s="358" t="s">
        <v>84</v>
      </c>
      <c r="H150" s="71">
        <f>AVERAGE($H$151:$H$152)</f>
        <v>0.5</v>
      </c>
      <c r="I150" s="1178">
        <f>AVERAGE(I$151:I$152)</f>
        <v>0.27500000000000002</v>
      </c>
      <c r="J150" s="359" t="s">
        <v>76</v>
      </c>
      <c r="K150" s="358" t="s">
        <v>84</v>
      </c>
      <c r="L150" s="71">
        <f>AVERAGE($L$151:$L$152)</f>
        <v>0.5</v>
      </c>
      <c r="M150" s="1178">
        <f>AVERAGE(M$151:M$152)</f>
        <v>0.27500000000000002</v>
      </c>
      <c r="N150" s="359" t="s">
        <v>76</v>
      </c>
      <c r="O150" s="10"/>
      <c r="P150" s="10"/>
      <c r="Q150" s="10"/>
      <c r="R150" s="10"/>
      <c r="S150" s="10"/>
      <c r="T150" s="10"/>
      <c r="U150" s="10"/>
      <c r="V150" s="10"/>
      <c r="W150" s="16"/>
      <c r="X150" s="16"/>
      <c r="Y150" s="16"/>
      <c r="Z150" s="16"/>
    </row>
    <row r="151" spans="1:26" ht="20" customHeight="1" x14ac:dyDescent="0.15">
      <c r="A151" s="10"/>
      <c r="B151" s="1313"/>
      <c r="C151" s="386" t="s">
        <v>2</v>
      </c>
      <c r="D151" s="387">
        <v>0.6</v>
      </c>
      <c r="E151" s="391">
        <f>$K$29</f>
        <v>0.2</v>
      </c>
      <c r="F151" s="68"/>
      <c r="G151" s="351" t="s">
        <v>2</v>
      </c>
      <c r="H151" s="1229">
        <f>I151/E$150</f>
        <v>0.18181818181818182</v>
      </c>
      <c r="I151" s="355">
        <f>E151/2</f>
        <v>0.1</v>
      </c>
      <c r="J151" s="68"/>
      <c r="K151" s="351" t="s">
        <v>2</v>
      </c>
      <c r="L151" s="1229">
        <f>M151/E$150</f>
        <v>0.18181818181818182</v>
      </c>
      <c r="M151" s="355">
        <f>E151-I151</f>
        <v>0.1</v>
      </c>
      <c r="N151" s="68"/>
      <c r="O151" s="10"/>
      <c r="P151" s="10"/>
      <c r="Q151" s="10"/>
      <c r="R151" s="10"/>
      <c r="S151" s="10"/>
      <c r="T151" s="10"/>
      <c r="U151" s="10"/>
      <c r="V151" s="10"/>
      <c r="W151" s="16"/>
      <c r="X151" s="16"/>
      <c r="Y151" s="16"/>
      <c r="Z151" s="16"/>
    </row>
    <row r="152" spans="1:26" ht="20" customHeight="1" x14ac:dyDescent="0.15">
      <c r="A152" s="10"/>
      <c r="B152" s="1313"/>
      <c r="C152" s="386" t="s">
        <v>3</v>
      </c>
      <c r="D152" s="387">
        <v>0.4</v>
      </c>
      <c r="E152" s="391">
        <f>$K$30</f>
        <v>0.9</v>
      </c>
      <c r="F152" s="68"/>
      <c r="G152" s="351" t="s">
        <v>3</v>
      </c>
      <c r="H152" s="1229">
        <f>I152/E$150</f>
        <v>0.81818181818181812</v>
      </c>
      <c r="I152" s="355">
        <f>E152/2</f>
        <v>0.45</v>
      </c>
      <c r="J152" s="68"/>
      <c r="K152" s="351" t="s">
        <v>3</v>
      </c>
      <c r="L152" s="1229">
        <f>M152/E$150</f>
        <v>0.81818181818181812</v>
      </c>
      <c r="M152" s="355">
        <f>E152-I152</f>
        <v>0.45</v>
      </c>
      <c r="N152" s="68"/>
      <c r="O152" s="10"/>
      <c r="P152" s="10"/>
      <c r="Q152" s="10"/>
      <c r="R152" s="262"/>
      <c r="S152" s="262"/>
      <c r="T152" s="10"/>
      <c r="U152" s="10"/>
      <c r="V152" s="10"/>
      <c r="W152" s="16"/>
      <c r="X152" s="16"/>
      <c r="Y152" s="16"/>
      <c r="Z152" s="16"/>
    </row>
    <row r="153" spans="1:26" s="340" customFormat="1" ht="20" customHeight="1" x14ac:dyDescent="0.2">
      <c r="A153" s="337"/>
      <c r="B153" s="993" t="s">
        <v>81</v>
      </c>
      <c r="C153" s="380" t="s">
        <v>52</v>
      </c>
      <c r="D153" s="996" t="str">
        <f>D55</f>
        <v>Ratio</v>
      </c>
      <c r="E153" s="996" t="str">
        <f>E55</f>
        <v>KPIs</v>
      </c>
      <c r="F153" s="381"/>
      <c r="G153" s="367"/>
      <c r="H153" s="368"/>
      <c r="I153" s="369"/>
      <c r="J153" s="370"/>
      <c r="K153" s="370"/>
      <c r="L153" s="368"/>
      <c r="M153" s="369"/>
      <c r="N153" s="370"/>
      <c r="O153" s="337"/>
      <c r="P153" s="343"/>
      <c r="Q153" s="338"/>
      <c r="R153" s="345"/>
      <c r="S153" s="345"/>
      <c r="T153" s="337"/>
      <c r="U153" s="337"/>
      <c r="V153" s="337"/>
      <c r="W153" s="346"/>
      <c r="X153" s="346"/>
      <c r="Y153" s="346"/>
      <c r="Z153" s="346"/>
    </row>
    <row r="154" spans="1:26" ht="20" customHeight="1" x14ac:dyDescent="0.15">
      <c r="A154" s="10"/>
      <c r="B154" s="1304" t="s">
        <v>94</v>
      </c>
      <c r="C154" s="394" t="s">
        <v>20</v>
      </c>
      <c r="D154" s="395">
        <f>$B$51</f>
        <v>0.2</v>
      </c>
      <c r="E154" s="395">
        <f>D$155</f>
        <v>1</v>
      </c>
      <c r="F154" s="398"/>
      <c r="G154" s="206"/>
      <c r="H154" s="10"/>
      <c r="I154" s="10"/>
      <c r="J154" s="10"/>
      <c r="K154" s="10"/>
      <c r="L154" s="10"/>
      <c r="M154" s="10"/>
      <c r="N154" s="10"/>
      <c r="O154" s="10"/>
      <c r="P154" s="10"/>
      <c r="Q154" s="10"/>
      <c r="R154" s="262"/>
      <c r="S154" s="264"/>
      <c r="T154" s="10"/>
      <c r="U154" s="10"/>
      <c r="V154" s="10"/>
      <c r="W154" s="16"/>
      <c r="X154" s="16"/>
      <c r="Y154" s="16"/>
      <c r="Z154" s="16"/>
    </row>
    <row r="155" spans="1:26" ht="20" customHeight="1" x14ac:dyDescent="0.15">
      <c r="A155" s="10"/>
      <c r="B155" s="1305"/>
      <c r="C155" s="392" t="s">
        <v>101</v>
      </c>
      <c r="D155" s="1222">
        <v>1</v>
      </c>
      <c r="E155" s="719">
        <v>90</v>
      </c>
      <c r="F155" s="399" t="s">
        <v>186</v>
      </c>
      <c r="G155" s="206"/>
      <c r="H155" s="10"/>
      <c r="I155" s="10"/>
      <c r="J155" s="10"/>
      <c r="K155" s="10"/>
      <c r="L155" s="10"/>
      <c r="M155" s="10"/>
      <c r="N155" s="10"/>
      <c r="O155" s="10"/>
      <c r="P155" s="10"/>
      <c r="Q155" s="10"/>
      <c r="R155" s="262"/>
      <c r="S155" s="262"/>
      <c r="T155" s="10"/>
      <c r="U155" s="10"/>
      <c r="V155" s="10"/>
      <c r="W155" s="16"/>
      <c r="X155" s="16"/>
      <c r="Y155" s="16"/>
      <c r="Z155" s="16"/>
    </row>
    <row r="156" spans="1:26" ht="20" customHeight="1" x14ac:dyDescent="0.15">
      <c r="A156" s="10"/>
      <c r="B156" s="1305"/>
      <c r="C156" s="397" t="s">
        <v>21</v>
      </c>
      <c r="D156" s="265">
        <f>$B$52</f>
        <v>0.2</v>
      </c>
      <c r="E156" s="265">
        <f>SUM(D$157:D$158)</f>
        <v>1</v>
      </c>
      <c r="F156" s="360"/>
      <c r="G156" s="206"/>
      <c r="H156" s="10"/>
      <c r="I156" s="10"/>
      <c r="J156" s="10"/>
      <c r="K156" s="10"/>
      <c r="L156" s="10"/>
      <c r="M156" s="10"/>
      <c r="N156" s="10"/>
      <c r="O156" s="10"/>
      <c r="P156" s="10"/>
      <c r="Q156" s="10"/>
      <c r="R156" s="262"/>
      <c r="S156" s="262"/>
      <c r="T156" s="10"/>
      <c r="U156" s="10"/>
      <c r="V156" s="10"/>
      <c r="W156" s="16"/>
      <c r="X156" s="16"/>
      <c r="Y156" s="16"/>
      <c r="Z156" s="16"/>
    </row>
    <row r="157" spans="1:26" ht="20" customHeight="1" x14ac:dyDescent="0.15">
      <c r="A157" s="10"/>
      <c r="B157" s="1305"/>
      <c r="C157" s="392" t="s">
        <v>78</v>
      </c>
      <c r="D157" s="606">
        <v>0.5</v>
      </c>
      <c r="E157" s="720">
        <f>$F$8*20%</f>
        <v>100000000</v>
      </c>
      <c r="F157" s="400" t="s">
        <v>79</v>
      </c>
      <c r="G157" s="206"/>
      <c r="H157" s="10"/>
      <c r="I157" s="10"/>
      <c r="J157" s="10"/>
      <c r="K157" s="10"/>
      <c r="L157" s="10"/>
      <c r="M157" s="10"/>
      <c r="N157" s="10"/>
      <c r="O157" s="10"/>
      <c r="P157" s="10"/>
      <c r="Q157" s="10"/>
      <c r="R157" s="10"/>
      <c r="S157" s="10"/>
      <c r="T157" s="10"/>
      <c r="U157" s="10"/>
      <c r="V157" s="10"/>
      <c r="W157" s="16"/>
      <c r="X157" s="16"/>
      <c r="Y157" s="16"/>
      <c r="Z157" s="16"/>
    </row>
    <row r="158" spans="1:26" ht="20" customHeight="1" x14ac:dyDescent="0.15">
      <c r="A158" s="10"/>
      <c r="B158" s="1305"/>
      <c r="C158" s="392" t="s">
        <v>80</v>
      </c>
      <c r="D158" s="606">
        <v>0.5</v>
      </c>
      <c r="E158" s="721">
        <f>$D$11</f>
        <v>0.4</v>
      </c>
      <c r="F158" s="384"/>
      <c r="G158" s="206"/>
      <c r="H158" s="10"/>
      <c r="I158" s="10"/>
      <c r="J158" s="10"/>
      <c r="K158" s="10"/>
      <c r="L158" s="10"/>
      <c r="M158" s="10"/>
      <c r="N158" s="10"/>
      <c r="O158" s="10"/>
      <c r="P158" s="10"/>
      <c r="Q158" s="10"/>
      <c r="R158" s="10"/>
      <c r="S158" s="10"/>
      <c r="T158" s="10"/>
      <c r="U158" s="10"/>
      <c r="V158" s="10"/>
      <c r="W158" s="16"/>
      <c r="X158" s="16"/>
      <c r="Y158" s="16"/>
      <c r="Z158" s="16"/>
    </row>
    <row r="159" spans="1:26" s="340" customFormat="1" ht="20" customHeight="1" x14ac:dyDescent="0.2">
      <c r="A159" s="337"/>
      <c r="B159" s="993" t="s">
        <v>81</v>
      </c>
      <c r="C159" s="380" t="s">
        <v>96</v>
      </c>
      <c r="D159" s="996" t="str">
        <f>D55</f>
        <v>Ratio</v>
      </c>
      <c r="E159" s="996" t="str">
        <f>E55</f>
        <v>KPIs</v>
      </c>
      <c r="F159" s="381"/>
      <c r="G159" s="342"/>
      <c r="H159" s="343"/>
      <c r="I159" s="344"/>
      <c r="J159" s="337"/>
      <c r="K159" s="337"/>
      <c r="L159" s="343"/>
      <c r="M159" s="344"/>
      <c r="N159" s="337"/>
      <c r="O159" s="337"/>
      <c r="P159" s="343"/>
      <c r="Q159" s="338"/>
      <c r="R159" s="337"/>
      <c r="S159" s="337"/>
      <c r="T159" s="337"/>
      <c r="U159" s="337"/>
      <c r="V159" s="337"/>
      <c r="W159" s="347"/>
      <c r="X159" s="347"/>
      <c r="Y159" s="347"/>
      <c r="Z159" s="347"/>
    </row>
    <row r="160" spans="1:26" ht="20" customHeight="1" x14ac:dyDescent="0.15">
      <c r="A160" s="10"/>
      <c r="B160" s="1304" t="s">
        <v>95</v>
      </c>
      <c r="C160" s="394" t="s">
        <v>20</v>
      </c>
      <c r="D160" s="395">
        <f>$B$51</f>
        <v>0.2</v>
      </c>
      <c r="E160" s="395">
        <f>D$161+D$162</f>
        <v>1</v>
      </c>
      <c r="F160" s="398"/>
      <c r="G160" s="206"/>
      <c r="H160" s="10"/>
      <c r="I160" s="10"/>
      <c r="J160" s="10"/>
      <c r="K160" s="10"/>
      <c r="L160" s="10"/>
      <c r="M160" s="10"/>
      <c r="N160" s="10"/>
      <c r="O160" s="10"/>
      <c r="P160" s="10"/>
      <c r="Q160" s="10"/>
      <c r="R160" s="10"/>
      <c r="S160" s="10"/>
      <c r="T160" s="10"/>
      <c r="U160" s="10"/>
      <c r="V160" s="10"/>
      <c r="W160" s="16"/>
      <c r="X160" s="16"/>
      <c r="Y160" s="16"/>
      <c r="Z160" s="16"/>
    </row>
    <row r="161" spans="1:26" ht="20" customHeight="1" x14ac:dyDescent="0.15">
      <c r="A161" s="10"/>
      <c r="B161" s="1305"/>
      <c r="C161" s="392" t="s">
        <v>25</v>
      </c>
      <c r="D161" s="606">
        <v>0.7</v>
      </c>
      <c r="E161" s="716">
        <v>45</v>
      </c>
      <c r="F161" s="400" t="s">
        <v>25</v>
      </c>
      <c r="G161" s="206"/>
      <c r="H161" s="10"/>
      <c r="I161" s="10"/>
      <c r="J161" s="10"/>
      <c r="K161" s="10"/>
      <c r="L161" s="10"/>
      <c r="M161" s="10"/>
      <c r="N161" s="10"/>
      <c r="O161" s="10"/>
      <c r="P161" s="10"/>
      <c r="Q161" s="10"/>
      <c r="R161" s="10"/>
      <c r="S161" s="10"/>
      <c r="T161" s="10"/>
      <c r="U161" s="10"/>
      <c r="V161" s="10"/>
      <c r="W161" s="16"/>
      <c r="X161" s="16"/>
      <c r="Y161" s="16"/>
      <c r="Z161" s="16"/>
    </row>
    <row r="162" spans="1:26" ht="20" customHeight="1" x14ac:dyDescent="0.15">
      <c r="A162" s="10"/>
      <c r="B162" s="1305"/>
      <c r="C162" s="392" t="s">
        <v>26</v>
      </c>
      <c r="D162" s="606">
        <v>0.3</v>
      </c>
      <c r="E162" s="716">
        <v>10</v>
      </c>
      <c r="F162" s="400" t="s">
        <v>26</v>
      </c>
      <c r="G162" s="206"/>
      <c r="H162" s="10"/>
      <c r="I162" s="10"/>
      <c r="J162" s="10"/>
      <c r="K162" s="10"/>
      <c r="L162" s="10"/>
      <c r="M162" s="10"/>
      <c r="N162" s="10"/>
      <c r="O162" s="10"/>
      <c r="P162" s="10"/>
      <c r="Q162" s="10"/>
      <c r="R162" s="10"/>
      <c r="S162" s="10"/>
      <c r="T162" s="10"/>
      <c r="U162" s="10"/>
      <c r="V162" s="10"/>
      <c r="W162" s="16"/>
      <c r="X162" s="16"/>
      <c r="Y162" s="16"/>
      <c r="Z162" s="16"/>
    </row>
    <row r="163" spans="1:26" ht="20" customHeight="1" x14ac:dyDescent="0.15">
      <c r="A163" s="10"/>
      <c r="B163" s="1305"/>
      <c r="C163" s="397" t="s">
        <v>21</v>
      </c>
      <c r="D163" s="265">
        <f>$B$52</f>
        <v>0.2</v>
      </c>
      <c r="E163" s="265">
        <f>SUM(D$164:D$165)</f>
        <v>1</v>
      </c>
      <c r="F163" s="360"/>
      <c r="G163" s="206"/>
      <c r="H163" s="10"/>
      <c r="I163" s="10"/>
      <c r="J163" s="10"/>
      <c r="K163" s="10"/>
      <c r="L163" s="10"/>
      <c r="M163" s="10"/>
      <c r="N163" s="10"/>
      <c r="O163" s="10"/>
      <c r="P163" s="10"/>
      <c r="Q163" s="10"/>
      <c r="R163" s="10"/>
      <c r="S163" s="10"/>
      <c r="T163" s="10"/>
      <c r="U163" s="10"/>
      <c r="V163" s="10"/>
      <c r="W163" s="16"/>
      <c r="X163" s="16"/>
      <c r="Y163" s="16"/>
      <c r="Z163" s="16"/>
    </row>
    <row r="164" spans="1:26" ht="20" customHeight="1" x14ac:dyDescent="0.15">
      <c r="A164" s="10"/>
      <c r="B164" s="1305"/>
      <c r="C164" s="392" t="s">
        <v>78</v>
      </c>
      <c r="D164" s="606">
        <v>0.5</v>
      </c>
      <c r="E164" s="720">
        <f>$F$8*20%</f>
        <v>100000000</v>
      </c>
      <c r="F164" s="400" t="s">
        <v>79</v>
      </c>
      <c r="G164" s="206"/>
      <c r="H164" s="10"/>
      <c r="I164" s="10"/>
      <c r="J164" s="10"/>
      <c r="K164" s="10"/>
      <c r="L164" s="10"/>
      <c r="M164" s="10"/>
      <c r="N164" s="10"/>
      <c r="O164" s="10"/>
      <c r="P164" s="10"/>
      <c r="Q164" s="10"/>
      <c r="R164" s="10"/>
      <c r="S164" s="10"/>
      <c r="T164" s="10"/>
      <c r="U164" s="10"/>
      <c r="V164" s="10"/>
      <c r="W164" s="16"/>
      <c r="X164" s="16"/>
      <c r="Y164" s="16"/>
      <c r="Z164" s="16"/>
    </row>
    <row r="165" spans="1:26" ht="20" customHeight="1" x14ac:dyDescent="0.15">
      <c r="A165" s="10"/>
      <c r="B165" s="1305"/>
      <c r="C165" s="392" t="s">
        <v>80</v>
      </c>
      <c r="D165" s="606">
        <v>0.5</v>
      </c>
      <c r="E165" s="721">
        <f>$D$11</f>
        <v>0.4</v>
      </c>
      <c r="F165" s="363"/>
      <c r="G165" s="206"/>
      <c r="H165" s="10"/>
      <c r="I165" s="10"/>
      <c r="J165" s="10"/>
      <c r="K165" s="10"/>
      <c r="L165" s="10"/>
      <c r="M165" s="10"/>
      <c r="N165" s="10"/>
      <c r="O165" s="10"/>
      <c r="P165" s="10"/>
      <c r="Q165" s="10"/>
      <c r="R165" s="10"/>
      <c r="S165" s="10"/>
      <c r="T165" s="10"/>
      <c r="U165" s="10"/>
      <c r="V165" s="10"/>
      <c r="W165" s="16"/>
      <c r="X165" s="16"/>
      <c r="Y165" s="16"/>
      <c r="Z165" s="16"/>
    </row>
    <row r="166" spans="1:26" s="340" customFormat="1" ht="20" customHeight="1" x14ac:dyDescent="0.2">
      <c r="A166" s="337"/>
      <c r="B166" s="993" t="s">
        <v>81</v>
      </c>
      <c r="C166" s="380" t="s">
        <v>97</v>
      </c>
      <c r="D166" s="996" t="str">
        <f>D55</f>
        <v>Ratio</v>
      </c>
      <c r="E166" s="996" t="str">
        <f>E55</f>
        <v>KPIs</v>
      </c>
      <c r="F166" s="381"/>
      <c r="G166" s="342"/>
      <c r="H166" s="343"/>
      <c r="I166" s="344"/>
      <c r="J166" s="337"/>
      <c r="K166" s="337"/>
      <c r="L166" s="343"/>
      <c r="M166" s="344"/>
      <c r="N166" s="337"/>
      <c r="O166" s="337"/>
      <c r="P166" s="343"/>
      <c r="Q166" s="338"/>
      <c r="R166" s="337"/>
      <c r="S166" s="337"/>
      <c r="T166" s="337"/>
      <c r="U166" s="337"/>
      <c r="V166" s="337"/>
      <c r="W166" s="347"/>
      <c r="X166" s="347"/>
      <c r="Y166" s="347"/>
      <c r="Z166" s="347"/>
    </row>
    <row r="167" spans="1:26" ht="20" customHeight="1" x14ac:dyDescent="0.15">
      <c r="A167" s="10"/>
      <c r="B167" s="1304" t="s">
        <v>98</v>
      </c>
      <c r="C167" s="394" t="s">
        <v>20</v>
      </c>
      <c r="D167" s="395">
        <f>$B$51</f>
        <v>0.2</v>
      </c>
      <c r="E167" s="395">
        <f>SUM(D$168:D$170)</f>
        <v>1</v>
      </c>
      <c r="F167" s="398"/>
      <c r="G167" s="206"/>
      <c r="H167" s="10"/>
      <c r="I167" s="10"/>
      <c r="J167" s="10"/>
      <c r="K167" s="10"/>
      <c r="L167" s="10"/>
      <c r="M167" s="10"/>
      <c r="N167" s="10"/>
      <c r="O167" s="10"/>
      <c r="P167" s="10"/>
      <c r="Q167" s="10"/>
      <c r="R167" s="10"/>
      <c r="S167" s="10"/>
      <c r="T167" s="10"/>
      <c r="U167" s="10"/>
      <c r="V167" s="10"/>
      <c r="W167" s="16"/>
      <c r="X167" s="16"/>
      <c r="Y167" s="16"/>
      <c r="Z167" s="16"/>
    </row>
    <row r="168" spans="1:26" ht="20" customHeight="1" x14ac:dyDescent="0.15">
      <c r="A168" s="10"/>
      <c r="B168" s="1305"/>
      <c r="C168" s="392" t="s">
        <v>101</v>
      </c>
      <c r="D168" s="606">
        <v>0.1</v>
      </c>
      <c r="E168" s="716">
        <v>30</v>
      </c>
      <c r="F168" s="400" t="s">
        <v>101</v>
      </c>
      <c r="G168" s="206"/>
      <c r="H168" s="10"/>
      <c r="I168" s="10"/>
      <c r="J168" s="10"/>
      <c r="K168" s="10"/>
      <c r="L168" s="10"/>
      <c r="M168" s="10"/>
      <c r="N168" s="10"/>
      <c r="O168" s="10"/>
      <c r="P168" s="10"/>
      <c r="Q168" s="10"/>
      <c r="R168" s="10"/>
      <c r="S168" s="10"/>
      <c r="T168" s="10"/>
      <c r="U168" s="10"/>
      <c r="V168" s="10"/>
      <c r="W168" s="16"/>
      <c r="X168" s="16"/>
      <c r="Y168" s="16"/>
      <c r="Z168" s="16"/>
    </row>
    <row r="169" spans="1:26" ht="20" customHeight="1" x14ac:dyDescent="0.15">
      <c r="A169" s="10"/>
      <c r="B169" s="1305"/>
      <c r="C169" s="392" t="s">
        <v>25</v>
      </c>
      <c r="D169" s="606">
        <v>0.8</v>
      </c>
      <c r="E169" s="716">
        <v>30</v>
      </c>
      <c r="F169" s="400" t="s">
        <v>25</v>
      </c>
      <c r="G169" s="206"/>
      <c r="H169" s="10"/>
      <c r="I169" s="10"/>
      <c r="J169" s="10"/>
      <c r="K169" s="10"/>
      <c r="L169" s="10"/>
      <c r="M169" s="10"/>
      <c r="N169" s="10"/>
      <c r="O169" s="10"/>
      <c r="P169" s="10"/>
      <c r="Q169" s="10"/>
      <c r="R169" s="10"/>
      <c r="S169" s="10"/>
      <c r="T169" s="10"/>
      <c r="U169" s="10"/>
      <c r="V169" s="10"/>
      <c r="W169" s="16"/>
      <c r="X169" s="16"/>
      <c r="Y169" s="16"/>
      <c r="Z169" s="16"/>
    </row>
    <row r="170" spans="1:26" ht="20" customHeight="1" x14ac:dyDescent="0.15">
      <c r="A170" s="10"/>
      <c r="B170" s="1305"/>
      <c r="C170" s="392" t="s">
        <v>26</v>
      </c>
      <c r="D170" s="606">
        <v>0.1</v>
      </c>
      <c r="E170" s="716">
        <v>10</v>
      </c>
      <c r="F170" s="400" t="s">
        <v>32</v>
      </c>
      <c r="G170" s="206"/>
      <c r="H170" s="10"/>
      <c r="I170" s="10"/>
      <c r="J170" s="10"/>
      <c r="K170" s="10"/>
      <c r="L170" s="10"/>
      <c r="M170" s="10"/>
      <c r="N170" s="10"/>
      <c r="O170" s="10"/>
      <c r="P170" s="10"/>
      <c r="Q170" s="10"/>
      <c r="R170" s="10"/>
      <c r="S170" s="10"/>
      <c r="T170" s="10"/>
      <c r="U170" s="10"/>
      <c r="V170" s="10"/>
      <c r="W170" s="16"/>
      <c r="X170" s="16"/>
      <c r="Y170" s="16"/>
      <c r="Z170" s="16"/>
    </row>
    <row r="171" spans="1:26" ht="20" customHeight="1" x14ac:dyDescent="0.15">
      <c r="A171" s="10"/>
      <c r="B171" s="1305"/>
      <c r="C171" s="397" t="s">
        <v>21</v>
      </c>
      <c r="D171" s="265">
        <f>$B$52</f>
        <v>0.2</v>
      </c>
      <c r="E171" s="265">
        <f>SUM(D$172:D$173)</f>
        <v>1</v>
      </c>
      <c r="F171" s="360"/>
      <c r="G171" s="206"/>
      <c r="H171" s="10"/>
      <c r="I171" s="10"/>
      <c r="J171" s="10"/>
      <c r="K171" s="10"/>
      <c r="L171" s="10"/>
      <c r="M171" s="10"/>
      <c r="N171" s="10"/>
      <c r="O171" s="10"/>
      <c r="P171" s="10"/>
      <c r="Q171" s="10"/>
      <c r="R171" s="10"/>
      <c r="S171" s="10"/>
      <c r="T171" s="10"/>
      <c r="U171" s="10"/>
      <c r="V171" s="10"/>
      <c r="W171" s="16"/>
      <c r="X171" s="16"/>
      <c r="Y171" s="16"/>
      <c r="Z171" s="16"/>
    </row>
    <row r="172" spans="1:26" ht="20" customHeight="1" x14ac:dyDescent="0.15">
      <c r="A172" s="10"/>
      <c r="B172" s="1305"/>
      <c r="C172" s="392" t="s">
        <v>78</v>
      </c>
      <c r="D172" s="606">
        <v>0.5</v>
      </c>
      <c r="E172" s="720">
        <f>$F$8*20%</f>
        <v>100000000</v>
      </c>
      <c r="F172" s="400" t="s">
        <v>79</v>
      </c>
      <c r="G172" s="206"/>
      <c r="H172" s="10"/>
      <c r="I172" s="10"/>
      <c r="J172" s="10"/>
      <c r="K172" s="10"/>
      <c r="L172" s="10"/>
      <c r="M172" s="10"/>
      <c r="N172" s="10"/>
      <c r="O172" s="10"/>
      <c r="P172" s="10"/>
      <c r="Q172" s="10"/>
      <c r="R172" s="10"/>
      <c r="S172" s="10"/>
      <c r="T172" s="10"/>
      <c r="U172" s="10"/>
      <c r="V172" s="10"/>
      <c r="W172" s="16"/>
      <c r="X172" s="16"/>
      <c r="Y172" s="16"/>
      <c r="Z172" s="16"/>
    </row>
    <row r="173" spans="1:26" ht="20" customHeight="1" thickBot="1" x14ac:dyDescent="0.2">
      <c r="A173" s="10"/>
      <c r="B173" s="1306"/>
      <c r="C173" s="1413" t="s">
        <v>80</v>
      </c>
      <c r="D173" s="1223">
        <v>0.5</v>
      </c>
      <c r="E173" s="722">
        <f>$D$11</f>
        <v>0.4</v>
      </c>
      <c r="F173" s="375"/>
      <c r="G173" s="206"/>
      <c r="H173" s="10"/>
      <c r="I173" s="10"/>
      <c r="J173" s="10"/>
      <c r="K173" s="10"/>
      <c r="L173" s="10"/>
      <c r="M173" s="10"/>
      <c r="N173" s="10"/>
      <c r="O173" s="10"/>
      <c r="P173" s="10"/>
      <c r="Q173" s="10"/>
      <c r="R173" s="10"/>
      <c r="S173" s="10"/>
      <c r="T173" s="10"/>
      <c r="U173" s="10"/>
      <c r="V173" s="10"/>
      <c r="W173" s="16"/>
      <c r="X173" s="16"/>
      <c r="Y173" s="16"/>
      <c r="Z173" s="16"/>
    </row>
    <row r="174" spans="1:26" ht="20" customHeight="1" x14ac:dyDescent="0.15">
      <c r="A174" s="8"/>
      <c r="B174" s="9"/>
      <c r="C174" s="17"/>
      <c r="D174" s="10"/>
      <c r="E174" s="10"/>
      <c r="F174" s="11"/>
      <c r="G174" s="10"/>
      <c r="H174" s="10"/>
      <c r="I174" s="10"/>
      <c r="J174" s="10"/>
      <c r="K174" s="10"/>
      <c r="L174" s="10"/>
      <c r="M174" s="10"/>
      <c r="N174" s="10"/>
      <c r="O174" s="10"/>
      <c r="P174" s="10"/>
      <c r="Q174" s="10"/>
      <c r="R174" s="10"/>
      <c r="S174" s="10"/>
      <c r="T174" s="10"/>
      <c r="U174" s="10"/>
      <c r="V174" s="10"/>
      <c r="W174" s="10"/>
      <c r="X174" s="10"/>
      <c r="Y174" s="10"/>
      <c r="Z174" s="10"/>
    </row>
    <row r="175" spans="1:26" ht="20" customHeight="1" x14ac:dyDescent="0.15">
      <c r="A175" s="8"/>
      <c r="B175" s="9"/>
      <c r="C175" s="17"/>
      <c r="D175" s="10"/>
      <c r="E175" s="10"/>
      <c r="F175" s="11"/>
      <c r="G175" s="10"/>
      <c r="H175" s="10"/>
      <c r="I175" s="10"/>
      <c r="J175" s="10"/>
      <c r="K175" s="10"/>
      <c r="L175" s="10"/>
      <c r="M175" s="10"/>
      <c r="N175" s="10"/>
      <c r="O175" s="10"/>
      <c r="P175" s="10"/>
      <c r="Q175" s="10"/>
      <c r="R175" s="10"/>
      <c r="S175" s="10"/>
      <c r="T175" s="10"/>
      <c r="U175" s="10"/>
      <c r="V175" s="10"/>
      <c r="W175" s="10"/>
      <c r="X175" s="10"/>
      <c r="Y175" s="10"/>
      <c r="Z175" s="10"/>
    </row>
    <row r="176" spans="1:26" ht="20" customHeight="1" x14ac:dyDescent="0.15">
      <c r="A176" s="8"/>
      <c r="B176" s="9"/>
      <c r="C176" s="17"/>
      <c r="D176" s="10"/>
      <c r="E176" s="10"/>
      <c r="F176" s="11"/>
      <c r="G176" s="10"/>
      <c r="H176" s="10"/>
      <c r="I176" s="10"/>
      <c r="J176" s="10"/>
      <c r="K176" s="10"/>
      <c r="L176" s="10"/>
      <c r="M176" s="10"/>
      <c r="N176" s="10"/>
      <c r="O176" s="10"/>
      <c r="P176" s="10"/>
      <c r="Q176" s="10"/>
      <c r="R176" s="10"/>
      <c r="S176" s="10"/>
      <c r="T176" s="10"/>
      <c r="U176" s="10"/>
      <c r="V176" s="10"/>
      <c r="W176" s="10"/>
      <c r="X176" s="10"/>
      <c r="Y176" s="10"/>
      <c r="Z176" s="10"/>
    </row>
    <row r="177" spans="1:26" ht="20" customHeight="1" x14ac:dyDescent="0.15">
      <c r="A177" s="8"/>
      <c r="B177" s="9"/>
      <c r="C177" s="17"/>
      <c r="D177" s="10"/>
      <c r="E177" s="10"/>
      <c r="F177" s="11"/>
      <c r="G177" s="10"/>
      <c r="H177" s="10"/>
      <c r="I177" s="10"/>
      <c r="J177" s="10"/>
      <c r="K177" s="10"/>
      <c r="L177" s="10"/>
      <c r="M177" s="10"/>
      <c r="N177" s="10"/>
      <c r="O177" s="10"/>
      <c r="P177" s="10"/>
      <c r="Q177" s="10"/>
      <c r="R177" s="10"/>
      <c r="S177" s="10"/>
      <c r="T177" s="10"/>
      <c r="U177" s="10"/>
      <c r="V177" s="10"/>
      <c r="W177" s="10"/>
      <c r="X177" s="10"/>
      <c r="Y177" s="10"/>
      <c r="Z177" s="10"/>
    </row>
    <row r="178" spans="1:26" ht="20" customHeight="1" x14ac:dyDescent="0.15">
      <c r="A178" s="8"/>
      <c r="B178" s="9"/>
      <c r="C178" s="17"/>
      <c r="D178" s="10"/>
      <c r="E178" s="10"/>
      <c r="F178" s="11"/>
      <c r="G178" s="10"/>
      <c r="H178" s="10"/>
      <c r="I178" s="10"/>
      <c r="J178" s="10"/>
      <c r="K178" s="10"/>
      <c r="L178" s="10"/>
      <c r="M178" s="10"/>
      <c r="N178" s="10"/>
      <c r="O178" s="10"/>
      <c r="P178" s="10"/>
      <c r="Q178" s="10"/>
      <c r="R178" s="10"/>
      <c r="S178" s="10"/>
      <c r="T178" s="10"/>
      <c r="U178" s="10"/>
      <c r="V178" s="10"/>
      <c r="W178" s="10"/>
      <c r="X178" s="10"/>
      <c r="Y178" s="10"/>
      <c r="Z178" s="10"/>
    </row>
    <row r="179" spans="1:26" ht="20" customHeight="1" x14ac:dyDescent="0.15">
      <c r="A179" s="8"/>
      <c r="B179" s="9"/>
      <c r="C179" s="17"/>
      <c r="D179" s="10"/>
      <c r="E179" s="10"/>
      <c r="F179" s="11"/>
      <c r="G179" s="10"/>
      <c r="H179" s="10"/>
      <c r="I179" s="10"/>
      <c r="J179" s="10"/>
      <c r="K179" s="10"/>
      <c r="L179" s="10"/>
      <c r="M179" s="10"/>
      <c r="N179" s="10"/>
      <c r="O179" s="10"/>
      <c r="P179" s="10"/>
      <c r="Q179" s="10"/>
      <c r="R179" s="10"/>
      <c r="S179" s="10"/>
      <c r="T179" s="10"/>
      <c r="U179" s="10"/>
      <c r="V179" s="10"/>
      <c r="W179" s="10"/>
      <c r="X179" s="10"/>
      <c r="Y179" s="10"/>
      <c r="Z179" s="10"/>
    </row>
    <row r="180" spans="1:26" ht="20" customHeight="1" x14ac:dyDescent="0.15">
      <c r="A180" s="8"/>
      <c r="B180" s="9"/>
      <c r="C180" s="17"/>
      <c r="D180" s="10"/>
      <c r="E180" s="10"/>
      <c r="F180" s="11"/>
      <c r="G180" s="10"/>
      <c r="H180" s="10"/>
      <c r="I180" s="10"/>
      <c r="J180" s="10"/>
      <c r="K180" s="10"/>
      <c r="L180" s="10"/>
      <c r="M180" s="10"/>
      <c r="N180" s="10"/>
      <c r="O180" s="10"/>
      <c r="P180" s="10"/>
      <c r="Q180" s="10"/>
      <c r="R180" s="10"/>
      <c r="S180" s="10"/>
      <c r="T180" s="10"/>
      <c r="U180" s="10"/>
      <c r="V180" s="10"/>
      <c r="W180" s="10"/>
      <c r="X180" s="10"/>
      <c r="Y180" s="10"/>
      <c r="Z180" s="10"/>
    </row>
    <row r="181" spans="1:26" ht="20" customHeight="1" x14ac:dyDescent="0.15">
      <c r="A181" s="8"/>
      <c r="B181" s="9"/>
      <c r="C181" s="17"/>
      <c r="D181" s="10"/>
      <c r="E181" s="10"/>
      <c r="F181" s="11"/>
      <c r="G181" s="10"/>
      <c r="H181" s="10"/>
      <c r="I181" s="10"/>
      <c r="J181" s="10"/>
      <c r="K181" s="10"/>
      <c r="L181" s="10"/>
      <c r="M181" s="10"/>
      <c r="N181" s="10"/>
      <c r="O181" s="10"/>
      <c r="P181" s="10"/>
      <c r="Q181" s="10"/>
      <c r="R181" s="10"/>
      <c r="S181" s="10"/>
      <c r="T181" s="10"/>
      <c r="U181" s="10"/>
      <c r="V181" s="10"/>
      <c r="W181" s="10"/>
      <c r="X181" s="10"/>
      <c r="Y181" s="10"/>
      <c r="Z181" s="10"/>
    </row>
    <row r="182" spans="1:26" ht="20" customHeight="1" x14ac:dyDescent="0.15">
      <c r="A182" s="8"/>
      <c r="B182" s="9"/>
      <c r="C182" s="17"/>
      <c r="D182" s="10"/>
      <c r="E182" s="10"/>
      <c r="F182" s="11"/>
      <c r="G182" s="10"/>
      <c r="H182" s="10"/>
      <c r="I182" s="10"/>
      <c r="J182" s="10"/>
      <c r="K182" s="10"/>
      <c r="L182" s="10"/>
      <c r="M182" s="10"/>
      <c r="N182" s="10"/>
      <c r="O182" s="10"/>
      <c r="P182" s="10"/>
      <c r="Q182" s="10"/>
      <c r="R182" s="10"/>
      <c r="S182" s="10"/>
      <c r="T182" s="10"/>
      <c r="U182" s="10"/>
      <c r="V182" s="10"/>
      <c r="W182" s="10"/>
      <c r="X182" s="10"/>
      <c r="Y182" s="10"/>
      <c r="Z182" s="10"/>
    </row>
    <row r="183" spans="1:26" ht="20" customHeight="1" x14ac:dyDescent="0.15">
      <c r="A183" s="8"/>
      <c r="B183" s="9"/>
      <c r="C183" s="17"/>
      <c r="D183" s="10"/>
      <c r="E183" s="10"/>
      <c r="F183" s="11"/>
      <c r="G183" s="10"/>
      <c r="H183" s="10"/>
      <c r="I183" s="10"/>
      <c r="J183" s="10"/>
      <c r="K183" s="10"/>
      <c r="L183" s="10"/>
      <c r="M183" s="10"/>
      <c r="N183" s="10"/>
      <c r="O183" s="10"/>
      <c r="P183" s="10"/>
      <c r="Q183" s="10"/>
      <c r="R183" s="10"/>
      <c r="S183" s="10"/>
      <c r="T183" s="10"/>
      <c r="U183" s="10"/>
      <c r="V183" s="10"/>
      <c r="W183" s="10"/>
      <c r="X183" s="10"/>
      <c r="Y183" s="10"/>
      <c r="Z183" s="10"/>
    </row>
    <row r="184" spans="1:26" ht="20" customHeight="1" x14ac:dyDescent="0.15">
      <c r="A184" s="8"/>
      <c r="B184" s="9"/>
      <c r="C184" s="17"/>
      <c r="D184" s="10"/>
      <c r="E184" s="10"/>
      <c r="F184" s="11"/>
      <c r="G184" s="10"/>
      <c r="H184" s="10"/>
      <c r="I184" s="10"/>
      <c r="J184" s="10"/>
      <c r="K184" s="10"/>
      <c r="L184" s="10"/>
      <c r="M184" s="10"/>
      <c r="N184" s="10"/>
      <c r="O184" s="10"/>
      <c r="P184" s="10"/>
      <c r="Q184" s="10"/>
      <c r="R184" s="10"/>
      <c r="S184" s="10"/>
      <c r="T184" s="10"/>
      <c r="U184" s="10"/>
      <c r="V184" s="10"/>
      <c r="W184" s="10"/>
      <c r="X184" s="10"/>
      <c r="Y184" s="10"/>
      <c r="Z184" s="10"/>
    </row>
    <row r="185" spans="1:26" ht="20" customHeight="1" x14ac:dyDescent="0.15">
      <c r="A185" s="8"/>
      <c r="B185" s="9"/>
      <c r="C185" s="17"/>
      <c r="D185" s="10"/>
      <c r="E185" s="10"/>
      <c r="F185" s="11"/>
      <c r="G185" s="10"/>
      <c r="H185" s="10"/>
      <c r="I185" s="10"/>
      <c r="J185" s="10"/>
      <c r="K185" s="10"/>
      <c r="L185" s="10"/>
      <c r="M185" s="10"/>
      <c r="N185" s="10"/>
      <c r="O185" s="10"/>
      <c r="P185" s="10"/>
      <c r="Q185" s="10"/>
      <c r="R185" s="10"/>
      <c r="S185" s="10"/>
      <c r="T185" s="10"/>
      <c r="U185" s="10"/>
      <c r="V185" s="10"/>
      <c r="W185" s="10"/>
      <c r="X185" s="10"/>
      <c r="Y185" s="10"/>
      <c r="Z185" s="10"/>
    </row>
    <row r="186" spans="1:26" ht="20" customHeight="1" x14ac:dyDescent="0.15">
      <c r="A186" s="8"/>
      <c r="B186" s="9"/>
      <c r="C186" s="17"/>
      <c r="D186" s="10"/>
      <c r="E186" s="10"/>
      <c r="F186" s="11"/>
      <c r="G186" s="10"/>
      <c r="H186" s="10"/>
      <c r="I186" s="10"/>
      <c r="J186" s="10"/>
      <c r="K186" s="10"/>
      <c r="L186" s="10"/>
      <c r="M186" s="10"/>
      <c r="N186" s="10"/>
      <c r="O186" s="10"/>
      <c r="P186" s="10"/>
      <c r="Q186" s="10"/>
      <c r="R186" s="10"/>
      <c r="S186" s="10"/>
      <c r="T186" s="10"/>
      <c r="U186" s="10"/>
      <c r="V186" s="10"/>
      <c r="W186" s="10"/>
      <c r="X186" s="10"/>
      <c r="Y186" s="10"/>
      <c r="Z186" s="10"/>
    </row>
    <row r="187" spans="1:26" ht="20" customHeight="1" x14ac:dyDescent="0.15">
      <c r="A187" s="8"/>
      <c r="B187" s="9"/>
      <c r="C187" s="17"/>
      <c r="D187" s="10"/>
      <c r="E187" s="10"/>
      <c r="F187" s="11"/>
      <c r="G187" s="10"/>
      <c r="H187" s="10"/>
      <c r="I187" s="10"/>
      <c r="J187" s="10"/>
      <c r="K187" s="10"/>
      <c r="L187" s="10"/>
      <c r="M187" s="10"/>
      <c r="N187" s="10"/>
      <c r="O187" s="10"/>
      <c r="P187" s="10"/>
      <c r="Q187" s="10"/>
      <c r="R187" s="10"/>
      <c r="S187" s="10"/>
      <c r="T187" s="10"/>
      <c r="U187" s="10"/>
      <c r="V187" s="10"/>
      <c r="W187" s="10"/>
      <c r="X187" s="10"/>
      <c r="Y187" s="10"/>
      <c r="Z187" s="10"/>
    </row>
    <row r="188" spans="1:26" ht="20" customHeight="1" x14ac:dyDescent="0.15">
      <c r="A188" s="8"/>
      <c r="B188" s="9"/>
      <c r="C188" s="17"/>
      <c r="D188" s="10"/>
      <c r="E188" s="10"/>
      <c r="F188" s="11"/>
      <c r="G188" s="10"/>
      <c r="H188" s="10"/>
      <c r="I188" s="10"/>
      <c r="J188" s="10"/>
      <c r="K188" s="10"/>
      <c r="L188" s="10"/>
      <c r="M188" s="10"/>
      <c r="N188" s="10"/>
      <c r="O188" s="10"/>
      <c r="P188" s="10"/>
      <c r="Q188" s="10"/>
      <c r="R188" s="10"/>
      <c r="S188" s="10"/>
      <c r="T188" s="10"/>
      <c r="U188" s="10"/>
      <c r="V188" s="10"/>
      <c r="W188" s="10"/>
      <c r="X188" s="10"/>
      <c r="Y188" s="10"/>
      <c r="Z188" s="10"/>
    </row>
    <row r="189" spans="1:26" ht="20" customHeight="1" x14ac:dyDescent="0.15">
      <c r="A189" s="8"/>
      <c r="B189" s="9"/>
      <c r="C189" s="17"/>
      <c r="D189" s="10"/>
      <c r="E189" s="10"/>
      <c r="F189" s="11"/>
      <c r="G189" s="10"/>
      <c r="H189" s="10"/>
      <c r="I189" s="10"/>
      <c r="J189" s="10"/>
      <c r="K189" s="10"/>
      <c r="L189" s="10"/>
      <c r="M189" s="10"/>
      <c r="N189" s="10"/>
      <c r="O189" s="10"/>
      <c r="P189" s="10"/>
      <c r="Q189" s="10"/>
      <c r="R189" s="10"/>
      <c r="S189" s="10"/>
      <c r="T189" s="10"/>
      <c r="U189" s="10"/>
      <c r="V189" s="10"/>
      <c r="W189" s="10"/>
      <c r="X189" s="10"/>
      <c r="Y189" s="10"/>
      <c r="Z189" s="10"/>
    </row>
    <row r="190" spans="1:26" ht="20" customHeight="1" x14ac:dyDescent="0.15">
      <c r="A190" s="8"/>
      <c r="B190" s="9"/>
      <c r="C190" s="17"/>
      <c r="D190" s="10"/>
      <c r="E190" s="10"/>
      <c r="F190" s="11"/>
      <c r="G190" s="10"/>
      <c r="H190" s="10"/>
      <c r="I190" s="10"/>
      <c r="J190" s="10"/>
      <c r="K190" s="10"/>
      <c r="L190" s="10"/>
      <c r="M190" s="10"/>
      <c r="N190" s="10"/>
      <c r="O190" s="10"/>
      <c r="P190" s="10"/>
      <c r="Q190" s="10"/>
      <c r="R190" s="10"/>
      <c r="S190" s="10"/>
      <c r="T190" s="10"/>
      <c r="U190" s="10"/>
      <c r="V190" s="10"/>
      <c r="W190" s="10"/>
      <c r="X190" s="10"/>
      <c r="Y190" s="10"/>
      <c r="Z190" s="10"/>
    </row>
    <row r="191" spans="1:26" ht="20" customHeight="1" x14ac:dyDescent="0.15">
      <c r="A191" s="8"/>
      <c r="B191" s="9"/>
      <c r="C191" s="17"/>
      <c r="D191" s="10"/>
      <c r="E191" s="10"/>
      <c r="F191" s="11"/>
      <c r="G191" s="10"/>
      <c r="H191" s="10"/>
      <c r="I191" s="10"/>
      <c r="J191" s="10"/>
      <c r="K191" s="10"/>
      <c r="L191" s="10"/>
      <c r="M191" s="10"/>
      <c r="N191" s="10"/>
      <c r="O191" s="10"/>
      <c r="P191" s="10"/>
      <c r="Q191" s="10"/>
      <c r="R191" s="10"/>
      <c r="S191" s="10"/>
      <c r="T191" s="10"/>
      <c r="U191" s="10"/>
      <c r="V191" s="10"/>
      <c r="W191" s="10"/>
      <c r="X191" s="10"/>
      <c r="Y191" s="10"/>
      <c r="Z191" s="10"/>
    </row>
    <row r="192" spans="1:26" ht="20" customHeight="1" x14ac:dyDescent="0.15">
      <c r="A192" s="8"/>
      <c r="B192" s="9"/>
      <c r="C192" s="17"/>
      <c r="D192" s="10"/>
      <c r="E192" s="10"/>
      <c r="F192" s="11"/>
      <c r="G192" s="10"/>
      <c r="H192" s="10"/>
      <c r="I192" s="10"/>
      <c r="J192" s="10"/>
      <c r="K192" s="10"/>
      <c r="L192" s="10"/>
      <c r="M192" s="10"/>
      <c r="N192" s="10"/>
      <c r="O192" s="10"/>
      <c r="P192" s="10"/>
      <c r="Q192" s="10"/>
      <c r="R192" s="10"/>
      <c r="S192" s="10"/>
      <c r="T192" s="10"/>
      <c r="U192" s="10"/>
      <c r="V192" s="10"/>
      <c r="W192" s="10"/>
      <c r="X192" s="10"/>
      <c r="Y192" s="10"/>
      <c r="Z192" s="10"/>
    </row>
    <row r="193" spans="1:26" ht="20" customHeight="1" x14ac:dyDescent="0.15">
      <c r="A193" s="8"/>
      <c r="B193" s="9"/>
      <c r="C193" s="17"/>
      <c r="D193" s="10"/>
      <c r="E193" s="10"/>
      <c r="F193" s="11"/>
      <c r="G193" s="10"/>
      <c r="H193" s="10"/>
      <c r="I193" s="10"/>
      <c r="J193" s="10"/>
      <c r="K193" s="10"/>
      <c r="L193" s="10"/>
      <c r="M193" s="10"/>
      <c r="N193" s="10"/>
      <c r="O193" s="10"/>
      <c r="P193" s="10"/>
      <c r="Q193" s="10"/>
      <c r="R193" s="10"/>
      <c r="S193" s="10"/>
      <c r="T193" s="10"/>
      <c r="U193" s="10"/>
      <c r="V193" s="10"/>
      <c r="W193" s="10"/>
      <c r="X193" s="10"/>
      <c r="Y193" s="10"/>
      <c r="Z193" s="10"/>
    </row>
    <row r="194" spans="1:26" ht="20" customHeight="1" x14ac:dyDescent="0.15">
      <c r="A194" s="8"/>
      <c r="B194" s="9"/>
      <c r="C194" s="17"/>
      <c r="D194" s="10"/>
      <c r="E194" s="10"/>
      <c r="F194" s="11"/>
      <c r="G194" s="10"/>
      <c r="H194" s="10"/>
      <c r="I194" s="10"/>
      <c r="J194" s="10"/>
      <c r="K194" s="10"/>
      <c r="L194" s="10"/>
      <c r="M194" s="10"/>
      <c r="N194" s="10"/>
      <c r="O194" s="10"/>
      <c r="P194" s="10"/>
      <c r="Q194" s="10"/>
      <c r="R194" s="10"/>
      <c r="S194" s="10"/>
      <c r="T194" s="10"/>
      <c r="U194" s="10"/>
      <c r="V194" s="10"/>
      <c r="W194" s="10"/>
      <c r="X194" s="10"/>
      <c r="Y194" s="10"/>
      <c r="Z194" s="10"/>
    </row>
    <row r="195" spans="1:26" ht="20" customHeight="1" x14ac:dyDescent="0.15">
      <c r="A195" s="8"/>
      <c r="B195" s="9"/>
      <c r="C195" s="17"/>
      <c r="D195" s="10"/>
      <c r="E195" s="10"/>
      <c r="F195" s="11"/>
      <c r="G195" s="10"/>
      <c r="H195" s="10"/>
      <c r="I195" s="10"/>
      <c r="J195" s="10"/>
      <c r="K195" s="10"/>
      <c r="L195" s="10"/>
      <c r="M195" s="10"/>
      <c r="N195" s="10"/>
      <c r="O195" s="10"/>
      <c r="P195" s="10"/>
      <c r="Q195" s="10"/>
      <c r="R195" s="10"/>
      <c r="S195" s="10"/>
      <c r="T195" s="10"/>
      <c r="U195" s="10"/>
      <c r="V195" s="10"/>
      <c r="W195" s="10"/>
      <c r="X195" s="10"/>
      <c r="Y195" s="10"/>
      <c r="Z195" s="10"/>
    </row>
    <row r="196" spans="1:26" ht="20" customHeight="1" x14ac:dyDescent="0.15">
      <c r="A196" s="8"/>
      <c r="B196" s="9"/>
      <c r="C196" s="17"/>
      <c r="D196" s="10"/>
      <c r="E196" s="10"/>
      <c r="F196" s="11"/>
      <c r="G196" s="10"/>
      <c r="H196" s="10"/>
      <c r="I196" s="10"/>
      <c r="J196" s="10"/>
      <c r="K196" s="10"/>
      <c r="L196" s="10"/>
      <c r="M196" s="10"/>
      <c r="N196" s="10"/>
      <c r="O196" s="10"/>
      <c r="P196" s="10"/>
      <c r="Q196" s="10"/>
      <c r="R196" s="10"/>
      <c r="S196" s="10"/>
      <c r="T196" s="10"/>
      <c r="U196" s="10"/>
      <c r="V196" s="10"/>
      <c r="W196" s="10"/>
      <c r="X196" s="10"/>
      <c r="Y196" s="10"/>
      <c r="Z196" s="10"/>
    </row>
    <row r="197" spans="1:26" ht="20" customHeight="1" x14ac:dyDescent="0.15">
      <c r="A197" s="8"/>
      <c r="B197" s="9"/>
      <c r="C197" s="17"/>
      <c r="D197" s="10"/>
      <c r="E197" s="10"/>
      <c r="F197" s="11"/>
      <c r="G197" s="10"/>
      <c r="H197" s="10"/>
      <c r="I197" s="10"/>
      <c r="J197" s="10"/>
      <c r="K197" s="10"/>
      <c r="L197" s="10"/>
      <c r="M197" s="10"/>
      <c r="N197" s="10"/>
      <c r="O197" s="10"/>
      <c r="P197" s="10"/>
      <c r="Q197" s="10"/>
      <c r="R197" s="10"/>
      <c r="S197" s="10"/>
      <c r="T197" s="10"/>
      <c r="U197" s="10"/>
      <c r="V197" s="10"/>
      <c r="W197" s="10"/>
      <c r="X197" s="10"/>
      <c r="Y197" s="10"/>
      <c r="Z197" s="10"/>
    </row>
    <row r="198" spans="1:26" ht="20" customHeight="1" x14ac:dyDescent="0.15">
      <c r="A198" s="8"/>
      <c r="B198" s="9"/>
      <c r="C198" s="17"/>
      <c r="D198" s="10"/>
      <c r="E198" s="10"/>
      <c r="F198" s="11"/>
      <c r="G198" s="10"/>
      <c r="H198" s="10"/>
      <c r="I198" s="10"/>
      <c r="J198" s="10"/>
      <c r="K198" s="10"/>
      <c r="L198" s="10"/>
      <c r="M198" s="10"/>
      <c r="N198" s="10"/>
      <c r="O198" s="10"/>
      <c r="P198" s="10"/>
      <c r="Q198" s="10"/>
      <c r="R198" s="10"/>
      <c r="S198" s="10"/>
      <c r="T198" s="10"/>
      <c r="U198" s="10"/>
      <c r="V198" s="10"/>
      <c r="W198" s="10"/>
      <c r="X198" s="10"/>
      <c r="Y198" s="10"/>
      <c r="Z198" s="10"/>
    </row>
    <row r="199" spans="1:26" ht="20" customHeight="1" x14ac:dyDescent="0.15">
      <c r="A199" s="8"/>
      <c r="B199" s="9"/>
      <c r="C199" s="17"/>
      <c r="D199" s="10"/>
      <c r="E199" s="10"/>
      <c r="F199" s="11"/>
      <c r="G199" s="10"/>
      <c r="H199" s="10"/>
      <c r="I199" s="10"/>
      <c r="J199" s="10"/>
      <c r="K199" s="10"/>
      <c r="L199" s="10"/>
      <c r="M199" s="10"/>
      <c r="N199" s="10"/>
      <c r="O199" s="10"/>
      <c r="P199" s="10"/>
      <c r="Q199" s="10"/>
      <c r="R199" s="10"/>
      <c r="S199" s="10"/>
      <c r="T199" s="10"/>
      <c r="U199" s="10"/>
      <c r="V199" s="10"/>
      <c r="W199" s="10"/>
      <c r="X199" s="10"/>
      <c r="Y199" s="10"/>
      <c r="Z199" s="10"/>
    </row>
    <row r="200" spans="1:26" ht="20" customHeight="1" x14ac:dyDescent="0.15">
      <c r="A200" s="8"/>
      <c r="B200" s="9"/>
      <c r="C200" s="17"/>
      <c r="D200" s="10"/>
      <c r="E200" s="10"/>
      <c r="F200" s="11"/>
      <c r="G200" s="10"/>
      <c r="H200" s="10"/>
      <c r="I200" s="10"/>
      <c r="J200" s="10"/>
      <c r="K200" s="10"/>
      <c r="L200" s="10"/>
      <c r="M200" s="10"/>
      <c r="N200" s="10"/>
      <c r="O200" s="10"/>
      <c r="P200" s="10"/>
      <c r="Q200" s="10"/>
      <c r="R200" s="10"/>
      <c r="S200" s="10"/>
      <c r="T200" s="10"/>
      <c r="U200" s="10"/>
      <c r="V200" s="10"/>
      <c r="W200" s="10"/>
      <c r="X200" s="10"/>
      <c r="Y200" s="10"/>
      <c r="Z200" s="10"/>
    </row>
    <row r="201" spans="1:26" ht="20" customHeight="1" x14ac:dyDescent="0.15">
      <c r="A201" s="8"/>
      <c r="B201" s="9"/>
      <c r="C201" s="17"/>
      <c r="D201" s="10"/>
      <c r="E201" s="10"/>
      <c r="F201" s="11"/>
      <c r="G201" s="10"/>
      <c r="H201" s="10"/>
      <c r="I201" s="10"/>
      <c r="J201" s="10"/>
      <c r="K201" s="10"/>
      <c r="L201" s="10"/>
      <c r="M201" s="10"/>
      <c r="N201" s="10"/>
      <c r="O201" s="10"/>
      <c r="P201" s="10"/>
      <c r="Q201" s="10"/>
      <c r="R201" s="10"/>
      <c r="S201" s="10"/>
      <c r="T201" s="10"/>
      <c r="U201" s="10"/>
      <c r="V201" s="10"/>
      <c r="W201" s="10"/>
      <c r="X201" s="10"/>
      <c r="Y201" s="10"/>
      <c r="Z201" s="10"/>
    </row>
    <row r="202" spans="1:26" ht="20" customHeight="1" x14ac:dyDescent="0.15">
      <c r="A202" s="8"/>
      <c r="B202" s="9"/>
      <c r="C202" s="17"/>
      <c r="D202" s="10"/>
      <c r="E202" s="10"/>
      <c r="F202" s="11"/>
      <c r="G202" s="10"/>
      <c r="H202" s="10"/>
      <c r="I202" s="10"/>
      <c r="J202" s="10"/>
      <c r="K202" s="10"/>
      <c r="L202" s="10"/>
      <c r="M202" s="10"/>
      <c r="N202" s="10"/>
      <c r="O202" s="10"/>
      <c r="P202" s="10"/>
      <c r="Q202" s="10"/>
      <c r="R202" s="10"/>
      <c r="S202" s="10"/>
      <c r="T202" s="10"/>
      <c r="U202" s="10"/>
      <c r="V202" s="10"/>
      <c r="W202" s="10"/>
      <c r="X202" s="10"/>
      <c r="Y202" s="10"/>
      <c r="Z202" s="10"/>
    </row>
    <row r="203" spans="1:26" ht="20" customHeight="1" x14ac:dyDescent="0.15">
      <c r="A203" s="8"/>
      <c r="B203" s="9"/>
      <c r="C203" s="17"/>
      <c r="D203" s="10"/>
      <c r="E203" s="10"/>
      <c r="F203" s="11"/>
      <c r="G203" s="10"/>
      <c r="H203" s="10"/>
      <c r="I203" s="10"/>
      <c r="J203" s="10"/>
      <c r="K203" s="10"/>
      <c r="L203" s="10"/>
      <c r="M203" s="10"/>
      <c r="N203" s="10"/>
      <c r="O203" s="10"/>
      <c r="P203" s="10"/>
      <c r="Q203" s="10"/>
      <c r="R203" s="10"/>
      <c r="S203" s="10"/>
      <c r="T203" s="10"/>
      <c r="U203" s="10"/>
      <c r="V203" s="10"/>
      <c r="W203" s="10"/>
      <c r="X203" s="10"/>
      <c r="Y203" s="10"/>
      <c r="Z203" s="10"/>
    </row>
    <row r="204" spans="1:26" ht="20" customHeight="1" x14ac:dyDescent="0.15">
      <c r="A204" s="8"/>
      <c r="B204" s="9"/>
      <c r="C204" s="17"/>
      <c r="D204" s="10"/>
      <c r="E204" s="10"/>
      <c r="F204" s="11"/>
      <c r="G204" s="10"/>
      <c r="H204" s="10"/>
      <c r="I204" s="10"/>
      <c r="J204" s="10"/>
      <c r="K204" s="10"/>
      <c r="L204" s="10"/>
      <c r="M204" s="10"/>
      <c r="N204" s="10"/>
      <c r="O204" s="10"/>
      <c r="P204" s="10"/>
      <c r="Q204" s="10"/>
      <c r="R204" s="10"/>
      <c r="S204" s="10"/>
      <c r="T204" s="10"/>
      <c r="U204" s="10"/>
      <c r="V204" s="10"/>
      <c r="W204" s="10"/>
      <c r="X204" s="10"/>
      <c r="Y204" s="10"/>
      <c r="Z204" s="10"/>
    </row>
    <row r="205" spans="1:26" ht="20" customHeight="1" x14ac:dyDescent="0.15">
      <c r="A205" s="8"/>
      <c r="B205" s="9"/>
      <c r="C205" s="17"/>
      <c r="D205" s="10"/>
      <c r="E205" s="10"/>
      <c r="F205" s="11"/>
      <c r="G205" s="10"/>
      <c r="H205" s="10"/>
      <c r="I205" s="10"/>
      <c r="J205" s="10"/>
      <c r="K205" s="10"/>
      <c r="L205" s="10"/>
      <c r="M205" s="10"/>
      <c r="N205" s="10"/>
      <c r="O205" s="10"/>
      <c r="P205" s="10"/>
      <c r="Q205" s="10"/>
      <c r="R205" s="10"/>
      <c r="S205" s="10"/>
      <c r="T205" s="10"/>
      <c r="U205" s="10"/>
      <c r="V205" s="10"/>
      <c r="W205" s="10"/>
      <c r="X205" s="10"/>
      <c r="Y205" s="10"/>
      <c r="Z205" s="10"/>
    </row>
    <row r="206" spans="1:26" ht="20" customHeight="1" x14ac:dyDescent="0.15">
      <c r="A206" s="8"/>
      <c r="B206" s="9"/>
      <c r="C206" s="17"/>
      <c r="D206" s="10"/>
      <c r="E206" s="10"/>
      <c r="F206" s="11"/>
      <c r="G206" s="10"/>
      <c r="H206" s="10"/>
      <c r="I206" s="10"/>
      <c r="J206" s="10"/>
      <c r="K206" s="10"/>
      <c r="L206" s="10"/>
      <c r="M206" s="10"/>
      <c r="N206" s="10"/>
      <c r="O206" s="10"/>
      <c r="P206" s="10"/>
      <c r="Q206" s="10"/>
      <c r="R206" s="10"/>
      <c r="S206" s="10"/>
      <c r="T206" s="10"/>
      <c r="U206" s="10"/>
      <c r="V206" s="10"/>
      <c r="W206" s="10"/>
      <c r="X206" s="10"/>
      <c r="Y206" s="10"/>
      <c r="Z206" s="10"/>
    </row>
    <row r="207" spans="1:26" ht="20" customHeight="1" x14ac:dyDescent="0.15">
      <c r="A207" s="8"/>
      <c r="B207" s="9"/>
      <c r="C207" s="17"/>
      <c r="D207" s="10"/>
      <c r="E207" s="10"/>
      <c r="F207" s="11"/>
      <c r="G207" s="10"/>
      <c r="H207" s="10"/>
      <c r="I207" s="10"/>
      <c r="J207" s="10"/>
      <c r="K207" s="10"/>
      <c r="L207" s="10"/>
      <c r="M207" s="10"/>
      <c r="N207" s="10"/>
      <c r="O207" s="10"/>
      <c r="P207" s="10"/>
      <c r="Q207" s="10"/>
      <c r="R207" s="10"/>
      <c r="S207" s="10"/>
      <c r="T207" s="10"/>
      <c r="U207" s="10"/>
      <c r="V207" s="10"/>
      <c r="W207" s="10"/>
      <c r="X207" s="10"/>
      <c r="Y207" s="10"/>
      <c r="Z207" s="10"/>
    </row>
    <row r="208" spans="1:26" ht="20" customHeight="1" x14ac:dyDescent="0.15">
      <c r="A208" s="8"/>
      <c r="B208" s="9"/>
      <c r="C208" s="17"/>
      <c r="D208" s="10"/>
      <c r="E208" s="10"/>
      <c r="F208" s="11"/>
      <c r="G208" s="10"/>
      <c r="H208" s="10"/>
      <c r="I208" s="10"/>
      <c r="J208" s="10"/>
      <c r="K208" s="10"/>
      <c r="L208" s="10"/>
      <c r="M208" s="10"/>
      <c r="N208" s="10"/>
      <c r="O208" s="10"/>
      <c r="P208" s="10"/>
      <c r="Q208" s="10"/>
      <c r="R208" s="10"/>
      <c r="S208" s="10"/>
      <c r="T208" s="10"/>
      <c r="U208" s="10"/>
      <c r="V208" s="10"/>
      <c r="W208" s="10"/>
      <c r="X208" s="10"/>
      <c r="Y208" s="10"/>
      <c r="Z208" s="10"/>
    </row>
    <row r="209" spans="1:26" ht="20" customHeight="1" x14ac:dyDescent="0.15">
      <c r="A209" s="8"/>
      <c r="B209" s="9"/>
      <c r="C209" s="17"/>
      <c r="D209" s="10"/>
      <c r="E209" s="10"/>
      <c r="F209" s="11"/>
      <c r="G209" s="10"/>
      <c r="H209" s="10"/>
      <c r="I209" s="10"/>
      <c r="J209" s="10"/>
      <c r="K209" s="10"/>
      <c r="L209" s="10"/>
      <c r="M209" s="10"/>
      <c r="N209" s="10"/>
      <c r="O209" s="10"/>
      <c r="P209" s="10"/>
      <c r="Q209" s="10"/>
      <c r="R209" s="10"/>
      <c r="S209" s="10"/>
      <c r="T209" s="10"/>
      <c r="U209" s="10"/>
      <c r="V209" s="10"/>
      <c r="W209" s="10"/>
      <c r="X209" s="10"/>
      <c r="Y209" s="10"/>
      <c r="Z209" s="10"/>
    </row>
    <row r="210" spans="1:26" ht="20" customHeight="1" x14ac:dyDescent="0.15">
      <c r="A210" s="8"/>
      <c r="B210" s="9"/>
      <c r="C210" s="17"/>
      <c r="D210" s="10"/>
      <c r="E210" s="10"/>
      <c r="F210" s="11"/>
      <c r="G210" s="10"/>
      <c r="H210" s="10"/>
      <c r="I210" s="10"/>
      <c r="J210" s="10"/>
      <c r="K210" s="10"/>
      <c r="L210" s="10"/>
      <c r="M210" s="10"/>
      <c r="N210" s="10"/>
      <c r="O210" s="10"/>
      <c r="P210" s="10"/>
      <c r="Q210" s="10"/>
      <c r="R210" s="10"/>
      <c r="S210" s="10"/>
      <c r="T210" s="10"/>
      <c r="U210" s="10"/>
      <c r="V210" s="10"/>
      <c r="W210" s="10"/>
      <c r="X210" s="10"/>
      <c r="Y210" s="10"/>
      <c r="Z210" s="10"/>
    </row>
    <row r="211" spans="1:26" ht="20" customHeight="1" x14ac:dyDescent="0.15">
      <c r="A211" s="8"/>
      <c r="B211" s="9"/>
      <c r="C211" s="17"/>
      <c r="D211" s="10"/>
      <c r="E211" s="10"/>
      <c r="F211" s="11"/>
      <c r="G211" s="10"/>
      <c r="H211" s="10"/>
      <c r="I211" s="10"/>
      <c r="J211" s="10"/>
      <c r="K211" s="10"/>
      <c r="L211" s="10"/>
      <c r="M211" s="10"/>
      <c r="N211" s="10"/>
      <c r="O211" s="10"/>
      <c r="P211" s="10"/>
      <c r="Q211" s="10"/>
      <c r="R211" s="10"/>
      <c r="S211" s="10"/>
      <c r="T211" s="10"/>
      <c r="U211" s="10"/>
      <c r="V211" s="10"/>
      <c r="W211" s="10"/>
      <c r="X211" s="10"/>
      <c r="Y211" s="10"/>
      <c r="Z211" s="10"/>
    </row>
    <row r="212" spans="1:26" ht="20" customHeight="1" x14ac:dyDescent="0.15">
      <c r="A212" s="8"/>
      <c r="B212" s="9"/>
      <c r="C212" s="17"/>
      <c r="D212" s="10"/>
      <c r="E212" s="10"/>
      <c r="F212" s="11"/>
      <c r="G212" s="10"/>
      <c r="H212" s="10"/>
      <c r="I212" s="10"/>
      <c r="J212" s="10"/>
      <c r="K212" s="10"/>
      <c r="L212" s="10"/>
      <c r="M212" s="10"/>
      <c r="N212" s="10"/>
      <c r="O212" s="10"/>
      <c r="P212" s="10"/>
      <c r="Q212" s="10"/>
      <c r="R212" s="10"/>
      <c r="S212" s="10"/>
      <c r="T212" s="10"/>
      <c r="U212" s="10"/>
      <c r="V212" s="10"/>
      <c r="W212" s="10"/>
      <c r="X212" s="10"/>
      <c r="Y212" s="10"/>
      <c r="Z212" s="10"/>
    </row>
    <row r="213" spans="1:26" ht="20" customHeight="1" x14ac:dyDescent="0.15">
      <c r="A213" s="8"/>
      <c r="B213" s="9"/>
      <c r="C213" s="17"/>
      <c r="D213" s="10"/>
      <c r="E213" s="10"/>
      <c r="F213" s="11"/>
      <c r="G213" s="10"/>
      <c r="H213" s="10"/>
      <c r="I213" s="10"/>
      <c r="J213" s="10"/>
      <c r="K213" s="10"/>
      <c r="L213" s="10"/>
      <c r="M213" s="10"/>
      <c r="N213" s="10"/>
      <c r="O213" s="10"/>
      <c r="P213" s="10"/>
      <c r="Q213" s="10"/>
      <c r="R213" s="10"/>
      <c r="S213" s="10"/>
      <c r="T213" s="10"/>
      <c r="U213" s="10"/>
      <c r="V213" s="10"/>
      <c r="W213" s="10"/>
      <c r="X213" s="10"/>
      <c r="Y213" s="10"/>
      <c r="Z213" s="10"/>
    </row>
    <row r="214" spans="1:26" ht="20" customHeight="1" x14ac:dyDescent="0.15">
      <c r="A214" s="8"/>
      <c r="B214" s="9"/>
      <c r="C214" s="17"/>
      <c r="D214" s="10"/>
      <c r="E214" s="10"/>
      <c r="F214" s="11"/>
      <c r="G214" s="10"/>
      <c r="H214" s="10"/>
      <c r="I214" s="10"/>
      <c r="J214" s="10"/>
      <c r="K214" s="10"/>
      <c r="L214" s="10"/>
      <c r="M214" s="10"/>
      <c r="N214" s="10"/>
      <c r="O214" s="10"/>
      <c r="P214" s="10"/>
      <c r="Q214" s="10"/>
      <c r="R214" s="10"/>
      <c r="S214" s="10"/>
      <c r="T214" s="10"/>
      <c r="U214" s="10"/>
      <c r="V214" s="10"/>
      <c r="W214" s="10"/>
      <c r="X214" s="10"/>
      <c r="Y214" s="10"/>
      <c r="Z214" s="10"/>
    </row>
    <row r="215" spans="1:26" ht="20" customHeight="1" x14ac:dyDescent="0.15">
      <c r="A215" s="8"/>
      <c r="B215" s="9"/>
      <c r="C215" s="17"/>
      <c r="D215" s="10"/>
      <c r="E215" s="10"/>
      <c r="F215" s="11"/>
      <c r="G215" s="10"/>
      <c r="H215" s="10"/>
      <c r="I215" s="10"/>
      <c r="J215" s="10"/>
      <c r="K215" s="10"/>
      <c r="L215" s="10"/>
      <c r="M215" s="10"/>
      <c r="N215" s="10"/>
      <c r="O215" s="10"/>
      <c r="P215" s="10"/>
      <c r="Q215" s="10"/>
      <c r="R215" s="10"/>
      <c r="S215" s="10"/>
      <c r="T215" s="10"/>
      <c r="U215" s="10"/>
      <c r="V215" s="10"/>
      <c r="W215" s="10"/>
      <c r="X215" s="10"/>
      <c r="Y215" s="10"/>
      <c r="Z215" s="10"/>
    </row>
    <row r="216" spans="1:26" ht="20" customHeight="1" x14ac:dyDescent="0.15">
      <c r="A216" s="8"/>
      <c r="B216" s="9"/>
      <c r="C216" s="17"/>
      <c r="D216" s="10"/>
      <c r="E216" s="10"/>
      <c r="F216" s="11"/>
      <c r="G216" s="10"/>
      <c r="H216" s="10"/>
      <c r="I216" s="10"/>
      <c r="J216" s="10"/>
      <c r="K216" s="10"/>
      <c r="L216" s="10"/>
      <c r="M216" s="10"/>
      <c r="N216" s="10"/>
      <c r="O216" s="10"/>
      <c r="P216" s="10"/>
      <c r="Q216" s="10"/>
      <c r="R216" s="10"/>
      <c r="S216" s="10"/>
      <c r="T216" s="10"/>
      <c r="U216" s="10"/>
      <c r="V216" s="10"/>
      <c r="W216" s="10"/>
      <c r="X216" s="10"/>
      <c r="Y216" s="10"/>
      <c r="Z216" s="10"/>
    </row>
    <row r="217" spans="1:26" ht="20" customHeight="1" x14ac:dyDescent="0.15">
      <c r="A217" s="8"/>
      <c r="B217" s="9"/>
      <c r="C217" s="17"/>
      <c r="D217" s="10"/>
      <c r="E217" s="10"/>
      <c r="F217" s="11"/>
      <c r="G217" s="10"/>
      <c r="H217" s="10"/>
      <c r="I217" s="10"/>
      <c r="J217" s="10"/>
      <c r="K217" s="10"/>
      <c r="L217" s="10"/>
      <c r="M217" s="10"/>
      <c r="N217" s="10"/>
      <c r="O217" s="10"/>
      <c r="P217" s="10"/>
      <c r="Q217" s="10"/>
      <c r="R217" s="10"/>
      <c r="S217" s="10"/>
      <c r="T217" s="10"/>
      <c r="U217" s="10"/>
      <c r="V217" s="10"/>
      <c r="W217" s="10"/>
      <c r="X217" s="10"/>
      <c r="Y217" s="10"/>
      <c r="Z217" s="10"/>
    </row>
    <row r="218" spans="1:26" ht="20" customHeight="1" x14ac:dyDescent="0.15">
      <c r="A218" s="8"/>
      <c r="B218" s="9"/>
      <c r="C218" s="17"/>
      <c r="D218" s="10"/>
      <c r="E218" s="10"/>
      <c r="F218" s="11"/>
      <c r="G218" s="10"/>
      <c r="H218" s="10"/>
      <c r="I218" s="10"/>
      <c r="J218" s="10"/>
      <c r="K218" s="10"/>
      <c r="L218" s="10"/>
      <c r="M218" s="10"/>
      <c r="N218" s="10"/>
      <c r="O218" s="10"/>
      <c r="P218" s="10"/>
      <c r="Q218" s="10"/>
      <c r="R218" s="10"/>
      <c r="S218" s="10"/>
      <c r="T218" s="10"/>
      <c r="U218" s="10"/>
      <c r="V218" s="10"/>
      <c r="W218" s="10"/>
      <c r="X218" s="10"/>
      <c r="Y218" s="10"/>
      <c r="Z218" s="10"/>
    </row>
    <row r="219" spans="1:26" ht="20" customHeight="1" x14ac:dyDescent="0.15">
      <c r="A219" s="8"/>
      <c r="B219" s="9"/>
      <c r="C219" s="17"/>
      <c r="D219" s="10"/>
      <c r="E219" s="10"/>
      <c r="F219" s="11"/>
      <c r="G219" s="10"/>
      <c r="H219" s="10"/>
      <c r="I219" s="10"/>
      <c r="J219" s="10"/>
      <c r="K219" s="10"/>
      <c r="L219" s="10"/>
      <c r="M219" s="10"/>
      <c r="N219" s="10"/>
      <c r="O219" s="10"/>
      <c r="P219" s="10"/>
      <c r="Q219" s="10"/>
      <c r="R219" s="10"/>
      <c r="S219" s="10"/>
      <c r="T219" s="10"/>
      <c r="U219" s="10"/>
      <c r="V219" s="10"/>
      <c r="W219" s="10"/>
      <c r="X219" s="10"/>
      <c r="Y219" s="10"/>
      <c r="Z219" s="10"/>
    </row>
    <row r="220" spans="1:26" ht="20" customHeight="1" x14ac:dyDescent="0.15">
      <c r="A220" s="8"/>
      <c r="B220" s="9"/>
      <c r="C220" s="17"/>
      <c r="D220" s="10"/>
      <c r="E220" s="10"/>
      <c r="F220" s="11"/>
      <c r="G220" s="10"/>
      <c r="H220" s="10"/>
      <c r="I220" s="10"/>
      <c r="J220" s="10"/>
      <c r="K220" s="10"/>
      <c r="L220" s="10"/>
      <c r="M220" s="10"/>
      <c r="N220" s="10"/>
      <c r="O220" s="10"/>
      <c r="P220" s="10"/>
      <c r="Q220" s="10"/>
      <c r="R220" s="10"/>
      <c r="S220" s="10"/>
      <c r="T220" s="10"/>
      <c r="U220" s="10"/>
      <c r="V220" s="10"/>
      <c r="W220" s="10"/>
      <c r="X220" s="10"/>
      <c r="Y220" s="10"/>
      <c r="Z220" s="10"/>
    </row>
    <row r="221" spans="1:26" ht="20" customHeight="1" x14ac:dyDescent="0.15">
      <c r="A221" s="8"/>
      <c r="B221" s="9"/>
      <c r="C221" s="17"/>
      <c r="D221" s="10"/>
      <c r="E221" s="10"/>
      <c r="F221" s="11"/>
      <c r="G221" s="10"/>
      <c r="H221" s="10"/>
      <c r="I221" s="10"/>
      <c r="J221" s="10"/>
      <c r="K221" s="10"/>
      <c r="L221" s="10"/>
      <c r="M221" s="10"/>
      <c r="N221" s="10"/>
      <c r="O221" s="10"/>
      <c r="P221" s="10"/>
      <c r="Q221" s="10"/>
      <c r="R221" s="10"/>
      <c r="S221" s="10"/>
      <c r="T221" s="10"/>
      <c r="U221" s="10"/>
      <c r="V221" s="10"/>
      <c r="W221" s="10"/>
      <c r="X221" s="10"/>
      <c r="Y221" s="10"/>
      <c r="Z221" s="10"/>
    </row>
    <row r="222" spans="1:26" ht="20" customHeight="1" x14ac:dyDescent="0.15">
      <c r="A222" s="8"/>
      <c r="B222" s="9"/>
      <c r="C222" s="17"/>
      <c r="D222" s="10"/>
      <c r="E222" s="10"/>
      <c r="F222" s="11"/>
      <c r="G222" s="10"/>
      <c r="H222" s="10"/>
      <c r="I222" s="10"/>
      <c r="J222" s="10"/>
      <c r="K222" s="10"/>
      <c r="L222" s="10"/>
      <c r="M222" s="10"/>
      <c r="N222" s="10"/>
      <c r="O222" s="10"/>
      <c r="P222" s="10"/>
      <c r="Q222" s="10"/>
      <c r="R222" s="10"/>
      <c r="S222" s="10"/>
      <c r="T222" s="10"/>
      <c r="U222" s="10"/>
      <c r="V222" s="10"/>
      <c r="W222" s="10"/>
      <c r="X222" s="10"/>
      <c r="Y222" s="10"/>
      <c r="Z222" s="10"/>
    </row>
    <row r="223" spans="1:26" ht="20" customHeight="1" x14ac:dyDescent="0.15">
      <c r="A223" s="8"/>
      <c r="B223" s="9"/>
      <c r="C223" s="17"/>
      <c r="D223" s="10"/>
      <c r="E223" s="10"/>
      <c r="F223" s="11"/>
      <c r="G223" s="10"/>
      <c r="H223" s="10"/>
      <c r="I223" s="10"/>
      <c r="J223" s="10"/>
      <c r="K223" s="10"/>
      <c r="L223" s="10"/>
      <c r="M223" s="10"/>
      <c r="N223" s="10"/>
      <c r="O223" s="10"/>
      <c r="P223" s="10"/>
      <c r="Q223" s="10"/>
      <c r="R223" s="10"/>
      <c r="S223" s="10"/>
      <c r="T223" s="10"/>
      <c r="U223" s="10"/>
      <c r="V223" s="10"/>
      <c r="W223" s="10"/>
      <c r="X223" s="10"/>
      <c r="Y223" s="10"/>
      <c r="Z223" s="10"/>
    </row>
    <row r="224" spans="1:26" ht="20" customHeight="1" x14ac:dyDescent="0.15">
      <c r="A224" s="8"/>
      <c r="B224" s="9"/>
      <c r="C224" s="17"/>
      <c r="D224" s="10"/>
      <c r="E224" s="10"/>
      <c r="F224" s="11"/>
      <c r="G224" s="10"/>
      <c r="H224" s="10"/>
      <c r="I224" s="10"/>
      <c r="J224" s="10"/>
      <c r="K224" s="10"/>
      <c r="L224" s="10"/>
      <c r="M224" s="10"/>
      <c r="N224" s="10"/>
      <c r="O224" s="10"/>
      <c r="P224" s="10"/>
      <c r="Q224" s="10"/>
      <c r="R224" s="10"/>
      <c r="S224" s="10"/>
      <c r="T224" s="10"/>
      <c r="U224" s="10"/>
      <c r="V224" s="10"/>
      <c r="W224" s="10"/>
      <c r="X224" s="10"/>
      <c r="Y224" s="10"/>
      <c r="Z224" s="10"/>
    </row>
    <row r="225" spans="1:26" ht="20" customHeight="1" x14ac:dyDescent="0.15">
      <c r="A225" s="8"/>
      <c r="B225" s="9"/>
      <c r="C225" s="17"/>
      <c r="D225" s="10"/>
      <c r="E225" s="10"/>
      <c r="F225" s="11"/>
      <c r="G225" s="10"/>
      <c r="H225" s="10"/>
      <c r="I225" s="10"/>
      <c r="J225" s="10"/>
      <c r="K225" s="10"/>
      <c r="L225" s="10"/>
      <c r="M225" s="10"/>
      <c r="N225" s="10"/>
      <c r="O225" s="10"/>
      <c r="P225" s="10"/>
      <c r="Q225" s="10"/>
      <c r="R225" s="10"/>
      <c r="S225" s="10"/>
      <c r="T225" s="10"/>
      <c r="U225" s="10"/>
      <c r="V225" s="10"/>
      <c r="W225" s="10"/>
      <c r="X225" s="10"/>
      <c r="Y225" s="10"/>
      <c r="Z225" s="10"/>
    </row>
    <row r="226" spans="1:26" ht="20" customHeight="1" x14ac:dyDescent="0.15">
      <c r="A226" s="8"/>
      <c r="B226" s="9"/>
      <c r="C226" s="17"/>
      <c r="D226" s="10"/>
      <c r="E226" s="10"/>
      <c r="F226" s="11"/>
      <c r="G226" s="10"/>
      <c r="H226" s="10"/>
      <c r="I226" s="10"/>
      <c r="J226" s="10"/>
      <c r="K226" s="10"/>
      <c r="L226" s="10"/>
      <c r="M226" s="10"/>
      <c r="N226" s="10"/>
      <c r="O226" s="10"/>
      <c r="P226" s="10"/>
      <c r="Q226" s="10"/>
      <c r="R226" s="10"/>
      <c r="S226" s="10"/>
      <c r="T226" s="10"/>
      <c r="U226" s="10"/>
      <c r="V226" s="10"/>
      <c r="W226" s="10"/>
      <c r="X226" s="10"/>
      <c r="Y226" s="10"/>
      <c r="Z226" s="10"/>
    </row>
    <row r="227" spans="1:26" ht="20" customHeight="1" x14ac:dyDescent="0.15">
      <c r="A227" s="8"/>
      <c r="B227" s="9"/>
      <c r="C227" s="17"/>
      <c r="D227" s="10"/>
      <c r="E227" s="10"/>
      <c r="F227" s="11"/>
      <c r="G227" s="10"/>
      <c r="H227" s="10"/>
      <c r="I227" s="10"/>
      <c r="J227" s="10"/>
      <c r="K227" s="10"/>
      <c r="L227" s="10"/>
      <c r="M227" s="10"/>
      <c r="N227" s="10"/>
      <c r="O227" s="10"/>
      <c r="P227" s="10"/>
      <c r="Q227" s="10"/>
      <c r="R227" s="10"/>
      <c r="S227" s="10"/>
      <c r="T227" s="10"/>
      <c r="U227" s="10"/>
      <c r="V227" s="10"/>
      <c r="W227" s="10"/>
      <c r="X227" s="10"/>
      <c r="Y227" s="10"/>
      <c r="Z227" s="10"/>
    </row>
    <row r="228" spans="1:26" ht="20" customHeight="1" x14ac:dyDescent="0.15">
      <c r="A228" s="8"/>
      <c r="B228" s="9"/>
      <c r="C228" s="17"/>
      <c r="D228" s="10"/>
      <c r="E228" s="10"/>
      <c r="F228" s="11"/>
      <c r="G228" s="10"/>
      <c r="H228" s="10"/>
      <c r="I228" s="10"/>
      <c r="J228" s="10"/>
      <c r="K228" s="10"/>
      <c r="L228" s="10"/>
      <c r="M228" s="10"/>
      <c r="N228" s="10"/>
      <c r="O228" s="10"/>
      <c r="P228" s="10"/>
      <c r="Q228" s="10"/>
      <c r="R228" s="10"/>
      <c r="S228" s="10"/>
      <c r="T228" s="10"/>
      <c r="U228" s="10"/>
      <c r="V228" s="10"/>
      <c r="W228" s="10"/>
      <c r="X228" s="10"/>
      <c r="Y228" s="10"/>
      <c r="Z228" s="10"/>
    </row>
    <row r="229" spans="1:26" ht="20" customHeight="1" x14ac:dyDescent="0.15">
      <c r="A229" s="8"/>
      <c r="B229" s="9"/>
      <c r="C229" s="17"/>
      <c r="D229" s="10"/>
      <c r="E229" s="10"/>
      <c r="F229" s="11"/>
      <c r="G229" s="10"/>
      <c r="H229" s="10"/>
      <c r="I229" s="10"/>
      <c r="J229" s="10"/>
      <c r="K229" s="10"/>
      <c r="L229" s="10"/>
      <c r="M229" s="10"/>
      <c r="N229" s="10"/>
      <c r="O229" s="10"/>
      <c r="P229" s="10"/>
      <c r="Q229" s="10"/>
      <c r="R229" s="10"/>
      <c r="S229" s="10"/>
      <c r="T229" s="10"/>
      <c r="U229" s="10"/>
      <c r="V229" s="10"/>
      <c r="W229" s="10"/>
      <c r="X229" s="10"/>
      <c r="Y229" s="10"/>
      <c r="Z229" s="10"/>
    </row>
    <row r="230" spans="1:26" ht="20" customHeight="1" x14ac:dyDescent="0.15">
      <c r="A230" s="8"/>
      <c r="B230" s="9"/>
      <c r="C230" s="17"/>
      <c r="D230" s="10"/>
      <c r="E230" s="10"/>
      <c r="F230" s="11"/>
      <c r="G230" s="10"/>
      <c r="H230" s="10"/>
      <c r="I230" s="10"/>
      <c r="J230" s="10"/>
      <c r="K230" s="10"/>
      <c r="L230" s="10"/>
      <c r="M230" s="10"/>
      <c r="N230" s="10"/>
      <c r="O230" s="10"/>
      <c r="P230" s="10"/>
      <c r="Q230" s="10"/>
      <c r="R230" s="10"/>
      <c r="S230" s="10"/>
      <c r="T230" s="10"/>
      <c r="U230" s="10"/>
      <c r="V230" s="10"/>
      <c r="W230" s="10"/>
      <c r="X230" s="10"/>
      <c r="Y230" s="10"/>
      <c r="Z230" s="10"/>
    </row>
    <row r="231" spans="1:26" ht="20" customHeight="1" x14ac:dyDescent="0.15">
      <c r="A231" s="8"/>
      <c r="B231" s="9"/>
      <c r="C231" s="17"/>
      <c r="D231" s="10"/>
      <c r="E231" s="10"/>
      <c r="F231" s="11"/>
      <c r="G231" s="10"/>
      <c r="H231" s="10"/>
      <c r="I231" s="10"/>
      <c r="J231" s="10"/>
      <c r="K231" s="10"/>
      <c r="L231" s="10"/>
      <c r="M231" s="10"/>
      <c r="N231" s="10"/>
      <c r="O231" s="10"/>
      <c r="P231" s="10"/>
      <c r="Q231" s="10"/>
      <c r="R231" s="10"/>
      <c r="S231" s="10"/>
      <c r="T231" s="10"/>
      <c r="U231" s="10"/>
      <c r="V231" s="10"/>
      <c r="W231" s="10"/>
      <c r="X231" s="10"/>
      <c r="Y231" s="10"/>
      <c r="Z231" s="10"/>
    </row>
    <row r="232" spans="1:26" ht="20" customHeight="1" x14ac:dyDescent="0.15">
      <c r="A232" s="8"/>
      <c r="B232" s="9"/>
      <c r="C232" s="17"/>
      <c r="D232" s="10"/>
      <c r="E232" s="10"/>
      <c r="F232" s="11"/>
      <c r="G232" s="10"/>
      <c r="H232" s="10"/>
      <c r="I232" s="10"/>
      <c r="J232" s="10"/>
      <c r="K232" s="10"/>
      <c r="L232" s="10"/>
      <c r="M232" s="10"/>
      <c r="N232" s="10"/>
      <c r="O232" s="10"/>
      <c r="P232" s="10"/>
      <c r="Q232" s="10"/>
      <c r="R232" s="10"/>
      <c r="S232" s="10"/>
      <c r="T232" s="10"/>
      <c r="U232" s="10"/>
      <c r="V232" s="10"/>
      <c r="W232" s="10"/>
      <c r="X232" s="10"/>
      <c r="Y232" s="10"/>
      <c r="Z232" s="10"/>
    </row>
    <row r="233" spans="1:26" ht="20" customHeight="1" x14ac:dyDescent="0.15">
      <c r="A233" s="8"/>
      <c r="B233" s="9"/>
      <c r="C233" s="17"/>
      <c r="D233" s="10"/>
      <c r="E233" s="10"/>
      <c r="F233" s="11"/>
      <c r="G233" s="10"/>
      <c r="H233" s="10"/>
      <c r="I233" s="10"/>
      <c r="J233" s="10"/>
      <c r="K233" s="10"/>
      <c r="L233" s="10"/>
      <c r="M233" s="10"/>
      <c r="N233" s="10"/>
      <c r="O233" s="10"/>
      <c r="P233" s="10"/>
      <c r="Q233" s="10"/>
      <c r="R233" s="10"/>
      <c r="S233" s="10"/>
      <c r="T233" s="10"/>
      <c r="U233" s="10"/>
      <c r="V233" s="10"/>
      <c r="W233" s="10"/>
      <c r="X233" s="10"/>
      <c r="Y233" s="10"/>
      <c r="Z233" s="10"/>
    </row>
    <row r="234" spans="1:26" ht="20" customHeight="1" x14ac:dyDescent="0.15">
      <c r="A234" s="8"/>
      <c r="B234" s="9"/>
      <c r="C234" s="17"/>
      <c r="D234" s="10"/>
      <c r="E234" s="10"/>
      <c r="F234" s="11"/>
      <c r="G234" s="10"/>
      <c r="H234" s="10"/>
      <c r="I234" s="10"/>
      <c r="J234" s="10"/>
      <c r="K234" s="10"/>
      <c r="L234" s="10"/>
      <c r="M234" s="10"/>
      <c r="N234" s="10"/>
      <c r="O234" s="10"/>
      <c r="P234" s="10"/>
      <c r="Q234" s="10"/>
      <c r="R234" s="10"/>
      <c r="S234" s="10"/>
      <c r="T234" s="10"/>
      <c r="U234" s="10"/>
      <c r="V234" s="10"/>
      <c r="W234" s="10"/>
      <c r="X234" s="10"/>
      <c r="Y234" s="10"/>
      <c r="Z234" s="10"/>
    </row>
    <row r="235" spans="1:26" ht="20" customHeight="1" x14ac:dyDescent="0.15">
      <c r="A235" s="8"/>
      <c r="B235" s="9"/>
      <c r="C235" s="17"/>
      <c r="D235" s="10"/>
      <c r="E235" s="10"/>
      <c r="F235" s="11"/>
      <c r="G235" s="10"/>
      <c r="H235" s="10"/>
      <c r="I235" s="10"/>
      <c r="J235" s="10"/>
      <c r="K235" s="10"/>
      <c r="L235" s="10"/>
      <c r="M235" s="10"/>
      <c r="N235" s="10"/>
      <c r="O235" s="10"/>
      <c r="P235" s="10"/>
      <c r="Q235" s="10"/>
      <c r="R235" s="10"/>
      <c r="S235" s="10"/>
      <c r="T235" s="10"/>
      <c r="U235" s="10"/>
      <c r="V235" s="10"/>
      <c r="W235" s="10"/>
      <c r="X235" s="10"/>
      <c r="Y235" s="10"/>
      <c r="Z235" s="10"/>
    </row>
    <row r="236" spans="1:26" ht="20" customHeight="1" x14ac:dyDescent="0.15">
      <c r="A236" s="8"/>
      <c r="B236" s="9"/>
      <c r="C236" s="17"/>
      <c r="D236" s="10"/>
      <c r="E236" s="10"/>
      <c r="F236" s="11"/>
      <c r="G236" s="10"/>
      <c r="H236" s="10"/>
      <c r="I236" s="10"/>
      <c r="J236" s="10"/>
      <c r="K236" s="10"/>
      <c r="L236" s="10"/>
      <c r="M236" s="10"/>
      <c r="N236" s="10"/>
      <c r="O236" s="10"/>
      <c r="P236" s="10"/>
      <c r="Q236" s="10"/>
      <c r="R236" s="10"/>
      <c r="S236" s="10"/>
      <c r="T236" s="10"/>
      <c r="U236" s="10"/>
      <c r="V236" s="10"/>
      <c r="W236" s="10"/>
      <c r="X236" s="10"/>
      <c r="Y236" s="10"/>
      <c r="Z236" s="10"/>
    </row>
    <row r="237" spans="1:26" ht="20" customHeight="1" x14ac:dyDescent="0.15">
      <c r="A237" s="8"/>
      <c r="B237" s="9"/>
      <c r="C237" s="17"/>
      <c r="D237" s="10"/>
      <c r="E237" s="10"/>
      <c r="F237" s="11"/>
      <c r="G237" s="10"/>
      <c r="H237" s="10"/>
      <c r="I237" s="10"/>
      <c r="J237" s="10"/>
      <c r="K237" s="10"/>
      <c r="L237" s="10"/>
      <c r="M237" s="10"/>
      <c r="N237" s="10"/>
      <c r="O237" s="10"/>
      <c r="P237" s="10"/>
      <c r="Q237" s="10"/>
      <c r="R237" s="10"/>
      <c r="S237" s="10"/>
      <c r="T237" s="10"/>
      <c r="U237" s="10"/>
      <c r="V237" s="10"/>
      <c r="W237" s="10"/>
      <c r="X237" s="10"/>
      <c r="Y237" s="10"/>
      <c r="Z237" s="10"/>
    </row>
    <row r="238" spans="1:26" ht="20" customHeight="1" x14ac:dyDescent="0.15">
      <c r="A238" s="8"/>
      <c r="B238" s="9"/>
      <c r="C238" s="17"/>
      <c r="D238" s="10"/>
      <c r="E238" s="10"/>
      <c r="F238" s="11"/>
      <c r="G238" s="10"/>
      <c r="H238" s="10"/>
      <c r="I238" s="10"/>
      <c r="J238" s="10"/>
      <c r="K238" s="10"/>
      <c r="L238" s="10"/>
      <c r="M238" s="10"/>
      <c r="N238" s="10"/>
      <c r="O238" s="10"/>
      <c r="P238" s="10"/>
      <c r="Q238" s="10"/>
      <c r="R238" s="10"/>
      <c r="S238" s="10"/>
      <c r="T238" s="10"/>
      <c r="U238" s="10"/>
      <c r="V238" s="10"/>
      <c r="W238" s="10"/>
      <c r="X238" s="10"/>
      <c r="Y238" s="10"/>
      <c r="Z238" s="10"/>
    </row>
    <row r="239" spans="1:26" ht="20" customHeight="1" x14ac:dyDescent="0.15">
      <c r="A239" s="8"/>
      <c r="B239" s="9"/>
      <c r="C239" s="17"/>
      <c r="D239" s="10"/>
      <c r="E239" s="10"/>
      <c r="F239" s="11"/>
      <c r="G239" s="10"/>
      <c r="H239" s="10"/>
      <c r="I239" s="10"/>
      <c r="J239" s="10"/>
      <c r="K239" s="10"/>
      <c r="L239" s="10"/>
      <c r="M239" s="10"/>
      <c r="N239" s="10"/>
      <c r="O239" s="10"/>
      <c r="P239" s="10"/>
      <c r="Q239" s="10"/>
      <c r="R239" s="10"/>
      <c r="S239" s="10"/>
      <c r="T239" s="10"/>
      <c r="U239" s="10"/>
      <c r="V239" s="10"/>
      <c r="W239" s="10"/>
      <c r="X239" s="10"/>
      <c r="Y239" s="10"/>
      <c r="Z239" s="10"/>
    </row>
    <row r="240" spans="1:26" ht="20" customHeight="1" x14ac:dyDescent="0.15">
      <c r="A240" s="8"/>
      <c r="B240" s="9"/>
      <c r="C240" s="17"/>
      <c r="D240" s="10"/>
      <c r="E240" s="10"/>
      <c r="F240" s="11"/>
      <c r="G240" s="10"/>
      <c r="H240" s="10"/>
      <c r="I240" s="10"/>
      <c r="J240" s="10"/>
      <c r="K240" s="10"/>
      <c r="L240" s="10"/>
      <c r="M240" s="10"/>
      <c r="N240" s="10"/>
      <c r="O240" s="10"/>
      <c r="P240" s="10"/>
      <c r="Q240" s="10"/>
      <c r="R240" s="10"/>
      <c r="S240" s="10"/>
      <c r="T240" s="10"/>
      <c r="U240" s="10"/>
      <c r="V240" s="10"/>
      <c r="W240" s="10"/>
      <c r="X240" s="10"/>
      <c r="Y240" s="10"/>
      <c r="Z240" s="10"/>
    </row>
    <row r="241" spans="1:26" ht="20" customHeight="1" x14ac:dyDescent="0.15">
      <c r="A241" s="8"/>
      <c r="B241" s="9"/>
      <c r="C241" s="17"/>
      <c r="D241" s="10"/>
      <c r="E241" s="10"/>
      <c r="F241" s="11"/>
      <c r="G241" s="10"/>
      <c r="H241" s="10"/>
      <c r="I241" s="10"/>
      <c r="J241" s="10"/>
      <c r="K241" s="10"/>
      <c r="L241" s="10"/>
      <c r="M241" s="10"/>
      <c r="N241" s="10"/>
      <c r="O241" s="10"/>
      <c r="P241" s="10"/>
      <c r="Q241" s="10"/>
      <c r="R241" s="10"/>
      <c r="S241" s="10"/>
      <c r="T241" s="10"/>
      <c r="U241" s="10"/>
      <c r="V241" s="10"/>
      <c r="W241" s="10"/>
      <c r="X241" s="10"/>
      <c r="Y241" s="10"/>
      <c r="Z241" s="10"/>
    </row>
    <row r="242" spans="1:26" ht="20" customHeight="1" x14ac:dyDescent="0.15">
      <c r="A242" s="8"/>
      <c r="B242" s="9"/>
      <c r="C242" s="17"/>
      <c r="D242" s="10"/>
      <c r="E242" s="10"/>
      <c r="F242" s="11"/>
      <c r="G242" s="10"/>
      <c r="H242" s="10"/>
      <c r="I242" s="10"/>
      <c r="J242" s="10"/>
      <c r="K242" s="10"/>
      <c r="L242" s="10"/>
      <c r="M242" s="10"/>
      <c r="N242" s="10"/>
      <c r="O242" s="10"/>
      <c r="P242" s="10"/>
      <c r="Q242" s="10"/>
      <c r="R242" s="10"/>
      <c r="S242" s="10"/>
      <c r="T242" s="10"/>
      <c r="U242" s="10"/>
      <c r="V242" s="10"/>
      <c r="W242" s="10"/>
      <c r="X242" s="10"/>
      <c r="Y242" s="10"/>
      <c r="Z242" s="10"/>
    </row>
    <row r="243" spans="1:26" ht="20" customHeight="1" x14ac:dyDescent="0.15">
      <c r="A243" s="8"/>
      <c r="B243" s="9"/>
      <c r="C243" s="17"/>
      <c r="D243" s="10"/>
      <c r="E243" s="10"/>
      <c r="F243" s="11"/>
      <c r="G243" s="10"/>
      <c r="H243" s="10"/>
      <c r="I243" s="10"/>
      <c r="J243" s="10"/>
      <c r="K243" s="10"/>
      <c r="L243" s="10"/>
      <c r="M243" s="10"/>
      <c r="N243" s="10"/>
      <c r="O243" s="10"/>
      <c r="P243" s="10"/>
      <c r="Q243" s="10"/>
      <c r="R243" s="10"/>
      <c r="S243" s="10"/>
      <c r="T243" s="10"/>
      <c r="U243" s="10"/>
      <c r="V243" s="10"/>
      <c r="W243" s="10"/>
      <c r="X243" s="10"/>
      <c r="Y243" s="10"/>
      <c r="Z243" s="10"/>
    </row>
    <row r="244" spans="1:26" ht="20" customHeight="1" x14ac:dyDescent="0.15">
      <c r="A244" s="8"/>
      <c r="B244" s="9"/>
      <c r="C244" s="17"/>
      <c r="D244" s="10"/>
      <c r="E244" s="10"/>
      <c r="F244" s="11"/>
      <c r="G244" s="10"/>
      <c r="H244" s="10"/>
      <c r="I244" s="10"/>
      <c r="J244" s="10"/>
      <c r="K244" s="10"/>
      <c r="L244" s="10"/>
      <c r="M244" s="10"/>
      <c r="N244" s="10"/>
      <c r="O244" s="10"/>
      <c r="P244" s="10"/>
      <c r="Q244" s="10"/>
      <c r="R244" s="10"/>
      <c r="S244" s="10"/>
      <c r="T244" s="10"/>
      <c r="U244" s="10"/>
      <c r="V244" s="10"/>
      <c r="W244" s="10"/>
      <c r="X244" s="10"/>
      <c r="Y244" s="10"/>
      <c r="Z244" s="10"/>
    </row>
    <row r="245" spans="1:26" ht="20" customHeight="1" x14ac:dyDescent="0.15">
      <c r="A245" s="8"/>
      <c r="B245" s="9"/>
      <c r="C245" s="17"/>
      <c r="D245" s="10"/>
      <c r="E245" s="10"/>
      <c r="F245" s="11"/>
      <c r="G245" s="10"/>
      <c r="H245" s="10"/>
      <c r="I245" s="10"/>
      <c r="J245" s="10"/>
      <c r="K245" s="10"/>
      <c r="L245" s="10"/>
      <c r="M245" s="10"/>
      <c r="N245" s="10"/>
      <c r="O245" s="10"/>
      <c r="P245" s="10"/>
      <c r="Q245" s="10"/>
      <c r="R245" s="10"/>
      <c r="S245" s="10"/>
      <c r="T245" s="10"/>
      <c r="U245" s="10"/>
      <c r="V245" s="10"/>
      <c r="W245" s="10"/>
      <c r="X245" s="10"/>
      <c r="Y245" s="10"/>
      <c r="Z245" s="10"/>
    </row>
    <row r="246" spans="1:26" ht="20" customHeight="1" x14ac:dyDescent="0.15">
      <c r="A246" s="8"/>
      <c r="B246" s="9"/>
      <c r="C246" s="17"/>
      <c r="D246" s="10"/>
      <c r="E246" s="10"/>
      <c r="F246" s="11"/>
      <c r="G246" s="10"/>
      <c r="H246" s="10"/>
      <c r="I246" s="10"/>
      <c r="J246" s="10"/>
      <c r="K246" s="10"/>
      <c r="L246" s="10"/>
      <c r="M246" s="10"/>
      <c r="N246" s="10"/>
      <c r="O246" s="10"/>
      <c r="P246" s="10"/>
      <c r="Q246" s="10"/>
      <c r="R246" s="10"/>
      <c r="S246" s="10"/>
      <c r="T246" s="10"/>
      <c r="U246" s="10"/>
      <c r="V246" s="10"/>
      <c r="W246" s="10"/>
      <c r="X246" s="10"/>
      <c r="Y246" s="10"/>
      <c r="Z246" s="10"/>
    </row>
    <row r="247" spans="1:26" ht="20" customHeight="1" x14ac:dyDescent="0.15">
      <c r="A247" s="8"/>
      <c r="B247" s="9"/>
      <c r="C247" s="17"/>
      <c r="D247" s="10"/>
      <c r="E247" s="10"/>
      <c r="F247" s="11"/>
      <c r="G247" s="10"/>
      <c r="H247" s="10"/>
      <c r="I247" s="10"/>
      <c r="J247" s="10"/>
      <c r="K247" s="10"/>
      <c r="L247" s="10"/>
      <c r="M247" s="10"/>
      <c r="N247" s="10"/>
      <c r="O247" s="10"/>
      <c r="P247" s="10"/>
      <c r="Q247" s="10"/>
      <c r="R247" s="10"/>
      <c r="S247" s="10"/>
      <c r="T247" s="10"/>
      <c r="U247" s="10"/>
      <c r="V247" s="10"/>
      <c r="W247" s="10"/>
      <c r="X247" s="10"/>
      <c r="Y247" s="10"/>
      <c r="Z247" s="10"/>
    </row>
    <row r="248" spans="1:26" ht="20" customHeight="1" x14ac:dyDescent="0.15">
      <c r="A248" s="8"/>
      <c r="B248" s="9"/>
      <c r="C248" s="17"/>
      <c r="D248" s="10"/>
      <c r="E248" s="10"/>
      <c r="F248" s="11"/>
      <c r="G248" s="10"/>
      <c r="H248" s="10"/>
      <c r="I248" s="10"/>
      <c r="J248" s="10"/>
      <c r="K248" s="10"/>
      <c r="L248" s="10"/>
      <c r="M248" s="10"/>
      <c r="N248" s="10"/>
      <c r="O248" s="10"/>
      <c r="P248" s="10"/>
      <c r="Q248" s="10"/>
      <c r="R248" s="10"/>
      <c r="S248" s="10"/>
      <c r="T248" s="10"/>
      <c r="U248" s="10"/>
      <c r="V248" s="10"/>
      <c r="W248" s="10"/>
      <c r="X248" s="10"/>
      <c r="Y248" s="10"/>
      <c r="Z248" s="10"/>
    </row>
    <row r="249" spans="1:26" ht="20" customHeight="1" x14ac:dyDescent="0.15">
      <c r="A249" s="8"/>
      <c r="B249" s="9"/>
      <c r="C249" s="17"/>
      <c r="D249" s="10"/>
      <c r="E249" s="10"/>
      <c r="F249" s="11"/>
      <c r="G249" s="10"/>
      <c r="H249" s="10"/>
      <c r="I249" s="10"/>
      <c r="J249" s="10"/>
      <c r="K249" s="10"/>
      <c r="L249" s="10"/>
      <c r="M249" s="10"/>
      <c r="N249" s="10"/>
      <c r="O249" s="10"/>
      <c r="P249" s="10"/>
      <c r="Q249" s="10"/>
      <c r="R249" s="10"/>
      <c r="S249" s="10"/>
      <c r="T249" s="10"/>
      <c r="U249" s="10"/>
      <c r="V249" s="10"/>
      <c r="W249" s="10"/>
      <c r="X249" s="10"/>
      <c r="Y249" s="10"/>
      <c r="Z249" s="10"/>
    </row>
    <row r="250" spans="1:26" ht="20" customHeight="1" x14ac:dyDescent="0.15">
      <c r="A250" s="8"/>
      <c r="B250" s="9"/>
      <c r="C250" s="17"/>
      <c r="D250" s="10"/>
      <c r="E250" s="10"/>
      <c r="F250" s="11"/>
      <c r="G250" s="10"/>
      <c r="H250" s="10"/>
      <c r="I250" s="10"/>
      <c r="J250" s="10"/>
      <c r="K250" s="10"/>
      <c r="L250" s="10"/>
      <c r="M250" s="10"/>
      <c r="N250" s="10"/>
      <c r="O250" s="10"/>
      <c r="P250" s="10"/>
      <c r="Q250" s="10"/>
      <c r="R250" s="10"/>
      <c r="S250" s="10"/>
      <c r="T250" s="10"/>
      <c r="U250" s="10"/>
      <c r="V250" s="10"/>
      <c r="W250" s="10"/>
      <c r="X250" s="10"/>
      <c r="Y250" s="10"/>
      <c r="Z250" s="10"/>
    </row>
    <row r="251" spans="1:26" ht="20" customHeight="1" x14ac:dyDescent="0.15">
      <c r="A251" s="8"/>
      <c r="B251" s="9"/>
      <c r="C251" s="17"/>
      <c r="D251" s="10"/>
      <c r="E251" s="10"/>
      <c r="F251" s="11"/>
      <c r="G251" s="10"/>
      <c r="H251" s="10"/>
      <c r="I251" s="10"/>
      <c r="J251" s="10"/>
      <c r="K251" s="10"/>
      <c r="L251" s="10"/>
      <c r="M251" s="10"/>
      <c r="N251" s="10"/>
      <c r="O251" s="10"/>
      <c r="P251" s="10"/>
      <c r="Q251" s="10"/>
      <c r="R251" s="10"/>
      <c r="S251" s="10"/>
      <c r="T251" s="10"/>
      <c r="U251" s="10"/>
      <c r="V251" s="10"/>
      <c r="W251" s="10"/>
      <c r="X251" s="10"/>
      <c r="Y251" s="10"/>
      <c r="Z251" s="10"/>
    </row>
    <row r="252" spans="1:26" ht="20" customHeight="1" x14ac:dyDescent="0.15">
      <c r="A252" s="8"/>
      <c r="B252" s="9"/>
      <c r="C252" s="17"/>
      <c r="D252" s="10"/>
      <c r="E252" s="10"/>
      <c r="F252" s="11"/>
      <c r="G252" s="10"/>
      <c r="H252" s="10"/>
      <c r="I252" s="10"/>
      <c r="J252" s="10"/>
      <c r="K252" s="10"/>
      <c r="L252" s="10"/>
      <c r="M252" s="10"/>
      <c r="N252" s="10"/>
      <c r="O252" s="10"/>
      <c r="P252" s="10"/>
      <c r="Q252" s="10"/>
      <c r="R252" s="10"/>
      <c r="S252" s="10"/>
      <c r="T252" s="10"/>
      <c r="U252" s="10"/>
      <c r="V252" s="10"/>
      <c r="W252" s="10"/>
      <c r="X252" s="10"/>
      <c r="Y252" s="10"/>
      <c r="Z252" s="10"/>
    </row>
    <row r="253" spans="1:26" ht="20" customHeight="1" x14ac:dyDescent="0.15">
      <c r="A253" s="8"/>
      <c r="B253" s="9"/>
      <c r="C253" s="17"/>
      <c r="D253" s="10"/>
      <c r="E253" s="10"/>
      <c r="F253" s="11"/>
      <c r="G253" s="10"/>
      <c r="H253" s="10"/>
      <c r="I253" s="10"/>
      <c r="J253" s="10"/>
      <c r="K253" s="10"/>
      <c r="L253" s="10"/>
      <c r="M253" s="10"/>
      <c r="N253" s="10"/>
      <c r="O253" s="10"/>
      <c r="P253" s="10"/>
      <c r="Q253" s="10"/>
      <c r="R253" s="10"/>
      <c r="S253" s="10"/>
      <c r="T253" s="10"/>
      <c r="U253" s="10"/>
      <c r="V253" s="10"/>
      <c r="W253" s="10"/>
      <c r="X253" s="10"/>
      <c r="Y253" s="10"/>
      <c r="Z253" s="10"/>
    </row>
    <row r="254" spans="1:26" ht="20" customHeight="1" x14ac:dyDescent="0.15">
      <c r="A254" s="8"/>
      <c r="B254" s="9"/>
      <c r="C254" s="17"/>
      <c r="D254" s="10"/>
      <c r="E254" s="10"/>
      <c r="F254" s="11"/>
      <c r="G254" s="10"/>
      <c r="H254" s="10"/>
      <c r="I254" s="10"/>
      <c r="J254" s="10"/>
      <c r="K254" s="10"/>
      <c r="L254" s="10"/>
      <c r="M254" s="10"/>
      <c r="N254" s="10"/>
      <c r="O254" s="10"/>
      <c r="P254" s="10"/>
      <c r="Q254" s="10"/>
      <c r="R254" s="10"/>
      <c r="S254" s="10"/>
      <c r="T254" s="10"/>
      <c r="U254" s="10"/>
      <c r="V254" s="10"/>
      <c r="W254" s="10"/>
      <c r="X254" s="10"/>
      <c r="Y254" s="10"/>
      <c r="Z254" s="10"/>
    </row>
    <row r="255" spans="1:26" ht="20" customHeight="1" x14ac:dyDescent="0.15">
      <c r="A255" s="8"/>
      <c r="B255" s="9"/>
      <c r="C255" s="17"/>
      <c r="D255" s="10"/>
      <c r="E255" s="10"/>
      <c r="F255" s="11"/>
      <c r="G255" s="10"/>
      <c r="H255" s="10"/>
      <c r="I255" s="10"/>
      <c r="J255" s="10"/>
      <c r="K255" s="10"/>
      <c r="L255" s="10"/>
      <c r="M255" s="10"/>
      <c r="N255" s="10"/>
      <c r="O255" s="10"/>
      <c r="P255" s="10"/>
      <c r="Q255" s="10"/>
      <c r="R255" s="10"/>
      <c r="S255" s="10"/>
      <c r="T255" s="10"/>
      <c r="U255" s="10"/>
      <c r="V255" s="10"/>
      <c r="W255" s="10"/>
      <c r="X255" s="10"/>
      <c r="Y255" s="10"/>
      <c r="Z255" s="10"/>
    </row>
    <row r="256" spans="1:26" ht="20" customHeight="1" x14ac:dyDescent="0.15">
      <c r="A256" s="8"/>
      <c r="B256" s="9"/>
      <c r="C256" s="17"/>
      <c r="D256" s="10"/>
      <c r="E256" s="10"/>
      <c r="F256" s="11"/>
      <c r="G256" s="10"/>
      <c r="H256" s="10"/>
      <c r="I256" s="10"/>
      <c r="J256" s="10"/>
      <c r="K256" s="10"/>
      <c r="L256" s="10"/>
      <c r="M256" s="10"/>
      <c r="N256" s="10"/>
      <c r="O256" s="10"/>
      <c r="P256" s="10"/>
      <c r="Q256" s="10"/>
      <c r="R256" s="10"/>
      <c r="S256" s="10"/>
      <c r="T256" s="10"/>
      <c r="U256" s="10"/>
      <c r="V256" s="10"/>
      <c r="W256" s="10"/>
      <c r="X256" s="10"/>
      <c r="Y256" s="10"/>
      <c r="Z256" s="10"/>
    </row>
    <row r="257" spans="1:26" ht="20" customHeight="1" x14ac:dyDescent="0.15">
      <c r="A257" s="8"/>
      <c r="B257" s="9"/>
      <c r="C257" s="17"/>
      <c r="D257" s="10"/>
      <c r="E257" s="10"/>
      <c r="F257" s="11"/>
      <c r="G257" s="10"/>
      <c r="H257" s="10"/>
      <c r="I257" s="10"/>
      <c r="J257" s="10"/>
      <c r="K257" s="10"/>
      <c r="L257" s="10"/>
      <c r="M257" s="10"/>
      <c r="N257" s="10"/>
      <c r="O257" s="10"/>
      <c r="P257" s="10"/>
      <c r="Q257" s="10"/>
      <c r="R257" s="10"/>
      <c r="S257" s="10"/>
      <c r="T257" s="10"/>
      <c r="U257" s="10"/>
      <c r="V257" s="10"/>
      <c r="W257" s="10"/>
      <c r="X257" s="10"/>
      <c r="Y257" s="10"/>
      <c r="Z257" s="10"/>
    </row>
    <row r="258" spans="1:26" ht="20" customHeight="1" x14ac:dyDescent="0.15">
      <c r="A258" s="8"/>
      <c r="B258" s="9"/>
      <c r="C258" s="17"/>
      <c r="D258" s="10"/>
      <c r="E258" s="10"/>
      <c r="F258" s="11"/>
      <c r="G258" s="10"/>
      <c r="H258" s="10"/>
      <c r="I258" s="10"/>
      <c r="J258" s="10"/>
      <c r="K258" s="10"/>
      <c r="L258" s="10"/>
      <c r="M258" s="10"/>
      <c r="N258" s="10"/>
      <c r="O258" s="10"/>
      <c r="P258" s="10"/>
      <c r="Q258" s="10"/>
      <c r="R258" s="10"/>
      <c r="S258" s="10"/>
      <c r="T258" s="10"/>
      <c r="U258" s="10"/>
      <c r="V258" s="10"/>
      <c r="W258" s="10"/>
      <c r="X258" s="10"/>
      <c r="Y258" s="10"/>
      <c r="Z258" s="10"/>
    </row>
    <row r="259" spans="1:26" ht="20" customHeight="1" x14ac:dyDescent="0.15">
      <c r="A259" s="8"/>
      <c r="B259" s="9"/>
      <c r="C259" s="17"/>
      <c r="D259" s="10"/>
      <c r="E259" s="10"/>
      <c r="F259" s="11"/>
      <c r="G259" s="10"/>
      <c r="H259" s="10"/>
      <c r="I259" s="10"/>
      <c r="J259" s="10"/>
      <c r="K259" s="10"/>
      <c r="L259" s="10"/>
      <c r="M259" s="10"/>
      <c r="N259" s="10"/>
      <c r="O259" s="10"/>
      <c r="P259" s="10"/>
      <c r="Q259" s="10"/>
      <c r="R259" s="10"/>
      <c r="S259" s="10"/>
      <c r="T259" s="10"/>
      <c r="U259" s="10"/>
      <c r="V259" s="10"/>
      <c r="W259" s="10"/>
      <c r="X259" s="10"/>
      <c r="Y259" s="10"/>
      <c r="Z259" s="10"/>
    </row>
    <row r="260" spans="1:26" ht="20" customHeight="1" x14ac:dyDescent="0.15">
      <c r="A260" s="8"/>
      <c r="B260" s="9"/>
      <c r="C260" s="17"/>
      <c r="D260" s="10"/>
      <c r="E260" s="10"/>
      <c r="F260" s="11"/>
      <c r="G260" s="10"/>
      <c r="H260" s="10"/>
      <c r="I260" s="10"/>
      <c r="J260" s="10"/>
      <c r="K260" s="10"/>
      <c r="L260" s="10"/>
      <c r="M260" s="10"/>
      <c r="N260" s="10"/>
      <c r="O260" s="10"/>
      <c r="P260" s="10"/>
      <c r="Q260" s="10"/>
      <c r="R260" s="10"/>
      <c r="S260" s="10"/>
      <c r="T260" s="10"/>
      <c r="U260" s="10"/>
      <c r="V260" s="10"/>
      <c r="W260" s="10"/>
      <c r="X260" s="10"/>
      <c r="Y260" s="10"/>
      <c r="Z260" s="10"/>
    </row>
    <row r="261" spans="1:26" ht="20" customHeight="1" x14ac:dyDescent="0.15">
      <c r="A261" s="8"/>
      <c r="B261" s="9"/>
      <c r="C261" s="17"/>
      <c r="D261" s="10"/>
      <c r="E261" s="10"/>
      <c r="F261" s="11"/>
      <c r="G261" s="10"/>
      <c r="H261" s="10"/>
      <c r="I261" s="10"/>
      <c r="J261" s="10"/>
      <c r="K261" s="10"/>
      <c r="L261" s="10"/>
      <c r="M261" s="10"/>
      <c r="N261" s="10"/>
      <c r="O261" s="10"/>
      <c r="P261" s="10"/>
      <c r="Q261" s="10"/>
      <c r="R261" s="10"/>
      <c r="S261" s="10"/>
      <c r="T261" s="10"/>
      <c r="U261" s="10"/>
      <c r="V261" s="10"/>
      <c r="W261" s="10"/>
      <c r="X261" s="10"/>
      <c r="Y261" s="10"/>
      <c r="Z261" s="10"/>
    </row>
    <row r="262" spans="1:26" ht="20" customHeight="1" x14ac:dyDescent="0.15">
      <c r="A262" s="8"/>
      <c r="B262" s="9"/>
      <c r="C262" s="17"/>
      <c r="D262" s="10"/>
      <c r="E262" s="10"/>
      <c r="F262" s="11"/>
      <c r="G262" s="10"/>
      <c r="H262" s="10"/>
      <c r="I262" s="10"/>
      <c r="J262" s="10"/>
      <c r="K262" s="10"/>
      <c r="L262" s="10"/>
      <c r="M262" s="10"/>
      <c r="N262" s="10"/>
      <c r="O262" s="10"/>
      <c r="P262" s="10"/>
      <c r="Q262" s="10"/>
      <c r="R262" s="10"/>
      <c r="S262" s="10"/>
      <c r="T262" s="10"/>
      <c r="U262" s="10"/>
      <c r="V262" s="10"/>
      <c r="W262" s="10"/>
      <c r="X262" s="10"/>
      <c r="Y262" s="10"/>
      <c r="Z262" s="10"/>
    </row>
    <row r="263" spans="1:26" ht="20" customHeight="1" x14ac:dyDescent="0.15">
      <c r="A263" s="8"/>
      <c r="B263" s="9"/>
      <c r="C263" s="17"/>
      <c r="D263" s="10"/>
      <c r="E263" s="10"/>
      <c r="F263" s="11"/>
      <c r="G263" s="10"/>
      <c r="H263" s="10"/>
      <c r="I263" s="10"/>
      <c r="J263" s="10"/>
      <c r="K263" s="10"/>
      <c r="L263" s="10"/>
      <c r="M263" s="10"/>
      <c r="N263" s="10"/>
      <c r="O263" s="10"/>
      <c r="P263" s="10"/>
      <c r="Q263" s="10"/>
      <c r="R263" s="10"/>
      <c r="S263" s="10"/>
      <c r="T263" s="10"/>
      <c r="U263" s="10"/>
      <c r="V263" s="10"/>
      <c r="W263" s="10"/>
      <c r="X263" s="10"/>
      <c r="Y263" s="10"/>
      <c r="Z263" s="10"/>
    </row>
    <row r="264" spans="1:26" ht="20" customHeight="1" x14ac:dyDescent="0.15">
      <c r="A264" s="8"/>
      <c r="B264" s="9"/>
      <c r="C264" s="17"/>
      <c r="D264" s="10"/>
      <c r="E264" s="10"/>
      <c r="F264" s="11"/>
      <c r="G264" s="10"/>
      <c r="H264" s="10"/>
      <c r="I264" s="10"/>
      <c r="J264" s="10"/>
      <c r="K264" s="10"/>
      <c r="L264" s="10"/>
      <c r="M264" s="10"/>
      <c r="N264" s="10"/>
      <c r="O264" s="10"/>
      <c r="P264" s="10"/>
      <c r="Q264" s="10"/>
      <c r="R264" s="10"/>
      <c r="S264" s="10"/>
      <c r="T264" s="10"/>
      <c r="U264" s="10"/>
      <c r="V264" s="10"/>
      <c r="W264" s="10"/>
      <c r="X264" s="10"/>
      <c r="Y264" s="10"/>
      <c r="Z264" s="10"/>
    </row>
    <row r="265" spans="1:26" ht="20" customHeight="1" x14ac:dyDescent="0.15">
      <c r="A265" s="8"/>
      <c r="B265" s="9"/>
      <c r="C265" s="17"/>
      <c r="D265" s="10"/>
      <c r="E265" s="10"/>
      <c r="F265" s="11"/>
      <c r="G265" s="10"/>
      <c r="H265" s="10"/>
      <c r="I265" s="10"/>
      <c r="J265" s="10"/>
      <c r="K265" s="10"/>
      <c r="L265" s="10"/>
      <c r="M265" s="10"/>
      <c r="N265" s="10"/>
      <c r="O265" s="10"/>
      <c r="P265" s="10"/>
      <c r="Q265" s="10"/>
      <c r="R265" s="10"/>
      <c r="S265" s="10"/>
      <c r="T265" s="10"/>
      <c r="U265" s="10"/>
      <c r="V265" s="10"/>
      <c r="W265" s="10"/>
      <c r="X265" s="10"/>
      <c r="Y265" s="10"/>
      <c r="Z265" s="10"/>
    </row>
    <row r="266" spans="1:26" ht="20" customHeight="1" x14ac:dyDescent="0.15">
      <c r="A266" s="8"/>
      <c r="B266" s="9"/>
      <c r="C266" s="17"/>
      <c r="D266" s="10"/>
      <c r="E266" s="10"/>
      <c r="F266" s="11"/>
      <c r="G266" s="10"/>
      <c r="H266" s="10"/>
      <c r="I266" s="10"/>
      <c r="J266" s="10"/>
      <c r="K266" s="10"/>
      <c r="L266" s="10"/>
      <c r="M266" s="10"/>
      <c r="N266" s="10"/>
      <c r="O266" s="10"/>
      <c r="P266" s="10"/>
      <c r="Q266" s="10"/>
      <c r="R266" s="10"/>
      <c r="S266" s="10"/>
      <c r="T266" s="10"/>
      <c r="U266" s="10"/>
      <c r="V266" s="10"/>
      <c r="W266" s="10"/>
      <c r="X266" s="10"/>
      <c r="Y266" s="10"/>
      <c r="Z266" s="10"/>
    </row>
    <row r="267" spans="1:26" ht="20" customHeight="1" x14ac:dyDescent="0.15">
      <c r="A267" s="8"/>
      <c r="B267" s="9"/>
      <c r="C267" s="17"/>
      <c r="D267" s="10"/>
      <c r="E267" s="10"/>
      <c r="F267" s="11"/>
      <c r="G267" s="10"/>
      <c r="H267" s="10"/>
      <c r="I267" s="10"/>
      <c r="J267" s="10"/>
      <c r="K267" s="10"/>
      <c r="L267" s="10"/>
      <c r="M267" s="10"/>
      <c r="N267" s="10"/>
      <c r="O267" s="10"/>
      <c r="P267" s="10"/>
      <c r="Q267" s="10"/>
      <c r="R267" s="10"/>
      <c r="S267" s="10"/>
      <c r="T267" s="10"/>
      <c r="U267" s="10"/>
      <c r="V267" s="10"/>
      <c r="W267" s="10"/>
      <c r="X267" s="10"/>
      <c r="Y267" s="10"/>
      <c r="Z267" s="10"/>
    </row>
    <row r="268" spans="1:26" ht="20" customHeight="1" x14ac:dyDescent="0.15">
      <c r="A268" s="8"/>
      <c r="B268" s="9"/>
      <c r="C268" s="17"/>
      <c r="D268" s="10"/>
      <c r="E268" s="10"/>
      <c r="F268" s="11"/>
      <c r="G268" s="10"/>
      <c r="H268" s="10"/>
      <c r="I268" s="10"/>
      <c r="J268" s="10"/>
      <c r="K268" s="10"/>
      <c r="L268" s="10"/>
      <c r="M268" s="10"/>
      <c r="N268" s="10"/>
      <c r="O268" s="10"/>
      <c r="P268" s="10"/>
      <c r="Q268" s="10"/>
      <c r="R268" s="10"/>
      <c r="S268" s="10"/>
      <c r="T268" s="10"/>
      <c r="U268" s="10"/>
      <c r="V268" s="10"/>
      <c r="W268" s="10"/>
      <c r="X268" s="10"/>
      <c r="Y268" s="10"/>
      <c r="Z268" s="10"/>
    </row>
    <row r="269" spans="1:26" ht="20" customHeight="1" x14ac:dyDescent="0.15">
      <c r="A269" s="8"/>
      <c r="B269" s="9"/>
      <c r="C269" s="17"/>
      <c r="D269" s="10"/>
      <c r="E269" s="10"/>
      <c r="F269" s="11"/>
      <c r="G269" s="10"/>
      <c r="H269" s="10"/>
      <c r="I269" s="10"/>
      <c r="J269" s="10"/>
      <c r="K269" s="10"/>
      <c r="L269" s="10"/>
      <c r="M269" s="10"/>
      <c r="N269" s="10"/>
      <c r="O269" s="10"/>
      <c r="P269" s="10"/>
      <c r="Q269" s="10"/>
      <c r="R269" s="10"/>
      <c r="S269" s="10"/>
      <c r="T269" s="10"/>
      <c r="U269" s="10"/>
      <c r="V269" s="10"/>
      <c r="W269" s="10"/>
      <c r="X269" s="10"/>
      <c r="Y269" s="10"/>
      <c r="Z269" s="10"/>
    </row>
    <row r="270" spans="1:26" ht="20" customHeight="1" x14ac:dyDescent="0.15">
      <c r="A270" s="8"/>
      <c r="B270" s="9"/>
      <c r="C270" s="17"/>
      <c r="D270" s="10"/>
      <c r="E270" s="10"/>
      <c r="F270" s="11"/>
      <c r="G270" s="10"/>
      <c r="H270" s="10"/>
      <c r="I270" s="10"/>
      <c r="J270" s="10"/>
      <c r="K270" s="10"/>
      <c r="L270" s="10"/>
      <c r="M270" s="10"/>
      <c r="N270" s="10"/>
      <c r="O270" s="10"/>
      <c r="P270" s="10"/>
      <c r="Q270" s="10"/>
      <c r="R270" s="10"/>
      <c r="S270" s="10"/>
      <c r="T270" s="10"/>
      <c r="U270" s="10"/>
      <c r="V270" s="10"/>
      <c r="W270" s="10"/>
      <c r="X270" s="10"/>
      <c r="Y270" s="10"/>
      <c r="Z270" s="10"/>
    </row>
    <row r="271" spans="1:26" ht="20" customHeight="1" x14ac:dyDescent="0.15">
      <c r="A271" s="8"/>
      <c r="B271" s="9"/>
      <c r="C271" s="17"/>
      <c r="D271" s="10"/>
      <c r="E271" s="10"/>
      <c r="F271" s="11"/>
      <c r="G271" s="10"/>
      <c r="H271" s="10"/>
      <c r="I271" s="10"/>
      <c r="J271" s="10"/>
      <c r="K271" s="10"/>
      <c r="L271" s="10"/>
      <c r="M271" s="10"/>
      <c r="N271" s="10"/>
      <c r="O271" s="10"/>
      <c r="P271" s="10"/>
      <c r="Q271" s="10"/>
      <c r="R271" s="10"/>
      <c r="S271" s="10"/>
      <c r="T271" s="10"/>
      <c r="U271" s="10"/>
      <c r="V271" s="10"/>
      <c r="W271" s="10"/>
      <c r="X271" s="10"/>
      <c r="Y271" s="10"/>
      <c r="Z271" s="10"/>
    </row>
    <row r="272" spans="1:26" ht="20" customHeight="1" x14ac:dyDescent="0.15">
      <c r="A272" s="8"/>
      <c r="B272" s="9"/>
      <c r="C272" s="17"/>
      <c r="D272" s="10"/>
      <c r="E272" s="10"/>
      <c r="F272" s="11"/>
      <c r="G272" s="10"/>
      <c r="H272" s="10"/>
      <c r="I272" s="10"/>
      <c r="J272" s="10"/>
      <c r="K272" s="10"/>
      <c r="L272" s="10"/>
      <c r="M272" s="10"/>
      <c r="N272" s="10"/>
      <c r="O272" s="10"/>
      <c r="P272" s="10"/>
      <c r="Q272" s="10"/>
      <c r="R272" s="10"/>
      <c r="S272" s="10"/>
      <c r="T272" s="10"/>
      <c r="U272" s="10"/>
      <c r="V272" s="10"/>
      <c r="W272" s="10"/>
      <c r="X272" s="10"/>
      <c r="Y272" s="10"/>
      <c r="Z272" s="10"/>
    </row>
    <row r="273" spans="1:26" ht="20" customHeight="1" x14ac:dyDescent="0.15">
      <c r="A273" s="8"/>
      <c r="B273" s="9"/>
      <c r="C273" s="17"/>
      <c r="D273" s="10"/>
      <c r="E273" s="10"/>
      <c r="F273" s="11"/>
      <c r="G273" s="10"/>
      <c r="H273" s="10"/>
      <c r="I273" s="10"/>
      <c r="J273" s="10"/>
      <c r="K273" s="10"/>
      <c r="L273" s="10"/>
      <c r="M273" s="10"/>
      <c r="N273" s="10"/>
      <c r="O273" s="10"/>
      <c r="P273" s="10"/>
      <c r="Q273" s="10"/>
      <c r="R273" s="10"/>
      <c r="S273" s="10"/>
      <c r="T273" s="10"/>
      <c r="U273" s="10"/>
      <c r="V273" s="10"/>
      <c r="W273" s="10"/>
      <c r="X273" s="10"/>
      <c r="Y273" s="10"/>
      <c r="Z273" s="10"/>
    </row>
    <row r="274" spans="1:26" ht="20" customHeight="1" x14ac:dyDescent="0.15">
      <c r="A274" s="8"/>
      <c r="B274" s="9"/>
      <c r="C274" s="17"/>
      <c r="D274" s="10"/>
      <c r="E274" s="10"/>
      <c r="F274" s="11"/>
      <c r="G274" s="10"/>
      <c r="H274" s="10"/>
      <c r="I274" s="10"/>
      <c r="J274" s="10"/>
      <c r="K274" s="10"/>
      <c r="L274" s="10"/>
      <c r="M274" s="10"/>
      <c r="N274" s="10"/>
      <c r="O274" s="10"/>
      <c r="P274" s="10"/>
      <c r="Q274" s="10"/>
      <c r="R274" s="10"/>
      <c r="S274" s="10"/>
      <c r="T274" s="10"/>
      <c r="U274" s="10"/>
      <c r="V274" s="10"/>
      <c r="W274" s="10"/>
      <c r="X274" s="10"/>
      <c r="Y274" s="10"/>
      <c r="Z274" s="10"/>
    </row>
    <row r="275" spans="1:26" ht="20" customHeight="1" x14ac:dyDescent="0.15">
      <c r="A275" s="8"/>
      <c r="B275" s="9"/>
      <c r="C275" s="17"/>
      <c r="D275" s="10"/>
      <c r="E275" s="10"/>
      <c r="F275" s="11"/>
      <c r="G275" s="10"/>
      <c r="H275" s="10"/>
      <c r="I275" s="10"/>
      <c r="J275" s="10"/>
      <c r="K275" s="10"/>
      <c r="L275" s="10"/>
      <c r="M275" s="10"/>
      <c r="N275" s="10"/>
      <c r="O275" s="10"/>
      <c r="P275" s="10"/>
      <c r="Q275" s="10"/>
      <c r="R275" s="10"/>
      <c r="S275" s="10"/>
      <c r="T275" s="10"/>
      <c r="U275" s="10"/>
      <c r="V275" s="10"/>
      <c r="W275" s="10"/>
      <c r="X275" s="10"/>
      <c r="Y275" s="10"/>
      <c r="Z275" s="10"/>
    </row>
    <row r="276" spans="1:26" ht="20" customHeight="1" x14ac:dyDescent="0.15">
      <c r="A276" s="8"/>
      <c r="B276" s="9"/>
      <c r="C276" s="17"/>
      <c r="D276" s="10"/>
      <c r="E276" s="10"/>
      <c r="F276" s="11"/>
      <c r="G276" s="10"/>
      <c r="H276" s="10"/>
      <c r="I276" s="10"/>
      <c r="J276" s="10"/>
      <c r="K276" s="10"/>
      <c r="L276" s="10"/>
      <c r="M276" s="10"/>
      <c r="N276" s="10"/>
      <c r="O276" s="10"/>
      <c r="P276" s="10"/>
      <c r="Q276" s="10"/>
      <c r="R276" s="10"/>
      <c r="S276" s="10"/>
      <c r="T276" s="10"/>
      <c r="U276" s="10"/>
      <c r="V276" s="10"/>
      <c r="W276" s="10"/>
      <c r="X276" s="10"/>
      <c r="Y276" s="10"/>
      <c r="Z276" s="10"/>
    </row>
    <row r="277" spans="1:26" ht="20" customHeight="1" x14ac:dyDescent="0.15">
      <c r="A277" s="8"/>
      <c r="B277" s="9"/>
      <c r="C277" s="17"/>
      <c r="D277" s="10"/>
      <c r="E277" s="10"/>
      <c r="F277" s="11"/>
      <c r="G277" s="10"/>
      <c r="H277" s="10"/>
      <c r="I277" s="10"/>
      <c r="J277" s="10"/>
      <c r="K277" s="10"/>
      <c r="L277" s="10"/>
      <c r="M277" s="10"/>
      <c r="N277" s="10"/>
      <c r="O277" s="10"/>
      <c r="P277" s="10"/>
      <c r="Q277" s="10"/>
      <c r="R277" s="10"/>
      <c r="S277" s="10"/>
      <c r="T277" s="10"/>
      <c r="U277" s="10"/>
      <c r="V277" s="10"/>
      <c r="W277" s="10"/>
      <c r="X277" s="10"/>
      <c r="Y277" s="10"/>
      <c r="Z277" s="10"/>
    </row>
    <row r="278" spans="1:26" ht="20" customHeight="1" x14ac:dyDescent="0.15">
      <c r="A278" s="8"/>
      <c r="B278" s="9"/>
      <c r="C278" s="17"/>
      <c r="D278" s="10"/>
      <c r="E278" s="10"/>
      <c r="F278" s="11"/>
      <c r="G278" s="10"/>
      <c r="H278" s="10"/>
      <c r="I278" s="10"/>
      <c r="J278" s="10"/>
      <c r="K278" s="10"/>
      <c r="L278" s="10"/>
      <c r="M278" s="10"/>
      <c r="N278" s="10"/>
      <c r="O278" s="10"/>
      <c r="P278" s="10"/>
      <c r="Q278" s="10"/>
      <c r="R278" s="10"/>
      <c r="S278" s="10"/>
      <c r="T278" s="10"/>
      <c r="U278" s="10"/>
      <c r="V278" s="10"/>
      <c r="W278" s="10"/>
      <c r="X278" s="10"/>
      <c r="Y278" s="10"/>
      <c r="Z278" s="10"/>
    </row>
    <row r="279" spans="1:26" ht="20" customHeight="1" x14ac:dyDescent="0.15">
      <c r="A279" s="8"/>
      <c r="B279" s="9"/>
      <c r="C279" s="17"/>
      <c r="D279" s="10"/>
      <c r="E279" s="10"/>
      <c r="F279" s="11"/>
      <c r="G279" s="10"/>
      <c r="H279" s="10"/>
      <c r="I279" s="10"/>
      <c r="J279" s="10"/>
      <c r="K279" s="10"/>
      <c r="L279" s="10"/>
      <c r="M279" s="10"/>
      <c r="N279" s="10"/>
      <c r="O279" s="10"/>
      <c r="P279" s="10"/>
      <c r="Q279" s="10"/>
      <c r="R279" s="10"/>
      <c r="S279" s="10"/>
      <c r="T279" s="10"/>
      <c r="U279" s="10"/>
      <c r="V279" s="10"/>
      <c r="W279" s="10"/>
      <c r="X279" s="10"/>
      <c r="Y279" s="10"/>
      <c r="Z279" s="10"/>
    </row>
    <row r="280" spans="1:26" ht="20" customHeight="1" x14ac:dyDescent="0.15">
      <c r="A280" s="8"/>
      <c r="B280" s="9"/>
      <c r="C280" s="17"/>
      <c r="D280" s="10"/>
      <c r="E280" s="10"/>
      <c r="F280" s="11"/>
      <c r="G280" s="10"/>
      <c r="H280" s="10"/>
      <c r="I280" s="10"/>
      <c r="J280" s="10"/>
      <c r="K280" s="10"/>
      <c r="L280" s="10"/>
      <c r="M280" s="10"/>
      <c r="N280" s="10"/>
      <c r="O280" s="10"/>
      <c r="P280" s="10"/>
      <c r="Q280" s="10"/>
      <c r="R280" s="10"/>
      <c r="S280" s="10"/>
      <c r="T280" s="10"/>
      <c r="U280" s="10"/>
      <c r="V280" s="10"/>
      <c r="W280" s="10"/>
      <c r="X280" s="10"/>
      <c r="Y280" s="10"/>
      <c r="Z280" s="10"/>
    </row>
    <row r="281" spans="1:26" ht="20" customHeight="1" x14ac:dyDescent="0.15">
      <c r="A281" s="8"/>
      <c r="B281" s="9"/>
      <c r="C281" s="17"/>
      <c r="D281" s="10"/>
      <c r="E281" s="10"/>
      <c r="F281" s="11"/>
      <c r="G281" s="10"/>
      <c r="H281" s="10"/>
      <c r="I281" s="10"/>
      <c r="J281" s="10"/>
      <c r="K281" s="10"/>
      <c r="L281" s="10"/>
      <c r="M281" s="10"/>
      <c r="N281" s="10"/>
      <c r="O281" s="10"/>
      <c r="P281" s="10"/>
      <c r="Q281" s="10"/>
      <c r="R281" s="10"/>
      <c r="S281" s="10"/>
      <c r="T281" s="10"/>
      <c r="U281" s="10"/>
      <c r="V281" s="10"/>
      <c r="W281" s="10"/>
      <c r="X281" s="10"/>
      <c r="Y281" s="10"/>
      <c r="Z281" s="10"/>
    </row>
    <row r="282" spans="1:26" ht="20" customHeight="1" x14ac:dyDescent="0.15">
      <c r="A282" s="8"/>
      <c r="B282" s="9"/>
      <c r="C282" s="17"/>
      <c r="D282" s="10"/>
      <c r="E282" s="10"/>
      <c r="F282" s="11"/>
      <c r="G282" s="10"/>
      <c r="H282" s="10"/>
      <c r="I282" s="10"/>
      <c r="J282" s="10"/>
      <c r="K282" s="10"/>
      <c r="L282" s="10"/>
      <c r="M282" s="10"/>
      <c r="N282" s="10"/>
      <c r="O282" s="10"/>
      <c r="P282" s="10"/>
      <c r="Q282" s="10"/>
      <c r="R282" s="10"/>
      <c r="S282" s="10"/>
      <c r="T282" s="10"/>
      <c r="U282" s="10"/>
      <c r="V282" s="10"/>
      <c r="W282" s="10"/>
      <c r="X282" s="10"/>
      <c r="Y282" s="10"/>
      <c r="Z282" s="10"/>
    </row>
    <row r="283" spans="1:26" ht="20" customHeight="1" x14ac:dyDescent="0.15">
      <c r="A283" s="8"/>
      <c r="B283" s="9"/>
      <c r="C283" s="17"/>
      <c r="D283" s="10"/>
      <c r="E283" s="10"/>
      <c r="F283" s="11"/>
      <c r="G283" s="10"/>
      <c r="H283" s="10"/>
      <c r="I283" s="10"/>
      <c r="J283" s="10"/>
      <c r="K283" s="10"/>
      <c r="L283" s="10"/>
      <c r="M283" s="10"/>
      <c r="N283" s="10"/>
      <c r="O283" s="10"/>
      <c r="P283" s="10"/>
      <c r="Q283" s="10"/>
      <c r="R283" s="10"/>
      <c r="S283" s="10"/>
      <c r="T283" s="10"/>
      <c r="U283" s="10"/>
      <c r="V283" s="10"/>
      <c r="W283" s="10"/>
      <c r="X283" s="10"/>
      <c r="Y283" s="10"/>
      <c r="Z283" s="10"/>
    </row>
    <row r="284" spans="1:26" ht="20" customHeight="1" x14ac:dyDescent="0.15">
      <c r="A284" s="8"/>
      <c r="B284" s="9"/>
      <c r="C284" s="17"/>
      <c r="D284" s="10"/>
      <c r="E284" s="10"/>
      <c r="F284" s="11"/>
      <c r="G284" s="10"/>
      <c r="H284" s="10"/>
      <c r="I284" s="10"/>
      <c r="J284" s="10"/>
      <c r="K284" s="10"/>
      <c r="L284" s="10"/>
      <c r="M284" s="10"/>
      <c r="N284" s="10"/>
      <c r="O284" s="10"/>
      <c r="P284" s="10"/>
      <c r="Q284" s="10"/>
      <c r="R284" s="10"/>
      <c r="S284" s="10"/>
      <c r="T284" s="10"/>
      <c r="U284" s="10"/>
      <c r="V284" s="10"/>
      <c r="W284" s="10"/>
      <c r="X284" s="10"/>
      <c r="Y284" s="10"/>
      <c r="Z284" s="10"/>
    </row>
    <row r="285" spans="1:26" ht="20" customHeight="1" x14ac:dyDescent="0.15">
      <c r="A285" s="8"/>
      <c r="B285" s="9"/>
      <c r="C285" s="17"/>
      <c r="D285" s="10"/>
      <c r="E285" s="10"/>
      <c r="F285" s="11"/>
      <c r="G285" s="10"/>
      <c r="H285" s="10"/>
      <c r="I285" s="10"/>
      <c r="J285" s="10"/>
      <c r="K285" s="10"/>
      <c r="L285" s="10"/>
      <c r="M285" s="10"/>
      <c r="N285" s="10"/>
      <c r="O285" s="10"/>
      <c r="P285" s="10"/>
      <c r="Q285" s="10"/>
      <c r="R285" s="10"/>
      <c r="S285" s="10"/>
      <c r="T285" s="10"/>
      <c r="U285" s="10"/>
      <c r="V285" s="10"/>
      <c r="W285" s="10"/>
      <c r="X285" s="10"/>
      <c r="Y285" s="10"/>
      <c r="Z285" s="10"/>
    </row>
    <row r="286" spans="1:26" ht="20" customHeight="1" x14ac:dyDescent="0.15">
      <c r="A286" s="8"/>
      <c r="B286" s="9"/>
      <c r="C286" s="17"/>
      <c r="D286" s="10"/>
      <c r="E286" s="10"/>
      <c r="F286" s="11"/>
      <c r="G286" s="10"/>
      <c r="H286" s="10"/>
      <c r="I286" s="10"/>
      <c r="J286" s="10"/>
      <c r="K286" s="10"/>
      <c r="L286" s="10"/>
      <c r="M286" s="10"/>
      <c r="N286" s="10"/>
      <c r="O286" s="10"/>
      <c r="P286" s="10"/>
      <c r="Q286" s="10"/>
      <c r="R286" s="10"/>
      <c r="S286" s="10"/>
      <c r="T286" s="10"/>
      <c r="U286" s="10"/>
      <c r="V286" s="10"/>
      <c r="W286" s="10"/>
      <c r="X286" s="10"/>
      <c r="Y286" s="10"/>
      <c r="Z286" s="10"/>
    </row>
    <row r="287" spans="1:26" ht="20" customHeight="1" x14ac:dyDescent="0.15">
      <c r="A287" s="8"/>
      <c r="B287" s="9"/>
      <c r="C287" s="17"/>
      <c r="D287" s="10"/>
      <c r="E287" s="10"/>
      <c r="F287" s="11"/>
      <c r="G287" s="10"/>
      <c r="H287" s="10"/>
      <c r="I287" s="10"/>
      <c r="J287" s="10"/>
      <c r="K287" s="10"/>
      <c r="L287" s="10"/>
      <c r="M287" s="10"/>
      <c r="N287" s="10"/>
      <c r="O287" s="10"/>
      <c r="P287" s="10"/>
      <c r="Q287" s="10"/>
      <c r="R287" s="10"/>
      <c r="S287" s="10"/>
      <c r="T287" s="10"/>
      <c r="U287" s="10"/>
      <c r="V287" s="10"/>
      <c r="W287" s="10"/>
      <c r="X287" s="10"/>
      <c r="Y287" s="10"/>
      <c r="Z287" s="10"/>
    </row>
    <row r="288" spans="1:26" ht="20" customHeight="1" x14ac:dyDescent="0.15">
      <c r="A288" s="8"/>
      <c r="B288" s="9"/>
      <c r="C288" s="17"/>
      <c r="D288" s="10"/>
      <c r="E288" s="10"/>
      <c r="F288" s="11"/>
      <c r="G288" s="10"/>
      <c r="H288" s="10"/>
      <c r="I288" s="10"/>
      <c r="J288" s="10"/>
      <c r="K288" s="10"/>
      <c r="L288" s="10"/>
      <c r="M288" s="10"/>
      <c r="N288" s="10"/>
      <c r="O288" s="10"/>
      <c r="P288" s="10"/>
      <c r="Q288" s="10"/>
      <c r="R288" s="10"/>
      <c r="S288" s="10"/>
      <c r="T288" s="10"/>
      <c r="U288" s="10"/>
      <c r="V288" s="10"/>
      <c r="W288" s="10"/>
      <c r="X288" s="10"/>
      <c r="Y288" s="10"/>
      <c r="Z288" s="10"/>
    </row>
    <row r="289" spans="1:26" ht="20" customHeight="1" x14ac:dyDescent="0.15">
      <c r="A289" s="8"/>
      <c r="B289" s="9"/>
      <c r="C289" s="17"/>
      <c r="D289" s="10"/>
      <c r="E289" s="10"/>
      <c r="F289" s="11"/>
      <c r="G289" s="10"/>
      <c r="H289" s="10"/>
      <c r="I289" s="10"/>
      <c r="J289" s="10"/>
      <c r="K289" s="10"/>
      <c r="L289" s="10"/>
      <c r="M289" s="10"/>
      <c r="N289" s="10"/>
      <c r="O289" s="10"/>
      <c r="P289" s="10"/>
      <c r="Q289" s="10"/>
      <c r="R289" s="10"/>
      <c r="S289" s="10"/>
      <c r="T289" s="10"/>
      <c r="U289" s="10"/>
      <c r="V289" s="10"/>
      <c r="W289" s="10"/>
      <c r="X289" s="10"/>
      <c r="Y289" s="10"/>
      <c r="Z289" s="10"/>
    </row>
    <row r="290" spans="1:26" ht="20" customHeight="1" x14ac:dyDescent="0.15">
      <c r="A290" s="8"/>
      <c r="B290" s="9"/>
      <c r="C290" s="17"/>
      <c r="D290" s="10"/>
      <c r="E290" s="10"/>
      <c r="F290" s="11"/>
      <c r="G290" s="10"/>
      <c r="H290" s="10"/>
      <c r="I290" s="10"/>
      <c r="J290" s="10"/>
      <c r="K290" s="10"/>
      <c r="L290" s="10"/>
      <c r="M290" s="10"/>
      <c r="N290" s="10"/>
      <c r="O290" s="10"/>
      <c r="P290" s="10"/>
      <c r="Q290" s="10"/>
      <c r="R290" s="10"/>
      <c r="S290" s="10"/>
      <c r="T290" s="10"/>
      <c r="U290" s="10"/>
      <c r="V290" s="10"/>
      <c r="W290" s="10"/>
      <c r="X290" s="10"/>
      <c r="Y290" s="10"/>
      <c r="Z290" s="10"/>
    </row>
    <row r="291" spans="1:26" ht="20" customHeight="1" x14ac:dyDescent="0.15">
      <c r="A291" s="8"/>
      <c r="B291" s="9"/>
      <c r="C291" s="17"/>
      <c r="D291" s="10"/>
      <c r="E291" s="10"/>
      <c r="F291" s="11"/>
      <c r="G291" s="10"/>
      <c r="H291" s="10"/>
      <c r="I291" s="10"/>
      <c r="J291" s="10"/>
      <c r="K291" s="10"/>
      <c r="L291" s="10"/>
      <c r="M291" s="10"/>
      <c r="N291" s="10"/>
      <c r="O291" s="10"/>
      <c r="P291" s="10"/>
      <c r="Q291" s="10"/>
      <c r="R291" s="10"/>
      <c r="S291" s="10"/>
      <c r="T291" s="10"/>
      <c r="U291" s="10"/>
      <c r="V291" s="10"/>
      <c r="W291" s="10"/>
      <c r="X291" s="10"/>
      <c r="Y291" s="10"/>
      <c r="Z291" s="10"/>
    </row>
    <row r="292" spans="1:26" ht="20" customHeight="1" x14ac:dyDescent="0.15">
      <c r="A292" s="8"/>
      <c r="B292" s="9"/>
      <c r="C292" s="17"/>
      <c r="D292" s="10"/>
      <c r="E292" s="10"/>
      <c r="F292" s="11"/>
      <c r="G292" s="10"/>
      <c r="H292" s="10"/>
      <c r="I292" s="10"/>
      <c r="J292" s="10"/>
      <c r="K292" s="10"/>
      <c r="L292" s="10"/>
      <c r="M292" s="10"/>
      <c r="N292" s="10"/>
      <c r="O292" s="10"/>
      <c r="P292" s="10"/>
      <c r="Q292" s="10"/>
      <c r="R292" s="10"/>
      <c r="S292" s="10"/>
      <c r="T292" s="10"/>
      <c r="U292" s="10"/>
      <c r="V292" s="10"/>
      <c r="W292" s="10"/>
      <c r="X292" s="10"/>
      <c r="Y292" s="10"/>
      <c r="Z292" s="10"/>
    </row>
    <row r="293" spans="1:26" ht="20" customHeight="1" x14ac:dyDescent="0.15">
      <c r="A293" s="8"/>
      <c r="B293" s="9"/>
      <c r="C293" s="17"/>
      <c r="D293" s="10"/>
      <c r="E293" s="10"/>
      <c r="F293" s="11"/>
      <c r="G293" s="10"/>
      <c r="H293" s="10"/>
      <c r="I293" s="10"/>
      <c r="J293" s="10"/>
      <c r="K293" s="10"/>
      <c r="L293" s="10"/>
      <c r="M293" s="10"/>
      <c r="N293" s="10"/>
      <c r="O293" s="10"/>
      <c r="P293" s="10"/>
      <c r="Q293" s="10"/>
      <c r="R293" s="10"/>
      <c r="S293" s="10"/>
      <c r="T293" s="10"/>
      <c r="U293" s="10"/>
      <c r="V293" s="10"/>
      <c r="W293" s="10"/>
      <c r="X293" s="10"/>
      <c r="Y293" s="10"/>
      <c r="Z293" s="10"/>
    </row>
    <row r="294" spans="1:26" ht="20" customHeight="1" x14ac:dyDescent="0.15">
      <c r="A294" s="8"/>
      <c r="B294" s="9"/>
      <c r="C294" s="17"/>
      <c r="D294" s="10"/>
      <c r="E294" s="10"/>
      <c r="F294" s="11"/>
      <c r="G294" s="10"/>
      <c r="H294" s="10"/>
      <c r="I294" s="10"/>
      <c r="J294" s="10"/>
      <c r="K294" s="10"/>
      <c r="L294" s="10"/>
      <c r="M294" s="10"/>
      <c r="N294" s="10"/>
      <c r="O294" s="10"/>
      <c r="P294" s="10"/>
      <c r="Q294" s="10"/>
      <c r="R294" s="10"/>
      <c r="S294" s="10"/>
      <c r="T294" s="10"/>
      <c r="U294" s="10"/>
      <c r="V294" s="10"/>
      <c r="W294" s="10"/>
      <c r="X294" s="10"/>
      <c r="Y294" s="10"/>
      <c r="Z294" s="10"/>
    </row>
    <row r="295" spans="1:26" ht="20" customHeight="1" x14ac:dyDescent="0.15">
      <c r="A295" s="8"/>
      <c r="B295" s="9"/>
      <c r="C295" s="17"/>
      <c r="D295" s="10"/>
      <c r="E295" s="10"/>
      <c r="F295" s="11"/>
      <c r="G295" s="10"/>
      <c r="H295" s="10"/>
      <c r="I295" s="10"/>
      <c r="J295" s="10"/>
      <c r="K295" s="10"/>
      <c r="L295" s="10"/>
      <c r="M295" s="10"/>
      <c r="N295" s="10"/>
      <c r="O295" s="10"/>
      <c r="P295" s="10"/>
      <c r="Q295" s="10"/>
      <c r="R295" s="10"/>
      <c r="S295" s="10"/>
      <c r="T295" s="10"/>
      <c r="U295" s="10"/>
      <c r="V295" s="10"/>
      <c r="W295" s="10"/>
      <c r="X295" s="10"/>
      <c r="Y295" s="10"/>
      <c r="Z295" s="10"/>
    </row>
    <row r="296" spans="1:26" ht="20" customHeight="1" x14ac:dyDescent="0.15">
      <c r="A296" s="8"/>
      <c r="B296" s="9"/>
      <c r="C296" s="17"/>
      <c r="D296" s="10"/>
      <c r="E296" s="10"/>
      <c r="F296" s="11"/>
      <c r="G296" s="10"/>
      <c r="H296" s="10"/>
      <c r="I296" s="10"/>
      <c r="J296" s="10"/>
      <c r="K296" s="10"/>
      <c r="L296" s="10"/>
      <c r="M296" s="10"/>
      <c r="N296" s="10"/>
      <c r="O296" s="10"/>
      <c r="P296" s="10"/>
      <c r="Q296" s="10"/>
      <c r="R296" s="10"/>
      <c r="S296" s="10"/>
      <c r="T296" s="10"/>
      <c r="U296" s="10"/>
      <c r="V296" s="10"/>
      <c r="W296" s="10"/>
      <c r="X296" s="10"/>
      <c r="Y296" s="10"/>
      <c r="Z296" s="10"/>
    </row>
    <row r="297" spans="1:26" ht="20" customHeight="1" x14ac:dyDescent="0.15">
      <c r="A297" s="8"/>
      <c r="B297" s="9"/>
      <c r="C297" s="17"/>
      <c r="D297" s="10"/>
      <c r="E297" s="10"/>
      <c r="F297" s="11"/>
      <c r="G297" s="10"/>
      <c r="H297" s="10"/>
      <c r="I297" s="10"/>
      <c r="J297" s="10"/>
      <c r="K297" s="10"/>
      <c r="L297" s="10"/>
      <c r="M297" s="10"/>
      <c r="N297" s="10"/>
      <c r="O297" s="10"/>
      <c r="P297" s="10"/>
      <c r="Q297" s="10"/>
      <c r="R297" s="10"/>
      <c r="S297" s="10"/>
      <c r="T297" s="10"/>
      <c r="U297" s="10"/>
      <c r="V297" s="10"/>
      <c r="W297" s="10"/>
      <c r="X297" s="10"/>
      <c r="Y297" s="10"/>
      <c r="Z297" s="10"/>
    </row>
    <row r="298" spans="1:26" ht="20" customHeight="1" x14ac:dyDescent="0.15">
      <c r="A298" s="8"/>
      <c r="B298" s="9"/>
      <c r="C298" s="17"/>
      <c r="D298" s="10"/>
      <c r="E298" s="10"/>
      <c r="F298" s="11"/>
      <c r="G298" s="10"/>
      <c r="H298" s="10"/>
      <c r="I298" s="10"/>
      <c r="J298" s="10"/>
      <c r="K298" s="10"/>
      <c r="L298" s="10"/>
      <c r="M298" s="10"/>
      <c r="N298" s="10"/>
      <c r="O298" s="10"/>
      <c r="P298" s="10"/>
      <c r="Q298" s="10"/>
      <c r="R298" s="10"/>
      <c r="S298" s="10"/>
      <c r="T298" s="10"/>
      <c r="U298" s="10"/>
      <c r="V298" s="10"/>
      <c r="W298" s="10"/>
      <c r="X298" s="10"/>
      <c r="Y298" s="10"/>
      <c r="Z298" s="10"/>
    </row>
    <row r="299" spans="1:26" ht="20" customHeight="1" x14ac:dyDescent="0.15">
      <c r="A299" s="8"/>
      <c r="B299" s="9"/>
      <c r="C299" s="17"/>
      <c r="D299" s="10"/>
      <c r="E299" s="10"/>
      <c r="F299" s="11"/>
      <c r="G299" s="10"/>
      <c r="H299" s="10"/>
      <c r="I299" s="10"/>
      <c r="J299" s="10"/>
      <c r="K299" s="10"/>
      <c r="L299" s="10"/>
      <c r="M299" s="10"/>
      <c r="N299" s="10"/>
      <c r="O299" s="10"/>
      <c r="P299" s="10"/>
      <c r="Q299" s="10"/>
      <c r="R299" s="10"/>
      <c r="S299" s="10"/>
      <c r="T299" s="10"/>
      <c r="U299" s="10"/>
      <c r="V299" s="10"/>
      <c r="W299" s="10"/>
      <c r="X299" s="10"/>
      <c r="Y299" s="10"/>
      <c r="Z299" s="10"/>
    </row>
    <row r="300" spans="1:26" ht="20" customHeight="1" x14ac:dyDescent="0.15">
      <c r="A300" s="8"/>
      <c r="B300" s="9"/>
      <c r="C300" s="17"/>
      <c r="D300" s="10"/>
      <c r="E300" s="10"/>
      <c r="F300" s="11"/>
      <c r="G300" s="10"/>
      <c r="H300" s="10"/>
      <c r="I300" s="10"/>
      <c r="J300" s="10"/>
      <c r="K300" s="10"/>
      <c r="L300" s="10"/>
      <c r="M300" s="10"/>
      <c r="N300" s="10"/>
      <c r="O300" s="10"/>
      <c r="P300" s="10"/>
      <c r="Q300" s="10"/>
      <c r="R300" s="10"/>
      <c r="S300" s="10"/>
      <c r="T300" s="10"/>
      <c r="U300" s="10"/>
      <c r="V300" s="10"/>
      <c r="W300" s="10"/>
      <c r="X300" s="10"/>
      <c r="Y300" s="10"/>
      <c r="Z300" s="10"/>
    </row>
    <row r="301" spans="1:26" ht="20" customHeight="1" x14ac:dyDescent="0.15">
      <c r="A301" s="8"/>
      <c r="B301" s="9"/>
      <c r="C301" s="17"/>
      <c r="D301" s="10"/>
      <c r="E301" s="10"/>
      <c r="F301" s="11"/>
      <c r="G301" s="10"/>
      <c r="H301" s="10"/>
      <c r="I301" s="10"/>
      <c r="J301" s="10"/>
      <c r="K301" s="10"/>
      <c r="L301" s="10"/>
      <c r="M301" s="10"/>
      <c r="N301" s="10"/>
      <c r="O301" s="10"/>
      <c r="P301" s="10"/>
      <c r="Q301" s="10"/>
      <c r="R301" s="10"/>
      <c r="S301" s="10"/>
      <c r="T301" s="10"/>
      <c r="U301" s="10"/>
      <c r="V301" s="10"/>
      <c r="W301" s="10"/>
      <c r="X301" s="10"/>
      <c r="Y301" s="10"/>
      <c r="Z301" s="10"/>
    </row>
    <row r="302" spans="1:26" ht="20" customHeight="1" x14ac:dyDescent="0.15">
      <c r="A302" s="8"/>
      <c r="B302" s="9"/>
      <c r="C302" s="17"/>
      <c r="D302" s="10"/>
      <c r="E302" s="10"/>
      <c r="F302" s="11"/>
      <c r="G302" s="10"/>
      <c r="H302" s="10"/>
      <c r="I302" s="10"/>
      <c r="J302" s="10"/>
      <c r="K302" s="10"/>
      <c r="L302" s="10"/>
      <c r="M302" s="10"/>
      <c r="N302" s="10"/>
      <c r="O302" s="10"/>
      <c r="P302" s="10"/>
      <c r="Q302" s="10"/>
      <c r="R302" s="10"/>
      <c r="S302" s="10"/>
      <c r="T302" s="10"/>
      <c r="U302" s="10"/>
      <c r="V302" s="10"/>
      <c r="W302" s="10"/>
      <c r="X302" s="10"/>
      <c r="Y302" s="10"/>
      <c r="Z302" s="10"/>
    </row>
    <row r="303" spans="1:26" ht="20" customHeight="1" x14ac:dyDescent="0.15">
      <c r="A303" s="8"/>
      <c r="B303" s="9"/>
      <c r="C303" s="17"/>
      <c r="D303" s="10"/>
      <c r="E303" s="10"/>
      <c r="F303" s="11"/>
      <c r="G303" s="10"/>
      <c r="H303" s="10"/>
      <c r="I303" s="10"/>
      <c r="J303" s="10"/>
      <c r="K303" s="10"/>
      <c r="L303" s="10"/>
      <c r="M303" s="10"/>
      <c r="N303" s="10"/>
      <c r="O303" s="10"/>
      <c r="P303" s="10"/>
      <c r="Q303" s="10"/>
      <c r="R303" s="10"/>
      <c r="S303" s="10"/>
      <c r="T303" s="10"/>
      <c r="U303" s="10"/>
      <c r="V303" s="10"/>
      <c r="W303" s="10"/>
      <c r="X303" s="10"/>
      <c r="Y303" s="10"/>
      <c r="Z303" s="10"/>
    </row>
    <row r="304" spans="1:26" ht="20" customHeight="1" x14ac:dyDescent="0.15">
      <c r="A304" s="8"/>
      <c r="B304" s="9"/>
      <c r="C304" s="17"/>
      <c r="D304" s="10"/>
      <c r="E304" s="10"/>
      <c r="F304" s="11"/>
      <c r="G304" s="10"/>
      <c r="H304" s="10"/>
      <c r="I304" s="10"/>
      <c r="J304" s="10"/>
      <c r="K304" s="10"/>
      <c r="L304" s="10"/>
      <c r="M304" s="10"/>
      <c r="N304" s="10"/>
      <c r="O304" s="10"/>
      <c r="P304" s="10"/>
      <c r="Q304" s="10"/>
      <c r="R304" s="10"/>
      <c r="S304" s="10"/>
      <c r="T304" s="10"/>
      <c r="U304" s="10"/>
      <c r="V304" s="10"/>
      <c r="W304" s="10"/>
      <c r="X304" s="10"/>
      <c r="Y304" s="10"/>
      <c r="Z304" s="10"/>
    </row>
    <row r="305" spans="1:26" ht="20" customHeight="1" x14ac:dyDescent="0.15">
      <c r="A305" s="8"/>
      <c r="B305" s="9"/>
      <c r="C305" s="17"/>
      <c r="D305" s="10"/>
      <c r="E305" s="10"/>
      <c r="F305" s="11"/>
      <c r="G305" s="10"/>
      <c r="H305" s="10"/>
      <c r="I305" s="10"/>
      <c r="J305" s="10"/>
      <c r="K305" s="10"/>
      <c r="L305" s="10"/>
      <c r="M305" s="10"/>
      <c r="N305" s="10"/>
      <c r="O305" s="10"/>
      <c r="P305" s="10"/>
      <c r="Q305" s="10"/>
      <c r="R305" s="10"/>
      <c r="S305" s="10"/>
      <c r="T305" s="10"/>
      <c r="U305" s="10"/>
      <c r="V305" s="10"/>
      <c r="W305" s="10"/>
      <c r="X305" s="10"/>
      <c r="Y305" s="10"/>
      <c r="Z305" s="10"/>
    </row>
    <row r="306" spans="1:26" ht="20" customHeight="1" x14ac:dyDescent="0.15">
      <c r="A306" s="8"/>
      <c r="B306" s="9"/>
      <c r="C306" s="17"/>
      <c r="D306" s="10"/>
      <c r="E306" s="10"/>
      <c r="F306" s="11"/>
      <c r="G306" s="10"/>
      <c r="H306" s="10"/>
      <c r="I306" s="10"/>
      <c r="J306" s="10"/>
      <c r="K306" s="10"/>
      <c r="L306" s="10"/>
      <c r="M306" s="10"/>
      <c r="N306" s="10"/>
      <c r="O306" s="10"/>
      <c r="P306" s="10"/>
      <c r="Q306" s="10"/>
      <c r="R306" s="10"/>
      <c r="S306" s="10"/>
      <c r="T306" s="10"/>
      <c r="U306" s="10"/>
      <c r="V306" s="10"/>
      <c r="W306" s="10"/>
      <c r="X306" s="10"/>
      <c r="Y306" s="10"/>
      <c r="Z306" s="10"/>
    </row>
    <row r="307" spans="1:26" ht="20" customHeight="1" x14ac:dyDescent="0.15">
      <c r="A307" s="8"/>
      <c r="B307" s="9"/>
      <c r="C307" s="17"/>
      <c r="D307" s="10"/>
      <c r="E307" s="10"/>
      <c r="F307" s="11"/>
      <c r="G307" s="10"/>
      <c r="H307" s="10"/>
      <c r="I307" s="10"/>
      <c r="J307" s="10"/>
      <c r="K307" s="10"/>
      <c r="L307" s="10"/>
      <c r="M307" s="10"/>
      <c r="N307" s="10"/>
      <c r="O307" s="10"/>
      <c r="P307" s="10"/>
      <c r="Q307" s="10"/>
      <c r="R307" s="10"/>
      <c r="S307" s="10"/>
      <c r="T307" s="10"/>
      <c r="U307" s="10"/>
      <c r="V307" s="10"/>
      <c r="W307" s="10"/>
      <c r="X307" s="10"/>
      <c r="Y307" s="10"/>
      <c r="Z307" s="10"/>
    </row>
    <row r="308" spans="1:26" ht="20" customHeight="1" x14ac:dyDescent="0.15">
      <c r="A308" s="8"/>
      <c r="B308" s="9"/>
      <c r="C308" s="17"/>
      <c r="D308" s="10"/>
      <c r="E308" s="10"/>
      <c r="F308" s="11"/>
      <c r="G308" s="10"/>
      <c r="H308" s="10"/>
      <c r="I308" s="10"/>
      <c r="J308" s="10"/>
      <c r="K308" s="10"/>
      <c r="L308" s="10"/>
      <c r="M308" s="10"/>
      <c r="N308" s="10"/>
      <c r="O308" s="10"/>
      <c r="P308" s="10"/>
      <c r="Q308" s="10"/>
      <c r="R308" s="10"/>
      <c r="S308" s="10"/>
      <c r="T308" s="10"/>
      <c r="U308" s="10"/>
      <c r="V308" s="10"/>
      <c r="W308" s="10"/>
      <c r="X308" s="10"/>
      <c r="Y308" s="10"/>
      <c r="Z308" s="10"/>
    </row>
    <row r="309" spans="1:26" ht="20" customHeight="1" x14ac:dyDescent="0.15">
      <c r="A309" s="8"/>
      <c r="B309" s="9"/>
      <c r="C309" s="17"/>
      <c r="D309" s="10"/>
      <c r="E309" s="10"/>
      <c r="F309" s="11"/>
      <c r="G309" s="10"/>
      <c r="H309" s="10"/>
      <c r="I309" s="10"/>
      <c r="J309" s="10"/>
      <c r="K309" s="10"/>
      <c r="L309" s="10"/>
      <c r="M309" s="10"/>
      <c r="N309" s="10"/>
      <c r="O309" s="10"/>
      <c r="P309" s="10"/>
      <c r="Q309" s="10"/>
      <c r="R309" s="10"/>
      <c r="S309" s="10"/>
      <c r="T309" s="10"/>
      <c r="U309" s="10"/>
      <c r="V309" s="10"/>
      <c r="W309" s="10"/>
      <c r="X309" s="10"/>
      <c r="Y309" s="10"/>
      <c r="Z309" s="10"/>
    </row>
    <row r="310" spans="1:26" ht="20" customHeight="1" x14ac:dyDescent="0.15">
      <c r="A310" s="8"/>
      <c r="B310" s="9"/>
      <c r="C310" s="17"/>
      <c r="D310" s="10"/>
      <c r="E310" s="10"/>
      <c r="F310" s="11"/>
      <c r="G310" s="10"/>
      <c r="H310" s="10"/>
      <c r="I310" s="10"/>
      <c r="J310" s="10"/>
      <c r="K310" s="10"/>
      <c r="L310" s="10"/>
      <c r="M310" s="10"/>
      <c r="N310" s="10"/>
      <c r="O310" s="10"/>
      <c r="P310" s="10"/>
      <c r="Q310" s="10"/>
      <c r="R310" s="10"/>
      <c r="S310" s="10"/>
      <c r="T310" s="10"/>
      <c r="U310" s="10"/>
      <c r="V310" s="10"/>
      <c r="W310" s="10"/>
      <c r="X310" s="10"/>
      <c r="Y310" s="10"/>
      <c r="Z310" s="10"/>
    </row>
    <row r="311" spans="1:26" ht="20" customHeight="1" x14ac:dyDescent="0.15">
      <c r="A311" s="8"/>
      <c r="B311" s="9"/>
      <c r="C311" s="17"/>
      <c r="D311" s="10"/>
      <c r="E311" s="10"/>
      <c r="F311" s="11"/>
      <c r="G311" s="10"/>
      <c r="H311" s="10"/>
      <c r="I311" s="10"/>
      <c r="J311" s="10"/>
      <c r="K311" s="10"/>
      <c r="L311" s="10"/>
      <c r="M311" s="10"/>
      <c r="N311" s="10"/>
      <c r="O311" s="10"/>
      <c r="P311" s="10"/>
      <c r="Q311" s="10"/>
      <c r="R311" s="10"/>
      <c r="S311" s="10"/>
      <c r="T311" s="10"/>
      <c r="U311" s="10"/>
      <c r="V311" s="10"/>
      <c r="W311" s="10"/>
      <c r="X311" s="10"/>
      <c r="Y311" s="10"/>
      <c r="Z311" s="10"/>
    </row>
    <row r="312" spans="1:26" ht="20" customHeight="1" x14ac:dyDescent="0.15">
      <c r="A312" s="8"/>
      <c r="B312" s="9"/>
      <c r="C312" s="17"/>
      <c r="D312" s="10"/>
      <c r="E312" s="10"/>
      <c r="F312" s="11"/>
      <c r="G312" s="10"/>
      <c r="H312" s="10"/>
      <c r="I312" s="10"/>
      <c r="J312" s="10"/>
      <c r="K312" s="10"/>
      <c r="L312" s="10"/>
      <c r="M312" s="10"/>
      <c r="N312" s="10"/>
      <c r="O312" s="10"/>
      <c r="P312" s="10"/>
      <c r="Q312" s="10"/>
      <c r="R312" s="10"/>
      <c r="S312" s="10"/>
      <c r="T312" s="10"/>
      <c r="U312" s="10"/>
      <c r="V312" s="10"/>
      <c r="W312" s="10"/>
      <c r="X312" s="10"/>
      <c r="Y312" s="10"/>
      <c r="Z312" s="10"/>
    </row>
    <row r="313" spans="1:26" ht="20" customHeight="1" x14ac:dyDescent="0.15">
      <c r="A313" s="8"/>
      <c r="B313" s="9"/>
      <c r="C313" s="17"/>
      <c r="D313" s="10"/>
      <c r="E313" s="10"/>
      <c r="F313" s="11"/>
      <c r="G313" s="10"/>
      <c r="H313" s="10"/>
      <c r="I313" s="10"/>
      <c r="J313" s="10"/>
      <c r="K313" s="10"/>
      <c r="L313" s="10"/>
      <c r="M313" s="10"/>
      <c r="N313" s="10"/>
      <c r="O313" s="10"/>
      <c r="P313" s="10"/>
      <c r="Q313" s="10"/>
      <c r="R313" s="10"/>
      <c r="S313" s="10"/>
      <c r="T313" s="10"/>
      <c r="U313" s="10"/>
      <c r="V313" s="10"/>
      <c r="W313" s="10"/>
      <c r="X313" s="10"/>
      <c r="Y313" s="10"/>
      <c r="Z313" s="10"/>
    </row>
    <row r="314" spans="1:26" ht="20" customHeight="1" x14ac:dyDescent="0.15">
      <c r="A314" s="8"/>
      <c r="B314" s="9"/>
      <c r="C314" s="17"/>
      <c r="D314" s="10"/>
      <c r="E314" s="10"/>
      <c r="F314" s="11"/>
      <c r="G314" s="10"/>
      <c r="H314" s="10"/>
      <c r="I314" s="10"/>
      <c r="J314" s="10"/>
      <c r="K314" s="10"/>
      <c r="L314" s="10"/>
      <c r="M314" s="10"/>
      <c r="N314" s="10"/>
      <c r="O314" s="10"/>
      <c r="P314" s="10"/>
      <c r="Q314" s="10"/>
      <c r="R314" s="10"/>
      <c r="S314" s="10"/>
      <c r="T314" s="10"/>
      <c r="U314" s="10"/>
      <c r="V314" s="10"/>
      <c r="W314" s="10"/>
      <c r="X314" s="10"/>
      <c r="Y314" s="10"/>
      <c r="Z314" s="10"/>
    </row>
    <row r="315" spans="1:26" ht="20" customHeight="1" x14ac:dyDescent="0.15">
      <c r="A315" s="8"/>
      <c r="B315" s="9"/>
      <c r="C315" s="17"/>
      <c r="D315" s="10"/>
      <c r="E315" s="10"/>
      <c r="F315" s="11"/>
      <c r="G315" s="10"/>
      <c r="H315" s="10"/>
      <c r="I315" s="10"/>
      <c r="J315" s="10"/>
      <c r="K315" s="10"/>
      <c r="L315" s="10"/>
      <c r="M315" s="10"/>
      <c r="N315" s="10"/>
      <c r="O315" s="10"/>
      <c r="P315" s="10"/>
      <c r="Q315" s="10"/>
      <c r="R315" s="10"/>
      <c r="S315" s="10"/>
      <c r="T315" s="10"/>
      <c r="U315" s="10"/>
      <c r="V315" s="10"/>
      <c r="W315" s="10"/>
      <c r="X315" s="10"/>
      <c r="Y315" s="10"/>
      <c r="Z315" s="10"/>
    </row>
    <row r="316" spans="1:26" ht="20" customHeight="1" x14ac:dyDescent="0.15">
      <c r="A316" s="8"/>
      <c r="B316" s="9"/>
      <c r="C316" s="17"/>
      <c r="D316" s="10"/>
      <c r="E316" s="10"/>
      <c r="F316" s="11"/>
      <c r="G316" s="10"/>
      <c r="H316" s="10"/>
      <c r="I316" s="10"/>
      <c r="J316" s="10"/>
      <c r="K316" s="10"/>
      <c r="L316" s="10"/>
      <c r="M316" s="10"/>
      <c r="N316" s="10"/>
      <c r="O316" s="10"/>
      <c r="P316" s="10"/>
      <c r="Q316" s="10"/>
      <c r="R316" s="10"/>
      <c r="S316" s="10"/>
      <c r="T316" s="10"/>
      <c r="U316" s="10"/>
      <c r="V316" s="10"/>
      <c r="W316" s="10"/>
      <c r="X316" s="10"/>
      <c r="Y316" s="10"/>
      <c r="Z316" s="10"/>
    </row>
    <row r="317" spans="1:26" ht="20" customHeight="1" x14ac:dyDescent="0.15">
      <c r="A317" s="8"/>
      <c r="B317" s="9"/>
      <c r="C317" s="17"/>
      <c r="D317" s="10"/>
      <c r="E317" s="10"/>
      <c r="F317" s="11"/>
      <c r="G317" s="10"/>
      <c r="H317" s="10"/>
      <c r="I317" s="10"/>
      <c r="J317" s="10"/>
      <c r="K317" s="10"/>
      <c r="L317" s="10"/>
      <c r="M317" s="10"/>
      <c r="N317" s="10"/>
      <c r="O317" s="10"/>
      <c r="P317" s="10"/>
      <c r="Q317" s="10"/>
      <c r="R317" s="10"/>
      <c r="S317" s="10"/>
      <c r="T317" s="10"/>
      <c r="U317" s="10"/>
      <c r="V317" s="10"/>
      <c r="W317" s="10"/>
      <c r="X317" s="10"/>
      <c r="Y317" s="10"/>
      <c r="Z317" s="10"/>
    </row>
    <row r="318" spans="1:26" ht="20" customHeight="1" x14ac:dyDescent="0.15">
      <c r="A318" s="8"/>
      <c r="B318" s="9"/>
      <c r="C318" s="17"/>
      <c r="D318" s="10"/>
      <c r="E318" s="10"/>
      <c r="F318" s="11"/>
      <c r="G318" s="10"/>
      <c r="H318" s="10"/>
      <c r="I318" s="10"/>
      <c r="J318" s="10"/>
      <c r="K318" s="10"/>
      <c r="L318" s="10"/>
      <c r="M318" s="10"/>
      <c r="N318" s="10"/>
      <c r="O318" s="10"/>
      <c r="P318" s="10"/>
      <c r="Q318" s="10"/>
      <c r="R318" s="10"/>
      <c r="S318" s="10"/>
      <c r="T318" s="10"/>
      <c r="U318" s="10"/>
      <c r="V318" s="10"/>
      <c r="W318" s="10"/>
      <c r="X318" s="10"/>
      <c r="Y318" s="10"/>
      <c r="Z318" s="10"/>
    </row>
    <row r="319" spans="1:26" ht="20" customHeight="1" x14ac:dyDescent="0.15">
      <c r="A319" s="8"/>
      <c r="B319" s="9"/>
      <c r="C319" s="17"/>
      <c r="D319" s="10"/>
      <c r="E319" s="10"/>
      <c r="F319" s="11"/>
      <c r="G319" s="10"/>
      <c r="H319" s="10"/>
      <c r="I319" s="10"/>
      <c r="J319" s="10"/>
      <c r="K319" s="10"/>
      <c r="L319" s="10"/>
      <c r="M319" s="10"/>
      <c r="N319" s="10"/>
      <c r="O319" s="10"/>
      <c r="P319" s="10"/>
      <c r="Q319" s="10"/>
      <c r="R319" s="10"/>
      <c r="S319" s="10"/>
      <c r="T319" s="10"/>
      <c r="U319" s="10"/>
      <c r="V319" s="10"/>
      <c r="W319" s="10"/>
      <c r="X319" s="10"/>
      <c r="Y319" s="10"/>
      <c r="Z319" s="10"/>
    </row>
    <row r="320" spans="1:26" ht="20" customHeight="1" x14ac:dyDescent="0.15">
      <c r="A320" s="8"/>
      <c r="B320" s="9"/>
      <c r="C320" s="17"/>
      <c r="D320" s="10"/>
      <c r="E320" s="10"/>
      <c r="F320" s="11"/>
      <c r="G320" s="10"/>
      <c r="H320" s="10"/>
      <c r="I320" s="10"/>
      <c r="J320" s="10"/>
      <c r="K320" s="10"/>
      <c r="L320" s="10"/>
      <c r="M320" s="10"/>
      <c r="N320" s="10"/>
      <c r="O320" s="10"/>
      <c r="P320" s="10"/>
      <c r="Q320" s="10"/>
      <c r="R320" s="10"/>
      <c r="S320" s="10"/>
      <c r="T320" s="10"/>
      <c r="U320" s="10"/>
      <c r="V320" s="10"/>
      <c r="W320" s="10"/>
      <c r="X320" s="10"/>
      <c r="Y320" s="10"/>
      <c r="Z320" s="10"/>
    </row>
    <row r="321" spans="1:26" ht="20" customHeight="1" x14ac:dyDescent="0.15">
      <c r="A321" s="8"/>
      <c r="B321" s="9"/>
      <c r="C321" s="17"/>
      <c r="D321" s="10"/>
      <c r="E321" s="10"/>
      <c r="F321" s="11"/>
      <c r="G321" s="10"/>
      <c r="H321" s="10"/>
      <c r="I321" s="10"/>
      <c r="J321" s="10"/>
      <c r="K321" s="10"/>
      <c r="L321" s="10"/>
      <c r="M321" s="10"/>
      <c r="N321" s="10"/>
      <c r="O321" s="10"/>
      <c r="P321" s="10"/>
      <c r="Q321" s="10"/>
      <c r="R321" s="10"/>
      <c r="S321" s="10"/>
      <c r="T321" s="10"/>
      <c r="U321" s="10"/>
      <c r="V321" s="10"/>
      <c r="W321" s="10"/>
      <c r="X321" s="10"/>
      <c r="Y321" s="10"/>
      <c r="Z321" s="10"/>
    </row>
    <row r="322" spans="1:26" ht="20" customHeight="1" x14ac:dyDescent="0.15">
      <c r="A322" s="8"/>
      <c r="B322" s="9"/>
      <c r="C322" s="17"/>
      <c r="D322" s="10"/>
      <c r="E322" s="10"/>
      <c r="F322" s="11"/>
      <c r="G322" s="10"/>
      <c r="H322" s="10"/>
      <c r="I322" s="10"/>
      <c r="J322" s="10"/>
      <c r="K322" s="10"/>
      <c r="L322" s="10"/>
      <c r="M322" s="10"/>
      <c r="N322" s="10"/>
      <c r="O322" s="10"/>
      <c r="P322" s="10"/>
      <c r="Q322" s="10"/>
      <c r="R322" s="10"/>
      <c r="S322" s="10"/>
      <c r="T322" s="10"/>
      <c r="U322" s="10"/>
      <c r="V322" s="10"/>
      <c r="W322" s="10"/>
      <c r="X322" s="10"/>
      <c r="Y322" s="10"/>
      <c r="Z322" s="10"/>
    </row>
    <row r="323" spans="1:26" ht="20" customHeight="1" x14ac:dyDescent="0.15">
      <c r="A323" s="8"/>
      <c r="B323" s="9"/>
      <c r="C323" s="17"/>
      <c r="D323" s="10"/>
      <c r="E323" s="10"/>
      <c r="F323" s="11"/>
      <c r="G323" s="10"/>
      <c r="H323" s="10"/>
      <c r="I323" s="10"/>
      <c r="J323" s="10"/>
      <c r="K323" s="10"/>
      <c r="L323" s="10"/>
      <c r="M323" s="10"/>
      <c r="N323" s="10"/>
      <c r="O323" s="10"/>
      <c r="P323" s="10"/>
      <c r="Q323" s="10"/>
      <c r="R323" s="10"/>
      <c r="S323" s="10"/>
      <c r="T323" s="10"/>
      <c r="U323" s="10"/>
      <c r="V323" s="10"/>
      <c r="W323" s="10"/>
      <c r="X323" s="10"/>
      <c r="Y323" s="10"/>
      <c r="Z323" s="10"/>
    </row>
    <row r="324" spans="1:26" ht="20" customHeight="1" x14ac:dyDescent="0.15">
      <c r="A324" s="8"/>
      <c r="B324" s="9"/>
      <c r="C324" s="17"/>
      <c r="D324" s="10"/>
      <c r="E324" s="10"/>
      <c r="F324" s="11"/>
      <c r="G324" s="10"/>
      <c r="H324" s="10"/>
      <c r="I324" s="10"/>
      <c r="J324" s="10"/>
      <c r="K324" s="10"/>
      <c r="L324" s="10"/>
      <c r="M324" s="10"/>
      <c r="N324" s="10"/>
      <c r="O324" s="10"/>
      <c r="P324" s="10"/>
      <c r="Q324" s="10"/>
      <c r="R324" s="10"/>
      <c r="S324" s="10"/>
      <c r="T324" s="10"/>
      <c r="U324" s="10"/>
      <c r="V324" s="10"/>
      <c r="W324" s="10"/>
      <c r="X324" s="10"/>
      <c r="Y324" s="10"/>
      <c r="Z324" s="10"/>
    </row>
    <row r="325" spans="1:26" ht="20" customHeight="1" x14ac:dyDescent="0.15">
      <c r="A325" s="8"/>
      <c r="B325" s="9"/>
      <c r="C325" s="17"/>
      <c r="D325" s="10"/>
      <c r="E325" s="10"/>
      <c r="F325" s="11"/>
      <c r="G325" s="10"/>
      <c r="H325" s="10"/>
      <c r="I325" s="10"/>
      <c r="J325" s="10"/>
      <c r="K325" s="10"/>
      <c r="L325" s="10"/>
      <c r="M325" s="10"/>
      <c r="N325" s="10"/>
      <c r="O325" s="10"/>
      <c r="P325" s="10"/>
      <c r="Q325" s="10"/>
      <c r="R325" s="10"/>
      <c r="S325" s="10"/>
      <c r="T325" s="10"/>
      <c r="U325" s="10"/>
      <c r="V325" s="10"/>
      <c r="W325" s="10"/>
      <c r="X325" s="10"/>
      <c r="Y325" s="10"/>
      <c r="Z325" s="10"/>
    </row>
    <row r="326" spans="1:26" ht="20" customHeight="1" x14ac:dyDescent="0.15">
      <c r="A326" s="8"/>
      <c r="B326" s="9"/>
      <c r="C326" s="17"/>
      <c r="D326" s="10"/>
      <c r="E326" s="10"/>
      <c r="F326" s="11"/>
      <c r="G326" s="10"/>
      <c r="H326" s="10"/>
      <c r="I326" s="10"/>
      <c r="J326" s="10"/>
      <c r="K326" s="10"/>
      <c r="L326" s="10"/>
      <c r="M326" s="10"/>
      <c r="N326" s="10"/>
      <c r="O326" s="10"/>
      <c r="P326" s="10"/>
      <c r="Q326" s="10"/>
      <c r="R326" s="10"/>
      <c r="S326" s="10"/>
      <c r="T326" s="10"/>
      <c r="U326" s="10"/>
      <c r="V326" s="10"/>
      <c r="W326" s="10"/>
      <c r="X326" s="10"/>
      <c r="Y326" s="10"/>
      <c r="Z326" s="10"/>
    </row>
    <row r="327" spans="1:26" ht="20" customHeight="1" x14ac:dyDescent="0.15">
      <c r="A327" s="8"/>
      <c r="B327" s="9"/>
      <c r="C327" s="17"/>
      <c r="D327" s="10"/>
      <c r="E327" s="10"/>
      <c r="F327" s="11"/>
      <c r="G327" s="10"/>
      <c r="H327" s="10"/>
      <c r="I327" s="10"/>
      <c r="J327" s="10"/>
      <c r="K327" s="10"/>
      <c r="L327" s="10"/>
      <c r="M327" s="10"/>
      <c r="N327" s="10"/>
      <c r="O327" s="10"/>
      <c r="P327" s="10"/>
      <c r="Q327" s="10"/>
      <c r="R327" s="10"/>
      <c r="S327" s="10"/>
      <c r="T327" s="10"/>
      <c r="U327" s="10"/>
      <c r="V327" s="10"/>
      <c r="W327" s="10"/>
      <c r="X327" s="10"/>
      <c r="Y327" s="10"/>
      <c r="Z327" s="10"/>
    </row>
    <row r="328" spans="1:26" ht="20" customHeight="1" x14ac:dyDescent="0.15">
      <c r="A328" s="8"/>
      <c r="B328" s="9"/>
      <c r="C328" s="17"/>
      <c r="D328" s="10"/>
      <c r="E328" s="10"/>
      <c r="F328" s="11"/>
      <c r="G328" s="10"/>
      <c r="H328" s="10"/>
      <c r="I328" s="10"/>
      <c r="J328" s="10"/>
      <c r="K328" s="10"/>
      <c r="L328" s="10"/>
      <c r="M328" s="10"/>
      <c r="N328" s="10"/>
      <c r="O328" s="10"/>
      <c r="P328" s="10"/>
      <c r="Q328" s="10"/>
      <c r="R328" s="10"/>
      <c r="S328" s="10"/>
      <c r="T328" s="10"/>
      <c r="U328" s="10"/>
      <c r="V328" s="10"/>
      <c r="W328" s="10"/>
      <c r="X328" s="10"/>
      <c r="Y328" s="10"/>
      <c r="Z328" s="10"/>
    </row>
    <row r="329" spans="1:26" ht="20" customHeight="1" x14ac:dyDescent="0.15">
      <c r="A329" s="8"/>
      <c r="B329" s="9"/>
      <c r="C329" s="17"/>
      <c r="D329" s="10"/>
      <c r="E329" s="10"/>
      <c r="F329" s="11"/>
      <c r="G329" s="10"/>
      <c r="H329" s="10"/>
      <c r="I329" s="10"/>
      <c r="J329" s="10"/>
      <c r="K329" s="10"/>
      <c r="L329" s="10"/>
      <c r="M329" s="10"/>
      <c r="N329" s="10"/>
      <c r="O329" s="10"/>
      <c r="P329" s="10"/>
      <c r="Q329" s="10"/>
      <c r="R329" s="10"/>
      <c r="S329" s="10"/>
      <c r="T329" s="10"/>
      <c r="U329" s="10"/>
      <c r="V329" s="10"/>
      <c r="W329" s="10"/>
      <c r="X329" s="10"/>
      <c r="Y329" s="10"/>
      <c r="Z329" s="10"/>
    </row>
    <row r="330" spans="1:26" ht="20" customHeight="1" x14ac:dyDescent="0.15">
      <c r="A330" s="8"/>
      <c r="B330" s="9"/>
      <c r="C330" s="17"/>
      <c r="D330" s="10"/>
      <c r="E330" s="10"/>
      <c r="F330" s="11"/>
      <c r="G330" s="10"/>
      <c r="H330" s="10"/>
      <c r="I330" s="10"/>
      <c r="J330" s="10"/>
      <c r="K330" s="10"/>
      <c r="L330" s="10"/>
      <c r="M330" s="10"/>
      <c r="N330" s="10"/>
      <c r="O330" s="10"/>
      <c r="P330" s="10"/>
      <c r="Q330" s="10"/>
      <c r="R330" s="10"/>
      <c r="S330" s="10"/>
      <c r="T330" s="10"/>
      <c r="U330" s="10"/>
      <c r="V330" s="10"/>
      <c r="W330" s="10"/>
      <c r="X330" s="10"/>
      <c r="Y330" s="10"/>
      <c r="Z330" s="10"/>
    </row>
    <row r="331" spans="1:26" ht="20" customHeight="1" x14ac:dyDescent="0.15">
      <c r="A331" s="8"/>
      <c r="B331" s="9"/>
      <c r="C331" s="17"/>
      <c r="D331" s="10"/>
      <c r="E331" s="10"/>
      <c r="F331" s="11"/>
      <c r="G331" s="10"/>
      <c r="H331" s="10"/>
      <c r="I331" s="10"/>
      <c r="J331" s="10"/>
      <c r="K331" s="10"/>
      <c r="L331" s="10"/>
      <c r="M331" s="10"/>
      <c r="N331" s="10"/>
      <c r="O331" s="10"/>
      <c r="P331" s="10"/>
      <c r="Q331" s="10"/>
      <c r="R331" s="10"/>
      <c r="S331" s="10"/>
      <c r="T331" s="10"/>
      <c r="U331" s="10"/>
      <c r="V331" s="10"/>
      <c r="W331" s="10"/>
      <c r="X331" s="10"/>
      <c r="Y331" s="10"/>
      <c r="Z331" s="10"/>
    </row>
    <row r="332" spans="1:26" ht="20" customHeight="1" x14ac:dyDescent="0.15">
      <c r="A332" s="8"/>
      <c r="B332" s="9"/>
      <c r="C332" s="17"/>
      <c r="D332" s="10"/>
      <c r="E332" s="10"/>
      <c r="F332" s="11"/>
      <c r="G332" s="10"/>
      <c r="H332" s="10"/>
      <c r="I332" s="10"/>
      <c r="J332" s="10"/>
      <c r="K332" s="10"/>
      <c r="L332" s="10"/>
      <c r="M332" s="10"/>
      <c r="N332" s="10"/>
      <c r="O332" s="10"/>
      <c r="P332" s="10"/>
      <c r="Q332" s="10"/>
      <c r="R332" s="10"/>
      <c r="S332" s="10"/>
      <c r="T332" s="10"/>
      <c r="U332" s="10"/>
      <c r="V332" s="10"/>
      <c r="W332" s="10"/>
      <c r="X332" s="10"/>
      <c r="Y332" s="10"/>
      <c r="Z332" s="10"/>
    </row>
    <row r="333" spans="1:26" ht="20" customHeight="1" x14ac:dyDescent="0.15">
      <c r="A333" s="8"/>
      <c r="B333" s="9"/>
      <c r="C333" s="17"/>
      <c r="D333" s="10"/>
      <c r="E333" s="10"/>
      <c r="F333" s="11"/>
      <c r="G333" s="10"/>
      <c r="H333" s="10"/>
      <c r="I333" s="10"/>
      <c r="J333" s="10"/>
      <c r="K333" s="10"/>
      <c r="L333" s="10"/>
      <c r="M333" s="10"/>
      <c r="N333" s="10"/>
      <c r="O333" s="10"/>
      <c r="P333" s="10"/>
      <c r="Q333" s="10"/>
      <c r="R333" s="10"/>
      <c r="S333" s="10"/>
      <c r="T333" s="10"/>
      <c r="U333" s="10"/>
      <c r="V333" s="10"/>
      <c r="W333" s="10"/>
      <c r="X333" s="10"/>
      <c r="Y333" s="10"/>
      <c r="Z333" s="10"/>
    </row>
    <row r="334" spans="1:26" ht="20" customHeight="1" x14ac:dyDescent="0.15">
      <c r="A334" s="8"/>
      <c r="B334" s="9"/>
      <c r="C334" s="17"/>
      <c r="D334" s="10"/>
      <c r="E334" s="10"/>
      <c r="F334" s="11"/>
      <c r="G334" s="10"/>
      <c r="H334" s="10"/>
      <c r="I334" s="10"/>
      <c r="J334" s="10"/>
      <c r="K334" s="10"/>
      <c r="L334" s="10"/>
      <c r="M334" s="10"/>
      <c r="N334" s="10"/>
      <c r="O334" s="10"/>
      <c r="P334" s="10"/>
      <c r="Q334" s="10"/>
      <c r="R334" s="10"/>
      <c r="S334" s="10"/>
      <c r="T334" s="10"/>
      <c r="U334" s="10"/>
      <c r="V334" s="10"/>
      <c r="W334" s="10"/>
      <c r="X334" s="10"/>
      <c r="Y334" s="10"/>
      <c r="Z334" s="10"/>
    </row>
    <row r="335" spans="1:26" ht="20" customHeight="1" x14ac:dyDescent="0.15">
      <c r="A335" s="8"/>
      <c r="B335" s="9"/>
      <c r="C335" s="17"/>
      <c r="D335" s="10"/>
      <c r="E335" s="10"/>
      <c r="F335" s="11"/>
      <c r="G335" s="10"/>
      <c r="H335" s="10"/>
      <c r="I335" s="10"/>
      <c r="J335" s="10"/>
      <c r="K335" s="10"/>
      <c r="L335" s="10"/>
      <c r="M335" s="10"/>
      <c r="N335" s="10"/>
      <c r="O335" s="10"/>
      <c r="P335" s="10"/>
      <c r="Q335" s="10"/>
      <c r="R335" s="10"/>
      <c r="S335" s="10"/>
      <c r="T335" s="10"/>
      <c r="U335" s="10"/>
      <c r="V335" s="10"/>
      <c r="W335" s="10"/>
      <c r="X335" s="10"/>
      <c r="Y335" s="10"/>
      <c r="Z335" s="10"/>
    </row>
    <row r="336" spans="1:26" ht="20" customHeight="1" x14ac:dyDescent="0.15">
      <c r="A336" s="8"/>
      <c r="B336" s="9"/>
      <c r="C336" s="17"/>
      <c r="D336" s="10"/>
      <c r="E336" s="10"/>
      <c r="F336" s="11"/>
      <c r="G336" s="10"/>
      <c r="H336" s="10"/>
      <c r="I336" s="10"/>
      <c r="J336" s="10"/>
      <c r="K336" s="10"/>
      <c r="L336" s="10"/>
      <c r="M336" s="10"/>
      <c r="N336" s="10"/>
      <c r="O336" s="10"/>
      <c r="P336" s="10"/>
      <c r="Q336" s="10"/>
      <c r="R336" s="10"/>
      <c r="S336" s="10"/>
      <c r="T336" s="10"/>
      <c r="U336" s="10"/>
      <c r="V336" s="10"/>
      <c r="W336" s="10"/>
      <c r="X336" s="10"/>
      <c r="Y336" s="10"/>
      <c r="Z336" s="10"/>
    </row>
    <row r="337" spans="1:26" ht="20" customHeight="1" x14ac:dyDescent="0.15">
      <c r="A337" s="8"/>
      <c r="B337" s="9"/>
      <c r="C337" s="17"/>
      <c r="D337" s="10"/>
      <c r="E337" s="10"/>
      <c r="F337" s="11"/>
      <c r="G337" s="10"/>
      <c r="H337" s="10"/>
      <c r="I337" s="10"/>
      <c r="J337" s="10"/>
      <c r="K337" s="10"/>
      <c r="L337" s="10"/>
      <c r="M337" s="10"/>
      <c r="N337" s="10"/>
      <c r="O337" s="10"/>
      <c r="P337" s="10"/>
      <c r="Q337" s="10"/>
      <c r="R337" s="10"/>
      <c r="S337" s="10"/>
      <c r="T337" s="10"/>
      <c r="U337" s="10"/>
      <c r="V337" s="10"/>
      <c r="W337" s="10"/>
      <c r="X337" s="10"/>
      <c r="Y337" s="10"/>
      <c r="Z337" s="10"/>
    </row>
    <row r="338" spans="1:26" ht="20" customHeight="1" x14ac:dyDescent="0.15">
      <c r="A338" s="8"/>
      <c r="B338" s="9"/>
      <c r="C338" s="17"/>
      <c r="D338" s="10"/>
      <c r="E338" s="10"/>
      <c r="F338" s="11"/>
      <c r="G338" s="10"/>
      <c r="H338" s="10"/>
      <c r="I338" s="10"/>
      <c r="J338" s="10"/>
      <c r="K338" s="10"/>
      <c r="L338" s="10"/>
      <c r="M338" s="10"/>
      <c r="N338" s="10"/>
      <c r="O338" s="10"/>
      <c r="P338" s="10"/>
      <c r="Q338" s="10"/>
      <c r="R338" s="10"/>
      <c r="S338" s="10"/>
      <c r="T338" s="10"/>
      <c r="U338" s="10"/>
      <c r="V338" s="10"/>
      <c r="W338" s="10"/>
      <c r="X338" s="10"/>
      <c r="Y338" s="10"/>
      <c r="Z338" s="10"/>
    </row>
    <row r="339" spans="1:26" ht="20" customHeight="1" x14ac:dyDescent="0.15">
      <c r="A339" s="8"/>
      <c r="B339" s="9"/>
      <c r="C339" s="17"/>
      <c r="D339" s="10"/>
      <c r="E339" s="10"/>
      <c r="F339" s="11"/>
      <c r="G339" s="10"/>
      <c r="H339" s="10"/>
      <c r="I339" s="10"/>
      <c r="J339" s="10"/>
      <c r="K339" s="10"/>
      <c r="L339" s="10"/>
      <c r="M339" s="10"/>
      <c r="N339" s="10"/>
      <c r="O339" s="10"/>
      <c r="P339" s="10"/>
      <c r="Q339" s="10"/>
      <c r="R339" s="10"/>
      <c r="S339" s="10"/>
      <c r="T339" s="10"/>
      <c r="U339" s="10"/>
      <c r="V339" s="10"/>
      <c r="W339" s="10"/>
      <c r="X339" s="10"/>
      <c r="Y339" s="10"/>
      <c r="Z339" s="10"/>
    </row>
    <row r="340" spans="1:26" ht="20" customHeight="1" x14ac:dyDescent="0.15">
      <c r="A340" s="8"/>
      <c r="B340" s="9"/>
      <c r="C340" s="17"/>
      <c r="D340" s="10"/>
      <c r="E340" s="10"/>
      <c r="F340" s="11"/>
      <c r="G340" s="10"/>
      <c r="H340" s="10"/>
      <c r="I340" s="10"/>
      <c r="J340" s="10"/>
      <c r="K340" s="10"/>
      <c r="L340" s="10"/>
      <c r="M340" s="10"/>
      <c r="N340" s="10"/>
      <c r="O340" s="10"/>
      <c r="P340" s="10"/>
      <c r="Q340" s="10"/>
      <c r="R340" s="10"/>
      <c r="S340" s="10"/>
      <c r="T340" s="10"/>
      <c r="U340" s="10"/>
      <c r="V340" s="10"/>
      <c r="W340" s="10"/>
      <c r="X340" s="10"/>
      <c r="Y340" s="10"/>
      <c r="Z340" s="10"/>
    </row>
    <row r="341" spans="1:26" ht="20" customHeight="1" x14ac:dyDescent="0.15">
      <c r="A341" s="8"/>
      <c r="B341" s="9"/>
      <c r="C341" s="17"/>
      <c r="D341" s="10"/>
      <c r="E341" s="10"/>
      <c r="F341" s="11"/>
      <c r="G341" s="10"/>
      <c r="H341" s="10"/>
      <c r="I341" s="10"/>
      <c r="J341" s="10"/>
      <c r="K341" s="10"/>
      <c r="L341" s="10"/>
      <c r="M341" s="10"/>
      <c r="N341" s="10"/>
      <c r="O341" s="10"/>
      <c r="P341" s="10"/>
      <c r="Q341" s="10"/>
      <c r="R341" s="10"/>
      <c r="S341" s="10"/>
      <c r="T341" s="10"/>
      <c r="U341" s="10"/>
      <c r="V341" s="10"/>
      <c r="W341" s="10"/>
      <c r="X341" s="10"/>
      <c r="Y341" s="10"/>
      <c r="Z341" s="10"/>
    </row>
    <row r="342" spans="1:26" ht="20" customHeight="1" x14ac:dyDescent="0.15">
      <c r="A342" s="8"/>
      <c r="B342" s="9"/>
      <c r="C342" s="17"/>
      <c r="D342" s="10"/>
      <c r="E342" s="10"/>
      <c r="F342" s="11"/>
      <c r="G342" s="10"/>
      <c r="H342" s="10"/>
      <c r="I342" s="10"/>
      <c r="J342" s="10"/>
      <c r="K342" s="10"/>
      <c r="L342" s="10"/>
      <c r="M342" s="10"/>
      <c r="N342" s="10"/>
      <c r="O342" s="10"/>
      <c r="P342" s="10"/>
      <c r="Q342" s="10"/>
      <c r="R342" s="10"/>
      <c r="S342" s="10"/>
      <c r="T342" s="10"/>
      <c r="U342" s="10"/>
      <c r="V342" s="10"/>
      <c r="W342" s="10"/>
      <c r="X342" s="10"/>
      <c r="Y342" s="10"/>
      <c r="Z342" s="10"/>
    </row>
    <row r="343" spans="1:26" ht="20" customHeight="1" x14ac:dyDescent="0.15">
      <c r="A343" s="8"/>
      <c r="B343" s="9"/>
      <c r="C343" s="17"/>
      <c r="D343" s="10"/>
      <c r="E343" s="10"/>
      <c r="F343" s="11"/>
      <c r="G343" s="10"/>
      <c r="H343" s="10"/>
      <c r="I343" s="10"/>
      <c r="J343" s="10"/>
      <c r="K343" s="10"/>
      <c r="L343" s="10"/>
      <c r="M343" s="10"/>
      <c r="N343" s="10"/>
      <c r="O343" s="10"/>
      <c r="P343" s="10"/>
      <c r="Q343" s="10"/>
      <c r="R343" s="10"/>
      <c r="S343" s="10"/>
      <c r="T343" s="10"/>
      <c r="U343" s="10"/>
      <c r="V343" s="10"/>
      <c r="W343" s="10"/>
      <c r="X343" s="10"/>
      <c r="Y343" s="10"/>
      <c r="Z343" s="10"/>
    </row>
    <row r="344" spans="1:26" ht="20" customHeight="1" x14ac:dyDescent="0.15">
      <c r="A344" s="8"/>
      <c r="B344" s="9"/>
      <c r="C344" s="17"/>
      <c r="D344" s="10"/>
      <c r="E344" s="10"/>
      <c r="F344" s="11"/>
      <c r="G344" s="10"/>
      <c r="H344" s="10"/>
      <c r="I344" s="10"/>
      <c r="J344" s="10"/>
      <c r="K344" s="10"/>
      <c r="L344" s="10"/>
      <c r="M344" s="10"/>
      <c r="N344" s="10"/>
      <c r="O344" s="10"/>
      <c r="P344" s="10"/>
      <c r="Q344" s="10"/>
      <c r="R344" s="10"/>
      <c r="S344" s="10"/>
      <c r="T344" s="10"/>
      <c r="U344" s="10"/>
      <c r="V344" s="10"/>
      <c r="W344" s="10"/>
      <c r="X344" s="10"/>
      <c r="Y344" s="10"/>
      <c r="Z344" s="10"/>
    </row>
    <row r="345" spans="1:26" ht="20" customHeight="1" x14ac:dyDescent="0.15">
      <c r="A345" s="8"/>
      <c r="B345" s="9"/>
      <c r="C345" s="17"/>
      <c r="D345" s="10"/>
      <c r="E345" s="10"/>
      <c r="F345" s="11"/>
      <c r="G345" s="10"/>
      <c r="H345" s="10"/>
      <c r="I345" s="10"/>
      <c r="J345" s="10"/>
      <c r="K345" s="10"/>
      <c r="L345" s="10"/>
      <c r="M345" s="10"/>
      <c r="N345" s="10"/>
      <c r="O345" s="10"/>
      <c r="P345" s="10"/>
      <c r="Q345" s="10"/>
      <c r="R345" s="10"/>
      <c r="S345" s="10"/>
      <c r="T345" s="10"/>
      <c r="U345" s="10"/>
      <c r="V345" s="10"/>
      <c r="W345" s="10"/>
      <c r="X345" s="10"/>
      <c r="Y345" s="10"/>
      <c r="Z345" s="10"/>
    </row>
    <row r="346" spans="1:26" ht="20" customHeight="1" x14ac:dyDescent="0.15">
      <c r="A346" s="8"/>
      <c r="B346" s="9"/>
      <c r="C346" s="17"/>
      <c r="D346" s="10"/>
      <c r="E346" s="10"/>
      <c r="F346" s="11"/>
      <c r="G346" s="10"/>
      <c r="H346" s="10"/>
      <c r="I346" s="10"/>
      <c r="J346" s="10"/>
      <c r="K346" s="10"/>
      <c r="L346" s="10"/>
      <c r="M346" s="10"/>
      <c r="N346" s="10"/>
      <c r="O346" s="10"/>
      <c r="P346" s="10"/>
      <c r="Q346" s="10"/>
      <c r="R346" s="10"/>
      <c r="S346" s="10"/>
      <c r="T346" s="10"/>
      <c r="U346" s="10"/>
      <c r="V346" s="10"/>
      <c r="W346" s="10"/>
      <c r="X346" s="10"/>
      <c r="Y346" s="10"/>
      <c r="Z346" s="10"/>
    </row>
    <row r="347" spans="1:26" ht="20" customHeight="1" x14ac:dyDescent="0.15">
      <c r="A347" s="8"/>
      <c r="B347" s="9"/>
      <c r="C347" s="17"/>
      <c r="D347" s="10"/>
      <c r="E347" s="10"/>
      <c r="F347" s="11"/>
      <c r="G347" s="10"/>
      <c r="H347" s="10"/>
      <c r="I347" s="10"/>
      <c r="J347" s="10"/>
      <c r="K347" s="10"/>
      <c r="L347" s="10"/>
      <c r="M347" s="10"/>
      <c r="N347" s="10"/>
      <c r="O347" s="10"/>
      <c r="P347" s="10"/>
      <c r="Q347" s="10"/>
      <c r="R347" s="10"/>
      <c r="S347" s="10"/>
      <c r="T347" s="10"/>
      <c r="U347" s="10"/>
      <c r="V347" s="10"/>
      <c r="W347" s="10"/>
      <c r="X347" s="10"/>
      <c r="Y347" s="10"/>
      <c r="Z347" s="10"/>
    </row>
    <row r="348" spans="1:26" ht="20" customHeight="1" x14ac:dyDescent="0.15">
      <c r="A348" s="8"/>
      <c r="B348" s="9"/>
      <c r="C348" s="17"/>
      <c r="D348" s="10"/>
      <c r="E348" s="10"/>
      <c r="F348" s="11"/>
      <c r="G348" s="10"/>
      <c r="H348" s="10"/>
      <c r="I348" s="10"/>
      <c r="J348" s="10"/>
      <c r="K348" s="10"/>
      <c r="L348" s="10"/>
      <c r="M348" s="10"/>
      <c r="N348" s="10"/>
      <c r="O348" s="10"/>
      <c r="P348" s="10"/>
      <c r="Q348" s="10"/>
      <c r="R348" s="10"/>
      <c r="S348" s="10"/>
      <c r="T348" s="10"/>
      <c r="U348" s="10"/>
      <c r="V348" s="10"/>
      <c r="W348" s="10"/>
      <c r="X348" s="10"/>
      <c r="Y348" s="10"/>
      <c r="Z348" s="10"/>
    </row>
    <row r="349" spans="1:26" ht="20" customHeight="1" x14ac:dyDescent="0.15">
      <c r="A349" s="8"/>
      <c r="B349" s="9"/>
      <c r="C349" s="17"/>
      <c r="D349" s="10"/>
      <c r="E349" s="10"/>
      <c r="F349" s="11"/>
      <c r="G349" s="10"/>
      <c r="H349" s="10"/>
      <c r="I349" s="10"/>
      <c r="J349" s="10"/>
      <c r="K349" s="10"/>
      <c r="L349" s="10"/>
      <c r="M349" s="10"/>
      <c r="N349" s="10"/>
      <c r="O349" s="10"/>
      <c r="P349" s="10"/>
      <c r="Q349" s="10"/>
      <c r="R349" s="10"/>
      <c r="S349" s="10"/>
      <c r="T349" s="10"/>
      <c r="U349" s="10"/>
      <c r="V349" s="10"/>
      <c r="W349" s="10"/>
      <c r="X349" s="10"/>
      <c r="Y349" s="10"/>
      <c r="Z349" s="10"/>
    </row>
    <row r="350" spans="1:26" ht="20" customHeight="1" x14ac:dyDescent="0.15">
      <c r="A350" s="8"/>
      <c r="B350" s="9"/>
      <c r="C350" s="17"/>
      <c r="D350" s="10"/>
      <c r="E350" s="10"/>
      <c r="F350" s="11"/>
      <c r="G350" s="10"/>
      <c r="H350" s="10"/>
      <c r="I350" s="10"/>
      <c r="J350" s="10"/>
      <c r="K350" s="10"/>
      <c r="L350" s="10"/>
      <c r="M350" s="10"/>
      <c r="N350" s="10"/>
      <c r="O350" s="10"/>
      <c r="P350" s="10"/>
      <c r="Q350" s="10"/>
      <c r="R350" s="10"/>
      <c r="S350" s="10"/>
      <c r="T350" s="10"/>
      <c r="U350" s="10"/>
      <c r="V350" s="10"/>
      <c r="W350" s="10"/>
      <c r="X350" s="10"/>
      <c r="Y350" s="10"/>
      <c r="Z350" s="10"/>
    </row>
    <row r="351" spans="1:26" ht="20" customHeight="1" x14ac:dyDescent="0.15">
      <c r="A351" s="8"/>
      <c r="B351" s="9"/>
      <c r="C351" s="17"/>
      <c r="D351" s="10"/>
      <c r="E351" s="10"/>
      <c r="F351" s="11"/>
      <c r="G351" s="10"/>
      <c r="H351" s="10"/>
      <c r="I351" s="10"/>
      <c r="J351" s="10"/>
      <c r="K351" s="10"/>
      <c r="L351" s="10"/>
      <c r="M351" s="10"/>
      <c r="N351" s="10"/>
      <c r="O351" s="10"/>
      <c r="P351" s="10"/>
      <c r="Q351" s="10"/>
      <c r="R351" s="10"/>
      <c r="S351" s="10"/>
      <c r="T351" s="10"/>
      <c r="U351" s="10"/>
      <c r="V351" s="10"/>
      <c r="W351" s="10"/>
      <c r="X351" s="10"/>
      <c r="Y351" s="10"/>
      <c r="Z351" s="10"/>
    </row>
    <row r="352" spans="1:26" ht="20" customHeight="1" x14ac:dyDescent="0.15">
      <c r="A352" s="8"/>
      <c r="B352" s="9"/>
      <c r="C352" s="17"/>
      <c r="D352" s="10"/>
      <c r="E352" s="10"/>
      <c r="F352" s="11"/>
      <c r="G352" s="10"/>
      <c r="H352" s="10"/>
      <c r="I352" s="10"/>
      <c r="J352" s="10"/>
      <c r="K352" s="10"/>
      <c r="L352" s="10"/>
      <c r="M352" s="10"/>
      <c r="N352" s="10"/>
      <c r="O352" s="10"/>
      <c r="P352" s="10"/>
      <c r="Q352" s="10"/>
      <c r="R352" s="10"/>
      <c r="S352" s="10"/>
      <c r="T352" s="10"/>
      <c r="U352" s="10"/>
      <c r="V352" s="10"/>
      <c r="W352" s="10"/>
      <c r="X352" s="10"/>
      <c r="Y352" s="10"/>
      <c r="Z352" s="10"/>
    </row>
    <row r="353" spans="1:26" ht="20" customHeight="1" x14ac:dyDescent="0.15">
      <c r="A353" s="8"/>
      <c r="B353" s="9"/>
      <c r="C353" s="17"/>
      <c r="D353" s="10"/>
      <c r="E353" s="10"/>
      <c r="F353" s="11"/>
      <c r="G353" s="10"/>
      <c r="H353" s="10"/>
      <c r="I353" s="10"/>
      <c r="J353" s="10"/>
      <c r="K353" s="10"/>
      <c r="L353" s="10"/>
      <c r="M353" s="10"/>
      <c r="N353" s="10"/>
      <c r="O353" s="10"/>
      <c r="P353" s="10"/>
      <c r="Q353" s="10"/>
      <c r="R353" s="10"/>
      <c r="S353" s="10"/>
      <c r="T353" s="10"/>
      <c r="U353" s="10"/>
      <c r="V353" s="10"/>
      <c r="W353" s="10"/>
      <c r="X353" s="10"/>
      <c r="Y353" s="10"/>
      <c r="Z353" s="10"/>
    </row>
    <row r="354" spans="1:26" ht="20" customHeight="1" x14ac:dyDescent="0.15">
      <c r="A354" s="8"/>
      <c r="B354" s="9"/>
      <c r="C354" s="17"/>
      <c r="D354" s="10"/>
      <c r="E354" s="10"/>
      <c r="F354" s="11"/>
      <c r="G354" s="10"/>
      <c r="H354" s="10"/>
      <c r="I354" s="10"/>
      <c r="J354" s="10"/>
      <c r="K354" s="10"/>
      <c r="L354" s="10"/>
      <c r="M354" s="10"/>
      <c r="N354" s="10"/>
      <c r="O354" s="10"/>
      <c r="P354" s="10"/>
      <c r="Q354" s="10"/>
      <c r="R354" s="10"/>
      <c r="S354" s="10"/>
      <c r="T354" s="10"/>
      <c r="U354" s="10"/>
      <c r="V354" s="10"/>
      <c r="W354" s="10"/>
      <c r="X354" s="10"/>
      <c r="Y354" s="10"/>
      <c r="Z354" s="10"/>
    </row>
    <row r="355" spans="1:26" ht="20" customHeight="1" x14ac:dyDescent="0.15">
      <c r="A355" s="8"/>
      <c r="B355" s="9"/>
      <c r="C355" s="17"/>
      <c r="D355" s="10"/>
      <c r="E355" s="10"/>
      <c r="F355" s="11"/>
      <c r="G355" s="10"/>
      <c r="H355" s="10"/>
      <c r="I355" s="10"/>
      <c r="J355" s="10"/>
      <c r="K355" s="10"/>
      <c r="L355" s="10"/>
      <c r="M355" s="10"/>
      <c r="N355" s="10"/>
      <c r="O355" s="10"/>
      <c r="P355" s="10"/>
      <c r="Q355" s="10"/>
      <c r="R355" s="10"/>
      <c r="S355" s="10"/>
      <c r="T355" s="10"/>
      <c r="U355" s="10"/>
      <c r="V355" s="10"/>
      <c r="W355" s="10"/>
      <c r="X355" s="10"/>
      <c r="Y355" s="10"/>
      <c r="Z355" s="10"/>
    </row>
    <row r="356" spans="1:26" ht="20" customHeight="1" x14ac:dyDescent="0.15">
      <c r="A356" s="8"/>
      <c r="B356" s="9"/>
      <c r="C356" s="17"/>
      <c r="D356" s="10"/>
      <c r="E356" s="10"/>
      <c r="F356" s="11"/>
      <c r="G356" s="10"/>
      <c r="H356" s="10"/>
      <c r="I356" s="10"/>
      <c r="J356" s="10"/>
      <c r="K356" s="10"/>
      <c r="L356" s="10"/>
      <c r="M356" s="10"/>
      <c r="N356" s="10"/>
      <c r="O356" s="10"/>
      <c r="P356" s="10"/>
      <c r="Q356" s="10"/>
      <c r="R356" s="10"/>
      <c r="S356" s="10"/>
      <c r="T356" s="10"/>
      <c r="U356" s="10"/>
      <c r="V356" s="10"/>
      <c r="W356" s="10"/>
      <c r="X356" s="10"/>
      <c r="Y356" s="10"/>
      <c r="Z356" s="10"/>
    </row>
    <row r="357" spans="1:26" ht="20" customHeight="1" x14ac:dyDescent="0.15">
      <c r="A357" s="8"/>
      <c r="B357" s="9"/>
      <c r="C357" s="17"/>
      <c r="D357" s="10"/>
      <c r="E357" s="10"/>
      <c r="F357" s="11"/>
      <c r="G357" s="10"/>
      <c r="H357" s="10"/>
      <c r="I357" s="10"/>
      <c r="J357" s="10"/>
      <c r="K357" s="10"/>
      <c r="L357" s="10"/>
      <c r="M357" s="10"/>
      <c r="N357" s="10"/>
      <c r="O357" s="10"/>
      <c r="P357" s="10"/>
      <c r="Q357" s="10"/>
      <c r="R357" s="10"/>
      <c r="S357" s="10"/>
      <c r="T357" s="10"/>
      <c r="U357" s="10"/>
      <c r="V357" s="10"/>
      <c r="W357" s="10"/>
      <c r="X357" s="10"/>
      <c r="Y357" s="10"/>
      <c r="Z357" s="10"/>
    </row>
    <row r="358" spans="1:26" ht="20" customHeight="1" x14ac:dyDescent="0.15">
      <c r="A358" s="8"/>
      <c r="B358" s="9"/>
      <c r="C358" s="17"/>
      <c r="D358" s="10"/>
      <c r="E358" s="10"/>
      <c r="F358" s="11"/>
      <c r="G358" s="10"/>
      <c r="H358" s="10"/>
      <c r="I358" s="10"/>
      <c r="J358" s="10"/>
      <c r="K358" s="10"/>
      <c r="L358" s="10"/>
      <c r="M358" s="10"/>
      <c r="N358" s="10"/>
      <c r="O358" s="10"/>
      <c r="P358" s="10"/>
      <c r="Q358" s="10"/>
      <c r="R358" s="10"/>
      <c r="S358" s="10"/>
      <c r="T358" s="10"/>
      <c r="U358" s="10"/>
      <c r="V358" s="10"/>
      <c r="W358" s="10"/>
      <c r="X358" s="10"/>
      <c r="Y358" s="10"/>
      <c r="Z358" s="10"/>
    </row>
    <row r="359" spans="1:26" ht="20" customHeight="1" x14ac:dyDescent="0.15">
      <c r="A359" s="8"/>
      <c r="B359" s="9"/>
      <c r="C359" s="17"/>
      <c r="D359" s="10"/>
      <c r="E359" s="10"/>
      <c r="F359" s="11"/>
      <c r="G359" s="10"/>
      <c r="H359" s="10"/>
      <c r="I359" s="10"/>
      <c r="J359" s="10"/>
      <c r="K359" s="10"/>
      <c r="L359" s="10"/>
      <c r="M359" s="10"/>
      <c r="N359" s="10"/>
      <c r="O359" s="10"/>
      <c r="P359" s="10"/>
      <c r="Q359" s="10"/>
      <c r="R359" s="10"/>
      <c r="S359" s="10"/>
      <c r="T359" s="10"/>
      <c r="U359" s="10"/>
      <c r="V359" s="10"/>
      <c r="W359" s="10"/>
      <c r="X359" s="10"/>
      <c r="Y359" s="10"/>
      <c r="Z359" s="10"/>
    </row>
    <row r="360" spans="1:26" ht="20" customHeight="1" x14ac:dyDescent="0.15">
      <c r="A360" s="8"/>
      <c r="B360" s="9"/>
      <c r="C360" s="17"/>
      <c r="D360" s="10"/>
      <c r="E360" s="10"/>
      <c r="F360" s="11"/>
      <c r="G360" s="10"/>
      <c r="H360" s="10"/>
      <c r="I360" s="10"/>
      <c r="J360" s="10"/>
      <c r="K360" s="10"/>
      <c r="L360" s="10"/>
      <c r="M360" s="10"/>
      <c r="N360" s="10"/>
      <c r="O360" s="10"/>
      <c r="P360" s="10"/>
      <c r="Q360" s="10"/>
      <c r="R360" s="10"/>
      <c r="S360" s="10"/>
      <c r="T360" s="10"/>
      <c r="U360" s="10"/>
      <c r="V360" s="10"/>
      <c r="W360" s="10"/>
      <c r="X360" s="10"/>
      <c r="Y360" s="10"/>
      <c r="Z360" s="10"/>
    </row>
    <row r="361" spans="1:26" ht="20" customHeight="1" x14ac:dyDescent="0.15">
      <c r="A361" s="8"/>
      <c r="B361" s="9"/>
      <c r="C361" s="17"/>
      <c r="D361" s="10"/>
      <c r="E361" s="10"/>
      <c r="F361" s="11"/>
      <c r="G361" s="10"/>
      <c r="H361" s="10"/>
      <c r="I361" s="10"/>
      <c r="J361" s="10"/>
      <c r="K361" s="10"/>
      <c r="L361" s="10"/>
      <c r="M361" s="10"/>
      <c r="N361" s="10"/>
      <c r="O361" s="10"/>
      <c r="P361" s="10"/>
      <c r="Q361" s="10"/>
      <c r="R361" s="10"/>
      <c r="S361" s="10"/>
      <c r="T361" s="10"/>
      <c r="U361" s="10"/>
      <c r="V361" s="10"/>
      <c r="W361" s="10"/>
      <c r="X361" s="10"/>
      <c r="Y361" s="10"/>
      <c r="Z361" s="10"/>
    </row>
    <row r="362" spans="1:26" ht="20" customHeight="1" x14ac:dyDescent="0.15">
      <c r="A362" s="8"/>
      <c r="B362" s="9"/>
      <c r="C362" s="17"/>
      <c r="D362" s="10"/>
      <c r="E362" s="10"/>
      <c r="F362" s="11"/>
      <c r="G362" s="10"/>
      <c r="H362" s="10"/>
      <c r="I362" s="10"/>
      <c r="J362" s="10"/>
      <c r="K362" s="10"/>
      <c r="L362" s="10"/>
      <c r="M362" s="10"/>
      <c r="N362" s="10"/>
      <c r="O362" s="10"/>
      <c r="P362" s="10"/>
      <c r="Q362" s="10"/>
      <c r="R362" s="10"/>
      <c r="S362" s="10"/>
      <c r="T362" s="10"/>
      <c r="U362" s="10"/>
      <c r="V362" s="10"/>
      <c r="W362" s="10"/>
      <c r="X362" s="10"/>
      <c r="Y362" s="10"/>
      <c r="Z362" s="10"/>
    </row>
    <row r="363" spans="1:26" ht="20" customHeight="1" x14ac:dyDescent="0.15">
      <c r="A363" s="8"/>
      <c r="B363" s="9"/>
      <c r="C363" s="17"/>
      <c r="D363" s="10"/>
      <c r="E363" s="10"/>
      <c r="F363" s="11"/>
      <c r="G363" s="10"/>
      <c r="H363" s="10"/>
      <c r="I363" s="10"/>
      <c r="J363" s="10"/>
      <c r="K363" s="10"/>
      <c r="L363" s="10"/>
      <c r="M363" s="10"/>
      <c r="N363" s="10"/>
      <c r="O363" s="10"/>
      <c r="P363" s="10"/>
      <c r="Q363" s="10"/>
      <c r="R363" s="10"/>
      <c r="S363" s="10"/>
      <c r="T363" s="10"/>
      <c r="U363" s="10"/>
      <c r="V363" s="10"/>
      <c r="W363" s="10"/>
      <c r="X363" s="10"/>
      <c r="Y363" s="10"/>
      <c r="Z363" s="10"/>
    </row>
    <row r="364" spans="1:26" ht="20" customHeight="1" x14ac:dyDescent="0.15">
      <c r="A364" s="8"/>
      <c r="B364" s="9"/>
      <c r="C364" s="17"/>
      <c r="D364" s="10"/>
      <c r="E364" s="10"/>
      <c r="F364" s="11"/>
      <c r="G364" s="10"/>
      <c r="H364" s="10"/>
      <c r="I364" s="10"/>
      <c r="J364" s="10"/>
      <c r="K364" s="10"/>
      <c r="L364" s="10"/>
      <c r="M364" s="10"/>
      <c r="N364" s="10"/>
      <c r="O364" s="10"/>
      <c r="P364" s="10"/>
      <c r="Q364" s="10"/>
      <c r="R364" s="10"/>
      <c r="S364" s="10"/>
      <c r="T364" s="10"/>
      <c r="U364" s="10"/>
      <c r="V364" s="10"/>
      <c r="W364" s="10"/>
      <c r="X364" s="10"/>
      <c r="Y364" s="10"/>
      <c r="Z364" s="10"/>
    </row>
    <row r="365" spans="1:26" ht="20" customHeight="1" x14ac:dyDescent="0.15">
      <c r="A365" s="8"/>
      <c r="B365" s="9"/>
      <c r="C365" s="17"/>
      <c r="D365" s="10"/>
      <c r="E365" s="10"/>
      <c r="F365" s="11"/>
      <c r="G365" s="10"/>
      <c r="H365" s="10"/>
      <c r="I365" s="10"/>
      <c r="J365" s="10"/>
      <c r="K365" s="10"/>
      <c r="L365" s="10"/>
      <c r="M365" s="10"/>
      <c r="N365" s="10"/>
      <c r="O365" s="10"/>
      <c r="P365" s="10"/>
      <c r="Q365" s="10"/>
      <c r="R365" s="10"/>
      <c r="S365" s="10"/>
      <c r="T365" s="10"/>
      <c r="U365" s="10"/>
      <c r="V365" s="10"/>
      <c r="W365" s="10"/>
      <c r="X365" s="10"/>
      <c r="Y365" s="10"/>
      <c r="Z365" s="10"/>
    </row>
    <row r="366" spans="1:26" ht="20" customHeight="1" x14ac:dyDescent="0.15">
      <c r="A366" s="8"/>
      <c r="B366" s="9"/>
      <c r="C366" s="17"/>
      <c r="D366" s="10"/>
      <c r="E366" s="10"/>
      <c r="F366" s="11"/>
      <c r="G366" s="10"/>
      <c r="H366" s="10"/>
      <c r="I366" s="10"/>
      <c r="J366" s="10"/>
      <c r="K366" s="10"/>
      <c r="L366" s="10"/>
      <c r="M366" s="10"/>
      <c r="N366" s="10"/>
      <c r="O366" s="10"/>
      <c r="P366" s="10"/>
      <c r="Q366" s="10"/>
      <c r="R366" s="10"/>
      <c r="S366" s="10"/>
      <c r="T366" s="10"/>
      <c r="U366" s="10"/>
      <c r="V366" s="10"/>
      <c r="W366" s="10"/>
      <c r="X366" s="10"/>
      <c r="Y366" s="10"/>
      <c r="Z366" s="10"/>
    </row>
    <row r="367" spans="1:26" ht="20" customHeight="1" x14ac:dyDescent="0.15">
      <c r="A367" s="8"/>
      <c r="B367" s="9"/>
      <c r="C367" s="17"/>
      <c r="D367" s="10"/>
      <c r="E367" s="10"/>
      <c r="F367" s="11"/>
      <c r="G367" s="10"/>
      <c r="H367" s="10"/>
      <c r="I367" s="10"/>
      <c r="J367" s="10"/>
      <c r="K367" s="10"/>
      <c r="L367" s="10"/>
      <c r="M367" s="10"/>
      <c r="N367" s="10"/>
      <c r="O367" s="10"/>
      <c r="P367" s="10"/>
      <c r="Q367" s="10"/>
      <c r="R367" s="10"/>
      <c r="S367" s="10"/>
      <c r="T367" s="10"/>
      <c r="U367" s="10"/>
      <c r="V367" s="10"/>
      <c r="W367" s="10"/>
      <c r="X367" s="10"/>
      <c r="Y367" s="10"/>
      <c r="Z367" s="10"/>
    </row>
    <row r="368" spans="1:26" ht="20" customHeight="1" x14ac:dyDescent="0.15">
      <c r="A368" s="8"/>
      <c r="B368" s="9"/>
      <c r="C368" s="17"/>
      <c r="D368" s="10"/>
      <c r="E368" s="10"/>
      <c r="F368" s="11"/>
      <c r="G368" s="10"/>
      <c r="H368" s="10"/>
      <c r="I368" s="10"/>
      <c r="J368" s="10"/>
      <c r="K368" s="10"/>
      <c r="L368" s="10"/>
      <c r="M368" s="10"/>
      <c r="N368" s="10"/>
      <c r="O368" s="10"/>
      <c r="P368" s="10"/>
      <c r="Q368" s="10"/>
      <c r="R368" s="10"/>
      <c r="S368" s="10"/>
      <c r="T368" s="10"/>
      <c r="U368" s="10"/>
      <c r="V368" s="10"/>
      <c r="W368" s="10"/>
      <c r="X368" s="10"/>
      <c r="Y368" s="10"/>
      <c r="Z368" s="10"/>
    </row>
    <row r="369" spans="1:26" ht="20" customHeight="1" x14ac:dyDescent="0.15">
      <c r="A369" s="8"/>
      <c r="B369" s="9"/>
      <c r="C369" s="17"/>
      <c r="D369" s="10"/>
      <c r="E369" s="10"/>
      <c r="F369" s="11"/>
      <c r="G369" s="10"/>
      <c r="H369" s="10"/>
      <c r="I369" s="10"/>
      <c r="J369" s="10"/>
      <c r="K369" s="10"/>
      <c r="L369" s="10"/>
      <c r="M369" s="10"/>
      <c r="N369" s="10"/>
      <c r="O369" s="10"/>
      <c r="P369" s="10"/>
      <c r="Q369" s="10"/>
      <c r="R369" s="10"/>
      <c r="S369" s="10"/>
      <c r="T369" s="10"/>
      <c r="U369" s="10"/>
      <c r="V369" s="10"/>
      <c r="W369" s="10"/>
      <c r="X369" s="10"/>
      <c r="Y369" s="10"/>
      <c r="Z369" s="10"/>
    </row>
    <row r="370" spans="1:26" ht="20" customHeight="1" x14ac:dyDescent="0.15">
      <c r="A370" s="8"/>
      <c r="B370" s="9"/>
      <c r="C370" s="17"/>
      <c r="D370" s="10"/>
      <c r="E370" s="10"/>
      <c r="F370" s="11"/>
      <c r="G370" s="10"/>
      <c r="H370" s="10"/>
      <c r="I370" s="10"/>
      <c r="J370" s="10"/>
      <c r="K370" s="10"/>
      <c r="L370" s="10"/>
      <c r="M370" s="10"/>
      <c r="N370" s="10"/>
      <c r="O370" s="10"/>
      <c r="P370" s="10"/>
      <c r="Q370" s="10"/>
      <c r="R370" s="10"/>
      <c r="S370" s="10"/>
      <c r="T370" s="10"/>
      <c r="U370" s="10"/>
      <c r="V370" s="10"/>
      <c r="W370" s="10"/>
      <c r="X370" s="10"/>
      <c r="Y370" s="10"/>
      <c r="Z370" s="10"/>
    </row>
    <row r="371" spans="1:26" ht="20" customHeight="1" x14ac:dyDescent="0.15">
      <c r="A371" s="8"/>
      <c r="B371" s="9"/>
      <c r="C371" s="17"/>
      <c r="D371" s="10"/>
      <c r="E371" s="10"/>
      <c r="F371" s="11"/>
      <c r="G371" s="10"/>
      <c r="H371" s="10"/>
      <c r="I371" s="10"/>
      <c r="J371" s="10"/>
      <c r="K371" s="10"/>
      <c r="L371" s="10"/>
      <c r="M371" s="10"/>
      <c r="N371" s="10"/>
      <c r="O371" s="10"/>
      <c r="P371" s="10"/>
      <c r="Q371" s="10"/>
      <c r="R371" s="10"/>
      <c r="S371" s="10"/>
      <c r="T371" s="10"/>
      <c r="U371" s="10"/>
      <c r="V371" s="10"/>
      <c r="W371" s="10"/>
      <c r="X371" s="10"/>
      <c r="Y371" s="10"/>
      <c r="Z371" s="10"/>
    </row>
    <row r="372" spans="1:26" ht="20" customHeight="1" x14ac:dyDescent="0.15">
      <c r="A372" s="8"/>
      <c r="B372" s="9"/>
      <c r="C372" s="17"/>
      <c r="D372" s="10"/>
      <c r="E372" s="10"/>
      <c r="F372" s="11"/>
      <c r="G372" s="10"/>
      <c r="H372" s="10"/>
      <c r="I372" s="10"/>
      <c r="J372" s="10"/>
      <c r="K372" s="10"/>
      <c r="L372" s="10"/>
      <c r="M372" s="10"/>
      <c r="N372" s="10"/>
      <c r="O372" s="10"/>
      <c r="P372" s="10"/>
      <c r="Q372" s="10"/>
      <c r="R372" s="10"/>
      <c r="S372" s="10"/>
      <c r="T372" s="10"/>
      <c r="U372" s="10"/>
      <c r="V372" s="10"/>
      <c r="W372" s="10"/>
      <c r="X372" s="10"/>
      <c r="Y372" s="10"/>
      <c r="Z372" s="10"/>
    </row>
    <row r="373" spans="1:26" ht="20" customHeight="1" x14ac:dyDescent="0.15">
      <c r="A373" s="8"/>
      <c r="B373" s="9"/>
      <c r="C373" s="17"/>
      <c r="D373" s="10"/>
      <c r="E373" s="10"/>
      <c r="F373" s="11"/>
      <c r="G373" s="10"/>
      <c r="H373" s="10"/>
      <c r="I373" s="10"/>
      <c r="J373" s="10"/>
      <c r="K373" s="10"/>
      <c r="L373" s="10"/>
      <c r="M373" s="10"/>
      <c r="N373" s="10"/>
      <c r="O373" s="10"/>
      <c r="P373" s="10"/>
      <c r="Q373" s="10"/>
      <c r="R373" s="10"/>
      <c r="S373" s="10"/>
      <c r="T373" s="10"/>
      <c r="U373" s="10"/>
      <c r="V373" s="10"/>
      <c r="W373" s="10"/>
      <c r="X373" s="10"/>
      <c r="Y373" s="10"/>
      <c r="Z373" s="10"/>
    </row>
    <row r="374" spans="1:26" ht="20" customHeight="1" x14ac:dyDescent="0.15">
      <c r="A374" s="8"/>
      <c r="B374" s="9"/>
      <c r="C374" s="17"/>
      <c r="D374" s="10"/>
      <c r="E374" s="10"/>
      <c r="F374" s="11"/>
      <c r="G374" s="10"/>
      <c r="H374" s="10"/>
      <c r="I374" s="10"/>
      <c r="J374" s="10"/>
      <c r="K374" s="10"/>
      <c r="L374" s="10"/>
      <c r="M374" s="10"/>
      <c r="N374" s="10"/>
      <c r="O374" s="10"/>
      <c r="P374" s="10"/>
      <c r="Q374" s="10"/>
      <c r="R374" s="10"/>
      <c r="S374" s="10"/>
      <c r="T374" s="10"/>
      <c r="U374" s="10"/>
      <c r="V374" s="10"/>
      <c r="W374" s="10"/>
      <c r="X374" s="10"/>
      <c r="Y374" s="10"/>
      <c r="Z374" s="10"/>
    </row>
    <row r="375" spans="1:26" ht="20" customHeight="1" x14ac:dyDescent="0.15">
      <c r="A375" s="8"/>
      <c r="B375" s="9"/>
      <c r="C375" s="17"/>
      <c r="D375" s="10"/>
      <c r="E375" s="10"/>
      <c r="F375" s="11"/>
      <c r="G375" s="10"/>
      <c r="H375" s="10"/>
      <c r="I375" s="10"/>
      <c r="J375" s="10"/>
      <c r="K375" s="10"/>
      <c r="L375" s="10"/>
      <c r="M375" s="10"/>
      <c r="N375" s="10"/>
      <c r="O375" s="10"/>
      <c r="P375" s="10"/>
      <c r="Q375" s="10"/>
      <c r="R375" s="10"/>
      <c r="S375" s="10"/>
      <c r="T375" s="10"/>
      <c r="U375" s="10"/>
      <c r="V375" s="10"/>
      <c r="W375" s="10"/>
      <c r="X375" s="10"/>
      <c r="Y375" s="10"/>
      <c r="Z375" s="10"/>
    </row>
    <row r="376" spans="1:26" ht="20" customHeight="1" x14ac:dyDescent="0.15">
      <c r="A376" s="8"/>
      <c r="B376" s="9"/>
      <c r="C376" s="17"/>
      <c r="D376" s="10"/>
      <c r="E376" s="10"/>
      <c r="F376" s="11"/>
      <c r="G376" s="10"/>
      <c r="H376" s="10"/>
      <c r="I376" s="10"/>
      <c r="J376" s="10"/>
      <c r="K376" s="10"/>
      <c r="L376" s="10"/>
      <c r="M376" s="10"/>
      <c r="N376" s="10"/>
      <c r="O376" s="10"/>
      <c r="P376" s="10"/>
      <c r="Q376" s="10"/>
      <c r="R376" s="10"/>
      <c r="S376" s="10"/>
      <c r="T376" s="10"/>
      <c r="U376" s="10"/>
      <c r="V376" s="10"/>
      <c r="W376" s="10"/>
      <c r="X376" s="10"/>
      <c r="Y376" s="10"/>
      <c r="Z376" s="10"/>
    </row>
    <row r="377" spans="1:26" ht="20" customHeight="1" x14ac:dyDescent="0.15">
      <c r="A377" s="8"/>
      <c r="B377" s="9"/>
      <c r="C377" s="17"/>
      <c r="D377" s="10"/>
      <c r="E377" s="10"/>
      <c r="F377" s="11"/>
      <c r="G377" s="10"/>
      <c r="H377" s="10"/>
      <c r="I377" s="10"/>
      <c r="J377" s="10"/>
      <c r="K377" s="10"/>
      <c r="L377" s="10"/>
      <c r="M377" s="10"/>
      <c r="N377" s="10"/>
      <c r="O377" s="10"/>
      <c r="P377" s="10"/>
      <c r="Q377" s="10"/>
      <c r="R377" s="10"/>
      <c r="S377" s="10"/>
      <c r="T377" s="10"/>
      <c r="U377" s="10"/>
      <c r="V377" s="10"/>
      <c r="W377" s="10"/>
      <c r="X377" s="10"/>
      <c r="Y377" s="10"/>
      <c r="Z377" s="10"/>
    </row>
    <row r="378" spans="1:26" ht="20" customHeight="1" x14ac:dyDescent="0.15">
      <c r="A378" s="8"/>
      <c r="B378" s="9"/>
      <c r="C378" s="17"/>
      <c r="D378" s="10"/>
      <c r="E378" s="10"/>
      <c r="F378" s="11"/>
      <c r="G378" s="10"/>
      <c r="H378" s="10"/>
      <c r="I378" s="10"/>
      <c r="J378" s="10"/>
      <c r="K378" s="10"/>
      <c r="L378" s="10"/>
      <c r="M378" s="10"/>
      <c r="N378" s="10"/>
      <c r="O378" s="10"/>
      <c r="P378" s="10"/>
      <c r="Q378" s="10"/>
      <c r="R378" s="10"/>
      <c r="S378" s="10"/>
      <c r="T378" s="10"/>
      <c r="U378" s="10"/>
      <c r="V378" s="10"/>
      <c r="W378" s="10"/>
      <c r="X378" s="10"/>
      <c r="Y378" s="10"/>
      <c r="Z378" s="10"/>
    </row>
    <row r="379" spans="1:26" ht="20" customHeight="1" x14ac:dyDescent="0.15">
      <c r="A379" s="8"/>
      <c r="B379" s="9"/>
      <c r="C379" s="17"/>
      <c r="D379" s="10"/>
      <c r="E379" s="10"/>
      <c r="F379" s="11"/>
      <c r="G379" s="10"/>
      <c r="H379" s="10"/>
      <c r="I379" s="10"/>
      <c r="J379" s="10"/>
      <c r="K379" s="10"/>
      <c r="L379" s="10"/>
      <c r="M379" s="10"/>
      <c r="N379" s="10"/>
      <c r="O379" s="10"/>
      <c r="P379" s="10"/>
      <c r="Q379" s="10"/>
      <c r="R379" s="10"/>
      <c r="S379" s="10"/>
      <c r="T379" s="10"/>
      <c r="U379" s="10"/>
      <c r="V379" s="10"/>
      <c r="W379" s="10"/>
      <c r="X379" s="10"/>
      <c r="Y379" s="10"/>
      <c r="Z379" s="10"/>
    </row>
    <row r="380" spans="1:26" ht="20" customHeight="1" x14ac:dyDescent="0.15">
      <c r="A380" s="8"/>
      <c r="B380" s="9"/>
      <c r="C380" s="17"/>
      <c r="D380" s="10"/>
      <c r="E380" s="10"/>
      <c r="F380" s="11"/>
      <c r="G380" s="10"/>
      <c r="H380" s="10"/>
      <c r="I380" s="10"/>
      <c r="J380" s="10"/>
      <c r="K380" s="10"/>
      <c r="L380" s="10"/>
      <c r="M380" s="10"/>
      <c r="N380" s="10"/>
      <c r="O380" s="10"/>
      <c r="P380" s="10"/>
      <c r="Q380" s="10"/>
      <c r="R380" s="10"/>
      <c r="S380" s="10"/>
      <c r="T380" s="10"/>
      <c r="U380" s="10"/>
      <c r="V380" s="10"/>
      <c r="W380" s="10"/>
      <c r="X380" s="10"/>
      <c r="Y380" s="10"/>
      <c r="Z380" s="10"/>
    </row>
    <row r="381" spans="1:26" ht="20" customHeight="1" x14ac:dyDescent="0.15">
      <c r="A381" s="8"/>
      <c r="B381" s="9"/>
      <c r="C381" s="17"/>
      <c r="D381" s="10"/>
      <c r="E381" s="10"/>
      <c r="F381" s="11"/>
      <c r="G381" s="10"/>
      <c r="H381" s="10"/>
      <c r="I381" s="10"/>
      <c r="J381" s="10"/>
      <c r="K381" s="10"/>
      <c r="L381" s="10"/>
      <c r="M381" s="10"/>
      <c r="N381" s="10"/>
      <c r="O381" s="10"/>
      <c r="P381" s="10"/>
      <c r="Q381" s="10"/>
      <c r="R381" s="10"/>
      <c r="S381" s="10"/>
      <c r="T381" s="10"/>
      <c r="U381" s="10"/>
      <c r="V381" s="10"/>
      <c r="W381" s="10"/>
      <c r="X381" s="10"/>
      <c r="Y381" s="10"/>
      <c r="Z381" s="10"/>
    </row>
    <row r="382" spans="1:26" ht="20" customHeight="1" x14ac:dyDescent="0.15">
      <c r="A382" s="8"/>
      <c r="B382" s="9"/>
      <c r="C382" s="17"/>
      <c r="D382" s="10"/>
      <c r="E382" s="10"/>
      <c r="F382" s="11"/>
      <c r="G382" s="10"/>
      <c r="H382" s="10"/>
      <c r="I382" s="10"/>
      <c r="J382" s="10"/>
      <c r="K382" s="10"/>
      <c r="L382" s="10"/>
      <c r="M382" s="10"/>
      <c r="N382" s="10"/>
      <c r="O382" s="10"/>
      <c r="P382" s="10"/>
      <c r="Q382" s="10"/>
      <c r="R382" s="10"/>
      <c r="S382" s="10"/>
      <c r="T382" s="10"/>
      <c r="U382" s="10"/>
      <c r="V382" s="10"/>
      <c r="W382" s="10"/>
      <c r="X382" s="10"/>
      <c r="Y382" s="10"/>
      <c r="Z382" s="10"/>
    </row>
    <row r="383" spans="1:26" ht="20" customHeight="1" x14ac:dyDescent="0.15">
      <c r="A383" s="8"/>
      <c r="B383" s="9"/>
      <c r="C383" s="17"/>
      <c r="D383" s="10"/>
      <c r="E383" s="10"/>
      <c r="F383" s="11"/>
      <c r="G383" s="10"/>
      <c r="H383" s="10"/>
      <c r="I383" s="10"/>
      <c r="J383" s="10"/>
      <c r="K383" s="10"/>
      <c r="L383" s="10"/>
      <c r="M383" s="10"/>
      <c r="N383" s="10"/>
      <c r="O383" s="10"/>
      <c r="P383" s="10"/>
      <c r="Q383" s="10"/>
      <c r="R383" s="10"/>
      <c r="S383" s="10"/>
      <c r="T383" s="10"/>
      <c r="U383" s="10"/>
      <c r="V383" s="10"/>
      <c r="W383" s="10"/>
      <c r="X383" s="10"/>
      <c r="Y383" s="10"/>
      <c r="Z383" s="10"/>
    </row>
    <row r="384" spans="1:26" ht="20" customHeight="1" x14ac:dyDescent="0.15">
      <c r="A384" s="8"/>
      <c r="B384" s="9"/>
      <c r="C384" s="17"/>
      <c r="D384" s="10"/>
      <c r="E384" s="10"/>
      <c r="F384" s="11"/>
      <c r="G384" s="10"/>
      <c r="H384" s="10"/>
      <c r="I384" s="10"/>
      <c r="J384" s="10"/>
      <c r="K384" s="10"/>
      <c r="L384" s="10"/>
      <c r="M384" s="10"/>
      <c r="N384" s="10"/>
      <c r="O384" s="10"/>
      <c r="P384" s="10"/>
      <c r="Q384" s="10"/>
      <c r="R384" s="10"/>
      <c r="S384" s="10"/>
      <c r="T384" s="10"/>
      <c r="U384" s="10"/>
      <c r="V384" s="10"/>
      <c r="W384" s="10"/>
      <c r="X384" s="10"/>
      <c r="Y384" s="10"/>
      <c r="Z384" s="10"/>
    </row>
    <row r="385" spans="1:26" ht="20" customHeight="1" x14ac:dyDescent="0.15">
      <c r="A385" s="8"/>
      <c r="B385" s="9"/>
      <c r="C385" s="17"/>
      <c r="D385" s="10"/>
      <c r="E385" s="10"/>
      <c r="F385" s="11"/>
      <c r="G385" s="10"/>
      <c r="H385" s="10"/>
      <c r="I385" s="10"/>
      <c r="J385" s="10"/>
      <c r="K385" s="10"/>
      <c r="L385" s="10"/>
      <c r="M385" s="10"/>
      <c r="N385" s="10"/>
      <c r="O385" s="10"/>
      <c r="P385" s="10"/>
      <c r="Q385" s="10"/>
      <c r="R385" s="10"/>
      <c r="S385" s="10"/>
      <c r="T385" s="10"/>
      <c r="U385" s="10"/>
      <c r="V385" s="10"/>
      <c r="W385" s="10"/>
      <c r="X385" s="10"/>
      <c r="Y385" s="10"/>
      <c r="Z385" s="10"/>
    </row>
    <row r="386" spans="1:26" ht="20" customHeight="1" x14ac:dyDescent="0.15">
      <c r="A386" s="8"/>
      <c r="B386" s="9"/>
      <c r="C386" s="17"/>
      <c r="D386" s="10"/>
      <c r="E386" s="10"/>
      <c r="F386" s="11"/>
      <c r="G386" s="10"/>
      <c r="H386" s="10"/>
      <c r="I386" s="10"/>
      <c r="J386" s="10"/>
      <c r="K386" s="10"/>
      <c r="L386" s="10"/>
      <c r="M386" s="10"/>
      <c r="N386" s="10"/>
      <c r="O386" s="10"/>
      <c r="P386" s="10"/>
      <c r="Q386" s="10"/>
      <c r="R386" s="10"/>
      <c r="S386" s="10"/>
      <c r="T386" s="10"/>
      <c r="U386" s="10"/>
      <c r="V386" s="10"/>
      <c r="W386" s="10"/>
      <c r="X386" s="10"/>
      <c r="Y386" s="10"/>
      <c r="Z386" s="10"/>
    </row>
    <row r="387" spans="1:26" ht="20" customHeight="1" x14ac:dyDescent="0.15">
      <c r="A387" s="8"/>
      <c r="B387" s="9"/>
      <c r="C387" s="17"/>
      <c r="D387" s="10"/>
      <c r="E387" s="10"/>
      <c r="F387" s="11"/>
      <c r="G387" s="10"/>
      <c r="H387" s="10"/>
      <c r="I387" s="10"/>
      <c r="J387" s="10"/>
      <c r="K387" s="10"/>
      <c r="L387" s="10"/>
      <c r="M387" s="10"/>
      <c r="N387" s="10"/>
      <c r="O387" s="10"/>
      <c r="P387" s="10"/>
      <c r="Q387" s="10"/>
      <c r="R387" s="10"/>
      <c r="S387" s="10"/>
      <c r="T387" s="10"/>
      <c r="U387" s="10"/>
      <c r="V387" s="10"/>
      <c r="W387" s="10"/>
      <c r="X387" s="10"/>
      <c r="Y387" s="10"/>
      <c r="Z387" s="10"/>
    </row>
    <row r="388" spans="1:26" ht="20" customHeight="1" x14ac:dyDescent="0.15">
      <c r="A388" s="8"/>
      <c r="B388" s="9"/>
      <c r="C388" s="17"/>
      <c r="D388" s="10"/>
      <c r="E388" s="10"/>
      <c r="F388" s="11"/>
      <c r="G388" s="10"/>
      <c r="H388" s="10"/>
      <c r="I388" s="10"/>
      <c r="J388" s="10"/>
      <c r="K388" s="10"/>
      <c r="L388" s="10"/>
      <c r="M388" s="10"/>
      <c r="N388" s="10"/>
      <c r="O388" s="10"/>
      <c r="P388" s="10"/>
      <c r="Q388" s="10"/>
      <c r="R388" s="10"/>
      <c r="S388" s="10"/>
      <c r="T388" s="10"/>
      <c r="U388" s="10"/>
      <c r="V388" s="10"/>
      <c r="W388" s="10"/>
      <c r="X388" s="10"/>
      <c r="Y388" s="10"/>
      <c r="Z388" s="10"/>
    </row>
    <row r="389" spans="1:26" ht="20" customHeight="1" x14ac:dyDescent="0.15">
      <c r="A389" s="8"/>
      <c r="B389" s="9"/>
      <c r="C389" s="17"/>
      <c r="D389" s="10"/>
      <c r="E389" s="10"/>
      <c r="F389" s="11"/>
      <c r="G389" s="10"/>
      <c r="H389" s="10"/>
      <c r="I389" s="10"/>
      <c r="J389" s="10"/>
      <c r="K389" s="10"/>
      <c r="L389" s="10"/>
      <c r="M389" s="10"/>
      <c r="N389" s="10"/>
      <c r="O389" s="10"/>
      <c r="P389" s="10"/>
      <c r="Q389" s="10"/>
      <c r="R389" s="10"/>
      <c r="S389" s="10"/>
      <c r="T389" s="10"/>
      <c r="U389" s="10"/>
      <c r="V389" s="10"/>
      <c r="W389" s="10"/>
      <c r="X389" s="10"/>
      <c r="Y389" s="10"/>
      <c r="Z389" s="10"/>
    </row>
    <row r="390" spans="1:26" ht="20" customHeight="1" x14ac:dyDescent="0.15">
      <c r="A390" s="8"/>
      <c r="B390" s="9"/>
      <c r="C390" s="17"/>
      <c r="D390" s="10"/>
      <c r="E390" s="10"/>
      <c r="F390" s="11"/>
      <c r="G390" s="10"/>
      <c r="H390" s="10"/>
      <c r="I390" s="10"/>
      <c r="J390" s="10"/>
      <c r="K390" s="10"/>
      <c r="L390" s="10"/>
      <c r="M390" s="10"/>
      <c r="N390" s="10"/>
      <c r="O390" s="10"/>
      <c r="P390" s="10"/>
      <c r="Q390" s="10"/>
      <c r="R390" s="10"/>
      <c r="S390" s="10"/>
      <c r="T390" s="10"/>
      <c r="U390" s="10"/>
      <c r="V390" s="10"/>
      <c r="W390" s="10"/>
      <c r="X390" s="10"/>
      <c r="Y390" s="10"/>
      <c r="Z390" s="10"/>
    </row>
    <row r="391" spans="1:26" ht="20" customHeight="1" x14ac:dyDescent="0.15">
      <c r="A391" s="8"/>
      <c r="B391" s="9"/>
      <c r="C391" s="17"/>
      <c r="D391" s="10"/>
      <c r="E391" s="10"/>
      <c r="F391" s="11"/>
      <c r="G391" s="10"/>
      <c r="H391" s="10"/>
      <c r="I391" s="10"/>
      <c r="J391" s="10"/>
      <c r="K391" s="10"/>
      <c r="L391" s="10"/>
      <c r="M391" s="10"/>
      <c r="N391" s="10"/>
      <c r="O391" s="10"/>
      <c r="P391" s="10"/>
      <c r="Q391" s="10"/>
      <c r="R391" s="10"/>
      <c r="S391" s="10"/>
      <c r="T391" s="10"/>
      <c r="U391" s="10"/>
      <c r="V391" s="10"/>
      <c r="W391" s="10"/>
      <c r="X391" s="10"/>
      <c r="Y391" s="10"/>
      <c r="Z391" s="10"/>
    </row>
    <row r="392" spans="1:26" ht="20" customHeight="1" x14ac:dyDescent="0.15">
      <c r="A392" s="8"/>
      <c r="B392" s="9"/>
      <c r="C392" s="17"/>
      <c r="D392" s="10"/>
      <c r="E392" s="10"/>
      <c r="F392" s="11"/>
      <c r="G392" s="10"/>
      <c r="H392" s="10"/>
      <c r="I392" s="10"/>
      <c r="J392" s="10"/>
      <c r="K392" s="10"/>
      <c r="L392" s="10"/>
      <c r="M392" s="10"/>
      <c r="N392" s="10"/>
      <c r="O392" s="10"/>
      <c r="P392" s="10"/>
      <c r="Q392" s="10"/>
      <c r="R392" s="10"/>
      <c r="S392" s="10"/>
      <c r="T392" s="10"/>
      <c r="U392" s="10"/>
      <c r="V392" s="10"/>
      <c r="W392" s="10"/>
      <c r="X392" s="10"/>
      <c r="Y392" s="10"/>
      <c r="Z392" s="10"/>
    </row>
    <row r="393" spans="1:26" ht="20" customHeight="1" x14ac:dyDescent="0.15">
      <c r="A393" s="8"/>
      <c r="B393" s="9"/>
      <c r="C393" s="17"/>
      <c r="D393" s="10"/>
      <c r="E393" s="10"/>
      <c r="F393" s="11"/>
      <c r="G393" s="10"/>
      <c r="H393" s="10"/>
      <c r="I393" s="10"/>
      <c r="J393" s="10"/>
      <c r="K393" s="10"/>
      <c r="L393" s="10"/>
      <c r="M393" s="10"/>
      <c r="N393" s="10"/>
      <c r="O393" s="10"/>
      <c r="P393" s="10"/>
      <c r="Q393" s="10"/>
      <c r="R393" s="10"/>
      <c r="S393" s="10"/>
      <c r="T393" s="10"/>
      <c r="U393" s="10"/>
      <c r="V393" s="10"/>
      <c r="W393" s="10"/>
      <c r="X393" s="10"/>
      <c r="Y393" s="10"/>
      <c r="Z393" s="10"/>
    </row>
    <row r="394" spans="1:26" ht="20" customHeight="1" x14ac:dyDescent="0.15">
      <c r="A394" s="8"/>
      <c r="B394" s="9"/>
      <c r="C394" s="17"/>
      <c r="D394" s="10"/>
      <c r="E394" s="10"/>
      <c r="F394" s="11"/>
      <c r="G394" s="10"/>
      <c r="H394" s="10"/>
      <c r="I394" s="10"/>
      <c r="J394" s="10"/>
      <c r="K394" s="10"/>
      <c r="L394" s="10"/>
      <c r="M394" s="10"/>
      <c r="N394" s="10"/>
      <c r="O394" s="10"/>
      <c r="P394" s="10"/>
      <c r="Q394" s="10"/>
      <c r="R394" s="10"/>
      <c r="S394" s="10"/>
      <c r="T394" s="10"/>
      <c r="U394" s="10"/>
      <c r="V394" s="10"/>
      <c r="W394" s="10"/>
      <c r="X394" s="10"/>
      <c r="Y394" s="10"/>
      <c r="Z394" s="10"/>
    </row>
    <row r="395" spans="1:26" ht="20" customHeight="1" x14ac:dyDescent="0.15">
      <c r="A395" s="8"/>
      <c r="B395" s="9"/>
      <c r="C395" s="17"/>
      <c r="D395" s="10"/>
      <c r="E395" s="10"/>
      <c r="F395" s="11"/>
      <c r="G395" s="10"/>
      <c r="H395" s="10"/>
      <c r="I395" s="10"/>
      <c r="J395" s="10"/>
      <c r="K395" s="10"/>
      <c r="L395" s="10"/>
      <c r="M395" s="10"/>
      <c r="N395" s="10"/>
      <c r="O395" s="10"/>
      <c r="P395" s="10"/>
      <c r="Q395" s="10"/>
      <c r="R395" s="10"/>
      <c r="S395" s="10"/>
      <c r="T395" s="10"/>
      <c r="U395" s="10"/>
      <c r="V395" s="10"/>
      <c r="W395" s="10"/>
      <c r="X395" s="10"/>
      <c r="Y395" s="10"/>
      <c r="Z395" s="10"/>
    </row>
    <row r="396" spans="1:26" ht="20" customHeight="1" x14ac:dyDescent="0.15">
      <c r="A396" s="8"/>
      <c r="B396" s="9"/>
      <c r="C396" s="17"/>
      <c r="D396" s="10"/>
      <c r="E396" s="10"/>
      <c r="F396" s="11"/>
      <c r="G396" s="10"/>
      <c r="H396" s="10"/>
      <c r="I396" s="10"/>
      <c r="J396" s="10"/>
      <c r="K396" s="10"/>
      <c r="L396" s="10"/>
      <c r="M396" s="10"/>
      <c r="N396" s="10"/>
      <c r="O396" s="10"/>
      <c r="P396" s="10"/>
      <c r="Q396" s="10"/>
      <c r="R396" s="10"/>
      <c r="S396" s="10"/>
      <c r="T396" s="10"/>
      <c r="U396" s="10"/>
      <c r="V396" s="10"/>
      <c r="W396" s="10"/>
      <c r="X396" s="10"/>
      <c r="Y396" s="10"/>
      <c r="Z396" s="10"/>
    </row>
    <row r="397" spans="1:26" ht="20" customHeight="1" x14ac:dyDescent="0.15">
      <c r="A397" s="8"/>
      <c r="B397" s="9"/>
      <c r="C397" s="17"/>
      <c r="D397" s="10"/>
      <c r="E397" s="10"/>
      <c r="F397" s="11"/>
      <c r="G397" s="10"/>
      <c r="H397" s="10"/>
      <c r="I397" s="10"/>
      <c r="J397" s="10"/>
      <c r="K397" s="10"/>
      <c r="L397" s="10"/>
      <c r="M397" s="10"/>
      <c r="N397" s="10"/>
      <c r="O397" s="10"/>
      <c r="P397" s="10"/>
      <c r="Q397" s="10"/>
      <c r="R397" s="10"/>
      <c r="S397" s="10"/>
      <c r="T397" s="10"/>
      <c r="U397" s="10"/>
      <c r="V397" s="10"/>
      <c r="W397" s="10"/>
      <c r="X397" s="10"/>
      <c r="Y397" s="10"/>
      <c r="Z397" s="10"/>
    </row>
    <row r="398" spans="1:26" ht="20" customHeight="1" x14ac:dyDescent="0.15">
      <c r="A398" s="8"/>
      <c r="B398" s="9"/>
      <c r="C398" s="17"/>
      <c r="D398" s="10"/>
      <c r="E398" s="10"/>
      <c r="F398" s="11"/>
      <c r="G398" s="10"/>
      <c r="H398" s="10"/>
      <c r="I398" s="10"/>
      <c r="J398" s="10"/>
      <c r="K398" s="10"/>
      <c r="L398" s="10"/>
      <c r="M398" s="10"/>
      <c r="N398" s="10"/>
      <c r="O398" s="10"/>
      <c r="P398" s="10"/>
      <c r="Q398" s="10"/>
      <c r="R398" s="10"/>
      <c r="S398" s="10"/>
      <c r="T398" s="10"/>
      <c r="U398" s="10"/>
      <c r="V398" s="10"/>
      <c r="W398" s="10"/>
      <c r="X398" s="10"/>
      <c r="Y398" s="10"/>
      <c r="Z398" s="10"/>
    </row>
    <row r="399" spans="1:26" ht="20" customHeight="1" x14ac:dyDescent="0.15">
      <c r="A399" s="8"/>
      <c r="B399" s="9"/>
      <c r="C399" s="17"/>
      <c r="D399" s="10"/>
      <c r="E399" s="10"/>
      <c r="F399" s="11"/>
      <c r="G399" s="10"/>
      <c r="H399" s="10"/>
      <c r="I399" s="10"/>
      <c r="J399" s="10"/>
      <c r="K399" s="10"/>
      <c r="L399" s="10"/>
      <c r="M399" s="10"/>
      <c r="N399" s="10"/>
      <c r="O399" s="10"/>
      <c r="P399" s="10"/>
      <c r="Q399" s="10"/>
      <c r="R399" s="10"/>
      <c r="S399" s="10"/>
      <c r="T399" s="10"/>
      <c r="U399" s="10"/>
      <c r="V399" s="10"/>
      <c r="W399" s="10"/>
      <c r="X399" s="10"/>
      <c r="Y399" s="10"/>
      <c r="Z399" s="10"/>
    </row>
    <row r="400" spans="1:26" ht="20" customHeight="1" x14ac:dyDescent="0.15">
      <c r="A400" s="8"/>
      <c r="B400" s="9"/>
      <c r="C400" s="17"/>
      <c r="D400" s="10"/>
      <c r="E400" s="10"/>
      <c r="F400" s="11"/>
      <c r="G400" s="10"/>
      <c r="H400" s="10"/>
      <c r="I400" s="10"/>
      <c r="J400" s="10"/>
      <c r="K400" s="10"/>
      <c r="L400" s="10"/>
      <c r="M400" s="10"/>
      <c r="N400" s="10"/>
      <c r="O400" s="10"/>
      <c r="P400" s="10"/>
      <c r="Q400" s="10"/>
      <c r="R400" s="10"/>
      <c r="S400" s="10"/>
      <c r="T400" s="10"/>
      <c r="U400" s="10"/>
      <c r="V400" s="10"/>
      <c r="W400" s="10"/>
      <c r="X400" s="10"/>
      <c r="Y400" s="10"/>
      <c r="Z400" s="10"/>
    </row>
    <row r="401" spans="1:26" ht="20" customHeight="1" x14ac:dyDescent="0.15">
      <c r="A401" s="8"/>
      <c r="B401" s="9"/>
      <c r="C401" s="17"/>
      <c r="D401" s="10"/>
      <c r="E401" s="10"/>
      <c r="F401" s="11"/>
      <c r="G401" s="10"/>
      <c r="H401" s="10"/>
      <c r="I401" s="10"/>
      <c r="J401" s="10"/>
      <c r="K401" s="10"/>
      <c r="L401" s="10"/>
      <c r="M401" s="10"/>
      <c r="N401" s="10"/>
      <c r="O401" s="10"/>
      <c r="P401" s="10"/>
      <c r="Q401" s="10"/>
      <c r="R401" s="10"/>
      <c r="S401" s="10"/>
      <c r="T401" s="10"/>
      <c r="U401" s="10"/>
      <c r="V401" s="10"/>
      <c r="W401" s="10"/>
      <c r="X401" s="10"/>
      <c r="Y401" s="10"/>
      <c r="Z401" s="10"/>
    </row>
    <row r="402" spans="1:26" ht="20" customHeight="1" x14ac:dyDescent="0.15">
      <c r="A402" s="8"/>
      <c r="B402" s="9"/>
      <c r="C402" s="17"/>
      <c r="D402" s="10"/>
      <c r="E402" s="10"/>
      <c r="F402" s="11"/>
      <c r="G402" s="10"/>
      <c r="H402" s="10"/>
      <c r="I402" s="10"/>
      <c r="J402" s="10"/>
      <c r="K402" s="10"/>
      <c r="L402" s="10"/>
      <c r="M402" s="10"/>
      <c r="N402" s="10"/>
      <c r="O402" s="10"/>
      <c r="P402" s="10"/>
      <c r="Q402" s="10"/>
      <c r="R402" s="10"/>
      <c r="S402" s="10"/>
      <c r="T402" s="10"/>
      <c r="U402" s="10"/>
      <c r="V402" s="10"/>
      <c r="W402" s="10"/>
      <c r="X402" s="10"/>
      <c r="Y402" s="10"/>
      <c r="Z402" s="10"/>
    </row>
    <row r="403" spans="1:26" ht="20" customHeight="1" x14ac:dyDescent="0.15">
      <c r="A403" s="8"/>
      <c r="B403" s="9"/>
      <c r="C403" s="17"/>
      <c r="D403" s="10"/>
      <c r="E403" s="10"/>
      <c r="F403" s="11"/>
      <c r="G403" s="10"/>
      <c r="H403" s="10"/>
      <c r="I403" s="10"/>
      <c r="J403" s="10"/>
      <c r="K403" s="10"/>
      <c r="L403" s="10"/>
      <c r="M403" s="10"/>
      <c r="N403" s="10"/>
      <c r="O403" s="10"/>
      <c r="P403" s="10"/>
      <c r="Q403" s="10"/>
      <c r="R403" s="10"/>
      <c r="S403" s="10"/>
      <c r="T403" s="10"/>
      <c r="U403" s="10"/>
      <c r="V403" s="10"/>
      <c r="W403" s="10"/>
      <c r="X403" s="10"/>
      <c r="Y403" s="10"/>
      <c r="Z403" s="10"/>
    </row>
    <row r="404" spans="1:26" ht="20" customHeight="1" x14ac:dyDescent="0.15">
      <c r="A404" s="8"/>
      <c r="B404" s="9"/>
      <c r="C404" s="17"/>
      <c r="D404" s="10"/>
      <c r="E404" s="10"/>
      <c r="F404" s="11"/>
      <c r="G404" s="10"/>
      <c r="H404" s="10"/>
      <c r="I404" s="10"/>
      <c r="J404" s="10"/>
      <c r="K404" s="10"/>
      <c r="L404" s="10"/>
      <c r="M404" s="10"/>
      <c r="N404" s="10"/>
      <c r="O404" s="10"/>
      <c r="P404" s="10"/>
      <c r="Q404" s="10"/>
      <c r="R404" s="10"/>
      <c r="S404" s="10"/>
      <c r="T404" s="10"/>
      <c r="U404" s="10"/>
      <c r="V404" s="10"/>
      <c r="W404" s="10"/>
      <c r="X404" s="10"/>
      <c r="Y404" s="10"/>
      <c r="Z404" s="10"/>
    </row>
    <row r="405" spans="1:26" ht="20" customHeight="1" x14ac:dyDescent="0.15">
      <c r="A405" s="8"/>
      <c r="B405" s="9"/>
      <c r="C405" s="17"/>
      <c r="D405" s="10"/>
      <c r="E405" s="10"/>
      <c r="F405" s="11"/>
      <c r="G405" s="10"/>
      <c r="H405" s="10"/>
      <c r="I405" s="10"/>
      <c r="J405" s="10"/>
      <c r="K405" s="10"/>
      <c r="L405" s="10"/>
      <c r="M405" s="10"/>
      <c r="N405" s="10"/>
      <c r="O405" s="10"/>
      <c r="P405" s="10"/>
      <c r="Q405" s="10"/>
      <c r="R405" s="10"/>
      <c r="S405" s="10"/>
      <c r="T405" s="10"/>
      <c r="U405" s="10"/>
      <c r="V405" s="10"/>
      <c r="W405" s="10"/>
      <c r="X405" s="10"/>
      <c r="Y405" s="10"/>
      <c r="Z405" s="10"/>
    </row>
    <row r="406" spans="1:26" ht="20" customHeight="1" x14ac:dyDescent="0.15">
      <c r="A406" s="8"/>
      <c r="B406" s="9"/>
      <c r="C406" s="17"/>
      <c r="D406" s="10"/>
      <c r="E406" s="10"/>
      <c r="F406" s="11"/>
      <c r="G406" s="10"/>
      <c r="H406" s="10"/>
      <c r="I406" s="10"/>
      <c r="J406" s="10"/>
      <c r="K406" s="10"/>
      <c r="L406" s="10"/>
      <c r="M406" s="10"/>
      <c r="N406" s="10"/>
      <c r="O406" s="10"/>
      <c r="P406" s="10"/>
      <c r="Q406" s="10"/>
      <c r="R406" s="10"/>
      <c r="S406" s="10"/>
      <c r="T406" s="10"/>
      <c r="U406" s="10"/>
      <c r="V406" s="10"/>
      <c r="W406" s="10"/>
      <c r="X406" s="10"/>
      <c r="Y406" s="10"/>
      <c r="Z406" s="10"/>
    </row>
    <row r="407" spans="1:26" ht="20" customHeight="1" x14ac:dyDescent="0.15">
      <c r="A407" s="8"/>
      <c r="B407" s="9"/>
      <c r="C407" s="17"/>
      <c r="D407" s="10"/>
      <c r="E407" s="10"/>
      <c r="F407" s="11"/>
      <c r="G407" s="10"/>
      <c r="H407" s="10"/>
      <c r="I407" s="10"/>
      <c r="J407" s="10"/>
      <c r="K407" s="10"/>
      <c r="L407" s="10"/>
      <c r="M407" s="10"/>
      <c r="N407" s="10"/>
      <c r="O407" s="10"/>
      <c r="P407" s="10"/>
      <c r="Q407" s="10"/>
      <c r="R407" s="10"/>
      <c r="S407" s="10"/>
      <c r="T407" s="10"/>
      <c r="U407" s="10"/>
      <c r="V407" s="10"/>
      <c r="W407" s="10"/>
      <c r="X407" s="10"/>
      <c r="Y407" s="10"/>
      <c r="Z407" s="10"/>
    </row>
    <row r="408" spans="1:26" ht="20" customHeight="1" x14ac:dyDescent="0.15">
      <c r="A408" s="8"/>
      <c r="B408" s="9"/>
      <c r="C408" s="17"/>
      <c r="D408" s="10"/>
      <c r="E408" s="10"/>
      <c r="F408" s="11"/>
      <c r="G408" s="10"/>
      <c r="H408" s="10"/>
      <c r="I408" s="10"/>
      <c r="J408" s="10"/>
      <c r="K408" s="10"/>
      <c r="L408" s="10"/>
      <c r="M408" s="10"/>
      <c r="N408" s="10"/>
      <c r="O408" s="10"/>
      <c r="P408" s="10"/>
      <c r="Q408" s="10"/>
      <c r="R408" s="10"/>
      <c r="S408" s="10"/>
      <c r="T408" s="10"/>
      <c r="U408" s="10"/>
      <c r="V408" s="10"/>
      <c r="W408" s="10"/>
      <c r="X408" s="10"/>
      <c r="Y408" s="10"/>
      <c r="Z408" s="10"/>
    </row>
    <row r="409" spans="1:26" ht="20" customHeight="1" x14ac:dyDescent="0.15">
      <c r="A409" s="8"/>
      <c r="B409" s="9"/>
      <c r="C409" s="17"/>
      <c r="D409" s="10"/>
      <c r="E409" s="10"/>
      <c r="F409" s="11"/>
      <c r="G409" s="10"/>
      <c r="H409" s="10"/>
      <c r="I409" s="10"/>
      <c r="J409" s="10"/>
      <c r="K409" s="10"/>
      <c r="L409" s="10"/>
      <c r="M409" s="10"/>
      <c r="N409" s="10"/>
      <c r="O409" s="10"/>
      <c r="P409" s="10"/>
      <c r="Q409" s="10"/>
      <c r="R409" s="10"/>
      <c r="S409" s="10"/>
      <c r="T409" s="10"/>
      <c r="U409" s="10"/>
      <c r="V409" s="10"/>
      <c r="W409" s="10"/>
      <c r="X409" s="10"/>
      <c r="Y409" s="10"/>
      <c r="Z409" s="10"/>
    </row>
    <row r="410" spans="1:26" ht="20" customHeight="1" x14ac:dyDescent="0.15">
      <c r="A410" s="8"/>
      <c r="B410" s="9"/>
      <c r="C410" s="17"/>
      <c r="D410" s="10"/>
      <c r="E410" s="10"/>
      <c r="F410" s="11"/>
      <c r="G410" s="10"/>
      <c r="H410" s="10"/>
      <c r="I410" s="10"/>
      <c r="J410" s="10"/>
      <c r="K410" s="10"/>
      <c r="L410" s="10"/>
      <c r="M410" s="10"/>
      <c r="N410" s="10"/>
      <c r="O410" s="10"/>
      <c r="P410" s="10"/>
      <c r="Q410" s="10"/>
      <c r="R410" s="10"/>
      <c r="S410" s="10"/>
      <c r="T410" s="10"/>
      <c r="U410" s="10"/>
      <c r="V410" s="10"/>
      <c r="W410" s="10"/>
      <c r="X410" s="10"/>
      <c r="Y410" s="10"/>
      <c r="Z410" s="10"/>
    </row>
    <row r="411" spans="1:26" ht="20" customHeight="1" x14ac:dyDescent="0.15">
      <c r="A411" s="8"/>
      <c r="B411" s="9"/>
      <c r="C411" s="17"/>
      <c r="D411" s="10"/>
      <c r="E411" s="10"/>
      <c r="F411" s="11"/>
      <c r="G411" s="10"/>
      <c r="H411" s="10"/>
      <c r="I411" s="10"/>
      <c r="J411" s="10"/>
      <c r="K411" s="10"/>
      <c r="L411" s="10"/>
      <c r="M411" s="10"/>
      <c r="N411" s="10"/>
      <c r="O411" s="10"/>
      <c r="P411" s="10"/>
      <c r="Q411" s="10"/>
      <c r="R411" s="10"/>
      <c r="S411" s="10"/>
      <c r="T411" s="10"/>
      <c r="U411" s="10"/>
      <c r="V411" s="10"/>
      <c r="W411" s="10"/>
      <c r="X411" s="10"/>
      <c r="Y411" s="10"/>
      <c r="Z411" s="10"/>
    </row>
    <row r="412" spans="1:26" ht="20" customHeight="1" x14ac:dyDescent="0.15">
      <c r="A412" s="8"/>
      <c r="B412" s="9"/>
      <c r="C412" s="17"/>
      <c r="D412" s="10"/>
      <c r="E412" s="10"/>
      <c r="F412" s="11"/>
      <c r="G412" s="10"/>
      <c r="H412" s="10"/>
      <c r="I412" s="10"/>
      <c r="J412" s="10"/>
      <c r="K412" s="10"/>
      <c r="L412" s="10"/>
      <c r="M412" s="10"/>
      <c r="N412" s="10"/>
      <c r="O412" s="10"/>
      <c r="P412" s="10"/>
      <c r="Q412" s="10"/>
      <c r="R412" s="10"/>
      <c r="S412" s="10"/>
      <c r="T412" s="10"/>
      <c r="U412" s="10"/>
      <c r="V412" s="10"/>
      <c r="W412" s="10"/>
      <c r="X412" s="10"/>
      <c r="Y412" s="10"/>
      <c r="Z412" s="10"/>
    </row>
    <row r="413" spans="1:26" ht="20" customHeight="1" x14ac:dyDescent="0.15">
      <c r="A413" s="8"/>
      <c r="B413" s="9"/>
      <c r="C413" s="17"/>
      <c r="D413" s="10"/>
      <c r="E413" s="10"/>
      <c r="F413" s="11"/>
      <c r="G413" s="10"/>
      <c r="H413" s="10"/>
      <c r="I413" s="10"/>
      <c r="J413" s="10"/>
      <c r="K413" s="10"/>
      <c r="L413" s="10"/>
      <c r="M413" s="10"/>
      <c r="N413" s="10"/>
      <c r="O413" s="10"/>
      <c r="P413" s="10"/>
      <c r="Q413" s="10"/>
      <c r="R413" s="10"/>
      <c r="S413" s="10"/>
      <c r="T413" s="10"/>
      <c r="U413" s="10"/>
      <c r="V413" s="10"/>
      <c r="W413" s="10"/>
      <c r="X413" s="10"/>
      <c r="Y413" s="10"/>
      <c r="Z413" s="10"/>
    </row>
    <row r="414" spans="1:26" ht="20" customHeight="1" x14ac:dyDescent="0.15">
      <c r="A414" s="8"/>
      <c r="B414" s="9"/>
      <c r="C414" s="17"/>
      <c r="D414" s="10"/>
      <c r="E414" s="10"/>
      <c r="F414" s="11"/>
      <c r="G414" s="10"/>
      <c r="H414" s="10"/>
      <c r="I414" s="10"/>
      <c r="J414" s="10"/>
      <c r="K414" s="10"/>
      <c r="L414" s="10"/>
      <c r="M414" s="10"/>
      <c r="N414" s="10"/>
      <c r="O414" s="10"/>
      <c r="P414" s="10"/>
      <c r="Q414" s="10"/>
      <c r="R414" s="10"/>
      <c r="S414" s="10"/>
      <c r="T414" s="10"/>
      <c r="U414" s="10"/>
      <c r="V414" s="10"/>
      <c r="W414" s="10"/>
      <c r="X414" s="10"/>
      <c r="Y414" s="10"/>
      <c r="Z414" s="10"/>
    </row>
    <row r="415" spans="1:26" ht="20" customHeight="1" x14ac:dyDescent="0.15">
      <c r="A415" s="8"/>
      <c r="B415" s="9"/>
      <c r="C415" s="17"/>
      <c r="D415" s="10"/>
      <c r="E415" s="10"/>
      <c r="F415" s="11"/>
      <c r="G415" s="10"/>
      <c r="H415" s="10"/>
      <c r="I415" s="10"/>
      <c r="J415" s="10"/>
      <c r="K415" s="10"/>
      <c r="L415" s="10"/>
      <c r="M415" s="10"/>
      <c r="N415" s="10"/>
      <c r="O415" s="10"/>
      <c r="P415" s="10"/>
      <c r="Q415" s="10"/>
      <c r="R415" s="10"/>
      <c r="S415" s="10"/>
      <c r="T415" s="10"/>
      <c r="U415" s="10"/>
      <c r="V415" s="10"/>
      <c r="W415" s="10"/>
      <c r="X415" s="10"/>
      <c r="Y415" s="10"/>
      <c r="Z415" s="10"/>
    </row>
    <row r="416" spans="1:26" ht="20" customHeight="1" x14ac:dyDescent="0.15">
      <c r="A416" s="8"/>
      <c r="B416" s="9"/>
      <c r="C416" s="17"/>
      <c r="D416" s="10"/>
      <c r="E416" s="10"/>
      <c r="F416" s="11"/>
      <c r="G416" s="10"/>
      <c r="H416" s="10"/>
      <c r="I416" s="10"/>
      <c r="J416" s="10"/>
      <c r="K416" s="10"/>
      <c r="L416" s="10"/>
      <c r="M416" s="10"/>
      <c r="N416" s="10"/>
      <c r="O416" s="10"/>
      <c r="P416" s="10"/>
      <c r="Q416" s="10"/>
      <c r="R416" s="10"/>
      <c r="S416" s="10"/>
      <c r="T416" s="10"/>
      <c r="U416" s="10"/>
      <c r="V416" s="10"/>
      <c r="W416" s="10"/>
      <c r="X416" s="10"/>
      <c r="Y416" s="10"/>
      <c r="Z416" s="10"/>
    </row>
    <row r="417" spans="1:26" ht="20" customHeight="1" x14ac:dyDescent="0.15">
      <c r="A417" s="8"/>
      <c r="B417" s="9"/>
      <c r="C417" s="17"/>
      <c r="D417" s="10"/>
      <c r="E417" s="10"/>
      <c r="F417" s="11"/>
      <c r="G417" s="10"/>
      <c r="H417" s="10"/>
      <c r="I417" s="10"/>
      <c r="J417" s="10"/>
      <c r="K417" s="10"/>
      <c r="L417" s="10"/>
      <c r="M417" s="10"/>
      <c r="N417" s="10"/>
      <c r="O417" s="10"/>
      <c r="P417" s="10"/>
      <c r="Q417" s="10"/>
      <c r="R417" s="10"/>
      <c r="S417" s="10"/>
      <c r="T417" s="10"/>
      <c r="U417" s="10"/>
      <c r="V417" s="10"/>
      <c r="W417" s="10"/>
      <c r="X417" s="10"/>
      <c r="Y417" s="10"/>
      <c r="Z417" s="10"/>
    </row>
    <row r="418" spans="1:26" ht="20" customHeight="1" x14ac:dyDescent="0.15">
      <c r="A418" s="8"/>
      <c r="B418" s="9"/>
      <c r="C418" s="17"/>
      <c r="D418" s="10"/>
      <c r="E418" s="10"/>
      <c r="F418" s="11"/>
      <c r="G418" s="10"/>
      <c r="H418" s="10"/>
      <c r="I418" s="10"/>
      <c r="J418" s="10"/>
      <c r="K418" s="10"/>
      <c r="L418" s="10"/>
      <c r="M418" s="10"/>
      <c r="N418" s="10"/>
      <c r="O418" s="10"/>
      <c r="P418" s="10"/>
      <c r="Q418" s="10"/>
      <c r="R418" s="10"/>
      <c r="S418" s="10"/>
      <c r="T418" s="10"/>
      <c r="U418" s="10"/>
      <c r="V418" s="10"/>
      <c r="W418" s="10"/>
      <c r="X418" s="10"/>
      <c r="Y418" s="10"/>
      <c r="Z418" s="10"/>
    </row>
    <row r="419" spans="1:26" ht="20" customHeight="1" x14ac:dyDescent="0.15">
      <c r="A419" s="8"/>
      <c r="B419" s="9"/>
      <c r="C419" s="17"/>
      <c r="D419" s="10"/>
      <c r="E419" s="10"/>
      <c r="F419" s="11"/>
      <c r="G419" s="10"/>
      <c r="H419" s="10"/>
      <c r="I419" s="10"/>
      <c r="J419" s="10"/>
      <c r="K419" s="10"/>
      <c r="L419" s="10"/>
      <c r="M419" s="10"/>
      <c r="N419" s="10"/>
      <c r="O419" s="10"/>
      <c r="P419" s="10"/>
      <c r="Q419" s="10"/>
      <c r="R419" s="10"/>
      <c r="S419" s="10"/>
      <c r="T419" s="10"/>
      <c r="U419" s="10"/>
      <c r="V419" s="10"/>
      <c r="W419" s="10"/>
      <c r="X419" s="10"/>
      <c r="Y419" s="10"/>
      <c r="Z419" s="10"/>
    </row>
    <row r="420" spans="1:26" ht="20" customHeight="1" x14ac:dyDescent="0.15">
      <c r="A420" s="8"/>
      <c r="B420" s="9"/>
      <c r="C420" s="17"/>
      <c r="D420" s="10"/>
      <c r="E420" s="10"/>
      <c r="F420" s="11"/>
      <c r="G420" s="10"/>
      <c r="H420" s="10"/>
      <c r="I420" s="10"/>
      <c r="J420" s="10"/>
      <c r="K420" s="10"/>
      <c r="L420" s="10"/>
      <c r="M420" s="10"/>
      <c r="N420" s="10"/>
      <c r="O420" s="10"/>
      <c r="P420" s="10"/>
      <c r="Q420" s="10"/>
      <c r="R420" s="10"/>
      <c r="S420" s="10"/>
      <c r="T420" s="10"/>
      <c r="U420" s="10"/>
      <c r="V420" s="10"/>
      <c r="W420" s="10"/>
      <c r="X420" s="10"/>
      <c r="Y420" s="10"/>
      <c r="Z420" s="10"/>
    </row>
    <row r="421" spans="1:26" ht="20" customHeight="1" x14ac:dyDescent="0.15">
      <c r="A421" s="8"/>
      <c r="B421" s="9"/>
      <c r="C421" s="17"/>
      <c r="D421" s="10"/>
      <c r="E421" s="10"/>
      <c r="F421" s="11"/>
      <c r="G421" s="10"/>
      <c r="H421" s="10"/>
      <c r="I421" s="10"/>
      <c r="J421" s="10"/>
      <c r="K421" s="10"/>
      <c r="L421" s="10"/>
      <c r="M421" s="10"/>
      <c r="N421" s="10"/>
      <c r="O421" s="10"/>
      <c r="P421" s="10"/>
      <c r="Q421" s="10"/>
      <c r="R421" s="10"/>
      <c r="S421" s="10"/>
      <c r="T421" s="10"/>
      <c r="U421" s="10"/>
      <c r="V421" s="10"/>
      <c r="W421" s="10"/>
      <c r="X421" s="10"/>
      <c r="Y421" s="10"/>
      <c r="Z421" s="10"/>
    </row>
    <row r="422" spans="1:26" ht="20" customHeight="1" x14ac:dyDescent="0.15">
      <c r="A422" s="8"/>
      <c r="B422" s="9"/>
      <c r="C422" s="17"/>
      <c r="D422" s="10"/>
      <c r="E422" s="10"/>
      <c r="F422" s="11"/>
      <c r="G422" s="10"/>
      <c r="H422" s="10"/>
      <c r="I422" s="10"/>
      <c r="J422" s="10"/>
      <c r="K422" s="10"/>
      <c r="L422" s="10"/>
      <c r="M422" s="10"/>
      <c r="N422" s="10"/>
      <c r="O422" s="10"/>
      <c r="P422" s="10"/>
      <c r="Q422" s="10"/>
      <c r="R422" s="10"/>
      <c r="S422" s="10"/>
      <c r="T422" s="10"/>
      <c r="U422" s="10"/>
      <c r="V422" s="10"/>
      <c r="W422" s="10"/>
      <c r="X422" s="10"/>
      <c r="Y422" s="10"/>
      <c r="Z422" s="10"/>
    </row>
    <row r="423" spans="1:26" ht="20" customHeight="1" x14ac:dyDescent="0.15">
      <c r="A423" s="8"/>
      <c r="B423" s="9"/>
      <c r="C423" s="17"/>
      <c r="D423" s="10"/>
      <c r="E423" s="10"/>
      <c r="F423" s="11"/>
      <c r="G423" s="10"/>
      <c r="H423" s="10"/>
      <c r="I423" s="10"/>
      <c r="J423" s="10"/>
      <c r="K423" s="10"/>
      <c r="L423" s="10"/>
      <c r="M423" s="10"/>
      <c r="N423" s="10"/>
      <c r="O423" s="10"/>
      <c r="P423" s="10"/>
      <c r="Q423" s="10"/>
      <c r="R423" s="10"/>
      <c r="S423" s="10"/>
      <c r="T423" s="10"/>
      <c r="U423" s="10"/>
      <c r="V423" s="10"/>
      <c r="W423" s="10"/>
      <c r="X423" s="10"/>
      <c r="Y423" s="10"/>
      <c r="Z423" s="10"/>
    </row>
    <row r="424" spans="1:26" ht="20" customHeight="1" x14ac:dyDescent="0.15">
      <c r="A424" s="8"/>
      <c r="B424" s="9"/>
      <c r="C424" s="17"/>
      <c r="D424" s="10"/>
      <c r="E424" s="10"/>
      <c r="F424" s="11"/>
      <c r="G424" s="10"/>
      <c r="H424" s="10"/>
      <c r="I424" s="10"/>
      <c r="J424" s="10"/>
      <c r="K424" s="10"/>
      <c r="L424" s="10"/>
      <c r="M424" s="10"/>
      <c r="N424" s="10"/>
      <c r="O424" s="10"/>
      <c r="P424" s="10"/>
      <c r="Q424" s="10"/>
      <c r="R424" s="10"/>
      <c r="S424" s="10"/>
      <c r="T424" s="10"/>
      <c r="U424" s="10"/>
      <c r="V424" s="10"/>
      <c r="W424" s="10"/>
      <c r="X424" s="10"/>
      <c r="Y424" s="10"/>
      <c r="Z424" s="10"/>
    </row>
    <row r="425" spans="1:26" ht="20" customHeight="1" x14ac:dyDescent="0.15">
      <c r="A425" s="8"/>
      <c r="B425" s="9"/>
      <c r="C425" s="17"/>
      <c r="D425" s="10"/>
      <c r="E425" s="10"/>
      <c r="F425" s="11"/>
      <c r="G425" s="10"/>
      <c r="H425" s="10"/>
      <c r="I425" s="10"/>
      <c r="J425" s="10"/>
      <c r="K425" s="10"/>
      <c r="L425" s="10"/>
      <c r="M425" s="10"/>
      <c r="N425" s="10"/>
      <c r="O425" s="10"/>
      <c r="P425" s="10"/>
      <c r="Q425" s="10"/>
      <c r="R425" s="10"/>
      <c r="S425" s="10"/>
      <c r="T425" s="10"/>
      <c r="U425" s="10"/>
      <c r="V425" s="10"/>
      <c r="W425" s="10"/>
      <c r="X425" s="10"/>
      <c r="Y425" s="10"/>
      <c r="Z425" s="10"/>
    </row>
    <row r="426" spans="1:26" ht="20" customHeight="1" x14ac:dyDescent="0.15">
      <c r="A426" s="8"/>
      <c r="B426" s="9"/>
      <c r="C426" s="17"/>
      <c r="D426" s="10"/>
      <c r="E426" s="10"/>
      <c r="F426" s="11"/>
      <c r="G426" s="10"/>
      <c r="H426" s="10"/>
      <c r="I426" s="10"/>
      <c r="J426" s="10"/>
      <c r="K426" s="10"/>
      <c r="L426" s="10"/>
      <c r="M426" s="10"/>
      <c r="N426" s="10"/>
      <c r="O426" s="10"/>
      <c r="P426" s="10"/>
      <c r="Q426" s="10"/>
      <c r="R426" s="10"/>
      <c r="S426" s="10"/>
      <c r="T426" s="10"/>
      <c r="U426" s="10"/>
      <c r="V426" s="10"/>
      <c r="W426" s="10"/>
      <c r="X426" s="10"/>
      <c r="Y426" s="10"/>
      <c r="Z426" s="10"/>
    </row>
    <row r="427" spans="1:26" ht="20" customHeight="1" x14ac:dyDescent="0.15">
      <c r="A427" s="8"/>
      <c r="B427" s="9"/>
      <c r="C427" s="17"/>
      <c r="D427" s="10"/>
      <c r="E427" s="10"/>
      <c r="F427" s="11"/>
      <c r="G427" s="10"/>
      <c r="H427" s="10"/>
      <c r="I427" s="10"/>
      <c r="J427" s="10"/>
      <c r="K427" s="10"/>
      <c r="L427" s="10"/>
      <c r="M427" s="10"/>
      <c r="N427" s="10"/>
      <c r="O427" s="10"/>
      <c r="P427" s="10"/>
      <c r="Q427" s="10"/>
      <c r="R427" s="10"/>
      <c r="S427" s="10"/>
      <c r="T427" s="10"/>
      <c r="U427" s="10"/>
      <c r="V427" s="10"/>
      <c r="W427" s="10"/>
      <c r="X427" s="10"/>
      <c r="Y427" s="10"/>
      <c r="Z427" s="10"/>
    </row>
    <row r="428" spans="1:26" ht="20" customHeight="1" x14ac:dyDescent="0.15">
      <c r="A428" s="8"/>
      <c r="B428" s="9"/>
      <c r="C428" s="17"/>
      <c r="D428" s="10"/>
      <c r="E428" s="10"/>
      <c r="F428" s="11"/>
      <c r="G428" s="10"/>
      <c r="H428" s="10"/>
      <c r="I428" s="10"/>
      <c r="J428" s="10"/>
      <c r="K428" s="10"/>
      <c r="L428" s="10"/>
      <c r="M428" s="10"/>
      <c r="N428" s="10"/>
      <c r="O428" s="10"/>
      <c r="P428" s="10"/>
      <c r="Q428" s="10"/>
      <c r="R428" s="10"/>
      <c r="S428" s="10"/>
      <c r="T428" s="10"/>
      <c r="U428" s="10"/>
      <c r="V428" s="10"/>
      <c r="W428" s="10"/>
      <c r="X428" s="10"/>
      <c r="Y428" s="10"/>
      <c r="Z428" s="10"/>
    </row>
    <row r="429" spans="1:26" ht="20" customHeight="1" x14ac:dyDescent="0.15">
      <c r="A429" s="8"/>
      <c r="B429" s="9"/>
      <c r="C429" s="17"/>
      <c r="D429" s="10"/>
      <c r="E429" s="10"/>
      <c r="F429" s="11"/>
      <c r="G429" s="10"/>
      <c r="H429" s="10"/>
      <c r="I429" s="10"/>
      <c r="J429" s="10"/>
      <c r="K429" s="10"/>
      <c r="L429" s="10"/>
      <c r="M429" s="10"/>
      <c r="N429" s="10"/>
      <c r="O429" s="10"/>
      <c r="P429" s="10"/>
      <c r="Q429" s="10"/>
      <c r="R429" s="10"/>
      <c r="S429" s="10"/>
      <c r="T429" s="10"/>
      <c r="U429" s="10"/>
      <c r="V429" s="10"/>
      <c r="W429" s="10"/>
      <c r="X429" s="10"/>
      <c r="Y429" s="10"/>
      <c r="Z429" s="10"/>
    </row>
    <row r="430" spans="1:26" ht="20" customHeight="1" x14ac:dyDescent="0.15">
      <c r="A430" s="8"/>
      <c r="B430" s="9"/>
      <c r="C430" s="17"/>
      <c r="D430" s="10"/>
      <c r="E430" s="10"/>
      <c r="F430" s="11"/>
      <c r="G430" s="10"/>
      <c r="H430" s="10"/>
      <c r="I430" s="10"/>
      <c r="J430" s="10"/>
      <c r="K430" s="10"/>
      <c r="L430" s="10"/>
      <c r="M430" s="10"/>
      <c r="N430" s="10"/>
      <c r="O430" s="10"/>
      <c r="P430" s="10"/>
      <c r="Q430" s="10"/>
      <c r="R430" s="10"/>
      <c r="S430" s="10"/>
      <c r="T430" s="10"/>
      <c r="U430" s="10"/>
      <c r="V430" s="10"/>
      <c r="W430" s="10"/>
      <c r="X430" s="10"/>
      <c r="Y430" s="10"/>
      <c r="Z430" s="10"/>
    </row>
    <row r="431" spans="1:26" ht="20" customHeight="1" x14ac:dyDescent="0.15">
      <c r="A431" s="8"/>
      <c r="B431" s="9"/>
      <c r="C431" s="17"/>
      <c r="D431" s="10"/>
      <c r="E431" s="10"/>
      <c r="F431" s="11"/>
      <c r="G431" s="10"/>
      <c r="H431" s="10"/>
      <c r="I431" s="10"/>
      <c r="J431" s="10"/>
      <c r="K431" s="10"/>
      <c r="L431" s="10"/>
      <c r="M431" s="10"/>
      <c r="N431" s="10"/>
      <c r="O431" s="10"/>
      <c r="P431" s="10"/>
      <c r="Q431" s="10"/>
      <c r="R431" s="10"/>
      <c r="S431" s="10"/>
      <c r="T431" s="10"/>
      <c r="U431" s="10"/>
      <c r="V431" s="10"/>
      <c r="W431" s="10"/>
      <c r="X431" s="10"/>
      <c r="Y431" s="10"/>
      <c r="Z431" s="10"/>
    </row>
    <row r="432" spans="1:26" ht="20" customHeight="1" x14ac:dyDescent="0.15">
      <c r="A432" s="8"/>
      <c r="B432" s="9"/>
      <c r="C432" s="17"/>
      <c r="D432" s="10"/>
      <c r="E432" s="10"/>
      <c r="F432" s="11"/>
      <c r="G432" s="10"/>
      <c r="H432" s="10"/>
      <c r="I432" s="10"/>
      <c r="J432" s="10"/>
      <c r="K432" s="10"/>
      <c r="L432" s="10"/>
      <c r="M432" s="10"/>
      <c r="N432" s="10"/>
      <c r="O432" s="10"/>
      <c r="P432" s="10"/>
      <c r="Q432" s="10"/>
      <c r="R432" s="10"/>
      <c r="S432" s="10"/>
      <c r="T432" s="10"/>
      <c r="U432" s="10"/>
      <c r="V432" s="10"/>
      <c r="W432" s="10"/>
      <c r="X432" s="10"/>
      <c r="Y432" s="10"/>
      <c r="Z432" s="10"/>
    </row>
    <row r="433" spans="1:26" ht="20" customHeight="1" x14ac:dyDescent="0.15">
      <c r="A433" s="8"/>
      <c r="B433" s="9"/>
      <c r="C433" s="17"/>
      <c r="D433" s="10"/>
      <c r="E433" s="10"/>
      <c r="F433" s="11"/>
      <c r="G433" s="10"/>
      <c r="H433" s="10"/>
      <c r="I433" s="10"/>
      <c r="J433" s="10"/>
      <c r="K433" s="10"/>
      <c r="L433" s="10"/>
      <c r="M433" s="10"/>
      <c r="N433" s="10"/>
      <c r="O433" s="10"/>
      <c r="P433" s="10"/>
      <c r="Q433" s="10"/>
      <c r="R433" s="10"/>
      <c r="S433" s="10"/>
      <c r="T433" s="10"/>
      <c r="U433" s="10"/>
      <c r="V433" s="10"/>
      <c r="W433" s="10"/>
      <c r="X433" s="10"/>
      <c r="Y433" s="10"/>
      <c r="Z433" s="10"/>
    </row>
    <row r="434" spans="1:26" ht="20" customHeight="1" x14ac:dyDescent="0.15">
      <c r="A434" s="8"/>
      <c r="B434" s="9"/>
      <c r="C434" s="17"/>
      <c r="D434" s="10"/>
      <c r="E434" s="10"/>
      <c r="F434" s="11"/>
      <c r="G434" s="10"/>
      <c r="H434" s="10"/>
      <c r="I434" s="10"/>
      <c r="J434" s="10"/>
      <c r="K434" s="10"/>
      <c r="L434" s="10"/>
      <c r="M434" s="10"/>
      <c r="N434" s="10"/>
      <c r="O434" s="10"/>
      <c r="P434" s="10"/>
      <c r="Q434" s="10"/>
      <c r="R434" s="10"/>
      <c r="S434" s="10"/>
      <c r="T434" s="10"/>
      <c r="U434" s="10"/>
      <c r="V434" s="10"/>
      <c r="W434" s="10"/>
      <c r="X434" s="10"/>
      <c r="Y434" s="10"/>
      <c r="Z434" s="10"/>
    </row>
    <row r="435" spans="1:26" ht="20" customHeight="1" x14ac:dyDescent="0.15">
      <c r="A435" s="8"/>
      <c r="B435" s="9"/>
      <c r="C435" s="17"/>
      <c r="D435" s="10"/>
      <c r="E435" s="10"/>
      <c r="F435" s="11"/>
      <c r="G435" s="10"/>
      <c r="H435" s="10"/>
      <c r="I435" s="10"/>
      <c r="J435" s="10"/>
      <c r="K435" s="10"/>
      <c r="L435" s="10"/>
      <c r="M435" s="10"/>
      <c r="N435" s="10"/>
      <c r="O435" s="10"/>
      <c r="P435" s="10"/>
      <c r="Q435" s="10"/>
      <c r="R435" s="10"/>
      <c r="S435" s="10"/>
      <c r="T435" s="10"/>
      <c r="U435" s="10"/>
      <c r="V435" s="10"/>
      <c r="W435" s="10"/>
      <c r="X435" s="10"/>
      <c r="Y435" s="10"/>
      <c r="Z435" s="10"/>
    </row>
    <row r="436" spans="1:26" ht="20" customHeight="1" x14ac:dyDescent="0.15">
      <c r="A436" s="8"/>
      <c r="B436" s="9"/>
      <c r="C436" s="17"/>
      <c r="D436" s="10"/>
      <c r="E436" s="10"/>
      <c r="F436" s="11"/>
      <c r="G436" s="10"/>
      <c r="H436" s="10"/>
      <c r="I436" s="10"/>
      <c r="J436" s="10"/>
      <c r="K436" s="10"/>
      <c r="L436" s="10"/>
      <c r="M436" s="10"/>
      <c r="N436" s="10"/>
      <c r="O436" s="10"/>
      <c r="P436" s="10"/>
      <c r="Q436" s="10"/>
      <c r="R436" s="10"/>
      <c r="S436" s="10"/>
      <c r="T436" s="10"/>
      <c r="U436" s="10"/>
      <c r="V436" s="10"/>
      <c r="W436" s="10"/>
      <c r="X436" s="10"/>
      <c r="Y436" s="10"/>
      <c r="Z436" s="10"/>
    </row>
    <row r="437" spans="1:26" ht="20" customHeight="1" x14ac:dyDescent="0.15">
      <c r="A437" s="8"/>
      <c r="B437" s="9"/>
      <c r="C437" s="17"/>
      <c r="D437" s="10"/>
      <c r="E437" s="10"/>
      <c r="F437" s="11"/>
      <c r="G437" s="10"/>
      <c r="H437" s="10"/>
      <c r="I437" s="10"/>
      <c r="J437" s="10"/>
      <c r="K437" s="10"/>
      <c r="L437" s="10"/>
      <c r="M437" s="10"/>
      <c r="N437" s="10"/>
      <c r="O437" s="10"/>
      <c r="P437" s="10"/>
      <c r="Q437" s="10"/>
      <c r="R437" s="10"/>
      <c r="S437" s="10"/>
      <c r="T437" s="10"/>
      <c r="U437" s="10"/>
      <c r="V437" s="10"/>
      <c r="W437" s="10"/>
      <c r="X437" s="10"/>
      <c r="Y437" s="10"/>
      <c r="Z437" s="10"/>
    </row>
    <row r="438" spans="1:26" ht="20" customHeight="1" x14ac:dyDescent="0.15">
      <c r="A438" s="8"/>
      <c r="B438" s="9"/>
      <c r="C438" s="17"/>
      <c r="D438" s="10"/>
      <c r="E438" s="10"/>
      <c r="F438" s="11"/>
      <c r="G438" s="10"/>
      <c r="H438" s="10"/>
      <c r="I438" s="10"/>
      <c r="J438" s="10"/>
      <c r="K438" s="10"/>
      <c r="L438" s="10"/>
      <c r="M438" s="10"/>
      <c r="N438" s="10"/>
      <c r="O438" s="10"/>
      <c r="P438" s="10"/>
      <c r="Q438" s="10"/>
      <c r="R438" s="10"/>
      <c r="S438" s="10"/>
      <c r="T438" s="10"/>
      <c r="U438" s="10"/>
      <c r="V438" s="10"/>
      <c r="W438" s="10"/>
      <c r="X438" s="10"/>
      <c r="Y438" s="10"/>
      <c r="Z438" s="10"/>
    </row>
    <row r="439" spans="1:26" ht="20" customHeight="1" x14ac:dyDescent="0.15">
      <c r="A439" s="8"/>
      <c r="B439" s="9"/>
      <c r="C439" s="17"/>
      <c r="D439" s="10"/>
      <c r="E439" s="10"/>
      <c r="F439" s="11"/>
      <c r="G439" s="10"/>
      <c r="H439" s="10"/>
      <c r="I439" s="10"/>
      <c r="J439" s="10"/>
      <c r="K439" s="10"/>
      <c r="L439" s="10"/>
      <c r="M439" s="10"/>
      <c r="N439" s="10"/>
      <c r="O439" s="10"/>
      <c r="P439" s="10"/>
      <c r="Q439" s="10"/>
      <c r="R439" s="10"/>
      <c r="S439" s="10"/>
      <c r="T439" s="10"/>
      <c r="U439" s="10"/>
      <c r="V439" s="10"/>
      <c r="W439" s="10"/>
      <c r="X439" s="10"/>
      <c r="Y439" s="10"/>
      <c r="Z439" s="10"/>
    </row>
    <row r="440" spans="1:26" ht="20" customHeight="1" x14ac:dyDescent="0.15">
      <c r="A440" s="8"/>
      <c r="B440" s="9"/>
      <c r="C440" s="17"/>
      <c r="D440" s="10"/>
      <c r="E440" s="10"/>
      <c r="F440" s="11"/>
      <c r="G440" s="10"/>
      <c r="H440" s="10"/>
      <c r="I440" s="10"/>
      <c r="J440" s="10"/>
      <c r="K440" s="10"/>
      <c r="L440" s="10"/>
      <c r="M440" s="10"/>
      <c r="N440" s="10"/>
      <c r="O440" s="10"/>
      <c r="P440" s="10"/>
      <c r="Q440" s="10"/>
      <c r="R440" s="10"/>
      <c r="S440" s="10"/>
      <c r="T440" s="10"/>
      <c r="U440" s="10"/>
      <c r="V440" s="10"/>
      <c r="W440" s="10"/>
      <c r="X440" s="10"/>
      <c r="Y440" s="10"/>
      <c r="Z440" s="10"/>
    </row>
    <row r="441" spans="1:26" ht="20" customHeight="1" x14ac:dyDescent="0.15">
      <c r="A441" s="8"/>
      <c r="B441" s="9"/>
      <c r="C441" s="17"/>
      <c r="D441" s="10"/>
      <c r="E441" s="10"/>
      <c r="F441" s="11"/>
      <c r="G441" s="10"/>
      <c r="H441" s="10"/>
      <c r="I441" s="10"/>
      <c r="J441" s="10"/>
      <c r="K441" s="10"/>
      <c r="L441" s="10"/>
      <c r="M441" s="10"/>
      <c r="N441" s="10"/>
      <c r="O441" s="10"/>
      <c r="P441" s="10"/>
      <c r="Q441" s="10"/>
      <c r="R441" s="10"/>
      <c r="S441" s="10"/>
      <c r="T441" s="10"/>
      <c r="U441" s="10"/>
      <c r="V441" s="10"/>
      <c r="W441" s="10"/>
      <c r="X441" s="10"/>
      <c r="Y441" s="10"/>
      <c r="Z441" s="10"/>
    </row>
    <row r="442" spans="1:26" ht="20" customHeight="1" x14ac:dyDescent="0.15">
      <c r="A442" s="8"/>
      <c r="B442" s="9"/>
      <c r="C442" s="17"/>
      <c r="D442" s="10"/>
      <c r="E442" s="10"/>
      <c r="F442" s="11"/>
      <c r="G442" s="10"/>
      <c r="H442" s="10"/>
      <c r="I442" s="10"/>
      <c r="J442" s="10"/>
      <c r="K442" s="10"/>
      <c r="L442" s="10"/>
      <c r="M442" s="10"/>
      <c r="N442" s="10"/>
      <c r="O442" s="10"/>
      <c r="P442" s="10"/>
      <c r="Q442" s="10"/>
      <c r="R442" s="10"/>
      <c r="S442" s="10"/>
      <c r="T442" s="10"/>
      <c r="U442" s="10"/>
      <c r="V442" s="10"/>
      <c r="W442" s="10"/>
      <c r="X442" s="10"/>
      <c r="Y442" s="10"/>
      <c r="Z442" s="10"/>
    </row>
    <row r="443" spans="1:26" ht="20" customHeight="1" x14ac:dyDescent="0.15">
      <c r="A443" s="8"/>
      <c r="B443" s="9"/>
      <c r="C443" s="17"/>
      <c r="D443" s="10"/>
      <c r="E443" s="10"/>
      <c r="F443" s="11"/>
      <c r="G443" s="10"/>
      <c r="H443" s="10"/>
      <c r="I443" s="10"/>
      <c r="J443" s="10"/>
      <c r="K443" s="10"/>
      <c r="L443" s="10"/>
      <c r="M443" s="10"/>
      <c r="N443" s="10"/>
      <c r="O443" s="10"/>
      <c r="P443" s="10"/>
      <c r="Q443" s="10"/>
      <c r="R443" s="10"/>
      <c r="S443" s="10"/>
      <c r="T443" s="10"/>
      <c r="U443" s="10"/>
      <c r="V443" s="10"/>
      <c r="W443" s="10"/>
      <c r="X443" s="10"/>
      <c r="Y443" s="10"/>
      <c r="Z443" s="10"/>
    </row>
    <row r="444" spans="1:26" ht="20" customHeight="1" x14ac:dyDescent="0.15">
      <c r="A444" s="8"/>
      <c r="B444" s="9"/>
      <c r="C444" s="17"/>
      <c r="D444" s="10"/>
      <c r="E444" s="10"/>
      <c r="F444" s="11"/>
      <c r="G444" s="10"/>
      <c r="H444" s="10"/>
      <c r="I444" s="10"/>
      <c r="J444" s="10"/>
      <c r="K444" s="10"/>
      <c r="L444" s="10"/>
      <c r="M444" s="10"/>
      <c r="N444" s="10"/>
      <c r="O444" s="10"/>
      <c r="P444" s="10"/>
      <c r="Q444" s="10"/>
      <c r="R444" s="10"/>
      <c r="S444" s="10"/>
      <c r="T444" s="10"/>
      <c r="U444" s="10"/>
      <c r="V444" s="10"/>
      <c r="W444" s="10"/>
      <c r="X444" s="10"/>
      <c r="Y444" s="10"/>
      <c r="Z444" s="10"/>
    </row>
    <row r="445" spans="1:26" ht="20" customHeight="1" x14ac:dyDescent="0.15">
      <c r="A445" s="8"/>
      <c r="B445" s="9"/>
      <c r="C445" s="17"/>
      <c r="D445" s="10"/>
      <c r="E445" s="10"/>
      <c r="F445" s="11"/>
      <c r="G445" s="10"/>
      <c r="H445" s="10"/>
      <c r="I445" s="10"/>
      <c r="J445" s="10"/>
      <c r="K445" s="10"/>
      <c r="L445" s="10"/>
      <c r="M445" s="10"/>
      <c r="N445" s="10"/>
      <c r="O445" s="10"/>
      <c r="P445" s="10"/>
      <c r="Q445" s="10"/>
      <c r="R445" s="10"/>
      <c r="S445" s="10"/>
      <c r="T445" s="10"/>
      <c r="U445" s="10"/>
      <c r="V445" s="10"/>
      <c r="W445" s="10"/>
      <c r="X445" s="10"/>
      <c r="Y445" s="10"/>
      <c r="Z445" s="10"/>
    </row>
    <row r="446" spans="1:26" ht="20" customHeight="1" x14ac:dyDescent="0.15">
      <c r="A446" s="8"/>
      <c r="B446" s="9"/>
      <c r="C446" s="17"/>
      <c r="D446" s="10"/>
      <c r="E446" s="10"/>
      <c r="F446" s="11"/>
      <c r="G446" s="10"/>
      <c r="H446" s="10"/>
      <c r="I446" s="10"/>
      <c r="J446" s="10"/>
      <c r="K446" s="10"/>
      <c r="L446" s="10"/>
      <c r="M446" s="10"/>
      <c r="N446" s="10"/>
      <c r="O446" s="10"/>
      <c r="P446" s="10"/>
      <c r="Q446" s="10"/>
      <c r="R446" s="10"/>
      <c r="S446" s="10"/>
      <c r="T446" s="10"/>
      <c r="U446" s="10"/>
      <c r="V446" s="10"/>
      <c r="W446" s="10"/>
      <c r="X446" s="10"/>
      <c r="Y446" s="10"/>
      <c r="Z446" s="10"/>
    </row>
    <row r="447" spans="1:26" ht="20" customHeight="1" x14ac:dyDescent="0.15">
      <c r="A447" s="8"/>
      <c r="B447" s="9"/>
      <c r="C447" s="17"/>
      <c r="D447" s="10"/>
      <c r="E447" s="10"/>
      <c r="F447" s="11"/>
      <c r="G447" s="10"/>
      <c r="H447" s="10"/>
      <c r="I447" s="10"/>
      <c r="J447" s="10"/>
      <c r="K447" s="10"/>
      <c r="L447" s="10"/>
      <c r="M447" s="10"/>
      <c r="N447" s="10"/>
      <c r="O447" s="10"/>
      <c r="P447" s="10"/>
      <c r="Q447" s="10"/>
      <c r="R447" s="10"/>
      <c r="S447" s="10"/>
      <c r="T447" s="10"/>
      <c r="U447" s="10"/>
      <c r="V447" s="10"/>
      <c r="W447" s="10"/>
      <c r="X447" s="10"/>
      <c r="Y447" s="10"/>
      <c r="Z447" s="10"/>
    </row>
    <row r="448" spans="1:26" ht="20" customHeight="1" x14ac:dyDescent="0.15">
      <c r="A448" s="8"/>
      <c r="B448" s="9"/>
      <c r="C448" s="17"/>
      <c r="D448" s="10"/>
      <c r="E448" s="10"/>
      <c r="F448" s="11"/>
      <c r="G448" s="10"/>
      <c r="H448" s="10"/>
      <c r="I448" s="10"/>
      <c r="J448" s="10"/>
      <c r="K448" s="10"/>
      <c r="L448" s="10"/>
      <c r="M448" s="10"/>
      <c r="N448" s="10"/>
      <c r="O448" s="10"/>
      <c r="P448" s="10"/>
      <c r="Q448" s="10"/>
      <c r="R448" s="10"/>
      <c r="S448" s="10"/>
      <c r="T448" s="10"/>
      <c r="U448" s="10"/>
      <c r="V448" s="10"/>
      <c r="W448" s="10"/>
      <c r="X448" s="10"/>
      <c r="Y448" s="10"/>
      <c r="Z448" s="10"/>
    </row>
    <row r="449" spans="1:26" ht="20" customHeight="1" x14ac:dyDescent="0.15">
      <c r="A449" s="8"/>
      <c r="B449" s="9"/>
      <c r="C449" s="17"/>
      <c r="D449" s="10"/>
      <c r="E449" s="10"/>
      <c r="F449" s="11"/>
      <c r="G449" s="10"/>
      <c r="H449" s="10"/>
      <c r="I449" s="10"/>
      <c r="J449" s="10"/>
      <c r="K449" s="10"/>
      <c r="L449" s="10"/>
      <c r="M449" s="10"/>
      <c r="N449" s="10"/>
      <c r="O449" s="10"/>
      <c r="P449" s="10"/>
      <c r="Q449" s="10"/>
      <c r="R449" s="10"/>
      <c r="S449" s="10"/>
      <c r="T449" s="10"/>
      <c r="U449" s="10"/>
      <c r="V449" s="10"/>
      <c r="W449" s="10"/>
      <c r="X449" s="10"/>
      <c r="Y449" s="10"/>
      <c r="Z449" s="10"/>
    </row>
    <row r="450" spans="1:26" ht="20" customHeight="1" x14ac:dyDescent="0.15">
      <c r="A450" s="8"/>
      <c r="B450" s="9"/>
      <c r="C450" s="17"/>
      <c r="D450" s="10"/>
      <c r="E450" s="10"/>
      <c r="F450" s="11"/>
      <c r="G450" s="10"/>
      <c r="H450" s="10"/>
      <c r="I450" s="10"/>
      <c r="J450" s="10"/>
      <c r="K450" s="10"/>
      <c r="L450" s="10"/>
      <c r="M450" s="10"/>
      <c r="N450" s="10"/>
      <c r="O450" s="10"/>
      <c r="P450" s="10"/>
      <c r="Q450" s="10"/>
      <c r="R450" s="10"/>
      <c r="S450" s="10"/>
      <c r="T450" s="10"/>
      <c r="U450" s="10"/>
      <c r="V450" s="10"/>
      <c r="W450" s="10"/>
      <c r="X450" s="10"/>
      <c r="Y450" s="10"/>
      <c r="Z450" s="10"/>
    </row>
    <row r="451" spans="1:26" ht="20" customHeight="1" x14ac:dyDescent="0.15">
      <c r="A451" s="8"/>
      <c r="B451" s="9"/>
      <c r="C451" s="17"/>
      <c r="D451" s="10"/>
      <c r="E451" s="10"/>
      <c r="F451" s="11"/>
      <c r="G451" s="10"/>
      <c r="H451" s="10"/>
      <c r="I451" s="10"/>
      <c r="J451" s="10"/>
      <c r="K451" s="10"/>
      <c r="L451" s="10"/>
      <c r="M451" s="10"/>
      <c r="N451" s="10"/>
      <c r="O451" s="10"/>
      <c r="P451" s="10"/>
      <c r="Q451" s="10"/>
      <c r="R451" s="10"/>
      <c r="S451" s="10"/>
      <c r="T451" s="10"/>
      <c r="U451" s="10"/>
      <c r="V451" s="10"/>
      <c r="W451" s="10"/>
      <c r="X451" s="10"/>
      <c r="Y451" s="10"/>
      <c r="Z451" s="10"/>
    </row>
    <row r="452" spans="1:26" ht="20" customHeight="1" x14ac:dyDescent="0.15">
      <c r="A452" s="8"/>
      <c r="B452" s="9"/>
      <c r="C452" s="17"/>
      <c r="D452" s="10"/>
      <c r="E452" s="10"/>
      <c r="F452" s="11"/>
      <c r="G452" s="10"/>
      <c r="H452" s="10"/>
      <c r="I452" s="10"/>
      <c r="J452" s="10"/>
      <c r="K452" s="10"/>
      <c r="L452" s="10"/>
      <c r="M452" s="10"/>
      <c r="N452" s="10"/>
      <c r="O452" s="10"/>
      <c r="P452" s="10"/>
      <c r="Q452" s="10"/>
      <c r="R452" s="10"/>
      <c r="S452" s="10"/>
      <c r="T452" s="10"/>
      <c r="U452" s="10"/>
      <c r="V452" s="10"/>
      <c r="W452" s="10"/>
      <c r="X452" s="10"/>
      <c r="Y452" s="10"/>
      <c r="Z452" s="10"/>
    </row>
    <row r="453" spans="1:26" ht="20" customHeight="1" x14ac:dyDescent="0.15">
      <c r="A453" s="8"/>
      <c r="B453" s="9"/>
      <c r="C453" s="17"/>
      <c r="D453" s="10"/>
      <c r="E453" s="10"/>
      <c r="F453" s="11"/>
      <c r="G453" s="10"/>
      <c r="H453" s="10"/>
      <c r="I453" s="10"/>
      <c r="J453" s="10"/>
      <c r="K453" s="10"/>
      <c r="L453" s="10"/>
      <c r="M453" s="10"/>
      <c r="N453" s="10"/>
      <c r="O453" s="10"/>
      <c r="P453" s="10"/>
      <c r="Q453" s="10"/>
      <c r="R453" s="10"/>
      <c r="S453" s="10"/>
      <c r="T453" s="10"/>
      <c r="U453" s="10"/>
      <c r="V453" s="10"/>
      <c r="W453" s="10"/>
      <c r="X453" s="10"/>
      <c r="Y453" s="10"/>
      <c r="Z453" s="10"/>
    </row>
    <row r="454" spans="1:26" ht="20" customHeight="1" x14ac:dyDescent="0.15">
      <c r="A454" s="8"/>
      <c r="B454" s="9"/>
      <c r="C454" s="17"/>
      <c r="D454" s="10"/>
      <c r="E454" s="10"/>
      <c r="F454" s="11"/>
      <c r="G454" s="10"/>
      <c r="H454" s="10"/>
      <c r="I454" s="10"/>
      <c r="J454" s="10"/>
      <c r="K454" s="10"/>
      <c r="L454" s="10"/>
      <c r="M454" s="10"/>
      <c r="N454" s="10"/>
      <c r="O454" s="10"/>
      <c r="P454" s="10"/>
      <c r="Q454" s="10"/>
      <c r="R454" s="10"/>
      <c r="S454" s="10"/>
      <c r="T454" s="10"/>
      <c r="U454" s="10"/>
      <c r="V454" s="10"/>
      <c r="W454" s="10"/>
      <c r="X454" s="10"/>
      <c r="Y454" s="10"/>
      <c r="Z454" s="10"/>
    </row>
    <row r="455" spans="1:26" ht="20" customHeight="1" x14ac:dyDescent="0.15">
      <c r="A455" s="8"/>
      <c r="B455" s="9"/>
      <c r="C455" s="17"/>
      <c r="D455" s="10"/>
      <c r="E455" s="10"/>
      <c r="F455" s="11"/>
      <c r="G455" s="10"/>
      <c r="H455" s="10"/>
      <c r="I455" s="10"/>
      <c r="J455" s="10"/>
      <c r="K455" s="10"/>
      <c r="L455" s="10"/>
      <c r="M455" s="10"/>
      <c r="N455" s="10"/>
      <c r="O455" s="10"/>
      <c r="P455" s="10"/>
      <c r="Q455" s="10"/>
      <c r="R455" s="10"/>
      <c r="S455" s="10"/>
      <c r="T455" s="10"/>
      <c r="U455" s="10"/>
      <c r="V455" s="10"/>
      <c r="W455" s="10"/>
      <c r="X455" s="10"/>
      <c r="Y455" s="10"/>
      <c r="Z455" s="10"/>
    </row>
    <row r="456" spans="1:26" ht="20" customHeight="1" x14ac:dyDescent="0.15">
      <c r="A456" s="8"/>
      <c r="B456" s="9"/>
      <c r="C456" s="17"/>
      <c r="D456" s="10"/>
      <c r="E456" s="10"/>
      <c r="F456" s="11"/>
      <c r="G456" s="10"/>
      <c r="H456" s="10"/>
      <c r="I456" s="10"/>
      <c r="J456" s="10"/>
      <c r="K456" s="10"/>
      <c r="L456" s="10"/>
      <c r="M456" s="10"/>
      <c r="N456" s="10"/>
      <c r="O456" s="10"/>
      <c r="P456" s="10"/>
      <c r="Q456" s="10"/>
      <c r="R456" s="10"/>
      <c r="S456" s="10"/>
      <c r="T456" s="10"/>
      <c r="U456" s="10"/>
      <c r="V456" s="10"/>
      <c r="W456" s="10"/>
      <c r="X456" s="10"/>
      <c r="Y456" s="10"/>
      <c r="Z456" s="10"/>
    </row>
    <row r="457" spans="1:26" ht="20" customHeight="1" x14ac:dyDescent="0.15">
      <c r="A457" s="8"/>
      <c r="B457" s="9"/>
      <c r="C457" s="17"/>
      <c r="D457" s="10"/>
      <c r="E457" s="10"/>
      <c r="F457" s="11"/>
      <c r="G457" s="10"/>
      <c r="H457" s="10"/>
      <c r="I457" s="10"/>
      <c r="J457" s="10"/>
      <c r="K457" s="10"/>
      <c r="L457" s="10"/>
      <c r="M457" s="10"/>
      <c r="N457" s="10"/>
      <c r="O457" s="10"/>
      <c r="P457" s="10"/>
      <c r="Q457" s="10"/>
      <c r="R457" s="10"/>
      <c r="S457" s="10"/>
      <c r="T457" s="10"/>
      <c r="U457" s="10"/>
      <c r="V457" s="10"/>
      <c r="W457" s="10"/>
      <c r="X457" s="10"/>
      <c r="Y457" s="10"/>
      <c r="Z457" s="10"/>
    </row>
    <row r="458" spans="1:26" ht="20" customHeight="1" x14ac:dyDescent="0.15">
      <c r="A458" s="8"/>
      <c r="B458" s="9"/>
      <c r="C458" s="17"/>
      <c r="D458" s="10"/>
      <c r="E458" s="10"/>
      <c r="F458" s="11"/>
      <c r="G458" s="10"/>
      <c r="H458" s="10"/>
      <c r="I458" s="10"/>
      <c r="J458" s="10"/>
      <c r="K458" s="10"/>
      <c r="L458" s="10"/>
      <c r="M458" s="10"/>
      <c r="N458" s="10"/>
      <c r="O458" s="10"/>
      <c r="P458" s="10"/>
      <c r="Q458" s="10"/>
      <c r="R458" s="10"/>
      <c r="S458" s="10"/>
      <c r="T458" s="10"/>
      <c r="U458" s="10"/>
      <c r="V458" s="10"/>
      <c r="W458" s="10"/>
      <c r="X458" s="10"/>
      <c r="Y458" s="10"/>
      <c r="Z458" s="10"/>
    </row>
    <row r="459" spans="1:26" ht="20" customHeight="1" x14ac:dyDescent="0.15">
      <c r="A459" s="8"/>
      <c r="B459" s="9"/>
      <c r="C459" s="17"/>
      <c r="D459" s="10"/>
      <c r="E459" s="10"/>
      <c r="F459" s="11"/>
      <c r="G459" s="10"/>
      <c r="H459" s="10"/>
      <c r="I459" s="10"/>
      <c r="J459" s="10"/>
      <c r="K459" s="10"/>
      <c r="L459" s="10"/>
      <c r="M459" s="10"/>
      <c r="N459" s="10"/>
      <c r="O459" s="10"/>
      <c r="P459" s="10"/>
      <c r="Q459" s="10"/>
      <c r="R459" s="10"/>
      <c r="S459" s="10"/>
      <c r="T459" s="10"/>
      <c r="U459" s="10"/>
      <c r="V459" s="10"/>
      <c r="W459" s="10"/>
      <c r="X459" s="10"/>
      <c r="Y459" s="10"/>
      <c r="Z459" s="10"/>
    </row>
    <row r="460" spans="1:26" ht="20" customHeight="1" x14ac:dyDescent="0.15">
      <c r="A460" s="8"/>
      <c r="B460" s="9"/>
      <c r="C460" s="17"/>
      <c r="D460" s="10"/>
      <c r="E460" s="10"/>
      <c r="F460" s="11"/>
      <c r="G460" s="10"/>
      <c r="H460" s="10"/>
      <c r="I460" s="10"/>
      <c r="J460" s="10"/>
      <c r="K460" s="10"/>
      <c r="L460" s="10"/>
      <c r="M460" s="10"/>
      <c r="N460" s="10"/>
      <c r="O460" s="10"/>
      <c r="P460" s="10"/>
      <c r="Q460" s="10"/>
      <c r="R460" s="10"/>
      <c r="S460" s="10"/>
      <c r="T460" s="10"/>
      <c r="U460" s="10"/>
      <c r="V460" s="10"/>
      <c r="W460" s="10"/>
      <c r="X460" s="10"/>
      <c r="Y460" s="10"/>
      <c r="Z460" s="10"/>
    </row>
    <row r="461" spans="1:26" ht="20" customHeight="1" x14ac:dyDescent="0.15">
      <c r="A461" s="8"/>
      <c r="B461" s="9"/>
      <c r="C461" s="17"/>
      <c r="D461" s="10"/>
      <c r="E461" s="10"/>
      <c r="F461" s="11"/>
      <c r="G461" s="10"/>
      <c r="H461" s="10"/>
      <c r="I461" s="10"/>
      <c r="J461" s="10"/>
      <c r="K461" s="10"/>
      <c r="L461" s="10"/>
      <c r="M461" s="10"/>
      <c r="N461" s="10"/>
      <c r="O461" s="10"/>
      <c r="P461" s="10"/>
      <c r="Q461" s="10"/>
      <c r="R461" s="10"/>
      <c r="S461" s="10"/>
      <c r="T461" s="10"/>
      <c r="U461" s="10"/>
      <c r="V461" s="10"/>
      <c r="W461" s="10"/>
      <c r="X461" s="10"/>
      <c r="Y461" s="10"/>
      <c r="Z461" s="10"/>
    </row>
    <row r="462" spans="1:26" ht="20" customHeight="1" x14ac:dyDescent="0.15">
      <c r="A462" s="8"/>
      <c r="B462" s="9"/>
      <c r="C462" s="17"/>
      <c r="D462" s="10"/>
      <c r="E462" s="10"/>
      <c r="F462" s="11"/>
      <c r="G462" s="10"/>
      <c r="H462" s="10"/>
      <c r="I462" s="10"/>
      <c r="J462" s="10"/>
      <c r="K462" s="10"/>
      <c r="L462" s="10"/>
      <c r="M462" s="10"/>
      <c r="N462" s="10"/>
      <c r="O462" s="10"/>
      <c r="P462" s="10"/>
      <c r="Q462" s="10"/>
      <c r="R462" s="10"/>
      <c r="S462" s="10"/>
      <c r="T462" s="10"/>
      <c r="U462" s="10"/>
      <c r="V462" s="10"/>
      <c r="W462" s="10"/>
      <c r="X462" s="10"/>
      <c r="Y462" s="10"/>
      <c r="Z462" s="10"/>
    </row>
    <row r="463" spans="1:26" ht="20" customHeight="1" x14ac:dyDescent="0.15">
      <c r="A463" s="8"/>
      <c r="B463" s="9"/>
      <c r="C463" s="17"/>
      <c r="D463" s="10"/>
      <c r="E463" s="10"/>
      <c r="F463" s="11"/>
      <c r="G463" s="10"/>
      <c r="H463" s="10"/>
      <c r="I463" s="10"/>
      <c r="J463" s="10"/>
      <c r="K463" s="10"/>
      <c r="L463" s="10"/>
      <c r="M463" s="10"/>
      <c r="N463" s="10"/>
      <c r="O463" s="10"/>
      <c r="P463" s="10"/>
      <c r="Q463" s="10"/>
      <c r="R463" s="10"/>
      <c r="S463" s="10"/>
      <c r="T463" s="10"/>
      <c r="U463" s="10"/>
      <c r="V463" s="10"/>
      <c r="W463" s="10"/>
      <c r="X463" s="10"/>
      <c r="Y463" s="10"/>
      <c r="Z463" s="10"/>
    </row>
    <row r="464" spans="1:26" ht="20" customHeight="1" x14ac:dyDescent="0.15">
      <c r="A464" s="8"/>
      <c r="B464" s="9"/>
      <c r="C464" s="17"/>
      <c r="D464" s="10"/>
      <c r="E464" s="10"/>
      <c r="F464" s="11"/>
      <c r="G464" s="10"/>
      <c r="H464" s="10"/>
      <c r="I464" s="10"/>
      <c r="J464" s="10"/>
      <c r="K464" s="10"/>
      <c r="L464" s="10"/>
      <c r="M464" s="10"/>
      <c r="N464" s="10"/>
      <c r="O464" s="10"/>
      <c r="P464" s="10"/>
      <c r="Q464" s="10"/>
      <c r="R464" s="10"/>
      <c r="S464" s="10"/>
      <c r="T464" s="10"/>
      <c r="U464" s="10"/>
      <c r="V464" s="10"/>
      <c r="W464" s="10"/>
      <c r="X464" s="10"/>
      <c r="Y464" s="10"/>
      <c r="Z464" s="10"/>
    </row>
    <row r="465" spans="1:26" ht="20" customHeight="1" x14ac:dyDescent="0.15">
      <c r="A465" s="8"/>
      <c r="B465" s="9"/>
      <c r="C465" s="17"/>
      <c r="D465" s="10"/>
      <c r="E465" s="10"/>
      <c r="F465" s="11"/>
      <c r="G465" s="10"/>
      <c r="H465" s="10"/>
      <c r="I465" s="10"/>
      <c r="J465" s="10"/>
      <c r="K465" s="10"/>
      <c r="L465" s="10"/>
      <c r="M465" s="10"/>
      <c r="N465" s="10"/>
      <c r="O465" s="10"/>
      <c r="P465" s="10"/>
      <c r="Q465" s="10"/>
      <c r="R465" s="10"/>
      <c r="S465" s="10"/>
      <c r="T465" s="10"/>
      <c r="U465" s="10"/>
      <c r="V465" s="10"/>
      <c r="W465" s="10"/>
      <c r="X465" s="10"/>
      <c r="Y465" s="10"/>
      <c r="Z465" s="10"/>
    </row>
    <row r="466" spans="1:26" ht="20" customHeight="1" x14ac:dyDescent="0.15">
      <c r="A466" s="8"/>
      <c r="B466" s="9"/>
      <c r="C466" s="17"/>
      <c r="D466" s="10"/>
      <c r="E466" s="10"/>
      <c r="F466" s="11"/>
      <c r="G466" s="10"/>
      <c r="H466" s="10"/>
      <c r="I466" s="10"/>
      <c r="J466" s="10"/>
      <c r="K466" s="10"/>
      <c r="L466" s="10"/>
      <c r="M466" s="10"/>
      <c r="N466" s="10"/>
      <c r="O466" s="10"/>
      <c r="P466" s="10"/>
      <c r="Q466" s="10"/>
      <c r="R466" s="10"/>
      <c r="S466" s="10"/>
      <c r="T466" s="10"/>
      <c r="U466" s="10"/>
      <c r="V466" s="10"/>
      <c r="W466" s="10"/>
      <c r="X466" s="10"/>
      <c r="Y466" s="10"/>
      <c r="Z466" s="10"/>
    </row>
    <row r="467" spans="1:26" ht="20" customHeight="1" x14ac:dyDescent="0.15">
      <c r="A467" s="8"/>
      <c r="B467" s="9"/>
      <c r="C467" s="17"/>
      <c r="D467" s="10"/>
      <c r="E467" s="10"/>
      <c r="F467" s="11"/>
      <c r="G467" s="10"/>
      <c r="H467" s="10"/>
      <c r="I467" s="10"/>
      <c r="J467" s="10"/>
      <c r="K467" s="10"/>
      <c r="L467" s="10"/>
      <c r="M467" s="10"/>
      <c r="N467" s="10"/>
      <c r="O467" s="10"/>
      <c r="P467" s="10"/>
      <c r="Q467" s="10"/>
      <c r="R467" s="10"/>
      <c r="S467" s="10"/>
      <c r="T467" s="10"/>
      <c r="U467" s="10"/>
      <c r="V467" s="10"/>
      <c r="W467" s="10"/>
      <c r="X467" s="10"/>
      <c r="Y467" s="10"/>
      <c r="Z467" s="10"/>
    </row>
    <row r="468" spans="1:26" ht="20" customHeight="1" x14ac:dyDescent="0.15">
      <c r="A468" s="8"/>
      <c r="B468" s="9"/>
      <c r="C468" s="17"/>
      <c r="D468" s="10"/>
      <c r="E468" s="10"/>
      <c r="F468" s="11"/>
      <c r="G468" s="10"/>
      <c r="H468" s="10"/>
      <c r="I468" s="10"/>
      <c r="J468" s="10"/>
      <c r="K468" s="10"/>
      <c r="L468" s="10"/>
      <c r="M468" s="10"/>
      <c r="N468" s="10"/>
      <c r="O468" s="10"/>
      <c r="P468" s="10"/>
      <c r="Q468" s="10"/>
      <c r="R468" s="10"/>
      <c r="S468" s="10"/>
      <c r="T468" s="10"/>
      <c r="U468" s="10"/>
      <c r="V468" s="10"/>
      <c r="W468" s="10"/>
      <c r="X468" s="10"/>
      <c r="Y468" s="10"/>
      <c r="Z468" s="10"/>
    </row>
    <row r="469" spans="1:26" ht="20" customHeight="1" x14ac:dyDescent="0.15">
      <c r="A469" s="8"/>
      <c r="B469" s="9"/>
      <c r="C469" s="17"/>
      <c r="D469" s="10"/>
      <c r="E469" s="10"/>
      <c r="F469" s="11"/>
      <c r="G469" s="10"/>
      <c r="H469" s="10"/>
      <c r="I469" s="10"/>
      <c r="J469" s="10"/>
      <c r="K469" s="10"/>
      <c r="L469" s="10"/>
      <c r="M469" s="10"/>
      <c r="N469" s="10"/>
      <c r="O469" s="10"/>
      <c r="P469" s="10"/>
      <c r="Q469" s="10"/>
      <c r="R469" s="10"/>
      <c r="S469" s="10"/>
      <c r="T469" s="10"/>
      <c r="U469" s="10"/>
      <c r="V469" s="10"/>
      <c r="W469" s="10"/>
      <c r="X469" s="10"/>
      <c r="Y469" s="10"/>
      <c r="Z469" s="10"/>
    </row>
    <row r="470" spans="1:26" ht="20" customHeight="1" x14ac:dyDescent="0.15">
      <c r="A470" s="8"/>
      <c r="B470" s="9"/>
      <c r="C470" s="17"/>
      <c r="D470" s="10"/>
      <c r="E470" s="10"/>
      <c r="F470" s="11"/>
      <c r="G470" s="10"/>
      <c r="H470" s="10"/>
      <c r="I470" s="10"/>
      <c r="J470" s="10"/>
      <c r="K470" s="10"/>
      <c r="L470" s="10"/>
      <c r="M470" s="10"/>
      <c r="N470" s="10"/>
      <c r="O470" s="10"/>
      <c r="P470" s="10"/>
      <c r="Q470" s="10"/>
      <c r="R470" s="10"/>
      <c r="S470" s="10"/>
      <c r="T470" s="10"/>
      <c r="U470" s="10"/>
      <c r="V470" s="10"/>
      <c r="W470" s="10"/>
      <c r="X470" s="10"/>
      <c r="Y470" s="10"/>
      <c r="Z470" s="10"/>
    </row>
    <row r="471" spans="1:26" ht="20" customHeight="1" x14ac:dyDescent="0.15">
      <c r="A471" s="8"/>
      <c r="B471" s="9"/>
      <c r="C471" s="17"/>
      <c r="D471" s="10"/>
      <c r="E471" s="10"/>
      <c r="F471" s="11"/>
      <c r="G471" s="10"/>
      <c r="H471" s="10"/>
      <c r="I471" s="10"/>
      <c r="J471" s="10"/>
      <c r="K471" s="10"/>
      <c r="L471" s="10"/>
      <c r="M471" s="10"/>
      <c r="N471" s="10"/>
      <c r="O471" s="10"/>
      <c r="P471" s="10"/>
      <c r="Q471" s="10"/>
      <c r="R471" s="10"/>
      <c r="S471" s="10"/>
      <c r="T471" s="10"/>
      <c r="U471" s="10"/>
      <c r="V471" s="10"/>
      <c r="W471" s="10"/>
      <c r="X471" s="10"/>
      <c r="Y471" s="10"/>
      <c r="Z471" s="10"/>
    </row>
    <row r="472" spans="1:26" ht="20" customHeight="1" x14ac:dyDescent="0.15">
      <c r="A472" s="8"/>
      <c r="B472" s="9"/>
      <c r="C472" s="17"/>
      <c r="D472" s="10"/>
      <c r="E472" s="10"/>
      <c r="F472" s="11"/>
      <c r="G472" s="10"/>
      <c r="H472" s="10"/>
      <c r="I472" s="10"/>
      <c r="J472" s="10"/>
      <c r="K472" s="10"/>
      <c r="L472" s="10"/>
      <c r="M472" s="10"/>
      <c r="N472" s="10"/>
      <c r="O472" s="10"/>
      <c r="P472" s="10"/>
      <c r="Q472" s="10"/>
      <c r="R472" s="10"/>
      <c r="S472" s="10"/>
      <c r="T472" s="10"/>
      <c r="U472" s="10"/>
      <c r="V472" s="10"/>
      <c r="W472" s="10"/>
      <c r="X472" s="10"/>
      <c r="Y472" s="10"/>
      <c r="Z472" s="10"/>
    </row>
    <row r="473" spans="1:26" ht="20" customHeight="1" x14ac:dyDescent="0.15">
      <c r="A473" s="8"/>
      <c r="B473" s="9"/>
      <c r="C473" s="17"/>
      <c r="D473" s="10"/>
      <c r="E473" s="10"/>
      <c r="F473" s="11"/>
      <c r="G473" s="10"/>
      <c r="H473" s="10"/>
      <c r="I473" s="10"/>
      <c r="J473" s="10"/>
      <c r="K473" s="10"/>
      <c r="L473" s="10"/>
      <c r="M473" s="10"/>
      <c r="N473" s="10"/>
      <c r="O473" s="10"/>
      <c r="P473" s="10"/>
      <c r="Q473" s="10"/>
      <c r="R473" s="10"/>
      <c r="S473" s="10"/>
      <c r="T473" s="10"/>
      <c r="U473" s="10"/>
      <c r="V473" s="10"/>
      <c r="W473" s="10"/>
      <c r="X473" s="10"/>
      <c r="Y473" s="10"/>
      <c r="Z473" s="10"/>
    </row>
    <row r="474" spans="1:26" ht="20" customHeight="1" x14ac:dyDescent="0.15">
      <c r="A474" s="8"/>
      <c r="B474" s="9"/>
      <c r="C474" s="17"/>
      <c r="D474" s="10"/>
      <c r="E474" s="10"/>
      <c r="F474" s="11"/>
      <c r="G474" s="10"/>
      <c r="H474" s="10"/>
      <c r="I474" s="10"/>
      <c r="J474" s="10"/>
      <c r="K474" s="10"/>
      <c r="L474" s="10"/>
      <c r="M474" s="10"/>
      <c r="N474" s="10"/>
      <c r="O474" s="10"/>
      <c r="P474" s="10"/>
      <c r="Q474" s="10"/>
      <c r="R474" s="10"/>
      <c r="S474" s="10"/>
      <c r="T474" s="10"/>
      <c r="U474" s="10"/>
      <c r="V474" s="10"/>
      <c r="W474" s="10"/>
      <c r="X474" s="10"/>
      <c r="Y474" s="10"/>
      <c r="Z474" s="10"/>
    </row>
    <row r="475" spans="1:26" ht="20" customHeight="1" x14ac:dyDescent="0.15">
      <c r="A475" s="8"/>
      <c r="B475" s="9"/>
      <c r="C475" s="17"/>
      <c r="D475" s="10"/>
      <c r="E475" s="10"/>
      <c r="F475" s="11"/>
      <c r="G475" s="10"/>
      <c r="H475" s="10"/>
      <c r="I475" s="10"/>
      <c r="J475" s="10"/>
      <c r="K475" s="10"/>
      <c r="L475" s="10"/>
      <c r="M475" s="10"/>
      <c r="N475" s="10"/>
      <c r="O475" s="10"/>
      <c r="P475" s="10"/>
      <c r="Q475" s="10"/>
      <c r="R475" s="10"/>
      <c r="S475" s="10"/>
      <c r="T475" s="10"/>
      <c r="U475" s="10"/>
      <c r="V475" s="10"/>
      <c r="W475" s="10"/>
      <c r="X475" s="10"/>
      <c r="Y475" s="10"/>
      <c r="Z475" s="10"/>
    </row>
    <row r="476" spans="1:26" ht="20" customHeight="1" x14ac:dyDescent="0.15">
      <c r="A476" s="8"/>
      <c r="B476" s="9"/>
      <c r="C476" s="17"/>
      <c r="D476" s="10"/>
      <c r="E476" s="10"/>
      <c r="F476" s="11"/>
      <c r="G476" s="10"/>
      <c r="H476" s="10"/>
      <c r="I476" s="10"/>
      <c r="J476" s="10"/>
      <c r="K476" s="10"/>
      <c r="L476" s="10"/>
      <c r="M476" s="10"/>
      <c r="N476" s="10"/>
      <c r="O476" s="10"/>
      <c r="P476" s="10"/>
      <c r="Q476" s="10"/>
      <c r="R476" s="10"/>
      <c r="S476" s="10"/>
      <c r="T476" s="10"/>
      <c r="U476" s="10"/>
      <c r="V476" s="10"/>
      <c r="W476" s="10"/>
      <c r="X476" s="10"/>
      <c r="Y476" s="10"/>
      <c r="Z476" s="10"/>
    </row>
    <row r="477" spans="1:26" ht="20" customHeight="1" x14ac:dyDescent="0.15">
      <c r="A477" s="8"/>
      <c r="B477" s="9"/>
      <c r="C477" s="17"/>
      <c r="D477" s="10"/>
      <c r="E477" s="10"/>
      <c r="F477" s="11"/>
      <c r="G477" s="10"/>
      <c r="H477" s="10"/>
      <c r="I477" s="10"/>
      <c r="J477" s="10"/>
      <c r="K477" s="10"/>
      <c r="L477" s="10"/>
      <c r="M477" s="10"/>
      <c r="N477" s="10"/>
      <c r="O477" s="10"/>
      <c r="P477" s="10"/>
      <c r="Q477" s="10"/>
      <c r="R477" s="10"/>
      <c r="S477" s="10"/>
      <c r="T477" s="10"/>
      <c r="U477" s="10"/>
      <c r="V477" s="10"/>
      <c r="W477" s="10"/>
      <c r="X477" s="10"/>
      <c r="Y477" s="10"/>
      <c r="Z477" s="10"/>
    </row>
    <row r="478" spans="1:26" ht="20" customHeight="1" x14ac:dyDescent="0.15">
      <c r="A478" s="8"/>
      <c r="B478" s="9"/>
      <c r="C478" s="17"/>
      <c r="D478" s="10"/>
      <c r="E478" s="10"/>
      <c r="F478" s="11"/>
      <c r="G478" s="10"/>
      <c r="H478" s="10"/>
      <c r="I478" s="10"/>
      <c r="J478" s="10"/>
      <c r="K478" s="10"/>
      <c r="L478" s="10"/>
      <c r="M478" s="10"/>
      <c r="N478" s="10"/>
      <c r="O478" s="10"/>
      <c r="P478" s="10"/>
      <c r="Q478" s="10"/>
      <c r="R478" s="10"/>
      <c r="S478" s="10"/>
      <c r="T478" s="10"/>
      <c r="U478" s="10"/>
      <c r="V478" s="10"/>
      <c r="W478" s="10"/>
      <c r="X478" s="10"/>
      <c r="Y478" s="10"/>
      <c r="Z478" s="10"/>
    </row>
    <row r="479" spans="1:26" ht="20" customHeight="1" x14ac:dyDescent="0.15">
      <c r="A479" s="8"/>
      <c r="B479" s="9"/>
      <c r="C479" s="17"/>
      <c r="D479" s="10"/>
      <c r="E479" s="10"/>
      <c r="F479" s="11"/>
      <c r="G479" s="10"/>
      <c r="H479" s="10"/>
      <c r="I479" s="10"/>
      <c r="J479" s="10"/>
      <c r="K479" s="10"/>
      <c r="L479" s="10"/>
      <c r="M479" s="10"/>
      <c r="N479" s="10"/>
      <c r="O479" s="10"/>
      <c r="P479" s="10"/>
      <c r="Q479" s="10"/>
      <c r="R479" s="10"/>
      <c r="S479" s="10"/>
      <c r="T479" s="10"/>
      <c r="U479" s="10"/>
      <c r="V479" s="10"/>
      <c r="W479" s="10"/>
      <c r="X479" s="10"/>
      <c r="Y479" s="10"/>
      <c r="Z479" s="10"/>
    </row>
    <row r="480" spans="1:26" ht="20" customHeight="1" x14ac:dyDescent="0.15">
      <c r="A480" s="8"/>
      <c r="B480" s="9"/>
      <c r="C480" s="17"/>
      <c r="D480" s="10"/>
      <c r="E480" s="10"/>
      <c r="F480" s="11"/>
      <c r="G480" s="10"/>
      <c r="H480" s="10"/>
      <c r="I480" s="10"/>
      <c r="J480" s="10"/>
      <c r="K480" s="10"/>
      <c r="L480" s="10"/>
      <c r="M480" s="10"/>
      <c r="N480" s="10"/>
      <c r="O480" s="10"/>
      <c r="P480" s="10"/>
      <c r="Q480" s="10"/>
      <c r="R480" s="10"/>
      <c r="S480" s="10"/>
      <c r="T480" s="10"/>
      <c r="U480" s="10"/>
      <c r="V480" s="10"/>
      <c r="W480" s="10"/>
      <c r="X480" s="10"/>
      <c r="Y480" s="10"/>
      <c r="Z480" s="10"/>
    </row>
    <row r="481" spans="1:26" ht="20" customHeight="1" x14ac:dyDescent="0.15">
      <c r="A481" s="8"/>
      <c r="B481" s="9"/>
      <c r="C481" s="17"/>
      <c r="D481" s="10"/>
      <c r="E481" s="10"/>
      <c r="F481" s="11"/>
      <c r="G481" s="10"/>
      <c r="H481" s="10"/>
      <c r="I481" s="10"/>
      <c r="J481" s="10"/>
      <c r="K481" s="10"/>
      <c r="L481" s="10"/>
      <c r="M481" s="10"/>
      <c r="N481" s="10"/>
      <c r="O481" s="10"/>
      <c r="P481" s="10"/>
      <c r="Q481" s="10"/>
      <c r="R481" s="10"/>
      <c r="S481" s="10"/>
      <c r="T481" s="10"/>
      <c r="U481" s="10"/>
      <c r="V481" s="10"/>
      <c r="W481" s="10"/>
      <c r="X481" s="10"/>
      <c r="Y481" s="10"/>
      <c r="Z481" s="10"/>
    </row>
    <row r="482" spans="1:26" ht="20" customHeight="1" x14ac:dyDescent="0.15">
      <c r="A482" s="8"/>
      <c r="B482" s="9"/>
      <c r="C482" s="17"/>
      <c r="D482" s="10"/>
      <c r="E482" s="10"/>
      <c r="F482" s="11"/>
      <c r="G482" s="10"/>
      <c r="H482" s="10"/>
      <c r="I482" s="10"/>
      <c r="J482" s="10"/>
      <c r="K482" s="10"/>
      <c r="L482" s="10"/>
      <c r="M482" s="10"/>
      <c r="N482" s="10"/>
      <c r="O482" s="10"/>
      <c r="P482" s="10"/>
      <c r="Q482" s="10"/>
      <c r="R482" s="10"/>
      <c r="S482" s="10"/>
      <c r="T482" s="10"/>
      <c r="U482" s="10"/>
      <c r="V482" s="10"/>
      <c r="W482" s="10"/>
      <c r="X482" s="10"/>
      <c r="Y482" s="10"/>
      <c r="Z482" s="10"/>
    </row>
    <row r="483" spans="1:26" ht="20" customHeight="1" x14ac:dyDescent="0.15">
      <c r="A483" s="8"/>
      <c r="B483" s="9"/>
      <c r="C483" s="17"/>
      <c r="D483" s="10"/>
      <c r="E483" s="10"/>
      <c r="F483" s="11"/>
      <c r="G483" s="10"/>
      <c r="H483" s="10"/>
      <c r="I483" s="10"/>
      <c r="J483" s="10"/>
      <c r="K483" s="10"/>
      <c r="L483" s="10"/>
      <c r="M483" s="10"/>
      <c r="N483" s="10"/>
      <c r="O483" s="10"/>
      <c r="P483" s="10"/>
      <c r="Q483" s="10"/>
      <c r="R483" s="10"/>
      <c r="S483" s="10"/>
      <c r="T483" s="10"/>
      <c r="U483" s="10"/>
      <c r="V483" s="10"/>
      <c r="W483" s="10"/>
      <c r="X483" s="10"/>
      <c r="Y483" s="10"/>
      <c r="Z483" s="10"/>
    </row>
    <row r="484" spans="1:26" ht="20" customHeight="1" x14ac:dyDescent="0.15">
      <c r="A484" s="8"/>
      <c r="B484" s="9"/>
      <c r="C484" s="17"/>
      <c r="D484" s="10"/>
      <c r="E484" s="10"/>
      <c r="F484" s="11"/>
      <c r="G484" s="10"/>
      <c r="H484" s="10"/>
      <c r="I484" s="10"/>
      <c r="J484" s="10"/>
      <c r="K484" s="10"/>
      <c r="L484" s="10"/>
      <c r="M484" s="10"/>
      <c r="N484" s="10"/>
      <c r="O484" s="10"/>
      <c r="P484" s="10"/>
      <c r="Q484" s="10"/>
      <c r="R484" s="10"/>
      <c r="S484" s="10"/>
      <c r="T484" s="10"/>
      <c r="U484" s="10"/>
      <c r="V484" s="10"/>
      <c r="W484" s="10"/>
      <c r="X484" s="10"/>
      <c r="Y484" s="10"/>
      <c r="Z484" s="10"/>
    </row>
    <row r="485" spans="1:26" ht="20" customHeight="1" x14ac:dyDescent="0.15">
      <c r="A485" s="8"/>
      <c r="B485" s="9"/>
      <c r="C485" s="17"/>
      <c r="D485" s="10"/>
      <c r="E485" s="10"/>
      <c r="F485" s="11"/>
      <c r="G485" s="10"/>
      <c r="H485" s="10"/>
      <c r="I485" s="10"/>
      <c r="J485" s="10"/>
      <c r="K485" s="10"/>
      <c r="L485" s="10"/>
      <c r="M485" s="10"/>
      <c r="N485" s="10"/>
      <c r="O485" s="10"/>
      <c r="P485" s="10"/>
      <c r="Q485" s="10"/>
      <c r="R485" s="10"/>
      <c r="S485" s="10"/>
      <c r="T485" s="10"/>
      <c r="U485" s="10"/>
      <c r="V485" s="10"/>
      <c r="W485" s="10"/>
      <c r="X485" s="10"/>
      <c r="Y485" s="10"/>
      <c r="Z485" s="10"/>
    </row>
    <row r="486" spans="1:26" ht="20" customHeight="1" x14ac:dyDescent="0.15">
      <c r="A486" s="8"/>
      <c r="B486" s="9"/>
      <c r="C486" s="17"/>
      <c r="D486" s="10"/>
      <c r="E486" s="10"/>
      <c r="F486" s="11"/>
      <c r="G486" s="10"/>
      <c r="H486" s="10"/>
      <c r="I486" s="10"/>
      <c r="J486" s="10"/>
      <c r="K486" s="10"/>
      <c r="L486" s="10"/>
      <c r="M486" s="10"/>
      <c r="N486" s="10"/>
      <c r="O486" s="10"/>
      <c r="P486" s="10"/>
      <c r="Q486" s="10"/>
      <c r="R486" s="10"/>
      <c r="S486" s="10"/>
      <c r="T486" s="10"/>
      <c r="U486" s="10"/>
      <c r="V486" s="10"/>
      <c r="W486" s="10"/>
      <c r="X486" s="10"/>
      <c r="Y486" s="10"/>
      <c r="Z486" s="10"/>
    </row>
    <row r="487" spans="1:26" ht="20" customHeight="1" x14ac:dyDescent="0.15">
      <c r="A487" s="8"/>
      <c r="B487" s="9"/>
      <c r="C487" s="17"/>
      <c r="D487" s="10"/>
      <c r="E487" s="10"/>
      <c r="F487" s="11"/>
      <c r="G487" s="10"/>
      <c r="H487" s="10"/>
      <c r="I487" s="10"/>
      <c r="J487" s="10"/>
      <c r="K487" s="10"/>
      <c r="L487" s="10"/>
      <c r="M487" s="10"/>
      <c r="N487" s="10"/>
      <c r="O487" s="10"/>
      <c r="P487" s="10"/>
      <c r="Q487" s="10"/>
      <c r="R487" s="10"/>
      <c r="S487" s="10"/>
      <c r="T487" s="10"/>
      <c r="U487" s="10"/>
      <c r="V487" s="10"/>
      <c r="W487" s="10"/>
      <c r="X487" s="10"/>
      <c r="Y487" s="10"/>
      <c r="Z487" s="10"/>
    </row>
    <row r="488" spans="1:26" ht="20" customHeight="1" x14ac:dyDescent="0.15">
      <c r="A488" s="8"/>
      <c r="B488" s="9"/>
      <c r="C488" s="17"/>
      <c r="D488" s="10"/>
      <c r="E488" s="10"/>
      <c r="F488" s="11"/>
      <c r="G488" s="10"/>
      <c r="H488" s="10"/>
      <c r="I488" s="10"/>
      <c r="J488" s="10"/>
      <c r="K488" s="10"/>
      <c r="L488" s="10"/>
      <c r="M488" s="10"/>
      <c r="N488" s="10"/>
      <c r="O488" s="10"/>
      <c r="P488" s="10"/>
      <c r="Q488" s="10"/>
      <c r="R488" s="10"/>
      <c r="S488" s="10"/>
      <c r="T488" s="10"/>
      <c r="U488" s="10"/>
      <c r="V488" s="10"/>
      <c r="W488" s="10"/>
      <c r="X488" s="10"/>
      <c r="Y488" s="10"/>
      <c r="Z488" s="10"/>
    </row>
    <row r="489" spans="1:26" ht="20" customHeight="1" x14ac:dyDescent="0.15">
      <c r="A489" s="8"/>
      <c r="B489" s="9"/>
      <c r="C489" s="17"/>
      <c r="D489" s="10"/>
      <c r="E489" s="10"/>
      <c r="F489" s="11"/>
      <c r="G489" s="10"/>
      <c r="H489" s="10"/>
      <c r="I489" s="10"/>
      <c r="J489" s="10"/>
      <c r="K489" s="10"/>
      <c r="L489" s="10"/>
      <c r="M489" s="10"/>
      <c r="N489" s="10"/>
      <c r="O489" s="10"/>
      <c r="P489" s="10"/>
      <c r="Q489" s="10"/>
      <c r="R489" s="10"/>
      <c r="S489" s="10"/>
      <c r="T489" s="10"/>
      <c r="U489" s="10"/>
      <c r="V489" s="10"/>
      <c r="W489" s="10"/>
      <c r="X489" s="10"/>
      <c r="Y489" s="10"/>
      <c r="Z489" s="10"/>
    </row>
    <row r="490" spans="1:26" ht="20" customHeight="1" x14ac:dyDescent="0.15">
      <c r="A490" s="8"/>
      <c r="B490" s="9"/>
      <c r="C490" s="17"/>
      <c r="D490" s="10"/>
      <c r="E490" s="10"/>
      <c r="F490" s="11"/>
      <c r="G490" s="10"/>
      <c r="H490" s="10"/>
      <c r="I490" s="10"/>
      <c r="J490" s="10"/>
      <c r="K490" s="10"/>
      <c r="L490" s="10"/>
      <c r="M490" s="10"/>
      <c r="N490" s="10"/>
      <c r="O490" s="10"/>
      <c r="P490" s="10"/>
      <c r="Q490" s="10"/>
      <c r="R490" s="10"/>
      <c r="S490" s="10"/>
      <c r="T490" s="10"/>
      <c r="U490" s="10"/>
      <c r="V490" s="10"/>
      <c r="W490" s="10"/>
      <c r="X490" s="10"/>
      <c r="Y490" s="10"/>
      <c r="Z490" s="10"/>
    </row>
    <row r="491" spans="1:26" ht="20" customHeight="1" x14ac:dyDescent="0.15">
      <c r="A491" s="8"/>
      <c r="B491" s="9"/>
      <c r="C491" s="17"/>
      <c r="D491" s="10"/>
      <c r="E491" s="10"/>
      <c r="F491" s="11"/>
      <c r="G491" s="10"/>
      <c r="H491" s="10"/>
      <c r="I491" s="10"/>
      <c r="J491" s="10"/>
      <c r="K491" s="10"/>
      <c r="L491" s="10"/>
      <c r="M491" s="10"/>
      <c r="N491" s="10"/>
      <c r="O491" s="10"/>
      <c r="P491" s="10"/>
      <c r="Q491" s="10"/>
      <c r="R491" s="10"/>
      <c r="S491" s="10"/>
      <c r="T491" s="10"/>
      <c r="U491" s="10"/>
      <c r="V491" s="10"/>
      <c r="W491" s="10"/>
      <c r="X491" s="10"/>
      <c r="Y491" s="10"/>
      <c r="Z491" s="10"/>
    </row>
    <row r="492" spans="1:26" ht="20" customHeight="1" x14ac:dyDescent="0.15">
      <c r="A492" s="8"/>
      <c r="B492" s="9"/>
      <c r="C492" s="17"/>
      <c r="D492" s="10"/>
      <c r="E492" s="10"/>
      <c r="F492" s="11"/>
      <c r="G492" s="10"/>
      <c r="H492" s="10"/>
      <c r="I492" s="10"/>
      <c r="J492" s="10"/>
      <c r="K492" s="10"/>
      <c r="L492" s="10"/>
      <c r="M492" s="10"/>
      <c r="N492" s="10"/>
      <c r="O492" s="10"/>
      <c r="P492" s="10"/>
      <c r="Q492" s="10"/>
      <c r="R492" s="10"/>
      <c r="S492" s="10"/>
      <c r="T492" s="10"/>
      <c r="U492" s="10"/>
      <c r="V492" s="10"/>
      <c r="W492" s="10"/>
      <c r="X492" s="10"/>
      <c r="Y492" s="10"/>
      <c r="Z492" s="10"/>
    </row>
    <row r="493" spans="1:26" ht="20" customHeight="1" x14ac:dyDescent="0.15">
      <c r="A493" s="8"/>
      <c r="B493" s="9"/>
      <c r="C493" s="17"/>
      <c r="D493" s="10"/>
      <c r="E493" s="10"/>
      <c r="F493" s="11"/>
      <c r="G493" s="10"/>
      <c r="H493" s="10"/>
      <c r="I493" s="10"/>
      <c r="J493" s="10"/>
      <c r="K493" s="10"/>
      <c r="L493" s="10"/>
      <c r="M493" s="10"/>
      <c r="N493" s="10"/>
      <c r="O493" s="10"/>
      <c r="P493" s="10"/>
      <c r="Q493" s="10"/>
      <c r="R493" s="10"/>
      <c r="S493" s="10"/>
      <c r="T493" s="10"/>
      <c r="U493" s="10"/>
      <c r="V493" s="10"/>
      <c r="W493" s="10"/>
      <c r="X493" s="10"/>
      <c r="Y493" s="10"/>
      <c r="Z493" s="10"/>
    </row>
    <row r="494" spans="1:26" ht="20" customHeight="1" x14ac:dyDescent="0.15">
      <c r="A494" s="8"/>
      <c r="B494" s="9"/>
      <c r="C494" s="17"/>
      <c r="D494" s="10"/>
      <c r="E494" s="10"/>
      <c r="F494" s="11"/>
      <c r="G494" s="10"/>
      <c r="H494" s="10"/>
      <c r="I494" s="10"/>
      <c r="J494" s="10"/>
      <c r="K494" s="10"/>
      <c r="L494" s="10"/>
      <c r="M494" s="10"/>
      <c r="N494" s="10"/>
      <c r="O494" s="10"/>
      <c r="P494" s="10"/>
      <c r="Q494" s="10"/>
      <c r="R494" s="10"/>
      <c r="S494" s="10"/>
      <c r="T494" s="10"/>
      <c r="U494" s="10"/>
      <c r="V494" s="10"/>
      <c r="W494" s="10"/>
      <c r="X494" s="10"/>
      <c r="Y494" s="10"/>
      <c r="Z494" s="10"/>
    </row>
    <row r="495" spans="1:26" ht="20" customHeight="1" x14ac:dyDescent="0.15">
      <c r="A495" s="8"/>
      <c r="B495" s="9"/>
      <c r="C495" s="17"/>
      <c r="D495" s="10"/>
      <c r="E495" s="10"/>
      <c r="F495" s="11"/>
      <c r="G495" s="10"/>
      <c r="H495" s="10"/>
      <c r="I495" s="10"/>
      <c r="J495" s="10"/>
      <c r="K495" s="10"/>
      <c r="L495" s="10"/>
      <c r="M495" s="10"/>
      <c r="N495" s="10"/>
      <c r="O495" s="10"/>
      <c r="P495" s="10"/>
      <c r="Q495" s="10"/>
      <c r="R495" s="10"/>
      <c r="S495" s="10"/>
      <c r="T495" s="10"/>
      <c r="U495" s="10"/>
      <c r="V495" s="10"/>
      <c r="W495" s="10"/>
      <c r="X495" s="10"/>
      <c r="Y495" s="10"/>
      <c r="Z495" s="10"/>
    </row>
    <row r="496" spans="1:26" ht="20" customHeight="1" x14ac:dyDescent="0.15">
      <c r="A496" s="8"/>
      <c r="B496" s="9"/>
      <c r="C496" s="17"/>
      <c r="D496" s="10"/>
      <c r="E496" s="10"/>
      <c r="F496" s="11"/>
      <c r="G496" s="10"/>
      <c r="H496" s="10"/>
      <c r="I496" s="10"/>
      <c r="J496" s="10"/>
      <c r="K496" s="10"/>
      <c r="L496" s="10"/>
      <c r="M496" s="10"/>
      <c r="N496" s="10"/>
      <c r="O496" s="10"/>
      <c r="P496" s="10"/>
      <c r="Q496" s="10"/>
      <c r="R496" s="10"/>
      <c r="S496" s="10"/>
      <c r="T496" s="10"/>
      <c r="U496" s="10"/>
      <c r="V496" s="10"/>
      <c r="W496" s="10"/>
      <c r="X496" s="10"/>
      <c r="Y496" s="10"/>
      <c r="Z496" s="10"/>
    </row>
    <row r="497" spans="1:26" ht="20" customHeight="1" x14ac:dyDescent="0.15">
      <c r="A497" s="8"/>
      <c r="B497" s="9"/>
      <c r="C497" s="17"/>
      <c r="D497" s="10"/>
      <c r="E497" s="10"/>
      <c r="F497" s="11"/>
      <c r="G497" s="10"/>
      <c r="H497" s="10"/>
      <c r="I497" s="10"/>
      <c r="J497" s="10"/>
      <c r="K497" s="10"/>
      <c r="L497" s="10"/>
      <c r="M497" s="10"/>
      <c r="N497" s="10"/>
      <c r="O497" s="10"/>
      <c r="P497" s="10"/>
      <c r="Q497" s="10"/>
      <c r="R497" s="10"/>
      <c r="S497" s="10"/>
      <c r="T497" s="10"/>
      <c r="U497" s="10"/>
      <c r="V497" s="10"/>
      <c r="W497" s="10"/>
      <c r="X497" s="10"/>
      <c r="Y497" s="10"/>
      <c r="Z497" s="10"/>
    </row>
    <row r="498" spans="1:26" ht="20" customHeight="1" x14ac:dyDescent="0.15">
      <c r="A498" s="8"/>
      <c r="B498" s="9"/>
      <c r="C498" s="17"/>
      <c r="D498" s="10"/>
      <c r="E498" s="10"/>
      <c r="F498" s="11"/>
      <c r="G498" s="10"/>
      <c r="H498" s="10"/>
      <c r="I498" s="10"/>
      <c r="J498" s="10"/>
      <c r="K498" s="10"/>
      <c r="L498" s="10"/>
      <c r="M498" s="10"/>
      <c r="N498" s="10"/>
      <c r="O498" s="10"/>
      <c r="P498" s="10"/>
      <c r="Q498" s="10"/>
      <c r="R498" s="10"/>
      <c r="S498" s="10"/>
      <c r="T498" s="10"/>
      <c r="U498" s="10"/>
      <c r="V498" s="10"/>
      <c r="W498" s="10"/>
      <c r="X498" s="10"/>
      <c r="Y498" s="10"/>
      <c r="Z498" s="10"/>
    </row>
    <row r="499" spans="1:26" ht="20" customHeight="1" x14ac:dyDescent="0.15">
      <c r="A499" s="8"/>
      <c r="B499" s="9"/>
      <c r="C499" s="17"/>
      <c r="D499" s="10"/>
      <c r="E499" s="10"/>
      <c r="F499" s="11"/>
      <c r="G499" s="10"/>
      <c r="H499" s="10"/>
      <c r="I499" s="10"/>
      <c r="J499" s="10"/>
      <c r="K499" s="10"/>
      <c r="L499" s="10"/>
      <c r="M499" s="10"/>
      <c r="N499" s="10"/>
      <c r="O499" s="10"/>
      <c r="P499" s="10"/>
      <c r="Q499" s="10"/>
      <c r="R499" s="10"/>
      <c r="S499" s="10"/>
      <c r="T499" s="10"/>
      <c r="U499" s="10"/>
      <c r="V499" s="10"/>
      <c r="W499" s="10"/>
      <c r="X499" s="10"/>
      <c r="Y499" s="10"/>
      <c r="Z499" s="10"/>
    </row>
    <row r="500" spans="1:26" ht="20" customHeight="1" x14ac:dyDescent="0.15">
      <c r="A500" s="8"/>
      <c r="B500" s="9"/>
      <c r="C500" s="17"/>
      <c r="D500" s="10"/>
      <c r="E500" s="10"/>
      <c r="F500" s="11"/>
      <c r="G500" s="10"/>
      <c r="H500" s="10"/>
      <c r="I500" s="10"/>
      <c r="J500" s="10"/>
      <c r="K500" s="10"/>
      <c r="L500" s="10"/>
      <c r="M500" s="10"/>
      <c r="N500" s="10"/>
      <c r="O500" s="10"/>
      <c r="P500" s="10"/>
      <c r="Q500" s="10"/>
      <c r="R500" s="10"/>
      <c r="S500" s="10"/>
      <c r="T500" s="10"/>
      <c r="U500" s="10"/>
      <c r="V500" s="10"/>
      <c r="W500" s="10"/>
      <c r="X500" s="10"/>
      <c r="Y500" s="10"/>
      <c r="Z500" s="10"/>
    </row>
    <row r="501" spans="1:26" ht="20" customHeight="1" x14ac:dyDescent="0.15">
      <c r="A501" s="8"/>
      <c r="B501" s="9"/>
      <c r="C501" s="17"/>
      <c r="D501" s="10"/>
      <c r="E501" s="10"/>
      <c r="F501" s="11"/>
      <c r="G501" s="10"/>
      <c r="H501" s="10"/>
      <c r="I501" s="10"/>
      <c r="J501" s="10"/>
      <c r="K501" s="10"/>
      <c r="L501" s="10"/>
      <c r="M501" s="10"/>
      <c r="N501" s="10"/>
      <c r="O501" s="10"/>
      <c r="P501" s="10"/>
      <c r="Q501" s="10"/>
      <c r="R501" s="10"/>
      <c r="S501" s="10"/>
      <c r="T501" s="10"/>
      <c r="U501" s="10"/>
      <c r="V501" s="10"/>
      <c r="W501" s="10"/>
      <c r="X501" s="10"/>
      <c r="Y501" s="10"/>
      <c r="Z501" s="10"/>
    </row>
    <row r="502" spans="1:26" ht="20" customHeight="1" x14ac:dyDescent="0.15">
      <c r="A502" s="8"/>
      <c r="B502" s="9"/>
      <c r="C502" s="17"/>
      <c r="D502" s="10"/>
      <c r="E502" s="10"/>
      <c r="F502" s="11"/>
      <c r="G502" s="10"/>
      <c r="H502" s="10"/>
      <c r="I502" s="10"/>
      <c r="J502" s="10"/>
      <c r="K502" s="10"/>
      <c r="L502" s="10"/>
      <c r="M502" s="10"/>
      <c r="N502" s="10"/>
      <c r="O502" s="10"/>
      <c r="P502" s="10"/>
      <c r="Q502" s="10"/>
      <c r="R502" s="10"/>
      <c r="S502" s="10"/>
      <c r="T502" s="10"/>
      <c r="U502" s="10"/>
      <c r="V502" s="10"/>
      <c r="W502" s="10"/>
      <c r="X502" s="10"/>
      <c r="Y502" s="10"/>
      <c r="Z502" s="10"/>
    </row>
    <row r="503" spans="1:26" ht="20" customHeight="1" x14ac:dyDescent="0.15">
      <c r="A503" s="8"/>
      <c r="B503" s="9"/>
      <c r="C503" s="17"/>
      <c r="D503" s="10"/>
      <c r="E503" s="10"/>
      <c r="F503" s="11"/>
      <c r="G503" s="10"/>
      <c r="H503" s="10"/>
      <c r="I503" s="10"/>
      <c r="J503" s="10"/>
      <c r="K503" s="10"/>
      <c r="L503" s="10"/>
      <c r="M503" s="10"/>
      <c r="N503" s="10"/>
      <c r="O503" s="10"/>
      <c r="P503" s="10"/>
      <c r="Q503" s="10"/>
      <c r="R503" s="10"/>
      <c r="S503" s="10"/>
      <c r="T503" s="10"/>
      <c r="U503" s="10"/>
      <c r="V503" s="10"/>
      <c r="W503" s="10"/>
      <c r="X503" s="10"/>
      <c r="Y503" s="10"/>
      <c r="Z503" s="10"/>
    </row>
    <row r="504" spans="1:26" ht="20" customHeight="1" x14ac:dyDescent="0.15">
      <c r="A504" s="8"/>
      <c r="B504" s="9"/>
      <c r="C504" s="17"/>
      <c r="D504" s="10"/>
      <c r="E504" s="10"/>
      <c r="F504" s="11"/>
      <c r="G504" s="10"/>
      <c r="H504" s="10"/>
      <c r="I504" s="10"/>
      <c r="J504" s="10"/>
      <c r="K504" s="10"/>
      <c r="L504" s="10"/>
      <c r="M504" s="10"/>
      <c r="N504" s="10"/>
      <c r="O504" s="10"/>
      <c r="P504" s="10"/>
      <c r="Q504" s="10"/>
      <c r="R504" s="10"/>
      <c r="S504" s="10"/>
      <c r="T504" s="10"/>
      <c r="U504" s="10"/>
      <c r="V504" s="10"/>
      <c r="W504" s="10"/>
      <c r="X504" s="10"/>
      <c r="Y504" s="10"/>
      <c r="Z504" s="10"/>
    </row>
    <row r="505" spans="1:26" ht="20" customHeight="1" x14ac:dyDescent="0.15">
      <c r="A505" s="8"/>
      <c r="B505" s="9"/>
      <c r="C505" s="17"/>
      <c r="D505" s="10"/>
      <c r="E505" s="10"/>
      <c r="F505" s="11"/>
      <c r="G505" s="10"/>
      <c r="H505" s="10"/>
      <c r="I505" s="10"/>
      <c r="J505" s="10"/>
      <c r="K505" s="10"/>
      <c r="L505" s="10"/>
      <c r="M505" s="10"/>
      <c r="N505" s="10"/>
      <c r="O505" s="10"/>
      <c r="P505" s="10"/>
      <c r="Q505" s="10"/>
      <c r="R505" s="10"/>
      <c r="S505" s="10"/>
      <c r="T505" s="10"/>
      <c r="U505" s="10"/>
      <c r="V505" s="10"/>
      <c r="W505" s="10"/>
      <c r="X505" s="10"/>
      <c r="Y505" s="10"/>
      <c r="Z505" s="10"/>
    </row>
    <row r="506" spans="1:26" ht="20" customHeight="1" x14ac:dyDescent="0.15">
      <c r="A506" s="8"/>
      <c r="B506" s="9"/>
      <c r="C506" s="17"/>
      <c r="D506" s="10"/>
      <c r="E506" s="10"/>
      <c r="F506" s="11"/>
      <c r="G506" s="10"/>
      <c r="H506" s="10"/>
      <c r="I506" s="10"/>
      <c r="J506" s="10"/>
      <c r="K506" s="10"/>
      <c r="L506" s="10"/>
      <c r="M506" s="10"/>
      <c r="N506" s="10"/>
      <c r="O506" s="10"/>
      <c r="P506" s="10"/>
      <c r="Q506" s="10"/>
      <c r="R506" s="10"/>
      <c r="S506" s="10"/>
      <c r="T506" s="10"/>
      <c r="U506" s="10"/>
      <c r="V506" s="10"/>
      <c r="W506" s="10"/>
      <c r="X506" s="10"/>
      <c r="Y506" s="10"/>
      <c r="Z506" s="10"/>
    </row>
    <row r="507" spans="1:26" ht="20" customHeight="1" x14ac:dyDescent="0.15">
      <c r="A507" s="8"/>
      <c r="B507" s="9"/>
      <c r="C507" s="17"/>
      <c r="D507" s="10"/>
      <c r="E507" s="10"/>
      <c r="F507" s="11"/>
      <c r="G507" s="10"/>
      <c r="H507" s="10"/>
      <c r="I507" s="10"/>
      <c r="J507" s="10"/>
      <c r="K507" s="10"/>
      <c r="L507" s="10"/>
      <c r="M507" s="10"/>
      <c r="N507" s="10"/>
      <c r="O507" s="10"/>
      <c r="P507" s="10"/>
      <c r="Q507" s="10"/>
      <c r="R507" s="10"/>
      <c r="S507" s="10"/>
      <c r="T507" s="10"/>
      <c r="U507" s="10"/>
      <c r="V507" s="10"/>
      <c r="W507" s="10"/>
      <c r="X507" s="10"/>
      <c r="Y507" s="10"/>
      <c r="Z507" s="10"/>
    </row>
    <row r="508" spans="1:26" ht="20" customHeight="1" x14ac:dyDescent="0.15">
      <c r="A508" s="8"/>
      <c r="B508" s="9"/>
      <c r="C508" s="17"/>
      <c r="D508" s="10"/>
      <c r="E508" s="10"/>
      <c r="F508" s="11"/>
      <c r="G508" s="10"/>
      <c r="H508" s="10"/>
      <c r="I508" s="10"/>
      <c r="J508" s="10"/>
      <c r="K508" s="10"/>
      <c r="L508" s="10"/>
      <c r="M508" s="10"/>
      <c r="N508" s="10"/>
      <c r="O508" s="10"/>
      <c r="P508" s="10"/>
      <c r="Q508" s="10"/>
      <c r="R508" s="10"/>
      <c r="S508" s="10"/>
      <c r="T508" s="10"/>
      <c r="U508" s="10"/>
      <c r="V508" s="10"/>
      <c r="W508" s="10"/>
      <c r="X508" s="10"/>
      <c r="Y508" s="10"/>
      <c r="Z508" s="10"/>
    </row>
    <row r="509" spans="1:26" ht="20" customHeight="1" x14ac:dyDescent="0.15">
      <c r="A509" s="8"/>
      <c r="B509" s="9"/>
      <c r="C509" s="17"/>
      <c r="D509" s="10"/>
      <c r="E509" s="10"/>
      <c r="F509" s="11"/>
      <c r="G509" s="10"/>
      <c r="H509" s="10"/>
      <c r="I509" s="10"/>
      <c r="J509" s="10"/>
      <c r="K509" s="10"/>
      <c r="L509" s="10"/>
      <c r="M509" s="10"/>
      <c r="N509" s="10"/>
      <c r="O509" s="10"/>
      <c r="P509" s="10"/>
      <c r="Q509" s="10"/>
      <c r="R509" s="10"/>
      <c r="S509" s="10"/>
      <c r="T509" s="10"/>
      <c r="U509" s="10"/>
      <c r="V509" s="10"/>
      <c r="W509" s="10"/>
      <c r="X509" s="10"/>
      <c r="Y509" s="10"/>
      <c r="Z509" s="10"/>
    </row>
    <row r="510" spans="1:26" ht="20" customHeight="1" x14ac:dyDescent="0.15">
      <c r="A510" s="8"/>
      <c r="B510" s="9"/>
      <c r="C510" s="17"/>
      <c r="D510" s="10"/>
      <c r="E510" s="10"/>
      <c r="F510" s="11"/>
      <c r="G510" s="10"/>
      <c r="H510" s="10"/>
      <c r="I510" s="10"/>
      <c r="J510" s="10"/>
      <c r="K510" s="10"/>
      <c r="L510" s="10"/>
      <c r="M510" s="10"/>
      <c r="N510" s="10"/>
      <c r="O510" s="10"/>
      <c r="P510" s="10"/>
      <c r="Q510" s="10"/>
      <c r="R510" s="10"/>
      <c r="S510" s="10"/>
      <c r="T510" s="10"/>
      <c r="U510" s="10"/>
      <c r="V510" s="10"/>
      <c r="W510" s="10"/>
      <c r="X510" s="10"/>
      <c r="Y510" s="10"/>
      <c r="Z510" s="10"/>
    </row>
    <row r="511" spans="1:26" ht="20" customHeight="1" x14ac:dyDescent="0.15">
      <c r="A511" s="8"/>
      <c r="B511" s="9"/>
      <c r="C511" s="17"/>
      <c r="D511" s="10"/>
      <c r="E511" s="10"/>
      <c r="F511" s="11"/>
      <c r="G511" s="10"/>
      <c r="H511" s="10"/>
      <c r="I511" s="10"/>
      <c r="J511" s="10"/>
      <c r="K511" s="10"/>
      <c r="L511" s="10"/>
      <c r="M511" s="10"/>
      <c r="N511" s="10"/>
      <c r="O511" s="10"/>
      <c r="P511" s="10"/>
      <c r="Q511" s="10"/>
      <c r="R511" s="10"/>
      <c r="S511" s="10"/>
      <c r="T511" s="10"/>
      <c r="U511" s="10"/>
      <c r="V511" s="10"/>
      <c r="W511" s="10"/>
      <c r="X511" s="10"/>
      <c r="Y511" s="10"/>
      <c r="Z511" s="10"/>
    </row>
    <row r="512" spans="1:26" ht="20" customHeight="1" x14ac:dyDescent="0.15">
      <c r="A512" s="8"/>
      <c r="B512" s="9"/>
      <c r="C512" s="17"/>
      <c r="D512" s="10"/>
      <c r="E512" s="10"/>
      <c r="F512" s="11"/>
      <c r="G512" s="10"/>
      <c r="H512" s="10"/>
      <c r="I512" s="10"/>
      <c r="J512" s="10"/>
      <c r="K512" s="10"/>
      <c r="L512" s="10"/>
      <c r="M512" s="10"/>
      <c r="N512" s="10"/>
      <c r="O512" s="10"/>
      <c r="P512" s="10"/>
      <c r="Q512" s="10"/>
      <c r="R512" s="10"/>
      <c r="S512" s="10"/>
      <c r="T512" s="10"/>
      <c r="U512" s="10"/>
      <c r="V512" s="10"/>
      <c r="W512" s="10"/>
      <c r="X512" s="10"/>
      <c r="Y512" s="10"/>
      <c r="Z512" s="10"/>
    </row>
    <row r="513" spans="1:26" ht="20" customHeight="1" x14ac:dyDescent="0.15">
      <c r="A513" s="8"/>
      <c r="B513" s="9"/>
      <c r="C513" s="17"/>
      <c r="D513" s="10"/>
      <c r="E513" s="10"/>
      <c r="F513" s="11"/>
      <c r="G513" s="10"/>
      <c r="H513" s="10"/>
      <c r="I513" s="10"/>
      <c r="J513" s="10"/>
      <c r="K513" s="10"/>
      <c r="L513" s="10"/>
      <c r="M513" s="10"/>
      <c r="N513" s="10"/>
      <c r="O513" s="10"/>
      <c r="P513" s="10"/>
      <c r="Q513" s="10"/>
      <c r="R513" s="10"/>
      <c r="S513" s="10"/>
      <c r="T513" s="10"/>
      <c r="U513" s="10"/>
      <c r="V513" s="10"/>
      <c r="W513" s="10"/>
      <c r="X513" s="10"/>
      <c r="Y513" s="10"/>
      <c r="Z513" s="10"/>
    </row>
    <row r="514" spans="1:26" ht="20" customHeight="1" x14ac:dyDescent="0.15">
      <c r="A514" s="8"/>
      <c r="B514" s="9"/>
      <c r="C514" s="17"/>
      <c r="D514" s="10"/>
      <c r="E514" s="10"/>
      <c r="F514" s="11"/>
      <c r="G514" s="10"/>
      <c r="H514" s="10"/>
      <c r="I514" s="10"/>
      <c r="J514" s="10"/>
      <c r="K514" s="10"/>
      <c r="L514" s="10"/>
      <c r="M514" s="10"/>
      <c r="N514" s="10"/>
      <c r="O514" s="10"/>
      <c r="P514" s="10"/>
      <c r="Q514" s="10"/>
      <c r="R514" s="10"/>
      <c r="S514" s="10"/>
      <c r="T514" s="10"/>
      <c r="U514" s="10"/>
      <c r="V514" s="10"/>
      <c r="W514" s="10"/>
      <c r="X514" s="10"/>
      <c r="Y514" s="10"/>
      <c r="Z514" s="10"/>
    </row>
    <row r="515" spans="1:26" ht="20" customHeight="1" x14ac:dyDescent="0.15">
      <c r="A515" s="8"/>
      <c r="B515" s="9"/>
      <c r="C515" s="17"/>
      <c r="D515" s="10"/>
      <c r="E515" s="10"/>
      <c r="F515" s="11"/>
      <c r="G515" s="10"/>
      <c r="H515" s="10"/>
      <c r="I515" s="10"/>
      <c r="J515" s="10"/>
      <c r="K515" s="10"/>
      <c r="L515" s="10"/>
      <c r="M515" s="10"/>
      <c r="N515" s="10"/>
      <c r="O515" s="10"/>
      <c r="P515" s="10"/>
      <c r="Q515" s="10"/>
      <c r="R515" s="10"/>
      <c r="S515" s="10"/>
      <c r="T515" s="10"/>
      <c r="U515" s="10"/>
      <c r="V515" s="10"/>
      <c r="W515" s="10"/>
      <c r="X515" s="10"/>
      <c r="Y515" s="10"/>
      <c r="Z515" s="10"/>
    </row>
    <row r="516" spans="1:26" ht="20" customHeight="1" x14ac:dyDescent="0.15">
      <c r="A516" s="8"/>
      <c r="B516" s="9"/>
      <c r="C516" s="17"/>
      <c r="D516" s="10"/>
      <c r="E516" s="10"/>
      <c r="F516" s="11"/>
      <c r="G516" s="10"/>
      <c r="H516" s="10"/>
      <c r="I516" s="10"/>
      <c r="J516" s="10"/>
      <c r="K516" s="10"/>
      <c r="L516" s="10"/>
      <c r="M516" s="10"/>
      <c r="N516" s="10"/>
      <c r="O516" s="10"/>
      <c r="P516" s="10"/>
      <c r="Q516" s="10"/>
      <c r="R516" s="10"/>
      <c r="S516" s="10"/>
      <c r="T516" s="10"/>
      <c r="U516" s="10"/>
      <c r="V516" s="10"/>
      <c r="W516" s="10"/>
      <c r="X516" s="10"/>
      <c r="Y516" s="10"/>
      <c r="Z516" s="10"/>
    </row>
    <row r="517" spans="1:26" ht="20" customHeight="1" x14ac:dyDescent="0.15">
      <c r="A517" s="8"/>
      <c r="B517" s="9"/>
      <c r="C517" s="17"/>
      <c r="D517" s="10"/>
      <c r="E517" s="10"/>
      <c r="F517" s="11"/>
      <c r="G517" s="10"/>
      <c r="H517" s="10"/>
      <c r="I517" s="10"/>
      <c r="J517" s="10"/>
      <c r="K517" s="10"/>
      <c r="L517" s="10"/>
      <c r="M517" s="10"/>
      <c r="N517" s="10"/>
      <c r="O517" s="10"/>
      <c r="P517" s="10"/>
      <c r="Q517" s="10"/>
      <c r="R517" s="10"/>
      <c r="S517" s="10"/>
      <c r="T517" s="10"/>
      <c r="U517" s="10"/>
      <c r="V517" s="10"/>
      <c r="W517" s="10"/>
      <c r="X517" s="10"/>
      <c r="Y517" s="10"/>
      <c r="Z517" s="10"/>
    </row>
    <row r="518" spans="1:26" ht="20" customHeight="1" x14ac:dyDescent="0.15">
      <c r="A518" s="8"/>
      <c r="B518" s="9"/>
      <c r="C518" s="17"/>
      <c r="D518" s="10"/>
      <c r="E518" s="10"/>
      <c r="F518" s="11"/>
      <c r="G518" s="10"/>
      <c r="H518" s="10"/>
      <c r="I518" s="10"/>
      <c r="J518" s="10"/>
      <c r="K518" s="10"/>
      <c r="L518" s="10"/>
      <c r="M518" s="10"/>
      <c r="N518" s="10"/>
      <c r="O518" s="10"/>
      <c r="P518" s="10"/>
      <c r="Q518" s="10"/>
      <c r="R518" s="10"/>
      <c r="S518" s="10"/>
      <c r="T518" s="10"/>
      <c r="U518" s="10"/>
      <c r="V518" s="10"/>
      <c r="W518" s="10"/>
      <c r="X518" s="10"/>
      <c r="Y518" s="10"/>
      <c r="Z518" s="10"/>
    </row>
    <row r="519" spans="1:26" ht="20" customHeight="1" x14ac:dyDescent="0.15">
      <c r="A519" s="8"/>
      <c r="B519" s="9"/>
      <c r="C519" s="17"/>
      <c r="D519" s="10"/>
      <c r="E519" s="10"/>
      <c r="F519" s="11"/>
      <c r="G519" s="10"/>
      <c r="H519" s="10"/>
      <c r="I519" s="10"/>
      <c r="J519" s="10"/>
      <c r="K519" s="10"/>
      <c r="L519" s="10"/>
      <c r="M519" s="10"/>
      <c r="N519" s="10"/>
      <c r="O519" s="10"/>
      <c r="P519" s="10"/>
      <c r="Q519" s="10"/>
      <c r="R519" s="10"/>
      <c r="S519" s="10"/>
      <c r="T519" s="10"/>
      <c r="U519" s="10"/>
      <c r="V519" s="10"/>
      <c r="W519" s="10"/>
      <c r="X519" s="10"/>
      <c r="Y519" s="10"/>
      <c r="Z519" s="10"/>
    </row>
    <row r="520" spans="1:26" ht="20" customHeight="1" x14ac:dyDescent="0.15">
      <c r="A520" s="8"/>
      <c r="B520" s="9"/>
      <c r="C520" s="17"/>
      <c r="D520" s="10"/>
      <c r="E520" s="10"/>
      <c r="F520" s="11"/>
      <c r="G520" s="10"/>
      <c r="H520" s="10"/>
      <c r="I520" s="10"/>
      <c r="J520" s="10"/>
      <c r="K520" s="10"/>
      <c r="L520" s="10"/>
      <c r="M520" s="10"/>
      <c r="N520" s="10"/>
      <c r="O520" s="10"/>
      <c r="P520" s="10"/>
      <c r="Q520" s="10"/>
      <c r="R520" s="10"/>
      <c r="S520" s="10"/>
      <c r="T520" s="10"/>
      <c r="U520" s="10"/>
      <c r="V520" s="10"/>
      <c r="W520" s="10"/>
      <c r="X520" s="10"/>
      <c r="Y520" s="10"/>
      <c r="Z520" s="10"/>
    </row>
    <row r="521" spans="1:26" ht="20" customHeight="1" x14ac:dyDescent="0.15">
      <c r="A521" s="8"/>
      <c r="B521" s="9"/>
      <c r="C521" s="17"/>
      <c r="D521" s="10"/>
      <c r="E521" s="10"/>
      <c r="F521" s="11"/>
      <c r="G521" s="10"/>
      <c r="H521" s="10"/>
      <c r="I521" s="10"/>
      <c r="J521" s="10"/>
      <c r="K521" s="10"/>
      <c r="L521" s="10"/>
      <c r="M521" s="10"/>
      <c r="N521" s="10"/>
      <c r="O521" s="10"/>
      <c r="P521" s="10"/>
      <c r="Q521" s="10"/>
      <c r="R521" s="10"/>
      <c r="S521" s="10"/>
      <c r="T521" s="10"/>
      <c r="U521" s="10"/>
      <c r="V521" s="10"/>
      <c r="W521" s="10"/>
      <c r="X521" s="10"/>
      <c r="Y521" s="10"/>
      <c r="Z521" s="10"/>
    </row>
    <row r="522" spans="1:26" ht="20" customHeight="1" x14ac:dyDescent="0.15">
      <c r="A522" s="8"/>
      <c r="B522" s="9"/>
      <c r="C522" s="17"/>
      <c r="D522" s="10"/>
      <c r="E522" s="10"/>
      <c r="F522" s="11"/>
      <c r="G522" s="10"/>
      <c r="H522" s="10"/>
      <c r="I522" s="10"/>
      <c r="J522" s="10"/>
      <c r="K522" s="10"/>
      <c r="L522" s="10"/>
      <c r="M522" s="10"/>
      <c r="N522" s="10"/>
      <c r="O522" s="10"/>
      <c r="P522" s="10"/>
      <c r="Q522" s="10"/>
      <c r="R522" s="10"/>
      <c r="S522" s="10"/>
      <c r="T522" s="10"/>
      <c r="U522" s="10"/>
      <c r="V522" s="10"/>
      <c r="W522" s="10"/>
      <c r="X522" s="10"/>
      <c r="Y522" s="10"/>
      <c r="Z522" s="10"/>
    </row>
    <row r="523" spans="1:26" ht="20" customHeight="1" x14ac:dyDescent="0.15">
      <c r="A523" s="8"/>
      <c r="B523" s="9"/>
      <c r="C523" s="17"/>
      <c r="D523" s="10"/>
      <c r="E523" s="10"/>
      <c r="F523" s="11"/>
      <c r="G523" s="10"/>
      <c r="H523" s="10"/>
      <c r="I523" s="10"/>
      <c r="J523" s="10"/>
      <c r="K523" s="10"/>
      <c r="L523" s="10"/>
      <c r="M523" s="10"/>
      <c r="N523" s="10"/>
      <c r="O523" s="10"/>
      <c r="P523" s="10"/>
      <c r="Q523" s="10"/>
      <c r="R523" s="10"/>
      <c r="S523" s="10"/>
      <c r="T523" s="10"/>
      <c r="U523" s="10"/>
      <c r="V523" s="10"/>
      <c r="W523" s="10"/>
      <c r="X523" s="10"/>
      <c r="Y523" s="10"/>
      <c r="Z523" s="10"/>
    </row>
    <row r="524" spans="1:26" ht="20" customHeight="1" x14ac:dyDescent="0.15">
      <c r="A524" s="8"/>
      <c r="B524" s="9"/>
      <c r="C524" s="17"/>
      <c r="D524" s="10"/>
      <c r="E524" s="10"/>
      <c r="F524" s="11"/>
      <c r="G524" s="10"/>
      <c r="H524" s="10"/>
      <c r="I524" s="10"/>
      <c r="J524" s="10"/>
      <c r="K524" s="10"/>
      <c r="L524" s="10"/>
      <c r="M524" s="10"/>
      <c r="N524" s="10"/>
      <c r="O524" s="10"/>
      <c r="P524" s="10"/>
      <c r="Q524" s="10"/>
      <c r="R524" s="10"/>
      <c r="S524" s="10"/>
      <c r="T524" s="10"/>
      <c r="U524" s="10"/>
      <c r="V524" s="10"/>
      <c r="W524" s="10"/>
      <c r="X524" s="10"/>
      <c r="Y524" s="10"/>
      <c r="Z524" s="10"/>
    </row>
    <row r="525" spans="1:26" ht="20" customHeight="1" x14ac:dyDescent="0.15">
      <c r="A525" s="8"/>
      <c r="B525" s="9"/>
      <c r="C525" s="17"/>
      <c r="D525" s="10"/>
      <c r="E525" s="10"/>
      <c r="F525" s="11"/>
      <c r="G525" s="10"/>
      <c r="H525" s="10"/>
      <c r="I525" s="10"/>
      <c r="J525" s="10"/>
      <c r="K525" s="10"/>
      <c r="L525" s="10"/>
      <c r="M525" s="10"/>
      <c r="N525" s="10"/>
      <c r="O525" s="10"/>
      <c r="P525" s="10"/>
      <c r="Q525" s="10"/>
      <c r="R525" s="10"/>
      <c r="S525" s="10"/>
      <c r="T525" s="10"/>
      <c r="U525" s="10"/>
      <c r="V525" s="10"/>
      <c r="W525" s="10"/>
      <c r="X525" s="10"/>
      <c r="Y525" s="10"/>
      <c r="Z525" s="10"/>
    </row>
    <row r="526" spans="1:26" ht="20" customHeight="1" x14ac:dyDescent="0.15">
      <c r="A526" s="8"/>
      <c r="B526" s="9"/>
      <c r="C526" s="17"/>
      <c r="D526" s="10"/>
      <c r="E526" s="10"/>
      <c r="F526" s="11"/>
      <c r="G526" s="10"/>
      <c r="H526" s="10"/>
      <c r="I526" s="10"/>
      <c r="J526" s="10"/>
      <c r="K526" s="10"/>
      <c r="L526" s="10"/>
      <c r="M526" s="10"/>
      <c r="N526" s="10"/>
      <c r="O526" s="10"/>
      <c r="P526" s="10"/>
      <c r="Q526" s="10"/>
      <c r="R526" s="10"/>
      <c r="S526" s="10"/>
      <c r="T526" s="10"/>
      <c r="U526" s="10"/>
      <c r="V526" s="10"/>
      <c r="W526" s="10"/>
      <c r="X526" s="10"/>
      <c r="Y526" s="10"/>
      <c r="Z526" s="10"/>
    </row>
    <row r="527" spans="1:26" ht="20" customHeight="1" x14ac:dyDescent="0.15">
      <c r="A527" s="8"/>
      <c r="B527" s="9"/>
      <c r="C527" s="17"/>
      <c r="D527" s="10"/>
      <c r="E527" s="10"/>
      <c r="F527" s="11"/>
      <c r="G527" s="10"/>
      <c r="H527" s="10"/>
      <c r="I527" s="10"/>
      <c r="J527" s="10"/>
      <c r="K527" s="10"/>
      <c r="L527" s="10"/>
      <c r="M527" s="10"/>
      <c r="N527" s="10"/>
      <c r="O527" s="10"/>
      <c r="P527" s="10"/>
      <c r="Q527" s="10"/>
      <c r="R527" s="10"/>
      <c r="S527" s="10"/>
      <c r="T527" s="10"/>
      <c r="U527" s="10"/>
      <c r="V527" s="10"/>
      <c r="W527" s="10"/>
      <c r="X527" s="10"/>
      <c r="Y527" s="10"/>
      <c r="Z527" s="10"/>
    </row>
    <row r="528" spans="1:26" ht="20" customHeight="1" x14ac:dyDescent="0.15">
      <c r="A528" s="8"/>
      <c r="B528" s="9"/>
      <c r="C528" s="17"/>
      <c r="D528" s="10"/>
      <c r="E528" s="10"/>
      <c r="F528" s="11"/>
      <c r="G528" s="10"/>
      <c r="H528" s="10"/>
      <c r="I528" s="10"/>
      <c r="J528" s="10"/>
      <c r="K528" s="10"/>
      <c r="L528" s="10"/>
      <c r="M528" s="10"/>
      <c r="N528" s="10"/>
      <c r="O528" s="10"/>
      <c r="P528" s="10"/>
      <c r="Q528" s="10"/>
      <c r="R528" s="10"/>
      <c r="S528" s="10"/>
      <c r="T528" s="10"/>
      <c r="U528" s="10"/>
      <c r="V528" s="10"/>
      <c r="W528" s="10"/>
      <c r="X528" s="10"/>
      <c r="Y528" s="10"/>
      <c r="Z528" s="10"/>
    </row>
    <row r="529" spans="1:26" ht="20" customHeight="1" x14ac:dyDescent="0.15">
      <c r="A529" s="8"/>
      <c r="B529" s="9"/>
      <c r="C529" s="17"/>
      <c r="D529" s="10"/>
      <c r="E529" s="10"/>
      <c r="F529" s="11"/>
      <c r="G529" s="10"/>
      <c r="H529" s="10"/>
      <c r="I529" s="10"/>
      <c r="J529" s="10"/>
      <c r="K529" s="10"/>
      <c r="L529" s="10"/>
      <c r="M529" s="10"/>
      <c r="N529" s="10"/>
      <c r="O529" s="10"/>
      <c r="P529" s="10"/>
      <c r="Q529" s="10"/>
      <c r="R529" s="10"/>
      <c r="S529" s="10"/>
      <c r="T529" s="10"/>
      <c r="U529" s="10"/>
      <c r="V529" s="10"/>
      <c r="W529" s="10"/>
      <c r="X529" s="10"/>
      <c r="Y529" s="10"/>
      <c r="Z529" s="10"/>
    </row>
    <row r="530" spans="1:26" ht="20" customHeight="1" x14ac:dyDescent="0.15">
      <c r="A530" s="8"/>
      <c r="B530" s="9"/>
      <c r="C530" s="17"/>
      <c r="D530" s="10"/>
      <c r="E530" s="10"/>
      <c r="F530" s="11"/>
      <c r="G530" s="10"/>
      <c r="H530" s="10"/>
      <c r="I530" s="10"/>
      <c r="J530" s="10"/>
      <c r="K530" s="10"/>
      <c r="L530" s="10"/>
      <c r="M530" s="10"/>
      <c r="N530" s="10"/>
      <c r="O530" s="10"/>
      <c r="P530" s="10"/>
      <c r="Q530" s="10"/>
      <c r="R530" s="10"/>
      <c r="S530" s="10"/>
      <c r="T530" s="10"/>
      <c r="U530" s="10"/>
      <c r="V530" s="10"/>
      <c r="W530" s="10"/>
      <c r="X530" s="10"/>
      <c r="Y530" s="10"/>
      <c r="Z530" s="10"/>
    </row>
    <row r="531" spans="1:26" ht="20" customHeight="1" x14ac:dyDescent="0.15">
      <c r="A531" s="8"/>
      <c r="B531" s="9"/>
      <c r="C531" s="17"/>
      <c r="D531" s="10"/>
      <c r="E531" s="10"/>
      <c r="F531" s="11"/>
      <c r="G531" s="10"/>
      <c r="H531" s="10"/>
      <c r="I531" s="10"/>
      <c r="J531" s="10"/>
      <c r="K531" s="10"/>
      <c r="L531" s="10"/>
      <c r="M531" s="10"/>
      <c r="N531" s="10"/>
      <c r="O531" s="10"/>
      <c r="P531" s="10"/>
      <c r="Q531" s="10"/>
      <c r="R531" s="10"/>
      <c r="S531" s="10"/>
      <c r="T531" s="10"/>
      <c r="U531" s="10"/>
      <c r="V531" s="10"/>
      <c r="W531" s="10"/>
      <c r="X531" s="10"/>
      <c r="Y531" s="10"/>
      <c r="Z531" s="10"/>
    </row>
    <row r="532" spans="1:26" ht="20" customHeight="1" x14ac:dyDescent="0.15">
      <c r="A532" s="8"/>
      <c r="B532" s="9"/>
      <c r="C532" s="17"/>
      <c r="D532" s="10"/>
      <c r="E532" s="10"/>
      <c r="F532" s="11"/>
      <c r="G532" s="10"/>
      <c r="H532" s="10"/>
      <c r="I532" s="10"/>
      <c r="J532" s="10"/>
      <c r="K532" s="10"/>
      <c r="L532" s="10"/>
      <c r="M532" s="10"/>
      <c r="N532" s="10"/>
      <c r="O532" s="10"/>
      <c r="P532" s="10"/>
      <c r="Q532" s="10"/>
      <c r="R532" s="10"/>
      <c r="S532" s="10"/>
      <c r="T532" s="10"/>
      <c r="U532" s="10"/>
      <c r="V532" s="10"/>
      <c r="W532" s="10"/>
      <c r="X532" s="10"/>
      <c r="Y532" s="10"/>
      <c r="Z532" s="10"/>
    </row>
    <row r="533" spans="1:26" ht="20" customHeight="1" x14ac:dyDescent="0.15">
      <c r="A533" s="8"/>
      <c r="B533" s="9"/>
      <c r="C533" s="17"/>
      <c r="D533" s="10"/>
      <c r="E533" s="10"/>
      <c r="F533" s="11"/>
      <c r="G533" s="10"/>
      <c r="H533" s="10"/>
      <c r="I533" s="10"/>
      <c r="J533" s="10"/>
      <c r="K533" s="10"/>
      <c r="L533" s="10"/>
      <c r="M533" s="10"/>
      <c r="N533" s="10"/>
      <c r="O533" s="10"/>
      <c r="P533" s="10"/>
      <c r="Q533" s="10"/>
      <c r="R533" s="10"/>
      <c r="S533" s="10"/>
      <c r="T533" s="10"/>
      <c r="U533" s="10"/>
      <c r="V533" s="10"/>
      <c r="W533" s="10"/>
      <c r="X533" s="10"/>
      <c r="Y533" s="10"/>
      <c r="Z533" s="10"/>
    </row>
    <row r="534" spans="1:26" ht="20" customHeight="1" x14ac:dyDescent="0.15">
      <c r="A534" s="8"/>
      <c r="B534" s="9"/>
      <c r="C534" s="17"/>
      <c r="D534" s="10"/>
      <c r="E534" s="10"/>
      <c r="F534" s="11"/>
      <c r="G534" s="10"/>
      <c r="H534" s="10"/>
      <c r="I534" s="10"/>
      <c r="J534" s="10"/>
      <c r="K534" s="10"/>
      <c r="L534" s="10"/>
      <c r="M534" s="10"/>
      <c r="N534" s="10"/>
      <c r="O534" s="10"/>
      <c r="P534" s="10"/>
      <c r="Q534" s="10"/>
      <c r="R534" s="10"/>
      <c r="S534" s="10"/>
      <c r="T534" s="10"/>
      <c r="U534" s="10"/>
      <c r="V534" s="10"/>
      <c r="W534" s="10"/>
      <c r="X534" s="10"/>
      <c r="Y534" s="10"/>
      <c r="Z534" s="10"/>
    </row>
    <row r="535" spans="1:26" ht="20" customHeight="1" x14ac:dyDescent="0.15">
      <c r="A535" s="8"/>
      <c r="B535" s="9"/>
      <c r="C535" s="17"/>
      <c r="D535" s="10"/>
      <c r="E535" s="10"/>
      <c r="F535" s="11"/>
      <c r="G535" s="10"/>
      <c r="H535" s="10"/>
      <c r="I535" s="10"/>
      <c r="J535" s="10"/>
      <c r="K535" s="10"/>
      <c r="L535" s="10"/>
      <c r="M535" s="10"/>
      <c r="N535" s="10"/>
      <c r="O535" s="10"/>
      <c r="P535" s="10"/>
      <c r="Q535" s="10"/>
      <c r="R535" s="10"/>
      <c r="S535" s="10"/>
      <c r="T535" s="10"/>
      <c r="U535" s="10"/>
      <c r="V535" s="10"/>
      <c r="W535" s="10"/>
      <c r="X535" s="10"/>
      <c r="Y535" s="10"/>
      <c r="Z535" s="10"/>
    </row>
    <row r="536" spans="1:26" ht="20" customHeight="1" x14ac:dyDescent="0.15">
      <c r="A536" s="8"/>
      <c r="B536" s="9"/>
      <c r="C536" s="17"/>
      <c r="D536" s="10"/>
      <c r="E536" s="10"/>
      <c r="F536" s="11"/>
      <c r="G536" s="10"/>
      <c r="H536" s="10"/>
      <c r="I536" s="10"/>
      <c r="J536" s="10"/>
      <c r="K536" s="10"/>
      <c r="L536" s="10"/>
      <c r="M536" s="10"/>
      <c r="N536" s="10"/>
      <c r="O536" s="10"/>
      <c r="P536" s="10"/>
      <c r="Q536" s="10"/>
      <c r="R536" s="10"/>
      <c r="S536" s="10"/>
      <c r="T536" s="10"/>
      <c r="U536" s="10"/>
      <c r="V536" s="10"/>
      <c r="W536" s="10"/>
      <c r="X536" s="10"/>
      <c r="Y536" s="10"/>
      <c r="Z536" s="10"/>
    </row>
    <row r="537" spans="1:26" ht="20" customHeight="1" x14ac:dyDescent="0.15">
      <c r="A537" s="8"/>
      <c r="B537" s="9"/>
      <c r="C537" s="17"/>
      <c r="D537" s="10"/>
      <c r="E537" s="10"/>
      <c r="F537" s="11"/>
      <c r="G537" s="10"/>
      <c r="H537" s="10"/>
      <c r="I537" s="10"/>
      <c r="J537" s="10"/>
      <c r="K537" s="10"/>
      <c r="L537" s="10"/>
      <c r="M537" s="10"/>
      <c r="N537" s="10"/>
      <c r="O537" s="10"/>
      <c r="P537" s="10"/>
      <c r="Q537" s="10"/>
      <c r="R537" s="10"/>
      <c r="S537" s="10"/>
      <c r="T537" s="10"/>
      <c r="U537" s="10"/>
      <c r="V537" s="10"/>
      <c r="W537" s="10"/>
      <c r="X537" s="10"/>
      <c r="Y537" s="10"/>
      <c r="Z537" s="10"/>
    </row>
    <row r="538" spans="1:26" ht="20" customHeight="1" x14ac:dyDescent="0.15">
      <c r="A538" s="8"/>
      <c r="B538" s="9"/>
      <c r="C538" s="17"/>
      <c r="D538" s="10"/>
      <c r="E538" s="10"/>
      <c r="F538" s="11"/>
      <c r="G538" s="10"/>
      <c r="H538" s="10"/>
      <c r="I538" s="10"/>
      <c r="J538" s="10"/>
      <c r="K538" s="10"/>
      <c r="L538" s="10"/>
      <c r="M538" s="10"/>
      <c r="N538" s="10"/>
      <c r="O538" s="10"/>
      <c r="P538" s="10"/>
      <c r="Q538" s="10"/>
      <c r="R538" s="10"/>
      <c r="S538" s="10"/>
      <c r="T538" s="10"/>
      <c r="U538" s="10"/>
      <c r="V538" s="10"/>
      <c r="W538" s="10"/>
      <c r="X538" s="10"/>
      <c r="Y538" s="10"/>
      <c r="Z538" s="10"/>
    </row>
    <row r="539" spans="1:26" ht="20" customHeight="1" x14ac:dyDescent="0.15">
      <c r="A539" s="8"/>
      <c r="B539" s="9"/>
      <c r="C539" s="17"/>
      <c r="D539" s="10"/>
      <c r="E539" s="10"/>
      <c r="F539" s="11"/>
      <c r="G539" s="10"/>
      <c r="H539" s="10"/>
      <c r="I539" s="10"/>
      <c r="J539" s="10"/>
      <c r="K539" s="10"/>
      <c r="L539" s="10"/>
      <c r="M539" s="10"/>
      <c r="N539" s="10"/>
      <c r="O539" s="10"/>
      <c r="P539" s="10"/>
      <c r="Q539" s="10"/>
      <c r="R539" s="10"/>
      <c r="S539" s="10"/>
      <c r="T539" s="10"/>
      <c r="U539" s="10"/>
      <c r="V539" s="10"/>
      <c r="W539" s="10"/>
      <c r="X539" s="10"/>
      <c r="Y539" s="10"/>
      <c r="Z539" s="10"/>
    </row>
    <row r="540" spans="1:26" ht="20" customHeight="1" x14ac:dyDescent="0.15">
      <c r="A540" s="8"/>
      <c r="B540" s="9"/>
      <c r="C540" s="17"/>
      <c r="D540" s="10"/>
      <c r="E540" s="10"/>
      <c r="F540" s="11"/>
      <c r="G540" s="10"/>
      <c r="H540" s="10"/>
      <c r="I540" s="10"/>
      <c r="J540" s="10"/>
      <c r="K540" s="10"/>
      <c r="L540" s="10"/>
      <c r="M540" s="10"/>
      <c r="N540" s="10"/>
      <c r="O540" s="10"/>
      <c r="P540" s="10"/>
      <c r="Q540" s="10"/>
      <c r="R540" s="10"/>
      <c r="S540" s="10"/>
      <c r="T540" s="10"/>
      <c r="U540" s="10"/>
      <c r="V540" s="10"/>
      <c r="W540" s="10"/>
      <c r="X540" s="10"/>
      <c r="Y540" s="10"/>
      <c r="Z540" s="10"/>
    </row>
    <row r="541" spans="1:26" ht="20" customHeight="1" x14ac:dyDescent="0.15">
      <c r="A541" s="8"/>
      <c r="B541" s="9"/>
      <c r="C541" s="17"/>
      <c r="D541" s="10"/>
      <c r="E541" s="10"/>
      <c r="F541" s="11"/>
      <c r="G541" s="10"/>
      <c r="H541" s="10"/>
      <c r="I541" s="10"/>
      <c r="J541" s="10"/>
      <c r="K541" s="10"/>
      <c r="L541" s="10"/>
      <c r="M541" s="10"/>
      <c r="N541" s="10"/>
      <c r="O541" s="10"/>
      <c r="P541" s="10"/>
      <c r="Q541" s="10"/>
      <c r="R541" s="10"/>
      <c r="S541" s="10"/>
      <c r="T541" s="10"/>
      <c r="U541" s="10"/>
      <c r="V541" s="10"/>
      <c r="W541" s="10"/>
      <c r="X541" s="10"/>
      <c r="Y541" s="10"/>
      <c r="Z541" s="10"/>
    </row>
    <row r="542" spans="1:26" ht="20" customHeight="1" x14ac:dyDescent="0.15">
      <c r="A542" s="8"/>
      <c r="B542" s="9"/>
      <c r="C542" s="17"/>
      <c r="D542" s="10"/>
      <c r="E542" s="10"/>
      <c r="F542" s="11"/>
      <c r="G542" s="10"/>
      <c r="H542" s="10"/>
      <c r="I542" s="10"/>
      <c r="J542" s="10"/>
      <c r="K542" s="10"/>
      <c r="L542" s="10"/>
      <c r="M542" s="10"/>
      <c r="N542" s="10"/>
      <c r="O542" s="10"/>
      <c r="P542" s="10"/>
      <c r="Q542" s="10"/>
      <c r="R542" s="10"/>
      <c r="S542" s="10"/>
      <c r="T542" s="10"/>
      <c r="U542" s="10"/>
      <c r="V542" s="10"/>
      <c r="W542" s="10"/>
      <c r="X542" s="10"/>
      <c r="Y542" s="10"/>
      <c r="Z542" s="10"/>
    </row>
    <row r="543" spans="1:26" ht="20" customHeight="1" x14ac:dyDescent="0.15">
      <c r="A543" s="8"/>
      <c r="B543" s="9"/>
      <c r="C543" s="17"/>
      <c r="D543" s="10"/>
      <c r="E543" s="10"/>
      <c r="F543" s="11"/>
      <c r="G543" s="10"/>
      <c r="H543" s="10"/>
      <c r="I543" s="10"/>
      <c r="J543" s="10"/>
      <c r="K543" s="10"/>
      <c r="L543" s="10"/>
      <c r="M543" s="10"/>
      <c r="N543" s="10"/>
      <c r="O543" s="10"/>
      <c r="P543" s="10"/>
      <c r="Q543" s="10"/>
      <c r="R543" s="10"/>
      <c r="S543" s="10"/>
      <c r="T543" s="10"/>
      <c r="U543" s="10"/>
      <c r="V543" s="10"/>
      <c r="W543" s="10"/>
      <c r="X543" s="10"/>
      <c r="Y543" s="10"/>
      <c r="Z543" s="10"/>
    </row>
    <row r="544" spans="1:26" ht="20" customHeight="1" x14ac:dyDescent="0.15">
      <c r="A544" s="8"/>
      <c r="B544" s="9"/>
      <c r="C544" s="17"/>
      <c r="D544" s="10"/>
      <c r="E544" s="10"/>
      <c r="F544" s="11"/>
      <c r="G544" s="10"/>
      <c r="H544" s="10"/>
      <c r="I544" s="10"/>
      <c r="J544" s="10"/>
      <c r="K544" s="10"/>
      <c r="L544" s="10"/>
      <c r="M544" s="10"/>
      <c r="N544" s="10"/>
      <c r="O544" s="10"/>
      <c r="P544" s="10"/>
      <c r="Q544" s="10"/>
      <c r="R544" s="10"/>
      <c r="S544" s="10"/>
      <c r="T544" s="10"/>
      <c r="U544" s="10"/>
      <c r="V544" s="10"/>
      <c r="W544" s="10"/>
      <c r="X544" s="10"/>
      <c r="Y544" s="10"/>
      <c r="Z544" s="10"/>
    </row>
    <row r="545" spans="1:26" ht="20" customHeight="1" x14ac:dyDescent="0.15">
      <c r="A545" s="8"/>
      <c r="B545" s="9"/>
      <c r="C545" s="17"/>
      <c r="D545" s="10"/>
      <c r="E545" s="10"/>
      <c r="F545" s="11"/>
      <c r="G545" s="10"/>
      <c r="H545" s="10"/>
      <c r="I545" s="10"/>
      <c r="J545" s="10"/>
      <c r="K545" s="10"/>
      <c r="L545" s="10"/>
      <c r="M545" s="10"/>
      <c r="N545" s="10"/>
      <c r="O545" s="10"/>
      <c r="P545" s="10"/>
      <c r="Q545" s="10"/>
      <c r="R545" s="10"/>
      <c r="S545" s="10"/>
      <c r="T545" s="10"/>
      <c r="U545" s="10"/>
      <c r="V545" s="10"/>
      <c r="W545" s="10"/>
      <c r="X545" s="10"/>
      <c r="Y545" s="10"/>
      <c r="Z545" s="10"/>
    </row>
    <row r="546" spans="1:26" ht="20" customHeight="1" x14ac:dyDescent="0.15">
      <c r="A546" s="8"/>
      <c r="B546" s="9"/>
      <c r="C546" s="17"/>
      <c r="D546" s="10"/>
      <c r="E546" s="10"/>
      <c r="F546" s="11"/>
      <c r="G546" s="10"/>
      <c r="H546" s="10"/>
      <c r="I546" s="10"/>
      <c r="J546" s="10"/>
      <c r="K546" s="10"/>
      <c r="L546" s="10"/>
      <c r="M546" s="10"/>
      <c r="N546" s="10"/>
      <c r="O546" s="10"/>
      <c r="P546" s="10"/>
      <c r="Q546" s="10"/>
      <c r="R546" s="10"/>
      <c r="S546" s="10"/>
      <c r="T546" s="10"/>
      <c r="U546" s="10"/>
      <c r="V546" s="10"/>
      <c r="W546" s="10"/>
      <c r="X546" s="10"/>
      <c r="Y546" s="10"/>
      <c r="Z546" s="10"/>
    </row>
    <row r="547" spans="1:26" ht="20" customHeight="1" x14ac:dyDescent="0.15">
      <c r="A547" s="8"/>
      <c r="B547" s="9"/>
      <c r="C547" s="17"/>
      <c r="D547" s="10"/>
      <c r="E547" s="10"/>
      <c r="F547" s="11"/>
      <c r="G547" s="10"/>
      <c r="H547" s="10"/>
      <c r="I547" s="10"/>
      <c r="J547" s="10"/>
      <c r="K547" s="10"/>
      <c r="L547" s="10"/>
      <c r="M547" s="10"/>
      <c r="N547" s="10"/>
      <c r="O547" s="10"/>
      <c r="P547" s="10"/>
      <c r="Q547" s="10"/>
      <c r="R547" s="10"/>
      <c r="S547" s="10"/>
      <c r="T547" s="10"/>
      <c r="U547" s="10"/>
      <c r="V547" s="10"/>
      <c r="W547" s="10"/>
      <c r="X547" s="10"/>
      <c r="Y547" s="10"/>
      <c r="Z547" s="10"/>
    </row>
    <row r="548" spans="1:26" ht="20" customHeight="1" x14ac:dyDescent="0.15">
      <c r="A548" s="8"/>
      <c r="B548" s="9"/>
      <c r="C548" s="17"/>
      <c r="D548" s="10"/>
      <c r="E548" s="10"/>
      <c r="F548" s="11"/>
      <c r="G548" s="10"/>
      <c r="H548" s="10"/>
      <c r="I548" s="10"/>
      <c r="J548" s="10"/>
      <c r="K548" s="10"/>
      <c r="L548" s="10"/>
      <c r="M548" s="10"/>
      <c r="N548" s="10"/>
      <c r="O548" s="10"/>
      <c r="P548" s="10"/>
      <c r="Q548" s="10"/>
      <c r="R548" s="10"/>
      <c r="S548" s="10"/>
      <c r="T548" s="10"/>
      <c r="U548" s="10"/>
      <c r="V548" s="10"/>
      <c r="W548" s="10"/>
      <c r="X548" s="10"/>
      <c r="Y548" s="10"/>
      <c r="Z548" s="10"/>
    </row>
    <row r="549" spans="1:26" ht="20" customHeight="1" x14ac:dyDescent="0.15">
      <c r="A549" s="8"/>
      <c r="B549" s="9"/>
      <c r="C549" s="17"/>
      <c r="D549" s="10"/>
      <c r="E549" s="10"/>
      <c r="F549" s="11"/>
      <c r="G549" s="10"/>
      <c r="H549" s="10"/>
      <c r="I549" s="10"/>
      <c r="J549" s="10"/>
      <c r="K549" s="10"/>
      <c r="L549" s="10"/>
      <c r="M549" s="10"/>
      <c r="N549" s="10"/>
      <c r="O549" s="10"/>
      <c r="P549" s="10"/>
      <c r="Q549" s="10"/>
      <c r="R549" s="10"/>
      <c r="S549" s="10"/>
      <c r="T549" s="10"/>
      <c r="U549" s="10"/>
      <c r="V549" s="10"/>
      <c r="W549" s="10"/>
      <c r="X549" s="10"/>
      <c r="Y549" s="10"/>
      <c r="Z549" s="10"/>
    </row>
    <row r="550" spans="1:26" ht="20" customHeight="1" x14ac:dyDescent="0.15">
      <c r="A550" s="8"/>
      <c r="B550" s="9"/>
      <c r="C550" s="17"/>
      <c r="D550" s="10"/>
      <c r="E550" s="10"/>
      <c r="F550" s="11"/>
      <c r="G550" s="10"/>
      <c r="H550" s="10"/>
      <c r="I550" s="10"/>
      <c r="J550" s="10"/>
      <c r="K550" s="10"/>
      <c r="L550" s="10"/>
      <c r="M550" s="10"/>
      <c r="N550" s="10"/>
      <c r="O550" s="10"/>
      <c r="P550" s="10"/>
      <c r="Q550" s="10"/>
      <c r="R550" s="10"/>
      <c r="S550" s="10"/>
      <c r="T550" s="10"/>
      <c r="U550" s="10"/>
      <c r="V550" s="10"/>
      <c r="W550" s="10"/>
      <c r="X550" s="10"/>
      <c r="Y550" s="10"/>
      <c r="Z550" s="10"/>
    </row>
    <row r="551" spans="1:26" ht="20" customHeight="1" x14ac:dyDescent="0.15">
      <c r="A551" s="8"/>
      <c r="B551" s="9"/>
      <c r="C551" s="17"/>
      <c r="D551" s="10"/>
      <c r="E551" s="10"/>
      <c r="F551" s="11"/>
      <c r="G551" s="10"/>
      <c r="H551" s="10"/>
      <c r="I551" s="10"/>
      <c r="J551" s="10"/>
      <c r="K551" s="10"/>
      <c r="L551" s="10"/>
      <c r="M551" s="10"/>
      <c r="N551" s="10"/>
      <c r="O551" s="10"/>
      <c r="P551" s="10"/>
      <c r="Q551" s="10"/>
      <c r="R551" s="10"/>
      <c r="S551" s="10"/>
      <c r="T551" s="10"/>
      <c r="U551" s="10"/>
      <c r="V551" s="10"/>
      <c r="W551" s="10"/>
      <c r="X551" s="10"/>
      <c r="Y551" s="10"/>
      <c r="Z551" s="10"/>
    </row>
    <row r="552" spans="1:26" ht="20" customHeight="1" x14ac:dyDescent="0.15">
      <c r="A552" s="8"/>
      <c r="B552" s="9"/>
      <c r="C552" s="17"/>
      <c r="D552" s="10"/>
      <c r="E552" s="10"/>
      <c r="F552" s="11"/>
      <c r="G552" s="10"/>
      <c r="H552" s="10"/>
      <c r="I552" s="10"/>
      <c r="J552" s="10"/>
      <c r="K552" s="10"/>
      <c r="L552" s="10"/>
      <c r="M552" s="10"/>
      <c r="N552" s="10"/>
      <c r="O552" s="10"/>
      <c r="P552" s="10"/>
      <c r="Q552" s="10"/>
      <c r="R552" s="10"/>
      <c r="S552" s="10"/>
      <c r="T552" s="10"/>
      <c r="U552" s="10"/>
      <c r="V552" s="10"/>
      <c r="W552" s="10"/>
      <c r="X552" s="10"/>
      <c r="Y552" s="10"/>
      <c r="Z552" s="10"/>
    </row>
    <row r="553" spans="1:26" ht="20" customHeight="1" x14ac:dyDescent="0.15">
      <c r="A553" s="8"/>
      <c r="B553" s="9"/>
      <c r="C553" s="17"/>
      <c r="D553" s="10"/>
      <c r="E553" s="10"/>
      <c r="F553" s="11"/>
      <c r="G553" s="10"/>
      <c r="H553" s="10"/>
      <c r="I553" s="10"/>
      <c r="J553" s="10"/>
      <c r="K553" s="10"/>
      <c r="L553" s="10"/>
      <c r="M553" s="10"/>
      <c r="N553" s="10"/>
      <c r="O553" s="10"/>
      <c r="P553" s="10"/>
      <c r="Q553" s="10"/>
      <c r="R553" s="10"/>
      <c r="S553" s="10"/>
      <c r="T553" s="10"/>
      <c r="U553" s="10"/>
      <c r="V553" s="10"/>
      <c r="W553" s="10"/>
      <c r="X553" s="10"/>
      <c r="Y553" s="10"/>
      <c r="Z553" s="10"/>
    </row>
    <row r="554" spans="1:26" ht="20" customHeight="1" x14ac:dyDescent="0.15">
      <c r="A554" s="8"/>
      <c r="B554" s="9"/>
      <c r="C554" s="17"/>
      <c r="D554" s="10"/>
      <c r="E554" s="10"/>
      <c r="F554" s="11"/>
      <c r="G554" s="10"/>
      <c r="H554" s="10"/>
      <c r="I554" s="10"/>
      <c r="J554" s="10"/>
      <c r="K554" s="10"/>
      <c r="L554" s="10"/>
      <c r="M554" s="10"/>
      <c r="N554" s="10"/>
      <c r="O554" s="10"/>
      <c r="P554" s="10"/>
      <c r="Q554" s="10"/>
      <c r="R554" s="10"/>
      <c r="S554" s="10"/>
      <c r="T554" s="10"/>
      <c r="U554" s="10"/>
      <c r="V554" s="10"/>
      <c r="W554" s="10"/>
      <c r="X554" s="10"/>
      <c r="Y554" s="10"/>
      <c r="Z554" s="10"/>
    </row>
    <row r="555" spans="1:26" ht="20" customHeight="1" x14ac:dyDescent="0.15">
      <c r="A555" s="8"/>
      <c r="B555" s="9"/>
      <c r="C555" s="17"/>
      <c r="D555" s="10"/>
      <c r="E555" s="10"/>
      <c r="F555" s="11"/>
      <c r="G555" s="10"/>
      <c r="H555" s="10"/>
      <c r="I555" s="10"/>
      <c r="J555" s="10"/>
      <c r="K555" s="10"/>
      <c r="L555" s="10"/>
      <c r="M555" s="10"/>
      <c r="N555" s="10"/>
      <c r="O555" s="10"/>
      <c r="P555" s="10"/>
      <c r="Q555" s="10"/>
      <c r="R555" s="10"/>
      <c r="S555" s="10"/>
      <c r="T555" s="10"/>
      <c r="U555" s="10"/>
      <c r="V555" s="10"/>
      <c r="W555" s="10"/>
      <c r="X555" s="10"/>
      <c r="Y555" s="10"/>
      <c r="Z555" s="10"/>
    </row>
    <row r="556" spans="1:26" ht="20" customHeight="1" x14ac:dyDescent="0.15">
      <c r="A556" s="8"/>
      <c r="B556" s="9"/>
      <c r="C556" s="17"/>
      <c r="D556" s="10"/>
      <c r="E556" s="10"/>
      <c r="F556" s="11"/>
      <c r="G556" s="10"/>
      <c r="H556" s="10"/>
      <c r="I556" s="10"/>
      <c r="J556" s="10"/>
      <c r="K556" s="10"/>
      <c r="L556" s="10"/>
      <c r="M556" s="10"/>
      <c r="N556" s="10"/>
      <c r="O556" s="10"/>
      <c r="P556" s="10"/>
      <c r="Q556" s="10"/>
      <c r="R556" s="10"/>
      <c r="S556" s="10"/>
      <c r="T556" s="10"/>
      <c r="U556" s="10"/>
      <c r="V556" s="10"/>
      <c r="W556" s="10"/>
      <c r="X556" s="10"/>
      <c r="Y556" s="10"/>
      <c r="Z556" s="10"/>
    </row>
    <row r="557" spans="1:26" ht="20" customHeight="1" x14ac:dyDescent="0.15">
      <c r="A557" s="8"/>
      <c r="B557" s="9"/>
      <c r="C557" s="17"/>
      <c r="D557" s="10"/>
      <c r="E557" s="10"/>
      <c r="F557" s="11"/>
      <c r="G557" s="10"/>
      <c r="H557" s="10"/>
      <c r="I557" s="10"/>
      <c r="J557" s="10"/>
      <c r="K557" s="10"/>
      <c r="L557" s="10"/>
      <c r="M557" s="10"/>
      <c r="N557" s="10"/>
      <c r="O557" s="10"/>
      <c r="P557" s="10"/>
      <c r="Q557" s="10"/>
      <c r="R557" s="10"/>
      <c r="S557" s="10"/>
      <c r="T557" s="10"/>
      <c r="U557" s="10"/>
      <c r="V557" s="10"/>
      <c r="W557" s="10"/>
      <c r="X557" s="10"/>
      <c r="Y557" s="10"/>
      <c r="Z557" s="10"/>
    </row>
    <row r="558" spans="1:26" ht="20" customHeight="1" x14ac:dyDescent="0.15">
      <c r="A558" s="8"/>
      <c r="B558" s="9"/>
      <c r="C558" s="17"/>
      <c r="D558" s="10"/>
      <c r="E558" s="10"/>
      <c r="F558" s="11"/>
      <c r="G558" s="10"/>
      <c r="H558" s="10"/>
      <c r="I558" s="10"/>
      <c r="J558" s="10"/>
      <c r="K558" s="10"/>
      <c r="L558" s="10"/>
      <c r="M558" s="10"/>
      <c r="N558" s="10"/>
      <c r="O558" s="10"/>
      <c r="P558" s="10"/>
      <c r="Q558" s="10"/>
      <c r="R558" s="10"/>
      <c r="S558" s="10"/>
      <c r="T558" s="10"/>
      <c r="U558" s="10"/>
      <c r="V558" s="10"/>
      <c r="W558" s="10"/>
      <c r="X558" s="10"/>
      <c r="Y558" s="10"/>
      <c r="Z558" s="10"/>
    </row>
    <row r="559" spans="1:26" ht="20" customHeight="1" x14ac:dyDescent="0.15">
      <c r="A559" s="8"/>
      <c r="B559" s="9"/>
      <c r="C559" s="17"/>
      <c r="D559" s="10"/>
      <c r="E559" s="10"/>
      <c r="F559" s="11"/>
      <c r="G559" s="10"/>
      <c r="H559" s="10"/>
      <c r="I559" s="10"/>
      <c r="J559" s="10"/>
      <c r="K559" s="10"/>
      <c r="L559" s="10"/>
      <c r="M559" s="10"/>
      <c r="N559" s="10"/>
      <c r="O559" s="10"/>
      <c r="P559" s="10"/>
      <c r="Q559" s="10"/>
      <c r="R559" s="10"/>
      <c r="S559" s="10"/>
      <c r="T559" s="10"/>
      <c r="U559" s="10"/>
      <c r="V559" s="10"/>
      <c r="W559" s="10"/>
      <c r="X559" s="10"/>
      <c r="Y559" s="10"/>
      <c r="Z559" s="10"/>
    </row>
    <row r="560" spans="1:26" ht="20" customHeight="1" x14ac:dyDescent="0.15">
      <c r="A560" s="8"/>
      <c r="B560" s="9"/>
      <c r="C560" s="17"/>
      <c r="D560" s="10"/>
      <c r="E560" s="10"/>
      <c r="F560" s="11"/>
      <c r="G560" s="10"/>
      <c r="H560" s="10"/>
      <c r="I560" s="10"/>
      <c r="J560" s="10"/>
      <c r="K560" s="10"/>
      <c r="L560" s="10"/>
      <c r="M560" s="10"/>
      <c r="N560" s="10"/>
      <c r="O560" s="10"/>
      <c r="P560" s="10"/>
      <c r="Q560" s="10"/>
      <c r="R560" s="10"/>
      <c r="S560" s="10"/>
      <c r="T560" s="10"/>
      <c r="U560" s="10"/>
      <c r="V560" s="10"/>
      <c r="W560" s="10"/>
      <c r="X560" s="10"/>
      <c r="Y560" s="10"/>
      <c r="Z560" s="10"/>
    </row>
    <row r="561" spans="1:26" ht="20" customHeight="1" x14ac:dyDescent="0.15">
      <c r="A561" s="8"/>
      <c r="B561" s="9"/>
      <c r="C561" s="17"/>
      <c r="D561" s="10"/>
      <c r="E561" s="10"/>
      <c r="F561" s="11"/>
      <c r="G561" s="10"/>
      <c r="H561" s="10"/>
      <c r="I561" s="10"/>
      <c r="J561" s="10"/>
      <c r="K561" s="10"/>
      <c r="L561" s="10"/>
      <c r="M561" s="10"/>
      <c r="N561" s="10"/>
      <c r="O561" s="10"/>
      <c r="P561" s="10"/>
      <c r="Q561" s="10"/>
      <c r="R561" s="10"/>
      <c r="S561" s="10"/>
      <c r="T561" s="10"/>
      <c r="U561" s="10"/>
      <c r="V561" s="10"/>
      <c r="W561" s="10"/>
      <c r="X561" s="10"/>
      <c r="Y561" s="10"/>
      <c r="Z561" s="10"/>
    </row>
    <row r="562" spans="1:26" ht="20" customHeight="1" x14ac:dyDescent="0.15">
      <c r="A562" s="8"/>
      <c r="B562" s="9"/>
      <c r="C562" s="17"/>
      <c r="D562" s="10"/>
      <c r="E562" s="10"/>
      <c r="F562" s="11"/>
      <c r="G562" s="10"/>
      <c r="H562" s="10"/>
      <c r="I562" s="10"/>
      <c r="J562" s="10"/>
      <c r="K562" s="10"/>
      <c r="L562" s="10"/>
      <c r="M562" s="10"/>
      <c r="N562" s="10"/>
      <c r="O562" s="10"/>
      <c r="P562" s="10"/>
      <c r="Q562" s="10"/>
      <c r="R562" s="10"/>
      <c r="S562" s="10"/>
      <c r="T562" s="10"/>
      <c r="U562" s="10"/>
      <c r="V562" s="10"/>
      <c r="W562" s="10"/>
      <c r="X562" s="10"/>
      <c r="Y562" s="10"/>
      <c r="Z562" s="10"/>
    </row>
    <row r="563" spans="1:26" ht="20" customHeight="1" x14ac:dyDescent="0.15">
      <c r="A563" s="8"/>
      <c r="B563" s="9"/>
      <c r="C563" s="17"/>
      <c r="D563" s="10"/>
      <c r="E563" s="10"/>
      <c r="F563" s="11"/>
      <c r="G563" s="10"/>
      <c r="H563" s="10"/>
      <c r="I563" s="10"/>
      <c r="J563" s="10"/>
      <c r="K563" s="10"/>
      <c r="L563" s="10"/>
      <c r="M563" s="10"/>
      <c r="N563" s="10"/>
      <c r="O563" s="10"/>
      <c r="P563" s="10"/>
      <c r="Q563" s="10"/>
      <c r="R563" s="10"/>
      <c r="S563" s="10"/>
      <c r="T563" s="10"/>
      <c r="U563" s="10"/>
      <c r="V563" s="10"/>
      <c r="W563" s="10"/>
      <c r="X563" s="10"/>
      <c r="Y563" s="10"/>
      <c r="Z563" s="10"/>
    </row>
    <row r="564" spans="1:26" ht="20" customHeight="1" x14ac:dyDescent="0.15">
      <c r="A564" s="8"/>
      <c r="B564" s="9"/>
      <c r="C564" s="17"/>
      <c r="D564" s="10"/>
      <c r="E564" s="10"/>
      <c r="F564" s="11"/>
      <c r="G564" s="10"/>
      <c r="H564" s="10"/>
      <c r="I564" s="10"/>
      <c r="J564" s="10"/>
      <c r="K564" s="10"/>
      <c r="L564" s="10"/>
      <c r="M564" s="10"/>
      <c r="N564" s="10"/>
      <c r="O564" s="10"/>
      <c r="P564" s="10"/>
      <c r="Q564" s="10"/>
      <c r="R564" s="10"/>
      <c r="S564" s="10"/>
      <c r="T564" s="10"/>
      <c r="U564" s="10"/>
      <c r="V564" s="10"/>
      <c r="W564" s="10"/>
      <c r="X564" s="10"/>
      <c r="Y564" s="10"/>
      <c r="Z564" s="10"/>
    </row>
    <row r="565" spans="1:26" ht="20" customHeight="1" x14ac:dyDescent="0.15">
      <c r="A565" s="8"/>
      <c r="B565" s="9"/>
      <c r="C565" s="17"/>
      <c r="D565" s="10"/>
      <c r="E565" s="10"/>
      <c r="F565" s="11"/>
      <c r="G565" s="10"/>
      <c r="H565" s="10"/>
      <c r="I565" s="10"/>
      <c r="J565" s="10"/>
      <c r="K565" s="10"/>
      <c r="L565" s="10"/>
      <c r="M565" s="10"/>
      <c r="N565" s="10"/>
      <c r="O565" s="10"/>
      <c r="P565" s="10"/>
      <c r="Q565" s="10"/>
      <c r="R565" s="10"/>
      <c r="S565" s="10"/>
      <c r="T565" s="10"/>
      <c r="U565" s="10"/>
      <c r="V565" s="10"/>
      <c r="W565" s="10"/>
      <c r="X565" s="10"/>
      <c r="Y565" s="10"/>
      <c r="Z565" s="10"/>
    </row>
    <row r="566" spans="1:26" ht="20" customHeight="1" x14ac:dyDescent="0.15">
      <c r="A566" s="8"/>
      <c r="B566" s="9"/>
      <c r="C566" s="17"/>
      <c r="D566" s="10"/>
      <c r="E566" s="10"/>
      <c r="F566" s="11"/>
      <c r="G566" s="10"/>
      <c r="H566" s="10"/>
      <c r="I566" s="10"/>
      <c r="J566" s="10"/>
      <c r="K566" s="10"/>
      <c r="L566" s="10"/>
      <c r="M566" s="10"/>
      <c r="N566" s="10"/>
      <c r="O566" s="10"/>
      <c r="P566" s="10"/>
      <c r="Q566" s="10"/>
      <c r="R566" s="10"/>
      <c r="S566" s="10"/>
      <c r="T566" s="10"/>
      <c r="U566" s="10"/>
      <c r="V566" s="10"/>
      <c r="W566" s="10"/>
      <c r="X566" s="10"/>
      <c r="Y566" s="10"/>
      <c r="Z566" s="10"/>
    </row>
    <row r="567" spans="1:26" ht="20" customHeight="1" x14ac:dyDescent="0.15">
      <c r="A567" s="8"/>
      <c r="B567" s="9"/>
      <c r="C567" s="17"/>
      <c r="D567" s="10"/>
      <c r="E567" s="10"/>
      <c r="F567" s="11"/>
      <c r="G567" s="10"/>
      <c r="H567" s="10"/>
      <c r="I567" s="10"/>
      <c r="J567" s="10"/>
      <c r="K567" s="10"/>
      <c r="L567" s="10"/>
      <c r="M567" s="10"/>
      <c r="N567" s="10"/>
      <c r="O567" s="10"/>
      <c r="P567" s="10"/>
      <c r="Q567" s="10"/>
      <c r="R567" s="10"/>
      <c r="S567" s="10"/>
      <c r="T567" s="10"/>
      <c r="U567" s="10"/>
      <c r="V567" s="10"/>
      <c r="W567" s="10"/>
      <c r="X567" s="10"/>
      <c r="Y567" s="10"/>
      <c r="Z567" s="10"/>
    </row>
    <row r="568" spans="1:26" ht="20" customHeight="1" x14ac:dyDescent="0.15">
      <c r="A568" s="8"/>
      <c r="B568" s="9"/>
      <c r="C568" s="17"/>
      <c r="D568" s="10"/>
      <c r="E568" s="10"/>
      <c r="F568" s="11"/>
      <c r="G568" s="10"/>
      <c r="H568" s="10"/>
      <c r="I568" s="10"/>
      <c r="J568" s="10"/>
      <c r="K568" s="10"/>
      <c r="L568" s="10"/>
      <c r="M568" s="10"/>
      <c r="N568" s="10"/>
      <c r="O568" s="10"/>
      <c r="P568" s="10"/>
      <c r="Q568" s="10"/>
      <c r="R568" s="10"/>
      <c r="S568" s="10"/>
      <c r="T568" s="10"/>
      <c r="U568" s="10"/>
      <c r="V568" s="10"/>
      <c r="W568" s="10"/>
      <c r="X568" s="10"/>
      <c r="Y568" s="10"/>
      <c r="Z568" s="10"/>
    </row>
    <row r="569" spans="1:26" ht="20" customHeight="1" x14ac:dyDescent="0.15">
      <c r="A569" s="8"/>
      <c r="B569" s="9"/>
      <c r="C569" s="17"/>
      <c r="D569" s="10"/>
      <c r="E569" s="10"/>
      <c r="F569" s="11"/>
      <c r="G569" s="10"/>
      <c r="H569" s="10"/>
      <c r="I569" s="10"/>
      <c r="J569" s="10"/>
      <c r="K569" s="10"/>
      <c r="L569" s="10"/>
      <c r="M569" s="10"/>
      <c r="N569" s="10"/>
      <c r="O569" s="10"/>
      <c r="P569" s="10"/>
      <c r="Q569" s="10"/>
      <c r="R569" s="10"/>
      <c r="S569" s="10"/>
      <c r="T569" s="10"/>
      <c r="U569" s="10"/>
      <c r="V569" s="10"/>
      <c r="W569" s="10"/>
      <c r="X569" s="10"/>
      <c r="Y569" s="10"/>
      <c r="Z569" s="10"/>
    </row>
    <row r="570" spans="1:26" ht="20" customHeight="1" x14ac:dyDescent="0.15">
      <c r="A570" s="8"/>
      <c r="B570" s="9"/>
      <c r="C570" s="17"/>
      <c r="D570" s="10"/>
      <c r="E570" s="10"/>
      <c r="F570" s="11"/>
      <c r="G570" s="10"/>
      <c r="H570" s="10"/>
      <c r="I570" s="10"/>
      <c r="J570" s="10"/>
      <c r="K570" s="10"/>
      <c r="L570" s="10"/>
      <c r="M570" s="10"/>
      <c r="N570" s="10"/>
      <c r="O570" s="10"/>
      <c r="P570" s="10"/>
      <c r="Q570" s="10"/>
      <c r="R570" s="10"/>
      <c r="S570" s="10"/>
      <c r="T570" s="10"/>
      <c r="U570" s="10"/>
      <c r="V570" s="10"/>
      <c r="W570" s="10"/>
      <c r="X570" s="10"/>
      <c r="Y570" s="10"/>
      <c r="Z570" s="10"/>
    </row>
    <row r="571" spans="1:26" ht="20" customHeight="1" x14ac:dyDescent="0.15">
      <c r="A571" s="8"/>
      <c r="B571" s="9"/>
      <c r="C571" s="17"/>
      <c r="D571" s="10"/>
      <c r="E571" s="10"/>
      <c r="F571" s="11"/>
      <c r="G571" s="10"/>
      <c r="H571" s="10"/>
      <c r="I571" s="10"/>
      <c r="J571" s="10"/>
      <c r="K571" s="10"/>
      <c r="L571" s="10"/>
      <c r="M571" s="10"/>
      <c r="N571" s="10"/>
      <c r="O571" s="10"/>
      <c r="P571" s="10"/>
      <c r="Q571" s="10"/>
      <c r="R571" s="10"/>
      <c r="S571" s="10"/>
      <c r="T571" s="10"/>
      <c r="U571" s="10"/>
      <c r="V571" s="10"/>
      <c r="W571" s="10"/>
      <c r="X571" s="10"/>
      <c r="Y571" s="10"/>
      <c r="Z571" s="10"/>
    </row>
    <row r="572" spans="1:26" ht="20" customHeight="1" x14ac:dyDescent="0.15">
      <c r="A572" s="8"/>
      <c r="B572" s="9"/>
      <c r="C572" s="17"/>
      <c r="D572" s="10"/>
      <c r="E572" s="10"/>
      <c r="F572" s="11"/>
      <c r="G572" s="10"/>
      <c r="H572" s="10"/>
      <c r="I572" s="10"/>
      <c r="J572" s="10"/>
      <c r="K572" s="10"/>
      <c r="L572" s="10"/>
      <c r="M572" s="10"/>
      <c r="N572" s="10"/>
      <c r="O572" s="10"/>
      <c r="P572" s="10"/>
      <c r="Q572" s="10"/>
      <c r="R572" s="10"/>
      <c r="S572" s="10"/>
      <c r="T572" s="10"/>
      <c r="U572" s="10"/>
      <c r="V572" s="10"/>
      <c r="W572" s="10"/>
      <c r="X572" s="10"/>
      <c r="Y572" s="10"/>
      <c r="Z572" s="10"/>
    </row>
    <row r="573" spans="1:26" ht="20" customHeight="1" x14ac:dyDescent="0.15">
      <c r="A573" s="8"/>
      <c r="B573" s="9"/>
      <c r="C573" s="17"/>
      <c r="D573" s="10"/>
      <c r="E573" s="10"/>
      <c r="F573" s="11"/>
      <c r="G573" s="10"/>
      <c r="H573" s="10"/>
      <c r="I573" s="10"/>
      <c r="J573" s="10"/>
      <c r="K573" s="10"/>
      <c r="L573" s="10"/>
      <c r="M573" s="10"/>
      <c r="N573" s="10"/>
      <c r="O573" s="10"/>
      <c r="P573" s="10"/>
      <c r="Q573" s="10"/>
      <c r="R573" s="10"/>
      <c r="S573" s="10"/>
      <c r="T573" s="10"/>
      <c r="U573" s="10"/>
      <c r="V573" s="10"/>
      <c r="W573" s="10"/>
      <c r="X573" s="10"/>
      <c r="Y573" s="10"/>
      <c r="Z573" s="10"/>
    </row>
    <row r="574" spans="1:26" ht="20" customHeight="1" x14ac:dyDescent="0.15">
      <c r="A574" s="8"/>
      <c r="B574" s="9"/>
      <c r="C574" s="17"/>
      <c r="D574" s="10"/>
      <c r="E574" s="10"/>
      <c r="F574" s="11"/>
      <c r="G574" s="10"/>
      <c r="H574" s="10"/>
      <c r="I574" s="10"/>
      <c r="J574" s="10"/>
      <c r="K574" s="10"/>
      <c r="L574" s="10"/>
      <c r="M574" s="10"/>
      <c r="N574" s="10"/>
      <c r="O574" s="10"/>
      <c r="P574" s="10"/>
      <c r="Q574" s="10"/>
      <c r="R574" s="10"/>
      <c r="S574" s="10"/>
      <c r="T574" s="10"/>
      <c r="U574" s="10"/>
      <c r="V574" s="10"/>
      <c r="W574" s="10"/>
      <c r="X574" s="10"/>
      <c r="Y574" s="10"/>
      <c r="Z574" s="10"/>
    </row>
    <row r="575" spans="1:26" ht="20" customHeight="1" x14ac:dyDescent="0.15">
      <c r="A575" s="8"/>
      <c r="B575" s="9"/>
      <c r="C575" s="17"/>
      <c r="D575" s="10"/>
      <c r="E575" s="10"/>
      <c r="F575" s="11"/>
      <c r="G575" s="10"/>
      <c r="H575" s="10"/>
      <c r="I575" s="10"/>
      <c r="J575" s="10"/>
      <c r="K575" s="10"/>
      <c r="L575" s="10"/>
      <c r="M575" s="10"/>
      <c r="N575" s="10"/>
      <c r="O575" s="10"/>
      <c r="P575" s="10"/>
      <c r="Q575" s="10"/>
      <c r="R575" s="10"/>
      <c r="S575" s="10"/>
      <c r="T575" s="10"/>
      <c r="U575" s="10"/>
      <c r="V575" s="10"/>
      <c r="W575" s="10"/>
      <c r="X575" s="10"/>
      <c r="Y575" s="10"/>
      <c r="Z575" s="10"/>
    </row>
    <row r="576" spans="1:26" ht="20" customHeight="1" x14ac:dyDescent="0.15">
      <c r="A576" s="8"/>
      <c r="B576" s="9"/>
      <c r="C576" s="17"/>
      <c r="D576" s="10"/>
      <c r="E576" s="10"/>
      <c r="F576" s="11"/>
      <c r="G576" s="10"/>
      <c r="H576" s="10"/>
      <c r="I576" s="10"/>
      <c r="J576" s="10"/>
      <c r="K576" s="10"/>
      <c r="L576" s="10"/>
      <c r="M576" s="10"/>
      <c r="N576" s="10"/>
      <c r="O576" s="10"/>
      <c r="P576" s="10"/>
      <c r="Q576" s="10"/>
      <c r="R576" s="10"/>
      <c r="S576" s="10"/>
      <c r="T576" s="10"/>
      <c r="U576" s="10"/>
      <c r="V576" s="10"/>
      <c r="W576" s="10"/>
      <c r="X576" s="10"/>
      <c r="Y576" s="10"/>
      <c r="Z576" s="10"/>
    </row>
    <row r="577" spans="1:26" ht="20" customHeight="1" x14ac:dyDescent="0.15">
      <c r="A577" s="8"/>
      <c r="B577" s="9"/>
      <c r="C577" s="17"/>
      <c r="D577" s="10"/>
      <c r="E577" s="10"/>
      <c r="F577" s="11"/>
      <c r="G577" s="10"/>
      <c r="H577" s="10"/>
      <c r="I577" s="10"/>
      <c r="J577" s="10"/>
      <c r="K577" s="10"/>
      <c r="L577" s="10"/>
      <c r="M577" s="10"/>
      <c r="N577" s="10"/>
      <c r="O577" s="10"/>
      <c r="P577" s="10"/>
      <c r="Q577" s="10"/>
      <c r="R577" s="10"/>
      <c r="S577" s="10"/>
      <c r="T577" s="10"/>
      <c r="U577" s="10"/>
      <c r="V577" s="10"/>
      <c r="W577" s="10"/>
      <c r="X577" s="10"/>
      <c r="Y577" s="10"/>
      <c r="Z577" s="10"/>
    </row>
    <row r="578" spans="1:26" ht="20" customHeight="1" x14ac:dyDescent="0.15">
      <c r="A578" s="8"/>
      <c r="B578" s="9"/>
      <c r="C578" s="17"/>
      <c r="D578" s="10"/>
      <c r="E578" s="10"/>
      <c r="F578" s="11"/>
      <c r="G578" s="10"/>
      <c r="H578" s="10"/>
      <c r="I578" s="10"/>
      <c r="J578" s="10"/>
      <c r="K578" s="10"/>
      <c r="L578" s="10"/>
      <c r="M578" s="10"/>
      <c r="N578" s="10"/>
      <c r="O578" s="10"/>
      <c r="P578" s="10"/>
      <c r="Q578" s="10"/>
      <c r="R578" s="10"/>
      <c r="S578" s="10"/>
      <c r="T578" s="10"/>
      <c r="U578" s="10"/>
      <c r="V578" s="10"/>
      <c r="W578" s="10"/>
      <c r="X578" s="10"/>
      <c r="Y578" s="10"/>
      <c r="Z578" s="10"/>
    </row>
    <row r="579" spans="1:26" ht="20" customHeight="1" x14ac:dyDescent="0.15">
      <c r="A579" s="8"/>
      <c r="B579" s="9"/>
      <c r="C579" s="17"/>
      <c r="D579" s="10"/>
      <c r="E579" s="10"/>
      <c r="F579" s="11"/>
      <c r="G579" s="10"/>
      <c r="H579" s="10"/>
      <c r="I579" s="10"/>
      <c r="J579" s="10"/>
      <c r="K579" s="10"/>
      <c r="L579" s="10"/>
      <c r="M579" s="10"/>
      <c r="N579" s="10"/>
      <c r="O579" s="10"/>
      <c r="P579" s="10"/>
      <c r="Q579" s="10"/>
      <c r="R579" s="10"/>
      <c r="S579" s="10"/>
      <c r="T579" s="10"/>
      <c r="U579" s="10"/>
      <c r="V579" s="10"/>
      <c r="W579" s="10"/>
      <c r="X579" s="10"/>
      <c r="Y579" s="10"/>
      <c r="Z579" s="10"/>
    </row>
    <row r="580" spans="1:26" ht="20" customHeight="1" x14ac:dyDescent="0.15">
      <c r="A580" s="8"/>
      <c r="B580" s="9"/>
      <c r="C580" s="17"/>
      <c r="D580" s="10"/>
      <c r="E580" s="10"/>
      <c r="F580" s="11"/>
      <c r="G580" s="10"/>
      <c r="H580" s="10"/>
      <c r="I580" s="10"/>
      <c r="J580" s="10"/>
      <c r="K580" s="10"/>
      <c r="L580" s="10"/>
      <c r="M580" s="10"/>
      <c r="N580" s="10"/>
      <c r="O580" s="10"/>
      <c r="P580" s="10"/>
      <c r="Q580" s="10"/>
      <c r="R580" s="10"/>
      <c r="S580" s="10"/>
      <c r="T580" s="10"/>
      <c r="U580" s="10"/>
      <c r="V580" s="10"/>
      <c r="W580" s="10"/>
      <c r="X580" s="10"/>
      <c r="Y580" s="10"/>
      <c r="Z580" s="10"/>
    </row>
    <row r="581" spans="1:26" ht="20" customHeight="1" x14ac:dyDescent="0.15">
      <c r="A581" s="8"/>
      <c r="B581" s="9"/>
      <c r="C581" s="17"/>
      <c r="D581" s="10"/>
      <c r="E581" s="10"/>
      <c r="F581" s="11"/>
      <c r="G581" s="10"/>
      <c r="H581" s="10"/>
      <c r="I581" s="10"/>
      <c r="J581" s="10"/>
      <c r="K581" s="10"/>
      <c r="L581" s="10"/>
      <c r="M581" s="10"/>
      <c r="N581" s="10"/>
      <c r="O581" s="10"/>
      <c r="P581" s="10"/>
      <c r="Q581" s="10"/>
      <c r="R581" s="10"/>
      <c r="S581" s="10"/>
      <c r="T581" s="10"/>
      <c r="U581" s="10"/>
      <c r="V581" s="10"/>
      <c r="W581" s="10"/>
      <c r="X581" s="10"/>
      <c r="Y581" s="10"/>
      <c r="Z581" s="10"/>
    </row>
    <row r="582" spans="1:26" ht="20" customHeight="1" x14ac:dyDescent="0.15">
      <c r="A582" s="8"/>
      <c r="B582" s="9"/>
      <c r="C582" s="17"/>
      <c r="D582" s="10"/>
      <c r="E582" s="10"/>
      <c r="F582" s="11"/>
      <c r="G582" s="10"/>
      <c r="H582" s="10"/>
      <c r="I582" s="10"/>
      <c r="J582" s="10"/>
      <c r="K582" s="10"/>
      <c r="L582" s="10"/>
      <c r="M582" s="10"/>
      <c r="N582" s="10"/>
      <c r="O582" s="10"/>
      <c r="P582" s="10"/>
      <c r="Q582" s="10"/>
      <c r="R582" s="10"/>
      <c r="S582" s="10"/>
      <c r="T582" s="10"/>
      <c r="U582" s="10"/>
      <c r="V582" s="10"/>
      <c r="W582" s="10"/>
      <c r="X582" s="10"/>
      <c r="Y582" s="10"/>
      <c r="Z582" s="10"/>
    </row>
    <row r="583" spans="1:26" ht="20" customHeight="1" x14ac:dyDescent="0.15">
      <c r="A583" s="8"/>
      <c r="B583" s="9"/>
      <c r="C583" s="17"/>
      <c r="D583" s="10"/>
      <c r="E583" s="10"/>
      <c r="F583" s="11"/>
      <c r="G583" s="10"/>
      <c r="H583" s="10"/>
      <c r="I583" s="10"/>
      <c r="J583" s="10"/>
      <c r="K583" s="10"/>
      <c r="L583" s="10"/>
      <c r="M583" s="10"/>
      <c r="N583" s="10"/>
      <c r="O583" s="10"/>
      <c r="P583" s="10"/>
      <c r="Q583" s="10"/>
      <c r="R583" s="10"/>
      <c r="S583" s="10"/>
      <c r="T583" s="10"/>
      <c r="U583" s="10"/>
      <c r="V583" s="10"/>
      <c r="W583" s="10"/>
      <c r="X583" s="10"/>
      <c r="Y583" s="10"/>
      <c r="Z583" s="10"/>
    </row>
    <row r="584" spans="1:26" ht="20" customHeight="1" x14ac:dyDescent="0.15">
      <c r="A584" s="8"/>
      <c r="B584" s="9"/>
      <c r="C584" s="17"/>
      <c r="D584" s="10"/>
      <c r="E584" s="10"/>
      <c r="F584" s="11"/>
      <c r="G584" s="10"/>
      <c r="H584" s="10"/>
      <c r="I584" s="10"/>
      <c r="J584" s="10"/>
      <c r="K584" s="10"/>
      <c r="L584" s="10"/>
      <c r="M584" s="10"/>
      <c r="N584" s="10"/>
      <c r="O584" s="10"/>
      <c r="P584" s="10"/>
      <c r="Q584" s="10"/>
      <c r="R584" s="10"/>
      <c r="S584" s="10"/>
      <c r="T584" s="10"/>
      <c r="U584" s="10"/>
      <c r="V584" s="10"/>
      <c r="W584" s="10"/>
      <c r="X584" s="10"/>
      <c r="Y584" s="10"/>
      <c r="Z584" s="10"/>
    </row>
    <row r="585" spans="1:26" ht="20" customHeight="1" x14ac:dyDescent="0.15">
      <c r="A585" s="8"/>
      <c r="B585" s="9"/>
      <c r="C585" s="17"/>
      <c r="D585" s="10"/>
      <c r="E585" s="10"/>
      <c r="F585" s="11"/>
      <c r="G585" s="10"/>
      <c r="H585" s="10"/>
      <c r="I585" s="10"/>
      <c r="J585" s="10"/>
      <c r="K585" s="10"/>
      <c r="L585" s="10"/>
      <c r="M585" s="10"/>
      <c r="N585" s="10"/>
      <c r="O585" s="10"/>
      <c r="P585" s="10"/>
      <c r="Q585" s="10"/>
      <c r="R585" s="10"/>
      <c r="S585" s="10"/>
      <c r="T585" s="10"/>
      <c r="U585" s="10"/>
      <c r="V585" s="10"/>
      <c r="W585" s="10"/>
      <c r="X585" s="10"/>
      <c r="Y585" s="10"/>
      <c r="Z585" s="10"/>
    </row>
    <row r="586" spans="1:26" ht="20" customHeight="1" x14ac:dyDescent="0.15">
      <c r="A586" s="8"/>
      <c r="B586" s="9"/>
      <c r="C586" s="17"/>
      <c r="D586" s="10"/>
      <c r="E586" s="10"/>
      <c r="F586" s="11"/>
      <c r="G586" s="10"/>
      <c r="H586" s="10"/>
      <c r="I586" s="10"/>
      <c r="J586" s="10"/>
      <c r="K586" s="10"/>
      <c r="L586" s="10"/>
      <c r="M586" s="10"/>
      <c r="N586" s="10"/>
      <c r="O586" s="10"/>
      <c r="P586" s="10"/>
      <c r="Q586" s="10"/>
      <c r="R586" s="10"/>
      <c r="S586" s="10"/>
      <c r="T586" s="10"/>
      <c r="U586" s="10"/>
      <c r="V586" s="10"/>
      <c r="W586" s="10"/>
      <c r="X586" s="10"/>
      <c r="Y586" s="10"/>
      <c r="Z586" s="10"/>
    </row>
    <row r="587" spans="1:26" ht="20" customHeight="1" x14ac:dyDescent="0.15">
      <c r="A587" s="8"/>
      <c r="B587" s="9"/>
      <c r="C587" s="17"/>
      <c r="D587" s="10"/>
      <c r="E587" s="10"/>
      <c r="F587" s="11"/>
      <c r="G587" s="10"/>
      <c r="H587" s="10"/>
      <c r="I587" s="10"/>
      <c r="J587" s="10"/>
      <c r="K587" s="10"/>
      <c r="L587" s="10"/>
      <c r="M587" s="10"/>
      <c r="N587" s="10"/>
      <c r="O587" s="10"/>
      <c r="P587" s="10"/>
      <c r="Q587" s="10"/>
      <c r="R587" s="10"/>
      <c r="S587" s="10"/>
      <c r="T587" s="10"/>
      <c r="U587" s="10"/>
      <c r="V587" s="10"/>
      <c r="W587" s="10"/>
      <c r="X587" s="10"/>
      <c r="Y587" s="10"/>
      <c r="Z587" s="10"/>
    </row>
    <row r="588" spans="1:26" ht="20" customHeight="1" x14ac:dyDescent="0.15">
      <c r="A588" s="8"/>
      <c r="B588" s="9"/>
      <c r="C588" s="17"/>
      <c r="D588" s="10"/>
      <c r="E588" s="10"/>
      <c r="F588" s="11"/>
      <c r="G588" s="10"/>
      <c r="H588" s="10"/>
      <c r="I588" s="10"/>
      <c r="J588" s="10"/>
      <c r="K588" s="10"/>
      <c r="L588" s="10"/>
      <c r="M588" s="10"/>
      <c r="N588" s="10"/>
      <c r="O588" s="10"/>
      <c r="P588" s="10"/>
      <c r="Q588" s="10"/>
      <c r="R588" s="10"/>
      <c r="S588" s="10"/>
      <c r="T588" s="10"/>
      <c r="U588" s="10"/>
      <c r="V588" s="10"/>
      <c r="W588" s="10"/>
      <c r="X588" s="10"/>
      <c r="Y588" s="10"/>
      <c r="Z588" s="10"/>
    </row>
    <row r="589" spans="1:26" ht="20" customHeight="1" x14ac:dyDescent="0.15">
      <c r="A589" s="8"/>
      <c r="B589" s="9"/>
      <c r="C589" s="17"/>
      <c r="D589" s="10"/>
      <c r="E589" s="10"/>
      <c r="F589" s="11"/>
      <c r="G589" s="10"/>
      <c r="H589" s="10"/>
      <c r="I589" s="10"/>
      <c r="J589" s="10"/>
      <c r="K589" s="10"/>
      <c r="L589" s="10"/>
      <c r="M589" s="10"/>
      <c r="N589" s="10"/>
      <c r="O589" s="10"/>
      <c r="P589" s="10"/>
      <c r="Q589" s="10"/>
      <c r="R589" s="10"/>
      <c r="S589" s="10"/>
      <c r="T589" s="10"/>
      <c r="U589" s="10"/>
      <c r="V589" s="10"/>
      <c r="W589" s="10"/>
      <c r="X589" s="10"/>
      <c r="Y589" s="10"/>
      <c r="Z589" s="10"/>
    </row>
    <row r="590" spans="1:26" ht="20" customHeight="1" x14ac:dyDescent="0.15">
      <c r="A590" s="8"/>
      <c r="B590" s="9"/>
      <c r="C590" s="17"/>
      <c r="D590" s="10"/>
      <c r="E590" s="10"/>
      <c r="F590" s="11"/>
      <c r="G590" s="10"/>
      <c r="H590" s="10"/>
      <c r="I590" s="10"/>
      <c r="J590" s="10"/>
      <c r="K590" s="10"/>
      <c r="L590" s="10"/>
      <c r="M590" s="10"/>
      <c r="N590" s="10"/>
      <c r="O590" s="10"/>
      <c r="P590" s="10"/>
      <c r="Q590" s="10"/>
      <c r="R590" s="10"/>
      <c r="S590" s="10"/>
      <c r="T590" s="10"/>
      <c r="U590" s="10"/>
      <c r="V590" s="10"/>
      <c r="W590" s="10"/>
      <c r="X590" s="10"/>
      <c r="Y590" s="10"/>
      <c r="Z590" s="10"/>
    </row>
    <row r="591" spans="1:26" ht="20" customHeight="1" x14ac:dyDescent="0.15">
      <c r="A591" s="8"/>
      <c r="B591" s="9"/>
      <c r="C591" s="17"/>
      <c r="D591" s="10"/>
      <c r="E591" s="10"/>
      <c r="F591" s="11"/>
      <c r="G591" s="10"/>
      <c r="H591" s="10"/>
      <c r="I591" s="10"/>
      <c r="J591" s="10"/>
      <c r="K591" s="10"/>
      <c r="L591" s="10"/>
      <c r="M591" s="10"/>
      <c r="N591" s="10"/>
      <c r="O591" s="10"/>
      <c r="P591" s="10"/>
      <c r="Q591" s="10"/>
      <c r="R591" s="10"/>
      <c r="S591" s="10"/>
      <c r="T591" s="10"/>
      <c r="U591" s="10"/>
      <c r="V591" s="10"/>
      <c r="W591" s="10"/>
      <c r="X591" s="10"/>
      <c r="Y591" s="10"/>
      <c r="Z591" s="10"/>
    </row>
    <row r="592" spans="1:26" ht="20" customHeight="1" x14ac:dyDescent="0.15">
      <c r="A592" s="8"/>
      <c r="B592" s="9"/>
      <c r="C592" s="17"/>
      <c r="D592" s="10"/>
      <c r="E592" s="10"/>
      <c r="F592" s="11"/>
      <c r="G592" s="10"/>
      <c r="H592" s="10"/>
      <c r="I592" s="10"/>
      <c r="J592" s="10"/>
      <c r="K592" s="10"/>
      <c r="L592" s="10"/>
      <c r="M592" s="10"/>
      <c r="N592" s="10"/>
      <c r="O592" s="10"/>
      <c r="P592" s="10"/>
      <c r="Q592" s="10"/>
      <c r="R592" s="10"/>
      <c r="S592" s="10"/>
      <c r="T592" s="10"/>
      <c r="U592" s="10"/>
      <c r="V592" s="10"/>
      <c r="W592" s="10"/>
      <c r="X592" s="10"/>
      <c r="Y592" s="10"/>
      <c r="Z592" s="10"/>
    </row>
    <row r="593" spans="1:26" ht="20" customHeight="1" x14ac:dyDescent="0.15">
      <c r="A593" s="8"/>
      <c r="B593" s="9"/>
      <c r="C593" s="17"/>
      <c r="D593" s="10"/>
      <c r="E593" s="10"/>
      <c r="F593" s="11"/>
      <c r="G593" s="10"/>
      <c r="H593" s="10"/>
      <c r="I593" s="10"/>
      <c r="J593" s="10"/>
      <c r="K593" s="10"/>
      <c r="L593" s="10"/>
      <c r="M593" s="10"/>
      <c r="N593" s="10"/>
      <c r="O593" s="10"/>
      <c r="P593" s="10"/>
      <c r="Q593" s="10"/>
      <c r="R593" s="10"/>
      <c r="S593" s="10"/>
      <c r="T593" s="10"/>
      <c r="U593" s="10"/>
      <c r="V593" s="10"/>
      <c r="W593" s="10"/>
      <c r="X593" s="10"/>
      <c r="Y593" s="10"/>
      <c r="Z593" s="10"/>
    </row>
    <row r="594" spans="1:26" ht="20" customHeight="1" x14ac:dyDescent="0.15">
      <c r="A594" s="8"/>
      <c r="B594" s="9"/>
      <c r="C594" s="17"/>
      <c r="D594" s="10"/>
      <c r="E594" s="10"/>
      <c r="F594" s="11"/>
      <c r="G594" s="10"/>
      <c r="H594" s="10"/>
      <c r="I594" s="10"/>
      <c r="J594" s="10"/>
      <c r="K594" s="10"/>
      <c r="L594" s="10"/>
      <c r="M594" s="10"/>
      <c r="N594" s="10"/>
      <c r="O594" s="10"/>
      <c r="P594" s="10"/>
      <c r="Q594" s="10"/>
      <c r="R594" s="10"/>
      <c r="S594" s="10"/>
      <c r="T594" s="10"/>
      <c r="U594" s="10"/>
      <c r="V594" s="10"/>
      <c r="W594" s="10"/>
      <c r="X594" s="10"/>
      <c r="Y594" s="10"/>
      <c r="Z594" s="10"/>
    </row>
    <row r="595" spans="1:26" ht="20" customHeight="1" x14ac:dyDescent="0.15">
      <c r="A595" s="8"/>
      <c r="B595" s="9"/>
      <c r="C595" s="17"/>
      <c r="D595" s="10"/>
      <c r="E595" s="10"/>
      <c r="F595" s="11"/>
      <c r="G595" s="10"/>
      <c r="H595" s="10"/>
      <c r="I595" s="10"/>
      <c r="J595" s="10"/>
      <c r="K595" s="10"/>
      <c r="L595" s="10"/>
      <c r="M595" s="10"/>
      <c r="N595" s="10"/>
      <c r="O595" s="10"/>
      <c r="P595" s="10"/>
      <c r="Q595" s="10"/>
      <c r="R595" s="10"/>
      <c r="S595" s="10"/>
      <c r="T595" s="10"/>
      <c r="U595" s="10"/>
      <c r="V595" s="10"/>
      <c r="W595" s="10"/>
      <c r="X595" s="10"/>
      <c r="Y595" s="10"/>
      <c r="Z595" s="10"/>
    </row>
    <row r="596" spans="1:26" ht="20" customHeight="1" x14ac:dyDescent="0.15">
      <c r="A596" s="8"/>
      <c r="B596" s="9"/>
      <c r="C596" s="17"/>
      <c r="D596" s="10"/>
      <c r="E596" s="10"/>
      <c r="F596" s="11"/>
      <c r="G596" s="10"/>
      <c r="H596" s="10"/>
      <c r="I596" s="10"/>
      <c r="J596" s="10"/>
      <c r="K596" s="10"/>
      <c r="L596" s="10"/>
      <c r="M596" s="10"/>
      <c r="N596" s="10"/>
      <c r="O596" s="10"/>
      <c r="P596" s="10"/>
      <c r="Q596" s="10"/>
      <c r="R596" s="10"/>
      <c r="S596" s="10"/>
      <c r="T596" s="10"/>
      <c r="U596" s="10"/>
      <c r="V596" s="10"/>
      <c r="W596" s="10"/>
      <c r="X596" s="10"/>
      <c r="Y596" s="10"/>
      <c r="Z596" s="10"/>
    </row>
    <row r="597" spans="1:26" ht="20" customHeight="1" x14ac:dyDescent="0.15">
      <c r="A597" s="8"/>
      <c r="B597" s="9"/>
      <c r="C597" s="17"/>
      <c r="D597" s="10"/>
      <c r="E597" s="10"/>
      <c r="F597" s="11"/>
      <c r="G597" s="10"/>
      <c r="H597" s="10"/>
      <c r="I597" s="10"/>
      <c r="J597" s="10"/>
      <c r="K597" s="10"/>
      <c r="L597" s="10"/>
      <c r="M597" s="10"/>
      <c r="N597" s="10"/>
      <c r="O597" s="10"/>
      <c r="P597" s="10"/>
      <c r="Q597" s="10"/>
      <c r="R597" s="10"/>
      <c r="S597" s="10"/>
      <c r="T597" s="10"/>
      <c r="U597" s="10"/>
      <c r="V597" s="10"/>
      <c r="W597" s="10"/>
      <c r="X597" s="10"/>
      <c r="Y597" s="10"/>
      <c r="Z597" s="10"/>
    </row>
    <row r="598" spans="1:26" ht="20" customHeight="1" x14ac:dyDescent="0.15">
      <c r="A598" s="8"/>
      <c r="B598" s="9"/>
      <c r="C598" s="17"/>
      <c r="D598" s="10"/>
      <c r="E598" s="10"/>
      <c r="F598" s="11"/>
      <c r="G598" s="10"/>
      <c r="H598" s="10"/>
      <c r="I598" s="10"/>
      <c r="J598" s="10"/>
      <c r="K598" s="10"/>
      <c r="L598" s="10"/>
      <c r="M598" s="10"/>
      <c r="N598" s="10"/>
      <c r="O598" s="10"/>
      <c r="P598" s="10"/>
      <c r="Q598" s="10"/>
      <c r="R598" s="10"/>
      <c r="S598" s="10"/>
      <c r="T598" s="10"/>
      <c r="U598" s="10"/>
      <c r="V598" s="10"/>
      <c r="W598" s="10"/>
      <c r="X598" s="10"/>
      <c r="Y598" s="10"/>
      <c r="Z598" s="10"/>
    </row>
    <row r="599" spans="1:26" ht="20" customHeight="1" x14ac:dyDescent="0.15">
      <c r="A599" s="8"/>
      <c r="B599" s="9"/>
      <c r="C599" s="17"/>
      <c r="D599" s="10"/>
      <c r="E599" s="10"/>
      <c r="F599" s="11"/>
      <c r="G599" s="10"/>
      <c r="H599" s="10"/>
      <c r="I599" s="10"/>
      <c r="J599" s="10"/>
      <c r="K599" s="10"/>
      <c r="L599" s="10"/>
      <c r="M599" s="10"/>
      <c r="N599" s="10"/>
      <c r="O599" s="10"/>
      <c r="P599" s="10"/>
      <c r="Q599" s="10"/>
      <c r="R599" s="10"/>
      <c r="S599" s="10"/>
      <c r="T599" s="10"/>
      <c r="U599" s="10"/>
      <c r="V599" s="10"/>
      <c r="W599" s="10"/>
      <c r="X599" s="10"/>
      <c r="Y599" s="10"/>
      <c r="Z599" s="10"/>
    </row>
    <row r="600" spans="1:26" ht="20" customHeight="1" x14ac:dyDescent="0.15">
      <c r="A600" s="8"/>
      <c r="B600" s="9"/>
      <c r="C600" s="17"/>
      <c r="D600" s="10"/>
      <c r="E600" s="10"/>
      <c r="F600" s="11"/>
      <c r="G600" s="10"/>
      <c r="H600" s="10"/>
      <c r="I600" s="10"/>
      <c r="J600" s="10"/>
      <c r="K600" s="10"/>
      <c r="L600" s="10"/>
      <c r="M600" s="10"/>
      <c r="N600" s="10"/>
      <c r="O600" s="10"/>
      <c r="P600" s="10"/>
      <c r="Q600" s="10"/>
      <c r="R600" s="10"/>
      <c r="S600" s="10"/>
      <c r="T600" s="10"/>
      <c r="U600" s="10"/>
      <c r="V600" s="10"/>
      <c r="W600" s="10"/>
      <c r="X600" s="10"/>
      <c r="Y600" s="10"/>
      <c r="Z600" s="10"/>
    </row>
    <row r="601" spans="1:26" ht="20" customHeight="1" x14ac:dyDescent="0.15">
      <c r="A601" s="8"/>
      <c r="B601" s="9"/>
      <c r="C601" s="17"/>
      <c r="D601" s="10"/>
      <c r="E601" s="10"/>
      <c r="F601" s="11"/>
      <c r="G601" s="10"/>
      <c r="H601" s="10"/>
      <c r="I601" s="10"/>
      <c r="J601" s="10"/>
      <c r="K601" s="10"/>
      <c r="L601" s="10"/>
      <c r="M601" s="10"/>
      <c r="N601" s="10"/>
      <c r="O601" s="10"/>
      <c r="P601" s="10"/>
      <c r="Q601" s="10"/>
      <c r="R601" s="10"/>
      <c r="S601" s="10"/>
      <c r="T601" s="10"/>
      <c r="U601" s="10"/>
      <c r="V601" s="10"/>
      <c r="W601" s="10"/>
      <c r="X601" s="10"/>
      <c r="Y601" s="10"/>
      <c r="Z601" s="10"/>
    </row>
    <row r="602" spans="1:26" ht="20" customHeight="1" x14ac:dyDescent="0.15">
      <c r="A602" s="8"/>
      <c r="B602" s="9"/>
      <c r="C602" s="17"/>
      <c r="D602" s="10"/>
      <c r="E602" s="10"/>
      <c r="F602" s="11"/>
      <c r="G602" s="10"/>
      <c r="H602" s="10"/>
      <c r="I602" s="10"/>
      <c r="J602" s="10"/>
      <c r="K602" s="10"/>
      <c r="L602" s="10"/>
      <c r="M602" s="10"/>
      <c r="N602" s="10"/>
      <c r="O602" s="10"/>
      <c r="P602" s="10"/>
      <c r="Q602" s="10"/>
      <c r="R602" s="10"/>
      <c r="S602" s="10"/>
      <c r="T602" s="10"/>
      <c r="U602" s="10"/>
      <c r="V602" s="10"/>
      <c r="W602" s="10"/>
      <c r="X602" s="10"/>
      <c r="Y602" s="10"/>
      <c r="Z602" s="10"/>
    </row>
    <row r="603" spans="1:26" ht="20" customHeight="1" x14ac:dyDescent="0.15">
      <c r="A603" s="8"/>
      <c r="B603" s="9"/>
      <c r="C603" s="17"/>
      <c r="D603" s="10"/>
      <c r="E603" s="10"/>
      <c r="F603" s="11"/>
      <c r="G603" s="10"/>
      <c r="H603" s="10"/>
      <c r="I603" s="10"/>
      <c r="J603" s="10"/>
      <c r="K603" s="10"/>
      <c r="L603" s="10"/>
      <c r="M603" s="10"/>
      <c r="N603" s="10"/>
      <c r="O603" s="10"/>
      <c r="P603" s="10"/>
      <c r="Q603" s="10"/>
      <c r="R603" s="10"/>
      <c r="S603" s="10"/>
      <c r="T603" s="10"/>
      <c r="U603" s="10"/>
      <c r="V603" s="10"/>
      <c r="W603" s="10"/>
      <c r="X603" s="10"/>
      <c r="Y603" s="10"/>
      <c r="Z603" s="10"/>
    </row>
    <row r="604" spans="1:26" ht="20" customHeight="1" x14ac:dyDescent="0.15">
      <c r="A604" s="8"/>
      <c r="B604" s="9"/>
      <c r="C604" s="17"/>
      <c r="D604" s="10"/>
      <c r="E604" s="10"/>
      <c r="F604" s="11"/>
      <c r="G604" s="10"/>
      <c r="H604" s="10"/>
      <c r="I604" s="10"/>
      <c r="J604" s="10"/>
      <c r="K604" s="10"/>
      <c r="L604" s="10"/>
      <c r="M604" s="10"/>
      <c r="N604" s="10"/>
      <c r="O604" s="10"/>
      <c r="P604" s="10"/>
      <c r="Q604" s="10"/>
      <c r="R604" s="10"/>
      <c r="S604" s="10"/>
      <c r="T604" s="10"/>
      <c r="U604" s="10"/>
      <c r="V604" s="10"/>
      <c r="W604" s="10"/>
      <c r="X604" s="10"/>
      <c r="Y604" s="10"/>
      <c r="Z604" s="10"/>
    </row>
    <row r="605" spans="1:26" ht="20" customHeight="1" x14ac:dyDescent="0.15">
      <c r="A605" s="8"/>
      <c r="B605" s="9"/>
      <c r="C605" s="17"/>
      <c r="D605" s="10"/>
      <c r="E605" s="10"/>
      <c r="F605" s="11"/>
      <c r="G605" s="10"/>
      <c r="H605" s="10"/>
      <c r="I605" s="10"/>
      <c r="J605" s="10"/>
      <c r="K605" s="10"/>
      <c r="L605" s="10"/>
      <c r="M605" s="10"/>
      <c r="N605" s="10"/>
      <c r="O605" s="10"/>
      <c r="P605" s="10"/>
      <c r="Q605" s="10"/>
      <c r="R605" s="10"/>
      <c r="S605" s="10"/>
      <c r="T605" s="10"/>
      <c r="U605" s="10"/>
      <c r="V605" s="10"/>
      <c r="W605" s="10"/>
      <c r="X605" s="10"/>
      <c r="Y605" s="10"/>
      <c r="Z605" s="10"/>
    </row>
    <row r="606" spans="1:26" ht="20" customHeight="1" x14ac:dyDescent="0.15">
      <c r="A606" s="8"/>
      <c r="B606" s="9"/>
      <c r="C606" s="17"/>
      <c r="D606" s="10"/>
      <c r="E606" s="10"/>
      <c r="F606" s="11"/>
      <c r="G606" s="10"/>
      <c r="H606" s="10"/>
      <c r="I606" s="10"/>
      <c r="J606" s="10"/>
      <c r="K606" s="10"/>
      <c r="L606" s="10"/>
      <c r="M606" s="10"/>
      <c r="N606" s="10"/>
      <c r="O606" s="10"/>
      <c r="P606" s="10"/>
      <c r="Q606" s="10"/>
      <c r="R606" s="10"/>
      <c r="S606" s="10"/>
      <c r="T606" s="10"/>
      <c r="U606" s="10"/>
      <c r="V606" s="10"/>
      <c r="W606" s="10"/>
      <c r="X606" s="10"/>
      <c r="Y606" s="10"/>
      <c r="Z606" s="10"/>
    </row>
    <row r="607" spans="1:26" ht="20" customHeight="1" x14ac:dyDescent="0.15">
      <c r="A607" s="8"/>
      <c r="B607" s="9"/>
      <c r="C607" s="17"/>
      <c r="D607" s="10"/>
      <c r="E607" s="10"/>
      <c r="F607" s="11"/>
      <c r="G607" s="10"/>
      <c r="H607" s="10"/>
      <c r="I607" s="10"/>
      <c r="J607" s="10"/>
      <c r="K607" s="10"/>
      <c r="L607" s="10"/>
      <c r="M607" s="10"/>
      <c r="N607" s="10"/>
      <c r="O607" s="10"/>
      <c r="P607" s="10"/>
      <c r="Q607" s="10"/>
      <c r="R607" s="10"/>
      <c r="S607" s="10"/>
      <c r="T607" s="10"/>
      <c r="U607" s="10"/>
      <c r="V607" s="10"/>
      <c r="W607" s="10"/>
      <c r="X607" s="10"/>
      <c r="Y607" s="10"/>
      <c r="Z607" s="10"/>
    </row>
    <row r="608" spans="1:26" ht="20" customHeight="1" x14ac:dyDescent="0.15">
      <c r="A608" s="8"/>
      <c r="B608" s="9"/>
      <c r="C608" s="17"/>
      <c r="D608" s="10"/>
      <c r="E608" s="10"/>
      <c r="F608" s="11"/>
      <c r="G608" s="10"/>
      <c r="H608" s="10"/>
      <c r="I608" s="10"/>
      <c r="J608" s="10"/>
      <c r="K608" s="10"/>
      <c r="L608" s="10"/>
      <c r="M608" s="10"/>
      <c r="N608" s="10"/>
      <c r="O608" s="10"/>
      <c r="P608" s="10"/>
      <c r="Q608" s="10"/>
      <c r="R608" s="10"/>
      <c r="S608" s="10"/>
      <c r="T608" s="10"/>
      <c r="U608" s="10"/>
      <c r="V608" s="10"/>
      <c r="W608" s="10"/>
      <c r="X608" s="10"/>
      <c r="Y608" s="10"/>
      <c r="Z608" s="10"/>
    </row>
    <row r="609" spans="1:26" ht="20" customHeight="1" x14ac:dyDescent="0.15">
      <c r="A609" s="8"/>
      <c r="B609" s="9"/>
      <c r="C609" s="17"/>
      <c r="D609" s="10"/>
      <c r="E609" s="10"/>
      <c r="F609" s="11"/>
      <c r="G609" s="10"/>
      <c r="H609" s="10"/>
      <c r="I609" s="10"/>
      <c r="J609" s="10"/>
      <c r="K609" s="10"/>
      <c r="L609" s="10"/>
      <c r="M609" s="10"/>
      <c r="N609" s="10"/>
      <c r="O609" s="10"/>
      <c r="P609" s="10"/>
      <c r="Q609" s="10"/>
      <c r="R609" s="10"/>
      <c r="S609" s="10"/>
      <c r="T609" s="10"/>
      <c r="U609" s="10"/>
      <c r="V609" s="10"/>
      <c r="W609" s="10"/>
      <c r="X609" s="10"/>
      <c r="Y609" s="10"/>
      <c r="Z609" s="10"/>
    </row>
    <row r="610" spans="1:26" ht="20" customHeight="1" x14ac:dyDescent="0.15">
      <c r="A610" s="8"/>
      <c r="B610" s="9"/>
      <c r="C610" s="17"/>
      <c r="D610" s="10"/>
      <c r="E610" s="10"/>
      <c r="F610" s="11"/>
      <c r="G610" s="10"/>
      <c r="H610" s="10"/>
      <c r="I610" s="10"/>
      <c r="J610" s="10"/>
      <c r="K610" s="10"/>
      <c r="L610" s="10"/>
      <c r="M610" s="10"/>
      <c r="N610" s="10"/>
      <c r="O610" s="10"/>
      <c r="P610" s="10"/>
      <c r="Q610" s="10"/>
      <c r="R610" s="10"/>
      <c r="S610" s="10"/>
      <c r="T610" s="10"/>
      <c r="U610" s="10"/>
      <c r="V610" s="10"/>
      <c r="W610" s="10"/>
      <c r="X610" s="10"/>
      <c r="Y610" s="10"/>
      <c r="Z610" s="10"/>
    </row>
    <row r="611" spans="1:26" ht="20" customHeight="1" x14ac:dyDescent="0.15">
      <c r="A611" s="8"/>
      <c r="B611" s="9"/>
      <c r="C611" s="17"/>
      <c r="D611" s="10"/>
      <c r="E611" s="10"/>
      <c r="F611" s="11"/>
      <c r="G611" s="10"/>
      <c r="H611" s="10"/>
      <c r="I611" s="10"/>
      <c r="J611" s="10"/>
      <c r="K611" s="10"/>
      <c r="L611" s="10"/>
      <c r="M611" s="10"/>
      <c r="N611" s="10"/>
      <c r="O611" s="10"/>
      <c r="P611" s="10"/>
      <c r="Q611" s="10"/>
      <c r="R611" s="10"/>
      <c r="S611" s="10"/>
      <c r="T611" s="10"/>
      <c r="U611" s="10"/>
      <c r="V611" s="10"/>
      <c r="W611" s="10"/>
      <c r="X611" s="10"/>
      <c r="Y611" s="10"/>
      <c r="Z611" s="10"/>
    </row>
    <row r="612" spans="1:26" ht="20" customHeight="1" x14ac:dyDescent="0.15">
      <c r="A612" s="8"/>
      <c r="B612" s="9"/>
      <c r="C612" s="17"/>
      <c r="D612" s="10"/>
      <c r="E612" s="10"/>
      <c r="F612" s="11"/>
      <c r="G612" s="10"/>
      <c r="H612" s="10"/>
      <c r="I612" s="10"/>
      <c r="J612" s="10"/>
      <c r="K612" s="10"/>
      <c r="L612" s="10"/>
      <c r="M612" s="10"/>
      <c r="N612" s="10"/>
      <c r="O612" s="10"/>
      <c r="P612" s="10"/>
      <c r="Q612" s="10"/>
      <c r="R612" s="10"/>
      <c r="S612" s="10"/>
      <c r="T612" s="10"/>
      <c r="U612" s="10"/>
      <c r="V612" s="10"/>
      <c r="W612" s="10"/>
      <c r="X612" s="10"/>
      <c r="Y612" s="10"/>
      <c r="Z612" s="10"/>
    </row>
    <row r="613" spans="1:26" ht="20" customHeight="1" x14ac:dyDescent="0.15">
      <c r="A613" s="8"/>
      <c r="B613" s="9"/>
      <c r="C613" s="17"/>
      <c r="D613" s="10"/>
      <c r="E613" s="10"/>
      <c r="F613" s="11"/>
      <c r="G613" s="10"/>
      <c r="H613" s="10"/>
      <c r="I613" s="10"/>
      <c r="J613" s="10"/>
      <c r="K613" s="10"/>
      <c r="L613" s="10"/>
      <c r="M613" s="10"/>
      <c r="N613" s="10"/>
      <c r="O613" s="10"/>
      <c r="P613" s="10"/>
      <c r="Q613" s="10"/>
      <c r="R613" s="10"/>
      <c r="S613" s="10"/>
      <c r="T613" s="10"/>
      <c r="U613" s="10"/>
      <c r="V613" s="10"/>
      <c r="W613" s="10"/>
      <c r="X613" s="10"/>
      <c r="Y613" s="10"/>
      <c r="Z613" s="10"/>
    </row>
    <row r="614" spans="1:26" ht="20" customHeight="1" x14ac:dyDescent="0.15">
      <c r="A614" s="8"/>
      <c r="B614" s="9"/>
      <c r="C614" s="17"/>
      <c r="D614" s="10"/>
      <c r="E614" s="10"/>
      <c r="F614" s="11"/>
      <c r="G614" s="10"/>
      <c r="H614" s="10"/>
      <c r="I614" s="10"/>
      <c r="J614" s="10"/>
      <c r="K614" s="10"/>
      <c r="L614" s="10"/>
      <c r="M614" s="10"/>
      <c r="N614" s="10"/>
      <c r="O614" s="10"/>
      <c r="P614" s="10"/>
      <c r="Q614" s="10"/>
      <c r="R614" s="10"/>
      <c r="S614" s="10"/>
      <c r="T614" s="10"/>
      <c r="U614" s="10"/>
      <c r="V614" s="10"/>
      <c r="W614" s="10"/>
      <c r="X614" s="10"/>
      <c r="Y614" s="10"/>
      <c r="Z614" s="10"/>
    </row>
    <row r="615" spans="1:26" ht="20" customHeight="1" x14ac:dyDescent="0.15">
      <c r="A615" s="8"/>
      <c r="B615" s="9"/>
      <c r="C615" s="17"/>
      <c r="D615" s="10"/>
      <c r="E615" s="10"/>
      <c r="F615" s="11"/>
      <c r="G615" s="10"/>
      <c r="H615" s="10"/>
      <c r="I615" s="10"/>
      <c r="J615" s="10"/>
      <c r="K615" s="10"/>
      <c r="L615" s="10"/>
      <c r="M615" s="10"/>
      <c r="N615" s="10"/>
      <c r="O615" s="10"/>
      <c r="P615" s="10"/>
      <c r="Q615" s="10"/>
      <c r="R615" s="10"/>
      <c r="S615" s="10"/>
      <c r="T615" s="10"/>
      <c r="U615" s="10"/>
      <c r="V615" s="10"/>
      <c r="W615" s="10"/>
      <c r="X615" s="10"/>
      <c r="Y615" s="10"/>
      <c r="Z615" s="10"/>
    </row>
    <row r="616" spans="1:26" ht="20" customHeight="1" x14ac:dyDescent="0.15">
      <c r="A616" s="8"/>
      <c r="B616" s="9"/>
      <c r="C616" s="17"/>
      <c r="D616" s="10"/>
      <c r="E616" s="10"/>
      <c r="F616" s="11"/>
      <c r="G616" s="10"/>
      <c r="H616" s="10"/>
      <c r="I616" s="10"/>
      <c r="J616" s="10"/>
      <c r="K616" s="10"/>
      <c r="L616" s="10"/>
      <c r="M616" s="10"/>
      <c r="N616" s="10"/>
      <c r="O616" s="10"/>
      <c r="P616" s="10"/>
      <c r="Q616" s="10"/>
      <c r="R616" s="10"/>
      <c r="S616" s="10"/>
      <c r="T616" s="10"/>
      <c r="U616" s="10"/>
      <c r="V616" s="10"/>
      <c r="W616" s="10"/>
      <c r="X616" s="10"/>
      <c r="Y616" s="10"/>
      <c r="Z616" s="10"/>
    </row>
    <row r="617" spans="1:26" ht="20" customHeight="1" x14ac:dyDescent="0.15">
      <c r="A617" s="8"/>
      <c r="B617" s="9"/>
      <c r="C617" s="17"/>
      <c r="D617" s="10"/>
      <c r="E617" s="10"/>
      <c r="F617" s="11"/>
      <c r="G617" s="10"/>
      <c r="H617" s="10"/>
      <c r="I617" s="10"/>
      <c r="J617" s="10"/>
      <c r="K617" s="10"/>
      <c r="L617" s="10"/>
      <c r="M617" s="10"/>
      <c r="N617" s="10"/>
      <c r="O617" s="10"/>
      <c r="P617" s="10"/>
      <c r="Q617" s="10"/>
      <c r="R617" s="10"/>
      <c r="S617" s="10"/>
      <c r="T617" s="10"/>
      <c r="U617" s="10"/>
      <c r="V617" s="10"/>
      <c r="W617" s="10"/>
      <c r="X617" s="10"/>
      <c r="Y617" s="10"/>
      <c r="Z617" s="10"/>
    </row>
    <row r="618" spans="1:26" ht="20" customHeight="1" x14ac:dyDescent="0.15">
      <c r="A618" s="8"/>
      <c r="B618" s="9"/>
      <c r="C618" s="17"/>
      <c r="D618" s="10"/>
      <c r="E618" s="10"/>
      <c r="F618" s="11"/>
      <c r="G618" s="10"/>
      <c r="H618" s="10"/>
      <c r="I618" s="10"/>
      <c r="J618" s="10"/>
      <c r="K618" s="10"/>
      <c r="L618" s="10"/>
      <c r="M618" s="10"/>
      <c r="N618" s="10"/>
      <c r="O618" s="10"/>
      <c r="P618" s="10"/>
      <c r="Q618" s="10"/>
      <c r="R618" s="10"/>
      <c r="S618" s="10"/>
      <c r="T618" s="10"/>
      <c r="U618" s="10"/>
      <c r="V618" s="10"/>
      <c r="W618" s="10"/>
      <c r="X618" s="10"/>
      <c r="Y618" s="10"/>
      <c r="Z618" s="10"/>
    </row>
    <row r="619" spans="1:26" ht="20" customHeight="1" x14ac:dyDescent="0.15">
      <c r="A619" s="8"/>
      <c r="B619" s="9"/>
      <c r="C619" s="17"/>
      <c r="D619" s="10"/>
      <c r="E619" s="10"/>
      <c r="F619" s="11"/>
      <c r="G619" s="10"/>
      <c r="H619" s="10"/>
      <c r="I619" s="10"/>
      <c r="J619" s="10"/>
      <c r="K619" s="10"/>
      <c r="L619" s="10"/>
      <c r="M619" s="10"/>
      <c r="N619" s="10"/>
      <c r="O619" s="10"/>
      <c r="P619" s="10"/>
      <c r="Q619" s="10"/>
      <c r="R619" s="10"/>
      <c r="S619" s="10"/>
      <c r="T619" s="10"/>
      <c r="U619" s="10"/>
      <c r="V619" s="10"/>
      <c r="W619" s="10"/>
      <c r="X619" s="10"/>
      <c r="Y619" s="10"/>
      <c r="Z619" s="10"/>
    </row>
    <row r="620" spans="1:26" ht="20" customHeight="1" x14ac:dyDescent="0.15">
      <c r="A620" s="8"/>
      <c r="B620" s="9"/>
      <c r="C620" s="17"/>
      <c r="D620" s="10"/>
      <c r="E620" s="10"/>
      <c r="F620" s="11"/>
      <c r="G620" s="10"/>
      <c r="H620" s="10"/>
      <c r="I620" s="10"/>
      <c r="J620" s="10"/>
      <c r="K620" s="10"/>
      <c r="L620" s="10"/>
      <c r="M620" s="10"/>
      <c r="N620" s="10"/>
      <c r="O620" s="10"/>
      <c r="P620" s="10"/>
      <c r="Q620" s="10"/>
      <c r="R620" s="10"/>
      <c r="S620" s="10"/>
      <c r="T620" s="10"/>
      <c r="U620" s="10"/>
      <c r="V620" s="10"/>
      <c r="W620" s="10"/>
      <c r="X620" s="10"/>
      <c r="Y620" s="10"/>
      <c r="Z620" s="10"/>
    </row>
    <row r="621" spans="1:26" ht="20" customHeight="1" x14ac:dyDescent="0.15">
      <c r="A621" s="8"/>
      <c r="B621" s="9"/>
      <c r="C621" s="17"/>
      <c r="D621" s="10"/>
      <c r="E621" s="10"/>
      <c r="F621" s="11"/>
      <c r="G621" s="10"/>
      <c r="H621" s="10"/>
      <c r="I621" s="10"/>
      <c r="J621" s="10"/>
      <c r="K621" s="10"/>
      <c r="L621" s="10"/>
      <c r="M621" s="10"/>
      <c r="N621" s="10"/>
      <c r="O621" s="10"/>
      <c r="P621" s="10"/>
      <c r="Q621" s="10"/>
      <c r="R621" s="10"/>
      <c r="S621" s="10"/>
      <c r="T621" s="10"/>
      <c r="U621" s="10"/>
      <c r="V621" s="10"/>
      <c r="W621" s="10"/>
      <c r="X621" s="10"/>
      <c r="Y621" s="10"/>
      <c r="Z621" s="10"/>
    </row>
    <row r="622" spans="1:26" ht="20" customHeight="1" x14ac:dyDescent="0.15">
      <c r="A622" s="8"/>
      <c r="B622" s="9"/>
      <c r="C622" s="17"/>
      <c r="D622" s="10"/>
      <c r="E622" s="10"/>
      <c r="F622" s="11"/>
      <c r="G622" s="10"/>
      <c r="H622" s="10"/>
      <c r="I622" s="10"/>
      <c r="J622" s="10"/>
      <c r="K622" s="10"/>
      <c r="L622" s="10"/>
      <c r="M622" s="10"/>
      <c r="N622" s="10"/>
      <c r="O622" s="10"/>
      <c r="P622" s="10"/>
      <c r="Q622" s="10"/>
      <c r="R622" s="10"/>
      <c r="S622" s="10"/>
      <c r="T622" s="10"/>
      <c r="U622" s="10"/>
      <c r="V622" s="10"/>
      <c r="W622" s="10"/>
      <c r="X622" s="10"/>
      <c r="Y622" s="10"/>
      <c r="Z622" s="10"/>
    </row>
    <row r="623" spans="1:26" ht="20" customHeight="1" x14ac:dyDescent="0.15">
      <c r="A623" s="8"/>
      <c r="B623" s="9"/>
      <c r="C623" s="17"/>
      <c r="D623" s="10"/>
      <c r="E623" s="10"/>
      <c r="F623" s="11"/>
      <c r="G623" s="10"/>
      <c r="H623" s="10"/>
      <c r="I623" s="10"/>
      <c r="J623" s="10"/>
      <c r="K623" s="10"/>
      <c r="L623" s="10"/>
      <c r="M623" s="10"/>
      <c r="N623" s="10"/>
      <c r="O623" s="10"/>
      <c r="P623" s="10"/>
      <c r="Q623" s="10"/>
      <c r="R623" s="10"/>
      <c r="S623" s="10"/>
      <c r="T623" s="10"/>
      <c r="U623" s="10"/>
      <c r="V623" s="10"/>
      <c r="W623" s="10"/>
      <c r="X623" s="10"/>
      <c r="Y623" s="10"/>
      <c r="Z623" s="10"/>
    </row>
    <row r="624" spans="1:26" ht="20" customHeight="1" x14ac:dyDescent="0.15">
      <c r="A624" s="8"/>
      <c r="B624" s="9"/>
      <c r="C624" s="17"/>
      <c r="D624" s="10"/>
      <c r="E624" s="10"/>
      <c r="F624" s="11"/>
      <c r="G624" s="10"/>
      <c r="H624" s="10"/>
      <c r="I624" s="10"/>
      <c r="J624" s="10"/>
      <c r="K624" s="10"/>
      <c r="L624" s="10"/>
      <c r="M624" s="10"/>
      <c r="N624" s="10"/>
      <c r="O624" s="10"/>
      <c r="P624" s="10"/>
      <c r="Q624" s="10"/>
      <c r="R624" s="10"/>
      <c r="S624" s="10"/>
      <c r="T624" s="10"/>
      <c r="U624" s="10"/>
      <c r="V624" s="10"/>
      <c r="W624" s="10"/>
      <c r="X624" s="10"/>
      <c r="Y624" s="10"/>
      <c r="Z624" s="10"/>
    </row>
    <row r="625" spans="1:26" ht="20" customHeight="1" x14ac:dyDescent="0.15">
      <c r="A625" s="8"/>
      <c r="B625" s="9"/>
      <c r="C625" s="17"/>
      <c r="D625" s="10"/>
      <c r="E625" s="10"/>
      <c r="F625" s="11"/>
      <c r="G625" s="10"/>
      <c r="H625" s="10"/>
      <c r="I625" s="10"/>
      <c r="J625" s="10"/>
      <c r="K625" s="10"/>
      <c r="L625" s="10"/>
      <c r="M625" s="10"/>
      <c r="N625" s="10"/>
      <c r="O625" s="10"/>
      <c r="P625" s="10"/>
      <c r="Q625" s="10"/>
      <c r="R625" s="10"/>
      <c r="S625" s="10"/>
      <c r="T625" s="10"/>
      <c r="U625" s="10"/>
      <c r="V625" s="10"/>
      <c r="W625" s="10"/>
      <c r="X625" s="10"/>
      <c r="Y625" s="10"/>
      <c r="Z625" s="10"/>
    </row>
    <row r="626" spans="1:26" ht="20" customHeight="1" x14ac:dyDescent="0.15">
      <c r="A626" s="8"/>
      <c r="B626" s="9"/>
      <c r="C626" s="17"/>
      <c r="D626" s="10"/>
      <c r="E626" s="10"/>
      <c r="F626" s="11"/>
      <c r="G626" s="10"/>
      <c r="H626" s="10"/>
      <c r="I626" s="10"/>
      <c r="J626" s="10"/>
      <c r="K626" s="10"/>
      <c r="L626" s="10"/>
      <c r="M626" s="10"/>
      <c r="N626" s="10"/>
      <c r="O626" s="10"/>
      <c r="P626" s="10"/>
      <c r="Q626" s="10"/>
      <c r="R626" s="10"/>
      <c r="S626" s="10"/>
      <c r="T626" s="10"/>
      <c r="U626" s="10"/>
      <c r="V626" s="10"/>
      <c r="W626" s="10"/>
      <c r="X626" s="10"/>
      <c r="Y626" s="10"/>
      <c r="Z626" s="10"/>
    </row>
    <row r="627" spans="1:26" ht="20" customHeight="1" x14ac:dyDescent="0.15">
      <c r="A627" s="8"/>
      <c r="B627" s="9"/>
      <c r="C627" s="17"/>
      <c r="D627" s="10"/>
      <c r="E627" s="10"/>
      <c r="F627" s="11"/>
      <c r="G627" s="10"/>
      <c r="H627" s="10"/>
      <c r="I627" s="10"/>
      <c r="J627" s="10"/>
      <c r="K627" s="10"/>
      <c r="L627" s="10"/>
      <c r="M627" s="10"/>
      <c r="N627" s="10"/>
      <c r="O627" s="10"/>
      <c r="P627" s="10"/>
      <c r="Q627" s="10"/>
      <c r="R627" s="10"/>
      <c r="S627" s="10"/>
      <c r="T627" s="10"/>
      <c r="U627" s="10"/>
      <c r="V627" s="10"/>
      <c r="W627" s="10"/>
      <c r="X627" s="10"/>
      <c r="Y627" s="10"/>
      <c r="Z627" s="10"/>
    </row>
    <row r="628" spans="1:26" ht="20" customHeight="1" x14ac:dyDescent="0.15">
      <c r="A628" s="8"/>
      <c r="B628" s="9"/>
      <c r="C628" s="17"/>
      <c r="D628" s="10"/>
      <c r="E628" s="10"/>
      <c r="F628" s="11"/>
      <c r="G628" s="10"/>
      <c r="H628" s="10"/>
      <c r="I628" s="10"/>
      <c r="J628" s="10"/>
      <c r="K628" s="10"/>
      <c r="L628" s="10"/>
      <c r="M628" s="10"/>
      <c r="N628" s="10"/>
      <c r="O628" s="10"/>
      <c r="P628" s="10"/>
      <c r="Q628" s="10"/>
      <c r="R628" s="10"/>
      <c r="S628" s="10"/>
      <c r="T628" s="10"/>
      <c r="U628" s="10"/>
      <c r="V628" s="10"/>
      <c r="W628" s="10"/>
      <c r="X628" s="10"/>
      <c r="Y628" s="10"/>
      <c r="Z628" s="10"/>
    </row>
    <row r="629" spans="1:26" ht="20" customHeight="1" x14ac:dyDescent="0.15">
      <c r="A629" s="8"/>
      <c r="B629" s="9"/>
      <c r="C629" s="17"/>
      <c r="D629" s="10"/>
      <c r="E629" s="10"/>
      <c r="F629" s="11"/>
      <c r="G629" s="10"/>
      <c r="H629" s="10"/>
      <c r="I629" s="10"/>
      <c r="J629" s="10"/>
      <c r="K629" s="10"/>
      <c r="L629" s="10"/>
      <c r="M629" s="10"/>
      <c r="N629" s="10"/>
      <c r="O629" s="10"/>
      <c r="P629" s="10"/>
      <c r="Q629" s="10"/>
      <c r="R629" s="10"/>
      <c r="S629" s="10"/>
      <c r="T629" s="10"/>
      <c r="U629" s="10"/>
      <c r="V629" s="10"/>
      <c r="W629" s="10"/>
      <c r="X629" s="10"/>
      <c r="Y629" s="10"/>
      <c r="Z629" s="10"/>
    </row>
    <row r="630" spans="1:26" ht="20" customHeight="1" x14ac:dyDescent="0.15">
      <c r="A630" s="8"/>
      <c r="B630" s="9"/>
      <c r="C630" s="17"/>
      <c r="D630" s="10"/>
      <c r="E630" s="10"/>
      <c r="F630" s="11"/>
      <c r="G630" s="10"/>
      <c r="H630" s="10"/>
      <c r="I630" s="10"/>
      <c r="J630" s="10"/>
      <c r="K630" s="10"/>
      <c r="L630" s="10"/>
      <c r="M630" s="10"/>
      <c r="N630" s="10"/>
      <c r="O630" s="10"/>
      <c r="P630" s="10"/>
      <c r="Q630" s="10"/>
      <c r="R630" s="10"/>
      <c r="S630" s="10"/>
      <c r="T630" s="10"/>
      <c r="U630" s="10"/>
      <c r="V630" s="10"/>
      <c r="W630" s="10"/>
      <c r="X630" s="10"/>
      <c r="Y630" s="10"/>
      <c r="Z630" s="10"/>
    </row>
    <row r="631" spans="1:26" ht="20" customHeight="1" x14ac:dyDescent="0.15">
      <c r="A631" s="8"/>
      <c r="B631" s="9"/>
      <c r="C631" s="17"/>
      <c r="D631" s="10"/>
      <c r="E631" s="10"/>
      <c r="F631" s="11"/>
      <c r="G631" s="10"/>
      <c r="H631" s="10"/>
      <c r="I631" s="10"/>
      <c r="J631" s="10"/>
      <c r="K631" s="10"/>
      <c r="L631" s="10"/>
      <c r="M631" s="10"/>
      <c r="N631" s="10"/>
      <c r="O631" s="10"/>
      <c r="P631" s="10"/>
      <c r="Q631" s="10"/>
      <c r="R631" s="10"/>
      <c r="S631" s="10"/>
      <c r="T631" s="10"/>
      <c r="U631" s="10"/>
      <c r="V631" s="10"/>
      <c r="W631" s="10"/>
      <c r="X631" s="10"/>
      <c r="Y631" s="10"/>
      <c r="Z631" s="10"/>
    </row>
    <row r="632" spans="1:26" ht="20" customHeight="1" x14ac:dyDescent="0.15">
      <c r="A632" s="8"/>
      <c r="B632" s="9"/>
      <c r="C632" s="17"/>
      <c r="D632" s="10"/>
      <c r="E632" s="10"/>
      <c r="F632" s="11"/>
      <c r="G632" s="10"/>
      <c r="H632" s="10"/>
      <c r="I632" s="10"/>
      <c r="J632" s="10"/>
      <c r="K632" s="10"/>
      <c r="L632" s="10"/>
      <c r="M632" s="10"/>
      <c r="N632" s="10"/>
      <c r="O632" s="10"/>
      <c r="P632" s="10"/>
      <c r="Q632" s="10"/>
      <c r="R632" s="10"/>
      <c r="S632" s="10"/>
      <c r="T632" s="10"/>
      <c r="U632" s="10"/>
      <c r="V632" s="10"/>
      <c r="W632" s="10"/>
      <c r="X632" s="10"/>
      <c r="Y632" s="10"/>
      <c r="Z632" s="10"/>
    </row>
    <row r="633" spans="1:26" ht="20" customHeight="1" x14ac:dyDescent="0.15">
      <c r="A633" s="8"/>
      <c r="B633" s="9"/>
      <c r="C633" s="17"/>
      <c r="D633" s="10"/>
      <c r="E633" s="10"/>
      <c r="F633" s="11"/>
      <c r="G633" s="10"/>
      <c r="H633" s="10"/>
      <c r="I633" s="10"/>
      <c r="J633" s="10"/>
      <c r="K633" s="10"/>
      <c r="L633" s="10"/>
      <c r="M633" s="10"/>
      <c r="N633" s="10"/>
      <c r="O633" s="10"/>
      <c r="P633" s="10"/>
      <c r="Q633" s="10"/>
      <c r="R633" s="10"/>
      <c r="S633" s="10"/>
      <c r="T633" s="10"/>
      <c r="U633" s="10"/>
      <c r="V633" s="10"/>
      <c r="W633" s="10"/>
      <c r="X633" s="10"/>
      <c r="Y633" s="10"/>
      <c r="Z633" s="10"/>
    </row>
    <row r="634" spans="1:26" ht="20" customHeight="1" x14ac:dyDescent="0.15">
      <c r="A634" s="8"/>
      <c r="B634" s="9"/>
      <c r="C634" s="17"/>
      <c r="D634" s="10"/>
      <c r="E634" s="10"/>
      <c r="F634" s="11"/>
      <c r="G634" s="10"/>
      <c r="H634" s="10"/>
      <c r="I634" s="10"/>
      <c r="J634" s="10"/>
      <c r="K634" s="10"/>
      <c r="L634" s="10"/>
      <c r="M634" s="10"/>
      <c r="N634" s="10"/>
      <c r="O634" s="10"/>
      <c r="P634" s="10"/>
      <c r="Q634" s="10"/>
      <c r="R634" s="10"/>
      <c r="S634" s="10"/>
      <c r="T634" s="10"/>
      <c r="U634" s="10"/>
      <c r="V634" s="10"/>
      <c r="W634" s="10"/>
      <c r="X634" s="10"/>
      <c r="Y634" s="10"/>
      <c r="Z634" s="10"/>
    </row>
    <row r="635" spans="1:26" ht="20" customHeight="1" x14ac:dyDescent="0.15">
      <c r="A635" s="8"/>
      <c r="B635" s="9"/>
      <c r="C635" s="17"/>
      <c r="D635" s="10"/>
      <c r="E635" s="10"/>
      <c r="F635" s="11"/>
      <c r="G635" s="10"/>
      <c r="H635" s="10"/>
      <c r="I635" s="10"/>
      <c r="J635" s="10"/>
      <c r="K635" s="10"/>
      <c r="L635" s="10"/>
      <c r="M635" s="10"/>
      <c r="N635" s="10"/>
      <c r="O635" s="10"/>
      <c r="P635" s="10"/>
      <c r="Q635" s="10"/>
      <c r="R635" s="10"/>
      <c r="S635" s="10"/>
      <c r="T635" s="10"/>
      <c r="U635" s="10"/>
      <c r="V635" s="10"/>
      <c r="W635" s="10"/>
      <c r="X635" s="10"/>
      <c r="Y635" s="10"/>
      <c r="Z635" s="10"/>
    </row>
    <row r="636" spans="1:26" ht="20" customHeight="1" x14ac:dyDescent="0.15">
      <c r="A636" s="8"/>
      <c r="B636" s="9"/>
      <c r="C636" s="17"/>
      <c r="D636" s="10"/>
      <c r="E636" s="10"/>
      <c r="F636" s="11"/>
      <c r="G636" s="10"/>
      <c r="H636" s="10"/>
      <c r="I636" s="10"/>
      <c r="J636" s="10"/>
      <c r="K636" s="10"/>
      <c r="L636" s="10"/>
      <c r="M636" s="10"/>
      <c r="N636" s="10"/>
      <c r="O636" s="10"/>
      <c r="P636" s="10"/>
      <c r="Q636" s="10"/>
      <c r="R636" s="10"/>
      <c r="S636" s="10"/>
      <c r="T636" s="10"/>
      <c r="U636" s="10"/>
      <c r="V636" s="10"/>
      <c r="W636" s="10"/>
      <c r="X636" s="10"/>
      <c r="Y636" s="10"/>
      <c r="Z636" s="10"/>
    </row>
    <row r="637" spans="1:26" ht="20" customHeight="1" x14ac:dyDescent="0.15">
      <c r="A637" s="8"/>
      <c r="B637" s="9"/>
      <c r="C637" s="17"/>
      <c r="D637" s="10"/>
      <c r="E637" s="10"/>
      <c r="F637" s="11"/>
      <c r="G637" s="10"/>
      <c r="H637" s="10"/>
      <c r="I637" s="10"/>
      <c r="J637" s="10"/>
      <c r="K637" s="10"/>
      <c r="L637" s="10"/>
      <c r="M637" s="10"/>
      <c r="N637" s="10"/>
      <c r="O637" s="10"/>
      <c r="P637" s="10"/>
      <c r="Q637" s="10"/>
      <c r="R637" s="10"/>
      <c r="S637" s="10"/>
      <c r="T637" s="10"/>
      <c r="U637" s="10"/>
      <c r="V637" s="10"/>
      <c r="W637" s="10"/>
      <c r="X637" s="10"/>
      <c r="Y637" s="10"/>
      <c r="Z637" s="10"/>
    </row>
    <row r="638" spans="1:26" ht="20" customHeight="1" x14ac:dyDescent="0.15">
      <c r="A638" s="8"/>
      <c r="B638" s="9"/>
      <c r="C638" s="17"/>
      <c r="D638" s="10"/>
      <c r="E638" s="10"/>
      <c r="F638" s="11"/>
      <c r="G638" s="10"/>
      <c r="H638" s="10"/>
      <c r="I638" s="10"/>
      <c r="J638" s="10"/>
      <c r="K638" s="10"/>
      <c r="L638" s="10"/>
      <c r="M638" s="10"/>
      <c r="N638" s="10"/>
      <c r="O638" s="10"/>
      <c r="P638" s="10"/>
      <c r="Q638" s="10"/>
      <c r="R638" s="10"/>
      <c r="S638" s="10"/>
      <c r="T638" s="10"/>
      <c r="U638" s="10"/>
      <c r="V638" s="10"/>
      <c r="W638" s="10"/>
      <c r="X638" s="10"/>
      <c r="Y638" s="10"/>
      <c r="Z638" s="10"/>
    </row>
    <row r="639" spans="1:26" ht="20" customHeight="1" x14ac:dyDescent="0.15">
      <c r="A639" s="8"/>
      <c r="B639" s="9"/>
      <c r="C639" s="17"/>
      <c r="D639" s="10"/>
      <c r="E639" s="10"/>
      <c r="F639" s="11"/>
      <c r="G639" s="10"/>
      <c r="H639" s="10"/>
      <c r="I639" s="10"/>
      <c r="J639" s="10"/>
      <c r="K639" s="10"/>
      <c r="L639" s="10"/>
      <c r="M639" s="10"/>
      <c r="N639" s="10"/>
      <c r="O639" s="10"/>
      <c r="P639" s="10"/>
      <c r="Q639" s="10"/>
      <c r="R639" s="10"/>
      <c r="S639" s="10"/>
      <c r="T639" s="10"/>
      <c r="U639" s="10"/>
      <c r="V639" s="10"/>
      <c r="W639" s="10"/>
      <c r="X639" s="10"/>
      <c r="Y639" s="10"/>
      <c r="Z639" s="10"/>
    </row>
    <row r="640" spans="1:26" ht="20" customHeight="1" x14ac:dyDescent="0.15">
      <c r="A640" s="8"/>
      <c r="B640" s="9"/>
      <c r="C640" s="17"/>
      <c r="D640" s="10"/>
      <c r="E640" s="10"/>
      <c r="F640" s="11"/>
      <c r="G640" s="10"/>
      <c r="H640" s="10"/>
      <c r="I640" s="10"/>
      <c r="J640" s="10"/>
      <c r="K640" s="10"/>
      <c r="L640" s="10"/>
      <c r="M640" s="10"/>
      <c r="N640" s="10"/>
      <c r="O640" s="10"/>
      <c r="P640" s="10"/>
      <c r="Q640" s="10"/>
      <c r="R640" s="10"/>
      <c r="S640" s="10"/>
      <c r="T640" s="10"/>
      <c r="U640" s="10"/>
      <c r="V640" s="10"/>
      <c r="W640" s="10"/>
      <c r="X640" s="10"/>
      <c r="Y640" s="10"/>
      <c r="Z640" s="10"/>
    </row>
    <row r="641" spans="1:26" ht="20" customHeight="1" x14ac:dyDescent="0.15">
      <c r="A641" s="8"/>
      <c r="B641" s="9"/>
      <c r="C641" s="17"/>
      <c r="D641" s="10"/>
      <c r="E641" s="10"/>
      <c r="F641" s="11"/>
      <c r="G641" s="10"/>
      <c r="H641" s="10"/>
      <c r="I641" s="10"/>
      <c r="J641" s="10"/>
      <c r="K641" s="10"/>
      <c r="L641" s="10"/>
      <c r="M641" s="10"/>
      <c r="N641" s="10"/>
      <c r="O641" s="10"/>
      <c r="P641" s="10"/>
      <c r="Q641" s="10"/>
      <c r="R641" s="10"/>
      <c r="S641" s="10"/>
      <c r="T641" s="10"/>
      <c r="U641" s="10"/>
      <c r="V641" s="10"/>
      <c r="W641" s="10"/>
      <c r="X641" s="10"/>
      <c r="Y641" s="10"/>
      <c r="Z641" s="10"/>
    </row>
    <row r="642" spans="1:26" ht="20" customHeight="1" x14ac:dyDescent="0.15">
      <c r="A642" s="8"/>
      <c r="B642" s="9"/>
      <c r="C642" s="17"/>
      <c r="D642" s="10"/>
      <c r="E642" s="10"/>
      <c r="F642" s="11"/>
      <c r="G642" s="10"/>
      <c r="H642" s="10"/>
      <c r="I642" s="10"/>
      <c r="J642" s="10"/>
      <c r="K642" s="10"/>
      <c r="L642" s="10"/>
      <c r="M642" s="10"/>
      <c r="N642" s="10"/>
      <c r="O642" s="10"/>
      <c r="P642" s="10"/>
      <c r="Q642" s="10"/>
      <c r="R642" s="10"/>
      <c r="S642" s="10"/>
      <c r="T642" s="10"/>
      <c r="U642" s="10"/>
      <c r="V642" s="10"/>
      <c r="W642" s="10"/>
      <c r="X642" s="10"/>
      <c r="Y642" s="10"/>
      <c r="Z642" s="10"/>
    </row>
    <row r="643" spans="1:26" ht="20" customHeight="1" x14ac:dyDescent="0.15">
      <c r="A643" s="8"/>
      <c r="B643" s="9"/>
      <c r="C643" s="17"/>
      <c r="D643" s="10"/>
      <c r="E643" s="10"/>
      <c r="F643" s="11"/>
      <c r="G643" s="10"/>
      <c r="H643" s="10"/>
      <c r="I643" s="10"/>
      <c r="J643" s="10"/>
      <c r="K643" s="10"/>
      <c r="L643" s="10"/>
      <c r="M643" s="10"/>
      <c r="N643" s="10"/>
      <c r="O643" s="10"/>
      <c r="P643" s="10"/>
      <c r="Q643" s="10"/>
      <c r="R643" s="10"/>
      <c r="S643" s="10"/>
      <c r="T643" s="10"/>
      <c r="U643" s="10"/>
      <c r="V643" s="10"/>
      <c r="W643" s="10"/>
      <c r="X643" s="10"/>
      <c r="Y643" s="10"/>
      <c r="Z643" s="10"/>
    </row>
    <row r="644" spans="1:26" ht="20" customHeight="1" x14ac:dyDescent="0.15">
      <c r="A644" s="8"/>
      <c r="B644" s="9"/>
      <c r="C644" s="17"/>
      <c r="D644" s="10"/>
      <c r="E644" s="10"/>
      <c r="F644" s="11"/>
      <c r="G644" s="10"/>
      <c r="H644" s="10"/>
      <c r="I644" s="10"/>
      <c r="J644" s="10"/>
      <c r="K644" s="10"/>
      <c r="L644" s="10"/>
      <c r="M644" s="10"/>
      <c r="N644" s="10"/>
      <c r="O644" s="10"/>
      <c r="P644" s="10"/>
      <c r="Q644" s="10"/>
      <c r="R644" s="10"/>
      <c r="S644" s="10"/>
      <c r="T644" s="10"/>
      <c r="U644" s="10"/>
      <c r="V644" s="10"/>
      <c r="W644" s="10"/>
      <c r="X644" s="10"/>
      <c r="Y644" s="10"/>
      <c r="Z644" s="10"/>
    </row>
    <row r="645" spans="1:26" ht="20" customHeight="1" x14ac:dyDescent="0.15">
      <c r="A645" s="8"/>
      <c r="B645" s="9"/>
      <c r="C645" s="17"/>
      <c r="D645" s="10"/>
      <c r="E645" s="10"/>
      <c r="F645" s="11"/>
      <c r="G645" s="10"/>
      <c r="H645" s="10"/>
      <c r="I645" s="10"/>
      <c r="J645" s="10"/>
      <c r="K645" s="10"/>
      <c r="L645" s="10"/>
      <c r="M645" s="10"/>
      <c r="N645" s="10"/>
      <c r="O645" s="10"/>
      <c r="P645" s="10"/>
      <c r="Q645" s="10"/>
      <c r="R645" s="10"/>
      <c r="S645" s="10"/>
      <c r="T645" s="10"/>
      <c r="U645" s="10"/>
      <c r="V645" s="10"/>
      <c r="W645" s="10"/>
      <c r="X645" s="10"/>
      <c r="Y645" s="10"/>
      <c r="Z645" s="10"/>
    </row>
    <row r="646" spans="1:26" ht="20" customHeight="1" x14ac:dyDescent="0.15">
      <c r="A646" s="8"/>
      <c r="B646" s="9"/>
      <c r="C646" s="17"/>
      <c r="D646" s="10"/>
      <c r="E646" s="10"/>
      <c r="F646" s="11"/>
      <c r="G646" s="10"/>
      <c r="H646" s="10"/>
      <c r="I646" s="10"/>
      <c r="J646" s="10"/>
      <c r="K646" s="10"/>
      <c r="L646" s="10"/>
      <c r="M646" s="10"/>
      <c r="N646" s="10"/>
      <c r="O646" s="10"/>
      <c r="P646" s="10"/>
      <c r="Q646" s="10"/>
      <c r="R646" s="10"/>
      <c r="S646" s="10"/>
      <c r="T646" s="10"/>
      <c r="U646" s="10"/>
      <c r="V646" s="10"/>
      <c r="W646" s="10"/>
      <c r="X646" s="10"/>
      <c r="Y646" s="10"/>
      <c r="Z646" s="10"/>
    </row>
    <row r="647" spans="1:26" ht="20" customHeight="1" x14ac:dyDescent="0.15">
      <c r="A647" s="8"/>
      <c r="B647" s="9"/>
      <c r="C647" s="17"/>
      <c r="D647" s="10"/>
      <c r="E647" s="10"/>
      <c r="F647" s="11"/>
      <c r="G647" s="10"/>
      <c r="H647" s="10"/>
      <c r="I647" s="10"/>
      <c r="J647" s="10"/>
      <c r="K647" s="10"/>
      <c r="L647" s="10"/>
      <c r="M647" s="10"/>
      <c r="N647" s="10"/>
      <c r="O647" s="10"/>
      <c r="P647" s="10"/>
      <c r="Q647" s="10"/>
      <c r="R647" s="10"/>
      <c r="S647" s="10"/>
      <c r="T647" s="10"/>
      <c r="U647" s="10"/>
      <c r="V647" s="10"/>
      <c r="W647" s="10"/>
      <c r="X647" s="10"/>
      <c r="Y647" s="10"/>
      <c r="Z647" s="10"/>
    </row>
    <row r="648" spans="1:26" ht="20" customHeight="1" x14ac:dyDescent="0.15">
      <c r="A648" s="8"/>
      <c r="B648" s="9"/>
      <c r="C648" s="17"/>
      <c r="D648" s="10"/>
      <c r="E648" s="10"/>
      <c r="F648" s="11"/>
      <c r="G648" s="10"/>
      <c r="H648" s="10"/>
      <c r="I648" s="10"/>
      <c r="J648" s="10"/>
      <c r="K648" s="10"/>
      <c r="L648" s="10"/>
      <c r="M648" s="10"/>
      <c r="N648" s="10"/>
      <c r="O648" s="10"/>
      <c r="P648" s="10"/>
      <c r="Q648" s="10"/>
      <c r="R648" s="10"/>
      <c r="S648" s="10"/>
      <c r="T648" s="10"/>
      <c r="U648" s="10"/>
      <c r="V648" s="10"/>
      <c r="W648" s="10"/>
      <c r="X648" s="10"/>
      <c r="Y648" s="10"/>
      <c r="Z648" s="10"/>
    </row>
    <row r="649" spans="1:26" ht="20" customHeight="1" x14ac:dyDescent="0.15">
      <c r="A649" s="8"/>
      <c r="B649" s="9"/>
      <c r="C649" s="17"/>
      <c r="D649" s="10"/>
      <c r="E649" s="10"/>
      <c r="F649" s="11"/>
      <c r="G649" s="10"/>
      <c r="H649" s="10"/>
      <c r="I649" s="10"/>
      <c r="J649" s="10"/>
      <c r="K649" s="10"/>
      <c r="L649" s="10"/>
      <c r="M649" s="10"/>
      <c r="N649" s="10"/>
      <c r="O649" s="10"/>
      <c r="P649" s="10"/>
      <c r="Q649" s="10"/>
      <c r="R649" s="10"/>
      <c r="S649" s="10"/>
      <c r="T649" s="10"/>
      <c r="U649" s="10"/>
      <c r="V649" s="10"/>
      <c r="W649" s="10"/>
      <c r="X649" s="10"/>
      <c r="Y649" s="10"/>
      <c r="Z649" s="10"/>
    </row>
    <row r="650" spans="1:26" ht="20" customHeight="1" x14ac:dyDescent="0.15">
      <c r="A650" s="8"/>
      <c r="B650" s="9"/>
      <c r="C650" s="17"/>
      <c r="D650" s="10"/>
      <c r="E650" s="10"/>
      <c r="F650" s="11"/>
      <c r="G650" s="10"/>
      <c r="H650" s="10"/>
      <c r="I650" s="10"/>
      <c r="J650" s="10"/>
      <c r="K650" s="10"/>
      <c r="L650" s="10"/>
      <c r="M650" s="10"/>
      <c r="N650" s="10"/>
      <c r="O650" s="10"/>
      <c r="P650" s="10"/>
      <c r="Q650" s="10"/>
      <c r="R650" s="10"/>
      <c r="S650" s="10"/>
      <c r="T650" s="10"/>
      <c r="U650" s="10"/>
      <c r="V650" s="10"/>
      <c r="W650" s="10"/>
      <c r="X650" s="10"/>
      <c r="Y650" s="10"/>
      <c r="Z650" s="10"/>
    </row>
    <row r="651" spans="1:26" ht="20" customHeight="1" x14ac:dyDescent="0.15">
      <c r="A651" s="8"/>
      <c r="B651" s="9"/>
      <c r="C651" s="17"/>
      <c r="D651" s="10"/>
      <c r="E651" s="10"/>
      <c r="F651" s="11"/>
      <c r="G651" s="10"/>
      <c r="H651" s="10"/>
      <c r="I651" s="10"/>
      <c r="J651" s="10"/>
      <c r="K651" s="10"/>
      <c r="L651" s="10"/>
      <c r="M651" s="10"/>
      <c r="N651" s="10"/>
      <c r="O651" s="10"/>
      <c r="P651" s="10"/>
      <c r="Q651" s="10"/>
      <c r="R651" s="10"/>
      <c r="S651" s="10"/>
      <c r="T651" s="10"/>
      <c r="U651" s="10"/>
      <c r="V651" s="10"/>
      <c r="W651" s="10"/>
      <c r="X651" s="10"/>
      <c r="Y651" s="10"/>
      <c r="Z651" s="10"/>
    </row>
    <row r="652" spans="1:26" ht="20" customHeight="1" x14ac:dyDescent="0.15">
      <c r="A652" s="8"/>
      <c r="B652" s="9"/>
      <c r="C652" s="17"/>
      <c r="D652" s="10"/>
      <c r="E652" s="10"/>
      <c r="F652" s="11"/>
      <c r="G652" s="10"/>
      <c r="H652" s="10"/>
      <c r="I652" s="10"/>
      <c r="J652" s="10"/>
      <c r="K652" s="10"/>
      <c r="L652" s="10"/>
      <c r="M652" s="10"/>
      <c r="N652" s="10"/>
      <c r="O652" s="10"/>
      <c r="P652" s="10"/>
      <c r="Q652" s="10"/>
      <c r="R652" s="10"/>
      <c r="S652" s="10"/>
      <c r="T652" s="10"/>
      <c r="U652" s="10"/>
      <c r="V652" s="10"/>
      <c r="W652" s="10"/>
      <c r="X652" s="10"/>
      <c r="Y652" s="10"/>
      <c r="Z652" s="10"/>
    </row>
    <row r="653" spans="1:26" ht="20" customHeight="1" x14ac:dyDescent="0.15">
      <c r="A653" s="8"/>
      <c r="B653" s="9"/>
      <c r="C653" s="17"/>
      <c r="D653" s="10"/>
      <c r="E653" s="10"/>
      <c r="F653" s="11"/>
      <c r="G653" s="10"/>
      <c r="H653" s="10"/>
      <c r="I653" s="10"/>
      <c r="J653" s="10"/>
      <c r="K653" s="10"/>
      <c r="L653" s="10"/>
      <c r="M653" s="10"/>
      <c r="N653" s="10"/>
      <c r="O653" s="10"/>
      <c r="P653" s="10"/>
      <c r="Q653" s="10"/>
      <c r="R653" s="10"/>
      <c r="S653" s="10"/>
      <c r="T653" s="10"/>
      <c r="U653" s="10"/>
      <c r="V653" s="10"/>
      <c r="W653" s="10"/>
      <c r="X653" s="10"/>
      <c r="Y653" s="10"/>
      <c r="Z653" s="10"/>
    </row>
    <row r="654" spans="1:26" ht="20" customHeight="1" x14ac:dyDescent="0.15">
      <c r="A654" s="8"/>
      <c r="B654" s="9"/>
      <c r="C654" s="17"/>
      <c r="D654" s="10"/>
      <c r="E654" s="10"/>
      <c r="F654" s="11"/>
      <c r="G654" s="10"/>
      <c r="H654" s="10"/>
      <c r="I654" s="10"/>
      <c r="J654" s="10"/>
      <c r="K654" s="10"/>
      <c r="L654" s="10"/>
      <c r="M654" s="10"/>
      <c r="N654" s="10"/>
      <c r="O654" s="10"/>
      <c r="P654" s="10"/>
      <c r="Q654" s="10"/>
      <c r="R654" s="10"/>
      <c r="S654" s="10"/>
      <c r="T654" s="10"/>
      <c r="U654" s="10"/>
      <c r="V654" s="10"/>
      <c r="W654" s="10"/>
      <c r="X654" s="10"/>
      <c r="Y654" s="10"/>
      <c r="Z654" s="10"/>
    </row>
    <row r="655" spans="1:26" ht="20" customHeight="1" x14ac:dyDescent="0.15">
      <c r="A655" s="8"/>
      <c r="B655" s="9"/>
      <c r="C655" s="17"/>
      <c r="D655" s="10"/>
      <c r="E655" s="10"/>
      <c r="F655" s="11"/>
      <c r="G655" s="10"/>
      <c r="H655" s="10"/>
      <c r="I655" s="10"/>
      <c r="J655" s="10"/>
      <c r="K655" s="10"/>
      <c r="L655" s="10"/>
      <c r="M655" s="10"/>
      <c r="N655" s="10"/>
      <c r="O655" s="10"/>
      <c r="P655" s="10"/>
      <c r="Q655" s="10"/>
      <c r="R655" s="10"/>
      <c r="S655" s="10"/>
      <c r="T655" s="10"/>
      <c r="U655" s="10"/>
      <c r="V655" s="10"/>
      <c r="W655" s="10"/>
      <c r="X655" s="10"/>
      <c r="Y655" s="10"/>
      <c r="Z655" s="10"/>
    </row>
    <row r="656" spans="1:26" ht="20" customHeight="1" x14ac:dyDescent="0.15">
      <c r="A656" s="8"/>
      <c r="B656" s="9"/>
      <c r="C656" s="17"/>
      <c r="D656" s="10"/>
      <c r="E656" s="10"/>
      <c r="F656" s="11"/>
      <c r="G656" s="10"/>
      <c r="H656" s="10"/>
      <c r="I656" s="10"/>
      <c r="J656" s="10"/>
      <c r="K656" s="10"/>
      <c r="L656" s="10"/>
      <c r="M656" s="10"/>
      <c r="N656" s="10"/>
      <c r="O656" s="10"/>
      <c r="P656" s="10"/>
      <c r="Q656" s="10"/>
      <c r="R656" s="10"/>
      <c r="S656" s="10"/>
      <c r="T656" s="10"/>
      <c r="U656" s="10"/>
      <c r="V656" s="10"/>
      <c r="W656" s="10"/>
      <c r="X656" s="10"/>
      <c r="Y656" s="10"/>
      <c r="Z656" s="10"/>
    </row>
    <row r="657" spans="1:26" ht="20" customHeight="1" x14ac:dyDescent="0.15">
      <c r="A657" s="8"/>
      <c r="B657" s="9"/>
      <c r="C657" s="17"/>
      <c r="D657" s="10"/>
      <c r="E657" s="10"/>
      <c r="F657" s="11"/>
      <c r="G657" s="10"/>
      <c r="H657" s="10"/>
      <c r="I657" s="10"/>
      <c r="J657" s="10"/>
      <c r="K657" s="10"/>
      <c r="L657" s="10"/>
      <c r="M657" s="10"/>
      <c r="N657" s="10"/>
      <c r="O657" s="10"/>
      <c r="P657" s="10"/>
      <c r="Q657" s="10"/>
      <c r="R657" s="10"/>
      <c r="S657" s="10"/>
      <c r="T657" s="10"/>
      <c r="U657" s="10"/>
      <c r="V657" s="10"/>
      <c r="W657" s="10"/>
      <c r="X657" s="10"/>
      <c r="Y657" s="10"/>
      <c r="Z657" s="10"/>
    </row>
    <row r="658" spans="1:26" ht="20" customHeight="1" x14ac:dyDescent="0.15">
      <c r="A658" s="8"/>
      <c r="B658" s="9"/>
      <c r="C658" s="17"/>
      <c r="D658" s="10"/>
      <c r="E658" s="10"/>
      <c r="F658" s="11"/>
      <c r="G658" s="10"/>
      <c r="H658" s="10"/>
      <c r="I658" s="10"/>
      <c r="J658" s="10"/>
      <c r="K658" s="10"/>
      <c r="L658" s="10"/>
      <c r="M658" s="10"/>
      <c r="N658" s="10"/>
      <c r="O658" s="10"/>
      <c r="P658" s="10"/>
      <c r="Q658" s="10"/>
      <c r="R658" s="10"/>
      <c r="S658" s="10"/>
      <c r="T658" s="10"/>
      <c r="U658" s="10"/>
      <c r="V658" s="10"/>
      <c r="W658" s="10"/>
      <c r="X658" s="10"/>
      <c r="Y658" s="10"/>
      <c r="Z658" s="10"/>
    </row>
    <row r="659" spans="1:26" ht="20" customHeight="1" x14ac:dyDescent="0.15">
      <c r="A659" s="8"/>
      <c r="B659" s="9"/>
      <c r="C659" s="17"/>
      <c r="D659" s="10"/>
      <c r="E659" s="10"/>
      <c r="F659" s="11"/>
      <c r="G659" s="10"/>
      <c r="H659" s="10"/>
      <c r="I659" s="10"/>
      <c r="J659" s="10"/>
      <c r="K659" s="10"/>
      <c r="L659" s="10"/>
      <c r="M659" s="10"/>
      <c r="N659" s="10"/>
      <c r="O659" s="10"/>
      <c r="P659" s="10"/>
      <c r="Q659" s="10"/>
      <c r="R659" s="10"/>
      <c r="S659" s="10"/>
      <c r="T659" s="10"/>
      <c r="U659" s="10"/>
      <c r="V659" s="10"/>
      <c r="W659" s="10"/>
      <c r="X659" s="10"/>
      <c r="Y659" s="10"/>
      <c r="Z659" s="10"/>
    </row>
    <row r="660" spans="1:26" ht="20" customHeight="1" x14ac:dyDescent="0.15">
      <c r="A660" s="8"/>
      <c r="B660" s="9"/>
      <c r="C660" s="17"/>
      <c r="D660" s="10"/>
      <c r="E660" s="10"/>
      <c r="F660" s="11"/>
      <c r="G660" s="10"/>
      <c r="H660" s="10"/>
      <c r="I660" s="10"/>
      <c r="J660" s="10"/>
      <c r="K660" s="10"/>
      <c r="L660" s="10"/>
      <c r="M660" s="10"/>
      <c r="N660" s="10"/>
      <c r="O660" s="10"/>
      <c r="P660" s="10"/>
      <c r="Q660" s="10"/>
      <c r="R660" s="10"/>
      <c r="S660" s="10"/>
      <c r="T660" s="10"/>
      <c r="U660" s="10"/>
      <c r="V660" s="10"/>
      <c r="W660" s="10"/>
      <c r="X660" s="10"/>
      <c r="Y660" s="10"/>
      <c r="Z660" s="10"/>
    </row>
    <row r="661" spans="1:26" ht="20" customHeight="1" x14ac:dyDescent="0.15">
      <c r="A661" s="8"/>
      <c r="B661" s="9"/>
      <c r="C661" s="17"/>
      <c r="D661" s="10"/>
      <c r="E661" s="10"/>
      <c r="F661" s="11"/>
      <c r="G661" s="10"/>
      <c r="H661" s="10"/>
      <c r="I661" s="10"/>
      <c r="J661" s="10"/>
      <c r="K661" s="10"/>
      <c r="L661" s="10"/>
      <c r="M661" s="10"/>
      <c r="N661" s="10"/>
      <c r="O661" s="10"/>
      <c r="P661" s="10"/>
      <c r="Q661" s="10"/>
      <c r="R661" s="10"/>
      <c r="S661" s="10"/>
      <c r="T661" s="10"/>
      <c r="U661" s="10"/>
      <c r="V661" s="10"/>
      <c r="W661" s="10"/>
      <c r="X661" s="10"/>
      <c r="Y661" s="10"/>
      <c r="Z661" s="10"/>
    </row>
    <row r="662" spans="1:26" ht="20" customHeight="1" x14ac:dyDescent="0.15">
      <c r="A662" s="8"/>
      <c r="B662" s="9"/>
      <c r="C662" s="17"/>
      <c r="D662" s="10"/>
      <c r="E662" s="10"/>
      <c r="F662" s="11"/>
      <c r="G662" s="10"/>
      <c r="H662" s="10"/>
      <c r="I662" s="10"/>
      <c r="J662" s="10"/>
      <c r="K662" s="10"/>
      <c r="L662" s="10"/>
      <c r="M662" s="10"/>
      <c r="N662" s="10"/>
      <c r="O662" s="10"/>
      <c r="P662" s="10"/>
      <c r="Q662" s="10"/>
      <c r="R662" s="10"/>
      <c r="S662" s="10"/>
      <c r="T662" s="10"/>
      <c r="U662" s="10"/>
      <c r="V662" s="10"/>
      <c r="W662" s="10"/>
      <c r="X662" s="10"/>
      <c r="Y662" s="10"/>
      <c r="Z662" s="10"/>
    </row>
    <row r="663" spans="1:26" ht="20" customHeight="1" x14ac:dyDescent="0.15">
      <c r="A663" s="8"/>
      <c r="B663" s="9"/>
      <c r="C663" s="17"/>
      <c r="D663" s="10"/>
      <c r="E663" s="10"/>
      <c r="F663" s="11"/>
      <c r="G663" s="10"/>
      <c r="H663" s="10"/>
      <c r="I663" s="10"/>
      <c r="J663" s="10"/>
      <c r="K663" s="10"/>
      <c r="L663" s="10"/>
      <c r="M663" s="10"/>
      <c r="N663" s="10"/>
      <c r="O663" s="10"/>
      <c r="P663" s="10"/>
      <c r="Q663" s="10"/>
      <c r="R663" s="10"/>
      <c r="S663" s="10"/>
      <c r="T663" s="10"/>
      <c r="U663" s="10"/>
      <c r="V663" s="10"/>
      <c r="W663" s="10"/>
      <c r="X663" s="10"/>
      <c r="Y663" s="10"/>
      <c r="Z663" s="10"/>
    </row>
    <row r="664" spans="1:26" ht="20" customHeight="1" x14ac:dyDescent="0.15">
      <c r="A664" s="8"/>
      <c r="B664" s="9"/>
      <c r="C664" s="17"/>
      <c r="D664" s="10"/>
      <c r="E664" s="10"/>
      <c r="F664" s="11"/>
      <c r="G664" s="10"/>
      <c r="H664" s="10"/>
      <c r="I664" s="10"/>
      <c r="J664" s="10"/>
      <c r="K664" s="10"/>
      <c r="L664" s="10"/>
      <c r="M664" s="10"/>
      <c r="N664" s="10"/>
      <c r="O664" s="10"/>
      <c r="P664" s="10"/>
      <c r="Q664" s="10"/>
      <c r="R664" s="10"/>
      <c r="S664" s="10"/>
      <c r="T664" s="10"/>
      <c r="U664" s="10"/>
      <c r="V664" s="10"/>
      <c r="W664" s="10"/>
      <c r="X664" s="10"/>
      <c r="Y664" s="10"/>
      <c r="Z664" s="10"/>
    </row>
    <row r="665" spans="1:26" ht="20" customHeight="1" x14ac:dyDescent="0.15">
      <c r="A665" s="8"/>
      <c r="B665" s="9"/>
      <c r="C665" s="17"/>
      <c r="D665" s="10"/>
      <c r="E665" s="10"/>
      <c r="F665" s="11"/>
      <c r="G665" s="10"/>
      <c r="H665" s="10"/>
      <c r="I665" s="10"/>
      <c r="J665" s="10"/>
      <c r="K665" s="10"/>
      <c r="L665" s="10"/>
      <c r="M665" s="10"/>
      <c r="N665" s="10"/>
      <c r="O665" s="10"/>
      <c r="P665" s="10"/>
      <c r="Q665" s="10"/>
      <c r="R665" s="10"/>
      <c r="S665" s="10"/>
      <c r="T665" s="10"/>
      <c r="U665" s="10"/>
      <c r="V665" s="10"/>
      <c r="W665" s="10"/>
      <c r="X665" s="10"/>
      <c r="Y665" s="10"/>
      <c r="Z665" s="10"/>
    </row>
    <row r="666" spans="1:26" ht="20" customHeight="1" x14ac:dyDescent="0.15">
      <c r="A666" s="8"/>
      <c r="B666" s="9"/>
      <c r="C666" s="17"/>
      <c r="D666" s="10"/>
      <c r="E666" s="10"/>
      <c r="F666" s="11"/>
      <c r="G666" s="10"/>
      <c r="H666" s="10"/>
      <c r="I666" s="10"/>
      <c r="J666" s="10"/>
      <c r="K666" s="10"/>
      <c r="L666" s="10"/>
      <c r="M666" s="10"/>
      <c r="N666" s="10"/>
      <c r="O666" s="10"/>
      <c r="P666" s="10"/>
      <c r="Q666" s="10"/>
      <c r="R666" s="10"/>
      <c r="S666" s="10"/>
      <c r="T666" s="10"/>
      <c r="U666" s="10"/>
      <c r="V666" s="10"/>
      <c r="W666" s="10"/>
      <c r="X666" s="10"/>
      <c r="Y666" s="10"/>
      <c r="Z666" s="10"/>
    </row>
    <row r="667" spans="1:26" ht="20" customHeight="1" x14ac:dyDescent="0.15">
      <c r="A667" s="8"/>
      <c r="B667" s="9"/>
      <c r="C667" s="17"/>
      <c r="D667" s="10"/>
      <c r="E667" s="10"/>
      <c r="F667" s="11"/>
      <c r="G667" s="10"/>
      <c r="H667" s="10"/>
      <c r="I667" s="10"/>
      <c r="J667" s="10"/>
      <c r="K667" s="10"/>
      <c r="L667" s="10"/>
      <c r="M667" s="10"/>
      <c r="N667" s="10"/>
      <c r="O667" s="10"/>
      <c r="P667" s="10"/>
      <c r="Q667" s="10"/>
      <c r="R667" s="10"/>
      <c r="S667" s="10"/>
      <c r="T667" s="10"/>
      <c r="U667" s="10"/>
      <c r="V667" s="10"/>
      <c r="W667" s="10"/>
      <c r="X667" s="10"/>
      <c r="Y667" s="10"/>
      <c r="Z667" s="10"/>
    </row>
    <row r="668" spans="1:26" ht="20" customHeight="1" x14ac:dyDescent="0.15">
      <c r="A668" s="8"/>
      <c r="B668" s="9"/>
      <c r="C668" s="17"/>
      <c r="D668" s="10"/>
      <c r="E668" s="10"/>
      <c r="F668" s="11"/>
      <c r="G668" s="10"/>
      <c r="H668" s="10"/>
      <c r="I668" s="10"/>
      <c r="J668" s="10"/>
      <c r="K668" s="10"/>
      <c r="L668" s="10"/>
      <c r="M668" s="10"/>
      <c r="N668" s="10"/>
      <c r="O668" s="10"/>
      <c r="P668" s="10"/>
      <c r="Q668" s="10"/>
      <c r="R668" s="10"/>
      <c r="S668" s="10"/>
      <c r="T668" s="10"/>
      <c r="U668" s="10"/>
      <c r="V668" s="10"/>
      <c r="W668" s="10"/>
      <c r="X668" s="10"/>
      <c r="Y668" s="10"/>
      <c r="Z668" s="10"/>
    </row>
    <row r="669" spans="1:26" ht="20" customHeight="1" x14ac:dyDescent="0.15">
      <c r="A669" s="8"/>
      <c r="B669" s="9"/>
      <c r="C669" s="17"/>
      <c r="D669" s="10"/>
      <c r="E669" s="10"/>
      <c r="F669" s="11"/>
      <c r="G669" s="10"/>
      <c r="H669" s="10"/>
      <c r="I669" s="10"/>
      <c r="J669" s="10"/>
      <c r="K669" s="10"/>
      <c r="L669" s="10"/>
      <c r="M669" s="10"/>
      <c r="N669" s="10"/>
      <c r="O669" s="10"/>
      <c r="P669" s="10"/>
      <c r="Q669" s="10"/>
      <c r="R669" s="10"/>
      <c r="S669" s="10"/>
      <c r="T669" s="10"/>
      <c r="U669" s="10"/>
      <c r="V669" s="10"/>
      <c r="W669" s="10"/>
      <c r="X669" s="10"/>
      <c r="Y669" s="10"/>
      <c r="Z669" s="10"/>
    </row>
    <row r="670" spans="1:26" ht="20" customHeight="1" x14ac:dyDescent="0.15">
      <c r="A670" s="8"/>
      <c r="B670" s="9"/>
      <c r="C670" s="17"/>
      <c r="D670" s="10"/>
      <c r="E670" s="10"/>
      <c r="F670" s="11"/>
      <c r="G670" s="10"/>
      <c r="H670" s="10"/>
      <c r="I670" s="10"/>
      <c r="J670" s="10"/>
      <c r="K670" s="10"/>
      <c r="L670" s="10"/>
      <c r="M670" s="10"/>
      <c r="N670" s="10"/>
      <c r="O670" s="10"/>
      <c r="P670" s="10"/>
      <c r="Q670" s="10"/>
      <c r="R670" s="10"/>
      <c r="S670" s="10"/>
      <c r="T670" s="10"/>
      <c r="U670" s="10"/>
      <c r="V670" s="10"/>
      <c r="W670" s="10"/>
      <c r="X670" s="10"/>
      <c r="Y670" s="10"/>
      <c r="Z670" s="10"/>
    </row>
    <row r="671" spans="1:26" ht="20" customHeight="1" x14ac:dyDescent="0.15">
      <c r="A671" s="8"/>
      <c r="B671" s="9"/>
      <c r="C671" s="17"/>
      <c r="D671" s="10"/>
      <c r="E671" s="10"/>
      <c r="F671" s="11"/>
      <c r="G671" s="10"/>
      <c r="H671" s="10"/>
      <c r="I671" s="10"/>
      <c r="J671" s="10"/>
      <c r="K671" s="10"/>
      <c r="L671" s="10"/>
      <c r="M671" s="10"/>
      <c r="N671" s="10"/>
      <c r="O671" s="10"/>
      <c r="P671" s="10"/>
      <c r="Q671" s="10"/>
      <c r="R671" s="10"/>
      <c r="S671" s="10"/>
      <c r="T671" s="10"/>
      <c r="U671" s="10"/>
      <c r="V671" s="10"/>
      <c r="W671" s="10"/>
      <c r="X671" s="10"/>
      <c r="Y671" s="10"/>
      <c r="Z671" s="10"/>
    </row>
    <row r="672" spans="1:26" ht="20" customHeight="1" x14ac:dyDescent="0.15">
      <c r="A672" s="8"/>
      <c r="B672" s="9"/>
      <c r="C672" s="17"/>
      <c r="D672" s="10"/>
      <c r="E672" s="10"/>
      <c r="F672" s="11"/>
      <c r="G672" s="10"/>
      <c r="H672" s="10"/>
      <c r="I672" s="10"/>
      <c r="J672" s="10"/>
      <c r="K672" s="10"/>
      <c r="L672" s="10"/>
      <c r="M672" s="10"/>
      <c r="N672" s="10"/>
      <c r="O672" s="10"/>
      <c r="P672" s="10"/>
      <c r="Q672" s="10"/>
      <c r="R672" s="10"/>
      <c r="S672" s="10"/>
      <c r="T672" s="10"/>
      <c r="U672" s="10"/>
      <c r="V672" s="10"/>
      <c r="W672" s="10"/>
      <c r="X672" s="10"/>
      <c r="Y672" s="10"/>
      <c r="Z672" s="10"/>
    </row>
    <row r="673" spans="1:26" ht="20" customHeight="1" x14ac:dyDescent="0.15">
      <c r="A673" s="8"/>
      <c r="B673" s="9"/>
      <c r="C673" s="17"/>
      <c r="D673" s="10"/>
      <c r="E673" s="10"/>
      <c r="F673" s="11"/>
      <c r="G673" s="10"/>
      <c r="H673" s="10"/>
      <c r="I673" s="10"/>
      <c r="J673" s="10"/>
      <c r="K673" s="10"/>
      <c r="L673" s="10"/>
      <c r="M673" s="10"/>
      <c r="N673" s="10"/>
      <c r="O673" s="10"/>
      <c r="P673" s="10"/>
      <c r="Q673" s="10"/>
      <c r="R673" s="10"/>
      <c r="S673" s="10"/>
      <c r="T673" s="10"/>
      <c r="U673" s="10"/>
      <c r="V673" s="10"/>
      <c r="W673" s="10"/>
      <c r="X673" s="10"/>
      <c r="Y673" s="10"/>
      <c r="Z673" s="10"/>
    </row>
    <row r="674" spans="1:26" ht="20" customHeight="1" x14ac:dyDescent="0.15">
      <c r="A674" s="8"/>
      <c r="B674" s="9"/>
      <c r="C674" s="17"/>
      <c r="D674" s="10"/>
      <c r="E674" s="10"/>
      <c r="F674" s="11"/>
      <c r="G674" s="10"/>
      <c r="H674" s="10"/>
      <c r="I674" s="10"/>
      <c r="J674" s="10"/>
      <c r="K674" s="10"/>
      <c r="L674" s="10"/>
      <c r="M674" s="10"/>
      <c r="N674" s="10"/>
      <c r="O674" s="10"/>
      <c r="P674" s="10"/>
      <c r="Q674" s="10"/>
      <c r="R674" s="10"/>
      <c r="S674" s="10"/>
      <c r="T674" s="10"/>
      <c r="U674" s="10"/>
      <c r="V674" s="10"/>
      <c r="W674" s="10"/>
      <c r="X674" s="10"/>
      <c r="Y674" s="10"/>
      <c r="Z674" s="10"/>
    </row>
    <row r="675" spans="1:26" ht="20" customHeight="1" x14ac:dyDescent="0.15">
      <c r="A675" s="8"/>
      <c r="B675" s="9"/>
      <c r="C675" s="17"/>
      <c r="D675" s="10"/>
      <c r="E675" s="10"/>
      <c r="F675" s="11"/>
      <c r="G675" s="10"/>
      <c r="H675" s="10"/>
      <c r="I675" s="10"/>
      <c r="J675" s="10"/>
      <c r="K675" s="10"/>
      <c r="L675" s="10"/>
      <c r="M675" s="10"/>
      <c r="N675" s="10"/>
      <c r="O675" s="10"/>
      <c r="P675" s="10"/>
      <c r="Q675" s="10"/>
      <c r="R675" s="10"/>
      <c r="S675" s="10"/>
      <c r="T675" s="10"/>
      <c r="U675" s="10"/>
      <c r="V675" s="10"/>
      <c r="W675" s="10"/>
      <c r="X675" s="10"/>
      <c r="Y675" s="10"/>
      <c r="Z675" s="10"/>
    </row>
    <row r="676" spans="1:26" ht="20" customHeight="1" x14ac:dyDescent="0.15">
      <c r="A676" s="8"/>
      <c r="B676" s="9"/>
      <c r="C676" s="17"/>
      <c r="D676" s="10"/>
      <c r="E676" s="10"/>
      <c r="F676" s="11"/>
      <c r="G676" s="10"/>
      <c r="H676" s="10"/>
      <c r="I676" s="10"/>
      <c r="J676" s="10"/>
      <c r="K676" s="10"/>
      <c r="L676" s="10"/>
      <c r="M676" s="10"/>
      <c r="N676" s="10"/>
      <c r="O676" s="10"/>
      <c r="P676" s="10"/>
      <c r="Q676" s="10"/>
      <c r="R676" s="10"/>
      <c r="S676" s="10"/>
      <c r="T676" s="10"/>
      <c r="U676" s="10"/>
      <c r="V676" s="10"/>
      <c r="W676" s="10"/>
      <c r="X676" s="10"/>
      <c r="Y676" s="10"/>
      <c r="Z676" s="10"/>
    </row>
    <row r="677" spans="1:26" ht="20" customHeight="1" x14ac:dyDescent="0.15">
      <c r="A677" s="8"/>
      <c r="B677" s="9"/>
      <c r="C677" s="17"/>
      <c r="D677" s="10"/>
      <c r="E677" s="10"/>
      <c r="F677" s="11"/>
      <c r="G677" s="10"/>
      <c r="H677" s="10"/>
      <c r="I677" s="10"/>
      <c r="J677" s="10"/>
      <c r="K677" s="10"/>
      <c r="L677" s="10"/>
      <c r="M677" s="10"/>
      <c r="N677" s="10"/>
      <c r="O677" s="10"/>
      <c r="P677" s="10"/>
      <c r="Q677" s="10"/>
      <c r="R677" s="10"/>
      <c r="S677" s="10"/>
      <c r="T677" s="10"/>
      <c r="U677" s="10"/>
      <c r="V677" s="10"/>
      <c r="W677" s="10"/>
      <c r="X677" s="10"/>
      <c r="Y677" s="10"/>
      <c r="Z677" s="10"/>
    </row>
    <row r="678" spans="1:26" ht="20" customHeight="1" x14ac:dyDescent="0.15">
      <c r="A678" s="8"/>
      <c r="B678" s="9"/>
      <c r="C678" s="17"/>
      <c r="D678" s="10"/>
      <c r="E678" s="10"/>
      <c r="F678" s="11"/>
      <c r="G678" s="10"/>
      <c r="H678" s="10"/>
      <c r="I678" s="10"/>
      <c r="J678" s="10"/>
      <c r="K678" s="10"/>
      <c r="L678" s="10"/>
      <c r="M678" s="10"/>
      <c r="N678" s="10"/>
      <c r="O678" s="10"/>
      <c r="P678" s="10"/>
      <c r="Q678" s="10"/>
      <c r="R678" s="10"/>
      <c r="S678" s="10"/>
      <c r="T678" s="10"/>
      <c r="U678" s="10"/>
      <c r="V678" s="10"/>
      <c r="W678" s="10"/>
      <c r="X678" s="10"/>
      <c r="Y678" s="10"/>
      <c r="Z678" s="10"/>
    </row>
    <row r="679" spans="1:26" ht="20" customHeight="1" x14ac:dyDescent="0.15">
      <c r="A679" s="8"/>
      <c r="B679" s="9"/>
      <c r="C679" s="17"/>
      <c r="D679" s="10"/>
      <c r="E679" s="10"/>
      <c r="F679" s="11"/>
      <c r="G679" s="10"/>
      <c r="H679" s="10"/>
      <c r="I679" s="10"/>
      <c r="J679" s="10"/>
      <c r="K679" s="10"/>
      <c r="L679" s="10"/>
      <c r="M679" s="10"/>
      <c r="N679" s="10"/>
      <c r="O679" s="10"/>
      <c r="P679" s="10"/>
      <c r="Q679" s="10"/>
      <c r="R679" s="10"/>
      <c r="S679" s="10"/>
      <c r="T679" s="10"/>
      <c r="U679" s="10"/>
      <c r="V679" s="10"/>
      <c r="W679" s="10"/>
      <c r="X679" s="10"/>
      <c r="Y679" s="10"/>
      <c r="Z679" s="10"/>
    </row>
    <row r="680" spans="1:26" ht="20" customHeight="1" x14ac:dyDescent="0.15">
      <c r="A680" s="8"/>
      <c r="B680" s="9"/>
      <c r="C680" s="17"/>
      <c r="D680" s="10"/>
      <c r="E680" s="10"/>
      <c r="F680" s="11"/>
      <c r="G680" s="10"/>
      <c r="H680" s="10"/>
      <c r="I680" s="10"/>
      <c r="J680" s="10"/>
      <c r="K680" s="10"/>
      <c r="L680" s="10"/>
      <c r="M680" s="10"/>
      <c r="N680" s="10"/>
      <c r="O680" s="10"/>
      <c r="P680" s="10"/>
      <c r="Q680" s="10"/>
      <c r="R680" s="10"/>
      <c r="S680" s="10"/>
      <c r="T680" s="10"/>
      <c r="U680" s="10"/>
      <c r="V680" s="10"/>
      <c r="W680" s="10"/>
      <c r="X680" s="10"/>
      <c r="Y680" s="10"/>
      <c r="Z680" s="10"/>
    </row>
    <row r="681" spans="1:26" ht="20" customHeight="1" x14ac:dyDescent="0.15">
      <c r="A681" s="8"/>
      <c r="B681" s="9"/>
      <c r="C681" s="17"/>
      <c r="D681" s="10"/>
      <c r="E681" s="10"/>
      <c r="F681" s="11"/>
      <c r="G681" s="10"/>
      <c r="H681" s="10"/>
      <c r="I681" s="10"/>
      <c r="J681" s="10"/>
      <c r="K681" s="10"/>
      <c r="L681" s="10"/>
      <c r="M681" s="10"/>
      <c r="N681" s="10"/>
      <c r="O681" s="10"/>
      <c r="P681" s="10"/>
      <c r="Q681" s="10"/>
      <c r="R681" s="10"/>
      <c r="S681" s="10"/>
      <c r="T681" s="10"/>
      <c r="U681" s="10"/>
      <c r="V681" s="10"/>
      <c r="W681" s="10"/>
      <c r="X681" s="10"/>
      <c r="Y681" s="10"/>
      <c r="Z681" s="10"/>
    </row>
    <row r="682" spans="1:26" ht="20" customHeight="1" x14ac:dyDescent="0.15">
      <c r="A682" s="8"/>
      <c r="B682" s="9"/>
      <c r="C682" s="17"/>
      <c r="D682" s="10"/>
      <c r="E682" s="10"/>
      <c r="F682" s="11"/>
      <c r="G682" s="10"/>
      <c r="H682" s="10"/>
      <c r="I682" s="10"/>
      <c r="J682" s="10"/>
      <c r="K682" s="10"/>
      <c r="L682" s="10"/>
      <c r="M682" s="10"/>
      <c r="N682" s="10"/>
      <c r="O682" s="10"/>
      <c r="P682" s="10"/>
      <c r="Q682" s="10"/>
      <c r="R682" s="10"/>
      <c r="S682" s="10"/>
      <c r="T682" s="10"/>
      <c r="U682" s="10"/>
      <c r="V682" s="10"/>
      <c r="W682" s="10"/>
      <c r="X682" s="10"/>
      <c r="Y682" s="10"/>
      <c r="Z682" s="10"/>
    </row>
    <row r="683" spans="1:26" ht="20" customHeight="1" x14ac:dyDescent="0.15">
      <c r="A683" s="8"/>
      <c r="B683" s="9"/>
      <c r="C683" s="17"/>
      <c r="D683" s="10"/>
      <c r="E683" s="10"/>
      <c r="F683" s="11"/>
      <c r="G683" s="10"/>
      <c r="H683" s="10"/>
      <c r="I683" s="10"/>
      <c r="J683" s="10"/>
      <c r="K683" s="10"/>
      <c r="L683" s="10"/>
      <c r="M683" s="10"/>
      <c r="N683" s="10"/>
      <c r="O683" s="10"/>
      <c r="P683" s="10"/>
      <c r="Q683" s="10"/>
      <c r="R683" s="10"/>
      <c r="S683" s="10"/>
      <c r="T683" s="10"/>
      <c r="U683" s="10"/>
      <c r="V683" s="10"/>
      <c r="W683" s="10"/>
      <c r="X683" s="10"/>
      <c r="Y683" s="10"/>
      <c r="Z683" s="10"/>
    </row>
    <row r="684" spans="1:26" ht="20" customHeight="1" x14ac:dyDescent="0.15">
      <c r="A684" s="8"/>
      <c r="B684" s="9"/>
      <c r="C684" s="17"/>
      <c r="D684" s="10"/>
      <c r="E684" s="10"/>
      <c r="F684" s="11"/>
      <c r="G684" s="10"/>
      <c r="H684" s="10"/>
      <c r="I684" s="10"/>
      <c r="J684" s="10"/>
      <c r="K684" s="10"/>
      <c r="L684" s="10"/>
      <c r="M684" s="10"/>
      <c r="N684" s="10"/>
      <c r="O684" s="10"/>
      <c r="P684" s="10"/>
      <c r="Q684" s="10"/>
      <c r="R684" s="10"/>
      <c r="S684" s="10"/>
      <c r="T684" s="10"/>
      <c r="U684" s="10"/>
      <c r="V684" s="10"/>
      <c r="W684" s="10"/>
      <c r="X684" s="10"/>
      <c r="Y684" s="10"/>
      <c r="Z684" s="10"/>
    </row>
    <row r="685" spans="1:26" ht="20" customHeight="1" x14ac:dyDescent="0.15">
      <c r="A685" s="8"/>
      <c r="B685" s="9"/>
      <c r="C685" s="17"/>
      <c r="D685" s="10"/>
      <c r="E685" s="10"/>
      <c r="F685" s="11"/>
      <c r="G685" s="10"/>
      <c r="H685" s="10"/>
      <c r="I685" s="10"/>
      <c r="J685" s="10"/>
      <c r="K685" s="10"/>
      <c r="L685" s="10"/>
      <c r="M685" s="10"/>
      <c r="N685" s="10"/>
      <c r="O685" s="10"/>
      <c r="P685" s="10"/>
      <c r="Q685" s="10"/>
      <c r="R685" s="10"/>
      <c r="S685" s="10"/>
      <c r="T685" s="10"/>
      <c r="U685" s="10"/>
      <c r="V685" s="10"/>
      <c r="W685" s="10"/>
      <c r="X685" s="10"/>
      <c r="Y685" s="10"/>
      <c r="Z685" s="10"/>
    </row>
    <row r="686" spans="1:26" ht="20" customHeight="1" x14ac:dyDescent="0.15">
      <c r="A686" s="8"/>
      <c r="B686" s="9"/>
      <c r="C686" s="17"/>
      <c r="D686" s="10"/>
      <c r="E686" s="10"/>
      <c r="F686" s="11"/>
      <c r="G686" s="10"/>
      <c r="H686" s="10"/>
      <c r="I686" s="10"/>
      <c r="J686" s="10"/>
      <c r="K686" s="10"/>
      <c r="L686" s="10"/>
      <c r="M686" s="10"/>
      <c r="N686" s="10"/>
      <c r="O686" s="10"/>
      <c r="P686" s="10"/>
      <c r="Q686" s="10"/>
      <c r="R686" s="10"/>
      <c r="S686" s="10"/>
      <c r="T686" s="10"/>
      <c r="U686" s="10"/>
      <c r="V686" s="10"/>
      <c r="W686" s="10"/>
      <c r="X686" s="10"/>
      <c r="Y686" s="10"/>
      <c r="Z686" s="10"/>
    </row>
    <row r="687" spans="1:26" ht="20" customHeight="1" x14ac:dyDescent="0.15">
      <c r="A687" s="8"/>
      <c r="B687" s="9"/>
      <c r="C687" s="17"/>
      <c r="D687" s="10"/>
      <c r="E687" s="10"/>
      <c r="F687" s="11"/>
      <c r="G687" s="10"/>
      <c r="H687" s="10"/>
      <c r="I687" s="10"/>
      <c r="J687" s="10"/>
      <c r="K687" s="10"/>
      <c r="L687" s="10"/>
      <c r="M687" s="10"/>
      <c r="N687" s="10"/>
      <c r="O687" s="10"/>
      <c r="P687" s="10"/>
      <c r="Q687" s="10"/>
      <c r="R687" s="10"/>
      <c r="S687" s="10"/>
      <c r="T687" s="10"/>
      <c r="U687" s="10"/>
      <c r="V687" s="10"/>
      <c r="W687" s="10"/>
      <c r="X687" s="10"/>
      <c r="Y687" s="10"/>
      <c r="Z687" s="10"/>
    </row>
    <row r="688" spans="1:26" ht="20" customHeight="1" x14ac:dyDescent="0.15">
      <c r="A688" s="8"/>
      <c r="B688" s="9"/>
      <c r="C688" s="17"/>
      <c r="D688" s="10"/>
      <c r="E688" s="10"/>
      <c r="F688" s="11"/>
      <c r="G688" s="10"/>
      <c r="H688" s="10"/>
      <c r="I688" s="10"/>
      <c r="J688" s="10"/>
      <c r="K688" s="10"/>
      <c r="L688" s="10"/>
      <c r="M688" s="10"/>
      <c r="N688" s="10"/>
      <c r="O688" s="10"/>
      <c r="P688" s="10"/>
      <c r="Q688" s="10"/>
      <c r="R688" s="10"/>
      <c r="S688" s="10"/>
      <c r="T688" s="10"/>
      <c r="U688" s="10"/>
      <c r="V688" s="10"/>
      <c r="W688" s="10"/>
      <c r="X688" s="10"/>
      <c r="Y688" s="10"/>
      <c r="Z688" s="10"/>
    </row>
    <row r="689" spans="1:26" ht="20" customHeight="1" x14ac:dyDescent="0.15">
      <c r="A689" s="8"/>
      <c r="B689" s="9"/>
      <c r="C689" s="17"/>
      <c r="D689" s="10"/>
      <c r="E689" s="10"/>
      <c r="F689" s="11"/>
      <c r="G689" s="10"/>
      <c r="H689" s="10"/>
      <c r="I689" s="10"/>
      <c r="J689" s="10"/>
      <c r="K689" s="10"/>
      <c r="L689" s="10"/>
      <c r="M689" s="10"/>
      <c r="N689" s="10"/>
      <c r="O689" s="10"/>
      <c r="P689" s="10"/>
      <c r="Q689" s="10"/>
      <c r="R689" s="10"/>
      <c r="S689" s="10"/>
      <c r="T689" s="10"/>
      <c r="U689" s="10"/>
      <c r="V689" s="10"/>
      <c r="W689" s="10"/>
      <c r="X689" s="10"/>
      <c r="Y689" s="10"/>
      <c r="Z689" s="10"/>
    </row>
    <row r="690" spans="1:26" ht="20" customHeight="1" x14ac:dyDescent="0.15">
      <c r="A690" s="8"/>
      <c r="B690" s="9"/>
      <c r="C690" s="17"/>
      <c r="D690" s="10"/>
      <c r="E690" s="10"/>
      <c r="F690" s="11"/>
      <c r="G690" s="10"/>
      <c r="H690" s="10"/>
      <c r="I690" s="10"/>
      <c r="J690" s="10"/>
      <c r="K690" s="10"/>
      <c r="L690" s="10"/>
      <c r="M690" s="10"/>
      <c r="N690" s="10"/>
      <c r="O690" s="10"/>
      <c r="P690" s="10"/>
      <c r="Q690" s="10"/>
      <c r="R690" s="10"/>
      <c r="S690" s="10"/>
      <c r="T690" s="10"/>
      <c r="U690" s="10"/>
      <c r="V690" s="10"/>
      <c r="W690" s="10"/>
      <c r="X690" s="10"/>
      <c r="Y690" s="10"/>
      <c r="Z690" s="10"/>
    </row>
    <row r="691" spans="1:26" ht="20" customHeight="1" x14ac:dyDescent="0.15">
      <c r="A691" s="8"/>
      <c r="B691" s="9"/>
      <c r="C691" s="17"/>
      <c r="D691" s="10"/>
      <c r="E691" s="10"/>
      <c r="F691" s="11"/>
      <c r="G691" s="10"/>
      <c r="H691" s="10"/>
      <c r="I691" s="10"/>
      <c r="J691" s="10"/>
      <c r="K691" s="10"/>
      <c r="L691" s="10"/>
      <c r="M691" s="10"/>
      <c r="N691" s="10"/>
      <c r="O691" s="10"/>
      <c r="P691" s="10"/>
      <c r="Q691" s="10"/>
      <c r="R691" s="10"/>
      <c r="S691" s="10"/>
      <c r="T691" s="10"/>
      <c r="U691" s="10"/>
      <c r="V691" s="10"/>
      <c r="W691" s="10"/>
      <c r="X691" s="10"/>
      <c r="Y691" s="10"/>
      <c r="Z691" s="10"/>
    </row>
    <row r="692" spans="1:26" ht="20" customHeight="1" x14ac:dyDescent="0.15">
      <c r="A692" s="8"/>
      <c r="B692" s="9"/>
      <c r="C692" s="17"/>
      <c r="D692" s="10"/>
      <c r="E692" s="10"/>
      <c r="F692" s="11"/>
      <c r="G692" s="10"/>
      <c r="H692" s="10"/>
      <c r="I692" s="10"/>
      <c r="J692" s="10"/>
      <c r="K692" s="10"/>
      <c r="L692" s="10"/>
      <c r="M692" s="10"/>
      <c r="N692" s="10"/>
      <c r="O692" s="10"/>
      <c r="P692" s="10"/>
      <c r="Q692" s="10"/>
      <c r="R692" s="10"/>
      <c r="S692" s="10"/>
      <c r="T692" s="10"/>
      <c r="U692" s="10"/>
      <c r="V692" s="10"/>
      <c r="W692" s="10"/>
      <c r="X692" s="10"/>
      <c r="Y692" s="10"/>
      <c r="Z692" s="10"/>
    </row>
    <row r="693" spans="1:26" ht="20" customHeight="1" x14ac:dyDescent="0.15">
      <c r="A693" s="8"/>
      <c r="B693" s="9"/>
      <c r="C693" s="17"/>
      <c r="D693" s="10"/>
      <c r="E693" s="10"/>
      <c r="F693" s="11"/>
      <c r="G693" s="10"/>
      <c r="H693" s="10"/>
      <c r="I693" s="10"/>
      <c r="J693" s="10"/>
      <c r="K693" s="10"/>
      <c r="L693" s="10"/>
      <c r="M693" s="10"/>
      <c r="N693" s="10"/>
      <c r="O693" s="10"/>
      <c r="P693" s="10"/>
      <c r="Q693" s="10"/>
      <c r="R693" s="10"/>
      <c r="S693" s="10"/>
      <c r="T693" s="10"/>
      <c r="U693" s="10"/>
      <c r="V693" s="10"/>
      <c r="W693" s="10"/>
      <c r="X693" s="10"/>
      <c r="Y693" s="10"/>
      <c r="Z693" s="10"/>
    </row>
    <row r="694" spans="1:26" ht="20" customHeight="1" x14ac:dyDescent="0.15">
      <c r="A694" s="8"/>
      <c r="B694" s="9"/>
      <c r="C694" s="17"/>
      <c r="D694" s="10"/>
      <c r="E694" s="10"/>
      <c r="F694" s="11"/>
      <c r="G694" s="10"/>
      <c r="H694" s="10"/>
      <c r="I694" s="10"/>
      <c r="J694" s="10"/>
      <c r="K694" s="10"/>
      <c r="L694" s="10"/>
      <c r="M694" s="10"/>
      <c r="N694" s="10"/>
      <c r="O694" s="10"/>
      <c r="P694" s="10"/>
      <c r="Q694" s="10"/>
      <c r="R694" s="10"/>
      <c r="S694" s="10"/>
      <c r="T694" s="10"/>
      <c r="U694" s="10"/>
      <c r="V694" s="10"/>
      <c r="W694" s="10"/>
      <c r="X694" s="10"/>
      <c r="Y694" s="10"/>
      <c r="Z694" s="10"/>
    </row>
    <row r="695" spans="1:26" ht="20" customHeight="1" x14ac:dyDescent="0.15">
      <c r="A695" s="8"/>
      <c r="B695" s="9"/>
      <c r="C695" s="17"/>
      <c r="D695" s="10"/>
      <c r="E695" s="10"/>
      <c r="F695" s="11"/>
      <c r="G695" s="10"/>
      <c r="H695" s="10"/>
      <c r="I695" s="10"/>
      <c r="J695" s="10"/>
      <c r="K695" s="10"/>
      <c r="L695" s="10"/>
      <c r="M695" s="10"/>
      <c r="N695" s="10"/>
      <c r="O695" s="10"/>
      <c r="P695" s="10"/>
      <c r="Q695" s="10"/>
      <c r="R695" s="10"/>
      <c r="S695" s="10"/>
      <c r="T695" s="10"/>
      <c r="U695" s="10"/>
      <c r="V695" s="10"/>
      <c r="W695" s="10"/>
      <c r="X695" s="10"/>
      <c r="Y695" s="10"/>
      <c r="Z695" s="10"/>
    </row>
    <row r="696" spans="1:26" ht="20" customHeight="1" x14ac:dyDescent="0.15">
      <c r="A696" s="8"/>
      <c r="B696" s="9"/>
      <c r="C696" s="17"/>
      <c r="D696" s="10"/>
      <c r="E696" s="10"/>
      <c r="F696" s="11"/>
      <c r="G696" s="10"/>
      <c r="H696" s="10"/>
      <c r="I696" s="10"/>
      <c r="J696" s="10"/>
      <c r="K696" s="10"/>
      <c r="L696" s="10"/>
      <c r="M696" s="10"/>
      <c r="N696" s="10"/>
      <c r="O696" s="10"/>
      <c r="P696" s="10"/>
      <c r="Q696" s="10"/>
      <c r="R696" s="10"/>
      <c r="S696" s="10"/>
      <c r="T696" s="10"/>
      <c r="U696" s="10"/>
      <c r="V696" s="10"/>
      <c r="W696" s="10"/>
      <c r="X696" s="10"/>
      <c r="Y696" s="10"/>
      <c r="Z696" s="10"/>
    </row>
    <row r="697" spans="1:26" ht="20" customHeight="1" x14ac:dyDescent="0.15">
      <c r="A697" s="8"/>
      <c r="B697" s="9"/>
      <c r="C697" s="17"/>
      <c r="D697" s="10"/>
      <c r="E697" s="10"/>
      <c r="F697" s="11"/>
      <c r="G697" s="10"/>
      <c r="H697" s="10"/>
      <c r="I697" s="10"/>
      <c r="J697" s="10"/>
      <c r="K697" s="10"/>
      <c r="L697" s="10"/>
      <c r="M697" s="10"/>
      <c r="N697" s="10"/>
      <c r="O697" s="10"/>
      <c r="P697" s="10"/>
      <c r="Q697" s="10"/>
      <c r="R697" s="10"/>
      <c r="S697" s="10"/>
      <c r="T697" s="10"/>
      <c r="U697" s="10"/>
      <c r="V697" s="10"/>
      <c r="W697" s="10"/>
      <c r="X697" s="10"/>
      <c r="Y697" s="10"/>
      <c r="Z697" s="10"/>
    </row>
    <row r="698" spans="1:26" ht="20" customHeight="1" x14ac:dyDescent="0.15">
      <c r="A698" s="8"/>
      <c r="B698" s="9"/>
      <c r="C698" s="17"/>
      <c r="D698" s="10"/>
      <c r="E698" s="10"/>
      <c r="F698" s="11"/>
      <c r="G698" s="10"/>
      <c r="H698" s="10"/>
      <c r="I698" s="10"/>
      <c r="J698" s="10"/>
      <c r="K698" s="10"/>
      <c r="L698" s="10"/>
      <c r="M698" s="10"/>
      <c r="N698" s="10"/>
      <c r="O698" s="10"/>
      <c r="P698" s="10"/>
      <c r="Q698" s="10"/>
      <c r="R698" s="10"/>
      <c r="S698" s="10"/>
      <c r="T698" s="10"/>
      <c r="U698" s="10"/>
      <c r="V698" s="10"/>
      <c r="W698" s="10"/>
      <c r="X698" s="10"/>
      <c r="Y698" s="10"/>
      <c r="Z698" s="10"/>
    </row>
    <row r="699" spans="1:26" ht="20" customHeight="1" x14ac:dyDescent="0.15">
      <c r="A699" s="8"/>
      <c r="B699" s="9"/>
      <c r="C699" s="17"/>
      <c r="D699" s="10"/>
      <c r="E699" s="10"/>
      <c r="F699" s="11"/>
      <c r="G699" s="10"/>
      <c r="H699" s="10"/>
      <c r="I699" s="10"/>
      <c r="J699" s="10"/>
      <c r="K699" s="10"/>
      <c r="L699" s="10"/>
      <c r="M699" s="10"/>
      <c r="N699" s="10"/>
      <c r="O699" s="10"/>
      <c r="P699" s="10"/>
      <c r="Q699" s="10"/>
      <c r="R699" s="10"/>
      <c r="S699" s="10"/>
      <c r="T699" s="10"/>
      <c r="U699" s="10"/>
      <c r="V699" s="10"/>
      <c r="W699" s="10"/>
      <c r="X699" s="10"/>
      <c r="Y699" s="10"/>
      <c r="Z699" s="10"/>
    </row>
    <row r="700" spans="1:26" ht="20" customHeight="1" x14ac:dyDescent="0.15">
      <c r="A700" s="8"/>
      <c r="B700" s="9"/>
      <c r="C700" s="17"/>
      <c r="D700" s="10"/>
      <c r="E700" s="10"/>
      <c r="F700" s="11"/>
      <c r="G700" s="10"/>
      <c r="H700" s="10"/>
      <c r="I700" s="10"/>
      <c r="J700" s="10"/>
      <c r="K700" s="10"/>
      <c r="L700" s="10"/>
      <c r="M700" s="10"/>
      <c r="N700" s="10"/>
      <c r="O700" s="10"/>
      <c r="P700" s="10"/>
      <c r="Q700" s="10"/>
      <c r="R700" s="10"/>
      <c r="S700" s="10"/>
      <c r="T700" s="10"/>
      <c r="U700" s="10"/>
      <c r="V700" s="10"/>
      <c r="W700" s="10"/>
      <c r="X700" s="10"/>
      <c r="Y700" s="10"/>
      <c r="Z700" s="10"/>
    </row>
    <row r="701" spans="1:26" ht="20" customHeight="1" x14ac:dyDescent="0.15">
      <c r="A701" s="8"/>
      <c r="B701" s="9"/>
      <c r="C701" s="17"/>
      <c r="D701" s="10"/>
      <c r="E701" s="10"/>
      <c r="F701" s="11"/>
      <c r="G701" s="10"/>
      <c r="H701" s="10"/>
      <c r="I701" s="10"/>
      <c r="J701" s="10"/>
      <c r="K701" s="10"/>
      <c r="L701" s="10"/>
      <c r="M701" s="10"/>
      <c r="N701" s="10"/>
      <c r="O701" s="10"/>
      <c r="P701" s="10"/>
      <c r="Q701" s="10"/>
      <c r="R701" s="10"/>
      <c r="S701" s="10"/>
      <c r="T701" s="10"/>
      <c r="U701" s="10"/>
      <c r="V701" s="10"/>
      <c r="W701" s="10"/>
      <c r="X701" s="10"/>
      <c r="Y701" s="10"/>
      <c r="Z701" s="10"/>
    </row>
    <row r="702" spans="1:26" ht="20" customHeight="1" x14ac:dyDescent="0.15">
      <c r="A702" s="8"/>
      <c r="B702" s="9"/>
      <c r="C702" s="17"/>
      <c r="D702" s="10"/>
      <c r="E702" s="10"/>
      <c r="F702" s="11"/>
      <c r="G702" s="10"/>
      <c r="H702" s="10"/>
      <c r="I702" s="10"/>
      <c r="J702" s="10"/>
      <c r="K702" s="10"/>
      <c r="L702" s="10"/>
      <c r="M702" s="10"/>
      <c r="N702" s="10"/>
      <c r="O702" s="10"/>
      <c r="P702" s="10"/>
      <c r="Q702" s="10"/>
      <c r="R702" s="10"/>
      <c r="S702" s="10"/>
      <c r="T702" s="10"/>
      <c r="U702" s="10"/>
      <c r="V702" s="10"/>
      <c r="W702" s="10"/>
      <c r="X702" s="10"/>
      <c r="Y702" s="10"/>
      <c r="Z702" s="10"/>
    </row>
    <row r="703" spans="1:26" ht="20" customHeight="1" x14ac:dyDescent="0.15">
      <c r="A703" s="8"/>
      <c r="B703" s="9"/>
      <c r="C703" s="17"/>
      <c r="D703" s="10"/>
      <c r="E703" s="10"/>
      <c r="F703" s="11"/>
      <c r="G703" s="10"/>
      <c r="H703" s="10"/>
      <c r="I703" s="10"/>
      <c r="J703" s="10"/>
      <c r="K703" s="10"/>
      <c r="L703" s="10"/>
      <c r="M703" s="10"/>
      <c r="N703" s="10"/>
      <c r="O703" s="10"/>
      <c r="P703" s="10"/>
      <c r="Q703" s="10"/>
      <c r="R703" s="10"/>
      <c r="S703" s="10"/>
      <c r="T703" s="10"/>
      <c r="U703" s="10"/>
      <c r="V703" s="10"/>
      <c r="W703" s="10"/>
      <c r="X703" s="10"/>
      <c r="Y703" s="10"/>
      <c r="Z703" s="10"/>
    </row>
    <row r="704" spans="1:26" ht="20" customHeight="1" x14ac:dyDescent="0.15">
      <c r="A704" s="8"/>
      <c r="B704" s="9"/>
      <c r="C704" s="17"/>
      <c r="D704" s="10"/>
      <c r="E704" s="10"/>
      <c r="F704" s="11"/>
      <c r="G704" s="10"/>
      <c r="H704" s="10"/>
      <c r="I704" s="10"/>
      <c r="J704" s="10"/>
      <c r="K704" s="10"/>
      <c r="L704" s="10"/>
      <c r="M704" s="10"/>
      <c r="N704" s="10"/>
      <c r="O704" s="10"/>
      <c r="P704" s="10"/>
      <c r="Q704" s="10"/>
      <c r="R704" s="10"/>
      <c r="S704" s="10"/>
      <c r="T704" s="10"/>
      <c r="U704" s="10"/>
      <c r="V704" s="10"/>
      <c r="W704" s="10"/>
      <c r="X704" s="10"/>
      <c r="Y704" s="10"/>
      <c r="Z704" s="10"/>
    </row>
    <row r="705" spans="1:26" ht="20" customHeight="1" x14ac:dyDescent="0.15">
      <c r="A705" s="8"/>
      <c r="B705" s="9"/>
      <c r="C705" s="17"/>
      <c r="D705" s="10"/>
      <c r="E705" s="10"/>
      <c r="F705" s="11"/>
      <c r="G705" s="10"/>
      <c r="H705" s="10"/>
      <c r="I705" s="10"/>
      <c r="J705" s="10"/>
      <c r="K705" s="10"/>
      <c r="L705" s="10"/>
      <c r="M705" s="10"/>
      <c r="N705" s="10"/>
      <c r="O705" s="10"/>
      <c r="P705" s="10"/>
      <c r="Q705" s="10"/>
      <c r="R705" s="10"/>
      <c r="S705" s="10"/>
      <c r="T705" s="10"/>
      <c r="U705" s="10"/>
      <c r="V705" s="10"/>
      <c r="W705" s="10"/>
      <c r="X705" s="10"/>
      <c r="Y705" s="10"/>
      <c r="Z705" s="10"/>
    </row>
    <row r="706" spans="1:26" ht="20" customHeight="1" x14ac:dyDescent="0.15">
      <c r="A706" s="8"/>
      <c r="B706" s="9"/>
      <c r="C706" s="17"/>
      <c r="D706" s="10"/>
      <c r="E706" s="10"/>
      <c r="F706" s="11"/>
      <c r="G706" s="10"/>
      <c r="H706" s="10"/>
      <c r="I706" s="10"/>
      <c r="J706" s="10"/>
      <c r="K706" s="10"/>
      <c r="L706" s="10"/>
      <c r="M706" s="10"/>
      <c r="N706" s="10"/>
      <c r="O706" s="10"/>
      <c r="P706" s="10"/>
      <c r="Q706" s="10"/>
      <c r="R706" s="10"/>
      <c r="S706" s="10"/>
      <c r="T706" s="10"/>
      <c r="U706" s="10"/>
      <c r="V706" s="10"/>
      <c r="W706" s="10"/>
      <c r="X706" s="10"/>
      <c r="Y706" s="10"/>
      <c r="Z706" s="10"/>
    </row>
    <row r="707" spans="1:26" ht="20" customHeight="1" x14ac:dyDescent="0.15">
      <c r="A707" s="8"/>
      <c r="B707" s="9"/>
      <c r="C707" s="17"/>
      <c r="D707" s="10"/>
      <c r="E707" s="10"/>
      <c r="F707" s="11"/>
      <c r="G707" s="10"/>
      <c r="H707" s="10"/>
      <c r="I707" s="10"/>
      <c r="J707" s="10"/>
      <c r="K707" s="10"/>
      <c r="L707" s="10"/>
      <c r="M707" s="10"/>
      <c r="N707" s="10"/>
      <c r="O707" s="10"/>
      <c r="P707" s="10"/>
      <c r="Q707" s="10"/>
      <c r="R707" s="10"/>
      <c r="S707" s="10"/>
      <c r="T707" s="10"/>
      <c r="U707" s="10"/>
      <c r="V707" s="10"/>
      <c r="W707" s="10"/>
      <c r="X707" s="10"/>
      <c r="Y707" s="10"/>
      <c r="Z707" s="10"/>
    </row>
    <row r="708" spans="1:26" ht="20" customHeight="1" x14ac:dyDescent="0.15">
      <c r="A708" s="8"/>
      <c r="B708" s="9"/>
      <c r="C708" s="17"/>
      <c r="D708" s="10"/>
      <c r="E708" s="10"/>
      <c r="F708" s="11"/>
      <c r="G708" s="10"/>
      <c r="H708" s="10"/>
      <c r="I708" s="10"/>
      <c r="J708" s="10"/>
      <c r="K708" s="10"/>
      <c r="L708" s="10"/>
      <c r="M708" s="10"/>
      <c r="N708" s="10"/>
      <c r="O708" s="10"/>
      <c r="P708" s="10"/>
      <c r="Q708" s="10"/>
      <c r="R708" s="10"/>
      <c r="S708" s="10"/>
      <c r="T708" s="10"/>
      <c r="U708" s="10"/>
      <c r="V708" s="10"/>
      <c r="W708" s="10"/>
      <c r="X708" s="10"/>
      <c r="Y708" s="10"/>
      <c r="Z708" s="10"/>
    </row>
    <row r="709" spans="1:26" ht="20" customHeight="1" x14ac:dyDescent="0.15">
      <c r="A709" s="8"/>
      <c r="B709" s="9"/>
      <c r="C709" s="17"/>
      <c r="D709" s="10"/>
      <c r="E709" s="10"/>
      <c r="F709" s="11"/>
      <c r="G709" s="10"/>
      <c r="H709" s="10"/>
      <c r="I709" s="10"/>
      <c r="J709" s="10"/>
      <c r="K709" s="10"/>
      <c r="L709" s="10"/>
      <c r="M709" s="10"/>
      <c r="N709" s="10"/>
      <c r="O709" s="10"/>
      <c r="P709" s="10"/>
      <c r="Q709" s="10"/>
      <c r="R709" s="10"/>
      <c r="S709" s="10"/>
      <c r="T709" s="10"/>
      <c r="U709" s="10"/>
      <c r="V709" s="10"/>
      <c r="W709" s="10"/>
      <c r="X709" s="10"/>
      <c r="Y709" s="10"/>
      <c r="Z709" s="10"/>
    </row>
    <row r="710" spans="1:26" ht="20" customHeight="1" x14ac:dyDescent="0.15">
      <c r="A710" s="8"/>
      <c r="B710" s="9"/>
      <c r="C710" s="17"/>
      <c r="D710" s="10"/>
      <c r="E710" s="10"/>
      <c r="F710" s="11"/>
      <c r="G710" s="10"/>
      <c r="H710" s="10"/>
      <c r="I710" s="10"/>
      <c r="J710" s="10"/>
      <c r="K710" s="10"/>
      <c r="L710" s="10"/>
      <c r="M710" s="10"/>
      <c r="N710" s="10"/>
      <c r="O710" s="10"/>
      <c r="P710" s="10"/>
      <c r="Q710" s="10"/>
      <c r="R710" s="10"/>
      <c r="S710" s="10"/>
      <c r="T710" s="10"/>
      <c r="U710" s="10"/>
      <c r="V710" s="10"/>
      <c r="W710" s="10"/>
      <c r="X710" s="10"/>
      <c r="Y710" s="10"/>
      <c r="Z710" s="10"/>
    </row>
    <row r="711" spans="1:26" ht="20" customHeight="1" x14ac:dyDescent="0.15">
      <c r="A711" s="8"/>
      <c r="B711" s="9"/>
      <c r="C711" s="17"/>
      <c r="D711" s="10"/>
      <c r="E711" s="10"/>
      <c r="F711" s="11"/>
      <c r="G711" s="10"/>
      <c r="H711" s="10"/>
      <c r="I711" s="10"/>
      <c r="J711" s="10"/>
      <c r="K711" s="10"/>
      <c r="L711" s="10"/>
      <c r="M711" s="10"/>
      <c r="N711" s="10"/>
      <c r="O711" s="10"/>
      <c r="P711" s="10"/>
      <c r="Q711" s="10"/>
      <c r="R711" s="10"/>
      <c r="S711" s="10"/>
      <c r="T711" s="10"/>
      <c r="U711" s="10"/>
      <c r="V711" s="10"/>
      <c r="W711" s="10"/>
      <c r="X711" s="10"/>
      <c r="Y711" s="10"/>
      <c r="Z711" s="10"/>
    </row>
    <row r="712" spans="1:26" ht="20" customHeight="1" x14ac:dyDescent="0.15">
      <c r="A712" s="8"/>
      <c r="B712" s="9"/>
      <c r="C712" s="17"/>
      <c r="D712" s="10"/>
      <c r="E712" s="10"/>
      <c r="F712" s="11"/>
      <c r="G712" s="10"/>
      <c r="H712" s="10"/>
      <c r="I712" s="10"/>
      <c r="J712" s="10"/>
      <c r="K712" s="10"/>
      <c r="L712" s="10"/>
      <c r="M712" s="10"/>
      <c r="N712" s="10"/>
      <c r="O712" s="10"/>
      <c r="P712" s="10"/>
      <c r="Q712" s="10"/>
      <c r="R712" s="10"/>
      <c r="S712" s="10"/>
      <c r="T712" s="10"/>
      <c r="U712" s="10"/>
      <c r="V712" s="10"/>
      <c r="W712" s="10"/>
      <c r="X712" s="10"/>
      <c r="Y712" s="10"/>
      <c r="Z712" s="10"/>
    </row>
    <row r="713" spans="1:26" ht="20" customHeight="1" x14ac:dyDescent="0.15">
      <c r="A713" s="8"/>
      <c r="B713" s="9"/>
      <c r="C713" s="17"/>
      <c r="D713" s="10"/>
      <c r="E713" s="10"/>
      <c r="F713" s="11"/>
      <c r="G713" s="10"/>
      <c r="H713" s="10"/>
      <c r="I713" s="10"/>
      <c r="J713" s="10"/>
      <c r="K713" s="10"/>
      <c r="L713" s="10"/>
      <c r="M713" s="10"/>
      <c r="N713" s="10"/>
      <c r="O713" s="10"/>
      <c r="P713" s="10"/>
      <c r="Q713" s="10"/>
      <c r="R713" s="10"/>
      <c r="S713" s="10"/>
      <c r="T713" s="10"/>
      <c r="U713" s="10"/>
      <c r="V713" s="10"/>
      <c r="W713" s="10"/>
      <c r="X713" s="10"/>
      <c r="Y713" s="10"/>
      <c r="Z713" s="10"/>
    </row>
    <row r="714" spans="1:26" ht="20" customHeight="1" x14ac:dyDescent="0.15">
      <c r="A714" s="8"/>
      <c r="B714" s="9"/>
      <c r="C714" s="17"/>
      <c r="D714" s="10"/>
      <c r="E714" s="10"/>
      <c r="F714" s="11"/>
      <c r="G714" s="10"/>
      <c r="H714" s="10"/>
      <c r="I714" s="10"/>
      <c r="J714" s="10"/>
      <c r="K714" s="10"/>
      <c r="L714" s="10"/>
      <c r="M714" s="10"/>
      <c r="N714" s="10"/>
      <c r="O714" s="10"/>
      <c r="P714" s="10"/>
      <c r="Q714" s="10"/>
      <c r="R714" s="10"/>
      <c r="S714" s="10"/>
      <c r="T714" s="10"/>
      <c r="U714" s="10"/>
      <c r="V714" s="10"/>
      <c r="W714" s="10"/>
      <c r="X714" s="10"/>
      <c r="Y714" s="10"/>
      <c r="Z714" s="10"/>
    </row>
    <row r="715" spans="1:26" ht="20" customHeight="1" x14ac:dyDescent="0.15">
      <c r="A715" s="8"/>
      <c r="B715" s="9"/>
      <c r="C715" s="17"/>
      <c r="D715" s="10"/>
      <c r="E715" s="10"/>
      <c r="F715" s="11"/>
      <c r="G715" s="10"/>
      <c r="H715" s="10"/>
      <c r="I715" s="10"/>
      <c r="J715" s="10"/>
      <c r="K715" s="10"/>
      <c r="L715" s="10"/>
      <c r="M715" s="10"/>
      <c r="N715" s="10"/>
      <c r="O715" s="10"/>
      <c r="P715" s="10"/>
      <c r="Q715" s="10"/>
      <c r="R715" s="10"/>
      <c r="S715" s="10"/>
      <c r="T715" s="10"/>
      <c r="U715" s="10"/>
      <c r="V715" s="10"/>
      <c r="W715" s="10"/>
      <c r="X715" s="10"/>
      <c r="Y715" s="10"/>
      <c r="Z715" s="10"/>
    </row>
    <row r="716" spans="1:26" ht="20" customHeight="1" x14ac:dyDescent="0.15">
      <c r="A716" s="8"/>
      <c r="B716" s="9"/>
      <c r="C716" s="17"/>
      <c r="D716" s="10"/>
      <c r="E716" s="10"/>
      <c r="F716" s="11"/>
      <c r="G716" s="10"/>
      <c r="H716" s="10"/>
      <c r="I716" s="10"/>
      <c r="J716" s="10"/>
      <c r="K716" s="10"/>
      <c r="L716" s="10"/>
      <c r="M716" s="10"/>
      <c r="N716" s="10"/>
      <c r="O716" s="10"/>
      <c r="P716" s="10"/>
      <c r="Q716" s="10"/>
      <c r="R716" s="10"/>
      <c r="S716" s="10"/>
      <c r="T716" s="10"/>
      <c r="U716" s="10"/>
      <c r="V716" s="10"/>
      <c r="W716" s="10"/>
      <c r="X716" s="10"/>
      <c r="Y716" s="10"/>
      <c r="Z716" s="10"/>
    </row>
    <row r="717" spans="1:26" ht="20" customHeight="1" x14ac:dyDescent="0.15">
      <c r="A717" s="8"/>
      <c r="B717" s="9"/>
      <c r="C717" s="17"/>
      <c r="D717" s="10"/>
      <c r="E717" s="10"/>
      <c r="F717" s="11"/>
      <c r="G717" s="10"/>
      <c r="H717" s="10"/>
      <c r="I717" s="10"/>
      <c r="J717" s="10"/>
      <c r="K717" s="10"/>
      <c r="L717" s="10"/>
      <c r="M717" s="10"/>
      <c r="N717" s="10"/>
      <c r="O717" s="10"/>
      <c r="P717" s="10"/>
      <c r="Q717" s="10"/>
      <c r="R717" s="10"/>
      <c r="S717" s="10"/>
      <c r="T717" s="10"/>
      <c r="U717" s="10"/>
      <c r="V717" s="10"/>
      <c r="W717" s="10"/>
      <c r="X717" s="10"/>
      <c r="Y717" s="10"/>
      <c r="Z717" s="10"/>
    </row>
    <row r="718" spans="1:26" ht="20" customHeight="1" x14ac:dyDescent="0.15">
      <c r="A718" s="8"/>
      <c r="B718" s="9"/>
      <c r="C718" s="17"/>
      <c r="D718" s="10"/>
      <c r="E718" s="10"/>
      <c r="F718" s="11"/>
      <c r="G718" s="10"/>
      <c r="H718" s="10"/>
      <c r="I718" s="10"/>
      <c r="J718" s="10"/>
      <c r="K718" s="10"/>
      <c r="L718" s="10"/>
      <c r="M718" s="10"/>
      <c r="N718" s="10"/>
      <c r="O718" s="10"/>
      <c r="P718" s="10"/>
      <c r="Q718" s="10"/>
      <c r="R718" s="10"/>
      <c r="S718" s="10"/>
      <c r="T718" s="10"/>
      <c r="U718" s="10"/>
      <c r="V718" s="10"/>
      <c r="W718" s="10"/>
      <c r="X718" s="10"/>
      <c r="Y718" s="10"/>
      <c r="Z718" s="10"/>
    </row>
    <row r="719" spans="1:26" ht="20" customHeight="1" x14ac:dyDescent="0.15">
      <c r="A719" s="8"/>
      <c r="B719" s="9"/>
      <c r="C719" s="17"/>
      <c r="D719" s="10"/>
      <c r="E719" s="10"/>
      <c r="F719" s="11"/>
      <c r="G719" s="10"/>
      <c r="H719" s="10"/>
      <c r="I719" s="10"/>
      <c r="J719" s="10"/>
      <c r="K719" s="10"/>
      <c r="L719" s="10"/>
      <c r="M719" s="10"/>
      <c r="N719" s="10"/>
      <c r="O719" s="10"/>
      <c r="P719" s="10"/>
      <c r="Q719" s="10"/>
      <c r="R719" s="10"/>
      <c r="S719" s="10"/>
      <c r="T719" s="10"/>
      <c r="U719" s="10"/>
      <c r="V719" s="10"/>
      <c r="W719" s="10"/>
      <c r="X719" s="10"/>
      <c r="Y719" s="10"/>
      <c r="Z719" s="10"/>
    </row>
    <row r="720" spans="1:26" ht="20" customHeight="1" x14ac:dyDescent="0.15">
      <c r="A720" s="8"/>
      <c r="B720" s="9"/>
      <c r="C720" s="17"/>
      <c r="D720" s="10"/>
      <c r="E720" s="10"/>
      <c r="F720" s="11"/>
      <c r="G720" s="10"/>
      <c r="H720" s="10"/>
      <c r="I720" s="10"/>
      <c r="J720" s="10"/>
      <c r="K720" s="10"/>
      <c r="L720" s="10"/>
      <c r="M720" s="10"/>
      <c r="N720" s="10"/>
      <c r="O720" s="10"/>
      <c r="P720" s="10"/>
      <c r="Q720" s="10"/>
      <c r="R720" s="10"/>
      <c r="S720" s="10"/>
      <c r="T720" s="10"/>
      <c r="U720" s="10"/>
      <c r="V720" s="10"/>
      <c r="W720" s="10"/>
      <c r="X720" s="10"/>
      <c r="Y720" s="10"/>
      <c r="Z720" s="10"/>
    </row>
    <row r="721" spans="1:26" ht="20" customHeight="1" x14ac:dyDescent="0.15">
      <c r="A721" s="8"/>
      <c r="B721" s="9"/>
      <c r="C721" s="17"/>
      <c r="D721" s="10"/>
      <c r="E721" s="10"/>
      <c r="F721" s="11"/>
      <c r="G721" s="10"/>
      <c r="H721" s="10"/>
      <c r="I721" s="10"/>
      <c r="J721" s="10"/>
      <c r="K721" s="10"/>
      <c r="L721" s="10"/>
      <c r="M721" s="10"/>
      <c r="N721" s="10"/>
      <c r="O721" s="10"/>
      <c r="P721" s="10"/>
      <c r="Q721" s="10"/>
      <c r="R721" s="10"/>
      <c r="S721" s="10"/>
      <c r="T721" s="10"/>
      <c r="U721" s="10"/>
      <c r="V721" s="10"/>
      <c r="W721" s="10"/>
      <c r="X721" s="10"/>
      <c r="Y721" s="10"/>
      <c r="Z721" s="10"/>
    </row>
    <row r="722" spans="1:26" ht="20" customHeight="1" x14ac:dyDescent="0.15">
      <c r="A722" s="8"/>
      <c r="B722" s="9"/>
      <c r="C722" s="17"/>
      <c r="D722" s="10"/>
      <c r="E722" s="10"/>
      <c r="F722" s="11"/>
      <c r="G722" s="10"/>
      <c r="H722" s="10"/>
      <c r="I722" s="10"/>
      <c r="J722" s="10"/>
      <c r="K722" s="10"/>
      <c r="L722" s="10"/>
      <c r="M722" s="10"/>
      <c r="N722" s="10"/>
      <c r="O722" s="10"/>
      <c r="P722" s="10"/>
      <c r="Q722" s="10"/>
      <c r="R722" s="10"/>
      <c r="S722" s="10"/>
      <c r="T722" s="10"/>
      <c r="U722" s="10"/>
      <c r="V722" s="10"/>
      <c r="W722" s="10"/>
      <c r="X722" s="10"/>
      <c r="Y722" s="10"/>
      <c r="Z722" s="10"/>
    </row>
    <row r="723" spans="1:26" ht="20" customHeight="1" x14ac:dyDescent="0.15">
      <c r="A723" s="8"/>
      <c r="B723" s="9"/>
      <c r="C723" s="17"/>
      <c r="D723" s="10"/>
      <c r="E723" s="10"/>
      <c r="F723" s="11"/>
      <c r="G723" s="10"/>
      <c r="H723" s="10"/>
      <c r="I723" s="10"/>
      <c r="J723" s="10"/>
      <c r="K723" s="10"/>
      <c r="L723" s="10"/>
      <c r="M723" s="10"/>
      <c r="N723" s="10"/>
      <c r="O723" s="10"/>
      <c r="P723" s="10"/>
      <c r="Q723" s="10"/>
      <c r="R723" s="10"/>
      <c r="S723" s="10"/>
      <c r="T723" s="10"/>
      <c r="U723" s="10"/>
      <c r="V723" s="10"/>
      <c r="W723" s="10"/>
      <c r="X723" s="10"/>
      <c r="Y723" s="10"/>
      <c r="Z723" s="10"/>
    </row>
    <row r="724" spans="1:26" ht="20" customHeight="1" x14ac:dyDescent="0.15">
      <c r="A724" s="8"/>
      <c r="B724" s="9"/>
      <c r="C724" s="17"/>
      <c r="D724" s="10"/>
      <c r="E724" s="10"/>
      <c r="F724" s="11"/>
      <c r="G724" s="10"/>
      <c r="H724" s="10"/>
      <c r="I724" s="10"/>
      <c r="J724" s="10"/>
      <c r="K724" s="10"/>
      <c r="L724" s="10"/>
      <c r="M724" s="10"/>
      <c r="N724" s="10"/>
      <c r="O724" s="10"/>
      <c r="P724" s="10"/>
      <c r="Q724" s="10"/>
      <c r="R724" s="10"/>
      <c r="S724" s="10"/>
      <c r="T724" s="10"/>
      <c r="U724" s="10"/>
      <c r="V724" s="10"/>
      <c r="W724" s="10"/>
      <c r="X724" s="10"/>
      <c r="Y724" s="10"/>
      <c r="Z724" s="10"/>
    </row>
    <row r="725" spans="1:26" ht="20" customHeight="1" x14ac:dyDescent="0.15">
      <c r="A725" s="8"/>
      <c r="B725" s="9"/>
      <c r="C725" s="17"/>
      <c r="D725" s="10"/>
      <c r="E725" s="10"/>
      <c r="F725" s="11"/>
      <c r="G725" s="10"/>
      <c r="H725" s="10"/>
      <c r="I725" s="10"/>
      <c r="J725" s="10"/>
      <c r="K725" s="10"/>
      <c r="L725" s="10"/>
      <c r="M725" s="10"/>
      <c r="N725" s="10"/>
      <c r="O725" s="10"/>
      <c r="P725" s="10"/>
      <c r="Q725" s="10"/>
      <c r="R725" s="10"/>
      <c r="S725" s="10"/>
      <c r="T725" s="10"/>
      <c r="U725" s="10"/>
      <c r="V725" s="10"/>
      <c r="W725" s="10"/>
      <c r="X725" s="10"/>
      <c r="Y725" s="10"/>
      <c r="Z725" s="10"/>
    </row>
    <row r="726" spans="1:26" ht="20" customHeight="1" x14ac:dyDescent="0.15">
      <c r="A726" s="8"/>
      <c r="B726" s="9"/>
      <c r="C726" s="17"/>
      <c r="D726" s="10"/>
      <c r="E726" s="10"/>
      <c r="F726" s="11"/>
      <c r="G726" s="10"/>
      <c r="H726" s="10"/>
      <c r="I726" s="10"/>
      <c r="J726" s="10"/>
      <c r="K726" s="10"/>
      <c r="L726" s="10"/>
      <c r="M726" s="10"/>
      <c r="N726" s="10"/>
      <c r="O726" s="10"/>
      <c r="P726" s="10"/>
      <c r="Q726" s="10"/>
      <c r="R726" s="10"/>
      <c r="S726" s="10"/>
      <c r="T726" s="10"/>
      <c r="U726" s="10"/>
      <c r="V726" s="10"/>
      <c r="W726" s="10"/>
      <c r="X726" s="10"/>
      <c r="Y726" s="10"/>
      <c r="Z726" s="10"/>
    </row>
    <row r="727" spans="1:26" ht="20" customHeight="1" x14ac:dyDescent="0.15">
      <c r="A727" s="8"/>
      <c r="B727" s="9"/>
      <c r="C727" s="17"/>
      <c r="D727" s="10"/>
      <c r="E727" s="10"/>
      <c r="F727" s="11"/>
      <c r="G727" s="10"/>
      <c r="H727" s="10"/>
      <c r="I727" s="10"/>
      <c r="J727" s="10"/>
      <c r="K727" s="10"/>
      <c r="L727" s="10"/>
      <c r="M727" s="10"/>
      <c r="N727" s="10"/>
      <c r="O727" s="10"/>
      <c r="P727" s="10"/>
      <c r="Q727" s="10"/>
      <c r="R727" s="10"/>
      <c r="S727" s="10"/>
      <c r="T727" s="10"/>
      <c r="U727" s="10"/>
      <c r="V727" s="10"/>
      <c r="W727" s="10"/>
      <c r="X727" s="10"/>
      <c r="Y727" s="10"/>
      <c r="Z727" s="10"/>
    </row>
    <row r="728" spans="1:26" ht="20" customHeight="1" x14ac:dyDescent="0.15">
      <c r="A728" s="8"/>
      <c r="B728" s="9"/>
      <c r="C728" s="17"/>
      <c r="D728" s="10"/>
      <c r="E728" s="10"/>
      <c r="F728" s="11"/>
      <c r="G728" s="10"/>
      <c r="H728" s="10"/>
      <c r="I728" s="10"/>
      <c r="J728" s="10"/>
      <c r="K728" s="10"/>
      <c r="L728" s="10"/>
      <c r="M728" s="10"/>
      <c r="N728" s="10"/>
      <c r="O728" s="10"/>
      <c r="P728" s="10"/>
      <c r="Q728" s="10"/>
      <c r="R728" s="10"/>
      <c r="S728" s="10"/>
      <c r="T728" s="10"/>
      <c r="U728" s="10"/>
      <c r="V728" s="10"/>
      <c r="W728" s="10"/>
      <c r="X728" s="10"/>
      <c r="Y728" s="10"/>
      <c r="Z728" s="10"/>
    </row>
    <row r="729" spans="1:26" ht="20" customHeight="1" x14ac:dyDescent="0.15">
      <c r="A729" s="8"/>
      <c r="B729" s="9"/>
      <c r="C729" s="17"/>
      <c r="D729" s="10"/>
      <c r="E729" s="10"/>
      <c r="F729" s="11"/>
      <c r="G729" s="10"/>
      <c r="H729" s="10"/>
      <c r="I729" s="10"/>
      <c r="J729" s="10"/>
      <c r="K729" s="10"/>
      <c r="L729" s="10"/>
      <c r="M729" s="10"/>
      <c r="N729" s="10"/>
      <c r="O729" s="10"/>
      <c r="P729" s="10"/>
      <c r="Q729" s="10"/>
      <c r="R729" s="10"/>
      <c r="S729" s="10"/>
      <c r="T729" s="10"/>
      <c r="U729" s="10"/>
      <c r="V729" s="10"/>
      <c r="W729" s="10"/>
      <c r="X729" s="10"/>
      <c r="Y729" s="10"/>
      <c r="Z729" s="10"/>
    </row>
    <row r="730" spans="1:26" ht="20" customHeight="1" x14ac:dyDescent="0.15">
      <c r="A730" s="8"/>
      <c r="B730" s="9"/>
      <c r="C730" s="17"/>
      <c r="D730" s="10"/>
      <c r="E730" s="10"/>
      <c r="F730" s="11"/>
      <c r="G730" s="10"/>
      <c r="H730" s="10"/>
      <c r="I730" s="10"/>
      <c r="J730" s="10"/>
      <c r="K730" s="10"/>
      <c r="L730" s="10"/>
      <c r="M730" s="10"/>
      <c r="N730" s="10"/>
      <c r="O730" s="10"/>
      <c r="P730" s="10"/>
      <c r="Q730" s="10"/>
      <c r="R730" s="10"/>
      <c r="S730" s="10"/>
      <c r="T730" s="10"/>
      <c r="U730" s="10"/>
      <c r="V730" s="10"/>
      <c r="W730" s="10"/>
      <c r="X730" s="10"/>
      <c r="Y730" s="10"/>
      <c r="Z730" s="10"/>
    </row>
    <row r="731" spans="1:26" ht="20" customHeight="1" x14ac:dyDescent="0.15">
      <c r="A731" s="8"/>
      <c r="B731" s="9"/>
      <c r="C731" s="17"/>
      <c r="D731" s="10"/>
      <c r="E731" s="10"/>
      <c r="F731" s="11"/>
      <c r="G731" s="10"/>
      <c r="H731" s="10"/>
      <c r="I731" s="10"/>
      <c r="J731" s="10"/>
      <c r="K731" s="10"/>
      <c r="L731" s="10"/>
      <c r="M731" s="10"/>
      <c r="N731" s="10"/>
      <c r="O731" s="10"/>
      <c r="P731" s="10"/>
      <c r="Q731" s="10"/>
      <c r="R731" s="10"/>
      <c r="S731" s="10"/>
      <c r="T731" s="10"/>
      <c r="U731" s="10"/>
      <c r="V731" s="10"/>
      <c r="W731" s="10"/>
      <c r="X731" s="10"/>
      <c r="Y731" s="10"/>
      <c r="Z731" s="10"/>
    </row>
    <row r="732" spans="1:26" ht="20" customHeight="1" x14ac:dyDescent="0.15">
      <c r="A732" s="8"/>
      <c r="B732" s="9"/>
      <c r="C732" s="17"/>
      <c r="D732" s="10"/>
      <c r="E732" s="10"/>
      <c r="F732" s="11"/>
      <c r="G732" s="10"/>
      <c r="H732" s="10"/>
      <c r="I732" s="10"/>
      <c r="J732" s="10"/>
      <c r="K732" s="10"/>
      <c r="L732" s="10"/>
      <c r="M732" s="10"/>
      <c r="N732" s="10"/>
      <c r="O732" s="10"/>
      <c r="P732" s="10"/>
      <c r="Q732" s="10"/>
      <c r="R732" s="10"/>
      <c r="S732" s="10"/>
      <c r="T732" s="10"/>
      <c r="U732" s="10"/>
      <c r="V732" s="10"/>
      <c r="W732" s="10"/>
      <c r="X732" s="10"/>
      <c r="Y732" s="10"/>
      <c r="Z732" s="10"/>
    </row>
    <row r="733" spans="1:26" ht="20" customHeight="1" x14ac:dyDescent="0.15">
      <c r="A733" s="8"/>
      <c r="B733" s="9"/>
      <c r="C733" s="17"/>
      <c r="D733" s="10"/>
      <c r="E733" s="10"/>
      <c r="F733" s="11"/>
      <c r="G733" s="10"/>
      <c r="H733" s="10"/>
      <c r="I733" s="10"/>
      <c r="J733" s="10"/>
      <c r="K733" s="10"/>
      <c r="L733" s="10"/>
      <c r="M733" s="10"/>
      <c r="N733" s="10"/>
      <c r="O733" s="10"/>
      <c r="P733" s="10"/>
      <c r="Q733" s="10"/>
      <c r="R733" s="10"/>
      <c r="S733" s="10"/>
      <c r="T733" s="10"/>
      <c r="U733" s="10"/>
      <c r="V733" s="10"/>
      <c r="W733" s="10"/>
      <c r="X733" s="10"/>
      <c r="Y733" s="10"/>
      <c r="Z733" s="10"/>
    </row>
    <row r="734" spans="1:26" ht="20" customHeight="1" x14ac:dyDescent="0.15">
      <c r="A734" s="8"/>
      <c r="B734" s="9"/>
      <c r="C734" s="17"/>
      <c r="D734" s="10"/>
      <c r="E734" s="10"/>
      <c r="F734" s="11"/>
      <c r="G734" s="10"/>
      <c r="H734" s="10"/>
      <c r="I734" s="10"/>
      <c r="J734" s="10"/>
      <c r="K734" s="10"/>
      <c r="L734" s="10"/>
      <c r="M734" s="10"/>
      <c r="N734" s="10"/>
      <c r="O734" s="10"/>
      <c r="P734" s="10"/>
      <c r="Q734" s="10"/>
      <c r="R734" s="10"/>
      <c r="S734" s="10"/>
      <c r="T734" s="10"/>
      <c r="U734" s="10"/>
      <c r="V734" s="10"/>
      <c r="W734" s="10"/>
      <c r="X734" s="10"/>
      <c r="Y734" s="10"/>
      <c r="Z734" s="10"/>
    </row>
    <row r="735" spans="1:26" ht="20" customHeight="1" x14ac:dyDescent="0.15">
      <c r="A735" s="8"/>
      <c r="B735" s="9"/>
      <c r="C735" s="17"/>
      <c r="D735" s="10"/>
      <c r="E735" s="10"/>
      <c r="F735" s="11"/>
      <c r="G735" s="10"/>
      <c r="H735" s="10"/>
      <c r="I735" s="10"/>
      <c r="J735" s="10"/>
      <c r="K735" s="10"/>
      <c r="L735" s="10"/>
      <c r="M735" s="10"/>
      <c r="N735" s="10"/>
      <c r="O735" s="10"/>
      <c r="P735" s="10"/>
      <c r="Q735" s="10"/>
      <c r="R735" s="10"/>
      <c r="S735" s="10"/>
      <c r="T735" s="10"/>
      <c r="U735" s="10"/>
      <c r="V735" s="10"/>
      <c r="W735" s="10"/>
      <c r="X735" s="10"/>
      <c r="Y735" s="10"/>
      <c r="Z735" s="10"/>
    </row>
    <row r="736" spans="1:26" ht="20" customHeight="1" x14ac:dyDescent="0.15">
      <c r="A736" s="8"/>
      <c r="B736" s="9"/>
      <c r="C736" s="17"/>
      <c r="D736" s="10"/>
      <c r="E736" s="10"/>
      <c r="F736" s="11"/>
      <c r="G736" s="10"/>
      <c r="H736" s="10"/>
      <c r="I736" s="10"/>
      <c r="J736" s="10"/>
      <c r="K736" s="10"/>
      <c r="L736" s="10"/>
      <c r="M736" s="10"/>
      <c r="N736" s="10"/>
      <c r="O736" s="10"/>
      <c r="P736" s="10"/>
      <c r="Q736" s="10"/>
      <c r="R736" s="10"/>
      <c r="S736" s="10"/>
      <c r="T736" s="10"/>
      <c r="U736" s="10"/>
      <c r="V736" s="10"/>
      <c r="W736" s="10"/>
      <c r="X736" s="10"/>
      <c r="Y736" s="10"/>
      <c r="Z736" s="10"/>
    </row>
    <row r="737" spans="1:26" ht="20" customHeight="1" x14ac:dyDescent="0.15">
      <c r="A737" s="8"/>
      <c r="B737" s="9"/>
      <c r="C737" s="17"/>
      <c r="D737" s="10"/>
      <c r="E737" s="10"/>
      <c r="F737" s="11"/>
      <c r="G737" s="10"/>
      <c r="H737" s="10"/>
      <c r="I737" s="10"/>
      <c r="J737" s="10"/>
      <c r="K737" s="10"/>
      <c r="L737" s="10"/>
      <c r="M737" s="10"/>
      <c r="N737" s="10"/>
      <c r="O737" s="10"/>
      <c r="P737" s="10"/>
      <c r="Q737" s="10"/>
      <c r="R737" s="10"/>
      <c r="S737" s="10"/>
      <c r="T737" s="10"/>
      <c r="U737" s="10"/>
      <c r="V737" s="10"/>
      <c r="W737" s="10"/>
      <c r="X737" s="10"/>
      <c r="Y737" s="10"/>
      <c r="Z737" s="10"/>
    </row>
    <row r="738" spans="1:26" ht="20" customHeight="1" x14ac:dyDescent="0.15">
      <c r="A738" s="8"/>
      <c r="B738" s="9"/>
      <c r="C738" s="17"/>
      <c r="D738" s="10"/>
      <c r="E738" s="10"/>
      <c r="F738" s="11"/>
      <c r="G738" s="10"/>
      <c r="H738" s="10"/>
      <c r="I738" s="10"/>
      <c r="J738" s="10"/>
      <c r="K738" s="10"/>
      <c r="L738" s="10"/>
      <c r="M738" s="10"/>
      <c r="N738" s="10"/>
      <c r="O738" s="10"/>
      <c r="P738" s="10"/>
      <c r="Q738" s="10"/>
      <c r="R738" s="10"/>
      <c r="S738" s="10"/>
      <c r="T738" s="10"/>
      <c r="U738" s="10"/>
      <c r="V738" s="10"/>
      <c r="W738" s="10"/>
      <c r="X738" s="10"/>
      <c r="Y738" s="10"/>
      <c r="Z738" s="10"/>
    </row>
    <row r="739" spans="1:26" ht="20" customHeight="1" x14ac:dyDescent="0.15">
      <c r="A739" s="8"/>
      <c r="B739" s="9"/>
      <c r="C739" s="17"/>
      <c r="D739" s="10"/>
      <c r="E739" s="10"/>
      <c r="F739" s="11"/>
      <c r="G739" s="10"/>
      <c r="H739" s="10"/>
      <c r="I739" s="10"/>
      <c r="J739" s="10"/>
      <c r="K739" s="10"/>
      <c r="L739" s="10"/>
      <c r="M739" s="10"/>
      <c r="N739" s="10"/>
      <c r="O739" s="10"/>
      <c r="P739" s="10"/>
      <c r="Q739" s="10"/>
      <c r="R739" s="10"/>
      <c r="S739" s="10"/>
      <c r="T739" s="10"/>
      <c r="U739" s="10"/>
      <c r="V739" s="10"/>
      <c r="W739" s="10"/>
      <c r="X739" s="10"/>
      <c r="Y739" s="10"/>
      <c r="Z739" s="10"/>
    </row>
    <row r="740" spans="1:26" ht="20" customHeight="1" x14ac:dyDescent="0.15">
      <c r="A740" s="8"/>
      <c r="B740" s="9"/>
      <c r="C740" s="17"/>
      <c r="D740" s="10"/>
      <c r="E740" s="10"/>
      <c r="F740" s="11"/>
      <c r="G740" s="10"/>
      <c r="H740" s="10"/>
      <c r="I740" s="10"/>
      <c r="J740" s="10"/>
      <c r="K740" s="10"/>
      <c r="L740" s="10"/>
      <c r="M740" s="10"/>
      <c r="N740" s="10"/>
      <c r="O740" s="10"/>
      <c r="P740" s="10"/>
      <c r="Q740" s="10"/>
      <c r="R740" s="10"/>
      <c r="S740" s="10"/>
      <c r="T740" s="10"/>
      <c r="U740" s="10"/>
      <c r="V740" s="10"/>
      <c r="W740" s="10"/>
      <c r="X740" s="10"/>
      <c r="Y740" s="10"/>
      <c r="Z740" s="10"/>
    </row>
    <row r="741" spans="1:26" ht="20" customHeight="1" x14ac:dyDescent="0.15">
      <c r="A741" s="8"/>
      <c r="B741" s="9"/>
      <c r="C741" s="17"/>
      <c r="D741" s="10"/>
      <c r="E741" s="10"/>
      <c r="F741" s="11"/>
      <c r="G741" s="10"/>
      <c r="H741" s="10"/>
      <c r="I741" s="10"/>
      <c r="J741" s="10"/>
      <c r="K741" s="10"/>
      <c r="L741" s="10"/>
      <c r="M741" s="10"/>
      <c r="N741" s="10"/>
      <c r="O741" s="10"/>
      <c r="P741" s="10"/>
      <c r="Q741" s="10"/>
      <c r="R741" s="10"/>
      <c r="S741" s="10"/>
      <c r="T741" s="10"/>
      <c r="U741" s="10"/>
      <c r="V741" s="10"/>
      <c r="W741" s="10"/>
      <c r="X741" s="10"/>
      <c r="Y741" s="10"/>
      <c r="Z741" s="10"/>
    </row>
    <row r="742" spans="1:26" ht="20" customHeight="1" x14ac:dyDescent="0.15">
      <c r="A742" s="8"/>
      <c r="B742" s="9"/>
      <c r="C742" s="17"/>
      <c r="D742" s="10"/>
      <c r="E742" s="10"/>
      <c r="F742" s="11"/>
      <c r="G742" s="10"/>
      <c r="H742" s="10"/>
      <c r="I742" s="10"/>
      <c r="J742" s="10"/>
      <c r="K742" s="10"/>
      <c r="L742" s="10"/>
      <c r="M742" s="10"/>
      <c r="N742" s="10"/>
      <c r="O742" s="10"/>
      <c r="P742" s="10"/>
      <c r="Q742" s="10"/>
      <c r="R742" s="10"/>
      <c r="S742" s="10"/>
      <c r="T742" s="10"/>
      <c r="U742" s="10"/>
      <c r="V742" s="10"/>
      <c r="W742" s="10"/>
      <c r="X742" s="10"/>
      <c r="Y742" s="10"/>
      <c r="Z742" s="10"/>
    </row>
    <row r="743" spans="1:26" ht="20" customHeight="1" x14ac:dyDescent="0.15">
      <c r="A743" s="8"/>
      <c r="B743" s="9"/>
      <c r="C743" s="17"/>
      <c r="D743" s="10"/>
      <c r="E743" s="10"/>
      <c r="F743" s="11"/>
      <c r="G743" s="10"/>
      <c r="H743" s="10"/>
      <c r="I743" s="10"/>
      <c r="J743" s="10"/>
      <c r="K743" s="10"/>
      <c r="L743" s="10"/>
      <c r="M743" s="10"/>
      <c r="N743" s="10"/>
      <c r="O743" s="10"/>
      <c r="P743" s="10"/>
      <c r="Q743" s="10"/>
      <c r="R743" s="10"/>
      <c r="S743" s="10"/>
      <c r="T743" s="10"/>
      <c r="U743" s="10"/>
      <c r="V743" s="10"/>
      <c r="W743" s="10"/>
      <c r="X743" s="10"/>
      <c r="Y743" s="10"/>
      <c r="Z743" s="10"/>
    </row>
    <row r="744" spans="1:26" ht="20" customHeight="1" x14ac:dyDescent="0.15">
      <c r="A744" s="8"/>
      <c r="B744" s="9"/>
      <c r="C744" s="17"/>
      <c r="D744" s="10"/>
      <c r="E744" s="10"/>
      <c r="F744" s="11"/>
      <c r="G744" s="10"/>
      <c r="H744" s="10"/>
      <c r="I744" s="10"/>
      <c r="J744" s="10"/>
      <c r="K744" s="10"/>
      <c r="L744" s="10"/>
      <c r="M744" s="10"/>
      <c r="N744" s="10"/>
      <c r="O744" s="10"/>
      <c r="P744" s="10"/>
      <c r="Q744" s="10"/>
      <c r="R744" s="10"/>
      <c r="S744" s="10"/>
      <c r="T744" s="10"/>
      <c r="U744" s="10"/>
      <c r="V744" s="10"/>
      <c r="W744" s="10"/>
      <c r="X744" s="10"/>
      <c r="Y744" s="10"/>
      <c r="Z744" s="10"/>
    </row>
    <row r="745" spans="1:26" ht="20" customHeight="1" x14ac:dyDescent="0.15">
      <c r="A745" s="8"/>
      <c r="B745" s="9"/>
      <c r="C745" s="17"/>
      <c r="D745" s="10"/>
      <c r="E745" s="10"/>
      <c r="F745" s="11"/>
      <c r="G745" s="10"/>
      <c r="H745" s="10"/>
      <c r="I745" s="10"/>
      <c r="J745" s="10"/>
      <c r="K745" s="10"/>
      <c r="L745" s="10"/>
      <c r="M745" s="10"/>
      <c r="N745" s="10"/>
      <c r="O745" s="10"/>
      <c r="P745" s="10"/>
      <c r="Q745" s="10"/>
      <c r="R745" s="10"/>
      <c r="S745" s="10"/>
      <c r="T745" s="10"/>
      <c r="U745" s="10"/>
      <c r="V745" s="10"/>
      <c r="W745" s="10"/>
      <c r="X745" s="10"/>
      <c r="Y745" s="10"/>
      <c r="Z745" s="10"/>
    </row>
    <row r="746" spans="1:26" ht="20" customHeight="1" x14ac:dyDescent="0.15">
      <c r="A746" s="8"/>
      <c r="B746" s="9"/>
      <c r="C746" s="17"/>
      <c r="D746" s="10"/>
      <c r="E746" s="10"/>
      <c r="F746" s="11"/>
      <c r="G746" s="10"/>
      <c r="H746" s="10"/>
      <c r="I746" s="10"/>
      <c r="J746" s="10"/>
      <c r="K746" s="10"/>
      <c r="L746" s="10"/>
      <c r="M746" s="10"/>
      <c r="N746" s="10"/>
      <c r="O746" s="10"/>
      <c r="P746" s="10"/>
      <c r="Q746" s="10"/>
      <c r="R746" s="10"/>
      <c r="S746" s="10"/>
      <c r="T746" s="10"/>
      <c r="U746" s="10"/>
      <c r="V746" s="10"/>
      <c r="W746" s="10"/>
      <c r="X746" s="10"/>
      <c r="Y746" s="10"/>
      <c r="Z746" s="10"/>
    </row>
    <row r="747" spans="1:26" ht="20" customHeight="1" x14ac:dyDescent="0.15">
      <c r="A747" s="8"/>
      <c r="B747" s="9"/>
      <c r="C747" s="17"/>
      <c r="D747" s="10"/>
      <c r="E747" s="10"/>
      <c r="F747" s="11"/>
      <c r="G747" s="10"/>
      <c r="H747" s="10"/>
      <c r="I747" s="10"/>
      <c r="J747" s="10"/>
      <c r="K747" s="10"/>
      <c r="L747" s="10"/>
      <c r="M747" s="10"/>
      <c r="N747" s="10"/>
      <c r="O747" s="10"/>
      <c r="P747" s="10"/>
      <c r="Q747" s="10"/>
      <c r="R747" s="10"/>
      <c r="S747" s="10"/>
      <c r="T747" s="10"/>
      <c r="U747" s="10"/>
      <c r="V747" s="10"/>
      <c r="W747" s="10"/>
      <c r="X747" s="10"/>
      <c r="Y747" s="10"/>
      <c r="Z747" s="10"/>
    </row>
    <row r="748" spans="1:26" ht="20" customHeight="1" x14ac:dyDescent="0.15">
      <c r="A748" s="8"/>
      <c r="B748" s="9"/>
      <c r="C748" s="17"/>
      <c r="D748" s="10"/>
      <c r="E748" s="10"/>
      <c r="F748" s="11"/>
      <c r="G748" s="10"/>
      <c r="H748" s="10"/>
      <c r="I748" s="10"/>
      <c r="J748" s="10"/>
      <c r="K748" s="10"/>
      <c r="L748" s="10"/>
      <c r="M748" s="10"/>
      <c r="N748" s="10"/>
      <c r="O748" s="10"/>
      <c r="P748" s="10"/>
      <c r="Q748" s="10"/>
      <c r="R748" s="10"/>
      <c r="S748" s="10"/>
      <c r="T748" s="10"/>
      <c r="U748" s="10"/>
      <c r="V748" s="10"/>
      <c r="W748" s="10"/>
      <c r="X748" s="10"/>
      <c r="Y748" s="10"/>
      <c r="Z748" s="10"/>
    </row>
    <row r="749" spans="1:26" ht="20" customHeight="1" x14ac:dyDescent="0.15">
      <c r="A749" s="8"/>
      <c r="B749" s="9"/>
      <c r="C749" s="17"/>
      <c r="D749" s="10"/>
      <c r="E749" s="10"/>
      <c r="F749" s="11"/>
      <c r="G749" s="10"/>
      <c r="H749" s="10"/>
      <c r="I749" s="10"/>
      <c r="J749" s="10"/>
      <c r="K749" s="10"/>
      <c r="L749" s="10"/>
      <c r="M749" s="10"/>
      <c r="N749" s="10"/>
      <c r="O749" s="10"/>
      <c r="P749" s="10"/>
      <c r="Q749" s="10"/>
      <c r="R749" s="10"/>
      <c r="S749" s="10"/>
      <c r="T749" s="10"/>
      <c r="U749" s="10"/>
      <c r="V749" s="10"/>
      <c r="W749" s="10"/>
      <c r="X749" s="10"/>
      <c r="Y749" s="10"/>
      <c r="Z749" s="10"/>
    </row>
    <row r="750" spans="1:26" ht="20" customHeight="1" x14ac:dyDescent="0.15">
      <c r="A750" s="8"/>
      <c r="B750" s="9"/>
      <c r="C750" s="17"/>
      <c r="D750" s="10"/>
      <c r="E750" s="10"/>
      <c r="F750" s="11"/>
      <c r="G750" s="10"/>
      <c r="H750" s="10"/>
      <c r="I750" s="10"/>
      <c r="J750" s="10"/>
      <c r="K750" s="10"/>
      <c r="L750" s="10"/>
      <c r="M750" s="10"/>
      <c r="N750" s="10"/>
      <c r="O750" s="10"/>
      <c r="P750" s="10"/>
      <c r="Q750" s="10"/>
      <c r="R750" s="10"/>
      <c r="S750" s="10"/>
      <c r="T750" s="10"/>
      <c r="U750" s="10"/>
      <c r="V750" s="10"/>
      <c r="W750" s="10"/>
      <c r="X750" s="10"/>
      <c r="Y750" s="10"/>
      <c r="Z750" s="10"/>
    </row>
    <row r="751" spans="1:26" ht="20" customHeight="1" x14ac:dyDescent="0.15">
      <c r="A751" s="8"/>
      <c r="B751" s="9"/>
      <c r="C751" s="17"/>
      <c r="D751" s="10"/>
      <c r="E751" s="10"/>
      <c r="F751" s="11"/>
      <c r="G751" s="10"/>
      <c r="H751" s="10"/>
      <c r="I751" s="10"/>
      <c r="J751" s="10"/>
      <c r="K751" s="10"/>
      <c r="L751" s="10"/>
      <c r="M751" s="10"/>
      <c r="N751" s="10"/>
      <c r="O751" s="10"/>
      <c r="P751" s="10"/>
      <c r="Q751" s="10"/>
      <c r="R751" s="10"/>
      <c r="S751" s="10"/>
      <c r="T751" s="10"/>
      <c r="U751" s="10"/>
      <c r="V751" s="10"/>
      <c r="W751" s="10"/>
      <c r="X751" s="10"/>
      <c r="Y751" s="10"/>
      <c r="Z751" s="10"/>
    </row>
    <row r="752" spans="1:26" ht="20" customHeight="1" x14ac:dyDescent="0.15">
      <c r="A752" s="8"/>
      <c r="B752" s="9"/>
      <c r="C752" s="17"/>
      <c r="D752" s="10"/>
      <c r="E752" s="10"/>
      <c r="F752" s="11"/>
      <c r="G752" s="10"/>
      <c r="H752" s="10"/>
      <c r="I752" s="10"/>
      <c r="J752" s="10"/>
      <c r="K752" s="10"/>
      <c r="L752" s="10"/>
      <c r="M752" s="10"/>
      <c r="N752" s="10"/>
      <c r="O752" s="10"/>
      <c r="P752" s="10"/>
      <c r="Q752" s="10"/>
      <c r="R752" s="10"/>
      <c r="S752" s="10"/>
      <c r="T752" s="10"/>
      <c r="U752" s="10"/>
      <c r="V752" s="10"/>
      <c r="W752" s="10"/>
      <c r="X752" s="10"/>
      <c r="Y752" s="10"/>
      <c r="Z752" s="10"/>
    </row>
    <row r="753" spans="1:26" ht="20" customHeight="1" x14ac:dyDescent="0.15">
      <c r="A753" s="8"/>
      <c r="B753" s="9"/>
      <c r="C753" s="17"/>
      <c r="D753" s="10"/>
      <c r="E753" s="10"/>
      <c r="F753" s="11"/>
      <c r="G753" s="10"/>
      <c r="H753" s="10"/>
      <c r="I753" s="10"/>
      <c r="J753" s="10"/>
      <c r="K753" s="10"/>
      <c r="L753" s="10"/>
      <c r="M753" s="10"/>
      <c r="N753" s="10"/>
      <c r="O753" s="10"/>
      <c r="P753" s="10"/>
      <c r="Q753" s="10"/>
      <c r="R753" s="10"/>
      <c r="S753" s="10"/>
      <c r="T753" s="10"/>
      <c r="U753" s="10"/>
      <c r="V753" s="10"/>
      <c r="W753" s="10"/>
      <c r="X753" s="10"/>
      <c r="Y753" s="10"/>
      <c r="Z753" s="10"/>
    </row>
    <row r="754" spans="1:26" ht="20" customHeight="1" x14ac:dyDescent="0.15">
      <c r="A754" s="8"/>
      <c r="B754" s="9"/>
      <c r="C754" s="17"/>
      <c r="D754" s="10"/>
      <c r="E754" s="10"/>
      <c r="F754" s="11"/>
      <c r="G754" s="10"/>
      <c r="H754" s="10"/>
      <c r="I754" s="10"/>
      <c r="J754" s="10"/>
      <c r="K754" s="10"/>
      <c r="L754" s="10"/>
      <c r="M754" s="10"/>
      <c r="N754" s="10"/>
      <c r="O754" s="10"/>
      <c r="P754" s="10"/>
      <c r="Q754" s="10"/>
      <c r="R754" s="10"/>
      <c r="S754" s="10"/>
      <c r="T754" s="10"/>
      <c r="U754" s="10"/>
      <c r="V754" s="10"/>
      <c r="W754" s="10"/>
      <c r="X754" s="10"/>
      <c r="Y754" s="10"/>
      <c r="Z754" s="10"/>
    </row>
    <row r="755" spans="1:26" ht="20" customHeight="1" x14ac:dyDescent="0.15">
      <c r="A755" s="8"/>
      <c r="B755" s="9"/>
      <c r="C755" s="17"/>
      <c r="D755" s="10"/>
      <c r="E755" s="10"/>
      <c r="F755" s="11"/>
      <c r="G755" s="10"/>
      <c r="H755" s="10"/>
      <c r="I755" s="10"/>
      <c r="J755" s="10"/>
      <c r="K755" s="10"/>
      <c r="L755" s="10"/>
      <c r="M755" s="10"/>
      <c r="N755" s="10"/>
      <c r="O755" s="10"/>
      <c r="P755" s="10"/>
      <c r="Q755" s="10"/>
      <c r="R755" s="10"/>
      <c r="S755" s="10"/>
      <c r="T755" s="10"/>
      <c r="U755" s="10"/>
      <c r="V755" s="10"/>
      <c r="W755" s="10"/>
      <c r="X755" s="10"/>
      <c r="Y755" s="10"/>
      <c r="Z755" s="10"/>
    </row>
    <row r="756" spans="1:26" ht="20" customHeight="1" x14ac:dyDescent="0.15">
      <c r="A756" s="8"/>
      <c r="B756" s="9"/>
      <c r="C756" s="17"/>
      <c r="D756" s="10"/>
      <c r="E756" s="10"/>
      <c r="F756" s="11"/>
      <c r="G756" s="10"/>
      <c r="H756" s="10"/>
      <c r="I756" s="10"/>
      <c r="J756" s="10"/>
      <c r="K756" s="10"/>
      <c r="L756" s="10"/>
      <c r="M756" s="10"/>
      <c r="N756" s="10"/>
      <c r="O756" s="10"/>
      <c r="P756" s="10"/>
      <c r="Q756" s="10"/>
      <c r="R756" s="10"/>
      <c r="S756" s="10"/>
      <c r="T756" s="10"/>
      <c r="U756" s="10"/>
      <c r="V756" s="10"/>
      <c r="W756" s="10"/>
      <c r="X756" s="10"/>
      <c r="Y756" s="10"/>
      <c r="Z756" s="10"/>
    </row>
    <row r="757" spans="1:26" ht="20" customHeight="1" x14ac:dyDescent="0.15">
      <c r="A757" s="8"/>
      <c r="B757" s="9"/>
      <c r="C757" s="17"/>
      <c r="D757" s="10"/>
      <c r="E757" s="10"/>
      <c r="F757" s="11"/>
      <c r="G757" s="10"/>
      <c r="H757" s="10"/>
      <c r="I757" s="10"/>
      <c r="J757" s="10"/>
      <c r="K757" s="10"/>
      <c r="L757" s="10"/>
      <c r="M757" s="10"/>
      <c r="N757" s="10"/>
      <c r="O757" s="10"/>
      <c r="P757" s="10"/>
      <c r="Q757" s="10"/>
      <c r="R757" s="10"/>
      <c r="S757" s="10"/>
      <c r="T757" s="10"/>
      <c r="U757" s="10"/>
      <c r="V757" s="10"/>
      <c r="W757" s="10"/>
      <c r="X757" s="10"/>
      <c r="Y757" s="10"/>
      <c r="Z757" s="10"/>
    </row>
    <row r="758" spans="1:26" ht="20" customHeight="1" x14ac:dyDescent="0.15">
      <c r="A758" s="8"/>
      <c r="B758" s="9"/>
      <c r="C758" s="17"/>
      <c r="D758" s="10"/>
      <c r="E758" s="10"/>
      <c r="F758" s="11"/>
      <c r="G758" s="10"/>
      <c r="H758" s="10"/>
      <c r="I758" s="10"/>
      <c r="J758" s="10"/>
      <c r="K758" s="10"/>
      <c r="L758" s="10"/>
      <c r="M758" s="10"/>
      <c r="N758" s="10"/>
      <c r="O758" s="10"/>
      <c r="P758" s="10"/>
      <c r="Q758" s="10"/>
      <c r="R758" s="10"/>
      <c r="S758" s="10"/>
      <c r="T758" s="10"/>
      <c r="U758" s="10"/>
      <c r="V758" s="10"/>
      <c r="W758" s="10"/>
      <c r="X758" s="10"/>
      <c r="Y758" s="10"/>
      <c r="Z758" s="10"/>
    </row>
    <row r="759" spans="1:26" ht="20" customHeight="1" x14ac:dyDescent="0.15">
      <c r="A759" s="8"/>
      <c r="B759" s="9"/>
      <c r="C759" s="17"/>
      <c r="D759" s="10"/>
      <c r="E759" s="10"/>
      <c r="F759" s="11"/>
      <c r="G759" s="10"/>
      <c r="H759" s="10"/>
      <c r="I759" s="10"/>
      <c r="J759" s="10"/>
      <c r="K759" s="10"/>
      <c r="L759" s="10"/>
      <c r="M759" s="10"/>
      <c r="N759" s="10"/>
      <c r="O759" s="10"/>
      <c r="P759" s="10"/>
      <c r="Q759" s="10"/>
      <c r="R759" s="10"/>
      <c r="S759" s="10"/>
      <c r="T759" s="10"/>
      <c r="U759" s="10"/>
      <c r="V759" s="10"/>
      <c r="W759" s="10"/>
      <c r="X759" s="10"/>
      <c r="Y759" s="10"/>
      <c r="Z759" s="10"/>
    </row>
    <row r="760" spans="1:26" ht="20" customHeight="1" x14ac:dyDescent="0.15">
      <c r="A760" s="8"/>
      <c r="B760" s="9"/>
      <c r="C760" s="17"/>
      <c r="D760" s="10"/>
      <c r="E760" s="10"/>
      <c r="F760" s="11"/>
      <c r="G760" s="10"/>
      <c r="H760" s="10"/>
      <c r="I760" s="10"/>
      <c r="J760" s="10"/>
      <c r="K760" s="10"/>
      <c r="L760" s="10"/>
      <c r="M760" s="10"/>
      <c r="N760" s="10"/>
      <c r="O760" s="10"/>
      <c r="P760" s="10"/>
      <c r="Q760" s="10"/>
      <c r="R760" s="10"/>
      <c r="S760" s="10"/>
      <c r="T760" s="10"/>
      <c r="U760" s="10"/>
      <c r="V760" s="10"/>
      <c r="W760" s="10"/>
      <c r="X760" s="10"/>
      <c r="Y760" s="10"/>
      <c r="Z760" s="10"/>
    </row>
    <row r="761" spans="1:26" ht="20" customHeight="1" x14ac:dyDescent="0.15">
      <c r="A761" s="8"/>
      <c r="B761" s="9"/>
      <c r="C761" s="17"/>
      <c r="D761" s="10"/>
      <c r="E761" s="10"/>
      <c r="F761" s="11"/>
      <c r="G761" s="10"/>
      <c r="H761" s="10"/>
      <c r="I761" s="10"/>
      <c r="J761" s="10"/>
      <c r="K761" s="10"/>
      <c r="L761" s="10"/>
      <c r="M761" s="10"/>
      <c r="N761" s="10"/>
      <c r="O761" s="10"/>
      <c r="P761" s="10"/>
      <c r="Q761" s="10"/>
      <c r="R761" s="10"/>
      <c r="S761" s="10"/>
      <c r="T761" s="10"/>
      <c r="U761" s="10"/>
      <c r="V761" s="10"/>
      <c r="W761" s="10"/>
      <c r="X761" s="10"/>
      <c r="Y761" s="10"/>
      <c r="Z761" s="10"/>
    </row>
    <row r="762" spans="1:26" ht="20" customHeight="1" x14ac:dyDescent="0.15">
      <c r="A762" s="8"/>
      <c r="B762" s="9"/>
      <c r="C762" s="17"/>
      <c r="D762" s="10"/>
      <c r="E762" s="10"/>
      <c r="F762" s="11"/>
      <c r="G762" s="10"/>
      <c r="H762" s="10"/>
      <c r="I762" s="10"/>
      <c r="J762" s="10"/>
      <c r="K762" s="10"/>
      <c r="L762" s="10"/>
      <c r="M762" s="10"/>
      <c r="N762" s="10"/>
      <c r="O762" s="10"/>
      <c r="P762" s="10"/>
      <c r="Q762" s="10"/>
      <c r="R762" s="10"/>
      <c r="S762" s="10"/>
      <c r="T762" s="10"/>
      <c r="U762" s="10"/>
      <c r="V762" s="10"/>
      <c r="W762" s="10"/>
      <c r="X762" s="10"/>
      <c r="Y762" s="10"/>
      <c r="Z762" s="10"/>
    </row>
    <row r="763" spans="1:26" ht="20" customHeight="1" x14ac:dyDescent="0.15">
      <c r="A763" s="8"/>
      <c r="B763" s="9"/>
      <c r="C763" s="17"/>
      <c r="D763" s="10"/>
      <c r="E763" s="10"/>
      <c r="F763" s="11"/>
      <c r="G763" s="10"/>
      <c r="H763" s="10"/>
      <c r="I763" s="10"/>
      <c r="J763" s="10"/>
      <c r="K763" s="10"/>
      <c r="L763" s="10"/>
      <c r="M763" s="10"/>
      <c r="N763" s="10"/>
      <c r="O763" s="10"/>
      <c r="P763" s="10"/>
      <c r="Q763" s="10"/>
      <c r="R763" s="10"/>
      <c r="S763" s="10"/>
      <c r="T763" s="10"/>
      <c r="U763" s="10"/>
      <c r="V763" s="10"/>
      <c r="W763" s="10"/>
      <c r="X763" s="10"/>
      <c r="Y763" s="10"/>
      <c r="Z763" s="10"/>
    </row>
    <row r="764" spans="1:26" ht="20" customHeight="1" x14ac:dyDescent="0.15">
      <c r="A764" s="8"/>
      <c r="B764" s="9"/>
      <c r="C764" s="17"/>
      <c r="D764" s="10"/>
      <c r="E764" s="10"/>
      <c r="F764" s="11"/>
      <c r="G764" s="10"/>
      <c r="H764" s="10"/>
      <c r="I764" s="10"/>
      <c r="J764" s="10"/>
      <c r="K764" s="10"/>
      <c r="L764" s="10"/>
      <c r="M764" s="10"/>
      <c r="N764" s="10"/>
      <c r="O764" s="10"/>
      <c r="P764" s="10"/>
      <c r="Q764" s="10"/>
      <c r="R764" s="10"/>
      <c r="S764" s="10"/>
      <c r="T764" s="10"/>
      <c r="U764" s="10"/>
      <c r="V764" s="10"/>
      <c r="W764" s="10"/>
      <c r="X764" s="10"/>
      <c r="Y764" s="10"/>
      <c r="Z764" s="10"/>
    </row>
    <row r="765" spans="1:26" ht="20" customHeight="1" x14ac:dyDescent="0.15">
      <c r="A765" s="8"/>
      <c r="B765" s="9"/>
      <c r="C765" s="17"/>
      <c r="D765" s="10"/>
      <c r="E765" s="10"/>
      <c r="F765" s="11"/>
      <c r="G765" s="10"/>
      <c r="H765" s="10"/>
      <c r="I765" s="10"/>
      <c r="J765" s="10"/>
      <c r="K765" s="10"/>
      <c r="L765" s="10"/>
      <c r="M765" s="10"/>
      <c r="N765" s="10"/>
      <c r="O765" s="10"/>
      <c r="P765" s="10"/>
      <c r="Q765" s="10"/>
      <c r="R765" s="10"/>
      <c r="S765" s="10"/>
      <c r="T765" s="10"/>
      <c r="U765" s="10"/>
      <c r="V765" s="10"/>
      <c r="W765" s="10"/>
      <c r="X765" s="10"/>
      <c r="Y765" s="10"/>
      <c r="Z765" s="10"/>
    </row>
    <row r="766" spans="1:26" ht="20" customHeight="1" x14ac:dyDescent="0.15">
      <c r="A766" s="8"/>
      <c r="B766" s="9"/>
      <c r="C766" s="17"/>
      <c r="D766" s="10"/>
      <c r="E766" s="10"/>
      <c r="F766" s="11"/>
      <c r="G766" s="10"/>
      <c r="H766" s="10"/>
      <c r="I766" s="10"/>
      <c r="J766" s="10"/>
      <c r="K766" s="10"/>
      <c r="L766" s="10"/>
      <c r="M766" s="10"/>
      <c r="N766" s="10"/>
      <c r="O766" s="10"/>
      <c r="P766" s="10"/>
      <c r="Q766" s="10"/>
      <c r="R766" s="10"/>
      <c r="S766" s="10"/>
      <c r="T766" s="10"/>
      <c r="U766" s="10"/>
      <c r="V766" s="10"/>
      <c r="W766" s="10"/>
      <c r="X766" s="10"/>
      <c r="Y766" s="10"/>
      <c r="Z766" s="10"/>
    </row>
    <row r="767" spans="1:26" ht="20" customHeight="1" x14ac:dyDescent="0.15">
      <c r="A767" s="8"/>
      <c r="B767" s="9"/>
      <c r="C767" s="17"/>
      <c r="D767" s="10"/>
      <c r="E767" s="10"/>
      <c r="F767" s="11"/>
      <c r="G767" s="10"/>
      <c r="H767" s="10"/>
      <c r="I767" s="10"/>
      <c r="J767" s="10"/>
      <c r="K767" s="10"/>
      <c r="L767" s="10"/>
      <c r="M767" s="10"/>
      <c r="N767" s="10"/>
      <c r="O767" s="10"/>
      <c r="P767" s="10"/>
      <c r="Q767" s="10"/>
      <c r="R767" s="10"/>
      <c r="S767" s="10"/>
      <c r="T767" s="10"/>
      <c r="U767" s="10"/>
      <c r="V767" s="10"/>
      <c r="W767" s="10"/>
      <c r="X767" s="10"/>
      <c r="Y767" s="10"/>
      <c r="Z767" s="10"/>
    </row>
    <row r="768" spans="1:26" ht="20" customHeight="1" x14ac:dyDescent="0.15">
      <c r="A768" s="8"/>
      <c r="B768" s="9"/>
      <c r="C768" s="17"/>
      <c r="D768" s="10"/>
      <c r="E768" s="10"/>
      <c r="F768" s="11"/>
      <c r="G768" s="10"/>
      <c r="H768" s="10"/>
      <c r="I768" s="10"/>
      <c r="J768" s="10"/>
      <c r="K768" s="10"/>
      <c r="L768" s="10"/>
      <c r="M768" s="10"/>
      <c r="N768" s="10"/>
      <c r="O768" s="10"/>
      <c r="P768" s="10"/>
      <c r="Q768" s="10"/>
      <c r="R768" s="10"/>
      <c r="S768" s="10"/>
      <c r="T768" s="10"/>
      <c r="U768" s="10"/>
      <c r="V768" s="10"/>
      <c r="W768" s="10"/>
      <c r="X768" s="10"/>
      <c r="Y768" s="10"/>
      <c r="Z768" s="10"/>
    </row>
    <row r="769" spans="1:26" ht="20" customHeight="1" x14ac:dyDescent="0.15">
      <c r="A769" s="8"/>
      <c r="B769" s="9"/>
      <c r="C769" s="17"/>
      <c r="D769" s="10"/>
      <c r="E769" s="10"/>
      <c r="F769" s="11"/>
      <c r="G769" s="10"/>
      <c r="H769" s="10"/>
      <c r="I769" s="10"/>
      <c r="J769" s="10"/>
      <c r="K769" s="10"/>
      <c r="L769" s="10"/>
      <c r="M769" s="10"/>
      <c r="N769" s="10"/>
      <c r="O769" s="10"/>
      <c r="P769" s="10"/>
      <c r="Q769" s="10"/>
      <c r="R769" s="10"/>
      <c r="S769" s="10"/>
      <c r="T769" s="10"/>
      <c r="U769" s="10"/>
      <c r="V769" s="10"/>
      <c r="W769" s="10"/>
      <c r="X769" s="10"/>
      <c r="Y769" s="10"/>
      <c r="Z769" s="10"/>
    </row>
    <row r="770" spans="1:26" ht="20" customHeight="1" x14ac:dyDescent="0.15">
      <c r="A770" s="8"/>
      <c r="B770" s="9"/>
      <c r="C770" s="17"/>
      <c r="D770" s="10"/>
      <c r="E770" s="10"/>
      <c r="F770" s="11"/>
      <c r="G770" s="10"/>
      <c r="H770" s="10"/>
      <c r="I770" s="10"/>
      <c r="J770" s="10"/>
      <c r="K770" s="10"/>
      <c r="L770" s="10"/>
      <c r="M770" s="10"/>
      <c r="N770" s="10"/>
      <c r="O770" s="10"/>
      <c r="P770" s="10"/>
      <c r="Q770" s="10"/>
      <c r="R770" s="10"/>
      <c r="S770" s="10"/>
      <c r="T770" s="10"/>
      <c r="U770" s="10"/>
      <c r="V770" s="10"/>
      <c r="W770" s="10"/>
      <c r="X770" s="10"/>
      <c r="Y770" s="10"/>
      <c r="Z770" s="10"/>
    </row>
    <row r="771" spans="1:26" ht="20" customHeight="1" x14ac:dyDescent="0.15">
      <c r="A771" s="8"/>
      <c r="B771" s="9"/>
      <c r="C771" s="17"/>
      <c r="D771" s="10"/>
      <c r="E771" s="10"/>
      <c r="F771" s="11"/>
      <c r="G771" s="10"/>
      <c r="H771" s="10"/>
      <c r="I771" s="10"/>
      <c r="J771" s="10"/>
      <c r="K771" s="10"/>
      <c r="L771" s="10"/>
      <c r="M771" s="10"/>
      <c r="N771" s="10"/>
      <c r="O771" s="10"/>
      <c r="P771" s="10"/>
      <c r="Q771" s="10"/>
      <c r="R771" s="10"/>
      <c r="S771" s="10"/>
      <c r="T771" s="10"/>
      <c r="U771" s="10"/>
      <c r="V771" s="10"/>
      <c r="W771" s="10"/>
      <c r="X771" s="10"/>
      <c r="Y771" s="10"/>
      <c r="Z771" s="10"/>
    </row>
    <row r="772" spans="1:26" ht="20" customHeight="1" x14ac:dyDescent="0.15">
      <c r="A772" s="8"/>
      <c r="B772" s="9"/>
      <c r="C772" s="17"/>
      <c r="D772" s="10"/>
      <c r="E772" s="10"/>
      <c r="F772" s="11"/>
      <c r="G772" s="10"/>
      <c r="H772" s="10"/>
      <c r="I772" s="10"/>
      <c r="J772" s="10"/>
      <c r="K772" s="10"/>
      <c r="L772" s="10"/>
      <c r="M772" s="10"/>
      <c r="N772" s="10"/>
      <c r="O772" s="10"/>
      <c r="P772" s="10"/>
      <c r="Q772" s="10"/>
      <c r="R772" s="10"/>
      <c r="S772" s="10"/>
      <c r="T772" s="10"/>
      <c r="U772" s="10"/>
      <c r="V772" s="10"/>
      <c r="W772" s="10"/>
      <c r="X772" s="10"/>
      <c r="Y772" s="10"/>
      <c r="Z772" s="10"/>
    </row>
    <row r="773" spans="1:26" ht="20" customHeight="1" x14ac:dyDescent="0.15">
      <c r="A773" s="8"/>
      <c r="B773" s="9"/>
      <c r="C773" s="17"/>
      <c r="D773" s="10"/>
      <c r="E773" s="10"/>
      <c r="F773" s="11"/>
      <c r="G773" s="10"/>
      <c r="H773" s="10"/>
      <c r="I773" s="10"/>
      <c r="J773" s="10"/>
      <c r="K773" s="10"/>
      <c r="L773" s="10"/>
      <c r="M773" s="10"/>
      <c r="N773" s="10"/>
      <c r="O773" s="10"/>
      <c r="P773" s="10"/>
      <c r="Q773" s="10"/>
      <c r="R773" s="10"/>
      <c r="S773" s="10"/>
      <c r="T773" s="10"/>
      <c r="U773" s="10"/>
      <c r="V773" s="10"/>
      <c r="W773" s="10"/>
      <c r="X773" s="10"/>
      <c r="Y773" s="10"/>
      <c r="Z773" s="10"/>
    </row>
    <row r="774" spans="1:26" ht="20" customHeight="1" x14ac:dyDescent="0.15">
      <c r="A774" s="8"/>
      <c r="B774" s="9"/>
      <c r="C774" s="17"/>
      <c r="D774" s="10"/>
      <c r="E774" s="10"/>
      <c r="F774" s="11"/>
      <c r="G774" s="10"/>
      <c r="H774" s="10"/>
      <c r="I774" s="10"/>
      <c r="J774" s="10"/>
      <c r="K774" s="10"/>
      <c r="L774" s="10"/>
      <c r="M774" s="10"/>
      <c r="N774" s="10"/>
      <c r="O774" s="10"/>
      <c r="P774" s="10"/>
      <c r="Q774" s="10"/>
      <c r="R774" s="10"/>
      <c r="S774" s="10"/>
      <c r="T774" s="10"/>
      <c r="U774" s="10"/>
      <c r="V774" s="10"/>
      <c r="W774" s="10"/>
      <c r="X774" s="10"/>
      <c r="Y774" s="10"/>
      <c r="Z774" s="10"/>
    </row>
    <row r="775" spans="1:26" ht="20" customHeight="1" x14ac:dyDescent="0.15">
      <c r="A775" s="8"/>
      <c r="B775" s="9"/>
      <c r="C775" s="17"/>
      <c r="D775" s="10"/>
      <c r="E775" s="10"/>
      <c r="F775" s="11"/>
      <c r="G775" s="10"/>
      <c r="H775" s="10"/>
      <c r="I775" s="10"/>
      <c r="J775" s="10"/>
      <c r="K775" s="10"/>
      <c r="L775" s="10"/>
      <c r="M775" s="10"/>
      <c r="N775" s="10"/>
      <c r="O775" s="10"/>
      <c r="P775" s="10"/>
      <c r="Q775" s="10"/>
      <c r="R775" s="10"/>
      <c r="S775" s="10"/>
      <c r="T775" s="10"/>
      <c r="U775" s="10"/>
      <c r="V775" s="10"/>
      <c r="W775" s="10"/>
      <c r="X775" s="10"/>
      <c r="Y775" s="10"/>
      <c r="Z775" s="10"/>
    </row>
    <row r="776" spans="1:26" ht="20" customHeight="1" x14ac:dyDescent="0.15">
      <c r="A776" s="8"/>
      <c r="B776" s="9"/>
      <c r="C776" s="17"/>
      <c r="D776" s="10"/>
      <c r="E776" s="10"/>
      <c r="F776" s="11"/>
      <c r="G776" s="10"/>
      <c r="H776" s="10"/>
      <c r="I776" s="10"/>
      <c r="J776" s="10"/>
      <c r="K776" s="10"/>
      <c r="L776" s="10"/>
      <c r="M776" s="10"/>
      <c r="N776" s="10"/>
      <c r="O776" s="10"/>
      <c r="P776" s="10"/>
      <c r="Q776" s="10"/>
      <c r="R776" s="10"/>
      <c r="S776" s="10"/>
      <c r="T776" s="10"/>
      <c r="U776" s="10"/>
      <c r="V776" s="10"/>
      <c r="W776" s="10"/>
      <c r="X776" s="10"/>
      <c r="Y776" s="10"/>
      <c r="Z776" s="10"/>
    </row>
    <row r="777" spans="1:26" ht="20" customHeight="1" x14ac:dyDescent="0.15">
      <c r="A777" s="8"/>
      <c r="B777" s="9"/>
      <c r="C777" s="17"/>
      <c r="D777" s="10"/>
      <c r="E777" s="10"/>
      <c r="F777" s="11"/>
      <c r="G777" s="10"/>
      <c r="H777" s="10"/>
      <c r="I777" s="10"/>
      <c r="J777" s="10"/>
      <c r="K777" s="10"/>
      <c r="L777" s="10"/>
      <c r="M777" s="10"/>
      <c r="N777" s="10"/>
      <c r="O777" s="10"/>
      <c r="P777" s="10"/>
      <c r="Q777" s="10"/>
      <c r="R777" s="10"/>
      <c r="S777" s="10"/>
      <c r="T777" s="10"/>
      <c r="U777" s="10"/>
      <c r="V777" s="10"/>
      <c r="W777" s="10"/>
      <c r="X777" s="10"/>
      <c r="Y777" s="10"/>
      <c r="Z777" s="10"/>
    </row>
    <row r="778" spans="1:26" ht="20" customHeight="1" x14ac:dyDescent="0.15">
      <c r="A778" s="8"/>
      <c r="B778" s="9"/>
      <c r="C778" s="17"/>
      <c r="D778" s="10"/>
      <c r="E778" s="10"/>
      <c r="F778" s="11"/>
      <c r="G778" s="10"/>
      <c r="H778" s="10"/>
      <c r="I778" s="10"/>
      <c r="J778" s="10"/>
      <c r="K778" s="10"/>
      <c r="L778" s="10"/>
      <c r="M778" s="10"/>
      <c r="N778" s="10"/>
      <c r="O778" s="10"/>
      <c r="P778" s="10"/>
      <c r="Q778" s="10"/>
      <c r="R778" s="10"/>
      <c r="S778" s="10"/>
      <c r="T778" s="10"/>
      <c r="U778" s="10"/>
      <c r="V778" s="10"/>
      <c r="W778" s="10"/>
      <c r="X778" s="10"/>
      <c r="Y778" s="10"/>
      <c r="Z778" s="10"/>
    </row>
    <row r="779" spans="1:26" ht="20" customHeight="1" x14ac:dyDescent="0.15">
      <c r="A779" s="8"/>
      <c r="B779" s="9"/>
      <c r="C779" s="17"/>
      <c r="D779" s="10"/>
      <c r="E779" s="10"/>
      <c r="F779" s="11"/>
      <c r="G779" s="10"/>
      <c r="H779" s="10"/>
      <c r="I779" s="10"/>
      <c r="J779" s="10"/>
      <c r="K779" s="10"/>
      <c r="L779" s="10"/>
      <c r="M779" s="10"/>
      <c r="N779" s="10"/>
      <c r="O779" s="10"/>
      <c r="P779" s="10"/>
      <c r="Q779" s="10"/>
      <c r="R779" s="10"/>
      <c r="S779" s="10"/>
      <c r="T779" s="10"/>
      <c r="U779" s="10"/>
      <c r="V779" s="10"/>
      <c r="W779" s="10"/>
      <c r="X779" s="10"/>
      <c r="Y779" s="10"/>
      <c r="Z779" s="10"/>
    </row>
    <row r="780" spans="1:26" ht="20" customHeight="1" x14ac:dyDescent="0.15">
      <c r="A780" s="8"/>
      <c r="B780" s="9"/>
      <c r="C780" s="17"/>
      <c r="D780" s="10"/>
      <c r="E780" s="10"/>
      <c r="F780" s="11"/>
      <c r="G780" s="10"/>
      <c r="H780" s="10"/>
      <c r="I780" s="10"/>
      <c r="J780" s="10"/>
      <c r="K780" s="10"/>
      <c r="L780" s="10"/>
      <c r="M780" s="10"/>
      <c r="N780" s="10"/>
      <c r="O780" s="10"/>
      <c r="P780" s="10"/>
      <c r="Q780" s="10"/>
      <c r="R780" s="10"/>
      <c r="S780" s="10"/>
      <c r="T780" s="10"/>
      <c r="U780" s="10"/>
      <c r="V780" s="10"/>
      <c r="W780" s="10"/>
      <c r="X780" s="10"/>
      <c r="Y780" s="10"/>
      <c r="Z780" s="10"/>
    </row>
    <row r="781" spans="1:26" ht="20" customHeight="1" x14ac:dyDescent="0.15">
      <c r="A781" s="8"/>
      <c r="B781" s="9"/>
      <c r="C781" s="17"/>
      <c r="D781" s="10"/>
      <c r="E781" s="10"/>
      <c r="F781" s="11"/>
      <c r="G781" s="10"/>
      <c r="H781" s="10"/>
      <c r="I781" s="10"/>
      <c r="J781" s="10"/>
      <c r="K781" s="10"/>
      <c r="L781" s="10"/>
      <c r="M781" s="10"/>
      <c r="N781" s="10"/>
      <c r="O781" s="10"/>
      <c r="P781" s="10"/>
      <c r="Q781" s="10"/>
      <c r="R781" s="10"/>
      <c r="S781" s="10"/>
      <c r="T781" s="10"/>
      <c r="U781" s="10"/>
      <c r="V781" s="10"/>
      <c r="W781" s="10"/>
      <c r="X781" s="10"/>
      <c r="Y781" s="10"/>
      <c r="Z781" s="10"/>
    </row>
    <row r="782" spans="1:26" ht="20" customHeight="1" x14ac:dyDescent="0.15">
      <c r="A782" s="8"/>
      <c r="B782" s="9"/>
      <c r="C782" s="17"/>
      <c r="D782" s="10"/>
      <c r="E782" s="10"/>
      <c r="F782" s="11"/>
      <c r="G782" s="10"/>
      <c r="H782" s="10"/>
      <c r="I782" s="10"/>
      <c r="J782" s="10"/>
      <c r="K782" s="10"/>
      <c r="L782" s="10"/>
      <c r="M782" s="10"/>
      <c r="N782" s="10"/>
      <c r="O782" s="10"/>
      <c r="P782" s="10"/>
      <c r="Q782" s="10"/>
      <c r="R782" s="10"/>
      <c r="S782" s="10"/>
      <c r="T782" s="10"/>
      <c r="U782" s="10"/>
      <c r="V782" s="10"/>
      <c r="W782" s="10"/>
      <c r="X782" s="10"/>
      <c r="Y782" s="10"/>
      <c r="Z782" s="10"/>
    </row>
    <row r="783" spans="1:26" ht="20" customHeight="1" x14ac:dyDescent="0.15">
      <c r="A783" s="8"/>
      <c r="B783" s="9"/>
      <c r="C783" s="17"/>
      <c r="D783" s="10"/>
      <c r="E783" s="10"/>
      <c r="F783" s="11"/>
      <c r="G783" s="10"/>
      <c r="H783" s="10"/>
      <c r="I783" s="10"/>
      <c r="J783" s="10"/>
      <c r="K783" s="10"/>
      <c r="L783" s="10"/>
      <c r="M783" s="10"/>
      <c r="N783" s="10"/>
      <c r="O783" s="10"/>
      <c r="P783" s="10"/>
      <c r="Q783" s="10"/>
      <c r="R783" s="10"/>
      <c r="S783" s="10"/>
      <c r="T783" s="10"/>
      <c r="U783" s="10"/>
      <c r="V783" s="10"/>
      <c r="W783" s="10"/>
      <c r="X783" s="10"/>
      <c r="Y783" s="10"/>
      <c r="Z783" s="10"/>
    </row>
    <row r="784" spans="1:26" ht="20" customHeight="1" x14ac:dyDescent="0.15">
      <c r="A784" s="8"/>
      <c r="B784" s="9"/>
      <c r="C784" s="17"/>
      <c r="D784" s="10"/>
      <c r="E784" s="10"/>
      <c r="F784" s="11"/>
      <c r="G784" s="10"/>
      <c r="H784" s="10"/>
      <c r="I784" s="10"/>
      <c r="J784" s="10"/>
      <c r="K784" s="10"/>
      <c r="L784" s="10"/>
      <c r="M784" s="10"/>
      <c r="N784" s="10"/>
      <c r="O784" s="10"/>
      <c r="P784" s="10"/>
      <c r="Q784" s="10"/>
      <c r="R784" s="10"/>
      <c r="S784" s="10"/>
      <c r="T784" s="10"/>
      <c r="U784" s="10"/>
      <c r="V784" s="10"/>
      <c r="W784" s="10"/>
      <c r="X784" s="10"/>
      <c r="Y784" s="10"/>
      <c r="Z784" s="10"/>
    </row>
    <row r="785" spans="1:26" ht="20" customHeight="1" x14ac:dyDescent="0.15">
      <c r="A785" s="8"/>
      <c r="B785" s="9"/>
      <c r="C785" s="17"/>
      <c r="D785" s="10"/>
      <c r="E785" s="10"/>
      <c r="F785" s="11"/>
      <c r="G785" s="10"/>
      <c r="H785" s="10"/>
      <c r="I785" s="10"/>
      <c r="J785" s="10"/>
      <c r="K785" s="10"/>
      <c r="L785" s="10"/>
      <c r="M785" s="10"/>
      <c r="N785" s="10"/>
      <c r="O785" s="10"/>
      <c r="P785" s="10"/>
      <c r="Q785" s="10"/>
      <c r="R785" s="10"/>
      <c r="S785" s="10"/>
      <c r="T785" s="10"/>
      <c r="U785" s="10"/>
      <c r="V785" s="10"/>
      <c r="W785" s="10"/>
      <c r="X785" s="10"/>
      <c r="Y785" s="10"/>
      <c r="Z785" s="10"/>
    </row>
    <row r="786" spans="1:26" ht="20" customHeight="1" x14ac:dyDescent="0.15">
      <c r="A786" s="8"/>
      <c r="B786" s="9"/>
      <c r="C786" s="17"/>
      <c r="D786" s="10"/>
      <c r="E786" s="10"/>
      <c r="F786" s="11"/>
      <c r="G786" s="10"/>
      <c r="H786" s="10"/>
      <c r="I786" s="10"/>
      <c r="J786" s="10"/>
      <c r="K786" s="10"/>
      <c r="L786" s="10"/>
      <c r="M786" s="10"/>
      <c r="N786" s="10"/>
      <c r="O786" s="10"/>
      <c r="P786" s="10"/>
      <c r="Q786" s="10"/>
      <c r="R786" s="10"/>
      <c r="S786" s="10"/>
      <c r="T786" s="10"/>
      <c r="U786" s="10"/>
      <c r="V786" s="10"/>
      <c r="W786" s="10"/>
      <c r="X786" s="10"/>
      <c r="Y786" s="10"/>
      <c r="Z786" s="10"/>
    </row>
    <row r="787" spans="1:26" ht="20" customHeight="1" x14ac:dyDescent="0.15">
      <c r="A787" s="8"/>
      <c r="B787" s="9"/>
      <c r="C787" s="17"/>
      <c r="D787" s="10"/>
      <c r="E787" s="10"/>
      <c r="F787" s="11"/>
      <c r="G787" s="10"/>
      <c r="H787" s="10"/>
      <c r="I787" s="10"/>
      <c r="J787" s="10"/>
      <c r="K787" s="10"/>
      <c r="L787" s="10"/>
      <c r="M787" s="10"/>
      <c r="N787" s="10"/>
      <c r="O787" s="10"/>
      <c r="P787" s="10"/>
      <c r="Q787" s="10"/>
      <c r="R787" s="10"/>
      <c r="S787" s="10"/>
      <c r="T787" s="10"/>
      <c r="U787" s="10"/>
      <c r="V787" s="10"/>
      <c r="W787" s="10"/>
      <c r="X787" s="10"/>
      <c r="Y787" s="10"/>
      <c r="Z787" s="10"/>
    </row>
    <row r="788" spans="1:26" ht="20" customHeight="1" x14ac:dyDescent="0.15">
      <c r="A788" s="8"/>
      <c r="B788" s="9"/>
      <c r="C788" s="17"/>
      <c r="D788" s="10"/>
      <c r="E788" s="10"/>
      <c r="F788" s="11"/>
      <c r="G788" s="10"/>
      <c r="H788" s="10"/>
      <c r="I788" s="10"/>
      <c r="J788" s="10"/>
      <c r="K788" s="10"/>
      <c r="L788" s="10"/>
      <c r="M788" s="10"/>
      <c r="N788" s="10"/>
      <c r="O788" s="10"/>
      <c r="P788" s="10"/>
      <c r="Q788" s="10"/>
      <c r="R788" s="10"/>
      <c r="S788" s="10"/>
      <c r="T788" s="10"/>
      <c r="U788" s="10"/>
      <c r="V788" s="10"/>
      <c r="W788" s="10"/>
      <c r="X788" s="10"/>
      <c r="Y788" s="10"/>
      <c r="Z788" s="10"/>
    </row>
    <row r="789" spans="1:26" ht="20" customHeight="1" x14ac:dyDescent="0.15">
      <c r="A789" s="8"/>
      <c r="B789" s="9"/>
      <c r="C789" s="17"/>
      <c r="D789" s="10"/>
      <c r="E789" s="10"/>
      <c r="F789" s="11"/>
      <c r="G789" s="10"/>
      <c r="H789" s="10"/>
      <c r="I789" s="10"/>
      <c r="J789" s="10"/>
      <c r="K789" s="10"/>
      <c r="L789" s="10"/>
      <c r="M789" s="10"/>
      <c r="N789" s="10"/>
      <c r="O789" s="10"/>
      <c r="P789" s="10"/>
      <c r="Q789" s="10"/>
      <c r="R789" s="10"/>
      <c r="S789" s="10"/>
      <c r="T789" s="10"/>
      <c r="U789" s="10"/>
      <c r="V789" s="10"/>
      <c r="W789" s="10"/>
      <c r="X789" s="10"/>
      <c r="Y789" s="10"/>
      <c r="Z789" s="10"/>
    </row>
    <row r="790" spans="1:26" ht="20" customHeight="1" x14ac:dyDescent="0.15">
      <c r="A790" s="8"/>
      <c r="B790" s="9"/>
      <c r="C790" s="17"/>
      <c r="D790" s="10"/>
      <c r="E790" s="10"/>
      <c r="F790" s="11"/>
      <c r="G790" s="10"/>
      <c r="H790" s="10"/>
      <c r="I790" s="10"/>
      <c r="J790" s="10"/>
      <c r="K790" s="10"/>
      <c r="L790" s="10"/>
      <c r="M790" s="10"/>
      <c r="N790" s="10"/>
      <c r="O790" s="10"/>
      <c r="P790" s="10"/>
      <c r="Q790" s="10"/>
      <c r="R790" s="10"/>
      <c r="S790" s="10"/>
      <c r="T790" s="10"/>
      <c r="U790" s="10"/>
      <c r="V790" s="10"/>
      <c r="W790" s="10"/>
      <c r="X790" s="10"/>
      <c r="Y790" s="10"/>
      <c r="Z790" s="10"/>
    </row>
    <row r="791" spans="1:26" ht="20" customHeight="1" x14ac:dyDescent="0.15">
      <c r="A791" s="8"/>
      <c r="B791" s="9"/>
      <c r="C791" s="17"/>
      <c r="D791" s="10"/>
      <c r="E791" s="10"/>
      <c r="F791" s="11"/>
      <c r="G791" s="10"/>
      <c r="H791" s="10"/>
      <c r="I791" s="10"/>
      <c r="J791" s="10"/>
      <c r="K791" s="10"/>
      <c r="L791" s="10"/>
      <c r="M791" s="10"/>
      <c r="N791" s="10"/>
      <c r="O791" s="10"/>
      <c r="P791" s="10"/>
      <c r="Q791" s="10"/>
      <c r="R791" s="10"/>
      <c r="S791" s="10"/>
      <c r="T791" s="10"/>
      <c r="U791" s="10"/>
      <c r="V791" s="10"/>
      <c r="W791" s="10"/>
      <c r="X791" s="10"/>
      <c r="Y791" s="10"/>
      <c r="Z791" s="10"/>
    </row>
    <row r="792" spans="1:26" ht="20" customHeight="1" x14ac:dyDescent="0.15">
      <c r="A792" s="8"/>
      <c r="B792" s="9"/>
      <c r="C792" s="17"/>
      <c r="D792" s="10"/>
      <c r="E792" s="10"/>
      <c r="F792" s="11"/>
      <c r="G792" s="10"/>
      <c r="H792" s="10"/>
      <c r="I792" s="10"/>
      <c r="J792" s="10"/>
      <c r="K792" s="10"/>
      <c r="L792" s="10"/>
      <c r="M792" s="10"/>
      <c r="N792" s="10"/>
      <c r="O792" s="10"/>
      <c r="P792" s="10"/>
      <c r="Q792" s="10"/>
      <c r="R792" s="10"/>
      <c r="S792" s="10"/>
      <c r="T792" s="10"/>
      <c r="U792" s="10"/>
      <c r="V792" s="10"/>
      <c r="W792" s="10"/>
      <c r="X792" s="10"/>
      <c r="Y792" s="10"/>
      <c r="Z792" s="10"/>
    </row>
    <row r="793" spans="1:26" ht="20" customHeight="1" x14ac:dyDescent="0.15">
      <c r="A793" s="8"/>
      <c r="B793" s="9"/>
      <c r="C793" s="17"/>
      <c r="D793" s="10"/>
      <c r="E793" s="10"/>
      <c r="F793" s="11"/>
      <c r="G793" s="10"/>
      <c r="H793" s="10"/>
      <c r="I793" s="10"/>
      <c r="J793" s="10"/>
      <c r="K793" s="10"/>
      <c r="L793" s="10"/>
      <c r="M793" s="10"/>
      <c r="N793" s="10"/>
      <c r="O793" s="10"/>
      <c r="P793" s="10"/>
      <c r="Q793" s="10"/>
      <c r="R793" s="10"/>
      <c r="S793" s="10"/>
      <c r="T793" s="10"/>
      <c r="U793" s="10"/>
      <c r="V793" s="10"/>
      <c r="W793" s="10"/>
      <c r="X793" s="10"/>
      <c r="Y793" s="10"/>
      <c r="Z793" s="10"/>
    </row>
    <row r="794" spans="1:26" ht="20" customHeight="1" x14ac:dyDescent="0.15">
      <c r="A794" s="8"/>
      <c r="B794" s="9"/>
      <c r="C794" s="17"/>
      <c r="D794" s="10"/>
      <c r="E794" s="10"/>
      <c r="F794" s="11"/>
      <c r="G794" s="10"/>
      <c r="H794" s="10"/>
      <c r="I794" s="10"/>
      <c r="J794" s="10"/>
      <c r="K794" s="10"/>
      <c r="L794" s="10"/>
      <c r="M794" s="10"/>
      <c r="N794" s="10"/>
      <c r="O794" s="10"/>
      <c r="P794" s="10"/>
      <c r="Q794" s="10"/>
      <c r="R794" s="10"/>
      <c r="S794" s="10"/>
      <c r="T794" s="10"/>
      <c r="U794" s="10"/>
      <c r="V794" s="10"/>
      <c r="W794" s="10"/>
      <c r="X794" s="10"/>
      <c r="Y794" s="10"/>
      <c r="Z794" s="10"/>
    </row>
    <row r="795" spans="1:26" ht="20" customHeight="1" x14ac:dyDescent="0.15">
      <c r="A795" s="8"/>
      <c r="B795" s="9"/>
      <c r="C795" s="17"/>
      <c r="D795" s="10"/>
      <c r="E795" s="10"/>
      <c r="F795" s="11"/>
      <c r="G795" s="10"/>
      <c r="H795" s="10"/>
      <c r="I795" s="10"/>
      <c r="J795" s="10"/>
      <c r="K795" s="10"/>
      <c r="L795" s="10"/>
      <c r="M795" s="10"/>
      <c r="N795" s="10"/>
      <c r="O795" s="10"/>
      <c r="P795" s="10"/>
      <c r="Q795" s="10"/>
      <c r="R795" s="10"/>
      <c r="S795" s="10"/>
      <c r="T795" s="10"/>
      <c r="U795" s="10"/>
      <c r="V795" s="10"/>
      <c r="W795" s="10"/>
      <c r="X795" s="10"/>
      <c r="Y795" s="10"/>
      <c r="Z795" s="10"/>
    </row>
    <row r="796" spans="1:26" ht="20" customHeight="1" x14ac:dyDescent="0.15">
      <c r="A796" s="8"/>
      <c r="B796" s="9"/>
      <c r="C796" s="17"/>
      <c r="D796" s="10"/>
      <c r="E796" s="10"/>
      <c r="F796" s="11"/>
      <c r="G796" s="10"/>
      <c r="H796" s="10"/>
      <c r="I796" s="10"/>
      <c r="J796" s="10"/>
      <c r="K796" s="10"/>
      <c r="L796" s="10"/>
      <c r="M796" s="10"/>
      <c r="N796" s="10"/>
      <c r="O796" s="10"/>
      <c r="P796" s="10"/>
      <c r="Q796" s="10"/>
      <c r="R796" s="10"/>
      <c r="S796" s="10"/>
      <c r="T796" s="10"/>
      <c r="U796" s="10"/>
      <c r="V796" s="10"/>
      <c r="W796" s="10"/>
      <c r="X796" s="10"/>
      <c r="Y796" s="10"/>
      <c r="Z796" s="10"/>
    </row>
    <row r="797" spans="1:26" ht="20" customHeight="1" x14ac:dyDescent="0.15">
      <c r="A797" s="8"/>
      <c r="B797" s="9"/>
      <c r="C797" s="17"/>
      <c r="D797" s="10"/>
      <c r="E797" s="10"/>
      <c r="F797" s="11"/>
      <c r="G797" s="10"/>
      <c r="H797" s="10"/>
      <c r="I797" s="10"/>
      <c r="J797" s="10"/>
      <c r="K797" s="10"/>
      <c r="L797" s="10"/>
      <c r="M797" s="10"/>
      <c r="N797" s="10"/>
      <c r="O797" s="10"/>
      <c r="P797" s="10"/>
      <c r="Q797" s="10"/>
      <c r="R797" s="10"/>
      <c r="S797" s="10"/>
      <c r="T797" s="10"/>
      <c r="U797" s="10"/>
      <c r="V797" s="10"/>
      <c r="W797" s="10"/>
      <c r="X797" s="10"/>
      <c r="Y797" s="10"/>
      <c r="Z797" s="10"/>
    </row>
    <row r="798" spans="1:26" ht="20" customHeight="1" x14ac:dyDescent="0.15">
      <c r="A798" s="8"/>
      <c r="B798" s="9"/>
      <c r="C798" s="17"/>
      <c r="D798" s="10"/>
      <c r="E798" s="10"/>
      <c r="F798" s="11"/>
      <c r="G798" s="10"/>
      <c r="H798" s="10"/>
      <c r="I798" s="10"/>
      <c r="J798" s="10"/>
      <c r="K798" s="10"/>
      <c r="L798" s="10"/>
      <c r="M798" s="10"/>
      <c r="N798" s="10"/>
      <c r="O798" s="10"/>
      <c r="P798" s="10"/>
      <c r="Q798" s="10"/>
      <c r="R798" s="10"/>
      <c r="S798" s="10"/>
      <c r="T798" s="10"/>
      <c r="U798" s="10"/>
      <c r="V798" s="10"/>
      <c r="W798" s="10"/>
      <c r="X798" s="10"/>
      <c r="Y798" s="10"/>
      <c r="Z798" s="10"/>
    </row>
    <row r="799" spans="1:26" ht="20" customHeight="1" x14ac:dyDescent="0.15">
      <c r="A799" s="8"/>
      <c r="B799" s="9"/>
      <c r="C799" s="17"/>
      <c r="D799" s="10"/>
      <c r="E799" s="10"/>
      <c r="F799" s="11"/>
      <c r="G799" s="10"/>
      <c r="H799" s="10"/>
      <c r="I799" s="10"/>
      <c r="J799" s="10"/>
      <c r="K799" s="10"/>
      <c r="L799" s="10"/>
      <c r="M799" s="10"/>
      <c r="N799" s="10"/>
      <c r="O799" s="10"/>
      <c r="P799" s="10"/>
      <c r="Q799" s="10"/>
      <c r="R799" s="10"/>
      <c r="S799" s="10"/>
      <c r="T799" s="10"/>
      <c r="U799" s="10"/>
      <c r="V799" s="10"/>
      <c r="W799" s="10"/>
      <c r="X799" s="10"/>
      <c r="Y799" s="10"/>
      <c r="Z799" s="10"/>
    </row>
    <row r="800" spans="1:26" ht="20" customHeight="1" x14ac:dyDescent="0.15">
      <c r="A800" s="8"/>
      <c r="B800" s="9"/>
      <c r="C800" s="17"/>
      <c r="D800" s="10"/>
      <c r="E800" s="10"/>
      <c r="F800" s="11"/>
      <c r="G800" s="10"/>
      <c r="H800" s="10"/>
      <c r="I800" s="10"/>
      <c r="J800" s="10"/>
      <c r="K800" s="10"/>
      <c r="L800" s="10"/>
      <c r="M800" s="10"/>
      <c r="N800" s="10"/>
      <c r="O800" s="10"/>
      <c r="P800" s="10"/>
      <c r="Q800" s="10"/>
      <c r="R800" s="10"/>
      <c r="S800" s="10"/>
      <c r="T800" s="10"/>
      <c r="U800" s="10"/>
      <c r="V800" s="10"/>
      <c r="W800" s="10"/>
      <c r="X800" s="10"/>
      <c r="Y800" s="10"/>
      <c r="Z800" s="10"/>
    </row>
    <row r="801" spans="1:26" ht="20" customHeight="1" x14ac:dyDescent="0.15">
      <c r="A801" s="8"/>
      <c r="B801" s="9"/>
      <c r="C801" s="17"/>
      <c r="D801" s="10"/>
      <c r="E801" s="10"/>
      <c r="F801" s="11"/>
      <c r="G801" s="10"/>
      <c r="H801" s="10"/>
      <c r="I801" s="10"/>
      <c r="J801" s="10"/>
      <c r="K801" s="10"/>
      <c r="L801" s="10"/>
      <c r="M801" s="10"/>
      <c r="N801" s="10"/>
      <c r="O801" s="10"/>
      <c r="P801" s="10"/>
      <c r="Q801" s="10"/>
      <c r="R801" s="10"/>
      <c r="S801" s="10"/>
      <c r="T801" s="10"/>
      <c r="U801" s="10"/>
      <c r="V801" s="10"/>
      <c r="W801" s="10"/>
      <c r="X801" s="10"/>
      <c r="Y801" s="10"/>
      <c r="Z801" s="10"/>
    </row>
    <row r="802" spans="1:26" ht="20" customHeight="1" x14ac:dyDescent="0.15">
      <c r="A802" s="8"/>
      <c r="B802" s="9"/>
      <c r="C802" s="17"/>
      <c r="D802" s="10"/>
      <c r="E802" s="10"/>
      <c r="F802" s="11"/>
      <c r="G802" s="10"/>
      <c r="H802" s="10"/>
      <c r="I802" s="10"/>
      <c r="J802" s="10"/>
      <c r="K802" s="10"/>
      <c r="L802" s="10"/>
      <c r="M802" s="10"/>
      <c r="N802" s="10"/>
      <c r="O802" s="10"/>
      <c r="P802" s="10"/>
      <c r="Q802" s="10"/>
      <c r="R802" s="10"/>
      <c r="S802" s="10"/>
      <c r="T802" s="10"/>
      <c r="U802" s="10"/>
      <c r="V802" s="10"/>
      <c r="W802" s="10"/>
      <c r="X802" s="10"/>
      <c r="Y802" s="10"/>
      <c r="Z802" s="10"/>
    </row>
    <row r="803" spans="1:26" ht="20" customHeight="1" x14ac:dyDescent="0.15">
      <c r="A803" s="8"/>
      <c r="B803" s="9"/>
      <c r="C803" s="17"/>
      <c r="D803" s="10"/>
      <c r="E803" s="10"/>
      <c r="F803" s="11"/>
      <c r="G803" s="10"/>
      <c r="H803" s="10"/>
      <c r="I803" s="10"/>
      <c r="J803" s="10"/>
      <c r="K803" s="10"/>
      <c r="L803" s="10"/>
      <c r="M803" s="10"/>
      <c r="N803" s="10"/>
      <c r="O803" s="10"/>
      <c r="P803" s="10"/>
      <c r="Q803" s="10"/>
      <c r="R803" s="10"/>
      <c r="S803" s="10"/>
      <c r="T803" s="10"/>
      <c r="U803" s="10"/>
      <c r="V803" s="10"/>
      <c r="W803" s="10"/>
      <c r="X803" s="10"/>
      <c r="Y803" s="10"/>
      <c r="Z803" s="10"/>
    </row>
    <row r="804" spans="1:26" ht="20" customHeight="1" x14ac:dyDescent="0.15">
      <c r="A804" s="8"/>
      <c r="B804" s="9"/>
      <c r="C804" s="17"/>
      <c r="D804" s="10"/>
      <c r="E804" s="10"/>
      <c r="F804" s="11"/>
      <c r="G804" s="10"/>
      <c r="H804" s="10"/>
      <c r="I804" s="10"/>
      <c r="J804" s="10"/>
      <c r="K804" s="10"/>
      <c r="L804" s="10"/>
      <c r="M804" s="10"/>
      <c r="N804" s="10"/>
      <c r="O804" s="10"/>
      <c r="P804" s="10"/>
      <c r="Q804" s="10"/>
      <c r="R804" s="10"/>
      <c r="S804" s="10"/>
      <c r="T804" s="10"/>
      <c r="U804" s="10"/>
      <c r="V804" s="10"/>
      <c r="W804" s="10"/>
      <c r="X804" s="10"/>
      <c r="Y804" s="10"/>
      <c r="Z804" s="10"/>
    </row>
    <row r="805" spans="1:26" ht="20" customHeight="1" x14ac:dyDescent="0.15">
      <c r="A805" s="8"/>
      <c r="B805" s="9"/>
      <c r="C805" s="17"/>
      <c r="D805" s="10"/>
      <c r="E805" s="10"/>
      <c r="F805" s="11"/>
      <c r="G805" s="10"/>
      <c r="H805" s="10"/>
      <c r="I805" s="10"/>
      <c r="J805" s="10"/>
      <c r="K805" s="10"/>
      <c r="L805" s="10"/>
      <c r="M805" s="10"/>
      <c r="N805" s="10"/>
      <c r="O805" s="10"/>
      <c r="P805" s="10"/>
      <c r="Q805" s="10"/>
      <c r="R805" s="10"/>
      <c r="S805" s="10"/>
      <c r="T805" s="10"/>
      <c r="U805" s="10"/>
      <c r="V805" s="10"/>
      <c r="W805" s="10"/>
      <c r="X805" s="10"/>
      <c r="Y805" s="10"/>
      <c r="Z805" s="10"/>
    </row>
    <row r="806" spans="1:26" ht="20" customHeight="1" x14ac:dyDescent="0.15">
      <c r="A806" s="8"/>
      <c r="B806" s="9"/>
      <c r="C806" s="17"/>
      <c r="D806" s="10"/>
      <c r="E806" s="10"/>
      <c r="F806" s="11"/>
      <c r="G806" s="10"/>
      <c r="H806" s="10"/>
      <c r="I806" s="10"/>
      <c r="J806" s="10"/>
      <c r="K806" s="10"/>
      <c r="L806" s="10"/>
      <c r="M806" s="10"/>
      <c r="N806" s="10"/>
      <c r="O806" s="10"/>
      <c r="P806" s="10"/>
      <c r="Q806" s="10"/>
      <c r="R806" s="10"/>
      <c r="S806" s="10"/>
      <c r="T806" s="10"/>
      <c r="U806" s="10"/>
      <c r="V806" s="10"/>
      <c r="W806" s="10"/>
      <c r="X806" s="10"/>
      <c r="Y806" s="10"/>
      <c r="Z806" s="10"/>
    </row>
    <row r="807" spans="1:26" ht="20" customHeight="1" x14ac:dyDescent="0.15">
      <c r="A807" s="8"/>
      <c r="B807" s="9"/>
      <c r="C807" s="17"/>
      <c r="D807" s="10"/>
      <c r="E807" s="10"/>
      <c r="F807" s="11"/>
      <c r="G807" s="10"/>
      <c r="H807" s="10"/>
      <c r="I807" s="10"/>
      <c r="J807" s="10"/>
      <c r="K807" s="10"/>
      <c r="L807" s="10"/>
      <c r="M807" s="10"/>
      <c r="N807" s="10"/>
      <c r="O807" s="10"/>
      <c r="P807" s="10"/>
      <c r="Q807" s="10"/>
      <c r="R807" s="10"/>
      <c r="S807" s="10"/>
      <c r="T807" s="10"/>
      <c r="U807" s="10"/>
      <c r="V807" s="10"/>
      <c r="W807" s="10"/>
      <c r="X807" s="10"/>
      <c r="Y807" s="10"/>
      <c r="Z807" s="10"/>
    </row>
    <row r="808" spans="1:26" ht="20" customHeight="1" x14ac:dyDescent="0.15">
      <c r="A808" s="8"/>
      <c r="B808" s="9"/>
      <c r="C808" s="17"/>
      <c r="D808" s="10"/>
      <c r="E808" s="10"/>
      <c r="F808" s="11"/>
      <c r="G808" s="10"/>
      <c r="H808" s="10"/>
      <c r="I808" s="10"/>
      <c r="J808" s="10"/>
      <c r="K808" s="10"/>
      <c r="L808" s="10"/>
      <c r="M808" s="10"/>
      <c r="N808" s="10"/>
      <c r="O808" s="10"/>
      <c r="P808" s="10"/>
      <c r="Q808" s="10"/>
      <c r="R808" s="10"/>
      <c r="S808" s="10"/>
      <c r="T808" s="10"/>
      <c r="U808" s="10"/>
      <c r="V808" s="10"/>
      <c r="W808" s="10"/>
      <c r="X808" s="10"/>
      <c r="Y808" s="10"/>
      <c r="Z808" s="10"/>
    </row>
    <row r="809" spans="1:26" ht="20" customHeight="1" x14ac:dyDescent="0.15">
      <c r="A809" s="8"/>
      <c r="B809" s="9"/>
      <c r="C809" s="17"/>
      <c r="D809" s="10"/>
      <c r="E809" s="10"/>
      <c r="F809" s="11"/>
      <c r="G809" s="10"/>
      <c r="H809" s="10"/>
      <c r="I809" s="10"/>
      <c r="J809" s="10"/>
      <c r="K809" s="10"/>
      <c r="L809" s="10"/>
      <c r="M809" s="10"/>
      <c r="N809" s="10"/>
      <c r="O809" s="10"/>
      <c r="P809" s="10"/>
      <c r="Q809" s="10"/>
      <c r="R809" s="10"/>
      <c r="S809" s="10"/>
      <c r="T809" s="10"/>
      <c r="U809" s="10"/>
      <c r="V809" s="10"/>
      <c r="W809" s="10"/>
      <c r="X809" s="10"/>
      <c r="Y809" s="10"/>
      <c r="Z809" s="10"/>
    </row>
    <row r="810" spans="1:26" ht="20" customHeight="1" x14ac:dyDescent="0.15">
      <c r="A810" s="8"/>
      <c r="B810" s="9"/>
      <c r="C810" s="17"/>
      <c r="D810" s="10"/>
      <c r="E810" s="10"/>
      <c r="F810" s="11"/>
      <c r="G810" s="10"/>
      <c r="H810" s="10"/>
      <c r="I810" s="10"/>
      <c r="J810" s="10"/>
      <c r="K810" s="10"/>
      <c r="L810" s="10"/>
      <c r="M810" s="10"/>
      <c r="N810" s="10"/>
      <c r="O810" s="10"/>
      <c r="P810" s="10"/>
      <c r="Q810" s="10"/>
      <c r="R810" s="10"/>
      <c r="S810" s="10"/>
      <c r="T810" s="10"/>
      <c r="U810" s="10"/>
      <c r="V810" s="10"/>
      <c r="W810" s="10"/>
      <c r="X810" s="10"/>
      <c r="Y810" s="10"/>
      <c r="Z810" s="10"/>
    </row>
    <row r="811" spans="1:26" ht="20" customHeight="1" x14ac:dyDescent="0.15">
      <c r="A811" s="8"/>
      <c r="B811" s="9"/>
      <c r="C811" s="17"/>
      <c r="D811" s="10"/>
      <c r="E811" s="10"/>
      <c r="F811" s="11"/>
      <c r="G811" s="10"/>
      <c r="H811" s="10"/>
      <c r="I811" s="10"/>
      <c r="J811" s="10"/>
      <c r="K811" s="10"/>
      <c r="L811" s="10"/>
      <c r="M811" s="10"/>
      <c r="N811" s="10"/>
      <c r="O811" s="10"/>
      <c r="P811" s="10"/>
      <c r="Q811" s="10"/>
      <c r="R811" s="10"/>
      <c r="S811" s="10"/>
      <c r="T811" s="10"/>
      <c r="U811" s="10"/>
      <c r="V811" s="10"/>
      <c r="W811" s="10"/>
      <c r="X811" s="10"/>
      <c r="Y811" s="10"/>
      <c r="Z811" s="10"/>
    </row>
    <row r="812" spans="1:26" ht="20" customHeight="1" x14ac:dyDescent="0.15">
      <c r="A812" s="8"/>
      <c r="B812" s="9"/>
      <c r="C812" s="17"/>
      <c r="D812" s="10"/>
      <c r="E812" s="10"/>
      <c r="F812" s="11"/>
      <c r="G812" s="10"/>
      <c r="H812" s="10"/>
      <c r="I812" s="10"/>
      <c r="J812" s="10"/>
      <c r="K812" s="10"/>
      <c r="L812" s="10"/>
      <c r="M812" s="10"/>
      <c r="N812" s="10"/>
      <c r="O812" s="10"/>
      <c r="P812" s="10"/>
      <c r="Q812" s="10"/>
      <c r="R812" s="10"/>
      <c r="S812" s="10"/>
      <c r="T812" s="10"/>
      <c r="U812" s="10"/>
      <c r="V812" s="10"/>
      <c r="W812" s="10"/>
      <c r="X812" s="10"/>
      <c r="Y812" s="10"/>
      <c r="Z812" s="10"/>
    </row>
    <row r="813" spans="1:26" ht="20" customHeight="1" x14ac:dyDescent="0.15">
      <c r="A813" s="8"/>
      <c r="B813" s="9"/>
      <c r="C813" s="17"/>
      <c r="D813" s="10"/>
      <c r="E813" s="10"/>
      <c r="F813" s="11"/>
      <c r="G813" s="10"/>
      <c r="H813" s="10"/>
      <c r="I813" s="10"/>
      <c r="J813" s="10"/>
      <c r="K813" s="10"/>
      <c r="L813" s="10"/>
      <c r="M813" s="10"/>
      <c r="N813" s="10"/>
      <c r="O813" s="10"/>
      <c r="P813" s="10"/>
      <c r="Q813" s="10"/>
      <c r="R813" s="10"/>
      <c r="S813" s="10"/>
      <c r="T813" s="10"/>
      <c r="U813" s="10"/>
      <c r="V813" s="10"/>
      <c r="W813" s="10"/>
      <c r="X813" s="10"/>
      <c r="Y813" s="10"/>
      <c r="Z813" s="10"/>
    </row>
    <row r="814" spans="1:26" ht="20" customHeight="1" x14ac:dyDescent="0.15">
      <c r="A814" s="8"/>
      <c r="B814" s="9"/>
      <c r="C814" s="17"/>
      <c r="D814" s="10"/>
      <c r="E814" s="10"/>
      <c r="F814" s="11"/>
      <c r="G814" s="10"/>
      <c r="H814" s="10"/>
      <c r="I814" s="10"/>
      <c r="J814" s="10"/>
      <c r="K814" s="10"/>
      <c r="L814" s="10"/>
      <c r="M814" s="10"/>
      <c r="N814" s="10"/>
      <c r="O814" s="10"/>
      <c r="P814" s="10"/>
      <c r="Q814" s="10"/>
      <c r="R814" s="10"/>
      <c r="S814" s="10"/>
      <c r="T814" s="10"/>
      <c r="U814" s="10"/>
      <c r="V814" s="10"/>
      <c r="W814" s="10"/>
      <c r="X814" s="10"/>
      <c r="Y814" s="10"/>
      <c r="Z814" s="10"/>
    </row>
    <row r="815" spans="1:26" ht="20" customHeight="1" x14ac:dyDescent="0.15">
      <c r="A815" s="8"/>
      <c r="B815" s="9"/>
      <c r="C815" s="17"/>
      <c r="D815" s="10"/>
      <c r="E815" s="10"/>
      <c r="F815" s="11"/>
      <c r="G815" s="10"/>
      <c r="H815" s="10"/>
      <c r="I815" s="10"/>
      <c r="J815" s="10"/>
      <c r="K815" s="10"/>
      <c r="L815" s="10"/>
      <c r="M815" s="10"/>
      <c r="N815" s="10"/>
      <c r="O815" s="10"/>
      <c r="P815" s="10"/>
      <c r="Q815" s="10"/>
      <c r="R815" s="10"/>
      <c r="S815" s="10"/>
      <c r="T815" s="10"/>
      <c r="U815" s="10"/>
      <c r="V815" s="10"/>
      <c r="W815" s="10"/>
      <c r="X815" s="10"/>
      <c r="Y815" s="10"/>
      <c r="Z815" s="10"/>
    </row>
    <row r="816" spans="1:26" ht="20" customHeight="1" x14ac:dyDescent="0.15">
      <c r="A816" s="8"/>
      <c r="B816" s="9"/>
      <c r="C816" s="17"/>
      <c r="D816" s="10"/>
      <c r="E816" s="10"/>
      <c r="F816" s="11"/>
      <c r="G816" s="10"/>
      <c r="H816" s="10"/>
      <c r="I816" s="10"/>
      <c r="J816" s="10"/>
      <c r="K816" s="10"/>
      <c r="L816" s="10"/>
      <c r="M816" s="10"/>
      <c r="N816" s="10"/>
      <c r="O816" s="10"/>
      <c r="P816" s="10"/>
      <c r="Q816" s="10"/>
      <c r="R816" s="10"/>
      <c r="S816" s="10"/>
      <c r="T816" s="10"/>
      <c r="U816" s="10"/>
      <c r="V816" s="10"/>
      <c r="W816" s="10"/>
      <c r="X816" s="10"/>
      <c r="Y816" s="10"/>
      <c r="Z816" s="10"/>
    </row>
    <row r="817" spans="1:26" ht="20" customHeight="1" x14ac:dyDescent="0.15">
      <c r="A817" s="8"/>
      <c r="B817" s="9"/>
      <c r="C817" s="17"/>
      <c r="D817" s="10"/>
      <c r="E817" s="10"/>
      <c r="F817" s="11"/>
      <c r="G817" s="10"/>
      <c r="H817" s="10"/>
      <c r="I817" s="10"/>
      <c r="J817" s="10"/>
      <c r="K817" s="10"/>
      <c r="L817" s="10"/>
      <c r="M817" s="10"/>
      <c r="N817" s="10"/>
      <c r="O817" s="10"/>
      <c r="P817" s="10"/>
      <c r="Q817" s="10"/>
      <c r="R817" s="10"/>
      <c r="S817" s="10"/>
      <c r="T817" s="10"/>
      <c r="U817" s="10"/>
      <c r="V817" s="10"/>
      <c r="W817" s="10"/>
      <c r="X817" s="10"/>
      <c r="Y817" s="10"/>
      <c r="Z817" s="10"/>
    </row>
    <row r="818" spans="1:26" ht="20" customHeight="1" x14ac:dyDescent="0.15">
      <c r="A818" s="8"/>
      <c r="B818" s="9"/>
      <c r="C818" s="17"/>
      <c r="D818" s="10"/>
      <c r="E818" s="10"/>
      <c r="F818" s="11"/>
      <c r="G818" s="10"/>
      <c r="H818" s="10"/>
      <c r="I818" s="10"/>
      <c r="J818" s="10"/>
      <c r="K818" s="10"/>
      <c r="L818" s="10"/>
      <c r="M818" s="10"/>
      <c r="N818" s="10"/>
      <c r="O818" s="10"/>
      <c r="P818" s="10"/>
      <c r="Q818" s="10"/>
      <c r="R818" s="10"/>
      <c r="S818" s="10"/>
      <c r="T818" s="10"/>
      <c r="U818" s="10"/>
      <c r="V818" s="10"/>
      <c r="W818" s="10"/>
      <c r="X818" s="10"/>
      <c r="Y818" s="10"/>
      <c r="Z818" s="10"/>
    </row>
    <row r="819" spans="1:26" ht="20" customHeight="1" x14ac:dyDescent="0.15">
      <c r="A819" s="8"/>
      <c r="B819" s="9"/>
      <c r="C819" s="17"/>
      <c r="D819" s="10"/>
      <c r="E819" s="10"/>
      <c r="F819" s="11"/>
      <c r="G819" s="10"/>
      <c r="H819" s="10"/>
      <c r="I819" s="10"/>
      <c r="J819" s="10"/>
      <c r="K819" s="10"/>
      <c r="L819" s="10"/>
      <c r="M819" s="10"/>
      <c r="N819" s="10"/>
      <c r="O819" s="10"/>
      <c r="P819" s="10"/>
      <c r="Q819" s="10"/>
      <c r="R819" s="10"/>
      <c r="S819" s="10"/>
      <c r="T819" s="10"/>
      <c r="U819" s="10"/>
      <c r="V819" s="10"/>
      <c r="W819" s="10"/>
      <c r="X819" s="10"/>
      <c r="Y819" s="10"/>
      <c r="Z819" s="10"/>
    </row>
    <row r="820" spans="1:26" ht="20" customHeight="1" x14ac:dyDescent="0.15">
      <c r="A820" s="8"/>
      <c r="B820" s="9"/>
      <c r="C820" s="17"/>
      <c r="D820" s="10"/>
      <c r="E820" s="10"/>
      <c r="F820" s="11"/>
      <c r="G820" s="10"/>
      <c r="H820" s="10"/>
      <c r="I820" s="10"/>
      <c r="J820" s="10"/>
      <c r="K820" s="10"/>
      <c r="L820" s="10"/>
      <c r="M820" s="10"/>
      <c r="N820" s="10"/>
      <c r="O820" s="10"/>
      <c r="P820" s="10"/>
      <c r="Q820" s="10"/>
      <c r="R820" s="10"/>
      <c r="S820" s="10"/>
      <c r="T820" s="10"/>
      <c r="U820" s="10"/>
      <c r="V820" s="10"/>
      <c r="W820" s="10"/>
      <c r="X820" s="10"/>
      <c r="Y820" s="10"/>
      <c r="Z820" s="10"/>
    </row>
    <row r="821" spans="1:26" ht="20" customHeight="1" x14ac:dyDescent="0.15">
      <c r="A821" s="8"/>
      <c r="B821" s="9"/>
      <c r="C821" s="17"/>
      <c r="D821" s="10"/>
      <c r="E821" s="10"/>
      <c r="F821" s="11"/>
      <c r="G821" s="10"/>
      <c r="H821" s="10"/>
      <c r="I821" s="10"/>
      <c r="J821" s="10"/>
      <c r="K821" s="10"/>
      <c r="L821" s="10"/>
      <c r="M821" s="10"/>
      <c r="N821" s="10"/>
      <c r="O821" s="10"/>
      <c r="P821" s="10"/>
      <c r="Q821" s="10"/>
      <c r="R821" s="10"/>
      <c r="S821" s="10"/>
      <c r="T821" s="10"/>
      <c r="U821" s="10"/>
      <c r="V821" s="10"/>
      <c r="W821" s="10"/>
      <c r="X821" s="10"/>
      <c r="Y821" s="10"/>
      <c r="Z821" s="10"/>
    </row>
    <row r="822" spans="1:26" ht="20" customHeight="1" x14ac:dyDescent="0.15">
      <c r="A822" s="8"/>
      <c r="B822" s="9"/>
      <c r="C822" s="17"/>
      <c r="D822" s="10"/>
      <c r="E822" s="10"/>
      <c r="F822" s="11"/>
      <c r="G822" s="10"/>
      <c r="H822" s="10"/>
      <c r="I822" s="10"/>
      <c r="J822" s="10"/>
      <c r="K822" s="10"/>
      <c r="L822" s="10"/>
      <c r="M822" s="10"/>
      <c r="N822" s="10"/>
      <c r="O822" s="10"/>
      <c r="P822" s="10"/>
      <c r="Q822" s="10"/>
      <c r="R822" s="10"/>
      <c r="S822" s="10"/>
      <c r="T822" s="10"/>
      <c r="U822" s="10"/>
      <c r="V822" s="10"/>
      <c r="W822" s="10"/>
      <c r="X822" s="10"/>
      <c r="Y822" s="10"/>
      <c r="Z822" s="10"/>
    </row>
    <row r="823" spans="1:26" ht="20" customHeight="1" x14ac:dyDescent="0.15">
      <c r="A823" s="8"/>
      <c r="B823" s="9"/>
      <c r="C823" s="17"/>
      <c r="D823" s="10"/>
      <c r="E823" s="10"/>
      <c r="F823" s="11"/>
      <c r="G823" s="10"/>
      <c r="H823" s="10"/>
      <c r="I823" s="10"/>
      <c r="J823" s="10"/>
      <c r="K823" s="10"/>
      <c r="L823" s="10"/>
      <c r="M823" s="10"/>
      <c r="N823" s="10"/>
      <c r="O823" s="10"/>
      <c r="P823" s="10"/>
      <c r="Q823" s="10"/>
      <c r="R823" s="10"/>
      <c r="S823" s="10"/>
      <c r="T823" s="10"/>
      <c r="U823" s="10"/>
      <c r="V823" s="10"/>
      <c r="W823" s="10"/>
      <c r="X823" s="10"/>
      <c r="Y823" s="10"/>
      <c r="Z823" s="10"/>
    </row>
    <row r="824" spans="1:26" ht="20" customHeight="1" x14ac:dyDescent="0.15">
      <c r="A824" s="8"/>
      <c r="B824" s="9"/>
      <c r="C824" s="17"/>
      <c r="D824" s="10"/>
      <c r="E824" s="10"/>
      <c r="F824" s="11"/>
      <c r="G824" s="10"/>
      <c r="H824" s="10"/>
      <c r="I824" s="10"/>
      <c r="J824" s="10"/>
      <c r="K824" s="10"/>
      <c r="L824" s="10"/>
      <c r="M824" s="10"/>
      <c r="N824" s="10"/>
      <c r="O824" s="10"/>
      <c r="P824" s="10"/>
      <c r="Q824" s="10"/>
      <c r="R824" s="10"/>
      <c r="S824" s="10"/>
      <c r="T824" s="10"/>
      <c r="U824" s="10"/>
      <c r="V824" s="10"/>
      <c r="W824" s="10"/>
      <c r="X824" s="10"/>
      <c r="Y824" s="10"/>
      <c r="Z824" s="10"/>
    </row>
    <row r="825" spans="1:26" ht="20" customHeight="1" x14ac:dyDescent="0.15">
      <c r="A825" s="8"/>
      <c r="B825" s="9"/>
      <c r="C825" s="17"/>
      <c r="D825" s="10"/>
      <c r="E825" s="10"/>
      <c r="F825" s="11"/>
      <c r="G825" s="10"/>
      <c r="H825" s="10"/>
      <c r="I825" s="10"/>
      <c r="J825" s="10"/>
      <c r="K825" s="10"/>
      <c r="L825" s="10"/>
      <c r="M825" s="10"/>
      <c r="N825" s="10"/>
      <c r="O825" s="10"/>
      <c r="P825" s="10"/>
      <c r="Q825" s="10"/>
      <c r="R825" s="10"/>
      <c r="S825" s="10"/>
      <c r="T825" s="10"/>
      <c r="U825" s="10"/>
      <c r="V825" s="10"/>
      <c r="W825" s="10"/>
      <c r="X825" s="10"/>
      <c r="Y825" s="10"/>
      <c r="Z825" s="10"/>
    </row>
    <row r="826" spans="1:26" ht="20" customHeight="1" x14ac:dyDescent="0.15">
      <c r="A826" s="8"/>
      <c r="B826" s="9"/>
      <c r="C826" s="17"/>
      <c r="D826" s="10"/>
      <c r="E826" s="10"/>
      <c r="F826" s="11"/>
      <c r="G826" s="10"/>
      <c r="H826" s="10"/>
      <c r="I826" s="10"/>
      <c r="J826" s="10"/>
      <c r="K826" s="10"/>
      <c r="L826" s="10"/>
      <c r="M826" s="10"/>
      <c r="N826" s="10"/>
      <c r="O826" s="10"/>
      <c r="P826" s="10"/>
      <c r="Q826" s="10"/>
      <c r="R826" s="10"/>
      <c r="S826" s="10"/>
      <c r="T826" s="10"/>
      <c r="U826" s="10"/>
      <c r="V826" s="10"/>
      <c r="W826" s="10"/>
      <c r="X826" s="10"/>
      <c r="Y826" s="10"/>
      <c r="Z826" s="10"/>
    </row>
    <row r="827" spans="1:26" ht="20" customHeight="1" x14ac:dyDescent="0.15">
      <c r="A827" s="8"/>
      <c r="B827" s="9"/>
      <c r="C827" s="17"/>
      <c r="D827" s="10"/>
      <c r="E827" s="10"/>
      <c r="F827" s="11"/>
      <c r="G827" s="10"/>
      <c r="H827" s="10"/>
      <c r="I827" s="10"/>
      <c r="J827" s="10"/>
      <c r="K827" s="10"/>
      <c r="L827" s="10"/>
      <c r="M827" s="10"/>
      <c r="N827" s="10"/>
      <c r="O827" s="10"/>
      <c r="P827" s="10"/>
      <c r="Q827" s="10"/>
      <c r="R827" s="10"/>
      <c r="S827" s="10"/>
      <c r="T827" s="10"/>
      <c r="U827" s="10"/>
      <c r="V827" s="10"/>
      <c r="W827" s="10"/>
      <c r="X827" s="10"/>
      <c r="Y827" s="10"/>
      <c r="Z827" s="10"/>
    </row>
    <row r="828" spans="1:26" ht="20" customHeight="1" x14ac:dyDescent="0.15">
      <c r="A828" s="8"/>
      <c r="B828" s="9"/>
      <c r="C828" s="17"/>
      <c r="D828" s="10"/>
      <c r="E828" s="10"/>
      <c r="F828" s="11"/>
      <c r="G828" s="10"/>
      <c r="H828" s="10"/>
      <c r="I828" s="10"/>
      <c r="J828" s="10"/>
      <c r="K828" s="10"/>
      <c r="L828" s="10"/>
      <c r="M828" s="10"/>
      <c r="N828" s="10"/>
      <c r="O828" s="10"/>
      <c r="P828" s="10"/>
      <c r="Q828" s="10"/>
      <c r="R828" s="10"/>
      <c r="S828" s="10"/>
      <c r="T828" s="10"/>
      <c r="U828" s="10"/>
      <c r="V828" s="10"/>
      <c r="W828" s="10"/>
      <c r="X828" s="10"/>
      <c r="Y828" s="10"/>
      <c r="Z828" s="10"/>
    </row>
    <row r="829" spans="1:26" ht="20" customHeight="1" x14ac:dyDescent="0.15">
      <c r="A829" s="8"/>
      <c r="B829" s="9"/>
      <c r="C829" s="17"/>
      <c r="D829" s="10"/>
      <c r="E829" s="10"/>
      <c r="F829" s="11"/>
      <c r="G829" s="10"/>
      <c r="H829" s="10"/>
      <c r="I829" s="10"/>
      <c r="J829" s="10"/>
      <c r="K829" s="10"/>
      <c r="L829" s="10"/>
      <c r="M829" s="10"/>
      <c r="N829" s="10"/>
      <c r="O829" s="10"/>
      <c r="P829" s="10"/>
      <c r="Q829" s="10"/>
      <c r="R829" s="10"/>
      <c r="S829" s="10"/>
      <c r="T829" s="10"/>
      <c r="U829" s="10"/>
      <c r="V829" s="10"/>
      <c r="W829" s="10"/>
      <c r="X829" s="10"/>
      <c r="Y829" s="10"/>
      <c r="Z829" s="10"/>
    </row>
    <row r="830" spans="1:26" ht="20" customHeight="1" x14ac:dyDescent="0.15">
      <c r="A830" s="8"/>
      <c r="B830" s="9"/>
      <c r="C830" s="17"/>
      <c r="D830" s="10"/>
      <c r="E830" s="10"/>
      <c r="F830" s="11"/>
      <c r="G830" s="10"/>
      <c r="H830" s="10"/>
      <c r="I830" s="10"/>
      <c r="J830" s="10"/>
      <c r="K830" s="10"/>
      <c r="L830" s="10"/>
      <c r="M830" s="10"/>
      <c r="N830" s="10"/>
      <c r="O830" s="10"/>
      <c r="P830" s="10"/>
      <c r="Q830" s="10"/>
      <c r="R830" s="10"/>
      <c r="S830" s="10"/>
      <c r="T830" s="10"/>
      <c r="U830" s="10"/>
      <c r="V830" s="10"/>
      <c r="W830" s="10"/>
      <c r="X830" s="10"/>
      <c r="Y830" s="10"/>
      <c r="Z830" s="10"/>
    </row>
    <row r="831" spans="1:26" ht="20" customHeight="1" x14ac:dyDescent="0.15">
      <c r="A831" s="8"/>
      <c r="B831" s="9"/>
      <c r="C831" s="17"/>
      <c r="D831" s="10"/>
      <c r="E831" s="10"/>
      <c r="F831" s="11"/>
      <c r="G831" s="10"/>
      <c r="H831" s="10"/>
      <c r="I831" s="10"/>
      <c r="J831" s="10"/>
      <c r="K831" s="10"/>
      <c r="L831" s="10"/>
      <c r="M831" s="10"/>
      <c r="N831" s="10"/>
      <c r="O831" s="10"/>
      <c r="P831" s="10"/>
      <c r="Q831" s="10"/>
      <c r="R831" s="10"/>
      <c r="S831" s="10"/>
      <c r="T831" s="10"/>
      <c r="U831" s="10"/>
      <c r="V831" s="10"/>
      <c r="W831" s="10"/>
      <c r="X831" s="10"/>
      <c r="Y831" s="10"/>
      <c r="Z831" s="10"/>
    </row>
    <row r="832" spans="1:26" ht="20" customHeight="1" x14ac:dyDescent="0.15">
      <c r="A832" s="8"/>
      <c r="B832" s="9"/>
      <c r="C832" s="17"/>
      <c r="D832" s="10"/>
      <c r="E832" s="10"/>
      <c r="F832" s="11"/>
      <c r="G832" s="10"/>
      <c r="H832" s="10"/>
      <c r="I832" s="10"/>
      <c r="J832" s="10"/>
      <c r="K832" s="10"/>
      <c r="L832" s="10"/>
      <c r="M832" s="10"/>
      <c r="N832" s="10"/>
      <c r="O832" s="10"/>
      <c r="P832" s="10"/>
      <c r="Q832" s="10"/>
      <c r="R832" s="10"/>
      <c r="S832" s="10"/>
      <c r="T832" s="10"/>
      <c r="U832" s="10"/>
      <c r="V832" s="10"/>
      <c r="W832" s="10"/>
      <c r="X832" s="10"/>
      <c r="Y832" s="10"/>
      <c r="Z832" s="10"/>
    </row>
    <row r="833" spans="1:26" ht="20" customHeight="1" x14ac:dyDescent="0.15">
      <c r="A833" s="8"/>
      <c r="B833" s="9"/>
      <c r="C833" s="17"/>
      <c r="D833" s="10"/>
      <c r="E833" s="10"/>
      <c r="F833" s="11"/>
      <c r="G833" s="10"/>
      <c r="H833" s="10"/>
      <c r="I833" s="10"/>
      <c r="J833" s="10"/>
      <c r="K833" s="10"/>
      <c r="L833" s="10"/>
      <c r="M833" s="10"/>
      <c r="N833" s="10"/>
      <c r="O833" s="10"/>
      <c r="P833" s="10"/>
      <c r="Q833" s="10"/>
      <c r="R833" s="10"/>
      <c r="S833" s="10"/>
      <c r="T833" s="10"/>
      <c r="U833" s="10"/>
      <c r="V833" s="10"/>
      <c r="W833" s="10"/>
      <c r="X833" s="10"/>
      <c r="Y833" s="10"/>
      <c r="Z833" s="10"/>
    </row>
    <row r="834" spans="1:26" ht="20" customHeight="1" x14ac:dyDescent="0.15">
      <c r="A834" s="8"/>
      <c r="B834" s="9"/>
      <c r="C834" s="17"/>
      <c r="D834" s="10"/>
      <c r="E834" s="10"/>
      <c r="F834" s="11"/>
      <c r="G834" s="10"/>
      <c r="H834" s="10"/>
      <c r="I834" s="10"/>
      <c r="J834" s="10"/>
      <c r="K834" s="10"/>
      <c r="L834" s="10"/>
      <c r="M834" s="10"/>
      <c r="N834" s="10"/>
      <c r="O834" s="10"/>
      <c r="P834" s="10"/>
      <c r="Q834" s="10"/>
      <c r="R834" s="10"/>
      <c r="S834" s="10"/>
      <c r="T834" s="10"/>
      <c r="U834" s="10"/>
      <c r="V834" s="10"/>
      <c r="W834" s="10"/>
      <c r="X834" s="10"/>
      <c r="Y834" s="10"/>
      <c r="Z834" s="10"/>
    </row>
    <row r="835" spans="1:26" ht="20" customHeight="1" x14ac:dyDescent="0.15">
      <c r="A835" s="8"/>
      <c r="B835" s="9"/>
      <c r="C835" s="17"/>
      <c r="D835" s="10"/>
      <c r="E835" s="10"/>
      <c r="F835" s="11"/>
      <c r="G835" s="10"/>
      <c r="H835" s="10"/>
      <c r="I835" s="10"/>
      <c r="J835" s="10"/>
      <c r="K835" s="10"/>
      <c r="L835" s="10"/>
      <c r="M835" s="10"/>
      <c r="N835" s="10"/>
      <c r="O835" s="10"/>
      <c r="P835" s="10"/>
      <c r="Q835" s="10"/>
      <c r="R835" s="10"/>
      <c r="S835" s="10"/>
      <c r="T835" s="10"/>
      <c r="U835" s="10"/>
      <c r="V835" s="10"/>
      <c r="W835" s="10"/>
      <c r="X835" s="10"/>
      <c r="Y835" s="10"/>
      <c r="Z835" s="10"/>
    </row>
    <row r="836" spans="1:26" ht="20" customHeight="1" x14ac:dyDescent="0.15">
      <c r="A836" s="8"/>
      <c r="B836" s="9"/>
      <c r="C836" s="17"/>
      <c r="D836" s="10"/>
      <c r="E836" s="10"/>
      <c r="F836" s="11"/>
      <c r="G836" s="10"/>
      <c r="H836" s="10"/>
      <c r="I836" s="10"/>
      <c r="J836" s="10"/>
      <c r="K836" s="10"/>
      <c r="L836" s="10"/>
      <c r="M836" s="10"/>
      <c r="N836" s="10"/>
      <c r="O836" s="10"/>
      <c r="P836" s="10"/>
      <c r="Q836" s="10"/>
      <c r="R836" s="10"/>
      <c r="S836" s="10"/>
      <c r="T836" s="10"/>
      <c r="U836" s="10"/>
      <c r="V836" s="10"/>
      <c r="W836" s="10"/>
      <c r="X836" s="10"/>
      <c r="Y836" s="10"/>
      <c r="Z836" s="10"/>
    </row>
    <row r="837" spans="1:26" ht="20" customHeight="1" x14ac:dyDescent="0.15">
      <c r="A837" s="8"/>
      <c r="B837" s="9"/>
      <c r="C837" s="17"/>
      <c r="D837" s="10"/>
      <c r="E837" s="10"/>
      <c r="F837" s="11"/>
      <c r="G837" s="10"/>
      <c r="H837" s="10"/>
      <c r="I837" s="10"/>
      <c r="J837" s="10"/>
      <c r="K837" s="10"/>
      <c r="L837" s="10"/>
      <c r="M837" s="10"/>
      <c r="N837" s="10"/>
      <c r="O837" s="10"/>
      <c r="P837" s="10"/>
      <c r="Q837" s="10"/>
      <c r="R837" s="10"/>
      <c r="S837" s="10"/>
      <c r="T837" s="10"/>
      <c r="U837" s="10"/>
      <c r="V837" s="10"/>
      <c r="W837" s="10"/>
      <c r="X837" s="10"/>
      <c r="Y837" s="10"/>
      <c r="Z837" s="10"/>
    </row>
    <row r="838" spans="1:26" ht="20" customHeight="1" x14ac:dyDescent="0.15">
      <c r="A838" s="8"/>
      <c r="B838" s="9"/>
      <c r="C838" s="17"/>
      <c r="D838" s="10"/>
      <c r="E838" s="10"/>
      <c r="F838" s="11"/>
      <c r="G838" s="10"/>
      <c r="H838" s="10"/>
      <c r="I838" s="10"/>
      <c r="J838" s="10"/>
      <c r="K838" s="10"/>
      <c r="L838" s="10"/>
      <c r="M838" s="10"/>
      <c r="N838" s="10"/>
      <c r="O838" s="10"/>
      <c r="P838" s="10"/>
      <c r="Q838" s="10"/>
      <c r="R838" s="10"/>
      <c r="S838" s="10"/>
      <c r="T838" s="10"/>
      <c r="U838" s="10"/>
      <c r="V838" s="10"/>
      <c r="W838" s="10"/>
      <c r="X838" s="10"/>
      <c r="Y838" s="10"/>
      <c r="Z838" s="10"/>
    </row>
    <row r="839" spans="1:26" ht="20" customHeight="1" x14ac:dyDescent="0.15">
      <c r="A839" s="8"/>
      <c r="B839" s="9"/>
      <c r="C839" s="17"/>
      <c r="D839" s="10"/>
      <c r="E839" s="10"/>
      <c r="F839" s="11"/>
      <c r="G839" s="10"/>
      <c r="H839" s="10"/>
      <c r="I839" s="10"/>
      <c r="J839" s="10"/>
      <c r="K839" s="10"/>
      <c r="L839" s="10"/>
      <c r="M839" s="10"/>
      <c r="N839" s="10"/>
      <c r="O839" s="10"/>
      <c r="P839" s="10"/>
      <c r="Q839" s="10"/>
      <c r="R839" s="10"/>
      <c r="S839" s="10"/>
      <c r="T839" s="10"/>
      <c r="U839" s="10"/>
      <c r="V839" s="10"/>
      <c r="W839" s="10"/>
      <c r="X839" s="10"/>
      <c r="Y839" s="10"/>
      <c r="Z839" s="10"/>
    </row>
    <row r="840" spans="1:26" ht="20" customHeight="1" x14ac:dyDescent="0.15">
      <c r="A840" s="8"/>
      <c r="B840" s="9"/>
      <c r="C840" s="17"/>
      <c r="D840" s="10"/>
      <c r="E840" s="10"/>
      <c r="F840" s="11"/>
      <c r="G840" s="10"/>
      <c r="H840" s="10"/>
      <c r="I840" s="10"/>
      <c r="J840" s="10"/>
      <c r="K840" s="10"/>
      <c r="L840" s="10"/>
      <c r="M840" s="10"/>
      <c r="N840" s="10"/>
      <c r="O840" s="10"/>
      <c r="P840" s="10"/>
      <c r="Q840" s="10"/>
      <c r="R840" s="10"/>
      <c r="S840" s="10"/>
      <c r="T840" s="10"/>
      <c r="U840" s="10"/>
      <c r="V840" s="10"/>
      <c r="W840" s="10"/>
      <c r="X840" s="10"/>
      <c r="Y840" s="10"/>
      <c r="Z840" s="10"/>
    </row>
    <row r="841" spans="1:26" ht="20" customHeight="1" x14ac:dyDescent="0.15">
      <c r="A841" s="8"/>
      <c r="B841" s="9"/>
      <c r="C841" s="17"/>
      <c r="D841" s="10"/>
      <c r="E841" s="10"/>
      <c r="F841" s="11"/>
      <c r="G841" s="10"/>
      <c r="H841" s="10"/>
      <c r="I841" s="10"/>
      <c r="J841" s="10"/>
      <c r="K841" s="10"/>
      <c r="L841" s="10"/>
      <c r="M841" s="10"/>
      <c r="N841" s="10"/>
      <c r="O841" s="10"/>
      <c r="P841" s="10"/>
      <c r="Q841" s="10"/>
      <c r="R841" s="10"/>
      <c r="S841" s="10"/>
      <c r="T841" s="10"/>
      <c r="U841" s="10"/>
      <c r="V841" s="10"/>
      <c r="W841" s="10"/>
      <c r="X841" s="10"/>
      <c r="Y841" s="10"/>
      <c r="Z841" s="10"/>
    </row>
    <row r="842" spans="1:26" ht="20" customHeight="1" x14ac:dyDescent="0.15">
      <c r="A842" s="8"/>
      <c r="B842" s="9"/>
      <c r="C842" s="17"/>
      <c r="D842" s="10"/>
      <c r="E842" s="10"/>
      <c r="F842" s="11"/>
      <c r="G842" s="10"/>
      <c r="H842" s="10"/>
      <c r="I842" s="10"/>
      <c r="J842" s="10"/>
      <c r="K842" s="10"/>
      <c r="L842" s="10"/>
      <c r="M842" s="10"/>
      <c r="N842" s="10"/>
      <c r="O842" s="10"/>
      <c r="P842" s="10"/>
      <c r="Q842" s="10"/>
      <c r="R842" s="10"/>
      <c r="S842" s="10"/>
      <c r="T842" s="10"/>
      <c r="U842" s="10"/>
      <c r="V842" s="10"/>
      <c r="W842" s="10"/>
      <c r="X842" s="10"/>
      <c r="Y842" s="10"/>
      <c r="Z842" s="10"/>
    </row>
    <row r="843" spans="1:26" ht="20" customHeight="1" x14ac:dyDescent="0.15">
      <c r="A843" s="8"/>
      <c r="B843" s="9"/>
      <c r="C843" s="17"/>
      <c r="D843" s="10"/>
      <c r="E843" s="10"/>
      <c r="F843" s="11"/>
      <c r="G843" s="10"/>
      <c r="H843" s="10"/>
      <c r="I843" s="10"/>
      <c r="J843" s="10"/>
      <c r="K843" s="10"/>
      <c r="L843" s="10"/>
      <c r="M843" s="10"/>
      <c r="N843" s="10"/>
      <c r="O843" s="10"/>
      <c r="P843" s="10"/>
      <c r="Q843" s="10"/>
      <c r="R843" s="10"/>
      <c r="S843" s="10"/>
      <c r="T843" s="10"/>
      <c r="U843" s="10"/>
      <c r="V843" s="10"/>
      <c r="W843" s="10"/>
      <c r="X843" s="10"/>
      <c r="Y843" s="10"/>
      <c r="Z843" s="10"/>
    </row>
    <row r="844" spans="1:26" ht="20" customHeight="1" x14ac:dyDescent="0.15">
      <c r="A844" s="8"/>
      <c r="B844" s="9"/>
      <c r="C844" s="17"/>
      <c r="D844" s="10"/>
      <c r="E844" s="10"/>
      <c r="F844" s="11"/>
      <c r="G844" s="10"/>
      <c r="H844" s="10"/>
      <c r="I844" s="10"/>
      <c r="J844" s="10"/>
      <c r="K844" s="10"/>
      <c r="L844" s="10"/>
      <c r="M844" s="10"/>
      <c r="N844" s="10"/>
      <c r="O844" s="10"/>
      <c r="P844" s="10"/>
      <c r="Q844" s="10"/>
      <c r="R844" s="10"/>
      <c r="S844" s="10"/>
      <c r="T844" s="10"/>
      <c r="U844" s="10"/>
      <c r="V844" s="10"/>
      <c r="W844" s="10"/>
      <c r="X844" s="10"/>
      <c r="Y844" s="10"/>
      <c r="Z844" s="10"/>
    </row>
    <row r="845" spans="1:26" ht="20" customHeight="1" x14ac:dyDescent="0.15">
      <c r="A845" s="8"/>
      <c r="B845" s="9"/>
      <c r="C845" s="17"/>
      <c r="D845" s="10"/>
      <c r="E845" s="10"/>
      <c r="F845" s="11"/>
      <c r="G845" s="10"/>
      <c r="H845" s="10"/>
      <c r="I845" s="10"/>
      <c r="J845" s="10"/>
      <c r="K845" s="10"/>
      <c r="L845" s="10"/>
      <c r="M845" s="10"/>
      <c r="N845" s="10"/>
      <c r="O845" s="10"/>
      <c r="P845" s="10"/>
      <c r="Q845" s="10"/>
      <c r="R845" s="10"/>
      <c r="S845" s="10"/>
      <c r="T845" s="10"/>
      <c r="U845" s="10"/>
      <c r="V845" s="10"/>
      <c r="W845" s="10"/>
      <c r="X845" s="10"/>
      <c r="Y845" s="10"/>
      <c r="Z845" s="10"/>
    </row>
    <row r="846" spans="1:26" ht="20" customHeight="1" x14ac:dyDescent="0.15">
      <c r="A846" s="8"/>
      <c r="B846" s="9"/>
      <c r="C846" s="17"/>
      <c r="D846" s="10"/>
      <c r="E846" s="10"/>
      <c r="F846" s="11"/>
      <c r="G846" s="10"/>
      <c r="H846" s="10"/>
      <c r="I846" s="10"/>
      <c r="J846" s="10"/>
      <c r="K846" s="10"/>
      <c r="L846" s="10"/>
      <c r="M846" s="10"/>
      <c r="N846" s="10"/>
      <c r="O846" s="10"/>
      <c r="P846" s="10"/>
      <c r="Q846" s="10"/>
      <c r="R846" s="10"/>
      <c r="S846" s="10"/>
      <c r="T846" s="10"/>
      <c r="U846" s="10"/>
      <c r="V846" s="10"/>
      <c r="W846" s="10"/>
      <c r="X846" s="10"/>
      <c r="Y846" s="10"/>
      <c r="Z846" s="10"/>
    </row>
    <row r="847" spans="1:26" ht="20" customHeight="1" x14ac:dyDescent="0.15">
      <c r="A847" s="8"/>
      <c r="B847" s="9"/>
      <c r="C847" s="17"/>
      <c r="D847" s="10"/>
      <c r="E847" s="10"/>
      <c r="F847" s="11"/>
      <c r="G847" s="10"/>
      <c r="H847" s="10"/>
      <c r="I847" s="10"/>
      <c r="J847" s="10"/>
      <c r="K847" s="10"/>
      <c r="L847" s="10"/>
      <c r="M847" s="10"/>
      <c r="N847" s="10"/>
      <c r="O847" s="10"/>
      <c r="P847" s="10"/>
      <c r="Q847" s="10"/>
      <c r="R847" s="10"/>
      <c r="S847" s="10"/>
      <c r="T847" s="10"/>
      <c r="U847" s="10"/>
      <c r="V847" s="10"/>
      <c r="W847" s="10"/>
      <c r="X847" s="10"/>
      <c r="Y847" s="10"/>
      <c r="Z847" s="10"/>
    </row>
    <row r="848" spans="1:26" ht="20" customHeight="1" x14ac:dyDescent="0.15">
      <c r="A848" s="8"/>
      <c r="B848" s="9"/>
      <c r="C848" s="17"/>
      <c r="D848" s="10"/>
      <c r="E848" s="10"/>
      <c r="F848" s="11"/>
      <c r="G848" s="10"/>
      <c r="H848" s="10"/>
      <c r="I848" s="10"/>
      <c r="J848" s="10"/>
      <c r="K848" s="10"/>
      <c r="L848" s="10"/>
      <c r="M848" s="10"/>
      <c r="N848" s="10"/>
      <c r="O848" s="10"/>
      <c r="P848" s="10"/>
      <c r="Q848" s="10"/>
      <c r="R848" s="10"/>
      <c r="S848" s="10"/>
      <c r="T848" s="10"/>
      <c r="U848" s="10"/>
      <c r="V848" s="10"/>
      <c r="W848" s="10"/>
      <c r="X848" s="10"/>
      <c r="Y848" s="10"/>
      <c r="Z848" s="10"/>
    </row>
    <row r="849" spans="1:26" ht="20" customHeight="1" x14ac:dyDescent="0.15">
      <c r="A849" s="8"/>
      <c r="B849" s="9"/>
      <c r="C849" s="17"/>
      <c r="D849" s="10"/>
      <c r="E849" s="10"/>
      <c r="F849" s="11"/>
      <c r="G849" s="10"/>
      <c r="H849" s="10"/>
      <c r="I849" s="10"/>
      <c r="J849" s="10"/>
      <c r="K849" s="10"/>
      <c r="L849" s="10"/>
      <c r="M849" s="10"/>
      <c r="N849" s="10"/>
      <c r="O849" s="10"/>
      <c r="P849" s="10"/>
      <c r="Q849" s="10"/>
      <c r="R849" s="10"/>
      <c r="S849" s="10"/>
      <c r="T849" s="10"/>
      <c r="U849" s="10"/>
      <c r="V849" s="10"/>
      <c r="W849" s="10"/>
      <c r="X849" s="10"/>
      <c r="Y849" s="10"/>
      <c r="Z849" s="10"/>
    </row>
    <row r="850" spans="1:26" ht="20" customHeight="1" x14ac:dyDescent="0.15">
      <c r="A850" s="8"/>
      <c r="B850" s="9"/>
      <c r="C850" s="17"/>
      <c r="D850" s="10"/>
      <c r="E850" s="10"/>
      <c r="F850" s="11"/>
      <c r="G850" s="10"/>
      <c r="H850" s="10"/>
      <c r="I850" s="10"/>
      <c r="J850" s="10"/>
      <c r="K850" s="10"/>
      <c r="L850" s="10"/>
      <c r="M850" s="10"/>
      <c r="N850" s="10"/>
      <c r="O850" s="10"/>
      <c r="P850" s="10"/>
      <c r="Q850" s="10"/>
      <c r="R850" s="10"/>
      <c r="S850" s="10"/>
      <c r="T850" s="10"/>
      <c r="U850" s="10"/>
      <c r="V850" s="10"/>
      <c r="W850" s="10"/>
      <c r="X850" s="10"/>
      <c r="Y850" s="10"/>
      <c r="Z850" s="10"/>
    </row>
    <row r="851" spans="1:26" ht="20" customHeight="1" x14ac:dyDescent="0.15">
      <c r="A851" s="8"/>
      <c r="B851" s="9"/>
      <c r="C851" s="17"/>
      <c r="D851" s="10"/>
      <c r="E851" s="10"/>
      <c r="F851" s="11"/>
      <c r="G851" s="10"/>
      <c r="H851" s="10"/>
      <c r="I851" s="10"/>
      <c r="J851" s="10"/>
      <c r="K851" s="10"/>
      <c r="L851" s="10"/>
      <c r="M851" s="10"/>
      <c r="N851" s="10"/>
      <c r="O851" s="10"/>
      <c r="P851" s="10"/>
      <c r="Q851" s="10"/>
      <c r="R851" s="10"/>
      <c r="S851" s="10"/>
      <c r="T851" s="10"/>
      <c r="U851" s="10"/>
      <c r="V851" s="10"/>
      <c r="W851" s="10"/>
      <c r="X851" s="10"/>
      <c r="Y851" s="10"/>
      <c r="Z851" s="10"/>
    </row>
    <row r="852" spans="1:26" ht="20" customHeight="1" x14ac:dyDescent="0.15">
      <c r="A852" s="8"/>
      <c r="B852" s="9"/>
      <c r="C852" s="17"/>
      <c r="D852" s="10"/>
      <c r="E852" s="10"/>
      <c r="F852" s="11"/>
      <c r="G852" s="10"/>
      <c r="H852" s="10"/>
      <c r="I852" s="10"/>
      <c r="J852" s="10"/>
      <c r="K852" s="10"/>
      <c r="L852" s="10"/>
      <c r="M852" s="10"/>
      <c r="N852" s="10"/>
      <c r="O852" s="10"/>
      <c r="P852" s="10"/>
      <c r="Q852" s="10"/>
      <c r="R852" s="10"/>
      <c r="S852" s="10"/>
      <c r="T852" s="10"/>
      <c r="U852" s="10"/>
      <c r="V852" s="10"/>
      <c r="W852" s="10"/>
      <c r="X852" s="10"/>
      <c r="Y852" s="10"/>
      <c r="Z852" s="10"/>
    </row>
    <row r="853" spans="1:26" ht="20" customHeight="1" x14ac:dyDescent="0.15">
      <c r="A853" s="8"/>
      <c r="B853" s="9"/>
      <c r="C853" s="17"/>
      <c r="D853" s="10"/>
      <c r="E853" s="10"/>
      <c r="F853" s="11"/>
      <c r="G853" s="10"/>
      <c r="H853" s="10"/>
      <c r="I853" s="10"/>
      <c r="J853" s="10"/>
      <c r="K853" s="10"/>
      <c r="L853" s="10"/>
      <c r="M853" s="10"/>
      <c r="N853" s="10"/>
      <c r="O853" s="10"/>
      <c r="P853" s="10"/>
      <c r="Q853" s="10"/>
      <c r="R853" s="10"/>
      <c r="S853" s="10"/>
      <c r="T853" s="10"/>
      <c r="U853" s="10"/>
      <c r="V853" s="10"/>
      <c r="W853" s="10"/>
      <c r="X853" s="10"/>
      <c r="Y853" s="10"/>
      <c r="Z853" s="10"/>
    </row>
    <row r="854" spans="1:26" ht="20" customHeight="1" x14ac:dyDescent="0.15">
      <c r="A854" s="8"/>
      <c r="B854" s="9"/>
      <c r="C854" s="17"/>
      <c r="D854" s="10"/>
      <c r="E854" s="10"/>
      <c r="F854" s="11"/>
      <c r="G854" s="10"/>
      <c r="H854" s="10"/>
      <c r="I854" s="10"/>
      <c r="J854" s="10"/>
      <c r="K854" s="10"/>
      <c r="L854" s="10"/>
      <c r="M854" s="10"/>
      <c r="N854" s="10"/>
      <c r="O854" s="10"/>
      <c r="P854" s="10"/>
      <c r="Q854" s="10"/>
      <c r="R854" s="10"/>
      <c r="S854" s="10"/>
      <c r="T854" s="10"/>
      <c r="U854" s="10"/>
      <c r="V854" s="10"/>
      <c r="W854" s="10"/>
      <c r="X854" s="10"/>
      <c r="Y854" s="10"/>
      <c r="Z854" s="10"/>
    </row>
    <row r="855" spans="1:26" ht="20" customHeight="1" x14ac:dyDescent="0.15">
      <c r="A855" s="8"/>
      <c r="B855" s="9"/>
      <c r="C855" s="17"/>
      <c r="D855" s="10"/>
      <c r="E855" s="10"/>
      <c r="F855" s="11"/>
      <c r="G855" s="10"/>
      <c r="H855" s="10"/>
      <c r="I855" s="10"/>
      <c r="J855" s="10"/>
      <c r="K855" s="10"/>
      <c r="L855" s="10"/>
      <c r="M855" s="10"/>
      <c r="N855" s="10"/>
      <c r="O855" s="10"/>
      <c r="P855" s="10"/>
      <c r="Q855" s="10"/>
      <c r="R855" s="10"/>
      <c r="S855" s="10"/>
      <c r="T855" s="10"/>
      <c r="U855" s="10"/>
      <c r="V855" s="10"/>
      <c r="W855" s="10"/>
      <c r="X855" s="10"/>
      <c r="Y855" s="10"/>
      <c r="Z855" s="10"/>
    </row>
    <row r="856" spans="1:26" ht="20" customHeight="1" x14ac:dyDescent="0.15">
      <c r="A856" s="8"/>
      <c r="B856" s="9"/>
      <c r="C856" s="17"/>
      <c r="D856" s="10"/>
      <c r="E856" s="10"/>
      <c r="F856" s="11"/>
      <c r="G856" s="10"/>
      <c r="H856" s="10"/>
      <c r="I856" s="10"/>
      <c r="J856" s="10"/>
      <c r="K856" s="10"/>
      <c r="L856" s="10"/>
      <c r="M856" s="10"/>
      <c r="N856" s="10"/>
      <c r="O856" s="10"/>
      <c r="P856" s="10"/>
      <c r="Q856" s="10"/>
      <c r="R856" s="10"/>
      <c r="S856" s="10"/>
      <c r="T856" s="10"/>
      <c r="U856" s="10"/>
      <c r="V856" s="10"/>
      <c r="W856" s="10"/>
      <c r="X856" s="10"/>
      <c r="Y856" s="10"/>
      <c r="Z856" s="10"/>
    </row>
    <row r="857" spans="1:26" ht="20" customHeight="1" x14ac:dyDescent="0.15">
      <c r="A857" s="8"/>
      <c r="B857" s="9"/>
      <c r="C857" s="17"/>
      <c r="D857" s="10"/>
      <c r="E857" s="10"/>
      <c r="F857" s="11"/>
      <c r="G857" s="10"/>
      <c r="H857" s="10"/>
      <c r="I857" s="10"/>
      <c r="J857" s="10"/>
      <c r="K857" s="10"/>
      <c r="L857" s="10"/>
      <c r="M857" s="10"/>
      <c r="N857" s="10"/>
      <c r="O857" s="10"/>
      <c r="P857" s="10"/>
      <c r="Q857" s="10"/>
      <c r="R857" s="10"/>
      <c r="S857" s="10"/>
      <c r="T857" s="10"/>
      <c r="U857" s="10"/>
      <c r="V857" s="10"/>
      <c r="W857" s="10"/>
      <c r="X857" s="10"/>
      <c r="Y857" s="10"/>
      <c r="Z857" s="10"/>
    </row>
    <row r="858" spans="1:26" ht="20" customHeight="1" x14ac:dyDescent="0.15">
      <c r="A858" s="8"/>
      <c r="B858" s="9"/>
      <c r="C858" s="17"/>
      <c r="D858" s="10"/>
      <c r="E858" s="10"/>
      <c r="F858" s="11"/>
      <c r="G858" s="10"/>
      <c r="H858" s="10"/>
      <c r="I858" s="10"/>
      <c r="J858" s="10"/>
      <c r="K858" s="10"/>
      <c r="L858" s="10"/>
      <c r="M858" s="10"/>
      <c r="N858" s="10"/>
      <c r="O858" s="10"/>
      <c r="P858" s="10"/>
      <c r="Q858" s="10"/>
      <c r="R858" s="10"/>
      <c r="S858" s="10"/>
      <c r="T858" s="10"/>
      <c r="U858" s="10"/>
      <c r="V858" s="10"/>
      <c r="W858" s="10"/>
      <c r="X858" s="10"/>
      <c r="Y858" s="10"/>
      <c r="Z858" s="10"/>
    </row>
    <row r="859" spans="1:26" ht="20" customHeight="1" x14ac:dyDescent="0.15">
      <c r="A859" s="8"/>
      <c r="B859" s="9"/>
      <c r="C859" s="17"/>
      <c r="D859" s="10"/>
      <c r="E859" s="10"/>
      <c r="F859" s="11"/>
      <c r="G859" s="10"/>
      <c r="H859" s="10"/>
      <c r="I859" s="10"/>
      <c r="J859" s="10"/>
      <c r="K859" s="10"/>
      <c r="L859" s="10"/>
      <c r="M859" s="10"/>
      <c r="N859" s="10"/>
      <c r="O859" s="10"/>
      <c r="P859" s="10"/>
      <c r="Q859" s="10"/>
      <c r="R859" s="10"/>
      <c r="S859" s="10"/>
      <c r="T859" s="10"/>
      <c r="U859" s="10"/>
      <c r="V859" s="10"/>
      <c r="W859" s="10"/>
      <c r="X859" s="10"/>
      <c r="Y859" s="10"/>
      <c r="Z859" s="10"/>
    </row>
    <row r="860" spans="1:26" ht="20" customHeight="1" x14ac:dyDescent="0.15">
      <c r="A860" s="8"/>
      <c r="B860" s="9"/>
      <c r="C860" s="17"/>
      <c r="D860" s="10"/>
      <c r="E860" s="10"/>
      <c r="F860" s="11"/>
      <c r="G860" s="10"/>
      <c r="H860" s="10"/>
      <c r="I860" s="10"/>
      <c r="J860" s="10"/>
      <c r="K860" s="10"/>
      <c r="L860" s="10"/>
      <c r="M860" s="10"/>
      <c r="N860" s="10"/>
      <c r="O860" s="10"/>
      <c r="P860" s="10"/>
      <c r="Q860" s="10"/>
      <c r="R860" s="10"/>
      <c r="S860" s="10"/>
      <c r="T860" s="10"/>
      <c r="U860" s="10"/>
      <c r="V860" s="10"/>
      <c r="W860" s="10"/>
      <c r="X860" s="10"/>
      <c r="Y860" s="10"/>
      <c r="Z860" s="10"/>
    </row>
    <row r="861" spans="1:26" ht="20" customHeight="1" x14ac:dyDescent="0.15">
      <c r="A861" s="8"/>
      <c r="B861" s="9"/>
      <c r="C861" s="17"/>
      <c r="D861" s="10"/>
      <c r="E861" s="10"/>
      <c r="F861" s="11"/>
      <c r="G861" s="10"/>
      <c r="H861" s="10"/>
      <c r="I861" s="10"/>
      <c r="J861" s="10"/>
      <c r="K861" s="10"/>
      <c r="L861" s="10"/>
      <c r="M861" s="10"/>
      <c r="N861" s="10"/>
      <c r="O861" s="10"/>
      <c r="P861" s="10"/>
      <c r="Q861" s="10"/>
      <c r="R861" s="10"/>
      <c r="S861" s="10"/>
      <c r="T861" s="10"/>
      <c r="U861" s="10"/>
      <c r="V861" s="10"/>
      <c r="W861" s="10"/>
      <c r="X861" s="10"/>
      <c r="Y861" s="10"/>
      <c r="Z861" s="10"/>
    </row>
    <row r="862" spans="1:26" ht="20" customHeight="1" x14ac:dyDescent="0.15">
      <c r="A862" s="8"/>
      <c r="B862" s="9"/>
      <c r="C862" s="17"/>
      <c r="D862" s="10"/>
      <c r="E862" s="10"/>
      <c r="F862" s="11"/>
      <c r="G862" s="10"/>
      <c r="H862" s="10"/>
      <c r="I862" s="10"/>
      <c r="J862" s="10"/>
      <c r="K862" s="10"/>
      <c r="L862" s="10"/>
      <c r="M862" s="10"/>
      <c r="N862" s="10"/>
      <c r="O862" s="10"/>
      <c r="P862" s="10"/>
      <c r="Q862" s="10"/>
      <c r="R862" s="10"/>
      <c r="S862" s="10"/>
      <c r="T862" s="10"/>
      <c r="U862" s="10"/>
      <c r="V862" s="10"/>
      <c r="W862" s="10"/>
      <c r="X862" s="10"/>
      <c r="Y862" s="10"/>
      <c r="Z862" s="10"/>
    </row>
    <row r="863" spans="1:26" ht="20" customHeight="1" x14ac:dyDescent="0.15">
      <c r="A863" s="8"/>
      <c r="B863" s="9"/>
      <c r="C863" s="17"/>
      <c r="D863" s="10"/>
      <c r="E863" s="10"/>
      <c r="F863" s="11"/>
      <c r="G863" s="10"/>
      <c r="H863" s="10"/>
      <c r="I863" s="10"/>
      <c r="J863" s="10"/>
      <c r="K863" s="10"/>
      <c r="L863" s="10"/>
      <c r="M863" s="10"/>
      <c r="N863" s="10"/>
      <c r="O863" s="10"/>
      <c r="P863" s="10"/>
      <c r="Q863" s="10"/>
      <c r="R863" s="10"/>
      <c r="S863" s="10"/>
      <c r="T863" s="10"/>
      <c r="U863" s="10"/>
      <c r="V863" s="10"/>
      <c r="W863" s="10"/>
      <c r="X863" s="10"/>
      <c r="Y863" s="10"/>
      <c r="Z863" s="10"/>
    </row>
    <row r="864" spans="1:26" ht="20" customHeight="1" x14ac:dyDescent="0.15">
      <c r="A864" s="8"/>
      <c r="B864" s="9"/>
      <c r="C864" s="17"/>
      <c r="D864" s="10"/>
      <c r="E864" s="10"/>
      <c r="F864" s="11"/>
      <c r="G864" s="10"/>
      <c r="H864" s="10"/>
      <c r="I864" s="10"/>
      <c r="J864" s="10"/>
      <c r="K864" s="10"/>
      <c r="L864" s="10"/>
      <c r="M864" s="10"/>
      <c r="N864" s="10"/>
      <c r="O864" s="10"/>
      <c r="P864" s="10"/>
      <c r="Q864" s="10"/>
      <c r="R864" s="10"/>
      <c r="S864" s="10"/>
      <c r="T864" s="10"/>
      <c r="U864" s="10"/>
      <c r="V864" s="10"/>
      <c r="W864" s="10"/>
      <c r="X864" s="10"/>
      <c r="Y864" s="10"/>
      <c r="Z864" s="10"/>
    </row>
    <row r="865" spans="1:26" ht="20" customHeight="1" x14ac:dyDescent="0.15">
      <c r="A865" s="8"/>
      <c r="B865" s="9"/>
      <c r="C865" s="17"/>
      <c r="D865" s="10"/>
      <c r="E865" s="10"/>
      <c r="F865" s="11"/>
      <c r="G865" s="10"/>
      <c r="H865" s="10"/>
      <c r="I865" s="10"/>
      <c r="J865" s="10"/>
      <c r="K865" s="10"/>
      <c r="L865" s="10"/>
      <c r="M865" s="10"/>
      <c r="N865" s="10"/>
      <c r="O865" s="10"/>
      <c r="P865" s="10"/>
      <c r="Q865" s="10"/>
      <c r="R865" s="10"/>
      <c r="S865" s="10"/>
      <c r="T865" s="10"/>
      <c r="U865" s="10"/>
      <c r="V865" s="10"/>
      <c r="W865" s="10"/>
      <c r="X865" s="10"/>
      <c r="Y865" s="10"/>
      <c r="Z865" s="10"/>
    </row>
    <row r="866" spans="1:26" ht="20" customHeight="1" x14ac:dyDescent="0.15">
      <c r="A866" s="8"/>
      <c r="B866" s="9"/>
      <c r="C866" s="17"/>
      <c r="D866" s="10"/>
      <c r="E866" s="10"/>
      <c r="F866" s="11"/>
      <c r="G866" s="10"/>
      <c r="H866" s="10"/>
      <c r="I866" s="10"/>
      <c r="J866" s="10"/>
      <c r="K866" s="10"/>
      <c r="L866" s="10"/>
      <c r="M866" s="10"/>
      <c r="N866" s="10"/>
      <c r="O866" s="10"/>
      <c r="P866" s="10"/>
      <c r="Q866" s="10"/>
      <c r="R866" s="10"/>
      <c r="S866" s="10"/>
      <c r="T866" s="10"/>
      <c r="U866" s="10"/>
      <c r="V866" s="10"/>
      <c r="W866" s="10"/>
      <c r="X866" s="10"/>
      <c r="Y866" s="10"/>
      <c r="Z866" s="10"/>
    </row>
    <row r="867" spans="1:26" ht="20" customHeight="1" x14ac:dyDescent="0.15">
      <c r="A867" s="8"/>
      <c r="B867" s="9"/>
      <c r="C867" s="17"/>
      <c r="D867" s="10"/>
      <c r="E867" s="10"/>
      <c r="F867" s="11"/>
      <c r="G867" s="10"/>
      <c r="H867" s="10"/>
      <c r="I867" s="10"/>
      <c r="J867" s="10"/>
      <c r="K867" s="10"/>
      <c r="L867" s="10"/>
      <c r="M867" s="10"/>
      <c r="N867" s="10"/>
      <c r="O867" s="10"/>
      <c r="P867" s="10"/>
      <c r="Q867" s="10"/>
      <c r="R867" s="10"/>
      <c r="S867" s="10"/>
      <c r="T867" s="10"/>
      <c r="U867" s="10"/>
      <c r="V867" s="10"/>
      <c r="W867" s="10"/>
      <c r="X867" s="10"/>
      <c r="Y867" s="10"/>
      <c r="Z867" s="10"/>
    </row>
    <row r="868" spans="1:26" ht="20" customHeight="1" x14ac:dyDescent="0.15">
      <c r="A868" s="8"/>
      <c r="B868" s="9"/>
      <c r="C868" s="17"/>
      <c r="D868" s="10"/>
      <c r="E868" s="10"/>
      <c r="F868" s="11"/>
      <c r="G868" s="10"/>
      <c r="H868" s="10"/>
      <c r="I868" s="10"/>
      <c r="J868" s="10"/>
      <c r="K868" s="10"/>
      <c r="L868" s="10"/>
      <c r="M868" s="10"/>
      <c r="N868" s="10"/>
      <c r="O868" s="10"/>
      <c r="P868" s="10"/>
      <c r="Q868" s="10"/>
      <c r="R868" s="10"/>
      <c r="S868" s="10"/>
      <c r="T868" s="10"/>
      <c r="U868" s="10"/>
      <c r="V868" s="10"/>
      <c r="W868" s="10"/>
      <c r="X868" s="10"/>
      <c r="Y868" s="10"/>
      <c r="Z868" s="10"/>
    </row>
    <row r="869" spans="1:26" ht="20" customHeight="1" x14ac:dyDescent="0.15">
      <c r="A869" s="8"/>
      <c r="B869" s="9"/>
      <c r="C869" s="17"/>
      <c r="D869" s="10"/>
      <c r="E869" s="10"/>
      <c r="F869" s="11"/>
      <c r="G869" s="10"/>
      <c r="H869" s="10"/>
      <c r="I869" s="10"/>
      <c r="J869" s="10"/>
      <c r="K869" s="10"/>
      <c r="L869" s="10"/>
      <c r="M869" s="10"/>
      <c r="N869" s="10"/>
      <c r="O869" s="10"/>
      <c r="P869" s="10"/>
      <c r="Q869" s="10"/>
      <c r="R869" s="10"/>
      <c r="S869" s="10"/>
      <c r="T869" s="10"/>
      <c r="U869" s="10"/>
      <c r="V869" s="10"/>
      <c r="W869" s="10"/>
      <c r="X869" s="10"/>
      <c r="Y869" s="10"/>
      <c r="Z869" s="10"/>
    </row>
    <row r="870" spans="1:26" ht="20" customHeight="1" x14ac:dyDescent="0.15">
      <c r="A870" s="8"/>
      <c r="B870" s="9"/>
      <c r="C870" s="17"/>
      <c r="D870" s="10"/>
      <c r="E870" s="10"/>
      <c r="F870" s="11"/>
      <c r="G870" s="10"/>
      <c r="H870" s="10"/>
      <c r="I870" s="10"/>
      <c r="J870" s="10"/>
      <c r="K870" s="10"/>
      <c r="L870" s="10"/>
      <c r="M870" s="10"/>
      <c r="N870" s="10"/>
      <c r="O870" s="10"/>
      <c r="P870" s="10"/>
      <c r="Q870" s="10"/>
      <c r="R870" s="10"/>
      <c r="S870" s="10"/>
      <c r="T870" s="10"/>
      <c r="U870" s="10"/>
      <c r="V870" s="10"/>
      <c r="W870" s="10"/>
      <c r="X870" s="10"/>
      <c r="Y870" s="10"/>
      <c r="Z870" s="10"/>
    </row>
    <row r="871" spans="1:26" ht="20" customHeight="1" x14ac:dyDescent="0.15">
      <c r="A871" s="8"/>
      <c r="B871" s="9"/>
      <c r="C871" s="17"/>
      <c r="D871" s="10"/>
      <c r="E871" s="10"/>
      <c r="F871" s="11"/>
      <c r="G871" s="10"/>
      <c r="H871" s="10"/>
      <c r="I871" s="10"/>
      <c r="J871" s="10"/>
      <c r="K871" s="10"/>
      <c r="L871" s="10"/>
      <c r="M871" s="10"/>
      <c r="N871" s="10"/>
      <c r="O871" s="10"/>
      <c r="P871" s="10"/>
      <c r="Q871" s="10"/>
      <c r="R871" s="10"/>
      <c r="S871" s="10"/>
      <c r="T871" s="10"/>
      <c r="U871" s="10"/>
      <c r="V871" s="10"/>
      <c r="W871" s="10"/>
      <c r="X871" s="10"/>
      <c r="Y871" s="10"/>
      <c r="Z871" s="10"/>
    </row>
    <row r="872" spans="1:26" ht="20" customHeight="1" x14ac:dyDescent="0.15">
      <c r="A872" s="8"/>
      <c r="B872" s="9"/>
      <c r="C872" s="17"/>
      <c r="D872" s="10"/>
      <c r="E872" s="10"/>
      <c r="F872" s="11"/>
      <c r="G872" s="10"/>
      <c r="H872" s="10"/>
      <c r="I872" s="10"/>
      <c r="J872" s="10"/>
      <c r="K872" s="10"/>
      <c r="L872" s="10"/>
      <c r="M872" s="10"/>
      <c r="N872" s="10"/>
      <c r="O872" s="10"/>
      <c r="P872" s="10"/>
      <c r="Q872" s="10"/>
      <c r="R872" s="10"/>
      <c r="S872" s="10"/>
      <c r="T872" s="10"/>
      <c r="U872" s="10"/>
      <c r="V872" s="10"/>
      <c r="W872" s="10"/>
      <c r="X872" s="10"/>
      <c r="Y872" s="10"/>
      <c r="Z872" s="10"/>
    </row>
    <row r="873" spans="1:26" ht="20" customHeight="1" x14ac:dyDescent="0.15">
      <c r="A873" s="8"/>
      <c r="B873" s="9"/>
      <c r="C873" s="17"/>
      <c r="D873" s="10"/>
      <c r="E873" s="10"/>
      <c r="F873" s="11"/>
      <c r="G873" s="10"/>
      <c r="H873" s="10"/>
      <c r="I873" s="10"/>
      <c r="J873" s="10"/>
      <c r="K873" s="10"/>
      <c r="L873" s="10"/>
      <c r="M873" s="10"/>
      <c r="N873" s="10"/>
      <c r="O873" s="10"/>
      <c r="P873" s="10"/>
      <c r="Q873" s="10"/>
      <c r="R873" s="10"/>
      <c r="S873" s="10"/>
      <c r="T873" s="10"/>
      <c r="U873" s="10"/>
      <c r="V873" s="10"/>
      <c r="W873" s="10"/>
      <c r="X873" s="10"/>
      <c r="Y873" s="10"/>
      <c r="Z873" s="10"/>
    </row>
    <row r="874" spans="1:26" ht="20" customHeight="1" x14ac:dyDescent="0.15">
      <c r="A874" s="8"/>
      <c r="B874" s="9"/>
      <c r="C874" s="17"/>
      <c r="D874" s="10"/>
      <c r="E874" s="10"/>
      <c r="F874" s="11"/>
      <c r="G874" s="10"/>
      <c r="H874" s="10"/>
      <c r="I874" s="10"/>
      <c r="J874" s="10"/>
      <c r="K874" s="10"/>
      <c r="L874" s="10"/>
      <c r="M874" s="10"/>
      <c r="N874" s="10"/>
      <c r="O874" s="10"/>
      <c r="P874" s="10"/>
      <c r="Q874" s="10"/>
      <c r="R874" s="10"/>
      <c r="S874" s="10"/>
      <c r="T874" s="10"/>
      <c r="U874" s="10"/>
      <c r="V874" s="10"/>
      <c r="W874" s="10"/>
      <c r="X874" s="10"/>
      <c r="Y874" s="10"/>
      <c r="Z874" s="10"/>
    </row>
    <row r="875" spans="1:26" ht="20" customHeight="1" x14ac:dyDescent="0.15">
      <c r="A875" s="8"/>
      <c r="B875" s="9"/>
      <c r="C875" s="17"/>
      <c r="D875" s="10"/>
      <c r="E875" s="10"/>
      <c r="F875" s="11"/>
      <c r="G875" s="10"/>
      <c r="H875" s="10"/>
      <c r="I875" s="10"/>
      <c r="J875" s="10"/>
      <c r="K875" s="10"/>
      <c r="L875" s="10"/>
      <c r="M875" s="10"/>
      <c r="N875" s="10"/>
      <c r="O875" s="10"/>
      <c r="P875" s="10"/>
      <c r="Q875" s="10"/>
      <c r="R875" s="10"/>
      <c r="S875" s="10"/>
      <c r="T875" s="10"/>
      <c r="U875" s="10"/>
      <c r="V875" s="10"/>
      <c r="W875" s="10"/>
      <c r="X875" s="10"/>
      <c r="Y875" s="10"/>
      <c r="Z875" s="10"/>
    </row>
    <row r="876" spans="1:26" ht="20" customHeight="1" x14ac:dyDescent="0.15">
      <c r="A876" s="8"/>
      <c r="B876" s="9"/>
      <c r="C876" s="17"/>
      <c r="D876" s="10"/>
      <c r="E876" s="10"/>
      <c r="F876" s="11"/>
      <c r="G876" s="10"/>
      <c r="H876" s="10"/>
      <c r="I876" s="10"/>
      <c r="J876" s="10"/>
      <c r="K876" s="10"/>
      <c r="L876" s="10"/>
      <c r="M876" s="10"/>
      <c r="N876" s="10"/>
      <c r="O876" s="10"/>
      <c r="P876" s="10"/>
      <c r="Q876" s="10"/>
      <c r="R876" s="10"/>
      <c r="S876" s="10"/>
      <c r="T876" s="10"/>
      <c r="U876" s="10"/>
      <c r="V876" s="10"/>
      <c r="W876" s="10"/>
      <c r="X876" s="10"/>
      <c r="Y876" s="10"/>
      <c r="Z876" s="10"/>
    </row>
    <row r="877" spans="1:26" ht="20" customHeight="1" x14ac:dyDescent="0.15">
      <c r="A877" s="8"/>
      <c r="B877" s="9"/>
      <c r="C877" s="17"/>
      <c r="D877" s="10"/>
      <c r="E877" s="10"/>
      <c r="F877" s="11"/>
      <c r="G877" s="10"/>
      <c r="H877" s="10"/>
      <c r="I877" s="10"/>
      <c r="J877" s="10"/>
      <c r="K877" s="10"/>
      <c r="L877" s="10"/>
      <c r="M877" s="10"/>
      <c r="N877" s="10"/>
      <c r="O877" s="10"/>
      <c r="P877" s="10"/>
      <c r="Q877" s="10"/>
      <c r="R877" s="10"/>
      <c r="S877" s="10"/>
      <c r="T877" s="10"/>
      <c r="U877" s="10"/>
      <c r="V877" s="10"/>
      <c r="W877" s="10"/>
      <c r="X877" s="10"/>
      <c r="Y877" s="10"/>
      <c r="Z877" s="10"/>
    </row>
    <row r="878" spans="1:26" ht="20" customHeight="1" x14ac:dyDescent="0.15">
      <c r="A878" s="8"/>
      <c r="B878" s="9"/>
      <c r="C878" s="17"/>
      <c r="D878" s="10"/>
      <c r="E878" s="10"/>
      <c r="F878" s="11"/>
      <c r="G878" s="10"/>
      <c r="H878" s="10"/>
      <c r="I878" s="10"/>
      <c r="J878" s="10"/>
      <c r="K878" s="10"/>
      <c r="L878" s="10"/>
      <c r="M878" s="10"/>
      <c r="N878" s="10"/>
      <c r="O878" s="10"/>
      <c r="P878" s="10"/>
      <c r="Q878" s="10"/>
      <c r="R878" s="10"/>
      <c r="S878" s="10"/>
      <c r="T878" s="10"/>
      <c r="U878" s="10"/>
      <c r="V878" s="10"/>
      <c r="W878" s="10"/>
      <c r="X878" s="10"/>
      <c r="Y878" s="10"/>
      <c r="Z878" s="10"/>
    </row>
    <row r="879" spans="1:26" ht="20" customHeight="1" x14ac:dyDescent="0.15">
      <c r="A879" s="8"/>
      <c r="B879" s="9"/>
      <c r="C879" s="17"/>
      <c r="D879" s="10"/>
      <c r="E879" s="10"/>
      <c r="F879" s="11"/>
      <c r="G879" s="10"/>
      <c r="H879" s="10"/>
      <c r="I879" s="10"/>
      <c r="J879" s="10"/>
      <c r="K879" s="10"/>
      <c r="L879" s="10"/>
      <c r="M879" s="10"/>
      <c r="N879" s="10"/>
      <c r="O879" s="10"/>
      <c r="P879" s="10"/>
      <c r="Q879" s="10"/>
      <c r="R879" s="10"/>
      <c r="S879" s="10"/>
      <c r="T879" s="10"/>
      <c r="U879" s="10"/>
      <c r="V879" s="10"/>
      <c r="W879" s="10"/>
      <c r="X879" s="10"/>
      <c r="Y879" s="10"/>
      <c r="Z879" s="10"/>
    </row>
    <row r="880" spans="1:26" ht="20" customHeight="1" x14ac:dyDescent="0.15">
      <c r="A880" s="8"/>
      <c r="B880" s="9"/>
      <c r="C880" s="17"/>
      <c r="D880" s="10"/>
      <c r="E880" s="10"/>
      <c r="F880" s="11"/>
      <c r="G880" s="10"/>
      <c r="H880" s="10"/>
      <c r="I880" s="10"/>
      <c r="J880" s="10"/>
      <c r="K880" s="10"/>
      <c r="L880" s="10"/>
      <c r="M880" s="10"/>
      <c r="N880" s="10"/>
      <c r="O880" s="10"/>
      <c r="P880" s="10"/>
      <c r="Q880" s="10"/>
      <c r="R880" s="10"/>
      <c r="S880" s="10"/>
      <c r="T880" s="10"/>
      <c r="U880" s="10"/>
      <c r="V880" s="10"/>
      <c r="W880" s="10"/>
      <c r="X880" s="10"/>
      <c r="Y880" s="10"/>
      <c r="Z880" s="10"/>
    </row>
    <row r="881" spans="1:26" ht="20" customHeight="1" x14ac:dyDescent="0.15">
      <c r="A881" s="8"/>
      <c r="B881" s="9"/>
      <c r="C881" s="17"/>
      <c r="D881" s="10"/>
      <c r="E881" s="10"/>
      <c r="F881" s="11"/>
      <c r="G881" s="10"/>
      <c r="H881" s="10"/>
      <c r="I881" s="10"/>
      <c r="J881" s="10"/>
      <c r="K881" s="10"/>
      <c r="L881" s="10"/>
      <c r="M881" s="10"/>
      <c r="N881" s="10"/>
      <c r="O881" s="10"/>
      <c r="P881" s="10"/>
      <c r="Q881" s="10"/>
      <c r="R881" s="10"/>
      <c r="S881" s="10"/>
      <c r="T881" s="10"/>
      <c r="U881" s="10"/>
      <c r="V881" s="10"/>
      <c r="W881" s="10"/>
      <c r="X881" s="10"/>
      <c r="Y881" s="10"/>
      <c r="Z881" s="10"/>
    </row>
    <row r="882" spans="1:26" ht="20" customHeight="1" x14ac:dyDescent="0.15">
      <c r="A882" s="8"/>
      <c r="B882" s="9"/>
      <c r="C882" s="17"/>
      <c r="D882" s="10"/>
      <c r="E882" s="10"/>
      <c r="F882" s="11"/>
      <c r="G882" s="10"/>
      <c r="H882" s="10"/>
      <c r="I882" s="10"/>
      <c r="J882" s="10"/>
      <c r="K882" s="10"/>
      <c r="L882" s="10"/>
      <c r="M882" s="10"/>
      <c r="N882" s="10"/>
      <c r="O882" s="10"/>
      <c r="P882" s="10"/>
      <c r="Q882" s="10"/>
      <c r="R882" s="10"/>
      <c r="S882" s="10"/>
      <c r="T882" s="10"/>
      <c r="U882" s="10"/>
      <c r="V882" s="10"/>
      <c r="W882" s="10"/>
      <c r="X882" s="10"/>
      <c r="Y882" s="10"/>
      <c r="Z882" s="10"/>
    </row>
    <row r="883" spans="1:26" ht="20" customHeight="1" x14ac:dyDescent="0.15">
      <c r="A883" s="8"/>
      <c r="B883" s="9"/>
      <c r="C883" s="17"/>
      <c r="D883" s="10"/>
      <c r="E883" s="10"/>
      <c r="F883" s="11"/>
      <c r="G883" s="10"/>
      <c r="H883" s="10"/>
      <c r="I883" s="10"/>
      <c r="J883" s="10"/>
      <c r="K883" s="10"/>
      <c r="L883" s="10"/>
      <c r="M883" s="10"/>
      <c r="N883" s="10"/>
      <c r="O883" s="10"/>
      <c r="P883" s="10"/>
      <c r="Q883" s="10"/>
      <c r="R883" s="10"/>
      <c r="S883" s="10"/>
      <c r="T883" s="10"/>
      <c r="U883" s="10"/>
      <c r="V883" s="10"/>
      <c r="W883" s="10"/>
      <c r="X883" s="10"/>
      <c r="Y883" s="10"/>
      <c r="Z883" s="10"/>
    </row>
    <row r="884" spans="1:26" ht="20" customHeight="1" x14ac:dyDescent="0.15">
      <c r="A884" s="8"/>
      <c r="B884" s="9"/>
      <c r="C884" s="17"/>
      <c r="D884" s="10"/>
      <c r="E884" s="10"/>
      <c r="F884" s="11"/>
      <c r="G884" s="10"/>
      <c r="H884" s="10"/>
      <c r="I884" s="10"/>
      <c r="J884" s="10"/>
      <c r="K884" s="10"/>
      <c r="L884" s="10"/>
      <c r="M884" s="10"/>
      <c r="N884" s="10"/>
      <c r="O884" s="10"/>
      <c r="P884" s="10"/>
      <c r="Q884" s="10"/>
      <c r="R884" s="10"/>
      <c r="S884" s="10"/>
      <c r="T884" s="10"/>
      <c r="U884" s="10"/>
      <c r="V884" s="10"/>
      <c r="W884" s="10"/>
      <c r="X884" s="10"/>
      <c r="Y884" s="10"/>
      <c r="Z884" s="10"/>
    </row>
    <row r="885" spans="1:26" ht="20" customHeight="1" x14ac:dyDescent="0.15">
      <c r="A885" s="8"/>
      <c r="B885" s="9"/>
      <c r="C885" s="17"/>
      <c r="D885" s="10"/>
      <c r="E885" s="10"/>
      <c r="F885" s="11"/>
      <c r="G885" s="10"/>
      <c r="H885" s="10"/>
      <c r="I885" s="10"/>
      <c r="J885" s="10"/>
      <c r="K885" s="10"/>
      <c r="L885" s="10"/>
      <c r="M885" s="10"/>
      <c r="N885" s="10"/>
      <c r="O885" s="10"/>
      <c r="P885" s="10"/>
      <c r="Q885" s="10"/>
      <c r="R885" s="10"/>
      <c r="S885" s="10"/>
      <c r="T885" s="10"/>
      <c r="U885" s="10"/>
      <c r="V885" s="10"/>
      <c r="W885" s="10"/>
      <c r="X885" s="10"/>
      <c r="Y885" s="10"/>
      <c r="Z885" s="10"/>
    </row>
    <row r="886" spans="1:26" ht="20" customHeight="1" x14ac:dyDescent="0.15">
      <c r="A886" s="8"/>
      <c r="B886" s="9"/>
      <c r="C886" s="17"/>
      <c r="D886" s="10"/>
      <c r="E886" s="10"/>
      <c r="F886" s="11"/>
      <c r="G886" s="10"/>
      <c r="H886" s="10"/>
      <c r="I886" s="10"/>
      <c r="J886" s="10"/>
      <c r="K886" s="10"/>
      <c r="L886" s="10"/>
      <c r="M886" s="10"/>
      <c r="N886" s="10"/>
      <c r="O886" s="10"/>
      <c r="P886" s="10"/>
      <c r="Q886" s="10"/>
      <c r="R886" s="10"/>
      <c r="S886" s="10"/>
      <c r="T886" s="10"/>
      <c r="U886" s="10"/>
      <c r="V886" s="10"/>
      <c r="W886" s="10"/>
      <c r="X886" s="10"/>
      <c r="Y886" s="10"/>
      <c r="Z886" s="10"/>
    </row>
    <row r="887" spans="1:26" ht="20" customHeight="1" x14ac:dyDescent="0.15">
      <c r="A887" s="8"/>
      <c r="B887" s="9"/>
      <c r="C887" s="17"/>
      <c r="D887" s="10"/>
      <c r="E887" s="10"/>
      <c r="F887" s="11"/>
      <c r="G887" s="10"/>
      <c r="H887" s="10"/>
      <c r="I887" s="10"/>
      <c r="J887" s="10"/>
      <c r="K887" s="10"/>
      <c r="L887" s="10"/>
      <c r="M887" s="10"/>
      <c r="N887" s="10"/>
      <c r="O887" s="10"/>
      <c r="P887" s="10"/>
      <c r="Q887" s="10"/>
      <c r="R887" s="10"/>
      <c r="S887" s="10"/>
      <c r="T887" s="10"/>
      <c r="U887" s="10"/>
      <c r="V887" s="10"/>
      <c r="W887" s="10"/>
      <c r="X887" s="10"/>
      <c r="Y887" s="10"/>
      <c r="Z887" s="10"/>
    </row>
    <row r="888" spans="1:26" ht="20" customHeight="1" x14ac:dyDescent="0.15">
      <c r="A888" s="8"/>
      <c r="B888" s="9"/>
      <c r="C888" s="17"/>
      <c r="D888" s="10"/>
      <c r="E888" s="10"/>
      <c r="F888" s="11"/>
      <c r="G888" s="10"/>
      <c r="H888" s="10"/>
      <c r="I888" s="10"/>
      <c r="J888" s="10"/>
      <c r="K888" s="10"/>
      <c r="L888" s="10"/>
      <c r="M888" s="10"/>
      <c r="N888" s="10"/>
      <c r="O888" s="10"/>
      <c r="P888" s="10"/>
      <c r="Q888" s="10"/>
      <c r="R888" s="10"/>
      <c r="S888" s="10"/>
      <c r="T888" s="10"/>
      <c r="U888" s="10"/>
      <c r="V888" s="10"/>
      <c r="W888" s="10"/>
      <c r="X888" s="10"/>
      <c r="Y888" s="10"/>
      <c r="Z888" s="10"/>
    </row>
    <row r="889" spans="1:26" ht="20" customHeight="1" x14ac:dyDescent="0.15">
      <c r="A889" s="8"/>
      <c r="B889" s="9"/>
      <c r="C889" s="17"/>
      <c r="D889" s="10"/>
      <c r="E889" s="10"/>
      <c r="F889" s="11"/>
      <c r="G889" s="10"/>
      <c r="H889" s="10"/>
      <c r="I889" s="10"/>
      <c r="J889" s="10"/>
      <c r="K889" s="10"/>
      <c r="L889" s="10"/>
      <c r="M889" s="10"/>
      <c r="N889" s="10"/>
      <c r="O889" s="10"/>
      <c r="P889" s="10"/>
      <c r="Q889" s="10"/>
      <c r="R889" s="10"/>
      <c r="S889" s="10"/>
      <c r="T889" s="10"/>
      <c r="U889" s="10"/>
      <c r="V889" s="10"/>
      <c r="W889" s="10"/>
      <c r="X889" s="10"/>
      <c r="Y889" s="10"/>
      <c r="Z889" s="10"/>
    </row>
    <row r="890" spans="1:26" ht="20" customHeight="1" x14ac:dyDescent="0.15">
      <c r="A890" s="8"/>
      <c r="B890" s="9"/>
      <c r="C890" s="17"/>
      <c r="D890" s="10"/>
      <c r="E890" s="10"/>
      <c r="F890" s="11"/>
      <c r="G890" s="10"/>
      <c r="H890" s="10"/>
      <c r="I890" s="10"/>
      <c r="J890" s="10"/>
      <c r="K890" s="10"/>
      <c r="L890" s="10"/>
      <c r="M890" s="10"/>
      <c r="N890" s="10"/>
      <c r="O890" s="10"/>
      <c r="P890" s="10"/>
      <c r="Q890" s="10"/>
      <c r="R890" s="10"/>
      <c r="S890" s="10"/>
      <c r="T890" s="10"/>
      <c r="U890" s="10"/>
      <c r="V890" s="10"/>
      <c r="W890" s="10"/>
      <c r="X890" s="10"/>
      <c r="Y890" s="10"/>
      <c r="Z890" s="10"/>
    </row>
    <row r="891" spans="1:26" ht="20" customHeight="1" x14ac:dyDescent="0.15">
      <c r="A891" s="8"/>
      <c r="B891" s="9"/>
      <c r="C891" s="17"/>
      <c r="D891" s="10"/>
      <c r="E891" s="10"/>
      <c r="F891" s="11"/>
      <c r="G891" s="10"/>
      <c r="H891" s="10"/>
      <c r="I891" s="10"/>
      <c r="J891" s="10"/>
      <c r="K891" s="10"/>
      <c r="L891" s="10"/>
      <c r="M891" s="10"/>
      <c r="N891" s="10"/>
      <c r="O891" s="10"/>
      <c r="P891" s="10"/>
      <c r="Q891" s="10"/>
      <c r="R891" s="10"/>
      <c r="S891" s="10"/>
      <c r="T891" s="10"/>
      <c r="U891" s="10"/>
      <c r="V891" s="10"/>
      <c r="W891" s="10"/>
      <c r="X891" s="10"/>
      <c r="Y891" s="10"/>
      <c r="Z891" s="10"/>
    </row>
    <row r="892" spans="1:26" ht="20" customHeight="1" x14ac:dyDescent="0.15">
      <c r="A892" s="8"/>
      <c r="B892" s="9"/>
      <c r="C892" s="17"/>
      <c r="D892" s="10"/>
      <c r="E892" s="10"/>
      <c r="F892" s="11"/>
      <c r="G892" s="10"/>
      <c r="H892" s="10"/>
      <c r="I892" s="10"/>
      <c r="J892" s="10"/>
      <c r="K892" s="10"/>
      <c r="L892" s="10"/>
      <c r="M892" s="10"/>
      <c r="N892" s="10"/>
      <c r="O892" s="10"/>
      <c r="P892" s="10"/>
      <c r="Q892" s="10"/>
      <c r="R892" s="10"/>
      <c r="S892" s="10"/>
      <c r="T892" s="10"/>
      <c r="U892" s="10"/>
      <c r="V892" s="10"/>
      <c r="W892" s="10"/>
      <c r="X892" s="10"/>
      <c r="Y892" s="10"/>
      <c r="Z892" s="10"/>
    </row>
    <row r="893" spans="1:26" ht="20" customHeight="1" x14ac:dyDescent="0.15">
      <c r="A893" s="8"/>
      <c r="B893" s="9"/>
      <c r="C893" s="17"/>
      <c r="D893" s="10"/>
      <c r="E893" s="10"/>
      <c r="F893" s="11"/>
      <c r="G893" s="10"/>
      <c r="H893" s="10"/>
      <c r="I893" s="10"/>
      <c r="J893" s="10"/>
      <c r="K893" s="10"/>
      <c r="L893" s="10"/>
      <c r="M893" s="10"/>
      <c r="N893" s="10"/>
      <c r="O893" s="10"/>
      <c r="P893" s="10"/>
      <c r="Q893" s="10"/>
      <c r="R893" s="10"/>
      <c r="S893" s="10"/>
      <c r="T893" s="10"/>
      <c r="U893" s="10"/>
      <c r="V893" s="10"/>
      <c r="W893" s="10"/>
      <c r="X893" s="10"/>
      <c r="Y893" s="10"/>
      <c r="Z893" s="10"/>
    </row>
    <row r="894" spans="1:26" ht="20" customHeight="1" x14ac:dyDescent="0.15">
      <c r="A894" s="8"/>
      <c r="B894" s="9"/>
      <c r="C894" s="17"/>
      <c r="D894" s="10"/>
      <c r="E894" s="10"/>
      <c r="F894" s="11"/>
      <c r="G894" s="10"/>
      <c r="H894" s="10"/>
      <c r="I894" s="10"/>
      <c r="J894" s="10"/>
      <c r="K894" s="10"/>
      <c r="L894" s="10"/>
      <c r="M894" s="10"/>
      <c r="N894" s="10"/>
      <c r="O894" s="10"/>
      <c r="P894" s="10"/>
      <c r="Q894" s="10"/>
      <c r="R894" s="10"/>
      <c r="S894" s="10"/>
      <c r="T894" s="10"/>
      <c r="U894" s="10"/>
      <c r="V894" s="10"/>
      <c r="W894" s="10"/>
      <c r="X894" s="10"/>
      <c r="Y894" s="10"/>
      <c r="Z894" s="10"/>
    </row>
    <row r="895" spans="1:26" ht="20" customHeight="1" x14ac:dyDescent="0.15">
      <c r="A895" s="8"/>
      <c r="B895" s="9"/>
      <c r="C895" s="17"/>
      <c r="D895" s="10"/>
      <c r="E895" s="10"/>
      <c r="F895" s="11"/>
      <c r="G895" s="10"/>
      <c r="H895" s="10"/>
      <c r="I895" s="10"/>
      <c r="J895" s="10"/>
      <c r="K895" s="10"/>
      <c r="L895" s="10"/>
      <c r="M895" s="10"/>
      <c r="N895" s="10"/>
      <c r="O895" s="10"/>
      <c r="P895" s="10"/>
      <c r="Q895" s="10"/>
      <c r="R895" s="10"/>
      <c r="S895" s="10"/>
      <c r="T895" s="10"/>
      <c r="U895" s="10"/>
      <c r="V895" s="10"/>
      <c r="W895" s="10"/>
      <c r="X895" s="10"/>
      <c r="Y895" s="10"/>
      <c r="Z895" s="10"/>
    </row>
    <row r="896" spans="1:26" ht="20" customHeight="1" x14ac:dyDescent="0.15">
      <c r="A896" s="8"/>
      <c r="B896" s="9"/>
      <c r="C896" s="17"/>
      <c r="D896" s="10"/>
      <c r="E896" s="10"/>
      <c r="F896" s="11"/>
      <c r="G896" s="10"/>
      <c r="H896" s="10"/>
      <c r="I896" s="10"/>
      <c r="J896" s="10"/>
      <c r="K896" s="10"/>
      <c r="L896" s="10"/>
      <c r="M896" s="10"/>
      <c r="N896" s="10"/>
      <c r="O896" s="10"/>
      <c r="P896" s="10"/>
      <c r="Q896" s="10"/>
      <c r="R896" s="10"/>
      <c r="S896" s="10"/>
      <c r="T896" s="10"/>
      <c r="U896" s="10"/>
      <c r="V896" s="10"/>
      <c r="W896" s="10"/>
      <c r="X896" s="10"/>
      <c r="Y896" s="10"/>
      <c r="Z896" s="10"/>
    </row>
    <row r="897" spans="1:26" ht="20" customHeight="1" x14ac:dyDescent="0.15">
      <c r="A897" s="8"/>
      <c r="B897" s="9"/>
      <c r="C897" s="17"/>
      <c r="D897" s="10"/>
      <c r="E897" s="10"/>
      <c r="F897" s="11"/>
      <c r="G897" s="10"/>
      <c r="H897" s="10"/>
      <c r="I897" s="10"/>
      <c r="J897" s="10"/>
      <c r="K897" s="10"/>
      <c r="L897" s="10"/>
      <c r="M897" s="10"/>
      <c r="N897" s="10"/>
      <c r="O897" s="10"/>
      <c r="P897" s="10"/>
      <c r="Q897" s="10"/>
      <c r="R897" s="10"/>
      <c r="S897" s="10"/>
      <c r="T897" s="10"/>
      <c r="U897" s="10"/>
      <c r="V897" s="10"/>
      <c r="W897" s="10"/>
      <c r="X897" s="10"/>
      <c r="Y897" s="10"/>
      <c r="Z897" s="10"/>
    </row>
    <row r="898" spans="1:26" ht="20" customHeight="1" x14ac:dyDescent="0.15">
      <c r="A898" s="8"/>
      <c r="B898" s="9"/>
      <c r="C898" s="17"/>
      <c r="D898" s="10"/>
      <c r="E898" s="10"/>
      <c r="F898" s="11"/>
      <c r="G898" s="10"/>
      <c r="H898" s="10"/>
      <c r="I898" s="10"/>
      <c r="J898" s="10"/>
      <c r="K898" s="10"/>
      <c r="L898" s="10"/>
      <c r="M898" s="10"/>
      <c r="N898" s="10"/>
      <c r="O898" s="10"/>
      <c r="P898" s="10"/>
      <c r="Q898" s="10"/>
      <c r="R898" s="10"/>
      <c r="S898" s="10"/>
      <c r="T898" s="10"/>
      <c r="U898" s="10"/>
      <c r="V898" s="10"/>
      <c r="W898" s="10"/>
      <c r="X898" s="10"/>
      <c r="Y898" s="10"/>
      <c r="Z898" s="10"/>
    </row>
    <row r="899" spans="1:26" ht="20" customHeight="1" x14ac:dyDescent="0.15">
      <c r="A899" s="8"/>
      <c r="B899" s="9"/>
      <c r="C899" s="17"/>
      <c r="D899" s="10"/>
      <c r="E899" s="10"/>
      <c r="F899" s="11"/>
      <c r="G899" s="10"/>
      <c r="H899" s="10"/>
      <c r="I899" s="10"/>
      <c r="J899" s="10"/>
      <c r="K899" s="10"/>
      <c r="L899" s="10"/>
      <c r="M899" s="10"/>
      <c r="N899" s="10"/>
      <c r="O899" s="10"/>
      <c r="P899" s="10"/>
      <c r="Q899" s="10"/>
      <c r="R899" s="10"/>
      <c r="S899" s="10"/>
      <c r="T899" s="10"/>
      <c r="U899" s="10"/>
      <c r="V899" s="10"/>
      <c r="W899" s="10"/>
      <c r="X899" s="10"/>
      <c r="Y899" s="10"/>
      <c r="Z899" s="10"/>
    </row>
    <row r="900" spans="1:26" ht="20" customHeight="1" x14ac:dyDescent="0.15">
      <c r="A900" s="8"/>
      <c r="B900" s="9"/>
      <c r="C900" s="17"/>
      <c r="D900" s="10"/>
      <c r="E900" s="10"/>
      <c r="F900" s="11"/>
      <c r="G900" s="10"/>
      <c r="H900" s="10"/>
      <c r="I900" s="10"/>
      <c r="J900" s="10"/>
      <c r="K900" s="10"/>
      <c r="L900" s="10"/>
      <c r="M900" s="10"/>
      <c r="N900" s="10"/>
      <c r="O900" s="10"/>
      <c r="P900" s="10"/>
      <c r="Q900" s="10"/>
      <c r="R900" s="10"/>
      <c r="S900" s="10"/>
      <c r="T900" s="10"/>
      <c r="U900" s="10"/>
      <c r="V900" s="10"/>
      <c r="W900" s="10"/>
      <c r="X900" s="10"/>
      <c r="Y900" s="10"/>
      <c r="Z900" s="10"/>
    </row>
    <row r="901" spans="1:26" ht="20" customHeight="1" x14ac:dyDescent="0.15">
      <c r="A901" s="8"/>
      <c r="B901" s="9"/>
      <c r="C901" s="17"/>
      <c r="D901" s="10"/>
      <c r="E901" s="10"/>
      <c r="F901" s="11"/>
      <c r="G901" s="10"/>
      <c r="H901" s="10"/>
      <c r="I901" s="10"/>
      <c r="J901" s="10"/>
      <c r="K901" s="10"/>
      <c r="L901" s="10"/>
      <c r="M901" s="10"/>
      <c r="N901" s="10"/>
      <c r="O901" s="10"/>
      <c r="P901" s="10"/>
      <c r="Q901" s="10"/>
      <c r="R901" s="10"/>
      <c r="S901" s="10"/>
      <c r="T901" s="10"/>
      <c r="U901" s="10"/>
      <c r="V901" s="10"/>
      <c r="W901" s="10"/>
      <c r="X901" s="10"/>
      <c r="Y901" s="10"/>
      <c r="Z901" s="10"/>
    </row>
    <row r="902" spans="1:26" ht="20" customHeight="1" x14ac:dyDescent="0.15">
      <c r="A902" s="8"/>
      <c r="B902" s="9"/>
      <c r="C902" s="17"/>
      <c r="D902" s="10"/>
      <c r="E902" s="10"/>
      <c r="F902" s="11"/>
      <c r="G902" s="10"/>
      <c r="H902" s="10"/>
      <c r="I902" s="10"/>
      <c r="J902" s="10"/>
      <c r="K902" s="10"/>
      <c r="L902" s="10"/>
      <c r="M902" s="10"/>
      <c r="N902" s="10"/>
      <c r="O902" s="10"/>
      <c r="P902" s="10"/>
      <c r="Q902" s="10"/>
      <c r="R902" s="10"/>
      <c r="S902" s="10"/>
      <c r="T902" s="10"/>
      <c r="U902" s="10"/>
      <c r="V902" s="10"/>
      <c r="W902" s="10"/>
      <c r="X902" s="10"/>
      <c r="Y902" s="10"/>
      <c r="Z902" s="10"/>
    </row>
    <row r="903" spans="1:26" ht="20" customHeight="1" x14ac:dyDescent="0.15">
      <c r="A903" s="8"/>
      <c r="B903" s="9"/>
      <c r="C903" s="17"/>
      <c r="D903" s="10"/>
      <c r="E903" s="10"/>
      <c r="F903" s="11"/>
      <c r="G903" s="10"/>
      <c r="H903" s="10"/>
      <c r="I903" s="10"/>
      <c r="J903" s="10"/>
      <c r="K903" s="10"/>
      <c r="L903" s="10"/>
      <c r="M903" s="10"/>
      <c r="N903" s="10"/>
      <c r="O903" s="10"/>
      <c r="P903" s="10"/>
      <c r="Q903" s="10"/>
      <c r="R903" s="10"/>
      <c r="S903" s="10"/>
      <c r="T903" s="10"/>
      <c r="U903" s="10"/>
      <c r="V903" s="10"/>
      <c r="W903" s="10"/>
      <c r="X903" s="10"/>
      <c r="Y903" s="10"/>
      <c r="Z903" s="10"/>
    </row>
    <row r="904" spans="1:26" ht="20" customHeight="1" x14ac:dyDescent="0.15">
      <c r="A904" s="8"/>
      <c r="B904" s="9"/>
      <c r="C904" s="17"/>
      <c r="D904" s="10"/>
      <c r="E904" s="10"/>
      <c r="F904" s="11"/>
      <c r="G904" s="10"/>
      <c r="H904" s="10"/>
      <c r="I904" s="10"/>
      <c r="J904" s="10"/>
      <c r="K904" s="10"/>
      <c r="L904" s="10"/>
      <c r="M904" s="10"/>
      <c r="N904" s="10"/>
      <c r="O904" s="10"/>
      <c r="P904" s="10"/>
      <c r="Q904" s="10"/>
      <c r="R904" s="10"/>
      <c r="S904" s="10"/>
      <c r="T904" s="10"/>
      <c r="U904" s="10"/>
      <c r="V904" s="10"/>
      <c r="W904" s="10"/>
      <c r="X904" s="10"/>
      <c r="Y904" s="10"/>
      <c r="Z904" s="10"/>
    </row>
    <row r="905" spans="1:26" ht="20" customHeight="1" x14ac:dyDescent="0.15">
      <c r="A905" s="8"/>
      <c r="B905" s="9"/>
      <c r="C905" s="17"/>
      <c r="D905" s="10"/>
      <c r="E905" s="10"/>
      <c r="F905" s="11"/>
      <c r="G905" s="10"/>
      <c r="H905" s="10"/>
      <c r="I905" s="10"/>
      <c r="J905" s="10"/>
      <c r="K905" s="10"/>
      <c r="L905" s="10"/>
      <c r="M905" s="10"/>
      <c r="N905" s="10"/>
      <c r="O905" s="10"/>
      <c r="P905" s="10"/>
      <c r="Q905" s="10"/>
      <c r="R905" s="10"/>
      <c r="S905" s="10"/>
      <c r="T905" s="10"/>
      <c r="U905" s="10"/>
      <c r="V905" s="10"/>
      <c r="W905" s="10"/>
      <c r="X905" s="10"/>
      <c r="Y905" s="10"/>
      <c r="Z905" s="10"/>
    </row>
    <row r="906" spans="1:26" ht="20" customHeight="1" x14ac:dyDescent="0.15">
      <c r="A906" s="8"/>
      <c r="B906" s="9"/>
      <c r="C906" s="17"/>
      <c r="D906" s="10"/>
      <c r="E906" s="10"/>
      <c r="F906" s="11"/>
      <c r="G906" s="10"/>
      <c r="H906" s="10"/>
      <c r="I906" s="10"/>
      <c r="J906" s="10"/>
      <c r="K906" s="10"/>
      <c r="L906" s="10"/>
      <c r="M906" s="10"/>
      <c r="N906" s="10"/>
      <c r="O906" s="10"/>
      <c r="P906" s="10"/>
      <c r="Q906" s="10"/>
      <c r="R906" s="10"/>
      <c r="S906" s="10"/>
      <c r="T906" s="10"/>
      <c r="U906" s="10"/>
      <c r="V906" s="10"/>
      <c r="W906" s="10"/>
      <c r="X906" s="10"/>
      <c r="Y906" s="10"/>
      <c r="Z906" s="10"/>
    </row>
    <row r="907" spans="1:26" ht="20" customHeight="1" x14ac:dyDescent="0.15">
      <c r="A907" s="8"/>
      <c r="B907" s="9"/>
      <c r="C907" s="17"/>
      <c r="D907" s="10"/>
      <c r="E907" s="10"/>
      <c r="F907" s="11"/>
      <c r="G907" s="10"/>
      <c r="H907" s="10"/>
      <c r="I907" s="10"/>
      <c r="J907" s="10"/>
      <c r="K907" s="10"/>
      <c r="L907" s="10"/>
      <c r="M907" s="10"/>
      <c r="N907" s="10"/>
      <c r="O907" s="10"/>
      <c r="P907" s="10"/>
      <c r="Q907" s="10"/>
      <c r="R907" s="10"/>
      <c r="S907" s="10"/>
      <c r="T907" s="10"/>
      <c r="U907" s="10"/>
      <c r="V907" s="10"/>
      <c r="W907" s="10"/>
      <c r="X907" s="10"/>
      <c r="Y907" s="10"/>
      <c r="Z907" s="10"/>
    </row>
    <row r="908" spans="1:26" ht="20" customHeight="1" x14ac:dyDescent="0.15">
      <c r="A908" s="8"/>
      <c r="B908" s="9"/>
      <c r="C908" s="17"/>
      <c r="D908" s="10"/>
      <c r="E908" s="10"/>
      <c r="F908" s="11"/>
      <c r="G908" s="10"/>
      <c r="H908" s="10"/>
      <c r="I908" s="10"/>
      <c r="J908" s="10"/>
      <c r="K908" s="10"/>
      <c r="L908" s="10"/>
      <c r="M908" s="10"/>
      <c r="N908" s="10"/>
      <c r="O908" s="10"/>
      <c r="P908" s="10"/>
      <c r="Q908" s="10"/>
      <c r="R908" s="10"/>
      <c r="S908" s="10"/>
      <c r="T908" s="10"/>
      <c r="U908" s="10"/>
      <c r="V908" s="10"/>
      <c r="W908" s="10"/>
      <c r="X908" s="10"/>
      <c r="Y908" s="10"/>
      <c r="Z908" s="10"/>
    </row>
    <row r="909" spans="1:26" ht="20" customHeight="1" x14ac:dyDescent="0.15">
      <c r="A909" s="8"/>
      <c r="B909" s="9"/>
      <c r="C909" s="17"/>
      <c r="D909" s="10"/>
      <c r="E909" s="10"/>
      <c r="F909" s="11"/>
      <c r="G909" s="10"/>
      <c r="H909" s="10"/>
      <c r="I909" s="10"/>
      <c r="J909" s="10"/>
      <c r="K909" s="10"/>
      <c r="L909" s="10"/>
      <c r="M909" s="10"/>
      <c r="N909" s="10"/>
      <c r="O909" s="10"/>
      <c r="P909" s="10"/>
      <c r="Q909" s="10"/>
      <c r="R909" s="10"/>
      <c r="S909" s="10"/>
      <c r="T909" s="10"/>
      <c r="U909" s="10"/>
      <c r="V909" s="10"/>
      <c r="W909" s="10"/>
      <c r="X909" s="10"/>
      <c r="Y909" s="10"/>
      <c r="Z909" s="10"/>
    </row>
    <row r="910" spans="1:26" ht="20" customHeight="1" x14ac:dyDescent="0.15">
      <c r="A910" s="8"/>
      <c r="B910" s="9"/>
      <c r="C910" s="17"/>
      <c r="D910" s="10"/>
      <c r="E910" s="10"/>
      <c r="F910" s="11"/>
      <c r="G910" s="10"/>
      <c r="H910" s="10"/>
      <c r="I910" s="10"/>
      <c r="J910" s="10"/>
      <c r="K910" s="10"/>
      <c r="L910" s="10"/>
      <c r="M910" s="10"/>
      <c r="N910" s="10"/>
      <c r="O910" s="10"/>
      <c r="P910" s="10"/>
      <c r="Q910" s="10"/>
      <c r="R910" s="10"/>
      <c r="S910" s="10"/>
      <c r="T910" s="10"/>
      <c r="U910" s="10"/>
      <c r="V910" s="10"/>
      <c r="W910" s="10"/>
      <c r="X910" s="10"/>
      <c r="Y910" s="10"/>
      <c r="Z910" s="10"/>
    </row>
    <row r="911" spans="1:26" ht="20" customHeight="1" x14ac:dyDescent="0.15">
      <c r="A911" s="8"/>
      <c r="B911" s="9"/>
      <c r="C911" s="17"/>
      <c r="D911" s="10"/>
      <c r="E911" s="10"/>
      <c r="F911" s="11"/>
      <c r="G911" s="10"/>
      <c r="H911" s="10"/>
      <c r="I911" s="10"/>
      <c r="J911" s="10"/>
      <c r="K911" s="10"/>
      <c r="L911" s="10"/>
      <c r="M911" s="10"/>
      <c r="N911" s="10"/>
      <c r="O911" s="10"/>
      <c r="P911" s="10"/>
      <c r="Q911" s="10"/>
      <c r="R911" s="10"/>
      <c r="S911" s="10"/>
      <c r="T911" s="10"/>
      <c r="U911" s="10"/>
      <c r="V911" s="10"/>
      <c r="W911" s="10"/>
      <c r="X911" s="10"/>
      <c r="Y911" s="10"/>
      <c r="Z911" s="10"/>
    </row>
    <row r="912" spans="1:26" ht="20" customHeight="1" x14ac:dyDescent="0.15">
      <c r="A912" s="8"/>
      <c r="B912" s="9"/>
      <c r="C912" s="17"/>
      <c r="D912" s="10"/>
      <c r="E912" s="10"/>
      <c r="F912" s="11"/>
      <c r="G912" s="10"/>
      <c r="H912" s="10"/>
      <c r="I912" s="10"/>
      <c r="J912" s="10"/>
      <c r="K912" s="10"/>
      <c r="L912" s="10"/>
      <c r="M912" s="10"/>
      <c r="N912" s="10"/>
      <c r="O912" s="10"/>
      <c r="P912" s="10"/>
      <c r="Q912" s="10"/>
      <c r="R912" s="10"/>
      <c r="S912" s="10"/>
      <c r="T912" s="10"/>
      <c r="U912" s="10"/>
      <c r="V912" s="10"/>
      <c r="W912" s="10"/>
      <c r="X912" s="10"/>
      <c r="Y912" s="10"/>
      <c r="Z912" s="10"/>
    </row>
    <row r="913" spans="1:26" ht="20" customHeight="1" x14ac:dyDescent="0.15">
      <c r="A913" s="8"/>
      <c r="B913" s="9"/>
      <c r="C913" s="17"/>
      <c r="D913" s="10"/>
      <c r="E913" s="10"/>
      <c r="F913" s="11"/>
      <c r="G913" s="10"/>
      <c r="H913" s="10"/>
      <c r="I913" s="10"/>
      <c r="J913" s="10"/>
      <c r="K913" s="10"/>
      <c r="L913" s="10"/>
      <c r="M913" s="10"/>
      <c r="N913" s="10"/>
      <c r="O913" s="10"/>
      <c r="P913" s="10"/>
      <c r="Q913" s="10"/>
      <c r="R913" s="10"/>
      <c r="S913" s="10"/>
      <c r="T913" s="10"/>
      <c r="U913" s="10"/>
      <c r="V913" s="10"/>
      <c r="W913" s="10"/>
      <c r="X913" s="10"/>
      <c r="Y913" s="10"/>
      <c r="Z913" s="10"/>
    </row>
    <row r="914" spans="1:26" ht="20" customHeight="1" x14ac:dyDescent="0.15">
      <c r="A914" s="8"/>
      <c r="B914" s="9"/>
      <c r="C914" s="17"/>
      <c r="D914" s="10"/>
      <c r="E914" s="10"/>
      <c r="F914" s="11"/>
      <c r="G914" s="10"/>
      <c r="H914" s="10"/>
      <c r="I914" s="10"/>
      <c r="J914" s="10"/>
      <c r="K914" s="10"/>
      <c r="L914" s="10"/>
      <c r="M914" s="10"/>
      <c r="N914" s="10"/>
      <c r="O914" s="10"/>
      <c r="P914" s="10"/>
      <c r="Q914" s="10"/>
      <c r="R914" s="10"/>
      <c r="S914" s="10"/>
      <c r="T914" s="10"/>
      <c r="U914" s="10"/>
      <c r="V914" s="10"/>
      <c r="W914" s="10"/>
      <c r="X914" s="10"/>
      <c r="Y914" s="10"/>
      <c r="Z914" s="10"/>
    </row>
    <row r="915" spans="1:26" ht="20" customHeight="1" x14ac:dyDescent="0.15">
      <c r="A915" s="8"/>
      <c r="B915" s="9"/>
      <c r="C915" s="17"/>
      <c r="D915" s="10"/>
      <c r="E915" s="10"/>
      <c r="F915" s="11"/>
      <c r="G915" s="10"/>
      <c r="H915" s="10"/>
      <c r="I915" s="10"/>
      <c r="J915" s="10"/>
      <c r="K915" s="10"/>
      <c r="L915" s="10"/>
      <c r="M915" s="10"/>
      <c r="N915" s="10"/>
      <c r="O915" s="10"/>
      <c r="P915" s="10"/>
      <c r="Q915" s="10"/>
      <c r="R915" s="10"/>
      <c r="S915" s="10"/>
      <c r="T915" s="10"/>
      <c r="U915" s="10"/>
      <c r="V915" s="10"/>
      <c r="W915" s="10"/>
      <c r="X915" s="10"/>
      <c r="Y915" s="10"/>
      <c r="Z915" s="10"/>
    </row>
    <row r="916" spans="1:26" ht="20" customHeight="1" x14ac:dyDescent="0.15">
      <c r="A916" s="8"/>
      <c r="B916" s="9"/>
      <c r="C916" s="17"/>
      <c r="D916" s="10"/>
      <c r="E916" s="10"/>
      <c r="F916" s="11"/>
      <c r="G916" s="10"/>
      <c r="H916" s="10"/>
      <c r="I916" s="10"/>
      <c r="J916" s="10"/>
      <c r="K916" s="10"/>
      <c r="L916" s="10"/>
      <c r="M916" s="10"/>
      <c r="N916" s="10"/>
      <c r="O916" s="10"/>
      <c r="P916" s="10"/>
      <c r="Q916" s="10"/>
      <c r="R916" s="10"/>
      <c r="S916" s="10"/>
      <c r="T916" s="10"/>
      <c r="U916" s="10"/>
      <c r="V916" s="10"/>
      <c r="W916" s="10"/>
      <c r="X916" s="10"/>
      <c r="Y916" s="10"/>
      <c r="Z916" s="10"/>
    </row>
    <row r="917" spans="1:26" ht="20" customHeight="1" x14ac:dyDescent="0.15">
      <c r="A917" s="8"/>
      <c r="B917" s="9"/>
      <c r="C917" s="17"/>
      <c r="D917" s="10"/>
      <c r="E917" s="10"/>
      <c r="F917" s="11"/>
      <c r="G917" s="10"/>
      <c r="H917" s="10"/>
      <c r="I917" s="10"/>
      <c r="J917" s="10"/>
      <c r="K917" s="10"/>
      <c r="L917" s="10"/>
      <c r="M917" s="10"/>
      <c r="N917" s="10"/>
      <c r="O917" s="10"/>
      <c r="P917" s="10"/>
      <c r="Q917" s="10"/>
      <c r="R917" s="10"/>
      <c r="S917" s="10"/>
      <c r="T917" s="10"/>
      <c r="U917" s="10"/>
      <c r="V917" s="10"/>
      <c r="W917" s="10"/>
      <c r="X917" s="10"/>
      <c r="Y917" s="10"/>
      <c r="Z917" s="10"/>
    </row>
    <row r="918" spans="1:26" ht="20" customHeight="1" x14ac:dyDescent="0.15">
      <c r="A918" s="8"/>
      <c r="B918" s="9"/>
      <c r="C918" s="17"/>
      <c r="D918" s="10"/>
      <c r="E918" s="10"/>
      <c r="F918" s="11"/>
      <c r="G918" s="10"/>
      <c r="H918" s="10"/>
      <c r="I918" s="10"/>
      <c r="J918" s="10"/>
      <c r="K918" s="10"/>
      <c r="L918" s="10"/>
      <c r="M918" s="10"/>
      <c r="N918" s="10"/>
      <c r="O918" s="10"/>
      <c r="P918" s="10"/>
      <c r="Q918" s="10"/>
      <c r="R918" s="10"/>
      <c r="S918" s="10"/>
      <c r="T918" s="10"/>
      <c r="U918" s="10"/>
      <c r="V918" s="10"/>
      <c r="W918" s="10"/>
      <c r="X918" s="10"/>
      <c r="Y918" s="10"/>
      <c r="Z918" s="10"/>
    </row>
    <row r="919" spans="1:26" ht="20" customHeight="1" x14ac:dyDescent="0.15">
      <c r="A919" s="8"/>
      <c r="B919" s="9"/>
      <c r="C919" s="17"/>
      <c r="D919" s="10"/>
      <c r="E919" s="10"/>
      <c r="F919" s="11"/>
      <c r="G919" s="10"/>
      <c r="H919" s="10"/>
      <c r="I919" s="10"/>
      <c r="J919" s="10"/>
      <c r="K919" s="10"/>
      <c r="L919" s="10"/>
      <c r="M919" s="10"/>
      <c r="N919" s="10"/>
      <c r="O919" s="10"/>
      <c r="P919" s="10"/>
      <c r="Q919" s="10"/>
      <c r="R919" s="10"/>
      <c r="S919" s="10"/>
      <c r="T919" s="10"/>
      <c r="U919" s="10"/>
      <c r="V919" s="10"/>
      <c r="W919" s="10"/>
      <c r="X919" s="10"/>
      <c r="Y919" s="10"/>
      <c r="Z919" s="10"/>
    </row>
    <row r="920" spans="1:26" ht="20" customHeight="1" x14ac:dyDescent="0.15">
      <c r="A920" s="8"/>
      <c r="B920" s="9"/>
      <c r="C920" s="17"/>
      <c r="D920" s="10"/>
      <c r="E920" s="10"/>
      <c r="F920" s="11"/>
      <c r="G920" s="10"/>
      <c r="H920" s="10"/>
      <c r="I920" s="10"/>
      <c r="J920" s="10"/>
      <c r="K920" s="10"/>
      <c r="L920" s="10"/>
      <c r="M920" s="10"/>
      <c r="N920" s="10"/>
      <c r="O920" s="10"/>
      <c r="P920" s="10"/>
      <c r="Q920" s="10"/>
      <c r="R920" s="10"/>
      <c r="S920" s="10"/>
      <c r="T920" s="10"/>
      <c r="U920" s="10"/>
      <c r="V920" s="10"/>
      <c r="W920" s="10"/>
      <c r="X920" s="10"/>
      <c r="Y920" s="10"/>
      <c r="Z920" s="10"/>
    </row>
    <row r="921" spans="1:26" ht="20" customHeight="1" x14ac:dyDescent="0.15">
      <c r="A921" s="8"/>
      <c r="B921" s="9"/>
      <c r="C921" s="17"/>
      <c r="D921" s="10"/>
      <c r="E921" s="10"/>
      <c r="F921" s="11"/>
      <c r="G921" s="10"/>
      <c r="H921" s="10"/>
      <c r="I921" s="10"/>
      <c r="J921" s="10"/>
      <c r="K921" s="10"/>
      <c r="L921" s="10"/>
      <c r="M921" s="10"/>
      <c r="N921" s="10"/>
      <c r="O921" s="10"/>
      <c r="P921" s="10"/>
      <c r="Q921" s="10"/>
      <c r="R921" s="10"/>
      <c r="S921" s="10"/>
      <c r="T921" s="10"/>
      <c r="U921" s="10"/>
      <c r="V921" s="10"/>
      <c r="W921" s="10"/>
      <c r="X921" s="10"/>
      <c r="Y921" s="10"/>
      <c r="Z921" s="10"/>
    </row>
    <row r="922" spans="1:26" ht="20" customHeight="1" x14ac:dyDescent="0.15">
      <c r="A922" s="8"/>
      <c r="B922" s="9"/>
      <c r="C922" s="17"/>
      <c r="D922" s="10"/>
      <c r="E922" s="10"/>
      <c r="F922" s="11"/>
      <c r="G922" s="10"/>
      <c r="H922" s="10"/>
      <c r="I922" s="10"/>
      <c r="J922" s="10"/>
      <c r="K922" s="10"/>
      <c r="L922" s="10"/>
      <c r="M922" s="10"/>
      <c r="N922" s="10"/>
      <c r="O922" s="10"/>
      <c r="P922" s="10"/>
      <c r="Q922" s="10"/>
      <c r="R922" s="10"/>
      <c r="S922" s="10"/>
      <c r="T922" s="10"/>
      <c r="U922" s="10"/>
      <c r="V922" s="10"/>
      <c r="W922" s="10"/>
      <c r="X922" s="10"/>
      <c r="Y922" s="10"/>
      <c r="Z922" s="10"/>
    </row>
    <row r="923" spans="1:26" ht="20" customHeight="1" x14ac:dyDescent="0.15">
      <c r="A923" s="8"/>
      <c r="B923" s="9"/>
      <c r="C923" s="17"/>
      <c r="D923" s="10"/>
      <c r="E923" s="10"/>
      <c r="F923" s="11"/>
      <c r="G923" s="10"/>
      <c r="H923" s="10"/>
      <c r="I923" s="10"/>
      <c r="J923" s="10"/>
      <c r="K923" s="10"/>
      <c r="L923" s="10"/>
      <c r="M923" s="10"/>
      <c r="N923" s="10"/>
      <c r="O923" s="10"/>
      <c r="P923" s="10"/>
      <c r="Q923" s="10"/>
      <c r="R923" s="10"/>
      <c r="S923" s="10"/>
      <c r="T923" s="10"/>
      <c r="U923" s="10"/>
      <c r="V923" s="10"/>
      <c r="W923" s="10"/>
      <c r="X923" s="10"/>
      <c r="Y923" s="10"/>
      <c r="Z923" s="10"/>
    </row>
    <row r="924" spans="1:26" ht="20" customHeight="1" x14ac:dyDescent="0.15">
      <c r="A924" s="8"/>
      <c r="B924" s="9"/>
      <c r="C924" s="17"/>
      <c r="D924" s="10"/>
      <c r="E924" s="10"/>
      <c r="F924" s="11"/>
      <c r="G924" s="10"/>
      <c r="H924" s="10"/>
      <c r="I924" s="10"/>
      <c r="J924" s="10"/>
      <c r="K924" s="10"/>
      <c r="L924" s="10"/>
      <c r="M924" s="10"/>
      <c r="N924" s="10"/>
      <c r="O924" s="10"/>
      <c r="P924" s="10"/>
      <c r="Q924" s="10"/>
      <c r="R924" s="10"/>
      <c r="S924" s="10"/>
      <c r="T924" s="10"/>
      <c r="U924" s="10"/>
      <c r="V924" s="10"/>
      <c r="W924" s="10"/>
      <c r="X924" s="10"/>
      <c r="Y924" s="10"/>
      <c r="Z924" s="10"/>
    </row>
    <row r="925" spans="1:26" ht="20" customHeight="1" x14ac:dyDescent="0.15">
      <c r="A925" s="8"/>
      <c r="B925" s="9"/>
      <c r="C925" s="17"/>
      <c r="D925" s="10"/>
      <c r="E925" s="10"/>
      <c r="F925" s="11"/>
      <c r="G925" s="10"/>
      <c r="H925" s="10"/>
      <c r="I925" s="10"/>
      <c r="J925" s="10"/>
      <c r="K925" s="10"/>
      <c r="L925" s="10"/>
      <c r="M925" s="10"/>
      <c r="N925" s="10"/>
      <c r="O925" s="10"/>
      <c r="P925" s="10"/>
      <c r="Q925" s="10"/>
      <c r="R925" s="10"/>
      <c r="S925" s="10"/>
      <c r="T925" s="10"/>
      <c r="U925" s="10"/>
      <c r="V925" s="10"/>
      <c r="W925" s="10"/>
      <c r="X925" s="10"/>
      <c r="Y925" s="10"/>
      <c r="Z925" s="10"/>
    </row>
    <row r="926" spans="1:26" ht="20" customHeight="1" x14ac:dyDescent="0.15">
      <c r="A926" s="8"/>
      <c r="B926" s="9"/>
      <c r="C926" s="17"/>
      <c r="D926" s="10"/>
      <c r="E926" s="10"/>
      <c r="F926" s="11"/>
      <c r="G926" s="10"/>
      <c r="H926" s="10"/>
      <c r="I926" s="10"/>
      <c r="J926" s="10"/>
      <c r="K926" s="10"/>
      <c r="L926" s="10"/>
      <c r="M926" s="10"/>
      <c r="N926" s="10"/>
      <c r="O926" s="10"/>
      <c r="P926" s="10"/>
      <c r="Q926" s="10"/>
      <c r="R926" s="10"/>
      <c r="S926" s="10"/>
      <c r="T926" s="10"/>
      <c r="U926" s="10"/>
      <c r="V926" s="10"/>
      <c r="W926" s="10"/>
      <c r="X926" s="10"/>
      <c r="Y926" s="10"/>
      <c r="Z926" s="10"/>
    </row>
    <row r="927" spans="1:26" ht="20" customHeight="1" x14ac:dyDescent="0.15">
      <c r="A927" s="8"/>
      <c r="B927" s="9"/>
      <c r="C927" s="17"/>
      <c r="D927" s="10"/>
      <c r="E927" s="10"/>
      <c r="F927" s="11"/>
      <c r="G927" s="10"/>
      <c r="H927" s="10"/>
      <c r="I927" s="10"/>
      <c r="J927" s="10"/>
      <c r="K927" s="10"/>
      <c r="L927" s="10"/>
      <c r="M927" s="10"/>
      <c r="N927" s="10"/>
      <c r="O927" s="10"/>
      <c r="P927" s="10"/>
      <c r="Q927" s="10"/>
      <c r="R927" s="10"/>
      <c r="S927" s="10"/>
      <c r="T927" s="10"/>
      <c r="U927" s="10"/>
      <c r="V927" s="10"/>
      <c r="W927" s="10"/>
      <c r="X927" s="10"/>
      <c r="Y927" s="10"/>
      <c r="Z927" s="10"/>
    </row>
    <row r="928" spans="1:26" ht="20" customHeight="1" x14ac:dyDescent="0.15">
      <c r="A928" s="8"/>
      <c r="B928" s="9"/>
      <c r="C928" s="17"/>
      <c r="D928" s="10"/>
      <c r="E928" s="10"/>
      <c r="F928" s="11"/>
      <c r="G928" s="10"/>
      <c r="H928" s="10"/>
      <c r="I928" s="10"/>
      <c r="J928" s="10"/>
      <c r="K928" s="10"/>
      <c r="L928" s="10"/>
      <c r="M928" s="10"/>
      <c r="N928" s="10"/>
      <c r="O928" s="10"/>
      <c r="P928" s="10"/>
      <c r="Q928" s="10"/>
      <c r="R928" s="10"/>
      <c r="S928" s="10"/>
      <c r="T928" s="10"/>
      <c r="U928" s="10"/>
      <c r="V928" s="10"/>
      <c r="W928" s="10"/>
      <c r="X928" s="10"/>
      <c r="Y928" s="10"/>
      <c r="Z928" s="10"/>
    </row>
    <row r="929" spans="1:26" ht="20" customHeight="1" x14ac:dyDescent="0.15">
      <c r="A929" s="8"/>
      <c r="B929" s="9"/>
      <c r="C929" s="17"/>
      <c r="D929" s="10"/>
      <c r="E929" s="10"/>
      <c r="F929" s="11"/>
      <c r="G929" s="10"/>
      <c r="H929" s="10"/>
      <c r="I929" s="10"/>
      <c r="J929" s="10"/>
      <c r="K929" s="10"/>
      <c r="L929" s="10"/>
      <c r="M929" s="10"/>
      <c r="N929" s="10"/>
      <c r="O929" s="10"/>
      <c r="P929" s="10"/>
      <c r="Q929" s="10"/>
      <c r="R929" s="10"/>
      <c r="S929" s="10"/>
      <c r="T929" s="10"/>
      <c r="U929" s="10"/>
      <c r="V929" s="10"/>
      <c r="W929" s="10"/>
      <c r="X929" s="10"/>
      <c r="Y929" s="10"/>
      <c r="Z929" s="10"/>
    </row>
    <row r="930" spans="1:26" ht="20" customHeight="1" x14ac:dyDescent="0.15">
      <c r="A930" s="8"/>
      <c r="B930" s="9"/>
      <c r="C930" s="17"/>
      <c r="D930" s="10"/>
      <c r="E930" s="10"/>
      <c r="F930" s="11"/>
      <c r="G930" s="10"/>
      <c r="H930" s="10"/>
      <c r="I930" s="10"/>
      <c r="J930" s="10"/>
      <c r="K930" s="10"/>
      <c r="L930" s="10"/>
      <c r="M930" s="10"/>
      <c r="N930" s="10"/>
      <c r="O930" s="10"/>
      <c r="P930" s="10"/>
      <c r="Q930" s="10"/>
      <c r="R930" s="10"/>
      <c r="S930" s="10"/>
      <c r="T930" s="10"/>
      <c r="U930" s="10"/>
      <c r="V930" s="10"/>
      <c r="W930" s="10"/>
      <c r="X930" s="10"/>
      <c r="Y930" s="10"/>
      <c r="Z930" s="10"/>
    </row>
    <row r="931" spans="1:26" ht="20" customHeight="1" x14ac:dyDescent="0.15">
      <c r="A931" s="8"/>
      <c r="B931" s="9"/>
      <c r="C931" s="17"/>
      <c r="D931" s="10"/>
      <c r="E931" s="10"/>
      <c r="F931" s="11"/>
      <c r="G931" s="10"/>
      <c r="H931" s="10"/>
      <c r="I931" s="10"/>
      <c r="J931" s="10"/>
      <c r="K931" s="10"/>
      <c r="L931" s="10"/>
      <c r="M931" s="10"/>
      <c r="N931" s="10"/>
      <c r="O931" s="10"/>
      <c r="P931" s="10"/>
      <c r="Q931" s="10"/>
      <c r="R931" s="10"/>
      <c r="S931" s="10"/>
      <c r="T931" s="10"/>
      <c r="U931" s="10"/>
      <c r="V931" s="10"/>
      <c r="W931" s="10"/>
      <c r="X931" s="10"/>
      <c r="Y931" s="10"/>
      <c r="Z931" s="10"/>
    </row>
    <row r="932" spans="1:26" ht="20" customHeight="1" x14ac:dyDescent="0.15">
      <c r="A932" s="8"/>
      <c r="B932" s="9"/>
      <c r="C932" s="17"/>
      <c r="D932" s="10"/>
      <c r="E932" s="10"/>
      <c r="F932" s="11"/>
      <c r="G932" s="10"/>
      <c r="H932" s="10"/>
      <c r="I932" s="10"/>
      <c r="J932" s="10"/>
      <c r="K932" s="10"/>
      <c r="L932" s="10"/>
      <c r="M932" s="10"/>
      <c r="N932" s="10"/>
      <c r="O932" s="10"/>
      <c r="P932" s="10"/>
      <c r="Q932" s="10"/>
      <c r="R932" s="10"/>
      <c r="S932" s="10"/>
      <c r="T932" s="10"/>
      <c r="U932" s="10"/>
      <c r="V932" s="10"/>
      <c r="W932" s="10"/>
      <c r="X932" s="10"/>
      <c r="Y932" s="10"/>
      <c r="Z932" s="10"/>
    </row>
    <row r="933" spans="1:26" ht="20" customHeight="1" x14ac:dyDescent="0.15">
      <c r="A933" s="8"/>
      <c r="B933" s="9"/>
      <c r="C933" s="17"/>
      <c r="D933" s="10"/>
      <c r="E933" s="10"/>
      <c r="F933" s="11"/>
      <c r="G933" s="10"/>
      <c r="H933" s="10"/>
      <c r="I933" s="10"/>
      <c r="J933" s="10"/>
      <c r="K933" s="10"/>
      <c r="L933" s="10"/>
      <c r="M933" s="10"/>
      <c r="N933" s="10"/>
      <c r="O933" s="10"/>
      <c r="P933" s="10"/>
      <c r="Q933" s="10"/>
      <c r="R933" s="10"/>
      <c r="S933" s="10"/>
      <c r="T933" s="10"/>
      <c r="U933" s="10"/>
      <c r="V933" s="10"/>
      <c r="W933" s="10"/>
      <c r="X933" s="10"/>
      <c r="Y933" s="10"/>
      <c r="Z933" s="10"/>
    </row>
    <row r="934" spans="1:26" ht="20" customHeight="1" x14ac:dyDescent="0.15">
      <c r="A934" s="8"/>
      <c r="B934" s="9"/>
      <c r="C934" s="17"/>
      <c r="D934" s="10"/>
      <c r="E934" s="10"/>
      <c r="F934" s="11"/>
      <c r="G934" s="10"/>
      <c r="H934" s="10"/>
      <c r="I934" s="10"/>
      <c r="J934" s="10"/>
      <c r="K934" s="10"/>
      <c r="L934" s="10"/>
      <c r="M934" s="10"/>
      <c r="N934" s="10"/>
      <c r="O934" s="10"/>
      <c r="P934" s="10"/>
      <c r="Q934" s="10"/>
      <c r="R934" s="10"/>
      <c r="S934" s="10"/>
      <c r="T934" s="10"/>
      <c r="U934" s="10"/>
      <c r="V934" s="10"/>
      <c r="W934" s="10"/>
      <c r="X934" s="10"/>
      <c r="Y934" s="10"/>
      <c r="Z934" s="10"/>
    </row>
    <row r="935" spans="1:26" ht="20" customHeight="1" x14ac:dyDescent="0.15">
      <c r="A935" s="8"/>
      <c r="B935" s="9"/>
      <c r="C935" s="17"/>
      <c r="D935" s="10"/>
      <c r="E935" s="10"/>
      <c r="F935" s="11"/>
      <c r="G935" s="10"/>
      <c r="H935" s="10"/>
      <c r="I935" s="10"/>
      <c r="J935" s="10"/>
      <c r="K935" s="10"/>
      <c r="L935" s="10"/>
      <c r="M935" s="10"/>
      <c r="N935" s="10"/>
      <c r="O935" s="10"/>
      <c r="P935" s="10"/>
      <c r="Q935" s="10"/>
      <c r="R935" s="10"/>
      <c r="S935" s="10"/>
      <c r="T935" s="10"/>
      <c r="U935" s="10"/>
      <c r="V935" s="10"/>
      <c r="W935" s="10"/>
      <c r="X935" s="10"/>
      <c r="Y935" s="10"/>
      <c r="Z935" s="10"/>
    </row>
    <row r="936" spans="1:26" ht="20" customHeight="1" x14ac:dyDescent="0.15">
      <c r="A936" s="8"/>
      <c r="B936" s="9"/>
      <c r="C936" s="17"/>
      <c r="D936" s="10"/>
      <c r="E936" s="10"/>
      <c r="F936" s="11"/>
      <c r="G936" s="10"/>
      <c r="H936" s="10"/>
      <c r="I936" s="10"/>
      <c r="J936" s="10"/>
      <c r="K936" s="10"/>
      <c r="L936" s="10"/>
      <c r="M936" s="10"/>
      <c r="N936" s="10"/>
      <c r="O936" s="10"/>
      <c r="P936" s="10"/>
      <c r="Q936" s="10"/>
      <c r="R936" s="10"/>
      <c r="S936" s="10"/>
      <c r="T936" s="10"/>
      <c r="U936" s="10"/>
      <c r="V936" s="10"/>
      <c r="W936" s="10"/>
      <c r="X936" s="10"/>
      <c r="Y936" s="10"/>
      <c r="Z936" s="10"/>
    </row>
    <row r="937" spans="1:26" ht="20" customHeight="1" x14ac:dyDescent="0.15">
      <c r="A937" s="8"/>
      <c r="B937" s="9"/>
      <c r="C937" s="17"/>
      <c r="D937" s="10"/>
      <c r="E937" s="10"/>
      <c r="F937" s="11"/>
      <c r="G937" s="10"/>
      <c r="H937" s="10"/>
      <c r="I937" s="10"/>
      <c r="J937" s="10"/>
      <c r="K937" s="10"/>
      <c r="L937" s="10"/>
      <c r="M937" s="10"/>
      <c r="N937" s="10"/>
      <c r="O937" s="10"/>
      <c r="P937" s="10"/>
      <c r="Q937" s="10"/>
      <c r="R937" s="10"/>
      <c r="S937" s="10"/>
      <c r="T937" s="10"/>
      <c r="U937" s="10"/>
      <c r="V937" s="10"/>
      <c r="W937" s="10"/>
      <c r="X937" s="10"/>
      <c r="Y937" s="10"/>
      <c r="Z937" s="10"/>
    </row>
    <row r="938" spans="1:26" ht="20" customHeight="1" x14ac:dyDescent="0.15">
      <c r="A938" s="8"/>
      <c r="B938" s="9"/>
      <c r="C938" s="17"/>
      <c r="D938" s="10"/>
      <c r="E938" s="10"/>
      <c r="F938" s="11"/>
      <c r="G938" s="10"/>
      <c r="H938" s="10"/>
      <c r="I938" s="10"/>
      <c r="J938" s="10"/>
      <c r="K938" s="10"/>
      <c r="L938" s="10"/>
      <c r="M938" s="10"/>
      <c r="N938" s="10"/>
      <c r="O938" s="10"/>
      <c r="P938" s="10"/>
      <c r="Q938" s="10"/>
      <c r="R938" s="10"/>
      <c r="S938" s="10"/>
      <c r="T938" s="10"/>
      <c r="U938" s="10"/>
      <c r="V938" s="10"/>
      <c r="W938" s="10"/>
      <c r="X938" s="10"/>
      <c r="Y938" s="10"/>
      <c r="Z938" s="10"/>
    </row>
    <row r="939" spans="1:26" ht="20" customHeight="1" x14ac:dyDescent="0.15">
      <c r="A939" s="8"/>
      <c r="B939" s="9"/>
      <c r="C939" s="17"/>
      <c r="D939" s="10"/>
      <c r="E939" s="10"/>
      <c r="F939" s="11"/>
      <c r="G939" s="10"/>
      <c r="H939" s="10"/>
      <c r="I939" s="10"/>
      <c r="J939" s="10"/>
      <c r="K939" s="10"/>
      <c r="L939" s="10"/>
      <c r="M939" s="10"/>
      <c r="N939" s="10"/>
      <c r="O939" s="10"/>
      <c r="P939" s="10"/>
      <c r="Q939" s="10"/>
      <c r="R939" s="10"/>
      <c r="S939" s="10"/>
      <c r="T939" s="10"/>
      <c r="U939" s="10"/>
      <c r="V939" s="10"/>
      <c r="W939" s="10"/>
      <c r="X939" s="10"/>
      <c r="Y939" s="10"/>
      <c r="Z939" s="10"/>
    </row>
    <row r="940" spans="1:26" ht="20" customHeight="1" x14ac:dyDescent="0.15">
      <c r="A940" s="8"/>
      <c r="B940" s="9"/>
      <c r="C940" s="17"/>
      <c r="D940" s="10"/>
      <c r="E940" s="10"/>
      <c r="F940" s="11"/>
      <c r="G940" s="10"/>
      <c r="H940" s="10"/>
      <c r="I940" s="10"/>
      <c r="J940" s="10"/>
      <c r="K940" s="10"/>
      <c r="L940" s="10"/>
      <c r="M940" s="10"/>
      <c r="N940" s="10"/>
      <c r="O940" s="10"/>
      <c r="P940" s="10"/>
      <c r="Q940" s="10"/>
      <c r="R940" s="10"/>
      <c r="S940" s="10"/>
      <c r="T940" s="10"/>
      <c r="U940" s="10"/>
      <c r="V940" s="10"/>
      <c r="W940" s="10"/>
      <c r="X940" s="10"/>
      <c r="Y940" s="10"/>
      <c r="Z940" s="10"/>
    </row>
    <row r="941" spans="1:26" ht="20" customHeight="1" x14ac:dyDescent="0.15">
      <c r="A941" s="8"/>
      <c r="B941" s="9"/>
      <c r="C941" s="17"/>
      <c r="D941" s="10"/>
      <c r="E941" s="10"/>
      <c r="F941" s="11"/>
      <c r="G941" s="10"/>
      <c r="H941" s="10"/>
      <c r="I941" s="10"/>
      <c r="J941" s="10"/>
      <c r="K941" s="10"/>
      <c r="L941" s="10"/>
      <c r="M941" s="10"/>
      <c r="N941" s="10"/>
      <c r="O941" s="10"/>
      <c r="P941" s="10"/>
      <c r="Q941" s="10"/>
      <c r="R941" s="10"/>
      <c r="S941" s="10"/>
      <c r="T941" s="10"/>
      <c r="U941" s="10"/>
      <c r="V941" s="10"/>
      <c r="W941" s="10"/>
      <c r="X941" s="10"/>
      <c r="Y941" s="10"/>
      <c r="Z941" s="10"/>
    </row>
    <row r="942" spans="1:26" ht="20" customHeight="1" x14ac:dyDescent="0.15">
      <c r="A942" s="8"/>
      <c r="B942" s="9"/>
      <c r="C942" s="17"/>
      <c r="D942" s="10"/>
      <c r="E942" s="10"/>
      <c r="F942" s="11"/>
      <c r="G942" s="10"/>
      <c r="H942" s="10"/>
      <c r="I942" s="10"/>
      <c r="J942" s="10"/>
      <c r="K942" s="10"/>
      <c r="L942" s="10"/>
      <c r="M942" s="10"/>
      <c r="N942" s="10"/>
      <c r="O942" s="10"/>
      <c r="P942" s="10"/>
      <c r="Q942" s="10"/>
      <c r="R942" s="10"/>
      <c r="S942" s="10"/>
      <c r="T942" s="10"/>
      <c r="U942" s="10"/>
      <c r="V942" s="10"/>
      <c r="W942" s="10"/>
      <c r="X942" s="10"/>
      <c r="Y942" s="10"/>
      <c r="Z942" s="10"/>
    </row>
    <row r="943" spans="1:26" ht="20" customHeight="1" x14ac:dyDescent="0.15">
      <c r="A943" s="8"/>
      <c r="B943" s="9"/>
      <c r="C943" s="17"/>
      <c r="D943" s="10"/>
      <c r="E943" s="10"/>
      <c r="F943" s="11"/>
      <c r="G943" s="10"/>
      <c r="H943" s="10"/>
      <c r="I943" s="10"/>
      <c r="J943" s="10"/>
      <c r="K943" s="10"/>
      <c r="L943" s="10"/>
      <c r="M943" s="10"/>
      <c r="N943" s="10"/>
      <c r="O943" s="10"/>
      <c r="P943" s="10"/>
      <c r="Q943" s="10"/>
      <c r="R943" s="10"/>
      <c r="S943" s="10"/>
      <c r="T943" s="10"/>
      <c r="U943" s="10"/>
      <c r="V943" s="10"/>
      <c r="W943" s="10"/>
      <c r="X943" s="10"/>
      <c r="Y943" s="10"/>
      <c r="Z943" s="10"/>
    </row>
    <row r="944" spans="1:26" ht="20" customHeight="1" x14ac:dyDescent="0.15">
      <c r="A944" s="8"/>
      <c r="B944" s="9"/>
      <c r="C944" s="17"/>
      <c r="D944" s="10"/>
      <c r="E944" s="10"/>
      <c r="F944" s="11"/>
      <c r="G944" s="10"/>
      <c r="H944" s="10"/>
      <c r="I944" s="10"/>
      <c r="J944" s="10"/>
      <c r="K944" s="10"/>
      <c r="L944" s="10"/>
      <c r="M944" s="10"/>
      <c r="N944" s="10"/>
      <c r="O944" s="10"/>
      <c r="P944" s="10"/>
      <c r="Q944" s="10"/>
      <c r="R944" s="10"/>
      <c r="S944" s="10"/>
      <c r="T944" s="10"/>
      <c r="U944" s="10"/>
      <c r="V944" s="10"/>
      <c r="W944" s="10"/>
      <c r="X944" s="10"/>
      <c r="Y944" s="10"/>
      <c r="Z944" s="10"/>
    </row>
    <row r="945" spans="1:26" ht="20" customHeight="1" x14ac:dyDescent="0.15">
      <c r="A945" s="8"/>
      <c r="B945" s="9"/>
      <c r="C945" s="17"/>
      <c r="D945" s="10"/>
      <c r="E945" s="10"/>
      <c r="F945" s="11"/>
      <c r="G945" s="10"/>
      <c r="H945" s="10"/>
      <c r="I945" s="10"/>
      <c r="J945" s="10"/>
      <c r="K945" s="10"/>
      <c r="L945" s="10"/>
      <c r="M945" s="10"/>
      <c r="N945" s="10"/>
      <c r="O945" s="10"/>
      <c r="P945" s="10"/>
      <c r="Q945" s="10"/>
      <c r="R945" s="10"/>
      <c r="S945" s="10"/>
      <c r="T945" s="10"/>
      <c r="U945" s="10"/>
      <c r="V945" s="10"/>
      <c r="W945" s="10"/>
      <c r="X945" s="10"/>
      <c r="Y945" s="10"/>
      <c r="Z945" s="10"/>
    </row>
    <row r="946" spans="1:26" ht="20" customHeight="1" x14ac:dyDescent="0.15">
      <c r="A946" s="8"/>
      <c r="B946" s="9"/>
      <c r="C946" s="17"/>
      <c r="D946" s="10"/>
      <c r="E946" s="10"/>
      <c r="F946" s="11"/>
      <c r="G946" s="10"/>
      <c r="H946" s="10"/>
      <c r="I946" s="10"/>
      <c r="J946" s="10"/>
      <c r="K946" s="10"/>
      <c r="L946" s="10"/>
      <c r="M946" s="10"/>
      <c r="N946" s="10"/>
      <c r="O946" s="10"/>
      <c r="P946" s="10"/>
      <c r="Q946" s="10"/>
      <c r="R946" s="10"/>
      <c r="S946" s="10"/>
      <c r="T946" s="10"/>
      <c r="U946" s="10"/>
      <c r="V946" s="10"/>
      <c r="W946" s="10"/>
      <c r="X946" s="10"/>
      <c r="Y946" s="10"/>
      <c r="Z946" s="10"/>
    </row>
    <row r="947" spans="1:26" ht="20" customHeight="1" x14ac:dyDescent="0.15">
      <c r="A947" s="8"/>
      <c r="B947" s="9"/>
      <c r="C947" s="17"/>
      <c r="D947" s="10"/>
      <c r="E947" s="10"/>
      <c r="F947" s="11"/>
      <c r="G947" s="10"/>
      <c r="H947" s="10"/>
      <c r="I947" s="10"/>
      <c r="J947" s="10"/>
      <c r="K947" s="10"/>
      <c r="L947" s="10"/>
      <c r="M947" s="10"/>
      <c r="N947" s="10"/>
      <c r="O947" s="10"/>
      <c r="P947" s="10"/>
      <c r="Q947" s="10"/>
      <c r="R947" s="10"/>
      <c r="S947" s="10"/>
      <c r="T947" s="10"/>
      <c r="U947" s="10"/>
      <c r="V947" s="10"/>
      <c r="W947" s="10"/>
      <c r="X947" s="10"/>
      <c r="Y947" s="10"/>
      <c r="Z947" s="10"/>
    </row>
    <row r="948" spans="1:26" ht="20" customHeight="1" x14ac:dyDescent="0.15">
      <c r="A948" s="8"/>
      <c r="B948" s="9"/>
      <c r="C948" s="17"/>
      <c r="D948" s="10"/>
      <c r="E948" s="10"/>
      <c r="F948" s="11"/>
      <c r="G948" s="10"/>
      <c r="H948" s="10"/>
      <c r="I948" s="10"/>
      <c r="J948" s="10"/>
      <c r="K948" s="10"/>
      <c r="L948" s="10"/>
      <c r="M948" s="10"/>
      <c r="N948" s="10"/>
      <c r="O948" s="10"/>
      <c r="P948" s="10"/>
      <c r="Q948" s="10"/>
      <c r="R948" s="10"/>
      <c r="S948" s="10"/>
      <c r="T948" s="10"/>
      <c r="U948" s="10"/>
      <c r="V948" s="10"/>
      <c r="W948" s="10"/>
      <c r="X948" s="10"/>
      <c r="Y948" s="10"/>
      <c r="Z948" s="10"/>
    </row>
    <row r="949" spans="1:26" ht="20" customHeight="1" x14ac:dyDescent="0.15">
      <c r="A949" s="8"/>
      <c r="B949" s="9"/>
      <c r="C949" s="17"/>
      <c r="D949" s="10"/>
      <c r="E949" s="10"/>
      <c r="F949" s="11"/>
      <c r="G949" s="10"/>
      <c r="H949" s="10"/>
      <c r="I949" s="10"/>
      <c r="J949" s="10"/>
      <c r="K949" s="10"/>
      <c r="L949" s="10"/>
      <c r="M949" s="10"/>
      <c r="N949" s="10"/>
      <c r="O949" s="10"/>
      <c r="P949" s="10"/>
      <c r="Q949" s="10"/>
      <c r="R949" s="10"/>
      <c r="S949" s="10"/>
      <c r="T949" s="10"/>
      <c r="U949" s="10"/>
      <c r="V949" s="10"/>
      <c r="W949" s="10"/>
      <c r="X949" s="10"/>
      <c r="Y949" s="10"/>
      <c r="Z949" s="10"/>
    </row>
    <row r="950" spans="1:26" ht="20" customHeight="1" x14ac:dyDescent="0.15">
      <c r="A950" s="8"/>
      <c r="B950" s="9"/>
      <c r="C950" s="17"/>
      <c r="D950" s="10"/>
      <c r="E950" s="10"/>
      <c r="F950" s="11"/>
      <c r="G950" s="10"/>
      <c r="H950" s="10"/>
      <c r="I950" s="10"/>
      <c r="J950" s="10"/>
      <c r="K950" s="10"/>
      <c r="L950" s="10"/>
      <c r="M950" s="10"/>
      <c r="N950" s="10"/>
      <c r="O950" s="10"/>
      <c r="P950" s="10"/>
      <c r="Q950" s="10"/>
      <c r="R950" s="10"/>
      <c r="S950" s="10"/>
      <c r="T950" s="10"/>
      <c r="U950" s="10"/>
      <c r="V950" s="10"/>
      <c r="W950" s="10"/>
      <c r="X950" s="10"/>
      <c r="Y950" s="10"/>
      <c r="Z950" s="10"/>
    </row>
    <row r="951" spans="1:26" ht="20" customHeight="1" x14ac:dyDescent="0.15">
      <c r="A951" s="8"/>
      <c r="B951" s="9"/>
      <c r="C951" s="17"/>
      <c r="D951" s="10"/>
      <c r="E951" s="10"/>
      <c r="F951" s="11"/>
      <c r="G951" s="10"/>
      <c r="H951" s="10"/>
      <c r="I951" s="10"/>
      <c r="J951" s="10"/>
      <c r="K951" s="10"/>
      <c r="L951" s="10"/>
      <c r="M951" s="10"/>
      <c r="N951" s="10"/>
      <c r="O951" s="10"/>
      <c r="P951" s="10"/>
      <c r="Q951" s="10"/>
      <c r="R951" s="10"/>
      <c r="S951" s="10"/>
      <c r="T951" s="10"/>
      <c r="U951" s="10"/>
      <c r="V951" s="10"/>
      <c r="W951" s="10"/>
      <c r="X951" s="10"/>
      <c r="Y951" s="10"/>
      <c r="Z951" s="10"/>
    </row>
    <row r="952" spans="1:26" ht="20" customHeight="1" x14ac:dyDescent="0.15">
      <c r="A952" s="8"/>
      <c r="B952" s="9"/>
      <c r="C952" s="17"/>
      <c r="D952" s="10"/>
      <c r="E952" s="10"/>
      <c r="F952" s="11"/>
      <c r="G952" s="10"/>
      <c r="H952" s="10"/>
      <c r="I952" s="10"/>
      <c r="J952" s="10"/>
      <c r="K952" s="10"/>
      <c r="L952" s="10"/>
      <c r="M952" s="10"/>
      <c r="N952" s="10"/>
      <c r="O952" s="10"/>
      <c r="P952" s="10"/>
      <c r="Q952" s="10"/>
      <c r="R952" s="10"/>
      <c r="S952" s="10"/>
      <c r="T952" s="10"/>
      <c r="U952" s="10"/>
      <c r="V952" s="10"/>
      <c r="W952" s="10"/>
      <c r="X952" s="10"/>
      <c r="Y952" s="10"/>
      <c r="Z952" s="10"/>
    </row>
    <row r="953" spans="1:26" ht="20" customHeight="1" x14ac:dyDescent="0.15">
      <c r="A953" s="8"/>
      <c r="B953" s="9"/>
      <c r="C953" s="17"/>
      <c r="D953" s="10"/>
      <c r="E953" s="10"/>
      <c r="F953" s="11"/>
      <c r="G953" s="10"/>
      <c r="H953" s="10"/>
      <c r="I953" s="10"/>
      <c r="J953" s="10"/>
      <c r="K953" s="10"/>
      <c r="L953" s="10"/>
      <c r="M953" s="10"/>
      <c r="N953" s="10"/>
      <c r="O953" s="10"/>
      <c r="P953" s="10"/>
      <c r="Q953" s="10"/>
      <c r="R953" s="10"/>
      <c r="S953" s="10"/>
      <c r="T953" s="10"/>
      <c r="U953" s="10"/>
      <c r="V953" s="10"/>
      <c r="W953" s="10"/>
      <c r="X953" s="10"/>
      <c r="Y953" s="10"/>
      <c r="Z953" s="10"/>
    </row>
    <row r="954" spans="1:26" ht="20" customHeight="1" x14ac:dyDescent="0.15">
      <c r="A954" s="8"/>
      <c r="B954" s="9"/>
      <c r="C954" s="17"/>
      <c r="D954" s="10"/>
      <c r="E954" s="10"/>
      <c r="F954" s="11"/>
      <c r="G954" s="10"/>
      <c r="H954" s="10"/>
      <c r="I954" s="10"/>
      <c r="J954" s="10"/>
      <c r="K954" s="10"/>
      <c r="L954" s="10"/>
      <c r="M954" s="10"/>
      <c r="N954" s="10"/>
      <c r="O954" s="10"/>
      <c r="P954" s="10"/>
      <c r="Q954" s="10"/>
      <c r="R954" s="10"/>
      <c r="S954" s="10"/>
      <c r="T954" s="10"/>
      <c r="U954" s="10"/>
      <c r="V954" s="10"/>
      <c r="W954" s="10"/>
      <c r="X954" s="10"/>
      <c r="Y954" s="10"/>
      <c r="Z954" s="10"/>
    </row>
    <row r="955" spans="1:26" ht="20" customHeight="1" x14ac:dyDescent="0.15">
      <c r="A955" s="8"/>
      <c r="B955" s="9"/>
      <c r="C955" s="17"/>
      <c r="D955" s="10"/>
      <c r="E955" s="10"/>
      <c r="F955" s="11"/>
      <c r="G955" s="10"/>
      <c r="H955" s="10"/>
      <c r="I955" s="10"/>
      <c r="J955" s="10"/>
      <c r="K955" s="10"/>
      <c r="L955" s="10"/>
      <c r="M955" s="10"/>
      <c r="N955" s="10"/>
      <c r="O955" s="10"/>
      <c r="P955" s="10"/>
      <c r="Q955" s="10"/>
      <c r="R955" s="10"/>
      <c r="S955" s="10"/>
      <c r="T955" s="10"/>
      <c r="U955" s="10"/>
      <c r="V955" s="10"/>
      <c r="W955" s="10"/>
      <c r="X955" s="10"/>
      <c r="Y955" s="10"/>
      <c r="Z955" s="10"/>
    </row>
    <row r="956" spans="1:26" ht="20" customHeight="1" x14ac:dyDescent="0.15">
      <c r="A956" s="8"/>
      <c r="B956" s="9"/>
      <c r="C956" s="17"/>
      <c r="D956" s="10"/>
      <c r="E956" s="10"/>
      <c r="F956" s="11"/>
      <c r="G956" s="10"/>
      <c r="H956" s="10"/>
      <c r="I956" s="10"/>
      <c r="J956" s="10"/>
      <c r="K956" s="10"/>
      <c r="L956" s="10"/>
      <c r="M956" s="10"/>
      <c r="N956" s="10"/>
      <c r="O956" s="10"/>
      <c r="P956" s="10"/>
      <c r="Q956" s="10"/>
      <c r="R956" s="10"/>
      <c r="S956" s="10"/>
      <c r="T956" s="10"/>
      <c r="U956" s="10"/>
      <c r="V956" s="10"/>
      <c r="W956" s="10"/>
      <c r="X956" s="10"/>
      <c r="Y956" s="10"/>
      <c r="Z956" s="10"/>
    </row>
    <row r="957" spans="1:26" ht="20" customHeight="1" x14ac:dyDescent="0.15">
      <c r="A957" s="8"/>
      <c r="B957" s="9"/>
      <c r="C957" s="17"/>
      <c r="D957" s="10"/>
      <c r="E957" s="10"/>
      <c r="F957" s="11"/>
      <c r="G957" s="10"/>
      <c r="H957" s="10"/>
      <c r="I957" s="10"/>
      <c r="J957" s="10"/>
      <c r="K957" s="10"/>
      <c r="L957" s="10"/>
      <c r="M957" s="10"/>
      <c r="N957" s="10"/>
      <c r="O957" s="10"/>
      <c r="P957" s="10"/>
      <c r="Q957" s="10"/>
      <c r="R957" s="10"/>
      <c r="S957" s="10"/>
      <c r="T957" s="10"/>
      <c r="U957" s="10"/>
      <c r="V957" s="10"/>
      <c r="W957" s="10"/>
      <c r="X957" s="10"/>
      <c r="Y957" s="10"/>
      <c r="Z957" s="10"/>
    </row>
    <row r="958" spans="1:26" ht="20" customHeight="1" x14ac:dyDescent="0.15">
      <c r="A958" s="8"/>
      <c r="B958" s="9"/>
      <c r="C958" s="17"/>
      <c r="D958" s="10"/>
      <c r="E958" s="10"/>
      <c r="F958" s="11"/>
      <c r="G958" s="10"/>
      <c r="H958" s="10"/>
      <c r="I958" s="10"/>
      <c r="J958" s="10"/>
      <c r="K958" s="10"/>
      <c r="L958" s="10"/>
      <c r="M958" s="10"/>
      <c r="N958" s="10"/>
      <c r="O958" s="10"/>
      <c r="P958" s="10"/>
      <c r="Q958" s="10"/>
      <c r="R958" s="10"/>
      <c r="S958" s="10"/>
      <c r="T958" s="10"/>
      <c r="U958" s="10"/>
      <c r="V958" s="10"/>
      <c r="W958" s="10"/>
      <c r="X958" s="10"/>
      <c r="Y958" s="10"/>
      <c r="Z958" s="10"/>
    </row>
    <row r="959" spans="1:26" ht="20" customHeight="1" x14ac:dyDescent="0.15">
      <c r="A959" s="8"/>
      <c r="B959" s="9"/>
      <c r="C959" s="17"/>
      <c r="D959" s="10"/>
      <c r="E959" s="10"/>
      <c r="F959" s="11"/>
      <c r="G959" s="10"/>
      <c r="H959" s="10"/>
      <c r="I959" s="10"/>
      <c r="J959" s="10"/>
      <c r="K959" s="10"/>
      <c r="L959" s="10"/>
      <c r="M959" s="10"/>
      <c r="N959" s="10"/>
      <c r="O959" s="10"/>
      <c r="P959" s="10"/>
      <c r="Q959" s="10"/>
      <c r="R959" s="10"/>
      <c r="S959" s="10"/>
      <c r="T959" s="10"/>
      <c r="U959" s="10"/>
      <c r="V959" s="10"/>
      <c r="W959" s="10"/>
      <c r="X959" s="10"/>
      <c r="Y959" s="10"/>
      <c r="Z959" s="10"/>
    </row>
    <row r="960" spans="1:26" ht="20" customHeight="1" x14ac:dyDescent="0.15">
      <c r="A960" s="8"/>
      <c r="B960" s="9"/>
      <c r="C960" s="17"/>
      <c r="D960" s="10"/>
      <c r="E960" s="10"/>
      <c r="F960" s="11"/>
      <c r="G960" s="10"/>
      <c r="H960" s="10"/>
      <c r="I960" s="10"/>
      <c r="J960" s="10"/>
      <c r="K960" s="10"/>
      <c r="L960" s="10"/>
      <c r="M960" s="10"/>
      <c r="N960" s="10"/>
      <c r="O960" s="10"/>
      <c r="P960" s="10"/>
      <c r="Q960" s="10"/>
      <c r="R960" s="10"/>
      <c r="S960" s="10"/>
      <c r="T960" s="10"/>
      <c r="U960" s="10"/>
      <c r="V960" s="10"/>
      <c r="W960" s="10"/>
      <c r="X960" s="10"/>
      <c r="Y960" s="10"/>
      <c r="Z960" s="10"/>
    </row>
    <row r="961" spans="1:26" ht="20" customHeight="1" x14ac:dyDescent="0.15">
      <c r="A961" s="8"/>
      <c r="B961" s="9"/>
      <c r="C961" s="17"/>
      <c r="D961" s="10"/>
      <c r="E961" s="10"/>
      <c r="F961" s="11"/>
      <c r="G961" s="10"/>
      <c r="H961" s="10"/>
      <c r="I961" s="10"/>
      <c r="J961" s="10"/>
      <c r="K961" s="10"/>
      <c r="L961" s="10"/>
      <c r="M961" s="10"/>
      <c r="N961" s="10"/>
      <c r="O961" s="10"/>
      <c r="P961" s="10"/>
      <c r="Q961" s="10"/>
      <c r="R961" s="10"/>
      <c r="S961" s="10"/>
      <c r="T961" s="10"/>
      <c r="U961" s="10"/>
      <c r="V961" s="10"/>
      <c r="W961" s="10"/>
      <c r="X961" s="10"/>
      <c r="Y961" s="10"/>
      <c r="Z961" s="10"/>
    </row>
    <row r="962" spans="1:26" ht="20" customHeight="1" x14ac:dyDescent="0.15">
      <c r="A962" s="8"/>
      <c r="B962" s="9"/>
      <c r="C962" s="17"/>
      <c r="D962" s="10"/>
      <c r="E962" s="10"/>
      <c r="F962" s="11"/>
      <c r="G962" s="10"/>
      <c r="H962" s="10"/>
      <c r="I962" s="10"/>
      <c r="J962" s="10"/>
      <c r="K962" s="10"/>
      <c r="L962" s="10"/>
      <c r="M962" s="10"/>
      <c r="N962" s="10"/>
      <c r="O962" s="10"/>
      <c r="P962" s="10"/>
      <c r="Q962" s="10"/>
      <c r="R962" s="10"/>
      <c r="S962" s="10"/>
      <c r="T962" s="10"/>
      <c r="U962" s="10"/>
      <c r="V962" s="10"/>
      <c r="W962" s="10"/>
      <c r="X962" s="10"/>
      <c r="Y962" s="10"/>
      <c r="Z962" s="10"/>
    </row>
    <row r="963" spans="1:26" ht="20" customHeight="1" x14ac:dyDescent="0.15">
      <c r="A963" s="8"/>
      <c r="B963" s="9"/>
      <c r="C963" s="17"/>
      <c r="D963" s="10"/>
      <c r="E963" s="10"/>
      <c r="F963" s="11"/>
      <c r="G963" s="10"/>
      <c r="H963" s="10"/>
      <c r="I963" s="10"/>
      <c r="J963" s="10"/>
      <c r="K963" s="10"/>
      <c r="L963" s="10"/>
      <c r="M963" s="10"/>
      <c r="N963" s="10"/>
      <c r="O963" s="10"/>
      <c r="P963" s="10"/>
      <c r="Q963" s="10"/>
      <c r="R963" s="10"/>
      <c r="S963" s="10"/>
      <c r="T963" s="10"/>
      <c r="U963" s="10"/>
      <c r="V963" s="10"/>
      <c r="W963" s="10"/>
      <c r="X963" s="10"/>
      <c r="Y963" s="10"/>
      <c r="Z963" s="10"/>
    </row>
    <row r="964" spans="1:26" ht="20" customHeight="1" x14ac:dyDescent="0.15">
      <c r="A964" s="8"/>
      <c r="B964" s="9"/>
      <c r="C964" s="17"/>
      <c r="D964" s="10"/>
      <c r="E964" s="10"/>
      <c r="F964" s="11"/>
      <c r="G964" s="10"/>
      <c r="H964" s="10"/>
      <c r="I964" s="10"/>
      <c r="J964" s="10"/>
      <c r="K964" s="10"/>
      <c r="L964" s="10"/>
      <c r="M964" s="10"/>
      <c r="N964" s="10"/>
      <c r="O964" s="10"/>
      <c r="P964" s="10"/>
      <c r="Q964" s="10"/>
      <c r="R964" s="10"/>
      <c r="S964" s="10"/>
      <c r="T964" s="10"/>
      <c r="U964" s="10"/>
      <c r="V964" s="10"/>
      <c r="W964" s="10"/>
      <c r="X964" s="10"/>
      <c r="Y964" s="10"/>
      <c r="Z964" s="10"/>
    </row>
    <row r="965" spans="1:26" ht="20" customHeight="1" x14ac:dyDescent="0.15">
      <c r="A965" s="8"/>
      <c r="B965" s="9"/>
      <c r="C965" s="17"/>
      <c r="D965" s="10"/>
      <c r="E965" s="10"/>
      <c r="F965" s="11"/>
      <c r="G965" s="10"/>
      <c r="H965" s="10"/>
      <c r="I965" s="10"/>
      <c r="J965" s="10"/>
      <c r="K965" s="10"/>
      <c r="L965" s="10"/>
      <c r="M965" s="10"/>
      <c r="N965" s="10"/>
      <c r="O965" s="10"/>
      <c r="P965" s="10"/>
      <c r="Q965" s="10"/>
      <c r="R965" s="10"/>
      <c r="S965" s="10"/>
      <c r="T965" s="10"/>
      <c r="U965" s="10"/>
      <c r="V965" s="10"/>
      <c r="W965" s="10"/>
      <c r="X965" s="10"/>
      <c r="Y965" s="10"/>
      <c r="Z965" s="10"/>
    </row>
    <row r="966" spans="1:26" ht="20" customHeight="1" x14ac:dyDescent="0.15">
      <c r="A966" s="8"/>
      <c r="B966" s="9"/>
      <c r="C966" s="17"/>
      <c r="D966" s="10"/>
      <c r="E966" s="10"/>
      <c r="F966" s="11"/>
      <c r="G966" s="10"/>
      <c r="H966" s="10"/>
      <c r="I966" s="10"/>
      <c r="J966" s="10"/>
      <c r="K966" s="10"/>
      <c r="L966" s="10"/>
      <c r="M966" s="10"/>
      <c r="N966" s="10"/>
      <c r="O966" s="10"/>
      <c r="P966" s="10"/>
      <c r="Q966" s="10"/>
      <c r="R966" s="10"/>
      <c r="S966" s="10"/>
      <c r="T966" s="10"/>
      <c r="U966" s="10"/>
      <c r="V966" s="10"/>
      <c r="W966" s="10"/>
      <c r="X966" s="10"/>
      <c r="Y966" s="10"/>
      <c r="Z966" s="10"/>
    </row>
    <row r="967" spans="1:26" ht="20" customHeight="1" x14ac:dyDescent="0.15">
      <c r="A967" s="8"/>
      <c r="B967" s="9"/>
      <c r="C967" s="17"/>
      <c r="D967" s="10"/>
      <c r="E967" s="10"/>
      <c r="F967" s="11"/>
      <c r="G967" s="10"/>
      <c r="H967" s="10"/>
      <c r="I967" s="10"/>
      <c r="J967" s="10"/>
      <c r="K967" s="10"/>
      <c r="L967" s="10"/>
      <c r="M967" s="10"/>
      <c r="N967" s="10"/>
      <c r="O967" s="10"/>
      <c r="P967" s="10"/>
      <c r="Q967" s="10"/>
      <c r="R967" s="10"/>
      <c r="S967" s="10"/>
      <c r="T967" s="10"/>
      <c r="U967" s="10"/>
      <c r="V967" s="10"/>
      <c r="W967" s="10"/>
      <c r="X967" s="10"/>
      <c r="Y967" s="10"/>
      <c r="Z967" s="10"/>
    </row>
    <row r="968" spans="1:26" ht="20" customHeight="1" x14ac:dyDescent="0.15">
      <c r="A968" s="8"/>
      <c r="B968" s="9"/>
      <c r="C968" s="17"/>
      <c r="D968" s="10"/>
      <c r="E968" s="10"/>
      <c r="F968" s="11"/>
      <c r="G968" s="10"/>
      <c r="H968" s="10"/>
      <c r="I968" s="10"/>
      <c r="J968" s="10"/>
      <c r="K968" s="10"/>
      <c r="L968" s="10"/>
      <c r="M968" s="10"/>
      <c r="N968" s="10"/>
      <c r="O968" s="10"/>
      <c r="P968" s="10"/>
      <c r="Q968" s="10"/>
      <c r="R968" s="10"/>
      <c r="S968" s="10"/>
      <c r="T968" s="10"/>
      <c r="U968" s="10"/>
      <c r="V968" s="10"/>
      <c r="W968" s="10"/>
      <c r="X968" s="10"/>
      <c r="Y968" s="10"/>
      <c r="Z968" s="10"/>
    </row>
    <row r="969" spans="1:26" ht="20" customHeight="1" x14ac:dyDescent="0.15">
      <c r="A969" s="8"/>
      <c r="B969" s="9"/>
      <c r="C969" s="17"/>
      <c r="D969" s="10"/>
      <c r="E969" s="10"/>
      <c r="F969" s="11"/>
      <c r="G969" s="10"/>
      <c r="H969" s="10"/>
      <c r="I969" s="10"/>
      <c r="J969" s="10"/>
      <c r="K969" s="10"/>
      <c r="L969" s="10"/>
      <c r="M969" s="10"/>
      <c r="N969" s="10"/>
      <c r="O969" s="10"/>
      <c r="P969" s="10"/>
      <c r="Q969" s="10"/>
      <c r="R969" s="10"/>
      <c r="S969" s="10"/>
      <c r="T969" s="10"/>
      <c r="U969" s="10"/>
      <c r="V969" s="10"/>
      <c r="W969" s="10"/>
      <c r="X969" s="10"/>
      <c r="Y969" s="10"/>
      <c r="Z969" s="10"/>
    </row>
    <row r="970" spans="1:26" ht="20" customHeight="1" x14ac:dyDescent="0.15">
      <c r="A970" s="8"/>
      <c r="B970" s="9"/>
      <c r="C970" s="17"/>
      <c r="D970" s="10"/>
      <c r="E970" s="10"/>
      <c r="F970" s="11"/>
      <c r="G970" s="10"/>
      <c r="H970" s="10"/>
      <c r="I970" s="10"/>
      <c r="J970" s="10"/>
      <c r="K970" s="10"/>
      <c r="L970" s="10"/>
      <c r="M970" s="10"/>
      <c r="N970" s="10"/>
      <c r="O970" s="10"/>
      <c r="P970" s="10"/>
      <c r="Q970" s="10"/>
      <c r="R970" s="10"/>
      <c r="S970" s="10"/>
      <c r="T970" s="10"/>
      <c r="U970" s="10"/>
      <c r="V970" s="10"/>
      <c r="W970" s="10"/>
      <c r="X970" s="10"/>
      <c r="Y970" s="10"/>
      <c r="Z970" s="10"/>
    </row>
    <row r="971" spans="1:26" ht="20" customHeight="1" x14ac:dyDescent="0.15">
      <c r="A971" s="8"/>
      <c r="B971" s="9"/>
      <c r="C971" s="17"/>
      <c r="D971" s="10"/>
      <c r="E971" s="10"/>
      <c r="F971" s="11"/>
      <c r="G971" s="10"/>
      <c r="H971" s="10"/>
      <c r="I971" s="10"/>
      <c r="J971" s="10"/>
      <c r="K971" s="10"/>
      <c r="L971" s="10"/>
      <c r="M971" s="10"/>
      <c r="N971" s="10"/>
      <c r="O971" s="10"/>
      <c r="P971" s="10"/>
      <c r="Q971" s="10"/>
      <c r="R971" s="10"/>
      <c r="S971" s="10"/>
      <c r="T971" s="10"/>
      <c r="U971" s="10"/>
      <c r="V971" s="10"/>
      <c r="W971" s="10"/>
      <c r="X971" s="10"/>
      <c r="Y971" s="10"/>
      <c r="Z971" s="10"/>
    </row>
    <row r="972" spans="1:26" ht="20" customHeight="1" x14ac:dyDescent="0.15">
      <c r="A972" s="8"/>
      <c r="B972" s="9"/>
      <c r="C972" s="17"/>
      <c r="D972" s="10"/>
      <c r="E972" s="10"/>
      <c r="F972" s="11"/>
      <c r="G972" s="10"/>
      <c r="H972" s="10"/>
      <c r="I972" s="10"/>
      <c r="J972" s="10"/>
      <c r="K972" s="10"/>
      <c r="L972" s="10"/>
      <c r="M972" s="10"/>
      <c r="N972" s="10"/>
      <c r="O972" s="10"/>
      <c r="P972" s="10"/>
      <c r="Q972" s="10"/>
      <c r="R972" s="10"/>
      <c r="S972" s="10"/>
      <c r="T972" s="10"/>
      <c r="U972" s="10"/>
      <c r="V972" s="10"/>
      <c r="W972" s="10"/>
      <c r="X972" s="10"/>
      <c r="Y972" s="10"/>
      <c r="Z972" s="10"/>
    </row>
    <row r="973" spans="1:26" ht="20" customHeight="1" x14ac:dyDescent="0.15">
      <c r="A973" s="8"/>
      <c r="B973" s="9"/>
      <c r="C973" s="17"/>
      <c r="D973" s="10"/>
      <c r="E973" s="10"/>
      <c r="F973" s="11"/>
      <c r="G973" s="10"/>
      <c r="H973" s="10"/>
      <c r="I973" s="10"/>
      <c r="J973" s="10"/>
      <c r="K973" s="10"/>
      <c r="L973" s="10"/>
      <c r="M973" s="10"/>
      <c r="N973" s="10"/>
      <c r="O973" s="10"/>
      <c r="P973" s="10"/>
      <c r="Q973" s="10"/>
      <c r="R973" s="10"/>
      <c r="S973" s="10"/>
      <c r="T973" s="10"/>
      <c r="U973" s="10"/>
      <c r="V973" s="10"/>
      <c r="W973" s="10"/>
      <c r="X973" s="10"/>
      <c r="Y973" s="10"/>
      <c r="Z973" s="10"/>
    </row>
    <row r="974" spans="1:26" ht="20" customHeight="1" x14ac:dyDescent="0.15">
      <c r="A974" s="8"/>
      <c r="B974" s="9"/>
      <c r="C974" s="17"/>
      <c r="D974" s="10"/>
      <c r="E974" s="10"/>
      <c r="F974" s="11"/>
      <c r="G974" s="10"/>
      <c r="H974" s="10"/>
      <c r="I974" s="10"/>
      <c r="J974" s="10"/>
      <c r="K974" s="10"/>
      <c r="L974" s="10"/>
      <c r="M974" s="10"/>
      <c r="N974" s="10"/>
      <c r="O974" s="10"/>
      <c r="P974" s="10"/>
      <c r="Q974" s="10"/>
      <c r="R974" s="10"/>
      <c r="S974" s="10"/>
      <c r="T974" s="10"/>
      <c r="U974" s="10"/>
      <c r="V974" s="10"/>
      <c r="W974" s="10"/>
      <c r="X974" s="10"/>
      <c r="Y974" s="10"/>
      <c r="Z974" s="10"/>
    </row>
    <row r="975" spans="1:26" ht="20" customHeight="1" x14ac:dyDescent="0.15">
      <c r="A975" s="8"/>
      <c r="B975" s="9"/>
      <c r="C975" s="17"/>
      <c r="D975" s="10"/>
      <c r="E975" s="10"/>
      <c r="F975" s="11"/>
      <c r="G975" s="10"/>
      <c r="H975" s="10"/>
      <c r="I975" s="10"/>
      <c r="J975" s="10"/>
      <c r="K975" s="10"/>
      <c r="L975" s="10"/>
      <c r="M975" s="10"/>
      <c r="N975" s="10"/>
      <c r="O975" s="10"/>
      <c r="P975" s="10"/>
      <c r="Q975" s="10"/>
      <c r="R975" s="10"/>
      <c r="S975" s="10"/>
      <c r="T975" s="10"/>
      <c r="U975" s="10"/>
      <c r="V975" s="10"/>
      <c r="W975" s="10"/>
      <c r="X975" s="10"/>
      <c r="Y975" s="10"/>
      <c r="Z975" s="10"/>
    </row>
    <row r="976" spans="1:26" ht="20" customHeight="1" x14ac:dyDescent="0.15">
      <c r="A976" s="8"/>
      <c r="B976" s="9"/>
      <c r="C976" s="17"/>
      <c r="D976" s="10"/>
      <c r="E976" s="10"/>
      <c r="F976" s="11"/>
      <c r="G976" s="10"/>
      <c r="H976" s="10"/>
      <c r="I976" s="10"/>
      <c r="J976" s="10"/>
      <c r="K976" s="10"/>
      <c r="L976" s="10"/>
      <c r="M976" s="10"/>
      <c r="N976" s="10"/>
      <c r="O976" s="10"/>
      <c r="P976" s="10"/>
      <c r="Q976" s="10"/>
      <c r="R976" s="10"/>
      <c r="S976" s="10"/>
      <c r="T976" s="10"/>
      <c r="U976" s="10"/>
      <c r="V976" s="10"/>
      <c r="W976" s="10"/>
      <c r="X976" s="10"/>
      <c r="Y976" s="10"/>
      <c r="Z976" s="10"/>
    </row>
    <row r="977" spans="1:26" ht="20" customHeight="1" x14ac:dyDescent="0.15">
      <c r="A977" s="8"/>
      <c r="B977" s="9"/>
      <c r="C977" s="17"/>
      <c r="D977" s="10"/>
      <c r="E977" s="10"/>
      <c r="F977" s="11"/>
      <c r="G977" s="10"/>
      <c r="H977" s="10"/>
      <c r="I977" s="10"/>
      <c r="J977" s="10"/>
      <c r="K977" s="10"/>
      <c r="L977" s="10"/>
      <c r="M977" s="10"/>
      <c r="N977" s="10"/>
      <c r="O977" s="10"/>
      <c r="P977" s="10"/>
      <c r="Q977" s="10"/>
      <c r="R977" s="10"/>
      <c r="S977" s="10"/>
      <c r="T977" s="10"/>
      <c r="U977" s="10"/>
      <c r="V977" s="10"/>
      <c r="W977" s="10"/>
      <c r="X977" s="10"/>
      <c r="Y977" s="10"/>
      <c r="Z977" s="10"/>
    </row>
    <row r="978" spans="1:26" ht="20" customHeight="1" x14ac:dyDescent="0.15">
      <c r="A978" s="8"/>
      <c r="B978" s="9"/>
      <c r="C978" s="17"/>
      <c r="D978" s="10"/>
      <c r="E978" s="10"/>
      <c r="F978" s="11"/>
      <c r="G978" s="10"/>
      <c r="H978" s="10"/>
      <c r="I978" s="10"/>
      <c r="J978" s="10"/>
      <c r="K978" s="10"/>
      <c r="L978" s="10"/>
      <c r="M978" s="10"/>
      <c r="N978" s="10"/>
      <c r="O978" s="10"/>
      <c r="P978" s="10"/>
      <c r="Q978" s="10"/>
      <c r="R978" s="10"/>
      <c r="S978" s="10"/>
      <c r="T978" s="10"/>
      <c r="U978" s="10"/>
      <c r="V978" s="10"/>
      <c r="W978" s="10"/>
      <c r="X978" s="10"/>
      <c r="Y978" s="10"/>
      <c r="Z978" s="10"/>
    </row>
    <row r="979" spans="1:26" ht="20" customHeight="1" x14ac:dyDescent="0.15">
      <c r="A979" s="8"/>
      <c r="B979" s="9"/>
      <c r="C979" s="17"/>
      <c r="D979" s="10"/>
      <c r="E979" s="10"/>
      <c r="F979" s="11"/>
      <c r="G979" s="10"/>
      <c r="H979" s="10"/>
      <c r="I979" s="10"/>
      <c r="J979" s="10"/>
      <c r="K979" s="10"/>
      <c r="L979" s="10"/>
      <c r="M979" s="10"/>
      <c r="N979" s="10"/>
      <c r="O979" s="10"/>
      <c r="P979" s="10"/>
      <c r="Q979" s="10"/>
      <c r="R979" s="10"/>
      <c r="S979" s="10"/>
      <c r="T979" s="10"/>
      <c r="U979" s="10"/>
      <c r="V979" s="10"/>
      <c r="W979" s="10"/>
      <c r="X979" s="10"/>
      <c r="Y979" s="10"/>
      <c r="Z979" s="10"/>
    </row>
    <row r="980" spans="1:26" ht="20" customHeight="1" x14ac:dyDescent="0.15">
      <c r="A980" s="8"/>
      <c r="B980" s="9"/>
      <c r="C980" s="17"/>
      <c r="D980" s="10"/>
      <c r="E980" s="10"/>
      <c r="F980" s="11"/>
      <c r="G980" s="10"/>
      <c r="H980" s="10"/>
      <c r="I980" s="10"/>
      <c r="J980" s="10"/>
      <c r="K980" s="10"/>
      <c r="L980" s="10"/>
      <c r="M980" s="10"/>
      <c r="N980" s="10"/>
      <c r="O980" s="10"/>
      <c r="P980" s="10"/>
      <c r="Q980" s="10"/>
      <c r="R980" s="10"/>
      <c r="S980" s="10"/>
      <c r="T980" s="10"/>
      <c r="U980" s="10"/>
      <c r="V980" s="10"/>
      <c r="W980" s="10"/>
      <c r="X980" s="10"/>
      <c r="Y980" s="10"/>
      <c r="Z980" s="10"/>
    </row>
    <row r="981" spans="1:26" ht="20" customHeight="1" x14ac:dyDescent="0.15">
      <c r="A981" s="8"/>
      <c r="B981" s="9"/>
      <c r="C981" s="17"/>
      <c r="D981" s="10"/>
      <c r="E981" s="10"/>
      <c r="F981" s="11"/>
      <c r="G981" s="10"/>
      <c r="H981" s="10"/>
      <c r="I981" s="10"/>
      <c r="J981" s="10"/>
      <c r="K981" s="10"/>
      <c r="L981" s="10"/>
      <c r="M981" s="10"/>
      <c r="N981" s="10"/>
      <c r="O981" s="10"/>
      <c r="P981" s="10"/>
      <c r="Q981" s="10"/>
      <c r="R981" s="10"/>
      <c r="S981" s="10"/>
      <c r="T981" s="10"/>
      <c r="U981" s="10"/>
      <c r="V981" s="10"/>
      <c r="W981" s="10"/>
      <c r="X981" s="10"/>
      <c r="Y981" s="10"/>
      <c r="Z981" s="10"/>
    </row>
    <row r="982" spans="1:26" ht="20" customHeight="1" x14ac:dyDescent="0.15">
      <c r="A982" s="8"/>
      <c r="B982" s="9"/>
      <c r="C982" s="17"/>
      <c r="D982" s="10"/>
      <c r="E982" s="10"/>
      <c r="F982" s="11"/>
      <c r="G982" s="10"/>
      <c r="H982" s="10"/>
      <c r="I982" s="10"/>
      <c r="J982" s="10"/>
      <c r="K982" s="10"/>
      <c r="L982" s="10"/>
      <c r="M982" s="10"/>
      <c r="N982" s="10"/>
      <c r="O982" s="10"/>
      <c r="P982" s="10"/>
      <c r="Q982" s="10"/>
      <c r="R982" s="10"/>
      <c r="S982" s="10"/>
      <c r="T982" s="10"/>
      <c r="U982" s="10"/>
      <c r="V982" s="10"/>
      <c r="W982" s="10"/>
      <c r="X982" s="10"/>
      <c r="Y982" s="10"/>
      <c r="Z982" s="10"/>
    </row>
    <row r="983" spans="1:26" ht="20" customHeight="1" x14ac:dyDescent="0.15">
      <c r="A983" s="8"/>
      <c r="B983" s="9"/>
      <c r="C983" s="17"/>
      <c r="D983" s="10"/>
      <c r="E983" s="10"/>
      <c r="F983" s="11"/>
      <c r="G983" s="10"/>
      <c r="H983" s="10"/>
      <c r="I983" s="10"/>
      <c r="J983" s="10"/>
      <c r="K983" s="10"/>
      <c r="L983" s="10"/>
      <c r="M983" s="10"/>
      <c r="N983" s="10"/>
      <c r="O983" s="10"/>
      <c r="P983" s="10"/>
      <c r="Q983" s="10"/>
      <c r="R983" s="10"/>
      <c r="S983" s="10"/>
      <c r="T983" s="10"/>
      <c r="U983" s="10"/>
      <c r="V983" s="10"/>
      <c r="W983" s="10"/>
      <c r="X983" s="10"/>
      <c r="Y983" s="10"/>
      <c r="Z983" s="10"/>
    </row>
    <row r="984" spans="1:26" ht="20" customHeight="1" x14ac:dyDescent="0.15">
      <c r="A984" s="8"/>
      <c r="B984" s="9"/>
      <c r="C984" s="17"/>
      <c r="D984" s="10"/>
      <c r="E984" s="10"/>
      <c r="F984" s="11"/>
      <c r="G984" s="10"/>
      <c r="H984" s="10"/>
      <c r="I984" s="10"/>
      <c r="J984" s="10"/>
      <c r="K984" s="10"/>
      <c r="L984" s="10"/>
      <c r="M984" s="10"/>
      <c r="N984" s="10"/>
      <c r="O984" s="10"/>
      <c r="P984" s="10"/>
      <c r="Q984" s="10"/>
      <c r="R984" s="10"/>
      <c r="S984" s="10"/>
      <c r="T984" s="10"/>
      <c r="U984" s="10"/>
      <c r="V984" s="10"/>
      <c r="W984" s="10"/>
      <c r="X984" s="10"/>
      <c r="Y984" s="10"/>
      <c r="Z984" s="10"/>
    </row>
    <row r="985" spans="1:26" ht="20" customHeight="1" x14ac:dyDescent="0.15">
      <c r="A985" s="8"/>
      <c r="B985" s="9"/>
      <c r="C985" s="17"/>
      <c r="D985" s="10"/>
      <c r="E985" s="10"/>
      <c r="F985" s="11"/>
      <c r="G985" s="10"/>
      <c r="H985" s="10"/>
      <c r="I985" s="10"/>
      <c r="J985" s="10"/>
      <c r="K985" s="10"/>
      <c r="L985" s="10"/>
      <c r="M985" s="10"/>
      <c r="N985" s="10"/>
      <c r="O985" s="10"/>
      <c r="P985" s="10"/>
      <c r="Q985" s="10"/>
      <c r="R985" s="10"/>
      <c r="S985" s="10"/>
      <c r="T985" s="10"/>
      <c r="U985" s="10"/>
      <c r="V985" s="10"/>
      <c r="W985" s="10"/>
      <c r="X985" s="10"/>
      <c r="Y985" s="10"/>
      <c r="Z985" s="10"/>
    </row>
    <row r="986" spans="1:26" ht="20" customHeight="1" x14ac:dyDescent="0.15">
      <c r="A986" s="8"/>
      <c r="B986" s="9"/>
      <c r="C986" s="17"/>
      <c r="D986" s="10"/>
      <c r="E986" s="10"/>
      <c r="F986" s="11"/>
      <c r="G986" s="10"/>
      <c r="H986" s="10"/>
      <c r="I986" s="10"/>
      <c r="J986" s="10"/>
      <c r="K986" s="10"/>
      <c r="L986" s="10"/>
      <c r="M986" s="10"/>
      <c r="N986" s="10"/>
      <c r="O986" s="10"/>
      <c r="P986" s="10"/>
      <c r="Q986" s="10"/>
      <c r="R986" s="10"/>
      <c r="S986" s="10"/>
      <c r="T986" s="10"/>
      <c r="U986" s="10"/>
      <c r="V986" s="10"/>
      <c r="W986" s="10"/>
      <c r="X986" s="10"/>
      <c r="Y986" s="10"/>
      <c r="Z986" s="10"/>
    </row>
    <row r="987" spans="1:26" ht="20" customHeight="1" x14ac:dyDescent="0.15">
      <c r="A987" s="8"/>
      <c r="B987" s="9"/>
      <c r="C987" s="17"/>
      <c r="D987" s="10"/>
      <c r="E987" s="10"/>
      <c r="F987" s="11"/>
      <c r="G987" s="10"/>
      <c r="H987" s="10"/>
      <c r="I987" s="10"/>
      <c r="J987" s="10"/>
      <c r="K987" s="10"/>
      <c r="L987" s="10"/>
      <c r="M987" s="10"/>
      <c r="N987" s="10"/>
      <c r="O987" s="10"/>
      <c r="P987" s="10"/>
      <c r="Q987" s="10"/>
      <c r="R987" s="10"/>
      <c r="S987" s="10"/>
      <c r="T987" s="10"/>
      <c r="U987" s="10"/>
      <c r="V987" s="10"/>
      <c r="W987" s="10"/>
      <c r="X987" s="10"/>
      <c r="Y987" s="10"/>
      <c r="Z987" s="10"/>
    </row>
    <row r="988" spans="1:26" ht="20" customHeight="1" x14ac:dyDescent="0.15">
      <c r="A988" s="8"/>
      <c r="B988" s="9"/>
      <c r="C988" s="17"/>
      <c r="D988" s="10"/>
      <c r="E988" s="10"/>
      <c r="F988" s="11"/>
      <c r="G988" s="10"/>
      <c r="H988" s="10"/>
      <c r="I988" s="10"/>
      <c r="J988" s="10"/>
      <c r="K988" s="10"/>
      <c r="L988" s="10"/>
      <c r="M988" s="10"/>
      <c r="N988" s="10"/>
      <c r="O988" s="10"/>
      <c r="P988" s="10"/>
      <c r="Q988" s="10"/>
      <c r="R988" s="10"/>
      <c r="S988" s="10"/>
      <c r="T988" s="10"/>
      <c r="U988" s="10"/>
      <c r="V988" s="10"/>
      <c r="W988" s="10"/>
      <c r="X988" s="10"/>
      <c r="Y988" s="10"/>
      <c r="Z988" s="10"/>
    </row>
    <row r="989" spans="1:26" ht="20" customHeight="1" x14ac:dyDescent="0.15">
      <c r="A989" s="8"/>
      <c r="B989" s="9"/>
      <c r="C989" s="17"/>
      <c r="D989" s="10"/>
      <c r="E989" s="10"/>
      <c r="F989" s="11"/>
      <c r="G989" s="10"/>
      <c r="H989" s="10"/>
      <c r="I989" s="10"/>
      <c r="J989" s="10"/>
      <c r="K989" s="10"/>
      <c r="L989" s="10"/>
      <c r="M989" s="10"/>
      <c r="N989" s="10"/>
      <c r="O989" s="10"/>
      <c r="P989" s="10"/>
      <c r="Q989" s="10"/>
      <c r="R989" s="10"/>
      <c r="S989" s="10"/>
      <c r="T989" s="10"/>
      <c r="U989" s="10"/>
      <c r="V989" s="10"/>
      <c r="W989" s="10"/>
      <c r="X989" s="10"/>
      <c r="Y989" s="10"/>
      <c r="Z989" s="10"/>
    </row>
    <row r="990" spans="1:26" ht="20" customHeight="1" x14ac:dyDescent="0.15">
      <c r="A990" s="8"/>
      <c r="B990" s="9"/>
      <c r="C990" s="17"/>
      <c r="D990" s="10"/>
      <c r="E990" s="10"/>
      <c r="F990" s="11"/>
      <c r="G990" s="10"/>
      <c r="H990" s="10"/>
      <c r="I990" s="10"/>
      <c r="J990" s="10"/>
      <c r="K990" s="10"/>
      <c r="L990" s="10"/>
      <c r="M990" s="10"/>
      <c r="N990" s="10"/>
      <c r="O990" s="10"/>
      <c r="P990" s="10"/>
      <c r="Q990" s="10"/>
      <c r="R990" s="10"/>
      <c r="S990" s="10"/>
      <c r="T990" s="10"/>
      <c r="U990" s="10"/>
      <c r="V990" s="10"/>
      <c r="W990" s="10"/>
      <c r="X990" s="10"/>
      <c r="Y990" s="10"/>
      <c r="Z990" s="10"/>
    </row>
    <row r="991" spans="1:26" ht="20" customHeight="1" x14ac:dyDescent="0.15">
      <c r="A991" s="8"/>
      <c r="B991" s="9"/>
      <c r="C991" s="17"/>
      <c r="D991" s="10"/>
      <c r="E991" s="10"/>
      <c r="F991" s="11"/>
      <c r="G991" s="10"/>
      <c r="H991" s="10"/>
      <c r="I991" s="10"/>
      <c r="J991" s="10"/>
      <c r="K991" s="10"/>
      <c r="L991" s="10"/>
      <c r="M991" s="10"/>
      <c r="N991" s="10"/>
      <c r="O991" s="10"/>
      <c r="P991" s="10"/>
      <c r="Q991" s="10"/>
      <c r="R991" s="10"/>
      <c r="S991" s="10"/>
      <c r="T991" s="10"/>
      <c r="U991" s="10"/>
      <c r="V991" s="10"/>
      <c r="W991" s="10"/>
      <c r="X991" s="10"/>
      <c r="Y991" s="10"/>
      <c r="Z991" s="10"/>
    </row>
    <row r="992" spans="1:26" ht="20" customHeight="1" x14ac:dyDescent="0.15">
      <c r="A992" s="8"/>
      <c r="B992" s="9"/>
      <c r="C992" s="17"/>
      <c r="D992" s="10"/>
      <c r="E992" s="10"/>
      <c r="F992" s="11"/>
      <c r="G992" s="10"/>
      <c r="H992" s="10"/>
      <c r="I992" s="10"/>
      <c r="J992" s="10"/>
      <c r="K992" s="10"/>
      <c r="L992" s="10"/>
      <c r="M992" s="10"/>
      <c r="N992" s="10"/>
      <c r="O992" s="10"/>
      <c r="P992" s="10"/>
      <c r="Q992" s="10"/>
      <c r="R992" s="10"/>
      <c r="S992" s="10"/>
      <c r="T992" s="10"/>
      <c r="U992" s="10"/>
      <c r="V992" s="10"/>
      <c r="W992" s="10"/>
      <c r="X992" s="10"/>
      <c r="Y992" s="10"/>
      <c r="Z992" s="10"/>
    </row>
    <row r="993" spans="1:26" ht="20" customHeight="1" x14ac:dyDescent="0.15">
      <c r="A993" s="8"/>
      <c r="B993" s="9"/>
      <c r="C993" s="17"/>
      <c r="D993" s="10"/>
      <c r="E993" s="10"/>
      <c r="F993" s="11"/>
      <c r="G993" s="10"/>
      <c r="H993" s="10"/>
      <c r="I993" s="10"/>
      <c r="J993" s="10"/>
      <c r="K993" s="10"/>
      <c r="L993" s="10"/>
      <c r="M993" s="10"/>
      <c r="N993" s="10"/>
      <c r="O993" s="10"/>
      <c r="P993" s="10"/>
      <c r="Q993" s="10"/>
      <c r="R993" s="10"/>
      <c r="S993" s="10"/>
      <c r="T993" s="10"/>
      <c r="U993" s="10"/>
      <c r="V993" s="10"/>
      <c r="W993" s="10"/>
      <c r="X993" s="10"/>
      <c r="Y993" s="10"/>
      <c r="Z993" s="10"/>
    </row>
    <row r="994" spans="1:26" ht="20" customHeight="1" x14ac:dyDescent="0.15">
      <c r="A994" s="8"/>
      <c r="B994" s="9"/>
      <c r="C994" s="17"/>
      <c r="D994" s="10"/>
      <c r="E994" s="10"/>
      <c r="F994" s="11"/>
      <c r="G994" s="10"/>
      <c r="H994" s="10"/>
      <c r="I994" s="10"/>
      <c r="J994" s="10"/>
      <c r="K994" s="10"/>
      <c r="L994" s="10"/>
      <c r="M994" s="10"/>
      <c r="N994" s="10"/>
      <c r="O994" s="10"/>
      <c r="P994" s="10"/>
      <c r="Q994" s="10"/>
      <c r="R994" s="10"/>
      <c r="S994" s="10"/>
      <c r="T994" s="10"/>
      <c r="U994" s="10"/>
      <c r="V994" s="10"/>
      <c r="W994" s="10"/>
      <c r="X994" s="10"/>
      <c r="Y994" s="10"/>
      <c r="Z994" s="10"/>
    </row>
    <row r="995" spans="1:26" ht="20" customHeight="1" x14ac:dyDescent="0.15">
      <c r="A995" s="8"/>
      <c r="B995" s="9"/>
      <c r="C995" s="17"/>
      <c r="D995" s="10"/>
      <c r="E995" s="10"/>
      <c r="F995" s="11"/>
      <c r="G995" s="10"/>
      <c r="H995" s="10"/>
      <c r="I995" s="10"/>
      <c r="J995" s="10"/>
      <c r="K995" s="10"/>
      <c r="L995" s="10"/>
      <c r="M995" s="10"/>
      <c r="N995" s="10"/>
      <c r="O995" s="10"/>
      <c r="P995" s="10"/>
      <c r="Q995" s="10"/>
      <c r="R995" s="10"/>
      <c r="S995" s="10"/>
      <c r="T995" s="10"/>
      <c r="U995" s="10"/>
      <c r="V995" s="10"/>
      <c r="W995" s="10"/>
      <c r="X995" s="10"/>
      <c r="Y995" s="10"/>
      <c r="Z995" s="10"/>
    </row>
    <row r="996" spans="1:26" ht="20" customHeight="1" x14ac:dyDescent="0.15">
      <c r="A996" s="8"/>
      <c r="B996" s="9"/>
      <c r="C996" s="17"/>
      <c r="D996" s="10"/>
      <c r="E996" s="10"/>
      <c r="F996" s="11"/>
      <c r="G996" s="10"/>
      <c r="H996" s="10"/>
      <c r="I996" s="10"/>
      <c r="J996" s="10"/>
      <c r="K996" s="10"/>
      <c r="L996" s="10"/>
      <c r="M996" s="10"/>
      <c r="N996" s="10"/>
      <c r="O996" s="10"/>
      <c r="P996" s="10"/>
      <c r="Q996" s="10"/>
      <c r="R996" s="10"/>
      <c r="S996" s="10"/>
      <c r="T996" s="10"/>
      <c r="U996" s="10"/>
      <c r="V996" s="10"/>
      <c r="W996" s="10"/>
      <c r="X996" s="10"/>
      <c r="Y996" s="10"/>
      <c r="Z996" s="10"/>
    </row>
    <row r="997" spans="1:26" ht="20" customHeight="1" x14ac:dyDescent="0.15">
      <c r="A997" s="8"/>
      <c r="B997" s="9"/>
      <c r="C997" s="17"/>
      <c r="D997" s="10"/>
      <c r="E997" s="10"/>
      <c r="F997" s="11"/>
      <c r="G997" s="10"/>
      <c r="H997" s="10"/>
      <c r="I997" s="10"/>
      <c r="J997" s="10"/>
      <c r="K997" s="10"/>
      <c r="L997" s="10"/>
      <c r="M997" s="10"/>
      <c r="N997" s="10"/>
      <c r="O997" s="10"/>
      <c r="P997" s="10"/>
      <c r="Q997" s="10"/>
      <c r="R997" s="10"/>
      <c r="S997" s="10"/>
      <c r="T997" s="10"/>
      <c r="U997" s="10"/>
      <c r="V997" s="10"/>
      <c r="W997" s="10"/>
      <c r="X997" s="10"/>
      <c r="Y997" s="10"/>
      <c r="Z997" s="10"/>
    </row>
    <row r="998" spans="1:26" ht="20" customHeight="1" x14ac:dyDescent="0.15">
      <c r="A998" s="8"/>
      <c r="B998" s="9"/>
      <c r="C998" s="17"/>
      <c r="D998" s="10"/>
      <c r="E998" s="10"/>
      <c r="F998" s="11"/>
      <c r="G998" s="10"/>
      <c r="H998" s="10"/>
      <c r="I998" s="10"/>
      <c r="J998" s="10"/>
      <c r="K998" s="10"/>
      <c r="L998" s="10"/>
      <c r="M998" s="10"/>
      <c r="N998" s="10"/>
      <c r="O998" s="10"/>
      <c r="P998" s="10"/>
      <c r="Q998" s="10"/>
      <c r="R998" s="10"/>
      <c r="S998" s="10"/>
      <c r="T998" s="10"/>
      <c r="U998" s="10"/>
      <c r="V998" s="10"/>
      <c r="W998" s="10"/>
      <c r="X998" s="10"/>
      <c r="Y998" s="10"/>
      <c r="Z998" s="10"/>
    </row>
    <row r="999" spans="1:26" ht="20" customHeight="1" x14ac:dyDescent="0.15">
      <c r="A999" s="8"/>
      <c r="B999" s="9"/>
      <c r="C999" s="17"/>
      <c r="D999" s="10"/>
      <c r="E999" s="10"/>
      <c r="F999" s="11"/>
      <c r="G999" s="10"/>
      <c r="H999" s="10"/>
      <c r="I999" s="10"/>
      <c r="J999" s="10"/>
      <c r="K999" s="10"/>
      <c r="L999" s="10"/>
      <c r="M999" s="10"/>
      <c r="N999" s="10"/>
      <c r="O999" s="10"/>
      <c r="P999" s="10"/>
      <c r="Q999" s="10"/>
      <c r="R999" s="10"/>
      <c r="S999" s="10"/>
      <c r="T999" s="10"/>
      <c r="U999" s="10"/>
      <c r="V999" s="10"/>
      <c r="W999" s="10"/>
      <c r="X999" s="10"/>
      <c r="Y999" s="10"/>
      <c r="Z999" s="10"/>
    </row>
    <row r="1000" spans="1:26" ht="20" customHeight="1" x14ac:dyDescent="0.15">
      <c r="A1000" s="8"/>
      <c r="B1000" s="9"/>
      <c r="C1000" s="17"/>
      <c r="D1000" s="10"/>
      <c r="E1000" s="10"/>
      <c r="F1000" s="11"/>
      <c r="G1000" s="10"/>
      <c r="H1000" s="10"/>
      <c r="I1000" s="10"/>
      <c r="J1000" s="10"/>
      <c r="K1000" s="10"/>
      <c r="L1000" s="10"/>
      <c r="M1000" s="10"/>
      <c r="N1000" s="10"/>
      <c r="O1000" s="10"/>
      <c r="P1000" s="10"/>
      <c r="Q1000" s="10"/>
      <c r="R1000" s="10"/>
      <c r="S1000" s="10"/>
      <c r="T1000" s="10"/>
      <c r="U1000" s="10"/>
      <c r="V1000" s="10"/>
      <c r="W1000" s="10"/>
      <c r="X1000" s="10"/>
      <c r="Y1000" s="10"/>
      <c r="Z1000" s="10"/>
    </row>
    <row r="1001" spans="1:26" ht="20" customHeight="1" x14ac:dyDescent="0.15">
      <c r="A1001" s="8"/>
      <c r="B1001" s="9"/>
      <c r="C1001" s="17"/>
      <c r="D1001" s="10"/>
      <c r="E1001" s="10"/>
      <c r="F1001" s="11"/>
      <c r="G1001" s="10"/>
      <c r="H1001" s="10"/>
      <c r="I1001" s="10"/>
      <c r="J1001" s="10"/>
      <c r="K1001" s="10"/>
      <c r="L1001" s="10"/>
      <c r="M1001" s="10"/>
      <c r="N1001" s="10"/>
      <c r="O1001" s="10"/>
      <c r="P1001" s="10"/>
      <c r="Q1001" s="10"/>
      <c r="R1001" s="10"/>
      <c r="S1001" s="10"/>
      <c r="T1001" s="10"/>
      <c r="U1001" s="10"/>
      <c r="V1001" s="10"/>
      <c r="W1001" s="10"/>
      <c r="X1001" s="10"/>
      <c r="Y1001" s="10"/>
      <c r="Z1001" s="10"/>
    </row>
    <row r="1002" spans="1:26" ht="20" customHeight="1" x14ac:dyDescent="0.15">
      <c r="A1002" s="8"/>
      <c r="B1002" s="9"/>
      <c r="C1002" s="17"/>
      <c r="D1002" s="10"/>
      <c r="E1002" s="10"/>
      <c r="F1002" s="11"/>
      <c r="G1002" s="10"/>
      <c r="H1002" s="10"/>
      <c r="I1002" s="10"/>
      <c r="J1002" s="10"/>
      <c r="K1002" s="10"/>
      <c r="L1002" s="10"/>
      <c r="M1002" s="10"/>
      <c r="N1002" s="10"/>
      <c r="O1002" s="10"/>
      <c r="P1002" s="10"/>
      <c r="Q1002" s="10"/>
      <c r="R1002" s="10"/>
      <c r="S1002" s="10"/>
      <c r="T1002" s="10"/>
      <c r="U1002" s="10"/>
      <c r="V1002" s="10"/>
      <c r="W1002" s="10"/>
      <c r="X1002" s="10"/>
      <c r="Y1002" s="10"/>
      <c r="Z1002" s="10"/>
    </row>
    <row r="1003" spans="1:26" ht="20" customHeight="1" x14ac:dyDescent="0.15">
      <c r="A1003" s="8"/>
      <c r="B1003" s="9"/>
      <c r="C1003" s="17"/>
      <c r="D1003" s="10"/>
      <c r="E1003" s="10"/>
      <c r="F1003" s="11"/>
      <c r="G1003" s="10"/>
      <c r="H1003" s="10"/>
      <c r="I1003" s="10"/>
      <c r="J1003" s="10"/>
      <c r="K1003" s="10"/>
      <c r="L1003" s="10"/>
      <c r="M1003" s="10"/>
      <c r="N1003" s="10"/>
      <c r="O1003" s="10"/>
      <c r="P1003" s="10"/>
      <c r="Q1003" s="10"/>
      <c r="R1003" s="10"/>
      <c r="S1003" s="10"/>
      <c r="T1003" s="10"/>
      <c r="U1003" s="10"/>
      <c r="V1003" s="10"/>
      <c r="W1003" s="10"/>
      <c r="X1003" s="10"/>
      <c r="Y1003" s="10"/>
      <c r="Z1003" s="10"/>
    </row>
  </sheetData>
  <mergeCells count="17">
    <mergeCell ref="F7:G7"/>
    <mergeCell ref="F10:G10"/>
    <mergeCell ref="L2:O2"/>
    <mergeCell ref="P4:S4"/>
    <mergeCell ref="F5:I5"/>
    <mergeCell ref="E26:G26"/>
    <mergeCell ref="H26:K26"/>
    <mergeCell ref="L35:R35"/>
    <mergeCell ref="B129:B152"/>
    <mergeCell ref="H37:K37"/>
    <mergeCell ref="B154:B158"/>
    <mergeCell ref="B160:B165"/>
    <mergeCell ref="B167:B173"/>
    <mergeCell ref="E37:G37"/>
    <mergeCell ref="D52:I52"/>
    <mergeCell ref="B56:B92"/>
    <mergeCell ref="B94:B127"/>
  </mergeCells>
  <dataValidations count="2">
    <dataValidation type="list" allowBlank="1" showInputMessage="1" showErrorMessage="1" sqref="H29:H34 E29:E34" xr:uid="{0ED15EC1-E776-6B4E-A952-5FD766052BA4}">
      <formula1>"TRUE, FALSE"</formula1>
    </dataValidation>
    <dataValidation type="list" allowBlank="1" showErrorMessage="1" sqref="L6:L14" xr:uid="{04ADC725-729F-0A47-B68D-B74B7BA727A7}">
      <formula1>"Senior Manager, Junior Executive, Digital Marketer, E-Com Operations, Sale, Media Editor, Graphic Designer, Fresher AI Officer, Trainee"</formula1>
    </dataValidation>
  </dataValidations>
  <pageMargins left="0.25" right="0.25" top="0.75" bottom="0.75" header="0" footer="0"/>
  <pageSetup scale="13"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ADB9CA"/>
    <pageSetUpPr fitToPage="1"/>
  </sheetPr>
  <dimension ref="A1:BP650"/>
  <sheetViews>
    <sheetView showGridLines="0" topLeftCell="A148" zoomScaleNormal="100" workbookViewId="0">
      <selection activeCell="A41" sqref="A41"/>
    </sheetView>
  </sheetViews>
  <sheetFormatPr baseColWidth="10" defaultColWidth="12.6640625" defaultRowHeight="20" customHeight="1" x14ac:dyDescent="0.15"/>
  <cols>
    <col min="1" max="1" width="5.83203125" style="67" customWidth="1"/>
    <col min="2" max="2" width="45.83203125" style="67" customWidth="1"/>
    <col min="3" max="3" width="30.83203125" style="67" customWidth="1"/>
    <col min="4" max="8" width="20.83203125" style="67" customWidth="1"/>
    <col min="9" max="9" width="24.5" style="67" customWidth="1"/>
    <col min="10" max="10" width="24" style="67" customWidth="1"/>
    <col min="11" max="11" width="30.83203125" style="67" customWidth="1"/>
    <col min="12" max="18" width="20.83203125" style="67" customWidth="1"/>
    <col min="19" max="19" width="30.83203125" style="67" customWidth="1"/>
    <col min="20" max="26" width="20.83203125" style="67" customWidth="1"/>
    <col min="27" max="27" width="30.83203125" style="67" customWidth="1"/>
    <col min="28" max="34" width="20.83203125" style="67" customWidth="1"/>
    <col min="35" max="35" width="30.83203125" style="67" customWidth="1"/>
    <col min="36" max="42" width="20.83203125" style="67" customWidth="1"/>
    <col min="43" max="68" width="15.1640625" style="67" customWidth="1"/>
    <col min="69" max="16384" width="12.6640625" style="67"/>
  </cols>
  <sheetData>
    <row r="1" spans="1:68" ht="20" customHeight="1" x14ac:dyDescent="0.15">
      <c r="A1" s="197"/>
      <c r="B1" s="197"/>
      <c r="C1" s="193"/>
      <c r="D1" s="197"/>
      <c r="E1" s="197"/>
      <c r="F1" s="214"/>
      <c r="G1" s="197"/>
      <c r="H1" s="197"/>
      <c r="I1" s="197"/>
      <c r="J1" s="197"/>
      <c r="K1" s="197"/>
      <c r="L1" s="215"/>
      <c r="M1" s="197"/>
      <c r="N1" s="197"/>
      <c r="O1" s="197"/>
      <c r="P1" s="197"/>
      <c r="Q1" s="197"/>
      <c r="R1" s="197"/>
      <c r="S1" s="197"/>
      <c r="T1" s="197"/>
      <c r="U1" s="197"/>
      <c r="V1" s="197"/>
      <c r="W1" s="197"/>
      <c r="X1" s="197"/>
      <c r="Y1" s="197"/>
      <c r="Z1" s="197"/>
      <c r="AA1" s="197"/>
      <c r="AB1" s="197"/>
      <c r="AC1" s="197"/>
      <c r="AD1" s="197"/>
      <c r="AE1" s="197"/>
      <c r="AF1" s="197"/>
      <c r="AG1" s="197"/>
      <c r="AH1" s="197"/>
      <c r="AI1" s="197"/>
      <c r="AJ1" s="197"/>
      <c r="AK1" s="197"/>
      <c r="AL1" s="197"/>
      <c r="AM1" s="197"/>
      <c r="AN1" s="197"/>
      <c r="AO1" s="197"/>
      <c r="AP1" s="197"/>
      <c r="AQ1" s="197"/>
      <c r="AR1" s="197"/>
      <c r="AS1" s="197"/>
      <c r="AT1" s="197"/>
      <c r="AU1" s="197"/>
      <c r="AV1" s="197"/>
      <c r="AW1" s="197"/>
      <c r="AX1" s="197"/>
      <c r="AY1" s="197"/>
      <c r="AZ1" s="197"/>
      <c r="BA1" s="197"/>
      <c r="BB1" s="197"/>
      <c r="BC1" s="197"/>
      <c r="BD1" s="197"/>
      <c r="BE1" s="197"/>
      <c r="BF1" s="197"/>
      <c r="BG1" s="197"/>
      <c r="BH1" s="197"/>
      <c r="BI1" s="197"/>
      <c r="BJ1" s="197"/>
      <c r="BK1" s="197"/>
      <c r="BL1" s="197"/>
      <c r="BM1" s="197"/>
      <c r="BN1" s="197"/>
      <c r="BO1" s="197"/>
      <c r="BP1" s="197"/>
    </row>
    <row r="2" spans="1:68" ht="35" customHeight="1" x14ac:dyDescent="0.15">
      <c r="A2" s="197"/>
      <c r="B2" s="1371" t="s">
        <v>149</v>
      </c>
      <c r="C2" s="1311"/>
      <c r="D2" s="1311"/>
      <c r="E2" s="1311"/>
      <c r="F2" s="1311"/>
      <c r="G2" s="1311"/>
      <c r="H2" s="1311"/>
      <c r="I2" s="1311"/>
      <c r="J2" s="1311"/>
      <c r="K2" s="1311"/>
      <c r="L2" s="1324" t="str">
        <f>'Action Plan'!L2</f>
        <v>Person in charge</v>
      </c>
      <c r="M2" s="1311"/>
      <c r="N2" s="1311"/>
      <c r="O2" s="1311"/>
      <c r="P2" s="10"/>
      <c r="Q2" s="10"/>
      <c r="R2" s="10"/>
      <c r="S2" s="10"/>
      <c r="T2" s="197"/>
      <c r="U2" s="197"/>
      <c r="V2" s="197"/>
      <c r="W2" s="197"/>
      <c r="X2" s="197"/>
      <c r="Y2" s="197"/>
      <c r="Z2" s="197"/>
      <c r="AA2" s="197"/>
      <c r="AB2" s="197"/>
      <c r="AC2" s="197"/>
      <c r="AD2" s="197"/>
      <c r="AE2" s="197"/>
      <c r="AF2" s="197"/>
      <c r="AG2" s="197"/>
      <c r="AH2" s="197"/>
      <c r="AI2" s="197"/>
      <c r="AJ2" s="197"/>
      <c r="AK2" s="197"/>
      <c r="AL2" s="197"/>
      <c r="AM2" s="197"/>
      <c r="AN2" s="197"/>
      <c r="AO2" s="197"/>
      <c r="AP2" s="197"/>
      <c r="AQ2" s="197"/>
      <c r="AR2" s="197"/>
      <c r="AS2" s="197"/>
      <c r="AT2" s="197"/>
      <c r="AU2" s="197"/>
      <c r="AV2" s="197"/>
      <c r="AW2" s="197"/>
      <c r="AX2" s="197"/>
      <c r="AY2" s="197"/>
      <c r="AZ2" s="197"/>
      <c r="BA2" s="197"/>
      <c r="BB2" s="197"/>
      <c r="BC2" s="197"/>
      <c r="BD2" s="197"/>
      <c r="BE2" s="197"/>
      <c r="BF2" s="197"/>
      <c r="BG2" s="197"/>
      <c r="BH2" s="197"/>
      <c r="BI2" s="197"/>
      <c r="BJ2" s="197"/>
      <c r="BK2" s="197"/>
      <c r="BL2" s="197"/>
      <c r="BM2" s="197"/>
      <c r="BN2" s="197"/>
      <c r="BO2" s="197"/>
      <c r="BP2" s="197"/>
    </row>
    <row r="3" spans="1:68" ht="25" customHeight="1" x14ac:dyDescent="0.15">
      <c r="A3" s="197"/>
      <c r="B3" s="197"/>
      <c r="C3" s="193"/>
      <c r="D3" s="197"/>
      <c r="E3" s="197"/>
      <c r="F3" s="216"/>
      <c r="G3" s="217"/>
      <c r="H3" s="217"/>
      <c r="I3" s="217"/>
      <c r="J3" s="197"/>
      <c r="K3" s="217"/>
      <c r="L3" s="10"/>
      <c r="M3" s="10"/>
      <c r="N3" s="10"/>
      <c r="O3" s="10"/>
      <c r="P3" s="10"/>
      <c r="Q3" s="10"/>
      <c r="R3" s="10"/>
      <c r="S3" s="10"/>
      <c r="T3" s="197"/>
      <c r="U3" s="197"/>
      <c r="V3" s="197"/>
      <c r="W3" s="197"/>
      <c r="X3" s="197"/>
      <c r="Y3" s="197"/>
      <c r="Z3" s="197"/>
      <c r="AA3" s="197"/>
      <c r="AB3" s="197"/>
      <c r="AC3" s="197"/>
      <c r="AD3" s="197"/>
      <c r="AE3" s="197"/>
      <c r="AF3" s="197"/>
      <c r="AG3" s="197"/>
      <c r="AH3" s="197"/>
      <c r="AI3" s="197"/>
      <c r="AJ3" s="197"/>
      <c r="AK3" s="197"/>
      <c r="AL3" s="197"/>
      <c r="AM3" s="197"/>
      <c r="AN3" s="197"/>
      <c r="AO3" s="197"/>
      <c r="AP3" s="197"/>
      <c r="AQ3" s="197"/>
      <c r="AR3" s="197"/>
      <c r="AS3" s="197"/>
      <c r="AT3" s="197"/>
      <c r="AU3" s="197"/>
      <c r="AV3" s="197"/>
      <c r="AW3" s="197"/>
      <c r="AX3" s="197"/>
      <c r="AY3" s="197"/>
      <c r="AZ3" s="197"/>
      <c r="BA3" s="197"/>
      <c r="BB3" s="197"/>
      <c r="BC3" s="197"/>
      <c r="BD3" s="197"/>
      <c r="BE3" s="197"/>
      <c r="BF3" s="197"/>
      <c r="BG3" s="197"/>
      <c r="BH3" s="197"/>
      <c r="BI3" s="197"/>
      <c r="BJ3" s="197"/>
      <c r="BK3" s="197"/>
      <c r="BL3" s="197"/>
      <c r="BM3" s="197"/>
      <c r="BN3" s="197"/>
      <c r="BO3" s="197"/>
      <c r="BP3" s="197"/>
    </row>
    <row r="4" spans="1:68" ht="25" customHeight="1" thickBot="1" x14ac:dyDescent="0.2">
      <c r="A4" s="197"/>
      <c r="B4" s="1310" t="s">
        <v>35</v>
      </c>
      <c r="C4" s="1372"/>
      <c r="D4" s="246" t="s">
        <v>34</v>
      </c>
      <c r="E4" s="197"/>
      <c r="F4" s="1377" t="s">
        <v>36</v>
      </c>
      <c r="G4" s="1377"/>
      <c r="H4" s="217"/>
      <c r="I4" s="217"/>
      <c r="J4" s="197"/>
      <c r="K4" s="197"/>
      <c r="L4" s="24" t="str">
        <f>'Action Plan'!L4</f>
        <v>Quantity</v>
      </c>
      <c r="M4" s="24">
        <f>'Action Plan'!M4</f>
        <v>20</v>
      </c>
      <c r="N4" s="24">
        <f>'Action Plan'!N4</f>
        <v>8</v>
      </c>
      <c r="O4" s="258">
        <f>'Action Plan'!O4</f>
        <v>0.4</v>
      </c>
      <c r="P4" s="1325" t="str">
        <f>'Action Plan'!P4</f>
        <v>Ratio</v>
      </c>
      <c r="Q4" s="1373"/>
      <c r="R4" s="1373"/>
      <c r="S4" s="1373"/>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7"/>
      <c r="BH4" s="197"/>
      <c r="BI4" s="197"/>
      <c r="BJ4" s="197"/>
      <c r="BK4" s="197"/>
      <c r="BL4" s="197"/>
      <c r="BM4" s="197"/>
      <c r="BN4" s="197"/>
      <c r="BO4" s="197"/>
      <c r="BP4" s="197"/>
    </row>
    <row r="5" spans="1:68" ht="25" customHeight="1" thickBot="1" x14ac:dyDescent="0.2">
      <c r="A5" s="197"/>
      <c r="B5" s="218">
        <v>45748</v>
      </c>
      <c r="C5" s="219">
        <f>'Action Plan'!C5</f>
        <v>25</v>
      </c>
      <c r="D5" s="218">
        <v>45777</v>
      </c>
      <c r="E5" s="220"/>
      <c r="F5" s="1374" t="s">
        <v>0</v>
      </c>
      <c r="G5" s="1375"/>
      <c r="H5" s="1375"/>
      <c r="I5" s="1376"/>
      <c r="J5" s="197"/>
      <c r="K5" s="132"/>
      <c r="L5" s="485" t="s">
        <v>39</v>
      </c>
      <c r="M5" s="486" t="s">
        <v>40</v>
      </c>
      <c r="N5" s="487" t="s">
        <v>42</v>
      </c>
      <c r="O5" s="478" t="s">
        <v>41</v>
      </c>
      <c r="P5" s="485" t="str">
        <f>'Action Plan'!P5</f>
        <v>Person #1</v>
      </c>
      <c r="Q5" s="488" t="str">
        <f>'Action Plan'!Q5</f>
        <v>Person #2</v>
      </c>
      <c r="R5" s="488" t="str">
        <f>'Action Plan'!R5</f>
        <v>Person #3</v>
      </c>
      <c r="S5" s="489" t="str">
        <f>'Action Plan'!S5</f>
        <v>Person #4</v>
      </c>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row>
    <row r="6" spans="1:68" ht="25" customHeight="1" x14ac:dyDescent="0.15">
      <c r="A6" s="197"/>
      <c r="B6" s="217"/>
      <c r="C6" s="219">
        <f>'Action Plan'!C6</f>
        <v>26</v>
      </c>
      <c r="D6" s="217"/>
      <c r="E6" s="217"/>
      <c r="F6" s="217"/>
      <c r="G6" s="217"/>
      <c r="H6" s="217"/>
      <c r="I6" s="217"/>
      <c r="J6" s="217"/>
      <c r="K6" s="801"/>
      <c r="L6" s="500" t="str">
        <f>'Action Plan'!L6</f>
        <v>Senior Manager</v>
      </c>
      <c r="M6" s="492">
        <f>'Action Plan'!M6</f>
        <v>1</v>
      </c>
      <c r="N6" s="490">
        <f>'Action Plan'!N6</f>
        <v>1</v>
      </c>
      <c r="O6" s="483">
        <f>'Action Plan'!O6</f>
        <v>0</v>
      </c>
      <c r="P6" s="479">
        <f>'Action Plan'!P6</f>
        <v>1</v>
      </c>
      <c r="Q6" s="479">
        <f>'Action Plan'!Q6</f>
        <v>0</v>
      </c>
      <c r="R6" s="479">
        <f>'Action Plan'!R6</f>
        <v>0</v>
      </c>
      <c r="S6" s="480">
        <f>'Action Plan'!S6</f>
        <v>0</v>
      </c>
      <c r="T6" s="217"/>
      <c r="U6" s="217"/>
      <c r="V6" s="217"/>
      <c r="W6" s="217"/>
      <c r="X6" s="217"/>
      <c r="Y6" s="217"/>
      <c r="Z6" s="197"/>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7"/>
      <c r="BF6" s="197"/>
      <c r="BG6" s="197"/>
      <c r="BH6" s="197"/>
      <c r="BI6" s="197"/>
      <c r="BJ6" s="197"/>
      <c r="BK6" s="197"/>
      <c r="BL6" s="197"/>
      <c r="BM6" s="197"/>
      <c r="BN6" s="197"/>
      <c r="BO6" s="197"/>
      <c r="BP6" s="197"/>
    </row>
    <row r="7" spans="1:68" ht="25" customHeight="1" x14ac:dyDescent="0.15">
      <c r="A7" s="197"/>
      <c r="B7" s="1357" t="s">
        <v>37</v>
      </c>
      <c r="C7" s="1358"/>
      <c r="D7" s="1358"/>
      <c r="E7" s="1359"/>
      <c r="F7" s="1357" t="s">
        <v>139</v>
      </c>
      <c r="G7" s="1358"/>
      <c r="H7" s="1358"/>
      <c r="I7" s="1359"/>
      <c r="J7" s="221" t="s">
        <v>41</v>
      </c>
      <c r="K7" s="802" t="s">
        <v>43</v>
      </c>
      <c r="L7" s="501" t="str">
        <f>'Action Plan'!L7</f>
        <v>Junior Executive</v>
      </c>
      <c r="M7" s="493">
        <f>'Action Plan'!M7</f>
        <v>0</v>
      </c>
      <c r="N7" s="490">
        <f>'Action Plan'!N7</f>
        <v>0</v>
      </c>
      <c r="O7" s="483">
        <f>'Action Plan'!O7</f>
        <v>0</v>
      </c>
      <c r="P7" s="479">
        <f>'Action Plan'!P7</f>
        <v>0</v>
      </c>
      <c r="Q7" s="479">
        <f>'Action Plan'!Q7</f>
        <v>0</v>
      </c>
      <c r="R7" s="479">
        <f>'Action Plan'!R7</f>
        <v>0</v>
      </c>
      <c r="S7" s="480">
        <f>'Action Plan'!S7</f>
        <v>0</v>
      </c>
      <c r="T7" s="197"/>
      <c r="U7" s="197"/>
      <c r="V7" s="197"/>
      <c r="W7" s="197"/>
      <c r="X7" s="197"/>
      <c r="Y7" s="197"/>
      <c r="Z7" s="197"/>
      <c r="AA7" s="197"/>
      <c r="AB7" s="197"/>
      <c r="AC7" s="197"/>
      <c r="AD7" s="197"/>
      <c r="AE7" s="197"/>
      <c r="AF7" s="197"/>
      <c r="AG7" s="197"/>
      <c r="AH7" s="197"/>
      <c r="AI7" s="197"/>
      <c r="AJ7" s="197"/>
      <c r="AK7" s="197"/>
      <c r="AL7" s="197"/>
      <c r="AM7" s="197"/>
      <c r="AN7" s="197"/>
      <c r="AO7" s="197"/>
      <c r="AP7" s="197"/>
      <c r="AQ7" s="197"/>
      <c r="AR7" s="197"/>
      <c r="AS7" s="197"/>
      <c r="AT7" s="197"/>
      <c r="AU7" s="197"/>
      <c r="AV7" s="197"/>
      <c r="AW7" s="197"/>
      <c r="AX7" s="197"/>
      <c r="AY7" s="197"/>
      <c r="AZ7" s="197"/>
      <c r="BA7" s="197"/>
      <c r="BB7" s="197"/>
      <c r="BC7" s="197"/>
      <c r="BD7" s="197"/>
      <c r="BE7" s="197"/>
      <c r="BF7" s="197"/>
      <c r="BG7" s="197"/>
      <c r="BH7" s="197"/>
      <c r="BI7" s="197"/>
      <c r="BJ7" s="197"/>
      <c r="BK7" s="197"/>
      <c r="BL7" s="197"/>
      <c r="BM7" s="197"/>
      <c r="BN7" s="197"/>
      <c r="BO7" s="197"/>
      <c r="BP7" s="197"/>
    </row>
    <row r="8" spans="1:68" ht="25" customHeight="1" x14ac:dyDescent="0.15">
      <c r="A8" s="222"/>
      <c r="B8" s="1342">
        <f>'Action Plan'!F8</f>
        <v>500000000</v>
      </c>
      <c r="C8" s="1343"/>
      <c r="D8" s="1343"/>
      <c r="E8" s="1344"/>
      <c r="F8" s="1345">
        <v>400000000</v>
      </c>
      <c r="G8" s="1343"/>
      <c r="H8" s="1343"/>
      <c r="I8" s="1344"/>
      <c r="J8" s="223">
        <f>F8-B8</f>
        <v>-100000000</v>
      </c>
      <c r="K8" s="803">
        <f>F8/B8</f>
        <v>0.8</v>
      </c>
      <c r="L8" s="501" t="str">
        <f>'Action Plan'!L8</f>
        <v>Digital Marketer</v>
      </c>
      <c r="M8" s="493">
        <v>1</v>
      </c>
      <c r="N8" s="490">
        <f>'Action Plan'!N8</f>
        <v>1</v>
      </c>
      <c r="O8" s="483">
        <f>'Action Plan'!O8</f>
        <v>0</v>
      </c>
      <c r="P8" s="479">
        <f>'Action Plan'!P8</f>
        <v>1</v>
      </c>
      <c r="Q8" s="479">
        <f>'Action Plan'!Q8</f>
        <v>0</v>
      </c>
      <c r="R8" s="479">
        <f>'Action Plan'!R8</f>
        <v>0</v>
      </c>
      <c r="S8" s="480">
        <f>'Action Plan'!S8</f>
        <v>0</v>
      </c>
      <c r="T8" s="222"/>
      <c r="U8" s="222"/>
      <c r="V8" s="222"/>
      <c r="W8" s="222"/>
      <c r="X8" s="222"/>
      <c r="Y8" s="222"/>
      <c r="Z8" s="222"/>
      <c r="AA8" s="222"/>
      <c r="AB8" s="222"/>
      <c r="AC8" s="222"/>
      <c r="AD8" s="222"/>
      <c r="AE8" s="222"/>
      <c r="AF8" s="222"/>
      <c r="AG8" s="222"/>
      <c r="AH8" s="222"/>
      <c r="AI8" s="222"/>
      <c r="AJ8" s="222"/>
      <c r="AK8" s="222"/>
      <c r="AL8" s="222"/>
      <c r="AM8" s="222"/>
      <c r="AN8" s="222"/>
      <c r="AO8" s="222"/>
      <c r="AP8" s="222"/>
      <c r="AQ8" s="222"/>
      <c r="AR8" s="222"/>
      <c r="AS8" s="222"/>
      <c r="AT8" s="222"/>
      <c r="AU8" s="222"/>
      <c r="AV8" s="222"/>
      <c r="AW8" s="222"/>
      <c r="AX8" s="222"/>
      <c r="AY8" s="222"/>
      <c r="AZ8" s="222"/>
      <c r="BA8" s="222"/>
      <c r="BB8" s="222"/>
      <c r="BC8" s="222"/>
      <c r="BD8" s="222"/>
      <c r="BE8" s="222"/>
      <c r="BF8" s="222"/>
      <c r="BG8" s="222"/>
      <c r="BH8" s="222"/>
      <c r="BI8" s="222"/>
      <c r="BJ8" s="222"/>
      <c r="BK8" s="222"/>
      <c r="BL8" s="222"/>
      <c r="BM8" s="222"/>
      <c r="BN8" s="222"/>
      <c r="BO8" s="222"/>
      <c r="BP8" s="222"/>
    </row>
    <row r="9" spans="1:68" ht="25" customHeight="1" x14ac:dyDescent="0.15">
      <c r="A9" s="224"/>
      <c r="B9" s="1346">
        <f>'Action Plan'!D11</f>
        <v>0.4</v>
      </c>
      <c r="C9" s="1311"/>
      <c r="D9" s="1311"/>
      <c r="E9" s="1311"/>
      <c r="F9" s="1347">
        <f>F11/F8</f>
        <v>0.11425</v>
      </c>
      <c r="G9" s="1311"/>
      <c r="H9" s="1311"/>
      <c r="I9" s="1311"/>
      <c r="J9" s="224"/>
      <c r="K9" s="804"/>
      <c r="L9" s="501" t="str">
        <f>'Action Plan'!L9</f>
        <v>E-Com Operations</v>
      </c>
      <c r="M9" s="493">
        <f>'Action Plan'!M9</f>
        <v>1</v>
      </c>
      <c r="N9" s="490">
        <f>'Action Plan'!N9</f>
        <v>1</v>
      </c>
      <c r="O9" s="483">
        <f>'Action Plan'!O9</f>
        <v>0</v>
      </c>
      <c r="P9" s="479">
        <f>'Action Plan'!P9</f>
        <v>1</v>
      </c>
      <c r="Q9" s="479">
        <f>'Action Plan'!Q9</f>
        <v>0</v>
      </c>
      <c r="R9" s="479">
        <f>'Action Plan'!R9</f>
        <v>0</v>
      </c>
      <c r="S9" s="480">
        <f>'Action Plan'!S9</f>
        <v>0</v>
      </c>
      <c r="T9" s="224"/>
      <c r="U9" s="224"/>
      <c r="V9" s="224"/>
      <c r="W9" s="224"/>
      <c r="X9" s="224"/>
      <c r="Y9" s="224"/>
      <c r="Z9" s="224"/>
      <c r="AA9" s="224"/>
      <c r="AB9" s="224"/>
      <c r="AC9" s="224"/>
      <c r="AD9" s="224"/>
      <c r="AE9" s="224"/>
      <c r="AF9" s="224"/>
      <c r="AG9" s="224"/>
      <c r="AH9" s="224"/>
      <c r="AI9" s="224"/>
      <c r="AJ9" s="224"/>
      <c r="AK9" s="224"/>
      <c r="AL9" s="224"/>
      <c r="AM9" s="224"/>
      <c r="AN9" s="224"/>
      <c r="AO9" s="224"/>
      <c r="AP9" s="224"/>
      <c r="AQ9" s="224"/>
      <c r="AR9" s="224"/>
      <c r="AS9" s="224"/>
      <c r="AT9" s="224"/>
      <c r="AU9" s="224"/>
      <c r="AV9" s="224"/>
      <c r="AW9" s="224"/>
      <c r="AX9" s="224"/>
      <c r="AY9" s="224"/>
      <c r="AZ9" s="224"/>
      <c r="BA9" s="224"/>
      <c r="BB9" s="224"/>
      <c r="BC9" s="224"/>
      <c r="BD9" s="224"/>
      <c r="BE9" s="224"/>
      <c r="BF9" s="224"/>
      <c r="BG9" s="224"/>
      <c r="BH9" s="224"/>
      <c r="BI9" s="224"/>
      <c r="BJ9" s="224"/>
      <c r="BK9" s="224"/>
      <c r="BL9" s="224"/>
      <c r="BM9" s="224"/>
      <c r="BN9" s="224"/>
      <c r="BO9" s="224"/>
      <c r="BP9" s="224"/>
    </row>
    <row r="10" spans="1:68" ht="25" customHeight="1" x14ac:dyDescent="0.15">
      <c r="A10" s="197"/>
      <c r="B10" s="1348" t="s">
        <v>58</v>
      </c>
      <c r="C10" s="1349"/>
      <c r="D10" s="1349"/>
      <c r="E10" s="1350"/>
      <c r="F10" s="1351" t="s">
        <v>140</v>
      </c>
      <c r="G10" s="1343"/>
      <c r="H10" s="1343"/>
      <c r="I10" s="1344"/>
      <c r="J10" s="221" t="s">
        <v>41</v>
      </c>
      <c r="K10" s="802" t="s">
        <v>43</v>
      </c>
      <c r="L10" s="501" t="str">
        <f>'Action Plan'!L10</f>
        <v>Media Editor</v>
      </c>
      <c r="M10" s="493">
        <f>'Action Plan'!M10</f>
        <v>1</v>
      </c>
      <c r="N10" s="490">
        <f>'Action Plan'!N10</f>
        <v>0</v>
      </c>
      <c r="O10" s="483">
        <f>'Action Plan'!O10</f>
        <v>-1</v>
      </c>
      <c r="P10" s="479">
        <f>'Action Plan'!P10</f>
        <v>0</v>
      </c>
      <c r="Q10" s="479">
        <f>'Action Plan'!Q10</f>
        <v>0</v>
      </c>
      <c r="R10" s="479">
        <f>'Action Plan'!R10</f>
        <v>0</v>
      </c>
      <c r="S10" s="480">
        <f>'Action Plan'!S10</f>
        <v>0</v>
      </c>
      <c r="T10" s="197"/>
      <c r="U10" s="197"/>
      <c r="V10" s="197"/>
      <c r="W10" s="197"/>
      <c r="X10" s="197"/>
      <c r="Y10" s="197"/>
      <c r="Z10" s="197"/>
      <c r="AA10" s="197"/>
      <c r="AB10" s="197"/>
      <c r="AC10" s="197"/>
      <c r="AD10" s="197"/>
      <c r="AE10" s="197"/>
      <c r="AF10" s="197"/>
      <c r="AG10" s="197"/>
      <c r="AH10" s="197"/>
      <c r="AI10" s="197"/>
      <c r="AJ10" s="197"/>
      <c r="AK10" s="197"/>
      <c r="AL10" s="197"/>
      <c r="AM10" s="197"/>
      <c r="AN10" s="197"/>
      <c r="AO10" s="197"/>
      <c r="AP10" s="197"/>
      <c r="AQ10" s="197"/>
      <c r="AR10" s="197"/>
      <c r="AS10" s="197"/>
      <c r="AT10" s="197"/>
      <c r="AU10" s="197"/>
      <c r="AV10" s="197"/>
      <c r="AW10" s="197"/>
      <c r="AX10" s="197"/>
      <c r="AY10" s="197"/>
      <c r="AZ10" s="197"/>
      <c r="BA10" s="197"/>
      <c r="BB10" s="197"/>
      <c r="BC10" s="197"/>
      <c r="BD10" s="197"/>
      <c r="BE10" s="197"/>
      <c r="BF10" s="197"/>
      <c r="BG10" s="197"/>
      <c r="BH10" s="197"/>
      <c r="BI10" s="197"/>
      <c r="BJ10" s="197"/>
      <c r="BK10" s="197"/>
      <c r="BL10" s="197"/>
      <c r="BM10" s="197"/>
      <c r="BN10" s="197"/>
      <c r="BO10" s="197"/>
      <c r="BP10" s="197"/>
    </row>
    <row r="11" spans="1:68" ht="25" customHeight="1" x14ac:dyDescent="0.15">
      <c r="A11" s="266"/>
      <c r="B11" s="1352">
        <f>'Action Plan'!F11</f>
        <v>200000000</v>
      </c>
      <c r="C11" s="1343"/>
      <c r="D11" s="1343"/>
      <c r="E11" s="1344"/>
      <c r="F11" s="1360">
        <f>F15</f>
        <v>45700000</v>
      </c>
      <c r="G11" s="1361"/>
      <c r="H11" s="1361"/>
      <c r="I11" s="1362"/>
      <c r="J11" s="288">
        <f>B11-F11</f>
        <v>154300000</v>
      </c>
      <c r="K11" s="805">
        <f>F11/B11</f>
        <v>0.22850000000000001</v>
      </c>
      <c r="L11" s="501" t="str">
        <f>'Action Plan'!L11</f>
        <v>Graphic Designer</v>
      </c>
      <c r="M11" s="493">
        <f>'Action Plan'!M11</f>
        <v>1</v>
      </c>
      <c r="N11" s="490">
        <f>'Action Plan'!N11</f>
        <v>1</v>
      </c>
      <c r="O11" s="483">
        <f>'Action Plan'!O11</f>
        <v>0</v>
      </c>
      <c r="P11" s="479">
        <f>'Action Plan'!P11</f>
        <v>1</v>
      </c>
      <c r="Q11" s="479">
        <f>'Action Plan'!Q11</f>
        <v>0</v>
      </c>
      <c r="R11" s="479">
        <f>'Action Plan'!R11</f>
        <v>0</v>
      </c>
      <c r="S11" s="480">
        <f>'Action Plan'!S11</f>
        <v>0</v>
      </c>
      <c r="T11" s="266"/>
      <c r="U11" s="266"/>
      <c r="V11" s="266"/>
      <c r="W11" s="266"/>
      <c r="X11" s="266"/>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6"/>
      <c r="BK11" s="266"/>
      <c r="BL11" s="266"/>
      <c r="BM11" s="266"/>
      <c r="BN11" s="266"/>
      <c r="BO11" s="266"/>
      <c r="BP11" s="266"/>
    </row>
    <row r="12" spans="1:68" ht="25" customHeight="1" x14ac:dyDescent="0.15">
      <c r="A12" s="266"/>
      <c r="B12" s="225"/>
      <c r="C12" s="225"/>
      <c r="D12" s="225"/>
      <c r="E12" s="225"/>
      <c r="F12" s="226"/>
      <c r="G12" s="226"/>
      <c r="H12" s="226"/>
      <c r="I12" s="226"/>
      <c r="J12" s="226"/>
      <c r="K12" s="806"/>
      <c r="L12" s="501" t="str">
        <f>'Action Plan'!L12</f>
        <v>Fresher AI Officer</v>
      </c>
      <c r="M12" s="493">
        <f>'Action Plan'!M12</f>
        <v>1</v>
      </c>
      <c r="N12" s="490">
        <f>'Action Plan'!N12</f>
        <v>0</v>
      </c>
      <c r="O12" s="483">
        <f>'Action Plan'!O12</f>
        <v>-1</v>
      </c>
      <c r="P12" s="479">
        <f>'Action Plan'!P12</f>
        <v>0</v>
      </c>
      <c r="Q12" s="479">
        <f>'Action Plan'!Q12</f>
        <v>0</v>
      </c>
      <c r="R12" s="479">
        <f>'Action Plan'!R12</f>
        <v>0</v>
      </c>
      <c r="S12" s="480">
        <f>'Action Plan'!S12</f>
        <v>0</v>
      </c>
      <c r="T12" s="266"/>
      <c r="U12" s="266"/>
      <c r="V12" s="266"/>
      <c r="W12" s="266"/>
      <c r="X12" s="266"/>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6"/>
      <c r="BK12" s="266"/>
      <c r="BL12" s="266"/>
      <c r="BM12" s="266"/>
      <c r="BN12" s="266"/>
      <c r="BO12" s="266"/>
      <c r="BP12" s="266"/>
    </row>
    <row r="13" spans="1:68" ht="25" customHeight="1" thickBot="1" x14ac:dyDescent="0.2">
      <c r="A13" s="251" t="s">
        <v>1</v>
      </c>
      <c r="B13" s="252" t="s">
        <v>56</v>
      </c>
      <c r="C13" s="227"/>
      <c r="D13" s="217"/>
      <c r="E13" s="217"/>
      <c r="F13" s="216"/>
      <c r="G13" s="217"/>
      <c r="H13" s="217"/>
      <c r="I13" s="197"/>
      <c r="J13" s="197"/>
      <c r="K13" s="132"/>
      <c r="L13" s="501" t="str">
        <f>'Action Plan'!L13</f>
        <v>Sale</v>
      </c>
      <c r="M13" s="493">
        <f>'Action Plan'!M13</f>
        <v>4</v>
      </c>
      <c r="N13" s="490">
        <f>'Action Plan'!N13</f>
        <v>4</v>
      </c>
      <c r="O13" s="483">
        <f>'Action Plan'!O13</f>
        <v>0</v>
      </c>
      <c r="P13" s="479">
        <f>'Action Plan'!P13</f>
        <v>0.35</v>
      </c>
      <c r="Q13" s="479">
        <f>'Action Plan'!Q13</f>
        <v>0.3</v>
      </c>
      <c r="R13" s="479">
        <f>'Action Plan'!R13</f>
        <v>0.25</v>
      </c>
      <c r="S13" s="480">
        <f>'Action Plan'!S13</f>
        <v>0.2</v>
      </c>
      <c r="T13" s="197"/>
      <c r="U13" s="197"/>
      <c r="V13" s="197"/>
      <c r="W13" s="197"/>
      <c r="X13" s="197"/>
      <c r="Y13" s="197"/>
      <c r="Z13" s="197"/>
      <c r="AA13" s="197"/>
      <c r="AB13" s="197"/>
      <c r="AC13" s="197"/>
      <c r="AD13" s="197"/>
      <c r="AE13" s="197"/>
      <c r="AF13" s="197"/>
      <c r="AG13" s="197"/>
      <c r="AH13" s="197"/>
      <c r="AI13" s="197"/>
      <c r="AJ13" s="197"/>
      <c r="AK13" s="197"/>
      <c r="AL13" s="197"/>
      <c r="AM13" s="197"/>
      <c r="AN13" s="197"/>
      <c r="AO13" s="197"/>
      <c r="AP13" s="197"/>
      <c r="AQ13" s="197"/>
      <c r="AR13" s="197"/>
      <c r="AS13" s="197"/>
      <c r="AT13" s="197"/>
      <c r="AU13" s="197"/>
      <c r="AV13" s="197"/>
      <c r="AW13" s="197"/>
      <c r="AX13" s="197"/>
      <c r="AY13" s="197"/>
      <c r="AZ13" s="197"/>
      <c r="BA13" s="197"/>
      <c r="BB13" s="197"/>
      <c r="BC13" s="197"/>
      <c r="BD13" s="197"/>
      <c r="BE13" s="197"/>
      <c r="BF13" s="197"/>
      <c r="BG13" s="197"/>
      <c r="BH13" s="197"/>
      <c r="BI13" s="197"/>
      <c r="BJ13" s="197"/>
      <c r="BK13" s="197"/>
      <c r="BL13" s="197"/>
      <c r="BM13" s="197"/>
      <c r="BN13" s="197"/>
      <c r="BO13" s="197"/>
      <c r="BP13" s="197"/>
    </row>
    <row r="14" spans="1:68" ht="30" customHeight="1" thickBot="1" x14ac:dyDescent="0.2">
      <c r="A14" s="255"/>
      <c r="B14" s="252" t="s">
        <v>169</v>
      </c>
      <c r="C14" s="555" t="s">
        <v>142</v>
      </c>
      <c r="D14" s="448" t="s">
        <v>146</v>
      </c>
      <c r="E14" s="556" t="s">
        <v>56</v>
      </c>
      <c r="F14" s="557" t="s">
        <v>140</v>
      </c>
      <c r="G14" s="565" t="s">
        <v>41</v>
      </c>
      <c r="H14" s="566" t="s">
        <v>143</v>
      </c>
      <c r="I14" s="228"/>
      <c r="J14" s="228"/>
      <c r="K14" s="807"/>
      <c r="L14" s="502" t="str">
        <f>'Action Plan'!L14</f>
        <v>Trainee</v>
      </c>
      <c r="M14" s="494">
        <f>'Action Plan'!M14</f>
        <v>10</v>
      </c>
      <c r="N14" s="491">
        <f>'Action Plan'!N14</f>
        <v>0</v>
      </c>
      <c r="O14" s="484">
        <f>'Action Plan'!O14</f>
        <v>-10</v>
      </c>
      <c r="P14" s="481">
        <f>'Action Plan'!P14</f>
        <v>0</v>
      </c>
      <c r="Q14" s="481">
        <f>'Action Plan'!Q14</f>
        <v>0</v>
      </c>
      <c r="R14" s="481">
        <f>'Action Plan'!R14</f>
        <v>0</v>
      </c>
      <c r="S14" s="482">
        <f>'Action Plan'!S14</f>
        <v>0</v>
      </c>
      <c r="T14" s="228"/>
      <c r="U14" s="228"/>
      <c r="V14" s="228"/>
      <c r="W14" s="228"/>
      <c r="X14" s="228"/>
      <c r="Y14" s="228"/>
      <c r="Z14" s="228"/>
      <c r="AA14" s="228"/>
      <c r="AB14" s="228"/>
      <c r="AC14" s="228"/>
      <c r="AD14" s="228"/>
      <c r="AE14" s="228"/>
      <c r="AF14" s="228"/>
      <c r="AG14" s="228"/>
      <c r="AH14" s="228"/>
      <c r="AI14" s="228"/>
      <c r="AJ14" s="228"/>
      <c r="AK14" s="228"/>
      <c r="AL14" s="228"/>
      <c r="AM14" s="228"/>
      <c r="AN14" s="228"/>
      <c r="AO14" s="228"/>
      <c r="AP14" s="228"/>
      <c r="AQ14" s="228"/>
      <c r="AR14" s="228"/>
      <c r="AS14" s="228"/>
      <c r="AT14" s="228"/>
      <c r="AU14" s="228"/>
      <c r="AV14" s="228"/>
      <c r="AW14" s="228"/>
      <c r="AX14" s="228"/>
      <c r="AY14" s="228"/>
      <c r="AZ14" s="228"/>
      <c r="BA14" s="228"/>
      <c r="BB14" s="228"/>
      <c r="BC14" s="228"/>
      <c r="BD14" s="228"/>
      <c r="BE14" s="228"/>
      <c r="BF14" s="228"/>
      <c r="BG14" s="228"/>
      <c r="BH14" s="228"/>
      <c r="BI14" s="228"/>
      <c r="BJ14" s="228"/>
      <c r="BK14" s="228"/>
      <c r="BL14" s="228"/>
      <c r="BM14" s="228"/>
      <c r="BN14" s="228"/>
      <c r="BO14" s="228"/>
      <c r="BP14" s="228"/>
    </row>
    <row r="15" spans="1:68" ht="25" customHeight="1" x14ac:dyDescent="0.15">
      <c r="A15" s="197"/>
      <c r="B15" s="54" t="s">
        <v>81</v>
      </c>
      <c r="C15" s="1440">
        <f>SUM(C16:C23)</f>
        <v>0.85000000000000009</v>
      </c>
      <c r="D15" s="1443">
        <f t="shared" ref="C15:H15" si="0">SUM(D16:D23)</f>
        <v>0.99999999999999989</v>
      </c>
      <c r="E15" s="558">
        <f t="shared" si="0"/>
        <v>170000000</v>
      </c>
      <c r="F15" s="559">
        <f>SUM(F16:F23)</f>
        <v>45700000</v>
      </c>
      <c r="G15" s="567">
        <f>SUM(G16:G23)</f>
        <v>124300000</v>
      </c>
      <c r="H15" s="1446">
        <f t="shared" si="0"/>
        <v>0.14999999999999997</v>
      </c>
      <c r="I15" s="197"/>
      <c r="J15" s="197"/>
      <c r="K15" s="197"/>
      <c r="L15" s="197"/>
      <c r="M15" s="228"/>
      <c r="N15" s="197"/>
      <c r="O15" s="197"/>
      <c r="P15" s="197"/>
      <c r="Q15" s="197"/>
      <c r="R15" s="197"/>
      <c r="S15" s="197"/>
      <c r="T15" s="197"/>
      <c r="U15" s="197"/>
      <c r="V15" s="197"/>
      <c r="W15" s="197"/>
      <c r="X15" s="197"/>
      <c r="Y15" s="197"/>
      <c r="Z15" s="197"/>
      <c r="AA15" s="197"/>
      <c r="AB15" s="197"/>
      <c r="AC15" s="197"/>
      <c r="AD15" s="197"/>
      <c r="AE15" s="197"/>
      <c r="AF15" s="197"/>
      <c r="AG15" s="197"/>
      <c r="AH15" s="197"/>
      <c r="AI15" s="197"/>
      <c r="AJ15" s="197"/>
      <c r="AK15" s="197"/>
      <c r="AL15" s="197"/>
      <c r="AM15" s="197"/>
      <c r="AN15" s="197"/>
      <c r="AO15" s="197"/>
      <c r="AP15" s="197"/>
      <c r="AQ15" s="197"/>
      <c r="AR15" s="197"/>
      <c r="AS15" s="197"/>
      <c r="AT15" s="197"/>
      <c r="AU15" s="197"/>
      <c r="AV15" s="197"/>
      <c r="AW15" s="197"/>
      <c r="AX15" s="197"/>
      <c r="AY15" s="197"/>
      <c r="AZ15" s="197"/>
      <c r="BA15" s="197"/>
      <c r="BB15" s="197"/>
      <c r="BC15" s="197"/>
      <c r="BD15" s="197"/>
      <c r="BE15" s="197"/>
      <c r="BF15" s="197"/>
      <c r="BG15" s="197"/>
      <c r="BH15" s="197"/>
      <c r="BI15" s="197"/>
      <c r="BJ15" s="197"/>
      <c r="BK15" s="197"/>
      <c r="BL15" s="197"/>
      <c r="BM15" s="197"/>
      <c r="BN15" s="197"/>
      <c r="BO15" s="197"/>
      <c r="BP15" s="197"/>
    </row>
    <row r="16" spans="1:68" ht="20" customHeight="1" x14ac:dyDescent="0.15">
      <c r="A16" s="197"/>
      <c r="B16" s="276" t="str">
        <f>'Action Plan'!B17</f>
        <v>FACEBOOK</v>
      </c>
      <c r="C16" s="560">
        <f>'Action Plan'!C17</f>
        <v>0.05</v>
      </c>
      <c r="D16" s="1444">
        <f>F16/$F$15</f>
        <v>6.5645514223194746E-3</v>
      </c>
      <c r="E16" s="297">
        <f>$B$11*C16</f>
        <v>10000000</v>
      </c>
      <c r="F16" s="561">
        <f>'Digital Marketer #1'!E9+'E-Com Operations'!E9</f>
        <v>300000</v>
      </c>
      <c r="G16" s="568">
        <f>E16-F16</f>
        <v>9700000</v>
      </c>
      <c r="H16" s="1447">
        <f>D16-C16</f>
        <v>-4.343544857768053E-2</v>
      </c>
      <c r="I16" s="197"/>
      <c r="J16" s="132"/>
      <c r="K16" s="197"/>
      <c r="L16" s="197"/>
      <c r="M16" s="197"/>
      <c r="N16" s="197"/>
      <c r="O16" s="197"/>
      <c r="P16" s="197"/>
      <c r="Q16" s="197"/>
      <c r="R16" s="197"/>
      <c r="S16" s="197"/>
      <c r="T16" s="197"/>
      <c r="U16" s="197"/>
      <c r="V16" s="197"/>
      <c r="W16" s="197"/>
      <c r="X16" s="197"/>
      <c r="Y16" s="197"/>
      <c r="Z16" s="197"/>
      <c r="AA16" s="197"/>
      <c r="AB16" s="197"/>
      <c r="AC16" s="197"/>
      <c r="AD16" s="197"/>
      <c r="AE16" s="197"/>
      <c r="AF16" s="197"/>
      <c r="AG16" s="197"/>
      <c r="AH16" s="197"/>
      <c r="AI16" s="197"/>
      <c r="AJ16" s="197"/>
      <c r="AK16" s="197"/>
      <c r="AL16" s="197"/>
      <c r="AM16" s="197"/>
      <c r="AN16" s="197"/>
      <c r="AO16" s="197"/>
      <c r="AP16" s="197"/>
      <c r="AQ16" s="197"/>
      <c r="AR16" s="197"/>
      <c r="AS16" s="197"/>
      <c r="AT16" s="197"/>
      <c r="AU16" s="197"/>
      <c r="AV16" s="197"/>
      <c r="AW16" s="197"/>
      <c r="AX16" s="197"/>
      <c r="AY16" s="197"/>
      <c r="AZ16" s="197"/>
      <c r="BA16" s="197"/>
      <c r="BB16" s="197"/>
      <c r="BC16" s="197"/>
      <c r="BD16" s="197"/>
      <c r="BE16" s="197"/>
      <c r="BF16" s="197"/>
      <c r="BG16" s="197"/>
      <c r="BH16" s="197"/>
      <c r="BI16" s="197"/>
      <c r="BJ16" s="197"/>
      <c r="BK16" s="197"/>
      <c r="BL16" s="197"/>
      <c r="BM16" s="197"/>
      <c r="BN16" s="197"/>
      <c r="BO16" s="197"/>
      <c r="BP16" s="197"/>
    </row>
    <row r="17" spans="1:68" ht="20" customHeight="1" x14ac:dyDescent="0.15">
      <c r="A17" s="197"/>
      <c r="B17" s="276" t="str">
        <f>'Action Plan'!B18</f>
        <v>LANDING PAGE</v>
      </c>
      <c r="C17" s="560">
        <f>'Action Plan'!C18</f>
        <v>0.3</v>
      </c>
      <c r="D17" s="1444">
        <f t="shared" ref="D17:D21" si="1">F17/$F$15</f>
        <v>0.32822757111597373</v>
      </c>
      <c r="E17" s="297">
        <f>$B$11*C17</f>
        <v>60000000</v>
      </c>
      <c r="F17" s="561">
        <f>'Digital Marketer #1'!E15+'E-Com Operations'!E15</f>
        <v>15000000</v>
      </c>
      <c r="G17" s="568">
        <f>E17-F17</f>
        <v>45000000</v>
      </c>
      <c r="H17" s="1447">
        <f t="shared" ref="H17:H22" si="2">D17-C17</f>
        <v>2.8227571115973737E-2</v>
      </c>
      <c r="I17" s="197"/>
      <c r="J17" s="132"/>
      <c r="K17" s="132"/>
      <c r="L17" s="132"/>
      <c r="M17" s="132"/>
      <c r="N17" s="197"/>
      <c r="O17" s="197"/>
      <c r="P17" s="197"/>
      <c r="Q17" s="197"/>
      <c r="R17" s="197"/>
      <c r="S17" s="197"/>
      <c r="T17" s="197"/>
      <c r="U17" s="197"/>
      <c r="V17" s="197"/>
      <c r="W17" s="197"/>
      <c r="X17" s="197"/>
      <c r="Y17" s="197"/>
      <c r="Z17" s="197"/>
      <c r="AA17" s="197"/>
      <c r="AB17" s="197"/>
      <c r="AC17" s="197"/>
      <c r="AD17" s="197"/>
      <c r="AE17" s="197"/>
      <c r="AF17" s="197"/>
      <c r="AG17" s="197"/>
      <c r="AH17" s="197"/>
      <c r="AI17" s="197"/>
      <c r="AJ17" s="197"/>
      <c r="AK17" s="197"/>
      <c r="AL17" s="197"/>
      <c r="AM17" s="197"/>
      <c r="AN17" s="197"/>
      <c r="AO17" s="197"/>
      <c r="AP17" s="197"/>
      <c r="AQ17" s="197"/>
      <c r="AR17" s="197"/>
      <c r="AS17" s="197"/>
      <c r="AT17" s="197"/>
      <c r="AU17" s="197"/>
      <c r="AV17" s="197"/>
      <c r="AW17" s="197"/>
      <c r="AX17" s="197"/>
      <c r="AY17" s="197"/>
      <c r="AZ17" s="197"/>
      <c r="BA17" s="197"/>
      <c r="BB17" s="197"/>
      <c r="BC17" s="197"/>
      <c r="BD17" s="197"/>
      <c r="BE17" s="197"/>
      <c r="BF17" s="197"/>
      <c r="BG17" s="197"/>
      <c r="BH17" s="197"/>
      <c r="BI17" s="197"/>
      <c r="BJ17" s="197"/>
      <c r="BK17" s="197"/>
      <c r="BL17" s="197"/>
      <c r="BM17" s="197"/>
      <c r="BN17" s="197"/>
      <c r="BO17" s="197"/>
      <c r="BP17" s="197"/>
    </row>
    <row r="18" spans="1:68" ht="20" customHeight="1" x14ac:dyDescent="0.15">
      <c r="A18" s="197"/>
      <c r="B18" s="276" t="str">
        <f>'Action Plan'!B19</f>
        <v>WEBSITE</v>
      </c>
      <c r="C18" s="560">
        <f>'Action Plan'!C19</f>
        <v>0.05</v>
      </c>
      <c r="D18" s="1444">
        <f t="shared" si="1"/>
        <v>7.8774617067833702E-2</v>
      </c>
      <c r="E18" s="297">
        <f t="shared" ref="E18:E21" si="3">$B$11*C18</f>
        <v>10000000</v>
      </c>
      <c r="F18" s="561">
        <f>'Digital Marketer #1'!E21+'E-Com Operations'!E21</f>
        <v>3600000</v>
      </c>
      <c r="G18" s="568">
        <f>E18-F18</f>
        <v>6400000</v>
      </c>
      <c r="H18" s="1447">
        <f t="shared" si="2"/>
        <v>2.8774617067833699E-2</v>
      </c>
      <c r="I18" s="197"/>
      <c r="J18" s="569"/>
      <c r="K18" s="132"/>
      <c r="L18" s="132"/>
      <c r="M18" s="132"/>
      <c r="N18" s="197"/>
      <c r="O18" s="197"/>
      <c r="P18" s="197"/>
      <c r="Q18" s="197"/>
      <c r="R18" s="197"/>
      <c r="S18" s="197"/>
      <c r="T18" s="197"/>
      <c r="U18" s="197"/>
      <c r="V18" s="197"/>
      <c r="W18" s="197"/>
      <c r="X18" s="197"/>
      <c r="Y18" s="197"/>
      <c r="Z18" s="197"/>
      <c r="AA18" s="197"/>
      <c r="AB18" s="197"/>
      <c r="AC18" s="197"/>
      <c r="AD18" s="197"/>
      <c r="AE18" s="197"/>
      <c r="AF18" s="197"/>
      <c r="AG18" s="197"/>
      <c r="AH18" s="197"/>
      <c r="AI18" s="197"/>
      <c r="AJ18" s="197"/>
      <c r="AK18" s="197"/>
      <c r="AL18" s="197"/>
      <c r="AM18" s="197"/>
      <c r="AN18" s="197"/>
      <c r="AO18" s="197"/>
      <c r="AP18" s="197"/>
      <c r="AQ18" s="197"/>
      <c r="AR18" s="197"/>
      <c r="AS18" s="197"/>
      <c r="AT18" s="197"/>
      <c r="AU18" s="197"/>
      <c r="AV18" s="197"/>
      <c r="AW18" s="197"/>
      <c r="AX18" s="197"/>
      <c r="AY18" s="197"/>
      <c r="AZ18" s="197"/>
      <c r="BA18" s="197"/>
      <c r="BB18" s="197"/>
      <c r="BC18" s="197"/>
      <c r="BD18" s="197"/>
      <c r="BE18" s="197"/>
      <c r="BF18" s="197"/>
      <c r="BG18" s="197"/>
      <c r="BH18" s="197"/>
      <c r="BI18" s="197"/>
      <c r="BJ18" s="197"/>
      <c r="BK18" s="197"/>
      <c r="BL18" s="197"/>
      <c r="BM18" s="197"/>
      <c r="BN18" s="197"/>
      <c r="BO18" s="197"/>
      <c r="BP18" s="197"/>
    </row>
    <row r="19" spans="1:68" ht="20" customHeight="1" x14ac:dyDescent="0.15">
      <c r="A19" s="197"/>
      <c r="B19" s="276" t="str">
        <f>'Action Plan'!B20</f>
        <v>TIKTOK SHOP</v>
      </c>
      <c r="C19" s="560">
        <f>'Action Plan'!C20</f>
        <v>0.1</v>
      </c>
      <c r="D19" s="1444">
        <f t="shared" si="1"/>
        <v>0.15973741794310722</v>
      </c>
      <c r="E19" s="297">
        <f t="shared" si="3"/>
        <v>20000000</v>
      </c>
      <c r="F19" s="561">
        <f>'Digital Marketer #1'!E24+'E-Com Operations'!E24</f>
        <v>7300000</v>
      </c>
      <c r="G19" s="568">
        <f t="shared" ref="G19:G23" si="4">E19-F19</f>
        <v>12700000</v>
      </c>
      <c r="H19" s="1447">
        <f>D19-C19</f>
        <v>5.9737417943107218E-2</v>
      </c>
      <c r="I19" s="197"/>
      <c r="J19" s="197"/>
      <c r="K19" s="132"/>
      <c r="L19" s="132"/>
      <c r="M19" s="132"/>
      <c r="N19" s="197"/>
      <c r="O19" s="197"/>
      <c r="P19" s="197"/>
      <c r="Q19" s="197"/>
      <c r="R19" s="197"/>
      <c r="S19" s="197"/>
      <c r="T19" s="197"/>
      <c r="U19" s="197"/>
      <c r="V19" s="197"/>
      <c r="W19" s="197"/>
      <c r="X19" s="197"/>
      <c r="Y19" s="197"/>
      <c r="Z19" s="197"/>
      <c r="AA19" s="197"/>
      <c r="AB19" s="197"/>
      <c r="AC19" s="197"/>
      <c r="AD19" s="197"/>
      <c r="AE19" s="197"/>
      <c r="AF19" s="197"/>
      <c r="AG19" s="197"/>
      <c r="AH19" s="197"/>
      <c r="AI19" s="197"/>
      <c r="AJ19" s="197"/>
      <c r="AK19" s="197"/>
      <c r="AL19" s="197"/>
      <c r="AM19" s="197"/>
      <c r="AN19" s="197"/>
      <c r="AO19" s="197"/>
      <c r="AP19" s="197"/>
      <c r="AQ19" s="197"/>
      <c r="AR19" s="197"/>
      <c r="AS19" s="197"/>
      <c r="AT19" s="197"/>
      <c r="AU19" s="197"/>
      <c r="AV19" s="197"/>
      <c r="AW19" s="197"/>
      <c r="AX19" s="197"/>
      <c r="AY19" s="197"/>
      <c r="AZ19" s="197"/>
      <c r="BA19" s="197"/>
      <c r="BB19" s="197"/>
      <c r="BC19" s="197"/>
      <c r="BD19" s="197"/>
      <c r="BE19" s="197"/>
      <c r="BF19" s="197"/>
      <c r="BG19" s="197"/>
      <c r="BH19" s="197"/>
      <c r="BI19" s="197"/>
      <c r="BJ19" s="197"/>
      <c r="BK19" s="197"/>
      <c r="BL19" s="197"/>
      <c r="BM19" s="197"/>
      <c r="BN19" s="197"/>
      <c r="BO19" s="197"/>
      <c r="BP19" s="197"/>
    </row>
    <row r="20" spans="1:68" ht="20" customHeight="1" x14ac:dyDescent="0.15">
      <c r="A20" s="197"/>
      <c r="B20" s="276" t="str">
        <f>'Action Plan'!B21</f>
        <v>SHOPEE</v>
      </c>
      <c r="C20" s="560">
        <f>'Action Plan'!C21</f>
        <v>0.05</v>
      </c>
      <c r="D20" s="1444">
        <f t="shared" si="1"/>
        <v>0.13347921225382933</v>
      </c>
      <c r="E20" s="297">
        <f t="shared" si="3"/>
        <v>10000000</v>
      </c>
      <c r="F20" s="561">
        <f>'Digital Marketer #1'!E25+'E-Com Operations'!E25</f>
        <v>6100000</v>
      </c>
      <c r="G20" s="568">
        <f t="shared" si="4"/>
        <v>3900000</v>
      </c>
      <c r="H20" s="1447">
        <f t="shared" si="2"/>
        <v>8.347921225382933E-2</v>
      </c>
      <c r="I20" s="197"/>
      <c r="J20" s="197"/>
      <c r="K20" s="197"/>
      <c r="L20" s="197"/>
      <c r="M20" s="197"/>
      <c r="N20" s="197"/>
      <c r="O20" s="197"/>
      <c r="P20" s="197"/>
      <c r="Q20" s="132"/>
      <c r="R20" s="197"/>
      <c r="S20" s="197"/>
      <c r="T20" s="197"/>
      <c r="U20" s="197"/>
      <c r="V20" s="197"/>
      <c r="W20" s="197"/>
      <c r="X20" s="197"/>
      <c r="Y20" s="197"/>
      <c r="Z20" s="197"/>
      <c r="AA20" s="197"/>
      <c r="AB20" s="197"/>
      <c r="AC20" s="197"/>
      <c r="AD20" s="197"/>
      <c r="AE20" s="197"/>
      <c r="AF20" s="197"/>
      <c r="AG20" s="197"/>
      <c r="AH20" s="197"/>
      <c r="AI20" s="197"/>
      <c r="AJ20" s="197"/>
      <c r="AK20" s="197"/>
      <c r="AL20" s="197"/>
      <c r="AM20" s="197"/>
      <c r="AN20" s="197"/>
      <c r="AO20" s="197"/>
      <c r="AP20" s="197"/>
      <c r="AQ20" s="197"/>
      <c r="AR20" s="197"/>
      <c r="AS20" s="197"/>
      <c r="AT20" s="197"/>
      <c r="AU20" s="197"/>
      <c r="AV20" s="197"/>
      <c r="AW20" s="197"/>
      <c r="AX20" s="197"/>
      <c r="AY20" s="197"/>
      <c r="AZ20" s="197"/>
      <c r="BA20" s="197"/>
      <c r="BB20" s="197"/>
      <c r="BC20" s="197"/>
      <c r="BD20" s="197"/>
      <c r="BE20" s="197"/>
      <c r="BF20" s="197"/>
      <c r="BG20" s="197"/>
      <c r="BH20" s="197"/>
      <c r="BI20" s="197"/>
      <c r="BJ20" s="197"/>
      <c r="BK20" s="197"/>
      <c r="BL20" s="197"/>
      <c r="BM20" s="197"/>
      <c r="BN20" s="197"/>
      <c r="BO20" s="197"/>
      <c r="BP20" s="197"/>
    </row>
    <row r="21" spans="1:68" ht="20" customHeight="1" x14ac:dyDescent="0.15">
      <c r="A21" s="197"/>
      <c r="B21" s="276" t="str">
        <f>'Action Plan'!B22</f>
        <v>ZALO</v>
      </c>
      <c r="C21" s="560">
        <f>'Action Plan'!C22</f>
        <v>0.2</v>
      </c>
      <c r="D21" s="1444">
        <f t="shared" si="1"/>
        <v>6.0175054704595186E-2</v>
      </c>
      <c r="E21" s="297">
        <f t="shared" si="3"/>
        <v>40000000</v>
      </c>
      <c r="F21" s="561">
        <f>'Digital Marketer #1'!E26+'E-Com Operations'!E26</f>
        <v>2750000</v>
      </c>
      <c r="G21" s="568">
        <f t="shared" si="4"/>
        <v>37250000</v>
      </c>
      <c r="H21" s="1447">
        <f t="shared" si="2"/>
        <v>-0.13982494529540482</v>
      </c>
      <c r="I21" s="197"/>
      <c r="J21" s="197"/>
      <c r="K21" s="197"/>
      <c r="L21" s="197"/>
      <c r="M21" s="197"/>
      <c r="N21" s="197"/>
      <c r="O21" s="197"/>
      <c r="P21" s="197"/>
      <c r="Q21" s="197"/>
      <c r="R21" s="197"/>
      <c r="S21" s="197"/>
      <c r="T21" s="197"/>
      <c r="U21" s="197"/>
      <c r="V21" s="197"/>
      <c r="W21" s="197"/>
      <c r="X21" s="197"/>
      <c r="Y21" s="197"/>
      <c r="Z21" s="197"/>
      <c r="AA21" s="197"/>
      <c r="AB21" s="197"/>
      <c r="AC21" s="197"/>
      <c r="AD21" s="197"/>
      <c r="AE21" s="197"/>
      <c r="AF21" s="197"/>
      <c r="AG21" s="197"/>
      <c r="AH21" s="197"/>
      <c r="AI21" s="197"/>
      <c r="AJ21" s="197"/>
      <c r="AK21" s="197"/>
      <c r="AL21" s="197"/>
      <c r="AM21" s="197"/>
      <c r="AN21" s="197"/>
      <c r="AO21" s="197"/>
      <c r="AP21" s="197"/>
      <c r="AQ21" s="197"/>
      <c r="AR21" s="197"/>
      <c r="AS21" s="197"/>
      <c r="AT21" s="197"/>
      <c r="AU21" s="197"/>
      <c r="AV21" s="197"/>
      <c r="AW21" s="197"/>
      <c r="AX21" s="197"/>
      <c r="AY21" s="197"/>
      <c r="AZ21" s="197"/>
      <c r="BA21" s="197"/>
      <c r="BB21" s="197"/>
      <c r="BC21" s="197"/>
      <c r="BD21" s="197"/>
      <c r="BE21" s="197"/>
      <c r="BF21" s="197"/>
      <c r="BG21" s="197"/>
      <c r="BH21" s="197"/>
      <c r="BI21" s="197"/>
      <c r="BJ21" s="197"/>
      <c r="BK21" s="197"/>
      <c r="BL21" s="197"/>
      <c r="BM21" s="197"/>
      <c r="BN21" s="197"/>
      <c r="BO21" s="197"/>
      <c r="BP21" s="197"/>
    </row>
    <row r="22" spans="1:68" ht="20" customHeight="1" x14ac:dyDescent="0.15">
      <c r="A22" s="197"/>
      <c r="B22" s="276" t="str">
        <f>'Action Plan'!B23</f>
        <v>BOOKING</v>
      </c>
      <c r="C22" s="560">
        <f>'Action Plan'!C23</f>
        <v>0.05</v>
      </c>
      <c r="D22" s="1444">
        <f>F22/$F$15</f>
        <v>0.13457330415754923</v>
      </c>
      <c r="E22" s="297">
        <f>$B$11*C22</f>
        <v>10000000</v>
      </c>
      <c r="F22" s="561">
        <f>'Digital Marketer #1'!E27+'E-Com Operations'!E27</f>
        <v>6150000</v>
      </c>
      <c r="G22" s="568">
        <f t="shared" si="4"/>
        <v>3850000</v>
      </c>
      <c r="H22" s="1447">
        <f t="shared" si="2"/>
        <v>8.4573304157549226E-2</v>
      </c>
      <c r="I22" s="197"/>
      <c r="J22" s="197"/>
      <c r="K22" s="197"/>
      <c r="L22" s="197"/>
      <c r="M22" s="197"/>
      <c r="N22" s="197"/>
      <c r="O22" s="197"/>
      <c r="P22" s="197"/>
      <c r="Q22" s="197"/>
      <c r="R22" s="197"/>
      <c r="S22" s="197"/>
      <c r="T22" s="197"/>
      <c r="U22" s="197"/>
      <c r="V22" s="197"/>
      <c r="W22" s="197"/>
      <c r="X22" s="197"/>
      <c r="Y22" s="197"/>
      <c r="Z22" s="197"/>
      <c r="AA22" s="197"/>
      <c r="AB22" s="197"/>
      <c r="AC22" s="197"/>
      <c r="AD22" s="197"/>
      <c r="AE22" s="197"/>
      <c r="AF22" s="197"/>
      <c r="AG22" s="197"/>
      <c r="AH22" s="197"/>
      <c r="AI22" s="197"/>
      <c r="AJ22" s="197"/>
      <c r="AK22" s="197"/>
      <c r="AL22" s="197"/>
      <c r="AM22" s="197"/>
      <c r="AN22" s="197"/>
      <c r="AO22" s="197"/>
      <c r="AP22" s="197"/>
      <c r="AQ22" s="197"/>
      <c r="AR22" s="197"/>
      <c r="AS22" s="197"/>
      <c r="AT22" s="197"/>
      <c r="AU22" s="197"/>
      <c r="AV22" s="197"/>
      <c r="AW22" s="197"/>
      <c r="AX22" s="197"/>
      <c r="AY22" s="197"/>
      <c r="AZ22" s="197"/>
      <c r="BA22" s="197"/>
      <c r="BB22" s="197"/>
      <c r="BC22" s="197"/>
      <c r="BD22" s="197"/>
      <c r="BE22" s="197"/>
      <c r="BF22" s="197"/>
      <c r="BG22" s="197"/>
      <c r="BH22" s="197"/>
      <c r="BI22" s="197"/>
      <c r="BJ22" s="197"/>
      <c r="BK22" s="197"/>
      <c r="BL22" s="197"/>
      <c r="BM22" s="197"/>
      <c r="BN22" s="197"/>
      <c r="BO22" s="197"/>
      <c r="BP22" s="197"/>
    </row>
    <row r="23" spans="1:68" ht="20" customHeight="1" thickBot="1" x14ac:dyDescent="0.2">
      <c r="A23" s="197"/>
      <c r="B23" s="276" t="str">
        <f>'Action Plan'!B24</f>
        <v>BRANDING</v>
      </c>
      <c r="C23" s="562">
        <f>'Action Plan'!C24</f>
        <v>0.05</v>
      </c>
      <c r="D23" s="1445">
        <f t="shared" ref="D23" si="5">F23/$F$15</f>
        <v>9.8468271334792121E-2</v>
      </c>
      <c r="E23" s="563">
        <f>$B$11*C23</f>
        <v>10000000</v>
      </c>
      <c r="F23" s="564">
        <f>'Digital Marketer #1'!E28+'E-Com Operations'!E28</f>
        <v>4500000</v>
      </c>
      <c r="G23" s="777">
        <f t="shared" si="4"/>
        <v>5500000</v>
      </c>
      <c r="H23" s="1448">
        <f t="shared" ref="H23" si="6">D23-C23</f>
        <v>4.8468271334792118E-2</v>
      </c>
      <c r="I23" s="147"/>
      <c r="J23" s="147"/>
      <c r="K23" s="197"/>
      <c r="L23" s="197"/>
      <c r="M23" s="197"/>
      <c r="N23" s="197"/>
      <c r="O23" s="197"/>
      <c r="P23" s="197"/>
      <c r="Q23" s="197"/>
      <c r="R23" s="197"/>
      <c r="S23" s="197"/>
      <c r="T23" s="197"/>
      <c r="U23" s="197"/>
      <c r="V23" s="197"/>
      <c r="W23" s="197"/>
      <c r="X23" s="197"/>
      <c r="Y23" s="197"/>
      <c r="Z23" s="197"/>
      <c r="AA23" s="197"/>
      <c r="AB23" s="197"/>
      <c r="AC23" s="197"/>
      <c r="AD23" s="197"/>
      <c r="AE23" s="197"/>
      <c r="AF23" s="197"/>
      <c r="AG23" s="197"/>
      <c r="AH23" s="197"/>
      <c r="AI23" s="197"/>
      <c r="AJ23" s="197"/>
      <c r="AK23" s="197"/>
      <c r="AL23" s="197"/>
      <c r="AM23" s="197"/>
      <c r="AN23" s="197"/>
      <c r="AO23" s="197"/>
      <c r="AP23" s="197"/>
      <c r="AQ23" s="197"/>
      <c r="AR23" s="197"/>
      <c r="AS23" s="197"/>
      <c r="AT23" s="197"/>
      <c r="AU23" s="197"/>
      <c r="AV23" s="197"/>
      <c r="AW23" s="197"/>
      <c r="AX23" s="197"/>
      <c r="AY23" s="197"/>
      <c r="AZ23" s="197"/>
      <c r="BA23" s="197"/>
      <c r="BB23" s="197"/>
      <c r="BC23" s="197"/>
      <c r="BD23" s="197"/>
      <c r="BE23" s="197"/>
      <c r="BF23" s="197"/>
      <c r="BG23" s="197"/>
      <c r="BH23" s="197"/>
      <c r="BI23" s="197"/>
      <c r="BJ23" s="197"/>
      <c r="BK23" s="197"/>
      <c r="BL23" s="197"/>
      <c r="BM23" s="197"/>
      <c r="BN23" s="197"/>
      <c r="BO23" s="197"/>
      <c r="BP23" s="197"/>
    </row>
    <row r="24" spans="1:68" ht="25" customHeight="1" thickBot="1" x14ac:dyDescent="0.2">
      <c r="A24" s="251" t="s">
        <v>9</v>
      </c>
      <c r="B24" s="252" t="s">
        <v>57</v>
      </c>
      <c r="C24" s="229"/>
      <c r="D24" s="232"/>
      <c r="E24" s="230"/>
      <c r="F24" s="197"/>
      <c r="J24" s="1368" t="s">
        <v>10</v>
      </c>
      <c r="K24" s="1369"/>
      <c r="L24" s="1369"/>
      <c r="M24" s="1369"/>
      <c r="N24" s="1370"/>
      <c r="O24" s="1363" t="s">
        <v>179</v>
      </c>
      <c r="P24" s="1364"/>
      <c r="Q24" s="1364"/>
      <c r="R24" s="1365"/>
      <c r="S24" s="1330" t="s">
        <v>11</v>
      </c>
      <c r="T24" s="1331"/>
      <c r="U24" s="1331"/>
      <c r="V24" s="1331"/>
      <c r="W24" s="1332"/>
      <c r="X24" s="231"/>
      <c r="Y24" s="231"/>
      <c r="Z24" s="231"/>
      <c r="AA24" s="231"/>
      <c r="AF24" s="197"/>
      <c r="AG24" s="197"/>
      <c r="AH24" s="197"/>
      <c r="AI24" s="197"/>
      <c r="AJ24" s="197"/>
      <c r="AK24" s="197"/>
      <c r="AL24" s="197"/>
      <c r="AM24" s="197"/>
      <c r="AN24" s="197"/>
      <c r="AO24" s="197"/>
      <c r="AP24" s="197"/>
      <c r="AQ24" s="197"/>
      <c r="AR24" s="197"/>
      <c r="AS24" s="197"/>
      <c r="AT24" s="197"/>
      <c r="AU24" s="197"/>
      <c r="AV24" s="197"/>
      <c r="AW24" s="197"/>
      <c r="AX24" s="197"/>
      <c r="AY24" s="197"/>
      <c r="AZ24" s="197"/>
      <c r="BA24" s="197"/>
      <c r="BB24" s="197"/>
      <c r="BC24" s="197"/>
      <c r="BD24" s="197"/>
      <c r="BE24" s="197"/>
      <c r="BF24" s="197"/>
      <c r="BG24" s="197"/>
      <c r="BH24" s="197"/>
      <c r="BI24" s="197"/>
      <c r="BJ24" s="197"/>
      <c r="BK24" s="197"/>
      <c r="BL24" s="197"/>
      <c r="BM24" s="197"/>
      <c r="BN24" s="197"/>
      <c r="BO24" s="197"/>
      <c r="BP24" s="197"/>
    </row>
    <row r="25" spans="1:68" s="273" customFormat="1" ht="30" customHeight="1" x14ac:dyDescent="0.15">
      <c r="A25" s="1412">
        <v>2.1</v>
      </c>
      <c r="B25" s="252" t="s">
        <v>169</v>
      </c>
      <c r="C25" s="257" t="s">
        <v>142</v>
      </c>
      <c r="D25" s="257" t="s">
        <v>146</v>
      </c>
      <c r="E25" s="431" t="s">
        <v>57</v>
      </c>
      <c r="F25" s="570" t="s">
        <v>139</v>
      </c>
      <c r="G25" s="565" t="s">
        <v>41</v>
      </c>
      <c r="H25" s="528" t="s">
        <v>143</v>
      </c>
      <c r="I25" s="529" t="s">
        <v>150</v>
      </c>
      <c r="J25" s="524" t="s">
        <v>59</v>
      </c>
      <c r="K25" s="525" t="s">
        <v>61</v>
      </c>
      <c r="L25" s="525" t="s">
        <v>139</v>
      </c>
      <c r="M25" s="505" t="s">
        <v>41</v>
      </c>
      <c r="N25" s="506" t="s">
        <v>43</v>
      </c>
      <c r="O25" s="526" t="s">
        <v>162</v>
      </c>
      <c r="P25" s="527" t="s">
        <v>160</v>
      </c>
      <c r="Q25" s="505" t="s">
        <v>41</v>
      </c>
      <c r="R25" s="506" t="s">
        <v>43</v>
      </c>
      <c r="S25" s="433" t="s">
        <v>59</v>
      </c>
      <c r="T25" s="434" t="s">
        <v>153</v>
      </c>
      <c r="U25" s="434" t="s">
        <v>161</v>
      </c>
      <c r="V25" s="505" t="s">
        <v>41</v>
      </c>
      <c r="W25" s="506" t="s">
        <v>43</v>
      </c>
      <c r="X25" s="230"/>
      <c r="Y25" s="230"/>
      <c r="Z25" s="230"/>
      <c r="AA25" s="230"/>
      <c r="AF25" s="274"/>
      <c r="AG25" s="275"/>
      <c r="AH25" s="275"/>
      <c r="AI25" s="275"/>
      <c r="AJ25" s="275"/>
      <c r="AK25" s="274"/>
      <c r="AL25" s="274"/>
      <c r="AM25" s="274"/>
      <c r="AN25" s="274"/>
      <c r="AO25" s="274"/>
      <c r="AP25" s="274"/>
      <c r="AQ25" s="274"/>
      <c r="AR25" s="274"/>
      <c r="AS25" s="274"/>
      <c r="AT25" s="274"/>
      <c r="AU25" s="274"/>
      <c r="AV25" s="274"/>
      <c r="AW25" s="274"/>
      <c r="AX25" s="274"/>
      <c r="AY25" s="274"/>
      <c r="AZ25" s="274"/>
      <c r="BA25" s="274"/>
      <c r="BB25" s="274"/>
      <c r="BC25" s="274"/>
      <c r="BD25" s="274"/>
      <c r="BE25" s="274"/>
      <c r="BF25" s="274"/>
      <c r="BG25" s="274"/>
      <c r="BH25" s="274"/>
      <c r="BI25" s="274"/>
      <c r="BJ25" s="274"/>
      <c r="BK25" s="274"/>
      <c r="BL25" s="274"/>
      <c r="BM25" s="274"/>
      <c r="BN25" s="274"/>
      <c r="BO25" s="274"/>
      <c r="BP25" s="274"/>
    </row>
    <row r="26" spans="1:68" ht="25" customHeight="1" x14ac:dyDescent="0.15">
      <c r="A26" s="232"/>
      <c r="B26" s="281" t="s">
        <v>81</v>
      </c>
      <c r="C26" s="1442">
        <f t="shared" ref="C26:H26" si="7">SUM(C27:C32)</f>
        <v>0.99999999999999989</v>
      </c>
      <c r="D26" s="234">
        <f>SUM(D27:D32)</f>
        <v>1</v>
      </c>
      <c r="E26" s="530">
        <f t="shared" si="7"/>
        <v>500000000</v>
      </c>
      <c r="F26" s="571">
        <f>SUM(F27:F32)</f>
        <v>373050000</v>
      </c>
      <c r="G26" s="573">
        <f>SUM(G27:G32)</f>
        <v>-126950000</v>
      </c>
      <c r="H26" s="1449">
        <f t="shared" si="7"/>
        <v>1.0000000000000002</v>
      </c>
      <c r="I26" s="531">
        <f ca="1">SUM(I27:I32)</f>
        <v>-3077662500</v>
      </c>
      <c r="J26" s="507">
        <f>COUNTIF(J27:J32,"TRUE")</f>
        <v>6</v>
      </c>
      <c r="K26" s="308">
        <f t="shared" ref="K26:R26" si="8">SUM(K27:K32)</f>
        <v>500000000</v>
      </c>
      <c r="L26" s="309">
        <f t="shared" si="8"/>
        <v>373050000</v>
      </c>
      <c r="M26" s="301">
        <f t="shared" si="8"/>
        <v>-126950000</v>
      </c>
      <c r="N26" s="1452">
        <f t="shared" si="8"/>
        <v>1.0000000000000002</v>
      </c>
      <c r="O26" s="513">
        <f t="shared" si="8"/>
        <v>2.75</v>
      </c>
      <c r="P26" s="235">
        <f>SUM(P27:P32)</f>
        <v>9.6901209677419349</v>
      </c>
      <c r="Q26" s="292">
        <f t="shared" si="8"/>
        <v>6.9401209677419349</v>
      </c>
      <c r="R26" s="1452">
        <f t="shared" si="8"/>
        <v>1</v>
      </c>
      <c r="S26" s="518">
        <f>COUNTIF(S27:S32,"TRUE")</f>
        <v>6</v>
      </c>
      <c r="T26" s="236">
        <f>SUM(T27:T32)</f>
        <v>1680</v>
      </c>
      <c r="U26" s="237">
        <f>SUM(U27:U32)</f>
        <v>1335</v>
      </c>
      <c r="V26" s="290">
        <f>SUM(V27:V32)</f>
        <v>-345</v>
      </c>
      <c r="W26" s="1452">
        <f>SUM(W27:W32)</f>
        <v>1</v>
      </c>
      <c r="X26" s="238"/>
      <c r="Y26" s="239"/>
      <c r="Z26" s="195"/>
      <c r="AA26" s="196"/>
      <c r="AF26" s="232"/>
      <c r="AK26" s="232"/>
      <c r="AL26" s="232"/>
      <c r="AM26" s="232"/>
      <c r="AN26" s="232"/>
      <c r="AO26" s="232"/>
      <c r="AP26" s="232"/>
      <c r="AQ26" s="232"/>
      <c r="AR26" s="232"/>
      <c r="AS26" s="232"/>
      <c r="AT26" s="232"/>
      <c r="AU26" s="232"/>
      <c r="AV26" s="232"/>
      <c r="AW26" s="232"/>
      <c r="AX26" s="232"/>
      <c r="AY26" s="232"/>
      <c r="AZ26" s="232"/>
      <c r="BA26" s="232"/>
      <c r="BB26" s="232"/>
      <c r="BC26" s="232"/>
      <c r="BD26" s="232"/>
      <c r="BE26" s="232"/>
      <c r="BF26" s="232"/>
      <c r="BG26" s="232"/>
      <c r="BH26" s="232"/>
      <c r="BI26" s="232"/>
      <c r="BJ26" s="232"/>
      <c r="BK26" s="232"/>
      <c r="BL26" s="232"/>
      <c r="BM26" s="232"/>
      <c r="BN26" s="232"/>
      <c r="BO26" s="232"/>
      <c r="BP26" s="232"/>
    </row>
    <row r="27" spans="1:68" ht="20" customHeight="1" x14ac:dyDescent="0.15">
      <c r="A27" s="197"/>
      <c r="B27" s="278" t="str">
        <f>'Action Plan'!B29</f>
        <v>FACEBOOK</v>
      </c>
      <c r="C27" s="283">
        <f>'Action Plan'!C29</f>
        <v>0.1</v>
      </c>
      <c r="D27" s="296">
        <f>F27/$F$26</f>
        <v>0.13697895724433723</v>
      </c>
      <c r="E27" s="532">
        <f>$B$8*$C27</f>
        <v>50000000</v>
      </c>
      <c r="F27" s="572">
        <f>'Digital Marketer #1'!E49+'E-Com Operations'!E49</f>
        <v>51100000</v>
      </c>
      <c r="G27" s="574">
        <f>F27-E27</f>
        <v>1100000</v>
      </c>
      <c r="H27" s="1450">
        <f t="shared" ref="H27:H32" si="9">G27/$G$26</f>
        <v>-8.6648286727057898E-3</v>
      </c>
      <c r="I27" s="533">
        <f ca="1">F27/(TODAY()-$B$5)*($D$5-TODAY())</f>
        <v>-421575000</v>
      </c>
      <c r="J27" s="508" t="b">
        <v>1</v>
      </c>
      <c r="K27" s="310">
        <f>$B$8*$C27</f>
        <v>50000000</v>
      </c>
      <c r="L27" s="302">
        <f>F27</f>
        <v>51100000</v>
      </c>
      <c r="M27" s="317">
        <f t="shared" ref="M27:M32" si="10">L27-K27</f>
        <v>1100000</v>
      </c>
      <c r="N27" s="1453">
        <f t="shared" ref="N27:N32" si="11">M27/$M$26</f>
        <v>-8.6648286727057898E-3</v>
      </c>
      <c r="O27" s="514">
        <f>'Action Plan'!K29</f>
        <v>0.2</v>
      </c>
      <c r="P27" s="270">
        <f>AVERAGE(F83,F117)</f>
        <v>2.1876478494623655</v>
      </c>
      <c r="Q27" s="319">
        <f>P27-O27</f>
        <v>1.9876478494623655</v>
      </c>
      <c r="R27" s="1453">
        <f>Q27/$Q$26</f>
        <v>0.28639959716855978</v>
      </c>
      <c r="S27" s="508" t="b">
        <v>1</v>
      </c>
      <c r="T27" s="312">
        <f>ROUNDUP((K27/$C$34)/O27,0)</f>
        <v>313</v>
      </c>
      <c r="U27" s="313">
        <f>F54</f>
        <v>372</v>
      </c>
      <c r="V27" s="320">
        <f>U27-T27</f>
        <v>59</v>
      </c>
      <c r="W27" s="1453">
        <f>V27/$V$26</f>
        <v>-0.17101449275362318</v>
      </c>
      <c r="X27" s="267"/>
      <c r="Y27" s="240"/>
      <c r="Z27" s="152"/>
      <c r="AA27" s="241"/>
      <c r="AF27" s="197"/>
      <c r="AK27" s="197"/>
      <c r="AL27" s="197"/>
      <c r="AM27" s="197"/>
      <c r="AN27" s="197"/>
      <c r="AO27" s="197"/>
      <c r="AP27" s="197"/>
      <c r="AQ27" s="197"/>
      <c r="AR27" s="197"/>
      <c r="AS27" s="197"/>
      <c r="AT27" s="197"/>
      <c r="AU27" s="197"/>
      <c r="AV27" s="197"/>
      <c r="AW27" s="197"/>
      <c r="AX27" s="197"/>
      <c r="AY27" s="197"/>
      <c r="AZ27" s="197"/>
      <c r="BA27" s="197"/>
      <c r="BB27" s="197"/>
      <c r="BC27" s="197"/>
      <c r="BD27" s="197"/>
      <c r="BE27" s="197"/>
      <c r="BF27" s="197"/>
      <c r="BG27" s="197"/>
      <c r="BH27" s="197"/>
      <c r="BI27" s="197"/>
      <c r="BJ27" s="197"/>
      <c r="BK27" s="197"/>
      <c r="BL27" s="197"/>
      <c r="BM27" s="197"/>
      <c r="BN27" s="197"/>
      <c r="BO27" s="197"/>
      <c r="BP27" s="197"/>
    </row>
    <row r="28" spans="1:68" ht="20" customHeight="1" x14ac:dyDescent="0.15">
      <c r="A28" s="197"/>
      <c r="B28" s="278" t="str">
        <f>'Action Plan'!B30</f>
        <v>LANDING PAGE</v>
      </c>
      <c r="C28" s="283">
        <f>'Action Plan'!C30</f>
        <v>0.5</v>
      </c>
      <c r="D28" s="296">
        <f>F28/$F$26</f>
        <v>0.13697895724433723</v>
      </c>
      <c r="E28" s="532">
        <f>$B$8*$C28</f>
        <v>250000000</v>
      </c>
      <c r="F28" s="572">
        <f>'Digital Marketer #1'!E50+'E-Com Operations'!E50</f>
        <v>51100000</v>
      </c>
      <c r="G28" s="574">
        <f>F28-E28</f>
        <v>-198900000</v>
      </c>
      <c r="H28" s="1450">
        <f>G28/$G$26</f>
        <v>1.5667585663647106</v>
      </c>
      <c r="I28" s="533">
        <f ca="1">F28/(TODAY()-$B$5)*($D$5-TODAY())</f>
        <v>-421575000</v>
      </c>
      <c r="J28" s="508" t="b">
        <v>1</v>
      </c>
      <c r="K28" s="310">
        <f>$B$8*$C28</f>
        <v>250000000</v>
      </c>
      <c r="L28" s="302">
        <f t="shared" ref="L28:L32" si="12">F28</f>
        <v>51100000</v>
      </c>
      <c r="M28" s="317">
        <f>L28-K28</f>
        <v>-198900000</v>
      </c>
      <c r="N28" s="1453">
        <f t="shared" si="11"/>
        <v>1.5667585663647106</v>
      </c>
      <c r="O28" s="514">
        <f>'Action Plan'!K30</f>
        <v>0.9</v>
      </c>
      <c r="P28" s="270">
        <f>AVERAGE(F84,F118)</f>
        <v>1.7017204301075259</v>
      </c>
      <c r="Q28" s="319">
        <f t="shared" ref="Q28:Q30" si="13">P28-O28</f>
        <v>0.80172043010752592</v>
      </c>
      <c r="R28" s="1453">
        <f>Q28/$Q$26</f>
        <v>0.11551966224133077</v>
      </c>
      <c r="S28" s="508" t="b">
        <v>1</v>
      </c>
      <c r="T28" s="312">
        <f>ROUNDUP((K28/$C$34)/O28,0)</f>
        <v>348</v>
      </c>
      <c r="U28" s="313">
        <f>F55</f>
        <v>341</v>
      </c>
      <c r="V28" s="320">
        <f>U28-T28</f>
        <v>-7</v>
      </c>
      <c r="W28" s="1453">
        <f>V28/$V$26</f>
        <v>2.0289855072463767E-2</v>
      </c>
      <c r="X28" s="267"/>
      <c r="Y28" s="240"/>
      <c r="Z28" s="152"/>
      <c r="AA28" s="241"/>
      <c r="AF28" s="197"/>
      <c r="AK28" s="197"/>
      <c r="AL28" s="197"/>
      <c r="AM28" s="197"/>
      <c r="AN28" s="197"/>
      <c r="AO28" s="197"/>
      <c r="AP28" s="197"/>
      <c r="AQ28" s="197"/>
      <c r="AR28" s="197"/>
      <c r="AS28" s="197"/>
      <c r="AT28" s="197"/>
      <c r="AU28" s="197"/>
      <c r="AV28" s="197"/>
      <c r="AW28" s="197"/>
      <c r="AX28" s="197"/>
      <c r="AY28" s="197"/>
      <c r="AZ28" s="197"/>
      <c r="BA28" s="197"/>
      <c r="BB28" s="197"/>
      <c r="BC28" s="197"/>
      <c r="BD28" s="197"/>
      <c r="BE28" s="197"/>
      <c r="BF28" s="197"/>
      <c r="BG28" s="197"/>
      <c r="BH28" s="197"/>
      <c r="BI28" s="197"/>
      <c r="BJ28" s="197"/>
      <c r="BK28" s="197"/>
      <c r="BL28" s="197"/>
      <c r="BM28" s="197"/>
      <c r="BN28" s="197"/>
      <c r="BO28" s="197"/>
      <c r="BP28" s="197"/>
    </row>
    <row r="29" spans="1:68" ht="20" customHeight="1" x14ac:dyDescent="0.15">
      <c r="A29" s="197"/>
      <c r="B29" s="278" t="str">
        <f>'Action Plan'!B31</f>
        <v>WEBSITE</v>
      </c>
      <c r="C29" s="283">
        <f>'Action Plan'!C31</f>
        <v>0.1</v>
      </c>
      <c r="D29" s="296">
        <f t="shared" ref="D29:D32" si="14">F29/$F$26</f>
        <v>0.12893713979359336</v>
      </c>
      <c r="E29" s="532">
        <f t="shared" ref="E29:E32" si="15">$B$8*$C29</f>
        <v>50000000</v>
      </c>
      <c r="F29" s="572">
        <f>'Digital Marketer #1'!E51+'E-Com Operations'!E51</f>
        <v>48100000</v>
      </c>
      <c r="G29" s="574">
        <f>F29-E29</f>
        <v>-1900000</v>
      </c>
      <c r="H29" s="1450">
        <f t="shared" si="9"/>
        <v>1.4966522252855455E-2</v>
      </c>
      <c r="I29" s="533">
        <f t="shared" ref="I29:I32" ca="1" si="16">F29/(TODAY()-$B$5)*($D$5-TODAY())</f>
        <v>-396825000</v>
      </c>
      <c r="J29" s="508" t="b">
        <v>1</v>
      </c>
      <c r="K29" s="310">
        <f>$B$8*$C29</f>
        <v>50000000</v>
      </c>
      <c r="L29" s="302">
        <f t="shared" si="12"/>
        <v>48100000</v>
      </c>
      <c r="M29" s="317">
        <f>L29-K29</f>
        <v>-1900000</v>
      </c>
      <c r="N29" s="1453">
        <f>M29/$M$26</f>
        <v>1.4966522252855455E-2</v>
      </c>
      <c r="O29" s="514">
        <f>'Action Plan'!K31</f>
        <v>0.5</v>
      </c>
      <c r="P29" s="270">
        <f t="shared" ref="P29:P30" si="17">AVERAGE(F85,F119)</f>
        <v>1.0083333333333331</v>
      </c>
      <c r="Q29" s="319">
        <f t="shared" si="13"/>
        <v>0.50833333333333308</v>
      </c>
      <c r="R29" s="1453">
        <f t="shared" ref="R29:R32" si="18">Q29/$Q$26</f>
        <v>7.3245601293708634E-2</v>
      </c>
      <c r="S29" s="508" t="b">
        <v>1</v>
      </c>
      <c r="T29" s="312">
        <f t="shared" ref="T29:T32" si="19">ROUNDUP((K29/$C$34)/O29,0)</f>
        <v>125</v>
      </c>
      <c r="U29" s="313">
        <f>F59</f>
        <v>310</v>
      </c>
      <c r="V29" s="320">
        <f t="shared" ref="V29:V31" si="20">U29-T29</f>
        <v>185</v>
      </c>
      <c r="W29" s="1453">
        <f t="shared" ref="W29:W32" si="21">V29/$V$26</f>
        <v>-0.53623188405797106</v>
      </c>
      <c r="X29" s="267"/>
      <c r="Y29" s="240"/>
      <c r="Z29" s="152"/>
      <c r="AA29" s="241"/>
      <c r="AF29" s="197"/>
      <c r="AK29" s="197"/>
      <c r="AL29" s="197"/>
      <c r="AM29" s="197"/>
      <c r="AN29" s="197"/>
      <c r="AO29" s="197"/>
      <c r="AP29" s="197"/>
      <c r="AQ29" s="197"/>
      <c r="AR29" s="197"/>
      <c r="AS29" s="197"/>
      <c r="AT29" s="197"/>
      <c r="AU29" s="197"/>
      <c r="AV29" s="197"/>
      <c r="AW29" s="197"/>
      <c r="AX29" s="197"/>
      <c r="AY29" s="197"/>
      <c r="AZ29" s="197"/>
      <c r="BA29" s="197"/>
      <c r="BB29" s="197"/>
      <c r="BC29" s="197"/>
      <c r="BD29" s="197"/>
      <c r="BE29" s="197"/>
      <c r="BF29" s="197"/>
      <c r="BG29" s="197"/>
      <c r="BH29" s="197"/>
      <c r="BI29" s="197"/>
      <c r="BJ29" s="197"/>
      <c r="BK29" s="197"/>
      <c r="BL29" s="197"/>
      <c r="BM29" s="197"/>
      <c r="BN29" s="197"/>
      <c r="BO29" s="197"/>
      <c r="BP29" s="197"/>
    </row>
    <row r="30" spans="1:68" ht="20" customHeight="1" x14ac:dyDescent="0.15">
      <c r="A30" s="197"/>
      <c r="B30" s="278" t="str">
        <f>'Action Plan'!B32</f>
        <v>TIKTOK SHOP</v>
      </c>
      <c r="C30" s="283">
        <f>'Action Plan'!C32</f>
        <v>0.1</v>
      </c>
      <c r="D30" s="296">
        <f t="shared" si="14"/>
        <v>0.24822409864629405</v>
      </c>
      <c r="E30" s="532">
        <f t="shared" si="15"/>
        <v>50000000</v>
      </c>
      <c r="F30" s="572">
        <f>'Digital Marketer #1'!E52+'E-Com Operations'!E52</f>
        <v>92600000</v>
      </c>
      <c r="G30" s="574">
        <f t="shared" ref="G30:G32" si="22">F30-E30</f>
        <v>42600000</v>
      </c>
      <c r="H30" s="1450">
        <f t="shared" si="9"/>
        <v>-0.33556518314296968</v>
      </c>
      <c r="I30" s="533">
        <f t="shared" ca="1" si="16"/>
        <v>-763950000</v>
      </c>
      <c r="J30" s="508" t="b">
        <v>1</v>
      </c>
      <c r="K30" s="310">
        <f t="shared" ref="K30:K31" si="23">$B$8*$C30</f>
        <v>50000000</v>
      </c>
      <c r="L30" s="302">
        <f t="shared" si="12"/>
        <v>92600000</v>
      </c>
      <c r="M30" s="317">
        <f t="shared" si="10"/>
        <v>42600000</v>
      </c>
      <c r="N30" s="1453">
        <f t="shared" si="11"/>
        <v>-0.33556518314296968</v>
      </c>
      <c r="O30" s="514">
        <f>'Action Plan'!K32</f>
        <v>0.7</v>
      </c>
      <c r="P30" s="270">
        <f t="shared" si="17"/>
        <v>1.4866129032258066</v>
      </c>
      <c r="Q30" s="319">
        <f t="shared" si="13"/>
        <v>0.78661290322580668</v>
      </c>
      <c r="R30" s="1453">
        <f t="shared" si="18"/>
        <v>0.11334282311245393</v>
      </c>
      <c r="S30" s="508" t="b">
        <v>1</v>
      </c>
      <c r="T30" s="312">
        <f t="shared" si="19"/>
        <v>90</v>
      </c>
      <c r="U30" s="313">
        <f>F60</f>
        <v>188</v>
      </c>
      <c r="V30" s="320">
        <f t="shared" si="20"/>
        <v>98</v>
      </c>
      <c r="W30" s="1453">
        <f t="shared" si="21"/>
        <v>-0.28405797101449276</v>
      </c>
      <c r="X30" s="267"/>
      <c r="Y30" s="240"/>
      <c r="Z30" s="152"/>
      <c r="AA30" s="241"/>
      <c r="AF30" s="197"/>
      <c r="AK30" s="197"/>
      <c r="AL30" s="197"/>
      <c r="AM30" s="197"/>
      <c r="AN30" s="197"/>
      <c r="AO30" s="197"/>
      <c r="AP30" s="197"/>
      <c r="AQ30" s="197"/>
      <c r="AR30" s="197"/>
      <c r="AS30" s="197"/>
      <c r="AT30" s="197"/>
      <c r="AU30" s="197"/>
      <c r="AV30" s="197"/>
      <c r="AW30" s="197"/>
      <c r="AX30" s="197"/>
      <c r="AY30" s="197"/>
      <c r="AZ30" s="197"/>
      <c r="BA30" s="197"/>
      <c r="BB30" s="197"/>
      <c r="BC30" s="197"/>
      <c r="BD30" s="197"/>
      <c r="BE30" s="197"/>
      <c r="BF30" s="197"/>
      <c r="BG30" s="197"/>
      <c r="BH30" s="197"/>
      <c r="BI30" s="197"/>
      <c r="BJ30" s="197"/>
      <c r="BK30" s="197"/>
      <c r="BL30" s="197"/>
      <c r="BM30" s="197"/>
      <c r="BN30" s="197"/>
      <c r="BO30" s="197"/>
      <c r="BP30" s="197"/>
    </row>
    <row r="31" spans="1:68" ht="20" customHeight="1" x14ac:dyDescent="0.15">
      <c r="A31" s="197"/>
      <c r="B31" s="278" t="str">
        <f>'Action Plan'!B33</f>
        <v>SHOPEE</v>
      </c>
      <c r="C31" s="283">
        <f>'Action Plan'!C33</f>
        <v>0.1</v>
      </c>
      <c r="D31" s="296">
        <f t="shared" si="14"/>
        <v>0.252245007371666</v>
      </c>
      <c r="E31" s="532">
        <f t="shared" si="15"/>
        <v>50000000</v>
      </c>
      <c r="F31" s="572">
        <f>'Digital Marketer #1'!E53+'E-Com Operations'!E53</f>
        <v>94100000</v>
      </c>
      <c r="G31" s="574">
        <f t="shared" si="22"/>
        <v>44100000</v>
      </c>
      <c r="H31" s="1450">
        <f t="shared" si="9"/>
        <v>-0.3473808586057503</v>
      </c>
      <c r="I31" s="533">
        <f t="shared" ca="1" si="16"/>
        <v>-776325000</v>
      </c>
      <c r="J31" s="508" t="b">
        <v>1</v>
      </c>
      <c r="K31" s="310">
        <f t="shared" si="23"/>
        <v>50000000</v>
      </c>
      <c r="L31" s="302">
        <f t="shared" si="12"/>
        <v>94100000</v>
      </c>
      <c r="M31" s="317">
        <f t="shared" si="10"/>
        <v>44100000</v>
      </c>
      <c r="N31" s="1453">
        <f t="shared" si="11"/>
        <v>-0.3473808586057503</v>
      </c>
      <c r="O31" s="514">
        <f>'Action Plan'!K33</f>
        <v>0.35</v>
      </c>
      <c r="P31" s="270">
        <f>AVERAGE(F87,F121)</f>
        <v>1.165</v>
      </c>
      <c r="Q31" s="319">
        <f>P31-O31</f>
        <v>0.81500000000000006</v>
      </c>
      <c r="R31" s="1453">
        <f t="shared" si="18"/>
        <v>0.11743311158237227</v>
      </c>
      <c r="S31" s="508" t="b">
        <v>1</v>
      </c>
      <c r="T31" s="312">
        <f t="shared" si="19"/>
        <v>179</v>
      </c>
      <c r="U31" s="313">
        <f>F61</f>
        <v>62</v>
      </c>
      <c r="V31" s="320">
        <f t="shared" si="20"/>
        <v>-117</v>
      </c>
      <c r="W31" s="1453">
        <f t="shared" si="21"/>
        <v>0.33913043478260868</v>
      </c>
      <c r="X31" s="267"/>
      <c r="Y31" s="240"/>
      <c r="Z31" s="152"/>
      <c r="AA31" s="241"/>
      <c r="AF31" s="197"/>
      <c r="AK31" s="197"/>
      <c r="AL31" s="197"/>
      <c r="AM31" s="197"/>
      <c r="AN31" s="197"/>
      <c r="AO31" s="197"/>
      <c r="AP31" s="197"/>
      <c r="AQ31" s="197"/>
      <c r="AR31" s="197"/>
      <c r="AS31" s="197"/>
      <c r="AT31" s="197"/>
      <c r="AU31" s="197"/>
      <c r="AV31" s="197"/>
      <c r="AW31" s="197"/>
      <c r="AX31" s="197"/>
      <c r="AY31" s="197"/>
      <c r="AZ31" s="197"/>
      <c r="BA31" s="197"/>
      <c r="BB31" s="197"/>
      <c r="BC31" s="197"/>
      <c r="BD31" s="197"/>
      <c r="BE31" s="197"/>
      <c r="BF31" s="197"/>
      <c r="BG31" s="197"/>
      <c r="BH31" s="197"/>
      <c r="BI31" s="197"/>
      <c r="BJ31" s="197"/>
      <c r="BK31" s="197"/>
      <c r="BL31" s="197"/>
      <c r="BM31" s="197"/>
      <c r="BN31" s="197"/>
      <c r="BO31" s="197"/>
      <c r="BP31" s="197"/>
    </row>
    <row r="32" spans="1:68" ht="20" customHeight="1" thickBot="1" x14ac:dyDescent="0.2">
      <c r="A32" s="197"/>
      <c r="B32" s="278" t="str">
        <f>'Action Plan'!B34</f>
        <v>ZALO</v>
      </c>
      <c r="C32" s="283">
        <f>'Action Plan'!C34</f>
        <v>0.1</v>
      </c>
      <c r="D32" s="296">
        <f t="shared" si="14"/>
        <v>9.6635839699772144E-2</v>
      </c>
      <c r="E32" s="534">
        <f t="shared" si="15"/>
        <v>50000000</v>
      </c>
      <c r="F32" s="576">
        <f>'Digital Marketer #1'!E54+'E-Com Operations'!E54</f>
        <v>36050000</v>
      </c>
      <c r="G32" s="575">
        <f t="shared" si="22"/>
        <v>-13950000</v>
      </c>
      <c r="H32" s="1451">
        <f t="shared" si="9"/>
        <v>0.10988578180385979</v>
      </c>
      <c r="I32" s="535">
        <f t="shared" ca="1" si="16"/>
        <v>-297412500</v>
      </c>
      <c r="J32" s="509" t="b">
        <v>1</v>
      </c>
      <c r="K32" s="510">
        <f>$B$8*$C32</f>
        <v>50000000</v>
      </c>
      <c r="L32" s="511">
        <f t="shared" si="12"/>
        <v>36050000</v>
      </c>
      <c r="M32" s="512">
        <f t="shared" si="10"/>
        <v>-13950000</v>
      </c>
      <c r="N32" s="1454">
        <f t="shared" si="11"/>
        <v>0.10988578180385979</v>
      </c>
      <c r="O32" s="515">
        <f>'Action Plan'!K34</f>
        <v>0.1</v>
      </c>
      <c r="P32" s="516">
        <f>AVERAGE(F88,F122)</f>
        <v>2.1408064516129035</v>
      </c>
      <c r="Q32" s="517">
        <f>P32-O32</f>
        <v>2.0408064516129034</v>
      </c>
      <c r="R32" s="1454">
        <f t="shared" si="18"/>
        <v>0.29405920460157459</v>
      </c>
      <c r="S32" s="509" t="b">
        <v>1</v>
      </c>
      <c r="T32" s="519">
        <f t="shared" si="19"/>
        <v>625</v>
      </c>
      <c r="U32" s="520">
        <f>F62</f>
        <v>62</v>
      </c>
      <c r="V32" s="521">
        <f>U32-T32</f>
        <v>-563</v>
      </c>
      <c r="W32" s="1454">
        <f t="shared" si="21"/>
        <v>1.6318840579710145</v>
      </c>
      <c r="X32" s="267"/>
      <c r="Y32" s="240"/>
      <c r="Z32" s="152"/>
      <c r="AA32" s="241"/>
      <c r="AF32" s="197"/>
      <c r="AK32" s="197"/>
      <c r="AL32" s="197"/>
      <c r="AM32" s="197"/>
      <c r="AN32" s="197"/>
      <c r="AO32" s="197"/>
      <c r="AP32" s="197"/>
      <c r="AQ32" s="197"/>
      <c r="AR32" s="197"/>
      <c r="AS32" s="197"/>
      <c r="AT32" s="197"/>
      <c r="AU32" s="197"/>
      <c r="AV32" s="197"/>
      <c r="AW32" s="197"/>
      <c r="AX32" s="197"/>
      <c r="AY32" s="197"/>
      <c r="AZ32" s="197"/>
      <c r="BA32" s="197"/>
      <c r="BB32" s="197"/>
      <c r="BC32" s="197"/>
      <c r="BD32" s="197"/>
      <c r="BE32" s="197"/>
      <c r="BF32" s="197"/>
      <c r="BG32" s="197"/>
      <c r="BH32" s="197"/>
      <c r="BI32" s="197"/>
      <c r="BJ32" s="197"/>
      <c r="BK32" s="197"/>
      <c r="BL32" s="197"/>
      <c r="BM32" s="197"/>
      <c r="BN32" s="197"/>
      <c r="BO32" s="197"/>
      <c r="BP32" s="197"/>
    </row>
    <row r="33" spans="1:68" ht="20" customHeight="1" thickBot="1" x14ac:dyDescent="0.2">
      <c r="A33" s="147"/>
      <c r="B33" s="268"/>
      <c r="C33" s="300" t="s">
        <v>147</v>
      </c>
      <c r="D33" s="285" t="s">
        <v>148</v>
      </c>
      <c r="E33" s="197"/>
      <c r="F33" s="197"/>
      <c r="G33" s="197"/>
      <c r="H33" s="197"/>
      <c r="I33" s="197"/>
      <c r="J33" s="197"/>
      <c r="K33" s="197"/>
      <c r="L33" s="147"/>
      <c r="M33" s="197"/>
      <c r="N33" s="197"/>
      <c r="O33" s="197"/>
      <c r="P33" s="197"/>
      <c r="Q33" s="197"/>
      <c r="R33" s="197"/>
      <c r="S33" s="197"/>
      <c r="T33" s="197"/>
      <c r="U33" s="197"/>
      <c r="V33" s="197"/>
      <c r="W33" s="197"/>
      <c r="X33" s="197"/>
      <c r="Y33" s="197"/>
      <c r="Z33" s="197"/>
      <c r="AA33" s="197"/>
      <c r="AB33" s="197"/>
      <c r="AC33" s="197"/>
      <c r="AD33" s="197"/>
      <c r="AE33" s="197"/>
      <c r="AF33" s="197"/>
      <c r="AG33" s="197"/>
      <c r="AH33" s="197"/>
      <c r="AI33" s="197"/>
      <c r="AJ33" s="197"/>
      <c r="AK33" s="197"/>
      <c r="AL33" s="197"/>
      <c r="AM33" s="197"/>
      <c r="AN33" s="197"/>
      <c r="AO33" s="197"/>
      <c r="AP33" s="197"/>
      <c r="AQ33" s="197"/>
      <c r="AR33" s="197"/>
      <c r="AS33" s="197"/>
      <c r="AT33" s="197"/>
      <c r="AU33" s="197"/>
      <c r="AV33" s="197"/>
      <c r="AW33" s="197"/>
      <c r="AX33" s="197"/>
      <c r="AY33" s="197"/>
      <c r="AZ33" s="197"/>
      <c r="BA33" s="197"/>
      <c r="BB33" s="197"/>
      <c r="BC33" s="197"/>
      <c r="BD33" s="197"/>
      <c r="BE33" s="197"/>
      <c r="BF33" s="197"/>
      <c r="BG33" s="197"/>
      <c r="BH33" s="197"/>
      <c r="BI33" s="197"/>
      <c r="BJ33" s="197"/>
      <c r="BK33" s="197"/>
      <c r="BL33" s="197"/>
      <c r="BM33" s="197"/>
      <c r="BN33" s="197"/>
      <c r="BO33" s="197"/>
      <c r="BP33" s="197"/>
    </row>
    <row r="34" spans="1:68" ht="20" customHeight="1" thickBot="1" x14ac:dyDescent="0.2">
      <c r="A34" s="197"/>
      <c r="B34" s="284" t="s">
        <v>12</v>
      </c>
      <c r="C34" s="299">
        <f>'Action Plan'!C37</f>
        <v>800500</v>
      </c>
      <c r="D34" s="1410">
        <f>F26/(W26*P26)</f>
        <v>38497971.412521072</v>
      </c>
      <c r="E34" s="264"/>
      <c r="F34" s="264"/>
      <c r="G34" s="264"/>
      <c r="H34" s="264"/>
      <c r="I34" s="1336" t="s">
        <v>64</v>
      </c>
      <c r="J34" s="1337"/>
      <c r="K34" s="1337"/>
      <c r="L34" s="1337"/>
      <c r="M34" s="1337"/>
      <c r="N34" s="1337"/>
      <c r="O34" s="1337"/>
      <c r="P34" s="1337"/>
      <c r="Q34" s="1337"/>
      <c r="R34" s="1338"/>
      <c r="S34" s="1333" t="s">
        <v>65</v>
      </c>
      <c r="T34" s="1334"/>
      <c r="U34" s="1334"/>
      <c r="V34" s="1334"/>
      <c r="W34" s="1334"/>
      <c r="X34" s="1334"/>
      <c r="Y34" s="1334"/>
      <c r="Z34" s="1334"/>
      <c r="AA34" s="1334"/>
      <c r="AB34" s="1334"/>
      <c r="AC34" s="1334"/>
      <c r="AD34" s="1334"/>
      <c r="AE34" s="1334"/>
      <c r="AF34" s="1335"/>
      <c r="AK34" s="197"/>
      <c r="AL34" s="197"/>
      <c r="AM34" s="197"/>
      <c r="AN34" s="197"/>
      <c r="AO34" s="197"/>
      <c r="AP34" s="197"/>
      <c r="AQ34" s="197"/>
      <c r="AR34" s="197"/>
      <c r="AS34" s="197"/>
      <c r="AT34" s="197"/>
      <c r="AU34" s="197"/>
      <c r="AV34" s="197"/>
      <c r="AW34" s="197"/>
      <c r="AX34" s="197"/>
      <c r="AY34" s="197"/>
      <c r="AZ34" s="197"/>
      <c r="BA34" s="197"/>
      <c r="BB34" s="197"/>
      <c r="BC34" s="197"/>
      <c r="BD34" s="197"/>
      <c r="BE34" s="197"/>
      <c r="BF34" s="197"/>
      <c r="BG34" s="197"/>
      <c r="BH34" s="197"/>
      <c r="BI34" s="197"/>
      <c r="BJ34" s="197"/>
      <c r="BK34" s="197"/>
      <c r="BL34" s="197"/>
      <c r="BM34" s="197"/>
      <c r="BN34" s="197"/>
      <c r="BO34" s="197"/>
      <c r="BP34" s="197"/>
    </row>
    <row r="35" spans="1:68" ht="30" customHeight="1" x14ac:dyDescent="0.15">
      <c r="A35" s="1412">
        <v>45324</v>
      </c>
      <c r="B35" s="256" t="s">
        <v>70</v>
      </c>
      <c r="C35" s="257" t="s">
        <v>142</v>
      </c>
      <c r="D35" s="260" t="s">
        <v>146</v>
      </c>
      <c r="E35" s="577" t="s">
        <v>151</v>
      </c>
      <c r="F35" s="578" t="s">
        <v>152</v>
      </c>
      <c r="G35" s="579" t="s">
        <v>41</v>
      </c>
      <c r="H35" s="580" t="s">
        <v>143</v>
      </c>
      <c r="I35" s="548" t="s">
        <v>66</v>
      </c>
      <c r="J35" s="549" t="s">
        <v>165</v>
      </c>
      <c r="K35" s="550" t="s">
        <v>53</v>
      </c>
      <c r="L35" s="550" t="s">
        <v>164</v>
      </c>
      <c r="M35" s="298" t="s">
        <v>41</v>
      </c>
      <c r="N35" s="298" t="s">
        <v>43</v>
      </c>
      <c r="O35" s="550" t="s">
        <v>166</v>
      </c>
      <c r="P35" s="550" t="s">
        <v>167</v>
      </c>
      <c r="Q35" s="298" t="s">
        <v>41</v>
      </c>
      <c r="R35" s="536" t="s">
        <v>43</v>
      </c>
      <c r="S35" s="551" t="s">
        <v>69</v>
      </c>
      <c r="T35" s="552" t="s">
        <v>165</v>
      </c>
      <c r="U35" s="550" t="s">
        <v>53</v>
      </c>
      <c r="V35" s="550" t="s">
        <v>164</v>
      </c>
      <c r="W35" s="298" t="s">
        <v>41</v>
      </c>
      <c r="X35" s="298" t="s">
        <v>43</v>
      </c>
      <c r="Y35" s="550" t="s">
        <v>166</v>
      </c>
      <c r="Z35" s="550" t="s">
        <v>167</v>
      </c>
      <c r="AA35" s="298" t="s">
        <v>41</v>
      </c>
      <c r="AB35" s="298" t="s">
        <v>43</v>
      </c>
      <c r="AC35" s="553" t="s">
        <v>168</v>
      </c>
      <c r="AD35" s="554" t="s">
        <v>139</v>
      </c>
      <c r="AE35" s="298" t="s">
        <v>41</v>
      </c>
      <c r="AF35" s="536" t="s">
        <v>43</v>
      </c>
      <c r="AK35" s="197"/>
      <c r="AL35" s="197"/>
      <c r="AM35" s="197"/>
      <c r="AN35" s="197"/>
      <c r="AO35" s="197"/>
      <c r="AP35" s="197"/>
      <c r="AQ35" s="197"/>
      <c r="AR35" s="197"/>
      <c r="AS35" s="197"/>
      <c r="AT35" s="197"/>
      <c r="AU35" s="197"/>
      <c r="AV35" s="197"/>
      <c r="AW35" s="197"/>
      <c r="AX35" s="197"/>
      <c r="AY35" s="197"/>
      <c r="AZ35" s="197"/>
      <c r="BA35" s="197"/>
      <c r="BB35" s="197"/>
      <c r="BC35" s="197"/>
      <c r="BD35" s="197"/>
      <c r="BE35" s="197"/>
      <c r="BF35" s="197"/>
      <c r="BG35" s="197"/>
      <c r="BH35" s="197"/>
      <c r="BI35" s="197"/>
      <c r="BJ35" s="197"/>
      <c r="BK35" s="197"/>
      <c r="BL35" s="197"/>
      <c r="BM35" s="197"/>
      <c r="BN35" s="197"/>
      <c r="BO35" s="197"/>
      <c r="BP35" s="197"/>
    </row>
    <row r="36" spans="1:68" ht="25" customHeight="1" x14ac:dyDescent="0.15">
      <c r="A36" s="232"/>
      <c r="B36" s="282" t="s">
        <v>81</v>
      </c>
      <c r="C36" s="233">
        <f>SUM(C37:C44)</f>
        <v>0.99999999999999989</v>
      </c>
      <c r="D36" s="261">
        <f>SUM(D37:D44)</f>
        <v>2.2000000000000002</v>
      </c>
      <c r="E36" s="600">
        <f>SUM(E37:E44)</f>
        <v>500000000</v>
      </c>
      <c r="F36" s="305">
        <f>'Sale #1'!F50+'Sale #2'!F50+'Sale #3'!F50+'Sale #4'!F50</f>
        <v>331700000</v>
      </c>
      <c r="G36" s="597">
        <f>SUM(G37:G44)</f>
        <v>-168300000</v>
      </c>
      <c r="H36" s="1452">
        <f>SUM(H37:H44)</f>
        <v>1.0000000000000004</v>
      </c>
      <c r="I36" s="537"/>
      <c r="J36" s="287">
        <f>COUNTIF(J37:J44,"TRUE")</f>
        <v>8</v>
      </c>
      <c r="K36" s="236">
        <f t="shared" ref="K36:R36" si="24">SUM(K37:K44)</f>
        <v>571</v>
      </c>
      <c r="L36" s="236">
        <f>SUM(L37:L44)</f>
        <v>1705</v>
      </c>
      <c r="M36" s="1002">
        <f>SUM(M37:M44)</f>
        <v>1134</v>
      </c>
      <c r="N36" s="1455">
        <f>SUM(N37:N44)</f>
        <v>1</v>
      </c>
      <c r="O36" s="303">
        <f t="shared" si="24"/>
        <v>26</v>
      </c>
      <c r="P36" s="303">
        <f ca="1">SUM(P37:P44)</f>
        <v>0</v>
      </c>
      <c r="Q36" s="291">
        <f t="shared" ca="1" si="24"/>
        <v>-26</v>
      </c>
      <c r="R36" s="1458">
        <f t="shared" ca="1" si="24"/>
        <v>1</v>
      </c>
      <c r="S36" s="543"/>
      <c r="T36" s="293">
        <f>COUNTIF(T37:T42,"TRUE")</f>
        <v>6</v>
      </c>
      <c r="U36" s="242">
        <f t="shared" ref="U36:AF36" si="25">SUM(U37:U44)</f>
        <v>505</v>
      </c>
      <c r="V36" s="242">
        <f>SUM(V37:V44)</f>
        <v>2015</v>
      </c>
      <c r="W36" s="289">
        <f t="shared" si="25"/>
        <v>1510</v>
      </c>
      <c r="X36" s="1459">
        <f t="shared" si="25"/>
        <v>1</v>
      </c>
      <c r="Y36" s="242">
        <f>SUM(Y37:Y44)</f>
        <v>23</v>
      </c>
      <c r="Z36" s="1007">
        <f ca="1">SUM(Z37:Z44)</f>
        <v>0</v>
      </c>
      <c r="AA36" s="1010">
        <f t="shared" ca="1" si="25"/>
        <v>-23</v>
      </c>
      <c r="AB36" s="1463">
        <f t="shared" ca="1" si="25"/>
        <v>0.99999999999999978</v>
      </c>
      <c r="AC36" s="1014">
        <f t="shared" si="25"/>
        <v>20000000</v>
      </c>
      <c r="AD36" s="1015">
        <f t="shared" ca="1" si="25"/>
        <v>0</v>
      </c>
      <c r="AE36" s="306">
        <f t="shared" ca="1" si="25"/>
        <v>-20000000</v>
      </c>
      <c r="AF36" s="1458">
        <f t="shared" ca="1" si="25"/>
        <v>0.15754233950374158</v>
      </c>
      <c r="AK36" s="232"/>
      <c r="AL36" s="232"/>
      <c r="AM36" s="232"/>
      <c r="AN36" s="232"/>
      <c r="AO36" s="232"/>
      <c r="AP36" s="232"/>
      <c r="AQ36" s="232"/>
      <c r="AR36" s="232"/>
      <c r="AS36" s="232"/>
      <c r="AT36" s="232"/>
      <c r="AU36" s="232"/>
      <c r="AV36" s="232"/>
      <c r="AW36" s="232"/>
      <c r="AX36" s="232"/>
      <c r="AY36" s="232"/>
      <c r="AZ36" s="232"/>
      <c r="BA36" s="232"/>
      <c r="BB36" s="232"/>
      <c r="BC36" s="232"/>
      <c r="BD36" s="232"/>
      <c r="BE36" s="232"/>
      <c r="BF36" s="232"/>
      <c r="BG36" s="232"/>
      <c r="BH36" s="232"/>
      <c r="BI36" s="232"/>
      <c r="BJ36" s="232"/>
      <c r="BK36" s="232"/>
      <c r="BL36" s="232"/>
      <c r="BM36" s="232"/>
      <c r="BN36" s="232"/>
      <c r="BO36" s="232"/>
      <c r="BP36" s="232"/>
    </row>
    <row r="37" spans="1:68" ht="20" customHeight="1" x14ac:dyDescent="0.15">
      <c r="A37" s="197"/>
      <c r="B37" s="1472" t="str">
        <f>'Action Plan'!B40</f>
        <v>BONE &amp; JOINT HEALTH</v>
      </c>
      <c r="C37" s="283">
        <f>'Action Plan'!C40</f>
        <v>0.35</v>
      </c>
      <c r="D37" s="296">
        <v>0.6</v>
      </c>
      <c r="E37" s="601">
        <f t="shared" ref="E37:E44" si="26">$B$8*$C37</f>
        <v>175000000</v>
      </c>
      <c r="F37" s="1000">
        <f>'Sale #1'!F51+'Sale #2'!F51+'Sale #3'!F51+'Sale #4'!F51</f>
        <v>40300000</v>
      </c>
      <c r="G37" s="598">
        <f>F37-E37</f>
        <v>-134700000</v>
      </c>
      <c r="H37" s="1453">
        <f>G37/$G$36</f>
        <v>0.80035650623885923</v>
      </c>
      <c r="I37" s="538">
        <f>'Action Plan'!E40</f>
        <v>945000</v>
      </c>
      <c r="J37" s="243" t="b">
        <v>1</v>
      </c>
      <c r="K37" s="312">
        <f t="shared" ref="K37:K39" si="27">IF(ROUNDUP(E37/I37,0)&lt;&gt;0,ROUNDUP(E37/I37,0),0)</f>
        <v>186</v>
      </c>
      <c r="L37" s="312">
        <f>'Sale #1'!D51+'Sale #2'!D51+'Sale #3'!D51+'Sale #4'!D51</f>
        <v>93</v>
      </c>
      <c r="M37" s="1003">
        <f>L37-K37</f>
        <v>-93</v>
      </c>
      <c r="N37" s="1456">
        <f>M37/$M$36</f>
        <v>-8.2010582010582006E-2</v>
      </c>
      <c r="O37" s="304">
        <f t="shared" ref="O37:O42" si="28">ROUNDUP(K37/$C$5,0)</f>
        <v>8</v>
      </c>
      <c r="P37" s="307">
        <f ca="1">'Sale #1'!J51+'Sale #2'!J51+'Sale #3'!J51+'Sale #4'!J51</f>
        <v>0</v>
      </c>
      <c r="Q37" s="318">
        <f t="shared" ref="Q37:Q42" ca="1" si="29">P37-O37</f>
        <v>-8</v>
      </c>
      <c r="R37" s="1453">
        <f t="shared" ref="R37:R42" ca="1" si="30">Q37/$Q$36</f>
        <v>0.30769230769230771</v>
      </c>
      <c r="S37" s="544">
        <f>'Action Plan'!H40</f>
        <v>1000000</v>
      </c>
      <c r="T37" s="244" t="b">
        <v>1</v>
      </c>
      <c r="U37" s="311">
        <f>ROUNDUP(E37/S37,0)</f>
        <v>175</v>
      </c>
      <c r="V37" s="312">
        <f>'Sale #1'!E51+'Sale #2'!E51+'Sale #3'!E51+'Sale #4'!E51</f>
        <v>155</v>
      </c>
      <c r="W37" s="321">
        <f t="shared" ref="W37:W44" si="31">V37-U37</f>
        <v>-20</v>
      </c>
      <c r="X37" s="1460">
        <f t="shared" ref="X37:X42" si="32">W37/$W$36</f>
        <v>-1.3245033112582781E-2</v>
      </c>
      <c r="Y37" s="311">
        <f>ROUNDUP(U37/$C$5,0)</f>
        <v>7</v>
      </c>
      <c r="Z37" s="1008">
        <f ca="1">'Sale #1'!K51+'Sale #2'!K51+'Sale #3'!K51+'Sale #4'!K51</f>
        <v>0</v>
      </c>
      <c r="AA37" s="1011">
        <f t="shared" ref="AA37:AA41" ca="1" si="33">Z37-Y37</f>
        <v>-7</v>
      </c>
      <c r="AB37" s="1456">
        <f ca="1">AA37/$AA$36</f>
        <v>0.30434782608695654</v>
      </c>
      <c r="AC37" s="1016">
        <f>E37/$C$5</f>
        <v>7000000</v>
      </c>
      <c r="AD37" s="1017">
        <f ca="1">'Sale #1'!L51+'Sale #2'!L51+'Sale #3'!L51+'Sale #4'!L51</f>
        <v>0</v>
      </c>
      <c r="AE37" s="317">
        <f ca="1">AD37-AC37</f>
        <v>-7000000</v>
      </c>
      <c r="AF37" s="1453">
        <f t="shared" ref="AF37:AF42" ca="1" si="34">AE37/$G$26</f>
        <v>5.513981882630957E-2</v>
      </c>
      <c r="AK37" s="197"/>
      <c r="AL37" s="197"/>
      <c r="AM37" s="197"/>
      <c r="AN37" s="197"/>
      <c r="AO37" s="197"/>
      <c r="AP37" s="197"/>
      <c r="AQ37" s="197"/>
      <c r="AR37" s="197"/>
      <c r="AS37" s="197"/>
      <c r="AT37" s="197"/>
      <c r="AU37" s="197"/>
      <c r="AV37" s="197"/>
      <c r="AW37" s="197"/>
      <c r="AX37" s="197"/>
      <c r="AY37" s="197"/>
      <c r="AZ37" s="197"/>
      <c r="BA37" s="197"/>
      <c r="BB37" s="197"/>
      <c r="BC37" s="197"/>
      <c r="BD37" s="197"/>
      <c r="BE37" s="197"/>
      <c r="BF37" s="197"/>
      <c r="BG37" s="197"/>
      <c r="BH37" s="197"/>
      <c r="BI37" s="197"/>
      <c r="BJ37" s="197"/>
      <c r="BK37" s="197"/>
      <c r="BL37" s="197"/>
      <c r="BM37" s="197"/>
      <c r="BN37" s="197"/>
      <c r="BO37" s="197"/>
      <c r="BP37" s="197"/>
    </row>
    <row r="38" spans="1:68" ht="20" customHeight="1" x14ac:dyDescent="0.15">
      <c r="A38" s="197"/>
      <c r="B38" s="1472" t="str">
        <f>'Action Plan'!B41</f>
        <v>LIVER, DIGESTION, ALLERGIES</v>
      </c>
      <c r="C38" s="283">
        <f>'Action Plan'!C41</f>
        <v>0.3</v>
      </c>
      <c r="D38" s="296">
        <v>0.2</v>
      </c>
      <c r="E38" s="601">
        <f t="shared" si="26"/>
        <v>150000000</v>
      </c>
      <c r="F38" s="1000">
        <f>'Sale #1'!F52+'Sale #2'!F52+'Sale #3'!F52+'Sale #4'!F52</f>
        <v>40300000</v>
      </c>
      <c r="G38" s="598">
        <f>F38-E38</f>
        <v>-109700000</v>
      </c>
      <c r="H38" s="1453">
        <f t="shared" ref="H38:H42" si="35">G38/$G$36</f>
        <v>0.65181224004753413</v>
      </c>
      <c r="I38" s="538">
        <f>'Action Plan'!E41</f>
        <v>1260000</v>
      </c>
      <c r="J38" s="243" t="b">
        <v>1</v>
      </c>
      <c r="K38" s="312">
        <f t="shared" si="27"/>
        <v>120</v>
      </c>
      <c r="L38" s="312">
        <f>'Sale #1'!D52+'Sale #2'!D52+'Sale #3'!D52+'Sale #4'!D52</f>
        <v>217</v>
      </c>
      <c r="M38" s="1003">
        <f t="shared" ref="M38:M42" si="36">L38-K38</f>
        <v>97</v>
      </c>
      <c r="N38" s="1456">
        <f t="shared" ref="N38:N44" si="37">M38/$M$36</f>
        <v>8.55379188712522E-2</v>
      </c>
      <c r="O38" s="304">
        <f t="shared" si="28"/>
        <v>5</v>
      </c>
      <c r="P38" s="307">
        <f ca="1">'Sale #1'!J52+'Sale #2'!J52+'Sale #3'!J52+'Sale #4'!J52</f>
        <v>0</v>
      </c>
      <c r="Q38" s="318">
        <f t="shared" ca="1" si="29"/>
        <v>-5</v>
      </c>
      <c r="R38" s="1453">
        <f t="shared" ca="1" si="30"/>
        <v>0.19230769230769232</v>
      </c>
      <c r="S38" s="538">
        <f>'Action Plan'!H41</f>
        <v>990000</v>
      </c>
      <c r="T38" s="244" t="b">
        <v>1</v>
      </c>
      <c r="U38" s="311">
        <f t="shared" ref="U38:U42" si="38">ROUNDUP(E38/S38,0)</f>
        <v>152</v>
      </c>
      <c r="V38" s="312">
        <f>'Sale #1'!E52+'Sale #2'!E52+'Sale #3'!E52+'Sale #4'!E52</f>
        <v>217</v>
      </c>
      <c r="W38" s="321">
        <f t="shared" si="31"/>
        <v>65</v>
      </c>
      <c r="X38" s="1461">
        <f t="shared" si="32"/>
        <v>4.3046357615894038E-2</v>
      </c>
      <c r="Y38" s="311">
        <f t="shared" ref="Y38:Y42" si="39">ROUNDUP(U38/$C$5,0)</f>
        <v>7</v>
      </c>
      <c r="Z38" s="1008">
        <f ca="1">'Sale #1'!K52+'Sale #2'!K52+'Sale #3'!K52+'Sale #4'!K52</f>
        <v>0</v>
      </c>
      <c r="AA38" s="1012">
        <f t="shared" ca="1" si="33"/>
        <v>-7</v>
      </c>
      <c r="AB38" s="1456">
        <f t="shared" ref="AB38:AB42" ca="1" si="40">AA38/$AA$36</f>
        <v>0.30434782608695654</v>
      </c>
      <c r="AC38" s="1016">
        <f>E38/$C$5</f>
        <v>6000000</v>
      </c>
      <c r="AD38" s="1017">
        <f ca="1">'Sale #1'!L52+'Sale #2'!L52+'Sale #3'!L52+'Sale #4'!L52</f>
        <v>0</v>
      </c>
      <c r="AE38" s="317">
        <f t="shared" ref="AE38:AE42" ca="1" si="41">AD38-AC38</f>
        <v>-6000000</v>
      </c>
      <c r="AF38" s="1453">
        <f t="shared" ca="1" si="34"/>
        <v>4.7262701851122489E-2</v>
      </c>
      <c r="AK38" s="197"/>
      <c r="AL38" s="197"/>
      <c r="AM38" s="197"/>
      <c r="AN38" s="197"/>
      <c r="AO38" s="197"/>
      <c r="AP38" s="197"/>
      <c r="AQ38" s="197"/>
      <c r="AR38" s="197"/>
      <c r="AS38" s="197"/>
      <c r="AT38" s="197"/>
      <c r="AU38" s="197"/>
      <c r="AV38" s="197"/>
      <c r="AW38" s="197"/>
      <c r="AX38" s="197"/>
      <c r="AY38" s="197"/>
      <c r="AZ38" s="197"/>
      <c r="BA38" s="197"/>
      <c r="BB38" s="197"/>
      <c r="BC38" s="197"/>
      <c r="BD38" s="197"/>
      <c r="BE38" s="197"/>
      <c r="BF38" s="197"/>
      <c r="BG38" s="197"/>
      <c r="BH38" s="197"/>
      <c r="BI38" s="197"/>
      <c r="BJ38" s="197"/>
      <c r="BK38" s="197"/>
      <c r="BL38" s="197"/>
      <c r="BM38" s="197"/>
      <c r="BN38" s="197"/>
      <c r="BO38" s="197"/>
      <c r="BP38" s="197"/>
    </row>
    <row r="39" spans="1:68" ht="20" customHeight="1" x14ac:dyDescent="0.15">
      <c r="A39" s="197"/>
      <c r="B39" s="1472" t="str">
        <f>'Action Plan'!B42</f>
        <v>BRAIN &amp; EYE HEALTH</v>
      </c>
      <c r="C39" s="283">
        <f>'Action Plan'!C42</f>
        <v>0.1</v>
      </c>
      <c r="D39" s="296">
        <v>0.5</v>
      </c>
      <c r="E39" s="601">
        <f t="shared" si="26"/>
        <v>50000000</v>
      </c>
      <c r="F39" s="1000">
        <f>'Sale #1'!F53+'Sale #2'!F53+'Sale #3'!F53+'Sale #4'!F53</f>
        <v>40300000</v>
      </c>
      <c r="G39" s="598">
        <f t="shared" ref="G39:G42" si="42">F39-E39</f>
        <v>-9700000</v>
      </c>
      <c r="H39" s="1453">
        <f t="shared" si="35"/>
        <v>5.7635175282234108E-2</v>
      </c>
      <c r="I39" s="538">
        <f>'Action Plan'!E42</f>
        <v>586000</v>
      </c>
      <c r="J39" s="243" t="b">
        <v>1</v>
      </c>
      <c r="K39" s="312">
        <f t="shared" si="27"/>
        <v>86</v>
      </c>
      <c r="L39" s="312">
        <f>'Sale #1'!D53+'Sale #2'!D53+'Sale #3'!D53+'Sale #4'!D53</f>
        <v>155</v>
      </c>
      <c r="M39" s="1003">
        <f>L39-K39</f>
        <v>69</v>
      </c>
      <c r="N39" s="1456">
        <f t="shared" si="37"/>
        <v>6.0846560846560843E-2</v>
      </c>
      <c r="O39" s="304">
        <f t="shared" si="28"/>
        <v>4</v>
      </c>
      <c r="P39" s="307">
        <f ca="1">'Sale #1'!J53+'Sale #2'!J53+'Sale #3'!J53+'Sale #4'!J53</f>
        <v>0</v>
      </c>
      <c r="Q39" s="318">
        <f t="shared" ca="1" si="29"/>
        <v>-4</v>
      </c>
      <c r="R39" s="1453">
        <f t="shared" ca="1" si="30"/>
        <v>0.15384615384615385</v>
      </c>
      <c r="S39" s="538">
        <f>'Action Plan'!H42</f>
        <v>1000000</v>
      </c>
      <c r="T39" s="244" t="b">
        <v>1</v>
      </c>
      <c r="U39" s="311">
        <f t="shared" si="38"/>
        <v>50</v>
      </c>
      <c r="V39" s="312">
        <f>'Sale #1'!E53+'Sale #2'!E53+'Sale #3'!E53+'Sale #4'!E53</f>
        <v>217</v>
      </c>
      <c r="W39" s="321">
        <f t="shared" si="31"/>
        <v>167</v>
      </c>
      <c r="X39" s="1461">
        <f t="shared" si="32"/>
        <v>0.11059602649006622</v>
      </c>
      <c r="Y39" s="311">
        <f t="shared" si="39"/>
        <v>2</v>
      </c>
      <c r="Z39" s="1008">
        <f ca="1">'Sale #1'!K53+'Sale #2'!K53+'Sale #3'!K53+'Sale #4'!K53</f>
        <v>0</v>
      </c>
      <c r="AA39" s="1012">
        <f t="shared" ca="1" si="33"/>
        <v>-2</v>
      </c>
      <c r="AB39" s="1456">
        <f t="shared" ca="1" si="40"/>
        <v>8.6956521739130432E-2</v>
      </c>
      <c r="AC39" s="1016">
        <f>E39/$C$5</f>
        <v>2000000</v>
      </c>
      <c r="AD39" s="1017">
        <f ca="1">'Sale #1'!L53+'Sale #2'!L53+'Sale #3'!L53+'Sale #4'!L53</f>
        <v>0</v>
      </c>
      <c r="AE39" s="317">
        <f t="shared" ca="1" si="41"/>
        <v>-2000000</v>
      </c>
      <c r="AF39" s="1453">
        <f t="shared" ca="1" si="34"/>
        <v>1.5754233950374164E-2</v>
      </c>
      <c r="AK39" s="197"/>
      <c r="AL39" s="197"/>
      <c r="AM39" s="197"/>
      <c r="AN39" s="197"/>
      <c r="AO39" s="197"/>
      <c r="AP39" s="197"/>
      <c r="AQ39" s="197"/>
      <c r="AR39" s="197"/>
      <c r="AS39" s="197"/>
      <c r="AT39" s="197"/>
      <c r="AU39" s="197"/>
      <c r="AV39" s="197"/>
      <c r="AW39" s="197"/>
      <c r="AX39" s="197"/>
      <c r="AY39" s="197"/>
      <c r="AZ39" s="197"/>
      <c r="BA39" s="197"/>
      <c r="BB39" s="197"/>
      <c r="BC39" s="197"/>
      <c r="BD39" s="197"/>
      <c r="BE39" s="197"/>
      <c r="BF39" s="197"/>
      <c r="BG39" s="197"/>
      <c r="BH39" s="197"/>
      <c r="BI39" s="197"/>
      <c r="BJ39" s="197"/>
      <c r="BK39" s="197"/>
      <c r="BL39" s="197"/>
      <c r="BM39" s="197"/>
      <c r="BN39" s="197"/>
      <c r="BO39" s="197"/>
      <c r="BP39" s="197"/>
    </row>
    <row r="40" spans="1:68" ht="20" customHeight="1" x14ac:dyDescent="0.15">
      <c r="A40" s="197"/>
      <c r="B40" s="1472" t="str">
        <f>'Action Plan'!B43</f>
        <v>CARDIOVASCULAR HEALTH</v>
      </c>
      <c r="C40" s="283">
        <f>'Action Plan'!C43</f>
        <v>0.08</v>
      </c>
      <c r="D40" s="296">
        <v>0.2</v>
      </c>
      <c r="E40" s="601">
        <f t="shared" si="26"/>
        <v>40000000</v>
      </c>
      <c r="F40" s="1000">
        <f>'Sale #1'!F54+'Sale #2'!F54+'Sale #3'!F54+'Sale #4'!F54</f>
        <v>40300000</v>
      </c>
      <c r="G40" s="598">
        <f t="shared" si="42"/>
        <v>300000</v>
      </c>
      <c r="H40" s="1453">
        <f t="shared" si="35"/>
        <v>-1.7825311942959001E-3</v>
      </c>
      <c r="I40" s="538">
        <f>'Action Plan'!E43</f>
        <v>630000</v>
      </c>
      <c r="J40" s="243" t="b">
        <v>1</v>
      </c>
      <c r="K40" s="312">
        <f>IF(ROUNDUP(E40/I40,0)&lt;&gt;0,ROUNDUP(E40/I40,0),0)</f>
        <v>64</v>
      </c>
      <c r="L40" s="312">
        <f>'Sale #1'!D54+'Sale #2'!D54+'Sale #3'!D54+'Sale #4'!D54</f>
        <v>217</v>
      </c>
      <c r="M40" s="1003">
        <f t="shared" si="36"/>
        <v>153</v>
      </c>
      <c r="N40" s="1456">
        <f t="shared" si="37"/>
        <v>0.13492063492063491</v>
      </c>
      <c r="O40" s="304">
        <f t="shared" si="28"/>
        <v>3</v>
      </c>
      <c r="P40" s="307">
        <f ca="1">'Sale #1'!J54+'Sale #2'!J54+'Sale #3'!J54+'Sale #4'!J54</f>
        <v>0</v>
      </c>
      <c r="Q40" s="318">
        <f t="shared" ca="1" si="29"/>
        <v>-3</v>
      </c>
      <c r="R40" s="1453">
        <f t="shared" ca="1" si="30"/>
        <v>0.11538461538461539</v>
      </c>
      <c r="S40" s="538">
        <f>'Action Plan'!H43</f>
        <v>990000</v>
      </c>
      <c r="T40" s="244" t="b">
        <v>1</v>
      </c>
      <c r="U40" s="311">
        <f t="shared" si="38"/>
        <v>41</v>
      </c>
      <c r="V40" s="312">
        <f>'Sale #1'!E54+'Sale #2'!E54+'Sale #3'!E54+'Sale #4'!E54</f>
        <v>341</v>
      </c>
      <c r="W40" s="321">
        <f t="shared" si="31"/>
        <v>300</v>
      </c>
      <c r="X40" s="1461">
        <f t="shared" si="32"/>
        <v>0.19867549668874171</v>
      </c>
      <c r="Y40" s="311">
        <f t="shared" si="39"/>
        <v>2</v>
      </c>
      <c r="Z40" s="1008">
        <f ca="1">'Sale #1'!K54+'Sale #2'!K54+'Sale #3'!K54+'Sale #4'!K54</f>
        <v>0</v>
      </c>
      <c r="AA40" s="1012">
        <f t="shared" ca="1" si="33"/>
        <v>-2</v>
      </c>
      <c r="AB40" s="1456">
        <f t="shared" ca="1" si="40"/>
        <v>8.6956521739130432E-2</v>
      </c>
      <c r="AC40" s="1016">
        <f t="shared" ref="AC40:AC41" si="43">E40/$C$5</f>
        <v>1600000</v>
      </c>
      <c r="AD40" s="1017">
        <f ca="1">'Sale #1'!L54+'Sale #2'!L54+'Sale #3'!L54+'Sale #4'!L54</f>
        <v>0</v>
      </c>
      <c r="AE40" s="317">
        <f t="shared" ca="1" si="41"/>
        <v>-1600000</v>
      </c>
      <c r="AF40" s="1453">
        <f t="shared" ca="1" si="34"/>
        <v>1.260338716029933E-2</v>
      </c>
      <c r="AK40" s="197"/>
      <c r="AL40" s="197"/>
      <c r="AM40" s="197"/>
      <c r="AN40" s="197"/>
      <c r="AO40" s="197"/>
      <c r="AP40" s="197"/>
      <c r="AQ40" s="197"/>
      <c r="AR40" s="197"/>
      <c r="AS40" s="197"/>
      <c r="AT40" s="197"/>
      <c r="AU40" s="197"/>
      <c r="AV40" s="197"/>
      <c r="AW40" s="197"/>
      <c r="AX40" s="197"/>
      <c r="AY40" s="197"/>
      <c r="AZ40" s="197"/>
      <c r="BA40" s="197"/>
      <c r="BB40" s="197"/>
      <c r="BC40" s="197"/>
      <c r="BD40" s="197"/>
      <c r="BE40" s="197"/>
      <c r="BF40" s="197"/>
      <c r="BG40" s="197"/>
      <c r="BH40" s="197"/>
      <c r="BI40" s="197"/>
      <c r="BJ40" s="197"/>
      <c r="BK40" s="197"/>
      <c r="BL40" s="197"/>
      <c r="BM40" s="197"/>
      <c r="BN40" s="197"/>
      <c r="BO40" s="197"/>
      <c r="BP40" s="197"/>
    </row>
    <row r="41" spans="1:68" ht="20" customHeight="1" x14ac:dyDescent="0.15">
      <c r="A41" s="197"/>
      <c r="B41" s="1472" t="str">
        <f>'Action Plan'!B44</f>
        <v>SKIN, HAIR, AND WEIGHT MANAGEMENT</v>
      </c>
      <c r="C41" s="283">
        <f>'Action Plan'!C44</f>
        <v>0.08</v>
      </c>
      <c r="D41" s="296">
        <v>0.1</v>
      </c>
      <c r="E41" s="601">
        <f>$B$8*$C41</f>
        <v>40000000</v>
      </c>
      <c r="F41" s="1000">
        <f>'Sale #1'!F55+'Sale #2'!F55+'Sale #3'!F55+'Sale #4'!F55</f>
        <v>40300000</v>
      </c>
      <c r="G41" s="598">
        <f t="shared" si="42"/>
        <v>300000</v>
      </c>
      <c r="H41" s="1453">
        <f t="shared" si="35"/>
        <v>-1.7825311942959001E-3</v>
      </c>
      <c r="I41" s="538">
        <f>'Action Plan'!E44</f>
        <v>856000</v>
      </c>
      <c r="J41" s="243" t="b">
        <v>1</v>
      </c>
      <c r="K41" s="312">
        <f>IF(ROUNDUP(E41/I41,0)&lt;&gt;0,ROUNDUP(E41/I41,0),0)</f>
        <v>47</v>
      </c>
      <c r="L41" s="312">
        <f>'Sale #1'!D55+'Sale #2'!D55+'Sale #3'!D55+'Sale #4'!D55</f>
        <v>155</v>
      </c>
      <c r="M41" s="1003">
        <f t="shared" si="36"/>
        <v>108</v>
      </c>
      <c r="N41" s="1456">
        <f t="shared" si="37"/>
        <v>9.5238095238095233E-2</v>
      </c>
      <c r="O41" s="304">
        <f t="shared" si="28"/>
        <v>2</v>
      </c>
      <c r="P41" s="307">
        <f ca="1">'Sale #1'!J55+'Sale #2'!J55+'Sale #3'!J55+'Sale #4'!J55</f>
        <v>0</v>
      </c>
      <c r="Q41" s="318">
        <f t="shared" ca="1" si="29"/>
        <v>-2</v>
      </c>
      <c r="R41" s="1453">
        <f t="shared" ca="1" si="30"/>
        <v>7.6923076923076927E-2</v>
      </c>
      <c r="S41" s="538">
        <f>'Action Plan'!H44</f>
        <v>1000000</v>
      </c>
      <c r="T41" s="244" t="b">
        <v>1</v>
      </c>
      <c r="U41" s="311">
        <f t="shared" si="38"/>
        <v>40</v>
      </c>
      <c r="V41" s="312">
        <f>'Sale #1'!E55+'Sale #2'!E55+'Sale #3'!E55+'Sale #4'!E55</f>
        <v>279</v>
      </c>
      <c r="W41" s="321">
        <f t="shared" si="31"/>
        <v>239</v>
      </c>
      <c r="X41" s="1461">
        <f t="shared" si="32"/>
        <v>0.15827814569536425</v>
      </c>
      <c r="Y41" s="311">
        <f t="shared" si="39"/>
        <v>2</v>
      </c>
      <c r="Z41" s="1008">
        <f ca="1">'Sale #1'!K55+'Sale #2'!K55+'Sale #3'!K55+'Sale #4'!K55</f>
        <v>0</v>
      </c>
      <c r="AA41" s="1012">
        <f t="shared" ca="1" si="33"/>
        <v>-2</v>
      </c>
      <c r="AB41" s="1456">
        <f t="shared" ca="1" si="40"/>
        <v>8.6956521739130432E-2</v>
      </c>
      <c r="AC41" s="1016">
        <f t="shared" si="43"/>
        <v>1600000</v>
      </c>
      <c r="AD41" s="1017">
        <f ca="1">'Sale #1'!L55+'Sale #2'!L55+'Sale #3'!L55+'Sale #4'!L55</f>
        <v>0</v>
      </c>
      <c r="AE41" s="317">
        <f t="shared" ca="1" si="41"/>
        <v>-1600000</v>
      </c>
      <c r="AF41" s="1453">
        <f t="shared" ca="1" si="34"/>
        <v>1.260338716029933E-2</v>
      </c>
      <c r="AK41" s="197"/>
      <c r="AL41" s="197"/>
      <c r="AM41" s="197"/>
      <c r="AN41" s="197"/>
      <c r="AO41" s="197"/>
      <c r="AP41" s="197"/>
      <c r="AQ41" s="197"/>
      <c r="AR41" s="197"/>
      <c r="AS41" s="197"/>
      <c r="AT41" s="197"/>
      <c r="AU41" s="197"/>
      <c r="AV41" s="197"/>
      <c r="AW41" s="197"/>
      <c r="AX41" s="197"/>
      <c r="AY41" s="197"/>
      <c r="AZ41" s="197"/>
      <c r="BA41" s="197"/>
      <c r="BB41" s="197"/>
      <c r="BC41" s="197"/>
      <c r="BD41" s="197"/>
      <c r="BE41" s="197"/>
      <c r="BF41" s="197"/>
      <c r="BG41" s="197"/>
      <c r="BH41" s="197"/>
      <c r="BI41" s="197"/>
      <c r="BJ41" s="197"/>
      <c r="BK41" s="197"/>
      <c r="BL41" s="197"/>
      <c r="BM41" s="197"/>
      <c r="BN41" s="197"/>
      <c r="BO41" s="197"/>
      <c r="BP41" s="197"/>
    </row>
    <row r="42" spans="1:68" ht="20" customHeight="1" x14ac:dyDescent="0.15">
      <c r="A42" s="197"/>
      <c r="B42" s="1472" t="str">
        <f>'Action Plan'!B45</f>
        <v>HORMONAL HEALTH</v>
      </c>
      <c r="C42" s="283">
        <f>'Action Plan'!C45</f>
        <v>0.03</v>
      </c>
      <c r="D42" s="296">
        <v>0.2</v>
      </c>
      <c r="E42" s="601">
        <f t="shared" si="26"/>
        <v>15000000</v>
      </c>
      <c r="F42" s="1000">
        <f>'Sale #1'!F56+'Sale #2'!F56+'Sale #3'!F56+'Sale #4'!F56</f>
        <v>40300000</v>
      </c>
      <c r="G42" s="598">
        <f t="shared" si="42"/>
        <v>25300000</v>
      </c>
      <c r="H42" s="1453">
        <f t="shared" si="35"/>
        <v>-0.15032679738562091</v>
      </c>
      <c r="I42" s="538">
        <f>'Action Plan'!E45</f>
        <v>529000</v>
      </c>
      <c r="J42" s="243" t="b">
        <v>1</v>
      </c>
      <c r="K42" s="312">
        <f>IF(ROUNDUP(E42/I42,0)&lt;&gt;0,ROUNDUP(E42/I42,0),0)</f>
        <v>29</v>
      </c>
      <c r="L42" s="312">
        <f>'Sale #1'!D56+'Sale #2'!D56+'Sale #3'!D56+'Sale #4'!D56</f>
        <v>279</v>
      </c>
      <c r="M42" s="1003">
        <f t="shared" si="36"/>
        <v>250</v>
      </c>
      <c r="N42" s="1456">
        <f t="shared" si="37"/>
        <v>0.22045855379188711</v>
      </c>
      <c r="O42" s="304">
        <f t="shared" si="28"/>
        <v>2</v>
      </c>
      <c r="P42" s="307">
        <f ca="1">'Sale #1'!J56+'Sale #2'!J56+'Sale #3'!J56+'Sale #4'!J56</f>
        <v>0</v>
      </c>
      <c r="Q42" s="318">
        <f t="shared" ca="1" si="29"/>
        <v>-2</v>
      </c>
      <c r="R42" s="1453">
        <f t="shared" ca="1" si="30"/>
        <v>7.6923076923076927E-2</v>
      </c>
      <c r="S42" s="538">
        <f>'Action Plan'!H45</f>
        <v>990000</v>
      </c>
      <c r="T42" s="244" t="b">
        <v>1</v>
      </c>
      <c r="U42" s="311">
        <f t="shared" si="38"/>
        <v>16</v>
      </c>
      <c r="V42" s="312">
        <f>'Sale #1'!E56+'Sale #2'!E56+'Sale #3'!E56+'Sale #4'!E56</f>
        <v>217</v>
      </c>
      <c r="W42" s="321">
        <f t="shared" si="31"/>
        <v>201</v>
      </c>
      <c r="X42" s="1461">
        <f t="shared" si="32"/>
        <v>0.13311258278145696</v>
      </c>
      <c r="Y42" s="311">
        <f t="shared" si="39"/>
        <v>1</v>
      </c>
      <c r="Z42" s="1008">
        <f ca="1">'Sale #1'!K56+'Sale #2'!K56+'Sale #3'!K56+'Sale #4'!K56</f>
        <v>0</v>
      </c>
      <c r="AA42" s="1012">
        <f ca="1">Z42-Y42</f>
        <v>-1</v>
      </c>
      <c r="AB42" s="1456">
        <f t="shared" ca="1" si="40"/>
        <v>4.3478260869565216E-2</v>
      </c>
      <c r="AC42" s="1016">
        <f>E42/$C$5</f>
        <v>600000</v>
      </c>
      <c r="AD42" s="1017">
        <f ca="1">'Sale #1'!L56+'Sale #2'!L56+'Sale #3'!L56+'Sale #4'!L56</f>
        <v>0</v>
      </c>
      <c r="AE42" s="317">
        <f t="shared" ca="1" si="41"/>
        <v>-600000</v>
      </c>
      <c r="AF42" s="1453">
        <f t="shared" ca="1" si="34"/>
        <v>4.7262701851122487E-3</v>
      </c>
      <c r="AK42" s="197"/>
      <c r="AL42" s="197"/>
      <c r="AM42" s="197"/>
      <c r="AN42" s="197"/>
      <c r="AO42" s="197"/>
      <c r="AP42" s="197"/>
      <c r="AQ42" s="197"/>
      <c r="AR42" s="197"/>
      <c r="AS42" s="197"/>
      <c r="AT42" s="197"/>
      <c r="AU42" s="197"/>
      <c r="AV42" s="197"/>
      <c r="AW42" s="197"/>
      <c r="AX42" s="197"/>
      <c r="AY42" s="197"/>
      <c r="AZ42" s="197"/>
      <c r="BA42" s="197"/>
      <c r="BB42" s="197"/>
      <c r="BC42" s="197"/>
      <c r="BD42" s="197"/>
      <c r="BE42" s="197"/>
      <c r="BF42" s="197"/>
      <c r="BG42" s="197"/>
      <c r="BH42" s="197"/>
      <c r="BI42" s="197"/>
      <c r="BJ42" s="197"/>
      <c r="BK42" s="197"/>
      <c r="BL42" s="197"/>
      <c r="BM42" s="197"/>
      <c r="BN42" s="197"/>
      <c r="BO42" s="197"/>
      <c r="BP42" s="197"/>
    </row>
    <row r="43" spans="1:68" ht="20" customHeight="1" x14ac:dyDescent="0.15">
      <c r="A43" s="197"/>
      <c r="B43" s="1472" t="str">
        <f>'Action Plan'!B46</f>
        <v>IMMUNE SUPPORT</v>
      </c>
      <c r="C43" s="283">
        <f>'Action Plan'!C46</f>
        <v>0.03</v>
      </c>
      <c r="D43" s="296">
        <v>0.2</v>
      </c>
      <c r="E43" s="601">
        <f t="shared" si="26"/>
        <v>15000000</v>
      </c>
      <c r="F43" s="1000">
        <f>'Sale #1'!F57+'Sale #2'!F57+'Sale #3'!F57+'Sale #4'!F57</f>
        <v>40300000</v>
      </c>
      <c r="G43" s="598">
        <f t="shared" ref="G43:G44" si="44">F43-E43</f>
        <v>25300000</v>
      </c>
      <c r="H43" s="1453">
        <f t="shared" ref="H43:H44" si="45">G43/$G$36</f>
        <v>-0.15032679738562091</v>
      </c>
      <c r="I43" s="538">
        <f>'Action Plan'!E46</f>
        <v>850000</v>
      </c>
      <c r="J43" s="243" t="b">
        <v>1</v>
      </c>
      <c r="K43" s="312">
        <f>IF(ROUNDUP(E43/I43,0)&lt;&gt;0,ROUNDUP(E43/I43,0),0)</f>
        <v>18</v>
      </c>
      <c r="L43" s="312">
        <f>'Sale #1'!D57+'Sale #2'!D57+'Sale #3'!D57+'Sale #4'!D57</f>
        <v>217</v>
      </c>
      <c r="M43" s="1003">
        <f t="shared" ref="M43:M44" si="46">L43-K43</f>
        <v>199</v>
      </c>
      <c r="N43" s="1456">
        <f t="shared" si="37"/>
        <v>0.17548500881834214</v>
      </c>
      <c r="O43" s="304">
        <f t="shared" ref="O43:O44" si="47">ROUNDUP(K43/$C$5,0)</f>
        <v>1</v>
      </c>
      <c r="P43" s="307">
        <f ca="1">'Sale #1'!J57+'Sale #2'!J57+'Sale #3'!J57+'Sale #4'!J57</f>
        <v>0</v>
      </c>
      <c r="Q43" s="318">
        <f t="shared" ref="Q43:Q44" ca="1" si="48">P43-O43</f>
        <v>-1</v>
      </c>
      <c r="R43" s="1453">
        <f t="shared" ref="R43:R44" ca="1" si="49">Q43/$Q$36</f>
        <v>3.8461538461538464E-2</v>
      </c>
      <c r="S43" s="538">
        <f>'Action Plan'!H46</f>
        <v>1000000</v>
      </c>
      <c r="T43" s="244" t="b">
        <v>1</v>
      </c>
      <c r="U43" s="311">
        <f>ROUNDUP(E43/S43,0)</f>
        <v>15</v>
      </c>
      <c r="V43" s="312">
        <f>'Sale #1'!E57+'Sale #2'!E57+'Sale #3'!E57+'Sale #4'!E57</f>
        <v>341</v>
      </c>
      <c r="W43" s="321">
        <f t="shared" si="31"/>
        <v>326</v>
      </c>
      <c r="X43" s="1461">
        <f t="shared" ref="X43:X44" si="50">W43/$W$36</f>
        <v>0.21589403973509932</v>
      </c>
      <c r="Y43" s="311">
        <f t="shared" ref="Y43:Y44" si="51">ROUNDUP(U43/$C$5,0)</f>
        <v>1</v>
      </c>
      <c r="Z43" s="1008">
        <f ca="1">'Sale #1'!K57+'Sale #2'!K57+'Sale #3'!K57+'Sale #4'!K57</f>
        <v>0</v>
      </c>
      <c r="AA43" s="1012">
        <f t="shared" ref="AA43:AA44" ca="1" si="52">Z43-Y43</f>
        <v>-1</v>
      </c>
      <c r="AB43" s="1456">
        <f t="shared" ref="AB43:AB44" ca="1" si="53">AA43/$AA$36</f>
        <v>4.3478260869565216E-2</v>
      </c>
      <c r="AC43" s="1016">
        <f t="shared" ref="AC43:AC44" si="54">E43/$C$5</f>
        <v>600000</v>
      </c>
      <c r="AD43" s="1017">
        <f ca="1">'Sale #1'!L57+'Sale #2'!L57+'Sale #3'!L57+'Sale #4'!L57</f>
        <v>0</v>
      </c>
      <c r="AE43" s="317">
        <f t="shared" ref="AE43:AE44" ca="1" si="55">AD43-AC43</f>
        <v>-600000</v>
      </c>
      <c r="AF43" s="1453">
        <f t="shared" ref="AF43:AF44" ca="1" si="56">AE43/$G$26</f>
        <v>4.7262701851122487E-3</v>
      </c>
      <c r="AK43" s="197"/>
      <c r="AL43" s="197"/>
      <c r="AM43" s="197"/>
      <c r="AN43" s="197"/>
      <c r="AO43" s="197"/>
      <c r="AP43" s="197"/>
      <c r="AQ43" s="197"/>
      <c r="AR43" s="197"/>
      <c r="AS43" s="197"/>
      <c r="AT43" s="197"/>
      <c r="AU43" s="197"/>
      <c r="AV43" s="197"/>
      <c r="AW43" s="197"/>
      <c r="AX43" s="197"/>
      <c r="AY43" s="197"/>
      <c r="AZ43" s="197"/>
      <c r="BA43" s="197"/>
      <c r="BB43" s="197"/>
      <c r="BC43" s="197"/>
      <c r="BD43" s="197"/>
      <c r="BE43" s="197"/>
      <c r="BF43" s="197"/>
      <c r="BG43" s="197"/>
      <c r="BH43" s="197"/>
      <c r="BI43" s="197"/>
      <c r="BJ43" s="197"/>
      <c r="BK43" s="197"/>
      <c r="BL43" s="197"/>
      <c r="BM43" s="197"/>
      <c r="BN43" s="197"/>
      <c r="BO43" s="197"/>
      <c r="BP43" s="197"/>
    </row>
    <row r="44" spans="1:68" ht="20" customHeight="1" thickBot="1" x14ac:dyDescent="0.2">
      <c r="A44" s="197"/>
      <c r="B44" s="1472" t="str">
        <f>'Action Plan'!B47</f>
        <v>MATERNITY &amp; CHILDREN’S HEALTH</v>
      </c>
      <c r="C44" s="283">
        <f>'Action Plan'!C47</f>
        <v>0.03</v>
      </c>
      <c r="D44" s="296">
        <v>0.2</v>
      </c>
      <c r="E44" s="602">
        <f t="shared" si="26"/>
        <v>15000000</v>
      </c>
      <c r="F44" s="1001">
        <f>'Sale #1'!F58+'Sale #2'!F58+'Sale #3'!F58+'Sale #4'!F58</f>
        <v>49600000</v>
      </c>
      <c r="G44" s="599">
        <f t="shared" si="44"/>
        <v>34600000</v>
      </c>
      <c r="H44" s="1454">
        <f t="shared" si="45"/>
        <v>-0.20558526440879382</v>
      </c>
      <c r="I44" s="539">
        <f>'Action Plan'!E47</f>
        <v>748000</v>
      </c>
      <c r="J44" s="540" t="b">
        <v>1</v>
      </c>
      <c r="K44" s="519">
        <f>IF(ROUNDUP(E44/I44,0)&lt;&gt;0,ROUNDUP(E44/I44,0),0)</f>
        <v>21</v>
      </c>
      <c r="L44" s="519">
        <f>'Sale #1'!D58+'Sale #2'!D58+'Sale #3'!D58+'Sale #4'!D58</f>
        <v>372</v>
      </c>
      <c r="M44" s="1004">
        <f t="shared" si="46"/>
        <v>351</v>
      </c>
      <c r="N44" s="1457">
        <f t="shared" si="37"/>
        <v>0.30952380952380953</v>
      </c>
      <c r="O44" s="541">
        <f t="shared" si="47"/>
        <v>1</v>
      </c>
      <c r="P44" s="1005">
        <f ca="1">'Sale #1'!J58+'Sale #2'!J58+'Sale #3'!J58+'Sale #4'!J58</f>
        <v>0</v>
      </c>
      <c r="Q44" s="542">
        <f t="shared" ca="1" si="48"/>
        <v>-1</v>
      </c>
      <c r="R44" s="1454">
        <f t="shared" ca="1" si="49"/>
        <v>3.8461538461538464E-2</v>
      </c>
      <c r="S44" s="539">
        <f>'Action Plan'!H47</f>
        <v>990000</v>
      </c>
      <c r="T44" s="545" t="b">
        <v>1</v>
      </c>
      <c r="U44" s="546">
        <f>ROUNDUP(E44/S44,0)</f>
        <v>16</v>
      </c>
      <c r="V44" s="1006">
        <f>'Sale #1'!E58+'Sale #2'!E58+'Sale #3'!E58+'Sale #4'!E58</f>
        <v>248</v>
      </c>
      <c r="W44" s="547">
        <f t="shared" si="31"/>
        <v>232</v>
      </c>
      <c r="X44" s="1462">
        <f t="shared" si="50"/>
        <v>0.15364238410596026</v>
      </c>
      <c r="Y44" s="546">
        <f t="shared" si="51"/>
        <v>1</v>
      </c>
      <c r="Z44" s="1009">
        <f ca="1">'Sale #1'!K58+'Sale #2'!K58+'Sale #3'!K58+'Sale #4'!K58</f>
        <v>0</v>
      </c>
      <c r="AA44" s="1013">
        <f t="shared" ca="1" si="52"/>
        <v>-1</v>
      </c>
      <c r="AB44" s="1457">
        <f t="shared" ca="1" si="53"/>
        <v>4.3478260869565216E-2</v>
      </c>
      <c r="AC44" s="1018">
        <f t="shared" si="54"/>
        <v>600000</v>
      </c>
      <c r="AD44" s="1019">
        <f ca="1">'Sale #1'!L58+'Sale #2'!L58+'Sale #3'!L58+'Sale #4'!L58</f>
        <v>0</v>
      </c>
      <c r="AE44" s="512">
        <f t="shared" ca="1" si="55"/>
        <v>-600000</v>
      </c>
      <c r="AF44" s="1454">
        <f t="shared" ca="1" si="56"/>
        <v>4.7262701851122487E-3</v>
      </c>
      <c r="AK44" s="197"/>
      <c r="AL44" s="197"/>
      <c r="AM44" s="197"/>
      <c r="AN44" s="197"/>
      <c r="AO44" s="197"/>
      <c r="AP44" s="197"/>
      <c r="AQ44" s="197"/>
      <c r="AR44" s="197"/>
      <c r="AS44" s="197"/>
      <c r="AT44" s="197"/>
      <c r="AU44" s="197"/>
      <c r="AV44" s="197"/>
      <c r="AW44" s="197"/>
      <c r="AX44" s="197"/>
      <c r="AY44" s="197"/>
      <c r="AZ44" s="197"/>
      <c r="BA44" s="197"/>
      <c r="BB44" s="197"/>
      <c r="BC44" s="197"/>
      <c r="BD44" s="197"/>
      <c r="BE44" s="197"/>
      <c r="BF44" s="197"/>
      <c r="BG44" s="197"/>
      <c r="BH44" s="197"/>
      <c r="BI44" s="197"/>
      <c r="BJ44" s="197"/>
      <c r="BK44" s="197"/>
      <c r="BL44" s="197"/>
      <c r="BM44" s="197"/>
      <c r="BN44" s="197"/>
      <c r="BO44" s="197"/>
      <c r="BP44" s="197"/>
    </row>
    <row r="45" spans="1:68" ht="25" customHeight="1" thickBot="1" x14ac:dyDescent="0.2">
      <c r="A45" s="251" t="str">
        <f>'Action Plan'!A49</f>
        <v>III</v>
      </c>
      <c r="B45" s="252" t="str">
        <f>'Action Plan'!B49</f>
        <v>3P Compensation</v>
      </c>
      <c r="C45" s="10"/>
      <c r="D45" s="262"/>
      <c r="E45" s="262"/>
      <c r="F45" s="262"/>
      <c r="G45" s="262"/>
      <c r="H45" s="262"/>
      <c r="I45" s="262"/>
      <c r="J45" s="262"/>
      <c r="K45" s="262"/>
      <c r="L45" s="262"/>
      <c r="M45" s="262"/>
      <c r="N45" s="262"/>
      <c r="O45" s="262"/>
      <c r="P45" s="262"/>
      <c r="Q45" s="262"/>
      <c r="R45" s="988"/>
      <c r="S45" s="262"/>
      <c r="T45" s="10"/>
      <c r="U45" s="10"/>
      <c r="V45" s="10"/>
      <c r="W45" s="10"/>
      <c r="X45" s="10"/>
      <c r="Y45" s="10"/>
      <c r="Z45" s="10"/>
      <c r="AA45" s="193"/>
      <c r="AB45" s="193"/>
      <c r="AC45" s="193"/>
      <c r="AD45" s="197"/>
      <c r="AE45" s="197"/>
      <c r="AF45" s="197"/>
      <c r="AG45" s="197"/>
      <c r="AH45" s="197"/>
      <c r="AI45" s="197"/>
      <c r="AJ45" s="197"/>
      <c r="AK45" s="197"/>
      <c r="AL45" s="197"/>
      <c r="AM45" s="197"/>
      <c r="AN45" s="197"/>
      <c r="AO45" s="197"/>
      <c r="AP45" s="197"/>
      <c r="AQ45" s="197"/>
      <c r="AR45" s="197"/>
      <c r="AS45" s="197"/>
      <c r="AT45" s="197"/>
      <c r="AU45" s="197"/>
      <c r="AV45" s="197"/>
      <c r="AW45" s="197"/>
      <c r="AX45" s="197"/>
      <c r="AY45" s="197"/>
      <c r="AZ45" s="197"/>
      <c r="BA45" s="197"/>
      <c r="BB45" s="197"/>
      <c r="BC45" s="197"/>
      <c r="BD45" s="197"/>
      <c r="BE45" s="197"/>
      <c r="BF45" s="197"/>
      <c r="BG45" s="197"/>
      <c r="BH45" s="197"/>
      <c r="BI45" s="197"/>
      <c r="BJ45" s="197"/>
      <c r="BK45" s="197"/>
      <c r="BL45" s="197"/>
      <c r="BM45" s="197"/>
      <c r="BN45" s="197"/>
      <c r="BO45" s="197"/>
      <c r="BP45" s="197"/>
    </row>
    <row r="46" spans="1:68" ht="30" customHeight="1" thickBot="1" x14ac:dyDescent="0.2">
      <c r="A46" s="284" t="str">
        <f>'Action Plan'!A50</f>
        <v>P1</v>
      </c>
      <c r="B46" s="326">
        <f>'Action Plan'!B50</f>
        <v>0.6</v>
      </c>
      <c r="C46" s="325" t="str">
        <f>'Action Plan'!C50</f>
        <v>P1: Postion</v>
      </c>
      <c r="D46" s="468" t="str">
        <f>'Action Plan'!D50</f>
        <v>Actual</v>
      </c>
      <c r="E46" s="581" t="str">
        <f>'Action Plan'!E50</f>
        <v>&lt;50%</v>
      </c>
      <c r="F46" s="582" t="str">
        <f>'Action Plan'!F50</f>
        <v>50 - 70%</v>
      </c>
      <c r="G46" s="583" t="str">
        <f>'Action Plan'!G50</f>
        <v>&gt;= 80%</v>
      </c>
      <c r="H46" s="583" t="str">
        <f>'Action Plan'!H50</f>
        <v>&gt;= 90%</v>
      </c>
      <c r="I46" s="584">
        <f>'Action Plan'!I50</f>
        <v>1</v>
      </c>
      <c r="J46" s="262"/>
      <c r="K46" s="262"/>
      <c r="L46" s="262"/>
      <c r="M46" s="262"/>
      <c r="N46" s="262"/>
      <c r="O46" s="262"/>
      <c r="P46" s="262"/>
      <c r="Q46" s="262"/>
      <c r="R46" s="989"/>
      <c r="S46" s="262"/>
      <c r="T46" s="10"/>
      <c r="U46" s="10"/>
      <c r="V46" s="10"/>
      <c r="W46" s="10"/>
      <c r="X46" s="10"/>
      <c r="Y46" s="10"/>
      <c r="Z46" s="10"/>
      <c r="AA46" s="193"/>
      <c r="AB46" s="193"/>
      <c r="AC46" s="193"/>
      <c r="AD46" s="197"/>
      <c r="AE46" s="197"/>
      <c r="AF46" s="197"/>
      <c r="AG46" s="197"/>
      <c r="AH46" s="197"/>
      <c r="AI46" s="197"/>
      <c r="AJ46" s="197"/>
      <c r="AK46" s="197"/>
      <c r="AL46" s="197"/>
      <c r="AM46" s="197"/>
      <c r="AN46" s="197"/>
      <c r="AO46" s="197"/>
      <c r="AP46" s="197"/>
      <c r="AQ46" s="197"/>
      <c r="AR46" s="197"/>
      <c r="AS46" s="197"/>
      <c r="AT46" s="197"/>
      <c r="AU46" s="197"/>
      <c r="AV46" s="197"/>
      <c r="AW46" s="197"/>
      <c r="AX46" s="197"/>
      <c r="AY46" s="197"/>
      <c r="AZ46" s="197"/>
      <c r="BA46" s="197"/>
      <c r="BB46" s="197"/>
      <c r="BC46" s="197"/>
      <c r="BD46" s="197"/>
      <c r="BE46" s="197"/>
      <c r="BF46" s="197"/>
      <c r="BG46" s="197"/>
      <c r="BH46" s="197"/>
      <c r="BI46" s="197"/>
      <c r="BJ46" s="197"/>
      <c r="BK46" s="197"/>
      <c r="BL46" s="197"/>
      <c r="BM46" s="197"/>
      <c r="BN46" s="197"/>
      <c r="BO46" s="197"/>
      <c r="BP46" s="197"/>
    </row>
    <row r="47" spans="1:68" ht="30" customHeight="1" thickBot="1" x14ac:dyDescent="0.2">
      <c r="A47" s="284" t="str">
        <f>'Action Plan'!A51</f>
        <v>P2</v>
      </c>
      <c r="B47" s="326">
        <f>'Action Plan'!B51</f>
        <v>0.2</v>
      </c>
      <c r="C47" s="325" t="str">
        <f>'Action Plan'!C51</f>
        <v>P2: Person</v>
      </c>
      <c r="D47" s="473" t="str">
        <f>'Action Plan'!D51</f>
        <v>% P2+P3</v>
      </c>
      <c r="E47" s="585">
        <f>'Action Plan'!E51</f>
        <v>0.05</v>
      </c>
      <c r="F47" s="585">
        <f>'Action Plan'!F51</f>
        <v>0.05</v>
      </c>
      <c r="G47" s="585">
        <f>'Action Plan'!G51</f>
        <v>0.05</v>
      </c>
      <c r="H47" s="585">
        <f>'Action Plan'!H51</f>
        <v>0.05</v>
      </c>
      <c r="I47" s="585">
        <f>'Action Plan'!I51</f>
        <v>0.05</v>
      </c>
      <c r="J47" s="262"/>
      <c r="K47" s="262"/>
      <c r="L47" s="262"/>
      <c r="M47" s="262"/>
      <c r="N47" s="262"/>
      <c r="O47" s="262"/>
      <c r="P47" s="628"/>
      <c r="Q47" s="262"/>
      <c r="R47" s="990"/>
      <c r="S47" s="262"/>
      <c r="T47" s="10"/>
      <c r="U47" s="10"/>
      <c r="V47" s="10"/>
      <c r="W47" s="10"/>
      <c r="X47" s="10"/>
      <c r="Y47" s="10"/>
      <c r="Z47" s="10"/>
      <c r="AA47" s="193"/>
      <c r="AB47" s="193"/>
      <c r="AC47" s="193"/>
      <c r="AD47" s="197"/>
      <c r="AE47" s="197"/>
      <c r="AF47" s="197"/>
      <c r="AG47" s="197"/>
      <c r="AH47" s="197"/>
      <c r="AI47" s="197"/>
      <c r="AJ47" s="197"/>
      <c r="AK47" s="197"/>
      <c r="AY47" s="197"/>
      <c r="AZ47" s="197"/>
      <c r="BA47" s="197"/>
      <c r="BB47" s="197"/>
      <c r="BC47" s="197"/>
      <c r="BD47" s="197"/>
      <c r="BE47" s="197"/>
      <c r="BF47" s="197"/>
      <c r="BG47" s="197"/>
      <c r="BH47" s="197"/>
      <c r="BI47" s="197"/>
      <c r="BJ47" s="197"/>
      <c r="BK47" s="197"/>
      <c r="BL47" s="197"/>
      <c r="BM47" s="197"/>
      <c r="BN47" s="197"/>
      <c r="BO47" s="197"/>
      <c r="BP47" s="197"/>
    </row>
    <row r="48" spans="1:68" ht="30" customHeight="1" thickBot="1" x14ac:dyDescent="0.2">
      <c r="A48" s="284" t="str">
        <f>'Action Plan'!A52</f>
        <v>P3</v>
      </c>
      <c r="B48" s="372">
        <f>'Action Plan'!B52</f>
        <v>0.2</v>
      </c>
      <c r="C48" s="373" t="str">
        <f>'Action Plan'!C52</f>
        <v>P3: Performance</v>
      </c>
      <c r="D48" s="1366"/>
      <c r="E48" s="1367"/>
      <c r="F48" s="1367"/>
      <c r="G48" s="1367"/>
      <c r="H48" s="1367"/>
      <c r="I48" s="1367"/>
      <c r="J48" s="269"/>
      <c r="K48" s="269"/>
      <c r="L48" s="269"/>
      <c r="M48" s="269"/>
      <c r="N48" s="269"/>
      <c r="O48" s="269"/>
      <c r="P48" s="269"/>
      <c r="Q48" s="269"/>
      <c r="R48" s="991"/>
      <c r="S48" s="269"/>
      <c r="T48" s="269"/>
      <c r="U48" s="269"/>
      <c r="V48" s="269"/>
      <c r="W48" s="269"/>
      <c r="X48" s="269"/>
      <c r="Y48" s="269"/>
      <c r="Z48" s="269"/>
      <c r="AA48" s="193"/>
      <c r="AB48" s="193"/>
      <c r="AC48" s="193"/>
      <c r="AD48" s="197"/>
      <c r="AE48" s="197"/>
      <c r="AF48" s="197"/>
      <c r="AG48" s="197"/>
      <c r="AH48" s="197"/>
      <c r="AI48" s="197"/>
      <c r="AJ48" s="197"/>
      <c r="AK48" s="197"/>
      <c r="AL48" s="616"/>
      <c r="AM48" s="616"/>
      <c r="AN48" s="616"/>
      <c r="AO48" s="616"/>
      <c r="AP48" s="616"/>
      <c r="AQ48" s="616"/>
      <c r="AR48" s="616"/>
      <c r="AS48" s="616"/>
      <c r="AT48" s="616"/>
      <c r="AU48" s="616"/>
      <c r="AV48" s="616"/>
      <c r="AW48" s="616"/>
      <c r="AX48" s="616"/>
      <c r="AY48" s="197"/>
      <c r="AZ48" s="197"/>
      <c r="BA48" s="197"/>
      <c r="BB48" s="197"/>
      <c r="BC48" s="197"/>
      <c r="BD48" s="197"/>
      <c r="BE48" s="197"/>
      <c r="BF48" s="197"/>
      <c r="BG48" s="197"/>
      <c r="BH48" s="197"/>
      <c r="BI48" s="197"/>
      <c r="BJ48" s="197"/>
      <c r="BK48" s="197"/>
      <c r="BL48" s="197"/>
      <c r="BM48" s="197"/>
      <c r="BN48" s="197"/>
      <c r="BO48" s="197"/>
      <c r="BP48" s="197"/>
    </row>
    <row r="49" spans="1:68" ht="25" customHeight="1" x14ac:dyDescent="0.15">
      <c r="A49" s="10"/>
      <c r="B49" s="664"/>
      <c r="C49" s="661" t="str">
        <f>'Action Plan'!C53</f>
        <v>Team</v>
      </c>
      <c r="D49" s="662"/>
      <c r="E49" s="662"/>
      <c r="F49" s="662"/>
      <c r="G49" s="662"/>
      <c r="H49" s="662"/>
      <c r="I49" s="662"/>
      <c r="J49" s="663"/>
      <c r="K49" s="658" t="str">
        <f>'Action Plan'!G53</f>
        <v>Person #1</v>
      </c>
      <c r="L49" s="666"/>
      <c r="M49" s="666"/>
      <c r="N49" s="662"/>
      <c r="O49" s="662"/>
      <c r="P49" s="662"/>
      <c r="Q49" s="662"/>
      <c r="R49" s="667"/>
      <c r="S49" s="658" t="str">
        <f>'Action Plan'!K53</f>
        <v>Person #2</v>
      </c>
      <c r="T49" s="666"/>
      <c r="U49" s="666"/>
      <c r="V49" s="662"/>
      <c r="W49" s="662"/>
      <c r="X49" s="662"/>
      <c r="Y49" s="662"/>
      <c r="Z49" s="667"/>
      <c r="AA49" s="176"/>
      <c r="AB49" s="176"/>
      <c r="AC49" s="176"/>
      <c r="AD49" s="176"/>
      <c r="AE49" s="176"/>
      <c r="AF49" s="176"/>
      <c r="AG49" s="176"/>
      <c r="AH49" s="176"/>
      <c r="AI49" s="176"/>
      <c r="AJ49" s="176"/>
      <c r="AK49" s="176"/>
      <c r="AL49" s="616"/>
      <c r="AM49" s="616"/>
      <c r="AN49" s="616"/>
      <c r="AO49" s="616"/>
      <c r="AP49" s="616"/>
      <c r="AQ49" s="616"/>
      <c r="AR49" s="616"/>
      <c r="AS49" s="620"/>
      <c r="AT49" s="620"/>
      <c r="AU49" s="620"/>
      <c r="AV49" s="616"/>
      <c r="AW49" s="616"/>
      <c r="AX49" s="616"/>
      <c r="AY49" s="197"/>
      <c r="AZ49" s="197"/>
      <c r="BA49" s="197"/>
      <c r="BB49" s="197"/>
      <c r="BC49" s="197"/>
      <c r="BD49" s="197"/>
      <c r="BE49" s="197"/>
      <c r="BF49" s="197"/>
      <c r="BG49" s="197"/>
      <c r="BH49" s="197"/>
      <c r="BI49" s="197"/>
      <c r="BJ49" s="197"/>
      <c r="BK49" s="197"/>
      <c r="BL49" s="197"/>
      <c r="BM49" s="197"/>
      <c r="BN49" s="197"/>
      <c r="BO49" s="197"/>
      <c r="BP49" s="197"/>
    </row>
    <row r="50" spans="1:68" s="259" customFormat="1" ht="25" customHeight="1" thickBot="1" x14ac:dyDescent="0.2">
      <c r="A50" s="374"/>
      <c r="B50" s="665"/>
      <c r="C50" s="586" t="str">
        <f>'Action Plan'!C54</f>
        <v>In charge</v>
      </c>
      <c r="D50" s="586" t="str">
        <f>'Action Plan'!$D54</f>
        <v>Ratio</v>
      </c>
      <c r="E50" s="587" t="str">
        <f>'Action Plan'!$E54</f>
        <v>KPIs</v>
      </c>
      <c r="F50" s="587" t="s">
        <v>42</v>
      </c>
      <c r="G50" s="245" t="s">
        <v>41</v>
      </c>
      <c r="H50" s="245" t="s">
        <v>43</v>
      </c>
      <c r="I50" s="245" t="s">
        <v>174</v>
      </c>
      <c r="J50" s="588" t="str">
        <f>'Action Plan'!F54</f>
        <v>Metric</v>
      </c>
      <c r="K50" s="589" t="str">
        <f>'Action Plan'!G54</f>
        <v>In charge</v>
      </c>
      <c r="L50" s="586" t="str">
        <f>'Action Plan'!$H54</f>
        <v>Ratio/ Team</v>
      </c>
      <c r="M50" s="587" t="str">
        <f>'Action Plan'!$I54</f>
        <v>KPIs</v>
      </c>
      <c r="N50" s="587" t="s">
        <v>42</v>
      </c>
      <c r="O50" s="245" t="s">
        <v>41</v>
      </c>
      <c r="P50" s="245" t="s">
        <v>43</v>
      </c>
      <c r="Q50" s="245" t="s">
        <v>174</v>
      </c>
      <c r="R50" s="588" t="str">
        <f>'Action Plan'!N54</f>
        <v>Metric</v>
      </c>
      <c r="S50" s="589" t="str">
        <f>'Action Plan'!K54</f>
        <v>In charge</v>
      </c>
      <c r="T50" s="586" t="str">
        <f>'Action Plan'!$L54</f>
        <v>Ratio/ Team</v>
      </c>
      <c r="U50" s="587" t="str">
        <f>'Action Plan'!$M54</f>
        <v>KPIs</v>
      </c>
      <c r="V50" s="587" t="s">
        <v>42</v>
      </c>
      <c r="W50" s="245" t="s">
        <v>41</v>
      </c>
      <c r="X50" s="245" t="s">
        <v>43</v>
      </c>
      <c r="Y50" s="245" t="s">
        <v>174</v>
      </c>
      <c r="Z50" s="588" t="str">
        <f>'Action Plan'!N54</f>
        <v>Metric</v>
      </c>
      <c r="AA50" s="614"/>
      <c r="AB50" s="614"/>
      <c r="AC50" s="615"/>
      <c r="AD50" s="615"/>
      <c r="AE50" s="615"/>
      <c r="AF50" s="615"/>
      <c r="AG50" s="615"/>
      <c r="AH50" s="615"/>
      <c r="AI50" s="614"/>
      <c r="AJ50" s="614"/>
      <c r="AK50" s="615"/>
      <c r="AL50" s="617"/>
      <c r="AM50" s="617"/>
      <c r="AN50" s="617"/>
      <c r="AO50" s="617"/>
      <c r="AP50" s="617"/>
      <c r="AQ50" s="617"/>
      <c r="AR50" s="617"/>
      <c r="AS50" s="621"/>
      <c r="AT50" s="621"/>
      <c r="AU50" s="622"/>
      <c r="AV50" s="618"/>
      <c r="AW50" s="618"/>
      <c r="AX50" s="616"/>
      <c r="AY50" s="613"/>
      <c r="AZ50" s="613"/>
      <c r="BA50" s="613"/>
      <c r="BB50" s="613"/>
      <c r="BC50" s="613"/>
      <c r="BD50" s="613"/>
      <c r="BE50" s="613"/>
      <c r="BF50" s="613"/>
      <c r="BG50" s="613"/>
      <c r="BH50" s="613"/>
      <c r="BI50" s="613"/>
      <c r="BJ50" s="613"/>
      <c r="BK50" s="613"/>
      <c r="BL50" s="613"/>
      <c r="BM50" s="613"/>
      <c r="BN50" s="613"/>
      <c r="BO50" s="613"/>
      <c r="BP50" s="613"/>
    </row>
    <row r="51" spans="1:68" ht="25" customHeight="1" thickBot="1" x14ac:dyDescent="0.2">
      <c r="A51" s="10"/>
      <c r="B51" s="827" t="str">
        <f>'Action Plan'!B55</f>
        <v>TOTAL</v>
      </c>
      <c r="C51" s="209" t="str">
        <f>'Action Plan'!C55</f>
        <v>Digital Team</v>
      </c>
      <c r="D51" s="209" t="str">
        <f>'Action Plan'!$D54</f>
        <v>Ratio</v>
      </c>
      <c r="E51" s="638" t="str">
        <f>'Action Plan'!$E54</f>
        <v>KPIs</v>
      </c>
      <c r="F51" s="210" t="s">
        <v>42</v>
      </c>
      <c r="G51" s="194" t="s">
        <v>41</v>
      </c>
      <c r="H51" s="194" t="s">
        <v>43</v>
      </c>
      <c r="I51" s="194" t="s">
        <v>174</v>
      </c>
      <c r="J51" s="211"/>
      <c r="K51" s="212" t="str">
        <f>'Action Plan'!G55</f>
        <v>Digital Marketer</v>
      </c>
      <c r="L51" s="209" t="str">
        <f>'Action Plan'!$H54</f>
        <v>Ratio/ Team</v>
      </c>
      <c r="M51" s="638" t="str">
        <f>'Action Plan'!$I54</f>
        <v>KPIs</v>
      </c>
      <c r="N51" s="210" t="s">
        <v>42</v>
      </c>
      <c r="O51" s="194" t="s">
        <v>41</v>
      </c>
      <c r="P51" s="194" t="s">
        <v>43</v>
      </c>
      <c r="Q51" s="194" t="s">
        <v>174</v>
      </c>
      <c r="R51" s="211"/>
      <c r="S51" s="212" t="str">
        <f>'Action Plan'!K55</f>
        <v>E-Com Operation</v>
      </c>
      <c r="T51" s="209" t="str">
        <f>'Action Plan'!$H54</f>
        <v>Ratio/ Team</v>
      </c>
      <c r="U51" s="638" t="str">
        <f>'Action Plan'!$I54</f>
        <v>KPIs</v>
      </c>
      <c r="V51" s="210" t="s">
        <v>42</v>
      </c>
      <c r="W51" s="194" t="s">
        <v>41</v>
      </c>
      <c r="X51" s="194" t="s">
        <v>43</v>
      </c>
      <c r="Y51" s="194" t="s">
        <v>174</v>
      </c>
      <c r="Z51" s="211"/>
      <c r="AA51" s="176"/>
      <c r="AB51" s="176"/>
      <c r="AC51" s="176"/>
      <c r="AD51" s="262"/>
      <c r="AE51" s="262"/>
      <c r="AF51" s="10"/>
      <c r="AG51" s="10"/>
      <c r="AH51" s="10"/>
      <c r="AI51" s="176"/>
      <c r="AJ51" s="176"/>
      <c r="AK51" s="176"/>
      <c r="AL51" s="615"/>
      <c r="AM51" s="615"/>
      <c r="AN51" s="615"/>
      <c r="AO51" s="615"/>
      <c r="AP51" s="615"/>
      <c r="AQ51" s="614"/>
      <c r="AR51" s="614"/>
      <c r="AS51" s="145"/>
      <c r="AT51" s="145"/>
      <c r="AU51" s="623"/>
      <c r="AV51" s="619"/>
      <c r="AW51" s="619"/>
      <c r="AX51" s="613"/>
      <c r="AY51" s="197"/>
      <c r="AZ51" s="197"/>
      <c r="BA51" s="197"/>
      <c r="BB51" s="197"/>
      <c r="BC51" s="197"/>
      <c r="BD51" s="197"/>
      <c r="BE51" s="197"/>
      <c r="BF51" s="197"/>
      <c r="BG51" s="197"/>
      <c r="BH51" s="197"/>
      <c r="BI51" s="197"/>
      <c r="BJ51" s="197"/>
      <c r="BK51" s="197"/>
      <c r="BL51" s="197"/>
      <c r="BM51" s="197"/>
      <c r="BN51" s="197"/>
      <c r="BO51" s="197"/>
      <c r="BP51" s="197"/>
    </row>
    <row r="52" spans="1:68" ht="20" customHeight="1" x14ac:dyDescent="0.15">
      <c r="A52" s="10"/>
      <c r="B52" s="1353" t="str">
        <f>'Action Plan'!B56</f>
        <v>Digital
Marketer</v>
      </c>
      <c r="C52" s="817" t="str">
        <f>'Action Plan'!C56</f>
        <v>P2</v>
      </c>
      <c r="D52" s="348">
        <f>'Action Plan'!D56</f>
        <v>0.2</v>
      </c>
      <c r="E52" s="348">
        <f>'Action Plan'!E56</f>
        <v>0.96785714285714286</v>
      </c>
      <c r="F52" s="348">
        <f>I53+I60</f>
        <v>0.75790140526116079</v>
      </c>
      <c r="G52" s="348">
        <f>F52-E52</f>
        <v>-0.20995573759598207</v>
      </c>
      <c r="H52" s="348">
        <f>IF(G52&gt;=0,1,F52/E52)</f>
        <v>0.78307156263145761</v>
      </c>
      <c r="I52" s="348">
        <f>F52*D52</f>
        <v>0.15158028105223217</v>
      </c>
      <c r="J52" s="595"/>
      <c r="K52" s="76" t="str">
        <f>'Action Plan'!K56</f>
        <v>P2</v>
      </c>
      <c r="L52" s="348">
        <f>'Action Plan'!H56</f>
        <v>0.2</v>
      </c>
      <c r="M52" s="348">
        <f>'Action Plan'!I56</f>
        <v>0.51190476190476186</v>
      </c>
      <c r="N52" s="348">
        <f>AVERAGE(Q53,Q60)</f>
        <v>0.44241071428571421</v>
      </c>
      <c r="O52" s="348">
        <f>N52-M52</f>
        <v>-6.949404761904765E-2</v>
      </c>
      <c r="P52" s="348">
        <f>IF(O52&gt;=0,1,N52/M52)</f>
        <v>0.86424418604651154</v>
      </c>
      <c r="Q52" s="348">
        <f>N52*L52</f>
        <v>8.8482142857142843E-2</v>
      </c>
      <c r="R52" s="595"/>
      <c r="S52" s="76"/>
      <c r="T52" s="348">
        <f>'Action Plan'!L56</f>
        <v>0.2</v>
      </c>
      <c r="U52" s="348">
        <f>'Action Plan'!M56</f>
        <v>0.45595238095238094</v>
      </c>
      <c r="V52" s="348">
        <f>AVERAGE(Y53,Y60)</f>
        <v>0.35572569888320726</v>
      </c>
      <c r="W52" s="348">
        <f>V52-U52</f>
        <v>-0.10022668206917368</v>
      </c>
      <c r="X52" s="348">
        <f>IF(W52&gt;=0,1,V52/U52)</f>
        <v>0.78018168945664257</v>
      </c>
      <c r="Y52" s="348">
        <f>V52*T52</f>
        <v>7.1145139776641456E-2</v>
      </c>
      <c r="Z52" s="625"/>
      <c r="AA52" s="626"/>
      <c r="AB52" s="10"/>
      <c r="AC52" s="10"/>
      <c r="AD52" s="262"/>
      <c r="AE52" s="262"/>
      <c r="AF52" s="10"/>
      <c r="AG52" s="10"/>
      <c r="AH52" s="10"/>
      <c r="AI52" s="10"/>
      <c r="AJ52" s="10"/>
      <c r="AK52" s="10"/>
      <c r="AL52" s="190"/>
      <c r="AM52" s="190"/>
      <c r="AN52" s="190"/>
      <c r="AO52" s="190"/>
      <c r="AP52" s="190"/>
      <c r="AQ52" s="617"/>
      <c r="AR52" s="617"/>
      <c r="AS52" s="621"/>
      <c r="AT52" s="624"/>
      <c r="AU52" s="622"/>
      <c r="AV52" s="618"/>
      <c r="AW52" s="618"/>
      <c r="AX52" s="616"/>
      <c r="AY52" s="197"/>
      <c r="AZ52" s="197"/>
      <c r="BA52" s="197"/>
      <c r="BB52" s="197"/>
      <c r="BC52" s="197"/>
      <c r="BD52" s="197"/>
      <c r="BE52" s="197"/>
      <c r="BF52" s="197"/>
      <c r="BG52" s="197"/>
      <c r="BH52" s="197"/>
      <c r="BI52" s="197"/>
      <c r="BJ52" s="197"/>
      <c r="BK52" s="197"/>
      <c r="BL52" s="197"/>
      <c r="BM52" s="197"/>
      <c r="BN52" s="197"/>
      <c r="BO52" s="197"/>
      <c r="BP52" s="197"/>
    </row>
    <row r="53" spans="1:68" ht="20" customHeight="1" x14ac:dyDescent="0.15">
      <c r="A53" s="10"/>
      <c r="B53" s="1340"/>
      <c r="C53" s="818" t="s">
        <v>22</v>
      </c>
      <c r="D53" s="608">
        <f>'Action Plan'!D57</f>
        <v>0.5</v>
      </c>
      <c r="E53" s="609">
        <f>'Action Plan'!E57</f>
        <v>1680</v>
      </c>
      <c r="F53" s="609">
        <f>SUM(F54:F59)</f>
        <v>1528</v>
      </c>
      <c r="G53" s="609">
        <f>F53-E53</f>
        <v>-152</v>
      </c>
      <c r="H53" s="608">
        <f>AVERAGE(H54:H59)</f>
        <v>0.80746947718898809</v>
      </c>
      <c r="I53" s="608">
        <f>H53*D53</f>
        <v>0.40373473859449405</v>
      </c>
      <c r="J53" s="359" t="s">
        <v>22</v>
      </c>
      <c r="K53" s="385" t="s">
        <v>22</v>
      </c>
      <c r="L53" s="608">
        <f>'Action Plan'!H57</f>
        <v>0.59523809523809523</v>
      </c>
      <c r="M53" s="609">
        <f>'Action Plan'!I57</f>
        <v>1000</v>
      </c>
      <c r="N53" s="609">
        <f>SUM(N54:N59)</f>
        <v>1125</v>
      </c>
      <c r="O53" s="609">
        <f>N53-M53</f>
        <v>125</v>
      </c>
      <c r="P53" s="608">
        <f>AVERAGE(P54:P59)</f>
        <v>0.86249999999999993</v>
      </c>
      <c r="Q53" s="608">
        <f>P53*L53</f>
        <v>0.5133928571428571</v>
      </c>
      <c r="R53" s="359" t="s">
        <v>22</v>
      </c>
      <c r="S53" s="385" t="s">
        <v>22</v>
      </c>
      <c r="T53" s="608">
        <f>'Action Plan'!L57</f>
        <v>0.34047619047619049</v>
      </c>
      <c r="U53" s="609">
        <f>'Action Plan'!M57</f>
        <v>572</v>
      </c>
      <c r="V53" s="609">
        <f>SUM(V54:V59)</f>
        <v>403</v>
      </c>
      <c r="W53" s="609">
        <f>V53-U53</f>
        <v>-169</v>
      </c>
      <c r="X53" s="608">
        <f>AVERAGE(X54:X59)</f>
        <v>0.67699011931394482</v>
      </c>
      <c r="Y53" s="608">
        <f>X53*T53</f>
        <v>0.23049901681403359</v>
      </c>
      <c r="Z53" s="359" t="s">
        <v>22</v>
      </c>
      <c r="AA53" s="10"/>
      <c r="AB53" s="10"/>
      <c r="AC53" s="10"/>
      <c r="AD53" s="262"/>
      <c r="AE53" s="262"/>
      <c r="AF53" s="10"/>
      <c r="AG53" s="10"/>
      <c r="AH53" s="10"/>
      <c r="AI53" s="10"/>
      <c r="AJ53" s="10"/>
      <c r="AK53" s="10"/>
      <c r="AL53" s="190"/>
      <c r="AM53" s="190"/>
      <c r="AN53" s="190"/>
      <c r="AO53" s="190"/>
      <c r="AP53" s="190"/>
      <c r="AQ53" s="190"/>
      <c r="AR53" s="190"/>
      <c r="AS53" s="624"/>
      <c r="AT53" s="624"/>
      <c r="AU53" s="622"/>
      <c r="AV53" s="618"/>
      <c r="AW53" s="618"/>
      <c r="AX53" s="616"/>
      <c r="AY53" s="197"/>
      <c r="AZ53" s="197"/>
      <c r="BA53" s="197"/>
      <c r="BB53" s="197"/>
      <c r="BC53" s="197"/>
      <c r="BD53" s="197"/>
      <c r="BE53" s="197"/>
      <c r="BF53" s="197"/>
      <c r="BG53" s="197"/>
      <c r="BH53" s="197"/>
      <c r="BI53" s="197"/>
      <c r="BJ53" s="197"/>
      <c r="BK53" s="197"/>
      <c r="BL53" s="197"/>
      <c r="BM53" s="197"/>
      <c r="BN53" s="197"/>
      <c r="BO53" s="197"/>
      <c r="BP53" s="197"/>
    </row>
    <row r="54" spans="1:68" ht="20" customHeight="1" x14ac:dyDescent="0.15">
      <c r="A54" s="10"/>
      <c r="B54" s="1340"/>
      <c r="C54" s="391" t="s">
        <v>2</v>
      </c>
      <c r="D54" s="355">
        <f>'Action Plan'!D61</f>
        <v>0.18630952380952381</v>
      </c>
      <c r="E54" s="354">
        <f>'Action Plan'!E61</f>
        <v>313</v>
      </c>
      <c r="F54" s="592">
        <f>N54+V54</f>
        <v>372</v>
      </c>
      <c r="G54" s="354">
        <f>F54-E54</f>
        <v>59</v>
      </c>
      <c r="H54" s="355">
        <f>_xlfn.IFS(G54&gt;=0,1,G54&lt;0,F54/E54)</f>
        <v>1</v>
      </c>
      <c r="I54" s="355">
        <f>H54*D54</f>
        <v>0.18630952380952381</v>
      </c>
      <c r="J54" s="593"/>
      <c r="K54" s="386" t="s">
        <v>2</v>
      </c>
      <c r="L54" s="355">
        <f>'Action Plan'!H58</f>
        <v>0.23809523809523808</v>
      </c>
      <c r="M54" s="354">
        <f>'Action Plan'!I58</f>
        <v>400</v>
      </c>
      <c r="N54" s="592">
        <f>'Digital Marketer #1'!E32</f>
        <v>310</v>
      </c>
      <c r="O54" s="354">
        <f>N54-M54</f>
        <v>-90</v>
      </c>
      <c r="P54" s="355">
        <f>_xlfn.IFS(O54&gt;=0,1,O54&lt;0,N54/M54)</f>
        <v>0.77500000000000002</v>
      </c>
      <c r="Q54" s="355">
        <f>P54*L54</f>
        <v>0.18452380952380951</v>
      </c>
      <c r="R54" s="593"/>
      <c r="S54" s="386" t="s">
        <v>2</v>
      </c>
      <c r="T54" s="355">
        <f>'Action Plan'!L58</f>
        <v>-5.1785714285714289E-2</v>
      </c>
      <c r="U54" s="354">
        <f>'Action Plan'!M58</f>
        <v>-87</v>
      </c>
      <c r="V54" s="592">
        <f>'E-Com Operations'!E32</f>
        <v>62</v>
      </c>
      <c r="W54" s="354">
        <f>V54-U54</f>
        <v>149</v>
      </c>
      <c r="X54" s="355">
        <f>_xlfn.IFS(W54&gt;=0,1,W54&lt;0,V54/U54)</f>
        <v>1</v>
      </c>
      <c r="Y54" s="355">
        <f>X54*T54</f>
        <v>-5.1785714285714289E-2</v>
      </c>
      <c r="Z54" s="593"/>
      <c r="AA54" s="10"/>
      <c r="AB54" s="10"/>
      <c r="AC54" s="10"/>
      <c r="AD54" s="262"/>
      <c r="AE54" s="262"/>
      <c r="AF54" s="10"/>
      <c r="AG54" s="10"/>
      <c r="AH54" s="10"/>
      <c r="AI54" s="10"/>
      <c r="AJ54" s="10"/>
      <c r="AK54" s="10"/>
      <c r="AL54" s="190"/>
      <c r="AM54" s="190"/>
      <c r="AN54" s="190"/>
      <c r="AO54" s="190"/>
      <c r="AP54" s="190"/>
      <c r="AQ54" s="190"/>
      <c r="AR54" s="190"/>
      <c r="AS54" s="624"/>
      <c r="AT54" s="624"/>
      <c r="AU54" s="622"/>
      <c r="AV54" s="618"/>
      <c r="AW54" s="618"/>
      <c r="AX54" s="616"/>
      <c r="AY54" s="197"/>
      <c r="AZ54" s="197"/>
      <c r="BA54" s="197"/>
      <c r="BB54" s="197"/>
      <c r="BC54" s="197"/>
      <c r="BD54" s="197"/>
      <c r="BE54" s="197"/>
      <c r="BF54" s="197"/>
      <c r="BG54" s="197"/>
      <c r="BH54" s="197"/>
      <c r="BI54" s="197"/>
      <c r="BJ54" s="197"/>
      <c r="BK54" s="197"/>
      <c r="BL54" s="197"/>
      <c r="BM54" s="197"/>
      <c r="BN54" s="197"/>
      <c r="BO54" s="197"/>
      <c r="BP54" s="197"/>
    </row>
    <row r="55" spans="1:68" ht="20" customHeight="1" x14ac:dyDescent="0.15">
      <c r="A55" s="10"/>
      <c r="B55" s="1340"/>
      <c r="C55" s="391" t="s">
        <v>3</v>
      </c>
      <c r="D55" s="355">
        <f>'Action Plan'!D62</f>
        <v>0.20714285714285716</v>
      </c>
      <c r="E55" s="354">
        <f>'Action Plan'!E62</f>
        <v>348</v>
      </c>
      <c r="F55" s="592">
        <f>N55+V55</f>
        <v>341</v>
      </c>
      <c r="G55" s="354">
        <f t="shared" ref="G55:G66" si="57">F55-E55</f>
        <v>-7</v>
      </c>
      <c r="H55" s="355">
        <f t="shared" ref="H55:H59" si="58">_xlfn.IFS(G55&gt;=0,1,G55&lt;0,F55/E55)</f>
        <v>0.97988505747126442</v>
      </c>
      <c r="I55" s="355">
        <f t="shared" ref="I55:I88" si="59">H55*D55</f>
        <v>0.2029761904761905</v>
      </c>
      <c r="J55" s="593"/>
      <c r="K55" s="386" t="s">
        <v>3</v>
      </c>
      <c r="L55" s="355">
        <f>'Action Plan'!H59</f>
        <v>0.17857142857142858</v>
      </c>
      <c r="M55" s="354">
        <f>'Action Plan'!I59</f>
        <v>300</v>
      </c>
      <c r="N55" s="592">
        <f>'Digital Marketer #1'!E33</f>
        <v>310</v>
      </c>
      <c r="O55" s="354">
        <f>N55-M55</f>
        <v>10</v>
      </c>
      <c r="P55" s="355">
        <f t="shared" ref="P55:P59" si="60">_xlfn.IFS(O55&gt;=0,1,O55&lt;0,N55/M55)</f>
        <v>1</v>
      </c>
      <c r="Q55" s="355">
        <f t="shared" ref="Q55:Q66" si="61">P55*L55</f>
        <v>0.17857142857142858</v>
      </c>
      <c r="R55" s="593"/>
      <c r="S55" s="386" t="s">
        <v>3</v>
      </c>
      <c r="T55" s="355">
        <f>'Action Plan'!L59</f>
        <v>2.8571428571428571E-2</v>
      </c>
      <c r="U55" s="354">
        <f>'Action Plan'!M59</f>
        <v>48</v>
      </c>
      <c r="V55" s="592">
        <f>'E-Com Operations'!E33</f>
        <v>31</v>
      </c>
      <c r="W55" s="354">
        <f>V55-U55</f>
        <v>-17</v>
      </c>
      <c r="X55" s="355">
        <f>_xlfn.IFS(W55&gt;=0,1,W55&lt;0,V55/U55)</f>
        <v>0.64583333333333337</v>
      </c>
      <c r="Y55" s="355">
        <f>X55*T55</f>
        <v>1.8452380952380953E-2</v>
      </c>
      <c r="Z55" s="593"/>
      <c r="AA55" s="10"/>
      <c r="AB55" s="10"/>
      <c r="AC55" s="10"/>
      <c r="AD55" s="262"/>
      <c r="AE55" s="262"/>
      <c r="AF55" s="10"/>
      <c r="AG55" s="10"/>
      <c r="AH55" s="10"/>
      <c r="AI55" s="10"/>
      <c r="AJ55" s="10"/>
      <c r="AK55" s="10"/>
      <c r="AL55" s="190"/>
      <c r="AM55" s="190"/>
      <c r="AN55" s="190"/>
      <c r="AO55" s="190"/>
      <c r="AP55" s="190"/>
      <c r="AQ55" s="190"/>
      <c r="AR55" s="190"/>
      <c r="AS55" s="624"/>
      <c r="AT55" s="624"/>
      <c r="AU55" s="622"/>
      <c r="AV55" s="618"/>
      <c r="AW55" s="618"/>
      <c r="AX55" s="616"/>
      <c r="AY55" s="197"/>
      <c r="AZ55" s="197"/>
      <c r="BA55" s="197"/>
      <c r="BB55" s="197"/>
      <c r="BC55" s="197"/>
      <c r="BD55" s="197"/>
      <c r="BE55" s="197"/>
      <c r="BF55" s="197"/>
      <c r="BG55" s="197"/>
      <c r="BH55" s="197"/>
      <c r="BI55" s="197"/>
      <c r="BJ55" s="197"/>
      <c r="BK55" s="197"/>
      <c r="BL55" s="197"/>
      <c r="BM55" s="197"/>
      <c r="BN55" s="197"/>
      <c r="BO55" s="197"/>
      <c r="BP55" s="197"/>
    </row>
    <row r="56" spans="1:68" ht="20" customHeight="1" x14ac:dyDescent="0.15">
      <c r="A56" s="10"/>
      <c r="B56" s="1340"/>
      <c r="C56" s="391" t="s">
        <v>4</v>
      </c>
      <c r="D56" s="355">
        <f>'Action Plan'!D60</f>
        <v>7.4404761904761904E-2</v>
      </c>
      <c r="E56" s="354">
        <f>'Action Plan'!E60</f>
        <v>125</v>
      </c>
      <c r="F56" s="592">
        <f t="shared" ref="F56:F58" si="62">N56+V56</f>
        <v>71</v>
      </c>
      <c r="G56" s="354">
        <f t="shared" ref="G56:G57" si="63">F56-E56</f>
        <v>-54</v>
      </c>
      <c r="H56" s="355">
        <f t="shared" si="58"/>
        <v>0.56799999999999995</v>
      </c>
      <c r="I56" s="355">
        <f t="shared" ref="I56:I58" si="64">H56*D56</f>
        <v>4.2261904761904757E-2</v>
      </c>
      <c r="J56" s="593"/>
      <c r="K56" s="386" t="s">
        <v>4</v>
      </c>
      <c r="L56" s="355">
        <f>'Action Plan'!H60</f>
        <v>5.9523809523809521E-2</v>
      </c>
      <c r="M56" s="354">
        <f>'Action Plan'!I60</f>
        <v>100</v>
      </c>
      <c r="N56" s="592">
        <f>'Digital Marketer #1'!E34</f>
        <v>40</v>
      </c>
      <c r="O56" s="354">
        <f t="shared" ref="O56:O57" si="65">N56-M56</f>
        <v>-60</v>
      </c>
      <c r="P56" s="355">
        <f t="shared" si="60"/>
        <v>0.4</v>
      </c>
      <c r="Q56" s="355">
        <f t="shared" si="61"/>
        <v>2.3809523809523808E-2</v>
      </c>
      <c r="R56" s="593"/>
      <c r="S56" s="386" t="s">
        <v>4</v>
      </c>
      <c r="T56" s="355">
        <f>'Action Plan'!L60</f>
        <v>1.488095238095238E-2</v>
      </c>
      <c r="U56" s="354">
        <f>'Action Plan'!M60</f>
        <v>25</v>
      </c>
      <c r="V56" s="592">
        <f>'E-Com Operations'!E34</f>
        <v>31</v>
      </c>
      <c r="W56" s="354">
        <f t="shared" ref="W56:W57" si="66">V56-U56</f>
        <v>6</v>
      </c>
      <c r="X56" s="355">
        <f t="shared" ref="X55:X59" si="67">_xlfn.IFS(W56&gt;=0,1,W56&lt;0,V56/U56)</f>
        <v>1</v>
      </c>
      <c r="Y56" s="355">
        <f t="shared" ref="Y56:Y66" si="68">X56*T56</f>
        <v>1.488095238095238E-2</v>
      </c>
      <c r="Z56" s="593"/>
      <c r="AA56" s="10"/>
      <c r="AB56" s="10"/>
      <c r="AC56" s="10"/>
      <c r="AD56" s="10"/>
      <c r="AE56" s="10"/>
      <c r="AF56" s="10"/>
      <c r="AG56" s="10"/>
      <c r="AH56" s="10"/>
      <c r="AI56" s="10"/>
      <c r="AJ56" s="10"/>
      <c r="AK56" s="10"/>
      <c r="AL56" s="190"/>
      <c r="AM56" s="190"/>
      <c r="AN56" s="190"/>
      <c r="AO56" s="190"/>
      <c r="AP56" s="190"/>
      <c r="AQ56" s="190"/>
      <c r="AR56" s="190"/>
      <c r="AS56" s="624"/>
      <c r="AT56" s="624"/>
      <c r="AU56" s="622"/>
      <c r="AV56" s="618"/>
      <c r="AW56" s="618"/>
      <c r="AX56" s="616"/>
      <c r="AY56" s="197"/>
      <c r="AZ56" s="197"/>
      <c r="BA56" s="197"/>
      <c r="BB56" s="197"/>
      <c r="BC56" s="197"/>
      <c r="BD56" s="197"/>
      <c r="BE56" s="197"/>
      <c r="BF56" s="197"/>
      <c r="BG56" s="197"/>
      <c r="BH56" s="197"/>
      <c r="BI56" s="197"/>
      <c r="BJ56" s="197"/>
      <c r="BK56" s="197"/>
      <c r="BL56" s="197"/>
      <c r="BM56" s="197"/>
      <c r="BN56" s="197"/>
      <c r="BO56" s="197"/>
      <c r="BP56" s="197"/>
    </row>
    <row r="57" spans="1:68" ht="20" customHeight="1" x14ac:dyDescent="0.15">
      <c r="A57" s="10"/>
      <c r="B57" s="1340"/>
      <c r="C57" s="391" t="s">
        <v>5</v>
      </c>
      <c r="D57" s="355">
        <f>'Action Plan'!D61</f>
        <v>0.18630952380952381</v>
      </c>
      <c r="E57" s="354">
        <f>'Action Plan'!E61</f>
        <v>313</v>
      </c>
      <c r="F57" s="592">
        <f t="shared" si="62"/>
        <v>155</v>
      </c>
      <c r="G57" s="354">
        <f t="shared" si="63"/>
        <v>-158</v>
      </c>
      <c r="H57" s="355">
        <f>_xlfn.IFS(G57&gt;=0,1,G57&lt;0,F57/E57)</f>
        <v>0.49520766773162939</v>
      </c>
      <c r="I57" s="355">
        <f t="shared" si="64"/>
        <v>9.2261904761904767E-2</v>
      </c>
      <c r="J57" s="593"/>
      <c r="K57" s="386" t="s">
        <v>5</v>
      </c>
      <c r="L57" s="355">
        <f>'Action Plan'!H61</f>
        <v>2.976190476190476E-2</v>
      </c>
      <c r="M57" s="354">
        <f>'Action Plan'!I61</f>
        <v>50</v>
      </c>
      <c r="N57" s="592">
        <f>'Digital Marketer #1'!E35</f>
        <v>155</v>
      </c>
      <c r="O57" s="354">
        <f t="shared" si="65"/>
        <v>105</v>
      </c>
      <c r="P57" s="355">
        <f t="shared" si="60"/>
        <v>1</v>
      </c>
      <c r="Q57" s="355">
        <f t="shared" si="61"/>
        <v>2.976190476190476E-2</v>
      </c>
      <c r="R57" s="593"/>
      <c r="S57" s="386" t="s">
        <v>5</v>
      </c>
      <c r="T57" s="355">
        <f>'Action Plan'!L61</f>
        <v>0.15654761904761905</v>
      </c>
      <c r="U57" s="354">
        <f>'Action Plan'!M61</f>
        <v>263</v>
      </c>
      <c r="V57" s="592">
        <f>'E-Com Operations'!E35</f>
        <v>0</v>
      </c>
      <c r="W57" s="354">
        <f t="shared" si="66"/>
        <v>-263</v>
      </c>
      <c r="X57" s="355">
        <f>_xlfn.IFS(W57&gt;=0,1,W57&lt;0,V57/U57)</f>
        <v>0</v>
      </c>
      <c r="Y57" s="355">
        <f t="shared" si="68"/>
        <v>0</v>
      </c>
      <c r="Z57" s="593"/>
      <c r="AA57" s="10"/>
      <c r="AB57" s="10"/>
      <c r="AC57" s="10"/>
      <c r="AD57" s="10"/>
      <c r="AE57" s="10"/>
      <c r="AF57" s="10"/>
      <c r="AG57" s="10"/>
      <c r="AH57" s="10"/>
      <c r="AI57" s="10"/>
      <c r="AJ57" s="10"/>
      <c r="AK57" s="10"/>
      <c r="AL57" s="190"/>
      <c r="AM57" s="190"/>
      <c r="AN57" s="190"/>
      <c r="AO57" s="190"/>
      <c r="AP57" s="190"/>
      <c r="AQ57" s="190"/>
      <c r="AR57" s="190"/>
      <c r="AS57" s="190"/>
      <c r="AT57" s="190"/>
      <c r="AU57" s="618"/>
      <c r="AV57" s="618"/>
      <c r="AW57" s="618"/>
      <c r="AX57" s="616"/>
      <c r="AY57" s="197"/>
      <c r="AZ57" s="197"/>
      <c r="BA57" s="197"/>
      <c r="BB57" s="197"/>
      <c r="BC57" s="197"/>
      <c r="BD57" s="197"/>
      <c r="BE57" s="197"/>
      <c r="BF57" s="197"/>
      <c r="BG57" s="197"/>
      <c r="BH57" s="197"/>
      <c r="BI57" s="197"/>
      <c r="BJ57" s="197"/>
      <c r="BK57" s="197"/>
      <c r="BL57" s="197"/>
      <c r="BM57" s="197"/>
      <c r="BN57" s="197"/>
      <c r="BO57" s="197"/>
      <c r="BP57" s="197"/>
    </row>
    <row r="58" spans="1:68" ht="20" customHeight="1" x14ac:dyDescent="0.15">
      <c r="A58" s="10"/>
      <c r="B58" s="1340"/>
      <c r="C58" s="391" t="s">
        <v>6</v>
      </c>
      <c r="D58" s="355">
        <f>'Action Plan'!D62</f>
        <v>0.20714285714285716</v>
      </c>
      <c r="E58" s="354">
        <f>'Action Plan'!E62</f>
        <v>348</v>
      </c>
      <c r="F58" s="592">
        <f t="shared" si="62"/>
        <v>279</v>
      </c>
      <c r="G58" s="354">
        <f>F58-E58</f>
        <v>-69</v>
      </c>
      <c r="H58" s="355">
        <f t="shared" si="58"/>
        <v>0.80172413793103448</v>
      </c>
      <c r="I58" s="355">
        <f t="shared" si="64"/>
        <v>0.16607142857142859</v>
      </c>
      <c r="J58" s="593"/>
      <c r="K58" s="386" t="s">
        <v>6</v>
      </c>
      <c r="L58" s="355">
        <f>'Action Plan'!H62</f>
        <v>2.976190476190476E-2</v>
      </c>
      <c r="M58" s="354">
        <f>'Action Plan'!I62</f>
        <v>50</v>
      </c>
      <c r="N58" s="592">
        <f>'Digital Marketer #1'!E36</f>
        <v>155</v>
      </c>
      <c r="O58" s="354">
        <f>N58-M58</f>
        <v>105</v>
      </c>
      <c r="P58" s="355">
        <f t="shared" si="60"/>
        <v>1</v>
      </c>
      <c r="Q58" s="355">
        <f t="shared" si="61"/>
        <v>2.976190476190476E-2</v>
      </c>
      <c r="R58" s="593"/>
      <c r="S58" s="386" t="s">
        <v>6</v>
      </c>
      <c r="T58" s="355">
        <f>'Action Plan'!L62</f>
        <v>0.17738095238095239</v>
      </c>
      <c r="U58" s="354">
        <f>'Action Plan'!M62</f>
        <v>298</v>
      </c>
      <c r="V58" s="592">
        <f>'E-Com Operations'!E36</f>
        <v>124</v>
      </c>
      <c r="W58" s="354">
        <f>V58-U58</f>
        <v>-174</v>
      </c>
      <c r="X58" s="355">
        <f>_xlfn.IFS(W58&gt;=0,1,W58&lt;0,V58/U58)</f>
        <v>0.41610738255033558</v>
      </c>
      <c r="Y58" s="355">
        <f t="shared" si="68"/>
        <v>7.3809523809523811E-2</v>
      </c>
      <c r="Z58" s="593"/>
      <c r="AA58" s="10"/>
      <c r="AB58" s="10"/>
      <c r="AC58" s="10"/>
      <c r="AD58" s="10"/>
      <c r="AE58" s="10"/>
      <c r="AF58" s="10"/>
      <c r="AG58" s="10"/>
      <c r="AH58" s="10"/>
      <c r="AI58" s="10"/>
      <c r="AJ58" s="10"/>
      <c r="AK58" s="10"/>
      <c r="AL58" s="190"/>
      <c r="AM58" s="190"/>
      <c r="AN58" s="190"/>
      <c r="AO58" s="190"/>
      <c r="AP58" s="190"/>
      <c r="AQ58" s="190"/>
      <c r="AR58" s="190"/>
      <c r="AS58" s="190"/>
      <c r="AT58" s="190"/>
      <c r="AU58" s="618"/>
      <c r="AV58" s="618"/>
      <c r="AW58" s="618"/>
      <c r="AX58" s="616"/>
      <c r="AY58" s="197"/>
      <c r="AZ58" s="197"/>
      <c r="BA58" s="197"/>
      <c r="BB58" s="197"/>
      <c r="BC58" s="197"/>
      <c r="BD58" s="197"/>
      <c r="BE58" s="197"/>
      <c r="BF58" s="197"/>
      <c r="BG58" s="197"/>
      <c r="BH58" s="197"/>
      <c r="BI58" s="197"/>
      <c r="BJ58" s="197"/>
      <c r="BK58" s="197"/>
      <c r="BL58" s="197"/>
      <c r="BM58" s="197"/>
      <c r="BN58" s="197"/>
      <c r="BO58" s="197"/>
      <c r="BP58" s="197"/>
    </row>
    <row r="59" spans="1:68" ht="20" customHeight="1" x14ac:dyDescent="0.15">
      <c r="A59" s="10"/>
      <c r="B59" s="1340"/>
      <c r="C59" s="391" t="s">
        <v>60</v>
      </c>
      <c r="D59" s="355">
        <f>'Action Plan'!D63</f>
        <v>7.4404761904761904E-2</v>
      </c>
      <c r="E59" s="354">
        <f>'Action Plan'!E63</f>
        <v>125</v>
      </c>
      <c r="F59" s="592">
        <f t="shared" ref="F59" si="69">N59+V59</f>
        <v>310</v>
      </c>
      <c r="G59" s="354">
        <f t="shared" si="57"/>
        <v>185</v>
      </c>
      <c r="H59" s="355">
        <f t="shared" si="58"/>
        <v>1</v>
      </c>
      <c r="I59" s="355">
        <f t="shared" si="59"/>
        <v>7.4404761904761904E-2</v>
      </c>
      <c r="J59" s="593"/>
      <c r="K59" s="386" t="s">
        <v>60</v>
      </c>
      <c r="L59" s="355">
        <f>'Action Plan'!H63</f>
        <v>5.9523809523809521E-2</v>
      </c>
      <c r="M59" s="354">
        <f>'Action Plan'!I63</f>
        <v>100</v>
      </c>
      <c r="N59" s="592">
        <f>'Digital Marketer #1'!E37</f>
        <v>155</v>
      </c>
      <c r="O59" s="354">
        <f t="shared" ref="O59:O65" si="70">N59-M59</f>
        <v>55</v>
      </c>
      <c r="P59" s="355">
        <f>_xlfn.IFS(O59&gt;=0,1,O59&lt;0,N59/M59)</f>
        <v>1</v>
      </c>
      <c r="Q59" s="355">
        <f t="shared" si="61"/>
        <v>5.9523809523809521E-2</v>
      </c>
      <c r="R59" s="593"/>
      <c r="S59" s="386" t="s">
        <v>60</v>
      </c>
      <c r="T59" s="355">
        <f>'Action Plan'!L63</f>
        <v>1.488095238095238E-2</v>
      </c>
      <c r="U59" s="354">
        <f>'Action Plan'!M63</f>
        <v>25</v>
      </c>
      <c r="V59" s="592">
        <f>'E-Com Operations'!E37</f>
        <v>155</v>
      </c>
      <c r="W59" s="354">
        <f t="shared" ref="W59:W66" si="71">V59-U59</f>
        <v>130</v>
      </c>
      <c r="X59" s="355">
        <f>_xlfn.IFS(W59&gt;=0,1,W59&lt;0,V59/U59)</f>
        <v>1</v>
      </c>
      <c r="Y59" s="355">
        <f t="shared" si="68"/>
        <v>1.488095238095238E-2</v>
      </c>
      <c r="Z59" s="593"/>
      <c r="AB59" s="10"/>
      <c r="AC59" s="10"/>
      <c r="AD59" s="10"/>
      <c r="AE59" s="10"/>
      <c r="AF59" s="10"/>
      <c r="AG59" s="10"/>
      <c r="AH59" s="10"/>
      <c r="AI59" s="10"/>
      <c r="AJ59" s="10"/>
      <c r="AK59" s="10"/>
      <c r="AL59" s="190"/>
      <c r="AM59" s="190"/>
      <c r="AN59" s="190"/>
      <c r="AO59" s="190"/>
      <c r="AP59" s="190"/>
      <c r="AQ59" s="190"/>
      <c r="AR59" s="190"/>
      <c r="AS59" s="190"/>
      <c r="AT59" s="190"/>
      <c r="AU59" s="618"/>
      <c r="AV59" s="618"/>
      <c r="AW59" s="618"/>
      <c r="AX59" s="616"/>
      <c r="AY59" s="197"/>
      <c r="AZ59" s="197"/>
      <c r="BA59" s="197"/>
      <c r="BB59" s="197"/>
      <c r="BC59" s="197"/>
      <c r="BD59" s="197"/>
      <c r="BE59" s="197"/>
      <c r="BF59" s="197"/>
      <c r="BG59" s="197"/>
      <c r="BH59" s="197"/>
      <c r="BI59" s="197"/>
      <c r="BJ59" s="197"/>
      <c r="BK59" s="197"/>
      <c r="BL59" s="197"/>
      <c r="BM59" s="197"/>
      <c r="BN59" s="197"/>
      <c r="BO59" s="197"/>
      <c r="BP59" s="197"/>
    </row>
    <row r="60" spans="1:68" ht="20" customHeight="1" x14ac:dyDescent="0.15">
      <c r="A60" s="10"/>
      <c r="B60" s="1340"/>
      <c r="C60" s="818" t="s">
        <v>23</v>
      </c>
      <c r="D60" s="608">
        <f>'Action Plan'!D64</f>
        <v>0.5</v>
      </c>
      <c r="E60" s="609">
        <f>'Action Plan'!E64</f>
        <v>70</v>
      </c>
      <c r="F60" s="609">
        <f>SUM(F61:F66)</f>
        <v>188</v>
      </c>
      <c r="G60" s="609">
        <f>F60-E60</f>
        <v>118</v>
      </c>
      <c r="H60" s="608">
        <f>AVERAGE(H61:H66)</f>
        <v>0.70833333333333337</v>
      </c>
      <c r="I60" s="608">
        <f>H60*D60</f>
        <v>0.35416666666666669</v>
      </c>
      <c r="J60" s="359" t="s">
        <v>76</v>
      </c>
      <c r="K60" s="385" t="s">
        <v>23</v>
      </c>
      <c r="L60" s="608">
        <f>'Action Plan'!H64</f>
        <v>0.42857142857142849</v>
      </c>
      <c r="M60" s="609">
        <f>'Action Plan'!I64</f>
        <v>30</v>
      </c>
      <c r="N60" s="609">
        <f>SUM(N61:N66)</f>
        <v>156</v>
      </c>
      <c r="O60" s="609">
        <f>N60-M60</f>
        <v>126</v>
      </c>
      <c r="P60" s="608">
        <f>AVERAGE(P61:P66)</f>
        <v>0.8666666666666667</v>
      </c>
      <c r="Q60" s="608">
        <f>P60*L60</f>
        <v>0.37142857142857139</v>
      </c>
      <c r="R60" s="359" t="s">
        <v>76</v>
      </c>
      <c r="S60" s="385" t="s">
        <v>23</v>
      </c>
      <c r="T60" s="608">
        <f>'Action Plan'!L64</f>
        <v>0.5714285714285714</v>
      </c>
      <c r="U60" s="609">
        <f>'Action Plan'!M64</f>
        <v>40</v>
      </c>
      <c r="V60" s="609">
        <f>SUM(V61:V66)</f>
        <v>32</v>
      </c>
      <c r="W60" s="609">
        <f>V60-U60</f>
        <v>-8</v>
      </c>
      <c r="X60" s="608">
        <f>AVERAGE(X61:X66)</f>
        <v>0.84166666666666667</v>
      </c>
      <c r="Y60" s="608">
        <f>X60*T60</f>
        <v>0.48095238095238091</v>
      </c>
      <c r="Z60" s="359" t="s">
        <v>76</v>
      </c>
      <c r="AA60" s="10"/>
      <c r="AB60" s="10"/>
      <c r="AC60" s="10"/>
      <c r="AD60" s="10"/>
      <c r="AE60" s="10"/>
      <c r="AF60" s="10"/>
      <c r="AG60" s="10"/>
      <c r="AH60" s="10"/>
      <c r="AI60" s="10"/>
      <c r="AJ60" s="10"/>
      <c r="AK60" s="10"/>
      <c r="AL60" s="190"/>
      <c r="AM60" s="190"/>
      <c r="AN60" s="190"/>
      <c r="AO60" s="190"/>
      <c r="AP60" s="190"/>
      <c r="AQ60" s="190"/>
      <c r="AR60" s="190"/>
      <c r="AS60" s="190"/>
      <c r="AT60" s="190"/>
      <c r="AU60" s="618"/>
      <c r="AV60" s="618"/>
      <c r="AW60" s="618"/>
      <c r="AX60" s="616"/>
      <c r="AY60" s="197"/>
      <c r="AZ60" s="197"/>
      <c r="BA60" s="197"/>
      <c r="BB60" s="197"/>
      <c r="BC60" s="197"/>
      <c r="BD60" s="197"/>
      <c r="BE60" s="197"/>
      <c r="BF60" s="197"/>
      <c r="BG60" s="197"/>
      <c r="BH60" s="197"/>
      <c r="BI60" s="197"/>
      <c r="BJ60" s="197"/>
      <c r="BK60" s="197"/>
      <c r="BL60" s="197"/>
      <c r="BM60" s="197"/>
      <c r="BN60" s="197"/>
      <c r="BO60" s="197"/>
      <c r="BP60" s="197"/>
    </row>
    <row r="61" spans="1:68" ht="20" customHeight="1" x14ac:dyDescent="0.15">
      <c r="A61" s="10"/>
      <c r="B61" s="1340"/>
      <c r="C61" s="391" t="s">
        <v>2</v>
      </c>
      <c r="D61" s="355">
        <f>'Action Plan'!D65</f>
        <v>0.14285714285714285</v>
      </c>
      <c r="E61" s="354">
        <f>'Action Plan'!E65</f>
        <v>10</v>
      </c>
      <c r="F61" s="592">
        <f>N61+V61</f>
        <v>62</v>
      </c>
      <c r="G61" s="354">
        <f t="shared" si="57"/>
        <v>52</v>
      </c>
      <c r="H61" s="355">
        <f>_xlfn.IFS(G61&gt;=0,1,G61&lt;0,F61/E61)</f>
        <v>1</v>
      </c>
      <c r="I61" s="355">
        <f t="shared" si="59"/>
        <v>0.14285714285714285</v>
      </c>
      <c r="J61" s="593"/>
      <c r="K61" s="386" t="s">
        <v>2</v>
      </c>
      <c r="L61" s="355">
        <f>'Action Plan'!H65</f>
        <v>0.14285714285714285</v>
      </c>
      <c r="M61" s="354">
        <f>'Action Plan'!I65</f>
        <v>10</v>
      </c>
      <c r="N61" s="592">
        <f>'Digital Marketer #1'!E40</f>
        <v>62</v>
      </c>
      <c r="O61" s="354">
        <f>N61-M61</f>
        <v>52</v>
      </c>
      <c r="P61" s="355">
        <f>_xlfn.IFS(O61&gt;=0,1,O61&lt;0,N61/M61)</f>
        <v>1</v>
      </c>
      <c r="Q61" s="355">
        <f>P61*L61</f>
        <v>0.14285714285714285</v>
      </c>
      <c r="R61" s="593"/>
      <c r="S61" s="386" t="s">
        <v>2</v>
      </c>
      <c r="T61" s="355">
        <f>'Action Plan'!L65</f>
        <v>0</v>
      </c>
      <c r="U61" s="354">
        <f>'Action Plan'!M65</f>
        <v>0</v>
      </c>
      <c r="V61" s="592">
        <f>'E-Com Operations'!E40</f>
        <v>0</v>
      </c>
      <c r="W61" s="354">
        <f t="shared" si="71"/>
        <v>0</v>
      </c>
      <c r="X61" s="355">
        <f>_xlfn.IFS(W61&gt;=0,1,W61&lt;0,V61/U61)</f>
        <v>1</v>
      </c>
      <c r="Y61" s="355">
        <f>X61*T61</f>
        <v>0</v>
      </c>
      <c r="Z61" s="593"/>
      <c r="AA61" s="10"/>
      <c r="AB61" s="10"/>
      <c r="AC61" s="10"/>
      <c r="AD61" s="10"/>
      <c r="AE61" s="10"/>
      <c r="AF61" s="10"/>
      <c r="AG61" s="10"/>
      <c r="AH61" s="10"/>
      <c r="AI61" s="10"/>
      <c r="AJ61" s="10"/>
      <c r="AK61" s="10"/>
      <c r="AL61" s="10"/>
      <c r="AM61" s="10"/>
      <c r="AN61" s="10"/>
      <c r="AO61" s="10"/>
      <c r="AP61" s="10"/>
      <c r="AQ61" s="10"/>
      <c r="AR61" s="10"/>
      <c r="AS61" s="10"/>
      <c r="AT61" s="10"/>
      <c r="AU61" s="193"/>
      <c r="AV61" s="193"/>
      <c r="AW61" s="193"/>
      <c r="AX61" s="197"/>
      <c r="AY61" s="197"/>
      <c r="AZ61" s="197"/>
      <c r="BA61" s="197"/>
      <c r="BB61" s="197"/>
      <c r="BC61" s="197"/>
      <c r="BD61" s="197"/>
      <c r="BE61" s="197"/>
      <c r="BF61" s="197"/>
      <c r="BG61" s="197"/>
      <c r="BH61" s="197"/>
      <c r="BI61" s="197"/>
      <c r="BJ61" s="197"/>
      <c r="BK61" s="197"/>
      <c r="BL61" s="197"/>
      <c r="BM61" s="197"/>
      <c r="BN61" s="197"/>
      <c r="BO61" s="197"/>
      <c r="BP61" s="197"/>
    </row>
    <row r="62" spans="1:68" ht="20" customHeight="1" x14ac:dyDescent="0.15">
      <c r="A62" s="10"/>
      <c r="B62" s="1340"/>
      <c r="C62" s="391" t="s">
        <v>3</v>
      </c>
      <c r="D62" s="355">
        <f>'Action Plan'!D66</f>
        <v>0.14285714285714285</v>
      </c>
      <c r="E62" s="354">
        <f>'Action Plan'!E66</f>
        <v>10</v>
      </c>
      <c r="F62" s="592">
        <f>N62+V62</f>
        <v>62</v>
      </c>
      <c r="G62" s="354">
        <f t="shared" si="57"/>
        <v>52</v>
      </c>
      <c r="H62" s="355">
        <f>_xlfn.IFS(G62&gt;=0,1,G62&lt;0,F62/E62)</f>
        <v>1</v>
      </c>
      <c r="I62" s="355">
        <f t="shared" si="59"/>
        <v>0.14285714285714285</v>
      </c>
      <c r="J62" s="593"/>
      <c r="K62" s="386" t="s">
        <v>3</v>
      </c>
      <c r="L62" s="355">
        <f>'Action Plan'!H66</f>
        <v>0.14285714285714285</v>
      </c>
      <c r="M62" s="354">
        <f>'Action Plan'!I66</f>
        <v>10</v>
      </c>
      <c r="N62" s="592">
        <f>'Digital Marketer #1'!E41</f>
        <v>62</v>
      </c>
      <c r="O62" s="354">
        <f t="shared" si="70"/>
        <v>52</v>
      </c>
      <c r="P62" s="355">
        <f t="shared" ref="P62:P66" si="72">_xlfn.IFS(O62&gt;=0,1,O62&lt;0,N62/M62)</f>
        <v>1</v>
      </c>
      <c r="Q62" s="355">
        <f t="shared" si="61"/>
        <v>0.14285714285714285</v>
      </c>
      <c r="R62" s="593"/>
      <c r="S62" s="386" t="s">
        <v>3</v>
      </c>
      <c r="T62" s="355">
        <f>'Action Plan'!L66</f>
        <v>0</v>
      </c>
      <c r="U62" s="354">
        <f>'Action Plan'!M66</f>
        <v>0</v>
      </c>
      <c r="V62" s="592">
        <f>'E-Com Operations'!E41</f>
        <v>0</v>
      </c>
      <c r="W62" s="354">
        <f t="shared" si="71"/>
        <v>0</v>
      </c>
      <c r="X62" s="355">
        <f t="shared" ref="X62:X66" si="73">_xlfn.IFS(W62&gt;=0,1,W62&lt;0,V62/U62)</f>
        <v>1</v>
      </c>
      <c r="Y62" s="355">
        <f t="shared" si="68"/>
        <v>0</v>
      </c>
      <c r="Z62" s="593"/>
      <c r="AA62" s="10"/>
      <c r="AB62" s="10"/>
      <c r="AC62" s="10"/>
      <c r="AD62" s="10"/>
      <c r="AE62" s="10"/>
      <c r="AF62" s="10"/>
      <c r="AG62" s="10"/>
      <c r="AH62" s="10"/>
      <c r="AI62" s="10"/>
      <c r="AJ62" s="10"/>
      <c r="AK62" s="10"/>
      <c r="AL62" s="10"/>
      <c r="AM62" s="10"/>
      <c r="AN62" s="10"/>
      <c r="AO62" s="10"/>
      <c r="AP62" s="10"/>
      <c r="AQ62" s="10"/>
      <c r="AR62" s="10"/>
      <c r="AS62" s="10"/>
      <c r="AT62" s="10"/>
      <c r="AU62" s="193"/>
      <c r="AV62" s="193"/>
      <c r="AW62" s="193"/>
      <c r="AX62" s="197"/>
      <c r="AY62" s="197"/>
      <c r="AZ62" s="197"/>
      <c r="BA62" s="197"/>
      <c r="BB62" s="197"/>
      <c r="BC62" s="197"/>
      <c r="BD62" s="197"/>
      <c r="BE62" s="197"/>
      <c r="BF62" s="197"/>
      <c r="BG62" s="197"/>
      <c r="BH62" s="197"/>
      <c r="BI62" s="197"/>
      <c r="BJ62" s="197"/>
      <c r="BK62" s="197"/>
      <c r="BL62" s="197"/>
      <c r="BM62" s="197"/>
      <c r="BN62" s="197"/>
      <c r="BO62" s="197"/>
      <c r="BP62" s="197"/>
    </row>
    <row r="63" spans="1:68" ht="20" customHeight="1" x14ac:dyDescent="0.15">
      <c r="A63" s="10"/>
      <c r="B63" s="1340"/>
      <c r="C63" s="391" t="s">
        <v>4</v>
      </c>
      <c r="D63" s="355">
        <f>'Action Plan'!D67</f>
        <v>7.1428571428571425E-2</v>
      </c>
      <c r="E63" s="354">
        <f>'Action Plan'!E67</f>
        <v>5</v>
      </c>
      <c r="F63" s="592">
        <f>N63+V63</f>
        <v>1</v>
      </c>
      <c r="G63" s="354">
        <f t="shared" si="57"/>
        <v>-4</v>
      </c>
      <c r="H63" s="355">
        <f t="shared" ref="H63:H66" si="74">_xlfn.IFS(G63&gt;=0,1,G63&lt;0,F63/E63)</f>
        <v>0.2</v>
      </c>
      <c r="I63" s="355">
        <f t="shared" si="59"/>
        <v>1.4285714285714285E-2</v>
      </c>
      <c r="J63" s="593"/>
      <c r="K63" s="386" t="s">
        <v>4</v>
      </c>
      <c r="L63" s="355">
        <f>'Action Plan'!H67</f>
        <v>7.1428571428571425E-2</v>
      </c>
      <c r="M63" s="354">
        <f>'Action Plan'!I67</f>
        <v>5</v>
      </c>
      <c r="N63" s="592">
        <f>'Digital Marketer #1'!E42</f>
        <v>1</v>
      </c>
      <c r="O63" s="354">
        <f t="shared" si="70"/>
        <v>-4</v>
      </c>
      <c r="P63" s="355">
        <f t="shared" si="72"/>
        <v>0.2</v>
      </c>
      <c r="Q63" s="355">
        <f t="shared" si="61"/>
        <v>1.4285714285714285E-2</v>
      </c>
      <c r="R63" s="593"/>
      <c r="S63" s="386" t="s">
        <v>4</v>
      </c>
      <c r="T63" s="355">
        <f>'Action Plan'!L67</f>
        <v>0</v>
      </c>
      <c r="U63" s="354">
        <f>'Action Plan'!M67</f>
        <v>0</v>
      </c>
      <c r="V63" s="592">
        <f>'E-Com Operations'!E42</f>
        <v>0</v>
      </c>
      <c r="W63" s="354">
        <f t="shared" si="71"/>
        <v>0</v>
      </c>
      <c r="X63" s="355">
        <f t="shared" si="73"/>
        <v>1</v>
      </c>
      <c r="Y63" s="355">
        <f t="shared" si="68"/>
        <v>0</v>
      </c>
      <c r="Z63" s="593"/>
      <c r="AA63" s="10"/>
      <c r="AB63" s="10"/>
      <c r="AC63" s="10"/>
      <c r="AD63" s="10"/>
      <c r="AE63" s="10"/>
      <c r="AF63" s="10"/>
      <c r="AG63" s="10"/>
      <c r="AH63" s="10"/>
      <c r="AI63" s="10"/>
      <c r="AJ63" s="10"/>
      <c r="AK63" s="10"/>
      <c r="AL63" s="10"/>
      <c r="AM63" s="10"/>
      <c r="AN63" s="10"/>
      <c r="AO63" s="10"/>
      <c r="AP63" s="10"/>
      <c r="AQ63" s="10"/>
      <c r="AR63" s="10"/>
      <c r="AS63" s="10"/>
      <c r="AT63" s="10"/>
      <c r="AU63" s="193"/>
      <c r="AV63" s="193"/>
      <c r="AW63" s="193"/>
      <c r="AX63" s="197"/>
      <c r="AY63" s="197"/>
      <c r="AZ63" s="197"/>
      <c r="BA63" s="197"/>
      <c r="BB63" s="197"/>
      <c r="BC63" s="197"/>
      <c r="BD63" s="197"/>
      <c r="BE63" s="197"/>
      <c r="BF63" s="197"/>
      <c r="BG63" s="197"/>
      <c r="BH63" s="197"/>
      <c r="BI63" s="197"/>
      <c r="BJ63" s="197"/>
      <c r="BK63" s="197"/>
      <c r="BL63" s="197"/>
      <c r="BM63" s="197"/>
      <c r="BN63" s="197"/>
      <c r="BO63" s="197"/>
      <c r="BP63" s="197"/>
    </row>
    <row r="64" spans="1:68" ht="20" customHeight="1" x14ac:dyDescent="0.15">
      <c r="A64" s="10"/>
      <c r="B64" s="1340"/>
      <c r="C64" s="391" t="s">
        <v>5</v>
      </c>
      <c r="D64" s="355">
        <f>'Action Plan'!D68</f>
        <v>0.2857142857142857</v>
      </c>
      <c r="E64" s="354">
        <f>'Action Plan'!E68</f>
        <v>20</v>
      </c>
      <c r="F64" s="592">
        <f>N64+V64</f>
        <v>1</v>
      </c>
      <c r="G64" s="354">
        <f t="shared" si="57"/>
        <v>-19</v>
      </c>
      <c r="H64" s="355">
        <f t="shared" si="74"/>
        <v>0.05</v>
      </c>
      <c r="I64" s="355">
        <f t="shared" si="59"/>
        <v>1.4285714285714285E-2</v>
      </c>
      <c r="J64" s="593"/>
      <c r="K64" s="386" t="s">
        <v>5</v>
      </c>
      <c r="L64" s="355">
        <f>'Action Plan'!H68</f>
        <v>0</v>
      </c>
      <c r="M64" s="354">
        <f>'Action Plan'!I68</f>
        <v>0</v>
      </c>
      <c r="N64" s="592">
        <f>'Digital Marketer #1'!E43</f>
        <v>0</v>
      </c>
      <c r="O64" s="354">
        <f t="shared" si="70"/>
        <v>0</v>
      </c>
      <c r="P64" s="355">
        <f t="shared" si="72"/>
        <v>1</v>
      </c>
      <c r="Q64" s="355">
        <f t="shared" si="61"/>
        <v>0</v>
      </c>
      <c r="R64" s="593"/>
      <c r="S64" s="386" t="s">
        <v>5</v>
      </c>
      <c r="T64" s="355">
        <f>'Action Plan'!L68</f>
        <v>0.2857142857142857</v>
      </c>
      <c r="U64" s="354">
        <f>'Action Plan'!M68</f>
        <v>20</v>
      </c>
      <c r="V64" s="592">
        <f>'E-Com Operations'!E43</f>
        <v>1</v>
      </c>
      <c r="W64" s="354">
        <f t="shared" si="71"/>
        <v>-19</v>
      </c>
      <c r="X64" s="355">
        <f t="shared" si="73"/>
        <v>0.05</v>
      </c>
      <c r="Y64" s="355">
        <f t="shared" si="68"/>
        <v>1.4285714285714285E-2</v>
      </c>
      <c r="Z64" s="593"/>
      <c r="AA64" s="10"/>
      <c r="AB64" s="10"/>
      <c r="AC64" s="10"/>
      <c r="AD64" s="10"/>
      <c r="AE64" s="10"/>
      <c r="AF64" s="10"/>
      <c r="AG64" s="10"/>
      <c r="AH64" s="10"/>
      <c r="AI64" s="10"/>
      <c r="AJ64" s="10"/>
      <c r="AK64" s="10"/>
      <c r="AL64" s="10"/>
      <c r="AM64" s="10"/>
      <c r="AN64" s="10"/>
      <c r="AO64" s="10"/>
      <c r="AP64" s="10"/>
      <c r="AQ64" s="10"/>
      <c r="AR64" s="10"/>
      <c r="AS64" s="10"/>
      <c r="AT64" s="10"/>
      <c r="AU64" s="193"/>
      <c r="AV64" s="193"/>
      <c r="AW64" s="193"/>
      <c r="AX64" s="197"/>
      <c r="AY64" s="197"/>
      <c r="AZ64" s="197"/>
      <c r="BA64" s="197"/>
      <c r="BB64" s="197"/>
      <c r="BC64" s="197"/>
      <c r="BD64" s="197"/>
      <c r="BE64" s="197"/>
      <c r="BF64" s="197"/>
      <c r="BG64" s="197"/>
      <c r="BH64" s="197"/>
      <c r="BI64" s="197"/>
      <c r="BJ64" s="197"/>
      <c r="BK64" s="197"/>
      <c r="BL64" s="197"/>
      <c r="BM64" s="197"/>
      <c r="BN64" s="197"/>
      <c r="BO64" s="197"/>
      <c r="BP64" s="197"/>
    </row>
    <row r="65" spans="1:68" ht="20" customHeight="1" x14ac:dyDescent="0.15">
      <c r="A65" s="10"/>
      <c r="B65" s="1340"/>
      <c r="C65" s="391" t="s">
        <v>6</v>
      </c>
      <c r="D65" s="355">
        <f>'Action Plan'!D69</f>
        <v>0.2857142857142857</v>
      </c>
      <c r="E65" s="354">
        <f>'Action Plan'!E69</f>
        <v>20</v>
      </c>
      <c r="F65" s="592">
        <f t="shared" ref="F65" si="75">N65+V65</f>
        <v>31</v>
      </c>
      <c r="G65" s="354">
        <f>F65-E65</f>
        <v>11</v>
      </c>
      <c r="H65" s="355">
        <f t="shared" si="74"/>
        <v>1</v>
      </c>
      <c r="I65" s="355">
        <f t="shared" si="59"/>
        <v>0.2857142857142857</v>
      </c>
      <c r="J65" s="1302"/>
      <c r="K65" s="386" t="s">
        <v>6</v>
      </c>
      <c r="L65" s="355">
        <f>'Action Plan'!H69</f>
        <v>0</v>
      </c>
      <c r="M65" s="354">
        <f>'Action Plan'!I69</f>
        <v>0</v>
      </c>
      <c r="N65" s="592">
        <f>'Digital Marketer #1'!E44</f>
        <v>0</v>
      </c>
      <c r="O65" s="354">
        <f t="shared" si="70"/>
        <v>0</v>
      </c>
      <c r="P65" s="355">
        <f t="shared" si="72"/>
        <v>1</v>
      </c>
      <c r="Q65" s="355">
        <f t="shared" si="61"/>
        <v>0</v>
      </c>
      <c r="R65" s="593"/>
      <c r="S65" s="386" t="s">
        <v>6</v>
      </c>
      <c r="T65" s="355">
        <f>'Action Plan'!L69</f>
        <v>0.2857142857142857</v>
      </c>
      <c r="U65" s="354">
        <f>'Action Plan'!M69</f>
        <v>20</v>
      </c>
      <c r="V65" s="592">
        <f>'E-Com Operations'!E44</f>
        <v>31</v>
      </c>
      <c r="W65" s="354">
        <f t="shared" si="71"/>
        <v>11</v>
      </c>
      <c r="X65" s="355">
        <f t="shared" si="73"/>
        <v>1</v>
      </c>
      <c r="Y65" s="355">
        <f t="shared" si="68"/>
        <v>0.2857142857142857</v>
      </c>
      <c r="Z65" s="593"/>
      <c r="AA65" s="10"/>
      <c r="AB65" s="10"/>
      <c r="AC65" s="10"/>
      <c r="AD65" s="10"/>
      <c r="AE65" s="10"/>
      <c r="AF65" s="10"/>
      <c r="AG65" s="10"/>
      <c r="AH65" s="10"/>
      <c r="AI65" s="10"/>
      <c r="AJ65" s="10"/>
      <c r="AK65" s="10"/>
      <c r="AL65" s="10"/>
      <c r="AM65" s="10"/>
      <c r="AN65" s="10"/>
      <c r="AO65" s="10"/>
      <c r="AP65" s="10"/>
      <c r="AQ65" s="10"/>
      <c r="AR65" s="10"/>
      <c r="AS65" s="10"/>
      <c r="AT65" s="10"/>
      <c r="AU65" s="193"/>
      <c r="AV65" s="193"/>
      <c r="AW65" s="193"/>
      <c r="AX65" s="197"/>
      <c r="AY65" s="197"/>
      <c r="AZ65" s="197"/>
      <c r="BA65" s="197"/>
      <c r="BB65" s="197"/>
      <c r="BC65" s="197"/>
      <c r="BD65" s="197"/>
      <c r="BE65" s="197"/>
      <c r="BF65" s="197"/>
      <c r="BG65" s="197"/>
      <c r="BH65" s="197"/>
      <c r="BI65" s="197"/>
      <c r="BJ65" s="197"/>
      <c r="BK65" s="197"/>
      <c r="BL65" s="197"/>
      <c r="BM65" s="197"/>
      <c r="BN65" s="197"/>
      <c r="BO65" s="197"/>
      <c r="BP65" s="197"/>
    </row>
    <row r="66" spans="1:68" ht="20" customHeight="1" thickBot="1" x14ac:dyDescent="0.2">
      <c r="A66" s="10"/>
      <c r="B66" s="1340"/>
      <c r="C66" s="391" t="s">
        <v>60</v>
      </c>
      <c r="D66" s="355">
        <f>'Action Plan'!D70</f>
        <v>7.1428571428571425E-2</v>
      </c>
      <c r="E66" s="354">
        <f>'Action Plan'!E70</f>
        <v>5</v>
      </c>
      <c r="F66" s="592">
        <f>N66+V66</f>
        <v>31</v>
      </c>
      <c r="G66" s="354">
        <f t="shared" si="57"/>
        <v>26</v>
      </c>
      <c r="H66" s="355">
        <f t="shared" si="74"/>
        <v>1</v>
      </c>
      <c r="I66" s="355">
        <f t="shared" si="59"/>
        <v>7.1428571428571425E-2</v>
      </c>
      <c r="J66" s="593"/>
      <c r="K66" s="386" t="s">
        <v>60</v>
      </c>
      <c r="L66" s="355">
        <f>'Action Plan'!H70</f>
        <v>7.1428571428571425E-2</v>
      </c>
      <c r="M66" s="354">
        <f>'Action Plan'!I70</f>
        <v>5</v>
      </c>
      <c r="N66" s="592">
        <f>'Digital Marketer #1'!E45</f>
        <v>31</v>
      </c>
      <c r="O66" s="354">
        <f t="shared" ref="O66:O71" si="76">N66-M66</f>
        <v>26</v>
      </c>
      <c r="P66" s="355">
        <f t="shared" si="72"/>
        <v>1</v>
      </c>
      <c r="Q66" s="355">
        <f t="shared" si="61"/>
        <v>7.1428571428571425E-2</v>
      </c>
      <c r="R66" s="593"/>
      <c r="S66" s="386" t="s">
        <v>60</v>
      </c>
      <c r="T66" s="355">
        <f>'Action Plan'!L70</f>
        <v>0</v>
      </c>
      <c r="U66" s="354">
        <f>'Action Plan'!M70</f>
        <v>0</v>
      </c>
      <c r="V66" s="592">
        <f>'E-Com Operations'!E45</f>
        <v>0</v>
      </c>
      <c r="W66" s="354">
        <f t="shared" si="71"/>
        <v>0</v>
      </c>
      <c r="X66" s="355">
        <f>_xlfn.IFS(W66&gt;=0,1,W66&lt;0,V66/U66)</f>
        <v>1</v>
      </c>
      <c r="Y66" s="355">
        <f t="shared" si="68"/>
        <v>0</v>
      </c>
      <c r="Z66" s="593"/>
      <c r="AA66" s="10"/>
      <c r="AB66" s="10"/>
      <c r="AC66" s="10"/>
      <c r="AD66" s="10"/>
      <c r="AE66" s="10"/>
      <c r="AF66" s="10"/>
      <c r="AG66" s="10"/>
      <c r="AH66" s="10"/>
      <c r="AI66" s="10"/>
      <c r="AJ66" s="10"/>
      <c r="AK66" s="10"/>
      <c r="AL66" s="10"/>
      <c r="AM66" s="10"/>
      <c r="AN66" s="10"/>
      <c r="AO66" s="10"/>
      <c r="AP66" s="10"/>
      <c r="AQ66" s="10"/>
      <c r="AR66" s="10"/>
      <c r="AS66" s="10"/>
      <c r="AT66" s="10"/>
      <c r="AU66" s="193"/>
      <c r="AV66" s="193"/>
      <c r="AW66" s="193"/>
      <c r="AX66" s="197"/>
      <c r="AY66" s="197"/>
      <c r="AZ66" s="197"/>
      <c r="BA66" s="197"/>
      <c r="BB66" s="197"/>
      <c r="BC66" s="197"/>
      <c r="BD66" s="197"/>
      <c r="BE66" s="197"/>
      <c r="BF66" s="197"/>
      <c r="BG66" s="197"/>
      <c r="BH66" s="197"/>
      <c r="BI66" s="197"/>
      <c r="BJ66" s="197"/>
      <c r="BK66" s="197"/>
      <c r="BL66" s="197"/>
      <c r="BM66" s="197"/>
      <c r="BN66" s="197"/>
      <c r="BO66" s="197"/>
      <c r="BP66" s="197"/>
    </row>
    <row r="67" spans="1:68" ht="20" customHeight="1" x14ac:dyDescent="0.15">
      <c r="A67" s="10"/>
      <c r="B67" s="1340"/>
      <c r="C67" s="630" t="str">
        <f>'Action Plan'!C71</f>
        <v>P3</v>
      </c>
      <c r="D67" s="591">
        <f>'Action Plan'!D71</f>
        <v>0.2</v>
      </c>
      <c r="E67" s="591">
        <f>'Action Plan'!E71</f>
        <v>1</v>
      </c>
      <c r="F67" s="591">
        <f>I68+I75+I82</f>
        <v>0.45426144403017488</v>
      </c>
      <c r="G67" s="591">
        <f>F67-E67</f>
        <v>-0.54573855596982512</v>
      </c>
      <c r="H67" s="591">
        <f>IF(G67&gt;=0,1,F67/E67)</f>
        <v>0.45426144403017488</v>
      </c>
      <c r="I67" s="591">
        <f>F67*D67</f>
        <v>9.0852288806034978E-2</v>
      </c>
      <c r="J67" s="631"/>
      <c r="K67" s="630" t="str">
        <f>'Action Plan'!K71</f>
        <v>P3</v>
      </c>
      <c r="L67" s="591">
        <f>'Action Plan'!H71</f>
        <v>0.2</v>
      </c>
      <c r="M67" s="591">
        <f>'Action Plan'!I71</f>
        <v>0.52121212121212113</v>
      </c>
      <c r="N67" s="591">
        <f>AVERAGE(Q68,Q75,Q82)</f>
        <v>0.22047760942760944</v>
      </c>
      <c r="O67" s="591">
        <f>N67-M67</f>
        <v>-0.30073451178451172</v>
      </c>
      <c r="P67" s="591">
        <f>IF(O67&gt;=0,1,N67/M67)</f>
        <v>0.42300936692506469</v>
      </c>
      <c r="Q67" s="591">
        <f>N67*L67</f>
        <v>4.4095521885521891E-2</v>
      </c>
      <c r="R67" s="631"/>
      <c r="S67" s="630"/>
      <c r="T67" s="591">
        <f>'Action Plan'!L71</f>
        <v>0.2</v>
      </c>
      <c r="U67" s="591">
        <f>'Action Plan'!M71</f>
        <v>0.47878787878787876</v>
      </c>
      <c r="V67" s="591">
        <f>AVERAGE(Y68,Y75,Y82)</f>
        <v>0.34813949013949008</v>
      </c>
      <c r="W67" s="591">
        <f>V67-U67</f>
        <v>-0.13064838864838868</v>
      </c>
      <c r="X67" s="591">
        <f>IF(W67&gt;=0,1,V67/U67)</f>
        <v>0.7271267832027325</v>
      </c>
      <c r="Y67" s="591">
        <f>V67*T67</f>
        <v>6.9627898027898025E-2</v>
      </c>
      <c r="Z67" s="594"/>
      <c r="AA67" s="10"/>
      <c r="AB67" s="10"/>
      <c r="AC67" s="10"/>
      <c r="AD67" s="10"/>
      <c r="AE67" s="10"/>
      <c r="AF67" s="10"/>
      <c r="AG67" s="10"/>
      <c r="AH67" s="10"/>
      <c r="AI67" s="10"/>
      <c r="AJ67" s="10"/>
      <c r="AK67" s="10"/>
      <c r="AL67" s="10"/>
      <c r="AM67" s="10"/>
      <c r="AN67" s="10"/>
      <c r="AO67" s="10"/>
      <c r="AP67" s="10"/>
      <c r="AQ67" s="10"/>
      <c r="AR67" s="17"/>
      <c r="AS67" s="176"/>
      <c r="AT67" s="11"/>
      <c r="AU67" s="193"/>
      <c r="AV67" s="193"/>
      <c r="AW67" s="193"/>
      <c r="AX67" s="197"/>
      <c r="AY67" s="197"/>
      <c r="AZ67" s="197"/>
      <c r="BA67" s="197"/>
      <c r="BB67" s="197"/>
      <c r="BC67" s="197"/>
      <c r="BD67" s="197"/>
      <c r="BE67" s="197"/>
      <c r="BF67" s="197"/>
      <c r="BG67" s="197"/>
      <c r="BH67" s="197"/>
      <c r="BI67" s="197"/>
      <c r="BJ67" s="197"/>
      <c r="BK67" s="197"/>
      <c r="BL67" s="197"/>
      <c r="BM67" s="197"/>
      <c r="BN67" s="197"/>
      <c r="BO67" s="197"/>
      <c r="BP67" s="197"/>
    </row>
    <row r="68" spans="1:68" ht="20" customHeight="1" x14ac:dyDescent="0.15">
      <c r="A68" s="10"/>
      <c r="B68" s="1340"/>
      <c r="C68" s="819" t="s">
        <v>78</v>
      </c>
      <c r="D68" s="668">
        <f>'Action Plan'!D72</f>
        <v>0.25</v>
      </c>
      <c r="E68" s="669">
        <f>'Action Plan'!E72</f>
        <v>500000000</v>
      </c>
      <c r="F68" s="669">
        <f>SUM(F69:F74)</f>
        <v>373050000</v>
      </c>
      <c r="G68" s="669">
        <f>F68-E68</f>
        <v>-126950000</v>
      </c>
      <c r="H68" s="668">
        <f>AVERAGE(H69:H74)</f>
        <v>0.81456666666666655</v>
      </c>
      <c r="I68" s="668">
        <f>H68*D68</f>
        <v>0.20364166666666664</v>
      </c>
      <c r="J68" s="359" t="s">
        <v>79</v>
      </c>
      <c r="K68" s="392" t="s">
        <v>78</v>
      </c>
      <c r="L68" s="668">
        <f>'Action Plan'!H72</f>
        <v>0.49999999999999994</v>
      </c>
      <c r="M68" s="711">
        <f>'Action Plan'!I72</f>
        <v>250000000</v>
      </c>
      <c r="N68" s="711">
        <f>SUM(N69:N74)</f>
        <v>53050000</v>
      </c>
      <c r="O68" s="711">
        <f t="shared" si="76"/>
        <v>-196950000</v>
      </c>
      <c r="P68" s="668">
        <f>AVERAGE(P69:P74)</f>
        <v>0.27313333333333328</v>
      </c>
      <c r="Q68" s="668">
        <f>P68*L68</f>
        <v>0.13656666666666661</v>
      </c>
      <c r="R68" s="671" t="s">
        <v>79</v>
      </c>
      <c r="S68" s="392" t="s">
        <v>78</v>
      </c>
      <c r="T68" s="668">
        <f>'Action Plan'!L72</f>
        <v>0.49999999999999994</v>
      </c>
      <c r="U68" s="669">
        <f>'Action Plan'!M72</f>
        <v>250000000</v>
      </c>
      <c r="V68" s="669">
        <f>SUM(V69:V74)</f>
        <v>320000000</v>
      </c>
      <c r="W68" s="669">
        <f>V68-U68</f>
        <v>70000000</v>
      </c>
      <c r="X68" s="668">
        <f>AVERAGE(X69:X74)</f>
        <v>0.88133333333333341</v>
      </c>
      <c r="Y68" s="668">
        <f>X68*T68</f>
        <v>0.44066666666666665</v>
      </c>
      <c r="Z68" s="359" t="s">
        <v>79</v>
      </c>
      <c r="AA68" s="10"/>
      <c r="AB68" s="10"/>
      <c r="AC68" s="10"/>
      <c r="AD68" s="10"/>
      <c r="AE68" s="10"/>
      <c r="AF68" s="10"/>
      <c r="AG68" s="10"/>
      <c r="AH68" s="10"/>
      <c r="AI68" s="10"/>
      <c r="AJ68" s="10"/>
      <c r="AK68" s="10"/>
      <c r="AL68" s="10"/>
      <c r="AM68" s="10"/>
      <c r="AN68" s="10"/>
      <c r="AO68" s="10"/>
      <c r="AP68" s="10"/>
      <c r="AQ68" s="10"/>
      <c r="AR68" s="17"/>
      <c r="AS68" s="176"/>
      <c r="AT68" s="11"/>
      <c r="AU68" s="193"/>
      <c r="AV68" s="193"/>
      <c r="AW68" s="193"/>
      <c r="AX68" s="197"/>
      <c r="AY68" s="197"/>
      <c r="AZ68" s="197"/>
      <c r="BA68" s="197"/>
      <c r="BB68" s="197"/>
      <c r="BC68" s="197"/>
      <c r="BD68" s="197"/>
      <c r="BE68" s="197"/>
      <c r="BF68" s="197"/>
      <c r="BG68" s="197"/>
      <c r="BH68" s="197"/>
      <c r="BI68" s="197"/>
      <c r="BJ68" s="197"/>
      <c r="BK68" s="197"/>
      <c r="BL68" s="197"/>
      <c r="BM68" s="197"/>
      <c r="BN68" s="197"/>
      <c r="BO68" s="197"/>
      <c r="BP68" s="197"/>
    </row>
    <row r="69" spans="1:68" ht="20" customHeight="1" x14ac:dyDescent="0.15">
      <c r="A69" s="10"/>
      <c r="B69" s="1340"/>
      <c r="C69" s="391" t="s">
        <v>2</v>
      </c>
      <c r="D69" s="355">
        <f>'Action Plan'!D73</f>
        <v>0.1</v>
      </c>
      <c r="E69" s="610">
        <f>'Action Plan'!E73</f>
        <v>50000000</v>
      </c>
      <c r="F69" s="596">
        <f>N69+V69</f>
        <v>51100000</v>
      </c>
      <c r="G69" s="610">
        <f>F69-E69</f>
        <v>1100000</v>
      </c>
      <c r="H69" s="355">
        <f>_xlfn.IFS(G69&gt;=0,1,G69&lt;0,F69/E69)</f>
        <v>1</v>
      </c>
      <c r="I69" s="355">
        <f>H69*D69</f>
        <v>0.1</v>
      </c>
      <c r="J69" s="593"/>
      <c r="K69" s="386" t="s">
        <v>2</v>
      </c>
      <c r="L69" s="355">
        <f>'Action Plan'!H73</f>
        <v>0.05</v>
      </c>
      <c r="M69" s="610">
        <f>'Action Plan'!I73</f>
        <v>25000000</v>
      </c>
      <c r="N69" s="596">
        <f>'Digital Marketer #1'!E49</f>
        <v>15100000</v>
      </c>
      <c r="O69" s="610">
        <f t="shared" si="76"/>
        <v>-9900000</v>
      </c>
      <c r="P69" s="355">
        <f>_xlfn.IFS(O69&gt;=0,1,O69&lt;0,N69/M69)</f>
        <v>0.60399999999999998</v>
      </c>
      <c r="Q69" s="355">
        <f>P69*L69</f>
        <v>3.0200000000000001E-2</v>
      </c>
      <c r="R69" s="593"/>
      <c r="S69" s="386" t="s">
        <v>2</v>
      </c>
      <c r="T69" s="355">
        <f>'Action Plan'!L73</f>
        <v>0.05</v>
      </c>
      <c r="U69" s="610">
        <f>'Action Plan'!M73</f>
        <v>25000000</v>
      </c>
      <c r="V69" s="610">
        <f>'E-Com Operations'!E49</f>
        <v>36000000</v>
      </c>
      <c r="W69" s="610">
        <f>V69-U69</f>
        <v>11000000</v>
      </c>
      <c r="X69" s="355">
        <f>_xlfn.IFS(W69&gt;=0,1,W69&lt;0,V69/U69)</f>
        <v>1</v>
      </c>
      <c r="Y69" s="355">
        <f>X69*T69</f>
        <v>0.05</v>
      </c>
      <c r="Z69" s="593"/>
      <c r="AA69" s="10"/>
      <c r="AB69" s="10"/>
      <c r="AC69" s="10"/>
      <c r="AD69" s="10"/>
      <c r="AE69" s="10"/>
      <c r="AF69" s="10"/>
      <c r="AG69" s="10"/>
      <c r="AH69" s="10"/>
      <c r="AI69" s="10"/>
      <c r="AJ69" s="10"/>
      <c r="AK69" s="10"/>
      <c r="AL69" s="10"/>
      <c r="AM69" s="10"/>
      <c r="AN69" s="10"/>
      <c r="AO69" s="10"/>
      <c r="AP69" s="10"/>
      <c r="AQ69" s="10"/>
      <c r="AR69" s="10"/>
      <c r="AS69" s="176"/>
      <c r="AT69" s="11"/>
      <c r="AU69" s="193"/>
      <c r="AV69" s="193"/>
      <c r="AW69" s="193"/>
      <c r="AX69" s="197"/>
      <c r="AY69" s="197"/>
      <c r="AZ69" s="197"/>
      <c r="BA69" s="197"/>
      <c r="BB69" s="197"/>
      <c r="BC69" s="197"/>
      <c r="BD69" s="197"/>
      <c r="BE69" s="197"/>
      <c r="BF69" s="197"/>
      <c r="BG69" s="197"/>
      <c r="BH69" s="197"/>
      <c r="BI69" s="197"/>
      <c r="BJ69" s="197"/>
      <c r="BK69" s="197"/>
      <c r="BL69" s="197"/>
      <c r="BM69" s="197"/>
      <c r="BN69" s="197"/>
      <c r="BO69" s="197"/>
      <c r="BP69" s="197"/>
    </row>
    <row r="70" spans="1:68" ht="20" customHeight="1" x14ac:dyDescent="0.15">
      <c r="A70" s="10"/>
      <c r="B70" s="1340"/>
      <c r="C70" s="391" t="s">
        <v>3</v>
      </c>
      <c r="D70" s="355">
        <f>'Action Plan'!D74</f>
        <v>0.5</v>
      </c>
      <c r="E70" s="610">
        <f>'Action Plan'!E74</f>
        <v>250000000</v>
      </c>
      <c r="F70" s="596">
        <f t="shared" ref="F70:F74" si="77">N70+V70</f>
        <v>51100000</v>
      </c>
      <c r="G70" s="610">
        <f>F70-E70</f>
        <v>-198900000</v>
      </c>
      <c r="H70" s="355">
        <f t="shared" ref="H70:H74" si="78">_xlfn.IFS(G70&gt;=0,1,G70&lt;0,F70/E70)</f>
        <v>0.2044</v>
      </c>
      <c r="I70" s="355">
        <f>H70*D70</f>
        <v>0.1022</v>
      </c>
      <c r="J70" s="593"/>
      <c r="K70" s="386" t="s">
        <v>3</v>
      </c>
      <c r="L70" s="355">
        <f>'Action Plan'!H74</f>
        <v>0.25</v>
      </c>
      <c r="M70" s="610">
        <f>'Action Plan'!I74</f>
        <v>125000000</v>
      </c>
      <c r="N70" s="596">
        <f>'Digital Marketer #1'!E50</f>
        <v>15100000</v>
      </c>
      <c r="O70" s="610">
        <f t="shared" si="76"/>
        <v>-109900000</v>
      </c>
      <c r="P70" s="355">
        <f t="shared" ref="P70:P74" si="79">_xlfn.IFS(O70&gt;=0,1,O70&lt;0,N70/M70)</f>
        <v>0.1208</v>
      </c>
      <c r="Q70" s="355">
        <f t="shared" ref="Q70:Q81" si="80">P70*L70</f>
        <v>3.0200000000000001E-2</v>
      </c>
      <c r="R70" s="593"/>
      <c r="S70" s="386" t="s">
        <v>3</v>
      </c>
      <c r="T70" s="355">
        <f>'Action Plan'!L74</f>
        <v>0.25</v>
      </c>
      <c r="U70" s="610">
        <f>'Action Plan'!M74</f>
        <v>125000000</v>
      </c>
      <c r="V70" s="610">
        <f>'E-Com Operations'!E50</f>
        <v>36000000</v>
      </c>
      <c r="W70" s="610">
        <f t="shared" ref="W70" si="81">V70-U70</f>
        <v>-89000000</v>
      </c>
      <c r="X70" s="355">
        <f t="shared" ref="X70:X74" si="82">_xlfn.IFS(W70&gt;=0,1,W70&lt;0,V70/U70)</f>
        <v>0.28799999999999998</v>
      </c>
      <c r="Y70" s="355">
        <f t="shared" ref="Y70:Y74" si="83">X70*T70</f>
        <v>7.1999999999999995E-2</v>
      </c>
      <c r="Z70" s="593"/>
      <c r="AA70" s="10"/>
      <c r="AB70" s="10"/>
      <c r="AC70" s="10"/>
      <c r="AD70" s="10"/>
      <c r="AE70" s="10"/>
      <c r="AF70" s="10"/>
      <c r="AG70" s="10"/>
      <c r="AH70" s="10"/>
      <c r="AI70" s="10"/>
      <c r="AJ70" s="10"/>
      <c r="AK70" s="10"/>
      <c r="AL70" s="10"/>
      <c r="AM70" s="10"/>
      <c r="AN70" s="10"/>
      <c r="AO70" s="10"/>
      <c r="AP70" s="10"/>
      <c r="AQ70" s="10"/>
      <c r="AR70" s="10"/>
      <c r="AS70" s="176"/>
      <c r="AT70" s="11"/>
      <c r="AU70" s="193"/>
      <c r="AV70" s="193"/>
      <c r="AW70" s="193"/>
      <c r="AX70" s="197"/>
      <c r="AY70" s="197"/>
      <c r="AZ70" s="197"/>
      <c r="BA70" s="197"/>
      <c r="BB70" s="197"/>
      <c r="BC70" s="197"/>
      <c r="BD70" s="197"/>
      <c r="BE70" s="197"/>
      <c r="BF70" s="197"/>
      <c r="BG70" s="197"/>
      <c r="BH70" s="197"/>
      <c r="BI70" s="197"/>
      <c r="BJ70" s="197"/>
      <c r="BK70" s="197"/>
      <c r="BL70" s="197"/>
      <c r="BM70" s="197"/>
      <c r="BN70" s="197"/>
      <c r="BO70" s="197"/>
      <c r="BP70" s="197"/>
    </row>
    <row r="71" spans="1:68" ht="20" customHeight="1" x14ac:dyDescent="0.15">
      <c r="A71" s="10"/>
      <c r="B71" s="1340"/>
      <c r="C71" s="391" t="s">
        <v>4</v>
      </c>
      <c r="D71" s="355">
        <f>'Action Plan'!D75</f>
        <v>0.1</v>
      </c>
      <c r="E71" s="610">
        <f>'Action Plan'!E75</f>
        <v>50000000</v>
      </c>
      <c r="F71" s="596">
        <f t="shared" si="77"/>
        <v>48100000</v>
      </c>
      <c r="G71" s="610">
        <f>F71-E71</f>
        <v>-1900000</v>
      </c>
      <c r="H71" s="355">
        <f t="shared" si="78"/>
        <v>0.96199999999999997</v>
      </c>
      <c r="I71" s="355">
        <f>H71*D71</f>
        <v>9.6200000000000008E-2</v>
      </c>
      <c r="J71" s="1302"/>
      <c r="K71" s="386" t="s">
        <v>4</v>
      </c>
      <c r="L71" s="355">
        <f>'Action Plan'!H75</f>
        <v>0.05</v>
      </c>
      <c r="M71" s="610">
        <f>'Action Plan'!I75</f>
        <v>25000000</v>
      </c>
      <c r="N71" s="596">
        <f>'Digital Marketer #1'!E51</f>
        <v>15100000</v>
      </c>
      <c r="O71" s="610">
        <f t="shared" si="76"/>
        <v>-9900000</v>
      </c>
      <c r="P71" s="355">
        <f t="shared" si="79"/>
        <v>0.60399999999999998</v>
      </c>
      <c r="Q71" s="355">
        <f t="shared" si="80"/>
        <v>3.0200000000000001E-2</v>
      </c>
      <c r="R71" s="593"/>
      <c r="S71" s="386" t="s">
        <v>4</v>
      </c>
      <c r="T71" s="355">
        <f>'Action Plan'!L75</f>
        <v>0.05</v>
      </c>
      <c r="U71" s="610">
        <f>'Action Plan'!M75</f>
        <v>25000000</v>
      </c>
      <c r="V71" s="610">
        <f>'E-Com Operations'!E51</f>
        <v>33000000</v>
      </c>
      <c r="W71" s="610">
        <f>V71-U71</f>
        <v>8000000</v>
      </c>
      <c r="X71" s="355">
        <f t="shared" si="82"/>
        <v>1</v>
      </c>
      <c r="Y71" s="355">
        <f t="shared" si="83"/>
        <v>0.05</v>
      </c>
      <c r="Z71" s="593"/>
      <c r="AA71" s="10"/>
      <c r="AB71" s="10"/>
      <c r="AC71" s="10"/>
      <c r="AD71" s="10"/>
      <c r="AE71" s="10"/>
      <c r="AF71" s="10"/>
      <c r="AG71" s="10"/>
      <c r="AH71" s="10"/>
      <c r="AI71" s="10"/>
      <c r="AJ71" s="10"/>
      <c r="AK71" s="10"/>
      <c r="AL71" s="10"/>
      <c r="AM71" s="10"/>
      <c r="AN71" s="10"/>
      <c r="AO71" s="10"/>
      <c r="AP71" s="10"/>
      <c r="AQ71" s="10"/>
      <c r="AR71" s="10"/>
      <c r="AS71" s="176"/>
      <c r="AT71" s="11"/>
      <c r="AU71" s="193"/>
      <c r="AV71" s="193"/>
      <c r="AW71" s="193"/>
      <c r="AX71" s="197"/>
      <c r="AY71" s="197"/>
      <c r="AZ71" s="197"/>
      <c r="BA71" s="197"/>
      <c r="BB71" s="197"/>
      <c r="BC71" s="197"/>
      <c r="BD71" s="197"/>
      <c r="BE71" s="197"/>
      <c r="BF71" s="197"/>
      <c r="BG71" s="197"/>
      <c r="BH71" s="197"/>
      <c r="BI71" s="197"/>
      <c r="BJ71" s="197"/>
      <c r="BK71" s="197"/>
      <c r="BL71" s="197"/>
      <c r="BM71" s="197"/>
      <c r="BN71" s="197"/>
      <c r="BO71" s="197"/>
      <c r="BP71" s="197"/>
    </row>
    <row r="72" spans="1:68" ht="20" customHeight="1" x14ac:dyDescent="0.15">
      <c r="A72" s="10"/>
      <c r="B72" s="1340"/>
      <c r="C72" s="391" t="s">
        <v>5</v>
      </c>
      <c r="D72" s="355">
        <f>'Action Plan'!D76</f>
        <v>0.1</v>
      </c>
      <c r="E72" s="610">
        <f>'Action Plan'!E76</f>
        <v>50000000</v>
      </c>
      <c r="F72" s="596">
        <f t="shared" si="77"/>
        <v>92600000</v>
      </c>
      <c r="G72" s="610">
        <f t="shared" ref="G72:G88" si="84">F72-E72</f>
        <v>42600000</v>
      </c>
      <c r="H72" s="355">
        <f t="shared" si="78"/>
        <v>1</v>
      </c>
      <c r="I72" s="355">
        <f>H72*D72</f>
        <v>0.1</v>
      </c>
      <c r="J72" s="593"/>
      <c r="K72" s="386" t="s">
        <v>5</v>
      </c>
      <c r="L72" s="355">
        <f>'Action Plan'!H76</f>
        <v>0.05</v>
      </c>
      <c r="M72" s="610">
        <f>'Action Plan'!I76</f>
        <v>25000000</v>
      </c>
      <c r="N72" s="596">
        <f>'Digital Marketer #1'!E52</f>
        <v>1600000</v>
      </c>
      <c r="O72" s="610">
        <f t="shared" ref="O72:O74" si="85">N72-M72</f>
        <v>-23400000</v>
      </c>
      <c r="P72" s="355">
        <f t="shared" si="79"/>
        <v>6.4000000000000001E-2</v>
      </c>
      <c r="Q72" s="355">
        <f t="shared" si="80"/>
        <v>3.2000000000000002E-3</v>
      </c>
      <c r="R72" s="593"/>
      <c r="S72" s="386" t="s">
        <v>5</v>
      </c>
      <c r="T72" s="355">
        <f>'Action Plan'!L76</f>
        <v>0.05</v>
      </c>
      <c r="U72" s="610">
        <f>'Action Plan'!M76</f>
        <v>25000000</v>
      </c>
      <c r="V72" s="610">
        <f>'E-Com Operations'!E52</f>
        <v>91000000</v>
      </c>
      <c r="W72" s="610">
        <f t="shared" ref="W72:W74" si="86">V72-U72</f>
        <v>66000000</v>
      </c>
      <c r="X72" s="355">
        <f t="shared" si="82"/>
        <v>1</v>
      </c>
      <c r="Y72" s="355">
        <f t="shared" si="83"/>
        <v>0.05</v>
      </c>
      <c r="Z72" s="593"/>
      <c r="AA72" s="10"/>
      <c r="AB72" s="10"/>
      <c r="AC72" s="10"/>
      <c r="AD72" s="10"/>
      <c r="AE72" s="10"/>
      <c r="AF72" s="10"/>
      <c r="AG72" s="10"/>
      <c r="AH72" s="10"/>
      <c r="AI72" s="10"/>
      <c r="AJ72" s="10"/>
      <c r="AK72" s="10"/>
      <c r="AL72" s="10"/>
      <c r="AM72" s="10"/>
      <c r="AN72" s="10"/>
      <c r="AO72" s="10"/>
      <c r="AP72" s="10"/>
      <c r="AQ72" s="10"/>
      <c r="AR72" s="10"/>
      <c r="AS72" s="176"/>
      <c r="AT72" s="11"/>
      <c r="AU72" s="193"/>
      <c r="AV72" s="193"/>
      <c r="AW72" s="193"/>
      <c r="AX72" s="197"/>
      <c r="AY72" s="197"/>
      <c r="AZ72" s="197"/>
      <c r="BA72" s="197"/>
      <c r="BB72" s="197"/>
      <c r="BC72" s="197"/>
      <c r="BD72" s="197"/>
      <c r="BE72" s="197"/>
      <c r="BF72" s="197"/>
      <c r="BG72" s="197"/>
      <c r="BH72" s="197"/>
      <c r="BI72" s="197"/>
      <c r="BJ72" s="197"/>
      <c r="BK72" s="197"/>
      <c r="BL72" s="197"/>
      <c r="BM72" s="197"/>
      <c r="BN72" s="197"/>
      <c r="BO72" s="197"/>
      <c r="BP72" s="197"/>
    </row>
    <row r="73" spans="1:68" ht="20" customHeight="1" x14ac:dyDescent="0.15">
      <c r="A73" s="10"/>
      <c r="B73" s="1340"/>
      <c r="C73" s="391" t="s">
        <v>6</v>
      </c>
      <c r="D73" s="355">
        <f>'Action Plan'!D77</f>
        <v>0.1</v>
      </c>
      <c r="E73" s="610">
        <f>'Action Plan'!E77</f>
        <v>50000000</v>
      </c>
      <c r="F73" s="596">
        <f t="shared" si="77"/>
        <v>94100000</v>
      </c>
      <c r="G73" s="610">
        <f t="shared" si="84"/>
        <v>44100000</v>
      </c>
      <c r="H73" s="355">
        <f t="shared" si="78"/>
        <v>1</v>
      </c>
      <c r="I73" s="355">
        <f t="shared" si="59"/>
        <v>0.1</v>
      </c>
      <c r="J73" s="593"/>
      <c r="K73" s="386" t="s">
        <v>6</v>
      </c>
      <c r="L73" s="355">
        <f>'Action Plan'!H77</f>
        <v>0.05</v>
      </c>
      <c r="M73" s="610">
        <f>'Action Plan'!I77</f>
        <v>25000000</v>
      </c>
      <c r="N73" s="596">
        <f>'Digital Marketer #1'!E53</f>
        <v>3100000</v>
      </c>
      <c r="O73" s="610">
        <f t="shared" si="85"/>
        <v>-21900000</v>
      </c>
      <c r="P73" s="355">
        <f t="shared" si="79"/>
        <v>0.124</v>
      </c>
      <c r="Q73" s="355">
        <f t="shared" si="80"/>
        <v>6.2000000000000006E-3</v>
      </c>
      <c r="R73" s="593"/>
      <c r="S73" s="386" t="s">
        <v>6</v>
      </c>
      <c r="T73" s="355">
        <f>'Action Plan'!L77</f>
        <v>0.05</v>
      </c>
      <c r="U73" s="610">
        <f>'Action Plan'!M77</f>
        <v>25000000</v>
      </c>
      <c r="V73" s="610">
        <f>'E-Com Operations'!E53</f>
        <v>91000000</v>
      </c>
      <c r="W73" s="610">
        <f t="shared" si="86"/>
        <v>66000000</v>
      </c>
      <c r="X73" s="355">
        <f t="shared" si="82"/>
        <v>1</v>
      </c>
      <c r="Y73" s="355">
        <f t="shared" si="83"/>
        <v>0.05</v>
      </c>
      <c r="Z73" s="593"/>
      <c r="AA73" s="10"/>
      <c r="AB73" s="10"/>
      <c r="AC73" s="10"/>
      <c r="AD73" s="10"/>
      <c r="AE73" s="10"/>
      <c r="AF73" s="10"/>
      <c r="AG73" s="10"/>
      <c r="AH73" s="10"/>
      <c r="AI73" s="10"/>
      <c r="AJ73" s="10"/>
      <c r="AK73" s="10"/>
      <c r="AL73" s="10"/>
      <c r="AM73" s="10"/>
      <c r="AN73" s="10"/>
      <c r="AO73" s="10"/>
      <c r="AP73" s="10"/>
      <c r="AQ73" s="10"/>
      <c r="AR73" s="10"/>
      <c r="AS73" s="176"/>
      <c r="AT73" s="11"/>
      <c r="AU73" s="193"/>
      <c r="AV73" s="193"/>
      <c r="AW73" s="193"/>
      <c r="AX73" s="197"/>
      <c r="AY73" s="197"/>
      <c r="AZ73" s="197"/>
      <c r="BA73" s="197"/>
      <c r="BB73" s="197"/>
      <c r="BC73" s="197"/>
      <c r="BD73" s="197"/>
      <c r="BE73" s="197"/>
      <c r="BF73" s="197"/>
      <c r="BG73" s="197"/>
      <c r="BH73" s="197"/>
      <c r="BI73" s="197"/>
      <c r="BJ73" s="197"/>
      <c r="BK73" s="197"/>
      <c r="BL73" s="197"/>
      <c r="BM73" s="197"/>
      <c r="BN73" s="197"/>
      <c r="BO73" s="197"/>
      <c r="BP73" s="197"/>
    </row>
    <row r="74" spans="1:68" ht="20" customHeight="1" x14ac:dyDescent="0.15">
      <c r="A74" s="10"/>
      <c r="B74" s="1340"/>
      <c r="C74" s="391" t="s">
        <v>60</v>
      </c>
      <c r="D74" s="355">
        <f>'Action Plan'!D78</f>
        <v>0.1</v>
      </c>
      <c r="E74" s="610">
        <f>'Action Plan'!E78</f>
        <v>50000000</v>
      </c>
      <c r="F74" s="596">
        <f t="shared" si="77"/>
        <v>36050000</v>
      </c>
      <c r="G74" s="610">
        <f t="shared" si="84"/>
        <v>-13950000</v>
      </c>
      <c r="H74" s="355">
        <f t="shared" si="78"/>
        <v>0.72099999999999997</v>
      </c>
      <c r="I74" s="355">
        <f t="shared" si="59"/>
        <v>7.2099999999999997E-2</v>
      </c>
      <c r="J74" s="593"/>
      <c r="K74" s="386" t="s">
        <v>60</v>
      </c>
      <c r="L74" s="355">
        <f>'Action Plan'!H78</f>
        <v>0.05</v>
      </c>
      <c r="M74" s="610">
        <f>'Action Plan'!I78</f>
        <v>25000000</v>
      </c>
      <c r="N74" s="596">
        <f>'Digital Marketer #1'!E54</f>
        <v>3050000</v>
      </c>
      <c r="O74" s="610">
        <f t="shared" si="85"/>
        <v>-21950000</v>
      </c>
      <c r="P74" s="355">
        <f t="shared" si="79"/>
        <v>0.122</v>
      </c>
      <c r="Q74" s="355">
        <f t="shared" si="80"/>
        <v>6.1000000000000004E-3</v>
      </c>
      <c r="R74" s="593"/>
      <c r="S74" s="386" t="s">
        <v>60</v>
      </c>
      <c r="T74" s="355">
        <f>'Action Plan'!L78</f>
        <v>0.05</v>
      </c>
      <c r="U74" s="610">
        <f>'Action Plan'!M78</f>
        <v>25000000</v>
      </c>
      <c r="V74" s="610">
        <f>'E-Com Operations'!E54</f>
        <v>33000000</v>
      </c>
      <c r="W74" s="610">
        <f t="shared" si="86"/>
        <v>8000000</v>
      </c>
      <c r="X74" s="355">
        <f t="shared" si="82"/>
        <v>1</v>
      </c>
      <c r="Y74" s="355">
        <f t="shared" si="83"/>
        <v>0.05</v>
      </c>
      <c r="Z74" s="593"/>
      <c r="AA74" s="10"/>
      <c r="AB74" s="10"/>
      <c r="AC74" s="10"/>
      <c r="AD74" s="10"/>
      <c r="AE74" s="10"/>
      <c r="AF74" s="10"/>
      <c r="AG74" s="10"/>
      <c r="AH74" s="10"/>
      <c r="AI74" s="10"/>
      <c r="AJ74" s="10"/>
      <c r="AK74" s="10"/>
      <c r="AL74" s="10"/>
      <c r="AM74" s="10"/>
      <c r="AN74" s="10"/>
      <c r="AO74" s="10"/>
      <c r="AP74" s="10"/>
      <c r="AQ74" s="10"/>
      <c r="AR74" s="10"/>
      <c r="AS74" s="176"/>
      <c r="AT74" s="11"/>
      <c r="AU74" s="193"/>
      <c r="AV74" s="193"/>
      <c r="AW74" s="193"/>
      <c r="AX74" s="197"/>
      <c r="AY74" s="197"/>
      <c r="AZ74" s="197"/>
      <c r="BA74" s="197"/>
      <c r="BB74" s="197"/>
      <c r="BC74" s="197"/>
      <c r="BD74" s="197"/>
      <c r="BE74" s="197"/>
      <c r="BF74" s="197"/>
      <c r="BG74" s="197"/>
      <c r="BH74" s="197"/>
      <c r="BI74" s="197"/>
      <c r="BJ74" s="197"/>
      <c r="BK74" s="197"/>
      <c r="BL74" s="197"/>
      <c r="BM74" s="197"/>
      <c r="BN74" s="197"/>
      <c r="BO74" s="197"/>
      <c r="BP74" s="197"/>
    </row>
    <row r="75" spans="1:68" ht="20" customHeight="1" x14ac:dyDescent="0.15">
      <c r="A75" s="10"/>
      <c r="B75" s="1340"/>
      <c r="C75" s="820" t="s">
        <v>80</v>
      </c>
      <c r="D75" s="668">
        <f>'Action Plan'!D79</f>
        <v>0.5</v>
      </c>
      <c r="E75" s="668">
        <f>'Action Plan'!E79</f>
        <v>0.37333333333333335</v>
      </c>
      <c r="F75" s="668">
        <f>IF(SUM(F76:F81)&gt;0,AVERAGEIF(F76:F81,"&gt;0"),0)</f>
        <v>19.066666666666666</v>
      </c>
      <c r="G75" s="668">
        <f>E75-F75</f>
        <v>-18.693333333333332</v>
      </c>
      <c r="H75" s="668">
        <f>AVERAGE(H76:H81)</f>
        <v>8.285331134077302E-2</v>
      </c>
      <c r="I75" s="668">
        <f>H75*D75</f>
        <v>4.142665567038651E-2</v>
      </c>
      <c r="J75" s="670" t="str">
        <f>'Action Plan'!F79</f>
        <v>CAMPAIGN</v>
      </c>
      <c r="K75" s="393" t="s">
        <v>80</v>
      </c>
      <c r="L75" s="668">
        <f>'Action Plan'!H79</f>
        <v>0.5</v>
      </c>
      <c r="M75" s="668">
        <f>'Action Plan'!I79</f>
        <v>0.18666666666666668</v>
      </c>
      <c r="N75" s="668">
        <f>AVERAGE(N76:N81)</f>
        <v>18.349999999999998</v>
      </c>
      <c r="O75" s="668">
        <f>M75-N75</f>
        <v>-18.16333333333333</v>
      </c>
      <c r="P75" s="668">
        <f>AVERAGE(P76:P81)</f>
        <v>0.20036363636363638</v>
      </c>
      <c r="Q75" s="668">
        <f>P75*L75</f>
        <v>0.10018181818181819</v>
      </c>
      <c r="R75" s="670" t="str">
        <f>'Action Plan'!N79</f>
        <v>CAMPAIGN</v>
      </c>
      <c r="S75" s="393" t="s">
        <v>80</v>
      </c>
      <c r="T75" s="668">
        <f>'Action Plan'!L79</f>
        <v>0.5</v>
      </c>
      <c r="U75" s="668">
        <f>'Action Plan'!M79</f>
        <v>0.18666666666666668</v>
      </c>
      <c r="V75" s="668">
        <f>AVERAGE(V76:V81)</f>
        <v>0.71666666666666645</v>
      </c>
      <c r="W75" s="668">
        <f>U75-V75</f>
        <v>-0.5299999999999998</v>
      </c>
      <c r="X75" s="668">
        <f>AVERAGE(X76:X81)</f>
        <v>0.69841269841269826</v>
      </c>
      <c r="Y75" s="668">
        <f>X75*T75</f>
        <v>0.34920634920634913</v>
      </c>
      <c r="Z75" s="670" t="s">
        <v>76</v>
      </c>
      <c r="AA75" s="10"/>
      <c r="AB75" s="10"/>
      <c r="AC75" s="10"/>
      <c r="AD75" s="10"/>
      <c r="AE75" s="10"/>
      <c r="AF75" s="10"/>
      <c r="AG75" s="10"/>
      <c r="AH75" s="10"/>
      <c r="AI75" s="10"/>
      <c r="AJ75" s="10"/>
      <c r="AK75" s="10"/>
      <c r="AL75" s="10"/>
      <c r="AM75" s="10"/>
      <c r="AN75" s="10"/>
      <c r="AO75" s="10"/>
      <c r="AP75" s="10"/>
      <c r="AQ75" s="10"/>
      <c r="AR75" s="17"/>
      <c r="AS75" s="176"/>
      <c r="AT75" s="11"/>
      <c r="AU75" s="193"/>
      <c r="AV75" s="193"/>
      <c r="AW75" s="193"/>
      <c r="AX75" s="197"/>
      <c r="AY75" s="197"/>
      <c r="AZ75" s="197"/>
      <c r="BA75" s="197"/>
      <c r="BB75" s="197"/>
      <c r="BC75" s="197"/>
      <c r="BD75" s="197"/>
      <c r="BE75" s="197"/>
      <c r="BF75" s="197"/>
      <c r="BG75" s="197"/>
      <c r="BH75" s="197"/>
      <c r="BI75" s="197"/>
      <c r="BJ75" s="197"/>
      <c r="BK75" s="197"/>
      <c r="BL75" s="197"/>
      <c r="BM75" s="197"/>
      <c r="BN75" s="197"/>
      <c r="BO75" s="197"/>
      <c r="BP75" s="197"/>
    </row>
    <row r="76" spans="1:68" ht="20" customHeight="1" x14ac:dyDescent="0.15">
      <c r="A76" s="10"/>
      <c r="B76" s="1340"/>
      <c r="C76" s="391" t="s">
        <v>2</v>
      </c>
      <c r="D76" s="355">
        <f>'Action Plan'!D80</f>
        <v>0.2</v>
      </c>
      <c r="E76" s="355">
        <f>'Action Plan'!E80</f>
        <v>0.2</v>
      </c>
      <c r="F76" s="355">
        <f>(N76+V76)</f>
        <v>0.6</v>
      </c>
      <c r="G76" s="355">
        <f>E76-F76</f>
        <v>-0.39999999999999997</v>
      </c>
      <c r="H76" s="355">
        <f>_xlfn.IFS(G76&gt;=0,1,G76&lt;0,E76/F76)</f>
        <v>0.33333333333333337</v>
      </c>
      <c r="I76" s="355">
        <f>H76*D76</f>
        <v>6.666666666666668E-2</v>
      </c>
      <c r="J76" s="1243" t="s">
        <v>222</v>
      </c>
      <c r="K76" s="386" t="s">
        <v>2</v>
      </c>
      <c r="L76" s="355">
        <f>'Action Plan'!H80</f>
        <v>0.26785714285714285</v>
      </c>
      <c r="M76" s="355">
        <f>'Action Plan'!I80</f>
        <v>0.1</v>
      </c>
      <c r="N76" s="355">
        <f>'Digital Marketer #1'!E56</f>
        <v>0.6</v>
      </c>
      <c r="O76" s="355">
        <f>M76-N76</f>
        <v>-0.5</v>
      </c>
      <c r="P76" s="355">
        <f>_xlfn.IFS(O76&gt;=0,1,O76&lt;0,M76/N76)</f>
        <v>0.16666666666666669</v>
      </c>
      <c r="Q76" s="355">
        <f>P76*L76</f>
        <v>4.4642857142857144E-2</v>
      </c>
      <c r="R76" s="593"/>
      <c r="S76" s="386" t="s">
        <v>2</v>
      </c>
      <c r="T76" s="355">
        <f>'Action Plan'!L80</f>
        <v>0.26785714285714285</v>
      </c>
      <c r="U76" s="355">
        <f>'Action Plan'!M80</f>
        <v>0.1</v>
      </c>
      <c r="V76" s="355">
        <f>'E-Com Operations'!E56</f>
        <v>0</v>
      </c>
      <c r="W76" s="355">
        <f>U76-V76</f>
        <v>0.1</v>
      </c>
      <c r="X76" s="355">
        <f>_xlfn.IFS(W76&gt;=0,1,W76&lt;0,U76/V76)</f>
        <v>1</v>
      </c>
      <c r="Y76" s="355">
        <f>X76*T76</f>
        <v>0.26785714285714285</v>
      </c>
      <c r="Z76" s="593"/>
      <c r="AA76" s="10"/>
      <c r="AB76" s="10"/>
      <c r="AC76" s="10"/>
      <c r="AD76" s="10"/>
      <c r="AE76" s="10"/>
      <c r="AF76" s="10"/>
      <c r="AG76" s="10"/>
      <c r="AH76" s="10"/>
      <c r="AI76" s="10"/>
      <c r="AJ76" s="10"/>
      <c r="AK76" s="10"/>
      <c r="AL76" s="10"/>
      <c r="AM76" s="10"/>
      <c r="AN76" s="10"/>
      <c r="AO76" s="10"/>
      <c r="AP76" s="10"/>
      <c r="AQ76" s="10"/>
      <c r="AR76" s="10"/>
      <c r="AS76" s="176"/>
      <c r="AT76" s="11"/>
      <c r="AU76" s="193"/>
      <c r="AV76" s="193"/>
      <c r="AW76" s="193"/>
      <c r="AX76" s="197"/>
      <c r="AY76" s="197"/>
      <c r="AZ76" s="197"/>
      <c r="BA76" s="197"/>
      <c r="BB76" s="197"/>
      <c r="BC76" s="197"/>
      <c r="BD76" s="197"/>
      <c r="BE76" s="197"/>
      <c r="BF76" s="197"/>
      <c r="BG76" s="197"/>
      <c r="BH76" s="197"/>
      <c r="BI76" s="197"/>
      <c r="BJ76" s="197"/>
      <c r="BK76" s="197"/>
      <c r="BL76" s="197"/>
      <c r="BM76" s="197"/>
      <c r="BN76" s="197"/>
      <c r="BO76" s="197"/>
      <c r="BP76" s="197"/>
    </row>
    <row r="77" spans="1:68" ht="20" customHeight="1" x14ac:dyDescent="0.15">
      <c r="A77" s="10"/>
      <c r="B77" s="1340"/>
      <c r="C77" s="391" t="s">
        <v>3</v>
      </c>
      <c r="D77" s="355">
        <f>'Action Plan'!D81</f>
        <v>0.4</v>
      </c>
      <c r="E77" s="355">
        <f>'Action Plan'!E81</f>
        <v>0.24</v>
      </c>
      <c r="F77" s="355">
        <f>(N77+V77)</f>
        <v>30</v>
      </c>
      <c r="G77" s="355">
        <f>E77-F77</f>
        <v>-29.76</v>
      </c>
      <c r="H77" s="355">
        <f t="shared" ref="H77:H81" si="87">_xlfn.IFS(G77&gt;=0,1,G77&lt;0,E77/F77)</f>
        <v>8.0000000000000002E-3</v>
      </c>
      <c r="I77" s="355">
        <f t="shared" si="59"/>
        <v>3.2000000000000002E-3</v>
      </c>
      <c r="J77" s="593"/>
      <c r="K77" s="386" t="s">
        <v>3</v>
      </c>
      <c r="L77" s="355">
        <f>'Action Plan'!H81</f>
        <v>0.3214285714285714</v>
      </c>
      <c r="M77" s="355">
        <f>'Action Plan'!I81</f>
        <v>0.12</v>
      </c>
      <c r="N77" s="355">
        <f>'Digital Marketer #1'!E57</f>
        <v>30</v>
      </c>
      <c r="O77" s="355">
        <f>M77-N77</f>
        <v>-29.88</v>
      </c>
      <c r="P77" s="355">
        <f t="shared" ref="P77:P81" si="88">_xlfn.IFS(O77&gt;=0,1,O77&lt;0,M77/N77)</f>
        <v>4.0000000000000001E-3</v>
      </c>
      <c r="Q77" s="355">
        <f t="shared" si="80"/>
        <v>1.2857142857142856E-3</v>
      </c>
      <c r="R77" s="593"/>
      <c r="S77" s="386" t="s">
        <v>3</v>
      </c>
      <c r="T77" s="355">
        <f>'Action Plan'!L81</f>
        <v>0.3214285714285714</v>
      </c>
      <c r="U77" s="355">
        <f>'Action Plan'!M81</f>
        <v>0.12</v>
      </c>
      <c r="V77" s="355">
        <f>'E-Com Operations'!E57</f>
        <v>0</v>
      </c>
      <c r="W77" s="355">
        <f>U77-V77</f>
        <v>0.12</v>
      </c>
      <c r="X77" s="355">
        <f t="shared" ref="X77:X80" si="89">_xlfn.IFS(W77&gt;=0,1,W77&lt;0,U77/V77)</f>
        <v>1</v>
      </c>
      <c r="Y77" s="355">
        <f t="shared" ref="Y77:Y81" si="90">X77*T77</f>
        <v>0.3214285714285714</v>
      </c>
      <c r="Z77" s="593"/>
      <c r="AA77" s="10"/>
      <c r="AB77" s="10"/>
      <c r="AC77" s="10"/>
      <c r="AD77" s="10"/>
      <c r="AE77" s="10"/>
      <c r="AF77" s="10"/>
      <c r="AG77" s="10"/>
      <c r="AH77" s="10"/>
      <c r="AI77" s="10"/>
      <c r="AJ77" s="10"/>
      <c r="AK77" s="10"/>
      <c r="AL77" s="10"/>
      <c r="AM77" s="10"/>
      <c r="AN77" s="10"/>
      <c r="AO77" s="10"/>
      <c r="AP77" s="10"/>
      <c r="AQ77" s="10"/>
      <c r="AR77" s="10"/>
      <c r="AS77" s="176"/>
      <c r="AT77" s="11"/>
      <c r="AU77" s="193"/>
      <c r="AV77" s="193"/>
      <c r="AW77" s="193"/>
      <c r="AX77" s="197"/>
      <c r="AY77" s="197"/>
      <c r="AZ77" s="197"/>
      <c r="BA77" s="197"/>
      <c r="BB77" s="197"/>
      <c r="BC77" s="197"/>
      <c r="BD77" s="197"/>
      <c r="BE77" s="197"/>
      <c r="BF77" s="197"/>
      <c r="BG77" s="197"/>
      <c r="BH77" s="197"/>
      <c r="BI77" s="197"/>
      <c r="BJ77" s="197"/>
      <c r="BK77" s="197"/>
      <c r="BL77" s="197"/>
      <c r="BM77" s="197"/>
      <c r="BN77" s="197"/>
      <c r="BO77" s="197"/>
      <c r="BP77" s="197"/>
    </row>
    <row r="78" spans="1:68" ht="20" customHeight="1" x14ac:dyDescent="0.15">
      <c r="A78" s="10"/>
      <c r="B78" s="1340"/>
      <c r="C78" s="391" t="s">
        <v>4</v>
      </c>
      <c r="D78" s="355">
        <f>'Action Plan'!D82</f>
        <v>0.1</v>
      </c>
      <c r="E78" s="355">
        <f>'Action Plan'!E82</f>
        <v>0.2</v>
      </c>
      <c r="F78" s="355">
        <f t="shared" ref="F77:F81" si="91">(N78+V78)</f>
        <v>30</v>
      </c>
      <c r="G78" s="355">
        <f t="shared" ref="G77:G81" si="92">E78-F78</f>
        <v>-29.8</v>
      </c>
      <c r="H78" s="355">
        <f t="shared" si="87"/>
        <v>6.6666666666666671E-3</v>
      </c>
      <c r="I78" s="1219">
        <f t="shared" si="59"/>
        <v>6.6666666666666675E-4</v>
      </c>
      <c r="J78" s="593"/>
      <c r="K78" s="386" t="s">
        <v>4</v>
      </c>
      <c r="L78" s="355">
        <f>'Action Plan'!H82</f>
        <v>0.26785714285714285</v>
      </c>
      <c r="M78" s="355">
        <f>'Action Plan'!I82</f>
        <v>0.1</v>
      </c>
      <c r="N78" s="355">
        <f>'Digital Marketer #1'!E58</f>
        <v>30</v>
      </c>
      <c r="O78" s="355">
        <f t="shared" ref="O78:O81" si="93">M78-N78</f>
        <v>-29.9</v>
      </c>
      <c r="P78" s="355">
        <f t="shared" si="88"/>
        <v>3.3333333333333335E-3</v>
      </c>
      <c r="Q78" s="355">
        <f t="shared" si="80"/>
        <v>8.9285714285714294E-4</v>
      </c>
      <c r="R78" s="593"/>
      <c r="S78" s="386" t="s">
        <v>4</v>
      </c>
      <c r="T78" s="355">
        <f>'Action Plan'!L82</f>
        <v>0.26785714285714285</v>
      </c>
      <c r="U78" s="355">
        <f>'Action Plan'!M82</f>
        <v>0.1</v>
      </c>
      <c r="V78" s="355">
        <f>'E-Com Operations'!E58</f>
        <v>0</v>
      </c>
      <c r="W78" s="355">
        <f t="shared" ref="W78:W81" si="94">U78-V78</f>
        <v>0.1</v>
      </c>
      <c r="X78" s="355">
        <f t="shared" si="89"/>
        <v>1</v>
      </c>
      <c r="Y78" s="355">
        <f t="shared" si="90"/>
        <v>0.26785714285714285</v>
      </c>
      <c r="Z78" s="593"/>
      <c r="AA78" s="10"/>
      <c r="AB78" s="10"/>
      <c r="AC78" s="10"/>
      <c r="AD78" s="10"/>
      <c r="AE78" s="10"/>
      <c r="AF78" s="10"/>
      <c r="AG78" s="10"/>
      <c r="AH78" s="10"/>
      <c r="AI78" s="10"/>
      <c r="AJ78" s="10"/>
      <c r="AK78" s="10"/>
      <c r="AL78" s="10"/>
      <c r="AM78" s="10"/>
      <c r="AN78" s="10"/>
      <c r="AO78" s="10"/>
      <c r="AP78" s="10"/>
      <c r="AQ78" s="10"/>
      <c r="AR78" s="10"/>
      <c r="AS78" s="176"/>
      <c r="AT78" s="11"/>
      <c r="AU78" s="193"/>
      <c r="AV78" s="193"/>
      <c r="AW78" s="193"/>
      <c r="AX78" s="197"/>
      <c r="AY78" s="197"/>
      <c r="AZ78" s="197"/>
      <c r="BA78" s="197"/>
      <c r="BB78" s="197"/>
      <c r="BC78" s="197"/>
      <c r="BD78" s="197"/>
      <c r="BE78" s="197"/>
      <c r="BF78" s="197"/>
      <c r="BG78" s="197"/>
      <c r="BH78" s="197"/>
      <c r="BI78" s="197"/>
      <c r="BJ78" s="197"/>
      <c r="BK78" s="197"/>
      <c r="BL78" s="197"/>
      <c r="BM78" s="197"/>
      <c r="BN78" s="197"/>
      <c r="BO78" s="197"/>
      <c r="BP78" s="197"/>
    </row>
    <row r="79" spans="1:68" ht="20" customHeight="1" x14ac:dyDescent="0.15">
      <c r="A79" s="10"/>
      <c r="B79" s="1340"/>
      <c r="C79" s="391" t="s">
        <v>5</v>
      </c>
      <c r="D79" s="355">
        <f>'Action Plan'!D83</f>
        <v>0.1</v>
      </c>
      <c r="E79" s="355">
        <f>'Action Plan'!E83</f>
        <v>0.6</v>
      </c>
      <c r="F79" s="355">
        <f t="shared" si="91"/>
        <v>24.1</v>
      </c>
      <c r="G79" s="355">
        <f t="shared" si="92"/>
        <v>-23.5</v>
      </c>
      <c r="H79" s="355">
        <f t="shared" si="87"/>
        <v>2.4896265560165973E-2</v>
      </c>
      <c r="I79" s="1219">
        <f t="shared" si="59"/>
        <v>2.4896265560165973E-3</v>
      </c>
      <c r="J79" s="593"/>
      <c r="K79" s="386" t="s">
        <v>5</v>
      </c>
      <c r="L79" s="355">
        <f>'Action Plan'!H83</f>
        <v>0.80357142857142849</v>
      </c>
      <c r="M79" s="355">
        <f>'Action Plan'!I83</f>
        <v>0.3</v>
      </c>
      <c r="N79" s="355">
        <f>'Digital Marketer #1'!E59</f>
        <v>22</v>
      </c>
      <c r="O79" s="355">
        <f t="shared" si="93"/>
        <v>-21.7</v>
      </c>
      <c r="P79" s="355">
        <f t="shared" si="88"/>
        <v>1.3636363636363636E-2</v>
      </c>
      <c r="Q79" s="355">
        <f t="shared" si="80"/>
        <v>1.0957792207792206E-2</v>
      </c>
      <c r="R79" s="593"/>
      <c r="S79" s="386" t="s">
        <v>5</v>
      </c>
      <c r="T79" s="355">
        <f>'Action Plan'!L83</f>
        <v>0.80357142857142849</v>
      </c>
      <c r="U79" s="355">
        <f>'Action Plan'!M83</f>
        <v>0.3</v>
      </c>
      <c r="V79" s="355">
        <f>'E-Com Operations'!E59</f>
        <v>2.0999999999999996</v>
      </c>
      <c r="W79" s="355">
        <f t="shared" si="94"/>
        <v>-1.7999999999999996</v>
      </c>
      <c r="X79" s="355">
        <f t="shared" si="89"/>
        <v>0.14285714285714288</v>
      </c>
      <c r="Y79" s="355">
        <f t="shared" si="90"/>
        <v>0.11479591836734694</v>
      </c>
      <c r="Z79" s="593"/>
      <c r="AA79" s="10"/>
      <c r="AB79" s="10"/>
      <c r="AC79" s="10"/>
      <c r="AD79" s="10"/>
      <c r="AE79" s="10"/>
      <c r="AF79" s="10"/>
      <c r="AG79" s="10"/>
      <c r="AH79" s="10"/>
      <c r="AI79" s="10"/>
      <c r="AJ79" s="10"/>
      <c r="AK79" s="10"/>
      <c r="AL79" s="10"/>
      <c r="AM79" s="10"/>
      <c r="AN79" s="10"/>
      <c r="AO79" s="10"/>
      <c r="AP79" s="10"/>
      <c r="AQ79" s="10"/>
      <c r="AR79" s="10"/>
      <c r="AS79" s="176"/>
      <c r="AT79" s="11"/>
      <c r="AU79" s="193"/>
      <c r="AV79" s="193"/>
      <c r="AW79" s="193"/>
      <c r="AX79" s="197"/>
      <c r="AY79" s="197"/>
      <c r="AZ79" s="197"/>
      <c r="BA79" s="197"/>
      <c r="BB79" s="197"/>
      <c r="BC79" s="197"/>
      <c r="BD79" s="197"/>
      <c r="BE79" s="197"/>
      <c r="BF79" s="197"/>
      <c r="BG79" s="197"/>
      <c r="BH79" s="197"/>
      <c r="BI79" s="197"/>
      <c r="BJ79" s="197"/>
      <c r="BK79" s="197"/>
      <c r="BL79" s="197"/>
      <c r="BM79" s="197"/>
      <c r="BN79" s="197"/>
      <c r="BO79" s="197"/>
      <c r="BP79" s="197"/>
    </row>
    <row r="80" spans="1:68" ht="20" customHeight="1" x14ac:dyDescent="0.15">
      <c r="A80" s="10"/>
      <c r="B80" s="1340"/>
      <c r="C80" s="391" t="s">
        <v>6</v>
      </c>
      <c r="D80" s="355">
        <f>'Action Plan'!D84</f>
        <v>0.1</v>
      </c>
      <c r="E80" s="355">
        <f>'Action Plan'!E84</f>
        <v>0.2</v>
      </c>
      <c r="F80" s="355">
        <f t="shared" si="91"/>
        <v>2.0999999999999996</v>
      </c>
      <c r="G80" s="355">
        <f t="shared" si="92"/>
        <v>-1.8999999999999997</v>
      </c>
      <c r="H80" s="355">
        <f t="shared" si="87"/>
        <v>9.5238095238095261E-2</v>
      </c>
      <c r="I80" s="1219">
        <f t="shared" si="59"/>
        <v>9.5238095238095264E-3</v>
      </c>
      <c r="J80" s="593"/>
      <c r="K80" s="386" t="s">
        <v>6</v>
      </c>
      <c r="L80" s="355">
        <f>'Action Plan'!H84</f>
        <v>0.26785714285714285</v>
      </c>
      <c r="M80" s="355">
        <f>'Action Plan'!I84</f>
        <v>0.1</v>
      </c>
      <c r="N80" s="355">
        <f>'Digital Marketer #1'!E60</f>
        <v>0</v>
      </c>
      <c r="O80" s="355">
        <f t="shared" si="93"/>
        <v>0.1</v>
      </c>
      <c r="P80" s="355">
        <f t="shared" si="88"/>
        <v>1</v>
      </c>
      <c r="Q80" s="355">
        <f t="shared" si="80"/>
        <v>0.26785714285714285</v>
      </c>
      <c r="R80" s="593"/>
      <c r="S80" s="386" t="s">
        <v>6</v>
      </c>
      <c r="T80" s="355">
        <f>'Action Plan'!L84</f>
        <v>0.26785714285714285</v>
      </c>
      <c r="U80" s="355">
        <f>'Action Plan'!M84</f>
        <v>0.1</v>
      </c>
      <c r="V80" s="355">
        <f>'E-Com Operations'!E60</f>
        <v>2.0999999999999996</v>
      </c>
      <c r="W80" s="355">
        <f t="shared" si="94"/>
        <v>-1.9999999999999996</v>
      </c>
      <c r="X80" s="355">
        <f t="shared" si="89"/>
        <v>4.761904761904763E-2</v>
      </c>
      <c r="Y80" s="355">
        <f t="shared" si="90"/>
        <v>1.2755102040816329E-2</v>
      </c>
      <c r="Z80" s="593"/>
      <c r="AA80" s="10"/>
      <c r="AB80" s="10"/>
      <c r="AC80" s="10"/>
      <c r="AD80" s="10"/>
      <c r="AE80" s="10"/>
      <c r="AF80" s="10"/>
      <c r="AG80" s="10"/>
      <c r="AH80" s="10"/>
      <c r="AI80" s="10"/>
      <c r="AJ80" s="10"/>
      <c r="AK80" s="10"/>
      <c r="AL80" s="10"/>
      <c r="AM80" s="10"/>
      <c r="AN80" s="10"/>
      <c r="AO80" s="10"/>
      <c r="AP80" s="10"/>
      <c r="AQ80" s="10"/>
      <c r="AR80" s="10"/>
      <c r="AS80" s="176"/>
      <c r="AT80" s="11"/>
      <c r="AU80" s="193"/>
      <c r="AV80" s="193"/>
      <c r="AW80" s="193"/>
      <c r="AX80" s="197"/>
      <c r="AY80" s="197"/>
      <c r="AZ80" s="197"/>
      <c r="BA80" s="197"/>
      <c r="BB80" s="197"/>
      <c r="BC80" s="197"/>
      <c r="BD80" s="197"/>
      <c r="BE80" s="197"/>
      <c r="BF80" s="197"/>
      <c r="BG80" s="197"/>
      <c r="BH80" s="197"/>
      <c r="BI80" s="197"/>
      <c r="BJ80" s="197"/>
      <c r="BK80" s="197"/>
      <c r="BL80" s="197"/>
      <c r="BM80" s="197"/>
      <c r="BN80" s="197"/>
      <c r="BO80" s="197"/>
      <c r="BP80" s="197"/>
    </row>
    <row r="81" spans="1:68" ht="20" customHeight="1" x14ac:dyDescent="0.15">
      <c r="A81" s="10"/>
      <c r="B81" s="1340"/>
      <c r="C81" s="391" t="s">
        <v>60</v>
      </c>
      <c r="D81" s="355">
        <f>'Action Plan'!D85</f>
        <v>0.1</v>
      </c>
      <c r="E81" s="355">
        <f>'Action Plan'!E85</f>
        <v>0.8</v>
      </c>
      <c r="F81" s="355">
        <f t="shared" si="91"/>
        <v>27.600000000000009</v>
      </c>
      <c r="G81" s="355">
        <f t="shared" si="92"/>
        <v>-26.800000000000008</v>
      </c>
      <c r="H81" s="355">
        <f t="shared" si="87"/>
        <v>2.8985507246376805E-2</v>
      </c>
      <c r="I81" s="1219">
        <f t="shared" si="59"/>
        <v>2.8985507246376808E-3</v>
      </c>
      <c r="J81" s="593"/>
      <c r="K81" s="386" t="s">
        <v>60</v>
      </c>
      <c r="L81" s="355">
        <f>'Action Plan'!H85</f>
        <v>1.0714285714285714</v>
      </c>
      <c r="M81" s="355">
        <f>'Action Plan'!I85</f>
        <v>0.4</v>
      </c>
      <c r="N81" s="355">
        <f>'Digital Marketer #1'!E61</f>
        <v>27.500000000000007</v>
      </c>
      <c r="O81" s="355">
        <f t="shared" si="93"/>
        <v>-27.100000000000009</v>
      </c>
      <c r="P81" s="355">
        <f t="shared" si="88"/>
        <v>1.4545454545454542E-2</v>
      </c>
      <c r="Q81" s="355">
        <f t="shared" si="80"/>
        <v>1.5584415584415581E-2</v>
      </c>
      <c r="R81" s="593"/>
      <c r="S81" s="386" t="s">
        <v>60</v>
      </c>
      <c r="T81" s="355">
        <f>'Action Plan'!L85</f>
        <v>1.0714285714285714</v>
      </c>
      <c r="U81" s="355">
        <f>'Action Plan'!M85</f>
        <v>0.4</v>
      </c>
      <c r="V81" s="355">
        <f>'E-Com Operations'!E61</f>
        <v>0.1</v>
      </c>
      <c r="W81" s="355">
        <f t="shared" si="94"/>
        <v>0.30000000000000004</v>
      </c>
      <c r="X81" s="355">
        <f>_xlfn.IFS(W81&gt;=0,1,W81&lt;0,U81/V81)</f>
        <v>1</v>
      </c>
      <c r="Y81" s="355">
        <f t="shared" si="90"/>
        <v>1.0714285714285714</v>
      </c>
      <c r="Z81" s="593"/>
      <c r="AA81" s="10"/>
      <c r="AB81" s="10"/>
      <c r="AC81" s="10"/>
      <c r="AD81" s="10"/>
      <c r="AE81" s="10"/>
      <c r="AF81" s="10"/>
      <c r="AG81" s="10"/>
      <c r="AH81" s="10"/>
      <c r="AI81" s="10"/>
      <c r="AJ81" s="10"/>
      <c r="AK81" s="10"/>
      <c r="AL81" s="10"/>
      <c r="AM81" s="10"/>
      <c r="AN81" s="10"/>
      <c r="AO81" s="10"/>
      <c r="AP81" s="10"/>
      <c r="AQ81" s="10"/>
      <c r="AR81" s="10"/>
      <c r="AS81" s="176"/>
      <c r="AT81" s="11"/>
      <c r="AU81" s="193"/>
      <c r="AV81" s="193"/>
      <c r="AW81" s="193"/>
      <c r="AX81" s="197"/>
      <c r="AY81" s="197"/>
      <c r="AZ81" s="197"/>
      <c r="BA81" s="197"/>
      <c r="BB81" s="197"/>
      <c r="BC81" s="197"/>
      <c r="BD81" s="197"/>
      <c r="BE81" s="197"/>
      <c r="BF81" s="197"/>
      <c r="BG81" s="197"/>
      <c r="BH81" s="197"/>
      <c r="BI81" s="197"/>
      <c r="BJ81" s="197"/>
      <c r="BK81" s="197"/>
      <c r="BL81" s="197"/>
      <c r="BM81" s="197"/>
      <c r="BN81" s="197"/>
      <c r="BO81" s="197"/>
      <c r="BP81" s="197"/>
    </row>
    <row r="82" spans="1:68" ht="20" customHeight="1" x14ac:dyDescent="0.15">
      <c r="A82" s="10"/>
      <c r="B82" s="1340"/>
      <c r="C82" s="819" t="s">
        <v>84</v>
      </c>
      <c r="D82" s="668">
        <f>'Action Plan'!D86</f>
        <v>0.25</v>
      </c>
      <c r="E82" s="668">
        <f>'Action Plan'!E86</f>
        <v>0.45833333333333331</v>
      </c>
      <c r="F82" s="668">
        <f>IF(SUM(F83:F88)&gt;0,AVERAGEIF(F83:F88,"&gt;0"),0)</f>
        <v>0.45000000000000018</v>
      </c>
      <c r="G82" s="668">
        <f>F82-E82</f>
        <v>-8.3333333333331372E-3</v>
      </c>
      <c r="H82" s="668">
        <f>AVERAGE(H83:H88)</f>
        <v>0.83677248677248695</v>
      </c>
      <c r="I82" s="668">
        <f>H82*D82</f>
        <v>0.20919312169312174</v>
      </c>
      <c r="J82" s="670" t="str">
        <f>'Action Plan'!F86</f>
        <v>CAMPAIGN</v>
      </c>
      <c r="K82" s="392" t="s">
        <v>84</v>
      </c>
      <c r="L82" s="668">
        <f>'Action Plan'!H86</f>
        <v>0.5636363636363636</v>
      </c>
      <c r="M82" s="668">
        <f>'Action Plan'!I86</f>
        <v>0.25833333333333336</v>
      </c>
      <c r="N82" s="668">
        <f>AVERAGE(N83:N88)</f>
        <v>0.23166666666666672</v>
      </c>
      <c r="O82" s="668">
        <f t="shared" ref="O82:O88" si="95">N82-M82</f>
        <v>-2.6666666666666644E-2</v>
      </c>
      <c r="P82" s="668">
        <f>AVERAGE(P83:P88)</f>
        <v>0.75347222222222232</v>
      </c>
      <c r="Q82" s="668">
        <f>P82*L82</f>
        <v>0.42468434343434347</v>
      </c>
      <c r="R82" s="670" t="str">
        <f>'Action Plan'!N86</f>
        <v>CAMPAIGN</v>
      </c>
      <c r="S82" s="392" t="s">
        <v>84</v>
      </c>
      <c r="T82" s="668">
        <f>'Action Plan'!L86</f>
        <v>0.43636363636363629</v>
      </c>
      <c r="U82" s="668">
        <f>'Action Plan'!M86</f>
        <v>0.19999999999999998</v>
      </c>
      <c r="V82" s="668">
        <f>AVERAGE(V83:V88)</f>
        <v>0.21833333333333346</v>
      </c>
      <c r="W82" s="668">
        <f>V82-U82</f>
        <v>1.8333333333333479E-2</v>
      </c>
      <c r="X82" s="668">
        <f>AVERAGE(X83:X88)</f>
        <v>0.58333333333333337</v>
      </c>
      <c r="Y82" s="668">
        <f>X82*T82</f>
        <v>0.25454545454545452</v>
      </c>
      <c r="Z82" s="670" t="s">
        <v>76</v>
      </c>
      <c r="AA82" s="10"/>
      <c r="AB82" s="10"/>
      <c r="AC82" s="10"/>
      <c r="AD82" s="10"/>
      <c r="AE82" s="10"/>
      <c r="AF82" s="10"/>
      <c r="AG82" s="10"/>
      <c r="AH82" s="10"/>
      <c r="AI82" s="10"/>
      <c r="AJ82" s="10"/>
      <c r="AK82" s="10"/>
      <c r="AL82" s="10"/>
      <c r="AM82" s="10"/>
      <c r="AN82" s="10"/>
      <c r="AO82" s="10"/>
      <c r="AP82" s="10"/>
      <c r="AQ82" s="10"/>
      <c r="AR82" s="17"/>
      <c r="AS82" s="188"/>
      <c r="AT82" s="11"/>
      <c r="AU82" s="193"/>
      <c r="AV82" s="193"/>
      <c r="AW82" s="193"/>
      <c r="AX82" s="197"/>
      <c r="AY82" s="197"/>
      <c r="AZ82" s="197"/>
      <c r="BA82" s="197"/>
      <c r="BB82" s="197"/>
      <c r="BC82" s="197"/>
      <c r="BD82" s="197"/>
      <c r="BE82" s="197"/>
      <c r="BF82" s="197"/>
      <c r="BG82" s="197"/>
      <c r="BH82" s="197"/>
      <c r="BI82" s="197"/>
      <c r="BJ82" s="197"/>
      <c r="BK82" s="197"/>
      <c r="BL82" s="197"/>
      <c r="BM82" s="197"/>
      <c r="BN82" s="197"/>
      <c r="BO82" s="197"/>
      <c r="BP82" s="197"/>
    </row>
    <row r="83" spans="1:68" s="271" customFormat="1" ht="20" customHeight="1" x14ac:dyDescent="0.15">
      <c r="A83" s="10"/>
      <c r="B83" s="1340"/>
      <c r="C83" s="391" t="s">
        <v>2</v>
      </c>
      <c r="D83" s="355">
        <f>'Action Plan'!D87</f>
        <v>0.2</v>
      </c>
      <c r="E83" s="355">
        <f>'Action Plan'!E87</f>
        <v>0.2</v>
      </c>
      <c r="F83" s="355">
        <f>(N83+V83)</f>
        <v>0.38000000000000012</v>
      </c>
      <c r="G83" s="355">
        <f>F83-E83</f>
        <v>0.1800000000000001</v>
      </c>
      <c r="H83" s="355">
        <f>_xlfn.IFS(G83&gt;=0,1,G83&lt;0,F83/E83)</f>
        <v>1</v>
      </c>
      <c r="I83" s="355">
        <f>H83*D83</f>
        <v>0.2</v>
      </c>
      <c r="J83" s="1243" t="s">
        <v>223</v>
      </c>
      <c r="K83" s="386" t="s">
        <v>2</v>
      </c>
      <c r="L83" s="355">
        <f>'Action Plan'!H87</f>
        <v>0.32727272727272727</v>
      </c>
      <c r="M83" s="355">
        <f>'Action Plan'!I87</f>
        <v>0.15</v>
      </c>
      <c r="N83" s="355">
        <f>'Digital Marketer #1'!E63</f>
        <v>0.35000000000000009</v>
      </c>
      <c r="O83" s="355">
        <f t="shared" si="95"/>
        <v>0.20000000000000009</v>
      </c>
      <c r="P83" s="355">
        <f>_xlfn.IFS(O83&gt;=0,1,O83&lt;0,N83/M83)</f>
        <v>1</v>
      </c>
      <c r="Q83" s="355">
        <f>P83*L83</f>
        <v>0.32727272727272727</v>
      </c>
      <c r="R83" s="593"/>
      <c r="S83" s="386" t="s">
        <v>2</v>
      </c>
      <c r="T83" s="355">
        <f>'Action Plan'!L87</f>
        <v>0.10909090909090913</v>
      </c>
      <c r="U83" s="355">
        <f>'Action Plan'!M87</f>
        <v>5.0000000000000017E-2</v>
      </c>
      <c r="V83" s="355">
        <f>'E-Com Operations'!E63</f>
        <v>0.03</v>
      </c>
      <c r="W83" s="355">
        <f>V83-U83</f>
        <v>-2.0000000000000018E-2</v>
      </c>
      <c r="X83" s="355">
        <f>_xlfn.IFS(W83&gt;=0,1,W83&lt;0,V83/U83)</f>
        <v>0.59999999999999976</v>
      </c>
      <c r="Y83" s="355">
        <f>X83*T83</f>
        <v>6.5454545454545446E-2</v>
      </c>
      <c r="Z83" s="593"/>
      <c r="AA83" s="10"/>
      <c r="AB83" s="10"/>
      <c r="AC83" s="10"/>
      <c r="AD83" s="10"/>
      <c r="AE83" s="10"/>
      <c r="AF83" s="10"/>
      <c r="AG83" s="10"/>
      <c r="AH83" s="10"/>
      <c r="AI83" s="10"/>
      <c r="AJ83" s="10"/>
      <c r="AK83" s="10"/>
      <c r="AL83" s="10"/>
      <c r="AM83" s="10"/>
      <c r="AN83" s="10"/>
      <c r="AO83" s="10"/>
      <c r="AP83" s="10"/>
      <c r="AQ83" s="10"/>
      <c r="AR83" s="17"/>
      <c r="AS83" s="188"/>
      <c r="AT83" s="11"/>
      <c r="AU83" s="193"/>
      <c r="AV83" s="193"/>
      <c r="AW83" s="193"/>
      <c r="AX83" s="197"/>
      <c r="AY83" s="197"/>
      <c r="AZ83" s="197"/>
      <c r="BA83" s="197"/>
      <c r="BB83" s="197"/>
      <c r="BC83" s="197"/>
      <c r="BD83" s="197"/>
      <c r="BE83" s="197"/>
      <c r="BF83" s="197"/>
      <c r="BG83" s="197"/>
      <c r="BH83" s="197"/>
      <c r="BI83" s="197"/>
      <c r="BJ83" s="197"/>
      <c r="BK83" s="197"/>
      <c r="BL83" s="197"/>
      <c r="BM83" s="197"/>
      <c r="BN83" s="197"/>
      <c r="BO83" s="197"/>
      <c r="BP83" s="197"/>
    </row>
    <row r="84" spans="1:68" s="271" customFormat="1" ht="20" customHeight="1" x14ac:dyDescent="0.15">
      <c r="A84" s="10"/>
      <c r="B84" s="1340"/>
      <c r="C84" s="391" t="s">
        <v>3</v>
      </c>
      <c r="D84" s="355">
        <f>'Action Plan'!D88</f>
        <v>0.4</v>
      </c>
      <c r="E84" s="355">
        <f>'Action Plan'!E88</f>
        <v>0.9</v>
      </c>
      <c r="F84" s="355">
        <f t="shared" ref="F84:F88" si="96">(N84+V84)</f>
        <v>0.34000000000000008</v>
      </c>
      <c r="G84" s="355">
        <f t="shared" si="84"/>
        <v>-0.55999999999999994</v>
      </c>
      <c r="H84" s="355">
        <f t="shared" ref="H84:H88" si="97">_xlfn.IFS(G84&gt;=0,1,G84&lt;0,F84/E84)</f>
        <v>0.37777777777777788</v>
      </c>
      <c r="I84" s="355">
        <f t="shared" si="59"/>
        <v>0.15111111111111117</v>
      </c>
      <c r="J84" s="593"/>
      <c r="K84" s="386" t="s">
        <v>3</v>
      </c>
      <c r="L84" s="355">
        <f>'Action Plan'!H88</f>
        <v>1.7454545454545456</v>
      </c>
      <c r="M84" s="355">
        <f>'Action Plan'!I88</f>
        <v>0.8</v>
      </c>
      <c r="N84" s="355">
        <f>'Digital Marketer #1'!E64</f>
        <v>0.31000000000000011</v>
      </c>
      <c r="O84" s="355">
        <f t="shared" si="95"/>
        <v>-0.48999999999999994</v>
      </c>
      <c r="P84" s="355">
        <f t="shared" ref="P84:P88" si="98">_xlfn.IFS(O84&gt;=0,1,O84&lt;0,N84/M84)</f>
        <v>0.38750000000000012</v>
      </c>
      <c r="Q84" s="355">
        <f t="shared" ref="Q84:Q88" si="99">P84*L84</f>
        <v>0.67636363636363661</v>
      </c>
      <c r="R84" s="593"/>
      <c r="S84" s="386" t="s">
        <v>3</v>
      </c>
      <c r="T84" s="355">
        <f>'Action Plan'!L88</f>
        <v>0.21818181818181814</v>
      </c>
      <c r="U84" s="355">
        <f>'Action Plan'!M88</f>
        <v>9.9999999999999978E-2</v>
      </c>
      <c r="V84" s="355">
        <f>'E-Com Operations'!E64</f>
        <v>0.03</v>
      </c>
      <c r="W84" s="355">
        <f t="shared" ref="W84:W88" si="100">V84-U84</f>
        <v>-6.9999999999999979E-2</v>
      </c>
      <c r="X84" s="355">
        <f t="shared" ref="X84:X88" si="101">_xlfn.IFS(W84&gt;=0,1,W84&lt;0,V84/U84)</f>
        <v>0.30000000000000004</v>
      </c>
      <c r="Y84" s="355">
        <f t="shared" ref="Y84:Y88" si="102">X84*T84</f>
        <v>6.5454545454545446E-2</v>
      </c>
      <c r="Z84" s="593"/>
      <c r="AA84" s="10"/>
      <c r="AB84" s="10"/>
      <c r="AC84" s="10"/>
      <c r="AD84" s="10"/>
      <c r="AE84" s="10"/>
      <c r="AF84" s="10"/>
      <c r="AG84" s="10"/>
      <c r="AH84" s="10"/>
      <c r="AI84" s="10"/>
      <c r="AJ84" s="10"/>
      <c r="AK84" s="10"/>
      <c r="AL84" s="10"/>
      <c r="AM84" s="10"/>
      <c r="AN84" s="10"/>
      <c r="AO84" s="10"/>
      <c r="AP84" s="10"/>
      <c r="AQ84" s="10"/>
      <c r="AR84" s="17"/>
      <c r="AS84" s="188"/>
      <c r="AT84" s="11"/>
      <c r="AU84" s="193"/>
      <c r="AV84" s="193"/>
      <c r="AW84" s="193"/>
      <c r="AX84" s="197"/>
      <c r="AY84" s="197"/>
      <c r="AZ84" s="197"/>
      <c r="BA84" s="197"/>
      <c r="BB84" s="197"/>
      <c r="BC84" s="197"/>
      <c r="BD84" s="197"/>
      <c r="BE84" s="197"/>
      <c r="BF84" s="197"/>
      <c r="BG84" s="197"/>
      <c r="BH84" s="197"/>
      <c r="BI84" s="197"/>
      <c r="BJ84" s="197"/>
      <c r="BK84" s="197"/>
      <c r="BL84" s="197"/>
      <c r="BM84" s="197"/>
      <c r="BN84" s="197"/>
      <c r="BO84" s="197"/>
      <c r="BP84" s="197"/>
    </row>
    <row r="85" spans="1:68" s="271" customFormat="1" ht="20" customHeight="1" x14ac:dyDescent="0.15">
      <c r="A85" s="10"/>
      <c r="B85" s="1340"/>
      <c r="C85" s="391" t="s">
        <v>4</v>
      </c>
      <c r="D85" s="355">
        <f>'Action Plan'!D89</f>
        <v>0.1</v>
      </c>
      <c r="E85" s="355">
        <f>'Action Plan'!E89</f>
        <v>0.5</v>
      </c>
      <c r="F85" s="355">
        <f t="shared" si="96"/>
        <v>0.35000000000000009</v>
      </c>
      <c r="G85" s="355">
        <f t="shared" si="84"/>
        <v>-0.14999999999999991</v>
      </c>
      <c r="H85" s="355">
        <f t="shared" si="97"/>
        <v>0.70000000000000018</v>
      </c>
      <c r="I85" s="355">
        <f t="shared" si="59"/>
        <v>7.0000000000000021E-2</v>
      </c>
      <c r="J85" s="593"/>
      <c r="K85" s="386" t="s">
        <v>4</v>
      </c>
      <c r="L85" s="355">
        <f>'Action Plan'!H89</f>
        <v>0.98181818181818192</v>
      </c>
      <c r="M85" s="355">
        <f>'Action Plan'!I89</f>
        <v>0.45</v>
      </c>
      <c r="N85" s="355">
        <f>'Digital Marketer #1'!E65</f>
        <v>0.33000000000000007</v>
      </c>
      <c r="O85" s="355">
        <f t="shared" si="95"/>
        <v>-0.11999999999999994</v>
      </c>
      <c r="P85" s="355">
        <f t="shared" si="98"/>
        <v>0.7333333333333335</v>
      </c>
      <c r="Q85" s="355">
        <f t="shared" si="99"/>
        <v>0.7200000000000002</v>
      </c>
      <c r="R85" s="593"/>
      <c r="S85" s="386" t="s">
        <v>4</v>
      </c>
      <c r="T85" s="355">
        <f>'Action Plan'!L89</f>
        <v>0.10909090909090907</v>
      </c>
      <c r="U85" s="355">
        <f>'Action Plan'!M89</f>
        <v>4.9999999999999989E-2</v>
      </c>
      <c r="V85" s="355">
        <f>'E-Com Operations'!E65</f>
        <v>0.02</v>
      </c>
      <c r="W85" s="355">
        <f t="shared" si="100"/>
        <v>-2.9999999999999988E-2</v>
      </c>
      <c r="X85" s="355">
        <f t="shared" si="101"/>
        <v>0.40000000000000008</v>
      </c>
      <c r="Y85" s="355">
        <f t="shared" si="102"/>
        <v>4.363636363636364E-2</v>
      </c>
      <c r="Z85" s="593"/>
      <c r="AA85" s="10"/>
      <c r="AB85" s="10"/>
      <c r="AC85" s="10"/>
      <c r="AD85" s="10"/>
      <c r="AE85" s="10"/>
      <c r="AF85" s="10"/>
      <c r="AG85" s="10"/>
      <c r="AH85" s="10"/>
      <c r="AI85" s="10"/>
      <c r="AJ85" s="10"/>
      <c r="AK85" s="10"/>
      <c r="AL85" s="10"/>
      <c r="AM85" s="10"/>
      <c r="AN85" s="10"/>
      <c r="AO85" s="10"/>
      <c r="AP85" s="10"/>
      <c r="AQ85" s="10"/>
      <c r="AR85" s="17"/>
      <c r="AS85" s="188"/>
      <c r="AT85" s="11"/>
      <c r="AU85" s="193"/>
      <c r="AV85" s="193"/>
      <c r="AW85" s="193"/>
      <c r="AX85" s="197"/>
      <c r="AY85" s="197"/>
      <c r="AZ85" s="197"/>
      <c r="BA85" s="197"/>
      <c r="BB85" s="197"/>
      <c r="BC85" s="197"/>
      <c r="BD85" s="197"/>
      <c r="BE85" s="197"/>
      <c r="BF85" s="197"/>
      <c r="BG85" s="197"/>
      <c r="BH85" s="197"/>
      <c r="BI85" s="197"/>
      <c r="BJ85" s="197"/>
      <c r="BK85" s="197"/>
      <c r="BL85" s="197"/>
      <c r="BM85" s="197"/>
      <c r="BN85" s="197"/>
      <c r="BO85" s="197"/>
      <c r="BP85" s="197"/>
    </row>
    <row r="86" spans="1:68" ht="20" customHeight="1" x14ac:dyDescent="0.15">
      <c r="A86" s="10"/>
      <c r="B86" s="1340"/>
      <c r="C86" s="391" t="s">
        <v>5</v>
      </c>
      <c r="D86" s="355">
        <f>'Action Plan'!D90</f>
        <v>0.1</v>
      </c>
      <c r="E86" s="355">
        <f>'Action Plan'!E90</f>
        <v>0.7</v>
      </c>
      <c r="F86" s="355">
        <f t="shared" si="96"/>
        <v>0.97000000000000064</v>
      </c>
      <c r="G86" s="355">
        <f t="shared" si="84"/>
        <v>0.27000000000000068</v>
      </c>
      <c r="H86" s="355">
        <f t="shared" si="97"/>
        <v>1</v>
      </c>
      <c r="I86" s="355">
        <f t="shared" si="59"/>
        <v>0.1</v>
      </c>
      <c r="J86" s="593"/>
      <c r="K86" s="386" t="s">
        <v>5</v>
      </c>
      <c r="L86" s="355">
        <f>'Action Plan'!H90</f>
        <v>0.1090909090909091</v>
      </c>
      <c r="M86" s="355">
        <f>'Action Plan'!I90</f>
        <v>0.05</v>
      </c>
      <c r="N86" s="355">
        <f>'Digital Marketer #1'!E66</f>
        <v>0.06</v>
      </c>
      <c r="O86" s="355">
        <f t="shared" si="95"/>
        <v>9.999999999999995E-3</v>
      </c>
      <c r="P86" s="355">
        <f t="shared" si="98"/>
        <v>1</v>
      </c>
      <c r="Q86" s="355">
        <f t="shared" si="99"/>
        <v>0.1090909090909091</v>
      </c>
      <c r="R86" s="593"/>
      <c r="S86" s="386" t="s">
        <v>5</v>
      </c>
      <c r="T86" s="355">
        <f>'Action Plan'!L90</f>
        <v>1.418181818181818</v>
      </c>
      <c r="U86" s="355">
        <f>'Action Plan'!M90</f>
        <v>0.64999999999999991</v>
      </c>
      <c r="V86" s="355">
        <f>'E-Com Operations'!E66</f>
        <v>0.91000000000000059</v>
      </c>
      <c r="W86" s="355">
        <f t="shared" si="100"/>
        <v>0.26000000000000068</v>
      </c>
      <c r="X86" s="355">
        <f t="shared" si="101"/>
        <v>1</v>
      </c>
      <c r="Y86" s="355">
        <f t="shared" si="102"/>
        <v>1.418181818181818</v>
      </c>
      <c r="Z86" s="593"/>
      <c r="AA86" s="10"/>
      <c r="AB86" s="17"/>
      <c r="AC86" s="10"/>
      <c r="AD86" s="10"/>
      <c r="AE86" s="10"/>
      <c r="AF86" s="10"/>
      <c r="AG86" s="10"/>
      <c r="AH86" s="10"/>
      <c r="AI86" s="10"/>
      <c r="AJ86" s="10"/>
      <c r="AK86" s="10"/>
      <c r="AL86" s="10"/>
      <c r="AM86" s="10"/>
      <c r="AN86" s="10"/>
      <c r="AO86" s="10"/>
      <c r="AP86" s="10"/>
      <c r="AQ86" s="10"/>
      <c r="AR86" s="10"/>
      <c r="AS86" s="176"/>
      <c r="AT86" s="11"/>
      <c r="AU86" s="193"/>
      <c r="AV86" s="193"/>
      <c r="AW86" s="193"/>
      <c r="AX86" s="197"/>
      <c r="AY86" s="197"/>
      <c r="AZ86" s="197"/>
      <c r="BA86" s="197"/>
      <c r="BB86" s="197"/>
      <c r="BC86" s="197"/>
      <c r="BD86" s="197"/>
      <c r="BE86" s="197"/>
      <c r="BF86" s="197"/>
      <c r="BG86" s="197"/>
      <c r="BH86" s="197"/>
      <c r="BI86" s="197"/>
      <c r="BJ86" s="197"/>
      <c r="BK86" s="197"/>
      <c r="BL86" s="197"/>
      <c r="BM86" s="197"/>
      <c r="BN86" s="197"/>
      <c r="BO86" s="197"/>
      <c r="BP86" s="197"/>
    </row>
    <row r="87" spans="1:68" ht="20" customHeight="1" x14ac:dyDescent="0.15">
      <c r="A87" s="10"/>
      <c r="B87" s="1340"/>
      <c r="C87" s="391" t="s">
        <v>6</v>
      </c>
      <c r="D87" s="355">
        <f>'Action Plan'!D91</f>
        <v>0.1</v>
      </c>
      <c r="E87" s="355">
        <f>'Action Plan'!E91</f>
        <v>0.35</v>
      </c>
      <c r="F87" s="355">
        <f t="shared" si="96"/>
        <v>0.33000000000000013</v>
      </c>
      <c r="G87" s="355">
        <f>F87-E87</f>
        <v>-1.9999999999999851E-2</v>
      </c>
      <c r="H87" s="355">
        <f t="shared" si="97"/>
        <v>0.94285714285714328</v>
      </c>
      <c r="I87" s="355">
        <f t="shared" si="59"/>
        <v>9.4285714285714334E-2</v>
      </c>
      <c r="J87" s="593"/>
      <c r="K87" s="386" t="s">
        <v>6</v>
      </c>
      <c r="L87" s="355">
        <f>'Action Plan'!H91</f>
        <v>0.1090909090909091</v>
      </c>
      <c r="M87" s="355">
        <f>'Action Plan'!I91</f>
        <v>0.05</v>
      </c>
      <c r="N87" s="355">
        <f>'Digital Marketer #1'!E67</f>
        <v>0.02</v>
      </c>
      <c r="O87" s="355">
        <f t="shared" si="95"/>
        <v>-3.0000000000000002E-2</v>
      </c>
      <c r="P87" s="355">
        <f t="shared" si="98"/>
        <v>0.39999999999999997</v>
      </c>
      <c r="Q87" s="355">
        <f t="shared" si="99"/>
        <v>4.3636363636363633E-2</v>
      </c>
      <c r="R87" s="593"/>
      <c r="S87" s="386" t="s">
        <v>6</v>
      </c>
      <c r="T87" s="355">
        <f>'Action Plan'!L91</f>
        <v>0.65454545454545454</v>
      </c>
      <c r="U87" s="355">
        <f>'Action Plan'!M91</f>
        <v>0.3</v>
      </c>
      <c r="V87" s="355">
        <f>'E-Com Operations'!E67</f>
        <v>0.31000000000000011</v>
      </c>
      <c r="W87" s="355">
        <f t="shared" si="100"/>
        <v>1.000000000000012E-2</v>
      </c>
      <c r="X87" s="355">
        <f t="shared" si="101"/>
        <v>1</v>
      </c>
      <c r="Y87" s="355">
        <f t="shared" si="102"/>
        <v>0.65454545454545454</v>
      </c>
      <c r="Z87" s="1302"/>
      <c r="AA87" s="10"/>
      <c r="AB87" s="10"/>
      <c r="AC87" s="10"/>
      <c r="AD87" s="10"/>
      <c r="AE87" s="10"/>
      <c r="AF87" s="10"/>
      <c r="AG87" s="10"/>
      <c r="AH87" s="10"/>
      <c r="AI87" s="10"/>
      <c r="AJ87" s="10"/>
      <c r="AK87" s="10"/>
      <c r="AL87" s="10"/>
      <c r="AM87" s="10"/>
      <c r="AN87" s="10"/>
      <c r="AO87" s="10"/>
      <c r="AP87" s="10"/>
      <c r="AQ87" s="10"/>
      <c r="AR87" s="10"/>
      <c r="AS87" s="176"/>
      <c r="AT87" s="11"/>
      <c r="AU87" s="193"/>
      <c r="AV87" s="193"/>
      <c r="AW87" s="193"/>
      <c r="AX87" s="197"/>
      <c r="AY87" s="197"/>
      <c r="AZ87" s="197"/>
      <c r="BA87" s="197"/>
      <c r="BB87" s="197"/>
      <c r="BC87" s="197"/>
      <c r="BD87" s="197"/>
      <c r="BE87" s="197"/>
      <c r="BF87" s="197"/>
      <c r="BG87" s="197"/>
      <c r="BH87" s="197"/>
      <c r="BI87" s="197"/>
      <c r="BJ87" s="197"/>
      <c r="BK87" s="197"/>
      <c r="BL87" s="197"/>
      <c r="BM87" s="197"/>
      <c r="BN87" s="197"/>
      <c r="BO87" s="197"/>
      <c r="BP87" s="197"/>
    </row>
    <row r="88" spans="1:68" ht="20" customHeight="1" thickBot="1" x14ac:dyDescent="0.2">
      <c r="A88" s="10"/>
      <c r="B88" s="1341"/>
      <c r="C88" s="391" t="s">
        <v>60</v>
      </c>
      <c r="D88" s="355">
        <f>'Action Plan'!D92</f>
        <v>0.1</v>
      </c>
      <c r="E88" s="355">
        <f>'Action Plan'!E92</f>
        <v>0.1</v>
      </c>
      <c r="F88" s="355">
        <f t="shared" si="96"/>
        <v>0.33000000000000013</v>
      </c>
      <c r="G88" s="355">
        <f t="shared" si="84"/>
        <v>0.23000000000000012</v>
      </c>
      <c r="H88" s="355">
        <f t="shared" si="97"/>
        <v>1</v>
      </c>
      <c r="I88" s="355">
        <f t="shared" si="59"/>
        <v>0.1</v>
      </c>
      <c r="J88" s="593"/>
      <c r="K88" s="386" t="s">
        <v>60</v>
      </c>
      <c r="L88" s="355">
        <f>'Action Plan'!H92</f>
        <v>0.1090909090909091</v>
      </c>
      <c r="M88" s="355">
        <f>'Action Plan'!I92</f>
        <v>0.05</v>
      </c>
      <c r="N88" s="355">
        <f>'Digital Marketer #1'!E68</f>
        <v>0.32000000000000012</v>
      </c>
      <c r="O88" s="355">
        <f t="shared" si="95"/>
        <v>0.27000000000000013</v>
      </c>
      <c r="P88" s="355">
        <f t="shared" si="98"/>
        <v>1</v>
      </c>
      <c r="Q88" s="355">
        <f t="shared" si="99"/>
        <v>0.1090909090909091</v>
      </c>
      <c r="R88" s="593"/>
      <c r="S88" s="386" t="s">
        <v>60</v>
      </c>
      <c r="T88" s="355">
        <f>'Action Plan'!L92</f>
        <v>0.1090909090909091</v>
      </c>
      <c r="U88" s="355">
        <f>'Action Plan'!M92</f>
        <v>0.05</v>
      </c>
      <c r="V88" s="355">
        <f>'E-Com Operations'!E68</f>
        <v>0.01</v>
      </c>
      <c r="W88" s="355">
        <f t="shared" si="100"/>
        <v>-0.04</v>
      </c>
      <c r="X88" s="355">
        <f t="shared" si="101"/>
        <v>0.19999999999999998</v>
      </c>
      <c r="Y88" s="355">
        <f t="shared" si="102"/>
        <v>2.1818181818181816E-2</v>
      </c>
      <c r="Z88" s="593"/>
      <c r="AA88" s="10"/>
      <c r="AB88" s="10"/>
      <c r="AC88" s="10"/>
      <c r="AD88" s="10"/>
      <c r="AE88" s="10"/>
      <c r="AF88" s="10"/>
      <c r="AG88" s="10"/>
      <c r="AH88" s="10"/>
      <c r="AI88" s="10"/>
      <c r="AJ88" s="10"/>
      <c r="AK88" s="10"/>
      <c r="AL88" s="10"/>
      <c r="AM88" s="10"/>
      <c r="AN88" s="10"/>
      <c r="AO88" s="10"/>
      <c r="AP88" s="10"/>
      <c r="AQ88" s="10"/>
      <c r="AR88" s="10"/>
      <c r="AS88" s="176"/>
      <c r="AT88" s="11"/>
      <c r="AU88" s="193"/>
      <c r="AV88" s="193"/>
      <c r="AW88" s="193"/>
      <c r="AX88" s="197"/>
      <c r="AY88" s="197"/>
      <c r="AZ88" s="197"/>
      <c r="BA88" s="197"/>
      <c r="BB88" s="197"/>
      <c r="BC88" s="197"/>
      <c r="BD88" s="197"/>
      <c r="BE88" s="197"/>
      <c r="BF88" s="197"/>
      <c r="BG88" s="197"/>
      <c r="BH88" s="197"/>
      <c r="BI88" s="197"/>
      <c r="BJ88" s="197"/>
      <c r="BK88" s="197"/>
      <c r="BL88" s="197"/>
      <c r="BM88" s="197"/>
      <c r="BN88" s="197"/>
      <c r="BO88" s="197"/>
      <c r="BP88" s="197"/>
    </row>
    <row r="89" spans="1:68" ht="25" customHeight="1" thickBot="1" x14ac:dyDescent="0.2">
      <c r="A89" s="10"/>
      <c r="B89" s="826" t="str">
        <f>'Action Plan'!B93</f>
        <v>TOTAL</v>
      </c>
      <c r="C89" s="209" t="str">
        <f>'Action Plan'!C93</f>
        <v>Sale</v>
      </c>
      <c r="D89" s="209" t="str">
        <f>D50</f>
        <v>Ratio</v>
      </c>
      <c r="E89" s="211" t="str">
        <f>E50</f>
        <v>KPIs</v>
      </c>
      <c r="F89" s="210" t="s">
        <v>42</v>
      </c>
      <c r="G89" s="194" t="s">
        <v>41</v>
      </c>
      <c r="H89" s="194" t="s">
        <v>43</v>
      </c>
      <c r="I89" s="194" t="s">
        <v>174</v>
      </c>
      <c r="J89" s="211"/>
      <c r="K89" s="212" t="str">
        <f>'Action Plan'!G93</f>
        <v>Sale #1</v>
      </c>
      <c r="L89" s="209" t="str">
        <f>L50</f>
        <v>Ratio/ Team</v>
      </c>
      <c r="M89" s="638" t="str">
        <f>M50</f>
        <v>KPIs</v>
      </c>
      <c r="N89" s="210" t="s">
        <v>42</v>
      </c>
      <c r="O89" s="194" t="s">
        <v>41</v>
      </c>
      <c r="P89" s="194" t="s">
        <v>43</v>
      </c>
      <c r="Q89" s="194" t="s">
        <v>174</v>
      </c>
      <c r="R89" s="213"/>
      <c r="S89" s="212" t="str">
        <f>'Action Plan'!K93</f>
        <v>Sale #2</v>
      </c>
      <c r="T89" s="209" t="str">
        <f>T50</f>
        <v>Ratio/ Team</v>
      </c>
      <c r="U89" s="211" t="str">
        <f>U50</f>
        <v>KPIs</v>
      </c>
      <c r="V89" s="210" t="s">
        <v>42</v>
      </c>
      <c r="W89" s="194" t="s">
        <v>41</v>
      </c>
      <c r="X89" s="194" t="s">
        <v>43</v>
      </c>
      <c r="Y89" s="194" t="s">
        <v>174</v>
      </c>
      <c r="Z89" s="213"/>
      <c r="AA89" s="212" t="str">
        <f>'Action Plan'!O93</f>
        <v>Sale #3</v>
      </c>
      <c r="AB89" s="209" t="str">
        <f>T50</f>
        <v>Ratio/ Team</v>
      </c>
      <c r="AC89" s="210" t="str">
        <f>U50</f>
        <v>KPIs</v>
      </c>
      <c r="AD89" s="210" t="s">
        <v>42</v>
      </c>
      <c r="AE89" s="194" t="s">
        <v>41</v>
      </c>
      <c r="AF89" s="194" t="s">
        <v>43</v>
      </c>
      <c r="AG89" s="194" t="s">
        <v>174</v>
      </c>
      <c r="AH89" s="213"/>
      <c r="AI89" s="212" t="str">
        <f>'Action Plan'!S93</f>
        <v>Sale #4</v>
      </c>
      <c r="AJ89" s="209" t="str">
        <f>T50</f>
        <v>Ratio/ Team</v>
      </c>
      <c r="AK89" s="210" t="str">
        <f>U50</f>
        <v>KPIs</v>
      </c>
      <c r="AL89" s="210" t="s">
        <v>42</v>
      </c>
      <c r="AM89" s="194" t="s">
        <v>41</v>
      </c>
      <c r="AN89" s="194" t="s">
        <v>43</v>
      </c>
      <c r="AO89" s="194" t="s">
        <v>174</v>
      </c>
      <c r="AP89" s="213"/>
      <c r="AQ89" s="176"/>
      <c r="AR89" s="176"/>
      <c r="AS89" s="10"/>
      <c r="AT89" s="262"/>
      <c r="AU89" s="627"/>
      <c r="AV89" s="627"/>
      <c r="AW89" s="627"/>
      <c r="AX89" s="197"/>
      <c r="AY89" s="197"/>
      <c r="AZ89" s="197"/>
      <c r="BA89" s="197"/>
      <c r="BB89" s="197"/>
      <c r="BC89" s="197"/>
      <c r="BD89" s="197"/>
      <c r="BE89" s="197"/>
      <c r="BF89" s="197"/>
      <c r="BG89" s="197"/>
      <c r="BH89" s="197"/>
      <c r="BI89" s="197"/>
      <c r="BJ89" s="197"/>
      <c r="BK89" s="197"/>
      <c r="BL89" s="197"/>
      <c r="BM89" s="197"/>
      <c r="BN89" s="197"/>
      <c r="BO89" s="197"/>
      <c r="BP89" s="197"/>
    </row>
    <row r="90" spans="1:68" ht="20" customHeight="1" x14ac:dyDescent="0.15">
      <c r="A90" s="10"/>
      <c r="B90" s="1354" t="str">
        <f>'Action Plan'!B94</f>
        <v>Sale</v>
      </c>
      <c r="C90" s="817" t="str">
        <f>'Action Plan'!C94</f>
        <v>P2</v>
      </c>
      <c r="D90" s="348">
        <f>'Action Plan'!D94</f>
        <v>0.2</v>
      </c>
      <c r="E90" s="348">
        <f>'Action Plan'!E94</f>
        <v>1</v>
      </c>
      <c r="F90" s="348">
        <f>I91+I92+I93</f>
        <v>1</v>
      </c>
      <c r="G90" s="383">
        <f>F90-E90</f>
        <v>0</v>
      </c>
      <c r="H90" s="383">
        <f>IF(G90&gt;=0,1,F90/E90)</f>
        <v>1</v>
      </c>
      <c r="I90" s="348">
        <f>F90*D90</f>
        <v>0.2</v>
      </c>
      <c r="J90" s="636"/>
      <c r="K90" s="632" t="str">
        <f>'Action Plan'!G94</f>
        <v>P2</v>
      </c>
      <c r="L90" s="348">
        <f>'Action Plan'!H94</f>
        <v>0.2</v>
      </c>
      <c r="M90" s="348">
        <f>'Action Plan'!I94</f>
        <v>0.34999999999999992</v>
      </c>
      <c r="N90" s="348">
        <f>AVERAGE(Q91,Q92,Q93)</f>
        <v>0.34999999999999992</v>
      </c>
      <c r="O90" s="383">
        <f>N90-M90</f>
        <v>0</v>
      </c>
      <c r="P90" s="383">
        <f>IF(O90&gt;=0,1,N90/M90)</f>
        <v>1</v>
      </c>
      <c r="Q90" s="383">
        <f>N90*L90</f>
        <v>6.9999999999999993E-2</v>
      </c>
      <c r="R90" s="677"/>
      <c r="S90" s="632" t="str">
        <f>'Action Plan'!K94</f>
        <v>P2</v>
      </c>
      <c r="T90" s="348">
        <f>'Action Plan'!L94</f>
        <v>0.2</v>
      </c>
      <c r="U90" s="348">
        <f>'Action Plan'!M94</f>
        <v>0.3</v>
      </c>
      <c r="V90" s="348">
        <f>AVERAGE(Y91,Y92,Y93)</f>
        <v>0.3</v>
      </c>
      <c r="W90" s="383">
        <f>V90-U90</f>
        <v>0</v>
      </c>
      <c r="X90" s="383">
        <f>IF(W90&gt;=0,1,V90/U90)</f>
        <v>1</v>
      </c>
      <c r="Y90" s="348">
        <f>V90*T90</f>
        <v>0.06</v>
      </c>
      <c r="Z90" s="633"/>
      <c r="AA90" s="632" t="str">
        <f>'Action Plan'!O94</f>
        <v>P2</v>
      </c>
      <c r="AB90" s="348">
        <f>'Action Plan'!P94</f>
        <v>0.2</v>
      </c>
      <c r="AC90" s="348">
        <f>'Action Plan'!Q94</f>
        <v>0.25</v>
      </c>
      <c r="AD90" s="348">
        <f>AVERAGE(AG91,AG92,AG93)</f>
        <v>0.25</v>
      </c>
      <c r="AE90" s="1252">
        <f>AD90-AC90</f>
        <v>0</v>
      </c>
      <c r="AF90" s="1252">
        <f>IF(AE90&gt;=0,1,AD90/AC90)</f>
        <v>1</v>
      </c>
      <c r="AG90" s="348">
        <f>AD90*AB90</f>
        <v>0.05</v>
      </c>
      <c r="AH90" s="994"/>
      <c r="AI90" s="632" t="str">
        <f>'Action Plan'!S94</f>
        <v>P2</v>
      </c>
      <c r="AJ90" s="348">
        <f>'Action Plan'!T94</f>
        <v>0.2</v>
      </c>
      <c r="AK90" s="348">
        <f>'Action Plan'!U94</f>
        <v>0.20000000000000004</v>
      </c>
      <c r="AL90" s="348">
        <f>AVERAGE(AO91,AO92,AO93)</f>
        <v>0.20000000000000004</v>
      </c>
      <c r="AM90" s="383">
        <f>AL90-AK90</f>
        <v>0</v>
      </c>
      <c r="AN90" s="383">
        <f>IF(AM90&gt;=0,1,AL90/AK90)</f>
        <v>1</v>
      </c>
      <c r="AO90" s="348">
        <f>AL90*AJ90</f>
        <v>4.0000000000000008E-2</v>
      </c>
      <c r="AP90" s="633"/>
      <c r="AQ90" s="10"/>
      <c r="AR90" s="10"/>
      <c r="AS90" s="10"/>
      <c r="AT90" s="262"/>
      <c r="AU90" s="627"/>
      <c r="AV90" s="627"/>
      <c r="AW90" s="627"/>
      <c r="AX90" s="197"/>
      <c r="AY90" s="197"/>
      <c r="AZ90" s="197"/>
      <c r="BA90" s="197"/>
      <c r="BB90" s="197"/>
      <c r="BC90" s="197"/>
      <c r="BD90" s="197"/>
      <c r="BE90" s="197"/>
      <c r="BF90" s="197"/>
      <c r="BG90" s="197"/>
      <c r="BH90" s="197"/>
      <c r="BI90" s="197"/>
      <c r="BJ90" s="197"/>
      <c r="BK90" s="197"/>
      <c r="BL90" s="197"/>
      <c r="BM90" s="197"/>
      <c r="BN90" s="197"/>
      <c r="BO90" s="197"/>
      <c r="BP90" s="197"/>
    </row>
    <row r="91" spans="1:68" ht="20" customHeight="1" x14ac:dyDescent="0.15">
      <c r="A91" s="10"/>
      <c r="B91" s="1355"/>
      <c r="C91" s="818" t="s">
        <v>82</v>
      </c>
      <c r="D91" s="668">
        <f>'Action Plan'!D95</f>
        <v>0.4</v>
      </c>
      <c r="E91" s="673">
        <f>'Action Plan'!E95</f>
        <v>1222.6096189881323</v>
      </c>
      <c r="F91" s="673">
        <f>N91+V91+AD91+AL91</f>
        <v>2727</v>
      </c>
      <c r="G91" s="673">
        <f t="shared" ref="G90:G98" si="103">F91-E91</f>
        <v>1504.3903810118677</v>
      </c>
      <c r="H91" s="668">
        <f>IF(G91&gt;0,1,F91/E91)</f>
        <v>1</v>
      </c>
      <c r="I91" s="668">
        <f>H91*D91</f>
        <v>0.4</v>
      </c>
      <c r="J91" s="674" t="str">
        <f>'Action Plan'!F95</f>
        <v>PHONE</v>
      </c>
      <c r="K91" s="385" t="s">
        <v>82</v>
      </c>
      <c r="L91" s="668">
        <f>'Action Plan'!H95</f>
        <v>0.35</v>
      </c>
      <c r="M91" s="673">
        <f>'Action Plan'!I95</f>
        <v>427.91336664584628</v>
      </c>
      <c r="N91" s="673">
        <f>'Sale #1'!$E15</f>
        <v>681</v>
      </c>
      <c r="O91" s="673">
        <f t="shared" ref="O91:O93" si="104">N91-M91</f>
        <v>253.08663335415372</v>
      </c>
      <c r="P91" s="668">
        <f>IF(O91&gt;0,1,N91/M91)</f>
        <v>1</v>
      </c>
      <c r="Q91" s="668">
        <f t="shared" ref="Q91:Q122" si="105">P91*L91</f>
        <v>0.35</v>
      </c>
      <c r="R91" s="674" t="str">
        <f>'Action Plan'!N95</f>
        <v>PHONE</v>
      </c>
      <c r="S91" s="385" t="s">
        <v>82</v>
      </c>
      <c r="T91" s="668">
        <f>'Action Plan'!L95</f>
        <v>0.3</v>
      </c>
      <c r="U91" s="673">
        <f>'Action Plan'!M95</f>
        <v>366.78288569643968</v>
      </c>
      <c r="V91" s="673">
        <f>'Sale #2'!$E15</f>
        <v>682</v>
      </c>
      <c r="W91" s="673">
        <f>V91-U91</f>
        <v>315.21711430356032</v>
      </c>
      <c r="X91" s="668">
        <f t="shared" ref="X91:X93" si="106">IF(W91&gt;0,1,V91/U91)</f>
        <v>1</v>
      </c>
      <c r="Y91" s="668">
        <f t="shared" ref="Y91" si="107">X91*T91</f>
        <v>0.3</v>
      </c>
      <c r="Z91" s="674" t="str">
        <f>'Action Plan'!V95</f>
        <v>PHONE</v>
      </c>
      <c r="AA91" s="385" t="s">
        <v>82</v>
      </c>
      <c r="AB91" s="668">
        <f>'Action Plan'!P95</f>
        <v>0.25</v>
      </c>
      <c r="AC91" s="673">
        <f>'Action Plan'!Q95</f>
        <v>305.65240474703307</v>
      </c>
      <c r="AD91" s="673">
        <f>'Sale #3'!$E15</f>
        <v>682</v>
      </c>
      <c r="AE91" s="1253">
        <f t="shared" ref="AE91:AE93" si="108">AD91-AC91</f>
        <v>376.34759525296693</v>
      </c>
      <c r="AF91" s="1254">
        <f>IF(AE91&gt;0,1,AD91/AC91)</f>
        <v>1</v>
      </c>
      <c r="AG91" s="668">
        <f>AF91*AB91</f>
        <v>0.25</v>
      </c>
      <c r="AH91" s="674" t="s">
        <v>175</v>
      </c>
      <c r="AI91" s="385" t="s">
        <v>82</v>
      </c>
      <c r="AJ91" s="676">
        <f>'Action Plan'!T95</f>
        <v>0.2</v>
      </c>
      <c r="AK91" s="673">
        <f>'Action Plan'!U95</f>
        <v>244.52192379762647</v>
      </c>
      <c r="AL91" s="673">
        <f>'Sale #4'!$E15</f>
        <v>682</v>
      </c>
      <c r="AM91" s="673">
        <f t="shared" ref="AM91:AM92" si="109">AL91-AK91</f>
        <v>437.47807620237353</v>
      </c>
      <c r="AN91" s="668">
        <f>IF(AM91&gt;0,1,AL91/AK91)</f>
        <v>1</v>
      </c>
      <c r="AO91" s="668">
        <f t="shared" ref="AO91:AO93" si="110">AN91*AJ91</f>
        <v>0.2</v>
      </c>
      <c r="AP91" s="674" t="s">
        <v>175</v>
      </c>
      <c r="AQ91" s="10"/>
      <c r="AR91" s="10"/>
      <c r="AS91" s="10"/>
      <c r="AT91" s="262"/>
      <c r="AU91" s="627"/>
      <c r="AV91" s="627"/>
      <c r="AW91" s="627"/>
      <c r="AX91" s="197"/>
      <c r="AY91" s="197"/>
      <c r="AZ91" s="197"/>
      <c r="BA91" s="197"/>
      <c r="BB91" s="197"/>
      <c r="BC91" s="197"/>
      <c r="BD91" s="197"/>
      <c r="BE91" s="197"/>
      <c r="BF91" s="197"/>
      <c r="BG91" s="197"/>
      <c r="BH91" s="197"/>
      <c r="BI91" s="197"/>
      <c r="BJ91" s="197"/>
      <c r="BK91" s="197"/>
      <c r="BL91" s="197"/>
      <c r="BM91" s="197"/>
      <c r="BN91" s="197"/>
      <c r="BO91" s="197"/>
      <c r="BP91" s="197"/>
    </row>
    <row r="92" spans="1:68" ht="20" customHeight="1" x14ac:dyDescent="0.15">
      <c r="A92" s="10"/>
      <c r="B92" s="1355"/>
      <c r="C92" s="818" t="s">
        <v>83</v>
      </c>
      <c r="D92" s="668">
        <f>'Action Plan'!D96</f>
        <v>0.4</v>
      </c>
      <c r="E92" s="673">
        <f>'Action Plan'!E96</f>
        <v>313</v>
      </c>
      <c r="F92" s="673">
        <f>N92+V92+AD92+AL92</f>
        <v>2981</v>
      </c>
      <c r="G92" s="673">
        <f t="shared" si="103"/>
        <v>2668</v>
      </c>
      <c r="H92" s="668">
        <f t="shared" ref="H92" si="111">IF(G92&gt;0,1,F92/E92)</f>
        <v>1</v>
      </c>
      <c r="I92" s="668">
        <f>H92*D92</f>
        <v>0.4</v>
      </c>
      <c r="J92" s="674" t="str">
        <f>'Action Plan'!F96</f>
        <v>MESSAGE</v>
      </c>
      <c r="K92" s="385" t="s">
        <v>83</v>
      </c>
      <c r="L92" s="668">
        <f>'Action Plan'!H96</f>
        <v>0.35</v>
      </c>
      <c r="M92" s="673">
        <f>'Action Plan'!I96</f>
        <v>109.55</v>
      </c>
      <c r="N92" s="673">
        <f>'Sale #1'!$E16</f>
        <v>747</v>
      </c>
      <c r="O92" s="673">
        <f t="shared" si="104"/>
        <v>637.45000000000005</v>
      </c>
      <c r="P92" s="668">
        <f t="shared" ref="P92:P93" si="112">IF(O92&gt;0,1,N92/M92)</f>
        <v>1</v>
      </c>
      <c r="Q92" s="668">
        <f t="shared" si="105"/>
        <v>0.35</v>
      </c>
      <c r="R92" s="674" t="str">
        <f>'Action Plan'!N96</f>
        <v>MESSAGE</v>
      </c>
      <c r="S92" s="385" t="s">
        <v>83</v>
      </c>
      <c r="T92" s="668">
        <f>'Action Plan'!L96</f>
        <v>0.3</v>
      </c>
      <c r="U92" s="673">
        <f>'Action Plan'!M96</f>
        <v>93.899999999999991</v>
      </c>
      <c r="V92" s="673">
        <f>'Sale #2'!$E16</f>
        <v>744</v>
      </c>
      <c r="W92" s="673">
        <f t="shared" ref="W92:W93" si="113">V92-U92</f>
        <v>650.1</v>
      </c>
      <c r="X92" s="668">
        <f t="shared" si="106"/>
        <v>1</v>
      </c>
      <c r="Y92" s="668">
        <f>X92*T92</f>
        <v>0.3</v>
      </c>
      <c r="Z92" s="674" t="str">
        <f>'Action Plan'!V96</f>
        <v>MESSAGE</v>
      </c>
      <c r="AA92" s="385" t="s">
        <v>83</v>
      </c>
      <c r="AB92" s="668">
        <f>'Action Plan'!P96</f>
        <v>0.25</v>
      </c>
      <c r="AC92" s="673">
        <f>'Action Plan'!Q96</f>
        <v>78.25</v>
      </c>
      <c r="AD92" s="673">
        <f>'Sale #3'!$E16</f>
        <v>744</v>
      </c>
      <c r="AE92" s="673">
        <f t="shared" si="108"/>
        <v>665.75</v>
      </c>
      <c r="AF92" s="668">
        <f t="shared" ref="AF92:AF93" si="114">IF(AE92&gt;0,1,AD92/AC92)</f>
        <v>1</v>
      </c>
      <c r="AG92" s="668">
        <f t="shared" ref="AG92:AG93" si="115">AF92*AB92</f>
        <v>0.25</v>
      </c>
      <c r="AH92" s="674" t="s">
        <v>176</v>
      </c>
      <c r="AI92" s="385" t="s">
        <v>83</v>
      </c>
      <c r="AJ92" s="676">
        <f>'Action Plan'!T96</f>
        <v>0.2</v>
      </c>
      <c r="AK92" s="673">
        <f>'Action Plan'!U96</f>
        <v>62.6</v>
      </c>
      <c r="AL92" s="673">
        <f>'Sale #4'!$E16</f>
        <v>746</v>
      </c>
      <c r="AM92" s="673">
        <f t="shared" si="109"/>
        <v>683.4</v>
      </c>
      <c r="AN92" s="668">
        <f t="shared" ref="AN92" si="116">IF(AM92&gt;0,1,AL92/AK92)</f>
        <v>1</v>
      </c>
      <c r="AO92" s="668">
        <f t="shared" si="110"/>
        <v>0.2</v>
      </c>
      <c r="AP92" s="674" t="s">
        <v>176</v>
      </c>
      <c r="AQ92" s="10"/>
      <c r="AR92" s="10"/>
      <c r="AS92" s="10"/>
      <c r="AT92" s="262"/>
      <c r="AU92" s="627"/>
      <c r="AV92" s="627"/>
      <c r="AW92" s="627"/>
      <c r="AX92" s="197"/>
      <c r="AY92" s="197"/>
      <c r="AZ92" s="197"/>
      <c r="BA92" s="197"/>
      <c r="BB92" s="197"/>
      <c r="BC92" s="197"/>
      <c r="BD92" s="197"/>
      <c r="BE92" s="197"/>
      <c r="BF92" s="197"/>
      <c r="BG92" s="197"/>
      <c r="BH92" s="197"/>
      <c r="BI92" s="197"/>
      <c r="BJ92" s="197"/>
      <c r="BK92" s="197"/>
      <c r="BL92" s="197"/>
      <c r="BM92" s="197"/>
      <c r="BN92" s="197"/>
      <c r="BO92" s="197"/>
      <c r="BP92" s="197"/>
    </row>
    <row r="93" spans="1:68" ht="20" customHeight="1" x14ac:dyDescent="0.15">
      <c r="A93" s="10"/>
      <c r="B93" s="1355"/>
      <c r="C93" s="818" t="s">
        <v>24</v>
      </c>
      <c r="D93" s="668">
        <f>'Action Plan'!D97</f>
        <v>0.2</v>
      </c>
      <c r="E93" s="675">
        <f>'Action Plan'!E97</f>
        <v>104</v>
      </c>
      <c r="F93" s="673">
        <f>N93+V93+AD93+AL93</f>
        <v>5708</v>
      </c>
      <c r="G93" s="1249">
        <f t="shared" si="103"/>
        <v>5604</v>
      </c>
      <c r="H93" s="1250">
        <f>IF(G93&gt;0,1,F93/E93)</f>
        <v>1</v>
      </c>
      <c r="I93" s="668">
        <f>H93*D93</f>
        <v>0.2</v>
      </c>
      <c r="J93" s="674" t="str">
        <f>'Action Plan'!F97</f>
        <v>DIALOGUE</v>
      </c>
      <c r="K93" s="385" t="s">
        <v>24</v>
      </c>
      <c r="L93" s="668">
        <f>'Action Plan'!H97</f>
        <v>0.35</v>
      </c>
      <c r="M93" s="673">
        <f>'Action Plan'!I97</f>
        <v>36.4</v>
      </c>
      <c r="N93" s="673">
        <f>'Sale #1'!$E17</f>
        <v>1428</v>
      </c>
      <c r="O93" s="675">
        <f t="shared" si="104"/>
        <v>1391.6</v>
      </c>
      <c r="P93" s="668">
        <f t="shared" si="112"/>
        <v>1</v>
      </c>
      <c r="Q93" s="668">
        <f t="shared" si="105"/>
        <v>0.35</v>
      </c>
      <c r="R93" s="674" t="str">
        <f>'Action Plan'!N97</f>
        <v>DIALOGUE</v>
      </c>
      <c r="S93" s="385" t="s">
        <v>24</v>
      </c>
      <c r="T93" s="668">
        <f>'Action Plan'!L97</f>
        <v>0.3</v>
      </c>
      <c r="U93" s="673">
        <f>'Action Plan'!M97</f>
        <v>31.2</v>
      </c>
      <c r="V93" s="673">
        <f>'Sale #2'!$E17</f>
        <v>1426</v>
      </c>
      <c r="W93" s="675">
        <f t="shared" si="113"/>
        <v>1394.8</v>
      </c>
      <c r="X93" s="668">
        <f t="shared" si="106"/>
        <v>1</v>
      </c>
      <c r="Y93" s="668">
        <f>X93*T93</f>
        <v>0.3</v>
      </c>
      <c r="Z93" s="674" t="str">
        <f>'Action Plan'!V97</f>
        <v>DIALOGUE</v>
      </c>
      <c r="AA93" s="385" t="s">
        <v>24</v>
      </c>
      <c r="AB93" s="668">
        <f>'Action Plan'!P97</f>
        <v>0.25</v>
      </c>
      <c r="AC93" s="673">
        <f>'Action Plan'!Q97</f>
        <v>26</v>
      </c>
      <c r="AD93" s="673">
        <f>'Sale #3'!$E17</f>
        <v>1426</v>
      </c>
      <c r="AE93" s="675">
        <f t="shared" si="108"/>
        <v>1400</v>
      </c>
      <c r="AF93" s="668">
        <f t="shared" si="114"/>
        <v>1</v>
      </c>
      <c r="AG93" s="668">
        <f t="shared" si="115"/>
        <v>0.25</v>
      </c>
      <c r="AH93" s="674" t="s">
        <v>177</v>
      </c>
      <c r="AI93" s="385" t="s">
        <v>24</v>
      </c>
      <c r="AJ93" s="676">
        <f>'Action Plan'!T97</f>
        <v>0.2</v>
      </c>
      <c r="AK93" s="673">
        <f>'Action Plan'!U97</f>
        <v>20.8</v>
      </c>
      <c r="AL93" s="673">
        <f>'Sale #4'!$E17</f>
        <v>1428</v>
      </c>
      <c r="AM93" s="675">
        <f t="shared" ref="AM93:AM98" si="117">AL93-AK93</f>
        <v>1407.2</v>
      </c>
      <c r="AN93" s="668">
        <f>IF(AM93&gt;0,1,AL93/AK93)</f>
        <v>1</v>
      </c>
      <c r="AO93" s="668">
        <f t="shared" si="110"/>
        <v>0.2</v>
      </c>
      <c r="AP93" s="674" t="s">
        <v>177</v>
      </c>
      <c r="AQ93" s="10"/>
      <c r="AR93" s="10"/>
      <c r="AS93" s="10"/>
      <c r="AT93" s="262"/>
      <c r="AU93" s="627"/>
      <c r="AV93" s="627"/>
      <c r="AW93" s="627"/>
      <c r="AX93" s="197"/>
      <c r="AY93" s="197"/>
      <c r="AZ93" s="197"/>
      <c r="BA93" s="197"/>
      <c r="BB93" s="197"/>
      <c r="BC93" s="197"/>
      <c r="BD93" s="197"/>
      <c r="BE93" s="197"/>
      <c r="BF93" s="197"/>
      <c r="BG93" s="197"/>
      <c r="BH93" s="197"/>
      <c r="BI93" s="197"/>
      <c r="BJ93" s="197"/>
      <c r="BK93" s="197"/>
      <c r="BL93" s="197"/>
      <c r="BM93" s="197"/>
      <c r="BN93" s="197"/>
      <c r="BO93" s="197"/>
      <c r="BP93" s="197"/>
    </row>
    <row r="94" spans="1:68" ht="20" customHeight="1" x14ac:dyDescent="0.15">
      <c r="A94" s="10"/>
      <c r="B94" s="1355"/>
      <c r="C94" s="821" t="str">
        <f>'Action Plan'!C98</f>
        <v>P3</v>
      </c>
      <c r="D94" s="349">
        <f>'Action Plan'!D98</f>
        <v>0.2</v>
      </c>
      <c r="E94" s="349">
        <f>'Action Plan'!E98</f>
        <v>1</v>
      </c>
      <c r="F94" s="349">
        <f>I95+I102+I109+I116+I123</f>
        <v>0.80745961736004102</v>
      </c>
      <c r="G94" s="383">
        <f t="shared" si="103"/>
        <v>-0.19254038263995898</v>
      </c>
      <c r="H94" s="383">
        <f>IF(G94&gt;=0,1,F94/E94)</f>
        <v>0.80745961736004102</v>
      </c>
      <c r="I94" s="349">
        <f>F94*D94</f>
        <v>0.16149192347200822</v>
      </c>
      <c r="J94" s="637"/>
      <c r="K94" s="634" t="str">
        <f>'Action Plan'!G98</f>
        <v>P3</v>
      </c>
      <c r="L94" s="349">
        <f>'Action Plan'!H98</f>
        <v>0.2</v>
      </c>
      <c r="M94" s="349">
        <f>'Action Plan'!I98</f>
        <v>0.35</v>
      </c>
      <c r="N94" s="349">
        <f>AVERAGE(Q95,Q102,Q109,Q116,Q123)</f>
        <v>0.30828588888888886</v>
      </c>
      <c r="O94" s="1251">
        <f>N94-M94</f>
        <v>-4.1714111111111118E-2</v>
      </c>
      <c r="P94" s="1251">
        <f>IF(O94&gt;=0,1,N94/M94)</f>
        <v>0.88081682539682538</v>
      </c>
      <c r="Q94" s="1251">
        <f>N94*L94</f>
        <v>6.1657177777777773E-2</v>
      </c>
      <c r="R94" s="637"/>
      <c r="S94" s="634" t="str">
        <f>'Action Plan'!K98</f>
        <v>P3</v>
      </c>
      <c r="T94" s="349">
        <f>'Action Plan'!L98</f>
        <v>0.2</v>
      </c>
      <c r="U94" s="349">
        <f>'Action Plan'!M98</f>
        <v>0.30000000000000004</v>
      </c>
      <c r="V94" s="349">
        <f>AVERAGE(Y95,Y102,Y109,Y116,Y123)</f>
        <v>0.2466426666666667</v>
      </c>
      <c r="W94" s="1251">
        <f>V94-U94</f>
        <v>-5.335733333333334E-2</v>
      </c>
      <c r="X94" s="1251">
        <f>IF(W94&gt;=0,1,V94/U94)</f>
        <v>0.82214222222222222</v>
      </c>
      <c r="Y94" s="1251">
        <f>V94*T94</f>
        <v>4.9328533333333341E-2</v>
      </c>
      <c r="Z94" s="635"/>
      <c r="AA94" s="634" t="str">
        <f>'Action Plan'!O98</f>
        <v>P3</v>
      </c>
      <c r="AB94" s="349">
        <f>'Action Plan'!P98</f>
        <v>0.2</v>
      </c>
      <c r="AC94" s="349">
        <f>'Action Plan'!Q98</f>
        <v>0.25</v>
      </c>
      <c r="AD94" s="349">
        <f>AVERAGE(AG95,AG102,AG109,AG116,AG123)</f>
        <v>0.20549666666666666</v>
      </c>
      <c r="AE94" s="1251">
        <f>AD94-AC94</f>
        <v>-4.4503333333333339E-2</v>
      </c>
      <c r="AF94" s="1251">
        <f>IF(AE94&gt;=0,1,AD94/AC94)</f>
        <v>0.82198666666666664</v>
      </c>
      <c r="AG94" s="995">
        <f>AD94*AB94</f>
        <v>4.1099333333333335E-2</v>
      </c>
      <c r="AH94" s="635"/>
      <c r="AI94" s="634" t="str">
        <f>'Action Plan'!S98</f>
        <v>P3</v>
      </c>
      <c r="AJ94" s="349">
        <f>'Action Plan'!T98</f>
        <v>0.2</v>
      </c>
      <c r="AK94" s="349">
        <f>'Action Plan'!U98</f>
        <v>0.2</v>
      </c>
      <c r="AL94" s="349">
        <f>AVERAGE(AO95,AO102,AO109,AO116,AO123)</f>
        <v>0.15838400000000002</v>
      </c>
      <c r="AM94" s="1251">
        <f t="shared" si="117"/>
        <v>-4.1615999999999986E-2</v>
      </c>
      <c r="AN94" s="1251">
        <f>IF(AM94&gt;=0,1,AL94/AK94)</f>
        <v>0.79192000000000007</v>
      </c>
      <c r="AO94" s="349">
        <f>AL94*AJ94</f>
        <v>3.1676800000000005E-2</v>
      </c>
      <c r="AP94" s="635"/>
      <c r="AQ94" s="10"/>
      <c r="AR94" s="10"/>
      <c r="AS94" s="10"/>
      <c r="AT94" s="262"/>
      <c r="AU94" s="627"/>
      <c r="AV94" s="627"/>
      <c r="AW94" s="627"/>
      <c r="AX94" s="197"/>
      <c r="AY94" s="197"/>
      <c r="AZ94" s="197"/>
      <c r="BA94" s="197"/>
      <c r="BB94" s="197"/>
      <c r="BC94" s="197"/>
      <c r="BD94" s="197"/>
      <c r="BE94" s="197"/>
      <c r="BF94" s="197"/>
      <c r="BG94" s="197"/>
      <c r="BH94" s="197"/>
      <c r="BI94" s="197"/>
      <c r="BJ94" s="197"/>
      <c r="BK94" s="197"/>
      <c r="BL94" s="197"/>
      <c r="BM94" s="197"/>
      <c r="BN94" s="197"/>
      <c r="BO94" s="197"/>
      <c r="BP94" s="197"/>
    </row>
    <row r="95" spans="1:68" ht="20" customHeight="1" x14ac:dyDescent="0.15">
      <c r="A95" s="10"/>
      <c r="B95" s="1355"/>
      <c r="C95" s="819" t="s">
        <v>78</v>
      </c>
      <c r="D95" s="668">
        <f>'Action Plan'!D99</f>
        <v>0.6</v>
      </c>
      <c r="E95" s="669">
        <f>'Action Plan'!E99</f>
        <v>500000000</v>
      </c>
      <c r="F95" s="669">
        <f>SUM(F96:F101)</f>
        <v>396800000</v>
      </c>
      <c r="G95" s="669">
        <f t="shared" si="103"/>
        <v>-103200000</v>
      </c>
      <c r="H95" s="668">
        <f>AVERAGE(H96:H101)</f>
        <v>0.83199999999999996</v>
      </c>
      <c r="I95" s="668">
        <f>H95*D95</f>
        <v>0.49919999999999998</v>
      </c>
      <c r="J95" s="359" t="str">
        <f>'Action Plan'!F99</f>
        <v>VND</v>
      </c>
      <c r="K95" s="392" t="s">
        <v>78</v>
      </c>
      <c r="L95" s="672">
        <f>'Action Plan'!H99</f>
        <v>0.35000000000000009</v>
      </c>
      <c r="M95" s="678">
        <f>'Action Plan'!I99</f>
        <v>175000000</v>
      </c>
      <c r="N95" s="678">
        <f>'Sale #1'!$E19</f>
        <v>99200000</v>
      </c>
      <c r="O95" s="678">
        <f>N95-M95</f>
        <v>-75800000</v>
      </c>
      <c r="P95" s="672">
        <f>AVERAGE(P96:P101)</f>
        <v>0.76142857142857145</v>
      </c>
      <c r="Q95" s="672">
        <f>P95*L95</f>
        <v>0.26650000000000007</v>
      </c>
      <c r="R95" s="670" t="str">
        <f>'Action Plan'!J99</f>
        <v>VND</v>
      </c>
      <c r="S95" s="392" t="s">
        <v>78</v>
      </c>
      <c r="T95" s="972">
        <f>'Action Plan'!L99</f>
        <v>0.30000000000000004</v>
      </c>
      <c r="U95" s="678">
        <f>'Action Plan'!M99</f>
        <v>150000000</v>
      </c>
      <c r="V95" s="678">
        <f>'Sale #2'!$E19</f>
        <v>99200000</v>
      </c>
      <c r="W95" s="678">
        <f>V95-U95</f>
        <v>-50800000</v>
      </c>
      <c r="X95" s="672">
        <f>AVERAGE(X96:X101)</f>
        <v>0.80444444444444452</v>
      </c>
      <c r="Y95" s="672">
        <f>X95*T95</f>
        <v>0.2413333333333334</v>
      </c>
      <c r="Z95" s="974" t="s">
        <v>79</v>
      </c>
      <c r="AA95" s="392" t="s">
        <v>78</v>
      </c>
      <c r="AB95" s="972">
        <f>'Action Plan'!P99</f>
        <v>0.24999999999999997</v>
      </c>
      <c r="AC95" s="678">
        <f>'Action Plan'!Q99</f>
        <v>125000000</v>
      </c>
      <c r="AD95" s="678">
        <f>'Sale #3'!$E19</f>
        <v>99200000</v>
      </c>
      <c r="AE95" s="678">
        <f>AD95-AC95</f>
        <v>-25800000</v>
      </c>
      <c r="AF95" s="672">
        <f>AVERAGE(AF96:AF101)</f>
        <v>0.83199999999999996</v>
      </c>
      <c r="AG95" s="672">
        <f>AF95*AB95</f>
        <v>0.20799999999999996</v>
      </c>
      <c r="AH95" s="974" t="s">
        <v>79</v>
      </c>
      <c r="AI95" s="392" t="s">
        <v>78</v>
      </c>
      <c r="AJ95" s="972">
        <f>'Action Plan'!T99</f>
        <v>0.19999999999999998</v>
      </c>
      <c r="AK95" s="973">
        <f>'Action Plan'!U99</f>
        <v>100000000</v>
      </c>
      <c r="AL95" s="973">
        <f>'Sale #4'!$E19</f>
        <v>99200000</v>
      </c>
      <c r="AM95" s="678">
        <f t="shared" si="117"/>
        <v>-800000</v>
      </c>
      <c r="AN95" s="672">
        <f>AVERAGE(AN96:AN101)</f>
        <v>0.87333333333333341</v>
      </c>
      <c r="AO95" s="672">
        <f>AN95*AJ95</f>
        <v>0.17466666666666666</v>
      </c>
      <c r="AP95" s="974" t="s">
        <v>79</v>
      </c>
      <c r="AQ95" s="10"/>
      <c r="AR95" s="10"/>
      <c r="AS95" s="10"/>
      <c r="AT95" s="262"/>
      <c r="AU95" s="627"/>
      <c r="AV95" s="627"/>
      <c r="AW95" s="627"/>
      <c r="AX95" s="197"/>
      <c r="AY95" s="197"/>
      <c r="AZ95" s="197"/>
      <c r="BA95" s="197"/>
      <c r="BB95" s="197"/>
      <c r="BC95" s="197"/>
      <c r="BD95" s="197"/>
      <c r="BE95" s="197"/>
      <c r="BF95" s="197"/>
      <c r="BG95" s="197"/>
      <c r="BH95" s="197"/>
      <c r="BI95" s="197"/>
      <c r="BJ95" s="197"/>
      <c r="BK95" s="197"/>
      <c r="BL95" s="197"/>
      <c r="BM95" s="197"/>
      <c r="BN95" s="197"/>
      <c r="BO95" s="197"/>
      <c r="BP95" s="197"/>
    </row>
    <row r="96" spans="1:68" ht="20" customHeight="1" x14ac:dyDescent="0.15">
      <c r="A96" s="10"/>
      <c r="B96" s="1355"/>
      <c r="C96" s="391" t="s">
        <v>2</v>
      </c>
      <c r="D96" s="355">
        <f>'Action Plan'!D100</f>
        <v>0.1</v>
      </c>
      <c r="E96" s="610">
        <f>'Action Plan'!E100</f>
        <v>50000000</v>
      </c>
      <c r="F96" s="610">
        <f>N96+V96+AD96+AL96</f>
        <v>93000000</v>
      </c>
      <c r="G96" s="610">
        <f t="shared" si="103"/>
        <v>43000000</v>
      </c>
      <c r="H96" s="355">
        <f>_xlfn.IFS(G96&gt;=0,1,G96&lt;0,F96/E96)</f>
        <v>1</v>
      </c>
      <c r="I96" s="355">
        <f>H96*D96</f>
        <v>0.1</v>
      </c>
      <c r="J96" s="593"/>
      <c r="K96" s="386" t="s">
        <v>2</v>
      </c>
      <c r="L96" s="355">
        <f>'Action Plan'!H100</f>
        <v>3.5000000000000003E-2</v>
      </c>
      <c r="M96" s="610">
        <f>'Action Plan'!I100</f>
        <v>17500000</v>
      </c>
      <c r="N96" s="610">
        <f>'Sale #1'!$E20</f>
        <v>23250000</v>
      </c>
      <c r="O96" s="610">
        <f>N96-M96</f>
        <v>5750000</v>
      </c>
      <c r="P96" s="355">
        <f>_xlfn.IFS(O96&gt;0,1,O96&lt;=0,N96/M96)</f>
        <v>1</v>
      </c>
      <c r="Q96" s="355">
        <f>P96*L96</f>
        <v>3.5000000000000003E-2</v>
      </c>
      <c r="R96" s="593"/>
      <c r="S96" s="975" t="s">
        <v>2</v>
      </c>
      <c r="T96" s="943">
        <f>'Action Plan'!L100</f>
        <v>0.03</v>
      </c>
      <c r="U96" s="610">
        <f>'Action Plan'!M100</f>
        <v>15000000</v>
      </c>
      <c r="V96" s="610">
        <f>'Sale #2'!$E20</f>
        <v>23250000</v>
      </c>
      <c r="W96" s="610">
        <f>V96-U96</f>
        <v>8250000</v>
      </c>
      <c r="X96" s="355">
        <f>_xlfn.IFS(W96&gt;0,1,W96&lt;=0,V96/U96)</f>
        <v>1</v>
      </c>
      <c r="Y96" s="355">
        <f>X96*T96</f>
        <v>0.03</v>
      </c>
      <c r="Z96" s="593"/>
      <c r="AA96" s="386" t="s">
        <v>2</v>
      </c>
      <c r="AB96" s="943">
        <f>'Action Plan'!P100</f>
        <v>2.5000000000000001E-2</v>
      </c>
      <c r="AC96" s="610">
        <f>'Action Plan'!Q100</f>
        <v>12500000</v>
      </c>
      <c r="AD96" s="610">
        <f>'Sale #3'!$E20</f>
        <v>23250000</v>
      </c>
      <c r="AE96" s="610">
        <f>AD96-AC96</f>
        <v>10750000</v>
      </c>
      <c r="AF96" s="355">
        <f>_xlfn.IFS(AE96&gt;0,1,AE96&lt;=0,AD96/AC96)</f>
        <v>1</v>
      </c>
      <c r="AG96" s="355">
        <f>AF96*AB96</f>
        <v>2.5000000000000001E-2</v>
      </c>
      <c r="AH96" s="593"/>
      <c r="AI96" s="975" t="s">
        <v>2</v>
      </c>
      <c r="AJ96" s="943">
        <f>'Action Plan'!T100</f>
        <v>0.02</v>
      </c>
      <c r="AK96" s="976">
        <f>'Action Plan'!U100</f>
        <v>10000000</v>
      </c>
      <c r="AL96" s="976">
        <f>'Sale #4'!$E20</f>
        <v>23250000</v>
      </c>
      <c r="AM96" s="610">
        <f t="shared" si="117"/>
        <v>13250000</v>
      </c>
      <c r="AN96" s="355">
        <f>_xlfn.IFS(AM96&gt;0,1,AM96&lt;=0,AL96/AK96)</f>
        <v>1</v>
      </c>
      <c r="AO96" s="355">
        <f>AN96*AJ96</f>
        <v>0.02</v>
      </c>
      <c r="AP96" s="593"/>
      <c r="AQ96" s="10"/>
      <c r="AR96" s="10"/>
      <c r="AS96" s="10"/>
      <c r="AT96" s="262"/>
      <c r="AU96" s="627"/>
      <c r="AV96" s="627"/>
      <c r="AW96" s="627"/>
      <c r="AX96" s="197"/>
      <c r="AY96" s="197"/>
      <c r="AZ96" s="197"/>
      <c r="BA96" s="197"/>
      <c r="BB96" s="197"/>
      <c r="BC96" s="197"/>
      <c r="BD96" s="197"/>
      <c r="BE96" s="197"/>
      <c r="BF96" s="197"/>
      <c r="BG96" s="197"/>
      <c r="BH96" s="197"/>
      <c r="BI96" s="197"/>
      <c r="BJ96" s="197"/>
      <c r="BK96" s="197"/>
      <c r="BL96" s="197"/>
      <c r="BM96" s="197"/>
      <c r="BN96" s="197"/>
      <c r="BO96" s="197"/>
      <c r="BP96" s="197"/>
    </row>
    <row r="97" spans="1:68" ht="20" customHeight="1" x14ac:dyDescent="0.15">
      <c r="A97" s="10"/>
      <c r="B97" s="1355"/>
      <c r="C97" s="391" t="s">
        <v>3</v>
      </c>
      <c r="D97" s="355">
        <f>'Action Plan'!D101</f>
        <v>0.5</v>
      </c>
      <c r="E97" s="610">
        <f>'Action Plan'!E101</f>
        <v>250000000</v>
      </c>
      <c r="F97" s="610">
        <f>N97+V97+AD97+AL97</f>
        <v>62000000</v>
      </c>
      <c r="G97" s="610">
        <f t="shared" si="103"/>
        <v>-188000000</v>
      </c>
      <c r="H97" s="355">
        <f t="shared" ref="H97:H101" si="118">_xlfn.IFS(G97&gt;=0,1,G97&lt;0,F97/E97)</f>
        <v>0.248</v>
      </c>
      <c r="I97" s="355">
        <f>H97*D97</f>
        <v>0.124</v>
      </c>
      <c r="J97" s="593"/>
      <c r="K97" s="386" t="s">
        <v>3</v>
      </c>
      <c r="L97" s="355">
        <f>'Action Plan'!H101</f>
        <v>0.17499999999999999</v>
      </c>
      <c r="M97" s="610">
        <f>'Action Plan'!I101</f>
        <v>87500000</v>
      </c>
      <c r="N97" s="610">
        <f>'Sale #1'!$E26</f>
        <v>15500000</v>
      </c>
      <c r="O97" s="610">
        <f>N97-M97</f>
        <v>-72000000</v>
      </c>
      <c r="P97" s="355">
        <f>_xlfn.IFS(O97&gt;0,1,O97&lt;=0,N97/M97)</f>
        <v>0.17714285714285713</v>
      </c>
      <c r="Q97" s="355">
        <f t="shared" si="105"/>
        <v>3.0999999999999996E-2</v>
      </c>
      <c r="R97" s="593"/>
      <c r="S97" s="975" t="s">
        <v>3</v>
      </c>
      <c r="T97" s="943">
        <f>'Action Plan'!L101</f>
        <v>0.15</v>
      </c>
      <c r="U97" s="610">
        <f>'Action Plan'!M101</f>
        <v>75000000</v>
      </c>
      <c r="V97" s="610">
        <f>'Sale #2'!$E26</f>
        <v>15500000</v>
      </c>
      <c r="W97" s="610">
        <f>V97-U97</f>
        <v>-59500000</v>
      </c>
      <c r="X97" s="355">
        <f>_xlfn.IFS(W97&gt;0,1,W97&lt;=0,V97/U97)</f>
        <v>0.20666666666666667</v>
      </c>
      <c r="Y97" s="355">
        <f t="shared" ref="Y97:Y101" si="119">X97*T97</f>
        <v>3.1E-2</v>
      </c>
      <c r="Z97" s="593"/>
      <c r="AA97" s="386" t="s">
        <v>3</v>
      </c>
      <c r="AB97" s="943">
        <f>'Action Plan'!P101</f>
        <v>0.125</v>
      </c>
      <c r="AC97" s="610">
        <f>'Action Plan'!Q101</f>
        <v>62500000</v>
      </c>
      <c r="AD97" s="610">
        <f>'Sale #3'!$E26</f>
        <v>15500000</v>
      </c>
      <c r="AE97" s="610">
        <f>AD97-AC97</f>
        <v>-47000000</v>
      </c>
      <c r="AF97" s="355">
        <f>_xlfn.IFS(AE97&gt;0,1,AE97&lt;=0,AD97/AC97)</f>
        <v>0.248</v>
      </c>
      <c r="AG97" s="355">
        <f t="shared" ref="AG97:AG101" si="120">AF97*AB97</f>
        <v>3.1E-2</v>
      </c>
      <c r="AH97" s="593"/>
      <c r="AI97" s="975" t="s">
        <v>3</v>
      </c>
      <c r="AJ97" s="943">
        <f>'Action Plan'!T101</f>
        <v>0.1</v>
      </c>
      <c r="AK97" s="976">
        <f>'Action Plan'!U101</f>
        <v>50000000</v>
      </c>
      <c r="AL97" s="976">
        <f>'Sale #4'!$E26</f>
        <v>15500000</v>
      </c>
      <c r="AM97" s="610">
        <f t="shared" si="117"/>
        <v>-34500000</v>
      </c>
      <c r="AN97" s="355">
        <f>_xlfn.IFS(AM97&gt;0,1,AM97&lt;=0,AL97/AK97)</f>
        <v>0.31</v>
      </c>
      <c r="AO97" s="355">
        <f t="shared" ref="AO97:AO105" si="121">AN97*AJ97</f>
        <v>3.1E-2</v>
      </c>
      <c r="AP97" s="593"/>
      <c r="AQ97" s="10"/>
      <c r="AR97" s="10"/>
      <c r="AS97" s="10"/>
      <c r="AT97" s="262"/>
      <c r="AU97" s="627"/>
      <c r="AV97" s="627"/>
      <c r="AW97" s="627"/>
      <c r="AX97" s="197"/>
      <c r="AY97" s="197"/>
      <c r="AZ97" s="197"/>
      <c r="BA97" s="197"/>
      <c r="BB97" s="197"/>
      <c r="BC97" s="197"/>
      <c r="BD97" s="197"/>
      <c r="BE97" s="197"/>
      <c r="BF97" s="197"/>
      <c r="BG97" s="197"/>
      <c r="BH97" s="197"/>
      <c r="BI97" s="197"/>
      <c r="BJ97" s="197"/>
      <c r="BK97" s="197"/>
      <c r="BL97" s="197"/>
      <c r="BM97" s="197"/>
      <c r="BN97" s="197"/>
      <c r="BO97" s="197"/>
      <c r="BP97" s="197"/>
    </row>
    <row r="98" spans="1:68" s="271" customFormat="1" ht="20" customHeight="1" x14ac:dyDescent="0.15">
      <c r="A98" s="10"/>
      <c r="B98" s="1355"/>
      <c r="C98" s="391" t="s">
        <v>4</v>
      </c>
      <c r="D98" s="355">
        <f>'Action Plan'!D102</f>
        <v>0.1</v>
      </c>
      <c r="E98" s="610">
        <f>'Action Plan'!E102</f>
        <v>50000000</v>
      </c>
      <c r="F98" s="610">
        <f t="shared" ref="F98:F100" si="122">N98+V98+AD98+AL98</f>
        <v>68200000</v>
      </c>
      <c r="G98" s="610">
        <f t="shared" si="103"/>
        <v>18200000</v>
      </c>
      <c r="H98" s="355">
        <f t="shared" si="118"/>
        <v>1</v>
      </c>
      <c r="I98" s="355">
        <f t="shared" ref="I98:I101" si="123">H98*D98</f>
        <v>0.1</v>
      </c>
      <c r="J98" s="593"/>
      <c r="K98" s="386" t="s">
        <v>4</v>
      </c>
      <c r="L98" s="355">
        <f>'Action Plan'!H102</f>
        <v>3.5000000000000003E-2</v>
      </c>
      <c r="M98" s="610">
        <f>'Action Plan'!I102</f>
        <v>17500000</v>
      </c>
      <c r="N98" s="610">
        <f>'Sale #1'!$E32</f>
        <v>17050000</v>
      </c>
      <c r="O98" s="610">
        <f>N98-M98</f>
        <v>-450000</v>
      </c>
      <c r="P98" s="355">
        <f t="shared" ref="P98:P100" si="124">_xlfn.IFS(O98&gt;0,1,O98&lt;=0,N98/M98)</f>
        <v>0.97428571428571431</v>
      </c>
      <c r="Q98" s="355">
        <f t="shared" si="105"/>
        <v>3.4100000000000005E-2</v>
      </c>
      <c r="R98" s="593"/>
      <c r="S98" s="975" t="s">
        <v>4</v>
      </c>
      <c r="T98" s="943">
        <f>'Action Plan'!L102</f>
        <v>0.03</v>
      </c>
      <c r="U98" s="610">
        <f>'Action Plan'!M102</f>
        <v>15000000</v>
      </c>
      <c r="V98" s="610">
        <f>'Sale #2'!$E32</f>
        <v>17050000</v>
      </c>
      <c r="W98" s="610">
        <f>V98-U98</f>
        <v>2050000</v>
      </c>
      <c r="X98" s="355">
        <f t="shared" ref="X98:X101" si="125">_xlfn.IFS(W98&gt;0,1,W98&lt;=0,V98/U98)</f>
        <v>1</v>
      </c>
      <c r="Y98" s="355">
        <f t="shared" si="119"/>
        <v>0.03</v>
      </c>
      <c r="Z98" s="593"/>
      <c r="AA98" s="386" t="s">
        <v>4</v>
      </c>
      <c r="AB98" s="943">
        <f>'Action Plan'!P102</f>
        <v>2.5000000000000001E-2</v>
      </c>
      <c r="AC98" s="610">
        <f>'Action Plan'!Q102</f>
        <v>12500000</v>
      </c>
      <c r="AD98" s="610">
        <f>'Sale #3'!$E32</f>
        <v>17050000</v>
      </c>
      <c r="AE98" s="610">
        <f>AD98-AC98</f>
        <v>4550000</v>
      </c>
      <c r="AF98" s="355">
        <f t="shared" ref="AF98:AF101" si="126">_xlfn.IFS(AE98&gt;0,1,AE98&lt;=0,AD98/AC98)</f>
        <v>1</v>
      </c>
      <c r="AG98" s="355">
        <f t="shared" si="120"/>
        <v>2.5000000000000001E-2</v>
      </c>
      <c r="AH98" s="593"/>
      <c r="AI98" s="975" t="s">
        <v>4</v>
      </c>
      <c r="AJ98" s="943">
        <f>'Action Plan'!T102</f>
        <v>0.02</v>
      </c>
      <c r="AK98" s="976">
        <f>'Action Plan'!U102</f>
        <v>10000000</v>
      </c>
      <c r="AL98" s="976">
        <f>'Sale #4'!$E32</f>
        <v>17050000</v>
      </c>
      <c r="AM98" s="610">
        <f t="shared" si="117"/>
        <v>7050000</v>
      </c>
      <c r="AN98" s="355">
        <f t="shared" ref="AN98:AN101" si="127">_xlfn.IFS(AM98&gt;0,1,AM98&lt;=0,AL98/AK98)</f>
        <v>1</v>
      </c>
      <c r="AO98" s="355">
        <f t="shared" si="121"/>
        <v>0.02</v>
      </c>
      <c r="AP98" s="593"/>
      <c r="AQ98" s="10"/>
      <c r="AR98" s="10"/>
      <c r="AS98" s="10"/>
      <c r="AT98" s="262"/>
      <c r="AU98" s="627"/>
      <c r="AV98" s="627"/>
      <c r="AW98" s="627"/>
      <c r="AX98" s="197"/>
      <c r="AY98" s="197"/>
      <c r="AZ98" s="197"/>
      <c r="BA98" s="197"/>
      <c r="BB98" s="197"/>
      <c r="BC98" s="197"/>
      <c r="BD98" s="197"/>
      <c r="BE98" s="197"/>
      <c r="BF98" s="197"/>
      <c r="BG98" s="197"/>
      <c r="BH98" s="197"/>
      <c r="BI98" s="197"/>
      <c r="BJ98" s="197"/>
      <c r="BK98" s="197"/>
      <c r="BL98" s="197"/>
      <c r="BM98" s="197"/>
      <c r="BN98" s="197"/>
      <c r="BO98" s="197"/>
      <c r="BP98" s="197"/>
    </row>
    <row r="99" spans="1:68" s="271" customFormat="1" ht="20" customHeight="1" x14ac:dyDescent="0.15">
      <c r="A99" s="10"/>
      <c r="B99" s="1355"/>
      <c r="C99" s="391" t="s">
        <v>5</v>
      </c>
      <c r="D99" s="355">
        <f>'Action Plan'!D103</f>
        <v>0.1</v>
      </c>
      <c r="E99" s="610">
        <f>'Action Plan'!E103</f>
        <v>50000000</v>
      </c>
      <c r="F99" s="610">
        <f t="shared" si="122"/>
        <v>62000000</v>
      </c>
      <c r="G99" s="610">
        <f t="shared" ref="G99:G101" si="128">F99-E99</f>
        <v>12000000</v>
      </c>
      <c r="H99" s="355">
        <f t="shared" si="118"/>
        <v>1</v>
      </c>
      <c r="I99" s="355">
        <f t="shared" si="123"/>
        <v>0.1</v>
      </c>
      <c r="J99" s="593"/>
      <c r="K99" s="386" t="s">
        <v>5</v>
      </c>
      <c r="L99" s="355">
        <f>'Action Plan'!H103</f>
        <v>3.5000000000000003E-2</v>
      </c>
      <c r="M99" s="610">
        <f>'Action Plan'!I103</f>
        <v>17500000</v>
      </c>
      <c r="N99" s="610">
        <f>'Sale #1'!$E35</f>
        <v>15500000</v>
      </c>
      <c r="O99" s="610">
        <f t="shared" ref="O99:O101" si="129">N99-M99</f>
        <v>-2000000</v>
      </c>
      <c r="P99" s="355">
        <f t="shared" si="124"/>
        <v>0.88571428571428568</v>
      </c>
      <c r="Q99" s="355">
        <f t="shared" si="105"/>
        <v>3.1000000000000003E-2</v>
      </c>
      <c r="R99" s="593"/>
      <c r="S99" s="975" t="s">
        <v>5</v>
      </c>
      <c r="T99" s="943">
        <f>'Action Plan'!L103</f>
        <v>0.03</v>
      </c>
      <c r="U99" s="610">
        <f>'Action Plan'!M103</f>
        <v>15000000</v>
      </c>
      <c r="V99" s="610">
        <f>'Sale #2'!$E35</f>
        <v>15500000</v>
      </c>
      <c r="W99" s="610">
        <f t="shared" ref="W99:W101" si="130">V99-U99</f>
        <v>500000</v>
      </c>
      <c r="X99" s="355">
        <f t="shared" si="125"/>
        <v>1</v>
      </c>
      <c r="Y99" s="355">
        <f t="shared" si="119"/>
        <v>0.03</v>
      </c>
      <c r="Z99" s="593"/>
      <c r="AA99" s="386" t="s">
        <v>5</v>
      </c>
      <c r="AB99" s="943">
        <f>'Action Plan'!P103</f>
        <v>2.5000000000000001E-2</v>
      </c>
      <c r="AC99" s="610">
        <f>'Action Plan'!Q103</f>
        <v>12500000</v>
      </c>
      <c r="AD99" s="610">
        <f>'Sale #3'!$E35</f>
        <v>15500000</v>
      </c>
      <c r="AE99" s="610">
        <f t="shared" ref="AE99:AE101" si="131">AD99-AC99</f>
        <v>3000000</v>
      </c>
      <c r="AF99" s="355">
        <f t="shared" si="126"/>
        <v>1</v>
      </c>
      <c r="AG99" s="355">
        <f t="shared" si="120"/>
        <v>2.5000000000000001E-2</v>
      </c>
      <c r="AH99" s="593"/>
      <c r="AI99" s="975" t="s">
        <v>5</v>
      </c>
      <c r="AJ99" s="943">
        <f>'Action Plan'!T103</f>
        <v>0.02</v>
      </c>
      <c r="AK99" s="976">
        <f>'Action Plan'!U103</f>
        <v>10000000</v>
      </c>
      <c r="AL99" s="976">
        <f>'Sale #4'!$E35</f>
        <v>15500000</v>
      </c>
      <c r="AM99" s="610">
        <f t="shared" ref="AM99:AM101" si="132">AL99-AK99</f>
        <v>5500000</v>
      </c>
      <c r="AN99" s="355">
        <f t="shared" si="127"/>
        <v>1</v>
      </c>
      <c r="AO99" s="355">
        <f t="shared" si="121"/>
        <v>0.02</v>
      </c>
      <c r="AP99" s="593"/>
      <c r="AQ99" s="10"/>
      <c r="AR99" s="10"/>
      <c r="AS99" s="10"/>
      <c r="AT99" s="262"/>
      <c r="AU99" s="627"/>
      <c r="AV99" s="627"/>
      <c r="AW99" s="627"/>
      <c r="AX99" s="197"/>
      <c r="AY99" s="197"/>
      <c r="AZ99" s="197"/>
      <c r="BA99" s="197"/>
      <c r="BB99" s="197"/>
      <c r="BC99" s="197"/>
      <c r="BD99" s="197"/>
      <c r="BE99" s="197"/>
      <c r="BF99" s="197"/>
      <c r="BG99" s="197"/>
      <c r="BH99" s="197"/>
      <c r="BI99" s="197"/>
      <c r="BJ99" s="197"/>
      <c r="BK99" s="197"/>
      <c r="BL99" s="197"/>
      <c r="BM99" s="197"/>
      <c r="BN99" s="197"/>
      <c r="BO99" s="197"/>
      <c r="BP99" s="197"/>
    </row>
    <row r="100" spans="1:68" ht="20" customHeight="1" x14ac:dyDescent="0.15">
      <c r="A100" s="10"/>
      <c r="B100" s="1355"/>
      <c r="C100" s="391" t="s">
        <v>6</v>
      </c>
      <c r="D100" s="355">
        <f>'Action Plan'!D104</f>
        <v>0.1</v>
      </c>
      <c r="E100" s="610">
        <f>'Action Plan'!E104</f>
        <v>50000000</v>
      </c>
      <c r="F100" s="610">
        <f t="shared" si="122"/>
        <v>74400000</v>
      </c>
      <c r="G100" s="610">
        <f t="shared" si="128"/>
        <v>24400000</v>
      </c>
      <c r="H100" s="355">
        <f t="shared" si="118"/>
        <v>1</v>
      </c>
      <c r="I100" s="355">
        <f t="shared" si="123"/>
        <v>0.1</v>
      </c>
      <c r="J100" s="593"/>
      <c r="K100" s="386" t="s">
        <v>6</v>
      </c>
      <c r="L100" s="355">
        <f>'Action Plan'!H104</f>
        <v>3.5000000000000003E-2</v>
      </c>
      <c r="M100" s="610">
        <f>'Action Plan'!I104</f>
        <v>17500000</v>
      </c>
      <c r="N100" s="610">
        <f>'Sale #1'!$E36</f>
        <v>18600000</v>
      </c>
      <c r="O100" s="610">
        <f t="shared" si="129"/>
        <v>1100000</v>
      </c>
      <c r="P100" s="355">
        <f t="shared" si="124"/>
        <v>1</v>
      </c>
      <c r="Q100" s="355">
        <f t="shared" si="105"/>
        <v>3.5000000000000003E-2</v>
      </c>
      <c r="R100" s="593"/>
      <c r="S100" s="975" t="s">
        <v>6</v>
      </c>
      <c r="T100" s="943">
        <f>'Action Plan'!L104</f>
        <v>0.03</v>
      </c>
      <c r="U100" s="610">
        <f>'Action Plan'!M104</f>
        <v>15000000</v>
      </c>
      <c r="V100" s="610">
        <f>'Sale #2'!$E36</f>
        <v>18600000</v>
      </c>
      <c r="W100" s="610">
        <f t="shared" si="130"/>
        <v>3600000</v>
      </c>
      <c r="X100" s="355">
        <f t="shared" si="125"/>
        <v>1</v>
      </c>
      <c r="Y100" s="355">
        <f t="shared" si="119"/>
        <v>0.03</v>
      </c>
      <c r="Z100" s="593"/>
      <c r="AA100" s="386" t="s">
        <v>6</v>
      </c>
      <c r="AB100" s="943">
        <f>'Action Plan'!P104</f>
        <v>2.5000000000000001E-2</v>
      </c>
      <c r="AC100" s="610">
        <f>'Action Plan'!Q104</f>
        <v>12500000</v>
      </c>
      <c r="AD100" s="610">
        <f>'Sale #3'!$E36</f>
        <v>18600000</v>
      </c>
      <c r="AE100" s="610">
        <f t="shared" si="131"/>
        <v>6100000</v>
      </c>
      <c r="AF100" s="355">
        <f t="shared" si="126"/>
        <v>1</v>
      </c>
      <c r="AG100" s="355">
        <f t="shared" si="120"/>
        <v>2.5000000000000001E-2</v>
      </c>
      <c r="AH100" s="593"/>
      <c r="AI100" s="975" t="s">
        <v>6</v>
      </c>
      <c r="AJ100" s="943">
        <f>'Action Plan'!T104</f>
        <v>0.02</v>
      </c>
      <c r="AK100" s="976">
        <f>'Action Plan'!U104</f>
        <v>10000000</v>
      </c>
      <c r="AL100" s="976">
        <f>'Sale #4'!$E36</f>
        <v>18600000</v>
      </c>
      <c r="AM100" s="610">
        <f t="shared" si="132"/>
        <v>8600000</v>
      </c>
      <c r="AN100" s="355">
        <f t="shared" si="127"/>
        <v>1</v>
      </c>
      <c r="AO100" s="355">
        <f t="shared" si="121"/>
        <v>0.02</v>
      </c>
      <c r="AP100" s="593"/>
      <c r="AQ100" s="10"/>
      <c r="AR100" s="10"/>
      <c r="AS100" s="10"/>
      <c r="AT100" s="262"/>
      <c r="AU100" s="627"/>
      <c r="AV100" s="627"/>
      <c r="AW100" s="627"/>
      <c r="AX100" s="197"/>
      <c r="AY100" s="197"/>
      <c r="AZ100" s="197"/>
      <c r="BA100" s="197"/>
      <c r="BB100" s="197"/>
      <c r="BC100" s="197"/>
      <c r="BD100" s="197"/>
      <c r="BE100" s="197"/>
      <c r="BF100" s="197"/>
      <c r="BG100" s="197"/>
      <c r="BH100" s="197"/>
      <c r="BI100" s="197"/>
      <c r="BJ100" s="197"/>
      <c r="BK100" s="197"/>
      <c r="BL100" s="197"/>
      <c r="BM100" s="197"/>
      <c r="BN100" s="197"/>
      <c r="BO100" s="197"/>
      <c r="BP100" s="197"/>
    </row>
    <row r="101" spans="1:68" ht="20" customHeight="1" x14ac:dyDescent="0.15">
      <c r="A101" s="10"/>
      <c r="B101" s="1355"/>
      <c r="C101" s="391" t="s">
        <v>60</v>
      </c>
      <c r="D101" s="355">
        <f>'Action Plan'!D105</f>
        <v>0.1</v>
      </c>
      <c r="E101" s="610">
        <f>'Action Plan'!E105</f>
        <v>50000000</v>
      </c>
      <c r="F101" s="610">
        <f>N101+V101+AD101+AL101</f>
        <v>37200000</v>
      </c>
      <c r="G101" s="610">
        <f t="shared" si="128"/>
        <v>-12800000</v>
      </c>
      <c r="H101" s="355">
        <f t="shared" si="118"/>
        <v>0.74399999999999999</v>
      </c>
      <c r="I101" s="355">
        <f t="shared" si="123"/>
        <v>7.4400000000000008E-2</v>
      </c>
      <c r="J101" s="593"/>
      <c r="K101" s="386" t="s">
        <v>60</v>
      </c>
      <c r="L101" s="355">
        <f>'Action Plan'!H105</f>
        <v>3.5000000000000003E-2</v>
      </c>
      <c r="M101" s="610">
        <f>'Action Plan'!I105</f>
        <v>17500000</v>
      </c>
      <c r="N101" s="610">
        <f>'Sale #1'!$E39</f>
        <v>9300000</v>
      </c>
      <c r="O101" s="610">
        <f t="shared" si="129"/>
        <v>-8200000</v>
      </c>
      <c r="P101" s="355">
        <f>_xlfn.IFS(O101&gt;0,1,O101&lt;=0,N101/M101)</f>
        <v>0.53142857142857147</v>
      </c>
      <c r="Q101" s="355">
        <f t="shared" si="105"/>
        <v>1.8600000000000002E-2</v>
      </c>
      <c r="R101" s="593"/>
      <c r="S101" s="975" t="s">
        <v>60</v>
      </c>
      <c r="T101" s="943">
        <f>'Action Plan'!L105</f>
        <v>0.03</v>
      </c>
      <c r="U101" s="610">
        <f>'Action Plan'!M105</f>
        <v>15000000</v>
      </c>
      <c r="V101" s="610">
        <f>'Sale #2'!$E39</f>
        <v>9300000</v>
      </c>
      <c r="W101" s="610">
        <f t="shared" si="130"/>
        <v>-5700000</v>
      </c>
      <c r="X101" s="355">
        <f t="shared" si="125"/>
        <v>0.62</v>
      </c>
      <c r="Y101" s="355">
        <f t="shared" si="119"/>
        <v>1.8599999999999998E-2</v>
      </c>
      <c r="Z101" s="593"/>
      <c r="AA101" s="386" t="s">
        <v>60</v>
      </c>
      <c r="AB101" s="943">
        <f>'Action Plan'!P105</f>
        <v>2.5000000000000001E-2</v>
      </c>
      <c r="AC101" s="610">
        <f>'Action Plan'!Q105</f>
        <v>12500000</v>
      </c>
      <c r="AD101" s="610">
        <f>'Sale #3'!$E39</f>
        <v>9300000</v>
      </c>
      <c r="AE101" s="610">
        <f t="shared" si="131"/>
        <v>-3200000</v>
      </c>
      <c r="AF101" s="355">
        <f t="shared" si="126"/>
        <v>0.74399999999999999</v>
      </c>
      <c r="AG101" s="355">
        <f t="shared" si="120"/>
        <v>1.8600000000000002E-2</v>
      </c>
      <c r="AH101" s="593"/>
      <c r="AI101" s="975" t="s">
        <v>60</v>
      </c>
      <c r="AJ101" s="943">
        <f>'Action Plan'!T105</f>
        <v>0.02</v>
      </c>
      <c r="AK101" s="976">
        <f>'Action Plan'!U105</f>
        <v>10000000</v>
      </c>
      <c r="AL101" s="976">
        <f>'Sale #4'!$E39</f>
        <v>9300000</v>
      </c>
      <c r="AM101" s="610">
        <f t="shared" si="132"/>
        <v>-700000</v>
      </c>
      <c r="AN101" s="355">
        <f t="shared" si="127"/>
        <v>0.93</v>
      </c>
      <c r="AO101" s="355">
        <f t="shared" si="121"/>
        <v>1.8600000000000002E-2</v>
      </c>
      <c r="AP101" s="593"/>
      <c r="AQ101" s="10"/>
      <c r="AR101" s="10"/>
      <c r="AS101" s="10"/>
      <c r="AT101" s="262"/>
      <c r="AU101" s="627"/>
      <c r="AV101" s="627"/>
      <c r="AW101" s="627"/>
      <c r="AX101" s="197"/>
      <c r="AY101" s="197"/>
      <c r="AZ101" s="197"/>
      <c r="BA101" s="197"/>
      <c r="BB101" s="197"/>
      <c r="BC101" s="197"/>
      <c r="BD101" s="197"/>
      <c r="BE101" s="197"/>
      <c r="BF101" s="197"/>
      <c r="BG101" s="197"/>
      <c r="BH101" s="197"/>
      <c r="BI101" s="197"/>
      <c r="BJ101" s="197"/>
      <c r="BK101" s="197"/>
      <c r="BL101" s="197"/>
      <c r="BM101" s="197"/>
      <c r="BN101" s="197"/>
      <c r="BO101" s="197"/>
      <c r="BP101" s="197"/>
    </row>
    <row r="102" spans="1:68" ht="20" customHeight="1" x14ac:dyDescent="0.15">
      <c r="A102" s="10"/>
      <c r="B102" s="1355"/>
      <c r="C102" s="1239" t="s">
        <v>80</v>
      </c>
      <c r="D102" s="608">
        <f>'Action Plan'!D106</f>
        <v>0.05</v>
      </c>
      <c r="E102" s="608">
        <f>'Action Plan'!E106</f>
        <v>0.37333333333333335</v>
      </c>
      <c r="F102" s="1237">
        <f>IF(SUM(F103:F108)&gt;0,AVERAGEIF(F103:F108,"&gt;0"),0)</f>
        <v>0.12111237706485289</v>
      </c>
      <c r="G102" s="608">
        <f>E102-F102</f>
        <v>0.25222095626848046</v>
      </c>
      <c r="H102" s="608">
        <f>AVERAGE(H103:H108)</f>
        <v>0.95721212121212129</v>
      </c>
      <c r="I102" s="608">
        <f>H102*D102</f>
        <v>4.7860606060606069E-2</v>
      </c>
      <c r="J102" s="1238"/>
      <c r="K102" s="1233" t="s">
        <v>80</v>
      </c>
      <c r="L102" s="608">
        <f>'Action Plan'!H106</f>
        <v>0.35000000000000003</v>
      </c>
      <c r="M102" s="608">
        <f>'Action Plan'!I106</f>
        <v>0.13066666666666663</v>
      </c>
      <c r="N102" s="1237">
        <f>IF(SUM(N103:N108)&gt;0,AVERAGEIF(N103:N108,"&gt;0"),0)</f>
        <v>3.8535756338816826E-2</v>
      </c>
      <c r="O102" s="608">
        <f>M102-N102</f>
        <v>9.2130910327849799E-2</v>
      </c>
      <c r="P102" s="608">
        <f>AVERAGE(P103:P108)</f>
        <v>0.96960000000000013</v>
      </c>
      <c r="Q102" s="608">
        <f>P102*L102</f>
        <v>0.33936000000000005</v>
      </c>
      <c r="R102" s="1238"/>
      <c r="S102" s="1233" t="s">
        <v>80</v>
      </c>
      <c r="T102" s="1234">
        <f>'Action Plan'!L106</f>
        <v>0.3</v>
      </c>
      <c r="U102" s="1234">
        <f>IF(SUM(U103:U108)&gt;0,AVERAGEIF(U103:U108,"&gt;0"),0)</f>
        <v>0.11199999999999999</v>
      </c>
      <c r="V102" s="1235">
        <f>IF(SUM(V103:V108)&gt;0,AVERAGEIF(V103:V108,"&gt;0"),0)</f>
        <v>3.3030648290414424E-2</v>
      </c>
      <c r="W102" s="1234">
        <f>U102-V102</f>
        <v>7.8969351709585564E-2</v>
      </c>
      <c r="X102" s="1184">
        <f>AVERAGE(X103:X108)</f>
        <v>0.96960000000000013</v>
      </c>
      <c r="Y102" s="1234">
        <f>X102*T102</f>
        <v>0.29088000000000003</v>
      </c>
      <c r="Z102" s="1236"/>
      <c r="AA102" s="1233" t="s">
        <v>80</v>
      </c>
      <c r="AB102" s="1184">
        <f>'Action Plan'!P106</f>
        <v>0.25</v>
      </c>
      <c r="AC102" s="1184">
        <f>'Action Plan'!Q106</f>
        <v>9.3333333333333338E-2</v>
      </c>
      <c r="AD102" s="1235">
        <f>IF(SUM(AD103:AD108)&gt;0,AVERAGEIF(AD103:AD108,"&gt;0"),0)</f>
        <v>2.7525540242012019E-2</v>
      </c>
      <c r="AE102" s="1184">
        <f>AC102-AD102</f>
        <v>6.5807793091321315E-2</v>
      </c>
      <c r="AF102" s="1184">
        <f>AVERAGE(AF103:AF108)</f>
        <v>0.96960000000000013</v>
      </c>
      <c r="AG102" s="1184">
        <f t="shared" ref="AG102:AG105" si="133">AF102*AB102</f>
        <v>0.24240000000000003</v>
      </c>
      <c r="AH102" s="1183"/>
      <c r="AI102" s="1233" t="s">
        <v>80</v>
      </c>
      <c r="AJ102" s="1184">
        <f>'Action Plan'!T106</f>
        <v>0.20000000000000004</v>
      </c>
      <c r="AK102" s="1234">
        <f>'Action Plan'!U106</f>
        <v>7.4666666666666673E-2</v>
      </c>
      <c r="AL102" s="1235">
        <f>IF(SUM(AL103:AL108)&gt;0,AVERAGEIF(AL103:AL108,"&gt;0"),0)</f>
        <v>2.2020432193609617E-2</v>
      </c>
      <c r="AM102" s="1184">
        <f>AK102-AL102</f>
        <v>5.2646234473057052E-2</v>
      </c>
      <c r="AN102" s="1184">
        <f>AVERAGE(AN103:AN108)</f>
        <v>0.96960000000000013</v>
      </c>
      <c r="AO102" s="1184">
        <f>AN102*AJ102</f>
        <v>0.19392000000000006</v>
      </c>
      <c r="AP102" s="1236"/>
      <c r="AQ102" s="10"/>
      <c r="AR102" s="10"/>
      <c r="AS102" s="10"/>
      <c r="AT102" s="262"/>
      <c r="AU102" s="627"/>
      <c r="AV102" s="627"/>
      <c r="AW102" s="627"/>
      <c r="AX102" s="197"/>
      <c r="AY102" s="197"/>
      <c r="AZ102" s="197"/>
      <c r="BA102" s="197"/>
      <c r="BB102" s="197"/>
      <c r="BC102" s="197"/>
      <c r="BD102" s="197"/>
      <c r="BE102" s="197"/>
      <c r="BF102" s="197"/>
      <c r="BG102" s="197"/>
      <c r="BH102" s="197"/>
      <c r="BI102" s="197"/>
      <c r="BJ102" s="197"/>
      <c r="BK102" s="197"/>
      <c r="BL102" s="197"/>
      <c r="BM102" s="197"/>
      <c r="BN102" s="197"/>
      <c r="BO102" s="197"/>
      <c r="BP102" s="197"/>
    </row>
    <row r="103" spans="1:68" s="271" customFormat="1" ht="20" customHeight="1" x14ac:dyDescent="0.15">
      <c r="A103" s="10"/>
      <c r="B103" s="1355"/>
      <c r="C103" s="387" t="s">
        <v>2</v>
      </c>
      <c r="D103" s="1229">
        <f>'Action Plan'!D107</f>
        <v>0.2</v>
      </c>
      <c r="E103" s="1229">
        <f>'Action Plan'!E107</f>
        <v>0.2</v>
      </c>
      <c r="F103" s="1229">
        <f>(N103+V103+AD103+AL103)</f>
        <v>6.4579256360078269E-3</v>
      </c>
      <c r="G103" s="1229">
        <f>E103-F103</f>
        <v>0.19354207436399218</v>
      </c>
      <c r="H103" s="355">
        <f>_xlfn.IFS(G103&gt;=0,1,G103&lt;0,E103/F103)</f>
        <v>1</v>
      </c>
      <c r="I103" s="1229">
        <f>H103*D103</f>
        <v>0.2</v>
      </c>
      <c r="J103" s="1243" t="s">
        <v>222</v>
      </c>
      <c r="K103" s="1230" t="s">
        <v>2</v>
      </c>
      <c r="L103" s="1229">
        <f>'Action Plan'!H107</f>
        <v>0.18749999999999997</v>
      </c>
      <c r="M103" s="1229">
        <f>'Action Plan'!I107</f>
        <v>6.9999999999999993E-2</v>
      </c>
      <c r="N103" s="1229">
        <f>(F16/F27)*$P$13</f>
        <v>2.054794520547945E-3</v>
      </c>
      <c r="O103" s="355">
        <f>M103-N103</f>
        <v>6.7945205479452042E-2</v>
      </c>
      <c r="P103" s="355">
        <f>_xlfn.IFS(O103&gt;=0,1,O103&lt;0,M103/N103)</f>
        <v>1</v>
      </c>
      <c r="Q103" s="1229">
        <f>P103*L103</f>
        <v>0.18749999999999997</v>
      </c>
      <c r="R103" s="1194"/>
      <c r="S103" s="1231" t="s">
        <v>2</v>
      </c>
      <c r="T103" s="1232">
        <f>'Action Plan'!L107</f>
        <v>0.1607142857142857</v>
      </c>
      <c r="U103" s="1229">
        <f>'Action Plan'!M107</f>
        <v>0.06</v>
      </c>
      <c r="V103" s="1232">
        <f>(F16/F27)*$Q$13</f>
        <v>1.7612524461839529E-3</v>
      </c>
      <c r="W103" s="355">
        <f>U103-V103</f>
        <v>5.8238747553816042E-2</v>
      </c>
      <c r="X103" s="355">
        <f>_xlfn.IFS(W103&gt;=0,1,W103&lt;0,U103/V103)</f>
        <v>1</v>
      </c>
      <c r="Y103" s="1229">
        <f>X103*T103</f>
        <v>0.1607142857142857</v>
      </c>
      <c r="Z103" s="1194"/>
      <c r="AA103" s="1230" t="s">
        <v>2</v>
      </c>
      <c r="AB103" s="1229">
        <f>'Action Plan'!P107</f>
        <v>0.13392857142857142</v>
      </c>
      <c r="AC103" s="1229">
        <f>'Action Plan'!Q107</f>
        <v>0.05</v>
      </c>
      <c r="AD103" s="1232">
        <f>(F16/F27)*$R$13</f>
        <v>1.4677103718199608E-3</v>
      </c>
      <c r="AE103" s="355">
        <f>AC103-AD103</f>
        <v>4.8532289628180042E-2</v>
      </c>
      <c r="AF103" s="355">
        <f>_xlfn.IFS(AE103&gt;=0,1,AE103&lt;0,AC103/AD103)</f>
        <v>1</v>
      </c>
      <c r="AG103" s="1229">
        <f t="shared" si="133"/>
        <v>0.13392857142857142</v>
      </c>
      <c r="AH103" s="1194"/>
      <c r="AI103" s="1231" t="s">
        <v>2</v>
      </c>
      <c r="AJ103" s="1229">
        <f>'Action Plan'!T107</f>
        <v>0.10714285714285716</v>
      </c>
      <c r="AK103" s="1232">
        <f>'Action Plan'!U107</f>
        <v>4.0000000000000008E-2</v>
      </c>
      <c r="AL103" s="1232">
        <f>(F16/F27)*$S$13</f>
        <v>1.1741682974559687E-3</v>
      </c>
      <c r="AM103" s="355">
        <f>AK103-AL103</f>
        <v>3.8825831702544042E-2</v>
      </c>
      <c r="AN103" s="355">
        <f>_xlfn.IFS(AM103&gt;=0,1,AM103&lt;0,AK103/AL103)</f>
        <v>1</v>
      </c>
      <c r="AO103" s="1229">
        <f>AN103*AJ103</f>
        <v>0.10714285714285716</v>
      </c>
      <c r="AP103" s="1194"/>
      <c r="AQ103" s="10"/>
      <c r="AR103" s="10"/>
      <c r="AS103" s="10"/>
      <c r="AT103" s="262"/>
      <c r="AU103" s="627"/>
      <c r="AV103" s="627"/>
      <c r="AW103" s="627"/>
      <c r="AX103" s="197"/>
      <c r="AY103" s="197"/>
      <c r="AZ103" s="197"/>
      <c r="BA103" s="197"/>
      <c r="BB103" s="197"/>
      <c r="BC103" s="197"/>
      <c r="BD103" s="197"/>
      <c r="BE103" s="197"/>
      <c r="BF103" s="197"/>
      <c r="BG103" s="197"/>
      <c r="BH103" s="197"/>
      <c r="BI103" s="197"/>
      <c r="BJ103" s="197"/>
      <c r="BK103" s="197"/>
      <c r="BL103" s="197"/>
      <c r="BM103" s="197"/>
      <c r="BN103" s="197"/>
      <c r="BO103" s="197"/>
      <c r="BP103" s="197"/>
    </row>
    <row r="104" spans="1:68" s="271" customFormat="1" ht="20" customHeight="1" x14ac:dyDescent="0.15">
      <c r="A104" s="10"/>
      <c r="B104" s="1355"/>
      <c r="C104" s="387" t="s">
        <v>3</v>
      </c>
      <c r="D104" s="1229">
        <f>'Action Plan'!D108</f>
        <v>0.4</v>
      </c>
      <c r="E104" s="1229">
        <f>'Action Plan'!E108</f>
        <v>0.24</v>
      </c>
      <c r="F104" s="1229">
        <f>(N104+V104+AD104+AL104)</f>
        <v>0.32289628180039137</v>
      </c>
      <c r="G104" s="1229">
        <f>E104-F104</f>
        <v>-8.289628180039138E-2</v>
      </c>
      <c r="H104" s="355">
        <f>_xlfn.IFS(G104&gt;=0,1,G104&lt;0,E104/F104)</f>
        <v>0.74327272727272731</v>
      </c>
      <c r="I104" s="1229">
        <f t="shared" ref="I104:I122" si="134">H104*D104</f>
        <v>0.29730909090909091</v>
      </c>
      <c r="J104" s="1194"/>
      <c r="K104" s="1230" t="s">
        <v>3</v>
      </c>
      <c r="L104" s="1229">
        <f>'Action Plan'!H108</f>
        <v>0.22499999999999998</v>
      </c>
      <c r="M104" s="1229">
        <f>'Action Plan'!I108</f>
        <v>8.3999999999999991E-2</v>
      </c>
      <c r="N104" s="1229">
        <f>(F17/F28)*$P$13</f>
        <v>0.10273972602739725</v>
      </c>
      <c r="O104" s="355">
        <f>M104-N104</f>
        <v>-1.8739726027397263E-2</v>
      </c>
      <c r="P104" s="355">
        <f t="shared" ref="P104:P107" si="135">_xlfn.IFS(O104&gt;=0,1,O104&lt;0,M104/N104)</f>
        <v>0.81759999999999999</v>
      </c>
      <c r="Q104" s="1229">
        <f t="shared" si="105"/>
        <v>0.18395999999999998</v>
      </c>
      <c r="R104" s="1194"/>
      <c r="S104" s="1231" t="s">
        <v>3</v>
      </c>
      <c r="T104" s="1232">
        <f>'Action Plan'!L108</f>
        <v>0.19285714285714284</v>
      </c>
      <c r="U104" s="1229">
        <f>'Action Plan'!M108</f>
        <v>7.1999999999999995E-2</v>
      </c>
      <c r="V104" s="1232">
        <f t="shared" ref="V104:V105" si="136">(F17/F28)*$Q$13</f>
        <v>8.8062622309197647E-2</v>
      </c>
      <c r="W104" s="355">
        <f>U104-V104</f>
        <v>-1.6062622309197652E-2</v>
      </c>
      <c r="X104" s="355">
        <f t="shared" ref="X104:X107" si="137">_xlfn.IFS(W104&gt;=0,1,W104&lt;0,U104/V104)</f>
        <v>0.81759999999999999</v>
      </c>
      <c r="Y104" s="1229">
        <f t="shared" ref="Y104:Y105" si="138">X104*T104</f>
        <v>0.15767999999999999</v>
      </c>
      <c r="Z104" s="1194"/>
      <c r="AA104" s="1230" t="s">
        <v>3</v>
      </c>
      <c r="AB104" s="1229">
        <f>'Action Plan'!P108</f>
        <v>0.1607142857142857</v>
      </c>
      <c r="AC104" s="1229">
        <f>'Action Plan'!Q108</f>
        <v>0.06</v>
      </c>
      <c r="AD104" s="1232">
        <f>(F17/F28)*$R$13</f>
        <v>7.3385518590998039E-2</v>
      </c>
      <c r="AE104" s="355">
        <f>AC104-AD104</f>
        <v>-1.3385518590998041E-2</v>
      </c>
      <c r="AF104" s="355">
        <f t="shared" ref="AF104:AF108" si="139">_xlfn.IFS(AE104&gt;=0,1,AE104&lt;0,AC104/AD104)</f>
        <v>0.81759999999999999</v>
      </c>
      <c r="AG104" s="1229">
        <f t="shared" si="133"/>
        <v>0.13139999999999999</v>
      </c>
      <c r="AH104" s="1194"/>
      <c r="AI104" s="1231" t="s">
        <v>3</v>
      </c>
      <c r="AJ104" s="1229">
        <f>'Action Plan'!T108</f>
        <v>0.12857142857142856</v>
      </c>
      <c r="AK104" s="1232">
        <f>'Action Plan'!U108</f>
        <v>4.8000000000000001E-2</v>
      </c>
      <c r="AL104" s="1232">
        <f t="shared" ref="AL104:AL108" si="140">(F17/F28)*$S$13</f>
        <v>5.8708414872798431E-2</v>
      </c>
      <c r="AM104" s="355">
        <f>AK104-AL104</f>
        <v>-1.070841487279843E-2</v>
      </c>
      <c r="AN104" s="355">
        <f t="shared" ref="AN104:AN108" si="141">_xlfn.IFS(AM104&gt;=0,1,AM104&lt;0,AK104/AL104)</f>
        <v>0.8176000000000001</v>
      </c>
      <c r="AO104" s="1229">
        <f t="shared" si="121"/>
        <v>0.10512000000000001</v>
      </c>
      <c r="AP104" s="1194"/>
      <c r="AQ104" s="10"/>
      <c r="AR104" s="10"/>
      <c r="AS104" s="10"/>
      <c r="AT104" s="262"/>
      <c r="AU104" s="627"/>
      <c r="AV104" s="627"/>
      <c r="AW104" s="627"/>
      <c r="AX104" s="197"/>
      <c r="AY104" s="197"/>
      <c r="AZ104" s="197"/>
      <c r="BA104" s="197"/>
      <c r="BB104" s="197"/>
      <c r="BC104" s="197"/>
      <c r="BD104" s="197"/>
      <c r="BE104" s="197"/>
      <c r="BF104" s="197"/>
      <c r="BG104" s="197"/>
      <c r="BH104" s="197"/>
      <c r="BI104" s="197"/>
      <c r="BJ104" s="197"/>
      <c r="BK104" s="197"/>
      <c r="BL104" s="197"/>
      <c r="BM104" s="197"/>
      <c r="BN104" s="197"/>
      <c r="BO104" s="197"/>
      <c r="BP104" s="197"/>
    </row>
    <row r="105" spans="1:68" s="271" customFormat="1" ht="20" customHeight="1" x14ac:dyDescent="0.15">
      <c r="A105" s="10"/>
      <c r="B105" s="1355"/>
      <c r="C105" s="387" t="s">
        <v>4</v>
      </c>
      <c r="D105" s="1229">
        <f>'Action Plan'!D109</f>
        <v>0.1</v>
      </c>
      <c r="E105" s="1229">
        <f>'Action Plan'!E109</f>
        <v>0.2</v>
      </c>
      <c r="F105" s="1229">
        <f t="shared" ref="F104:F108" si="142">(N105+V105+AD105+AL105)</f>
        <v>8.2328482328482333E-2</v>
      </c>
      <c r="G105" s="1229">
        <f>E105-F105</f>
        <v>0.11767151767151768</v>
      </c>
      <c r="H105" s="355">
        <f t="shared" ref="H104:H108" si="143">_xlfn.IFS(G105&gt;=0,1,G105&lt;0,E105/F105)</f>
        <v>1</v>
      </c>
      <c r="I105" s="1229">
        <f t="shared" si="134"/>
        <v>0.1</v>
      </c>
      <c r="J105" s="1194"/>
      <c r="K105" s="1230" t="s">
        <v>4</v>
      </c>
      <c r="L105" s="1229">
        <f>'Action Plan'!H109</f>
        <v>0.18749999999999997</v>
      </c>
      <c r="M105" s="1229">
        <f>'Action Plan'!I109</f>
        <v>6.9999999999999993E-2</v>
      </c>
      <c r="N105" s="1229">
        <f>(F18/F29)*$P$13</f>
        <v>2.6195426195426197E-2</v>
      </c>
      <c r="O105" s="355">
        <f t="shared" ref="O105:O107" si="144">M105-N105</f>
        <v>4.3804573804573796E-2</v>
      </c>
      <c r="P105" s="355">
        <f t="shared" si="135"/>
        <v>1</v>
      </c>
      <c r="Q105" s="1229">
        <f t="shared" si="105"/>
        <v>0.18749999999999997</v>
      </c>
      <c r="R105" s="1194"/>
      <c r="S105" s="1231" t="s">
        <v>4</v>
      </c>
      <c r="T105" s="1232">
        <f>'Action Plan'!L109</f>
        <v>0.1607142857142857</v>
      </c>
      <c r="U105" s="1229">
        <f>'Action Plan'!M109</f>
        <v>0.06</v>
      </c>
      <c r="V105" s="1232">
        <f t="shared" si="136"/>
        <v>2.2453222453222454E-2</v>
      </c>
      <c r="W105" s="355">
        <f t="shared" ref="W105:W108" si="145">U105-V105</f>
        <v>3.7546777546777543E-2</v>
      </c>
      <c r="X105" s="355">
        <f t="shared" si="137"/>
        <v>1</v>
      </c>
      <c r="Y105" s="1229">
        <f t="shared" si="138"/>
        <v>0.1607142857142857</v>
      </c>
      <c r="Z105" s="1194"/>
      <c r="AA105" s="1230" t="s">
        <v>4</v>
      </c>
      <c r="AB105" s="1229">
        <f>'Action Plan'!P109</f>
        <v>0.13392857142857142</v>
      </c>
      <c r="AC105" s="1229">
        <f>'Action Plan'!Q109</f>
        <v>0.05</v>
      </c>
      <c r="AD105" s="1232">
        <f>(F18/F29)*$R$13</f>
        <v>1.8711018711018712E-2</v>
      </c>
      <c r="AE105" s="355">
        <f>AC105-AD105</f>
        <v>3.1288981288981291E-2</v>
      </c>
      <c r="AF105" s="355">
        <f t="shared" si="139"/>
        <v>1</v>
      </c>
      <c r="AG105" s="1229">
        <f t="shared" si="133"/>
        <v>0.13392857142857142</v>
      </c>
      <c r="AH105" s="1194"/>
      <c r="AI105" s="1231" t="s">
        <v>4</v>
      </c>
      <c r="AJ105" s="1229">
        <f>'Action Plan'!T109</f>
        <v>0.10714285714285716</v>
      </c>
      <c r="AK105" s="1232">
        <f>'Action Plan'!U109</f>
        <v>4.0000000000000008E-2</v>
      </c>
      <c r="AL105" s="1232">
        <f t="shared" si="140"/>
        <v>1.496881496881497E-2</v>
      </c>
      <c r="AM105" s="355">
        <f t="shared" ref="AM105:AM108" si="146">AK105-AL105</f>
        <v>2.5031185031185038E-2</v>
      </c>
      <c r="AN105" s="355">
        <f t="shared" si="141"/>
        <v>1</v>
      </c>
      <c r="AO105" s="1229">
        <f t="shared" si="121"/>
        <v>0.10714285714285716</v>
      </c>
      <c r="AP105" s="1194"/>
      <c r="AQ105" s="10"/>
      <c r="AR105" s="10"/>
      <c r="AS105" s="10"/>
      <c r="AT105" s="262"/>
      <c r="AU105" s="627"/>
      <c r="AV105" s="627"/>
      <c r="AW105" s="627"/>
      <c r="AX105" s="197"/>
      <c r="AY105" s="197"/>
      <c r="AZ105" s="197"/>
      <c r="BA105" s="197"/>
      <c r="BB105" s="197"/>
      <c r="BC105" s="197"/>
      <c r="BD105" s="197"/>
      <c r="BE105" s="197"/>
      <c r="BF105" s="197"/>
      <c r="BG105" s="197"/>
      <c r="BH105" s="197"/>
      <c r="BI105" s="197"/>
      <c r="BJ105" s="197"/>
      <c r="BK105" s="197"/>
      <c r="BL105" s="197"/>
      <c r="BM105" s="197"/>
      <c r="BN105" s="197"/>
      <c r="BO105" s="197"/>
      <c r="BP105" s="197"/>
    </row>
    <row r="106" spans="1:68" ht="20" customHeight="1" x14ac:dyDescent="0.15">
      <c r="A106" s="10"/>
      <c r="B106" s="1355"/>
      <c r="C106" s="387" t="s">
        <v>5</v>
      </c>
      <c r="D106" s="1229">
        <f>'Action Plan'!D110</f>
        <v>0.1</v>
      </c>
      <c r="E106" s="1229">
        <f>'Action Plan'!E110</f>
        <v>0.6</v>
      </c>
      <c r="F106" s="1229">
        <f t="shared" si="142"/>
        <v>0.15977321814254861</v>
      </c>
      <c r="G106" s="1229">
        <f t="shared" ref="G106:G108" si="147">E106-F106</f>
        <v>0.44022678185745134</v>
      </c>
      <c r="H106" s="355">
        <f>_xlfn.IFS(G106&gt;=0,1,G106&lt;0,E106/F106)</f>
        <v>1</v>
      </c>
      <c r="I106" s="1229">
        <f>H106*D106</f>
        <v>0.1</v>
      </c>
      <c r="J106" s="1194"/>
      <c r="K106" s="1230" t="s">
        <v>5</v>
      </c>
      <c r="L106" s="1229">
        <f>'Action Plan'!H110</f>
        <v>0.5625</v>
      </c>
      <c r="M106" s="1229">
        <f>'Action Plan'!I110</f>
        <v>0.21</v>
      </c>
      <c r="N106" s="1229">
        <f>((F19+F22)/F30)*$P$13</f>
        <v>5.0836933045356365E-2</v>
      </c>
      <c r="O106" s="355">
        <f>M106-N106</f>
        <v>0.15916306695464363</v>
      </c>
      <c r="P106" s="355">
        <f t="shared" si="135"/>
        <v>1</v>
      </c>
      <c r="Q106" s="1229">
        <f>P106*L106</f>
        <v>0.5625</v>
      </c>
      <c r="R106" s="1194"/>
      <c r="S106" s="1231" t="s">
        <v>5</v>
      </c>
      <c r="T106" s="1232">
        <f>'Action Plan'!L110</f>
        <v>0.4821428571428571</v>
      </c>
      <c r="U106" s="1229">
        <f>'Action Plan'!M110</f>
        <v>0.18</v>
      </c>
      <c r="V106" s="1232">
        <f>((F19+F22)/F30)*$Q$13</f>
        <v>4.357451403887689E-2</v>
      </c>
      <c r="W106" s="355">
        <f t="shared" si="145"/>
        <v>0.13642548596112311</v>
      </c>
      <c r="X106" s="355">
        <f t="shared" si="137"/>
        <v>1</v>
      </c>
      <c r="Y106" s="1229">
        <f>X106*T106</f>
        <v>0.4821428571428571</v>
      </c>
      <c r="Z106" s="1194"/>
      <c r="AA106" s="1230" t="s">
        <v>5</v>
      </c>
      <c r="AB106" s="1229">
        <f>'Action Plan'!P110</f>
        <v>0.40178571428571425</v>
      </c>
      <c r="AC106" s="1229">
        <f>'Action Plan'!Q110</f>
        <v>0.15</v>
      </c>
      <c r="AD106" s="1232">
        <f>((F19+F22)/F30)*$R$13</f>
        <v>3.6312095032397407E-2</v>
      </c>
      <c r="AE106" s="355">
        <f>AC106-AD106</f>
        <v>0.11368790496760259</v>
      </c>
      <c r="AF106" s="355">
        <f t="shared" si="139"/>
        <v>1</v>
      </c>
      <c r="AG106" s="1229">
        <f>AF106*AB106</f>
        <v>0.40178571428571425</v>
      </c>
      <c r="AH106" s="1194"/>
      <c r="AI106" s="1231" t="s">
        <v>5</v>
      </c>
      <c r="AJ106" s="1229">
        <f>'Action Plan'!T110</f>
        <v>0.3214285714285714</v>
      </c>
      <c r="AK106" s="1232">
        <f>'Action Plan'!U110</f>
        <v>0.12</v>
      </c>
      <c r="AL106" s="1232">
        <f>((F19+F22)/F30)*$S$13</f>
        <v>2.9049676025917927E-2</v>
      </c>
      <c r="AM106" s="355">
        <f t="shared" si="146"/>
        <v>9.0950323974082065E-2</v>
      </c>
      <c r="AN106" s="355">
        <f t="shared" si="141"/>
        <v>1</v>
      </c>
      <c r="AO106" s="1229">
        <f>AN106*AJ106</f>
        <v>0.3214285714285714</v>
      </c>
      <c r="AP106" s="1194"/>
      <c r="AQ106" s="10"/>
      <c r="AR106" s="10"/>
      <c r="AS106" s="10"/>
      <c r="AT106" s="262"/>
      <c r="AU106" s="627"/>
      <c r="AV106" s="627"/>
      <c r="AW106" s="627"/>
      <c r="AX106" s="197"/>
      <c r="AY106" s="197"/>
      <c r="AZ106" s="197"/>
      <c r="BA106" s="197"/>
      <c r="BB106" s="197"/>
      <c r="BC106" s="197"/>
      <c r="BD106" s="197"/>
      <c r="BE106" s="197"/>
      <c r="BF106" s="197"/>
      <c r="BG106" s="197"/>
      <c r="BH106" s="197"/>
      <c r="BI106" s="197"/>
      <c r="BJ106" s="197"/>
      <c r="BK106" s="197"/>
      <c r="BL106" s="197"/>
      <c r="BM106" s="197"/>
      <c r="BN106" s="197"/>
      <c r="BO106" s="197"/>
      <c r="BP106" s="197"/>
    </row>
    <row r="107" spans="1:68" ht="20" customHeight="1" x14ac:dyDescent="0.15">
      <c r="A107" s="10"/>
      <c r="B107" s="1355"/>
      <c r="C107" s="387" t="s">
        <v>6</v>
      </c>
      <c r="D107" s="1229">
        <f>'Action Plan'!D111</f>
        <v>0.1</v>
      </c>
      <c r="E107" s="1229">
        <f>'Action Plan'!E111</f>
        <v>0.2</v>
      </c>
      <c r="F107" s="1229">
        <f t="shared" si="142"/>
        <v>7.1307120085015954E-2</v>
      </c>
      <c r="G107" s="1229">
        <f t="shared" si="147"/>
        <v>0.12869287991498407</v>
      </c>
      <c r="H107" s="355">
        <f t="shared" si="143"/>
        <v>1</v>
      </c>
      <c r="I107" s="1229">
        <f t="shared" si="134"/>
        <v>0.1</v>
      </c>
      <c r="J107" s="1194"/>
      <c r="K107" s="1230" t="s">
        <v>6</v>
      </c>
      <c r="L107" s="1229">
        <f>'Action Plan'!H111</f>
        <v>0.18749999999999997</v>
      </c>
      <c r="M107" s="1229">
        <f>'Action Plan'!I111</f>
        <v>6.9999999999999993E-2</v>
      </c>
      <c r="N107" s="1229">
        <f>(F20/F31)*$P$13</f>
        <v>2.268862911795962E-2</v>
      </c>
      <c r="O107" s="355">
        <f t="shared" si="144"/>
        <v>4.7311370882040377E-2</v>
      </c>
      <c r="P107" s="355">
        <f t="shared" si="135"/>
        <v>1</v>
      </c>
      <c r="Q107" s="1229">
        <f t="shared" si="105"/>
        <v>0.18749999999999997</v>
      </c>
      <c r="R107" s="1194"/>
      <c r="S107" s="1231" t="s">
        <v>6</v>
      </c>
      <c r="T107" s="1232">
        <f>'Action Plan'!L111</f>
        <v>0.1607142857142857</v>
      </c>
      <c r="U107" s="1229">
        <f>'Action Plan'!M111</f>
        <v>0.06</v>
      </c>
      <c r="V107" s="1232">
        <f>(F20/F31)*$Q$13</f>
        <v>1.9447396386822531E-2</v>
      </c>
      <c r="W107" s="355">
        <f t="shared" si="145"/>
        <v>4.0552603613177467E-2</v>
      </c>
      <c r="X107" s="355">
        <f t="shared" si="137"/>
        <v>1</v>
      </c>
      <c r="Y107" s="1229">
        <f t="shared" ref="Y107:Y108" si="148">X107*T107</f>
        <v>0.1607142857142857</v>
      </c>
      <c r="Z107" s="1194"/>
      <c r="AA107" s="1230" t="s">
        <v>6</v>
      </c>
      <c r="AB107" s="1229">
        <f>'Action Plan'!P111</f>
        <v>0.13392857142857142</v>
      </c>
      <c r="AC107" s="1229">
        <f>'Action Plan'!Q111</f>
        <v>0.05</v>
      </c>
      <c r="AD107" s="1232">
        <f>(F20/F31)*$R$13</f>
        <v>1.6206163655685443E-2</v>
      </c>
      <c r="AE107" s="355">
        <f t="shared" ref="AE105:AE108" si="149">AC107-AD107</f>
        <v>3.3793836344314557E-2</v>
      </c>
      <c r="AF107" s="355">
        <f t="shared" si="139"/>
        <v>1</v>
      </c>
      <c r="AG107" s="1229">
        <f t="shared" ref="AG107:AG108" si="150">AF107*AB107</f>
        <v>0.13392857142857142</v>
      </c>
      <c r="AH107" s="1194"/>
      <c r="AI107" s="1231" t="s">
        <v>6</v>
      </c>
      <c r="AJ107" s="1229">
        <f>'Action Plan'!T111</f>
        <v>0.10714285714285716</v>
      </c>
      <c r="AK107" s="1232">
        <f>'Action Plan'!U111</f>
        <v>4.0000000000000008E-2</v>
      </c>
      <c r="AL107" s="1232">
        <f t="shared" si="140"/>
        <v>1.2964930924548354E-2</v>
      </c>
      <c r="AM107" s="355">
        <f t="shared" si="146"/>
        <v>2.7035069075451654E-2</v>
      </c>
      <c r="AN107" s="355">
        <f t="shared" si="141"/>
        <v>1</v>
      </c>
      <c r="AO107" s="1229">
        <f t="shared" ref="AO107:AO108" si="151">AN107*AJ107</f>
        <v>0.10714285714285716</v>
      </c>
      <c r="AP107" s="1194"/>
      <c r="AQ107" s="10"/>
      <c r="AR107" s="10"/>
      <c r="AS107" s="10"/>
      <c r="AT107" s="262"/>
      <c r="AU107" s="627"/>
      <c r="AV107" s="627"/>
      <c r="AW107" s="627"/>
      <c r="AX107" s="197"/>
      <c r="AY107" s="197"/>
      <c r="AZ107" s="197"/>
      <c r="BA107" s="197"/>
      <c r="BB107" s="197"/>
      <c r="BC107" s="197"/>
      <c r="BD107" s="197"/>
      <c r="BE107" s="197"/>
      <c r="BF107" s="197"/>
      <c r="BG107" s="197"/>
      <c r="BH107" s="197"/>
      <c r="BI107" s="197"/>
      <c r="BJ107" s="197"/>
      <c r="BK107" s="197"/>
      <c r="BL107" s="197"/>
      <c r="BM107" s="197"/>
      <c r="BN107" s="197"/>
      <c r="BO107" s="197"/>
      <c r="BP107" s="197"/>
    </row>
    <row r="108" spans="1:68" ht="20" customHeight="1" x14ac:dyDescent="0.15">
      <c r="A108" s="10"/>
      <c r="B108" s="1355"/>
      <c r="C108" s="387" t="s">
        <v>60</v>
      </c>
      <c r="D108" s="1229">
        <f>'Action Plan'!D112</f>
        <v>0.1</v>
      </c>
      <c r="E108" s="1229">
        <f>'Action Plan'!E112</f>
        <v>0.8</v>
      </c>
      <c r="F108" s="1229">
        <f t="shared" si="142"/>
        <v>8.391123439667128E-2</v>
      </c>
      <c r="G108" s="1229">
        <f t="shared" si="147"/>
        <v>0.71608876560332879</v>
      </c>
      <c r="H108" s="355">
        <f t="shared" si="143"/>
        <v>1</v>
      </c>
      <c r="I108" s="1229">
        <f t="shared" si="134"/>
        <v>0.1</v>
      </c>
      <c r="J108" s="1194"/>
      <c r="K108" s="1230" t="s">
        <v>60</v>
      </c>
      <c r="L108" s="1229">
        <f>'Action Plan'!H112</f>
        <v>0.74999999999999989</v>
      </c>
      <c r="M108" s="1229">
        <f>'Action Plan'!I112</f>
        <v>0.27999999999999997</v>
      </c>
      <c r="N108" s="1229">
        <f>(F21/F32)*$P$13</f>
        <v>2.6699029126213587E-2</v>
      </c>
      <c r="O108" s="355">
        <f>M108-N108</f>
        <v>0.25330097087378639</v>
      </c>
      <c r="P108" s="355">
        <f>_xlfn.IFS(O108&gt;=0,1,O108&lt;0,M108/N108)</f>
        <v>1</v>
      </c>
      <c r="Q108" s="1229">
        <f t="shared" si="105"/>
        <v>0.74999999999999989</v>
      </c>
      <c r="R108" s="1194"/>
      <c r="S108" s="1231" t="s">
        <v>60</v>
      </c>
      <c r="T108" s="1232">
        <f>'Action Plan'!L112</f>
        <v>0.64285714285714279</v>
      </c>
      <c r="U108" s="1229">
        <f>'Action Plan'!M112</f>
        <v>0.24</v>
      </c>
      <c r="V108" s="1232">
        <f>(F21/F32)*$Q$13</f>
        <v>2.2884882108183076E-2</v>
      </c>
      <c r="W108" s="355">
        <f t="shared" si="145"/>
        <v>0.21711511789181692</v>
      </c>
      <c r="X108" s="355">
        <f>_xlfn.IFS(W108&gt;=0,1,W108&lt;0,U108/V108)</f>
        <v>1</v>
      </c>
      <c r="Y108" s="1229">
        <f t="shared" si="148"/>
        <v>0.64285714285714279</v>
      </c>
      <c r="Z108" s="1194"/>
      <c r="AA108" s="1230" t="s">
        <v>60</v>
      </c>
      <c r="AB108" s="1229">
        <f>'Action Plan'!P112</f>
        <v>0.5357142857142857</v>
      </c>
      <c r="AC108" s="1229">
        <f>'Action Plan'!Q112</f>
        <v>0.2</v>
      </c>
      <c r="AD108" s="1232">
        <f>(F21/F32)*$R$13</f>
        <v>1.9070735090152564E-2</v>
      </c>
      <c r="AE108" s="355">
        <f t="shared" si="149"/>
        <v>0.18092926490984745</v>
      </c>
      <c r="AF108" s="355">
        <f t="shared" si="139"/>
        <v>1</v>
      </c>
      <c r="AG108" s="1229">
        <f t="shared" si="150"/>
        <v>0.5357142857142857</v>
      </c>
      <c r="AH108" s="1194"/>
      <c r="AI108" s="1231" t="s">
        <v>60</v>
      </c>
      <c r="AJ108" s="1229">
        <f>'Action Plan'!T112</f>
        <v>0.42857142857142866</v>
      </c>
      <c r="AK108" s="1232">
        <f>'Action Plan'!U112</f>
        <v>0.16000000000000003</v>
      </c>
      <c r="AL108" s="1232">
        <f t="shared" si="140"/>
        <v>1.5256588072122053E-2</v>
      </c>
      <c r="AM108" s="355">
        <f t="shared" si="146"/>
        <v>0.14474341192787799</v>
      </c>
      <c r="AN108" s="355">
        <f t="shared" si="141"/>
        <v>1</v>
      </c>
      <c r="AO108" s="1229">
        <f t="shared" si="151"/>
        <v>0.42857142857142866</v>
      </c>
      <c r="AP108" s="1194"/>
      <c r="AQ108" s="10"/>
      <c r="AR108" s="10"/>
      <c r="AS108" s="10"/>
      <c r="AT108" s="262"/>
      <c r="AU108" s="627"/>
      <c r="AV108" s="627"/>
      <c r="AW108" s="627"/>
      <c r="AX108" s="197"/>
      <c r="AY108" s="197"/>
      <c r="AZ108" s="197"/>
      <c r="BA108" s="197"/>
      <c r="BB108" s="197"/>
      <c r="BC108" s="197"/>
      <c r="BD108" s="197"/>
      <c r="BE108" s="197"/>
      <c r="BF108" s="197"/>
      <c r="BG108" s="197"/>
      <c r="BH108" s="197"/>
      <c r="BI108" s="197"/>
      <c r="BJ108" s="197"/>
      <c r="BK108" s="197"/>
      <c r="BL108" s="197"/>
      <c r="BM108" s="197"/>
      <c r="BN108" s="197"/>
      <c r="BO108" s="197"/>
      <c r="BP108" s="197"/>
    </row>
    <row r="109" spans="1:68" ht="20" customHeight="1" x14ac:dyDescent="0.15">
      <c r="A109" s="10"/>
      <c r="B109" s="1355"/>
      <c r="C109" s="820" t="s">
        <v>85</v>
      </c>
      <c r="D109" s="668">
        <f>'Action Plan'!D113</f>
        <v>0.1</v>
      </c>
      <c r="E109" s="668">
        <f>'Action Plan'!E113</f>
        <v>0.1</v>
      </c>
      <c r="F109" s="672">
        <f>IF(SUM(F110:F115)&gt;0,AVERAGEIF(F110:F115,"&gt;0"),0)</f>
        <v>1.1558080808080808</v>
      </c>
      <c r="G109" s="668">
        <f>E109-F109</f>
        <v>-1.0558080808080808</v>
      </c>
      <c r="H109" s="668">
        <f>AVERAGE(H110:H115)</f>
        <v>0.10399011299435029</v>
      </c>
      <c r="I109" s="668">
        <f>H109*D109</f>
        <v>1.039901129943503E-2</v>
      </c>
      <c r="J109" s="670"/>
      <c r="K109" s="393" t="s">
        <v>85</v>
      </c>
      <c r="L109" s="668">
        <f>'Action Plan'!H113</f>
        <v>0.34999999999999992</v>
      </c>
      <c r="M109" s="668">
        <f>'Action Plan'!I113</f>
        <v>3.4999999999999996E-2</v>
      </c>
      <c r="N109" s="672">
        <f>'Sale #1'!$E40</f>
        <v>0.16161616161616163</v>
      </c>
      <c r="O109" s="668">
        <f>M109-N109</f>
        <v>-0.12661616161616163</v>
      </c>
      <c r="P109" s="668">
        <f>AVERAGE(P110:P115)</f>
        <v>0.67305555555555552</v>
      </c>
      <c r="Q109" s="668">
        <f>P109*L109</f>
        <v>0.23556944444444439</v>
      </c>
      <c r="R109" s="670"/>
      <c r="S109" s="393" t="s">
        <v>85</v>
      </c>
      <c r="T109" s="977">
        <f>'Action Plan'!L113</f>
        <v>0.3</v>
      </c>
      <c r="U109" s="977">
        <f>'Action Plan'!M113</f>
        <v>0.03</v>
      </c>
      <c r="V109" s="972">
        <f>'Sale #2'!$E40</f>
        <v>0.36333333333333334</v>
      </c>
      <c r="W109" s="977">
        <f>U109-V109</f>
        <v>-0.33333333333333337</v>
      </c>
      <c r="X109" s="668">
        <f>AVERAGE(X110:X115)</f>
        <v>0.33666666666666667</v>
      </c>
      <c r="Y109" s="977">
        <f>X109*T109</f>
        <v>0.10099999999999999</v>
      </c>
      <c r="Z109" s="974"/>
      <c r="AA109" s="393" t="s">
        <v>85</v>
      </c>
      <c r="AB109" s="668">
        <f>'Action Plan'!P113</f>
        <v>0.25</v>
      </c>
      <c r="AC109" s="668">
        <f>'Action Plan'!Q113</f>
        <v>2.4999999999999998E-2</v>
      </c>
      <c r="AD109" s="672">
        <f>'Sale #3'!$E40</f>
        <v>0.36333333333333334</v>
      </c>
      <c r="AE109" s="668">
        <f>AC109-AD109</f>
        <v>-0.33833333333333332</v>
      </c>
      <c r="AF109" s="668">
        <f>AVERAGE(AF110:AF115)</f>
        <v>0.30833333333333335</v>
      </c>
      <c r="AG109" s="668">
        <f>AF109*AB109</f>
        <v>7.7083333333333337E-2</v>
      </c>
      <c r="AH109" s="670"/>
      <c r="AI109" s="393" t="s">
        <v>85</v>
      </c>
      <c r="AJ109" s="668">
        <f>'Action Plan'!T113</f>
        <v>0.20000000000000004</v>
      </c>
      <c r="AK109" s="977">
        <f>'Action Plan'!U113</f>
        <v>2.0000000000000004E-2</v>
      </c>
      <c r="AL109" s="972">
        <f>'Sale #4'!$E40</f>
        <v>0.46944444444444439</v>
      </c>
      <c r="AM109" s="668">
        <f>AK109-AL109</f>
        <v>-0.44944444444444437</v>
      </c>
      <c r="AN109" s="668">
        <f>AVERAGE(AN110:AN115)</f>
        <v>0.1166666666666667</v>
      </c>
      <c r="AO109" s="668">
        <f>AN109*AJ109</f>
        <v>2.3333333333333345E-2</v>
      </c>
      <c r="AP109" s="974"/>
      <c r="AQ109" s="10"/>
      <c r="AR109" s="10"/>
      <c r="AS109" s="10"/>
      <c r="AT109" s="262"/>
      <c r="AU109" s="627"/>
      <c r="AV109" s="627"/>
      <c r="AW109" s="627"/>
      <c r="AX109" s="197"/>
      <c r="AY109" s="197"/>
      <c r="AZ109" s="197"/>
      <c r="BA109" s="197"/>
      <c r="BB109" s="197"/>
      <c r="BC109" s="197"/>
      <c r="BD109" s="197"/>
      <c r="BE109" s="197"/>
      <c r="BF109" s="197"/>
      <c r="BG109" s="197"/>
      <c r="BH109" s="197"/>
      <c r="BI109" s="197"/>
      <c r="BJ109" s="197"/>
      <c r="BK109" s="197"/>
      <c r="BL109" s="197"/>
      <c r="BM109" s="197"/>
      <c r="BN109" s="197"/>
      <c r="BO109" s="197"/>
      <c r="BP109" s="197"/>
    </row>
    <row r="110" spans="1:68" s="271" customFormat="1" ht="20" customHeight="1" x14ac:dyDescent="0.15">
      <c r="A110" s="10"/>
      <c r="B110" s="1355"/>
      <c r="C110" s="391" t="s">
        <v>2</v>
      </c>
      <c r="D110" s="355">
        <f>'Action Plan'!D114</f>
        <v>0.2</v>
      </c>
      <c r="E110" s="355">
        <f>'Action Plan'!E114</f>
        <v>0.05</v>
      </c>
      <c r="F110" s="355">
        <f>N110+V110+AD110+AL110</f>
        <v>0.26818181818181819</v>
      </c>
      <c r="G110" s="355">
        <f>E110-F110</f>
        <v>-0.2181818181818182</v>
      </c>
      <c r="H110" s="355">
        <f>_xlfn.IFS(G110&gt;=0,1,G110&lt;0,E110/F110)</f>
        <v>0.1864406779661017</v>
      </c>
      <c r="I110" s="355">
        <f>H110*D110</f>
        <v>3.7288135593220341E-2</v>
      </c>
      <c r="J110" s="1243" t="s">
        <v>222</v>
      </c>
      <c r="K110" s="386" t="s">
        <v>2</v>
      </c>
      <c r="L110" s="355">
        <f>'Action Plan'!H114</f>
        <v>0.34999999999999992</v>
      </c>
      <c r="M110" s="355">
        <f>'Action Plan'!I114</f>
        <v>3.4999999999999996E-2</v>
      </c>
      <c r="N110" s="355">
        <f>'Sale #1'!E41</f>
        <v>6.8181818181818191E-2</v>
      </c>
      <c r="O110" s="355">
        <f>M110-N110</f>
        <v>-3.3181818181818194E-2</v>
      </c>
      <c r="P110" s="355">
        <f>_xlfn.IFS(O110&gt;=0,1,O110&lt;0,M110/N110)</f>
        <v>0.5133333333333332</v>
      </c>
      <c r="Q110" s="355">
        <f>P110*L110</f>
        <v>0.17966666666666659</v>
      </c>
      <c r="R110" s="593"/>
      <c r="S110" s="975" t="s">
        <v>2</v>
      </c>
      <c r="T110" s="943">
        <f>'Action Plan'!L114</f>
        <v>0.3</v>
      </c>
      <c r="U110" s="355">
        <f>'Action Plan'!M114</f>
        <v>0.03</v>
      </c>
      <c r="V110" s="355">
        <f>'Sale #2'!E41</f>
        <v>6.6666666666666666E-2</v>
      </c>
      <c r="W110" s="355">
        <f>U110-V110</f>
        <v>-3.6666666666666667E-2</v>
      </c>
      <c r="X110" s="355">
        <f>_xlfn.IFS(W110&gt;=0,1,W110&lt;0,U110/V110)</f>
        <v>0.45</v>
      </c>
      <c r="Y110" s="355">
        <f>X110*T110</f>
        <v>0.13500000000000001</v>
      </c>
      <c r="Z110" s="593"/>
      <c r="AA110" s="386" t="s">
        <v>2</v>
      </c>
      <c r="AB110" s="355">
        <f>'Action Plan'!P114</f>
        <v>0.25</v>
      </c>
      <c r="AC110" s="355">
        <f>'Action Plan'!Q114</f>
        <v>2.5000000000000001E-2</v>
      </c>
      <c r="AD110" s="355">
        <f>'Sale #3'!E41</f>
        <v>6.6666666666666666E-2</v>
      </c>
      <c r="AE110" s="355">
        <f>AC110-AD110</f>
        <v>-4.1666666666666664E-2</v>
      </c>
      <c r="AF110" s="355">
        <f>_xlfn.IFS(AE110&gt;=0,1,AE110&lt;0,AC110/AD110)</f>
        <v>0.375</v>
      </c>
      <c r="AG110" s="355">
        <f t="shared" ref="AG110:AG112" si="152">AF110*AB110</f>
        <v>9.375E-2</v>
      </c>
      <c r="AH110" s="593"/>
      <c r="AI110" s="975" t="s">
        <v>2</v>
      </c>
      <c r="AJ110" s="355">
        <f>'Action Plan'!T114</f>
        <v>0.20000000000000004</v>
      </c>
      <c r="AK110" s="943">
        <f>'Action Plan'!U114</f>
        <v>2.0000000000000004E-2</v>
      </c>
      <c r="AL110" s="943">
        <f>'Sale #4'!E41</f>
        <v>6.6666666666666666E-2</v>
      </c>
      <c r="AM110" s="355">
        <f>AK110-AL110</f>
        <v>-4.6666666666666662E-2</v>
      </c>
      <c r="AN110" s="355">
        <f>_xlfn.IFS(AM110&gt;=0,1,AM110&lt;0,AK110/AL110)</f>
        <v>0.30000000000000004</v>
      </c>
      <c r="AO110" s="355">
        <f t="shared" ref="AO110:AO112" si="153">AN110*AJ110</f>
        <v>6.0000000000000019E-2</v>
      </c>
      <c r="AP110" s="593"/>
      <c r="AQ110" s="10"/>
      <c r="AR110" s="10"/>
      <c r="AS110" s="10"/>
      <c r="AT110" s="262"/>
      <c r="AU110" s="627"/>
      <c r="AV110" s="627"/>
      <c r="AW110" s="627"/>
      <c r="AX110" s="197"/>
      <c r="AY110" s="197"/>
      <c r="AZ110" s="197"/>
      <c r="BA110" s="197"/>
      <c r="BB110" s="197"/>
      <c r="BC110" s="197"/>
      <c r="BD110" s="197"/>
      <c r="BE110" s="197"/>
      <c r="BF110" s="197"/>
      <c r="BG110" s="197"/>
      <c r="BH110" s="197"/>
      <c r="BI110" s="197"/>
      <c r="BJ110" s="197"/>
      <c r="BK110" s="197"/>
      <c r="BL110" s="197"/>
      <c r="BM110" s="197"/>
      <c r="BN110" s="197"/>
      <c r="BO110" s="197"/>
      <c r="BP110" s="197"/>
    </row>
    <row r="111" spans="1:68" s="271" customFormat="1" ht="20" customHeight="1" x14ac:dyDescent="0.15">
      <c r="A111" s="10"/>
      <c r="B111" s="1355"/>
      <c r="C111" s="391" t="s">
        <v>3</v>
      </c>
      <c r="D111" s="355">
        <f>'Action Plan'!D115</f>
        <v>0.2</v>
      </c>
      <c r="E111" s="355">
        <f>'Action Plan'!E115</f>
        <v>0.05</v>
      </c>
      <c r="F111" s="355">
        <f t="shared" ref="F111:F114" si="154">N111+V111+AD111+AL111</f>
        <v>0.33333333333333331</v>
      </c>
      <c r="G111" s="355">
        <f>E111-F111</f>
        <v>-0.28333333333333333</v>
      </c>
      <c r="H111" s="355">
        <f t="shared" ref="H111:H115" si="155">_xlfn.IFS(G111&gt;=0,1,G111&lt;0,E111/F111)</f>
        <v>0.15000000000000002</v>
      </c>
      <c r="I111" s="355">
        <f>H111*D111</f>
        <v>3.0000000000000006E-2</v>
      </c>
      <c r="J111" s="593"/>
      <c r="K111" s="386" t="s">
        <v>3</v>
      </c>
      <c r="L111" s="355">
        <f>'Action Plan'!H115</f>
        <v>0.34999999999999992</v>
      </c>
      <c r="M111" s="355">
        <f>'Action Plan'!I115</f>
        <v>3.4999999999999996E-2</v>
      </c>
      <c r="N111" s="355">
        <f>'Sale #1'!E42</f>
        <v>8.3333333333333329E-2</v>
      </c>
      <c r="O111" s="355">
        <f t="shared" ref="O111:O115" si="156">M111-N111</f>
        <v>-4.8333333333333332E-2</v>
      </c>
      <c r="P111" s="355">
        <f t="shared" ref="P111:P113" si="157">_xlfn.IFS(O111&gt;=0,1,O111&lt;0,M111/N111)</f>
        <v>0.42</v>
      </c>
      <c r="Q111" s="355">
        <f t="shared" si="105"/>
        <v>0.14699999999999996</v>
      </c>
      <c r="R111" s="593"/>
      <c r="S111" s="975" t="s">
        <v>3</v>
      </c>
      <c r="T111" s="943">
        <f>'Action Plan'!L115</f>
        <v>0.3</v>
      </c>
      <c r="U111" s="355">
        <f>'Action Plan'!M115</f>
        <v>0.03</v>
      </c>
      <c r="V111" s="355">
        <f>'Sale #2'!E42</f>
        <v>8.3333333333333329E-2</v>
      </c>
      <c r="W111" s="355">
        <f t="shared" ref="W111:W115" si="158">U111-V111</f>
        <v>-5.333333333333333E-2</v>
      </c>
      <c r="X111" s="355">
        <f t="shared" ref="X111:X115" si="159">_xlfn.IFS(W111&gt;=0,1,W111&lt;0,U111/V111)</f>
        <v>0.36</v>
      </c>
      <c r="Y111" s="355">
        <f t="shared" ref="Y111:Y115" si="160">X111*T111</f>
        <v>0.108</v>
      </c>
      <c r="Z111" s="593"/>
      <c r="AA111" s="386" t="s">
        <v>3</v>
      </c>
      <c r="AB111" s="355">
        <f>'Action Plan'!P115</f>
        <v>0.25</v>
      </c>
      <c r="AC111" s="355">
        <f>'Action Plan'!Q115</f>
        <v>2.5000000000000001E-2</v>
      </c>
      <c r="AD111" s="355">
        <f>'Sale #3'!E42</f>
        <v>8.3333333333333329E-2</v>
      </c>
      <c r="AE111" s="355">
        <f t="shared" ref="AE111:AE115" si="161">AC111-AD111</f>
        <v>-5.8333333333333327E-2</v>
      </c>
      <c r="AF111" s="355">
        <f t="shared" ref="AF111:AF115" si="162">_xlfn.IFS(AE111&gt;=0,1,AE111&lt;0,AC111/AD111)</f>
        <v>0.30000000000000004</v>
      </c>
      <c r="AG111" s="355">
        <f t="shared" si="152"/>
        <v>7.5000000000000011E-2</v>
      </c>
      <c r="AH111" s="593"/>
      <c r="AI111" s="975" t="s">
        <v>3</v>
      </c>
      <c r="AJ111" s="355">
        <f>'Action Plan'!T115</f>
        <v>0.20000000000000004</v>
      </c>
      <c r="AK111" s="943">
        <f>'Action Plan'!U115</f>
        <v>2.0000000000000004E-2</v>
      </c>
      <c r="AL111" s="943">
        <f>'Sale #4'!E42</f>
        <v>8.3333333333333329E-2</v>
      </c>
      <c r="AM111" s="355">
        <f t="shared" ref="AM111:AM114" si="163">AK111-AL111</f>
        <v>-6.3333333333333325E-2</v>
      </c>
      <c r="AN111" s="355">
        <f>_xlfn.IFS(AM111&gt;=0,1,AM111&lt;0,AK111/AL111)</f>
        <v>0.24000000000000005</v>
      </c>
      <c r="AO111" s="355">
        <f t="shared" si="153"/>
        <v>4.8000000000000022E-2</v>
      </c>
      <c r="AP111" s="593"/>
      <c r="AQ111" s="10"/>
      <c r="AR111" s="10"/>
      <c r="AS111" s="10"/>
      <c r="AT111" s="262"/>
      <c r="AU111" s="627"/>
      <c r="AV111" s="627"/>
      <c r="AW111" s="627"/>
      <c r="AX111" s="197"/>
      <c r="AY111" s="197"/>
      <c r="AZ111" s="197"/>
      <c r="BA111" s="197"/>
      <c r="BB111" s="197"/>
      <c r="BC111" s="197"/>
      <c r="BD111" s="197"/>
      <c r="BE111" s="197"/>
      <c r="BF111" s="197"/>
      <c r="BG111" s="197"/>
      <c r="BH111" s="197"/>
      <c r="BI111" s="197"/>
      <c r="BJ111" s="197"/>
      <c r="BK111" s="197"/>
      <c r="BL111" s="197"/>
      <c r="BM111" s="197"/>
      <c r="BN111" s="197"/>
      <c r="BO111" s="197"/>
      <c r="BP111" s="197"/>
    </row>
    <row r="112" spans="1:68" s="271" customFormat="1" ht="20" customHeight="1" x14ac:dyDescent="0.15">
      <c r="A112" s="10"/>
      <c r="B112" s="1355"/>
      <c r="C112" s="391" t="s">
        <v>4</v>
      </c>
      <c r="D112" s="355">
        <f>'Action Plan'!D116</f>
        <v>0.2</v>
      </c>
      <c r="E112" s="355">
        <f>'Action Plan'!E116</f>
        <v>0.05</v>
      </c>
      <c r="F112" s="355">
        <f>N112+V112+AD112+AL112</f>
        <v>1.3333333333333333</v>
      </c>
      <c r="G112" s="355">
        <f t="shared" ref="G112:G113" si="164">E112-F112</f>
        <v>-1.2833333333333332</v>
      </c>
      <c r="H112" s="355">
        <f t="shared" si="155"/>
        <v>3.7500000000000006E-2</v>
      </c>
      <c r="I112" s="355">
        <f t="shared" si="134"/>
        <v>7.5000000000000015E-3</v>
      </c>
      <c r="J112" s="593"/>
      <c r="K112" s="386" t="s">
        <v>4</v>
      </c>
      <c r="L112" s="355">
        <f>'Action Plan'!H116</f>
        <v>0.34999999999999992</v>
      </c>
      <c r="M112" s="355">
        <f>'Action Plan'!I116</f>
        <v>3.4999999999999996E-2</v>
      </c>
      <c r="N112" s="355">
        <f>'Sale #1'!E43</f>
        <v>0.33333333333333331</v>
      </c>
      <c r="O112" s="355">
        <f>M112-N112</f>
        <v>-0.29833333333333334</v>
      </c>
      <c r="P112" s="355">
        <f t="shared" si="157"/>
        <v>0.105</v>
      </c>
      <c r="Q112" s="355">
        <f t="shared" si="105"/>
        <v>3.6749999999999991E-2</v>
      </c>
      <c r="R112" s="593"/>
      <c r="S112" s="975" t="s">
        <v>4</v>
      </c>
      <c r="T112" s="943">
        <f>'Action Plan'!L116</f>
        <v>0.3</v>
      </c>
      <c r="U112" s="355">
        <f>'Action Plan'!M116</f>
        <v>0.03</v>
      </c>
      <c r="V112" s="355">
        <f>'Sale #2'!E43</f>
        <v>0.33333333333333326</v>
      </c>
      <c r="W112" s="355">
        <f t="shared" si="158"/>
        <v>-0.30333333333333323</v>
      </c>
      <c r="X112" s="355">
        <f t="shared" si="159"/>
        <v>9.0000000000000011E-2</v>
      </c>
      <c r="Y112" s="355">
        <f t="shared" si="160"/>
        <v>2.7000000000000003E-2</v>
      </c>
      <c r="Z112" s="593"/>
      <c r="AA112" s="386" t="s">
        <v>4</v>
      </c>
      <c r="AB112" s="355">
        <f>'Action Plan'!P116</f>
        <v>0.25</v>
      </c>
      <c r="AC112" s="355">
        <f>'Action Plan'!Q116</f>
        <v>2.5000000000000001E-2</v>
      </c>
      <c r="AD112" s="355">
        <f>'Sale #3'!E43</f>
        <v>0.33333333333333337</v>
      </c>
      <c r="AE112" s="355">
        <f t="shared" si="161"/>
        <v>-0.30833333333333335</v>
      </c>
      <c r="AF112" s="355">
        <f t="shared" si="162"/>
        <v>7.4999999999999997E-2</v>
      </c>
      <c r="AG112" s="355">
        <f t="shared" si="152"/>
        <v>1.8749999999999999E-2</v>
      </c>
      <c r="AH112" s="593"/>
      <c r="AI112" s="975" t="s">
        <v>4</v>
      </c>
      <c r="AJ112" s="355">
        <f>'Action Plan'!T116</f>
        <v>0.20000000000000004</v>
      </c>
      <c r="AK112" s="943">
        <f>'Action Plan'!U116</f>
        <v>2.0000000000000004E-2</v>
      </c>
      <c r="AL112" s="943">
        <f>'Sale #4'!E43</f>
        <v>0.33333333333333337</v>
      </c>
      <c r="AM112" s="355">
        <f t="shared" si="163"/>
        <v>-0.31333333333333335</v>
      </c>
      <c r="AN112" s="355">
        <f>_xlfn.IFS(AM112&gt;=0,1,AM112&lt;0,AK112/AL112)</f>
        <v>6.0000000000000005E-2</v>
      </c>
      <c r="AO112" s="355">
        <f t="shared" si="153"/>
        <v>1.2000000000000004E-2</v>
      </c>
      <c r="AP112" s="593"/>
      <c r="AQ112" s="10"/>
      <c r="AR112" s="10"/>
      <c r="AS112" s="10"/>
      <c r="AT112" s="262"/>
      <c r="AU112" s="627"/>
      <c r="AV112" s="627"/>
      <c r="AW112" s="627"/>
      <c r="AX112" s="197"/>
      <c r="AY112" s="197"/>
      <c r="AZ112" s="197"/>
      <c r="BA112" s="197"/>
      <c r="BB112" s="197"/>
      <c r="BC112" s="197"/>
      <c r="BD112" s="197"/>
      <c r="BE112" s="197"/>
      <c r="BF112" s="197"/>
      <c r="BG112" s="197"/>
      <c r="BH112" s="197"/>
      <c r="BI112" s="197"/>
      <c r="BJ112" s="197"/>
      <c r="BK112" s="197"/>
      <c r="BL112" s="197"/>
      <c r="BM112" s="197"/>
      <c r="BN112" s="197"/>
      <c r="BO112" s="197"/>
      <c r="BP112" s="197"/>
    </row>
    <row r="113" spans="1:68" ht="20" customHeight="1" x14ac:dyDescent="0.15">
      <c r="A113" s="10"/>
      <c r="B113" s="1355"/>
      <c r="C113" s="391" t="s">
        <v>5</v>
      </c>
      <c r="D113" s="355">
        <f>'Action Plan'!D117</f>
        <v>0.2</v>
      </c>
      <c r="E113" s="355">
        <f>'Action Plan'!E117</f>
        <v>0.15</v>
      </c>
      <c r="F113" s="355">
        <f t="shared" si="154"/>
        <v>3</v>
      </c>
      <c r="G113" s="355">
        <f t="shared" si="164"/>
        <v>-2.85</v>
      </c>
      <c r="H113" s="355">
        <f t="shared" si="155"/>
        <v>4.9999999999999996E-2</v>
      </c>
      <c r="I113" s="355">
        <f>H113*D113</f>
        <v>0.01</v>
      </c>
      <c r="J113" s="593"/>
      <c r="K113" s="386" t="s">
        <v>5</v>
      </c>
      <c r="L113" s="355">
        <f>'Action Plan'!H117</f>
        <v>0.34999999999999992</v>
      </c>
      <c r="M113" s="355">
        <f>'Action Plan'!I117</f>
        <v>3.4999999999999996E-2</v>
      </c>
      <c r="N113" s="355">
        <f>'Sale #1'!E44</f>
        <v>0</v>
      </c>
      <c r="O113" s="355">
        <f t="shared" si="156"/>
        <v>3.4999999999999996E-2</v>
      </c>
      <c r="P113" s="355">
        <f t="shared" si="157"/>
        <v>1</v>
      </c>
      <c r="Q113" s="355">
        <f>P113*L113</f>
        <v>0.34999999999999992</v>
      </c>
      <c r="R113" s="593"/>
      <c r="S113" s="975" t="s">
        <v>5</v>
      </c>
      <c r="T113" s="943">
        <f>'Action Plan'!L117</f>
        <v>0.3</v>
      </c>
      <c r="U113" s="355">
        <f>'Action Plan'!M117</f>
        <v>0.03</v>
      </c>
      <c r="V113" s="355">
        <f>'Sale #2'!E44</f>
        <v>1</v>
      </c>
      <c r="W113" s="355">
        <f t="shared" si="158"/>
        <v>-0.97</v>
      </c>
      <c r="X113" s="355">
        <f t="shared" si="159"/>
        <v>0.03</v>
      </c>
      <c r="Y113" s="355">
        <f>X113*T113</f>
        <v>8.9999999999999993E-3</v>
      </c>
      <c r="Z113" s="593"/>
      <c r="AA113" s="386" t="s">
        <v>5</v>
      </c>
      <c r="AB113" s="355">
        <f>'Action Plan'!P117</f>
        <v>0.25</v>
      </c>
      <c r="AC113" s="355">
        <f>'Action Plan'!Q117</f>
        <v>2.5000000000000001E-2</v>
      </c>
      <c r="AD113" s="355">
        <f>'Sale #3'!E44</f>
        <v>1</v>
      </c>
      <c r="AE113" s="355">
        <f t="shared" si="161"/>
        <v>-0.97499999999999998</v>
      </c>
      <c r="AF113" s="355">
        <f t="shared" si="162"/>
        <v>2.5000000000000001E-2</v>
      </c>
      <c r="AG113" s="355">
        <f>AF113*AB113</f>
        <v>6.2500000000000003E-3</v>
      </c>
      <c r="AH113" s="593"/>
      <c r="AI113" s="975" t="s">
        <v>5</v>
      </c>
      <c r="AJ113" s="355">
        <f>'Action Plan'!T117</f>
        <v>0.20000000000000004</v>
      </c>
      <c r="AK113" s="943">
        <f>'Action Plan'!U117</f>
        <v>2.0000000000000004E-2</v>
      </c>
      <c r="AL113" s="943">
        <f>'Sale #4'!E44</f>
        <v>1</v>
      </c>
      <c r="AM113" s="355">
        <f t="shared" si="163"/>
        <v>-0.98</v>
      </c>
      <c r="AN113" s="355">
        <f>_xlfn.IFS(AM113&gt;=0,1,AM113&lt;0,AK113/AL113)</f>
        <v>2.0000000000000004E-2</v>
      </c>
      <c r="AO113" s="355">
        <f>AN113*AJ113</f>
        <v>4.0000000000000018E-3</v>
      </c>
      <c r="AP113" s="593"/>
      <c r="AQ113" s="10"/>
      <c r="AR113" s="10"/>
      <c r="AS113" s="10"/>
      <c r="AT113" s="262"/>
      <c r="AU113" s="627"/>
      <c r="AV113" s="627"/>
      <c r="AW113" s="627"/>
      <c r="AX113" s="197"/>
      <c r="AY113" s="197"/>
      <c r="AZ113" s="197"/>
      <c r="BA113" s="197"/>
      <c r="BB113" s="197"/>
      <c r="BC113" s="197"/>
      <c r="BD113" s="197"/>
      <c r="BE113" s="197"/>
      <c r="BF113" s="197"/>
      <c r="BG113" s="197"/>
      <c r="BH113" s="197"/>
      <c r="BI113" s="197"/>
      <c r="BJ113" s="197"/>
      <c r="BK113" s="197"/>
      <c r="BL113" s="197"/>
      <c r="BM113" s="197"/>
      <c r="BN113" s="197"/>
      <c r="BO113" s="197"/>
      <c r="BP113" s="197"/>
    </row>
    <row r="114" spans="1:68" ht="20" customHeight="1" x14ac:dyDescent="0.15">
      <c r="A114" s="10"/>
      <c r="B114" s="1355"/>
      <c r="C114" s="391" t="s">
        <v>6</v>
      </c>
      <c r="D114" s="355">
        <f>'Action Plan'!D118</f>
        <v>0.1</v>
      </c>
      <c r="E114" s="355">
        <f>'Action Plan'!E118</f>
        <v>0.15</v>
      </c>
      <c r="F114" s="355">
        <f t="shared" si="154"/>
        <v>1</v>
      </c>
      <c r="G114" s="355">
        <f>E114-F114</f>
        <v>-0.85</v>
      </c>
      <c r="H114" s="355">
        <f t="shared" si="155"/>
        <v>0.15</v>
      </c>
      <c r="I114" s="355">
        <f>H114*D114</f>
        <v>1.4999999999999999E-2</v>
      </c>
      <c r="J114" s="593"/>
      <c r="K114" s="386" t="s">
        <v>6</v>
      </c>
      <c r="L114" s="355">
        <f>'Action Plan'!H118</f>
        <v>0.34999999999999992</v>
      </c>
      <c r="M114" s="355">
        <f>'Action Plan'!I118</f>
        <v>3.4999999999999996E-2</v>
      </c>
      <c r="N114" s="355">
        <f>'Sale #1'!E45</f>
        <v>0</v>
      </c>
      <c r="O114" s="355">
        <f>M114-N114</f>
        <v>3.4999999999999996E-2</v>
      </c>
      <c r="P114" s="355">
        <f>_xlfn.IFS(O114&gt;=0,1,O114&lt;0,M114/N114)</f>
        <v>1</v>
      </c>
      <c r="Q114" s="355">
        <f t="shared" si="105"/>
        <v>0.34999999999999992</v>
      </c>
      <c r="R114" s="593"/>
      <c r="S114" s="975" t="s">
        <v>6</v>
      </c>
      <c r="T114" s="943">
        <f>'Action Plan'!L118</f>
        <v>0.3</v>
      </c>
      <c r="U114" s="355">
        <f>'Action Plan'!M118</f>
        <v>0.03</v>
      </c>
      <c r="V114" s="355">
        <f>'Sale #2'!E45</f>
        <v>0.33333333333333331</v>
      </c>
      <c r="W114" s="355">
        <f t="shared" si="158"/>
        <v>-0.30333333333333334</v>
      </c>
      <c r="X114" s="355">
        <f t="shared" si="159"/>
        <v>0.09</v>
      </c>
      <c r="Y114" s="355">
        <f t="shared" si="160"/>
        <v>2.7E-2</v>
      </c>
      <c r="Z114" s="593"/>
      <c r="AA114" s="386" t="s">
        <v>6</v>
      </c>
      <c r="AB114" s="355">
        <f>'Action Plan'!P118</f>
        <v>0.25</v>
      </c>
      <c r="AC114" s="355">
        <f>'Action Plan'!Q118</f>
        <v>2.5000000000000001E-2</v>
      </c>
      <c r="AD114" s="355">
        <f>'Sale #3'!E45</f>
        <v>0.33333333333333331</v>
      </c>
      <c r="AE114" s="355">
        <f t="shared" si="161"/>
        <v>-0.30833333333333329</v>
      </c>
      <c r="AF114" s="355">
        <f t="shared" si="162"/>
        <v>7.5000000000000011E-2</v>
      </c>
      <c r="AG114" s="355">
        <f t="shared" ref="AG114:AG115" si="165">AF114*AB114</f>
        <v>1.8750000000000003E-2</v>
      </c>
      <c r="AH114" s="593"/>
      <c r="AI114" s="975" t="s">
        <v>6</v>
      </c>
      <c r="AJ114" s="355">
        <f>'Action Plan'!T118</f>
        <v>0.20000000000000004</v>
      </c>
      <c r="AK114" s="943">
        <f>'Action Plan'!U118</f>
        <v>2.0000000000000004E-2</v>
      </c>
      <c r="AL114" s="943">
        <f>'Sale #4'!E45</f>
        <v>0.33333333333333331</v>
      </c>
      <c r="AM114" s="355">
        <f t="shared" si="163"/>
        <v>-0.3133333333333333</v>
      </c>
      <c r="AN114" s="355">
        <f>_xlfn.IFS(AM114&gt;=0,1,AM114&lt;0,AK114/AL114)</f>
        <v>6.0000000000000012E-2</v>
      </c>
      <c r="AO114" s="355">
        <f t="shared" ref="AO114:AO115" si="166">AN114*AJ114</f>
        <v>1.2000000000000005E-2</v>
      </c>
      <c r="AP114" s="593"/>
      <c r="AQ114" s="10"/>
      <c r="AR114" s="10"/>
      <c r="AS114" s="10"/>
      <c r="AT114" s="262"/>
      <c r="AU114" s="627"/>
      <c r="AV114" s="627"/>
      <c r="AW114" s="627"/>
      <c r="AX114" s="197"/>
      <c r="AY114" s="197"/>
      <c r="AZ114" s="197"/>
      <c r="BA114" s="197"/>
      <c r="BB114" s="197"/>
      <c r="BC114" s="197"/>
      <c r="BD114" s="197"/>
      <c r="BE114" s="197"/>
      <c r="BF114" s="197"/>
      <c r="BG114" s="197"/>
      <c r="BH114" s="197"/>
      <c r="BI114" s="197"/>
      <c r="BJ114" s="197"/>
      <c r="BK114" s="197"/>
      <c r="BL114" s="197"/>
      <c r="BM114" s="197"/>
      <c r="BN114" s="197"/>
      <c r="BO114" s="197"/>
      <c r="BP114" s="197"/>
    </row>
    <row r="115" spans="1:68" ht="20" customHeight="1" x14ac:dyDescent="0.15">
      <c r="A115" s="10"/>
      <c r="B115" s="1355"/>
      <c r="C115" s="391" t="s">
        <v>60</v>
      </c>
      <c r="D115" s="355">
        <f>'Action Plan'!D119</f>
        <v>0.1</v>
      </c>
      <c r="E115" s="355">
        <f>'Action Plan'!E119</f>
        <v>0.05</v>
      </c>
      <c r="F115" s="355">
        <f>N115+V115+AD115+AL115</f>
        <v>1</v>
      </c>
      <c r="G115" s="355">
        <f>E115-F115</f>
        <v>-0.95</v>
      </c>
      <c r="H115" s="355">
        <f t="shared" si="155"/>
        <v>0.05</v>
      </c>
      <c r="I115" s="355">
        <f t="shared" si="134"/>
        <v>5.000000000000001E-3</v>
      </c>
      <c r="J115" s="593"/>
      <c r="K115" s="386" t="s">
        <v>60</v>
      </c>
      <c r="L115" s="355">
        <f>'Action Plan'!H119</f>
        <v>0.34999999999999992</v>
      </c>
      <c r="M115" s="355">
        <f>'Action Plan'!I119</f>
        <v>3.4999999999999996E-2</v>
      </c>
      <c r="N115" s="355">
        <f>'Sale #1'!E46</f>
        <v>0</v>
      </c>
      <c r="O115" s="355">
        <f t="shared" si="156"/>
        <v>3.4999999999999996E-2</v>
      </c>
      <c r="P115" s="355">
        <f>_xlfn.IFS(O115&gt;=0,1,O115&lt;0,M115/N115)</f>
        <v>1</v>
      </c>
      <c r="Q115" s="355">
        <f t="shared" si="105"/>
        <v>0.34999999999999992</v>
      </c>
      <c r="R115" s="593"/>
      <c r="S115" s="975" t="s">
        <v>60</v>
      </c>
      <c r="T115" s="943">
        <f>'Action Plan'!L119</f>
        <v>0.3</v>
      </c>
      <c r="U115" s="355">
        <f>'Action Plan'!M119</f>
        <v>0.03</v>
      </c>
      <c r="V115" s="355">
        <f>'Sale #2'!E46</f>
        <v>0</v>
      </c>
      <c r="W115" s="355">
        <f t="shared" si="158"/>
        <v>0.03</v>
      </c>
      <c r="X115" s="355">
        <f>_xlfn.IFS(W115&gt;=0,1,W115&lt;0,U115/V115)</f>
        <v>1</v>
      </c>
      <c r="Y115" s="355">
        <f t="shared" si="160"/>
        <v>0.3</v>
      </c>
      <c r="Z115" s="593"/>
      <c r="AA115" s="386" t="s">
        <v>60</v>
      </c>
      <c r="AB115" s="355">
        <f>'Action Plan'!P119</f>
        <v>0.25</v>
      </c>
      <c r="AC115" s="355">
        <f>'Action Plan'!Q119</f>
        <v>2.5000000000000001E-2</v>
      </c>
      <c r="AD115" s="355">
        <f>'Sale #3'!E46</f>
        <v>0</v>
      </c>
      <c r="AE115" s="355">
        <f t="shared" si="161"/>
        <v>2.5000000000000001E-2</v>
      </c>
      <c r="AF115" s="355">
        <f>_xlfn.IFS(AE115&gt;=0,1,AE115&lt;0,AC115/AD115)</f>
        <v>1</v>
      </c>
      <c r="AG115" s="355">
        <f t="shared" si="165"/>
        <v>0.25</v>
      </c>
      <c r="AH115" s="593"/>
      <c r="AI115" s="975" t="s">
        <v>60</v>
      </c>
      <c r="AJ115" s="355">
        <f>'Action Plan'!T119</f>
        <v>0.20000000000000004</v>
      </c>
      <c r="AK115" s="943">
        <f>'Action Plan'!U119</f>
        <v>2.0000000000000004E-2</v>
      </c>
      <c r="AL115" s="943">
        <f>'Sale #4'!E46</f>
        <v>1</v>
      </c>
      <c r="AM115" s="355">
        <f>AK115-AL115</f>
        <v>-0.98</v>
      </c>
      <c r="AN115" s="355">
        <f>_xlfn.IFS(AM115&gt;=0,1,AM115&lt;0,AK115/AL115)</f>
        <v>2.0000000000000004E-2</v>
      </c>
      <c r="AO115" s="355">
        <f t="shared" si="166"/>
        <v>4.0000000000000018E-3</v>
      </c>
      <c r="AP115" s="593"/>
      <c r="AQ115" s="10"/>
      <c r="AR115" s="10"/>
      <c r="AS115" s="10"/>
      <c r="AT115" s="262"/>
      <c r="AU115" s="627"/>
      <c r="AV115" s="627"/>
      <c r="AW115" s="627"/>
      <c r="AX115" s="197"/>
      <c r="AY115" s="197"/>
      <c r="AZ115" s="197"/>
      <c r="BA115" s="197"/>
      <c r="BB115" s="197"/>
      <c r="BC115" s="197"/>
      <c r="BD115" s="197"/>
      <c r="BE115" s="197"/>
      <c r="BF115" s="197"/>
      <c r="BG115" s="197"/>
      <c r="BH115" s="197"/>
      <c r="BI115" s="197"/>
      <c r="BJ115" s="197"/>
      <c r="BK115" s="197"/>
      <c r="BL115" s="197"/>
      <c r="BM115" s="197"/>
      <c r="BN115" s="197"/>
      <c r="BO115" s="197"/>
      <c r="BP115" s="197"/>
    </row>
    <row r="116" spans="1:68" ht="20" customHeight="1" x14ac:dyDescent="0.15">
      <c r="A116" s="10"/>
      <c r="B116" s="1355"/>
      <c r="C116" s="819" t="s">
        <v>84</v>
      </c>
      <c r="D116" s="668">
        <f>'Action Plan'!D120</f>
        <v>0.05</v>
      </c>
      <c r="E116" s="668">
        <f>'Action Plan'!E120</f>
        <v>0.45833333333333331</v>
      </c>
      <c r="F116" s="672">
        <f>IF(SUM(F117:F122)&gt;0,AVERAGEIF(F117:F122,"&gt;0"),0)</f>
        <v>2.7800403225806449</v>
      </c>
      <c r="G116" s="668">
        <f>F116-E116</f>
        <v>2.3217069892473114</v>
      </c>
      <c r="H116" s="668">
        <f>AVERAGE(H117:H122)</f>
        <v>1</v>
      </c>
      <c r="I116" s="668">
        <f>H116*D116</f>
        <v>0.05</v>
      </c>
      <c r="J116" s="670"/>
      <c r="K116" s="392" t="s">
        <v>84</v>
      </c>
      <c r="L116" s="668">
        <f>'Action Plan'!H120</f>
        <v>0.35000000000000003</v>
      </c>
      <c r="M116" s="668">
        <f>'Action Plan'!I120</f>
        <v>0.16041666666666665</v>
      </c>
      <c r="N116" s="983">
        <f>'Sale #1'!$H19</f>
        <v>0.47478991596638653</v>
      </c>
      <c r="O116" s="668">
        <f>N116-M116</f>
        <v>0.31437324929971988</v>
      </c>
      <c r="P116" s="668">
        <f>AVERAGE(P117:P122)</f>
        <v>1</v>
      </c>
      <c r="Q116" s="668">
        <f>P116*L116</f>
        <v>0.35000000000000003</v>
      </c>
      <c r="R116" s="670"/>
      <c r="S116" s="392" t="s">
        <v>84</v>
      </c>
      <c r="T116" s="977">
        <f>'Action Plan'!L120</f>
        <v>0.3</v>
      </c>
      <c r="U116" s="977">
        <f>'Action Plan'!M120</f>
        <v>0.13749999999999998</v>
      </c>
      <c r="V116" s="977">
        <f>'Sale #2'!$H19</f>
        <v>0.47826086956521741</v>
      </c>
      <c r="W116" s="977">
        <v>0.2102</v>
      </c>
      <c r="X116" s="668">
        <f>AVERAGE(X117:X122)</f>
        <v>1</v>
      </c>
      <c r="Y116" s="668">
        <f>X116*T116</f>
        <v>0.3</v>
      </c>
      <c r="Z116" s="974"/>
      <c r="AA116" s="392" t="s">
        <v>84</v>
      </c>
      <c r="AB116" s="668">
        <f>'Action Plan'!P120</f>
        <v>0.25</v>
      </c>
      <c r="AC116" s="668">
        <f>'Action Plan'!Q120</f>
        <v>0.11458333333333333</v>
      </c>
      <c r="AD116" s="983">
        <f>'Sale #3'!$H19</f>
        <v>0.47826086956521741</v>
      </c>
      <c r="AE116" s="668">
        <f>AD116-AC116</f>
        <v>0.36367753623188409</v>
      </c>
      <c r="AF116" s="668">
        <f>AVERAGE(AF117:AF122)</f>
        <v>1</v>
      </c>
      <c r="AG116" s="668">
        <f>AF116*AB116</f>
        <v>0.25</v>
      </c>
      <c r="AH116" s="670"/>
      <c r="AI116" s="392" t="s">
        <v>84</v>
      </c>
      <c r="AJ116" s="668">
        <f>'Action Plan'!T120</f>
        <v>0.19999999999999998</v>
      </c>
      <c r="AK116" s="977">
        <f>'Action Plan'!U120</f>
        <v>9.1666666666666674E-2</v>
      </c>
      <c r="AL116" s="977">
        <f>'Sale #4'!$H19</f>
        <v>0.47759103641456585</v>
      </c>
      <c r="AM116" s="668">
        <f>AL116-AK116</f>
        <v>0.38592436974789918</v>
      </c>
      <c r="AN116" s="668">
        <f>AVERAGE(AN117:AN122)</f>
        <v>1</v>
      </c>
      <c r="AO116" s="668">
        <f>AN116*AJ116</f>
        <v>0.19999999999999998</v>
      </c>
      <c r="AP116" s="974"/>
      <c r="AQ116" s="10"/>
      <c r="AR116" s="10"/>
      <c r="AS116" s="10"/>
      <c r="AT116" s="262"/>
      <c r="AU116" s="627"/>
      <c r="AV116" s="627"/>
      <c r="AW116" s="627"/>
      <c r="AX116" s="197"/>
      <c r="AY116" s="197"/>
      <c r="AZ116" s="197"/>
      <c r="BA116" s="197"/>
      <c r="BB116" s="197"/>
      <c r="BC116" s="197"/>
      <c r="BD116" s="197"/>
      <c r="BE116" s="197"/>
      <c r="BF116" s="197"/>
      <c r="BG116" s="197"/>
      <c r="BH116" s="197"/>
      <c r="BI116" s="197"/>
      <c r="BJ116" s="197"/>
      <c r="BK116" s="197"/>
      <c r="BL116" s="197"/>
      <c r="BM116" s="197"/>
      <c r="BN116" s="197"/>
      <c r="BO116" s="197"/>
      <c r="BP116" s="197"/>
    </row>
    <row r="117" spans="1:68" ht="20" customHeight="1" x14ac:dyDescent="0.15">
      <c r="A117" s="10"/>
      <c r="B117" s="1355"/>
      <c r="C117" s="391" t="s">
        <v>2</v>
      </c>
      <c r="D117" s="355">
        <f>'Action Plan'!D121</f>
        <v>0.2</v>
      </c>
      <c r="E117" s="355">
        <f>'Action Plan'!E118</f>
        <v>0.15</v>
      </c>
      <c r="F117" s="355">
        <f>(N117+V117+AD117+AL117)</f>
        <v>3.995295698924731</v>
      </c>
      <c r="G117" s="355">
        <f>F117-E117</f>
        <v>3.8452956989247311</v>
      </c>
      <c r="H117" s="355">
        <f>_xlfn.IFS(G117&gt;=0,1,G117&lt;0,F117/E117)</f>
        <v>1</v>
      </c>
      <c r="I117" s="355">
        <f>H117*D117</f>
        <v>0.2</v>
      </c>
      <c r="J117" s="1243" t="s">
        <v>223</v>
      </c>
      <c r="K117" s="386" t="s">
        <v>2</v>
      </c>
      <c r="L117" s="355">
        <f>'Action Plan'!H121</f>
        <v>0.35</v>
      </c>
      <c r="M117" s="355">
        <f>'Action Plan'!I121</f>
        <v>0.16041666666666665</v>
      </c>
      <c r="N117" s="355">
        <f>'Sale #1'!I2</f>
        <v>0.99529569892473113</v>
      </c>
      <c r="O117" s="355">
        <f>N117-M117</f>
        <v>0.83487903225806448</v>
      </c>
      <c r="P117" s="355">
        <f>_xlfn.IFS(O117&gt;=0,1,O117&lt;0,M117/N117)</f>
        <v>1</v>
      </c>
      <c r="Q117" s="355">
        <f>P117*L117</f>
        <v>0.35</v>
      </c>
      <c r="R117" s="593"/>
      <c r="S117" s="975" t="s">
        <v>2</v>
      </c>
      <c r="T117" s="943">
        <f>'Action Plan'!L121</f>
        <v>0.3</v>
      </c>
      <c r="U117" s="943">
        <f>'Action Plan'!M121</f>
        <v>0.13749999999999998</v>
      </c>
      <c r="V117" s="355">
        <f>'Sale #2'!I2</f>
        <v>1</v>
      </c>
      <c r="W117" s="355">
        <f>V117-U117</f>
        <v>0.86250000000000004</v>
      </c>
      <c r="X117" s="355">
        <f>_xlfn.IFS(W117&gt;=0,1,W117&lt;0,U117/V117)</f>
        <v>1</v>
      </c>
      <c r="Y117" s="355">
        <f>X117*T117</f>
        <v>0.3</v>
      </c>
      <c r="Z117" s="593"/>
      <c r="AA117" s="386" t="s">
        <v>2</v>
      </c>
      <c r="AB117" s="355">
        <f>'Action Plan'!P121</f>
        <v>0.25</v>
      </c>
      <c r="AC117" s="355">
        <f>'Action Plan'!Q121</f>
        <v>0.11458333333333333</v>
      </c>
      <c r="AD117" s="355">
        <f>'Sale #3'!I2</f>
        <v>1</v>
      </c>
      <c r="AE117" s="355">
        <f>AD117-AC117</f>
        <v>0.88541666666666663</v>
      </c>
      <c r="AF117" s="355">
        <f>_xlfn.IFS(AE117&gt;=0,1,AE117&lt;0,AC117/AD117)</f>
        <v>1</v>
      </c>
      <c r="AG117" s="355">
        <f>AF117*AB117</f>
        <v>0.25</v>
      </c>
      <c r="AH117" s="593"/>
      <c r="AI117" s="975" t="s">
        <v>2</v>
      </c>
      <c r="AJ117" s="355">
        <f>'Action Plan'!T121</f>
        <v>0.2</v>
      </c>
      <c r="AK117" s="943">
        <f>'Action Plan'!U121</f>
        <v>9.1666666666666674E-2</v>
      </c>
      <c r="AL117" s="943">
        <f>'Sale #4'!I2</f>
        <v>1</v>
      </c>
      <c r="AM117" s="355">
        <f>AL117-AK117</f>
        <v>0.90833333333333333</v>
      </c>
      <c r="AN117" s="355">
        <f>_xlfn.IFS(AM117&gt;=0,1,AM117&lt;0,AK117/AL117)</f>
        <v>1</v>
      </c>
      <c r="AO117" s="355">
        <f>AN117*AJ117</f>
        <v>0.2</v>
      </c>
      <c r="AP117" s="593"/>
      <c r="AQ117" s="10"/>
      <c r="AR117" s="10"/>
      <c r="AS117" s="10"/>
      <c r="AT117" s="262"/>
      <c r="AU117" s="627"/>
      <c r="AV117" s="627"/>
      <c r="AW117" s="627"/>
      <c r="AX117" s="197"/>
      <c r="AY117" s="197"/>
      <c r="AZ117" s="197"/>
      <c r="BA117" s="197"/>
      <c r="BB117" s="197"/>
      <c r="BC117" s="197"/>
      <c r="BD117" s="197"/>
      <c r="BE117" s="197"/>
      <c r="BF117" s="197"/>
      <c r="BG117" s="197"/>
      <c r="BH117" s="197"/>
      <c r="BI117" s="197"/>
      <c r="BJ117" s="197"/>
      <c r="BK117" s="197"/>
      <c r="BL117" s="197"/>
      <c r="BM117" s="197"/>
      <c r="BN117" s="197"/>
      <c r="BO117" s="197"/>
      <c r="BP117" s="197"/>
    </row>
    <row r="118" spans="1:68" ht="20" customHeight="1" x14ac:dyDescent="0.15">
      <c r="A118" s="10"/>
      <c r="B118" s="1355"/>
      <c r="C118" s="391" t="s">
        <v>3</v>
      </c>
      <c r="D118" s="355">
        <f>'Action Plan'!D122</f>
        <v>0.4</v>
      </c>
      <c r="E118" s="355">
        <f>'Action Plan'!E119</f>
        <v>0.05</v>
      </c>
      <c r="F118" s="355">
        <f t="shared" ref="F118:F122" si="167">(N118+V118+AD118+AL118)</f>
        <v>3.0634408602150516</v>
      </c>
      <c r="G118" s="355">
        <f t="shared" ref="G118" si="168">F118-E118</f>
        <v>3.0134408602150518</v>
      </c>
      <c r="H118" s="355">
        <f t="shared" ref="H118:H122" si="169">_xlfn.IFS(G118&gt;=0,1,G118&lt;0,F118/E118)</f>
        <v>1</v>
      </c>
      <c r="I118" s="355">
        <f t="shared" ref="I118" si="170">H118*D118</f>
        <v>0.4</v>
      </c>
      <c r="J118" s="593"/>
      <c r="K118" s="386" t="s">
        <v>3</v>
      </c>
      <c r="L118" s="355">
        <f>'Action Plan'!H122</f>
        <v>0.35</v>
      </c>
      <c r="M118" s="355">
        <f>'Action Plan'!I122</f>
        <v>0.16041666666666665</v>
      </c>
      <c r="N118" s="355">
        <f>'Sale #1'!I3</f>
        <v>0.76344086021505309</v>
      </c>
      <c r="O118" s="355">
        <f t="shared" ref="O118:O119" si="171">N118-M118</f>
        <v>0.60302419354838643</v>
      </c>
      <c r="P118" s="355">
        <f t="shared" ref="P118:P122" si="172">_xlfn.IFS(O118&gt;=0,1,O118&lt;0,M118/N118)</f>
        <v>1</v>
      </c>
      <c r="Q118" s="355">
        <f t="shared" ref="Q118:Q119" si="173">P118*L118</f>
        <v>0.35</v>
      </c>
      <c r="R118" s="593"/>
      <c r="S118" s="975" t="s">
        <v>3</v>
      </c>
      <c r="T118" s="943">
        <f>'Action Plan'!L122</f>
        <v>0.3</v>
      </c>
      <c r="U118" s="943">
        <f>'Action Plan'!M122</f>
        <v>0.13749999999999998</v>
      </c>
      <c r="V118" s="355">
        <f>'Sale #2'!I3</f>
        <v>0.76666666666666605</v>
      </c>
      <c r="W118" s="355">
        <f t="shared" ref="W118:W119" si="174">V118-U118</f>
        <v>0.6291666666666661</v>
      </c>
      <c r="X118" s="355">
        <f t="shared" ref="X118:X122" si="175">_xlfn.IFS(W118&gt;=0,1,W118&lt;0,U118/V118)</f>
        <v>1</v>
      </c>
      <c r="Y118" s="355">
        <f t="shared" ref="Y118:Y122" si="176">X118*T118</f>
        <v>0.3</v>
      </c>
      <c r="Z118" s="593"/>
      <c r="AA118" s="386" t="s">
        <v>3</v>
      </c>
      <c r="AB118" s="355">
        <f>'Action Plan'!P122</f>
        <v>0.25</v>
      </c>
      <c r="AC118" s="355">
        <f>'Action Plan'!Q122</f>
        <v>0.11458333333333333</v>
      </c>
      <c r="AD118" s="355">
        <f>'Sale #3'!I3</f>
        <v>0.76666666666666605</v>
      </c>
      <c r="AE118" s="355">
        <f>AD118-AC118</f>
        <v>0.65208333333333268</v>
      </c>
      <c r="AF118" s="355">
        <f t="shared" ref="AF118:AF122" si="177">_xlfn.IFS(AE118&gt;=0,1,AE118&lt;0,AC118/AD118)</f>
        <v>1</v>
      </c>
      <c r="AG118" s="355">
        <f t="shared" ref="AG118:AG122" si="178">AF118*AB118</f>
        <v>0.25</v>
      </c>
      <c r="AH118" s="593"/>
      <c r="AI118" s="975" t="s">
        <v>3</v>
      </c>
      <c r="AJ118" s="355">
        <f>'Action Plan'!T122</f>
        <v>0.2</v>
      </c>
      <c r="AK118" s="943">
        <f>'Action Plan'!U122</f>
        <v>9.1666666666666674E-2</v>
      </c>
      <c r="AL118" s="943">
        <f>'Sale #4'!I3</f>
        <v>0.76666666666666605</v>
      </c>
      <c r="AM118" s="355">
        <f>AL118-AK118</f>
        <v>0.67499999999999938</v>
      </c>
      <c r="AN118" s="355">
        <f t="shared" ref="AN118:AN122" si="179">_xlfn.IFS(AM118&gt;=0,1,AM118&lt;0,AK118/AL118)</f>
        <v>1</v>
      </c>
      <c r="AO118" s="355">
        <f t="shared" ref="AO118:AO122" si="180">AN118*AJ118</f>
        <v>0.2</v>
      </c>
      <c r="AP118" s="593"/>
      <c r="AQ118" s="10"/>
      <c r="AR118" s="10"/>
      <c r="AS118" s="10"/>
      <c r="AT118" s="262"/>
      <c r="AU118" s="627"/>
      <c r="AV118" s="627"/>
      <c r="AW118" s="627"/>
      <c r="AX118" s="197"/>
      <c r="AY118" s="197"/>
      <c r="AZ118" s="197"/>
      <c r="BA118" s="197"/>
      <c r="BB118" s="197"/>
      <c r="BC118" s="197"/>
      <c r="BD118" s="197"/>
      <c r="BE118" s="197"/>
      <c r="BF118" s="197"/>
      <c r="BG118" s="197"/>
      <c r="BH118" s="197"/>
      <c r="BI118" s="197"/>
      <c r="BJ118" s="197"/>
      <c r="BK118" s="197"/>
      <c r="BL118" s="197"/>
      <c r="BM118" s="197"/>
      <c r="BN118" s="197"/>
      <c r="BO118" s="197"/>
      <c r="BP118" s="197"/>
    </row>
    <row r="119" spans="1:68" ht="20" customHeight="1" x14ac:dyDescent="0.15">
      <c r="A119" s="10"/>
      <c r="B119" s="1355"/>
      <c r="C119" s="391" t="s">
        <v>4</v>
      </c>
      <c r="D119" s="355">
        <f>'Action Plan'!D123</f>
        <v>0.1</v>
      </c>
      <c r="E119" s="355">
        <f>'Action Plan'!E120</f>
        <v>0.45833333333333331</v>
      </c>
      <c r="F119" s="355">
        <f t="shared" si="167"/>
        <v>1.6666666666666661</v>
      </c>
      <c r="G119" s="355">
        <f t="shared" ref="G119" si="181">F119-E119</f>
        <v>1.2083333333333328</v>
      </c>
      <c r="H119" s="355">
        <f t="shared" si="169"/>
        <v>1</v>
      </c>
      <c r="I119" s="355">
        <f>H119*D119</f>
        <v>0.1</v>
      </c>
      <c r="J119" s="593"/>
      <c r="K119" s="386" t="s">
        <v>4</v>
      </c>
      <c r="L119" s="355">
        <f>'Action Plan'!H123</f>
        <v>0.35</v>
      </c>
      <c r="M119" s="355">
        <f>'Action Plan'!I123</f>
        <v>0.16041666666666665</v>
      </c>
      <c r="N119" s="355">
        <f>'Sale #1'!I4</f>
        <v>0.41666666666666652</v>
      </c>
      <c r="O119" s="355">
        <f t="shared" si="171"/>
        <v>0.25624999999999987</v>
      </c>
      <c r="P119" s="355">
        <f t="shared" si="172"/>
        <v>1</v>
      </c>
      <c r="Q119" s="355">
        <f t="shared" si="173"/>
        <v>0.35</v>
      </c>
      <c r="R119" s="593"/>
      <c r="S119" s="975" t="s">
        <v>4</v>
      </c>
      <c r="T119" s="943">
        <f>'Action Plan'!L123</f>
        <v>0.3</v>
      </c>
      <c r="U119" s="943">
        <f>'Action Plan'!M123</f>
        <v>0.13749999999999998</v>
      </c>
      <c r="V119" s="355">
        <f>'Sale #2'!I4</f>
        <v>0.41666666666666652</v>
      </c>
      <c r="W119" s="355">
        <f t="shared" si="174"/>
        <v>0.27916666666666656</v>
      </c>
      <c r="X119" s="355">
        <f t="shared" si="175"/>
        <v>1</v>
      </c>
      <c r="Y119" s="355">
        <f t="shared" si="176"/>
        <v>0.3</v>
      </c>
      <c r="Z119" s="593"/>
      <c r="AA119" s="386" t="s">
        <v>4</v>
      </c>
      <c r="AB119" s="355">
        <f>'Action Plan'!P123</f>
        <v>0.25</v>
      </c>
      <c r="AC119" s="355">
        <f>'Action Plan'!Q123</f>
        <v>0.11458333333333333</v>
      </c>
      <c r="AD119" s="355">
        <f>'Sale #3'!I4</f>
        <v>0.41666666666666652</v>
      </c>
      <c r="AE119" s="355">
        <f t="shared" ref="AE119" si="182">AD119-AC119</f>
        <v>0.3020833333333332</v>
      </c>
      <c r="AF119" s="355">
        <f t="shared" si="177"/>
        <v>1</v>
      </c>
      <c r="AG119" s="355">
        <f t="shared" si="178"/>
        <v>0.25</v>
      </c>
      <c r="AH119" s="593"/>
      <c r="AI119" s="975" t="s">
        <v>4</v>
      </c>
      <c r="AJ119" s="355">
        <f>'Action Plan'!T123</f>
        <v>0.2</v>
      </c>
      <c r="AK119" s="943">
        <f>'Action Plan'!U123</f>
        <v>9.1666666666666674E-2</v>
      </c>
      <c r="AL119" s="943">
        <f>'Sale #4'!I4</f>
        <v>0.41666666666666652</v>
      </c>
      <c r="AM119" s="355">
        <f t="shared" ref="AM119" si="183">AL119-AK119</f>
        <v>0.32499999999999984</v>
      </c>
      <c r="AN119" s="355">
        <f t="shared" si="179"/>
        <v>1</v>
      </c>
      <c r="AO119" s="355">
        <f t="shared" si="180"/>
        <v>0.2</v>
      </c>
      <c r="AP119" s="593"/>
      <c r="AQ119" s="10"/>
      <c r="AR119" s="10"/>
      <c r="AS119" s="10"/>
      <c r="AT119" s="262"/>
      <c r="AU119" s="627"/>
      <c r="AV119" s="627"/>
      <c r="AW119" s="627"/>
      <c r="AX119" s="197"/>
      <c r="AY119" s="197"/>
      <c r="AZ119" s="197"/>
      <c r="BA119" s="197"/>
      <c r="BB119" s="197"/>
      <c r="BC119" s="197"/>
      <c r="BD119" s="197"/>
      <c r="BE119" s="197"/>
      <c r="BF119" s="197"/>
      <c r="BG119" s="197"/>
      <c r="BH119" s="197"/>
      <c r="BI119" s="197"/>
      <c r="BJ119" s="197"/>
      <c r="BK119" s="197"/>
      <c r="BL119" s="197"/>
      <c r="BM119" s="197"/>
      <c r="BN119" s="197"/>
      <c r="BO119" s="197"/>
      <c r="BP119" s="197"/>
    </row>
    <row r="120" spans="1:68" ht="20" customHeight="1" x14ac:dyDescent="0.15">
      <c r="A120" s="10"/>
      <c r="B120" s="1355"/>
      <c r="C120" s="391" t="s">
        <v>5</v>
      </c>
      <c r="D120" s="355">
        <f>'Action Plan'!D124</f>
        <v>0.1</v>
      </c>
      <c r="E120" s="355">
        <f>'Action Plan'!E124</f>
        <v>0.7</v>
      </c>
      <c r="F120" s="355">
        <f t="shared" si="167"/>
        <v>2.0032258064516126</v>
      </c>
      <c r="G120" s="355">
        <f t="shared" ref="G120:G122" si="184">F120-E120</f>
        <v>1.3032258064516127</v>
      </c>
      <c r="H120" s="355">
        <f t="shared" si="169"/>
        <v>1</v>
      </c>
      <c r="I120" s="355">
        <f t="shared" si="134"/>
        <v>0.1</v>
      </c>
      <c r="J120" s="593"/>
      <c r="K120" s="386" t="s">
        <v>5</v>
      </c>
      <c r="L120" s="355">
        <f>'Action Plan'!H124</f>
        <v>0.35</v>
      </c>
      <c r="M120" s="355">
        <f>'Action Plan'!I124</f>
        <v>0.16041666666666665</v>
      </c>
      <c r="N120" s="355">
        <f>'Sale #1'!I5</f>
        <v>0.50322580645161286</v>
      </c>
      <c r="O120" s="355">
        <f>N120-M120</f>
        <v>0.3428091397849462</v>
      </c>
      <c r="P120" s="355">
        <f t="shared" si="172"/>
        <v>1</v>
      </c>
      <c r="Q120" s="355">
        <f t="shared" si="105"/>
        <v>0.35</v>
      </c>
      <c r="R120" s="593"/>
      <c r="S120" s="975" t="s">
        <v>5</v>
      </c>
      <c r="T120" s="943">
        <f>'Action Plan'!L124</f>
        <v>0.3</v>
      </c>
      <c r="U120" s="943">
        <f>'Action Plan'!M124</f>
        <v>0.13749999999999998</v>
      </c>
      <c r="V120" s="355">
        <f>'Sale #2'!I5</f>
        <v>0.5</v>
      </c>
      <c r="W120" s="355">
        <f>V120-U120</f>
        <v>0.36250000000000004</v>
      </c>
      <c r="X120" s="355">
        <f t="shared" si="175"/>
        <v>1</v>
      </c>
      <c r="Y120" s="355">
        <f t="shared" si="176"/>
        <v>0.3</v>
      </c>
      <c r="Z120" s="593"/>
      <c r="AA120" s="386" t="s">
        <v>5</v>
      </c>
      <c r="AB120" s="355">
        <f>'Action Plan'!P124</f>
        <v>0.25</v>
      </c>
      <c r="AC120" s="355">
        <f>'Action Plan'!Q124</f>
        <v>0.11458333333333333</v>
      </c>
      <c r="AD120" s="355">
        <f>'Sale #3'!I5</f>
        <v>0.5</v>
      </c>
      <c r="AE120" s="355">
        <f>AD120-AC120</f>
        <v>0.38541666666666669</v>
      </c>
      <c r="AF120" s="355">
        <f t="shared" si="177"/>
        <v>1</v>
      </c>
      <c r="AG120" s="355">
        <f t="shared" si="178"/>
        <v>0.25</v>
      </c>
      <c r="AH120" s="593"/>
      <c r="AI120" s="975" t="s">
        <v>5</v>
      </c>
      <c r="AJ120" s="355">
        <f>'Action Plan'!T124</f>
        <v>0.2</v>
      </c>
      <c r="AK120" s="943">
        <f>'Action Plan'!U124</f>
        <v>9.1666666666666674E-2</v>
      </c>
      <c r="AL120" s="943">
        <f>'Sale #4'!I5</f>
        <v>0.5</v>
      </c>
      <c r="AM120" s="355">
        <f>AL120-AK120</f>
        <v>0.40833333333333333</v>
      </c>
      <c r="AN120" s="355">
        <f t="shared" si="179"/>
        <v>1</v>
      </c>
      <c r="AO120" s="355">
        <f t="shared" si="180"/>
        <v>0.2</v>
      </c>
      <c r="AP120" s="593"/>
      <c r="AQ120" s="10"/>
      <c r="AR120" s="10"/>
      <c r="AS120" s="10"/>
      <c r="AT120" s="262"/>
      <c r="AU120" s="627"/>
      <c r="AV120" s="627"/>
      <c r="AW120" s="627"/>
      <c r="AX120" s="197"/>
      <c r="AY120" s="197"/>
      <c r="AZ120" s="197"/>
      <c r="BA120" s="197"/>
      <c r="BB120" s="197"/>
      <c r="BC120" s="197"/>
      <c r="BD120" s="197"/>
      <c r="BE120" s="197"/>
      <c r="BF120" s="197"/>
      <c r="BG120" s="197"/>
      <c r="BH120" s="197"/>
      <c r="BI120" s="197"/>
      <c r="BJ120" s="197"/>
      <c r="BK120" s="197"/>
      <c r="BL120" s="197"/>
      <c r="BM120" s="197"/>
      <c r="BN120" s="197"/>
      <c r="BO120" s="197"/>
      <c r="BP120" s="197"/>
    </row>
    <row r="121" spans="1:68" ht="20" customHeight="1" x14ac:dyDescent="0.15">
      <c r="A121" s="10"/>
      <c r="B121" s="1355"/>
      <c r="C121" s="391" t="s">
        <v>6</v>
      </c>
      <c r="D121" s="355">
        <f>'Action Plan'!D125</f>
        <v>0.1</v>
      </c>
      <c r="E121" s="355">
        <f>'Action Plan'!E125</f>
        <v>0.35</v>
      </c>
      <c r="F121" s="355">
        <f t="shared" si="167"/>
        <v>2</v>
      </c>
      <c r="G121" s="355">
        <f t="shared" si="184"/>
        <v>1.65</v>
      </c>
      <c r="H121" s="355">
        <f t="shared" si="169"/>
        <v>1</v>
      </c>
      <c r="I121" s="355">
        <f t="shared" si="134"/>
        <v>0.1</v>
      </c>
      <c r="J121" s="593"/>
      <c r="K121" s="386" t="s">
        <v>6</v>
      </c>
      <c r="L121" s="355">
        <f>'Action Plan'!H125</f>
        <v>0.35</v>
      </c>
      <c r="M121" s="355">
        <f>'Action Plan'!I125</f>
        <v>0.16041666666666665</v>
      </c>
      <c r="N121" s="355">
        <f>'Sale #1'!I6</f>
        <v>0.5</v>
      </c>
      <c r="O121" s="355">
        <f>N121-M121</f>
        <v>0.33958333333333335</v>
      </c>
      <c r="P121" s="355">
        <f t="shared" si="172"/>
        <v>1</v>
      </c>
      <c r="Q121" s="355">
        <f t="shared" si="105"/>
        <v>0.35</v>
      </c>
      <c r="R121" s="593"/>
      <c r="S121" s="975" t="s">
        <v>6</v>
      </c>
      <c r="T121" s="943">
        <f>'Action Plan'!L125</f>
        <v>0.3</v>
      </c>
      <c r="U121" s="943">
        <f>'Action Plan'!M125</f>
        <v>0.13749999999999998</v>
      </c>
      <c r="V121" s="355">
        <f>'Sale #2'!I6</f>
        <v>0.5</v>
      </c>
      <c r="W121" s="355">
        <f t="shared" ref="W121" si="185">V121-U121</f>
        <v>0.36250000000000004</v>
      </c>
      <c r="X121" s="355">
        <f t="shared" si="175"/>
        <v>1</v>
      </c>
      <c r="Y121" s="355">
        <f t="shared" si="176"/>
        <v>0.3</v>
      </c>
      <c r="Z121" s="593"/>
      <c r="AA121" s="386" t="s">
        <v>6</v>
      </c>
      <c r="AB121" s="355">
        <f>'Action Plan'!P125</f>
        <v>0.25</v>
      </c>
      <c r="AC121" s="355">
        <f>'Action Plan'!Q125</f>
        <v>0.11458333333333333</v>
      </c>
      <c r="AD121" s="355">
        <f>'Sale #3'!I6</f>
        <v>0.5</v>
      </c>
      <c r="AE121" s="355">
        <f t="shared" ref="AE121" si="186">AD121-AC121</f>
        <v>0.38541666666666669</v>
      </c>
      <c r="AF121" s="355">
        <f t="shared" si="177"/>
        <v>1</v>
      </c>
      <c r="AG121" s="355">
        <f t="shared" si="178"/>
        <v>0.25</v>
      </c>
      <c r="AH121" s="593"/>
      <c r="AI121" s="975" t="s">
        <v>6</v>
      </c>
      <c r="AJ121" s="355">
        <f>'Action Plan'!T125</f>
        <v>0.2</v>
      </c>
      <c r="AK121" s="943">
        <f>'Action Plan'!U125</f>
        <v>9.1666666666666674E-2</v>
      </c>
      <c r="AL121" s="943">
        <f>'Sale #4'!I6</f>
        <v>0.5</v>
      </c>
      <c r="AM121" s="355">
        <f t="shared" ref="AM121" si="187">AL121-AK121</f>
        <v>0.40833333333333333</v>
      </c>
      <c r="AN121" s="355">
        <f t="shared" si="179"/>
        <v>1</v>
      </c>
      <c r="AO121" s="355">
        <f t="shared" si="180"/>
        <v>0.2</v>
      </c>
      <c r="AP121" s="593"/>
      <c r="AQ121" s="10"/>
      <c r="AR121" s="10"/>
      <c r="AS121" s="10"/>
      <c r="AT121" s="262"/>
      <c r="AU121" s="627"/>
      <c r="AV121" s="627"/>
      <c r="AW121" s="627"/>
      <c r="AX121" s="197"/>
      <c r="AY121" s="197"/>
      <c r="AZ121" s="197"/>
      <c r="BA121" s="197"/>
      <c r="BB121" s="197"/>
      <c r="BC121" s="197"/>
      <c r="BD121" s="197"/>
      <c r="BE121" s="197"/>
      <c r="BF121" s="197"/>
      <c r="BG121" s="197"/>
      <c r="BH121" s="197"/>
      <c r="BI121" s="197"/>
      <c r="BJ121" s="197"/>
      <c r="BK121" s="197"/>
      <c r="BL121" s="197"/>
      <c r="BM121" s="197"/>
      <c r="BN121" s="197"/>
      <c r="BO121" s="197"/>
      <c r="BP121" s="197"/>
    </row>
    <row r="122" spans="1:68" ht="20" customHeight="1" x14ac:dyDescent="0.15">
      <c r="A122" s="10"/>
      <c r="B122" s="1355"/>
      <c r="C122" s="391" t="s">
        <v>60</v>
      </c>
      <c r="D122" s="355">
        <f>'Action Plan'!D126</f>
        <v>0.1</v>
      </c>
      <c r="E122" s="355">
        <f>'Action Plan'!E126</f>
        <v>0.1</v>
      </c>
      <c r="F122" s="355">
        <f t="shared" si="167"/>
        <v>3.9516129032258065</v>
      </c>
      <c r="G122" s="355">
        <f t="shared" si="184"/>
        <v>3.8516129032258064</v>
      </c>
      <c r="H122" s="355">
        <f>_xlfn.IFS(G122&gt;=0,1,G122&lt;0,F122/E122)</f>
        <v>1</v>
      </c>
      <c r="I122" s="355">
        <f t="shared" si="134"/>
        <v>0.1</v>
      </c>
      <c r="J122" s="593"/>
      <c r="K122" s="386" t="s">
        <v>60</v>
      </c>
      <c r="L122" s="355">
        <f>'Action Plan'!H126</f>
        <v>0.35</v>
      </c>
      <c r="M122" s="355">
        <f>'Action Plan'!I126</f>
        <v>0.16041666666666665</v>
      </c>
      <c r="N122" s="355">
        <f>'Sale #1'!I7</f>
        <v>0.9838709677419355</v>
      </c>
      <c r="O122" s="355">
        <f>N122-M122</f>
        <v>0.82345430107526885</v>
      </c>
      <c r="P122" s="355">
        <f>_xlfn.IFS(O122&gt;=0,1,O122&lt;0,M122/N122)</f>
        <v>1</v>
      </c>
      <c r="Q122" s="355">
        <f t="shared" si="105"/>
        <v>0.35</v>
      </c>
      <c r="R122" s="593"/>
      <c r="S122" s="975" t="s">
        <v>60</v>
      </c>
      <c r="T122" s="943">
        <f>'Action Plan'!L126</f>
        <v>0.3</v>
      </c>
      <c r="U122" s="943">
        <f>'Action Plan'!M126</f>
        <v>0.13749999999999998</v>
      </c>
      <c r="V122" s="355">
        <f>'Sale #2'!I7</f>
        <v>1</v>
      </c>
      <c r="W122" s="355">
        <f>V122-U122</f>
        <v>0.86250000000000004</v>
      </c>
      <c r="X122" s="355">
        <f t="shared" si="175"/>
        <v>1</v>
      </c>
      <c r="Y122" s="355">
        <f t="shared" si="176"/>
        <v>0.3</v>
      </c>
      <c r="Z122" s="593"/>
      <c r="AA122" s="386" t="s">
        <v>60</v>
      </c>
      <c r="AB122" s="355">
        <f>'Action Plan'!P126</f>
        <v>0.25</v>
      </c>
      <c r="AC122" s="355">
        <f>'Action Plan'!Q126</f>
        <v>0.11458333333333333</v>
      </c>
      <c r="AD122" s="355">
        <f>'Sale #3'!I7</f>
        <v>1</v>
      </c>
      <c r="AE122" s="355">
        <f>AD122-AC122</f>
        <v>0.88541666666666663</v>
      </c>
      <c r="AF122" s="355">
        <f t="shared" si="177"/>
        <v>1</v>
      </c>
      <c r="AG122" s="355">
        <f t="shared" si="178"/>
        <v>0.25</v>
      </c>
      <c r="AH122" s="593"/>
      <c r="AI122" s="975" t="s">
        <v>60</v>
      </c>
      <c r="AJ122" s="355">
        <f>'Action Plan'!T126</f>
        <v>0.2</v>
      </c>
      <c r="AK122" s="943">
        <f>'Action Plan'!U126</f>
        <v>9.1666666666666674E-2</v>
      </c>
      <c r="AL122" s="943">
        <f>'Sale #4'!I7</f>
        <v>0.967741935483871</v>
      </c>
      <c r="AM122" s="355">
        <f>AL122-AK122</f>
        <v>0.87607526881720432</v>
      </c>
      <c r="AN122" s="355">
        <f t="shared" si="179"/>
        <v>1</v>
      </c>
      <c r="AO122" s="355">
        <f t="shared" si="180"/>
        <v>0.2</v>
      </c>
      <c r="AP122" s="593"/>
      <c r="AQ122" s="10"/>
      <c r="AR122" s="10"/>
      <c r="AS122" s="10"/>
      <c r="AT122" s="262"/>
      <c r="AU122" s="627"/>
      <c r="AV122" s="627"/>
      <c r="AW122" s="627"/>
      <c r="AX122" s="197"/>
      <c r="AY122" s="197"/>
      <c r="AZ122" s="197"/>
      <c r="BA122" s="197"/>
      <c r="BB122" s="197"/>
      <c r="BC122" s="197"/>
      <c r="BD122" s="197"/>
      <c r="BE122" s="197"/>
      <c r="BF122" s="197"/>
      <c r="BG122" s="197"/>
      <c r="BH122" s="197"/>
      <c r="BI122" s="197"/>
      <c r="BJ122" s="197"/>
      <c r="BK122" s="197"/>
      <c r="BL122" s="197"/>
      <c r="BM122" s="197"/>
      <c r="BN122" s="197"/>
      <c r="BO122" s="197"/>
      <c r="BP122" s="197"/>
    </row>
    <row r="123" spans="1:68" ht="20" customHeight="1" thickBot="1" x14ac:dyDescent="0.2">
      <c r="A123" s="10"/>
      <c r="B123" s="1356"/>
      <c r="C123" s="820" t="s">
        <v>87</v>
      </c>
      <c r="D123" s="672">
        <f>'Action Plan'!D127</f>
        <v>0.2</v>
      </c>
      <c r="E123" s="672">
        <f>'Action Plan'!E127</f>
        <v>0.1</v>
      </c>
      <c r="F123" s="672">
        <f>AVERAGE(N123,V123,AD123,AL123)</f>
        <v>0.62249999999999994</v>
      </c>
      <c r="G123" s="672">
        <f>F123-E123</f>
        <v>0.52249999999999996</v>
      </c>
      <c r="H123" s="672">
        <f>_xlfn.IFS(G123&gt;0,1,G123&lt;=0,F123/E123)</f>
        <v>1</v>
      </c>
      <c r="I123" s="672">
        <f>H123*D123</f>
        <v>0.2</v>
      </c>
      <c r="J123" s="670"/>
      <c r="K123" s="393" t="s">
        <v>87</v>
      </c>
      <c r="L123" s="668">
        <f>'Action Plan'!H127</f>
        <v>0.34999999999999992</v>
      </c>
      <c r="M123" s="668">
        <f>'Action Plan'!I127</f>
        <v>3.4999999999999996E-2</v>
      </c>
      <c r="N123" s="668">
        <f>'Sale #1'!$E47</f>
        <v>0.54</v>
      </c>
      <c r="O123" s="668">
        <f>N123-M123</f>
        <v>0.505</v>
      </c>
      <c r="P123" s="668">
        <f>_xlfn.IFS(O123&gt;=0,1,O123&lt;0,N123/M123)</f>
        <v>1</v>
      </c>
      <c r="Q123" s="668">
        <f>P123*L123</f>
        <v>0.34999999999999992</v>
      </c>
      <c r="R123" s="670"/>
      <c r="S123" s="393" t="s">
        <v>87</v>
      </c>
      <c r="T123" s="977">
        <f>'Action Plan'!L127</f>
        <v>0.3</v>
      </c>
      <c r="U123" s="977">
        <f>'Action Plan'!M127</f>
        <v>0.03</v>
      </c>
      <c r="V123" s="977">
        <f>'Sale #2'!$E47</f>
        <v>0.65</v>
      </c>
      <c r="W123" s="668">
        <f>V123-U123</f>
        <v>0.62</v>
      </c>
      <c r="X123" s="668">
        <f>_xlfn.IFS(W123&gt;=0,1,W123&lt;0,V123/U123)</f>
        <v>1</v>
      </c>
      <c r="Y123" s="668">
        <f>X123*T123</f>
        <v>0.3</v>
      </c>
      <c r="Z123" s="974"/>
      <c r="AA123" s="985" t="s">
        <v>87</v>
      </c>
      <c r="AB123" s="986">
        <f>'Action Plan'!P127</f>
        <v>0.25</v>
      </c>
      <c r="AC123" s="986">
        <f>'Action Plan'!Q127</f>
        <v>2.5000000000000001E-2</v>
      </c>
      <c r="AD123" s="986">
        <f>'Sale #3'!$E47</f>
        <v>0.65</v>
      </c>
      <c r="AE123" s="986">
        <f>AD123-AC123</f>
        <v>0.625</v>
      </c>
      <c r="AF123" s="986">
        <f>_xlfn.IFS(AE123&gt;=0,1,AE123&lt;0,AD123/AC123)</f>
        <v>1</v>
      </c>
      <c r="AG123" s="986">
        <f>AF123*AB123</f>
        <v>0.25</v>
      </c>
      <c r="AH123" s="1224"/>
      <c r="AI123" s="985" t="s">
        <v>87</v>
      </c>
      <c r="AJ123" s="986">
        <f>'Action Plan'!T127</f>
        <v>0.20000000000000004</v>
      </c>
      <c r="AK123" s="1225">
        <f>'Action Plan'!U127</f>
        <v>2.0000000000000004E-2</v>
      </c>
      <c r="AL123" s="1225">
        <f>'Sale #4'!$E47</f>
        <v>0.65</v>
      </c>
      <c r="AM123" s="986">
        <f>AL123-AK123</f>
        <v>0.63</v>
      </c>
      <c r="AN123" s="986">
        <f>_xlfn.IFS(AM123&gt;=0,1,AM123&lt;0,AL123/AK123)</f>
        <v>1</v>
      </c>
      <c r="AO123" s="986">
        <f>AN123*AJ123</f>
        <v>0.20000000000000004</v>
      </c>
      <c r="AP123" s="987"/>
      <c r="AQ123" s="10"/>
      <c r="AR123" s="10"/>
      <c r="AS123" s="10"/>
      <c r="AT123" s="262"/>
      <c r="AU123" s="627"/>
      <c r="AV123" s="627"/>
      <c r="AW123" s="627"/>
      <c r="AX123" s="197"/>
      <c r="AY123" s="197"/>
      <c r="AZ123" s="197"/>
      <c r="BA123" s="197"/>
      <c r="BB123" s="197"/>
      <c r="BC123" s="197"/>
      <c r="BD123" s="197"/>
      <c r="BE123" s="197"/>
      <c r="BF123" s="197"/>
      <c r="BG123" s="197"/>
      <c r="BH123" s="197"/>
      <c r="BI123" s="197"/>
      <c r="BJ123" s="197"/>
      <c r="BK123" s="197"/>
      <c r="BL123" s="197"/>
      <c r="BM123" s="197"/>
      <c r="BN123" s="197"/>
      <c r="BO123" s="197"/>
      <c r="BP123" s="197"/>
    </row>
    <row r="124" spans="1:68" ht="25" customHeight="1" thickBot="1" x14ac:dyDescent="0.2">
      <c r="A124" s="10"/>
      <c r="B124" s="828" t="str">
        <f>'Action Plan'!B128</f>
        <v>TOTAL</v>
      </c>
      <c r="C124" s="209" t="str">
        <f>'Action Plan'!C128</f>
        <v>Content</v>
      </c>
      <c r="D124" s="209" t="str">
        <f>D51</f>
        <v>Ratio</v>
      </c>
      <c r="E124" s="211" t="str">
        <f>E51</f>
        <v>KPIs</v>
      </c>
      <c r="F124" s="210" t="s">
        <v>42</v>
      </c>
      <c r="G124" s="194" t="s">
        <v>41</v>
      </c>
      <c r="H124" s="194" t="s">
        <v>43</v>
      </c>
      <c r="I124" s="194" t="s">
        <v>174</v>
      </c>
      <c r="J124" s="211"/>
      <c r="K124" s="212" t="str">
        <f>'Action Plan'!G128</f>
        <v>Content #1</v>
      </c>
      <c r="L124" s="209" t="str">
        <f>L51</f>
        <v>Ratio/ Team</v>
      </c>
      <c r="M124" s="211" t="str">
        <f>M51</f>
        <v>KPIs</v>
      </c>
      <c r="N124" s="210" t="s">
        <v>42</v>
      </c>
      <c r="O124" s="194" t="s">
        <v>41</v>
      </c>
      <c r="P124" s="194" t="s">
        <v>43</v>
      </c>
      <c r="Q124" s="194" t="s">
        <v>174</v>
      </c>
      <c r="R124" s="213"/>
      <c r="S124" s="212" t="str">
        <f>'Action Plan'!K128</f>
        <v>Content #2</v>
      </c>
      <c r="T124" s="209" t="str">
        <f>T51</f>
        <v>Ratio/ Team</v>
      </c>
      <c r="U124" s="211" t="str">
        <f>U51</f>
        <v>KPIs</v>
      </c>
      <c r="V124" s="210" t="s">
        <v>42</v>
      </c>
      <c r="W124" s="194" t="s">
        <v>41</v>
      </c>
      <c r="X124" s="194" t="s">
        <v>43</v>
      </c>
      <c r="Y124" s="194" t="s">
        <v>174</v>
      </c>
      <c r="Z124" s="213"/>
      <c r="AA124" s="176"/>
      <c r="AB124" s="176"/>
      <c r="AC124" s="176"/>
      <c r="AD124" s="176"/>
      <c r="AE124" s="176"/>
      <c r="AF124" s="176"/>
      <c r="AG124" s="176"/>
      <c r="AH124" s="10"/>
      <c r="AI124" s="176"/>
      <c r="AJ124" s="176"/>
      <c r="AK124" s="10"/>
      <c r="AL124" s="10"/>
      <c r="AM124" s="10"/>
      <c r="AN124" s="10"/>
      <c r="AO124" s="10"/>
      <c r="AP124" s="10"/>
      <c r="AQ124" s="176"/>
      <c r="AR124" s="176"/>
      <c r="AS124" s="10"/>
      <c r="AT124" s="262"/>
      <c r="AU124" s="628"/>
      <c r="AV124" s="628"/>
      <c r="AW124" s="628"/>
      <c r="AX124" s="10"/>
      <c r="AY124" s="10"/>
      <c r="AZ124" s="10"/>
      <c r="BA124" s="10"/>
      <c r="BB124" s="10"/>
      <c r="BC124" s="10"/>
      <c r="BD124" s="10"/>
      <c r="BE124" s="10"/>
      <c r="BF124" s="10"/>
      <c r="BG124" s="10"/>
      <c r="BH124" s="10"/>
      <c r="BI124" s="10"/>
      <c r="BJ124" s="10"/>
      <c r="BK124" s="10"/>
      <c r="BL124" s="10"/>
      <c r="BM124" s="10"/>
      <c r="BN124" s="10"/>
      <c r="BO124" s="10"/>
      <c r="BP124" s="10"/>
    </row>
    <row r="125" spans="1:68" ht="20" customHeight="1" x14ac:dyDescent="0.15">
      <c r="A125" s="10"/>
      <c r="B125" s="1353" t="str">
        <f>'Action Plan'!B129</f>
        <v>Content</v>
      </c>
      <c r="C125" s="817" t="str">
        <f>'Action Plan'!C129</f>
        <v>P2</v>
      </c>
      <c r="D125" s="348">
        <f>'Action Plan'!D129</f>
        <v>0.2</v>
      </c>
      <c r="E125" s="348">
        <f>'Action Plan'!E129</f>
        <v>1</v>
      </c>
      <c r="F125" s="348">
        <f>I126+I131+I135+I136</f>
        <v>0.72599999999999998</v>
      </c>
      <c r="G125" s="383">
        <f>F125-E125</f>
        <v>-0.27400000000000002</v>
      </c>
      <c r="H125" s="1467">
        <f>_xlfn.IFS(G125&gt;=0,1,G125&lt;0,F125/E125)</f>
        <v>0.72599999999999998</v>
      </c>
      <c r="I125" s="348">
        <f>F125*D125</f>
        <v>0.1452</v>
      </c>
      <c r="J125" s="636"/>
      <c r="K125" s="76" t="str">
        <f>'Action Plan'!G129</f>
        <v>P2</v>
      </c>
      <c r="L125" s="348">
        <f>'Action Plan'!H129</f>
        <v>0.2</v>
      </c>
      <c r="M125" s="348">
        <f>'Action Plan'!I129</f>
        <v>0.60833333333333339</v>
      </c>
      <c r="N125" s="348">
        <f>AVERAGE(Q126,Q131,Q135,Q136)</f>
        <v>0.39166666666666672</v>
      </c>
      <c r="O125" s="383">
        <f>N125-M125</f>
        <v>-0.21666666666666667</v>
      </c>
      <c r="P125" s="383">
        <f>_xlfn.IFS(O125&gt;=0,1,O125&lt;0,N125/M125)</f>
        <v>0.64383561643835618</v>
      </c>
      <c r="Q125" s="383">
        <f>N125*L125</f>
        <v>7.8333333333333352E-2</v>
      </c>
      <c r="R125" s="1186"/>
      <c r="S125" s="76" t="str">
        <f>'Action Plan'!K129</f>
        <v>P2</v>
      </c>
      <c r="T125" s="348">
        <f>'Action Plan'!L129</f>
        <v>0.2</v>
      </c>
      <c r="U125" s="348">
        <f>'Action Plan'!M129</f>
        <v>0.39166666666666666</v>
      </c>
      <c r="V125" s="348">
        <f>AVERAGE(Y126,Y131,Y135,Y136)</f>
        <v>0.20250000000000001</v>
      </c>
      <c r="W125" s="383">
        <f>V125-U125</f>
        <v>-0.18916666666666665</v>
      </c>
      <c r="X125" s="383">
        <f>_xlfn.IFS(W125&gt;=0,1,W125&lt;0,V125/U125)</f>
        <v>0.51702127659574471</v>
      </c>
      <c r="Y125" s="383">
        <f>V125*T125</f>
        <v>4.0500000000000008E-2</v>
      </c>
      <c r="Z125" s="1186"/>
      <c r="AA125" s="10"/>
      <c r="AB125" s="10"/>
      <c r="AC125" s="10"/>
      <c r="AD125" s="10"/>
      <c r="AE125" s="10"/>
      <c r="AF125" s="10"/>
      <c r="AG125" s="10"/>
      <c r="AH125" s="10"/>
      <c r="AI125" s="10"/>
      <c r="AJ125" s="10"/>
      <c r="AK125" s="10"/>
      <c r="AL125" s="10"/>
      <c r="AM125" s="10"/>
      <c r="AN125" s="10"/>
      <c r="AO125" s="10"/>
      <c r="AP125" s="10"/>
      <c r="AQ125" s="10"/>
      <c r="AR125" s="10"/>
      <c r="AS125" s="10"/>
      <c r="AT125" s="262"/>
      <c r="AU125" s="627"/>
      <c r="AV125" s="627"/>
      <c r="AW125" s="627"/>
      <c r="AX125" s="197"/>
      <c r="AY125" s="197"/>
      <c r="AZ125" s="197"/>
      <c r="BA125" s="197"/>
      <c r="BB125" s="197"/>
      <c r="BC125" s="197"/>
      <c r="BD125" s="197"/>
      <c r="BE125" s="197"/>
      <c r="BF125" s="197"/>
      <c r="BG125" s="197"/>
      <c r="BH125" s="197"/>
      <c r="BI125" s="197"/>
      <c r="BJ125" s="197"/>
      <c r="BK125" s="197"/>
      <c r="BL125" s="197"/>
      <c r="BM125" s="197"/>
      <c r="BN125" s="197"/>
      <c r="BO125" s="197"/>
      <c r="BP125" s="197"/>
    </row>
    <row r="126" spans="1:68" ht="20" customHeight="1" x14ac:dyDescent="0.15">
      <c r="A126" s="10"/>
      <c r="B126" s="1340"/>
      <c r="C126" s="822" t="str">
        <f>'Action Plan'!C130</f>
        <v>POST</v>
      </c>
      <c r="D126" s="1181">
        <f>'Action Plan'!D130</f>
        <v>0.5</v>
      </c>
      <c r="E126" s="1182">
        <f>'Action Plan'!E130</f>
        <v>240</v>
      </c>
      <c r="F126" s="1182">
        <f>N126+V126</f>
        <v>216</v>
      </c>
      <c r="G126" s="1182">
        <f t="shared" ref="G126:G130" si="188">F126-E126</f>
        <v>-24</v>
      </c>
      <c r="H126" s="1181">
        <f>_xlfn.IFS(G126&gt;=0,1,G126&lt;0,F126/E126)</f>
        <v>0.9</v>
      </c>
      <c r="I126" s="1181">
        <f>H126*D126</f>
        <v>0.45</v>
      </c>
      <c r="J126" s="1194"/>
      <c r="K126" s="822" t="str">
        <f>'Action Plan'!G130</f>
        <v>POST</v>
      </c>
      <c r="L126" s="1197">
        <f>'Action Plan'!H130</f>
        <v>0.83333333333333337</v>
      </c>
      <c r="M126" s="1198">
        <f>'Action Plan'!I130</f>
        <v>200</v>
      </c>
      <c r="N126" s="1198">
        <f>'Content Creator #1'!N3</f>
        <v>204</v>
      </c>
      <c r="O126" s="1198">
        <f>N126-M126</f>
        <v>4</v>
      </c>
      <c r="P126" s="1197">
        <f>_xlfn.IFS(O126&gt;=0,1,O126&lt;0,N126/M126)</f>
        <v>1</v>
      </c>
      <c r="Q126" s="1197">
        <f>P126*L126</f>
        <v>0.83333333333333337</v>
      </c>
      <c r="R126" s="1199"/>
      <c r="S126" s="822" t="str">
        <f>'Action Plan'!K130</f>
        <v>POST</v>
      </c>
      <c r="T126" s="1197">
        <f>'Action Plan'!L130</f>
        <v>0.16666666666666666</v>
      </c>
      <c r="U126" s="1198">
        <f>'Action Plan'!M130</f>
        <v>40</v>
      </c>
      <c r="V126" s="1198">
        <f>'Content Creator #2'!N3</f>
        <v>12</v>
      </c>
      <c r="W126" s="1198">
        <f>V126-U126</f>
        <v>-28</v>
      </c>
      <c r="X126" s="1420">
        <f>_xlfn.IFS(W126&gt;=0,1,W126&lt;0,V126/U126)</f>
        <v>0.3</v>
      </c>
      <c r="Y126" s="1197">
        <f t="shared" ref="Y126:Y128" si="189">X126*T126</f>
        <v>4.9999999999999996E-2</v>
      </c>
      <c r="Z126" s="1201"/>
      <c r="AA126" s="10"/>
      <c r="AB126" s="10"/>
      <c r="AC126" s="10"/>
      <c r="AD126" s="10"/>
      <c r="AE126" s="10"/>
      <c r="AF126" s="10"/>
      <c r="AG126" s="10"/>
      <c r="AH126" s="10"/>
      <c r="AI126" s="10"/>
      <c r="AJ126" s="10"/>
      <c r="AK126" s="10"/>
      <c r="AL126" s="10"/>
      <c r="AM126" s="10"/>
      <c r="AN126" s="10"/>
      <c r="AO126" s="10"/>
      <c r="AP126" s="10"/>
      <c r="AQ126" s="10"/>
      <c r="AR126" s="10"/>
      <c r="AS126" s="10"/>
      <c r="AT126" s="262"/>
      <c r="AU126" s="627"/>
      <c r="AV126" s="627"/>
      <c r="AW126" s="627"/>
      <c r="AX126" s="197"/>
      <c r="AY126" s="197"/>
      <c r="AZ126" s="197"/>
      <c r="BA126" s="197"/>
      <c r="BB126" s="197"/>
      <c r="BC126" s="197"/>
      <c r="BD126" s="197"/>
      <c r="BE126" s="197"/>
      <c r="BF126" s="197"/>
      <c r="BG126" s="197"/>
      <c r="BH126" s="197"/>
      <c r="BI126" s="197"/>
      <c r="BJ126" s="197"/>
      <c r="BK126" s="197"/>
      <c r="BL126" s="197"/>
      <c r="BM126" s="197"/>
      <c r="BN126" s="197"/>
      <c r="BO126" s="197"/>
      <c r="BP126" s="197"/>
    </row>
    <row r="127" spans="1:68" ht="20" customHeight="1" x14ac:dyDescent="0.15">
      <c r="A127" s="10"/>
      <c r="B127" s="1340"/>
      <c r="C127" s="391" t="str">
        <f>'Action Plan'!C131</f>
        <v>FACEBOOK</v>
      </c>
      <c r="D127" s="355">
        <f>'Action Plan'!D131</f>
        <v>0.4</v>
      </c>
      <c r="E127" s="592">
        <f>'Action Plan'!E131</f>
        <v>90</v>
      </c>
      <c r="F127" s="592"/>
      <c r="G127" s="592"/>
      <c r="H127" s="355"/>
      <c r="I127" s="355"/>
      <c r="J127" s="1183" t="str">
        <f>'Action Plan'!F131</f>
        <v>POST</v>
      </c>
      <c r="K127" s="391" t="str">
        <f>'Action Plan'!G131</f>
        <v>FACEBOOK</v>
      </c>
      <c r="L127" s="17">
        <f>'Action Plan'!H131</f>
        <v>0.33333333333333331</v>
      </c>
      <c r="M127" s="176">
        <f>'Action Plan'!I131</f>
        <v>80</v>
      </c>
      <c r="N127" s="204"/>
      <c r="O127" s="204"/>
      <c r="P127" s="74"/>
      <c r="Q127" s="74"/>
      <c r="R127" s="200"/>
      <c r="S127" s="391" t="str">
        <f>'Action Plan'!K131</f>
        <v>FACEBOOK</v>
      </c>
      <c r="T127" s="74">
        <f>'Action Plan'!L131</f>
        <v>4.1666666666666664E-2</v>
      </c>
      <c r="U127" s="204">
        <f>'Action Plan'!M131</f>
        <v>10</v>
      </c>
      <c r="V127" s="204"/>
      <c r="W127" s="204"/>
      <c r="X127" s="74"/>
      <c r="Y127" s="74"/>
      <c r="Z127" s="205"/>
      <c r="AA127" s="10"/>
      <c r="AB127" s="10"/>
      <c r="AC127" s="10"/>
      <c r="AD127" s="10"/>
      <c r="AE127" s="10"/>
      <c r="AF127" s="10"/>
      <c r="AG127" s="10"/>
      <c r="AH127" s="10"/>
      <c r="AI127" s="10"/>
      <c r="AJ127" s="10"/>
      <c r="AK127" s="10"/>
      <c r="AL127" s="10"/>
      <c r="AM127" s="10"/>
      <c r="AN127" s="10"/>
      <c r="AO127" s="10"/>
      <c r="AP127" s="10"/>
      <c r="AQ127" s="10"/>
      <c r="AR127" s="10"/>
      <c r="AS127" s="10"/>
      <c r="AT127" s="10"/>
      <c r="AU127" s="193"/>
      <c r="AV127" s="193"/>
      <c r="AW127" s="193"/>
      <c r="AX127" s="197"/>
      <c r="AY127" s="197"/>
      <c r="AZ127" s="197"/>
      <c r="BA127" s="197"/>
      <c r="BB127" s="197"/>
      <c r="BC127" s="197"/>
      <c r="BD127" s="197"/>
      <c r="BE127" s="197"/>
      <c r="BF127" s="197"/>
      <c r="BG127" s="197"/>
      <c r="BH127" s="197"/>
      <c r="BI127" s="197"/>
      <c r="BJ127" s="197"/>
      <c r="BK127" s="197"/>
      <c r="BL127" s="197"/>
      <c r="BM127" s="197"/>
      <c r="BN127" s="197"/>
      <c r="BO127" s="197"/>
      <c r="BP127" s="197"/>
    </row>
    <row r="128" spans="1:68" ht="20" customHeight="1" x14ac:dyDescent="0.15">
      <c r="A128" s="10"/>
      <c r="B128" s="1340"/>
      <c r="C128" s="391" t="str">
        <f>'Action Plan'!C132</f>
        <v>WEBSITE</v>
      </c>
      <c r="D128" s="355">
        <f>'Action Plan'!D132</f>
        <v>0.3</v>
      </c>
      <c r="E128" s="592">
        <f>'Action Plan'!E132</f>
        <v>90</v>
      </c>
      <c r="F128" s="592"/>
      <c r="G128" s="592"/>
      <c r="H128" s="355"/>
      <c r="I128" s="355"/>
      <c r="J128" s="1183" t="str">
        <f>'Action Plan'!F132</f>
        <v>SEO</v>
      </c>
      <c r="K128" s="391" t="str">
        <f>'Action Plan'!G132</f>
        <v>WEBSITE</v>
      </c>
      <c r="L128" s="17">
        <f>'Action Plan'!H132</f>
        <v>0.33333333333333331</v>
      </c>
      <c r="M128" s="176">
        <f>'Action Plan'!I132</f>
        <v>80</v>
      </c>
      <c r="N128" s="204"/>
      <c r="O128" s="204"/>
      <c r="P128" s="74"/>
      <c r="Q128" s="74"/>
      <c r="R128" s="200"/>
      <c r="S128" s="391" t="str">
        <f>'Action Plan'!K132</f>
        <v>WEBSITE</v>
      </c>
      <c r="T128" s="74">
        <f>'Action Plan'!L132</f>
        <v>4.1666666666666664E-2</v>
      </c>
      <c r="U128" s="204">
        <f>'Action Plan'!M132</f>
        <v>10</v>
      </c>
      <c r="V128" s="204"/>
      <c r="W128" s="204"/>
      <c r="X128" s="74"/>
      <c r="Y128" s="74"/>
      <c r="Z128" s="205"/>
      <c r="AA128" s="10"/>
      <c r="AB128" s="10"/>
      <c r="AC128" s="10"/>
      <c r="AD128" s="10"/>
      <c r="AE128" s="10"/>
      <c r="AF128" s="10"/>
      <c r="AG128" s="10"/>
      <c r="AH128" s="10"/>
      <c r="AI128" s="10"/>
      <c r="AJ128" s="10"/>
      <c r="AK128" s="10"/>
      <c r="AL128" s="10"/>
      <c r="AM128" s="10"/>
      <c r="AN128" s="10"/>
      <c r="AO128" s="10"/>
      <c r="AP128" s="10"/>
      <c r="AQ128" s="10"/>
      <c r="AR128" s="10"/>
      <c r="AS128" s="10"/>
      <c r="AT128" s="10"/>
      <c r="AU128" s="193"/>
      <c r="AV128" s="193"/>
      <c r="AW128" s="193"/>
      <c r="AX128" s="197"/>
      <c r="AY128" s="197"/>
      <c r="AZ128" s="197"/>
      <c r="BA128" s="197"/>
      <c r="BB128" s="197"/>
      <c r="BC128" s="197"/>
      <c r="BD128" s="197"/>
      <c r="BE128" s="197"/>
      <c r="BF128" s="197"/>
      <c r="BG128" s="197"/>
      <c r="BH128" s="197"/>
      <c r="BI128" s="197"/>
      <c r="BJ128" s="197"/>
      <c r="BK128" s="197"/>
      <c r="BL128" s="197"/>
      <c r="BM128" s="197"/>
      <c r="BN128" s="197"/>
      <c r="BO128" s="197"/>
      <c r="BP128" s="197"/>
    </row>
    <row r="129" spans="1:68" ht="20" customHeight="1" x14ac:dyDescent="0.15">
      <c r="A129" s="10"/>
      <c r="B129" s="1340"/>
      <c r="C129" s="391" t="str">
        <f>'Action Plan'!C133</f>
        <v>TIKTOKSHOP</v>
      </c>
      <c r="D129" s="355">
        <f>'Action Plan'!D133</f>
        <v>0.1</v>
      </c>
      <c r="E129" s="592">
        <f>'Action Plan'!E133</f>
        <v>30</v>
      </c>
      <c r="F129" s="592"/>
      <c r="G129" s="592"/>
      <c r="H129" s="355"/>
      <c r="I129" s="355"/>
      <c r="J129" s="1183" t="str">
        <f>'Action Plan'!F133</f>
        <v>VIDEO</v>
      </c>
      <c r="K129" s="391" t="str">
        <f>'Action Plan'!G133</f>
        <v>TIKTOKSHOP</v>
      </c>
      <c r="L129" s="74">
        <f>'Action Plan'!H133</f>
        <v>8.3333333333333329E-2</v>
      </c>
      <c r="M129" s="204">
        <f>'Action Plan'!I133</f>
        <v>20</v>
      </c>
      <c r="N129" s="204"/>
      <c r="O129" s="204"/>
      <c r="P129" s="74"/>
      <c r="Q129" s="74"/>
      <c r="R129" s="68"/>
      <c r="S129" s="391" t="str">
        <f>'Action Plan'!K133</f>
        <v>TIKTOKSHOP</v>
      </c>
      <c r="T129" s="17">
        <f>'Action Plan'!L133</f>
        <v>4.1666666666666664E-2</v>
      </c>
      <c r="U129" s="176">
        <f>'Action Plan'!M133</f>
        <v>10</v>
      </c>
      <c r="V129" s="204"/>
      <c r="W129" s="204"/>
      <c r="X129" s="74"/>
      <c r="Y129" s="74"/>
      <c r="Z129" s="200"/>
      <c r="AA129" s="10"/>
      <c r="AB129" s="10"/>
      <c r="AC129" s="10"/>
      <c r="AD129" s="10"/>
      <c r="AE129" s="10"/>
      <c r="AF129" s="10"/>
      <c r="AG129" s="10"/>
      <c r="AH129" s="10"/>
      <c r="AI129" s="10"/>
      <c r="AJ129" s="10"/>
      <c r="AK129" s="10"/>
      <c r="AL129" s="10"/>
      <c r="AM129" s="10"/>
      <c r="AN129" s="10"/>
      <c r="AO129" s="10"/>
      <c r="AP129" s="10"/>
      <c r="AQ129" s="10"/>
      <c r="AR129" s="10"/>
      <c r="AS129" s="10"/>
      <c r="AT129" s="10"/>
      <c r="AU129" s="193"/>
      <c r="AV129" s="193"/>
      <c r="AW129" s="193"/>
      <c r="AX129" s="197"/>
      <c r="AY129" s="197"/>
      <c r="AZ129" s="197"/>
      <c r="BA129" s="197"/>
      <c r="BB129" s="197"/>
      <c r="BC129" s="197"/>
      <c r="BD129" s="197"/>
      <c r="BE129" s="197"/>
      <c r="BF129" s="197"/>
      <c r="BG129" s="197"/>
      <c r="BH129" s="197"/>
      <c r="BI129" s="197"/>
      <c r="BJ129" s="197"/>
      <c r="BK129" s="197"/>
      <c r="BL129" s="197"/>
      <c r="BM129" s="197"/>
      <c r="BN129" s="197"/>
      <c r="BO129" s="197"/>
      <c r="BP129" s="197"/>
    </row>
    <row r="130" spans="1:68" ht="20" customHeight="1" x14ac:dyDescent="0.15">
      <c r="A130" s="10"/>
      <c r="B130" s="1340"/>
      <c r="C130" s="391" t="str">
        <f>'Action Plan'!C134</f>
        <v>ZALO</v>
      </c>
      <c r="D130" s="355">
        <f>'Action Plan'!D134</f>
        <v>0.2</v>
      </c>
      <c r="E130" s="592">
        <f>'Action Plan'!E134</f>
        <v>30</v>
      </c>
      <c r="F130" s="592"/>
      <c r="G130" s="592"/>
      <c r="H130" s="355"/>
      <c r="I130" s="355"/>
      <c r="J130" s="1183" t="str">
        <f>'Action Plan'!F134</f>
        <v>POST/ VIDEO</v>
      </c>
      <c r="K130" s="391" t="str">
        <f>'Action Plan'!G134</f>
        <v>ZALO</v>
      </c>
      <c r="L130" s="17">
        <f>'Action Plan'!H134</f>
        <v>8.3333333333333329E-2</v>
      </c>
      <c r="M130" s="176">
        <f>'Action Plan'!I134</f>
        <v>20</v>
      </c>
      <c r="N130" s="204"/>
      <c r="O130" s="204"/>
      <c r="P130" s="74"/>
      <c r="Q130" s="74"/>
      <c r="R130" s="200"/>
      <c r="S130" s="391" t="str">
        <f>'Action Plan'!K134</f>
        <v>ZALO</v>
      </c>
      <c r="T130" s="74">
        <f>'Action Plan'!L134</f>
        <v>4.1666666666666664E-2</v>
      </c>
      <c r="U130" s="204">
        <f>'Action Plan'!M134</f>
        <v>10</v>
      </c>
      <c r="V130" s="204"/>
      <c r="W130" s="204"/>
      <c r="X130" s="74"/>
      <c r="Y130" s="74"/>
      <c r="Z130" s="205"/>
      <c r="AA130" s="10"/>
      <c r="AB130" s="10"/>
      <c r="AC130" s="10"/>
      <c r="AD130" s="10"/>
      <c r="AE130" s="10"/>
      <c r="AF130" s="10"/>
      <c r="AG130" s="10"/>
      <c r="AH130" s="10"/>
      <c r="AI130" s="10"/>
      <c r="AJ130" s="10"/>
      <c r="AK130" s="10"/>
      <c r="AL130" s="10"/>
      <c r="AM130" s="10"/>
      <c r="AN130" s="10"/>
      <c r="AO130" s="10"/>
      <c r="AP130" s="10"/>
      <c r="AQ130" s="10"/>
      <c r="AR130" s="10"/>
      <c r="AS130" s="10"/>
      <c r="AT130" s="10"/>
      <c r="AU130" s="193"/>
      <c r="AV130" s="193"/>
      <c r="AW130" s="193"/>
      <c r="AX130" s="197"/>
      <c r="AY130" s="197"/>
      <c r="AZ130" s="197"/>
      <c r="BA130" s="197"/>
      <c r="BB130" s="197"/>
      <c r="BC130" s="197"/>
      <c r="BD130" s="197"/>
      <c r="BE130" s="197"/>
      <c r="BF130" s="197"/>
      <c r="BG130" s="197"/>
      <c r="BH130" s="197"/>
      <c r="BI130" s="197"/>
      <c r="BJ130" s="197"/>
      <c r="BK130" s="197"/>
      <c r="BL130" s="197"/>
      <c r="BM130" s="197"/>
      <c r="BN130" s="197"/>
      <c r="BO130" s="197"/>
      <c r="BP130" s="197"/>
    </row>
    <row r="131" spans="1:68" ht="20" customHeight="1" x14ac:dyDescent="0.15">
      <c r="A131" s="10"/>
      <c r="B131" s="1340"/>
      <c r="C131" s="818" t="str">
        <f>'Action Plan'!C135</f>
        <v>ADS</v>
      </c>
      <c r="D131" s="1184">
        <f>'Action Plan'!D135</f>
        <v>0.3</v>
      </c>
      <c r="E131" s="1185">
        <f>'Action Plan'!E135</f>
        <v>15</v>
      </c>
      <c r="F131" s="1185">
        <f>N131+V131</f>
        <v>8</v>
      </c>
      <c r="G131" s="1185">
        <f>F131-E131</f>
        <v>-7</v>
      </c>
      <c r="H131" s="1184">
        <f>_xlfn.IFS(G131&gt;=0,1,G131&lt;0,F131/E131)</f>
        <v>0.53333333333333333</v>
      </c>
      <c r="I131" s="1184">
        <f>H131*D131</f>
        <v>0.16</v>
      </c>
      <c r="J131" s="1194"/>
      <c r="K131" s="822" t="str">
        <f>'Action Plan'!G135</f>
        <v>ADS</v>
      </c>
      <c r="L131" s="1197">
        <f>'Action Plan'!H135</f>
        <v>0.60000000000000009</v>
      </c>
      <c r="M131" s="1198">
        <f>'Action Plan'!I135</f>
        <v>9</v>
      </c>
      <c r="N131" s="1198">
        <f>'Content Creator #1'!N4</f>
        <v>2</v>
      </c>
      <c r="O131" s="1198">
        <f>N131-M131</f>
        <v>-7</v>
      </c>
      <c r="P131" s="1197">
        <f>_xlfn.IFS(O131&gt;=0,1,O131&lt;0,N131/M131)</f>
        <v>0.22222222222222221</v>
      </c>
      <c r="Q131" s="1197">
        <f>P131*L131</f>
        <v>0.13333333333333336</v>
      </c>
      <c r="R131" s="1199"/>
      <c r="S131" s="822" t="str">
        <f>'Action Plan'!K135</f>
        <v>ADS</v>
      </c>
      <c r="T131" s="1197">
        <f>'Action Plan'!L135</f>
        <v>0.4</v>
      </c>
      <c r="U131" s="1198">
        <f>'Action Plan'!M135</f>
        <v>6</v>
      </c>
      <c r="V131" s="1198">
        <f>'Content Creator #2'!N4</f>
        <v>6</v>
      </c>
      <c r="W131" s="1198">
        <f>V131-U131</f>
        <v>0</v>
      </c>
      <c r="X131" s="1197">
        <f>_xlfn.IFS(W131&gt;=0,1,W131&lt;0,V131/U131)</f>
        <v>1</v>
      </c>
      <c r="Y131" s="1197">
        <f t="shared" ref="Y130:Y133" si="190">X131*T131</f>
        <v>0.4</v>
      </c>
      <c r="Z131" s="1202"/>
      <c r="AA131" s="10"/>
      <c r="AB131" s="10"/>
      <c r="AC131" s="10"/>
      <c r="AD131" s="10"/>
      <c r="AE131" s="10"/>
      <c r="AF131" s="10"/>
      <c r="AG131" s="10"/>
      <c r="AH131" s="10"/>
      <c r="AI131" s="10"/>
      <c r="AJ131" s="10"/>
      <c r="AK131" s="10"/>
      <c r="AL131" s="10"/>
      <c r="AM131" s="10"/>
      <c r="AN131" s="10"/>
      <c r="AO131" s="10"/>
      <c r="AP131" s="10"/>
      <c r="AQ131" s="10"/>
      <c r="AR131" s="10"/>
      <c r="AS131" s="10"/>
      <c r="AT131" s="10"/>
      <c r="AU131" s="193"/>
      <c r="AV131" s="193"/>
      <c r="AW131" s="193"/>
      <c r="AX131" s="197"/>
      <c r="AY131" s="197"/>
      <c r="AZ131" s="197"/>
      <c r="BA131" s="197"/>
      <c r="BB131" s="197"/>
      <c r="BC131" s="197"/>
      <c r="BD131" s="197"/>
      <c r="BE131" s="197"/>
      <c r="BF131" s="197"/>
      <c r="BG131" s="197"/>
      <c r="BH131" s="197"/>
      <c r="BI131" s="197"/>
      <c r="BJ131" s="197"/>
      <c r="BK131" s="197"/>
      <c r="BL131" s="197"/>
      <c r="BM131" s="197"/>
      <c r="BN131" s="197"/>
      <c r="BO131" s="197"/>
      <c r="BP131" s="197"/>
    </row>
    <row r="132" spans="1:68" ht="20" customHeight="1" x14ac:dyDescent="0.15">
      <c r="A132" s="10"/>
      <c r="B132" s="1340"/>
      <c r="C132" s="391" t="str">
        <f>'Action Plan'!C136</f>
        <v>FACEBOOK</v>
      </c>
      <c r="D132" s="355">
        <f>'Action Plan'!D136</f>
        <v>0.33333333333333331</v>
      </c>
      <c r="E132" s="592">
        <f>'Action Plan'!E136</f>
        <v>5</v>
      </c>
      <c r="F132" s="592"/>
      <c r="G132" s="592"/>
      <c r="H132" s="355"/>
      <c r="I132" s="355"/>
      <c r="J132" s="1183" t="str">
        <f>'Action Plan'!F136</f>
        <v>POST</v>
      </c>
      <c r="K132" s="391" t="str">
        <f>'Action Plan'!G136</f>
        <v>FACEBOOK</v>
      </c>
      <c r="L132" s="17">
        <f>'Action Plan'!H136</f>
        <v>0.2</v>
      </c>
      <c r="M132" s="176">
        <f>'Action Plan'!I136</f>
        <v>3</v>
      </c>
      <c r="N132" s="204"/>
      <c r="O132" s="204"/>
      <c r="P132" s="74"/>
      <c r="Q132" s="74"/>
      <c r="R132" s="200"/>
      <c r="S132" s="391" t="str">
        <f>'Action Plan'!K136</f>
        <v>FACEBOOK</v>
      </c>
      <c r="T132" s="74">
        <f>'Action Plan'!L136</f>
        <v>0.13333333333333333</v>
      </c>
      <c r="U132" s="204">
        <f>'Action Plan'!M136</f>
        <v>2</v>
      </c>
      <c r="V132" s="204"/>
      <c r="W132" s="204"/>
      <c r="X132" s="74"/>
      <c r="Y132" s="74"/>
      <c r="Z132" s="205"/>
      <c r="AA132" s="10"/>
      <c r="AB132" s="10"/>
      <c r="AC132" s="10"/>
      <c r="AD132" s="10"/>
      <c r="AE132" s="10"/>
      <c r="AF132" s="10"/>
      <c r="AG132" s="10"/>
      <c r="AH132" s="10"/>
      <c r="AI132" s="10"/>
      <c r="AJ132" s="10"/>
      <c r="AK132" s="10"/>
      <c r="AL132" s="10"/>
      <c r="AM132" s="10"/>
      <c r="AN132" s="10"/>
      <c r="AO132" s="10"/>
      <c r="AP132" s="10"/>
      <c r="AQ132" s="10"/>
      <c r="AR132" s="10"/>
      <c r="AS132" s="10"/>
      <c r="AT132" s="10"/>
      <c r="AU132" s="193"/>
      <c r="AV132" s="193"/>
      <c r="AW132" s="193"/>
      <c r="AX132" s="197"/>
      <c r="AY132" s="197"/>
      <c r="AZ132" s="197"/>
      <c r="BA132" s="197"/>
      <c r="BB132" s="197"/>
      <c r="BC132" s="197"/>
      <c r="BD132" s="197"/>
      <c r="BE132" s="197"/>
      <c r="BF132" s="197"/>
      <c r="BG132" s="197"/>
      <c r="BH132" s="197"/>
      <c r="BI132" s="197"/>
      <c r="BJ132" s="197"/>
      <c r="BK132" s="197"/>
      <c r="BL132" s="197"/>
      <c r="BM132" s="197"/>
      <c r="BN132" s="197"/>
      <c r="BO132" s="197"/>
      <c r="BP132" s="197"/>
    </row>
    <row r="133" spans="1:68" ht="20" customHeight="1" x14ac:dyDescent="0.15">
      <c r="A133" s="10"/>
      <c r="B133" s="1340"/>
      <c r="C133" s="391" t="str">
        <f>'Action Plan'!C137</f>
        <v>LANDING PAGE</v>
      </c>
      <c r="D133" s="355">
        <f>'Action Plan'!D137</f>
        <v>0.33333333333333331</v>
      </c>
      <c r="E133" s="592">
        <f>'Action Plan'!E137</f>
        <v>5</v>
      </c>
      <c r="F133" s="592"/>
      <c r="G133" s="592"/>
      <c r="H133" s="355"/>
      <c r="I133" s="355"/>
      <c r="J133" s="1183" t="str">
        <f>'Action Plan'!F137</f>
        <v>POST</v>
      </c>
      <c r="K133" s="391" t="str">
        <f>'Action Plan'!G137</f>
        <v>LANDING PAGE</v>
      </c>
      <c r="L133" s="17">
        <f>'Action Plan'!H137</f>
        <v>0.2</v>
      </c>
      <c r="M133" s="176">
        <f>'Action Plan'!I137</f>
        <v>3</v>
      </c>
      <c r="N133" s="204"/>
      <c r="O133" s="204"/>
      <c r="P133" s="74"/>
      <c r="Q133" s="74"/>
      <c r="R133" s="200"/>
      <c r="S133" s="391" t="str">
        <f>'Action Plan'!K137</f>
        <v>LANDING PAGE</v>
      </c>
      <c r="T133" s="74">
        <f>'Action Plan'!L137</f>
        <v>0.13333333333333333</v>
      </c>
      <c r="U133" s="204">
        <f>'Action Plan'!M137</f>
        <v>2</v>
      </c>
      <c r="V133" s="204"/>
      <c r="W133" s="204"/>
      <c r="X133" s="74"/>
      <c r="Y133" s="74"/>
      <c r="Z133" s="205"/>
      <c r="AA133" s="10"/>
      <c r="AB133" s="10"/>
      <c r="AC133" s="10"/>
      <c r="AD133" s="10"/>
      <c r="AE133" s="10"/>
      <c r="AF133" s="10"/>
      <c r="AG133" s="10"/>
      <c r="AH133" s="10"/>
      <c r="AI133" s="10"/>
      <c r="AJ133" s="10"/>
      <c r="AK133" s="10"/>
      <c r="AL133" s="10"/>
      <c r="AM133" s="10"/>
      <c r="AN133" s="10"/>
      <c r="AO133" s="10"/>
      <c r="AP133" s="10"/>
      <c r="AQ133" s="10"/>
      <c r="AR133" s="10"/>
      <c r="AS133" s="10"/>
      <c r="AT133" s="10"/>
      <c r="AU133" s="193"/>
      <c r="AV133" s="193"/>
      <c r="AW133" s="193"/>
      <c r="AX133" s="197"/>
      <c r="AY133" s="197"/>
      <c r="AZ133" s="197"/>
      <c r="BA133" s="197"/>
      <c r="BB133" s="197"/>
      <c r="BC133" s="197"/>
      <c r="BD133" s="197"/>
      <c r="BE133" s="197"/>
      <c r="BF133" s="197"/>
      <c r="BG133" s="197"/>
      <c r="BH133" s="197"/>
      <c r="BI133" s="197"/>
      <c r="BJ133" s="197"/>
      <c r="BK133" s="197"/>
      <c r="BL133" s="197"/>
      <c r="BM133" s="197"/>
      <c r="BN133" s="197"/>
      <c r="BO133" s="197"/>
      <c r="BP133" s="197"/>
    </row>
    <row r="134" spans="1:68" ht="20" customHeight="1" x14ac:dyDescent="0.15">
      <c r="A134" s="10"/>
      <c r="B134" s="1340"/>
      <c r="C134" s="391" t="str">
        <f>'Action Plan'!C138</f>
        <v>TIKTOKSHOP</v>
      </c>
      <c r="D134" s="355">
        <f>'Action Plan'!D138</f>
        <v>0.33333333333333331</v>
      </c>
      <c r="E134" s="592">
        <f>'Action Plan'!E138</f>
        <v>5</v>
      </c>
      <c r="F134" s="592"/>
      <c r="G134" s="592"/>
      <c r="H134" s="355"/>
      <c r="I134" s="355"/>
      <c r="J134" s="1183" t="str">
        <f>'Action Plan'!F138</f>
        <v>VIDEO</v>
      </c>
      <c r="K134" s="391" t="str">
        <f>'Action Plan'!G138</f>
        <v>TIKTOKSHOP</v>
      </c>
      <c r="L134" s="74">
        <f>'Action Plan'!H138</f>
        <v>0.2</v>
      </c>
      <c r="M134" s="204">
        <f>'Action Plan'!I138</f>
        <v>3</v>
      </c>
      <c r="N134" s="204"/>
      <c r="O134" s="204"/>
      <c r="P134" s="74"/>
      <c r="Q134" s="74"/>
      <c r="R134" s="205"/>
      <c r="S134" s="391" t="str">
        <f>'Action Plan'!K138</f>
        <v>TIKTOKSHOP</v>
      </c>
      <c r="T134" s="188">
        <f>'Action Plan'!L138</f>
        <v>0.13333333333333333</v>
      </c>
      <c r="U134" s="176">
        <f>'Action Plan'!M138</f>
        <v>2</v>
      </c>
      <c r="V134" s="204"/>
      <c r="W134" s="204"/>
      <c r="X134" s="74"/>
      <c r="Y134" s="74"/>
      <c r="Z134" s="200"/>
      <c r="AA134" s="10"/>
      <c r="AB134" s="10"/>
      <c r="AC134" s="10"/>
      <c r="AD134" s="10"/>
      <c r="AE134" s="10"/>
      <c r="AF134" s="10"/>
      <c r="AG134" s="10"/>
      <c r="AH134" s="10"/>
      <c r="AI134" s="10"/>
      <c r="AJ134" s="10"/>
      <c r="AK134" s="10"/>
      <c r="AL134" s="10"/>
      <c r="AM134" s="10"/>
      <c r="AN134" s="10"/>
      <c r="AO134" s="10"/>
      <c r="AP134" s="10"/>
      <c r="AQ134" s="10"/>
      <c r="AR134" s="10"/>
      <c r="AS134" s="10"/>
      <c r="AT134" s="10"/>
      <c r="AU134" s="193"/>
      <c r="AV134" s="193"/>
      <c r="AW134" s="193"/>
      <c r="AX134" s="197"/>
      <c r="AY134" s="197"/>
      <c r="AZ134" s="197"/>
      <c r="BA134" s="197"/>
      <c r="BB134" s="197"/>
      <c r="BC134" s="197"/>
      <c r="BD134" s="197"/>
      <c r="BE134" s="197"/>
      <c r="BF134" s="197"/>
      <c r="BG134" s="197"/>
      <c r="BH134" s="197"/>
      <c r="BI134" s="197"/>
      <c r="BJ134" s="197"/>
      <c r="BK134" s="197"/>
      <c r="BL134" s="197"/>
      <c r="BM134" s="197"/>
      <c r="BN134" s="197"/>
      <c r="BO134" s="197"/>
      <c r="BP134" s="197"/>
    </row>
    <row r="135" spans="1:68" ht="20" customHeight="1" x14ac:dyDescent="0.15">
      <c r="A135" s="10"/>
      <c r="B135" s="1340"/>
      <c r="C135" s="823" t="str">
        <f>'Action Plan'!C139</f>
        <v>SCRIPT</v>
      </c>
      <c r="D135" s="1184">
        <f>'Action Plan'!D139</f>
        <v>0.1</v>
      </c>
      <c r="E135" s="1185">
        <f>'Action Plan'!E139</f>
        <v>20</v>
      </c>
      <c r="F135" s="1198">
        <f t="shared" ref="F133:F136" si="191">N135+V135</f>
        <v>8</v>
      </c>
      <c r="G135" s="1185">
        <f t="shared" ref="G131:G136" si="192">F135-E135</f>
        <v>-12</v>
      </c>
      <c r="H135" s="1184">
        <f>_xlfn.IFS(G135&gt;=0,1,G135&lt;0,F135/E135)</f>
        <v>0.4</v>
      </c>
      <c r="I135" s="1184">
        <f>H135*D135</f>
        <v>4.0000000000000008E-2</v>
      </c>
      <c r="J135" s="1183" t="str">
        <f>'Action Plan'!F139</f>
        <v>VIDEO</v>
      </c>
      <c r="K135" s="822" t="str">
        <f>'Action Plan'!G139</f>
        <v>SCRIPT</v>
      </c>
      <c r="L135" s="1197">
        <f>'Action Plan'!H139</f>
        <v>0.5</v>
      </c>
      <c r="M135" s="1198">
        <f>'Action Plan'!I139</f>
        <v>10</v>
      </c>
      <c r="N135" s="1198">
        <f>'Content Creator #1'!N5</f>
        <v>2</v>
      </c>
      <c r="O135" s="1198">
        <f t="shared" ref="O134:O136" si="193">N135-M135</f>
        <v>-8</v>
      </c>
      <c r="P135" s="1197">
        <f>_xlfn.IFS(O135&gt;=0,1,O135&lt;0,N135/M135)</f>
        <v>0.2</v>
      </c>
      <c r="Q135" s="1197">
        <f t="shared" ref="Q134:Q136" si="194">P135*L135</f>
        <v>0.1</v>
      </c>
      <c r="R135" s="1200"/>
      <c r="S135" s="822" t="str">
        <f>'Action Plan'!K139</f>
        <v>SCRIPT</v>
      </c>
      <c r="T135" s="1203">
        <f>'Action Plan'!L139</f>
        <v>0.5</v>
      </c>
      <c r="U135" s="1204">
        <f>'Action Plan'!M139</f>
        <v>10</v>
      </c>
      <c r="V135" s="1198">
        <f>'Content Creator #2'!N5</f>
        <v>6</v>
      </c>
      <c r="W135" s="1198">
        <f>V135-U135</f>
        <v>-4</v>
      </c>
      <c r="X135" s="1197">
        <f>_xlfn.IFS(W135&gt;=0,1,W135&lt;0,V135/U135)</f>
        <v>0.6</v>
      </c>
      <c r="Y135" s="1197">
        <f t="shared" ref="Y135:Y136" si="195">X135*T135</f>
        <v>0.3</v>
      </c>
      <c r="Z135" s="1202"/>
      <c r="AA135" s="10"/>
      <c r="AB135" s="10"/>
      <c r="AC135" s="10"/>
      <c r="AD135" s="10"/>
      <c r="AE135" s="10"/>
      <c r="AF135" s="10"/>
      <c r="AG135" s="10"/>
      <c r="AH135" s="10"/>
      <c r="AI135" s="10"/>
      <c r="AJ135" s="981"/>
      <c r="AK135" s="10"/>
      <c r="AL135" s="10"/>
      <c r="AM135" s="10"/>
      <c r="AN135" s="10"/>
      <c r="AO135" s="10"/>
      <c r="AP135" s="10"/>
      <c r="AQ135" s="10"/>
      <c r="AR135" s="10"/>
      <c r="AS135" s="10"/>
      <c r="AT135" s="10"/>
      <c r="AU135" s="193"/>
      <c r="AV135" s="193"/>
      <c r="AW135" s="193"/>
      <c r="AX135" s="197"/>
      <c r="AY135" s="197"/>
      <c r="AZ135" s="197"/>
      <c r="BA135" s="197"/>
      <c r="BB135" s="197"/>
      <c r="BC135" s="197"/>
      <c r="BD135" s="197"/>
      <c r="BE135" s="197"/>
      <c r="BF135" s="197"/>
      <c r="BG135" s="197"/>
      <c r="BH135" s="197"/>
      <c r="BI135" s="197"/>
      <c r="BJ135" s="197"/>
      <c r="BK135" s="197"/>
      <c r="BL135" s="197"/>
      <c r="BM135" s="197"/>
      <c r="BN135" s="197"/>
      <c r="BO135" s="197"/>
      <c r="BP135" s="197"/>
    </row>
    <row r="136" spans="1:68" ht="20" customHeight="1" x14ac:dyDescent="0.15">
      <c r="A136" s="10"/>
      <c r="B136" s="1340"/>
      <c r="C136" s="819" t="str">
        <f>'Action Plan'!C140</f>
        <v>BOOKING</v>
      </c>
      <c r="D136" s="1184">
        <f>'Action Plan'!D140</f>
        <v>0.1</v>
      </c>
      <c r="E136" s="1185">
        <f>'Action Plan'!E140</f>
        <v>100</v>
      </c>
      <c r="F136" s="1198">
        <f t="shared" si="191"/>
        <v>76</v>
      </c>
      <c r="G136" s="1185">
        <f t="shared" si="192"/>
        <v>-24</v>
      </c>
      <c r="H136" s="1184">
        <f>_xlfn.IFS(G136&gt;=0,1,G136&lt;0,F136/E136)</f>
        <v>0.76</v>
      </c>
      <c r="I136" s="1184">
        <f>H136*D136</f>
        <v>7.6000000000000012E-2</v>
      </c>
      <c r="J136" s="1183" t="str">
        <f>'Action Plan'!F140</f>
        <v>CHANNELS</v>
      </c>
      <c r="K136" s="822" t="str">
        <f>'Action Plan'!G140</f>
        <v>BOOKING</v>
      </c>
      <c r="L136" s="1197">
        <f>'Action Plan'!H140</f>
        <v>0.5</v>
      </c>
      <c r="M136" s="1198">
        <f>'Action Plan'!I140</f>
        <v>50</v>
      </c>
      <c r="N136" s="1198">
        <f>'Content Creator #1'!N6</f>
        <v>70</v>
      </c>
      <c r="O136" s="1198">
        <f t="shared" si="193"/>
        <v>20</v>
      </c>
      <c r="P136" s="1197">
        <f>_xlfn.IFS(O136&gt;=0,1,O136&lt;0,N136/M136)</f>
        <v>1</v>
      </c>
      <c r="Q136" s="1197">
        <f t="shared" si="194"/>
        <v>0.5</v>
      </c>
      <c r="R136" s="1200"/>
      <c r="S136" s="822" t="str">
        <f>'Action Plan'!K140</f>
        <v>BOOKING</v>
      </c>
      <c r="T136" s="1203">
        <f>'Action Plan'!L140</f>
        <v>0.5</v>
      </c>
      <c r="U136" s="1204">
        <f>'Action Plan'!M140</f>
        <v>50</v>
      </c>
      <c r="V136" s="1198">
        <f>'Content Creator #2'!N6</f>
        <v>6</v>
      </c>
      <c r="W136" s="1465">
        <f t="shared" ref="W135:W136" si="196">V136-U136</f>
        <v>-44</v>
      </c>
      <c r="X136" s="1466">
        <f>_xlfn.IFS(W136&gt;=0,1,W136&lt;0,V136/U136)</f>
        <v>0.12</v>
      </c>
      <c r="Y136" s="1466">
        <f t="shared" si="195"/>
        <v>0.06</v>
      </c>
      <c r="Z136" s="1202"/>
      <c r="AA136" s="10"/>
      <c r="AB136" s="10"/>
      <c r="AC136" s="10"/>
      <c r="AD136" s="10"/>
      <c r="AE136" s="10"/>
      <c r="AF136" s="10"/>
      <c r="AG136" s="10"/>
      <c r="AH136" s="10"/>
      <c r="AI136" s="10"/>
      <c r="AJ136" s="10"/>
      <c r="AK136" s="10"/>
      <c r="AL136" s="10"/>
      <c r="AM136" s="10"/>
      <c r="AN136" s="10"/>
      <c r="AO136" s="10"/>
      <c r="AP136" s="10"/>
      <c r="AQ136" s="10"/>
      <c r="AR136" s="10"/>
      <c r="AS136" s="10"/>
      <c r="AT136" s="10"/>
      <c r="AU136" s="193"/>
      <c r="AV136" s="193"/>
      <c r="AW136" s="193"/>
      <c r="AX136" s="197"/>
      <c r="AY136" s="197"/>
      <c r="AZ136" s="197"/>
      <c r="BA136" s="197"/>
      <c r="BB136" s="197"/>
      <c r="BC136" s="197"/>
      <c r="BD136" s="197"/>
      <c r="BE136" s="197"/>
      <c r="BF136" s="197"/>
      <c r="BG136" s="197"/>
      <c r="BH136" s="197"/>
      <c r="BI136" s="197"/>
      <c r="BJ136" s="197"/>
      <c r="BK136" s="197"/>
      <c r="BL136" s="197"/>
      <c r="BM136" s="197"/>
      <c r="BN136" s="197"/>
      <c r="BO136" s="197"/>
      <c r="BP136" s="197"/>
    </row>
    <row r="137" spans="1:68" ht="20" customHeight="1" x14ac:dyDescent="0.15">
      <c r="A137" s="10"/>
      <c r="B137" s="1340"/>
      <c r="C137" s="821" t="str">
        <f>'Action Plan'!C141</f>
        <v>P3</v>
      </c>
      <c r="D137" s="349">
        <f>'Action Plan'!D141</f>
        <v>0.2</v>
      </c>
      <c r="E137" s="349">
        <f>'Action Plan'!E141</f>
        <v>0.99999999999999989</v>
      </c>
      <c r="F137" s="349">
        <f>I138+I142+I146</f>
        <v>0.7560416666666665</v>
      </c>
      <c r="G137" s="1251">
        <f>F137-E137</f>
        <v>-0.24395833333333339</v>
      </c>
      <c r="H137" s="1251">
        <f>IF(G137&gt;=0,1,F137/E137)</f>
        <v>0.75604166666666661</v>
      </c>
      <c r="I137" s="1251">
        <f>F137*D137</f>
        <v>0.15120833333333331</v>
      </c>
      <c r="J137" s="637"/>
      <c r="K137" s="634" t="str">
        <f>'Action Plan'!G141</f>
        <v>P3</v>
      </c>
      <c r="L137" s="349">
        <f>'Action Plan'!H141</f>
        <v>0.2</v>
      </c>
      <c r="M137" s="349">
        <f>'Action Plan'!I141</f>
        <v>0.61111111111111116</v>
      </c>
      <c r="N137" s="349">
        <f>AVERAGE(Q138,Q142,Q144,Q146)</f>
        <v>0.49563492063492059</v>
      </c>
      <c r="O137" s="1251">
        <f>N137-M137</f>
        <v>-0.11547619047619057</v>
      </c>
      <c r="P137" s="1251">
        <f>IF(O137&gt;=0,1,N137/M137)</f>
        <v>0.81103896103896089</v>
      </c>
      <c r="Q137" s="1251">
        <f>N137*L137</f>
        <v>9.9126984126984119E-2</v>
      </c>
      <c r="R137" s="1187"/>
      <c r="S137" s="634" t="str">
        <f>'Action Plan'!K141</f>
        <v>P3</v>
      </c>
      <c r="T137" s="349">
        <f>'Action Plan'!L141</f>
        <v>0.2</v>
      </c>
      <c r="U137" s="349">
        <f>'Action Plan'!M141</f>
        <v>0.38888888888888884</v>
      </c>
      <c r="V137" s="349">
        <f>Y138+Y142+Y146</f>
        <v>0.76577380952380958</v>
      </c>
      <c r="W137" s="383">
        <f>V137-U137</f>
        <v>0.37688492063492074</v>
      </c>
      <c r="X137" s="383">
        <f>_xlfn.IFS(W137&gt;=0,1,W137&lt;0,V137/U137)</f>
        <v>1</v>
      </c>
      <c r="Y137" s="383">
        <f>V137*T137</f>
        <v>0.15315476190476193</v>
      </c>
      <c r="Z137" s="1187"/>
      <c r="AA137" s="10"/>
      <c r="AB137" s="10"/>
      <c r="AC137" s="10"/>
      <c r="AD137" s="10"/>
      <c r="AE137" s="10"/>
      <c r="AF137" s="10"/>
      <c r="AG137" s="10"/>
      <c r="AH137" s="10"/>
      <c r="AI137" s="10"/>
      <c r="AJ137" s="10"/>
      <c r="AK137" s="10"/>
      <c r="AL137" s="10"/>
      <c r="AM137" s="10"/>
      <c r="AN137" s="10"/>
      <c r="AO137" s="10"/>
      <c r="AP137" s="10"/>
      <c r="AQ137" s="10"/>
      <c r="AR137" s="10"/>
      <c r="AS137" s="10"/>
      <c r="AT137" s="10"/>
      <c r="AU137" s="193"/>
      <c r="AV137" s="193"/>
      <c r="AW137" s="193"/>
      <c r="AX137" s="197"/>
      <c r="AY137" s="197"/>
      <c r="AZ137" s="197"/>
      <c r="BA137" s="197"/>
      <c r="BB137" s="197"/>
      <c r="BC137" s="197"/>
      <c r="BD137" s="197"/>
      <c r="BE137" s="197"/>
      <c r="BF137" s="197"/>
      <c r="BG137" s="197"/>
      <c r="BH137" s="197"/>
      <c r="BI137" s="197"/>
      <c r="BJ137" s="197"/>
      <c r="BK137" s="197"/>
      <c r="BL137" s="197"/>
      <c r="BM137" s="197"/>
      <c r="BN137" s="197"/>
      <c r="BO137" s="197"/>
      <c r="BP137" s="197"/>
    </row>
    <row r="138" spans="1:68" ht="20" customHeight="1" x14ac:dyDescent="0.15">
      <c r="A138" s="10"/>
      <c r="B138" s="1340"/>
      <c r="C138" s="819" t="str">
        <f>'Action Plan'!C142</f>
        <v>SALES REVENUE</v>
      </c>
      <c r="D138" s="1184">
        <f>'Action Plan'!D142</f>
        <v>0.1</v>
      </c>
      <c r="E138" s="1195">
        <f>'Action Plan'!E142</f>
        <v>100000000</v>
      </c>
      <c r="F138" s="1195">
        <f>SUM(F139:F141)</f>
        <v>150300000</v>
      </c>
      <c r="G138" s="1195">
        <f>F138-E138</f>
        <v>50300000</v>
      </c>
      <c r="H138" s="1184">
        <f>_xlfn.IFS(G138&gt;=0,1,G138&lt;0,F138/E138)</f>
        <v>1</v>
      </c>
      <c r="I138" s="1184">
        <f>H138*D138</f>
        <v>0.1</v>
      </c>
      <c r="J138" s="1196" t="str">
        <f>'Action Plan'!F142</f>
        <v>VND</v>
      </c>
      <c r="K138" s="819" t="str">
        <f>'Action Plan'!G142</f>
        <v>SALES REVENUE</v>
      </c>
      <c r="L138" s="1197">
        <f>'Action Plan'!H142</f>
        <v>0.5</v>
      </c>
      <c r="M138" s="1207">
        <f>'Action Plan'!I142</f>
        <v>50000000</v>
      </c>
      <c r="N138" s="1207">
        <f>F138/2</f>
        <v>75150000</v>
      </c>
      <c r="O138" s="1207">
        <f>N138-M138</f>
        <v>25150000</v>
      </c>
      <c r="P138" s="1197">
        <f>_xlfn.IFS(O138&gt;=0,1,O138&lt;0,N138/M138)</f>
        <v>1</v>
      </c>
      <c r="Q138" s="1197">
        <f>P138*L138</f>
        <v>0.5</v>
      </c>
      <c r="R138" s="1423" t="str">
        <f>'Action Plan'!J142</f>
        <v>VND</v>
      </c>
      <c r="S138" s="819" t="str">
        <f>'Action Plan'!K142</f>
        <v>SALES REVENUE</v>
      </c>
      <c r="T138" s="1197">
        <f>'Action Plan'!L142</f>
        <v>0.5</v>
      </c>
      <c r="U138" s="1433">
        <f>'Action Plan'!M142</f>
        <v>50000000</v>
      </c>
      <c r="V138" s="1433">
        <f>F138-N138</f>
        <v>75150000</v>
      </c>
      <c r="W138" s="1433">
        <f>V138-U138</f>
        <v>25150000</v>
      </c>
      <c r="X138" s="1197">
        <f>_xlfn.IFS(W138&gt;=0,1,W138&lt;0,V138/U138)</f>
        <v>1</v>
      </c>
      <c r="Y138" s="1197">
        <f>X138*T138</f>
        <v>0.5</v>
      </c>
      <c r="Z138" s="1423" t="str">
        <f>'Action Plan'!N142</f>
        <v>VND</v>
      </c>
      <c r="AA138" s="10"/>
      <c r="AB138" s="10"/>
      <c r="AC138" s="10"/>
      <c r="AD138" s="10"/>
      <c r="AE138" s="10"/>
      <c r="AF138" s="10"/>
      <c r="AG138" s="10"/>
      <c r="AH138" s="10"/>
      <c r="AI138" s="10"/>
      <c r="AJ138" s="10"/>
      <c r="AK138" s="10"/>
      <c r="AL138" s="10"/>
      <c r="AM138" s="10"/>
      <c r="AN138" s="10"/>
      <c r="AO138" s="10"/>
      <c r="AP138" s="10"/>
      <c r="AQ138" s="10"/>
      <c r="AR138" s="10"/>
      <c r="AS138" s="10"/>
      <c r="AT138" s="10"/>
      <c r="AU138" s="193"/>
      <c r="AV138" s="193"/>
      <c r="AW138" s="193"/>
      <c r="AX138" s="197"/>
      <c r="AY138" s="197"/>
      <c r="AZ138" s="197"/>
      <c r="BA138" s="197"/>
      <c r="BB138" s="197"/>
      <c r="BC138" s="197"/>
      <c r="BD138" s="197"/>
      <c r="BE138" s="197"/>
      <c r="BF138" s="197"/>
      <c r="BG138" s="197"/>
      <c r="BH138" s="197"/>
      <c r="BI138" s="197"/>
      <c r="BJ138" s="197"/>
      <c r="BK138" s="197"/>
      <c r="BL138" s="197"/>
      <c r="BM138" s="197"/>
      <c r="BN138" s="197"/>
      <c r="BO138" s="197"/>
      <c r="BP138" s="197"/>
    </row>
    <row r="139" spans="1:68" ht="20" customHeight="1" x14ac:dyDescent="0.15">
      <c r="A139" s="10"/>
      <c r="B139" s="1340"/>
      <c r="C139" s="391" t="str">
        <f>'Action Plan'!C143</f>
        <v>FACEBOOK</v>
      </c>
      <c r="D139" s="355">
        <f>'Action Plan'!D143</f>
        <v>0.33333333333333331</v>
      </c>
      <c r="E139" s="610">
        <f>'Action Plan'!E143</f>
        <v>33333333.333333332</v>
      </c>
      <c r="F139" s="610">
        <f>F27</f>
        <v>51100000</v>
      </c>
      <c r="G139" s="610">
        <f>F139-E139</f>
        <v>17766666.666666668</v>
      </c>
      <c r="H139" s="355">
        <f>IF(G139&gt;0,1,F139/E139)</f>
        <v>1</v>
      </c>
      <c r="I139" s="355">
        <f>H139*D139</f>
        <v>0.33333333333333331</v>
      </c>
      <c r="J139" s="361"/>
      <c r="K139" s="391" t="str">
        <f>'Action Plan'!G143</f>
        <v>FACEBOOK</v>
      </c>
      <c r="L139" s="355">
        <f>'Action Plan'!H143</f>
        <v>0.16666666666666666</v>
      </c>
      <c r="M139" s="610">
        <f>'Action Plan'!I143</f>
        <v>16666666.666666666</v>
      </c>
      <c r="N139" s="610"/>
      <c r="O139" s="610"/>
      <c r="P139" s="355"/>
      <c r="Q139" s="355"/>
      <c r="R139" s="361"/>
      <c r="S139" s="391" t="str">
        <f>'Action Plan'!K143</f>
        <v>FACEBOOK</v>
      </c>
      <c r="T139" s="355">
        <f>'Action Plan'!L143</f>
        <v>0.16666666666666666</v>
      </c>
      <c r="U139" s="610">
        <f>'Action Plan'!M143</f>
        <v>16666666.666666666</v>
      </c>
      <c r="V139" s="610"/>
      <c r="W139" s="610"/>
      <c r="X139" s="355"/>
      <c r="Y139" s="355"/>
      <c r="Z139" s="361"/>
      <c r="AA139" s="10"/>
      <c r="AB139" s="10"/>
      <c r="AC139" s="10"/>
      <c r="AD139" s="10"/>
      <c r="AE139" s="10"/>
      <c r="AF139" s="10"/>
      <c r="AG139" s="10"/>
      <c r="AH139" s="10"/>
      <c r="AI139" s="10"/>
      <c r="AJ139" s="10"/>
      <c r="AK139" s="10"/>
      <c r="AL139" s="10"/>
      <c r="AM139" s="10"/>
      <c r="AN139" s="10"/>
      <c r="AO139" s="10"/>
      <c r="AP139" s="10"/>
      <c r="AQ139" s="10"/>
      <c r="AR139" s="10"/>
      <c r="AS139" s="10"/>
      <c r="AT139" s="10"/>
      <c r="AU139" s="193"/>
      <c r="AV139" s="193"/>
      <c r="AW139" s="193"/>
      <c r="AX139" s="197"/>
      <c r="AY139" s="197"/>
      <c r="AZ139" s="197"/>
      <c r="BA139" s="197"/>
      <c r="BB139" s="197"/>
      <c r="BC139" s="197"/>
      <c r="BD139" s="197"/>
      <c r="BE139" s="197"/>
      <c r="BF139" s="197"/>
      <c r="BG139" s="197"/>
      <c r="BH139" s="197"/>
      <c r="BI139" s="197"/>
      <c r="BJ139" s="197"/>
      <c r="BK139" s="197"/>
      <c r="BL139" s="197"/>
      <c r="BM139" s="197"/>
      <c r="BN139" s="197"/>
      <c r="BO139" s="197"/>
      <c r="BP139" s="197"/>
    </row>
    <row r="140" spans="1:68" ht="20" customHeight="1" x14ac:dyDescent="0.15">
      <c r="A140" s="10"/>
      <c r="B140" s="1340"/>
      <c r="C140" s="391" t="str">
        <f>'Action Plan'!C144</f>
        <v>LANDING PAGE</v>
      </c>
      <c r="D140" s="355">
        <f>'Action Plan'!D144</f>
        <v>0.33333333333333331</v>
      </c>
      <c r="E140" s="610">
        <f>'Action Plan'!E144</f>
        <v>33333333.333333332</v>
      </c>
      <c r="F140" s="610">
        <f t="shared" ref="F140:F141" si="197">F28</f>
        <v>51100000</v>
      </c>
      <c r="G140" s="610">
        <f>F140-E140</f>
        <v>17766666.666666668</v>
      </c>
      <c r="H140" s="355">
        <f>IF(G140&gt;0,1,F140/E140)</f>
        <v>1</v>
      </c>
      <c r="I140" s="355">
        <f>H140*D140</f>
        <v>0.33333333333333331</v>
      </c>
      <c r="J140" s="361"/>
      <c r="K140" s="391" t="str">
        <f>'Action Plan'!G144</f>
        <v>LANDING PAGE</v>
      </c>
      <c r="L140" s="355">
        <f>'Action Plan'!H144</f>
        <v>0.16666666666666666</v>
      </c>
      <c r="M140" s="610">
        <f>'Action Plan'!I144</f>
        <v>16666666.666666666</v>
      </c>
      <c r="N140" s="610"/>
      <c r="O140" s="610"/>
      <c r="P140" s="355"/>
      <c r="Q140" s="355"/>
      <c r="R140" s="361"/>
      <c r="S140" s="391" t="str">
        <f>'Action Plan'!K144</f>
        <v>LANDING PAGE</v>
      </c>
      <c r="T140" s="355">
        <f>'Action Plan'!L144</f>
        <v>0.16666666666666666</v>
      </c>
      <c r="U140" s="610">
        <f>'Action Plan'!M144</f>
        <v>16666666.666666666</v>
      </c>
      <c r="V140" s="610"/>
      <c r="W140" s="610"/>
      <c r="X140" s="355"/>
      <c r="Y140" s="355"/>
      <c r="Z140" s="361"/>
      <c r="AA140" s="10"/>
      <c r="AB140" s="10"/>
      <c r="AC140" s="10"/>
      <c r="AD140" s="10"/>
      <c r="AE140" s="10"/>
      <c r="AF140" s="10"/>
      <c r="AG140" s="10"/>
      <c r="AH140" s="10"/>
      <c r="AI140" s="10"/>
      <c r="AJ140" s="10"/>
      <c r="AK140" s="10"/>
      <c r="AL140" s="10"/>
      <c r="AM140" s="10"/>
      <c r="AN140" s="10"/>
      <c r="AO140" s="10"/>
      <c r="AP140" s="10"/>
      <c r="AQ140" s="10"/>
      <c r="AR140" s="10"/>
      <c r="AS140" s="10"/>
      <c r="AT140" s="10"/>
      <c r="AU140" s="193"/>
      <c r="AV140" s="193"/>
      <c r="AW140" s="193"/>
      <c r="AX140" s="197"/>
      <c r="AY140" s="197"/>
      <c r="AZ140" s="197"/>
      <c r="BA140" s="197"/>
      <c r="BB140" s="197"/>
      <c r="BC140" s="197"/>
      <c r="BD140" s="197"/>
      <c r="BE140" s="197"/>
      <c r="BF140" s="197"/>
      <c r="BG140" s="197"/>
      <c r="BH140" s="197"/>
      <c r="BI140" s="197"/>
      <c r="BJ140" s="197"/>
      <c r="BK140" s="197"/>
      <c r="BL140" s="197"/>
      <c r="BM140" s="197"/>
      <c r="BN140" s="197"/>
      <c r="BO140" s="197"/>
      <c r="BP140" s="197"/>
    </row>
    <row r="141" spans="1:68" ht="20" customHeight="1" x14ac:dyDescent="0.15">
      <c r="A141" s="10"/>
      <c r="B141" s="1340"/>
      <c r="C141" s="391" t="str">
        <f>'Action Plan'!C145</f>
        <v>TIKTOKSHOP</v>
      </c>
      <c r="D141" s="355">
        <f>'Action Plan'!D145</f>
        <v>0.33333333333333331</v>
      </c>
      <c r="E141" s="610">
        <f>'Action Plan'!E145</f>
        <v>33333333.333333332</v>
      </c>
      <c r="F141" s="610">
        <f t="shared" si="197"/>
        <v>48100000</v>
      </c>
      <c r="G141" s="610">
        <f>F141-E141</f>
        <v>14766666.666666668</v>
      </c>
      <c r="H141" s="355">
        <f>IF(G141&gt;0,1,F141/E141)</f>
        <v>1</v>
      </c>
      <c r="I141" s="355">
        <f>H141*D141</f>
        <v>0.33333333333333331</v>
      </c>
      <c r="J141" s="361"/>
      <c r="K141" s="391" t="str">
        <f>'Action Plan'!G145</f>
        <v>TIKTOKSHOP</v>
      </c>
      <c r="L141" s="355">
        <f>'Action Plan'!H145</f>
        <v>0.16666666666666666</v>
      </c>
      <c r="M141" s="610">
        <f>'Action Plan'!I145</f>
        <v>16666666.666666666</v>
      </c>
      <c r="N141" s="610"/>
      <c r="O141" s="610"/>
      <c r="P141" s="355"/>
      <c r="Q141" s="355"/>
      <c r="R141" s="361"/>
      <c r="S141" s="391" t="str">
        <f>'Action Plan'!K145</f>
        <v>TIKTOKSHOP</v>
      </c>
      <c r="T141" s="355">
        <f>'Action Plan'!L145</f>
        <v>0.16666666666666666</v>
      </c>
      <c r="U141" s="610">
        <f>'Action Plan'!M145</f>
        <v>16666666.666666666</v>
      </c>
      <c r="V141" s="610"/>
      <c r="W141" s="610"/>
      <c r="X141" s="355"/>
      <c r="Y141" s="355"/>
      <c r="Z141" s="361"/>
      <c r="AA141" s="10"/>
      <c r="AB141" s="10"/>
      <c r="AC141" s="10"/>
      <c r="AD141" s="10"/>
      <c r="AE141" s="10"/>
      <c r="AF141" s="10"/>
      <c r="AG141" s="10"/>
      <c r="AH141" s="10"/>
      <c r="AI141" s="10"/>
      <c r="AJ141" s="10"/>
      <c r="AK141" s="10"/>
      <c r="AL141" s="10"/>
      <c r="AM141" s="10"/>
      <c r="AN141" s="10"/>
      <c r="AO141" s="10"/>
      <c r="AP141" s="10"/>
      <c r="AQ141" s="10"/>
      <c r="AR141" s="10"/>
      <c r="AS141" s="10"/>
      <c r="AT141" s="10"/>
      <c r="AU141" s="193"/>
      <c r="AV141" s="193"/>
      <c r="AW141" s="193"/>
      <c r="AX141" s="197"/>
      <c r="AY141" s="197"/>
      <c r="AZ141" s="197"/>
      <c r="BA141" s="197"/>
      <c r="BB141" s="197"/>
      <c r="BC141" s="197"/>
      <c r="BD141" s="197"/>
      <c r="BE141" s="197"/>
      <c r="BF141" s="197"/>
      <c r="BG141" s="197"/>
      <c r="BH141" s="197"/>
      <c r="BI141" s="197"/>
      <c r="BJ141" s="197"/>
      <c r="BK141" s="197"/>
      <c r="BL141" s="197"/>
      <c r="BM141" s="197"/>
      <c r="BN141" s="197"/>
      <c r="BO141" s="197"/>
      <c r="BP141" s="197"/>
    </row>
    <row r="142" spans="1:68" ht="20" customHeight="1" x14ac:dyDescent="0.15">
      <c r="A142" s="10"/>
      <c r="B142" s="1340"/>
      <c r="C142" s="819" t="str">
        <f>'Action Plan'!C146</f>
        <v>ENGAGEMENT</v>
      </c>
      <c r="D142" s="1184">
        <f>'Action Plan'!D146</f>
        <v>0.7</v>
      </c>
      <c r="E142" s="1430">
        <f>'Action Plan'!E146</f>
        <v>403200</v>
      </c>
      <c r="F142" s="1430">
        <f>AVERAGE(F143)</f>
        <v>367000</v>
      </c>
      <c r="G142" s="1430">
        <f>F142-E142</f>
        <v>-36200</v>
      </c>
      <c r="H142" s="1184">
        <f>IF(G142&gt;=0,1,F142/E142)</f>
        <v>0.91021825396825395</v>
      </c>
      <c r="I142" s="1184">
        <f t="shared" ref="I142:I148" si="198">H142*D142</f>
        <v>0.63715277777777768</v>
      </c>
      <c r="J142" s="1423" t="str">
        <f>'Action Plan'!F146</f>
        <v>CAMPAIGN</v>
      </c>
      <c r="K142" s="819" t="str">
        <f>'Action Plan'!G146</f>
        <v>ENGAGEMENT</v>
      </c>
      <c r="L142" s="1197">
        <f>'Action Plan'!H146</f>
        <v>0.83333333333333337</v>
      </c>
      <c r="M142" s="1206">
        <f>'Action Plan'!I146</f>
        <v>336000</v>
      </c>
      <c r="N142" s="1206">
        <f>AVERAGE(N143)</f>
        <v>320000</v>
      </c>
      <c r="O142" s="1206">
        <f t="shared" ref="O142:O144" si="199">N142-M142</f>
        <v>-16000</v>
      </c>
      <c r="P142" s="1197">
        <f>_xlfn.IFS(O142&gt;=0,1,O142&lt;0,N142/M142)</f>
        <v>0.95238095238095233</v>
      </c>
      <c r="Q142" s="1197">
        <f>P142*L142</f>
        <v>0.79365079365079361</v>
      </c>
      <c r="R142" s="1423" t="str">
        <f>'Action Plan'!J146</f>
        <v>CAMPAIGN</v>
      </c>
      <c r="S142" s="819" t="str">
        <f>'Action Plan'!K146</f>
        <v>ENGAGEMENT</v>
      </c>
      <c r="T142" s="1197">
        <f>'Action Plan'!L146</f>
        <v>0.16666666666666666</v>
      </c>
      <c r="U142" s="1206">
        <f>'Action Plan'!M146</f>
        <v>67200</v>
      </c>
      <c r="V142" s="1206">
        <f>AVERAGE(V143)</f>
        <v>31000</v>
      </c>
      <c r="W142" s="1206">
        <f>V142-U142</f>
        <v>-36200</v>
      </c>
      <c r="X142" s="1197">
        <f>_xlfn.IFS(W142&gt;=0,1,W142&lt;0,V142/U142)</f>
        <v>0.46130952380952384</v>
      </c>
      <c r="Y142" s="1197">
        <f>X142*T142</f>
        <v>7.6884920634920639E-2</v>
      </c>
      <c r="Z142" s="1423" t="str">
        <f>'Action Plan'!N146</f>
        <v>CAMPAIGN</v>
      </c>
      <c r="AA142" s="10"/>
      <c r="AB142" s="10"/>
      <c r="AC142" s="10"/>
      <c r="AD142" s="10"/>
      <c r="AE142" s="10"/>
      <c r="AF142" s="10"/>
      <c r="AG142" s="10"/>
      <c r="AH142" s="10"/>
      <c r="AI142" s="10"/>
      <c r="AJ142" s="10"/>
      <c r="AK142" s="10"/>
      <c r="AL142" s="10"/>
      <c r="AM142" s="10"/>
      <c r="AN142" s="10"/>
      <c r="AO142" s="10"/>
      <c r="AP142" s="10"/>
      <c r="AQ142" s="10"/>
      <c r="AR142" s="10"/>
      <c r="AS142" s="10"/>
      <c r="AT142" s="10"/>
      <c r="AU142" s="193"/>
      <c r="AV142" s="193"/>
      <c r="AW142" s="193"/>
      <c r="AX142" s="197"/>
      <c r="AY142" s="197"/>
      <c r="AZ142" s="197"/>
      <c r="BA142" s="197"/>
      <c r="BB142" s="197"/>
      <c r="BC142" s="197"/>
      <c r="BD142" s="197"/>
      <c r="BE142" s="197"/>
      <c r="BF142" s="197"/>
      <c r="BG142" s="197"/>
      <c r="BH142" s="197"/>
      <c r="BI142" s="197"/>
      <c r="BJ142" s="197"/>
      <c r="BK142" s="197"/>
      <c r="BL142" s="197"/>
      <c r="BM142" s="197"/>
      <c r="BN142" s="197"/>
      <c r="BO142" s="197"/>
      <c r="BP142" s="197"/>
    </row>
    <row r="143" spans="1:68" ht="20" customHeight="1" x14ac:dyDescent="0.15">
      <c r="A143" s="10"/>
      <c r="B143" s="1340"/>
      <c r="C143" s="391" t="str">
        <f>'Action Plan'!C147</f>
        <v>LIKES, COMMENTS, SHARES</v>
      </c>
      <c r="D143" s="355">
        <f>'Action Plan'!D147</f>
        <v>1</v>
      </c>
      <c r="E143" s="354">
        <f>'Action Plan'!E147</f>
        <v>403200</v>
      </c>
      <c r="F143" s="354">
        <f>M143+V143</f>
        <v>367000</v>
      </c>
      <c r="G143" s="354">
        <f>F143-E143</f>
        <v>-36200</v>
      </c>
      <c r="H143" s="355">
        <f>IF(G143&gt;0,0,F143/E143)</f>
        <v>0.91021825396825395</v>
      </c>
      <c r="I143" s="355">
        <f t="shared" si="198"/>
        <v>0.91021825396825395</v>
      </c>
      <c r="J143" s="1425"/>
      <c r="K143" s="391" t="str">
        <f>'Action Plan'!G147</f>
        <v>LIKES, COMMENTS, SHARES</v>
      </c>
      <c r="L143" s="355">
        <f>'Action Plan'!H147</f>
        <v>0.83333333333333337</v>
      </c>
      <c r="M143" s="354">
        <f>'Action Plan'!I147</f>
        <v>336000</v>
      </c>
      <c r="N143" s="354">
        <f>'Content Creator #1'!N7</f>
        <v>320000</v>
      </c>
      <c r="O143" s="354">
        <f>N143-M143</f>
        <v>-16000</v>
      </c>
      <c r="P143" s="1229">
        <f>_xlfn.IFS(O143&gt;=0,1,O143&lt;0,N143/M143)</f>
        <v>0.95238095238095233</v>
      </c>
      <c r="Q143" s="1229">
        <f>P143*L143</f>
        <v>0.79365079365079361</v>
      </c>
      <c r="R143" s="1431"/>
      <c r="S143" s="391" t="str">
        <f>'Action Plan'!K147</f>
        <v>LIKES, COMMENTS, SHARES</v>
      </c>
      <c r="T143" s="355">
        <f>'Action Plan'!L147</f>
        <v>0.16666666666666666</v>
      </c>
      <c r="U143" s="354">
        <f>'Action Plan'!M147</f>
        <v>67200</v>
      </c>
      <c r="V143" s="354">
        <f>'Content Creator #2'!N7</f>
        <v>31000</v>
      </c>
      <c r="W143" s="354">
        <f>V143-U143</f>
        <v>-36200</v>
      </c>
      <c r="X143" s="1229">
        <f>_xlfn.IFS(W143&gt;=0,1,W143&lt;0,V143/U143)</f>
        <v>0.46130952380952384</v>
      </c>
      <c r="Y143" s="355">
        <f>X143*T143</f>
        <v>7.6884920634920639E-2</v>
      </c>
      <c r="Z143" s="1431"/>
      <c r="AA143" s="10"/>
      <c r="AB143" s="10"/>
      <c r="AC143" s="10"/>
      <c r="AD143" s="10"/>
      <c r="AE143" s="10"/>
      <c r="AF143" s="10"/>
      <c r="AG143" s="10"/>
      <c r="AH143" s="10"/>
      <c r="AI143" s="10"/>
      <c r="AJ143" s="10"/>
      <c r="AK143" s="10"/>
      <c r="AL143" s="10"/>
      <c r="AM143" s="10"/>
      <c r="AN143" s="10"/>
      <c r="AO143" s="10"/>
      <c r="AP143" s="10"/>
      <c r="AQ143" s="10"/>
      <c r="AR143" s="10"/>
      <c r="AS143" s="10"/>
      <c r="AT143" s="10"/>
      <c r="AU143" s="193"/>
      <c r="AV143" s="193"/>
      <c r="AW143" s="193"/>
      <c r="AX143" s="197"/>
      <c r="AY143" s="197"/>
      <c r="AZ143" s="197"/>
      <c r="BA143" s="197"/>
      <c r="BB143" s="197"/>
      <c r="BC143" s="197"/>
      <c r="BD143" s="197"/>
      <c r="BE143" s="197"/>
      <c r="BF143" s="197"/>
      <c r="BG143" s="197"/>
      <c r="BH143" s="197"/>
      <c r="BI143" s="197"/>
      <c r="BJ143" s="197"/>
      <c r="BK143" s="197"/>
      <c r="BL143" s="197"/>
      <c r="BM143" s="197"/>
      <c r="BN143" s="197"/>
      <c r="BO143" s="197"/>
      <c r="BP143" s="197"/>
    </row>
    <row r="144" spans="1:68" ht="20" customHeight="1" x14ac:dyDescent="0.15">
      <c r="A144" s="10"/>
      <c r="B144" s="1340"/>
      <c r="C144" s="945" t="str">
        <f>'Action Plan'!C148</f>
        <v>A/S RATIO</v>
      </c>
      <c r="D144" s="1422">
        <f>'Action Plan'!D148</f>
        <v>0.1</v>
      </c>
      <c r="E144" s="1422">
        <f>'Action Plan'!E148</f>
        <v>0.4</v>
      </c>
      <c r="F144" s="1422">
        <f>F9</f>
        <v>0.11425</v>
      </c>
      <c r="G144" s="1422">
        <f>E144-F144</f>
        <v>0.28575</v>
      </c>
      <c r="H144" s="1422">
        <f>_xlfn.IFS(G144&gt;=0,1,G144&lt;0,E144/F144)</f>
        <v>1</v>
      </c>
      <c r="I144" s="1422">
        <f>H144*D144</f>
        <v>0.1</v>
      </c>
      <c r="J144" s="1426" t="str">
        <f>'Action Plan'!F148</f>
        <v>CAMPAIGN</v>
      </c>
      <c r="K144" s="945" t="str">
        <f>'Action Plan'!G148</f>
        <v>A/S RATIO</v>
      </c>
      <c r="L144" s="1422">
        <f>'Action Plan'!H148</f>
        <v>0.5</v>
      </c>
      <c r="M144" s="1422">
        <f>'Action Plan'!I148</f>
        <v>0.2</v>
      </c>
      <c r="N144" s="1422">
        <f>F9</f>
        <v>0.11425</v>
      </c>
      <c r="O144" s="1422">
        <f>M144-N144</f>
        <v>8.5750000000000007E-2</v>
      </c>
      <c r="P144" s="1422">
        <f>_xlfn.IFS(O144&gt;=0,1,O144&lt;0,N144/M144)</f>
        <v>1</v>
      </c>
      <c r="Q144" s="1422">
        <f>P144*L144</f>
        <v>0.5</v>
      </c>
      <c r="R144" s="1426" t="str">
        <f>'Action Plan'!J148</f>
        <v>CAMPAIGN</v>
      </c>
      <c r="S144" s="945" t="str">
        <f>'Action Plan'!K148</f>
        <v>A/S RATIO</v>
      </c>
      <c r="T144" s="1422">
        <f>'Action Plan'!L148</f>
        <v>0.5</v>
      </c>
      <c r="U144" s="1422">
        <f>'Action Plan'!M148</f>
        <v>0.2</v>
      </c>
      <c r="V144" s="1422">
        <f>F9</f>
        <v>0.11425</v>
      </c>
      <c r="W144" s="1422">
        <f>U144-V144</f>
        <v>8.5750000000000007E-2</v>
      </c>
      <c r="X144" s="1422">
        <f>_xlfn.IFS(W144&gt;=0,1,W144&lt;0,V144/U144)</f>
        <v>1</v>
      </c>
      <c r="Y144" s="1422">
        <f>X144*T144</f>
        <v>0.5</v>
      </c>
      <c r="Z144" s="1426" t="str">
        <f>'Action Plan'!N148</f>
        <v>CAMPAIGN</v>
      </c>
      <c r="AA144" s="10"/>
      <c r="AB144" s="10"/>
      <c r="AC144" s="10"/>
      <c r="AD144" s="10"/>
      <c r="AE144" s="10"/>
      <c r="AF144" s="10"/>
      <c r="AG144" s="10"/>
      <c r="AH144" s="10"/>
      <c r="AI144" s="10"/>
      <c r="AJ144" s="10"/>
      <c r="AK144" s="10"/>
      <c r="AL144" s="10"/>
      <c r="AM144" s="10"/>
      <c r="AN144" s="10"/>
      <c r="AO144" s="10"/>
      <c r="AP144" s="10"/>
      <c r="AQ144" s="10"/>
      <c r="AR144" s="10"/>
      <c r="AS144" s="10"/>
      <c r="AT144" s="10"/>
      <c r="AU144" s="193"/>
      <c r="AV144" s="193"/>
      <c r="AW144" s="193"/>
      <c r="AX144" s="197"/>
      <c r="AY144" s="197"/>
      <c r="AZ144" s="197"/>
      <c r="BA144" s="197"/>
      <c r="BB144" s="197"/>
      <c r="BC144" s="197"/>
      <c r="BD144" s="197"/>
      <c r="BE144" s="197"/>
      <c r="BF144" s="197"/>
      <c r="BG144" s="197"/>
      <c r="BH144" s="197"/>
      <c r="BI144" s="197"/>
      <c r="BJ144" s="197"/>
      <c r="BK144" s="197"/>
      <c r="BL144" s="197"/>
      <c r="BM144" s="197"/>
      <c r="BN144" s="197"/>
      <c r="BO144" s="197"/>
      <c r="BP144" s="197"/>
    </row>
    <row r="145" spans="1:68" ht="20" customHeight="1" x14ac:dyDescent="0.15">
      <c r="A145" s="10"/>
      <c r="B145" s="1340"/>
      <c r="C145" s="391" t="str">
        <f>'Action Plan'!C149</f>
        <v>MEDIA PLATFORMS</v>
      </c>
      <c r="D145" s="355">
        <f>'Action Plan'!D149</f>
        <v>1</v>
      </c>
      <c r="E145" s="355">
        <f>'Action Plan'!E149</f>
        <v>0.4</v>
      </c>
      <c r="F145" s="355">
        <f>F9</f>
        <v>0.11425</v>
      </c>
      <c r="G145" s="355">
        <f>E145-F145</f>
        <v>0.28575</v>
      </c>
      <c r="H145" s="1229">
        <f>_xlfn.IFS(G145&gt;=0,1,G145&lt;0,E145/F145)</f>
        <v>1</v>
      </c>
      <c r="I145" s="355">
        <f t="shared" si="198"/>
        <v>1</v>
      </c>
      <c r="J145" s="1425"/>
      <c r="K145" s="391" t="str">
        <f>'Action Plan'!G149</f>
        <v>MEDIA PLATFORMS</v>
      </c>
      <c r="L145" s="355">
        <f>'Action Plan'!H149</f>
        <v>0.5</v>
      </c>
      <c r="M145" s="355">
        <f>'Action Plan'!I149</f>
        <v>0.2</v>
      </c>
      <c r="N145" s="355">
        <f>F9</f>
        <v>0.11425</v>
      </c>
      <c r="O145" s="355">
        <f>M145-N145</f>
        <v>8.5750000000000007E-2</v>
      </c>
      <c r="P145" s="1229">
        <f>_xlfn.IFS(O145&gt;=0,1,O145&lt;0,N145/M145)</f>
        <v>1</v>
      </c>
      <c r="Q145" s="1229">
        <f>P145*L145</f>
        <v>0.5</v>
      </c>
      <c r="R145" s="1431"/>
      <c r="S145" s="391" t="str">
        <f>'Action Plan'!K149</f>
        <v>MEDIA PLATFORMS</v>
      </c>
      <c r="T145" s="355">
        <f>'Action Plan'!L149</f>
        <v>0.5</v>
      </c>
      <c r="U145" s="355">
        <f>'Action Plan'!M149</f>
        <v>0.2</v>
      </c>
      <c r="V145" s="355">
        <f>F9</f>
        <v>0.11425</v>
      </c>
      <c r="W145" s="355">
        <f>U145-V145</f>
        <v>8.5750000000000007E-2</v>
      </c>
      <c r="X145" s="1229">
        <f>_xlfn.IFS(W145&gt;=0,1,W145&lt;0,V145/U145)</f>
        <v>1</v>
      </c>
      <c r="Y145" s="1229">
        <f>X145*T145</f>
        <v>0.5</v>
      </c>
      <c r="Z145" s="1431"/>
      <c r="AA145" s="10"/>
      <c r="AB145" s="10"/>
      <c r="AC145" s="10"/>
      <c r="AD145" s="10"/>
      <c r="AE145" s="10"/>
      <c r="AF145" s="10"/>
      <c r="AG145" s="10"/>
      <c r="AH145" s="10"/>
      <c r="AI145" s="10"/>
      <c r="AJ145" s="10"/>
      <c r="AK145" s="10"/>
      <c r="AL145" s="10"/>
      <c r="AM145" s="10"/>
      <c r="AN145" s="10"/>
      <c r="AO145" s="10"/>
      <c r="AP145" s="10"/>
      <c r="AQ145" s="10"/>
      <c r="AR145" s="10"/>
      <c r="AS145" s="10"/>
      <c r="AT145" s="10"/>
      <c r="AU145" s="193"/>
      <c r="AV145" s="193"/>
      <c r="AW145" s="193"/>
      <c r="AX145" s="197"/>
      <c r="AY145" s="197"/>
      <c r="AZ145" s="197"/>
      <c r="BA145" s="197"/>
      <c r="BB145" s="197"/>
      <c r="BC145" s="197"/>
      <c r="BD145" s="197"/>
      <c r="BE145" s="197"/>
      <c r="BF145" s="197"/>
      <c r="BG145" s="197"/>
      <c r="BH145" s="197"/>
      <c r="BI145" s="197"/>
      <c r="BJ145" s="197"/>
      <c r="BK145" s="197"/>
      <c r="BL145" s="197"/>
      <c r="BM145" s="197"/>
      <c r="BN145" s="197"/>
      <c r="BO145" s="197"/>
      <c r="BP145" s="197"/>
    </row>
    <row r="146" spans="1:68" ht="20" customHeight="1" x14ac:dyDescent="0.15">
      <c r="A146" s="10"/>
      <c r="B146" s="1340"/>
      <c r="C146" s="819" t="str">
        <f>'Action Plan'!C150</f>
        <v>CONVERSION RATE</v>
      </c>
      <c r="D146" s="1184">
        <f>'Action Plan'!D150</f>
        <v>0.1</v>
      </c>
      <c r="E146" s="1184">
        <f>'Action Plan'!E150</f>
        <v>0.55000000000000004</v>
      </c>
      <c r="F146" s="1184">
        <f>AVERAGE(F147:F148)</f>
        <v>0.3600000000000001</v>
      </c>
      <c r="G146" s="1184">
        <f>F146-E146</f>
        <v>-0.18999999999999995</v>
      </c>
      <c r="H146" s="1184">
        <f>AVERAGE(H147:H148)</f>
        <v>0.18888888888888894</v>
      </c>
      <c r="I146" s="1184">
        <f>H146*D146</f>
        <v>1.8888888888888896E-2</v>
      </c>
      <c r="J146" s="1424" t="str">
        <f>'Action Plan'!F150</f>
        <v>CAMPAIGN</v>
      </c>
      <c r="K146" s="819" t="str">
        <f>'Action Plan'!G150</f>
        <v>CONVERSION RATE</v>
      </c>
      <c r="L146" s="1197">
        <f>'Action Plan'!H150</f>
        <v>0.5</v>
      </c>
      <c r="M146" s="1197">
        <f>'Action Plan'!I150</f>
        <v>0.27500000000000002</v>
      </c>
      <c r="N146" s="1197">
        <f>AVERAGE(N147:N148)</f>
        <v>0.3600000000000001</v>
      </c>
      <c r="O146" s="1197">
        <f>N146-M146</f>
        <v>8.5000000000000075E-2</v>
      </c>
      <c r="P146" s="1197">
        <f>AVERAGE(P147:P148)</f>
        <v>0.37777777777777788</v>
      </c>
      <c r="Q146" s="1197">
        <f>P146*L146</f>
        <v>0.18888888888888894</v>
      </c>
      <c r="R146" s="1424" t="str">
        <f>'Action Plan'!J150</f>
        <v>CAMPAIGN</v>
      </c>
      <c r="S146" s="819" t="str">
        <f>'Action Plan'!K150</f>
        <v>CONVERSION RATE</v>
      </c>
      <c r="T146" s="1197">
        <f>'Action Plan'!L150</f>
        <v>0.5</v>
      </c>
      <c r="U146" s="1197">
        <f>'Action Plan'!M150</f>
        <v>0.27500000000000002</v>
      </c>
      <c r="V146" s="1197">
        <f>AVERAGE(V147:V148)</f>
        <v>0.3600000000000001</v>
      </c>
      <c r="W146" s="1197">
        <f t="shared" ref="W146:W148" si="200">V146-U146</f>
        <v>8.5000000000000075E-2</v>
      </c>
      <c r="X146" s="1197">
        <f>AVERAGE(X147:X148)</f>
        <v>0.37777777777777788</v>
      </c>
      <c r="Y146" s="1197">
        <f>X146*T146</f>
        <v>0.18888888888888894</v>
      </c>
      <c r="Z146" s="1424" t="str">
        <f>'Action Plan'!N150</f>
        <v>CAMPAIGN</v>
      </c>
      <c r="AA146" s="10"/>
      <c r="AB146" s="10"/>
      <c r="AC146" s="10"/>
      <c r="AD146" s="10"/>
      <c r="AE146" s="10"/>
      <c r="AF146" s="10"/>
      <c r="AG146" s="10"/>
      <c r="AH146" s="10"/>
      <c r="AI146" s="10"/>
      <c r="AJ146" s="10"/>
      <c r="AK146" s="10"/>
      <c r="AL146" s="10"/>
      <c r="AM146" s="10"/>
      <c r="AN146" s="10"/>
      <c r="AO146" s="10"/>
      <c r="AP146" s="10"/>
      <c r="AQ146" s="10"/>
      <c r="AR146" s="10"/>
      <c r="AS146" s="10"/>
      <c r="AT146" s="10"/>
      <c r="AU146" s="193"/>
      <c r="AV146" s="193"/>
      <c r="AW146" s="193"/>
      <c r="AX146" s="197"/>
      <c r="AY146" s="197"/>
      <c r="AZ146" s="197"/>
      <c r="BA146" s="197"/>
      <c r="BB146" s="197"/>
      <c r="BC146" s="197"/>
      <c r="BD146" s="197"/>
      <c r="BE146" s="197"/>
      <c r="BF146" s="197"/>
      <c r="BG146" s="197"/>
      <c r="BH146" s="197"/>
      <c r="BI146" s="197"/>
      <c r="BJ146" s="197"/>
      <c r="BK146" s="197"/>
      <c r="BL146" s="197"/>
      <c r="BM146" s="197"/>
      <c r="BN146" s="197"/>
      <c r="BO146" s="197"/>
      <c r="BP146" s="197"/>
    </row>
    <row r="147" spans="1:68" ht="20" customHeight="1" x14ac:dyDescent="0.15">
      <c r="A147" s="10"/>
      <c r="B147" s="1340"/>
      <c r="C147" s="391" t="str">
        <f>'Action Plan'!C151</f>
        <v>FACEBOOK</v>
      </c>
      <c r="D147" s="355">
        <f>'Action Plan'!D151</f>
        <v>0.6</v>
      </c>
      <c r="E147" s="355">
        <f>'Action Plan'!E151</f>
        <v>0.2</v>
      </c>
      <c r="F147" s="355">
        <f>N83+V83</f>
        <v>0.38000000000000012</v>
      </c>
      <c r="G147" s="355">
        <f>F147-E147</f>
        <v>0.1800000000000001</v>
      </c>
      <c r="H147" s="355">
        <f t="shared" ref="H147:H148" si="201">IF(G147&gt;0,0,F147/E147)</f>
        <v>0</v>
      </c>
      <c r="I147" s="355">
        <f t="shared" si="198"/>
        <v>0</v>
      </c>
      <c r="J147" s="361"/>
      <c r="K147" s="391" t="str">
        <f>'Action Plan'!G151</f>
        <v>FACEBOOK</v>
      </c>
      <c r="L147" s="355">
        <f>'Action Plan'!H151</f>
        <v>0.18181818181818182</v>
      </c>
      <c r="M147" s="355">
        <f>'Action Plan'!I151</f>
        <v>0.1</v>
      </c>
      <c r="N147" s="355">
        <f>F83</f>
        <v>0.38000000000000012</v>
      </c>
      <c r="O147" s="355">
        <f>N147-M147</f>
        <v>0.28000000000000014</v>
      </c>
      <c r="P147" s="355">
        <f>IF(O147&gt;0,0,N147/M147)</f>
        <v>0</v>
      </c>
      <c r="Q147" s="355">
        <f>P147*L147</f>
        <v>0</v>
      </c>
      <c r="R147" s="361"/>
      <c r="S147" s="391" t="str">
        <f>'Action Plan'!K151</f>
        <v>FACEBOOK</v>
      </c>
      <c r="T147" s="355">
        <f>'Action Plan'!L151</f>
        <v>0.18181818181818182</v>
      </c>
      <c r="U147" s="355">
        <f>'Action Plan'!M151</f>
        <v>0.1</v>
      </c>
      <c r="V147" s="355">
        <f>F83</f>
        <v>0.38000000000000012</v>
      </c>
      <c r="W147" s="355">
        <f t="shared" si="200"/>
        <v>0.28000000000000014</v>
      </c>
      <c r="X147" s="355">
        <f t="shared" ref="X147:X148" si="202">IF(W147&gt;0,0,V147/U147)</f>
        <v>0</v>
      </c>
      <c r="Y147" s="355">
        <f t="shared" ref="Y146:Y148" si="203">X147*T147</f>
        <v>0</v>
      </c>
      <c r="Z147" s="361"/>
      <c r="AA147" s="10"/>
      <c r="AB147" s="10"/>
      <c r="AC147" s="10"/>
      <c r="AD147" s="10"/>
      <c r="AE147" s="10"/>
      <c r="AF147" s="10"/>
      <c r="AG147" s="10"/>
      <c r="AH147" s="10"/>
      <c r="AI147" s="10"/>
      <c r="AJ147" s="10"/>
      <c r="AK147" s="10"/>
      <c r="AL147" s="10"/>
      <c r="AM147" s="10"/>
      <c r="AN147" s="10"/>
      <c r="AO147" s="10"/>
      <c r="AP147" s="10"/>
      <c r="AQ147" s="10"/>
      <c r="AR147" s="10"/>
      <c r="AS147" s="262"/>
      <c r="AT147" s="262"/>
      <c r="AU147" s="627"/>
      <c r="AV147" s="627"/>
      <c r="AW147" s="193"/>
      <c r="AX147" s="197"/>
      <c r="AY147" s="197"/>
      <c r="AZ147" s="197"/>
      <c r="BA147" s="197"/>
      <c r="BB147" s="197"/>
      <c r="BC147" s="197"/>
      <c r="BD147" s="197"/>
      <c r="BE147" s="197"/>
      <c r="BF147" s="197"/>
      <c r="BG147" s="197"/>
      <c r="BH147" s="197"/>
      <c r="BI147" s="197"/>
      <c r="BJ147" s="197"/>
      <c r="BK147" s="197"/>
      <c r="BL147" s="197"/>
      <c r="BM147" s="197"/>
      <c r="BN147" s="197"/>
      <c r="BO147" s="197"/>
      <c r="BP147" s="197"/>
    </row>
    <row r="148" spans="1:68" ht="20" customHeight="1" thickBot="1" x14ac:dyDescent="0.2">
      <c r="A148" s="10"/>
      <c r="B148" s="1341"/>
      <c r="C148" s="391" t="str">
        <f>'Action Plan'!C152</f>
        <v>LANDING PAGE</v>
      </c>
      <c r="D148" s="355">
        <f>'Action Plan'!D152</f>
        <v>0.4</v>
      </c>
      <c r="E148" s="355">
        <f>'Action Plan'!E152</f>
        <v>0.9</v>
      </c>
      <c r="F148" s="355">
        <f>N84+V84</f>
        <v>0.34000000000000008</v>
      </c>
      <c r="G148" s="355">
        <f>F148-E148</f>
        <v>-0.55999999999999994</v>
      </c>
      <c r="H148" s="355">
        <f t="shared" si="201"/>
        <v>0.37777777777777788</v>
      </c>
      <c r="I148" s="355">
        <f t="shared" si="198"/>
        <v>0.15111111111111117</v>
      </c>
      <c r="J148" s="361"/>
      <c r="K148" s="1205" t="str">
        <f>'Action Plan'!G152</f>
        <v>LANDING PAGE</v>
      </c>
      <c r="L148" s="1411">
        <f>'Action Plan'!H152</f>
        <v>0.81818181818181812</v>
      </c>
      <c r="M148" s="1411">
        <f>'Action Plan'!I152</f>
        <v>0.45</v>
      </c>
      <c r="N148" s="1411">
        <f>F84</f>
        <v>0.34000000000000008</v>
      </c>
      <c r="O148" s="1411">
        <f>N148-M148</f>
        <v>-0.10999999999999993</v>
      </c>
      <c r="P148" s="1411">
        <f>IF(O148&gt;0,0,N148/M148)</f>
        <v>0.75555555555555576</v>
      </c>
      <c r="Q148" s="1411">
        <f t="shared" ref="Q148" si="204">P148*L148</f>
        <v>0.61818181818181828</v>
      </c>
      <c r="R148" s="1432"/>
      <c r="S148" s="1205" t="str">
        <f>'Action Plan'!K152</f>
        <v>LANDING PAGE</v>
      </c>
      <c r="T148" s="1411">
        <f>'Action Plan'!L152</f>
        <v>0.81818181818181812</v>
      </c>
      <c r="U148" s="1411">
        <f>'Action Plan'!M152</f>
        <v>0.45</v>
      </c>
      <c r="V148" s="1411">
        <f>F84</f>
        <v>0.34000000000000008</v>
      </c>
      <c r="W148" s="1411">
        <f t="shared" si="200"/>
        <v>-0.10999999999999993</v>
      </c>
      <c r="X148" s="1411">
        <f t="shared" si="202"/>
        <v>0.75555555555555576</v>
      </c>
      <c r="Y148" s="1411">
        <f t="shared" si="203"/>
        <v>0.61818181818181828</v>
      </c>
      <c r="Z148" s="1432"/>
      <c r="AA148" s="10"/>
      <c r="AB148" s="10"/>
      <c r="AC148" s="10"/>
      <c r="AD148" s="10"/>
      <c r="AE148" s="10"/>
      <c r="AF148" s="10"/>
      <c r="AG148" s="10"/>
      <c r="AH148" s="10"/>
      <c r="AI148" s="10"/>
      <c r="AJ148" s="10"/>
      <c r="AK148" s="10"/>
      <c r="AL148" s="10"/>
      <c r="AM148" s="10"/>
      <c r="AN148" s="10"/>
      <c r="AO148" s="10"/>
      <c r="AP148" s="10"/>
      <c r="AQ148" s="10"/>
      <c r="AR148" s="10"/>
      <c r="AS148" s="262"/>
      <c r="AT148" s="262"/>
      <c r="AU148" s="627"/>
      <c r="AV148" s="627"/>
      <c r="AW148" s="193"/>
      <c r="AX148" s="197"/>
      <c r="AY148" s="197"/>
      <c r="AZ148" s="197"/>
      <c r="BA148" s="197"/>
      <c r="BB148" s="197"/>
      <c r="BC148" s="197"/>
      <c r="BD148" s="197"/>
      <c r="BE148" s="197"/>
      <c r="BF148" s="197"/>
      <c r="BG148" s="197"/>
      <c r="BH148" s="197"/>
      <c r="BI148" s="197"/>
      <c r="BJ148" s="197"/>
      <c r="BK148" s="197"/>
      <c r="BL148" s="197"/>
      <c r="BM148" s="197"/>
      <c r="BN148" s="197"/>
      <c r="BO148" s="197"/>
      <c r="BP148" s="197"/>
    </row>
    <row r="149" spans="1:68" s="273" customFormat="1" ht="25" customHeight="1" x14ac:dyDescent="0.15">
      <c r="A149" s="337"/>
      <c r="B149" s="826" t="str">
        <f>'Action Plan'!B153</f>
        <v>TOTAL</v>
      </c>
      <c r="C149" s="824" t="str">
        <f>'Action Plan'!C153</f>
        <v>Designer</v>
      </c>
      <c r="D149" s="209" t="str">
        <f>'Action Plan'!D153</f>
        <v>Ratio</v>
      </c>
      <c r="E149" s="211" t="str">
        <f>'Action Plan'!E153</f>
        <v>KPIs</v>
      </c>
      <c r="F149" s="210" t="s">
        <v>42</v>
      </c>
      <c r="G149" s="1418" t="s">
        <v>41</v>
      </c>
      <c r="H149" s="1418" t="s">
        <v>43</v>
      </c>
      <c r="I149" s="1418" t="s">
        <v>174</v>
      </c>
      <c r="J149" s="211"/>
      <c r="K149" s="1188"/>
      <c r="L149" s="1189"/>
      <c r="M149" s="1190"/>
      <c r="N149" s="1191"/>
      <c r="O149" s="1191"/>
      <c r="P149" s="1191"/>
      <c r="Q149" s="1191"/>
      <c r="R149" s="1193"/>
      <c r="S149" s="1192"/>
      <c r="T149" s="1189"/>
      <c r="U149" s="1190"/>
      <c r="V149" s="1191"/>
      <c r="W149" s="1191"/>
      <c r="X149" s="1191"/>
      <c r="Y149" s="1191"/>
      <c r="Z149" s="1191"/>
      <c r="AA149" s="1191"/>
      <c r="AB149" s="338"/>
      <c r="AC149" s="338"/>
      <c r="AD149" s="338"/>
      <c r="AE149" s="338"/>
      <c r="AF149" s="338"/>
      <c r="AG149" s="338"/>
      <c r="AH149" s="337"/>
      <c r="AI149" s="338"/>
      <c r="AJ149" s="338"/>
      <c r="AK149" s="337"/>
      <c r="AL149" s="337"/>
      <c r="AM149" s="337"/>
      <c r="AN149" s="337"/>
      <c r="AO149" s="337"/>
      <c r="AP149" s="337"/>
      <c r="AQ149" s="338"/>
      <c r="AR149" s="338"/>
      <c r="AS149" s="345"/>
      <c r="AT149" s="345"/>
      <c r="AU149" s="629"/>
      <c r="AV149" s="629"/>
      <c r="AW149" s="343"/>
      <c r="AX149" s="337"/>
      <c r="AY149" s="337"/>
      <c r="AZ149" s="337"/>
      <c r="BA149" s="337"/>
      <c r="BB149" s="337"/>
      <c r="BC149" s="337"/>
      <c r="BD149" s="337"/>
      <c r="BE149" s="337"/>
      <c r="BF149" s="337"/>
      <c r="BG149" s="337"/>
      <c r="BH149" s="337"/>
      <c r="BI149" s="337"/>
      <c r="BJ149" s="337"/>
      <c r="BK149" s="337"/>
      <c r="BL149" s="337"/>
      <c r="BM149" s="337"/>
      <c r="BN149" s="337"/>
      <c r="BO149" s="337"/>
      <c r="BP149" s="337"/>
    </row>
    <row r="150" spans="1:68" ht="20" customHeight="1" x14ac:dyDescent="0.15">
      <c r="A150" s="10"/>
      <c r="B150" s="1339" t="str">
        <f>'Action Plan'!B154</f>
        <v>Graphic
Designer</v>
      </c>
      <c r="C150" s="817" t="str">
        <f>'Action Plan'!C154</f>
        <v>P2</v>
      </c>
      <c r="D150" s="348">
        <f>'Action Plan'!D154</f>
        <v>0.2</v>
      </c>
      <c r="E150" s="348">
        <f>'Action Plan'!E154</f>
        <v>1</v>
      </c>
      <c r="F150" s="348">
        <f>I151</f>
        <v>0.25555555555555554</v>
      </c>
      <c r="G150" s="383">
        <f>F150-E150</f>
        <v>-0.74444444444444446</v>
      </c>
      <c r="H150" s="383">
        <f>_xlfn.IFS(G150&gt;=0,1,G150&lt;0,F150/E150)</f>
        <v>0.25555555555555554</v>
      </c>
      <c r="I150" s="383">
        <f>F150*D150</f>
        <v>5.1111111111111107E-2</v>
      </c>
      <c r="J150" s="1179"/>
      <c r="K150" s="206"/>
      <c r="L150" s="10"/>
      <c r="M150" s="10"/>
      <c r="N150" s="199"/>
      <c r="O150" s="199"/>
      <c r="P150" s="198"/>
      <c r="Q150" s="198"/>
      <c r="R150" s="10"/>
      <c r="S150" s="10"/>
      <c r="T150" s="10"/>
      <c r="U150" s="10"/>
      <c r="V150" s="199"/>
      <c r="W150" s="199"/>
      <c r="X150" s="198"/>
      <c r="Y150" s="198"/>
      <c r="Z150" s="10"/>
      <c r="AA150" s="10"/>
      <c r="AB150" s="10"/>
      <c r="AC150" s="10"/>
      <c r="AD150" s="10"/>
      <c r="AE150" s="10"/>
      <c r="AF150" s="10"/>
      <c r="AG150" s="10"/>
      <c r="AH150" s="10"/>
      <c r="AI150" s="10"/>
      <c r="AJ150" s="10"/>
      <c r="AK150" s="10"/>
      <c r="AL150" s="10"/>
      <c r="AM150" s="10"/>
      <c r="AN150" s="10"/>
      <c r="AO150" s="10"/>
      <c r="AP150" s="10"/>
      <c r="AQ150" s="10"/>
      <c r="AR150" s="10"/>
      <c r="AS150" s="262"/>
      <c r="AT150" s="262"/>
      <c r="AU150" s="627"/>
      <c r="AV150" s="627"/>
      <c r="AW150" s="193"/>
      <c r="AX150" s="197"/>
      <c r="AY150" s="197"/>
      <c r="AZ150" s="197"/>
      <c r="BA150" s="197"/>
      <c r="BB150" s="197"/>
      <c r="BC150" s="197"/>
      <c r="BD150" s="197"/>
      <c r="BE150" s="197"/>
      <c r="BF150" s="197"/>
      <c r="BG150" s="197"/>
      <c r="BH150" s="197"/>
      <c r="BI150" s="197"/>
      <c r="BJ150" s="197"/>
      <c r="BK150" s="197"/>
      <c r="BL150" s="197"/>
      <c r="BM150" s="197"/>
      <c r="BN150" s="197"/>
      <c r="BO150" s="197"/>
      <c r="BP150" s="197"/>
    </row>
    <row r="151" spans="1:68" ht="20" customHeight="1" x14ac:dyDescent="0.15">
      <c r="A151" s="10"/>
      <c r="B151" s="1340"/>
      <c r="C151" s="819" t="str">
        <f>'Action Plan'!C155</f>
        <v>VISUAL</v>
      </c>
      <c r="D151" s="180">
        <f>'Action Plan'!D155</f>
        <v>1</v>
      </c>
      <c r="E151" s="1415">
        <f>'Action Plan'!E155</f>
        <v>90</v>
      </c>
      <c r="F151" s="1415">
        <f>Designer!N6</f>
        <v>23</v>
      </c>
      <c r="G151" s="1415">
        <f>F151-E151</f>
        <v>-67</v>
      </c>
      <c r="H151" s="180">
        <f>_xlfn.IFS(G151&gt;=0,1,G151&lt;0,F151/E151)</f>
        <v>0.25555555555555554</v>
      </c>
      <c r="I151" s="180">
        <f t="shared" ref="I150:I154" si="205">H151*D151</f>
        <v>0.25555555555555554</v>
      </c>
      <c r="J151" s="399" t="str">
        <f>'Action Plan'!F155</f>
        <v>DESIGNS</v>
      </c>
      <c r="K151" s="206"/>
      <c r="L151" s="10"/>
      <c r="M151" s="10"/>
      <c r="N151" s="203"/>
      <c r="O151" s="203"/>
      <c r="P151" s="201"/>
      <c r="Q151" s="201"/>
      <c r="R151" s="10"/>
      <c r="S151" s="10"/>
      <c r="T151" s="10"/>
      <c r="U151" s="10"/>
      <c r="V151" s="203"/>
      <c r="W151" s="203"/>
      <c r="X151" s="201"/>
      <c r="Y151" s="201"/>
      <c r="Z151" s="10"/>
      <c r="AA151" s="10"/>
      <c r="AB151" s="10"/>
      <c r="AC151" s="10"/>
      <c r="AD151" s="10"/>
      <c r="AE151" s="10"/>
      <c r="AF151" s="10"/>
      <c r="AG151" s="10"/>
      <c r="AH151" s="10"/>
      <c r="AI151" s="10"/>
      <c r="AJ151" s="10"/>
      <c r="AK151" s="10"/>
      <c r="AL151" s="10"/>
      <c r="AM151" s="10"/>
      <c r="AN151" s="10"/>
      <c r="AO151" s="10"/>
      <c r="AP151" s="10"/>
      <c r="AQ151" s="10"/>
      <c r="AR151" s="10"/>
      <c r="AS151" s="262"/>
      <c r="AT151" s="262"/>
      <c r="AU151" s="627"/>
      <c r="AV151" s="627"/>
      <c r="AW151" s="193"/>
      <c r="AX151" s="197"/>
      <c r="AY151" s="197"/>
      <c r="AZ151" s="197"/>
      <c r="BA151" s="197"/>
      <c r="BB151" s="197"/>
      <c r="BC151" s="197"/>
      <c r="BD151" s="197"/>
      <c r="BE151" s="197"/>
      <c r="BF151" s="197"/>
      <c r="BG151" s="197"/>
      <c r="BH151" s="197"/>
      <c r="BI151" s="197"/>
      <c r="BJ151" s="197"/>
      <c r="BK151" s="197"/>
      <c r="BL151" s="197"/>
      <c r="BM151" s="197"/>
      <c r="BN151" s="197"/>
      <c r="BO151" s="197"/>
      <c r="BP151" s="197"/>
    </row>
    <row r="152" spans="1:68" ht="20" customHeight="1" x14ac:dyDescent="0.15">
      <c r="A152" s="10"/>
      <c r="B152" s="1340"/>
      <c r="C152" s="821" t="str">
        <f>'Action Plan'!C156</f>
        <v>P3</v>
      </c>
      <c r="D152" s="349">
        <f>'Action Plan'!D156</f>
        <v>0.2</v>
      </c>
      <c r="E152" s="349">
        <f>'Action Plan'!E156</f>
        <v>1</v>
      </c>
      <c r="F152" s="349">
        <f>I153+I154</f>
        <v>1</v>
      </c>
      <c r="G152" s="1251">
        <f>F152-E152</f>
        <v>0</v>
      </c>
      <c r="H152" s="1251">
        <f>_xlfn.IFS(G152&gt;=0,1,G152&lt;0,F152/E152)</f>
        <v>1</v>
      </c>
      <c r="I152" s="1251">
        <f>F152*D152</f>
        <v>0.2</v>
      </c>
      <c r="J152" s="1180"/>
      <c r="K152" s="206"/>
      <c r="L152" s="10"/>
      <c r="M152" s="10"/>
      <c r="N152" s="199"/>
      <c r="O152" s="199"/>
      <c r="P152" s="198"/>
      <c r="Q152" s="198"/>
      <c r="R152" s="10"/>
      <c r="S152" s="10"/>
      <c r="T152" s="10"/>
      <c r="U152" s="10"/>
      <c r="V152" s="199"/>
      <c r="W152" s="199"/>
      <c r="X152" s="198"/>
      <c r="Y152" s="198"/>
      <c r="Z152" s="10"/>
      <c r="AA152" s="10"/>
      <c r="AB152" s="10"/>
      <c r="AC152" s="10"/>
      <c r="AD152" s="10"/>
      <c r="AE152" s="10"/>
      <c r="AF152" s="10"/>
      <c r="AG152" s="10"/>
      <c r="AH152" s="10"/>
      <c r="AI152" s="10"/>
      <c r="AJ152" s="10"/>
      <c r="AK152" s="10"/>
      <c r="AL152" s="10"/>
      <c r="AM152" s="10"/>
      <c r="AN152" s="10"/>
      <c r="AO152" s="10"/>
      <c r="AP152" s="10"/>
      <c r="AQ152" s="10"/>
      <c r="AR152" s="10"/>
      <c r="AS152" s="262"/>
      <c r="AT152" s="262"/>
      <c r="AU152" s="627"/>
      <c r="AV152" s="627"/>
      <c r="AW152" s="193"/>
      <c r="AX152" s="197"/>
      <c r="AY152" s="197"/>
      <c r="AZ152" s="197"/>
      <c r="BA152" s="197"/>
      <c r="BB152" s="197"/>
      <c r="BC152" s="197"/>
      <c r="BD152" s="197"/>
      <c r="BE152" s="197"/>
      <c r="BF152" s="197"/>
      <c r="BG152" s="197"/>
      <c r="BH152" s="197"/>
      <c r="BI152" s="197"/>
      <c r="BJ152" s="197"/>
      <c r="BK152" s="197"/>
      <c r="BL152" s="197"/>
      <c r="BM152" s="197"/>
      <c r="BN152" s="197"/>
      <c r="BO152" s="197"/>
      <c r="BP152" s="197"/>
    </row>
    <row r="153" spans="1:68" ht="20" customHeight="1" x14ac:dyDescent="0.15">
      <c r="A153" s="10"/>
      <c r="B153" s="1340"/>
      <c r="C153" s="819" t="str">
        <f>'Action Plan'!C157</f>
        <v>SALES REVENUE</v>
      </c>
      <c r="D153" s="180">
        <f>'Action Plan'!D157</f>
        <v>0.5</v>
      </c>
      <c r="E153" s="1416">
        <f>'Action Plan'!E157</f>
        <v>100000000</v>
      </c>
      <c r="F153" s="1416">
        <f>$F$26</f>
        <v>373050000</v>
      </c>
      <c r="G153" s="1416">
        <f>F153-E153</f>
        <v>273050000</v>
      </c>
      <c r="H153" s="180">
        <f>_xlfn.IFS(G153&gt;=0,1,G153&lt;0,F153/E153)</f>
        <v>1</v>
      </c>
      <c r="I153" s="180">
        <f t="shared" si="205"/>
        <v>0.5</v>
      </c>
      <c r="J153" s="359" t="str">
        <f>'Action Plan'!F157</f>
        <v>VND</v>
      </c>
      <c r="K153" s="206"/>
      <c r="L153" s="10"/>
      <c r="M153" s="10"/>
      <c r="N153" s="202"/>
      <c r="O153" s="202"/>
      <c r="P153" s="201"/>
      <c r="Q153" s="201"/>
      <c r="R153" s="10"/>
      <c r="S153" s="10"/>
      <c r="T153" s="10"/>
      <c r="U153" s="10"/>
      <c r="V153" s="202"/>
      <c r="W153" s="202"/>
      <c r="X153" s="201"/>
      <c r="Y153" s="201"/>
      <c r="Z153" s="10"/>
      <c r="AA153" s="10"/>
      <c r="AB153" s="10"/>
      <c r="AC153" s="10"/>
      <c r="AD153" s="10"/>
      <c r="AE153" s="10"/>
      <c r="AF153" s="10"/>
      <c r="AG153" s="10"/>
      <c r="AH153" s="10"/>
      <c r="AI153" s="10"/>
      <c r="AJ153" s="10"/>
      <c r="AK153" s="10"/>
      <c r="AL153" s="10"/>
      <c r="AM153" s="10"/>
      <c r="AN153" s="10"/>
      <c r="AO153" s="10"/>
      <c r="AP153" s="10"/>
      <c r="AQ153" s="10"/>
      <c r="AR153" s="10"/>
      <c r="AS153" s="262"/>
      <c r="AT153" s="262"/>
      <c r="AU153" s="627"/>
      <c r="AV153" s="627"/>
      <c r="AW153" s="193"/>
      <c r="AX153" s="197"/>
      <c r="AY153" s="197"/>
      <c r="AZ153" s="197"/>
      <c r="BA153" s="197"/>
      <c r="BB153" s="197"/>
      <c r="BC153" s="197"/>
      <c r="BD153" s="197"/>
      <c r="BE153" s="197"/>
      <c r="BF153" s="197"/>
      <c r="BG153" s="197"/>
      <c r="BH153" s="197"/>
      <c r="BI153" s="197"/>
      <c r="BJ153" s="197"/>
      <c r="BK153" s="197"/>
      <c r="BL153" s="197"/>
      <c r="BM153" s="197"/>
      <c r="BN153" s="197"/>
      <c r="BO153" s="197"/>
      <c r="BP153" s="197"/>
    </row>
    <row r="154" spans="1:68" ht="20" customHeight="1" x14ac:dyDescent="0.15">
      <c r="A154" s="10"/>
      <c r="B154" s="1340"/>
      <c r="C154" s="819" t="str">
        <f>'Action Plan'!C158</f>
        <v>A/S RATIO</v>
      </c>
      <c r="D154" s="180">
        <f>'Action Plan'!D158</f>
        <v>0.5</v>
      </c>
      <c r="E154" s="180">
        <f>'Action Plan'!E158</f>
        <v>0.4</v>
      </c>
      <c r="F154" s="180">
        <f>$F$9</f>
        <v>0.11425</v>
      </c>
      <c r="G154" s="180">
        <f>E154-F154</f>
        <v>0.28575</v>
      </c>
      <c r="H154" s="180">
        <f>_xlfn.IFS(G154&gt;=0,1,G154&lt;0,E154/F154)</f>
        <v>1</v>
      </c>
      <c r="I154" s="180">
        <f>H154*D154</f>
        <v>0.5</v>
      </c>
      <c r="J154" s="11"/>
      <c r="K154" s="206"/>
      <c r="L154" s="10"/>
      <c r="M154" s="10"/>
      <c r="N154" s="201"/>
      <c r="O154" s="201"/>
      <c r="P154" s="201"/>
      <c r="Q154" s="201"/>
      <c r="R154" s="10"/>
      <c r="S154" s="10"/>
      <c r="T154" s="10"/>
      <c r="U154" s="10"/>
      <c r="V154" s="201"/>
      <c r="W154" s="201"/>
      <c r="X154" s="201"/>
      <c r="Y154" s="201"/>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93"/>
      <c r="AV154" s="193"/>
      <c r="AW154" s="193"/>
      <c r="AX154" s="197"/>
      <c r="AY154" s="197"/>
      <c r="AZ154" s="197"/>
      <c r="BA154" s="197"/>
      <c r="BB154" s="197"/>
      <c r="BC154" s="197"/>
      <c r="BD154" s="197"/>
      <c r="BE154" s="197"/>
      <c r="BF154" s="197"/>
      <c r="BG154" s="197"/>
      <c r="BH154" s="197"/>
      <c r="BI154" s="197"/>
      <c r="BJ154" s="197"/>
      <c r="BK154" s="197"/>
      <c r="BL154" s="197"/>
      <c r="BM154" s="197"/>
      <c r="BN154" s="197"/>
      <c r="BO154" s="197"/>
      <c r="BP154" s="197"/>
    </row>
    <row r="155" spans="1:68" s="273" customFormat="1" ht="25" customHeight="1" x14ac:dyDescent="0.15">
      <c r="A155" s="337"/>
      <c r="B155" s="826" t="str">
        <f>'Action Plan'!B159</f>
        <v>TOTAL</v>
      </c>
      <c r="C155" s="825" t="str">
        <f>'Action Plan'!C159</f>
        <v>Editor</v>
      </c>
      <c r="D155" s="209" t="str">
        <f>'Action Plan'!D159</f>
        <v>Ratio</v>
      </c>
      <c r="E155" s="211" t="str">
        <f>'Action Plan'!E159</f>
        <v>KPIs</v>
      </c>
      <c r="F155" s="210" t="s">
        <v>42</v>
      </c>
      <c r="G155" s="194" t="s">
        <v>41</v>
      </c>
      <c r="H155" s="194" t="s">
        <v>43</v>
      </c>
      <c r="I155" s="194" t="s">
        <v>174</v>
      </c>
      <c r="J155" s="211"/>
      <c r="K155" s="342"/>
      <c r="L155" s="343"/>
      <c r="M155" s="344"/>
      <c r="N155" s="344"/>
      <c r="O155" s="195"/>
      <c r="P155" s="196"/>
      <c r="Q155" s="196"/>
      <c r="R155" s="337"/>
      <c r="S155" s="337"/>
      <c r="T155" s="343"/>
      <c r="U155" s="344"/>
      <c r="V155" s="344"/>
      <c r="W155" s="195"/>
      <c r="X155" s="196"/>
      <c r="Y155" s="196"/>
      <c r="Z155" s="337"/>
      <c r="AA155" s="337"/>
      <c r="AB155" s="343"/>
      <c r="AC155" s="338"/>
      <c r="AD155" s="338"/>
      <c r="AE155" s="338"/>
      <c r="AF155" s="338"/>
      <c r="AG155" s="338"/>
      <c r="AH155" s="337"/>
      <c r="AI155" s="337"/>
      <c r="AJ155" s="337"/>
      <c r="AK155" s="337"/>
      <c r="AL155" s="337"/>
      <c r="AM155" s="337"/>
      <c r="AN155" s="337"/>
      <c r="AO155" s="337"/>
      <c r="AP155" s="337"/>
      <c r="AQ155" s="337"/>
      <c r="AR155" s="337"/>
      <c r="AS155" s="337"/>
      <c r="AT155" s="337"/>
      <c r="AU155" s="590"/>
      <c r="AV155" s="590"/>
      <c r="AW155" s="590"/>
      <c r="AX155" s="228"/>
      <c r="AY155" s="228"/>
      <c r="AZ155" s="228"/>
      <c r="BA155" s="228"/>
      <c r="BB155" s="228"/>
      <c r="BC155" s="228"/>
      <c r="BD155" s="228"/>
      <c r="BE155" s="228"/>
      <c r="BF155" s="228"/>
      <c r="BG155" s="228"/>
      <c r="BH155" s="228"/>
      <c r="BI155" s="228"/>
      <c r="BJ155" s="228"/>
      <c r="BK155" s="228"/>
      <c r="BL155" s="228"/>
      <c r="BM155" s="228"/>
      <c r="BN155" s="228"/>
      <c r="BO155" s="228"/>
      <c r="BP155" s="228"/>
    </row>
    <row r="156" spans="1:68" ht="20" customHeight="1" x14ac:dyDescent="0.15">
      <c r="A156" s="10"/>
      <c r="B156" s="1339" t="str">
        <f>'Action Plan'!B160</f>
        <v>Media
Editor</v>
      </c>
      <c r="C156" s="817" t="str">
        <f>'Action Plan'!C160</f>
        <v>P2</v>
      </c>
      <c r="D156" s="348">
        <f>'Action Plan'!D160</f>
        <v>0.2</v>
      </c>
      <c r="E156" s="348">
        <f>'Action Plan'!E160</f>
        <v>1</v>
      </c>
      <c r="F156" s="348">
        <f>SUM(I157:I158)</f>
        <v>0.45555555555555549</v>
      </c>
      <c r="G156" s="383">
        <f>F156-E156</f>
        <v>-0.54444444444444451</v>
      </c>
      <c r="H156" s="348">
        <f>_xlfn.IFS(G156&gt;=0,1,G156&lt;0,F156/E156)</f>
        <v>0.45555555555555549</v>
      </c>
      <c r="I156" s="383">
        <f>F156*D156</f>
        <v>9.1111111111111101E-2</v>
      </c>
      <c r="J156" s="1179"/>
      <c r="K156" s="206"/>
      <c r="L156" s="10"/>
      <c r="M156" s="10"/>
      <c r="N156" s="199"/>
      <c r="O156" s="199"/>
      <c r="P156" s="198"/>
      <c r="Q156" s="198"/>
      <c r="R156" s="10"/>
      <c r="S156" s="10"/>
      <c r="T156" s="10"/>
      <c r="U156" s="10"/>
      <c r="V156" s="199"/>
      <c r="W156" s="199"/>
      <c r="X156" s="198"/>
      <c r="Y156" s="198"/>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93"/>
      <c r="AV156" s="193"/>
      <c r="AW156" s="193"/>
      <c r="AX156" s="197"/>
      <c r="AY156" s="197"/>
      <c r="AZ156" s="197"/>
      <c r="BA156" s="197"/>
      <c r="BB156" s="197"/>
      <c r="BC156" s="197"/>
      <c r="BD156" s="197"/>
      <c r="BE156" s="197"/>
      <c r="BF156" s="197"/>
      <c r="BG156" s="197"/>
      <c r="BH156" s="197"/>
      <c r="BI156" s="197"/>
      <c r="BJ156" s="197"/>
      <c r="BK156" s="197"/>
      <c r="BL156" s="197"/>
      <c r="BM156" s="197"/>
      <c r="BN156" s="197"/>
      <c r="BO156" s="197"/>
      <c r="BP156" s="197"/>
    </row>
    <row r="157" spans="1:68" ht="20" customHeight="1" x14ac:dyDescent="0.15">
      <c r="A157" s="10"/>
      <c r="B157" s="1339"/>
      <c r="C157" s="819" t="str">
        <f>'Action Plan'!C161</f>
        <v>CLIP</v>
      </c>
      <c r="D157" s="180">
        <f>'Action Plan'!D161</f>
        <v>0.7</v>
      </c>
      <c r="E157" s="1415">
        <f>'Action Plan'!E161</f>
        <v>45</v>
      </c>
      <c r="F157" s="1415">
        <f>Editor!N5</f>
        <v>10</v>
      </c>
      <c r="G157" s="1415">
        <f t="shared" ref="G157:G158" si="206">F157-E157</f>
        <v>-35</v>
      </c>
      <c r="H157" s="180">
        <f>_xlfn.IFS(G157&gt;=0,1,G157&lt;0,F157/E157)</f>
        <v>0.22222222222222221</v>
      </c>
      <c r="I157" s="180">
        <f t="shared" ref="I156:I161" si="207">H157*D157</f>
        <v>0.15555555555555553</v>
      </c>
      <c r="J157" s="359" t="str">
        <f>'Action Plan'!F161</f>
        <v>CLIP</v>
      </c>
      <c r="K157" s="206"/>
      <c r="L157" s="10"/>
      <c r="M157" s="10"/>
      <c r="N157" s="203"/>
      <c r="O157" s="203"/>
      <c r="P157" s="201"/>
      <c r="Q157" s="201"/>
      <c r="R157" s="10"/>
      <c r="S157" s="10"/>
      <c r="T157" s="10"/>
      <c r="U157" s="10"/>
      <c r="V157" s="203"/>
      <c r="W157" s="203"/>
      <c r="X157" s="201"/>
      <c r="Y157" s="201"/>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93"/>
      <c r="AV157" s="193"/>
      <c r="AW157" s="193"/>
      <c r="AX157" s="197"/>
      <c r="AY157" s="197"/>
      <c r="AZ157" s="197"/>
      <c r="BA157" s="197"/>
      <c r="BB157" s="197"/>
      <c r="BC157" s="197"/>
      <c r="BD157" s="197"/>
      <c r="BE157" s="197"/>
      <c r="BF157" s="197"/>
      <c r="BG157" s="197"/>
      <c r="BH157" s="197"/>
      <c r="BI157" s="197"/>
      <c r="BJ157" s="197"/>
      <c r="BK157" s="197"/>
      <c r="BL157" s="197"/>
      <c r="BM157" s="197"/>
      <c r="BN157" s="197"/>
      <c r="BO157" s="197"/>
      <c r="BP157" s="197"/>
    </row>
    <row r="158" spans="1:68" ht="20" customHeight="1" x14ac:dyDescent="0.15">
      <c r="A158" s="10"/>
      <c r="B158" s="1339"/>
      <c r="C158" s="819" t="str">
        <f>'Action Plan'!C162</f>
        <v>SOURCE</v>
      </c>
      <c r="D158" s="180">
        <f>'Action Plan'!D162</f>
        <v>0.3</v>
      </c>
      <c r="E158" s="1415">
        <f>'Action Plan'!E162</f>
        <v>10</v>
      </c>
      <c r="F158" s="1415">
        <f>Editor!N6</f>
        <v>15</v>
      </c>
      <c r="G158" s="1415">
        <f t="shared" si="206"/>
        <v>5</v>
      </c>
      <c r="H158" s="180">
        <f>_xlfn.IFS(G158&gt;=0,1,G158&lt;0,F158/E158)</f>
        <v>1</v>
      </c>
      <c r="I158" s="180">
        <f t="shared" si="207"/>
        <v>0.3</v>
      </c>
      <c r="J158" s="359" t="str">
        <f>'Action Plan'!F162</f>
        <v>SOURCE</v>
      </c>
      <c r="K158" s="206"/>
      <c r="L158" s="10"/>
      <c r="M158" s="10"/>
      <c r="N158" s="203"/>
      <c r="O158" s="203"/>
      <c r="P158" s="201"/>
      <c r="Q158" s="201"/>
      <c r="R158" s="10"/>
      <c r="S158" s="10"/>
      <c r="T158" s="10"/>
      <c r="U158" s="10"/>
      <c r="V158" s="203"/>
      <c r="W158" s="203"/>
      <c r="X158" s="201"/>
      <c r="Y158" s="201"/>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93"/>
      <c r="AV158" s="193"/>
      <c r="AW158" s="193"/>
      <c r="AX158" s="197"/>
      <c r="AY158" s="197"/>
      <c r="AZ158" s="197"/>
      <c r="BA158" s="197"/>
      <c r="BB158" s="197"/>
      <c r="BC158" s="197"/>
      <c r="BD158" s="197"/>
      <c r="BE158" s="197"/>
      <c r="BF158" s="197"/>
      <c r="BG158" s="197"/>
      <c r="BH158" s="197"/>
      <c r="BI158" s="197"/>
      <c r="BJ158" s="197"/>
      <c r="BK158" s="197"/>
      <c r="BL158" s="197"/>
      <c r="BM158" s="197"/>
      <c r="BN158" s="197"/>
      <c r="BO158" s="197"/>
      <c r="BP158" s="197"/>
    </row>
    <row r="159" spans="1:68" ht="20" customHeight="1" x14ac:dyDescent="0.15">
      <c r="A159" s="10"/>
      <c r="B159" s="1339"/>
      <c r="C159" s="821" t="str">
        <f>'Action Plan'!C163</f>
        <v>P3</v>
      </c>
      <c r="D159" s="349">
        <f>'Action Plan'!D163</f>
        <v>0.2</v>
      </c>
      <c r="E159" s="349">
        <f>'Action Plan'!E163</f>
        <v>1</v>
      </c>
      <c r="F159" s="349">
        <f>I160+I161</f>
        <v>1</v>
      </c>
      <c r="G159" s="1251">
        <f>F159-E159</f>
        <v>0</v>
      </c>
      <c r="H159" s="1251">
        <f>_xlfn.IFS(G159&gt;=0,1,G159&lt;0,F159/E159)</f>
        <v>1</v>
      </c>
      <c r="I159" s="1251">
        <f>F159*D159</f>
        <v>0.2</v>
      </c>
      <c r="J159" s="1180"/>
      <c r="K159" s="206"/>
      <c r="L159" s="10"/>
      <c r="M159" s="10"/>
      <c r="N159" s="199"/>
      <c r="O159" s="199"/>
      <c r="P159" s="198"/>
      <c r="Q159" s="198"/>
      <c r="R159" s="10"/>
      <c r="S159" s="10"/>
      <c r="T159" s="10"/>
      <c r="U159" s="10"/>
      <c r="V159" s="199"/>
      <c r="W159" s="199"/>
      <c r="X159" s="198"/>
      <c r="Y159" s="198"/>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93"/>
      <c r="AV159" s="193"/>
      <c r="AW159" s="193"/>
      <c r="AX159" s="197"/>
      <c r="AY159" s="197"/>
      <c r="AZ159" s="197"/>
      <c r="BA159" s="197"/>
      <c r="BB159" s="197"/>
      <c r="BC159" s="197"/>
      <c r="BD159" s="197"/>
      <c r="BE159" s="197"/>
      <c r="BF159" s="197"/>
      <c r="BG159" s="197"/>
      <c r="BH159" s="197"/>
      <c r="BI159" s="197"/>
      <c r="BJ159" s="197"/>
      <c r="BK159" s="197"/>
      <c r="BL159" s="197"/>
      <c r="BM159" s="197"/>
      <c r="BN159" s="197"/>
      <c r="BO159" s="197"/>
      <c r="BP159" s="197"/>
    </row>
    <row r="160" spans="1:68" ht="20" customHeight="1" x14ac:dyDescent="0.15">
      <c r="A160" s="10"/>
      <c r="B160" s="1339"/>
      <c r="C160" s="819" t="str">
        <f>'Action Plan'!C164</f>
        <v>SALES REVENUE</v>
      </c>
      <c r="D160" s="180">
        <f>'Action Plan'!D164</f>
        <v>0.5</v>
      </c>
      <c r="E160" s="1416">
        <f>'Action Plan'!E164</f>
        <v>100000000</v>
      </c>
      <c r="F160" s="1416">
        <f>$F$26</f>
        <v>373050000</v>
      </c>
      <c r="G160" s="1416">
        <f t="shared" ref="G160:G161" si="208">F160-E160</f>
        <v>273050000</v>
      </c>
      <c r="H160" s="180">
        <f>_xlfn.IFS(G160&gt;=0,1,G160&lt;0,F160/E160)</f>
        <v>1</v>
      </c>
      <c r="I160" s="180">
        <f t="shared" si="207"/>
        <v>0.5</v>
      </c>
      <c r="J160" s="359" t="str">
        <f>'Action Plan'!F164</f>
        <v>VND</v>
      </c>
      <c r="K160" s="206"/>
      <c r="L160" s="10"/>
      <c r="M160" s="10"/>
      <c r="N160" s="202"/>
      <c r="O160" s="202"/>
      <c r="P160" s="201"/>
      <c r="Q160" s="201"/>
      <c r="R160" s="10"/>
      <c r="S160" s="10"/>
      <c r="T160" s="10"/>
      <c r="U160" s="10"/>
      <c r="V160" s="202"/>
      <c r="W160" s="202"/>
      <c r="X160" s="201"/>
      <c r="Y160" s="201"/>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93"/>
      <c r="AV160" s="193"/>
      <c r="AW160" s="193"/>
      <c r="AX160" s="197"/>
      <c r="AY160" s="197"/>
      <c r="AZ160" s="197"/>
      <c r="BA160" s="197"/>
      <c r="BB160" s="197"/>
      <c r="BC160" s="197"/>
      <c r="BD160" s="197"/>
      <c r="BE160" s="197"/>
      <c r="BF160" s="197"/>
      <c r="BG160" s="197"/>
      <c r="BH160" s="197"/>
      <c r="BI160" s="197"/>
      <c r="BJ160" s="197"/>
      <c r="BK160" s="197"/>
      <c r="BL160" s="197"/>
      <c r="BM160" s="197"/>
      <c r="BN160" s="197"/>
      <c r="BO160" s="197"/>
      <c r="BP160" s="197"/>
    </row>
    <row r="161" spans="1:68" ht="20" customHeight="1" x14ac:dyDescent="0.15">
      <c r="A161" s="10"/>
      <c r="B161" s="1339"/>
      <c r="C161" s="819" t="str">
        <f>'Action Plan'!C165</f>
        <v>A/S RATIO</v>
      </c>
      <c r="D161" s="180">
        <f>'Action Plan'!D165</f>
        <v>0.5</v>
      </c>
      <c r="E161" s="180">
        <f>'Action Plan'!E165</f>
        <v>0.4</v>
      </c>
      <c r="F161" s="180">
        <f>$F$9</f>
        <v>0.11425</v>
      </c>
      <c r="G161" s="180">
        <f>E161-F161</f>
        <v>0.28575</v>
      </c>
      <c r="H161" s="180">
        <f>_xlfn.IFS(G161&gt;=0,1,G161&lt;0,E161/F161)</f>
        <v>1</v>
      </c>
      <c r="I161" s="180">
        <f t="shared" si="207"/>
        <v>0.5</v>
      </c>
      <c r="J161" s="11"/>
      <c r="K161" s="206"/>
      <c r="L161" s="10"/>
      <c r="M161" s="10"/>
      <c r="N161" s="201"/>
      <c r="O161" s="201"/>
      <c r="P161" s="201"/>
      <c r="Q161" s="201"/>
      <c r="R161" s="10"/>
      <c r="S161" s="10"/>
      <c r="T161" s="10"/>
      <c r="U161" s="10"/>
      <c r="V161" s="201"/>
      <c r="W161" s="201"/>
      <c r="X161" s="201"/>
      <c r="Y161" s="201"/>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93"/>
      <c r="AV161" s="193"/>
      <c r="AW161" s="193"/>
      <c r="AX161" s="197"/>
      <c r="AY161" s="197"/>
      <c r="AZ161" s="197"/>
      <c r="BA161" s="197"/>
      <c r="BB161" s="197"/>
      <c r="BC161" s="197"/>
      <c r="BD161" s="197"/>
      <c r="BE161" s="197"/>
      <c r="BF161" s="197"/>
      <c r="BG161" s="197"/>
      <c r="BH161" s="197"/>
      <c r="BI161" s="197"/>
      <c r="BJ161" s="197"/>
      <c r="BK161" s="197"/>
      <c r="BL161" s="197"/>
      <c r="BM161" s="197"/>
      <c r="BN161" s="197"/>
      <c r="BO161" s="197"/>
      <c r="BP161" s="197"/>
    </row>
    <row r="162" spans="1:68" s="273" customFormat="1" ht="25" customHeight="1" x14ac:dyDescent="0.15">
      <c r="A162" s="337"/>
      <c r="B162" s="826" t="str">
        <f>'Action Plan'!B166</f>
        <v>TOTAL</v>
      </c>
      <c r="C162" s="825" t="str">
        <f>'Action Plan'!C166</f>
        <v>AI Excecutive</v>
      </c>
      <c r="D162" s="209" t="str">
        <f>'Action Plan'!D166</f>
        <v>Ratio</v>
      </c>
      <c r="E162" s="211" t="str">
        <f>'Action Plan'!E166</f>
        <v>KPIs</v>
      </c>
      <c r="F162" s="210" t="s">
        <v>42</v>
      </c>
      <c r="G162" s="194" t="s">
        <v>41</v>
      </c>
      <c r="H162" s="194" t="s">
        <v>43</v>
      </c>
      <c r="I162" s="194" t="s">
        <v>174</v>
      </c>
      <c r="J162" s="211"/>
      <c r="K162" s="342"/>
      <c r="L162" s="343"/>
      <c r="M162" s="344"/>
      <c r="N162" s="344"/>
      <c r="O162" s="195"/>
      <c r="P162" s="196"/>
      <c r="Q162" s="196"/>
      <c r="R162" s="337"/>
      <c r="S162" s="337"/>
      <c r="T162" s="343"/>
      <c r="U162" s="344"/>
      <c r="V162" s="344"/>
      <c r="W162" s="195"/>
      <c r="X162" s="196"/>
      <c r="Y162" s="196"/>
      <c r="Z162" s="337"/>
      <c r="AA162" s="337"/>
      <c r="AB162" s="343"/>
      <c r="AC162" s="338"/>
      <c r="AD162" s="338"/>
      <c r="AE162" s="338"/>
      <c r="AF162" s="338"/>
      <c r="AG162" s="338"/>
      <c r="AH162" s="337"/>
      <c r="AI162" s="337"/>
      <c r="AJ162" s="337"/>
      <c r="AK162" s="337"/>
      <c r="AL162" s="337"/>
      <c r="AM162" s="337"/>
      <c r="AN162" s="337"/>
      <c r="AO162" s="337"/>
      <c r="AP162" s="337"/>
      <c r="AQ162" s="337"/>
      <c r="AR162" s="337"/>
      <c r="AS162" s="337"/>
      <c r="AT162" s="337"/>
      <c r="AU162" s="590"/>
      <c r="AV162" s="590"/>
      <c r="AW162" s="590"/>
      <c r="AX162" s="228"/>
      <c r="AY162" s="228"/>
      <c r="AZ162" s="228"/>
      <c r="BA162" s="228"/>
      <c r="BB162" s="228"/>
      <c r="BC162" s="228"/>
      <c r="BD162" s="228"/>
      <c r="BE162" s="228"/>
      <c r="BF162" s="228"/>
      <c r="BG162" s="228"/>
      <c r="BH162" s="228"/>
      <c r="BI162" s="228"/>
      <c r="BJ162" s="228"/>
      <c r="BK162" s="228"/>
      <c r="BL162" s="228"/>
      <c r="BM162" s="228"/>
      <c r="BN162" s="228"/>
      <c r="BO162" s="228"/>
      <c r="BP162" s="228"/>
    </row>
    <row r="163" spans="1:68" ht="20" customHeight="1" x14ac:dyDescent="0.15">
      <c r="A163" s="10"/>
      <c r="B163" s="1339" t="str">
        <f>'Action Plan'!B167</f>
        <v>Fresher AI
Officer</v>
      </c>
      <c r="C163" s="817" t="str">
        <f>'Action Plan'!C167</f>
        <v>P2</v>
      </c>
      <c r="D163" s="348">
        <f>'Action Plan'!D167</f>
        <v>0.2</v>
      </c>
      <c r="E163" s="348">
        <f>'Action Plan'!E167</f>
        <v>1</v>
      </c>
      <c r="F163" s="348">
        <f>SUM(I164:I166)</f>
        <v>0.47666666666666668</v>
      </c>
      <c r="G163" s="383">
        <f>F163-E163</f>
        <v>-0.52333333333333332</v>
      </c>
      <c r="H163" s="348">
        <f>_xlfn.IFS(G163&gt;=0,1,G163&lt;0,F163/E163)</f>
        <v>0.47666666666666668</v>
      </c>
      <c r="I163" s="383">
        <f>F163*D163</f>
        <v>9.5333333333333339E-2</v>
      </c>
      <c r="J163" s="1179"/>
      <c r="K163" s="206"/>
      <c r="L163" s="10"/>
      <c r="M163" s="10"/>
      <c r="N163" s="199"/>
      <c r="O163" s="199"/>
      <c r="P163" s="198"/>
      <c r="Q163" s="198"/>
      <c r="R163" s="10"/>
      <c r="S163" s="10"/>
      <c r="T163" s="10"/>
      <c r="U163" s="10"/>
      <c r="V163" s="199"/>
      <c r="W163" s="199"/>
      <c r="X163" s="198"/>
      <c r="Y163" s="198"/>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93"/>
      <c r="AV163" s="193"/>
      <c r="AW163" s="193"/>
      <c r="AX163" s="197"/>
      <c r="AY163" s="197"/>
      <c r="AZ163" s="197"/>
      <c r="BA163" s="197"/>
      <c r="BB163" s="197"/>
      <c r="BC163" s="197"/>
      <c r="BD163" s="197"/>
      <c r="BE163" s="197"/>
      <c r="BF163" s="197"/>
      <c r="BG163" s="197"/>
      <c r="BH163" s="197"/>
      <c r="BI163" s="197"/>
      <c r="BJ163" s="197"/>
      <c r="BK163" s="197"/>
      <c r="BL163" s="197"/>
      <c r="BM163" s="197"/>
      <c r="BN163" s="197"/>
      <c r="BO163" s="197"/>
      <c r="BP163" s="197"/>
    </row>
    <row r="164" spans="1:68" ht="20" customHeight="1" x14ac:dyDescent="0.15">
      <c r="A164" s="10"/>
      <c r="B164" s="1340"/>
      <c r="C164" s="819" t="str">
        <f>'Action Plan'!C168</f>
        <v>VISUAL</v>
      </c>
      <c r="D164" s="180">
        <f>'Action Plan'!D168</f>
        <v>0.1</v>
      </c>
      <c r="E164" s="1415">
        <f>'Action Plan'!E168</f>
        <v>30</v>
      </c>
      <c r="F164" s="1415">
        <f>'AI Officer'!N4</f>
        <v>9</v>
      </c>
      <c r="G164" s="1415">
        <f t="shared" ref="G164:G166" si="209">F164-E164</f>
        <v>-21</v>
      </c>
      <c r="H164" s="180">
        <f>_xlfn.IFS(G164&gt;=0,1,G164&lt;0,F164/E164)</f>
        <v>0.3</v>
      </c>
      <c r="I164" s="180">
        <f t="shared" ref="I163:I169" si="210">H164*D164</f>
        <v>0.03</v>
      </c>
      <c r="J164" s="359" t="str">
        <f>'Action Plan'!F168</f>
        <v>VISUAL</v>
      </c>
      <c r="K164" s="206"/>
      <c r="L164" s="10"/>
      <c r="M164" s="10"/>
      <c r="N164" s="203"/>
      <c r="O164" s="203"/>
      <c r="P164" s="201"/>
      <c r="Q164" s="201"/>
      <c r="R164" s="10"/>
      <c r="S164" s="10"/>
      <c r="T164" s="10"/>
      <c r="U164" s="10"/>
      <c r="V164" s="203"/>
      <c r="W164" s="203"/>
      <c r="X164" s="201"/>
      <c r="Y164" s="201"/>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97"/>
      <c r="AV164" s="197"/>
      <c r="AW164" s="197"/>
      <c r="AX164" s="197"/>
      <c r="AY164" s="197"/>
      <c r="AZ164" s="197"/>
      <c r="BA164" s="197"/>
      <c r="BB164" s="197"/>
      <c r="BC164" s="197"/>
      <c r="BD164" s="197"/>
      <c r="BE164" s="197"/>
      <c r="BF164" s="197"/>
      <c r="BG164" s="197"/>
      <c r="BH164" s="197"/>
      <c r="BI164" s="197"/>
      <c r="BJ164" s="197"/>
      <c r="BK164" s="197"/>
      <c r="BL164" s="197"/>
      <c r="BM164" s="197"/>
      <c r="BN164" s="197"/>
      <c r="BO164" s="197"/>
      <c r="BP164" s="197"/>
    </row>
    <row r="165" spans="1:68" ht="20" customHeight="1" x14ac:dyDescent="0.15">
      <c r="A165" s="10"/>
      <c r="B165" s="1340"/>
      <c r="C165" s="819" t="str">
        <f>'Action Plan'!C169</f>
        <v>CLIP</v>
      </c>
      <c r="D165" s="180">
        <f>'Action Plan'!D169</f>
        <v>0.8</v>
      </c>
      <c r="E165" s="1415">
        <f>'Action Plan'!E169</f>
        <v>30</v>
      </c>
      <c r="F165" s="1415">
        <f>'AI Officer'!N5</f>
        <v>13</v>
      </c>
      <c r="G165" s="1415">
        <f t="shared" si="209"/>
        <v>-17</v>
      </c>
      <c r="H165" s="180">
        <f t="shared" ref="H165:H166" si="211">_xlfn.IFS(G165&gt;=0,1,G165&lt;0,F165/E165)</f>
        <v>0.43333333333333335</v>
      </c>
      <c r="I165" s="180">
        <f t="shared" si="210"/>
        <v>0.34666666666666668</v>
      </c>
      <c r="J165" s="359" t="str">
        <f>'Action Plan'!F169</f>
        <v>CLIP</v>
      </c>
      <c r="K165" s="206"/>
      <c r="L165" s="10"/>
      <c r="M165" s="10"/>
      <c r="N165" s="203"/>
      <c r="O165" s="203"/>
      <c r="P165" s="201"/>
      <c r="Q165" s="201"/>
      <c r="R165" s="10"/>
      <c r="S165" s="10"/>
      <c r="T165" s="10"/>
      <c r="U165" s="10"/>
      <c r="V165" s="203"/>
      <c r="W165" s="203"/>
      <c r="X165" s="201"/>
      <c r="Y165" s="201"/>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97"/>
      <c r="AV165" s="197"/>
      <c r="AW165" s="197"/>
      <c r="AX165" s="197"/>
      <c r="AY165" s="197"/>
      <c r="AZ165" s="197"/>
      <c r="BA165" s="197"/>
      <c r="BB165" s="197"/>
      <c r="BC165" s="197"/>
      <c r="BD165" s="197"/>
      <c r="BE165" s="197"/>
      <c r="BF165" s="197"/>
      <c r="BG165" s="197"/>
      <c r="BH165" s="197"/>
      <c r="BI165" s="197"/>
      <c r="BJ165" s="197"/>
      <c r="BK165" s="197"/>
      <c r="BL165" s="197"/>
      <c r="BM165" s="197"/>
      <c r="BN165" s="197"/>
      <c r="BO165" s="197"/>
      <c r="BP165" s="197"/>
    </row>
    <row r="166" spans="1:68" ht="20" customHeight="1" x14ac:dyDescent="0.15">
      <c r="A166" s="10"/>
      <c r="B166" s="1340"/>
      <c r="C166" s="819" t="str">
        <f>'Action Plan'!C170</f>
        <v>SOURCE</v>
      </c>
      <c r="D166" s="180">
        <f>'Action Plan'!D170</f>
        <v>0.1</v>
      </c>
      <c r="E166" s="1415">
        <f>'Action Plan'!E170</f>
        <v>10</v>
      </c>
      <c r="F166" s="1415">
        <f>'AI Officer'!N6</f>
        <v>14</v>
      </c>
      <c r="G166" s="1415">
        <f t="shared" si="209"/>
        <v>4</v>
      </c>
      <c r="H166" s="180">
        <f>_xlfn.IFS(G166&gt;=0,1,G166&lt;0,F166/E166)</f>
        <v>1</v>
      </c>
      <c r="I166" s="180">
        <f t="shared" si="210"/>
        <v>0.1</v>
      </c>
      <c r="J166" s="359" t="str">
        <f>'Action Plan'!F170</f>
        <v>VOICE</v>
      </c>
      <c r="K166" s="206"/>
      <c r="L166" s="10"/>
      <c r="M166" s="10"/>
      <c r="N166" s="203"/>
      <c r="O166" s="203"/>
      <c r="P166" s="201"/>
      <c r="Q166" s="201"/>
      <c r="R166" s="10"/>
      <c r="S166" s="10"/>
      <c r="T166" s="10"/>
      <c r="U166" s="10"/>
      <c r="V166" s="203"/>
      <c r="W166" s="203"/>
      <c r="X166" s="201"/>
      <c r="Y166" s="201"/>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97"/>
      <c r="AV166" s="197"/>
      <c r="AW166" s="197"/>
      <c r="AX166" s="197"/>
      <c r="AY166" s="197"/>
      <c r="AZ166" s="197"/>
      <c r="BA166" s="197"/>
      <c r="BB166" s="197"/>
      <c r="BC166" s="197"/>
      <c r="BD166" s="197"/>
      <c r="BE166" s="197"/>
      <c r="BF166" s="197"/>
      <c r="BG166" s="197"/>
      <c r="BH166" s="197"/>
      <c r="BI166" s="197"/>
      <c r="BJ166" s="197"/>
      <c r="BK166" s="197"/>
      <c r="BL166" s="197"/>
      <c r="BM166" s="197"/>
      <c r="BN166" s="197"/>
      <c r="BO166" s="197"/>
      <c r="BP166" s="197"/>
    </row>
    <row r="167" spans="1:68" ht="20" customHeight="1" x14ac:dyDescent="0.15">
      <c r="A167" s="10"/>
      <c r="B167" s="1340"/>
      <c r="C167" s="821" t="str">
        <f>'Action Plan'!C171</f>
        <v>P3</v>
      </c>
      <c r="D167" s="349">
        <f>'Action Plan'!D171</f>
        <v>0.2</v>
      </c>
      <c r="E167" s="349">
        <f>'Action Plan'!E171</f>
        <v>1</v>
      </c>
      <c r="F167" s="349">
        <f>I168+I169</f>
        <v>1</v>
      </c>
      <c r="G167" s="1251">
        <f>F167-E167</f>
        <v>0</v>
      </c>
      <c r="H167" s="1251">
        <f>_xlfn.IFS(G167&gt;=0,1,G167&lt;0,F167/E167)</f>
        <v>1</v>
      </c>
      <c r="I167" s="1251">
        <f>F167*D167</f>
        <v>0.2</v>
      </c>
      <c r="J167" s="1180"/>
      <c r="K167" s="206"/>
      <c r="L167" s="10"/>
      <c r="M167" s="10"/>
      <c r="N167" s="199"/>
      <c r="O167" s="199"/>
      <c r="P167" s="198"/>
      <c r="Q167" s="198"/>
      <c r="R167" s="10"/>
      <c r="S167" s="10"/>
      <c r="T167" s="10"/>
      <c r="U167" s="10"/>
      <c r="V167" s="199"/>
      <c r="W167" s="199"/>
      <c r="X167" s="198"/>
      <c r="Y167" s="198"/>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97"/>
      <c r="AV167" s="197"/>
      <c r="AW167" s="197"/>
      <c r="AX167" s="197"/>
      <c r="AY167" s="197"/>
      <c r="AZ167" s="197"/>
      <c r="BA167" s="197"/>
      <c r="BB167" s="197"/>
      <c r="BC167" s="197"/>
      <c r="BD167" s="197"/>
      <c r="BE167" s="197"/>
      <c r="BF167" s="197"/>
      <c r="BG167" s="197"/>
      <c r="BH167" s="197"/>
      <c r="BI167" s="197"/>
      <c r="BJ167" s="197"/>
      <c r="BK167" s="197"/>
      <c r="BL167" s="197"/>
      <c r="BM167" s="197"/>
      <c r="BN167" s="197"/>
      <c r="BO167" s="197"/>
      <c r="BP167" s="197"/>
    </row>
    <row r="168" spans="1:68" ht="20" customHeight="1" x14ac:dyDescent="0.15">
      <c r="A168" s="10"/>
      <c r="B168" s="1340"/>
      <c r="C168" s="819" t="str">
        <f>'Action Plan'!C172</f>
        <v>SALES REVENUE</v>
      </c>
      <c r="D168" s="180">
        <f>'Action Plan'!D172</f>
        <v>0.5</v>
      </c>
      <c r="E168" s="1416">
        <f>'Action Plan'!E172</f>
        <v>100000000</v>
      </c>
      <c r="F168" s="1416">
        <f>$F$26</f>
        <v>373050000</v>
      </c>
      <c r="G168" s="1416">
        <f t="shared" ref="G168:G169" si="212">F168-E168</f>
        <v>273050000</v>
      </c>
      <c r="H168" s="1468">
        <f>_xlfn.IFS(G168&gt;=0,1,G168&lt;0,F168/E168)</f>
        <v>1</v>
      </c>
      <c r="I168" s="180">
        <f t="shared" si="210"/>
        <v>0.5</v>
      </c>
      <c r="J168" s="359" t="str">
        <f>'Action Plan'!F172</f>
        <v>VND</v>
      </c>
      <c r="K168" s="206"/>
      <c r="L168" s="10"/>
      <c r="M168" s="10"/>
      <c r="N168" s="202"/>
      <c r="O168" s="202"/>
      <c r="P168" s="201"/>
      <c r="Q168" s="201"/>
      <c r="R168" s="10"/>
      <c r="S168" s="10"/>
      <c r="T168" s="10"/>
      <c r="U168" s="10"/>
      <c r="V168" s="202"/>
      <c r="W168" s="202"/>
      <c r="X168" s="201"/>
      <c r="Y168" s="201"/>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97"/>
      <c r="AV168" s="197"/>
      <c r="AW168" s="197"/>
      <c r="AX168" s="197"/>
      <c r="AY168" s="197"/>
      <c r="AZ168" s="197"/>
      <c r="BA168" s="197"/>
      <c r="BB168" s="197"/>
      <c r="BC168" s="197"/>
      <c r="BD168" s="197"/>
      <c r="BE168" s="197"/>
      <c r="BF168" s="197"/>
      <c r="BG168" s="197"/>
      <c r="BH168" s="197"/>
      <c r="BI168" s="197"/>
      <c r="BJ168" s="197"/>
      <c r="BK168" s="197"/>
      <c r="BL168" s="197"/>
      <c r="BM168" s="197"/>
      <c r="BN168" s="197"/>
      <c r="BO168" s="197"/>
      <c r="BP168" s="197"/>
    </row>
    <row r="169" spans="1:68" ht="20" customHeight="1" thickBot="1" x14ac:dyDescent="0.2">
      <c r="A169" s="10"/>
      <c r="B169" s="1341"/>
      <c r="C169" s="1414" t="str">
        <f>'Action Plan'!C173</f>
        <v>A/S RATIO</v>
      </c>
      <c r="D169" s="1417">
        <f>'Action Plan'!D173</f>
        <v>0.5</v>
      </c>
      <c r="E169" s="1417">
        <f>'Action Plan'!E173</f>
        <v>0.4</v>
      </c>
      <c r="F169" s="1417">
        <f>$F$9</f>
        <v>0.11425</v>
      </c>
      <c r="G169" s="1417">
        <f>E169-F169</f>
        <v>0.28575</v>
      </c>
      <c r="H169" s="1417">
        <f>_xlfn.IFS(G169&gt;=0,1,G169&lt;0,E169/F169)</f>
        <v>1</v>
      </c>
      <c r="I169" s="1417">
        <f t="shared" si="210"/>
        <v>0.5</v>
      </c>
      <c r="J169" s="829"/>
      <c r="K169" s="206"/>
      <c r="L169" s="10"/>
      <c r="M169" s="10"/>
      <c r="N169" s="201"/>
      <c r="O169" s="201"/>
      <c r="P169" s="201"/>
      <c r="Q169" s="201"/>
      <c r="R169" s="10"/>
      <c r="S169" s="10"/>
      <c r="T169" s="10"/>
      <c r="U169" s="10"/>
      <c r="V169" s="201"/>
      <c r="W169" s="201"/>
      <c r="X169" s="201"/>
      <c r="Y169" s="201"/>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97"/>
      <c r="AV169" s="197"/>
      <c r="AW169" s="197"/>
      <c r="AX169" s="197"/>
      <c r="AY169" s="197"/>
      <c r="AZ169" s="197"/>
      <c r="BA169" s="197"/>
      <c r="BB169" s="197"/>
      <c r="BC169" s="197"/>
      <c r="BD169" s="197"/>
      <c r="BE169" s="197"/>
      <c r="BF169" s="197"/>
      <c r="BG169" s="197"/>
      <c r="BH169" s="197"/>
      <c r="BI169" s="197"/>
      <c r="BJ169" s="197"/>
      <c r="BK169" s="197"/>
      <c r="BL169" s="197"/>
      <c r="BM169" s="197"/>
      <c r="BN169" s="197"/>
      <c r="BO169" s="197"/>
      <c r="BP169" s="197"/>
    </row>
    <row r="170" spans="1:68" ht="20" customHeight="1" x14ac:dyDescent="0.15">
      <c r="A170" s="197"/>
      <c r="B170" s="197"/>
      <c r="C170" s="193"/>
      <c r="D170" s="197"/>
      <c r="E170" s="197"/>
      <c r="F170" s="214"/>
      <c r="G170" s="197"/>
      <c r="H170" s="197"/>
      <c r="I170" s="197"/>
      <c r="J170" s="197"/>
      <c r="K170" s="197"/>
      <c r="L170" s="197"/>
      <c r="M170" s="197"/>
      <c r="N170" s="197"/>
      <c r="O170" s="197"/>
      <c r="P170" s="197"/>
      <c r="Q170" s="197"/>
      <c r="R170" s="197"/>
      <c r="S170" s="197"/>
      <c r="T170" s="197"/>
      <c r="U170" s="197"/>
      <c r="V170" s="197"/>
      <c r="W170" s="197"/>
      <c r="X170" s="197"/>
      <c r="Y170" s="197"/>
      <c r="Z170" s="197"/>
      <c r="AA170" s="197"/>
      <c r="AB170" s="197"/>
      <c r="AC170" s="197"/>
      <c r="AD170" s="197"/>
      <c r="AE170" s="197"/>
      <c r="AF170" s="197"/>
      <c r="AG170" s="197"/>
      <c r="AH170" s="197"/>
      <c r="AI170" s="197"/>
      <c r="AJ170" s="197"/>
      <c r="AK170" s="197"/>
      <c r="AL170" s="197"/>
      <c r="AM170" s="197"/>
      <c r="AN170" s="197"/>
      <c r="AO170" s="197"/>
      <c r="AP170" s="197"/>
      <c r="AQ170" s="197"/>
      <c r="AR170" s="197"/>
      <c r="AS170" s="197"/>
      <c r="AT170" s="197"/>
      <c r="AU170" s="197"/>
      <c r="AV170" s="197"/>
      <c r="AW170" s="197"/>
      <c r="AX170" s="197"/>
      <c r="AY170" s="197"/>
      <c r="AZ170" s="197"/>
      <c r="BA170" s="197"/>
      <c r="BB170" s="197"/>
      <c r="BC170" s="197"/>
      <c r="BD170" s="197"/>
      <c r="BE170" s="197"/>
      <c r="BF170" s="197"/>
      <c r="BG170" s="197"/>
      <c r="BH170" s="197"/>
      <c r="BI170" s="197"/>
      <c r="BJ170" s="197"/>
      <c r="BK170" s="197"/>
      <c r="BL170" s="197"/>
      <c r="BM170" s="197"/>
      <c r="BN170" s="197"/>
      <c r="BO170" s="197"/>
      <c r="BP170" s="197"/>
    </row>
    <row r="171" spans="1:68" ht="20" customHeight="1" x14ac:dyDescent="0.15">
      <c r="A171" s="197"/>
      <c r="B171" s="197"/>
      <c r="C171" s="193"/>
      <c r="D171" s="197"/>
      <c r="E171" s="197"/>
      <c r="F171" s="214"/>
      <c r="G171" s="197"/>
      <c r="H171" s="197"/>
      <c r="I171" s="197"/>
      <c r="J171" s="197"/>
      <c r="K171" s="197"/>
      <c r="L171" s="197"/>
      <c r="M171" s="197"/>
      <c r="N171" s="197"/>
      <c r="O171" s="197"/>
      <c r="P171" s="197"/>
      <c r="Q171" s="197"/>
      <c r="R171" s="197"/>
      <c r="S171" s="197"/>
      <c r="T171" s="197"/>
      <c r="U171" s="197"/>
      <c r="V171" s="197"/>
      <c r="W171" s="197"/>
      <c r="X171" s="197"/>
      <c r="Y171" s="197"/>
      <c r="Z171" s="197"/>
      <c r="AA171" s="197"/>
      <c r="AB171" s="197"/>
      <c r="AC171" s="197"/>
      <c r="AD171" s="197"/>
      <c r="AE171" s="197"/>
      <c r="AF171" s="197"/>
      <c r="AG171" s="197"/>
      <c r="AH171" s="197"/>
      <c r="AI171" s="197"/>
      <c r="AJ171" s="197"/>
      <c r="AK171" s="197"/>
      <c r="AL171" s="197"/>
      <c r="AM171" s="197"/>
      <c r="AN171" s="197"/>
      <c r="AO171" s="197"/>
      <c r="AP171" s="197"/>
      <c r="AQ171" s="197"/>
      <c r="AR171" s="197"/>
      <c r="AS171" s="197"/>
      <c r="AT171" s="197"/>
      <c r="AU171" s="197"/>
      <c r="AV171" s="197"/>
      <c r="AW171" s="197"/>
      <c r="AX171" s="197"/>
      <c r="AY171" s="197"/>
      <c r="AZ171" s="197"/>
      <c r="BA171" s="197"/>
      <c r="BB171" s="197"/>
      <c r="BC171" s="197"/>
      <c r="BD171" s="197"/>
      <c r="BE171" s="197"/>
      <c r="BF171" s="197"/>
      <c r="BG171" s="197"/>
      <c r="BH171" s="197"/>
      <c r="BI171" s="197"/>
      <c r="BJ171" s="197"/>
      <c r="BK171" s="197"/>
      <c r="BL171" s="197"/>
      <c r="BM171" s="197"/>
      <c r="BN171" s="197"/>
      <c r="BO171" s="197"/>
      <c r="BP171" s="197"/>
    </row>
    <row r="172" spans="1:68" ht="20" customHeight="1" x14ac:dyDescent="0.15">
      <c r="A172" s="197"/>
      <c r="B172" s="197"/>
      <c r="C172" s="193"/>
      <c r="D172" s="197"/>
      <c r="E172" s="197"/>
      <c r="F172" s="214"/>
      <c r="G172" s="197"/>
      <c r="H172" s="197"/>
      <c r="I172" s="197"/>
      <c r="J172" s="197"/>
      <c r="K172" s="197"/>
      <c r="L172" s="197"/>
      <c r="M172" s="197"/>
      <c r="N172" s="197"/>
      <c r="O172" s="197"/>
      <c r="P172" s="197"/>
      <c r="Q172" s="197"/>
      <c r="R172" s="197"/>
      <c r="S172" s="197"/>
      <c r="T172" s="197"/>
      <c r="U172" s="197"/>
      <c r="V172" s="197"/>
      <c r="W172" s="197"/>
      <c r="X172" s="197"/>
      <c r="Y172" s="197"/>
      <c r="Z172" s="197"/>
      <c r="AA172" s="197"/>
      <c r="AB172" s="197"/>
      <c r="AC172" s="197"/>
      <c r="AD172" s="197"/>
      <c r="AE172" s="197"/>
      <c r="AF172" s="197"/>
      <c r="AG172" s="197"/>
      <c r="AH172" s="197"/>
      <c r="AI172" s="197"/>
      <c r="AJ172" s="197"/>
      <c r="AK172" s="197"/>
      <c r="AL172" s="197"/>
      <c r="AM172" s="197"/>
      <c r="AN172" s="197"/>
      <c r="AO172" s="197"/>
      <c r="AP172" s="197"/>
      <c r="AQ172" s="197"/>
      <c r="AR172" s="197"/>
      <c r="AS172" s="197"/>
      <c r="AT172" s="197"/>
      <c r="AU172" s="197"/>
      <c r="AV172" s="197"/>
      <c r="AW172" s="197"/>
      <c r="AX172" s="197"/>
      <c r="AY172" s="197"/>
      <c r="AZ172" s="197"/>
      <c r="BA172" s="197"/>
      <c r="BB172" s="197"/>
      <c r="BC172" s="197"/>
      <c r="BD172" s="197"/>
      <c r="BE172" s="197"/>
      <c r="BF172" s="197"/>
      <c r="BG172" s="197"/>
      <c r="BH172" s="197"/>
      <c r="BI172" s="197"/>
      <c r="BJ172" s="197"/>
      <c r="BK172" s="197"/>
      <c r="BL172" s="197"/>
      <c r="BM172" s="197"/>
      <c r="BN172" s="197"/>
      <c r="BO172" s="197"/>
      <c r="BP172" s="197"/>
    </row>
    <row r="173" spans="1:68" ht="20" customHeight="1" x14ac:dyDescent="0.15">
      <c r="A173" s="197"/>
      <c r="B173" s="197"/>
      <c r="C173" s="193"/>
      <c r="D173" s="197"/>
      <c r="E173" s="197"/>
      <c r="F173" s="214"/>
      <c r="G173" s="197"/>
      <c r="H173" s="197"/>
      <c r="I173" s="197"/>
      <c r="J173" s="197"/>
      <c r="K173" s="197"/>
      <c r="L173" s="197"/>
      <c r="M173" s="197"/>
      <c r="N173" s="197"/>
      <c r="O173" s="197"/>
      <c r="P173" s="197"/>
      <c r="Q173" s="197"/>
      <c r="R173" s="197"/>
      <c r="S173" s="197"/>
      <c r="T173" s="197"/>
      <c r="U173" s="197"/>
      <c r="V173" s="197"/>
      <c r="W173" s="197"/>
      <c r="X173" s="197"/>
      <c r="Y173" s="197"/>
      <c r="Z173" s="197"/>
      <c r="AA173" s="197"/>
      <c r="AB173" s="197"/>
      <c r="AC173" s="197"/>
      <c r="AD173" s="197"/>
      <c r="AE173" s="197"/>
      <c r="AF173" s="197"/>
      <c r="AG173" s="197"/>
      <c r="AH173" s="197"/>
      <c r="AI173" s="197"/>
      <c r="AJ173" s="197"/>
      <c r="AK173" s="197"/>
      <c r="AL173" s="197"/>
      <c r="AM173" s="197"/>
      <c r="AN173" s="197"/>
      <c r="AO173" s="197"/>
      <c r="AP173" s="197"/>
      <c r="AQ173" s="197"/>
      <c r="AR173" s="197"/>
      <c r="AS173" s="197"/>
      <c r="AT173" s="197"/>
      <c r="AU173" s="197"/>
      <c r="AV173" s="197"/>
      <c r="AW173" s="197"/>
      <c r="AX173" s="197"/>
      <c r="AY173" s="197"/>
      <c r="AZ173" s="197"/>
      <c r="BA173" s="197"/>
      <c r="BB173" s="197"/>
      <c r="BC173" s="197"/>
      <c r="BD173" s="197"/>
      <c r="BE173" s="197"/>
      <c r="BF173" s="197"/>
      <c r="BG173" s="197"/>
      <c r="BH173" s="197"/>
      <c r="BI173" s="197"/>
      <c r="BJ173" s="197"/>
      <c r="BK173" s="197"/>
      <c r="BL173" s="197"/>
      <c r="BM173" s="197"/>
      <c r="BN173" s="197"/>
      <c r="BO173" s="197"/>
      <c r="BP173" s="197"/>
    </row>
    <row r="174" spans="1:68" ht="20" customHeight="1" x14ac:dyDescent="0.15">
      <c r="A174" s="197"/>
      <c r="B174" s="197"/>
      <c r="C174" s="193"/>
      <c r="D174" s="197"/>
      <c r="E174" s="197"/>
      <c r="F174" s="214"/>
      <c r="G174" s="197"/>
      <c r="H174" s="197"/>
      <c r="I174" s="197"/>
      <c r="J174" s="197"/>
      <c r="K174" s="197"/>
      <c r="L174" s="197"/>
      <c r="M174" s="197"/>
      <c r="N174" s="197"/>
      <c r="O174" s="197"/>
      <c r="P174" s="197"/>
      <c r="Q174" s="197"/>
      <c r="R174" s="197"/>
      <c r="S174" s="197"/>
      <c r="T174" s="197"/>
      <c r="U174" s="197"/>
      <c r="V174" s="197"/>
      <c r="W174" s="197"/>
      <c r="X174" s="197"/>
      <c r="Y174" s="197"/>
      <c r="Z174" s="197"/>
      <c r="AA174" s="197"/>
      <c r="AB174" s="197"/>
      <c r="AC174" s="197"/>
      <c r="AD174" s="197"/>
      <c r="AE174" s="197"/>
      <c r="AF174" s="197"/>
      <c r="AG174" s="197"/>
      <c r="AH174" s="197"/>
      <c r="AI174" s="197"/>
      <c r="AJ174" s="197"/>
      <c r="AK174" s="197"/>
      <c r="AL174" s="197"/>
      <c r="AM174" s="197"/>
      <c r="AN174" s="197"/>
      <c r="AO174" s="197"/>
      <c r="AP174" s="197"/>
      <c r="AQ174" s="197"/>
      <c r="AR174" s="197"/>
      <c r="AS174" s="197"/>
      <c r="AT174" s="197"/>
      <c r="AU174" s="197"/>
      <c r="AV174" s="197"/>
      <c r="AW174" s="197"/>
      <c r="AX174" s="197"/>
      <c r="AY174" s="197"/>
      <c r="AZ174" s="197"/>
      <c r="BA174" s="197"/>
      <c r="BB174" s="197"/>
      <c r="BC174" s="197"/>
      <c r="BD174" s="197"/>
      <c r="BE174" s="197"/>
      <c r="BF174" s="197"/>
      <c r="BG174" s="197"/>
      <c r="BH174" s="197"/>
      <c r="BI174" s="197"/>
      <c r="BJ174" s="197"/>
      <c r="BK174" s="197"/>
      <c r="BL174" s="197"/>
      <c r="BM174" s="197"/>
      <c r="BN174" s="197"/>
      <c r="BO174" s="197"/>
      <c r="BP174" s="197"/>
    </row>
    <row r="175" spans="1:68" ht="20" customHeight="1" x14ac:dyDescent="0.15">
      <c r="A175" s="197"/>
      <c r="B175" s="197"/>
      <c r="C175" s="193"/>
      <c r="D175" s="197"/>
      <c r="E175" s="197"/>
      <c r="F175" s="214"/>
      <c r="G175" s="197"/>
      <c r="H175" s="197"/>
      <c r="I175" s="197"/>
      <c r="J175" s="197"/>
      <c r="K175" s="197"/>
      <c r="L175" s="197"/>
      <c r="M175" s="197"/>
      <c r="N175" s="197"/>
      <c r="O175" s="197"/>
      <c r="P175" s="197"/>
      <c r="Q175" s="197"/>
      <c r="R175" s="197"/>
      <c r="S175" s="197"/>
      <c r="T175" s="197"/>
      <c r="U175" s="197"/>
      <c r="V175" s="197"/>
      <c r="W175" s="197"/>
      <c r="X175" s="197"/>
      <c r="Y175" s="197"/>
      <c r="Z175" s="197"/>
      <c r="AA175" s="197"/>
      <c r="AB175" s="197"/>
      <c r="AC175" s="197"/>
      <c r="AD175" s="197"/>
      <c r="AE175" s="197"/>
      <c r="AF175" s="197"/>
      <c r="AG175" s="197"/>
      <c r="AH175" s="197"/>
      <c r="AI175" s="197"/>
      <c r="AJ175" s="197"/>
      <c r="AK175" s="197"/>
      <c r="AL175" s="197"/>
      <c r="AM175" s="197"/>
      <c r="AN175" s="197"/>
      <c r="AO175" s="197"/>
      <c r="AP175" s="197"/>
      <c r="AQ175" s="197"/>
      <c r="AR175" s="197"/>
      <c r="AS175" s="197"/>
      <c r="AT175" s="197"/>
      <c r="AU175" s="197"/>
      <c r="AV175" s="197"/>
      <c r="AW175" s="197"/>
      <c r="AX175" s="197"/>
      <c r="AY175" s="197"/>
      <c r="AZ175" s="197"/>
      <c r="BA175" s="197"/>
      <c r="BB175" s="197"/>
      <c r="BC175" s="197"/>
      <c r="BD175" s="197"/>
      <c r="BE175" s="197"/>
      <c r="BF175" s="197"/>
      <c r="BG175" s="197"/>
      <c r="BH175" s="197"/>
      <c r="BI175" s="197"/>
      <c r="BJ175" s="197"/>
      <c r="BK175" s="197"/>
      <c r="BL175" s="197"/>
      <c r="BM175" s="197"/>
      <c r="BN175" s="197"/>
      <c r="BO175" s="197"/>
      <c r="BP175" s="197"/>
    </row>
    <row r="176" spans="1:68" ht="20" customHeight="1" x14ac:dyDescent="0.15">
      <c r="A176" s="197"/>
      <c r="B176" s="197"/>
      <c r="C176" s="193"/>
      <c r="D176" s="197"/>
      <c r="E176" s="197"/>
      <c r="F176" s="214"/>
      <c r="G176" s="197"/>
      <c r="H176" s="197"/>
      <c r="I176" s="197"/>
      <c r="J176" s="197"/>
      <c r="K176" s="197"/>
      <c r="L176" s="197"/>
      <c r="M176" s="197"/>
      <c r="N176" s="197"/>
      <c r="O176" s="197"/>
      <c r="P176" s="197"/>
      <c r="Q176" s="197"/>
      <c r="R176" s="197"/>
      <c r="S176" s="197"/>
      <c r="T176" s="197"/>
      <c r="U176" s="197"/>
      <c r="V176" s="197"/>
      <c r="W176" s="197"/>
      <c r="X176" s="197"/>
      <c r="Y176" s="197"/>
      <c r="Z176" s="197"/>
      <c r="AA176" s="197"/>
      <c r="AB176" s="197"/>
      <c r="AC176" s="197"/>
      <c r="AD176" s="197"/>
      <c r="AE176" s="197"/>
      <c r="AF176" s="197"/>
      <c r="AG176" s="197"/>
      <c r="AH176" s="197"/>
      <c r="AI176" s="197"/>
      <c r="AJ176" s="197"/>
      <c r="AK176" s="197"/>
      <c r="AL176" s="197"/>
      <c r="AM176" s="197"/>
      <c r="AN176" s="197"/>
      <c r="AO176" s="197"/>
      <c r="AP176" s="197"/>
      <c r="AQ176" s="197"/>
      <c r="AR176" s="197"/>
      <c r="AS176" s="197"/>
      <c r="AT176" s="197"/>
      <c r="AU176" s="197"/>
      <c r="AV176" s="197"/>
      <c r="AW176" s="197"/>
      <c r="AX176" s="197"/>
      <c r="AY176" s="197"/>
      <c r="AZ176" s="197"/>
      <c r="BA176" s="197"/>
      <c r="BB176" s="197"/>
      <c r="BC176" s="197"/>
      <c r="BD176" s="197"/>
      <c r="BE176" s="197"/>
      <c r="BF176" s="197"/>
      <c r="BG176" s="197"/>
      <c r="BH176" s="197"/>
      <c r="BI176" s="197"/>
      <c r="BJ176" s="197"/>
      <c r="BK176" s="197"/>
      <c r="BL176" s="197"/>
      <c r="BM176" s="197"/>
      <c r="BN176" s="197"/>
      <c r="BO176" s="197"/>
      <c r="BP176" s="197"/>
    </row>
    <row r="177" spans="1:68" ht="20" customHeight="1" x14ac:dyDescent="0.15">
      <c r="A177" s="197"/>
      <c r="B177" s="197"/>
      <c r="C177" s="193"/>
      <c r="D177" s="197"/>
      <c r="E177" s="197"/>
      <c r="F177" s="214"/>
      <c r="G177" s="197"/>
      <c r="H177" s="197"/>
      <c r="I177" s="197"/>
      <c r="J177" s="197"/>
      <c r="K177" s="197"/>
      <c r="L177" s="197"/>
      <c r="M177" s="197"/>
      <c r="N177" s="197"/>
      <c r="O177" s="197"/>
      <c r="P177" s="197"/>
      <c r="Q177" s="197"/>
      <c r="R177" s="197"/>
      <c r="S177" s="197"/>
      <c r="T177" s="197"/>
      <c r="U177" s="197"/>
      <c r="V177" s="197"/>
      <c r="W177" s="197"/>
      <c r="X177" s="197"/>
      <c r="Y177" s="197"/>
      <c r="Z177" s="197"/>
      <c r="AA177" s="197"/>
      <c r="AB177" s="197"/>
      <c r="AC177" s="197"/>
      <c r="AD177" s="197"/>
      <c r="AE177" s="197"/>
      <c r="AF177" s="197"/>
      <c r="AG177" s="197"/>
      <c r="AH177" s="197"/>
      <c r="AI177" s="197"/>
      <c r="AJ177" s="197"/>
      <c r="AK177" s="197"/>
      <c r="AL177" s="197"/>
      <c r="AM177" s="197"/>
      <c r="AN177" s="197"/>
      <c r="AO177" s="197"/>
      <c r="AP177" s="197"/>
      <c r="AQ177" s="197"/>
      <c r="AR177" s="197"/>
      <c r="AS177" s="197"/>
      <c r="AT177" s="197"/>
      <c r="AU177" s="197"/>
      <c r="AV177" s="197"/>
      <c r="AW177" s="197"/>
      <c r="AX177" s="197"/>
      <c r="AY177" s="197"/>
      <c r="AZ177" s="197"/>
      <c r="BA177" s="197"/>
      <c r="BB177" s="197"/>
      <c r="BC177" s="197"/>
      <c r="BD177" s="197"/>
      <c r="BE177" s="197"/>
      <c r="BF177" s="197"/>
      <c r="BG177" s="197"/>
      <c r="BH177" s="197"/>
      <c r="BI177" s="197"/>
      <c r="BJ177" s="197"/>
      <c r="BK177" s="197"/>
      <c r="BL177" s="197"/>
      <c r="BM177" s="197"/>
      <c r="BN177" s="197"/>
      <c r="BO177" s="197"/>
      <c r="BP177" s="197"/>
    </row>
    <row r="178" spans="1:68" ht="20" customHeight="1" x14ac:dyDescent="0.15">
      <c r="A178" s="197"/>
      <c r="B178" s="197"/>
      <c r="C178" s="193"/>
      <c r="D178" s="197"/>
      <c r="E178" s="197"/>
      <c r="F178" s="214"/>
      <c r="G178" s="197"/>
      <c r="H178" s="197"/>
      <c r="I178" s="197"/>
      <c r="J178" s="197"/>
      <c r="K178" s="197"/>
      <c r="L178" s="197"/>
      <c r="M178" s="197"/>
      <c r="N178" s="197"/>
      <c r="O178" s="197"/>
      <c r="P178" s="197"/>
      <c r="Q178" s="197"/>
      <c r="R178" s="197"/>
      <c r="S178" s="197"/>
      <c r="T178" s="197"/>
      <c r="U178" s="197"/>
      <c r="V178" s="197"/>
      <c r="W178" s="197"/>
      <c r="X178" s="197"/>
      <c r="Y178" s="197"/>
      <c r="Z178" s="197"/>
      <c r="AA178" s="197"/>
      <c r="AB178" s="197"/>
      <c r="AC178" s="197"/>
      <c r="AD178" s="197"/>
      <c r="AE178" s="197"/>
      <c r="AF178" s="197"/>
      <c r="AG178" s="197"/>
      <c r="AH178" s="197"/>
      <c r="AI178" s="197"/>
      <c r="AJ178" s="197"/>
      <c r="AK178" s="197"/>
      <c r="AL178" s="197"/>
      <c r="AM178" s="197"/>
      <c r="AN178" s="197"/>
      <c r="AO178" s="197"/>
      <c r="AP178" s="197"/>
      <c r="AQ178" s="197"/>
      <c r="AR178" s="197"/>
      <c r="AS178" s="197"/>
      <c r="AT178" s="197"/>
      <c r="AU178" s="197"/>
      <c r="AV178" s="197"/>
      <c r="AW178" s="197"/>
      <c r="AX178" s="197"/>
      <c r="AY178" s="197"/>
      <c r="AZ178" s="197"/>
      <c r="BA178" s="197"/>
      <c r="BB178" s="197"/>
      <c r="BC178" s="197"/>
      <c r="BD178" s="197"/>
      <c r="BE178" s="197"/>
      <c r="BF178" s="197"/>
      <c r="BG178" s="197"/>
      <c r="BH178" s="197"/>
      <c r="BI178" s="197"/>
      <c r="BJ178" s="197"/>
      <c r="BK178" s="197"/>
      <c r="BL178" s="197"/>
      <c r="BM178" s="197"/>
      <c r="BN178" s="197"/>
      <c r="BO178" s="197"/>
      <c r="BP178" s="197"/>
    </row>
    <row r="179" spans="1:68" ht="20" customHeight="1" x14ac:dyDescent="0.15">
      <c r="A179" s="197"/>
      <c r="B179" s="197"/>
      <c r="C179" s="193"/>
      <c r="D179" s="197"/>
      <c r="E179" s="197"/>
      <c r="F179" s="214"/>
      <c r="G179" s="197"/>
      <c r="H179" s="197"/>
      <c r="I179" s="197"/>
      <c r="J179" s="197"/>
      <c r="K179" s="197"/>
      <c r="L179" s="197"/>
      <c r="M179" s="197"/>
      <c r="N179" s="197"/>
      <c r="O179" s="197"/>
      <c r="P179" s="197"/>
      <c r="Q179" s="197"/>
      <c r="R179" s="197"/>
      <c r="S179" s="197"/>
      <c r="T179" s="197"/>
      <c r="U179" s="197"/>
      <c r="V179" s="197"/>
      <c r="W179" s="197"/>
      <c r="X179" s="197"/>
      <c r="Y179" s="197"/>
      <c r="Z179" s="197"/>
      <c r="AA179" s="197"/>
      <c r="AB179" s="197"/>
      <c r="AC179" s="197"/>
      <c r="AD179" s="197"/>
      <c r="AE179" s="197"/>
      <c r="AF179" s="197"/>
      <c r="AG179" s="197"/>
      <c r="AH179" s="197"/>
      <c r="AI179" s="197"/>
      <c r="AJ179" s="197"/>
      <c r="AK179" s="197"/>
      <c r="AL179" s="197"/>
      <c r="AM179" s="197"/>
      <c r="AN179" s="197"/>
      <c r="AO179" s="197"/>
      <c r="AP179" s="197"/>
      <c r="AQ179" s="197"/>
      <c r="AR179" s="197"/>
      <c r="AS179" s="197"/>
      <c r="AT179" s="197"/>
      <c r="AU179" s="197"/>
      <c r="AV179" s="197"/>
      <c r="AW179" s="197"/>
      <c r="AX179" s="197"/>
      <c r="AY179" s="197"/>
      <c r="AZ179" s="197"/>
      <c r="BA179" s="197"/>
      <c r="BB179" s="197"/>
      <c r="BC179" s="197"/>
      <c r="BD179" s="197"/>
      <c r="BE179" s="197"/>
      <c r="BF179" s="197"/>
      <c r="BG179" s="197"/>
      <c r="BH179" s="197"/>
      <c r="BI179" s="197"/>
      <c r="BJ179" s="197"/>
      <c r="BK179" s="197"/>
      <c r="BL179" s="197"/>
      <c r="BM179" s="197"/>
      <c r="BN179" s="197"/>
      <c r="BO179" s="197"/>
      <c r="BP179" s="197"/>
    </row>
    <row r="180" spans="1:68" ht="20" customHeight="1" x14ac:dyDescent="0.15">
      <c r="A180" s="197"/>
      <c r="B180" s="197"/>
      <c r="C180" s="193"/>
      <c r="D180" s="197"/>
      <c r="E180" s="197"/>
      <c r="F180" s="214"/>
      <c r="G180" s="197"/>
      <c r="H180" s="197"/>
      <c r="I180" s="197"/>
      <c r="J180" s="197"/>
      <c r="K180" s="197"/>
      <c r="L180" s="197"/>
      <c r="M180" s="197"/>
      <c r="N180" s="197"/>
      <c r="O180" s="197"/>
      <c r="P180" s="197"/>
      <c r="Q180" s="197"/>
      <c r="R180" s="197"/>
      <c r="S180" s="197"/>
      <c r="T180" s="197"/>
      <c r="U180" s="197"/>
      <c r="V180" s="197"/>
      <c r="W180" s="197"/>
      <c r="X180" s="197"/>
      <c r="Y180" s="197"/>
      <c r="Z180" s="197"/>
      <c r="AA180" s="197"/>
      <c r="AB180" s="197"/>
      <c r="AC180" s="197"/>
      <c r="AD180" s="197"/>
      <c r="AE180" s="197"/>
      <c r="AF180" s="197"/>
      <c r="AG180" s="197"/>
      <c r="AH180" s="197"/>
      <c r="AI180" s="197"/>
      <c r="AJ180" s="197"/>
      <c r="AK180" s="197"/>
      <c r="AL180" s="197"/>
      <c r="AM180" s="197"/>
      <c r="AN180" s="197"/>
      <c r="AO180" s="197"/>
      <c r="AP180" s="197"/>
      <c r="AQ180" s="197"/>
      <c r="AR180" s="197"/>
      <c r="AS180" s="197"/>
      <c r="AT180" s="197"/>
      <c r="AU180" s="197"/>
      <c r="AV180" s="197"/>
      <c r="AW180" s="197"/>
      <c r="AX180" s="197"/>
      <c r="AY180" s="197"/>
      <c r="AZ180" s="197"/>
      <c r="BA180" s="197"/>
      <c r="BB180" s="197"/>
      <c r="BC180" s="197"/>
      <c r="BD180" s="197"/>
      <c r="BE180" s="197"/>
      <c r="BF180" s="197"/>
      <c r="BG180" s="197"/>
      <c r="BH180" s="197"/>
      <c r="BI180" s="197"/>
      <c r="BJ180" s="197"/>
      <c r="BK180" s="197"/>
      <c r="BL180" s="197"/>
      <c r="BM180" s="197"/>
      <c r="BN180" s="197"/>
      <c r="BO180" s="197"/>
      <c r="BP180" s="197"/>
    </row>
    <row r="181" spans="1:68" ht="20" customHeight="1" x14ac:dyDescent="0.15">
      <c r="A181" s="197"/>
      <c r="B181" s="197"/>
      <c r="C181" s="193"/>
      <c r="D181" s="197"/>
      <c r="E181" s="197"/>
      <c r="F181" s="214"/>
      <c r="G181" s="197"/>
      <c r="H181" s="197"/>
      <c r="I181" s="197"/>
      <c r="J181" s="197"/>
      <c r="K181" s="197"/>
      <c r="L181" s="197"/>
      <c r="M181" s="197"/>
      <c r="N181" s="197"/>
      <c r="O181" s="197"/>
      <c r="P181" s="197"/>
      <c r="Q181" s="197"/>
      <c r="R181" s="197"/>
      <c r="S181" s="197"/>
      <c r="T181" s="197"/>
      <c r="U181" s="197"/>
      <c r="V181" s="197"/>
      <c r="W181" s="197"/>
      <c r="X181" s="197"/>
      <c r="Y181" s="197"/>
      <c r="Z181" s="197"/>
      <c r="AA181" s="197"/>
      <c r="AB181" s="197"/>
      <c r="AC181" s="197"/>
      <c r="AD181" s="197"/>
      <c r="AE181" s="197"/>
      <c r="AF181" s="197"/>
      <c r="AG181" s="197"/>
      <c r="AH181" s="197"/>
      <c r="AI181" s="197"/>
      <c r="AJ181" s="197"/>
      <c r="AK181" s="197"/>
      <c r="AL181" s="197"/>
      <c r="AM181" s="197"/>
      <c r="AN181" s="197"/>
      <c r="AO181" s="197"/>
      <c r="AP181" s="197"/>
      <c r="AQ181" s="197"/>
      <c r="AR181" s="197"/>
      <c r="AS181" s="197"/>
      <c r="AT181" s="197"/>
      <c r="AU181" s="197"/>
      <c r="AV181" s="197"/>
      <c r="AW181" s="197"/>
      <c r="AX181" s="197"/>
      <c r="AY181" s="197"/>
      <c r="AZ181" s="197"/>
      <c r="BA181" s="197"/>
      <c r="BB181" s="197"/>
      <c r="BC181" s="197"/>
      <c r="BD181" s="197"/>
      <c r="BE181" s="197"/>
      <c r="BF181" s="197"/>
      <c r="BG181" s="197"/>
      <c r="BH181" s="197"/>
      <c r="BI181" s="197"/>
      <c r="BJ181" s="197"/>
      <c r="BK181" s="197"/>
      <c r="BL181" s="197"/>
      <c r="BM181" s="197"/>
      <c r="BN181" s="197"/>
      <c r="BO181" s="197"/>
      <c r="BP181" s="197"/>
    </row>
    <row r="182" spans="1:68" ht="20" customHeight="1" x14ac:dyDescent="0.15">
      <c r="A182" s="197"/>
      <c r="B182" s="197"/>
      <c r="C182" s="193"/>
      <c r="D182" s="197"/>
      <c r="E182" s="197"/>
      <c r="F182" s="214"/>
      <c r="G182" s="197"/>
      <c r="H182" s="197"/>
      <c r="I182" s="197"/>
      <c r="J182" s="197"/>
      <c r="K182" s="197"/>
      <c r="L182" s="197"/>
      <c r="M182" s="197"/>
      <c r="N182" s="197"/>
      <c r="O182" s="197"/>
      <c r="P182" s="197"/>
      <c r="Q182" s="197"/>
      <c r="R182" s="197"/>
      <c r="S182" s="197"/>
      <c r="T182" s="197"/>
      <c r="U182" s="197"/>
      <c r="V182" s="197"/>
      <c r="W182" s="197"/>
      <c r="X182" s="197"/>
      <c r="Y182" s="197"/>
      <c r="Z182" s="197"/>
      <c r="AA182" s="197"/>
      <c r="AB182" s="197"/>
      <c r="AC182" s="197"/>
      <c r="AD182" s="197"/>
      <c r="AE182" s="197"/>
      <c r="AF182" s="197"/>
      <c r="AG182" s="197"/>
      <c r="AH182" s="197"/>
      <c r="AI182" s="197"/>
      <c r="AJ182" s="197"/>
      <c r="AK182" s="197"/>
      <c r="AL182" s="197"/>
      <c r="AM182" s="197"/>
      <c r="AN182" s="197"/>
      <c r="AO182" s="197"/>
      <c r="AP182" s="197"/>
      <c r="AQ182" s="197"/>
      <c r="AR182" s="197"/>
      <c r="AS182" s="197"/>
      <c r="AT182" s="197"/>
      <c r="AU182" s="197"/>
      <c r="AV182" s="197"/>
      <c r="AW182" s="197"/>
      <c r="AX182" s="197"/>
      <c r="AY182" s="197"/>
      <c r="AZ182" s="197"/>
      <c r="BA182" s="197"/>
      <c r="BB182" s="197"/>
      <c r="BC182" s="197"/>
      <c r="BD182" s="197"/>
      <c r="BE182" s="197"/>
      <c r="BF182" s="197"/>
      <c r="BG182" s="197"/>
      <c r="BH182" s="197"/>
      <c r="BI182" s="197"/>
      <c r="BJ182" s="197"/>
      <c r="BK182" s="197"/>
      <c r="BL182" s="197"/>
      <c r="BM182" s="197"/>
      <c r="BN182" s="197"/>
      <c r="BO182" s="197"/>
      <c r="BP182" s="197"/>
    </row>
    <row r="183" spans="1:68" ht="20" customHeight="1" x14ac:dyDescent="0.15">
      <c r="A183" s="197"/>
      <c r="B183" s="197"/>
      <c r="C183" s="193"/>
      <c r="D183" s="197"/>
      <c r="E183" s="197"/>
      <c r="F183" s="214"/>
      <c r="G183" s="197"/>
      <c r="H183" s="197"/>
      <c r="I183" s="197"/>
      <c r="J183" s="197"/>
      <c r="K183" s="197"/>
      <c r="L183" s="197"/>
      <c r="M183" s="197"/>
      <c r="N183" s="197"/>
      <c r="O183" s="197"/>
      <c r="P183" s="197"/>
      <c r="Q183" s="197"/>
      <c r="R183" s="197"/>
      <c r="S183" s="197"/>
      <c r="T183" s="197"/>
      <c r="U183" s="197"/>
      <c r="V183" s="197"/>
      <c r="W183" s="197"/>
      <c r="X183" s="197"/>
      <c r="Y183" s="197"/>
      <c r="Z183" s="197"/>
      <c r="AA183" s="197"/>
      <c r="AB183" s="197"/>
      <c r="AC183" s="197"/>
      <c r="AD183" s="197"/>
      <c r="AE183" s="197"/>
      <c r="AF183" s="197"/>
      <c r="AG183" s="197"/>
      <c r="AH183" s="197"/>
      <c r="AI183" s="197"/>
      <c r="AJ183" s="197"/>
      <c r="AK183" s="197"/>
      <c r="AL183" s="197"/>
      <c r="AM183" s="197"/>
      <c r="AN183" s="197"/>
      <c r="AO183" s="197"/>
      <c r="AP183" s="197"/>
      <c r="AQ183" s="197"/>
      <c r="AR183" s="197"/>
      <c r="AS183" s="197"/>
      <c r="AT183" s="197"/>
      <c r="AU183" s="197"/>
      <c r="AV183" s="197"/>
      <c r="AW183" s="197"/>
      <c r="AX183" s="197"/>
      <c r="AY183" s="197"/>
      <c r="AZ183" s="197"/>
      <c r="BA183" s="197"/>
      <c r="BB183" s="197"/>
      <c r="BC183" s="197"/>
      <c r="BD183" s="197"/>
      <c r="BE183" s="197"/>
      <c r="BF183" s="197"/>
      <c r="BG183" s="197"/>
      <c r="BH183" s="197"/>
      <c r="BI183" s="197"/>
      <c r="BJ183" s="197"/>
      <c r="BK183" s="197"/>
      <c r="BL183" s="197"/>
      <c r="BM183" s="197"/>
      <c r="BN183" s="197"/>
      <c r="BO183" s="197"/>
      <c r="BP183" s="197"/>
    </row>
    <row r="184" spans="1:68" ht="20" customHeight="1" x14ac:dyDescent="0.15">
      <c r="A184" s="197"/>
      <c r="B184" s="197"/>
      <c r="C184" s="193"/>
      <c r="D184" s="197"/>
      <c r="E184" s="197"/>
      <c r="F184" s="214"/>
      <c r="G184" s="197"/>
      <c r="H184" s="197"/>
      <c r="I184" s="197"/>
      <c r="J184" s="197"/>
      <c r="K184" s="197"/>
      <c r="L184" s="197"/>
      <c r="M184" s="197"/>
      <c r="N184" s="197"/>
      <c r="O184" s="197"/>
      <c r="P184" s="197"/>
      <c r="Q184" s="197"/>
      <c r="R184" s="197"/>
      <c r="S184" s="197"/>
      <c r="T184" s="197"/>
      <c r="U184" s="197"/>
      <c r="V184" s="197"/>
      <c r="W184" s="197"/>
      <c r="X184" s="197"/>
      <c r="Y184" s="197"/>
      <c r="Z184" s="197"/>
      <c r="AA184" s="197"/>
      <c r="AB184" s="197"/>
      <c r="AC184" s="197"/>
      <c r="AD184" s="197"/>
      <c r="AE184" s="197"/>
      <c r="AF184" s="197"/>
      <c r="AG184" s="197"/>
      <c r="AH184" s="197"/>
      <c r="AI184" s="197"/>
      <c r="AJ184" s="197"/>
      <c r="AK184" s="197"/>
      <c r="AL184" s="197"/>
      <c r="AM184" s="197"/>
      <c r="AN184" s="197"/>
      <c r="AO184" s="197"/>
      <c r="AP184" s="197"/>
      <c r="AQ184" s="197"/>
      <c r="AR184" s="197"/>
      <c r="AS184" s="197"/>
      <c r="AT184" s="197"/>
      <c r="AU184" s="197"/>
      <c r="AV184" s="197"/>
      <c r="AW184" s="197"/>
      <c r="AX184" s="197"/>
      <c r="AY184" s="197"/>
      <c r="AZ184" s="197"/>
      <c r="BA184" s="197"/>
      <c r="BB184" s="197"/>
      <c r="BC184" s="197"/>
      <c r="BD184" s="197"/>
      <c r="BE184" s="197"/>
      <c r="BF184" s="197"/>
      <c r="BG184" s="197"/>
      <c r="BH184" s="197"/>
      <c r="BI184" s="197"/>
      <c r="BJ184" s="197"/>
      <c r="BK184" s="197"/>
      <c r="BL184" s="197"/>
      <c r="BM184" s="197"/>
      <c r="BN184" s="197"/>
      <c r="BO184" s="197"/>
      <c r="BP184" s="197"/>
    </row>
    <row r="185" spans="1:68" ht="20" customHeight="1" x14ac:dyDescent="0.15">
      <c r="A185" s="197"/>
      <c r="B185" s="197"/>
      <c r="C185" s="193"/>
      <c r="D185" s="197"/>
      <c r="E185" s="197"/>
      <c r="F185" s="214"/>
      <c r="G185" s="197"/>
      <c r="H185" s="197"/>
      <c r="I185" s="197"/>
      <c r="J185" s="197"/>
      <c r="K185" s="197"/>
      <c r="L185" s="197"/>
      <c r="M185" s="197"/>
      <c r="N185" s="197"/>
      <c r="O185" s="197"/>
      <c r="P185" s="197"/>
      <c r="Q185" s="197"/>
      <c r="R185" s="197"/>
      <c r="S185" s="197"/>
      <c r="T185" s="197"/>
      <c r="U185" s="197"/>
      <c r="V185" s="197"/>
      <c r="W185" s="197"/>
      <c r="X185" s="197"/>
      <c r="Y185" s="197"/>
      <c r="Z185" s="197"/>
      <c r="AA185" s="197"/>
      <c r="AB185" s="197"/>
      <c r="AC185" s="197"/>
      <c r="AD185" s="197"/>
      <c r="AE185" s="197"/>
      <c r="AF185" s="197"/>
      <c r="AG185" s="197"/>
      <c r="AH185" s="197"/>
      <c r="AI185" s="197"/>
      <c r="AJ185" s="197"/>
      <c r="AK185" s="197"/>
      <c r="AL185" s="197"/>
      <c r="AM185" s="197"/>
      <c r="AN185" s="197"/>
      <c r="AO185" s="197"/>
      <c r="AP185" s="197"/>
      <c r="AQ185" s="197"/>
      <c r="AR185" s="197"/>
      <c r="AS185" s="197"/>
      <c r="AT185" s="197"/>
      <c r="AU185" s="197"/>
      <c r="AV185" s="197"/>
      <c r="AW185" s="197"/>
      <c r="AX185" s="197"/>
      <c r="AY185" s="197"/>
      <c r="AZ185" s="197"/>
      <c r="BA185" s="197"/>
      <c r="BB185" s="197"/>
      <c r="BC185" s="197"/>
      <c r="BD185" s="197"/>
      <c r="BE185" s="197"/>
      <c r="BF185" s="197"/>
      <c r="BG185" s="197"/>
      <c r="BH185" s="197"/>
      <c r="BI185" s="197"/>
      <c r="BJ185" s="197"/>
      <c r="BK185" s="197"/>
      <c r="BL185" s="197"/>
      <c r="BM185" s="197"/>
      <c r="BN185" s="197"/>
      <c r="BO185" s="197"/>
      <c r="BP185" s="197"/>
    </row>
    <row r="186" spans="1:68" ht="20" customHeight="1" x14ac:dyDescent="0.15">
      <c r="A186" s="197"/>
      <c r="B186" s="197"/>
      <c r="C186" s="193"/>
      <c r="D186" s="197"/>
      <c r="E186" s="197"/>
      <c r="F186" s="214"/>
      <c r="G186" s="197"/>
      <c r="H186" s="197"/>
      <c r="I186" s="197"/>
      <c r="J186" s="197"/>
      <c r="K186" s="197"/>
      <c r="L186" s="197"/>
      <c r="M186" s="197"/>
      <c r="N186" s="197"/>
      <c r="O186" s="197"/>
      <c r="P186" s="197"/>
      <c r="Q186" s="197"/>
      <c r="R186" s="197"/>
      <c r="S186" s="197"/>
      <c r="T186" s="197"/>
      <c r="U186" s="197"/>
      <c r="V186" s="197"/>
      <c r="W186" s="197"/>
      <c r="X186" s="197"/>
      <c r="Y186" s="197"/>
      <c r="Z186" s="197"/>
      <c r="AA186" s="197"/>
      <c r="AB186" s="197"/>
      <c r="AC186" s="197"/>
      <c r="AD186" s="197"/>
      <c r="AE186" s="197"/>
      <c r="AF186" s="197"/>
      <c r="AG186" s="197"/>
      <c r="AH186" s="197"/>
      <c r="AI186" s="197"/>
      <c r="AJ186" s="197"/>
      <c r="AK186" s="197"/>
      <c r="AL186" s="197"/>
      <c r="AM186" s="197"/>
      <c r="AN186" s="197"/>
      <c r="AO186" s="197"/>
      <c r="AP186" s="197"/>
      <c r="AQ186" s="197"/>
      <c r="AR186" s="197"/>
      <c r="AS186" s="197"/>
      <c r="AT186" s="197"/>
      <c r="AU186" s="197"/>
      <c r="AV186" s="197"/>
      <c r="AW186" s="197"/>
      <c r="AX186" s="197"/>
      <c r="AY186" s="197"/>
      <c r="AZ186" s="197"/>
      <c r="BA186" s="197"/>
      <c r="BB186" s="197"/>
      <c r="BC186" s="197"/>
      <c r="BD186" s="197"/>
      <c r="BE186" s="197"/>
      <c r="BF186" s="197"/>
      <c r="BG186" s="197"/>
      <c r="BH186" s="197"/>
      <c r="BI186" s="197"/>
      <c r="BJ186" s="197"/>
      <c r="BK186" s="197"/>
      <c r="BL186" s="197"/>
      <c r="BM186" s="197"/>
      <c r="BN186" s="197"/>
      <c r="BO186" s="197"/>
      <c r="BP186" s="197"/>
    </row>
    <row r="187" spans="1:68" ht="20" customHeight="1" x14ac:dyDescent="0.15">
      <c r="A187" s="197"/>
      <c r="B187" s="197"/>
      <c r="C187" s="193"/>
      <c r="D187" s="197"/>
      <c r="E187" s="197"/>
      <c r="F187" s="214"/>
      <c r="G187" s="197"/>
      <c r="H187" s="197"/>
      <c r="I187" s="197"/>
      <c r="J187" s="197"/>
      <c r="K187" s="197"/>
      <c r="L187" s="197"/>
      <c r="M187" s="197"/>
      <c r="N187" s="197"/>
      <c r="O187" s="197"/>
      <c r="P187" s="197"/>
      <c r="Q187" s="197"/>
      <c r="R187" s="197"/>
      <c r="S187" s="197"/>
      <c r="T187" s="197"/>
      <c r="U187" s="197"/>
      <c r="V187" s="197"/>
      <c r="W187" s="197"/>
      <c r="X187" s="197"/>
      <c r="Y187" s="197"/>
      <c r="Z187" s="197"/>
      <c r="AA187" s="197"/>
      <c r="AB187" s="197"/>
      <c r="AC187" s="197"/>
      <c r="AD187" s="197"/>
      <c r="AE187" s="197"/>
      <c r="AF187" s="197"/>
      <c r="AG187" s="197"/>
      <c r="AH187" s="197"/>
      <c r="AI187" s="197"/>
      <c r="AJ187" s="197"/>
      <c r="AK187" s="197"/>
      <c r="AL187" s="197"/>
      <c r="AM187" s="197"/>
      <c r="AN187" s="197"/>
      <c r="AO187" s="197"/>
      <c r="AP187" s="197"/>
      <c r="AQ187" s="197"/>
      <c r="AR187" s="197"/>
      <c r="AS187" s="197"/>
      <c r="AT187" s="197"/>
      <c r="AU187" s="197"/>
      <c r="AV187" s="197"/>
      <c r="AW187" s="197"/>
      <c r="AX187" s="197"/>
      <c r="AY187" s="197"/>
      <c r="AZ187" s="197"/>
      <c r="BA187" s="197"/>
      <c r="BB187" s="197"/>
      <c r="BC187" s="197"/>
      <c r="BD187" s="197"/>
      <c r="BE187" s="197"/>
      <c r="BF187" s="197"/>
      <c r="BG187" s="197"/>
      <c r="BH187" s="197"/>
      <c r="BI187" s="197"/>
      <c r="BJ187" s="197"/>
      <c r="BK187" s="197"/>
      <c r="BL187" s="197"/>
      <c r="BM187" s="197"/>
      <c r="BN187" s="197"/>
      <c r="BO187" s="197"/>
      <c r="BP187" s="197"/>
    </row>
    <row r="188" spans="1:68" ht="20" customHeight="1" x14ac:dyDescent="0.15">
      <c r="A188" s="197"/>
      <c r="B188" s="197"/>
      <c r="C188" s="193"/>
      <c r="D188" s="197"/>
      <c r="E188" s="197"/>
      <c r="F188" s="214"/>
      <c r="G188" s="197"/>
      <c r="H188" s="197"/>
      <c r="I188" s="197"/>
      <c r="J188" s="197"/>
      <c r="K188" s="197"/>
      <c r="L188" s="197"/>
      <c r="M188" s="197"/>
      <c r="N188" s="197"/>
      <c r="O188" s="197"/>
      <c r="P188" s="197"/>
      <c r="Q188" s="197"/>
      <c r="R188" s="197"/>
      <c r="S188" s="197"/>
      <c r="T188" s="197"/>
      <c r="U188" s="197"/>
      <c r="V188" s="197"/>
      <c r="W188" s="197"/>
      <c r="X188" s="197"/>
      <c r="Y188" s="197"/>
      <c r="Z188" s="197"/>
      <c r="AA188" s="197"/>
      <c r="AB188" s="197"/>
      <c r="AC188" s="197"/>
      <c r="AD188" s="197"/>
      <c r="AE188" s="197"/>
      <c r="AF188" s="197"/>
      <c r="AG188" s="197"/>
      <c r="AH188" s="197"/>
      <c r="AI188" s="197"/>
      <c r="AJ188" s="197"/>
      <c r="AK188" s="197"/>
      <c r="AL188" s="197"/>
      <c r="AM188" s="197"/>
      <c r="AN188" s="197"/>
      <c r="AO188" s="197"/>
      <c r="AP188" s="197"/>
      <c r="AQ188" s="197"/>
      <c r="AR188" s="197"/>
      <c r="AS188" s="197"/>
      <c r="AT188" s="197"/>
      <c r="AU188" s="197"/>
      <c r="AV188" s="197"/>
      <c r="AW188" s="197"/>
      <c r="AX188" s="197"/>
      <c r="AY188" s="197"/>
      <c r="AZ188" s="197"/>
      <c r="BA188" s="197"/>
      <c r="BB188" s="197"/>
      <c r="BC188" s="197"/>
      <c r="BD188" s="197"/>
      <c r="BE188" s="197"/>
      <c r="BF188" s="197"/>
      <c r="BG188" s="197"/>
      <c r="BH188" s="197"/>
      <c r="BI188" s="197"/>
      <c r="BJ188" s="197"/>
      <c r="BK188" s="197"/>
      <c r="BL188" s="197"/>
      <c r="BM188" s="197"/>
      <c r="BN188" s="197"/>
      <c r="BO188" s="197"/>
      <c r="BP188" s="197"/>
    </row>
    <row r="189" spans="1:68" ht="20" customHeight="1" x14ac:dyDescent="0.15">
      <c r="A189" s="197"/>
      <c r="B189" s="197"/>
      <c r="C189" s="193"/>
      <c r="D189" s="197"/>
      <c r="E189" s="197"/>
      <c r="F189" s="214"/>
      <c r="G189" s="197"/>
      <c r="H189" s="197"/>
      <c r="I189" s="197"/>
      <c r="J189" s="197"/>
      <c r="K189" s="197"/>
      <c r="L189" s="197"/>
      <c r="M189" s="197"/>
      <c r="N189" s="197"/>
      <c r="O189" s="197"/>
      <c r="P189" s="197"/>
      <c r="Q189" s="197"/>
      <c r="R189" s="197"/>
      <c r="S189" s="197"/>
      <c r="T189" s="197"/>
      <c r="U189" s="197"/>
      <c r="V189" s="197"/>
      <c r="W189" s="197"/>
      <c r="X189" s="197"/>
      <c r="Y189" s="197"/>
      <c r="Z189" s="197"/>
      <c r="AA189" s="197"/>
      <c r="AB189" s="197"/>
      <c r="AC189" s="197"/>
      <c r="AD189" s="197"/>
      <c r="AE189" s="197"/>
      <c r="AF189" s="197"/>
      <c r="AG189" s="197"/>
      <c r="AH189" s="197"/>
      <c r="AI189" s="197"/>
      <c r="AJ189" s="197"/>
      <c r="AK189" s="197"/>
      <c r="AL189" s="197"/>
      <c r="AM189" s="197"/>
      <c r="AN189" s="197"/>
      <c r="AO189" s="197"/>
      <c r="AP189" s="197"/>
      <c r="AQ189" s="197"/>
      <c r="AR189" s="197"/>
      <c r="AS189" s="197"/>
      <c r="AT189" s="197"/>
      <c r="AU189" s="197"/>
      <c r="AV189" s="197"/>
      <c r="AW189" s="197"/>
      <c r="AX189" s="197"/>
      <c r="AY189" s="197"/>
      <c r="AZ189" s="197"/>
      <c r="BA189" s="197"/>
      <c r="BB189" s="197"/>
      <c r="BC189" s="197"/>
      <c r="BD189" s="197"/>
      <c r="BE189" s="197"/>
      <c r="BF189" s="197"/>
      <c r="BG189" s="197"/>
      <c r="BH189" s="197"/>
      <c r="BI189" s="197"/>
      <c r="BJ189" s="197"/>
      <c r="BK189" s="197"/>
      <c r="BL189" s="197"/>
      <c r="BM189" s="197"/>
      <c r="BN189" s="197"/>
      <c r="BO189" s="197"/>
      <c r="BP189" s="197"/>
    </row>
    <row r="190" spans="1:68" ht="20" customHeight="1" x14ac:dyDescent="0.15">
      <c r="A190" s="197"/>
      <c r="B190" s="197"/>
      <c r="C190" s="193"/>
      <c r="D190" s="197"/>
      <c r="E190" s="197"/>
      <c r="F190" s="214"/>
      <c r="G190" s="197"/>
      <c r="H190" s="197"/>
      <c r="I190" s="197"/>
      <c r="J190" s="197"/>
      <c r="K190" s="197"/>
      <c r="L190" s="197"/>
      <c r="M190" s="197"/>
      <c r="N190" s="197"/>
      <c r="O190" s="197"/>
      <c r="P190" s="197"/>
      <c r="Q190" s="197"/>
      <c r="R190" s="197"/>
      <c r="S190" s="197"/>
      <c r="T190" s="197"/>
      <c r="U190" s="197"/>
      <c r="V190" s="197"/>
      <c r="W190" s="197"/>
      <c r="X190" s="197"/>
      <c r="Y190" s="197"/>
      <c r="Z190" s="197"/>
      <c r="AA190" s="197"/>
      <c r="AB190" s="197"/>
      <c r="AC190" s="197"/>
      <c r="AD190" s="197"/>
      <c r="AE190" s="197"/>
      <c r="AF190" s="197"/>
      <c r="AG190" s="197"/>
      <c r="AH190" s="197"/>
      <c r="AI190" s="197"/>
      <c r="AJ190" s="197"/>
      <c r="AK190" s="197"/>
      <c r="AL190" s="197"/>
      <c r="AM190" s="197"/>
      <c r="AN190" s="197"/>
      <c r="AO190" s="197"/>
      <c r="AP190" s="197"/>
      <c r="AQ190" s="197"/>
      <c r="AR190" s="197"/>
      <c r="AS190" s="197"/>
      <c r="AT190" s="197"/>
      <c r="AU190" s="197"/>
      <c r="AV190" s="197"/>
      <c r="AW190" s="197"/>
      <c r="AX190" s="197"/>
      <c r="AY190" s="197"/>
      <c r="AZ190" s="197"/>
      <c r="BA190" s="197"/>
      <c r="BB190" s="197"/>
      <c r="BC190" s="197"/>
      <c r="BD190" s="197"/>
      <c r="BE190" s="197"/>
      <c r="BF190" s="197"/>
      <c r="BG190" s="197"/>
      <c r="BH190" s="197"/>
      <c r="BI190" s="197"/>
      <c r="BJ190" s="197"/>
      <c r="BK190" s="197"/>
      <c r="BL190" s="197"/>
      <c r="BM190" s="197"/>
      <c r="BN190" s="197"/>
      <c r="BO190" s="197"/>
      <c r="BP190" s="197"/>
    </row>
    <row r="191" spans="1:68" ht="20" customHeight="1" x14ac:dyDescent="0.15">
      <c r="A191" s="197"/>
      <c r="B191" s="197"/>
      <c r="C191" s="193"/>
      <c r="D191" s="197"/>
      <c r="E191" s="197"/>
      <c r="F191" s="214"/>
      <c r="G191" s="197"/>
      <c r="H191" s="197"/>
      <c r="I191" s="197"/>
      <c r="J191" s="197"/>
      <c r="K191" s="197"/>
      <c r="L191" s="197"/>
      <c r="M191" s="197"/>
      <c r="N191" s="197"/>
      <c r="O191" s="197"/>
      <c r="P191" s="197"/>
      <c r="Q191" s="197"/>
      <c r="R191" s="197"/>
      <c r="S191" s="197"/>
      <c r="T191" s="197"/>
      <c r="U191" s="197"/>
      <c r="V191" s="197"/>
      <c r="W191" s="197"/>
      <c r="X191" s="197"/>
      <c r="Y191" s="197"/>
      <c r="Z191" s="197"/>
      <c r="AA191" s="197"/>
      <c r="AB191" s="197"/>
      <c r="AC191" s="197"/>
      <c r="AD191" s="197"/>
      <c r="AE191" s="197"/>
      <c r="AF191" s="197"/>
      <c r="AG191" s="197"/>
      <c r="AH191" s="197"/>
      <c r="AI191" s="197"/>
      <c r="AJ191" s="197"/>
      <c r="AK191" s="197"/>
      <c r="AL191" s="197"/>
      <c r="AM191" s="197"/>
      <c r="AN191" s="197"/>
      <c r="AO191" s="197"/>
      <c r="AP191" s="197"/>
      <c r="AQ191" s="197"/>
      <c r="AR191" s="197"/>
      <c r="AS191" s="197"/>
      <c r="AT191" s="197"/>
      <c r="AU191" s="197"/>
      <c r="AV191" s="197"/>
      <c r="AW191" s="197"/>
      <c r="AX191" s="197"/>
      <c r="AY191" s="197"/>
      <c r="AZ191" s="197"/>
      <c r="BA191" s="197"/>
      <c r="BB191" s="197"/>
      <c r="BC191" s="197"/>
      <c r="BD191" s="197"/>
      <c r="BE191" s="197"/>
      <c r="BF191" s="197"/>
      <c r="BG191" s="197"/>
      <c r="BH191" s="197"/>
      <c r="BI191" s="197"/>
      <c r="BJ191" s="197"/>
      <c r="BK191" s="197"/>
      <c r="BL191" s="197"/>
      <c r="BM191" s="197"/>
      <c r="BN191" s="197"/>
      <c r="BO191" s="197"/>
      <c r="BP191" s="197"/>
    </row>
    <row r="192" spans="1:68" ht="20" customHeight="1" x14ac:dyDescent="0.15">
      <c r="A192" s="197"/>
      <c r="B192" s="197"/>
      <c r="C192" s="193"/>
      <c r="D192" s="197"/>
      <c r="E192" s="197"/>
      <c r="F192" s="214"/>
      <c r="G192" s="197"/>
      <c r="H192" s="197"/>
      <c r="I192" s="197"/>
      <c r="J192" s="197"/>
      <c r="K192" s="197"/>
      <c r="L192" s="197"/>
      <c r="M192" s="197"/>
      <c r="N192" s="197"/>
      <c r="O192" s="197"/>
      <c r="P192" s="197"/>
      <c r="Q192" s="197"/>
      <c r="R192" s="197"/>
      <c r="S192" s="197"/>
      <c r="T192" s="197"/>
      <c r="U192" s="197"/>
      <c r="V192" s="197"/>
      <c r="W192" s="197"/>
      <c r="X192" s="197"/>
      <c r="Y192" s="197"/>
      <c r="Z192" s="197"/>
      <c r="AA192" s="197"/>
      <c r="AB192" s="197"/>
      <c r="AC192" s="197"/>
      <c r="AD192" s="197"/>
      <c r="AE192" s="197"/>
      <c r="AF192" s="197"/>
      <c r="AG192" s="197"/>
      <c r="AH192" s="197"/>
      <c r="AI192" s="197"/>
      <c r="AJ192" s="197"/>
      <c r="AK192" s="197"/>
      <c r="AL192" s="197"/>
      <c r="AM192" s="197"/>
      <c r="AN192" s="197"/>
      <c r="AO192" s="197"/>
      <c r="AP192" s="197"/>
      <c r="AQ192" s="197"/>
      <c r="AR192" s="197"/>
      <c r="AS192" s="197"/>
      <c r="AT192" s="197"/>
      <c r="AU192" s="197"/>
      <c r="AV192" s="197"/>
      <c r="AW192" s="197"/>
      <c r="AX192" s="197"/>
      <c r="AY192" s="197"/>
      <c r="AZ192" s="197"/>
      <c r="BA192" s="197"/>
      <c r="BB192" s="197"/>
      <c r="BC192" s="197"/>
      <c r="BD192" s="197"/>
      <c r="BE192" s="197"/>
      <c r="BF192" s="197"/>
      <c r="BG192" s="197"/>
      <c r="BH192" s="197"/>
      <c r="BI192" s="197"/>
      <c r="BJ192" s="197"/>
      <c r="BK192" s="197"/>
      <c r="BL192" s="197"/>
      <c r="BM192" s="197"/>
      <c r="BN192" s="197"/>
      <c r="BO192" s="197"/>
      <c r="BP192" s="197"/>
    </row>
    <row r="193" spans="1:68" ht="20" customHeight="1" x14ac:dyDescent="0.15">
      <c r="A193" s="197"/>
      <c r="B193" s="197"/>
      <c r="C193" s="193"/>
      <c r="D193" s="197"/>
      <c r="E193" s="197"/>
      <c r="F193" s="214"/>
      <c r="G193" s="197"/>
      <c r="H193" s="197"/>
      <c r="I193" s="197"/>
      <c r="J193" s="197"/>
      <c r="K193" s="197"/>
      <c r="L193" s="197"/>
      <c r="M193" s="197"/>
      <c r="N193" s="197"/>
      <c r="O193" s="197"/>
      <c r="P193" s="197"/>
      <c r="Q193" s="197"/>
      <c r="R193" s="197"/>
      <c r="S193" s="197"/>
      <c r="T193" s="197"/>
      <c r="U193" s="197"/>
      <c r="V193" s="197"/>
      <c r="W193" s="197"/>
      <c r="X193" s="197"/>
      <c r="Y193" s="197"/>
      <c r="Z193" s="197"/>
      <c r="AA193" s="197"/>
      <c r="AB193" s="197"/>
      <c r="AC193" s="197"/>
      <c r="AD193" s="197"/>
      <c r="AE193" s="197"/>
      <c r="AF193" s="197"/>
      <c r="AG193" s="197"/>
      <c r="AH193" s="197"/>
      <c r="AI193" s="197"/>
      <c r="AJ193" s="197"/>
      <c r="AK193" s="197"/>
      <c r="AL193" s="197"/>
      <c r="AM193" s="197"/>
      <c r="AN193" s="197"/>
      <c r="AO193" s="197"/>
      <c r="AP193" s="197"/>
      <c r="AQ193" s="197"/>
      <c r="AR193" s="197"/>
      <c r="AS193" s="197"/>
      <c r="AT193" s="197"/>
      <c r="AU193" s="197"/>
      <c r="AV193" s="197"/>
      <c r="AW193" s="197"/>
      <c r="AX193" s="197"/>
      <c r="AY193" s="197"/>
      <c r="AZ193" s="197"/>
      <c r="BA193" s="197"/>
      <c r="BB193" s="197"/>
      <c r="BC193" s="197"/>
      <c r="BD193" s="197"/>
      <c r="BE193" s="197"/>
      <c r="BF193" s="197"/>
      <c r="BG193" s="197"/>
      <c r="BH193" s="197"/>
      <c r="BI193" s="197"/>
      <c r="BJ193" s="197"/>
      <c r="BK193" s="197"/>
      <c r="BL193" s="197"/>
      <c r="BM193" s="197"/>
      <c r="BN193" s="197"/>
      <c r="BO193" s="197"/>
      <c r="BP193" s="197"/>
    </row>
    <row r="194" spans="1:68" ht="20" customHeight="1" x14ac:dyDescent="0.15">
      <c r="A194" s="197"/>
      <c r="B194" s="197"/>
      <c r="C194" s="193"/>
      <c r="D194" s="197"/>
      <c r="E194" s="197"/>
      <c r="F194" s="214"/>
      <c r="G194" s="197"/>
      <c r="H194" s="197"/>
      <c r="I194" s="197"/>
      <c r="J194" s="197"/>
      <c r="K194" s="197"/>
      <c r="L194" s="197"/>
      <c r="M194" s="197"/>
      <c r="N194" s="197"/>
      <c r="O194" s="197"/>
      <c r="P194" s="197"/>
      <c r="Q194" s="197"/>
      <c r="R194" s="197"/>
      <c r="S194" s="197"/>
      <c r="T194" s="197"/>
      <c r="U194" s="197"/>
      <c r="V194" s="197"/>
      <c r="W194" s="197"/>
      <c r="X194" s="197"/>
      <c r="Y194" s="197"/>
      <c r="Z194" s="197"/>
      <c r="AA194" s="197"/>
      <c r="AB194" s="197"/>
      <c r="AC194" s="197"/>
      <c r="AD194" s="197"/>
      <c r="AE194" s="197"/>
      <c r="AF194" s="197"/>
      <c r="AG194" s="197"/>
      <c r="AH194" s="197"/>
      <c r="AI194" s="197"/>
      <c r="AJ194" s="197"/>
      <c r="AK194" s="197"/>
      <c r="AL194" s="197"/>
      <c r="AM194" s="197"/>
      <c r="AN194" s="197"/>
      <c r="AO194" s="197"/>
      <c r="AP194" s="197"/>
      <c r="AQ194" s="197"/>
      <c r="AR194" s="197"/>
      <c r="AS194" s="197"/>
      <c r="AT194" s="197"/>
      <c r="AU194" s="197"/>
      <c r="AV194" s="197"/>
      <c r="AW194" s="197"/>
      <c r="AX194" s="197"/>
      <c r="AY194" s="197"/>
      <c r="AZ194" s="197"/>
      <c r="BA194" s="197"/>
      <c r="BB194" s="197"/>
      <c r="BC194" s="197"/>
      <c r="BD194" s="197"/>
      <c r="BE194" s="197"/>
      <c r="BF194" s="197"/>
      <c r="BG194" s="197"/>
      <c r="BH194" s="197"/>
      <c r="BI194" s="197"/>
      <c r="BJ194" s="197"/>
      <c r="BK194" s="197"/>
      <c r="BL194" s="197"/>
      <c r="BM194" s="197"/>
      <c r="BN194" s="197"/>
      <c r="BO194" s="197"/>
      <c r="BP194" s="197"/>
    </row>
    <row r="195" spans="1:68" ht="20" customHeight="1" x14ac:dyDescent="0.15">
      <c r="A195" s="197"/>
      <c r="B195" s="197"/>
      <c r="C195" s="193"/>
      <c r="D195" s="197"/>
      <c r="E195" s="197"/>
      <c r="F195" s="214"/>
      <c r="G195" s="197"/>
      <c r="H195" s="197"/>
      <c r="I195" s="197"/>
      <c r="J195" s="197"/>
      <c r="K195" s="197"/>
      <c r="L195" s="197"/>
      <c r="M195" s="197"/>
      <c r="N195" s="197"/>
      <c r="O195" s="197"/>
      <c r="P195" s="197"/>
      <c r="Q195" s="197"/>
      <c r="R195" s="197"/>
      <c r="S195" s="197"/>
      <c r="T195" s="197"/>
      <c r="U195" s="197"/>
      <c r="V195" s="197"/>
      <c r="W195" s="197"/>
      <c r="X195" s="197"/>
      <c r="Y195" s="197"/>
      <c r="Z195" s="197"/>
      <c r="AA195" s="197"/>
      <c r="AB195" s="197"/>
      <c r="AC195" s="197"/>
      <c r="AD195" s="197"/>
      <c r="AE195" s="197"/>
      <c r="AF195" s="197"/>
      <c r="AG195" s="197"/>
      <c r="AH195" s="197"/>
      <c r="AI195" s="197"/>
      <c r="AJ195" s="197"/>
      <c r="AK195" s="197"/>
      <c r="AL195" s="197"/>
      <c r="AM195" s="197"/>
      <c r="AN195" s="197"/>
      <c r="AO195" s="197"/>
      <c r="AP195" s="197"/>
      <c r="AQ195" s="197"/>
      <c r="AR195" s="197"/>
      <c r="AS195" s="197"/>
      <c r="AT195" s="197"/>
      <c r="AU195" s="197"/>
      <c r="AV195" s="197"/>
      <c r="AW195" s="197"/>
      <c r="AX195" s="197"/>
      <c r="AY195" s="197"/>
      <c r="AZ195" s="197"/>
      <c r="BA195" s="197"/>
      <c r="BB195" s="197"/>
      <c r="BC195" s="197"/>
      <c r="BD195" s="197"/>
      <c r="BE195" s="197"/>
      <c r="BF195" s="197"/>
      <c r="BG195" s="197"/>
      <c r="BH195" s="197"/>
      <c r="BI195" s="197"/>
      <c r="BJ195" s="197"/>
      <c r="BK195" s="197"/>
      <c r="BL195" s="197"/>
      <c r="BM195" s="197"/>
      <c r="BN195" s="197"/>
      <c r="BO195" s="197"/>
      <c r="BP195" s="197"/>
    </row>
    <row r="196" spans="1:68" ht="20" customHeight="1" x14ac:dyDescent="0.15">
      <c r="A196" s="197"/>
      <c r="B196" s="197"/>
      <c r="C196" s="193"/>
      <c r="D196" s="197"/>
      <c r="E196" s="197"/>
      <c r="F196" s="214"/>
      <c r="G196" s="197"/>
      <c r="H196" s="197"/>
      <c r="I196" s="197"/>
      <c r="J196" s="197"/>
      <c r="K196" s="197"/>
      <c r="L196" s="197"/>
      <c r="M196" s="197"/>
      <c r="N196" s="197"/>
      <c r="O196" s="197"/>
      <c r="P196" s="197"/>
      <c r="Q196" s="197"/>
      <c r="R196" s="197"/>
      <c r="S196" s="197"/>
      <c r="T196" s="197"/>
      <c r="U196" s="197"/>
      <c r="V196" s="197"/>
      <c r="W196" s="197"/>
      <c r="X196" s="197"/>
      <c r="Y196" s="197"/>
      <c r="Z196" s="197"/>
      <c r="AA196" s="197"/>
      <c r="AB196" s="197"/>
      <c r="AC196" s="197"/>
      <c r="AD196" s="197"/>
      <c r="AE196" s="197"/>
      <c r="AF196" s="197"/>
      <c r="AG196" s="197"/>
      <c r="AH196" s="197"/>
      <c r="AI196" s="197"/>
      <c r="AJ196" s="197"/>
      <c r="AK196" s="197"/>
      <c r="AL196" s="197"/>
      <c r="AM196" s="197"/>
      <c r="AN196" s="197"/>
      <c r="AO196" s="197"/>
      <c r="AP196" s="197"/>
      <c r="AQ196" s="197"/>
      <c r="AR196" s="197"/>
      <c r="AS196" s="197"/>
      <c r="AT196" s="197"/>
      <c r="AU196" s="197"/>
      <c r="AV196" s="197"/>
      <c r="AW196" s="197"/>
      <c r="AX196" s="197"/>
      <c r="AY196" s="197"/>
      <c r="AZ196" s="197"/>
      <c r="BA196" s="197"/>
      <c r="BB196" s="197"/>
      <c r="BC196" s="197"/>
      <c r="BD196" s="197"/>
      <c r="BE196" s="197"/>
      <c r="BF196" s="197"/>
      <c r="BG196" s="197"/>
      <c r="BH196" s="197"/>
      <c r="BI196" s="197"/>
      <c r="BJ196" s="197"/>
      <c r="BK196" s="197"/>
      <c r="BL196" s="197"/>
      <c r="BM196" s="197"/>
      <c r="BN196" s="197"/>
      <c r="BO196" s="197"/>
      <c r="BP196" s="197"/>
    </row>
    <row r="197" spans="1:68" ht="20" customHeight="1" x14ac:dyDescent="0.15">
      <c r="A197" s="197"/>
      <c r="B197" s="197"/>
      <c r="C197" s="193"/>
      <c r="D197" s="197"/>
      <c r="E197" s="197"/>
      <c r="F197" s="214"/>
      <c r="G197" s="197"/>
      <c r="H197" s="197"/>
      <c r="I197" s="197"/>
      <c r="J197" s="197"/>
      <c r="K197" s="197"/>
      <c r="L197" s="197"/>
      <c r="M197" s="197"/>
      <c r="N197" s="197"/>
      <c r="O197" s="197"/>
      <c r="P197" s="197"/>
      <c r="Q197" s="197"/>
      <c r="R197" s="197"/>
      <c r="S197" s="197"/>
      <c r="T197" s="197"/>
      <c r="U197" s="197"/>
      <c r="V197" s="197"/>
      <c r="W197" s="197"/>
      <c r="X197" s="197"/>
      <c r="Y197" s="197"/>
      <c r="Z197" s="197"/>
      <c r="AA197" s="197"/>
      <c r="AB197" s="197"/>
      <c r="AC197" s="197"/>
      <c r="AD197" s="197"/>
      <c r="AE197" s="197"/>
      <c r="AF197" s="197"/>
      <c r="AG197" s="197"/>
      <c r="AH197" s="197"/>
      <c r="AI197" s="197"/>
      <c r="AJ197" s="197"/>
      <c r="AK197" s="197"/>
      <c r="AL197" s="197"/>
      <c r="AM197" s="197"/>
      <c r="AN197" s="197"/>
      <c r="AO197" s="197"/>
      <c r="AP197" s="197"/>
      <c r="AQ197" s="197"/>
      <c r="AR197" s="197"/>
      <c r="AS197" s="197"/>
      <c r="AT197" s="197"/>
      <c r="AU197" s="197"/>
      <c r="AV197" s="197"/>
      <c r="AW197" s="197"/>
      <c r="AX197" s="197"/>
      <c r="AY197" s="197"/>
      <c r="AZ197" s="197"/>
      <c r="BA197" s="197"/>
      <c r="BB197" s="197"/>
      <c r="BC197" s="197"/>
      <c r="BD197" s="197"/>
      <c r="BE197" s="197"/>
      <c r="BF197" s="197"/>
      <c r="BG197" s="197"/>
      <c r="BH197" s="197"/>
      <c r="BI197" s="197"/>
      <c r="BJ197" s="197"/>
      <c r="BK197" s="197"/>
      <c r="BL197" s="197"/>
      <c r="BM197" s="197"/>
      <c r="BN197" s="197"/>
      <c r="BO197" s="197"/>
      <c r="BP197" s="197"/>
    </row>
    <row r="198" spans="1:68" ht="20" customHeight="1" x14ac:dyDescent="0.15">
      <c r="A198" s="197"/>
      <c r="B198" s="197"/>
      <c r="C198" s="193"/>
      <c r="D198" s="197"/>
      <c r="E198" s="197"/>
      <c r="F198" s="214"/>
      <c r="G198" s="197"/>
      <c r="H198" s="197"/>
      <c r="I198" s="197"/>
      <c r="J198" s="197"/>
      <c r="K198" s="197"/>
      <c r="L198" s="197"/>
      <c r="M198" s="197"/>
      <c r="N198" s="197"/>
      <c r="O198" s="197"/>
      <c r="P198" s="197"/>
      <c r="Q198" s="197"/>
      <c r="R198" s="197"/>
      <c r="S198" s="197"/>
      <c r="T198" s="197"/>
      <c r="U198" s="197"/>
      <c r="V198" s="197"/>
      <c r="W198" s="197"/>
      <c r="X198" s="197"/>
      <c r="Y198" s="197"/>
      <c r="Z198" s="197"/>
      <c r="AA198" s="197"/>
      <c r="AB198" s="197"/>
      <c r="AC198" s="197"/>
      <c r="AD198" s="197"/>
      <c r="AE198" s="197"/>
      <c r="AF198" s="197"/>
      <c r="AG198" s="197"/>
      <c r="AH198" s="197"/>
      <c r="AI198" s="197"/>
      <c r="AJ198" s="197"/>
      <c r="AK198" s="197"/>
      <c r="AL198" s="197"/>
      <c r="AM198" s="197"/>
      <c r="AN198" s="197"/>
      <c r="AO198" s="197"/>
      <c r="AP198" s="197"/>
      <c r="AQ198" s="197"/>
      <c r="AR198" s="197"/>
      <c r="AS198" s="197"/>
      <c r="AT198" s="197"/>
      <c r="AU198" s="197"/>
      <c r="AV198" s="197"/>
      <c r="AW198" s="197"/>
      <c r="AX198" s="197"/>
      <c r="AY198" s="197"/>
      <c r="AZ198" s="197"/>
      <c r="BA198" s="197"/>
      <c r="BB198" s="197"/>
      <c r="BC198" s="197"/>
      <c r="BD198" s="197"/>
      <c r="BE198" s="197"/>
      <c r="BF198" s="197"/>
      <c r="BG198" s="197"/>
      <c r="BH198" s="197"/>
      <c r="BI198" s="197"/>
      <c r="BJ198" s="197"/>
      <c r="BK198" s="197"/>
      <c r="BL198" s="197"/>
      <c r="BM198" s="197"/>
      <c r="BN198" s="197"/>
      <c r="BO198" s="197"/>
      <c r="BP198" s="197"/>
    </row>
    <row r="199" spans="1:68" ht="20" customHeight="1" x14ac:dyDescent="0.15">
      <c r="A199" s="197"/>
      <c r="B199" s="197"/>
      <c r="C199" s="193"/>
      <c r="D199" s="197"/>
      <c r="E199" s="197"/>
      <c r="F199" s="214"/>
      <c r="G199" s="197"/>
      <c r="H199" s="197"/>
      <c r="I199" s="197"/>
      <c r="J199" s="197"/>
      <c r="K199" s="197"/>
      <c r="L199" s="197"/>
      <c r="M199" s="197"/>
      <c r="N199" s="197"/>
      <c r="O199" s="197"/>
      <c r="P199" s="197"/>
      <c r="Q199" s="197"/>
      <c r="R199" s="197"/>
      <c r="S199" s="197"/>
      <c r="T199" s="197"/>
      <c r="U199" s="197"/>
      <c r="V199" s="197"/>
      <c r="W199" s="197"/>
      <c r="X199" s="197"/>
      <c r="Y199" s="197"/>
      <c r="Z199" s="197"/>
      <c r="AA199" s="197"/>
      <c r="AB199" s="197"/>
      <c r="AC199" s="197"/>
      <c r="AD199" s="197"/>
      <c r="AE199" s="197"/>
      <c r="AF199" s="197"/>
      <c r="AG199" s="197"/>
      <c r="AH199" s="197"/>
      <c r="AI199" s="197"/>
      <c r="AJ199" s="197"/>
      <c r="AK199" s="197"/>
      <c r="AL199" s="197"/>
      <c r="AM199" s="197"/>
      <c r="AN199" s="197"/>
      <c r="AO199" s="197"/>
      <c r="AP199" s="197"/>
      <c r="AQ199" s="197"/>
      <c r="AR199" s="197"/>
      <c r="AS199" s="197"/>
      <c r="AT199" s="197"/>
      <c r="AU199" s="197"/>
      <c r="AV199" s="197"/>
      <c r="AW199" s="197"/>
      <c r="AX199" s="197"/>
      <c r="AY199" s="197"/>
      <c r="AZ199" s="197"/>
      <c r="BA199" s="197"/>
      <c r="BB199" s="197"/>
      <c r="BC199" s="197"/>
      <c r="BD199" s="197"/>
      <c r="BE199" s="197"/>
      <c r="BF199" s="197"/>
      <c r="BG199" s="197"/>
      <c r="BH199" s="197"/>
      <c r="BI199" s="197"/>
      <c r="BJ199" s="197"/>
      <c r="BK199" s="197"/>
      <c r="BL199" s="197"/>
      <c r="BM199" s="197"/>
      <c r="BN199" s="197"/>
      <c r="BO199" s="197"/>
      <c r="BP199" s="197"/>
    </row>
    <row r="200" spans="1:68" ht="20" customHeight="1" x14ac:dyDescent="0.15">
      <c r="A200" s="197"/>
      <c r="B200" s="197"/>
      <c r="C200" s="193"/>
      <c r="D200" s="197"/>
      <c r="E200" s="197"/>
      <c r="F200" s="214"/>
      <c r="G200" s="197"/>
      <c r="H200" s="197"/>
      <c r="I200" s="197"/>
      <c r="J200" s="197"/>
      <c r="K200" s="197"/>
      <c r="L200" s="197"/>
      <c r="M200" s="197"/>
      <c r="N200" s="197"/>
      <c r="O200" s="197"/>
      <c r="P200" s="197"/>
      <c r="Q200" s="197"/>
      <c r="R200" s="197"/>
      <c r="S200" s="197"/>
      <c r="T200" s="197"/>
      <c r="U200" s="197"/>
      <c r="V200" s="197"/>
      <c r="W200" s="197"/>
      <c r="X200" s="197"/>
      <c r="Y200" s="197"/>
      <c r="Z200" s="197"/>
      <c r="AA200" s="197"/>
      <c r="AB200" s="197"/>
      <c r="AC200" s="197"/>
      <c r="AD200" s="197"/>
      <c r="AE200" s="197"/>
      <c r="AF200" s="197"/>
      <c r="AG200" s="197"/>
      <c r="AH200" s="197"/>
      <c r="AI200" s="197"/>
      <c r="AJ200" s="197"/>
      <c r="AK200" s="197"/>
      <c r="AL200" s="197"/>
      <c r="AM200" s="197"/>
      <c r="AN200" s="197"/>
      <c r="AO200" s="197"/>
      <c r="AP200" s="197"/>
      <c r="AQ200" s="197"/>
      <c r="AR200" s="197"/>
      <c r="AS200" s="197"/>
      <c r="AT200" s="197"/>
      <c r="AU200" s="197"/>
      <c r="AV200" s="197"/>
      <c r="AW200" s="197"/>
      <c r="AX200" s="197"/>
      <c r="AY200" s="197"/>
      <c r="AZ200" s="197"/>
      <c r="BA200" s="197"/>
      <c r="BB200" s="197"/>
      <c r="BC200" s="197"/>
      <c r="BD200" s="197"/>
      <c r="BE200" s="197"/>
      <c r="BF200" s="197"/>
      <c r="BG200" s="197"/>
      <c r="BH200" s="197"/>
      <c r="BI200" s="197"/>
      <c r="BJ200" s="197"/>
      <c r="BK200" s="197"/>
      <c r="BL200" s="197"/>
      <c r="BM200" s="197"/>
      <c r="BN200" s="197"/>
      <c r="BO200" s="197"/>
      <c r="BP200" s="197"/>
    </row>
    <row r="201" spans="1:68" ht="20" customHeight="1" x14ac:dyDescent="0.15">
      <c r="A201" s="197"/>
      <c r="B201" s="197"/>
      <c r="C201" s="193"/>
      <c r="D201" s="197"/>
      <c r="E201" s="197"/>
      <c r="F201" s="214"/>
      <c r="G201" s="197"/>
      <c r="H201" s="197"/>
      <c r="I201" s="197"/>
      <c r="J201" s="197"/>
      <c r="K201" s="197"/>
      <c r="L201" s="197"/>
      <c r="M201" s="197"/>
      <c r="N201" s="197"/>
      <c r="O201" s="197"/>
      <c r="P201" s="197"/>
      <c r="Q201" s="197"/>
      <c r="R201" s="197"/>
      <c r="S201" s="197"/>
      <c r="T201" s="197"/>
      <c r="U201" s="197"/>
      <c r="V201" s="197"/>
      <c r="W201" s="197"/>
      <c r="X201" s="197"/>
      <c r="Y201" s="197"/>
      <c r="Z201" s="197"/>
      <c r="AA201" s="197"/>
      <c r="AB201" s="197"/>
      <c r="AC201" s="197"/>
      <c r="AD201" s="197"/>
      <c r="AE201" s="197"/>
      <c r="AF201" s="197"/>
      <c r="AG201" s="197"/>
      <c r="AH201" s="197"/>
      <c r="AI201" s="197"/>
      <c r="AJ201" s="197"/>
      <c r="AK201" s="197"/>
      <c r="AL201" s="197"/>
      <c r="AM201" s="197"/>
      <c r="AN201" s="197"/>
      <c r="AO201" s="197"/>
      <c r="AP201" s="197"/>
      <c r="AQ201" s="197"/>
      <c r="AR201" s="197"/>
      <c r="AS201" s="197"/>
      <c r="AT201" s="197"/>
      <c r="AU201" s="197"/>
      <c r="AV201" s="197"/>
      <c r="AW201" s="197"/>
      <c r="AX201" s="197"/>
      <c r="AY201" s="197"/>
      <c r="AZ201" s="197"/>
      <c r="BA201" s="197"/>
      <c r="BB201" s="197"/>
      <c r="BC201" s="197"/>
      <c r="BD201" s="197"/>
      <c r="BE201" s="197"/>
      <c r="BF201" s="197"/>
      <c r="BG201" s="197"/>
      <c r="BH201" s="197"/>
      <c r="BI201" s="197"/>
      <c r="BJ201" s="197"/>
      <c r="BK201" s="197"/>
      <c r="BL201" s="197"/>
      <c r="BM201" s="197"/>
      <c r="BN201" s="197"/>
      <c r="BO201" s="197"/>
      <c r="BP201" s="197"/>
    </row>
    <row r="202" spans="1:68" ht="20" customHeight="1" x14ac:dyDescent="0.15">
      <c r="A202" s="197"/>
      <c r="B202" s="197"/>
      <c r="C202" s="193"/>
      <c r="D202" s="197"/>
      <c r="E202" s="197"/>
      <c r="F202" s="214"/>
      <c r="G202" s="197"/>
      <c r="H202" s="197"/>
      <c r="I202" s="197"/>
      <c r="J202" s="197"/>
      <c r="K202" s="197"/>
      <c r="L202" s="197"/>
      <c r="M202" s="197"/>
      <c r="N202" s="197"/>
      <c r="O202" s="197"/>
      <c r="P202" s="197"/>
      <c r="Q202" s="197"/>
      <c r="R202" s="197"/>
      <c r="S202" s="197"/>
      <c r="T202" s="197"/>
      <c r="U202" s="197"/>
      <c r="V202" s="197"/>
      <c r="W202" s="197"/>
      <c r="X202" s="197"/>
      <c r="Y202" s="197"/>
      <c r="Z202" s="197"/>
      <c r="AA202" s="197"/>
      <c r="AB202" s="197"/>
      <c r="AC202" s="197"/>
      <c r="AD202" s="197"/>
      <c r="AE202" s="197"/>
      <c r="AF202" s="197"/>
      <c r="AG202" s="197"/>
      <c r="AH202" s="197"/>
      <c r="AI202" s="197"/>
      <c r="AJ202" s="197"/>
      <c r="AK202" s="197"/>
      <c r="AL202" s="197"/>
      <c r="AM202" s="197"/>
      <c r="AN202" s="197"/>
      <c r="AO202" s="197"/>
      <c r="AP202" s="197"/>
      <c r="AQ202" s="197"/>
      <c r="AR202" s="197"/>
      <c r="AS202" s="197"/>
      <c r="AT202" s="197"/>
      <c r="AU202" s="197"/>
      <c r="AV202" s="197"/>
      <c r="AW202" s="197"/>
      <c r="AX202" s="197"/>
      <c r="AY202" s="197"/>
      <c r="AZ202" s="197"/>
      <c r="BA202" s="197"/>
      <c r="BB202" s="197"/>
      <c r="BC202" s="197"/>
      <c r="BD202" s="197"/>
      <c r="BE202" s="197"/>
      <c r="BF202" s="197"/>
      <c r="BG202" s="197"/>
      <c r="BH202" s="197"/>
      <c r="BI202" s="197"/>
      <c r="BJ202" s="197"/>
      <c r="BK202" s="197"/>
      <c r="BL202" s="197"/>
      <c r="BM202" s="197"/>
      <c r="BN202" s="197"/>
      <c r="BO202" s="197"/>
      <c r="BP202" s="197"/>
    </row>
    <row r="203" spans="1:68" ht="20" customHeight="1" x14ac:dyDescent="0.15">
      <c r="A203" s="197"/>
      <c r="B203" s="197"/>
      <c r="C203" s="193"/>
      <c r="D203" s="197"/>
      <c r="E203" s="197"/>
      <c r="F203" s="214"/>
      <c r="G203" s="197"/>
      <c r="H203" s="197"/>
      <c r="I203" s="197"/>
      <c r="J203" s="197"/>
      <c r="K203" s="197"/>
      <c r="L203" s="197"/>
      <c r="M203" s="197"/>
      <c r="N203" s="197"/>
      <c r="O203" s="197"/>
      <c r="P203" s="197"/>
      <c r="Q203" s="197"/>
      <c r="R203" s="197"/>
      <c r="S203" s="197"/>
      <c r="T203" s="197"/>
      <c r="U203" s="197"/>
      <c r="V203" s="197"/>
      <c r="W203" s="197"/>
      <c r="X203" s="197"/>
      <c r="Y203" s="197"/>
      <c r="Z203" s="197"/>
      <c r="AA203" s="197"/>
      <c r="AB203" s="197"/>
      <c r="AC203" s="197"/>
      <c r="AD203" s="197"/>
      <c r="AE203" s="197"/>
      <c r="AF203" s="197"/>
      <c r="AG203" s="197"/>
      <c r="AH203" s="197"/>
      <c r="AI203" s="197"/>
      <c r="AJ203" s="197"/>
      <c r="AK203" s="197"/>
      <c r="AL203" s="197"/>
      <c r="AM203" s="197"/>
      <c r="AN203" s="197"/>
      <c r="AO203" s="197"/>
      <c r="AP203" s="197"/>
      <c r="AQ203" s="197"/>
      <c r="AR203" s="197"/>
      <c r="AS203" s="197"/>
      <c r="AT203" s="197"/>
      <c r="AU203" s="197"/>
      <c r="AV203" s="197"/>
      <c r="AW203" s="197"/>
      <c r="AX203" s="197"/>
      <c r="AY203" s="197"/>
      <c r="AZ203" s="197"/>
      <c r="BA203" s="197"/>
      <c r="BB203" s="197"/>
      <c r="BC203" s="197"/>
      <c r="BD203" s="197"/>
      <c r="BE203" s="197"/>
      <c r="BF203" s="197"/>
      <c r="BG203" s="197"/>
      <c r="BH203" s="197"/>
      <c r="BI203" s="197"/>
      <c r="BJ203" s="197"/>
      <c r="BK203" s="197"/>
      <c r="BL203" s="197"/>
      <c r="BM203" s="197"/>
      <c r="BN203" s="197"/>
      <c r="BO203" s="197"/>
      <c r="BP203" s="197"/>
    </row>
    <row r="204" spans="1:68" ht="20" customHeight="1" x14ac:dyDescent="0.15">
      <c r="A204" s="197"/>
      <c r="B204" s="197"/>
      <c r="C204" s="193"/>
      <c r="D204" s="197"/>
      <c r="E204" s="197"/>
      <c r="F204" s="214"/>
      <c r="G204" s="197"/>
      <c r="H204" s="197"/>
      <c r="I204" s="197"/>
      <c r="J204" s="197"/>
      <c r="K204" s="197"/>
      <c r="L204" s="197"/>
      <c r="M204" s="197"/>
      <c r="N204" s="197"/>
      <c r="O204" s="197"/>
      <c r="P204" s="197"/>
      <c r="Q204" s="197"/>
      <c r="R204" s="197"/>
      <c r="S204" s="197"/>
      <c r="T204" s="197"/>
      <c r="U204" s="197"/>
      <c r="V204" s="197"/>
      <c r="W204" s="197"/>
      <c r="X204" s="197"/>
      <c r="Y204" s="197"/>
      <c r="Z204" s="197"/>
      <c r="AA204" s="197"/>
      <c r="AB204" s="197"/>
      <c r="AC204" s="197"/>
      <c r="AD204" s="197"/>
      <c r="AE204" s="197"/>
      <c r="AF204" s="197"/>
      <c r="AG204" s="197"/>
      <c r="AH204" s="197"/>
      <c r="AI204" s="197"/>
      <c r="AJ204" s="197"/>
      <c r="AK204" s="197"/>
      <c r="AL204" s="197"/>
      <c r="AM204" s="197"/>
      <c r="AN204" s="197"/>
      <c r="AO204" s="197"/>
      <c r="AP204" s="197"/>
      <c r="AQ204" s="197"/>
      <c r="AR204" s="197"/>
      <c r="AS204" s="197"/>
      <c r="AT204" s="197"/>
      <c r="AU204" s="197"/>
      <c r="AV204" s="197"/>
      <c r="AW204" s="197"/>
      <c r="AX204" s="197"/>
      <c r="AY204" s="197"/>
      <c r="AZ204" s="197"/>
      <c r="BA204" s="197"/>
      <c r="BB204" s="197"/>
      <c r="BC204" s="197"/>
      <c r="BD204" s="197"/>
      <c r="BE204" s="197"/>
      <c r="BF204" s="197"/>
      <c r="BG204" s="197"/>
      <c r="BH204" s="197"/>
      <c r="BI204" s="197"/>
      <c r="BJ204" s="197"/>
      <c r="BK204" s="197"/>
      <c r="BL204" s="197"/>
      <c r="BM204" s="197"/>
      <c r="BN204" s="197"/>
      <c r="BO204" s="197"/>
      <c r="BP204" s="197"/>
    </row>
    <row r="205" spans="1:68" ht="20" customHeight="1" x14ac:dyDescent="0.15">
      <c r="A205" s="197"/>
      <c r="B205" s="197"/>
      <c r="C205" s="193"/>
      <c r="D205" s="197"/>
      <c r="E205" s="197"/>
      <c r="F205" s="214"/>
      <c r="G205" s="197"/>
      <c r="H205" s="197"/>
      <c r="I205" s="197"/>
      <c r="J205" s="197"/>
      <c r="K205" s="197"/>
      <c r="L205" s="197"/>
      <c r="M205" s="197"/>
      <c r="N205" s="197"/>
      <c r="O205" s="197"/>
      <c r="P205" s="197"/>
      <c r="Q205" s="197"/>
      <c r="R205" s="197"/>
      <c r="S205" s="197"/>
      <c r="T205" s="197"/>
      <c r="U205" s="197"/>
      <c r="V205" s="197"/>
      <c r="W205" s="197"/>
      <c r="X205" s="197"/>
      <c r="Y205" s="197"/>
      <c r="Z205" s="197"/>
      <c r="AA205" s="197"/>
      <c r="AB205" s="197"/>
      <c r="AC205" s="197"/>
      <c r="AD205" s="197"/>
      <c r="AE205" s="197"/>
      <c r="AF205" s="197"/>
      <c r="AG205" s="197"/>
      <c r="AH205" s="197"/>
      <c r="AI205" s="197"/>
      <c r="AJ205" s="197"/>
      <c r="AK205" s="197"/>
      <c r="AL205" s="197"/>
      <c r="AM205" s="197"/>
      <c r="AN205" s="197"/>
      <c r="AO205" s="197"/>
      <c r="AP205" s="197"/>
      <c r="AQ205" s="197"/>
      <c r="AR205" s="197"/>
      <c r="AS205" s="197"/>
      <c r="AT205" s="197"/>
      <c r="AU205" s="197"/>
      <c r="AV205" s="197"/>
      <c r="AW205" s="197"/>
      <c r="AX205" s="197"/>
      <c r="AY205" s="197"/>
      <c r="AZ205" s="197"/>
      <c r="BA205" s="197"/>
      <c r="BB205" s="197"/>
      <c r="BC205" s="197"/>
      <c r="BD205" s="197"/>
      <c r="BE205" s="197"/>
      <c r="BF205" s="197"/>
      <c r="BG205" s="197"/>
      <c r="BH205" s="197"/>
      <c r="BI205" s="197"/>
      <c r="BJ205" s="197"/>
      <c r="BK205" s="197"/>
      <c r="BL205" s="197"/>
      <c r="BM205" s="197"/>
      <c r="BN205" s="197"/>
      <c r="BO205" s="197"/>
      <c r="BP205" s="197"/>
    </row>
    <row r="206" spans="1:68" ht="20" customHeight="1" x14ac:dyDescent="0.15">
      <c r="A206" s="197"/>
      <c r="B206" s="197"/>
      <c r="C206" s="193"/>
      <c r="D206" s="197"/>
      <c r="E206" s="197"/>
      <c r="F206" s="214"/>
      <c r="G206" s="197"/>
      <c r="H206" s="197"/>
      <c r="I206" s="197"/>
      <c r="J206" s="197"/>
      <c r="K206" s="197"/>
      <c r="L206" s="197"/>
      <c r="M206" s="197"/>
      <c r="N206" s="197"/>
      <c r="O206" s="197"/>
      <c r="P206" s="197"/>
      <c r="Q206" s="197"/>
      <c r="R206" s="197"/>
      <c r="S206" s="197"/>
      <c r="T206" s="197"/>
      <c r="U206" s="197"/>
      <c r="V206" s="197"/>
      <c r="W206" s="197"/>
      <c r="X206" s="197"/>
      <c r="Y206" s="197"/>
      <c r="Z206" s="197"/>
      <c r="AA206" s="197"/>
      <c r="AB206" s="197"/>
      <c r="AC206" s="197"/>
      <c r="AD206" s="197"/>
      <c r="AE206" s="197"/>
      <c r="AF206" s="197"/>
      <c r="AG206" s="197"/>
      <c r="AH206" s="197"/>
      <c r="AI206" s="197"/>
      <c r="AJ206" s="197"/>
      <c r="AK206" s="197"/>
      <c r="AL206" s="197"/>
      <c r="AM206" s="197"/>
      <c r="AN206" s="197"/>
      <c r="AO206" s="197"/>
      <c r="AP206" s="197"/>
      <c r="AQ206" s="197"/>
      <c r="AR206" s="197"/>
      <c r="AS206" s="197"/>
      <c r="AT206" s="197"/>
      <c r="AU206" s="197"/>
      <c r="AV206" s="197"/>
      <c r="AW206" s="197"/>
      <c r="AX206" s="197"/>
      <c r="AY206" s="197"/>
      <c r="AZ206" s="197"/>
      <c r="BA206" s="197"/>
      <c r="BB206" s="197"/>
      <c r="BC206" s="197"/>
      <c r="BD206" s="197"/>
      <c r="BE206" s="197"/>
      <c r="BF206" s="197"/>
      <c r="BG206" s="197"/>
      <c r="BH206" s="197"/>
      <c r="BI206" s="197"/>
      <c r="BJ206" s="197"/>
      <c r="BK206" s="197"/>
      <c r="BL206" s="197"/>
      <c r="BM206" s="197"/>
      <c r="BN206" s="197"/>
      <c r="BO206" s="197"/>
      <c r="BP206" s="197"/>
    </row>
    <row r="207" spans="1:68" ht="20" customHeight="1" x14ac:dyDescent="0.15">
      <c r="A207" s="197"/>
      <c r="B207" s="197"/>
      <c r="C207" s="193"/>
      <c r="D207" s="197"/>
      <c r="E207" s="197"/>
      <c r="F207" s="214"/>
      <c r="G207" s="197"/>
      <c r="H207" s="197"/>
      <c r="I207" s="197"/>
      <c r="J207" s="197"/>
      <c r="K207" s="197"/>
      <c r="L207" s="197"/>
      <c r="M207" s="197"/>
      <c r="N207" s="197"/>
      <c r="O207" s="197"/>
      <c r="P207" s="197"/>
      <c r="Q207" s="197"/>
      <c r="R207" s="197"/>
      <c r="S207" s="197"/>
      <c r="T207" s="197"/>
      <c r="U207" s="197"/>
      <c r="V207" s="197"/>
      <c r="W207" s="197"/>
      <c r="X207" s="197"/>
      <c r="Y207" s="197"/>
      <c r="Z207" s="197"/>
      <c r="AA207" s="197"/>
      <c r="AB207" s="197"/>
      <c r="AC207" s="197"/>
      <c r="AD207" s="197"/>
      <c r="AE207" s="197"/>
      <c r="AF207" s="197"/>
      <c r="AG207" s="197"/>
      <c r="AH207" s="197"/>
      <c r="AI207" s="197"/>
      <c r="AJ207" s="197"/>
      <c r="AK207" s="197"/>
      <c r="AL207" s="197"/>
      <c r="AM207" s="197"/>
      <c r="AN207" s="197"/>
      <c r="AO207" s="197"/>
      <c r="AP207" s="197"/>
      <c r="AQ207" s="197"/>
      <c r="AR207" s="197"/>
      <c r="AS207" s="197"/>
      <c r="AT207" s="197"/>
      <c r="AU207" s="197"/>
      <c r="AV207" s="197"/>
      <c r="AW207" s="197"/>
      <c r="AX207" s="197"/>
      <c r="AY207" s="197"/>
      <c r="AZ207" s="197"/>
      <c r="BA207" s="197"/>
      <c r="BB207" s="197"/>
      <c r="BC207" s="197"/>
      <c r="BD207" s="197"/>
      <c r="BE207" s="197"/>
      <c r="BF207" s="197"/>
      <c r="BG207" s="197"/>
      <c r="BH207" s="197"/>
      <c r="BI207" s="197"/>
      <c r="BJ207" s="197"/>
      <c r="BK207" s="197"/>
      <c r="BL207" s="197"/>
      <c r="BM207" s="197"/>
      <c r="BN207" s="197"/>
      <c r="BO207" s="197"/>
      <c r="BP207" s="197"/>
    </row>
    <row r="208" spans="1:68" ht="20" customHeight="1" x14ac:dyDescent="0.15">
      <c r="A208" s="197"/>
      <c r="B208" s="197"/>
      <c r="C208" s="193"/>
      <c r="D208" s="197"/>
      <c r="E208" s="197"/>
      <c r="F208" s="214"/>
      <c r="G208" s="197"/>
      <c r="H208" s="197"/>
      <c r="I208" s="197"/>
      <c r="J208" s="197"/>
      <c r="K208" s="197"/>
      <c r="L208" s="197"/>
      <c r="M208" s="197"/>
      <c r="N208" s="197"/>
      <c r="O208" s="197"/>
      <c r="P208" s="197"/>
      <c r="Q208" s="197"/>
      <c r="R208" s="197"/>
      <c r="S208" s="197"/>
      <c r="T208" s="197"/>
      <c r="U208" s="197"/>
      <c r="V208" s="197"/>
      <c r="W208" s="197"/>
      <c r="X208" s="197"/>
      <c r="Y208" s="197"/>
      <c r="Z208" s="197"/>
      <c r="AA208" s="197"/>
      <c r="AB208" s="197"/>
      <c r="AC208" s="197"/>
      <c r="AD208" s="197"/>
      <c r="AE208" s="197"/>
      <c r="AF208" s="197"/>
      <c r="AG208" s="197"/>
      <c r="AH208" s="197"/>
      <c r="AI208" s="197"/>
      <c r="AJ208" s="197"/>
      <c r="AK208" s="197"/>
      <c r="AL208" s="197"/>
      <c r="AM208" s="197"/>
      <c r="AN208" s="197"/>
      <c r="AO208" s="197"/>
      <c r="AP208" s="197"/>
      <c r="AQ208" s="197"/>
      <c r="AR208" s="197"/>
      <c r="AS208" s="197"/>
      <c r="AT208" s="197"/>
      <c r="AU208" s="197"/>
      <c r="AV208" s="197"/>
      <c r="AW208" s="197"/>
      <c r="AX208" s="197"/>
      <c r="AY208" s="197"/>
      <c r="AZ208" s="197"/>
      <c r="BA208" s="197"/>
      <c r="BB208" s="197"/>
      <c r="BC208" s="197"/>
      <c r="BD208" s="197"/>
      <c r="BE208" s="197"/>
      <c r="BF208" s="197"/>
      <c r="BG208" s="197"/>
      <c r="BH208" s="197"/>
      <c r="BI208" s="197"/>
      <c r="BJ208" s="197"/>
      <c r="BK208" s="197"/>
      <c r="BL208" s="197"/>
      <c r="BM208" s="197"/>
      <c r="BN208" s="197"/>
      <c r="BO208" s="197"/>
      <c r="BP208" s="197"/>
    </row>
    <row r="209" spans="1:68" ht="20" customHeight="1" x14ac:dyDescent="0.15">
      <c r="A209" s="197"/>
      <c r="B209" s="197"/>
      <c r="C209" s="193"/>
      <c r="D209" s="197"/>
      <c r="E209" s="197"/>
      <c r="F209" s="214"/>
      <c r="G209" s="197"/>
      <c r="H209" s="197"/>
      <c r="I209" s="197"/>
      <c r="J209" s="197"/>
      <c r="K209" s="197"/>
      <c r="L209" s="197"/>
      <c r="M209" s="197"/>
      <c r="N209" s="197"/>
      <c r="O209" s="197"/>
      <c r="P209" s="197"/>
      <c r="Q209" s="197"/>
      <c r="R209" s="197"/>
      <c r="S209" s="197"/>
      <c r="T209" s="197"/>
      <c r="U209" s="197"/>
      <c r="V209" s="197"/>
      <c r="W209" s="197"/>
      <c r="X209" s="197"/>
      <c r="Y209" s="197"/>
      <c r="Z209" s="197"/>
      <c r="AA209" s="197"/>
      <c r="AB209" s="197"/>
      <c r="AC209" s="197"/>
      <c r="AD209" s="197"/>
      <c r="AE209" s="197"/>
      <c r="AF209" s="197"/>
      <c r="AG209" s="197"/>
      <c r="AH209" s="197"/>
      <c r="AI209" s="197"/>
      <c r="AJ209" s="197"/>
      <c r="AK209" s="197"/>
      <c r="AL209" s="197"/>
      <c r="AM209" s="197"/>
      <c r="AN209" s="197"/>
      <c r="AO209" s="197"/>
      <c r="AP209" s="197"/>
      <c r="AQ209" s="197"/>
      <c r="AR209" s="197"/>
      <c r="AS209" s="197"/>
      <c r="AT209" s="197"/>
      <c r="AU209" s="197"/>
      <c r="AV209" s="197"/>
      <c r="AW209" s="197"/>
      <c r="AX209" s="197"/>
      <c r="AY209" s="197"/>
      <c r="AZ209" s="197"/>
      <c r="BA209" s="197"/>
      <c r="BB209" s="197"/>
      <c r="BC209" s="197"/>
      <c r="BD209" s="197"/>
      <c r="BE209" s="197"/>
      <c r="BF209" s="197"/>
      <c r="BG209" s="197"/>
      <c r="BH209" s="197"/>
      <c r="BI209" s="197"/>
      <c r="BJ209" s="197"/>
      <c r="BK209" s="197"/>
      <c r="BL209" s="197"/>
      <c r="BM209" s="197"/>
      <c r="BN209" s="197"/>
      <c r="BO209" s="197"/>
      <c r="BP209" s="197"/>
    </row>
    <row r="210" spans="1:68" ht="20" customHeight="1" x14ac:dyDescent="0.15">
      <c r="A210" s="197"/>
      <c r="B210" s="197"/>
      <c r="C210" s="193"/>
      <c r="D210" s="197"/>
      <c r="E210" s="197"/>
      <c r="F210" s="214"/>
      <c r="G210" s="197"/>
      <c r="H210" s="197"/>
      <c r="I210" s="197"/>
      <c r="J210" s="197"/>
      <c r="K210" s="197"/>
      <c r="L210" s="197"/>
      <c r="M210" s="197"/>
      <c r="N210" s="197"/>
      <c r="O210" s="197"/>
      <c r="P210" s="197"/>
      <c r="Q210" s="197"/>
      <c r="R210" s="197"/>
      <c r="S210" s="197"/>
      <c r="T210" s="197"/>
      <c r="U210" s="197"/>
      <c r="V210" s="197"/>
      <c r="W210" s="197"/>
      <c r="X210" s="197"/>
      <c r="Y210" s="197"/>
      <c r="Z210" s="197"/>
      <c r="AA210" s="197"/>
      <c r="AB210" s="197"/>
      <c r="AC210" s="197"/>
      <c r="AD210" s="197"/>
      <c r="AE210" s="197"/>
      <c r="AF210" s="197"/>
      <c r="AG210" s="197"/>
      <c r="AH210" s="197"/>
      <c r="AI210" s="197"/>
      <c r="AJ210" s="197"/>
      <c r="AK210" s="197"/>
      <c r="AL210" s="197"/>
      <c r="AM210" s="197"/>
      <c r="AN210" s="197"/>
      <c r="AO210" s="197"/>
      <c r="AP210" s="197"/>
      <c r="AQ210" s="197"/>
      <c r="AR210" s="197"/>
      <c r="AS210" s="197"/>
      <c r="AT210" s="197"/>
      <c r="AU210" s="197"/>
      <c r="AV210" s="197"/>
      <c r="AW210" s="197"/>
      <c r="AX210" s="197"/>
      <c r="AY210" s="197"/>
      <c r="AZ210" s="197"/>
      <c r="BA210" s="197"/>
      <c r="BB210" s="197"/>
      <c r="BC210" s="197"/>
      <c r="BD210" s="197"/>
      <c r="BE210" s="197"/>
      <c r="BF210" s="197"/>
      <c r="BG210" s="197"/>
      <c r="BH210" s="197"/>
      <c r="BI210" s="197"/>
      <c r="BJ210" s="197"/>
      <c r="BK210" s="197"/>
      <c r="BL210" s="197"/>
      <c r="BM210" s="197"/>
      <c r="BN210" s="197"/>
      <c r="BO210" s="197"/>
      <c r="BP210" s="197"/>
    </row>
    <row r="211" spans="1:68" ht="20" customHeight="1" x14ac:dyDescent="0.15">
      <c r="A211" s="197"/>
      <c r="B211" s="197"/>
      <c r="C211" s="193"/>
      <c r="D211" s="197"/>
      <c r="E211" s="197"/>
      <c r="F211" s="214"/>
      <c r="G211" s="197"/>
      <c r="H211" s="197"/>
      <c r="I211" s="197"/>
      <c r="J211" s="197"/>
      <c r="K211" s="197"/>
      <c r="L211" s="197"/>
      <c r="M211" s="197"/>
      <c r="N211" s="197"/>
      <c r="O211" s="197"/>
      <c r="P211" s="197"/>
      <c r="Q211" s="197"/>
      <c r="R211" s="197"/>
      <c r="S211" s="197"/>
      <c r="T211" s="197"/>
      <c r="U211" s="197"/>
      <c r="V211" s="197"/>
      <c r="W211" s="197"/>
      <c r="X211" s="197"/>
      <c r="Y211" s="197"/>
      <c r="Z211" s="197"/>
      <c r="AA211" s="197"/>
      <c r="AB211" s="197"/>
      <c r="AC211" s="197"/>
      <c r="AD211" s="197"/>
      <c r="AE211" s="197"/>
      <c r="AF211" s="197"/>
      <c r="AG211" s="197"/>
      <c r="AH211" s="197"/>
      <c r="AI211" s="197"/>
      <c r="AJ211" s="197"/>
      <c r="AK211" s="197"/>
      <c r="AL211" s="197"/>
      <c r="AM211" s="197"/>
      <c r="AN211" s="197"/>
      <c r="AO211" s="197"/>
      <c r="AP211" s="197"/>
      <c r="AQ211" s="197"/>
      <c r="AR211" s="197"/>
      <c r="AS211" s="197"/>
      <c r="AT211" s="197"/>
      <c r="AU211" s="197"/>
      <c r="AV211" s="197"/>
      <c r="AW211" s="197"/>
      <c r="AX211" s="197"/>
      <c r="AY211" s="197"/>
      <c r="AZ211" s="197"/>
      <c r="BA211" s="197"/>
      <c r="BB211" s="197"/>
      <c r="BC211" s="197"/>
      <c r="BD211" s="197"/>
      <c r="BE211" s="197"/>
      <c r="BF211" s="197"/>
      <c r="BG211" s="197"/>
      <c r="BH211" s="197"/>
      <c r="BI211" s="197"/>
      <c r="BJ211" s="197"/>
      <c r="BK211" s="197"/>
      <c r="BL211" s="197"/>
      <c r="BM211" s="197"/>
      <c r="BN211" s="197"/>
      <c r="BO211" s="197"/>
      <c r="BP211" s="197"/>
    </row>
    <row r="212" spans="1:68" ht="20" customHeight="1" x14ac:dyDescent="0.15">
      <c r="A212" s="197"/>
      <c r="B212" s="197"/>
      <c r="C212" s="193"/>
      <c r="D212" s="197"/>
      <c r="E212" s="197"/>
      <c r="F212" s="214"/>
      <c r="G212" s="197"/>
      <c r="H212" s="197"/>
      <c r="I212" s="197"/>
      <c r="J212" s="197"/>
      <c r="K212" s="197"/>
      <c r="L212" s="197"/>
      <c r="M212" s="197"/>
      <c r="N212" s="197"/>
      <c r="O212" s="197"/>
      <c r="P212" s="197"/>
      <c r="Q212" s="197"/>
      <c r="R212" s="197"/>
      <c r="S212" s="197"/>
      <c r="T212" s="197"/>
      <c r="U212" s="197"/>
      <c r="V212" s="197"/>
      <c r="W212" s="197"/>
      <c r="X212" s="197"/>
      <c r="Y212" s="197"/>
      <c r="Z212" s="197"/>
      <c r="AA212" s="197"/>
      <c r="AB212" s="197"/>
      <c r="AC212" s="197"/>
      <c r="AD212" s="197"/>
      <c r="AE212" s="197"/>
      <c r="AF212" s="197"/>
      <c r="AG212" s="197"/>
      <c r="AH212" s="197"/>
      <c r="AI212" s="197"/>
      <c r="AJ212" s="197"/>
      <c r="AK212" s="197"/>
      <c r="AL212" s="197"/>
      <c r="AM212" s="197"/>
      <c r="AN212" s="197"/>
      <c r="AO212" s="197"/>
      <c r="AP212" s="197"/>
      <c r="AQ212" s="197"/>
      <c r="AR212" s="197"/>
      <c r="AS212" s="197"/>
      <c r="AT212" s="197"/>
      <c r="AU212" s="197"/>
      <c r="AV212" s="197"/>
      <c r="AW212" s="197"/>
      <c r="AX212" s="197"/>
      <c r="AY212" s="197"/>
      <c r="AZ212" s="197"/>
      <c r="BA212" s="197"/>
      <c r="BB212" s="197"/>
      <c r="BC212" s="197"/>
      <c r="BD212" s="197"/>
      <c r="BE212" s="197"/>
      <c r="BF212" s="197"/>
      <c r="BG212" s="197"/>
      <c r="BH212" s="197"/>
      <c r="BI212" s="197"/>
      <c r="BJ212" s="197"/>
      <c r="BK212" s="197"/>
      <c r="BL212" s="197"/>
      <c r="BM212" s="197"/>
      <c r="BN212" s="197"/>
      <c r="BO212" s="197"/>
      <c r="BP212" s="197"/>
    </row>
    <row r="213" spans="1:68" ht="20" customHeight="1" x14ac:dyDescent="0.15">
      <c r="A213" s="197"/>
      <c r="B213" s="197"/>
      <c r="C213" s="193"/>
      <c r="D213" s="197"/>
      <c r="E213" s="197"/>
      <c r="F213" s="214"/>
      <c r="G213" s="197"/>
      <c r="H213" s="197"/>
      <c r="I213" s="197"/>
      <c r="J213" s="197"/>
      <c r="K213" s="197"/>
      <c r="L213" s="197"/>
      <c r="M213" s="197"/>
      <c r="N213" s="197"/>
      <c r="O213" s="197"/>
      <c r="P213" s="197"/>
      <c r="Q213" s="197"/>
      <c r="R213" s="197"/>
      <c r="S213" s="197"/>
      <c r="T213" s="197"/>
      <c r="U213" s="197"/>
      <c r="V213" s="197"/>
      <c r="W213" s="197"/>
      <c r="X213" s="197"/>
      <c r="Y213" s="197"/>
      <c r="Z213" s="197"/>
      <c r="AA213" s="197"/>
      <c r="AB213" s="197"/>
      <c r="AC213" s="197"/>
      <c r="AD213" s="197"/>
      <c r="AE213" s="197"/>
      <c r="AF213" s="197"/>
      <c r="AG213" s="197"/>
      <c r="AH213" s="197"/>
      <c r="AI213" s="197"/>
      <c r="AJ213" s="197"/>
      <c r="AK213" s="197"/>
      <c r="AL213" s="197"/>
      <c r="AM213" s="197"/>
      <c r="AN213" s="197"/>
      <c r="AO213" s="197"/>
      <c r="AP213" s="197"/>
      <c r="AQ213" s="197"/>
      <c r="AR213" s="197"/>
      <c r="AS213" s="197"/>
      <c r="AT213" s="197"/>
      <c r="AU213" s="197"/>
      <c r="AV213" s="197"/>
      <c r="AW213" s="197"/>
      <c r="AX213" s="197"/>
      <c r="AY213" s="197"/>
      <c r="AZ213" s="197"/>
      <c r="BA213" s="197"/>
      <c r="BB213" s="197"/>
      <c r="BC213" s="197"/>
      <c r="BD213" s="197"/>
      <c r="BE213" s="197"/>
      <c r="BF213" s="197"/>
      <c r="BG213" s="197"/>
      <c r="BH213" s="197"/>
      <c r="BI213" s="197"/>
      <c r="BJ213" s="197"/>
      <c r="BK213" s="197"/>
      <c r="BL213" s="197"/>
      <c r="BM213" s="197"/>
      <c r="BN213" s="197"/>
      <c r="BO213" s="197"/>
      <c r="BP213" s="197"/>
    </row>
    <row r="214" spans="1:68" ht="20" customHeight="1" x14ac:dyDescent="0.15">
      <c r="A214" s="197"/>
      <c r="B214" s="197"/>
      <c r="C214" s="193"/>
      <c r="D214" s="197"/>
      <c r="E214" s="197"/>
      <c r="F214" s="214"/>
      <c r="G214" s="197"/>
      <c r="H214" s="197"/>
      <c r="I214" s="197"/>
      <c r="J214" s="197"/>
      <c r="K214" s="197"/>
      <c r="L214" s="197"/>
      <c r="M214" s="197"/>
      <c r="N214" s="197"/>
      <c r="O214" s="197"/>
      <c r="P214" s="197"/>
      <c r="Q214" s="197"/>
      <c r="R214" s="197"/>
      <c r="S214" s="197"/>
      <c r="T214" s="197"/>
      <c r="U214" s="197"/>
      <c r="V214" s="197"/>
      <c r="W214" s="197"/>
      <c r="X214" s="197"/>
      <c r="Y214" s="197"/>
      <c r="Z214" s="197"/>
      <c r="AA214" s="197"/>
      <c r="AB214" s="197"/>
      <c r="AC214" s="197"/>
      <c r="AD214" s="197"/>
      <c r="AE214" s="197"/>
      <c r="AF214" s="197"/>
      <c r="AG214" s="197"/>
      <c r="AH214" s="197"/>
      <c r="AI214" s="197"/>
      <c r="AJ214" s="197"/>
      <c r="AK214" s="197"/>
      <c r="AL214" s="197"/>
      <c r="AM214" s="197"/>
      <c r="AN214" s="197"/>
      <c r="AO214" s="197"/>
      <c r="AP214" s="197"/>
      <c r="AQ214" s="197"/>
      <c r="AR214" s="197"/>
      <c r="AS214" s="197"/>
      <c r="AT214" s="197"/>
      <c r="AU214" s="197"/>
      <c r="AV214" s="197"/>
      <c r="AW214" s="197"/>
      <c r="AX214" s="197"/>
      <c r="AY214" s="197"/>
      <c r="AZ214" s="197"/>
      <c r="BA214" s="197"/>
      <c r="BB214" s="197"/>
      <c r="BC214" s="197"/>
      <c r="BD214" s="197"/>
      <c r="BE214" s="197"/>
      <c r="BF214" s="197"/>
      <c r="BG214" s="197"/>
      <c r="BH214" s="197"/>
      <c r="BI214" s="197"/>
      <c r="BJ214" s="197"/>
      <c r="BK214" s="197"/>
      <c r="BL214" s="197"/>
      <c r="BM214" s="197"/>
      <c r="BN214" s="197"/>
      <c r="BO214" s="197"/>
      <c r="BP214" s="197"/>
    </row>
    <row r="215" spans="1:68" ht="20" customHeight="1" x14ac:dyDescent="0.15">
      <c r="A215" s="197"/>
      <c r="B215" s="197"/>
      <c r="C215" s="193"/>
      <c r="D215" s="197"/>
      <c r="E215" s="197"/>
      <c r="F215" s="214"/>
      <c r="G215" s="197"/>
      <c r="H215" s="197"/>
      <c r="I215" s="197"/>
      <c r="J215" s="197"/>
      <c r="K215" s="197"/>
      <c r="L215" s="197"/>
      <c r="M215" s="197"/>
      <c r="N215" s="197"/>
      <c r="O215" s="197"/>
      <c r="P215" s="197"/>
      <c r="Q215" s="197"/>
      <c r="R215" s="197"/>
      <c r="S215" s="197"/>
      <c r="T215" s="197"/>
      <c r="U215" s="197"/>
      <c r="V215" s="197"/>
      <c r="W215" s="197"/>
      <c r="X215" s="197"/>
      <c r="Y215" s="197"/>
      <c r="Z215" s="197"/>
      <c r="AA215" s="197"/>
      <c r="AB215" s="197"/>
      <c r="AC215" s="197"/>
      <c r="AD215" s="197"/>
      <c r="AE215" s="197"/>
      <c r="AF215" s="197"/>
      <c r="AG215" s="197"/>
      <c r="AH215" s="197"/>
      <c r="AI215" s="197"/>
      <c r="AJ215" s="197"/>
      <c r="AK215" s="197"/>
      <c r="AL215" s="197"/>
      <c r="AM215" s="197"/>
      <c r="AN215" s="197"/>
      <c r="AO215" s="197"/>
      <c r="AP215" s="197"/>
      <c r="AQ215" s="197"/>
      <c r="AR215" s="197"/>
      <c r="AS215" s="197"/>
      <c r="AT215" s="197"/>
      <c r="AU215" s="197"/>
      <c r="AV215" s="197"/>
      <c r="AW215" s="197"/>
      <c r="AX215" s="197"/>
      <c r="AY215" s="197"/>
      <c r="AZ215" s="197"/>
      <c r="BA215" s="197"/>
      <c r="BB215" s="197"/>
      <c r="BC215" s="197"/>
      <c r="BD215" s="197"/>
      <c r="BE215" s="197"/>
      <c r="BF215" s="197"/>
      <c r="BG215" s="197"/>
      <c r="BH215" s="197"/>
      <c r="BI215" s="197"/>
      <c r="BJ215" s="197"/>
      <c r="BK215" s="197"/>
      <c r="BL215" s="197"/>
      <c r="BM215" s="197"/>
      <c r="BN215" s="197"/>
      <c r="BO215" s="197"/>
      <c r="BP215" s="197"/>
    </row>
    <row r="216" spans="1:68" ht="20" customHeight="1" x14ac:dyDescent="0.15">
      <c r="A216" s="197"/>
      <c r="B216" s="197"/>
      <c r="C216" s="193"/>
      <c r="D216" s="197"/>
      <c r="E216" s="197"/>
      <c r="F216" s="214"/>
      <c r="G216" s="197"/>
      <c r="H216" s="197"/>
      <c r="I216" s="197"/>
      <c r="J216" s="197"/>
      <c r="K216" s="197"/>
      <c r="L216" s="197"/>
      <c r="M216" s="197"/>
      <c r="N216" s="197"/>
      <c r="O216" s="197"/>
      <c r="P216" s="197"/>
      <c r="Q216" s="197"/>
      <c r="R216" s="197"/>
      <c r="S216" s="197"/>
      <c r="T216" s="197"/>
      <c r="U216" s="197"/>
      <c r="V216" s="197"/>
      <c r="W216" s="197"/>
      <c r="X216" s="197"/>
      <c r="Y216" s="197"/>
      <c r="Z216" s="197"/>
      <c r="AA216" s="197"/>
      <c r="AB216" s="197"/>
      <c r="AC216" s="197"/>
      <c r="AD216" s="197"/>
      <c r="AE216" s="197"/>
      <c r="AF216" s="197"/>
      <c r="AG216" s="197"/>
      <c r="AH216" s="197"/>
      <c r="AI216" s="197"/>
      <c r="AJ216" s="197"/>
      <c r="AK216" s="197"/>
      <c r="AL216" s="197"/>
      <c r="AM216" s="197"/>
      <c r="AN216" s="197"/>
      <c r="AO216" s="197"/>
      <c r="AP216" s="197"/>
      <c r="AQ216" s="197"/>
      <c r="AR216" s="197"/>
      <c r="AS216" s="197"/>
      <c r="AT216" s="197"/>
      <c r="AU216" s="197"/>
      <c r="AV216" s="197"/>
      <c r="AW216" s="197"/>
      <c r="AX216" s="197"/>
      <c r="AY216" s="197"/>
      <c r="AZ216" s="197"/>
      <c r="BA216" s="197"/>
      <c r="BB216" s="197"/>
      <c r="BC216" s="197"/>
      <c r="BD216" s="197"/>
      <c r="BE216" s="197"/>
      <c r="BF216" s="197"/>
      <c r="BG216" s="197"/>
      <c r="BH216" s="197"/>
      <c r="BI216" s="197"/>
      <c r="BJ216" s="197"/>
      <c r="BK216" s="197"/>
      <c r="BL216" s="197"/>
      <c r="BM216" s="197"/>
      <c r="BN216" s="197"/>
      <c r="BO216" s="197"/>
      <c r="BP216" s="197"/>
    </row>
    <row r="217" spans="1:68" ht="20" customHeight="1" x14ac:dyDescent="0.15">
      <c r="A217" s="197"/>
      <c r="B217" s="197"/>
      <c r="C217" s="193"/>
      <c r="D217" s="197"/>
      <c r="E217" s="197"/>
      <c r="F217" s="214"/>
      <c r="G217" s="197"/>
      <c r="H217" s="197"/>
      <c r="I217" s="197"/>
      <c r="J217" s="197"/>
      <c r="K217" s="197"/>
      <c r="L217" s="197"/>
      <c r="M217" s="197"/>
      <c r="N217" s="197"/>
      <c r="O217" s="197"/>
      <c r="P217" s="197"/>
      <c r="Q217" s="197"/>
      <c r="R217" s="197"/>
      <c r="S217" s="197"/>
      <c r="T217" s="197"/>
      <c r="U217" s="197"/>
      <c r="V217" s="197"/>
      <c r="W217" s="197"/>
      <c r="X217" s="197"/>
      <c r="Y217" s="197"/>
      <c r="Z217" s="197"/>
      <c r="AA217" s="197"/>
      <c r="AB217" s="197"/>
      <c r="AC217" s="197"/>
      <c r="AD217" s="197"/>
      <c r="AE217" s="197"/>
      <c r="AF217" s="197"/>
      <c r="AG217" s="197"/>
      <c r="AH217" s="197"/>
      <c r="AI217" s="197"/>
      <c r="AJ217" s="197"/>
      <c r="AK217" s="197"/>
      <c r="AL217" s="197"/>
      <c r="AM217" s="197"/>
      <c r="AN217" s="197"/>
      <c r="AO217" s="197"/>
      <c r="AP217" s="197"/>
      <c r="AQ217" s="197"/>
      <c r="AR217" s="197"/>
      <c r="AS217" s="197"/>
      <c r="AT217" s="197"/>
      <c r="AU217" s="197"/>
      <c r="AV217" s="197"/>
      <c r="AW217" s="197"/>
      <c r="AX217" s="197"/>
      <c r="AY217" s="197"/>
      <c r="AZ217" s="197"/>
      <c r="BA217" s="197"/>
      <c r="BB217" s="197"/>
      <c r="BC217" s="197"/>
      <c r="BD217" s="197"/>
      <c r="BE217" s="197"/>
      <c r="BF217" s="197"/>
      <c r="BG217" s="197"/>
      <c r="BH217" s="197"/>
      <c r="BI217" s="197"/>
      <c r="BJ217" s="197"/>
      <c r="BK217" s="197"/>
      <c r="BL217" s="197"/>
      <c r="BM217" s="197"/>
      <c r="BN217" s="197"/>
      <c r="BO217" s="197"/>
      <c r="BP217" s="197"/>
    </row>
    <row r="218" spans="1:68" ht="20" customHeight="1" x14ac:dyDescent="0.15">
      <c r="A218" s="197"/>
      <c r="B218" s="197"/>
      <c r="C218" s="193"/>
      <c r="D218" s="197"/>
      <c r="E218" s="197"/>
      <c r="F218" s="214"/>
      <c r="G218" s="197"/>
      <c r="H218" s="197"/>
      <c r="I218" s="197"/>
      <c r="J218" s="197"/>
      <c r="K218" s="197"/>
      <c r="L218" s="197"/>
      <c r="M218" s="197"/>
      <c r="N218" s="197"/>
      <c r="O218" s="197"/>
      <c r="P218" s="197"/>
      <c r="Q218" s="197"/>
      <c r="R218" s="197"/>
      <c r="S218" s="197"/>
      <c r="T218" s="197"/>
      <c r="U218" s="197"/>
      <c r="V218" s="197"/>
      <c r="W218" s="197"/>
      <c r="X218" s="197"/>
      <c r="Y218" s="197"/>
      <c r="Z218" s="197"/>
      <c r="AA218" s="197"/>
      <c r="AB218" s="197"/>
      <c r="AC218" s="197"/>
      <c r="AD218" s="197"/>
      <c r="AE218" s="197"/>
      <c r="AF218" s="197"/>
      <c r="AG218" s="197"/>
      <c r="AH218" s="197"/>
      <c r="AI218" s="197"/>
      <c r="AJ218" s="197"/>
      <c r="AK218" s="197"/>
      <c r="AL218" s="197"/>
      <c r="AM218" s="197"/>
      <c r="AN218" s="197"/>
      <c r="AO218" s="197"/>
      <c r="AP218" s="197"/>
      <c r="AQ218" s="197"/>
      <c r="AR218" s="197"/>
      <c r="AS218" s="197"/>
      <c r="AT218" s="197"/>
      <c r="AU218" s="197"/>
      <c r="AV218" s="197"/>
      <c r="AW218" s="197"/>
      <c r="AX218" s="197"/>
      <c r="AY218" s="197"/>
      <c r="AZ218" s="197"/>
      <c r="BA218" s="197"/>
      <c r="BB218" s="197"/>
      <c r="BC218" s="197"/>
      <c r="BD218" s="197"/>
      <c r="BE218" s="197"/>
      <c r="BF218" s="197"/>
      <c r="BG218" s="197"/>
      <c r="BH218" s="197"/>
      <c r="BI218" s="197"/>
      <c r="BJ218" s="197"/>
      <c r="BK218" s="197"/>
      <c r="BL218" s="197"/>
      <c r="BM218" s="197"/>
      <c r="BN218" s="197"/>
      <c r="BO218" s="197"/>
      <c r="BP218" s="197"/>
    </row>
    <row r="219" spans="1:68" ht="20" customHeight="1" x14ac:dyDescent="0.15">
      <c r="A219" s="197"/>
      <c r="B219" s="197"/>
      <c r="C219" s="193"/>
      <c r="D219" s="197"/>
      <c r="E219" s="197"/>
      <c r="F219" s="214"/>
      <c r="G219" s="197"/>
      <c r="H219" s="197"/>
      <c r="I219" s="197"/>
      <c r="J219" s="197"/>
      <c r="K219" s="197"/>
      <c r="L219" s="197"/>
      <c r="M219" s="197"/>
      <c r="N219" s="197"/>
      <c r="O219" s="197"/>
      <c r="P219" s="197"/>
      <c r="Q219" s="197"/>
      <c r="R219" s="197"/>
      <c r="S219" s="197"/>
      <c r="T219" s="197"/>
      <c r="U219" s="197"/>
      <c r="V219" s="197"/>
      <c r="W219" s="197"/>
      <c r="X219" s="197"/>
      <c r="Y219" s="197"/>
      <c r="Z219" s="197"/>
      <c r="AA219" s="197"/>
      <c r="AB219" s="197"/>
      <c r="AC219" s="197"/>
      <c r="AD219" s="197"/>
      <c r="AE219" s="197"/>
      <c r="AF219" s="197"/>
      <c r="AG219" s="197"/>
      <c r="AH219" s="197"/>
      <c r="AI219" s="197"/>
      <c r="AJ219" s="197"/>
      <c r="AK219" s="197"/>
      <c r="AL219" s="197"/>
      <c r="AM219" s="197"/>
      <c r="AN219" s="197"/>
      <c r="AO219" s="197"/>
      <c r="AP219" s="197"/>
      <c r="AQ219" s="197"/>
      <c r="AR219" s="197"/>
      <c r="AS219" s="197"/>
      <c r="AT219" s="197"/>
      <c r="AU219" s="197"/>
      <c r="AV219" s="197"/>
      <c r="AW219" s="197"/>
      <c r="AX219" s="197"/>
      <c r="AY219" s="197"/>
      <c r="AZ219" s="197"/>
      <c r="BA219" s="197"/>
      <c r="BB219" s="197"/>
      <c r="BC219" s="197"/>
      <c r="BD219" s="197"/>
      <c r="BE219" s="197"/>
      <c r="BF219" s="197"/>
      <c r="BG219" s="197"/>
      <c r="BH219" s="197"/>
      <c r="BI219" s="197"/>
      <c r="BJ219" s="197"/>
      <c r="BK219" s="197"/>
      <c r="BL219" s="197"/>
      <c r="BM219" s="197"/>
      <c r="BN219" s="197"/>
      <c r="BO219" s="197"/>
      <c r="BP219" s="197"/>
    </row>
    <row r="220" spans="1:68" ht="20" customHeight="1" x14ac:dyDescent="0.15">
      <c r="A220" s="197"/>
      <c r="B220" s="197"/>
      <c r="C220" s="193"/>
      <c r="D220" s="197"/>
      <c r="E220" s="197"/>
      <c r="F220" s="214"/>
      <c r="G220" s="197"/>
      <c r="H220" s="197"/>
      <c r="I220" s="197"/>
      <c r="J220" s="197"/>
      <c r="K220" s="197"/>
      <c r="L220" s="197"/>
      <c r="M220" s="197"/>
      <c r="N220" s="197"/>
      <c r="O220" s="197"/>
      <c r="P220" s="197"/>
      <c r="Q220" s="197"/>
      <c r="R220" s="197"/>
      <c r="S220" s="197"/>
      <c r="T220" s="197"/>
      <c r="U220" s="197"/>
      <c r="V220" s="197"/>
      <c r="W220" s="197"/>
      <c r="X220" s="197"/>
      <c r="Y220" s="197"/>
      <c r="Z220" s="197"/>
      <c r="AA220" s="197"/>
      <c r="AB220" s="197"/>
      <c r="AC220" s="197"/>
      <c r="AD220" s="197"/>
      <c r="AE220" s="197"/>
      <c r="AF220" s="197"/>
      <c r="AG220" s="197"/>
      <c r="AH220" s="197"/>
      <c r="AI220" s="197"/>
      <c r="AJ220" s="197"/>
      <c r="AK220" s="197"/>
      <c r="AL220" s="197"/>
      <c r="AM220" s="197"/>
      <c r="AN220" s="197"/>
      <c r="AO220" s="197"/>
      <c r="AP220" s="197"/>
      <c r="AQ220" s="197"/>
      <c r="AR220" s="197"/>
      <c r="AS220" s="197"/>
      <c r="AT220" s="197"/>
      <c r="AU220" s="197"/>
      <c r="AV220" s="197"/>
      <c r="AW220" s="197"/>
      <c r="AX220" s="197"/>
      <c r="AY220" s="197"/>
      <c r="AZ220" s="197"/>
      <c r="BA220" s="197"/>
      <c r="BB220" s="197"/>
      <c r="BC220" s="197"/>
      <c r="BD220" s="197"/>
      <c r="BE220" s="197"/>
      <c r="BF220" s="197"/>
      <c r="BG220" s="197"/>
      <c r="BH220" s="197"/>
      <c r="BI220" s="197"/>
      <c r="BJ220" s="197"/>
      <c r="BK220" s="197"/>
      <c r="BL220" s="197"/>
      <c r="BM220" s="197"/>
      <c r="BN220" s="197"/>
      <c r="BO220" s="197"/>
      <c r="BP220" s="197"/>
    </row>
    <row r="221" spans="1:68" ht="20" customHeight="1" x14ac:dyDescent="0.15">
      <c r="A221" s="197"/>
      <c r="B221" s="197"/>
      <c r="C221" s="193"/>
      <c r="D221" s="197"/>
      <c r="E221" s="197"/>
      <c r="F221" s="214"/>
      <c r="G221" s="197"/>
      <c r="H221" s="197"/>
      <c r="I221" s="197"/>
      <c r="J221" s="197"/>
      <c r="K221" s="197"/>
      <c r="L221" s="197"/>
      <c r="M221" s="197"/>
      <c r="N221" s="197"/>
      <c r="O221" s="197"/>
      <c r="P221" s="197"/>
      <c r="Q221" s="197"/>
      <c r="R221" s="197"/>
      <c r="S221" s="197"/>
      <c r="T221" s="197"/>
      <c r="U221" s="197"/>
      <c r="V221" s="197"/>
      <c r="W221" s="197"/>
      <c r="X221" s="197"/>
      <c r="Y221" s="197"/>
      <c r="Z221" s="197"/>
      <c r="AA221" s="197"/>
      <c r="AB221" s="197"/>
      <c r="AC221" s="197"/>
      <c r="AD221" s="197"/>
      <c r="AE221" s="197"/>
      <c r="AF221" s="197"/>
      <c r="AG221" s="197"/>
      <c r="AH221" s="197"/>
      <c r="AI221" s="197"/>
      <c r="AJ221" s="197"/>
      <c r="AK221" s="197"/>
      <c r="AL221" s="197"/>
      <c r="AM221" s="197"/>
      <c r="AN221" s="197"/>
      <c r="AO221" s="197"/>
      <c r="AP221" s="197"/>
      <c r="AQ221" s="197"/>
      <c r="AR221" s="197"/>
      <c r="AS221" s="197"/>
      <c r="AT221" s="197"/>
      <c r="AU221" s="197"/>
      <c r="AV221" s="197"/>
      <c r="AW221" s="197"/>
      <c r="AX221" s="197"/>
      <c r="AY221" s="197"/>
      <c r="AZ221" s="197"/>
      <c r="BA221" s="197"/>
      <c r="BB221" s="197"/>
      <c r="BC221" s="197"/>
      <c r="BD221" s="197"/>
      <c r="BE221" s="197"/>
      <c r="BF221" s="197"/>
      <c r="BG221" s="197"/>
      <c r="BH221" s="197"/>
      <c r="BI221" s="197"/>
      <c r="BJ221" s="197"/>
      <c r="BK221" s="197"/>
      <c r="BL221" s="197"/>
      <c r="BM221" s="197"/>
      <c r="BN221" s="197"/>
      <c r="BO221" s="197"/>
      <c r="BP221" s="197"/>
    </row>
    <row r="222" spans="1:68" ht="20" customHeight="1" x14ac:dyDescent="0.15">
      <c r="A222" s="197"/>
      <c r="B222" s="197"/>
      <c r="C222" s="193"/>
      <c r="D222" s="197"/>
      <c r="E222" s="197"/>
      <c r="F222" s="214"/>
      <c r="G222" s="197"/>
      <c r="H222" s="197"/>
      <c r="I222" s="197"/>
      <c r="J222" s="197"/>
      <c r="K222" s="197"/>
      <c r="L222" s="197"/>
      <c r="M222" s="197"/>
      <c r="N222" s="197"/>
      <c r="O222" s="197"/>
      <c r="P222" s="197"/>
      <c r="Q222" s="197"/>
      <c r="R222" s="197"/>
      <c r="S222" s="197"/>
      <c r="T222" s="197"/>
      <c r="U222" s="197"/>
      <c r="V222" s="197"/>
      <c r="W222" s="197"/>
      <c r="X222" s="197"/>
      <c r="Y222" s="197"/>
      <c r="Z222" s="197"/>
      <c r="AA222" s="197"/>
      <c r="AB222" s="197"/>
      <c r="AC222" s="197"/>
      <c r="AD222" s="197"/>
      <c r="AE222" s="197"/>
      <c r="AF222" s="197"/>
      <c r="AG222" s="197"/>
      <c r="AH222" s="197"/>
      <c r="AI222" s="197"/>
      <c r="AJ222" s="197"/>
      <c r="AK222" s="197"/>
      <c r="AL222" s="197"/>
      <c r="AM222" s="197"/>
      <c r="AN222" s="197"/>
      <c r="AO222" s="197"/>
      <c r="AP222" s="197"/>
      <c r="AQ222" s="197"/>
      <c r="AR222" s="197"/>
      <c r="AS222" s="197"/>
      <c r="AT222" s="197"/>
      <c r="AU222" s="197"/>
      <c r="AV222" s="197"/>
      <c r="AW222" s="197"/>
      <c r="AX222" s="197"/>
      <c r="AY222" s="197"/>
      <c r="AZ222" s="197"/>
      <c r="BA222" s="197"/>
      <c r="BB222" s="197"/>
      <c r="BC222" s="197"/>
      <c r="BD222" s="197"/>
      <c r="BE222" s="197"/>
      <c r="BF222" s="197"/>
      <c r="BG222" s="197"/>
      <c r="BH222" s="197"/>
      <c r="BI222" s="197"/>
      <c r="BJ222" s="197"/>
      <c r="BK222" s="197"/>
      <c r="BL222" s="197"/>
      <c r="BM222" s="197"/>
      <c r="BN222" s="197"/>
      <c r="BO222" s="197"/>
      <c r="BP222" s="197"/>
    </row>
    <row r="223" spans="1:68" ht="20" customHeight="1" x14ac:dyDescent="0.15">
      <c r="A223" s="197"/>
      <c r="B223" s="197"/>
      <c r="C223" s="193"/>
      <c r="D223" s="197"/>
      <c r="E223" s="197"/>
      <c r="F223" s="214"/>
      <c r="G223" s="197"/>
      <c r="H223" s="197"/>
      <c r="I223" s="197"/>
      <c r="J223" s="197"/>
      <c r="K223" s="197"/>
      <c r="L223" s="197"/>
      <c r="M223" s="197"/>
      <c r="N223" s="197"/>
      <c r="O223" s="197"/>
      <c r="P223" s="197"/>
      <c r="Q223" s="197"/>
      <c r="R223" s="197"/>
      <c r="S223" s="197"/>
      <c r="T223" s="197"/>
      <c r="U223" s="197"/>
      <c r="V223" s="197"/>
      <c r="W223" s="197"/>
      <c r="X223" s="197"/>
      <c r="Y223" s="197"/>
      <c r="Z223" s="197"/>
      <c r="AA223" s="197"/>
      <c r="AB223" s="197"/>
      <c r="AC223" s="197"/>
      <c r="AD223" s="197"/>
      <c r="AE223" s="197"/>
      <c r="AF223" s="197"/>
      <c r="AG223" s="197"/>
      <c r="AH223" s="197"/>
      <c r="AI223" s="197"/>
      <c r="AJ223" s="197"/>
      <c r="AK223" s="197"/>
      <c r="AL223" s="197"/>
      <c r="AM223" s="197"/>
      <c r="AN223" s="197"/>
      <c r="AO223" s="197"/>
      <c r="AP223" s="197"/>
      <c r="AQ223" s="197"/>
      <c r="AR223" s="197"/>
      <c r="AS223" s="197"/>
      <c r="AT223" s="197"/>
      <c r="AU223" s="197"/>
      <c r="AV223" s="197"/>
      <c r="AW223" s="197"/>
      <c r="AX223" s="197"/>
      <c r="AY223" s="197"/>
      <c r="AZ223" s="197"/>
      <c r="BA223" s="197"/>
      <c r="BB223" s="197"/>
      <c r="BC223" s="197"/>
      <c r="BD223" s="197"/>
      <c r="BE223" s="197"/>
      <c r="BF223" s="197"/>
      <c r="BG223" s="197"/>
      <c r="BH223" s="197"/>
      <c r="BI223" s="197"/>
      <c r="BJ223" s="197"/>
      <c r="BK223" s="197"/>
      <c r="BL223" s="197"/>
      <c r="BM223" s="197"/>
      <c r="BN223" s="197"/>
      <c r="BO223" s="197"/>
      <c r="BP223" s="197"/>
    </row>
    <row r="224" spans="1:68" ht="20" customHeight="1" x14ac:dyDescent="0.15">
      <c r="A224" s="197"/>
      <c r="B224" s="197"/>
      <c r="C224" s="193"/>
      <c r="D224" s="197"/>
      <c r="E224" s="197"/>
      <c r="F224" s="214"/>
      <c r="G224" s="197"/>
      <c r="H224" s="197"/>
      <c r="I224" s="197"/>
      <c r="J224" s="197"/>
      <c r="K224" s="197"/>
      <c r="L224" s="197"/>
      <c r="M224" s="197"/>
      <c r="N224" s="197"/>
      <c r="O224" s="197"/>
      <c r="P224" s="197"/>
      <c r="Q224" s="197"/>
      <c r="R224" s="197"/>
      <c r="S224" s="197"/>
      <c r="T224" s="197"/>
      <c r="U224" s="197"/>
      <c r="V224" s="197"/>
      <c r="W224" s="197"/>
      <c r="X224" s="197"/>
      <c r="Y224" s="197"/>
      <c r="Z224" s="197"/>
      <c r="AA224" s="197"/>
      <c r="AB224" s="197"/>
      <c r="AC224" s="197"/>
      <c r="AD224" s="197"/>
      <c r="AE224" s="197"/>
      <c r="AF224" s="197"/>
      <c r="AG224" s="197"/>
      <c r="AH224" s="197"/>
      <c r="AI224" s="197"/>
      <c r="AJ224" s="197"/>
      <c r="AK224" s="197"/>
      <c r="AL224" s="197"/>
      <c r="AM224" s="197"/>
      <c r="AN224" s="197"/>
      <c r="AO224" s="197"/>
      <c r="AP224" s="197"/>
      <c r="AQ224" s="197"/>
      <c r="AR224" s="197"/>
      <c r="AS224" s="197"/>
      <c r="AT224" s="197"/>
      <c r="AU224" s="197"/>
      <c r="AV224" s="197"/>
      <c r="AW224" s="197"/>
      <c r="AX224" s="197"/>
      <c r="AY224" s="197"/>
      <c r="AZ224" s="197"/>
      <c r="BA224" s="197"/>
      <c r="BB224" s="197"/>
      <c r="BC224" s="197"/>
      <c r="BD224" s="197"/>
      <c r="BE224" s="197"/>
      <c r="BF224" s="197"/>
      <c r="BG224" s="197"/>
      <c r="BH224" s="197"/>
      <c r="BI224" s="197"/>
      <c r="BJ224" s="197"/>
      <c r="BK224" s="197"/>
      <c r="BL224" s="197"/>
      <c r="BM224" s="197"/>
      <c r="BN224" s="197"/>
      <c r="BO224" s="197"/>
      <c r="BP224" s="197"/>
    </row>
    <row r="225" spans="1:68" ht="20" customHeight="1" x14ac:dyDescent="0.15">
      <c r="A225" s="197"/>
      <c r="B225" s="197"/>
      <c r="C225" s="193"/>
      <c r="D225" s="197"/>
      <c r="E225" s="197"/>
      <c r="F225" s="214"/>
      <c r="G225" s="197"/>
      <c r="H225" s="197"/>
      <c r="I225" s="197"/>
      <c r="J225" s="197"/>
      <c r="K225" s="197"/>
      <c r="L225" s="197"/>
      <c r="M225" s="197"/>
      <c r="N225" s="197"/>
      <c r="O225" s="197"/>
      <c r="P225" s="197"/>
      <c r="Q225" s="197"/>
      <c r="R225" s="197"/>
      <c r="S225" s="197"/>
      <c r="T225" s="197"/>
      <c r="U225" s="197"/>
      <c r="V225" s="197"/>
      <c r="W225" s="197"/>
      <c r="X225" s="197"/>
      <c r="Y225" s="197"/>
      <c r="Z225" s="197"/>
      <c r="AA225" s="197"/>
      <c r="AB225" s="197"/>
      <c r="AC225" s="197"/>
      <c r="AD225" s="197"/>
      <c r="AE225" s="197"/>
      <c r="AF225" s="197"/>
      <c r="AG225" s="197"/>
      <c r="AH225" s="197"/>
      <c r="AI225" s="197"/>
      <c r="AJ225" s="197"/>
      <c r="AK225" s="197"/>
      <c r="AL225" s="197"/>
      <c r="AM225" s="197"/>
      <c r="AN225" s="197"/>
      <c r="AO225" s="197"/>
      <c r="AP225" s="197"/>
      <c r="AQ225" s="197"/>
      <c r="AR225" s="197"/>
      <c r="AS225" s="197"/>
      <c r="AT225" s="197"/>
      <c r="AU225" s="197"/>
      <c r="AV225" s="197"/>
      <c r="AW225" s="197"/>
      <c r="AX225" s="197"/>
      <c r="AY225" s="197"/>
      <c r="AZ225" s="197"/>
      <c r="BA225" s="197"/>
      <c r="BB225" s="197"/>
      <c r="BC225" s="197"/>
      <c r="BD225" s="197"/>
      <c r="BE225" s="197"/>
      <c r="BF225" s="197"/>
      <c r="BG225" s="197"/>
      <c r="BH225" s="197"/>
      <c r="BI225" s="197"/>
      <c r="BJ225" s="197"/>
      <c r="BK225" s="197"/>
      <c r="BL225" s="197"/>
      <c r="BM225" s="197"/>
      <c r="BN225" s="197"/>
      <c r="BO225" s="197"/>
      <c r="BP225" s="197"/>
    </row>
    <row r="226" spans="1:68" ht="20" customHeight="1" x14ac:dyDescent="0.15">
      <c r="A226" s="197"/>
      <c r="B226" s="197"/>
      <c r="C226" s="193"/>
      <c r="D226" s="197"/>
      <c r="E226" s="197"/>
      <c r="F226" s="214"/>
      <c r="G226" s="197"/>
      <c r="H226" s="197"/>
      <c r="I226" s="197"/>
      <c r="J226" s="197"/>
      <c r="K226" s="197"/>
      <c r="L226" s="197"/>
      <c r="M226" s="197"/>
      <c r="N226" s="197"/>
      <c r="O226" s="197"/>
      <c r="P226" s="197"/>
      <c r="Q226" s="197"/>
      <c r="R226" s="197"/>
      <c r="S226" s="197"/>
      <c r="T226" s="197"/>
      <c r="U226" s="197"/>
      <c r="V226" s="197"/>
      <c r="W226" s="197"/>
      <c r="X226" s="197"/>
      <c r="Y226" s="197"/>
      <c r="Z226" s="197"/>
      <c r="AA226" s="197"/>
      <c r="AB226" s="197"/>
      <c r="AC226" s="197"/>
      <c r="AD226" s="197"/>
      <c r="AE226" s="197"/>
      <c r="AF226" s="197"/>
      <c r="AG226" s="197"/>
      <c r="AH226" s="197"/>
      <c r="AI226" s="197"/>
      <c r="AJ226" s="197"/>
      <c r="AK226" s="197"/>
      <c r="AL226" s="197"/>
      <c r="AM226" s="197"/>
      <c r="AN226" s="197"/>
      <c r="AO226" s="197"/>
      <c r="AP226" s="197"/>
      <c r="AQ226" s="197"/>
      <c r="AR226" s="197"/>
      <c r="AS226" s="197"/>
      <c r="AT226" s="197"/>
      <c r="AU226" s="197"/>
      <c r="AV226" s="197"/>
      <c r="AW226" s="197"/>
      <c r="AX226" s="197"/>
      <c r="AY226" s="197"/>
      <c r="AZ226" s="197"/>
      <c r="BA226" s="197"/>
      <c r="BB226" s="197"/>
      <c r="BC226" s="197"/>
      <c r="BD226" s="197"/>
      <c r="BE226" s="197"/>
      <c r="BF226" s="197"/>
      <c r="BG226" s="197"/>
      <c r="BH226" s="197"/>
      <c r="BI226" s="197"/>
      <c r="BJ226" s="197"/>
      <c r="BK226" s="197"/>
      <c r="BL226" s="197"/>
      <c r="BM226" s="197"/>
      <c r="BN226" s="197"/>
      <c r="BO226" s="197"/>
      <c r="BP226" s="197"/>
    </row>
    <row r="227" spans="1:68" ht="20" customHeight="1" x14ac:dyDescent="0.15">
      <c r="A227" s="197"/>
      <c r="B227" s="197"/>
      <c r="C227" s="193"/>
      <c r="D227" s="197"/>
      <c r="E227" s="197"/>
      <c r="F227" s="214"/>
      <c r="G227" s="197"/>
      <c r="H227" s="197"/>
      <c r="I227" s="197"/>
      <c r="J227" s="197"/>
      <c r="K227" s="197"/>
      <c r="L227" s="197"/>
      <c r="M227" s="197"/>
      <c r="N227" s="197"/>
      <c r="O227" s="197"/>
      <c r="P227" s="197"/>
      <c r="Q227" s="197"/>
      <c r="R227" s="197"/>
      <c r="S227" s="197"/>
      <c r="T227" s="197"/>
      <c r="U227" s="197"/>
      <c r="V227" s="197"/>
      <c r="W227" s="197"/>
      <c r="X227" s="197"/>
      <c r="Y227" s="197"/>
      <c r="Z227" s="197"/>
      <c r="AA227" s="197"/>
      <c r="AB227" s="197"/>
      <c r="AC227" s="197"/>
      <c r="AD227" s="197"/>
      <c r="AE227" s="197"/>
      <c r="AF227" s="197"/>
      <c r="AG227" s="197"/>
      <c r="AH227" s="197"/>
      <c r="AI227" s="197"/>
      <c r="AJ227" s="197"/>
      <c r="AK227" s="197"/>
      <c r="AL227" s="197"/>
      <c r="AM227" s="197"/>
      <c r="AN227" s="197"/>
      <c r="AO227" s="197"/>
      <c r="AP227" s="197"/>
      <c r="AQ227" s="197"/>
      <c r="AR227" s="197"/>
      <c r="AS227" s="197"/>
      <c r="AT227" s="197"/>
      <c r="AU227" s="197"/>
      <c r="AV227" s="197"/>
      <c r="AW227" s="197"/>
      <c r="AX227" s="197"/>
      <c r="AY227" s="197"/>
      <c r="AZ227" s="197"/>
      <c r="BA227" s="197"/>
      <c r="BB227" s="197"/>
      <c r="BC227" s="197"/>
      <c r="BD227" s="197"/>
      <c r="BE227" s="197"/>
      <c r="BF227" s="197"/>
      <c r="BG227" s="197"/>
      <c r="BH227" s="197"/>
      <c r="BI227" s="197"/>
      <c r="BJ227" s="197"/>
      <c r="BK227" s="197"/>
      <c r="BL227" s="197"/>
      <c r="BM227" s="197"/>
      <c r="BN227" s="197"/>
      <c r="BO227" s="197"/>
      <c r="BP227" s="197"/>
    </row>
    <row r="228" spans="1:68" ht="20" customHeight="1" x14ac:dyDescent="0.15">
      <c r="A228" s="197"/>
      <c r="B228" s="197"/>
      <c r="C228" s="193"/>
      <c r="D228" s="197"/>
      <c r="E228" s="197"/>
      <c r="F228" s="214"/>
      <c r="G228" s="197"/>
      <c r="H228" s="197"/>
      <c r="I228" s="197"/>
      <c r="J228" s="197"/>
      <c r="K228" s="197"/>
      <c r="L228" s="197"/>
      <c r="M228" s="197"/>
      <c r="N228" s="197"/>
      <c r="O228" s="197"/>
      <c r="P228" s="197"/>
      <c r="Q228" s="197"/>
      <c r="R228" s="197"/>
      <c r="S228" s="197"/>
      <c r="T228" s="197"/>
      <c r="U228" s="197"/>
      <c r="V228" s="197"/>
      <c r="W228" s="197"/>
      <c r="X228" s="197"/>
      <c r="Y228" s="197"/>
      <c r="Z228" s="197"/>
      <c r="AA228" s="197"/>
      <c r="AB228" s="197"/>
      <c r="AC228" s="197"/>
      <c r="AD228" s="197"/>
      <c r="AE228" s="197"/>
      <c r="AF228" s="197"/>
      <c r="AG228" s="197"/>
      <c r="AH228" s="197"/>
      <c r="AI228" s="197"/>
      <c r="AJ228" s="197"/>
      <c r="AK228" s="197"/>
      <c r="AL228" s="197"/>
      <c r="AM228" s="197"/>
      <c r="AN228" s="197"/>
      <c r="AO228" s="197"/>
      <c r="AP228" s="197"/>
      <c r="AQ228" s="197"/>
      <c r="AR228" s="197"/>
      <c r="AS228" s="197"/>
      <c r="AT228" s="197"/>
      <c r="AU228" s="197"/>
      <c r="AV228" s="197"/>
      <c r="AW228" s="197"/>
      <c r="AX228" s="197"/>
      <c r="AY228" s="197"/>
      <c r="AZ228" s="197"/>
      <c r="BA228" s="197"/>
      <c r="BB228" s="197"/>
      <c r="BC228" s="197"/>
      <c r="BD228" s="197"/>
      <c r="BE228" s="197"/>
      <c r="BF228" s="197"/>
      <c r="BG228" s="197"/>
      <c r="BH228" s="197"/>
      <c r="BI228" s="197"/>
      <c r="BJ228" s="197"/>
      <c r="BK228" s="197"/>
      <c r="BL228" s="197"/>
      <c r="BM228" s="197"/>
      <c r="BN228" s="197"/>
      <c r="BO228" s="197"/>
      <c r="BP228" s="197"/>
    </row>
    <row r="229" spans="1:68" ht="20" customHeight="1" x14ac:dyDescent="0.15">
      <c r="A229" s="197"/>
      <c r="B229" s="197"/>
      <c r="C229" s="193"/>
      <c r="D229" s="197"/>
      <c r="E229" s="197"/>
      <c r="F229" s="214"/>
      <c r="G229" s="197"/>
      <c r="H229" s="197"/>
      <c r="I229" s="197"/>
      <c r="J229" s="197"/>
      <c r="K229" s="197"/>
      <c r="L229" s="197"/>
      <c r="M229" s="197"/>
      <c r="N229" s="197"/>
      <c r="O229" s="197"/>
      <c r="P229" s="197"/>
      <c r="Q229" s="197"/>
      <c r="R229" s="197"/>
      <c r="S229" s="197"/>
      <c r="T229" s="197"/>
      <c r="U229" s="197"/>
      <c r="V229" s="197"/>
      <c r="W229" s="197"/>
      <c r="X229" s="197"/>
      <c r="Y229" s="197"/>
      <c r="Z229" s="197"/>
      <c r="AA229" s="197"/>
      <c r="AB229" s="197"/>
      <c r="AC229" s="197"/>
      <c r="AD229" s="197"/>
      <c r="AE229" s="197"/>
      <c r="AF229" s="197"/>
      <c r="AG229" s="197"/>
      <c r="AH229" s="197"/>
      <c r="AI229" s="197"/>
      <c r="AJ229" s="197"/>
      <c r="AK229" s="197"/>
      <c r="AL229" s="197"/>
      <c r="AM229" s="197"/>
      <c r="AN229" s="197"/>
      <c r="AO229" s="197"/>
      <c r="AP229" s="197"/>
      <c r="AQ229" s="197"/>
      <c r="AR229" s="197"/>
      <c r="AS229" s="197"/>
      <c r="AT229" s="197"/>
      <c r="AU229" s="197"/>
      <c r="AV229" s="197"/>
      <c r="AW229" s="197"/>
      <c r="AX229" s="197"/>
      <c r="AY229" s="197"/>
      <c r="AZ229" s="197"/>
      <c r="BA229" s="197"/>
      <c r="BB229" s="197"/>
      <c r="BC229" s="197"/>
      <c r="BD229" s="197"/>
      <c r="BE229" s="197"/>
      <c r="BF229" s="197"/>
      <c r="BG229" s="197"/>
      <c r="BH229" s="197"/>
      <c r="BI229" s="197"/>
      <c r="BJ229" s="197"/>
      <c r="BK229" s="197"/>
      <c r="BL229" s="197"/>
      <c r="BM229" s="197"/>
      <c r="BN229" s="197"/>
      <c r="BO229" s="197"/>
      <c r="BP229" s="197"/>
    </row>
    <row r="230" spans="1:68" ht="20" customHeight="1" x14ac:dyDescent="0.15">
      <c r="A230" s="197"/>
      <c r="B230" s="197"/>
      <c r="C230" s="193"/>
      <c r="D230" s="197"/>
      <c r="E230" s="197"/>
      <c r="F230" s="214"/>
      <c r="G230" s="197"/>
      <c r="H230" s="197"/>
      <c r="I230" s="197"/>
      <c r="J230" s="197"/>
      <c r="K230" s="197"/>
      <c r="L230" s="197"/>
      <c r="M230" s="197"/>
      <c r="N230" s="197"/>
      <c r="O230" s="197"/>
      <c r="P230" s="197"/>
      <c r="Q230" s="197"/>
      <c r="R230" s="197"/>
      <c r="S230" s="197"/>
      <c r="T230" s="197"/>
      <c r="U230" s="197"/>
      <c r="V230" s="197"/>
      <c r="W230" s="197"/>
      <c r="X230" s="197"/>
      <c r="Y230" s="197"/>
      <c r="Z230" s="197"/>
      <c r="AA230" s="197"/>
      <c r="AB230" s="197"/>
      <c r="AC230" s="197"/>
      <c r="AD230" s="197"/>
      <c r="AE230" s="197"/>
      <c r="AF230" s="197"/>
      <c r="AG230" s="197"/>
      <c r="AH230" s="197"/>
      <c r="AI230" s="197"/>
      <c r="AJ230" s="197"/>
      <c r="AK230" s="197"/>
      <c r="AL230" s="197"/>
      <c r="AM230" s="197"/>
      <c r="AN230" s="197"/>
      <c r="AO230" s="197"/>
      <c r="AP230" s="197"/>
      <c r="AQ230" s="197"/>
      <c r="AR230" s="197"/>
      <c r="AS230" s="197"/>
      <c r="AT230" s="197"/>
      <c r="AU230" s="197"/>
      <c r="AV230" s="197"/>
      <c r="AW230" s="197"/>
      <c r="AX230" s="197"/>
      <c r="AY230" s="197"/>
      <c r="AZ230" s="197"/>
      <c r="BA230" s="197"/>
      <c r="BB230" s="197"/>
      <c r="BC230" s="197"/>
      <c r="BD230" s="197"/>
      <c r="BE230" s="197"/>
      <c r="BF230" s="197"/>
      <c r="BG230" s="197"/>
      <c r="BH230" s="197"/>
      <c r="BI230" s="197"/>
      <c r="BJ230" s="197"/>
      <c r="BK230" s="197"/>
      <c r="BL230" s="197"/>
      <c r="BM230" s="197"/>
      <c r="BN230" s="197"/>
      <c r="BO230" s="197"/>
      <c r="BP230" s="197"/>
    </row>
    <row r="231" spans="1:68" ht="20" customHeight="1" x14ac:dyDescent="0.15">
      <c r="A231" s="197"/>
      <c r="B231" s="197"/>
      <c r="C231" s="193"/>
      <c r="D231" s="197"/>
      <c r="E231" s="197"/>
      <c r="F231" s="214"/>
      <c r="G231" s="197"/>
      <c r="H231" s="197"/>
      <c r="I231" s="197"/>
      <c r="J231" s="197"/>
      <c r="K231" s="197"/>
      <c r="L231" s="197"/>
      <c r="M231" s="197"/>
      <c r="N231" s="197"/>
      <c r="O231" s="197"/>
      <c r="P231" s="197"/>
      <c r="Q231" s="197"/>
      <c r="R231" s="197"/>
      <c r="S231" s="197"/>
      <c r="T231" s="197"/>
      <c r="U231" s="197"/>
      <c r="V231" s="197"/>
      <c r="W231" s="197"/>
      <c r="X231" s="197"/>
      <c r="Y231" s="197"/>
      <c r="Z231" s="197"/>
      <c r="AA231" s="197"/>
      <c r="AB231" s="197"/>
      <c r="AC231" s="197"/>
      <c r="AD231" s="197"/>
      <c r="AE231" s="197"/>
      <c r="AF231" s="197"/>
      <c r="AG231" s="197"/>
      <c r="AH231" s="197"/>
      <c r="AI231" s="197"/>
      <c r="AJ231" s="197"/>
      <c r="AK231" s="197"/>
      <c r="AL231" s="197"/>
      <c r="AM231" s="197"/>
      <c r="AN231" s="197"/>
      <c r="AO231" s="197"/>
      <c r="AP231" s="197"/>
      <c r="AQ231" s="197"/>
      <c r="AR231" s="197"/>
      <c r="AS231" s="197"/>
      <c r="AT231" s="197"/>
      <c r="AU231" s="197"/>
      <c r="AV231" s="197"/>
      <c r="AW231" s="197"/>
      <c r="AX231" s="197"/>
      <c r="AY231" s="197"/>
      <c r="AZ231" s="197"/>
      <c r="BA231" s="197"/>
      <c r="BB231" s="197"/>
      <c r="BC231" s="197"/>
      <c r="BD231" s="197"/>
      <c r="BE231" s="197"/>
      <c r="BF231" s="197"/>
      <c r="BG231" s="197"/>
      <c r="BH231" s="197"/>
      <c r="BI231" s="197"/>
      <c r="BJ231" s="197"/>
      <c r="BK231" s="197"/>
      <c r="BL231" s="197"/>
      <c r="BM231" s="197"/>
      <c r="BN231" s="197"/>
      <c r="BO231" s="197"/>
      <c r="BP231" s="197"/>
    </row>
    <row r="232" spans="1:68" ht="20" customHeight="1" x14ac:dyDescent="0.15">
      <c r="A232" s="197"/>
      <c r="B232" s="197"/>
      <c r="C232" s="193"/>
      <c r="D232" s="197"/>
      <c r="E232" s="197"/>
      <c r="F232" s="214"/>
      <c r="G232" s="197"/>
      <c r="H232" s="197"/>
      <c r="I232" s="197"/>
      <c r="J232" s="197"/>
      <c r="K232" s="197"/>
      <c r="L232" s="197"/>
      <c r="M232" s="197"/>
      <c r="N232" s="197"/>
      <c r="O232" s="197"/>
      <c r="P232" s="197"/>
      <c r="Q232" s="197"/>
      <c r="R232" s="197"/>
      <c r="S232" s="197"/>
      <c r="T232" s="197"/>
      <c r="U232" s="197"/>
      <c r="V232" s="197"/>
      <c r="W232" s="197"/>
      <c r="X232" s="197"/>
      <c r="Y232" s="197"/>
      <c r="Z232" s="197"/>
      <c r="AA232" s="197"/>
      <c r="AB232" s="197"/>
      <c r="AC232" s="197"/>
      <c r="AD232" s="197"/>
      <c r="AE232" s="197"/>
      <c r="AF232" s="197"/>
      <c r="AG232" s="197"/>
      <c r="AH232" s="197"/>
      <c r="AI232" s="197"/>
      <c r="AJ232" s="197"/>
      <c r="AK232" s="197"/>
      <c r="AL232" s="197"/>
      <c r="AM232" s="197"/>
      <c r="AN232" s="197"/>
      <c r="AO232" s="197"/>
      <c r="AP232" s="197"/>
      <c r="AQ232" s="197"/>
      <c r="AR232" s="197"/>
      <c r="AS232" s="197"/>
      <c r="AT232" s="197"/>
      <c r="AU232" s="197"/>
      <c r="AV232" s="197"/>
      <c r="AW232" s="197"/>
      <c r="AX232" s="197"/>
      <c r="AY232" s="197"/>
      <c r="AZ232" s="197"/>
      <c r="BA232" s="197"/>
      <c r="BB232" s="197"/>
      <c r="BC232" s="197"/>
      <c r="BD232" s="197"/>
      <c r="BE232" s="197"/>
      <c r="BF232" s="197"/>
      <c r="BG232" s="197"/>
      <c r="BH232" s="197"/>
      <c r="BI232" s="197"/>
      <c r="BJ232" s="197"/>
      <c r="BK232" s="197"/>
      <c r="BL232" s="197"/>
      <c r="BM232" s="197"/>
      <c r="BN232" s="197"/>
      <c r="BO232" s="197"/>
      <c r="BP232" s="197"/>
    </row>
    <row r="233" spans="1:68" ht="20" customHeight="1" x14ac:dyDescent="0.15">
      <c r="A233" s="197"/>
      <c r="B233" s="197"/>
      <c r="C233" s="193"/>
      <c r="D233" s="197"/>
      <c r="E233" s="197"/>
      <c r="F233" s="214"/>
      <c r="G233" s="197"/>
      <c r="H233" s="197"/>
      <c r="I233" s="197"/>
      <c r="J233" s="197"/>
      <c r="K233" s="197"/>
      <c r="L233" s="197"/>
      <c r="M233" s="197"/>
      <c r="N233" s="197"/>
      <c r="O233" s="197"/>
      <c r="P233" s="197"/>
      <c r="Q233" s="197"/>
      <c r="R233" s="197"/>
      <c r="S233" s="197"/>
      <c r="T233" s="197"/>
      <c r="U233" s="197"/>
      <c r="V233" s="197"/>
      <c r="W233" s="197"/>
      <c r="X233" s="197"/>
      <c r="Y233" s="197"/>
      <c r="Z233" s="197"/>
      <c r="AA233" s="197"/>
      <c r="AB233" s="197"/>
      <c r="AC233" s="197"/>
      <c r="AD233" s="197"/>
      <c r="AE233" s="197"/>
      <c r="AF233" s="197"/>
      <c r="AG233" s="197"/>
      <c r="AH233" s="197"/>
      <c r="AI233" s="197"/>
      <c r="AJ233" s="197"/>
      <c r="AK233" s="197"/>
      <c r="AL233" s="197"/>
      <c r="AM233" s="197"/>
      <c r="AN233" s="197"/>
      <c r="AO233" s="197"/>
      <c r="AP233" s="197"/>
      <c r="AQ233" s="197"/>
      <c r="AR233" s="197"/>
      <c r="AS233" s="197"/>
      <c r="AT233" s="197"/>
      <c r="AU233" s="197"/>
      <c r="AV233" s="197"/>
      <c r="AW233" s="197"/>
      <c r="AX233" s="197"/>
      <c r="AY233" s="197"/>
      <c r="AZ233" s="197"/>
      <c r="BA233" s="197"/>
      <c r="BB233" s="197"/>
      <c r="BC233" s="197"/>
      <c r="BD233" s="197"/>
      <c r="BE233" s="197"/>
      <c r="BF233" s="197"/>
      <c r="BG233" s="197"/>
      <c r="BH233" s="197"/>
      <c r="BI233" s="197"/>
      <c r="BJ233" s="197"/>
      <c r="BK233" s="197"/>
      <c r="BL233" s="197"/>
      <c r="BM233" s="197"/>
      <c r="BN233" s="197"/>
      <c r="BO233" s="197"/>
      <c r="BP233" s="197"/>
    </row>
    <row r="234" spans="1:68" ht="20" customHeight="1" x14ac:dyDescent="0.15">
      <c r="A234" s="197"/>
      <c r="B234" s="197"/>
      <c r="C234" s="193"/>
      <c r="D234" s="197"/>
      <c r="E234" s="197"/>
      <c r="F234" s="214"/>
      <c r="G234" s="197"/>
      <c r="H234" s="197"/>
      <c r="I234" s="197"/>
      <c r="J234" s="197"/>
      <c r="K234" s="197"/>
      <c r="L234" s="197"/>
      <c r="M234" s="197"/>
      <c r="N234" s="197"/>
      <c r="O234" s="197"/>
      <c r="P234" s="197"/>
      <c r="Q234" s="197"/>
      <c r="R234" s="197"/>
      <c r="S234" s="197"/>
      <c r="T234" s="197"/>
      <c r="U234" s="197"/>
      <c r="V234" s="197"/>
      <c r="W234" s="197"/>
      <c r="X234" s="197"/>
      <c r="Y234" s="197"/>
      <c r="Z234" s="197"/>
      <c r="AA234" s="197"/>
      <c r="AB234" s="197"/>
      <c r="AC234" s="197"/>
      <c r="AD234" s="197"/>
      <c r="AE234" s="197"/>
      <c r="AF234" s="197"/>
      <c r="AG234" s="197"/>
      <c r="AH234" s="197"/>
      <c r="AI234" s="197"/>
      <c r="AJ234" s="197"/>
      <c r="AK234" s="197"/>
      <c r="AL234" s="197"/>
      <c r="AM234" s="197"/>
      <c r="AN234" s="197"/>
      <c r="AO234" s="197"/>
      <c r="AP234" s="197"/>
      <c r="AQ234" s="197"/>
      <c r="AR234" s="197"/>
      <c r="AS234" s="197"/>
      <c r="AT234" s="197"/>
      <c r="AU234" s="197"/>
      <c r="AV234" s="197"/>
      <c r="AW234" s="197"/>
      <c r="AX234" s="197"/>
      <c r="AY234" s="197"/>
      <c r="AZ234" s="197"/>
      <c r="BA234" s="197"/>
      <c r="BB234" s="197"/>
      <c r="BC234" s="197"/>
      <c r="BD234" s="197"/>
      <c r="BE234" s="197"/>
      <c r="BF234" s="197"/>
      <c r="BG234" s="197"/>
      <c r="BH234" s="197"/>
      <c r="BI234" s="197"/>
      <c r="BJ234" s="197"/>
      <c r="BK234" s="197"/>
      <c r="BL234" s="197"/>
      <c r="BM234" s="197"/>
      <c r="BN234" s="197"/>
      <c r="BO234" s="197"/>
      <c r="BP234" s="197"/>
    </row>
    <row r="235" spans="1:68" ht="20" customHeight="1" x14ac:dyDescent="0.15">
      <c r="A235" s="197"/>
      <c r="B235" s="197"/>
      <c r="C235" s="193"/>
      <c r="D235" s="197"/>
      <c r="E235" s="197"/>
      <c r="F235" s="214"/>
      <c r="G235" s="197"/>
      <c r="H235" s="197"/>
      <c r="I235" s="197"/>
      <c r="J235" s="197"/>
      <c r="K235" s="197"/>
      <c r="L235" s="197"/>
      <c r="M235" s="197"/>
      <c r="N235" s="197"/>
      <c r="O235" s="197"/>
      <c r="P235" s="197"/>
      <c r="Q235" s="197"/>
      <c r="R235" s="197"/>
      <c r="S235" s="197"/>
      <c r="T235" s="197"/>
      <c r="U235" s="197"/>
      <c r="V235" s="197"/>
      <c r="W235" s="197"/>
      <c r="X235" s="197"/>
      <c r="Y235" s="197"/>
      <c r="Z235" s="197"/>
      <c r="AA235" s="197"/>
      <c r="AB235" s="197"/>
      <c r="AC235" s="197"/>
      <c r="AD235" s="197"/>
      <c r="AE235" s="197"/>
      <c r="AF235" s="197"/>
      <c r="AG235" s="197"/>
      <c r="AH235" s="197"/>
      <c r="AI235" s="197"/>
      <c r="AJ235" s="197"/>
      <c r="AK235" s="197"/>
      <c r="AL235" s="197"/>
      <c r="AM235" s="197"/>
      <c r="AN235" s="197"/>
      <c r="AO235" s="197"/>
      <c r="AP235" s="197"/>
      <c r="AQ235" s="197"/>
      <c r="AR235" s="197"/>
      <c r="AS235" s="197"/>
      <c r="AT235" s="197"/>
      <c r="AU235" s="197"/>
      <c r="AV235" s="197"/>
      <c r="AW235" s="197"/>
      <c r="AX235" s="197"/>
      <c r="AY235" s="197"/>
      <c r="AZ235" s="197"/>
      <c r="BA235" s="197"/>
      <c r="BB235" s="197"/>
      <c r="BC235" s="197"/>
      <c r="BD235" s="197"/>
      <c r="BE235" s="197"/>
      <c r="BF235" s="197"/>
      <c r="BG235" s="197"/>
      <c r="BH235" s="197"/>
      <c r="BI235" s="197"/>
      <c r="BJ235" s="197"/>
      <c r="BK235" s="197"/>
      <c r="BL235" s="197"/>
      <c r="BM235" s="197"/>
      <c r="BN235" s="197"/>
      <c r="BO235" s="197"/>
      <c r="BP235" s="197"/>
    </row>
    <row r="236" spans="1:68" ht="20" customHeight="1" x14ac:dyDescent="0.15">
      <c r="A236" s="197"/>
      <c r="B236" s="197"/>
      <c r="C236" s="193"/>
      <c r="D236" s="197"/>
      <c r="E236" s="197"/>
      <c r="F236" s="214"/>
      <c r="G236" s="197"/>
      <c r="H236" s="197"/>
      <c r="I236" s="197"/>
      <c r="J236" s="197"/>
      <c r="K236" s="197"/>
      <c r="L236" s="197"/>
      <c r="M236" s="197"/>
      <c r="N236" s="197"/>
      <c r="O236" s="197"/>
      <c r="P236" s="197"/>
      <c r="Q236" s="197"/>
      <c r="R236" s="197"/>
      <c r="S236" s="197"/>
      <c r="T236" s="197"/>
      <c r="U236" s="197"/>
      <c r="V236" s="197"/>
      <c r="W236" s="197"/>
      <c r="X236" s="197"/>
      <c r="Y236" s="197"/>
      <c r="Z236" s="197"/>
      <c r="AA236" s="197"/>
      <c r="AB236" s="197"/>
      <c r="AC236" s="197"/>
      <c r="AD236" s="197"/>
      <c r="AE236" s="197"/>
      <c r="AF236" s="197"/>
      <c r="AG236" s="197"/>
      <c r="AH236" s="197"/>
      <c r="AI236" s="197"/>
      <c r="AJ236" s="197"/>
      <c r="AK236" s="197"/>
      <c r="AL236" s="197"/>
      <c r="AM236" s="197"/>
      <c r="AN236" s="197"/>
      <c r="AO236" s="197"/>
      <c r="AP236" s="197"/>
      <c r="AQ236" s="197"/>
      <c r="AR236" s="197"/>
      <c r="AS236" s="197"/>
      <c r="AT236" s="197"/>
      <c r="AU236" s="197"/>
      <c r="AV236" s="197"/>
      <c r="AW236" s="197"/>
      <c r="AX236" s="197"/>
      <c r="AY236" s="197"/>
      <c r="AZ236" s="197"/>
      <c r="BA236" s="197"/>
      <c r="BB236" s="197"/>
      <c r="BC236" s="197"/>
      <c r="BD236" s="197"/>
      <c r="BE236" s="197"/>
      <c r="BF236" s="197"/>
      <c r="BG236" s="197"/>
      <c r="BH236" s="197"/>
      <c r="BI236" s="197"/>
      <c r="BJ236" s="197"/>
      <c r="BK236" s="197"/>
      <c r="BL236" s="197"/>
      <c r="BM236" s="197"/>
      <c r="BN236" s="197"/>
      <c r="BO236" s="197"/>
      <c r="BP236" s="197"/>
    </row>
    <row r="237" spans="1:68" ht="20" customHeight="1" x14ac:dyDescent="0.15">
      <c r="A237" s="197"/>
      <c r="B237" s="197"/>
      <c r="C237" s="193"/>
      <c r="D237" s="197"/>
      <c r="E237" s="197"/>
      <c r="F237" s="214"/>
      <c r="G237" s="197"/>
      <c r="H237" s="197"/>
      <c r="I237" s="197"/>
      <c r="J237" s="197"/>
      <c r="K237" s="197"/>
      <c r="L237" s="197"/>
      <c r="M237" s="197"/>
      <c r="N237" s="197"/>
      <c r="O237" s="197"/>
      <c r="P237" s="197"/>
      <c r="Q237" s="197"/>
      <c r="R237" s="197"/>
      <c r="S237" s="197"/>
      <c r="T237" s="197"/>
      <c r="U237" s="197"/>
      <c r="V237" s="197"/>
      <c r="W237" s="197"/>
      <c r="X237" s="197"/>
      <c r="Y237" s="197"/>
      <c r="Z237" s="197"/>
      <c r="AA237" s="197"/>
      <c r="AB237" s="197"/>
      <c r="AC237" s="197"/>
      <c r="AD237" s="197"/>
      <c r="AE237" s="197"/>
      <c r="AF237" s="197"/>
      <c r="AG237" s="197"/>
      <c r="AH237" s="197"/>
      <c r="AI237" s="197"/>
      <c r="AJ237" s="197"/>
      <c r="AK237" s="197"/>
      <c r="AL237" s="197"/>
      <c r="AM237" s="197"/>
      <c r="AN237" s="197"/>
      <c r="AO237" s="197"/>
      <c r="AP237" s="197"/>
      <c r="AQ237" s="197"/>
      <c r="AR237" s="197"/>
      <c r="AS237" s="197"/>
      <c r="AT237" s="197"/>
      <c r="AU237" s="197"/>
      <c r="AV237" s="197"/>
      <c r="AW237" s="197"/>
      <c r="AX237" s="197"/>
      <c r="AY237" s="197"/>
      <c r="AZ237" s="197"/>
      <c r="BA237" s="197"/>
      <c r="BB237" s="197"/>
      <c r="BC237" s="197"/>
      <c r="BD237" s="197"/>
      <c r="BE237" s="197"/>
      <c r="BF237" s="197"/>
      <c r="BG237" s="197"/>
      <c r="BH237" s="197"/>
      <c r="BI237" s="197"/>
      <c r="BJ237" s="197"/>
      <c r="BK237" s="197"/>
      <c r="BL237" s="197"/>
      <c r="BM237" s="197"/>
      <c r="BN237" s="197"/>
      <c r="BO237" s="197"/>
      <c r="BP237" s="197"/>
    </row>
    <row r="238" spans="1:68" ht="20" customHeight="1" x14ac:dyDescent="0.15">
      <c r="A238" s="197"/>
      <c r="B238" s="197"/>
      <c r="C238" s="193"/>
      <c r="D238" s="197"/>
      <c r="E238" s="197"/>
      <c r="F238" s="214"/>
      <c r="G238" s="197"/>
      <c r="H238" s="197"/>
      <c r="I238" s="197"/>
      <c r="J238" s="197"/>
      <c r="K238" s="197"/>
      <c r="L238" s="197"/>
      <c r="M238" s="197"/>
      <c r="N238" s="197"/>
      <c r="O238" s="197"/>
      <c r="P238" s="197"/>
      <c r="Q238" s="197"/>
      <c r="R238" s="197"/>
      <c r="S238" s="197"/>
      <c r="T238" s="197"/>
      <c r="U238" s="197"/>
      <c r="V238" s="197"/>
      <c r="W238" s="197"/>
      <c r="X238" s="197"/>
      <c r="Y238" s="197"/>
      <c r="Z238" s="197"/>
      <c r="AA238" s="197"/>
      <c r="AB238" s="197"/>
      <c r="AC238" s="197"/>
      <c r="AD238" s="197"/>
      <c r="AE238" s="197"/>
      <c r="AF238" s="197"/>
      <c r="AG238" s="197"/>
      <c r="AH238" s="197"/>
      <c r="AI238" s="197"/>
      <c r="AJ238" s="197"/>
      <c r="AK238" s="197"/>
      <c r="AL238" s="197"/>
      <c r="AM238" s="197"/>
      <c r="AN238" s="197"/>
      <c r="AO238" s="197"/>
      <c r="AP238" s="197"/>
      <c r="AQ238" s="197"/>
      <c r="AR238" s="197"/>
      <c r="AS238" s="197"/>
      <c r="AT238" s="197"/>
      <c r="AU238" s="197"/>
      <c r="AV238" s="197"/>
      <c r="AW238" s="197"/>
      <c r="AX238" s="197"/>
      <c r="AY238" s="197"/>
      <c r="AZ238" s="197"/>
      <c r="BA238" s="197"/>
      <c r="BB238" s="197"/>
      <c r="BC238" s="197"/>
      <c r="BD238" s="197"/>
      <c r="BE238" s="197"/>
      <c r="BF238" s="197"/>
      <c r="BG238" s="197"/>
      <c r="BH238" s="197"/>
      <c r="BI238" s="197"/>
      <c r="BJ238" s="197"/>
      <c r="BK238" s="197"/>
      <c r="BL238" s="197"/>
      <c r="BM238" s="197"/>
      <c r="BN238" s="197"/>
      <c r="BO238" s="197"/>
      <c r="BP238" s="197"/>
    </row>
    <row r="239" spans="1:68" ht="20" customHeight="1" x14ac:dyDescent="0.15">
      <c r="A239" s="197"/>
      <c r="B239" s="197"/>
      <c r="C239" s="193"/>
      <c r="D239" s="197"/>
      <c r="E239" s="197"/>
      <c r="F239" s="214"/>
      <c r="G239" s="197"/>
      <c r="H239" s="197"/>
      <c r="I239" s="197"/>
      <c r="J239" s="197"/>
      <c r="K239" s="197"/>
      <c r="L239" s="197"/>
      <c r="M239" s="197"/>
      <c r="N239" s="197"/>
      <c r="O239" s="197"/>
      <c r="P239" s="197"/>
      <c r="Q239" s="197"/>
      <c r="R239" s="197"/>
      <c r="S239" s="197"/>
      <c r="T239" s="197"/>
      <c r="U239" s="197"/>
      <c r="V239" s="197"/>
      <c r="W239" s="197"/>
      <c r="X239" s="197"/>
      <c r="Y239" s="197"/>
      <c r="Z239" s="197"/>
      <c r="AA239" s="197"/>
      <c r="AB239" s="197"/>
      <c r="AC239" s="197"/>
      <c r="AD239" s="197"/>
      <c r="AE239" s="197"/>
      <c r="AF239" s="197"/>
      <c r="AG239" s="197"/>
      <c r="AH239" s="197"/>
      <c r="AI239" s="197"/>
      <c r="AJ239" s="197"/>
      <c r="AK239" s="197"/>
      <c r="AL239" s="197"/>
      <c r="AM239" s="197"/>
      <c r="AN239" s="197"/>
      <c r="AO239" s="197"/>
      <c r="AP239" s="197"/>
      <c r="AQ239" s="197"/>
      <c r="AR239" s="197"/>
      <c r="AS239" s="197"/>
      <c r="AT239" s="197"/>
      <c r="AU239" s="197"/>
      <c r="AV239" s="197"/>
      <c r="AW239" s="197"/>
      <c r="AX239" s="197"/>
      <c r="AY239" s="197"/>
      <c r="AZ239" s="197"/>
      <c r="BA239" s="197"/>
      <c r="BB239" s="197"/>
      <c r="BC239" s="197"/>
      <c r="BD239" s="197"/>
      <c r="BE239" s="197"/>
      <c r="BF239" s="197"/>
      <c r="BG239" s="197"/>
      <c r="BH239" s="197"/>
      <c r="BI239" s="197"/>
      <c r="BJ239" s="197"/>
      <c r="BK239" s="197"/>
      <c r="BL239" s="197"/>
      <c r="BM239" s="197"/>
      <c r="BN239" s="197"/>
      <c r="BO239" s="197"/>
      <c r="BP239" s="197"/>
    </row>
    <row r="240" spans="1:68" ht="20" customHeight="1" x14ac:dyDescent="0.15">
      <c r="A240" s="197"/>
      <c r="B240" s="197"/>
      <c r="C240" s="193"/>
      <c r="D240" s="197"/>
      <c r="E240" s="197"/>
      <c r="F240" s="214"/>
      <c r="G240" s="197"/>
      <c r="H240" s="197"/>
      <c r="I240" s="197"/>
      <c r="J240" s="197"/>
      <c r="K240" s="197"/>
      <c r="L240" s="197"/>
      <c r="M240" s="197"/>
      <c r="N240" s="197"/>
      <c r="O240" s="197"/>
      <c r="P240" s="197"/>
      <c r="Q240" s="197"/>
      <c r="R240" s="197"/>
      <c r="S240" s="197"/>
      <c r="T240" s="197"/>
      <c r="U240" s="197"/>
      <c r="V240" s="197"/>
      <c r="W240" s="197"/>
      <c r="X240" s="197"/>
      <c r="Y240" s="197"/>
      <c r="Z240" s="197"/>
      <c r="AA240" s="197"/>
      <c r="AB240" s="197"/>
      <c r="AC240" s="197"/>
      <c r="AD240" s="197"/>
      <c r="AE240" s="197"/>
      <c r="AF240" s="197"/>
      <c r="AG240" s="197"/>
      <c r="AH240" s="197"/>
      <c r="AI240" s="197"/>
      <c r="AJ240" s="197"/>
      <c r="AK240" s="197"/>
      <c r="AL240" s="197"/>
      <c r="AM240" s="197"/>
      <c r="AN240" s="197"/>
      <c r="AO240" s="197"/>
      <c r="AP240" s="197"/>
      <c r="AQ240" s="197"/>
      <c r="AR240" s="197"/>
      <c r="AS240" s="197"/>
      <c r="AT240" s="197"/>
      <c r="AU240" s="197"/>
      <c r="AV240" s="197"/>
      <c r="AW240" s="197"/>
      <c r="AX240" s="197"/>
      <c r="AY240" s="197"/>
      <c r="AZ240" s="197"/>
      <c r="BA240" s="197"/>
      <c r="BB240" s="197"/>
      <c r="BC240" s="197"/>
      <c r="BD240" s="197"/>
      <c r="BE240" s="197"/>
      <c r="BF240" s="197"/>
      <c r="BG240" s="197"/>
      <c r="BH240" s="197"/>
      <c r="BI240" s="197"/>
      <c r="BJ240" s="197"/>
      <c r="BK240" s="197"/>
      <c r="BL240" s="197"/>
      <c r="BM240" s="197"/>
      <c r="BN240" s="197"/>
      <c r="BO240" s="197"/>
      <c r="BP240" s="197"/>
    </row>
    <row r="241" spans="1:68" ht="20" customHeight="1" x14ac:dyDescent="0.15">
      <c r="A241" s="197"/>
      <c r="B241" s="197"/>
      <c r="C241" s="193"/>
      <c r="D241" s="197"/>
      <c r="E241" s="197"/>
      <c r="F241" s="214"/>
      <c r="G241" s="197"/>
      <c r="H241" s="197"/>
      <c r="I241" s="197"/>
      <c r="J241" s="197"/>
      <c r="K241" s="197"/>
      <c r="L241" s="197"/>
      <c r="M241" s="197"/>
      <c r="N241" s="197"/>
      <c r="O241" s="197"/>
      <c r="P241" s="197"/>
      <c r="Q241" s="197"/>
      <c r="R241" s="197"/>
      <c r="S241" s="197"/>
      <c r="T241" s="197"/>
      <c r="U241" s="197"/>
      <c r="V241" s="197"/>
      <c r="W241" s="197"/>
      <c r="X241" s="197"/>
      <c r="Y241" s="197"/>
      <c r="Z241" s="197"/>
      <c r="AA241" s="197"/>
      <c r="AB241" s="197"/>
      <c r="AC241" s="197"/>
      <c r="AD241" s="197"/>
      <c r="AE241" s="197"/>
      <c r="AF241" s="197"/>
      <c r="AG241" s="197"/>
      <c r="AH241" s="197"/>
      <c r="AI241" s="197"/>
      <c r="AJ241" s="197"/>
      <c r="AK241" s="197"/>
      <c r="AL241" s="197"/>
      <c r="AM241" s="197"/>
      <c r="AN241" s="197"/>
      <c r="AO241" s="197"/>
      <c r="AP241" s="197"/>
      <c r="AQ241" s="197"/>
      <c r="AR241" s="197"/>
      <c r="AS241" s="197"/>
      <c r="AT241" s="197"/>
      <c r="AU241" s="197"/>
      <c r="AV241" s="197"/>
      <c r="AW241" s="197"/>
      <c r="AX241" s="197"/>
      <c r="AY241" s="197"/>
      <c r="AZ241" s="197"/>
      <c r="BA241" s="197"/>
      <c r="BB241" s="197"/>
      <c r="BC241" s="197"/>
      <c r="BD241" s="197"/>
      <c r="BE241" s="197"/>
      <c r="BF241" s="197"/>
      <c r="BG241" s="197"/>
      <c r="BH241" s="197"/>
      <c r="BI241" s="197"/>
      <c r="BJ241" s="197"/>
      <c r="BK241" s="197"/>
      <c r="BL241" s="197"/>
      <c r="BM241" s="197"/>
      <c r="BN241" s="197"/>
      <c r="BO241" s="197"/>
      <c r="BP241" s="197"/>
    </row>
    <row r="242" spans="1:68" ht="20" customHeight="1" x14ac:dyDescent="0.15">
      <c r="A242" s="197"/>
      <c r="B242" s="197"/>
      <c r="C242" s="193"/>
      <c r="D242" s="197"/>
      <c r="E242" s="197"/>
      <c r="F242" s="214"/>
      <c r="G242" s="197"/>
      <c r="H242" s="197"/>
      <c r="I242" s="197"/>
      <c r="J242" s="197"/>
      <c r="K242" s="197"/>
      <c r="L242" s="197"/>
      <c r="M242" s="197"/>
      <c r="N242" s="197"/>
      <c r="O242" s="197"/>
      <c r="P242" s="197"/>
      <c r="Q242" s="197"/>
      <c r="R242" s="197"/>
      <c r="S242" s="197"/>
      <c r="T242" s="197"/>
      <c r="U242" s="197"/>
      <c r="V242" s="197"/>
      <c r="W242" s="197"/>
      <c r="X242" s="197"/>
      <c r="Y242" s="197"/>
      <c r="Z242" s="197"/>
      <c r="AA242" s="197"/>
      <c r="AB242" s="197"/>
      <c r="AC242" s="197"/>
      <c r="AD242" s="197"/>
      <c r="AE242" s="197"/>
      <c r="AF242" s="197"/>
      <c r="AG242" s="197"/>
      <c r="AH242" s="197"/>
      <c r="AI242" s="197"/>
      <c r="AJ242" s="197"/>
      <c r="AK242" s="197"/>
      <c r="AL242" s="197"/>
      <c r="AM242" s="197"/>
      <c r="AN242" s="197"/>
      <c r="AO242" s="197"/>
      <c r="AP242" s="197"/>
      <c r="AQ242" s="197"/>
      <c r="AR242" s="197"/>
      <c r="AS242" s="197"/>
      <c r="AT242" s="197"/>
      <c r="AU242" s="197"/>
      <c r="AV242" s="197"/>
      <c r="AW242" s="197"/>
      <c r="AX242" s="197"/>
      <c r="AY242" s="197"/>
      <c r="AZ242" s="197"/>
      <c r="BA242" s="197"/>
      <c r="BB242" s="197"/>
      <c r="BC242" s="197"/>
      <c r="BD242" s="197"/>
      <c r="BE242" s="197"/>
      <c r="BF242" s="197"/>
      <c r="BG242" s="197"/>
      <c r="BH242" s="197"/>
      <c r="BI242" s="197"/>
      <c r="BJ242" s="197"/>
      <c r="BK242" s="197"/>
      <c r="BL242" s="197"/>
      <c r="BM242" s="197"/>
      <c r="BN242" s="197"/>
      <c r="BO242" s="197"/>
      <c r="BP242" s="197"/>
    </row>
    <row r="243" spans="1:68" ht="20" customHeight="1" x14ac:dyDescent="0.15">
      <c r="A243" s="197"/>
      <c r="B243" s="197"/>
      <c r="C243" s="193"/>
      <c r="D243" s="197"/>
      <c r="E243" s="197"/>
      <c r="F243" s="214"/>
      <c r="G243" s="197"/>
      <c r="H243" s="197"/>
      <c r="I243" s="197"/>
      <c r="J243" s="197"/>
      <c r="K243" s="197"/>
      <c r="L243" s="197"/>
      <c r="M243" s="197"/>
      <c r="N243" s="197"/>
      <c r="O243" s="197"/>
      <c r="P243" s="197"/>
      <c r="Q243" s="197"/>
      <c r="R243" s="197"/>
      <c r="S243" s="197"/>
      <c r="T243" s="197"/>
      <c r="U243" s="197"/>
      <c r="V243" s="197"/>
      <c r="W243" s="197"/>
      <c r="X243" s="197"/>
      <c r="Y243" s="197"/>
      <c r="Z243" s="197"/>
      <c r="AA243" s="197"/>
      <c r="AB243" s="197"/>
      <c r="AC243" s="197"/>
      <c r="AD243" s="197"/>
      <c r="AE243" s="197"/>
      <c r="AF243" s="197"/>
      <c r="AG243" s="197"/>
      <c r="AH243" s="197"/>
      <c r="AI243" s="197"/>
      <c r="AJ243" s="197"/>
      <c r="AK243" s="197"/>
      <c r="AL243" s="197"/>
      <c r="AM243" s="197"/>
      <c r="AN243" s="197"/>
      <c r="AO243" s="197"/>
      <c r="AP243" s="197"/>
      <c r="AQ243" s="197"/>
      <c r="AR243" s="197"/>
      <c r="AS243" s="197"/>
      <c r="AT243" s="197"/>
      <c r="AU243" s="197"/>
      <c r="AV243" s="197"/>
      <c r="AW243" s="197"/>
      <c r="AX243" s="197"/>
      <c r="AY243" s="197"/>
      <c r="AZ243" s="197"/>
      <c r="BA243" s="197"/>
      <c r="BB243" s="197"/>
      <c r="BC243" s="197"/>
      <c r="BD243" s="197"/>
      <c r="BE243" s="197"/>
      <c r="BF243" s="197"/>
      <c r="BG243" s="197"/>
      <c r="BH243" s="197"/>
      <c r="BI243" s="197"/>
      <c r="BJ243" s="197"/>
      <c r="BK243" s="197"/>
      <c r="BL243" s="197"/>
      <c r="BM243" s="197"/>
      <c r="BN243" s="197"/>
      <c r="BO243" s="197"/>
      <c r="BP243" s="197"/>
    </row>
    <row r="244" spans="1:68" ht="20" customHeight="1" x14ac:dyDescent="0.15">
      <c r="A244" s="197"/>
      <c r="B244" s="197"/>
      <c r="C244" s="193"/>
      <c r="D244" s="197"/>
      <c r="E244" s="197"/>
      <c r="F244" s="214"/>
      <c r="G244" s="197"/>
      <c r="H244" s="197"/>
      <c r="I244" s="197"/>
      <c r="J244" s="197"/>
      <c r="K244" s="197"/>
      <c r="L244" s="197"/>
      <c r="M244" s="197"/>
      <c r="N244" s="197"/>
      <c r="O244" s="197"/>
      <c r="P244" s="197"/>
      <c r="Q244" s="197"/>
      <c r="R244" s="197"/>
      <c r="S244" s="197"/>
      <c r="T244" s="197"/>
      <c r="U244" s="197"/>
      <c r="V244" s="197"/>
      <c r="W244" s="197"/>
      <c r="X244" s="197"/>
      <c r="Y244" s="197"/>
      <c r="Z244" s="197"/>
      <c r="AA244" s="197"/>
      <c r="AB244" s="197"/>
      <c r="AC244" s="197"/>
      <c r="AD244" s="197"/>
      <c r="AE244" s="197"/>
      <c r="AF244" s="197"/>
      <c r="AG244" s="197"/>
      <c r="AH244" s="197"/>
      <c r="AI244" s="197"/>
      <c r="AJ244" s="197"/>
      <c r="AK244" s="197"/>
      <c r="AL244" s="197"/>
      <c r="AM244" s="197"/>
      <c r="AN244" s="197"/>
      <c r="AO244" s="197"/>
      <c r="AP244" s="197"/>
      <c r="AQ244" s="197"/>
      <c r="AR244" s="197"/>
      <c r="AS244" s="197"/>
      <c r="AT244" s="197"/>
      <c r="AU244" s="197"/>
      <c r="AV244" s="197"/>
      <c r="AW244" s="197"/>
      <c r="AX244" s="197"/>
      <c r="AY244" s="197"/>
      <c r="AZ244" s="197"/>
      <c r="BA244" s="197"/>
      <c r="BB244" s="197"/>
      <c r="BC244" s="197"/>
      <c r="BD244" s="197"/>
      <c r="BE244" s="197"/>
      <c r="BF244" s="197"/>
      <c r="BG244" s="197"/>
      <c r="BH244" s="197"/>
      <c r="BI244" s="197"/>
      <c r="BJ244" s="197"/>
      <c r="BK244" s="197"/>
      <c r="BL244" s="197"/>
      <c r="BM244" s="197"/>
      <c r="BN244" s="197"/>
      <c r="BO244" s="197"/>
      <c r="BP244" s="197"/>
    </row>
    <row r="245" spans="1:68" ht="20" customHeight="1" x14ac:dyDescent="0.15">
      <c r="A245" s="197"/>
      <c r="B245" s="197"/>
      <c r="C245" s="193"/>
      <c r="D245" s="197"/>
      <c r="E245" s="197"/>
      <c r="F245" s="214"/>
      <c r="G245" s="197"/>
      <c r="H245" s="197"/>
      <c r="I245" s="197"/>
      <c r="J245" s="197"/>
      <c r="K245" s="197"/>
      <c r="L245" s="197"/>
      <c r="M245" s="197"/>
      <c r="N245" s="197"/>
      <c r="O245" s="197"/>
      <c r="P245" s="197"/>
      <c r="Q245" s="197"/>
      <c r="R245" s="197"/>
      <c r="S245" s="197"/>
      <c r="T245" s="197"/>
      <c r="U245" s="197"/>
      <c r="V245" s="197"/>
      <c r="W245" s="197"/>
      <c r="X245" s="197"/>
      <c r="Y245" s="197"/>
      <c r="Z245" s="197"/>
      <c r="AA245" s="197"/>
      <c r="AB245" s="197"/>
      <c r="AC245" s="197"/>
      <c r="AD245" s="197"/>
      <c r="AE245" s="197"/>
      <c r="AF245" s="197"/>
      <c r="AG245" s="197"/>
      <c r="AH245" s="197"/>
      <c r="AI245" s="197"/>
      <c r="AJ245" s="197"/>
      <c r="AK245" s="197"/>
      <c r="AL245" s="197"/>
      <c r="AM245" s="197"/>
      <c r="AN245" s="197"/>
      <c r="AO245" s="197"/>
      <c r="AP245" s="197"/>
      <c r="AQ245" s="197"/>
      <c r="AR245" s="197"/>
      <c r="AS245" s="197"/>
      <c r="AT245" s="197"/>
      <c r="AU245" s="197"/>
      <c r="AV245" s="197"/>
      <c r="AW245" s="197"/>
      <c r="AX245" s="197"/>
      <c r="AY245" s="197"/>
      <c r="AZ245" s="197"/>
      <c r="BA245" s="197"/>
      <c r="BB245" s="197"/>
      <c r="BC245" s="197"/>
      <c r="BD245" s="197"/>
      <c r="BE245" s="197"/>
      <c r="BF245" s="197"/>
      <c r="BG245" s="197"/>
      <c r="BH245" s="197"/>
      <c r="BI245" s="197"/>
      <c r="BJ245" s="197"/>
      <c r="BK245" s="197"/>
      <c r="BL245" s="197"/>
      <c r="BM245" s="197"/>
      <c r="BN245" s="197"/>
      <c r="BO245" s="197"/>
      <c r="BP245" s="197"/>
    </row>
    <row r="246" spans="1:68" ht="20" customHeight="1" x14ac:dyDescent="0.15">
      <c r="A246" s="197"/>
      <c r="B246" s="197"/>
      <c r="C246" s="193"/>
      <c r="D246" s="197"/>
      <c r="E246" s="197"/>
      <c r="F246" s="214"/>
      <c r="G246" s="197"/>
      <c r="H246" s="197"/>
      <c r="I246" s="197"/>
      <c r="J246" s="197"/>
      <c r="K246" s="197"/>
      <c r="L246" s="197"/>
      <c r="M246" s="197"/>
      <c r="N246" s="197"/>
      <c r="O246" s="197"/>
      <c r="P246" s="197"/>
      <c r="Q246" s="197"/>
      <c r="R246" s="197"/>
      <c r="S246" s="197"/>
      <c r="T246" s="197"/>
      <c r="U246" s="197"/>
      <c r="V246" s="197"/>
      <c r="W246" s="197"/>
      <c r="X246" s="197"/>
      <c r="Y246" s="197"/>
      <c r="Z246" s="197"/>
      <c r="AA246" s="197"/>
      <c r="AB246" s="197"/>
      <c r="AC246" s="197"/>
      <c r="AD246" s="197"/>
      <c r="AE246" s="197"/>
      <c r="AF246" s="197"/>
      <c r="AG246" s="197"/>
      <c r="AH246" s="197"/>
      <c r="AI246" s="197"/>
      <c r="AJ246" s="197"/>
      <c r="AK246" s="197"/>
      <c r="AL246" s="197"/>
      <c r="AM246" s="197"/>
      <c r="AN246" s="197"/>
      <c r="AO246" s="197"/>
      <c r="AP246" s="197"/>
      <c r="AQ246" s="197"/>
      <c r="AR246" s="197"/>
      <c r="AS246" s="197"/>
      <c r="AT246" s="197"/>
      <c r="AU246" s="197"/>
      <c r="AV246" s="197"/>
      <c r="AW246" s="197"/>
      <c r="AX246" s="197"/>
      <c r="AY246" s="197"/>
      <c r="AZ246" s="197"/>
      <c r="BA246" s="197"/>
      <c r="BB246" s="197"/>
      <c r="BC246" s="197"/>
      <c r="BD246" s="197"/>
      <c r="BE246" s="197"/>
      <c r="BF246" s="197"/>
      <c r="BG246" s="197"/>
      <c r="BH246" s="197"/>
      <c r="BI246" s="197"/>
      <c r="BJ246" s="197"/>
      <c r="BK246" s="197"/>
      <c r="BL246" s="197"/>
      <c r="BM246" s="197"/>
      <c r="BN246" s="197"/>
      <c r="BO246" s="197"/>
      <c r="BP246" s="197"/>
    </row>
    <row r="247" spans="1:68" ht="20" customHeight="1" x14ac:dyDescent="0.15">
      <c r="A247" s="197"/>
      <c r="B247" s="197"/>
      <c r="C247" s="193"/>
      <c r="D247" s="197"/>
      <c r="E247" s="197"/>
      <c r="F247" s="214"/>
      <c r="G247" s="197"/>
      <c r="H247" s="197"/>
      <c r="I247" s="197"/>
      <c r="J247" s="197"/>
      <c r="K247" s="197"/>
      <c r="L247" s="197"/>
      <c r="M247" s="197"/>
      <c r="N247" s="197"/>
      <c r="O247" s="197"/>
      <c r="P247" s="197"/>
      <c r="Q247" s="197"/>
      <c r="R247" s="197"/>
      <c r="S247" s="197"/>
      <c r="T247" s="197"/>
      <c r="U247" s="197"/>
      <c r="V247" s="197"/>
      <c r="W247" s="197"/>
      <c r="X247" s="197"/>
      <c r="Y247" s="197"/>
      <c r="Z247" s="197"/>
      <c r="AA247" s="197"/>
      <c r="AB247" s="197"/>
      <c r="AC247" s="197"/>
      <c r="AD247" s="197"/>
      <c r="AE247" s="197"/>
      <c r="AF247" s="197"/>
      <c r="AG247" s="197"/>
      <c r="AH247" s="197"/>
      <c r="AI247" s="197"/>
      <c r="AJ247" s="197"/>
      <c r="AK247" s="197"/>
      <c r="AL247" s="197"/>
      <c r="AM247" s="197"/>
      <c r="AN247" s="197"/>
      <c r="AO247" s="197"/>
      <c r="AP247" s="197"/>
      <c r="AQ247" s="197"/>
      <c r="AR247" s="197"/>
      <c r="AS247" s="197"/>
      <c r="AT247" s="197"/>
      <c r="AU247" s="197"/>
      <c r="AV247" s="197"/>
      <c r="AW247" s="197"/>
      <c r="AX247" s="197"/>
      <c r="AY247" s="197"/>
      <c r="AZ247" s="197"/>
      <c r="BA247" s="197"/>
      <c r="BB247" s="197"/>
      <c r="BC247" s="197"/>
      <c r="BD247" s="197"/>
      <c r="BE247" s="197"/>
      <c r="BF247" s="197"/>
      <c r="BG247" s="197"/>
      <c r="BH247" s="197"/>
      <c r="BI247" s="197"/>
      <c r="BJ247" s="197"/>
      <c r="BK247" s="197"/>
      <c r="BL247" s="197"/>
      <c r="BM247" s="197"/>
      <c r="BN247" s="197"/>
      <c r="BO247" s="197"/>
      <c r="BP247" s="197"/>
    </row>
    <row r="248" spans="1:68" ht="20" customHeight="1" x14ac:dyDescent="0.15">
      <c r="A248" s="197"/>
      <c r="B248" s="197"/>
      <c r="C248" s="193"/>
      <c r="D248" s="197"/>
      <c r="E248" s="197"/>
      <c r="F248" s="214"/>
      <c r="G248" s="197"/>
      <c r="H248" s="197"/>
      <c r="I248" s="197"/>
      <c r="J248" s="197"/>
      <c r="K248" s="197"/>
      <c r="L248" s="197"/>
      <c r="M248" s="197"/>
      <c r="N248" s="197"/>
      <c r="O248" s="197"/>
      <c r="P248" s="197"/>
      <c r="Q248" s="197"/>
      <c r="R248" s="197"/>
      <c r="S248" s="197"/>
      <c r="T248" s="197"/>
      <c r="U248" s="197"/>
      <c r="V248" s="197"/>
      <c r="W248" s="197"/>
      <c r="X248" s="197"/>
      <c r="Y248" s="197"/>
      <c r="Z248" s="197"/>
      <c r="AA248" s="197"/>
      <c r="AB248" s="197"/>
      <c r="AC248" s="197"/>
      <c r="AD248" s="197"/>
      <c r="AE248" s="197"/>
      <c r="AF248" s="197"/>
      <c r="AG248" s="197"/>
      <c r="AH248" s="197"/>
      <c r="AI248" s="197"/>
      <c r="AJ248" s="197"/>
      <c r="AK248" s="197"/>
      <c r="AL248" s="197"/>
      <c r="AM248" s="197"/>
      <c r="AN248" s="197"/>
      <c r="AO248" s="197"/>
      <c r="AP248" s="197"/>
      <c r="AQ248" s="197"/>
      <c r="AR248" s="197"/>
      <c r="AS248" s="197"/>
      <c r="AT248" s="197"/>
      <c r="AU248" s="197"/>
      <c r="AV248" s="197"/>
      <c r="AW248" s="197"/>
      <c r="AX248" s="197"/>
      <c r="AY248" s="197"/>
      <c r="AZ248" s="197"/>
      <c r="BA248" s="197"/>
      <c r="BB248" s="197"/>
      <c r="BC248" s="197"/>
      <c r="BD248" s="197"/>
      <c r="BE248" s="197"/>
      <c r="BF248" s="197"/>
      <c r="BG248" s="197"/>
      <c r="BH248" s="197"/>
      <c r="BI248" s="197"/>
      <c r="BJ248" s="197"/>
      <c r="BK248" s="197"/>
      <c r="BL248" s="197"/>
      <c r="BM248" s="197"/>
      <c r="BN248" s="197"/>
      <c r="BO248" s="197"/>
      <c r="BP248" s="197"/>
    </row>
    <row r="249" spans="1:68" ht="20" customHeight="1" x14ac:dyDescent="0.15">
      <c r="A249" s="197"/>
      <c r="B249" s="197"/>
      <c r="C249" s="193"/>
      <c r="D249" s="197"/>
      <c r="E249" s="197"/>
      <c r="F249" s="214"/>
      <c r="G249" s="197"/>
      <c r="H249" s="197"/>
      <c r="I249" s="197"/>
      <c r="J249" s="197"/>
      <c r="K249" s="197"/>
      <c r="L249" s="197"/>
      <c r="M249" s="197"/>
      <c r="N249" s="197"/>
      <c r="O249" s="197"/>
      <c r="P249" s="197"/>
      <c r="Q249" s="197"/>
      <c r="R249" s="197"/>
      <c r="S249" s="197"/>
      <c r="T249" s="197"/>
      <c r="U249" s="197"/>
      <c r="V249" s="197"/>
      <c r="W249" s="197"/>
      <c r="X249" s="197"/>
      <c r="Y249" s="197"/>
      <c r="Z249" s="197"/>
      <c r="AA249" s="197"/>
      <c r="AB249" s="197"/>
      <c r="AC249" s="197"/>
      <c r="AD249" s="197"/>
      <c r="AE249" s="197"/>
      <c r="AF249" s="197"/>
      <c r="AG249" s="197"/>
      <c r="AH249" s="197"/>
      <c r="AI249" s="197"/>
      <c r="AJ249" s="197"/>
      <c r="AK249" s="197"/>
      <c r="AL249" s="197"/>
      <c r="AM249" s="197"/>
      <c r="AN249" s="197"/>
      <c r="AO249" s="197"/>
      <c r="AP249" s="197"/>
      <c r="AQ249" s="197"/>
      <c r="AR249" s="197"/>
      <c r="AS249" s="197"/>
      <c r="AT249" s="197"/>
      <c r="AU249" s="197"/>
      <c r="AV249" s="197"/>
      <c r="AW249" s="197"/>
      <c r="AX249" s="197"/>
      <c r="AY249" s="197"/>
      <c r="AZ249" s="197"/>
      <c r="BA249" s="197"/>
      <c r="BB249" s="197"/>
      <c r="BC249" s="197"/>
      <c r="BD249" s="197"/>
      <c r="BE249" s="197"/>
      <c r="BF249" s="197"/>
      <c r="BG249" s="197"/>
      <c r="BH249" s="197"/>
      <c r="BI249" s="197"/>
      <c r="BJ249" s="197"/>
      <c r="BK249" s="197"/>
      <c r="BL249" s="197"/>
      <c r="BM249" s="197"/>
      <c r="BN249" s="197"/>
      <c r="BO249" s="197"/>
      <c r="BP249" s="197"/>
    </row>
    <row r="250" spans="1:68" ht="20" customHeight="1" x14ac:dyDescent="0.15">
      <c r="A250" s="197"/>
      <c r="B250" s="197"/>
      <c r="C250" s="193"/>
      <c r="D250" s="197"/>
      <c r="E250" s="197"/>
      <c r="F250" s="214"/>
      <c r="G250" s="197"/>
      <c r="H250" s="197"/>
      <c r="I250" s="197"/>
      <c r="J250" s="197"/>
      <c r="K250" s="197"/>
      <c r="L250" s="197"/>
      <c r="M250" s="197"/>
      <c r="N250" s="197"/>
      <c r="O250" s="197"/>
      <c r="P250" s="197"/>
      <c r="Q250" s="197"/>
      <c r="R250" s="197"/>
      <c r="S250" s="197"/>
      <c r="T250" s="197"/>
      <c r="U250" s="197"/>
      <c r="V250" s="197"/>
      <c r="W250" s="197"/>
      <c r="X250" s="197"/>
      <c r="Y250" s="197"/>
      <c r="Z250" s="197"/>
      <c r="AA250" s="197"/>
      <c r="AB250" s="197"/>
      <c r="AC250" s="197"/>
      <c r="AD250" s="197"/>
      <c r="AE250" s="197"/>
      <c r="AF250" s="197"/>
      <c r="AG250" s="197"/>
      <c r="AH250" s="197"/>
      <c r="AI250" s="197"/>
      <c r="AJ250" s="197"/>
      <c r="AK250" s="197"/>
      <c r="AL250" s="197"/>
      <c r="AM250" s="197"/>
      <c r="AN250" s="197"/>
      <c r="AO250" s="197"/>
      <c r="AP250" s="197"/>
      <c r="AQ250" s="197"/>
      <c r="AR250" s="197"/>
      <c r="AS250" s="197"/>
      <c r="AT250" s="197"/>
      <c r="AU250" s="197"/>
      <c r="AV250" s="197"/>
      <c r="AW250" s="197"/>
      <c r="AX250" s="197"/>
      <c r="AY250" s="197"/>
      <c r="AZ250" s="197"/>
      <c r="BA250" s="197"/>
      <c r="BB250" s="197"/>
      <c r="BC250" s="197"/>
      <c r="BD250" s="197"/>
      <c r="BE250" s="197"/>
      <c r="BF250" s="197"/>
      <c r="BG250" s="197"/>
      <c r="BH250" s="197"/>
      <c r="BI250" s="197"/>
      <c r="BJ250" s="197"/>
      <c r="BK250" s="197"/>
      <c r="BL250" s="197"/>
      <c r="BM250" s="197"/>
      <c r="BN250" s="197"/>
      <c r="BO250" s="197"/>
      <c r="BP250" s="197"/>
    </row>
    <row r="251" spans="1:68" ht="20" customHeight="1" x14ac:dyDescent="0.15">
      <c r="A251" s="197"/>
      <c r="B251" s="197"/>
      <c r="C251" s="193"/>
      <c r="D251" s="197"/>
      <c r="E251" s="197"/>
      <c r="F251" s="214"/>
      <c r="G251" s="197"/>
      <c r="H251" s="197"/>
      <c r="I251" s="197"/>
      <c r="J251" s="197"/>
      <c r="K251" s="197"/>
      <c r="L251" s="197"/>
      <c r="M251" s="197"/>
      <c r="N251" s="197"/>
      <c r="O251" s="197"/>
      <c r="P251" s="197"/>
      <c r="Q251" s="197"/>
      <c r="R251" s="197"/>
      <c r="S251" s="197"/>
      <c r="T251" s="197"/>
      <c r="U251" s="197"/>
      <c r="V251" s="197"/>
      <c r="W251" s="197"/>
      <c r="X251" s="197"/>
      <c r="Y251" s="197"/>
      <c r="Z251" s="197"/>
      <c r="AA251" s="197"/>
      <c r="AB251" s="197"/>
      <c r="AC251" s="197"/>
      <c r="AD251" s="197"/>
      <c r="AE251" s="197"/>
      <c r="AF251" s="197"/>
      <c r="AG251" s="197"/>
      <c r="AH251" s="197"/>
      <c r="AI251" s="197"/>
      <c r="AJ251" s="197"/>
      <c r="AK251" s="197"/>
      <c r="AL251" s="197"/>
      <c r="AM251" s="197"/>
      <c r="AN251" s="197"/>
      <c r="AO251" s="197"/>
      <c r="AP251" s="197"/>
      <c r="AQ251" s="197"/>
      <c r="AR251" s="197"/>
      <c r="AS251" s="197"/>
      <c r="AT251" s="197"/>
      <c r="AU251" s="197"/>
      <c r="AV251" s="197"/>
      <c r="AW251" s="197"/>
      <c r="AX251" s="197"/>
      <c r="AY251" s="197"/>
      <c r="AZ251" s="197"/>
      <c r="BA251" s="197"/>
      <c r="BB251" s="197"/>
      <c r="BC251" s="197"/>
      <c r="BD251" s="197"/>
      <c r="BE251" s="197"/>
      <c r="BF251" s="197"/>
      <c r="BG251" s="197"/>
      <c r="BH251" s="197"/>
      <c r="BI251" s="197"/>
      <c r="BJ251" s="197"/>
      <c r="BK251" s="197"/>
      <c r="BL251" s="197"/>
      <c r="BM251" s="197"/>
      <c r="BN251" s="197"/>
      <c r="BO251" s="197"/>
      <c r="BP251" s="197"/>
    </row>
    <row r="252" spans="1:68" ht="20" customHeight="1" x14ac:dyDescent="0.15">
      <c r="A252" s="197"/>
      <c r="B252" s="197"/>
      <c r="C252" s="193"/>
      <c r="D252" s="197"/>
      <c r="E252" s="197"/>
      <c r="F252" s="214"/>
      <c r="G252" s="197"/>
      <c r="H252" s="197"/>
      <c r="I252" s="197"/>
      <c r="J252" s="197"/>
      <c r="K252" s="197"/>
      <c r="L252" s="197"/>
      <c r="M252" s="197"/>
      <c r="N252" s="197"/>
      <c r="O252" s="197"/>
      <c r="P252" s="197"/>
      <c r="Q252" s="197"/>
      <c r="R252" s="197"/>
      <c r="S252" s="197"/>
      <c r="T252" s="197"/>
      <c r="U252" s="197"/>
      <c r="V252" s="197"/>
      <c r="W252" s="197"/>
      <c r="X252" s="197"/>
      <c r="Y252" s="197"/>
      <c r="Z252" s="197"/>
      <c r="AA252" s="197"/>
      <c r="AB252" s="197"/>
      <c r="AC252" s="197"/>
      <c r="AD252" s="197"/>
      <c r="AE252" s="197"/>
      <c r="AF252" s="197"/>
      <c r="AG252" s="197"/>
      <c r="AH252" s="197"/>
      <c r="AI252" s="197"/>
      <c r="AJ252" s="197"/>
      <c r="AK252" s="197"/>
      <c r="AL252" s="197"/>
      <c r="AM252" s="197"/>
      <c r="AN252" s="197"/>
      <c r="AO252" s="197"/>
      <c r="AP252" s="197"/>
      <c r="AQ252" s="197"/>
      <c r="AR252" s="197"/>
      <c r="AS252" s="197"/>
      <c r="AT252" s="197"/>
      <c r="AU252" s="197"/>
      <c r="AV252" s="197"/>
      <c r="AW252" s="197"/>
      <c r="AX252" s="197"/>
      <c r="AY252" s="197"/>
      <c r="AZ252" s="197"/>
      <c r="BA252" s="197"/>
      <c r="BB252" s="197"/>
      <c r="BC252" s="197"/>
      <c r="BD252" s="197"/>
      <c r="BE252" s="197"/>
      <c r="BF252" s="197"/>
      <c r="BG252" s="197"/>
      <c r="BH252" s="197"/>
      <c r="BI252" s="197"/>
      <c r="BJ252" s="197"/>
      <c r="BK252" s="197"/>
      <c r="BL252" s="197"/>
      <c r="BM252" s="197"/>
      <c r="BN252" s="197"/>
      <c r="BO252" s="197"/>
      <c r="BP252" s="197"/>
    </row>
    <row r="253" spans="1:68" ht="20" customHeight="1" x14ac:dyDescent="0.15">
      <c r="A253" s="197"/>
      <c r="B253" s="197"/>
      <c r="C253" s="193"/>
      <c r="D253" s="197"/>
      <c r="E253" s="197"/>
      <c r="F253" s="214"/>
      <c r="G253" s="197"/>
      <c r="H253" s="197"/>
      <c r="I253" s="197"/>
      <c r="J253" s="197"/>
      <c r="K253" s="197"/>
      <c r="L253" s="197"/>
      <c r="M253" s="197"/>
      <c r="N253" s="197"/>
      <c r="O253" s="197"/>
      <c r="P253" s="197"/>
      <c r="Q253" s="197"/>
      <c r="R253" s="197"/>
      <c r="S253" s="197"/>
      <c r="T253" s="197"/>
      <c r="U253" s="197"/>
      <c r="V253" s="197"/>
      <c r="W253" s="197"/>
      <c r="X253" s="197"/>
      <c r="Y253" s="197"/>
      <c r="Z253" s="197"/>
      <c r="AA253" s="197"/>
      <c r="AB253" s="197"/>
      <c r="AC253" s="197"/>
      <c r="AD253" s="197"/>
      <c r="AE253" s="197"/>
      <c r="AF253" s="197"/>
      <c r="AG253" s="197"/>
      <c r="AH253" s="197"/>
      <c r="AI253" s="197"/>
      <c r="AJ253" s="197"/>
      <c r="AK253" s="197"/>
      <c r="AL253" s="197"/>
      <c r="AM253" s="197"/>
      <c r="AN253" s="197"/>
      <c r="AO253" s="197"/>
      <c r="AP253" s="197"/>
      <c r="AQ253" s="197"/>
      <c r="AR253" s="197"/>
      <c r="AS253" s="197"/>
      <c r="AT253" s="197"/>
      <c r="AU253" s="197"/>
      <c r="AV253" s="197"/>
      <c r="AW253" s="197"/>
      <c r="AX253" s="197"/>
      <c r="AY253" s="197"/>
      <c r="AZ253" s="197"/>
      <c r="BA253" s="197"/>
      <c r="BB253" s="197"/>
      <c r="BC253" s="197"/>
      <c r="BD253" s="197"/>
      <c r="BE253" s="197"/>
      <c r="BF253" s="197"/>
      <c r="BG253" s="197"/>
      <c r="BH253" s="197"/>
      <c r="BI253" s="197"/>
      <c r="BJ253" s="197"/>
      <c r="BK253" s="197"/>
      <c r="BL253" s="197"/>
      <c r="BM253" s="197"/>
      <c r="BN253" s="197"/>
      <c r="BO253" s="197"/>
      <c r="BP253" s="197"/>
    </row>
    <row r="254" spans="1:68" ht="20" customHeight="1" x14ac:dyDescent="0.15">
      <c r="A254" s="197"/>
      <c r="B254" s="197"/>
      <c r="C254" s="193"/>
      <c r="D254" s="197"/>
      <c r="E254" s="197"/>
      <c r="F254" s="214"/>
      <c r="G254" s="197"/>
      <c r="H254" s="197"/>
      <c r="I254" s="197"/>
      <c r="J254" s="197"/>
      <c r="K254" s="197"/>
      <c r="L254" s="197"/>
      <c r="M254" s="197"/>
      <c r="N254" s="197"/>
      <c r="O254" s="197"/>
      <c r="P254" s="197"/>
      <c r="Q254" s="197"/>
      <c r="R254" s="197"/>
      <c r="S254" s="197"/>
      <c r="T254" s="197"/>
      <c r="U254" s="197"/>
      <c r="V254" s="197"/>
      <c r="W254" s="197"/>
      <c r="X254" s="197"/>
      <c r="Y254" s="197"/>
      <c r="Z254" s="197"/>
      <c r="AA254" s="197"/>
      <c r="AB254" s="197"/>
      <c r="AC254" s="197"/>
      <c r="AD254" s="197"/>
      <c r="AE254" s="197"/>
      <c r="AF254" s="197"/>
      <c r="AG254" s="197"/>
      <c r="AH254" s="197"/>
      <c r="AI254" s="197"/>
      <c r="AJ254" s="197"/>
      <c r="AK254" s="197"/>
      <c r="AL254" s="197"/>
      <c r="AM254" s="197"/>
      <c r="AN254" s="197"/>
      <c r="AO254" s="197"/>
      <c r="AP254" s="197"/>
      <c r="AQ254" s="197"/>
      <c r="AR254" s="197"/>
      <c r="AS254" s="197"/>
      <c r="AT254" s="197"/>
      <c r="AU254" s="197"/>
      <c r="AV254" s="197"/>
      <c r="AW254" s="197"/>
      <c r="AX254" s="197"/>
      <c r="AY254" s="197"/>
      <c r="AZ254" s="197"/>
      <c r="BA254" s="197"/>
      <c r="BB254" s="197"/>
      <c r="BC254" s="197"/>
      <c r="BD254" s="197"/>
      <c r="BE254" s="197"/>
      <c r="BF254" s="197"/>
      <c r="BG254" s="197"/>
      <c r="BH254" s="197"/>
      <c r="BI254" s="197"/>
      <c r="BJ254" s="197"/>
      <c r="BK254" s="197"/>
      <c r="BL254" s="197"/>
      <c r="BM254" s="197"/>
      <c r="BN254" s="197"/>
      <c r="BO254" s="197"/>
      <c r="BP254" s="197"/>
    </row>
    <row r="255" spans="1:68" ht="20" customHeight="1" x14ac:dyDescent="0.15">
      <c r="A255" s="197"/>
      <c r="B255" s="197"/>
      <c r="C255" s="193"/>
      <c r="D255" s="197"/>
      <c r="E255" s="197"/>
      <c r="F255" s="214"/>
      <c r="G255" s="197"/>
      <c r="H255" s="197"/>
      <c r="I255" s="197"/>
      <c r="J255" s="197"/>
      <c r="K255" s="197"/>
      <c r="L255" s="197"/>
      <c r="M255" s="197"/>
      <c r="N255" s="197"/>
      <c r="O255" s="197"/>
      <c r="P255" s="197"/>
      <c r="Q255" s="197"/>
      <c r="R255" s="197"/>
      <c r="S255" s="197"/>
      <c r="T255" s="197"/>
      <c r="U255" s="197"/>
      <c r="V255" s="197"/>
      <c r="W255" s="197"/>
      <c r="X255" s="197"/>
      <c r="Y255" s="197"/>
      <c r="Z255" s="197"/>
      <c r="AA255" s="197"/>
      <c r="AB255" s="197"/>
      <c r="AC255" s="197"/>
      <c r="AD255" s="197"/>
      <c r="AE255" s="197"/>
      <c r="AF255" s="197"/>
      <c r="AG255" s="197"/>
      <c r="AH255" s="197"/>
      <c r="AI255" s="197"/>
      <c r="AJ255" s="197"/>
      <c r="AK255" s="197"/>
      <c r="AL255" s="197"/>
      <c r="AM255" s="197"/>
      <c r="AN255" s="197"/>
      <c r="AO255" s="197"/>
      <c r="AP255" s="197"/>
      <c r="AQ255" s="197"/>
      <c r="AR255" s="197"/>
      <c r="AS255" s="197"/>
      <c r="AT255" s="197"/>
      <c r="AU255" s="197"/>
      <c r="AV255" s="197"/>
      <c r="AW255" s="197"/>
      <c r="AX255" s="197"/>
      <c r="AY255" s="197"/>
      <c r="AZ255" s="197"/>
      <c r="BA255" s="197"/>
      <c r="BB255" s="197"/>
      <c r="BC255" s="197"/>
      <c r="BD255" s="197"/>
      <c r="BE255" s="197"/>
      <c r="BF255" s="197"/>
      <c r="BG255" s="197"/>
      <c r="BH255" s="197"/>
      <c r="BI255" s="197"/>
      <c r="BJ255" s="197"/>
      <c r="BK255" s="197"/>
      <c r="BL255" s="197"/>
      <c r="BM255" s="197"/>
      <c r="BN255" s="197"/>
      <c r="BO255" s="197"/>
      <c r="BP255" s="197"/>
    </row>
    <row r="256" spans="1:68" ht="20" customHeight="1" x14ac:dyDescent="0.15">
      <c r="A256" s="197"/>
      <c r="B256" s="197"/>
      <c r="C256" s="193"/>
      <c r="D256" s="197"/>
      <c r="E256" s="197"/>
      <c r="F256" s="214"/>
      <c r="G256" s="197"/>
      <c r="H256" s="197"/>
      <c r="I256" s="197"/>
      <c r="J256" s="197"/>
      <c r="K256" s="197"/>
      <c r="L256" s="197"/>
      <c r="M256" s="197"/>
      <c r="N256" s="197"/>
      <c r="O256" s="197"/>
      <c r="P256" s="197"/>
      <c r="Q256" s="197"/>
      <c r="R256" s="197"/>
      <c r="S256" s="197"/>
      <c r="T256" s="197"/>
      <c r="U256" s="197"/>
      <c r="V256" s="197"/>
      <c r="W256" s="197"/>
      <c r="X256" s="197"/>
      <c r="Y256" s="197"/>
      <c r="Z256" s="197"/>
      <c r="AA256" s="197"/>
      <c r="AB256" s="197"/>
      <c r="AC256" s="197"/>
      <c r="AD256" s="197"/>
      <c r="AE256" s="197"/>
      <c r="AF256" s="197"/>
      <c r="AG256" s="197"/>
      <c r="AH256" s="197"/>
      <c r="AI256" s="197"/>
      <c r="AJ256" s="197"/>
      <c r="AK256" s="197"/>
      <c r="AL256" s="197"/>
      <c r="AM256" s="197"/>
      <c r="AN256" s="197"/>
      <c r="AO256" s="197"/>
      <c r="AP256" s="197"/>
      <c r="AQ256" s="197"/>
      <c r="AR256" s="197"/>
      <c r="AS256" s="197"/>
      <c r="AT256" s="197"/>
      <c r="AU256" s="197"/>
      <c r="AV256" s="197"/>
      <c r="AW256" s="197"/>
      <c r="AX256" s="197"/>
      <c r="AY256" s="197"/>
      <c r="AZ256" s="197"/>
      <c r="BA256" s="197"/>
      <c r="BB256" s="197"/>
      <c r="BC256" s="197"/>
      <c r="BD256" s="197"/>
      <c r="BE256" s="197"/>
      <c r="BF256" s="197"/>
      <c r="BG256" s="197"/>
      <c r="BH256" s="197"/>
      <c r="BI256" s="197"/>
      <c r="BJ256" s="197"/>
      <c r="BK256" s="197"/>
      <c r="BL256" s="197"/>
      <c r="BM256" s="197"/>
      <c r="BN256" s="197"/>
      <c r="BO256" s="197"/>
      <c r="BP256" s="197"/>
    </row>
    <row r="257" spans="1:68" ht="20" customHeight="1" x14ac:dyDescent="0.15">
      <c r="A257" s="197"/>
      <c r="B257" s="197"/>
      <c r="C257" s="193"/>
      <c r="D257" s="197"/>
      <c r="E257" s="197"/>
      <c r="F257" s="214"/>
      <c r="G257" s="197"/>
      <c r="H257" s="197"/>
      <c r="I257" s="197"/>
      <c r="J257" s="197"/>
      <c r="K257" s="197"/>
      <c r="L257" s="197"/>
      <c r="M257" s="197"/>
      <c r="N257" s="197"/>
      <c r="O257" s="197"/>
      <c r="P257" s="197"/>
      <c r="Q257" s="197"/>
      <c r="R257" s="197"/>
      <c r="S257" s="197"/>
      <c r="T257" s="197"/>
      <c r="U257" s="197"/>
      <c r="V257" s="197"/>
      <c r="W257" s="197"/>
      <c r="X257" s="197"/>
      <c r="Y257" s="197"/>
      <c r="Z257" s="197"/>
      <c r="AA257" s="197"/>
      <c r="AB257" s="197"/>
      <c r="AC257" s="197"/>
      <c r="AD257" s="197"/>
      <c r="AE257" s="197"/>
      <c r="AF257" s="197"/>
      <c r="AG257" s="197"/>
      <c r="AH257" s="197"/>
      <c r="AI257" s="197"/>
      <c r="AJ257" s="197"/>
      <c r="AK257" s="197"/>
      <c r="AL257" s="197"/>
      <c r="AM257" s="197"/>
      <c r="AN257" s="197"/>
      <c r="AO257" s="197"/>
      <c r="AP257" s="197"/>
      <c r="AQ257" s="197"/>
      <c r="AR257" s="197"/>
      <c r="AS257" s="197"/>
      <c r="AT257" s="197"/>
      <c r="AU257" s="197"/>
      <c r="AV257" s="197"/>
      <c r="AW257" s="197"/>
      <c r="AX257" s="197"/>
      <c r="AY257" s="197"/>
      <c r="AZ257" s="197"/>
      <c r="BA257" s="197"/>
      <c r="BB257" s="197"/>
      <c r="BC257" s="197"/>
      <c r="BD257" s="197"/>
      <c r="BE257" s="197"/>
      <c r="BF257" s="197"/>
      <c r="BG257" s="197"/>
      <c r="BH257" s="197"/>
      <c r="BI257" s="197"/>
      <c r="BJ257" s="197"/>
      <c r="BK257" s="197"/>
      <c r="BL257" s="197"/>
      <c r="BM257" s="197"/>
      <c r="BN257" s="197"/>
      <c r="BO257" s="197"/>
      <c r="BP257" s="197"/>
    </row>
    <row r="258" spans="1:68" ht="20" customHeight="1" x14ac:dyDescent="0.15">
      <c r="A258" s="197"/>
      <c r="B258" s="197"/>
      <c r="C258" s="193"/>
      <c r="D258" s="197"/>
      <c r="E258" s="197"/>
      <c r="F258" s="214"/>
      <c r="G258" s="197"/>
      <c r="H258" s="197"/>
      <c r="I258" s="197"/>
      <c r="J258" s="197"/>
      <c r="K258" s="197"/>
      <c r="L258" s="197"/>
      <c r="M258" s="197"/>
      <c r="N258" s="197"/>
      <c r="O258" s="197"/>
      <c r="P258" s="197"/>
      <c r="Q258" s="197"/>
      <c r="R258" s="197"/>
      <c r="S258" s="197"/>
      <c r="T258" s="197"/>
      <c r="U258" s="197"/>
      <c r="V258" s="197"/>
      <c r="W258" s="197"/>
      <c r="X258" s="197"/>
      <c r="Y258" s="197"/>
      <c r="Z258" s="197"/>
      <c r="AA258" s="197"/>
      <c r="AB258" s="197"/>
      <c r="AC258" s="197"/>
      <c r="AD258" s="197"/>
      <c r="AE258" s="197"/>
      <c r="AF258" s="197"/>
      <c r="AG258" s="197"/>
      <c r="AH258" s="197"/>
      <c r="AI258" s="197"/>
      <c r="AJ258" s="197"/>
      <c r="AK258" s="197"/>
      <c r="AL258" s="197"/>
      <c r="AM258" s="197"/>
      <c r="AN258" s="197"/>
      <c r="AO258" s="197"/>
      <c r="AP258" s="197"/>
      <c r="AQ258" s="197"/>
      <c r="AR258" s="197"/>
      <c r="AS258" s="197"/>
      <c r="AT258" s="197"/>
      <c r="AU258" s="197"/>
      <c r="AV258" s="197"/>
      <c r="AW258" s="197"/>
      <c r="AX258" s="197"/>
      <c r="AY258" s="197"/>
      <c r="AZ258" s="197"/>
      <c r="BA258" s="197"/>
      <c r="BB258" s="197"/>
      <c r="BC258" s="197"/>
      <c r="BD258" s="197"/>
      <c r="BE258" s="197"/>
      <c r="BF258" s="197"/>
      <c r="BG258" s="197"/>
      <c r="BH258" s="197"/>
      <c r="BI258" s="197"/>
      <c r="BJ258" s="197"/>
      <c r="BK258" s="197"/>
      <c r="BL258" s="197"/>
      <c r="BM258" s="197"/>
      <c r="BN258" s="197"/>
      <c r="BO258" s="197"/>
      <c r="BP258" s="197"/>
    </row>
    <row r="259" spans="1:68" ht="20" customHeight="1" x14ac:dyDescent="0.15">
      <c r="A259" s="197"/>
      <c r="B259" s="197"/>
      <c r="C259" s="193"/>
      <c r="D259" s="197"/>
      <c r="E259" s="197"/>
      <c r="F259" s="214"/>
      <c r="G259" s="197"/>
      <c r="H259" s="197"/>
      <c r="I259" s="197"/>
      <c r="J259" s="197"/>
      <c r="K259" s="197"/>
      <c r="L259" s="197"/>
      <c r="M259" s="197"/>
      <c r="N259" s="197"/>
      <c r="O259" s="197"/>
      <c r="P259" s="197"/>
      <c r="Q259" s="197"/>
      <c r="R259" s="197"/>
      <c r="S259" s="197"/>
      <c r="T259" s="197"/>
      <c r="U259" s="197"/>
      <c r="V259" s="197"/>
      <c r="W259" s="197"/>
      <c r="X259" s="197"/>
      <c r="Y259" s="197"/>
      <c r="Z259" s="197"/>
      <c r="AA259" s="197"/>
      <c r="AB259" s="197"/>
      <c r="AC259" s="197"/>
      <c r="AD259" s="197"/>
      <c r="AE259" s="197"/>
      <c r="AF259" s="197"/>
      <c r="AG259" s="197"/>
      <c r="AH259" s="197"/>
      <c r="AI259" s="197"/>
      <c r="AJ259" s="197"/>
      <c r="AK259" s="197"/>
      <c r="AL259" s="197"/>
      <c r="AM259" s="197"/>
      <c r="AN259" s="197"/>
      <c r="AO259" s="197"/>
      <c r="AP259" s="197"/>
      <c r="AQ259" s="197"/>
      <c r="AR259" s="197"/>
      <c r="AS259" s="197"/>
      <c r="AT259" s="197"/>
      <c r="AU259" s="197"/>
      <c r="AV259" s="197"/>
      <c r="AW259" s="197"/>
      <c r="AX259" s="197"/>
      <c r="AY259" s="197"/>
      <c r="AZ259" s="197"/>
      <c r="BA259" s="197"/>
      <c r="BB259" s="197"/>
      <c r="BC259" s="197"/>
      <c r="BD259" s="197"/>
      <c r="BE259" s="197"/>
      <c r="BF259" s="197"/>
      <c r="BG259" s="197"/>
      <c r="BH259" s="197"/>
      <c r="BI259" s="197"/>
      <c r="BJ259" s="197"/>
      <c r="BK259" s="197"/>
      <c r="BL259" s="197"/>
      <c r="BM259" s="197"/>
      <c r="BN259" s="197"/>
      <c r="BO259" s="197"/>
      <c r="BP259" s="197"/>
    </row>
    <row r="260" spans="1:68" ht="20" customHeight="1" x14ac:dyDescent="0.15">
      <c r="A260" s="197"/>
      <c r="B260" s="197"/>
      <c r="C260" s="193"/>
      <c r="D260" s="197"/>
      <c r="E260" s="197"/>
      <c r="F260" s="214"/>
      <c r="G260" s="197"/>
      <c r="H260" s="197"/>
      <c r="I260" s="197"/>
      <c r="J260" s="197"/>
      <c r="K260" s="197"/>
      <c r="L260" s="197"/>
      <c r="M260" s="197"/>
      <c r="N260" s="197"/>
      <c r="O260" s="197"/>
      <c r="P260" s="197"/>
      <c r="Q260" s="197"/>
      <c r="R260" s="197"/>
      <c r="S260" s="197"/>
      <c r="T260" s="197"/>
      <c r="U260" s="197"/>
      <c r="V260" s="197"/>
      <c r="W260" s="197"/>
      <c r="X260" s="197"/>
      <c r="Y260" s="197"/>
      <c r="Z260" s="197"/>
      <c r="AA260" s="197"/>
      <c r="AB260" s="197"/>
      <c r="AC260" s="197"/>
      <c r="AD260" s="197"/>
      <c r="AE260" s="197"/>
      <c r="AF260" s="197"/>
      <c r="AG260" s="197"/>
      <c r="AH260" s="197"/>
      <c r="AI260" s="197"/>
      <c r="AJ260" s="197"/>
      <c r="AK260" s="197"/>
      <c r="AL260" s="197"/>
      <c r="AM260" s="197"/>
      <c r="AN260" s="197"/>
      <c r="AO260" s="197"/>
      <c r="AP260" s="197"/>
      <c r="AQ260" s="197"/>
      <c r="AR260" s="197"/>
      <c r="AS260" s="197"/>
      <c r="AT260" s="197"/>
      <c r="AU260" s="197"/>
      <c r="AV260" s="197"/>
      <c r="AW260" s="197"/>
      <c r="AX260" s="197"/>
      <c r="AY260" s="197"/>
      <c r="AZ260" s="197"/>
      <c r="BA260" s="197"/>
      <c r="BB260" s="197"/>
      <c r="BC260" s="197"/>
      <c r="BD260" s="197"/>
      <c r="BE260" s="197"/>
      <c r="BF260" s="197"/>
      <c r="BG260" s="197"/>
      <c r="BH260" s="197"/>
      <c r="BI260" s="197"/>
      <c r="BJ260" s="197"/>
      <c r="BK260" s="197"/>
      <c r="BL260" s="197"/>
      <c r="BM260" s="197"/>
      <c r="BN260" s="197"/>
      <c r="BO260" s="197"/>
      <c r="BP260" s="197"/>
    </row>
    <row r="261" spans="1:68" ht="20" customHeight="1" x14ac:dyDescent="0.15">
      <c r="A261" s="197"/>
      <c r="B261" s="197"/>
      <c r="C261" s="193"/>
      <c r="D261" s="197"/>
      <c r="E261" s="197"/>
      <c r="F261" s="214"/>
      <c r="G261" s="197"/>
      <c r="H261" s="197"/>
      <c r="I261" s="197"/>
      <c r="J261" s="197"/>
      <c r="K261" s="197"/>
      <c r="L261" s="197"/>
      <c r="M261" s="197"/>
      <c r="N261" s="197"/>
      <c r="O261" s="197"/>
      <c r="P261" s="197"/>
      <c r="Q261" s="197"/>
      <c r="R261" s="197"/>
      <c r="S261" s="197"/>
      <c r="T261" s="197"/>
      <c r="U261" s="197"/>
      <c r="V261" s="197"/>
      <c r="W261" s="197"/>
      <c r="X261" s="197"/>
      <c r="Y261" s="197"/>
      <c r="Z261" s="197"/>
      <c r="AA261" s="197"/>
      <c r="AB261" s="197"/>
      <c r="AC261" s="197"/>
      <c r="AD261" s="197"/>
      <c r="AE261" s="197"/>
      <c r="AF261" s="197"/>
      <c r="AG261" s="197"/>
      <c r="AH261" s="197"/>
      <c r="AI261" s="197"/>
      <c r="AJ261" s="197"/>
      <c r="AK261" s="197"/>
      <c r="AL261" s="197"/>
      <c r="AM261" s="197"/>
      <c r="AN261" s="197"/>
      <c r="AO261" s="197"/>
      <c r="AP261" s="197"/>
      <c r="AQ261" s="197"/>
      <c r="AR261" s="197"/>
      <c r="AS261" s="197"/>
      <c r="AT261" s="197"/>
      <c r="AU261" s="197"/>
      <c r="AV261" s="197"/>
      <c r="AW261" s="197"/>
      <c r="AX261" s="197"/>
      <c r="AY261" s="197"/>
      <c r="AZ261" s="197"/>
      <c r="BA261" s="197"/>
      <c r="BB261" s="197"/>
      <c r="BC261" s="197"/>
      <c r="BD261" s="197"/>
      <c r="BE261" s="197"/>
      <c r="BF261" s="197"/>
      <c r="BG261" s="197"/>
      <c r="BH261" s="197"/>
      <c r="BI261" s="197"/>
      <c r="BJ261" s="197"/>
      <c r="BK261" s="197"/>
      <c r="BL261" s="197"/>
      <c r="BM261" s="197"/>
      <c r="BN261" s="197"/>
      <c r="BO261" s="197"/>
      <c r="BP261" s="197"/>
    </row>
    <row r="262" spans="1:68" ht="20" customHeight="1" x14ac:dyDescent="0.15">
      <c r="A262" s="197"/>
      <c r="B262" s="197"/>
      <c r="C262" s="193"/>
      <c r="D262" s="197"/>
      <c r="E262" s="197"/>
      <c r="F262" s="214"/>
      <c r="G262" s="197"/>
      <c r="H262" s="197"/>
      <c r="I262" s="197"/>
      <c r="J262" s="197"/>
      <c r="K262" s="197"/>
      <c r="L262" s="197"/>
      <c r="M262" s="197"/>
      <c r="N262" s="197"/>
      <c r="O262" s="197"/>
      <c r="P262" s="197"/>
      <c r="Q262" s="197"/>
      <c r="R262" s="197"/>
      <c r="S262" s="197"/>
      <c r="T262" s="197"/>
      <c r="U262" s="197"/>
      <c r="V262" s="197"/>
      <c r="W262" s="197"/>
      <c r="X262" s="197"/>
      <c r="Y262" s="197"/>
      <c r="Z262" s="197"/>
      <c r="AA262" s="197"/>
      <c r="AB262" s="197"/>
      <c r="AC262" s="197"/>
      <c r="AD262" s="197"/>
      <c r="AE262" s="197"/>
      <c r="AF262" s="197"/>
      <c r="AG262" s="197"/>
      <c r="AH262" s="197"/>
      <c r="AI262" s="197"/>
      <c r="AJ262" s="197"/>
      <c r="AK262" s="197"/>
      <c r="AL262" s="197"/>
      <c r="AM262" s="197"/>
      <c r="AN262" s="197"/>
      <c r="AO262" s="197"/>
      <c r="AP262" s="197"/>
      <c r="AQ262" s="197"/>
      <c r="AR262" s="197"/>
      <c r="AS262" s="197"/>
      <c r="AT262" s="197"/>
      <c r="AU262" s="197"/>
      <c r="AV262" s="197"/>
      <c r="AW262" s="197"/>
      <c r="AX262" s="197"/>
      <c r="AY262" s="197"/>
      <c r="AZ262" s="197"/>
      <c r="BA262" s="197"/>
      <c r="BB262" s="197"/>
      <c r="BC262" s="197"/>
      <c r="BD262" s="197"/>
      <c r="BE262" s="197"/>
      <c r="BF262" s="197"/>
      <c r="BG262" s="197"/>
      <c r="BH262" s="197"/>
      <c r="BI262" s="197"/>
      <c r="BJ262" s="197"/>
      <c r="BK262" s="197"/>
      <c r="BL262" s="197"/>
      <c r="BM262" s="197"/>
      <c r="BN262" s="197"/>
      <c r="BO262" s="197"/>
      <c r="BP262" s="197"/>
    </row>
    <row r="263" spans="1:68" ht="20" customHeight="1" x14ac:dyDescent="0.15">
      <c r="A263" s="197"/>
      <c r="B263" s="197"/>
      <c r="C263" s="193"/>
      <c r="D263" s="197"/>
      <c r="E263" s="197"/>
      <c r="F263" s="214"/>
      <c r="G263" s="197"/>
      <c r="H263" s="197"/>
      <c r="I263" s="197"/>
      <c r="J263" s="197"/>
      <c r="K263" s="197"/>
      <c r="L263" s="197"/>
      <c r="M263" s="197"/>
      <c r="N263" s="197"/>
      <c r="O263" s="197"/>
      <c r="P263" s="197"/>
      <c r="Q263" s="197"/>
      <c r="R263" s="197"/>
      <c r="S263" s="197"/>
      <c r="T263" s="197"/>
      <c r="U263" s="197"/>
      <c r="V263" s="197"/>
      <c r="W263" s="197"/>
      <c r="X263" s="197"/>
      <c r="Y263" s="197"/>
      <c r="Z263" s="197"/>
      <c r="AA263" s="197"/>
      <c r="AB263" s="197"/>
      <c r="AC263" s="197"/>
      <c r="AD263" s="197"/>
      <c r="AE263" s="197"/>
      <c r="AF263" s="197"/>
      <c r="AG263" s="197"/>
      <c r="AH263" s="197"/>
      <c r="AI263" s="197"/>
      <c r="AJ263" s="197"/>
      <c r="AK263" s="197"/>
      <c r="AL263" s="197"/>
      <c r="AM263" s="197"/>
      <c r="AN263" s="197"/>
      <c r="AO263" s="197"/>
      <c r="AP263" s="197"/>
      <c r="AQ263" s="197"/>
      <c r="AR263" s="197"/>
      <c r="AS263" s="197"/>
      <c r="AT263" s="197"/>
      <c r="AU263" s="197"/>
      <c r="AV263" s="197"/>
      <c r="AW263" s="197"/>
      <c r="AX263" s="197"/>
      <c r="AY263" s="197"/>
      <c r="AZ263" s="197"/>
      <c r="BA263" s="197"/>
      <c r="BB263" s="197"/>
      <c r="BC263" s="197"/>
      <c r="BD263" s="197"/>
      <c r="BE263" s="197"/>
      <c r="BF263" s="197"/>
      <c r="BG263" s="197"/>
      <c r="BH263" s="197"/>
      <c r="BI263" s="197"/>
      <c r="BJ263" s="197"/>
      <c r="BK263" s="197"/>
      <c r="BL263" s="197"/>
      <c r="BM263" s="197"/>
      <c r="BN263" s="197"/>
      <c r="BO263" s="197"/>
      <c r="BP263" s="197"/>
    </row>
    <row r="264" spans="1:68" ht="20" customHeight="1" x14ac:dyDescent="0.15">
      <c r="A264" s="197"/>
      <c r="B264" s="197"/>
      <c r="C264" s="193"/>
      <c r="D264" s="197"/>
      <c r="E264" s="197"/>
      <c r="F264" s="214"/>
      <c r="G264" s="197"/>
      <c r="H264" s="197"/>
      <c r="I264" s="197"/>
      <c r="J264" s="197"/>
      <c r="K264" s="197"/>
      <c r="L264" s="197"/>
      <c r="M264" s="197"/>
      <c r="N264" s="197"/>
      <c r="O264" s="197"/>
      <c r="P264" s="197"/>
      <c r="Q264" s="197"/>
      <c r="R264" s="197"/>
      <c r="S264" s="197"/>
      <c r="T264" s="197"/>
      <c r="U264" s="197"/>
      <c r="V264" s="197"/>
      <c r="W264" s="197"/>
      <c r="X264" s="197"/>
      <c r="Y264" s="197"/>
      <c r="Z264" s="197"/>
      <c r="AA264" s="197"/>
      <c r="AB264" s="197"/>
      <c r="AC264" s="197"/>
      <c r="AD264" s="197"/>
      <c r="AE264" s="197"/>
      <c r="AF264" s="197"/>
      <c r="AG264" s="197"/>
      <c r="AH264" s="197"/>
      <c r="AI264" s="197"/>
      <c r="AJ264" s="197"/>
      <c r="AK264" s="197"/>
      <c r="AL264" s="197"/>
      <c r="AM264" s="197"/>
      <c r="AN264" s="197"/>
      <c r="AO264" s="197"/>
      <c r="AP264" s="197"/>
      <c r="AQ264" s="197"/>
      <c r="AR264" s="197"/>
      <c r="AS264" s="197"/>
      <c r="AT264" s="197"/>
      <c r="AU264" s="197"/>
      <c r="AV264" s="197"/>
      <c r="AW264" s="197"/>
      <c r="AX264" s="197"/>
      <c r="AY264" s="197"/>
      <c r="AZ264" s="197"/>
      <c r="BA264" s="197"/>
      <c r="BB264" s="197"/>
      <c r="BC264" s="197"/>
      <c r="BD264" s="197"/>
      <c r="BE264" s="197"/>
      <c r="BF264" s="197"/>
      <c r="BG264" s="197"/>
      <c r="BH264" s="197"/>
      <c r="BI264" s="197"/>
      <c r="BJ264" s="197"/>
      <c r="BK264" s="197"/>
      <c r="BL264" s="197"/>
      <c r="BM264" s="197"/>
      <c r="BN264" s="197"/>
      <c r="BO264" s="197"/>
      <c r="BP264" s="197"/>
    </row>
    <row r="265" spans="1:68" ht="20" customHeight="1" x14ac:dyDescent="0.15">
      <c r="A265" s="197"/>
      <c r="B265" s="197"/>
      <c r="C265" s="193"/>
      <c r="D265" s="197"/>
      <c r="E265" s="197"/>
      <c r="F265" s="214"/>
      <c r="G265" s="197"/>
      <c r="H265" s="197"/>
      <c r="I265" s="197"/>
      <c r="J265" s="197"/>
      <c r="K265" s="197"/>
      <c r="L265" s="197"/>
      <c r="M265" s="197"/>
      <c r="N265" s="197"/>
      <c r="O265" s="197"/>
      <c r="P265" s="197"/>
      <c r="Q265" s="197"/>
      <c r="R265" s="197"/>
      <c r="S265" s="197"/>
      <c r="T265" s="197"/>
      <c r="U265" s="197"/>
      <c r="V265" s="197"/>
      <c r="W265" s="197"/>
      <c r="X265" s="197"/>
      <c r="Y265" s="197"/>
      <c r="Z265" s="197"/>
      <c r="AA265" s="197"/>
      <c r="AB265" s="197"/>
      <c r="AC265" s="197"/>
      <c r="AD265" s="197"/>
      <c r="AE265" s="197"/>
      <c r="AF265" s="197"/>
      <c r="AG265" s="197"/>
      <c r="AH265" s="197"/>
      <c r="AI265" s="197"/>
      <c r="AJ265" s="197"/>
      <c r="AK265" s="197"/>
      <c r="AL265" s="197"/>
      <c r="AM265" s="197"/>
      <c r="AN265" s="197"/>
      <c r="AO265" s="197"/>
      <c r="AP265" s="197"/>
      <c r="AQ265" s="197"/>
      <c r="AR265" s="197"/>
      <c r="AS265" s="197"/>
      <c r="AT265" s="197"/>
      <c r="AU265" s="197"/>
      <c r="AV265" s="197"/>
      <c r="AW265" s="197"/>
      <c r="AX265" s="197"/>
      <c r="AY265" s="197"/>
      <c r="AZ265" s="197"/>
      <c r="BA265" s="197"/>
      <c r="BB265" s="197"/>
      <c r="BC265" s="197"/>
      <c r="BD265" s="197"/>
      <c r="BE265" s="197"/>
      <c r="BF265" s="197"/>
      <c r="BG265" s="197"/>
      <c r="BH265" s="197"/>
      <c r="BI265" s="197"/>
      <c r="BJ265" s="197"/>
      <c r="BK265" s="197"/>
      <c r="BL265" s="197"/>
      <c r="BM265" s="197"/>
      <c r="BN265" s="197"/>
      <c r="BO265" s="197"/>
      <c r="BP265" s="197"/>
    </row>
    <row r="266" spans="1:68" ht="20" customHeight="1" x14ac:dyDescent="0.15">
      <c r="A266" s="197"/>
      <c r="B266" s="197"/>
      <c r="C266" s="193"/>
      <c r="D266" s="197"/>
      <c r="E266" s="197"/>
      <c r="F266" s="214"/>
      <c r="G266" s="197"/>
      <c r="H266" s="197"/>
      <c r="I266" s="197"/>
      <c r="J266" s="197"/>
      <c r="K266" s="197"/>
      <c r="L266" s="197"/>
      <c r="M266" s="197"/>
      <c r="N266" s="197"/>
      <c r="O266" s="197"/>
      <c r="P266" s="197"/>
      <c r="Q266" s="197"/>
      <c r="R266" s="197"/>
      <c r="S266" s="197"/>
      <c r="T266" s="197"/>
      <c r="U266" s="197"/>
      <c r="V266" s="197"/>
      <c r="W266" s="197"/>
      <c r="X266" s="197"/>
      <c r="Y266" s="197"/>
      <c r="Z266" s="197"/>
      <c r="AA266" s="197"/>
      <c r="AB266" s="197"/>
      <c r="AC266" s="197"/>
      <c r="AD266" s="197"/>
      <c r="AE266" s="197"/>
      <c r="AF266" s="197"/>
      <c r="AG266" s="197"/>
      <c r="AH266" s="197"/>
      <c r="AI266" s="197"/>
      <c r="AJ266" s="197"/>
      <c r="AK266" s="197"/>
      <c r="AL266" s="197"/>
      <c r="AM266" s="197"/>
      <c r="AN266" s="197"/>
      <c r="AO266" s="197"/>
      <c r="AP266" s="197"/>
      <c r="AQ266" s="197"/>
      <c r="AR266" s="197"/>
      <c r="AS266" s="197"/>
      <c r="AT266" s="197"/>
      <c r="AU266" s="197"/>
      <c r="AV266" s="197"/>
      <c r="AW266" s="197"/>
      <c r="AX266" s="197"/>
      <c r="AY266" s="197"/>
      <c r="AZ266" s="197"/>
      <c r="BA266" s="197"/>
      <c r="BB266" s="197"/>
      <c r="BC266" s="197"/>
      <c r="BD266" s="197"/>
      <c r="BE266" s="197"/>
      <c r="BF266" s="197"/>
      <c r="BG266" s="197"/>
      <c r="BH266" s="197"/>
      <c r="BI266" s="197"/>
      <c r="BJ266" s="197"/>
      <c r="BK266" s="197"/>
      <c r="BL266" s="197"/>
      <c r="BM266" s="197"/>
      <c r="BN266" s="197"/>
      <c r="BO266" s="197"/>
      <c r="BP266" s="197"/>
    </row>
    <row r="267" spans="1:68" ht="20" customHeight="1" x14ac:dyDescent="0.15">
      <c r="A267" s="197"/>
      <c r="B267" s="197"/>
      <c r="C267" s="193"/>
      <c r="D267" s="197"/>
      <c r="E267" s="197"/>
      <c r="F267" s="214"/>
      <c r="G267" s="197"/>
      <c r="H267" s="197"/>
      <c r="I267" s="197"/>
      <c r="J267" s="197"/>
      <c r="K267" s="197"/>
      <c r="L267" s="197"/>
      <c r="M267" s="197"/>
      <c r="N267" s="197"/>
      <c r="O267" s="197"/>
      <c r="P267" s="197"/>
      <c r="Q267" s="197"/>
      <c r="R267" s="197"/>
      <c r="S267" s="197"/>
      <c r="T267" s="197"/>
      <c r="U267" s="197"/>
      <c r="V267" s="197"/>
      <c r="W267" s="197"/>
      <c r="X267" s="197"/>
      <c r="Y267" s="197"/>
      <c r="Z267" s="197"/>
      <c r="AA267" s="197"/>
      <c r="AB267" s="197"/>
      <c r="AC267" s="197"/>
      <c r="AD267" s="197"/>
      <c r="AE267" s="197"/>
      <c r="AF267" s="197"/>
      <c r="AG267" s="197"/>
      <c r="AH267" s="197"/>
      <c r="AI267" s="197"/>
      <c r="AJ267" s="197"/>
      <c r="AK267" s="197"/>
      <c r="AL267" s="197"/>
      <c r="AM267" s="197"/>
      <c r="AN267" s="197"/>
      <c r="AO267" s="197"/>
      <c r="AP267" s="197"/>
      <c r="AQ267" s="197"/>
      <c r="AR267" s="197"/>
      <c r="AS267" s="197"/>
      <c r="AT267" s="197"/>
      <c r="AU267" s="197"/>
      <c r="AV267" s="197"/>
      <c r="AW267" s="197"/>
      <c r="AX267" s="197"/>
      <c r="AY267" s="197"/>
      <c r="AZ267" s="197"/>
      <c r="BA267" s="197"/>
      <c r="BB267" s="197"/>
      <c r="BC267" s="197"/>
      <c r="BD267" s="197"/>
      <c r="BE267" s="197"/>
      <c r="BF267" s="197"/>
      <c r="BG267" s="197"/>
      <c r="BH267" s="197"/>
      <c r="BI267" s="197"/>
      <c r="BJ267" s="197"/>
      <c r="BK267" s="197"/>
      <c r="BL267" s="197"/>
      <c r="BM267" s="197"/>
      <c r="BN267" s="197"/>
      <c r="BO267" s="197"/>
      <c r="BP267" s="197"/>
    </row>
    <row r="268" spans="1:68" ht="20" customHeight="1" x14ac:dyDescent="0.15">
      <c r="A268" s="197"/>
      <c r="B268" s="197"/>
      <c r="C268" s="193"/>
      <c r="D268" s="197"/>
      <c r="E268" s="197"/>
      <c r="F268" s="214"/>
      <c r="G268" s="197"/>
      <c r="H268" s="197"/>
      <c r="I268" s="197"/>
      <c r="J268" s="197"/>
      <c r="K268" s="197"/>
      <c r="L268" s="197"/>
      <c r="M268" s="197"/>
      <c r="N268" s="197"/>
      <c r="O268" s="197"/>
      <c r="P268" s="197"/>
      <c r="Q268" s="197"/>
      <c r="R268" s="197"/>
      <c r="S268" s="197"/>
      <c r="T268" s="197"/>
      <c r="U268" s="197"/>
      <c r="V268" s="197"/>
      <c r="W268" s="197"/>
      <c r="X268" s="197"/>
      <c r="Y268" s="197"/>
      <c r="Z268" s="197"/>
      <c r="AA268" s="197"/>
      <c r="AB268" s="197"/>
      <c r="AC268" s="197"/>
      <c r="AD268" s="197"/>
      <c r="AE268" s="197"/>
      <c r="AF268" s="197"/>
      <c r="AG268" s="197"/>
      <c r="AH268" s="197"/>
      <c r="AI268" s="197"/>
      <c r="AJ268" s="197"/>
      <c r="AK268" s="197"/>
      <c r="AL268" s="197"/>
      <c r="AM268" s="197"/>
      <c r="AN268" s="197"/>
      <c r="AO268" s="197"/>
      <c r="AP268" s="197"/>
      <c r="AQ268" s="197"/>
      <c r="AR268" s="197"/>
      <c r="AS268" s="197"/>
      <c r="AT268" s="197"/>
      <c r="AU268" s="197"/>
      <c r="AV268" s="197"/>
      <c r="AW268" s="197"/>
      <c r="AX268" s="197"/>
      <c r="AY268" s="197"/>
      <c r="AZ268" s="197"/>
      <c r="BA268" s="197"/>
      <c r="BB268" s="197"/>
      <c r="BC268" s="197"/>
      <c r="BD268" s="197"/>
      <c r="BE268" s="197"/>
      <c r="BF268" s="197"/>
      <c r="BG268" s="197"/>
      <c r="BH268" s="197"/>
      <c r="BI268" s="197"/>
      <c r="BJ268" s="197"/>
      <c r="BK268" s="197"/>
      <c r="BL268" s="197"/>
      <c r="BM268" s="197"/>
      <c r="BN268" s="197"/>
      <c r="BO268" s="197"/>
      <c r="BP268" s="197"/>
    </row>
    <row r="269" spans="1:68" ht="20" customHeight="1" x14ac:dyDescent="0.15">
      <c r="A269" s="197"/>
      <c r="B269" s="197"/>
      <c r="C269" s="193"/>
      <c r="D269" s="197"/>
      <c r="E269" s="197"/>
      <c r="F269" s="214"/>
      <c r="G269" s="197"/>
      <c r="H269" s="197"/>
      <c r="I269" s="197"/>
      <c r="J269" s="197"/>
      <c r="K269" s="197"/>
      <c r="L269" s="197"/>
      <c r="M269" s="197"/>
      <c r="N269" s="197"/>
      <c r="O269" s="197"/>
      <c r="P269" s="197"/>
      <c r="Q269" s="197"/>
      <c r="R269" s="197"/>
      <c r="S269" s="197"/>
      <c r="T269" s="197"/>
      <c r="U269" s="197"/>
      <c r="V269" s="197"/>
      <c r="W269" s="197"/>
      <c r="X269" s="197"/>
      <c r="Y269" s="197"/>
      <c r="Z269" s="197"/>
      <c r="AA269" s="197"/>
      <c r="AB269" s="197"/>
      <c r="AC269" s="197"/>
      <c r="AD269" s="197"/>
      <c r="AE269" s="197"/>
      <c r="AF269" s="197"/>
      <c r="AG269" s="197"/>
      <c r="AH269" s="197"/>
      <c r="AI269" s="197"/>
      <c r="AJ269" s="197"/>
      <c r="AK269" s="197"/>
      <c r="AL269" s="197"/>
      <c r="AM269" s="197"/>
      <c r="AN269" s="197"/>
      <c r="AO269" s="197"/>
      <c r="AP269" s="197"/>
      <c r="AQ269" s="197"/>
      <c r="AR269" s="197"/>
      <c r="AS269" s="197"/>
      <c r="AT269" s="197"/>
      <c r="AU269" s="197"/>
      <c r="AV269" s="197"/>
      <c r="AW269" s="197"/>
      <c r="AX269" s="197"/>
      <c r="AY269" s="197"/>
      <c r="AZ269" s="197"/>
      <c r="BA269" s="197"/>
      <c r="BB269" s="197"/>
      <c r="BC269" s="197"/>
      <c r="BD269" s="197"/>
      <c r="BE269" s="197"/>
      <c r="BF269" s="197"/>
      <c r="BG269" s="197"/>
      <c r="BH269" s="197"/>
      <c r="BI269" s="197"/>
      <c r="BJ269" s="197"/>
      <c r="BK269" s="197"/>
      <c r="BL269" s="197"/>
      <c r="BM269" s="197"/>
      <c r="BN269" s="197"/>
      <c r="BO269" s="197"/>
      <c r="BP269" s="197"/>
    </row>
    <row r="270" spans="1:68" ht="20" customHeight="1" x14ac:dyDescent="0.15">
      <c r="A270" s="197"/>
      <c r="B270" s="197"/>
      <c r="C270" s="193"/>
      <c r="D270" s="197"/>
      <c r="E270" s="197"/>
      <c r="F270" s="214"/>
      <c r="G270" s="197"/>
      <c r="H270" s="197"/>
      <c r="I270" s="197"/>
      <c r="J270" s="197"/>
      <c r="K270" s="197"/>
      <c r="L270" s="197"/>
      <c r="M270" s="197"/>
      <c r="N270" s="197"/>
      <c r="O270" s="197"/>
      <c r="P270" s="197"/>
      <c r="Q270" s="197"/>
      <c r="R270" s="197"/>
      <c r="S270" s="197"/>
      <c r="T270" s="197"/>
      <c r="U270" s="197"/>
      <c r="V270" s="197"/>
      <c r="W270" s="197"/>
      <c r="X270" s="197"/>
      <c r="Y270" s="197"/>
      <c r="Z270" s="197"/>
      <c r="AA270" s="197"/>
      <c r="AB270" s="197"/>
      <c r="AC270" s="197"/>
      <c r="AD270" s="197"/>
      <c r="AE270" s="197"/>
      <c r="AF270" s="197"/>
      <c r="AG270" s="197"/>
      <c r="AH270" s="197"/>
      <c r="AI270" s="197"/>
      <c r="AJ270" s="197"/>
      <c r="AK270" s="197"/>
      <c r="AL270" s="197"/>
      <c r="AM270" s="197"/>
      <c r="AN270" s="197"/>
      <c r="AO270" s="197"/>
      <c r="AP270" s="197"/>
      <c r="AQ270" s="197"/>
      <c r="AR270" s="197"/>
      <c r="AS270" s="197"/>
      <c r="AT270" s="197"/>
      <c r="AU270" s="197"/>
      <c r="AV270" s="197"/>
      <c r="AW270" s="197"/>
      <c r="AX270" s="197"/>
      <c r="AY270" s="197"/>
      <c r="AZ270" s="197"/>
      <c r="BA270" s="197"/>
      <c r="BB270" s="197"/>
      <c r="BC270" s="197"/>
      <c r="BD270" s="197"/>
      <c r="BE270" s="197"/>
      <c r="BF270" s="197"/>
      <c r="BG270" s="197"/>
      <c r="BH270" s="197"/>
      <c r="BI270" s="197"/>
      <c r="BJ270" s="197"/>
      <c r="BK270" s="197"/>
      <c r="BL270" s="197"/>
      <c r="BM270" s="197"/>
      <c r="BN270" s="197"/>
      <c r="BO270" s="197"/>
      <c r="BP270" s="197"/>
    </row>
    <row r="271" spans="1:68" ht="20" customHeight="1" x14ac:dyDescent="0.15">
      <c r="A271" s="197"/>
      <c r="B271" s="197"/>
      <c r="C271" s="193"/>
      <c r="D271" s="197"/>
      <c r="E271" s="197"/>
      <c r="F271" s="214"/>
      <c r="G271" s="197"/>
      <c r="H271" s="197"/>
      <c r="I271" s="197"/>
      <c r="J271" s="197"/>
      <c r="K271" s="197"/>
      <c r="L271" s="197"/>
      <c r="M271" s="197"/>
      <c r="N271" s="197"/>
      <c r="O271" s="197"/>
      <c r="P271" s="197"/>
      <c r="Q271" s="197"/>
      <c r="R271" s="197"/>
      <c r="S271" s="197"/>
      <c r="T271" s="197"/>
      <c r="U271" s="197"/>
      <c r="V271" s="197"/>
      <c r="W271" s="197"/>
      <c r="X271" s="197"/>
      <c r="Y271" s="197"/>
      <c r="Z271" s="197"/>
      <c r="AA271" s="197"/>
      <c r="AB271" s="197"/>
      <c r="AC271" s="197"/>
      <c r="AD271" s="197"/>
      <c r="AE271" s="197"/>
      <c r="AF271" s="197"/>
      <c r="AG271" s="197"/>
      <c r="AH271" s="197"/>
      <c r="AI271" s="197"/>
      <c r="AJ271" s="197"/>
      <c r="AK271" s="197"/>
      <c r="AL271" s="197"/>
      <c r="AM271" s="197"/>
      <c r="AN271" s="197"/>
      <c r="AO271" s="197"/>
      <c r="AP271" s="197"/>
      <c r="AQ271" s="197"/>
      <c r="AR271" s="197"/>
      <c r="AS271" s="197"/>
      <c r="AT271" s="197"/>
      <c r="AU271" s="197"/>
      <c r="AV271" s="197"/>
      <c r="AW271" s="197"/>
      <c r="AX271" s="197"/>
      <c r="AY271" s="197"/>
      <c r="AZ271" s="197"/>
      <c r="BA271" s="197"/>
      <c r="BB271" s="197"/>
      <c r="BC271" s="197"/>
      <c r="BD271" s="197"/>
      <c r="BE271" s="197"/>
      <c r="BF271" s="197"/>
      <c r="BG271" s="197"/>
      <c r="BH271" s="197"/>
      <c r="BI271" s="197"/>
      <c r="BJ271" s="197"/>
      <c r="BK271" s="197"/>
      <c r="BL271" s="197"/>
      <c r="BM271" s="197"/>
      <c r="BN271" s="197"/>
      <c r="BO271" s="197"/>
      <c r="BP271" s="197"/>
    </row>
    <row r="272" spans="1:68" ht="20" customHeight="1" x14ac:dyDescent="0.15">
      <c r="A272" s="197"/>
      <c r="B272" s="197"/>
      <c r="C272" s="193"/>
      <c r="D272" s="197"/>
      <c r="E272" s="197"/>
      <c r="F272" s="214"/>
      <c r="G272" s="197"/>
      <c r="H272" s="197"/>
      <c r="I272" s="197"/>
      <c r="J272" s="197"/>
      <c r="K272" s="197"/>
      <c r="L272" s="197"/>
      <c r="M272" s="197"/>
      <c r="N272" s="197"/>
      <c r="O272" s="197"/>
      <c r="P272" s="197"/>
      <c r="Q272" s="197"/>
      <c r="R272" s="197"/>
      <c r="S272" s="197"/>
      <c r="T272" s="197"/>
      <c r="U272" s="197"/>
      <c r="V272" s="197"/>
      <c r="W272" s="197"/>
      <c r="X272" s="197"/>
      <c r="Y272" s="197"/>
      <c r="Z272" s="197"/>
      <c r="AA272" s="197"/>
      <c r="AB272" s="197"/>
      <c r="AC272" s="197"/>
      <c r="AD272" s="197"/>
      <c r="AE272" s="197"/>
      <c r="AF272" s="197"/>
      <c r="AG272" s="197"/>
      <c r="AH272" s="197"/>
      <c r="AI272" s="197"/>
      <c r="AJ272" s="197"/>
      <c r="AK272" s="197"/>
      <c r="AL272" s="197"/>
      <c r="AM272" s="197"/>
      <c r="AN272" s="197"/>
      <c r="AO272" s="197"/>
      <c r="AP272" s="197"/>
      <c r="AQ272" s="197"/>
      <c r="AR272" s="197"/>
      <c r="AS272" s="197"/>
      <c r="AT272" s="197"/>
      <c r="AU272" s="197"/>
      <c r="AV272" s="197"/>
      <c r="AW272" s="197"/>
      <c r="AX272" s="197"/>
      <c r="AY272" s="197"/>
      <c r="AZ272" s="197"/>
      <c r="BA272" s="197"/>
      <c r="BB272" s="197"/>
      <c r="BC272" s="197"/>
      <c r="BD272" s="197"/>
      <c r="BE272" s="197"/>
      <c r="BF272" s="197"/>
      <c r="BG272" s="197"/>
      <c r="BH272" s="197"/>
      <c r="BI272" s="197"/>
      <c r="BJ272" s="197"/>
      <c r="BK272" s="197"/>
      <c r="BL272" s="197"/>
      <c r="BM272" s="197"/>
      <c r="BN272" s="197"/>
      <c r="BO272" s="197"/>
      <c r="BP272" s="197"/>
    </row>
    <row r="273" spans="1:68" ht="20" customHeight="1" x14ac:dyDescent="0.15">
      <c r="A273" s="197"/>
      <c r="B273" s="197"/>
      <c r="C273" s="193"/>
      <c r="D273" s="197"/>
      <c r="E273" s="197"/>
      <c r="F273" s="214"/>
      <c r="G273" s="197"/>
      <c r="H273" s="197"/>
      <c r="I273" s="197"/>
      <c r="J273" s="197"/>
      <c r="K273" s="197"/>
      <c r="L273" s="197"/>
      <c r="M273" s="197"/>
      <c r="N273" s="197"/>
      <c r="O273" s="197"/>
      <c r="P273" s="197"/>
      <c r="Q273" s="197"/>
      <c r="R273" s="197"/>
      <c r="S273" s="197"/>
      <c r="T273" s="197"/>
      <c r="U273" s="197"/>
      <c r="V273" s="197"/>
      <c r="W273" s="197"/>
      <c r="X273" s="197"/>
      <c r="Y273" s="197"/>
      <c r="Z273" s="197"/>
      <c r="AA273" s="197"/>
      <c r="AB273" s="197"/>
      <c r="AC273" s="197"/>
      <c r="AD273" s="197"/>
      <c r="AE273" s="197"/>
      <c r="AF273" s="197"/>
      <c r="AG273" s="197"/>
      <c r="AH273" s="197"/>
      <c r="AI273" s="197"/>
      <c r="AJ273" s="197"/>
      <c r="AK273" s="197"/>
      <c r="AL273" s="197"/>
      <c r="AM273" s="197"/>
      <c r="AN273" s="197"/>
      <c r="AO273" s="197"/>
      <c r="AP273" s="197"/>
      <c r="AQ273" s="197"/>
      <c r="AR273" s="197"/>
      <c r="AS273" s="197"/>
      <c r="AT273" s="197"/>
      <c r="AU273" s="197"/>
      <c r="AV273" s="197"/>
      <c r="AW273" s="197"/>
      <c r="AX273" s="197"/>
      <c r="AY273" s="197"/>
      <c r="AZ273" s="197"/>
      <c r="BA273" s="197"/>
      <c r="BB273" s="197"/>
      <c r="BC273" s="197"/>
      <c r="BD273" s="197"/>
      <c r="BE273" s="197"/>
      <c r="BF273" s="197"/>
      <c r="BG273" s="197"/>
      <c r="BH273" s="197"/>
      <c r="BI273" s="197"/>
      <c r="BJ273" s="197"/>
      <c r="BK273" s="197"/>
      <c r="BL273" s="197"/>
      <c r="BM273" s="197"/>
      <c r="BN273" s="197"/>
      <c r="BO273" s="197"/>
      <c r="BP273" s="197"/>
    </row>
    <row r="274" spans="1:68" ht="20" customHeight="1" x14ac:dyDescent="0.15">
      <c r="A274" s="197"/>
      <c r="B274" s="197"/>
      <c r="C274" s="193"/>
      <c r="D274" s="197"/>
      <c r="E274" s="197"/>
      <c r="F274" s="214"/>
      <c r="G274" s="197"/>
      <c r="H274" s="197"/>
      <c r="I274" s="197"/>
      <c r="J274" s="197"/>
      <c r="K274" s="197"/>
      <c r="L274" s="197"/>
      <c r="M274" s="197"/>
      <c r="N274" s="197"/>
      <c r="O274" s="197"/>
      <c r="P274" s="197"/>
      <c r="Q274" s="197"/>
      <c r="R274" s="197"/>
      <c r="S274" s="197"/>
      <c r="T274" s="197"/>
      <c r="U274" s="197"/>
      <c r="V274" s="197"/>
      <c r="W274" s="197"/>
      <c r="X274" s="197"/>
      <c r="Y274" s="197"/>
      <c r="Z274" s="197"/>
      <c r="AA274" s="197"/>
      <c r="AB274" s="197"/>
      <c r="AC274" s="197"/>
      <c r="AD274" s="197"/>
      <c r="AE274" s="197"/>
      <c r="AF274" s="197"/>
      <c r="AG274" s="197"/>
      <c r="AH274" s="197"/>
      <c r="AI274" s="197"/>
      <c r="AJ274" s="197"/>
      <c r="AK274" s="197"/>
      <c r="AL274" s="197"/>
      <c r="AM274" s="197"/>
      <c r="AN274" s="197"/>
      <c r="AO274" s="197"/>
      <c r="AP274" s="197"/>
      <c r="AQ274" s="197"/>
      <c r="AR274" s="197"/>
      <c r="AS274" s="197"/>
      <c r="AT274" s="197"/>
      <c r="AU274" s="197"/>
      <c r="AV274" s="197"/>
      <c r="AW274" s="197"/>
      <c r="AX274" s="197"/>
      <c r="AY274" s="197"/>
      <c r="AZ274" s="197"/>
      <c r="BA274" s="197"/>
      <c r="BB274" s="197"/>
      <c r="BC274" s="197"/>
      <c r="BD274" s="197"/>
      <c r="BE274" s="197"/>
      <c r="BF274" s="197"/>
      <c r="BG274" s="197"/>
      <c r="BH274" s="197"/>
      <c r="BI274" s="197"/>
      <c r="BJ274" s="197"/>
      <c r="BK274" s="197"/>
      <c r="BL274" s="197"/>
      <c r="BM274" s="197"/>
      <c r="BN274" s="197"/>
      <c r="BO274" s="197"/>
      <c r="BP274" s="197"/>
    </row>
    <row r="275" spans="1:68" ht="20" customHeight="1" x14ac:dyDescent="0.15">
      <c r="A275" s="197"/>
      <c r="B275" s="197"/>
      <c r="C275" s="193"/>
      <c r="D275" s="197"/>
      <c r="E275" s="197"/>
      <c r="F275" s="214"/>
      <c r="G275" s="197"/>
      <c r="H275" s="197"/>
      <c r="I275" s="197"/>
      <c r="J275" s="197"/>
      <c r="K275" s="197"/>
      <c r="L275" s="197"/>
      <c r="M275" s="197"/>
      <c r="N275" s="197"/>
      <c r="O275" s="197"/>
      <c r="P275" s="197"/>
      <c r="Q275" s="197"/>
      <c r="R275" s="197"/>
      <c r="S275" s="197"/>
      <c r="T275" s="197"/>
      <c r="U275" s="197"/>
      <c r="V275" s="197"/>
      <c r="W275" s="197"/>
      <c r="X275" s="197"/>
      <c r="Y275" s="197"/>
      <c r="Z275" s="197"/>
      <c r="AA275" s="197"/>
      <c r="AB275" s="197"/>
      <c r="AC275" s="197"/>
      <c r="AD275" s="197"/>
      <c r="AE275" s="197"/>
      <c r="AF275" s="197"/>
      <c r="AG275" s="197"/>
      <c r="AH275" s="197"/>
      <c r="AI275" s="197"/>
      <c r="AJ275" s="197"/>
      <c r="AK275" s="197"/>
      <c r="AL275" s="197"/>
      <c r="AM275" s="197"/>
      <c r="AN275" s="197"/>
      <c r="AO275" s="197"/>
      <c r="AP275" s="197"/>
      <c r="AQ275" s="197"/>
      <c r="AR275" s="197"/>
      <c r="AS275" s="197"/>
      <c r="AT275" s="197"/>
      <c r="AU275" s="197"/>
      <c r="AV275" s="197"/>
      <c r="AW275" s="197"/>
      <c r="AX275" s="197"/>
      <c r="AY275" s="197"/>
      <c r="AZ275" s="197"/>
      <c r="BA275" s="197"/>
      <c r="BB275" s="197"/>
      <c r="BC275" s="197"/>
      <c r="BD275" s="197"/>
      <c r="BE275" s="197"/>
      <c r="BF275" s="197"/>
      <c r="BG275" s="197"/>
      <c r="BH275" s="197"/>
      <c r="BI275" s="197"/>
      <c r="BJ275" s="197"/>
      <c r="BK275" s="197"/>
      <c r="BL275" s="197"/>
      <c r="BM275" s="197"/>
      <c r="BN275" s="197"/>
      <c r="BO275" s="197"/>
      <c r="BP275" s="197"/>
    </row>
    <row r="276" spans="1:68" ht="20" customHeight="1" x14ac:dyDescent="0.15">
      <c r="A276" s="197"/>
      <c r="B276" s="197"/>
      <c r="C276" s="193"/>
      <c r="D276" s="197"/>
      <c r="E276" s="197"/>
      <c r="F276" s="214"/>
      <c r="G276" s="197"/>
      <c r="H276" s="197"/>
      <c r="I276" s="197"/>
      <c r="J276" s="197"/>
      <c r="K276" s="197"/>
      <c r="L276" s="197"/>
      <c r="M276" s="197"/>
      <c r="N276" s="197"/>
      <c r="O276" s="197"/>
      <c r="P276" s="197"/>
      <c r="Q276" s="197"/>
      <c r="R276" s="197"/>
      <c r="S276" s="197"/>
      <c r="T276" s="197"/>
      <c r="U276" s="197"/>
      <c r="V276" s="197"/>
      <c r="W276" s="197"/>
      <c r="X276" s="197"/>
      <c r="Y276" s="197"/>
      <c r="Z276" s="197"/>
      <c r="AA276" s="197"/>
      <c r="AB276" s="197"/>
      <c r="AC276" s="197"/>
      <c r="AD276" s="197"/>
      <c r="AE276" s="197"/>
      <c r="AF276" s="197"/>
      <c r="AG276" s="197"/>
      <c r="AH276" s="197"/>
      <c r="AI276" s="197"/>
      <c r="AJ276" s="197"/>
      <c r="AK276" s="197"/>
      <c r="AL276" s="197"/>
      <c r="AM276" s="197"/>
      <c r="AN276" s="197"/>
      <c r="AO276" s="197"/>
      <c r="AP276" s="197"/>
      <c r="AQ276" s="197"/>
      <c r="AR276" s="197"/>
      <c r="AS276" s="197"/>
      <c r="AT276" s="197"/>
      <c r="AU276" s="197"/>
      <c r="AV276" s="197"/>
      <c r="AW276" s="197"/>
      <c r="AX276" s="197"/>
      <c r="AY276" s="197"/>
      <c r="AZ276" s="197"/>
      <c r="BA276" s="197"/>
      <c r="BB276" s="197"/>
      <c r="BC276" s="197"/>
      <c r="BD276" s="197"/>
      <c r="BE276" s="197"/>
      <c r="BF276" s="197"/>
      <c r="BG276" s="197"/>
      <c r="BH276" s="197"/>
      <c r="BI276" s="197"/>
      <c r="BJ276" s="197"/>
      <c r="BK276" s="197"/>
      <c r="BL276" s="197"/>
      <c r="BM276" s="197"/>
      <c r="BN276" s="197"/>
      <c r="BO276" s="197"/>
      <c r="BP276" s="197"/>
    </row>
    <row r="277" spans="1:68" ht="20" customHeight="1" x14ac:dyDescent="0.15">
      <c r="A277" s="197"/>
      <c r="B277" s="197"/>
      <c r="C277" s="193"/>
      <c r="D277" s="197"/>
      <c r="E277" s="197"/>
      <c r="F277" s="214"/>
      <c r="G277" s="197"/>
      <c r="H277" s="197"/>
      <c r="I277" s="197"/>
      <c r="J277" s="197"/>
      <c r="K277" s="197"/>
      <c r="L277" s="197"/>
      <c r="M277" s="197"/>
      <c r="N277" s="197"/>
      <c r="O277" s="197"/>
      <c r="P277" s="197"/>
      <c r="Q277" s="197"/>
      <c r="R277" s="197"/>
      <c r="S277" s="197"/>
      <c r="T277" s="197"/>
      <c r="U277" s="197"/>
      <c r="V277" s="197"/>
      <c r="W277" s="197"/>
      <c r="X277" s="197"/>
      <c r="Y277" s="197"/>
      <c r="Z277" s="197"/>
      <c r="AA277" s="197"/>
      <c r="AB277" s="197"/>
      <c r="AC277" s="197"/>
      <c r="AD277" s="197"/>
      <c r="AE277" s="197"/>
      <c r="AF277" s="197"/>
      <c r="AG277" s="197"/>
      <c r="AH277" s="197"/>
      <c r="AI277" s="197"/>
      <c r="AJ277" s="197"/>
      <c r="AK277" s="197"/>
      <c r="AL277" s="197"/>
      <c r="AM277" s="197"/>
      <c r="AN277" s="197"/>
      <c r="AO277" s="197"/>
      <c r="AP277" s="197"/>
      <c r="AQ277" s="197"/>
      <c r="AR277" s="197"/>
      <c r="AS277" s="197"/>
      <c r="AT277" s="197"/>
      <c r="AU277" s="197"/>
      <c r="AV277" s="197"/>
      <c r="AW277" s="197"/>
      <c r="AX277" s="197"/>
      <c r="AY277" s="197"/>
      <c r="AZ277" s="197"/>
      <c r="BA277" s="197"/>
      <c r="BB277" s="197"/>
      <c r="BC277" s="197"/>
      <c r="BD277" s="197"/>
      <c r="BE277" s="197"/>
      <c r="BF277" s="197"/>
      <c r="BG277" s="197"/>
      <c r="BH277" s="197"/>
      <c r="BI277" s="197"/>
      <c r="BJ277" s="197"/>
      <c r="BK277" s="197"/>
      <c r="BL277" s="197"/>
      <c r="BM277" s="197"/>
      <c r="BN277" s="197"/>
      <c r="BO277" s="197"/>
      <c r="BP277" s="197"/>
    </row>
    <row r="278" spans="1:68" ht="20" customHeight="1" x14ac:dyDescent="0.15">
      <c r="A278" s="197"/>
      <c r="B278" s="197"/>
      <c r="C278" s="193"/>
      <c r="D278" s="197"/>
      <c r="E278" s="197"/>
      <c r="F278" s="214"/>
      <c r="G278" s="197"/>
      <c r="H278" s="197"/>
      <c r="I278" s="197"/>
      <c r="J278" s="197"/>
      <c r="K278" s="197"/>
      <c r="L278" s="197"/>
      <c r="M278" s="197"/>
      <c r="N278" s="197"/>
      <c r="O278" s="197"/>
      <c r="P278" s="197"/>
      <c r="Q278" s="197"/>
      <c r="R278" s="197"/>
      <c r="S278" s="197"/>
      <c r="T278" s="197"/>
      <c r="U278" s="197"/>
      <c r="V278" s="197"/>
      <c r="W278" s="197"/>
      <c r="X278" s="197"/>
      <c r="Y278" s="197"/>
      <c r="Z278" s="197"/>
      <c r="AA278" s="197"/>
      <c r="AB278" s="197"/>
      <c r="AC278" s="197"/>
      <c r="AD278" s="197"/>
      <c r="AE278" s="197"/>
      <c r="AF278" s="197"/>
      <c r="AG278" s="197"/>
      <c r="AH278" s="197"/>
      <c r="AI278" s="197"/>
      <c r="AJ278" s="197"/>
      <c r="AK278" s="197"/>
      <c r="AL278" s="197"/>
      <c r="AM278" s="197"/>
      <c r="AN278" s="197"/>
      <c r="AO278" s="197"/>
      <c r="AP278" s="197"/>
      <c r="AQ278" s="197"/>
      <c r="AR278" s="197"/>
      <c r="AS278" s="197"/>
      <c r="AT278" s="197"/>
      <c r="AU278" s="197"/>
      <c r="AV278" s="197"/>
      <c r="AW278" s="197"/>
      <c r="AX278" s="197"/>
      <c r="AY278" s="197"/>
      <c r="AZ278" s="197"/>
      <c r="BA278" s="197"/>
      <c r="BB278" s="197"/>
      <c r="BC278" s="197"/>
      <c r="BD278" s="197"/>
      <c r="BE278" s="197"/>
      <c r="BF278" s="197"/>
      <c r="BG278" s="197"/>
      <c r="BH278" s="197"/>
      <c r="BI278" s="197"/>
      <c r="BJ278" s="197"/>
      <c r="BK278" s="197"/>
      <c r="BL278" s="197"/>
      <c r="BM278" s="197"/>
      <c r="BN278" s="197"/>
      <c r="BO278" s="197"/>
      <c r="BP278" s="197"/>
    </row>
    <row r="279" spans="1:68" ht="20" customHeight="1" x14ac:dyDescent="0.15">
      <c r="A279" s="197"/>
      <c r="B279" s="197"/>
      <c r="C279" s="193"/>
      <c r="D279" s="197"/>
      <c r="E279" s="197"/>
      <c r="F279" s="214"/>
      <c r="G279" s="197"/>
      <c r="H279" s="197"/>
      <c r="I279" s="197"/>
      <c r="J279" s="197"/>
      <c r="K279" s="197"/>
      <c r="L279" s="197"/>
      <c r="M279" s="197"/>
      <c r="N279" s="197"/>
      <c r="O279" s="197"/>
      <c r="P279" s="197"/>
      <c r="Q279" s="197"/>
      <c r="R279" s="197"/>
      <c r="S279" s="197"/>
      <c r="T279" s="197"/>
      <c r="U279" s="197"/>
      <c r="V279" s="197"/>
      <c r="W279" s="197"/>
      <c r="X279" s="197"/>
      <c r="Y279" s="197"/>
      <c r="Z279" s="197"/>
      <c r="AA279" s="197"/>
      <c r="AB279" s="197"/>
      <c r="AC279" s="197"/>
      <c r="AD279" s="197"/>
      <c r="AE279" s="197"/>
      <c r="AF279" s="197"/>
      <c r="AG279" s="197"/>
      <c r="AH279" s="197"/>
      <c r="AI279" s="197"/>
      <c r="AJ279" s="197"/>
      <c r="AK279" s="197"/>
      <c r="AL279" s="197"/>
      <c r="AM279" s="197"/>
      <c r="AN279" s="197"/>
      <c r="AO279" s="197"/>
      <c r="AP279" s="197"/>
      <c r="AQ279" s="197"/>
      <c r="AR279" s="197"/>
      <c r="AS279" s="197"/>
      <c r="AT279" s="197"/>
      <c r="AU279" s="197"/>
      <c r="AV279" s="197"/>
      <c r="AW279" s="197"/>
      <c r="AX279" s="197"/>
      <c r="AY279" s="197"/>
      <c r="AZ279" s="197"/>
      <c r="BA279" s="197"/>
      <c r="BB279" s="197"/>
      <c r="BC279" s="197"/>
      <c r="BD279" s="197"/>
      <c r="BE279" s="197"/>
      <c r="BF279" s="197"/>
      <c r="BG279" s="197"/>
      <c r="BH279" s="197"/>
      <c r="BI279" s="197"/>
      <c r="BJ279" s="197"/>
      <c r="BK279" s="197"/>
      <c r="BL279" s="197"/>
      <c r="BM279" s="197"/>
      <c r="BN279" s="197"/>
      <c r="BO279" s="197"/>
      <c r="BP279" s="197"/>
    </row>
    <row r="280" spans="1:68" ht="20" customHeight="1" x14ac:dyDescent="0.15">
      <c r="A280" s="197"/>
      <c r="B280" s="197"/>
      <c r="C280" s="193"/>
      <c r="D280" s="197"/>
      <c r="E280" s="197"/>
      <c r="F280" s="214"/>
      <c r="G280" s="197"/>
      <c r="H280" s="197"/>
      <c r="I280" s="197"/>
      <c r="J280" s="197"/>
      <c r="K280" s="197"/>
      <c r="L280" s="197"/>
      <c r="M280" s="197"/>
      <c r="N280" s="197"/>
      <c r="O280" s="197"/>
      <c r="P280" s="197"/>
      <c r="Q280" s="197"/>
      <c r="R280" s="197"/>
      <c r="S280" s="197"/>
      <c r="T280" s="197"/>
      <c r="U280" s="197"/>
      <c r="V280" s="197"/>
      <c r="W280" s="197"/>
      <c r="X280" s="197"/>
      <c r="Y280" s="197"/>
      <c r="Z280" s="197"/>
      <c r="AA280" s="197"/>
      <c r="AB280" s="197"/>
      <c r="AC280" s="197"/>
      <c r="AD280" s="197"/>
      <c r="AE280" s="197"/>
      <c r="AF280" s="197"/>
      <c r="AG280" s="197"/>
      <c r="AH280" s="197"/>
      <c r="AI280" s="197"/>
      <c r="AJ280" s="197"/>
      <c r="AK280" s="197"/>
      <c r="AL280" s="197"/>
      <c r="AM280" s="197"/>
      <c r="AN280" s="197"/>
      <c r="AO280" s="197"/>
      <c r="AP280" s="197"/>
      <c r="AQ280" s="197"/>
      <c r="AR280" s="197"/>
      <c r="AS280" s="197"/>
      <c r="AT280" s="197"/>
      <c r="AU280" s="197"/>
      <c r="AV280" s="197"/>
      <c r="AW280" s="197"/>
      <c r="AX280" s="197"/>
      <c r="AY280" s="197"/>
      <c r="AZ280" s="197"/>
      <c r="BA280" s="197"/>
      <c r="BB280" s="197"/>
      <c r="BC280" s="197"/>
      <c r="BD280" s="197"/>
      <c r="BE280" s="197"/>
      <c r="BF280" s="197"/>
      <c r="BG280" s="197"/>
      <c r="BH280" s="197"/>
      <c r="BI280" s="197"/>
      <c r="BJ280" s="197"/>
      <c r="BK280" s="197"/>
      <c r="BL280" s="197"/>
      <c r="BM280" s="197"/>
      <c r="BN280" s="197"/>
      <c r="BO280" s="197"/>
      <c r="BP280" s="197"/>
    </row>
    <row r="281" spans="1:68" ht="20" customHeight="1" x14ac:dyDescent="0.15">
      <c r="A281" s="197"/>
      <c r="B281" s="197"/>
      <c r="C281" s="193"/>
      <c r="D281" s="197"/>
      <c r="E281" s="197"/>
      <c r="F281" s="214"/>
      <c r="G281" s="197"/>
      <c r="H281" s="197"/>
      <c r="I281" s="197"/>
      <c r="J281" s="197"/>
      <c r="K281" s="197"/>
      <c r="L281" s="197"/>
      <c r="M281" s="197"/>
      <c r="N281" s="197"/>
      <c r="O281" s="197"/>
      <c r="P281" s="197"/>
      <c r="Q281" s="197"/>
      <c r="R281" s="197"/>
      <c r="S281" s="197"/>
      <c r="T281" s="197"/>
      <c r="U281" s="197"/>
      <c r="V281" s="197"/>
      <c r="W281" s="197"/>
      <c r="X281" s="197"/>
      <c r="Y281" s="197"/>
      <c r="Z281" s="197"/>
      <c r="AA281" s="197"/>
      <c r="AB281" s="197"/>
      <c r="AC281" s="197"/>
      <c r="AD281" s="197"/>
      <c r="AE281" s="197"/>
      <c r="AF281" s="197"/>
      <c r="AG281" s="197"/>
      <c r="AH281" s="197"/>
      <c r="AI281" s="197"/>
      <c r="AJ281" s="197"/>
      <c r="AK281" s="197"/>
      <c r="AL281" s="197"/>
      <c r="AM281" s="197"/>
      <c r="AN281" s="197"/>
      <c r="AO281" s="197"/>
      <c r="AP281" s="197"/>
      <c r="AQ281" s="197"/>
      <c r="AR281" s="197"/>
      <c r="AS281" s="197"/>
      <c r="AT281" s="197"/>
      <c r="AU281" s="197"/>
      <c r="AV281" s="197"/>
      <c r="AW281" s="197"/>
      <c r="AX281" s="197"/>
      <c r="AY281" s="197"/>
      <c r="AZ281" s="197"/>
      <c r="BA281" s="197"/>
      <c r="BB281" s="197"/>
      <c r="BC281" s="197"/>
      <c r="BD281" s="197"/>
      <c r="BE281" s="197"/>
      <c r="BF281" s="197"/>
      <c r="BG281" s="197"/>
      <c r="BH281" s="197"/>
      <c r="BI281" s="197"/>
      <c r="BJ281" s="197"/>
      <c r="BK281" s="197"/>
      <c r="BL281" s="197"/>
      <c r="BM281" s="197"/>
      <c r="BN281" s="197"/>
      <c r="BO281" s="197"/>
      <c r="BP281" s="197"/>
    </row>
    <row r="282" spans="1:68" ht="20" customHeight="1" x14ac:dyDescent="0.15">
      <c r="A282" s="197"/>
      <c r="B282" s="197"/>
      <c r="C282" s="193"/>
      <c r="D282" s="197"/>
      <c r="E282" s="197"/>
      <c r="F282" s="214"/>
      <c r="G282" s="197"/>
      <c r="H282" s="197"/>
      <c r="I282" s="197"/>
      <c r="J282" s="197"/>
      <c r="K282" s="197"/>
      <c r="L282" s="197"/>
      <c r="M282" s="197"/>
      <c r="N282" s="197"/>
      <c r="O282" s="197"/>
      <c r="P282" s="197"/>
      <c r="Q282" s="197"/>
      <c r="R282" s="197"/>
      <c r="S282" s="197"/>
      <c r="T282" s="197"/>
      <c r="U282" s="197"/>
      <c r="V282" s="197"/>
      <c r="W282" s="197"/>
      <c r="X282" s="197"/>
      <c r="Y282" s="197"/>
      <c r="Z282" s="197"/>
      <c r="AA282" s="197"/>
      <c r="AB282" s="197"/>
      <c r="AC282" s="197"/>
      <c r="AD282" s="197"/>
      <c r="AE282" s="197"/>
      <c r="AF282" s="197"/>
      <c r="AG282" s="197"/>
      <c r="AH282" s="197"/>
      <c r="AI282" s="197"/>
      <c r="AJ282" s="197"/>
      <c r="AK282" s="197"/>
      <c r="AL282" s="197"/>
      <c r="AM282" s="197"/>
      <c r="AN282" s="197"/>
      <c r="AO282" s="197"/>
      <c r="AP282" s="197"/>
      <c r="AQ282" s="197"/>
      <c r="AR282" s="197"/>
      <c r="AS282" s="197"/>
      <c r="AT282" s="197"/>
      <c r="AU282" s="197"/>
      <c r="AV282" s="197"/>
      <c r="AW282" s="197"/>
      <c r="AX282" s="197"/>
      <c r="AY282" s="197"/>
      <c r="AZ282" s="197"/>
      <c r="BA282" s="197"/>
      <c r="BB282" s="197"/>
      <c r="BC282" s="197"/>
      <c r="BD282" s="197"/>
      <c r="BE282" s="197"/>
      <c r="BF282" s="197"/>
      <c r="BG282" s="197"/>
      <c r="BH282" s="197"/>
      <c r="BI282" s="197"/>
      <c r="BJ282" s="197"/>
      <c r="BK282" s="197"/>
      <c r="BL282" s="197"/>
      <c r="BM282" s="197"/>
      <c r="BN282" s="197"/>
      <c r="BO282" s="197"/>
      <c r="BP282" s="197"/>
    </row>
    <row r="283" spans="1:68" ht="20" customHeight="1" x14ac:dyDescent="0.15">
      <c r="A283" s="197"/>
      <c r="B283" s="197"/>
      <c r="C283" s="193"/>
      <c r="D283" s="197"/>
      <c r="E283" s="197"/>
      <c r="F283" s="214"/>
      <c r="G283" s="197"/>
      <c r="H283" s="197"/>
      <c r="I283" s="197"/>
      <c r="J283" s="197"/>
      <c r="K283" s="197"/>
      <c r="L283" s="197"/>
      <c r="M283" s="197"/>
      <c r="N283" s="197"/>
      <c r="O283" s="197"/>
      <c r="P283" s="197"/>
      <c r="Q283" s="197"/>
      <c r="R283" s="197"/>
      <c r="S283" s="197"/>
      <c r="T283" s="197"/>
      <c r="U283" s="197"/>
      <c r="V283" s="197"/>
      <c r="W283" s="197"/>
      <c r="X283" s="197"/>
      <c r="Y283" s="197"/>
      <c r="Z283" s="197"/>
      <c r="AA283" s="197"/>
      <c r="AB283" s="197"/>
      <c r="AC283" s="197"/>
      <c r="AD283" s="197"/>
      <c r="AE283" s="197"/>
      <c r="AF283" s="197"/>
      <c r="AG283" s="197"/>
      <c r="AH283" s="197"/>
      <c r="AI283" s="197"/>
      <c r="AJ283" s="197"/>
      <c r="AK283" s="197"/>
      <c r="AL283" s="197"/>
      <c r="AM283" s="197"/>
      <c r="AN283" s="197"/>
      <c r="AO283" s="197"/>
      <c r="AP283" s="197"/>
      <c r="AQ283" s="197"/>
      <c r="AR283" s="197"/>
      <c r="AS283" s="197"/>
      <c r="AT283" s="197"/>
      <c r="AU283" s="197"/>
      <c r="AV283" s="197"/>
      <c r="AW283" s="197"/>
      <c r="AX283" s="197"/>
      <c r="AY283" s="197"/>
      <c r="AZ283" s="197"/>
      <c r="BA283" s="197"/>
      <c r="BB283" s="197"/>
      <c r="BC283" s="197"/>
      <c r="BD283" s="197"/>
      <c r="BE283" s="197"/>
      <c r="BF283" s="197"/>
      <c r="BG283" s="197"/>
      <c r="BH283" s="197"/>
      <c r="BI283" s="197"/>
      <c r="BJ283" s="197"/>
      <c r="BK283" s="197"/>
      <c r="BL283" s="197"/>
      <c r="BM283" s="197"/>
      <c r="BN283" s="197"/>
      <c r="BO283" s="197"/>
      <c r="BP283" s="197"/>
    </row>
    <row r="284" spans="1:68" ht="20" customHeight="1" x14ac:dyDescent="0.15">
      <c r="A284" s="197"/>
      <c r="B284" s="197"/>
      <c r="C284" s="193"/>
      <c r="D284" s="197"/>
      <c r="E284" s="197"/>
      <c r="F284" s="214"/>
      <c r="G284" s="197"/>
      <c r="H284" s="197"/>
      <c r="I284" s="197"/>
      <c r="J284" s="197"/>
      <c r="K284" s="197"/>
      <c r="L284" s="197"/>
      <c r="M284" s="197"/>
      <c r="N284" s="197"/>
      <c r="O284" s="197"/>
      <c r="P284" s="197"/>
      <c r="Q284" s="197"/>
      <c r="R284" s="197"/>
      <c r="S284" s="197"/>
      <c r="T284" s="197"/>
      <c r="U284" s="197"/>
      <c r="V284" s="197"/>
      <c r="W284" s="197"/>
      <c r="X284" s="197"/>
      <c r="Y284" s="197"/>
      <c r="Z284" s="197"/>
      <c r="AA284" s="197"/>
      <c r="AB284" s="197"/>
      <c r="AC284" s="197"/>
      <c r="AD284" s="197"/>
      <c r="AE284" s="197"/>
      <c r="AF284" s="197"/>
      <c r="AG284" s="197"/>
      <c r="AH284" s="197"/>
      <c r="AI284" s="197"/>
      <c r="AJ284" s="197"/>
      <c r="AK284" s="197"/>
      <c r="AL284" s="197"/>
      <c r="AM284" s="197"/>
      <c r="AN284" s="197"/>
      <c r="AO284" s="197"/>
      <c r="AP284" s="197"/>
      <c r="AQ284" s="197"/>
      <c r="AR284" s="197"/>
      <c r="AS284" s="197"/>
      <c r="AT284" s="197"/>
      <c r="AU284" s="197"/>
      <c r="AV284" s="197"/>
      <c r="AW284" s="197"/>
      <c r="AX284" s="197"/>
      <c r="AY284" s="197"/>
      <c r="AZ284" s="197"/>
      <c r="BA284" s="197"/>
      <c r="BB284" s="197"/>
      <c r="BC284" s="197"/>
      <c r="BD284" s="197"/>
      <c r="BE284" s="197"/>
      <c r="BF284" s="197"/>
      <c r="BG284" s="197"/>
      <c r="BH284" s="197"/>
      <c r="BI284" s="197"/>
      <c r="BJ284" s="197"/>
      <c r="BK284" s="197"/>
      <c r="BL284" s="197"/>
      <c r="BM284" s="197"/>
      <c r="BN284" s="197"/>
      <c r="BO284" s="197"/>
      <c r="BP284" s="197"/>
    </row>
    <row r="285" spans="1:68" ht="20" customHeight="1" x14ac:dyDescent="0.15">
      <c r="A285" s="197"/>
      <c r="B285" s="197"/>
      <c r="C285" s="193"/>
      <c r="D285" s="197"/>
      <c r="E285" s="197"/>
      <c r="F285" s="214"/>
      <c r="G285" s="197"/>
      <c r="H285" s="197"/>
      <c r="I285" s="197"/>
      <c r="J285" s="197"/>
      <c r="K285" s="197"/>
      <c r="L285" s="197"/>
      <c r="M285" s="197"/>
      <c r="N285" s="197"/>
      <c r="O285" s="197"/>
      <c r="P285" s="197"/>
      <c r="Q285" s="197"/>
      <c r="R285" s="197"/>
      <c r="S285" s="197"/>
      <c r="T285" s="197"/>
      <c r="U285" s="197"/>
      <c r="V285" s="197"/>
      <c r="W285" s="197"/>
      <c r="X285" s="197"/>
      <c r="Y285" s="197"/>
      <c r="Z285" s="197"/>
      <c r="AA285" s="197"/>
      <c r="AB285" s="197"/>
      <c r="AC285" s="197"/>
      <c r="AD285" s="197"/>
      <c r="AE285" s="197"/>
      <c r="AF285" s="197"/>
      <c r="AG285" s="197"/>
      <c r="AH285" s="197"/>
      <c r="AI285" s="197"/>
      <c r="AJ285" s="197"/>
      <c r="AK285" s="197"/>
      <c r="AL285" s="197"/>
      <c r="AM285" s="197"/>
      <c r="AN285" s="197"/>
      <c r="AO285" s="197"/>
      <c r="AP285" s="197"/>
      <c r="AQ285" s="197"/>
      <c r="AR285" s="197"/>
      <c r="AS285" s="197"/>
      <c r="AT285" s="197"/>
      <c r="AU285" s="197"/>
      <c r="AV285" s="197"/>
      <c r="AW285" s="197"/>
      <c r="AX285" s="197"/>
      <c r="AY285" s="197"/>
      <c r="AZ285" s="197"/>
      <c r="BA285" s="197"/>
      <c r="BB285" s="197"/>
      <c r="BC285" s="197"/>
      <c r="BD285" s="197"/>
      <c r="BE285" s="197"/>
      <c r="BF285" s="197"/>
      <c r="BG285" s="197"/>
      <c r="BH285" s="197"/>
      <c r="BI285" s="197"/>
      <c r="BJ285" s="197"/>
      <c r="BK285" s="197"/>
      <c r="BL285" s="197"/>
      <c r="BM285" s="197"/>
      <c r="BN285" s="197"/>
      <c r="BO285" s="197"/>
      <c r="BP285" s="197"/>
    </row>
    <row r="286" spans="1:68" ht="20" customHeight="1" x14ac:dyDescent="0.15">
      <c r="A286" s="197"/>
      <c r="B286" s="197"/>
      <c r="C286" s="193"/>
      <c r="D286" s="197"/>
      <c r="E286" s="197"/>
      <c r="F286" s="214"/>
      <c r="G286" s="197"/>
      <c r="H286" s="197"/>
      <c r="I286" s="197"/>
      <c r="J286" s="197"/>
      <c r="K286" s="197"/>
      <c r="L286" s="197"/>
      <c r="M286" s="197"/>
      <c r="N286" s="197"/>
      <c r="O286" s="197"/>
      <c r="P286" s="197"/>
      <c r="Q286" s="197"/>
      <c r="R286" s="197"/>
      <c r="S286" s="197"/>
      <c r="T286" s="197"/>
      <c r="U286" s="197"/>
      <c r="V286" s="197"/>
      <c r="W286" s="197"/>
      <c r="X286" s="197"/>
      <c r="Y286" s="197"/>
      <c r="Z286" s="197"/>
      <c r="AA286" s="197"/>
      <c r="AB286" s="197"/>
      <c r="AC286" s="197"/>
      <c r="AD286" s="197"/>
      <c r="AE286" s="197"/>
      <c r="AF286" s="197"/>
      <c r="AG286" s="197"/>
      <c r="AH286" s="197"/>
      <c r="AI286" s="197"/>
      <c r="AJ286" s="197"/>
      <c r="AK286" s="197"/>
      <c r="AL286" s="197"/>
      <c r="AM286" s="197"/>
      <c r="AN286" s="197"/>
      <c r="AO286" s="197"/>
      <c r="AP286" s="197"/>
      <c r="AQ286" s="197"/>
      <c r="AR286" s="197"/>
      <c r="AS286" s="197"/>
      <c r="AT286" s="197"/>
      <c r="AU286" s="197"/>
      <c r="AV286" s="197"/>
      <c r="AW286" s="197"/>
      <c r="AX286" s="197"/>
      <c r="AY286" s="197"/>
      <c r="AZ286" s="197"/>
      <c r="BA286" s="197"/>
      <c r="BB286" s="197"/>
      <c r="BC286" s="197"/>
      <c r="BD286" s="197"/>
      <c r="BE286" s="197"/>
      <c r="BF286" s="197"/>
      <c r="BG286" s="197"/>
      <c r="BH286" s="197"/>
      <c r="BI286" s="197"/>
      <c r="BJ286" s="197"/>
      <c r="BK286" s="197"/>
      <c r="BL286" s="197"/>
      <c r="BM286" s="197"/>
      <c r="BN286" s="197"/>
      <c r="BO286" s="197"/>
      <c r="BP286" s="197"/>
    </row>
    <row r="287" spans="1:68" ht="20" customHeight="1" x14ac:dyDescent="0.15">
      <c r="A287" s="197"/>
      <c r="B287" s="197"/>
      <c r="C287" s="193"/>
      <c r="D287" s="197"/>
      <c r="E287" s="197"/>
      <c r="F287" s="214"/>
      <c r="G287" s="197"/>
      <c r="H287" s="197"/>
      <c r="I287" s="197"/>
      <c r="J287" s="197"/>
      <c r="K287" s="197"/>
      <c r="L287" s="197"/>
      <c r="M287" s="197"/>
      <c r="N287" s="197"/>
      <c r="O287" s="197"/>
      <c r="P287" s="197"/>
      <c r="Q287" s="197"/>
      <c r="R287" s="197"/>
      <c r="S287" s="197"/>
      <c r="T287" s="197"/>
      <c r="U287" s="197"/>
      <c r="V287" s="197"/>
      <c r="W287" s="197"/>
      <c r="X287" s="197"/>
      <c r="Y287" s="197"/>
      <c r="Z287" s="197"/>
      <c r="AA287" s="197"/>
      <c r="AB287" s="197"/>
      <c r="AC287" s="197"/>
      <c r="AD287" s="197"/>
      <c r="AE287" s="197"/>
      <c r="AF287" s="197"/>
      <c r="AG287" s="197"/>
      <c r="AH287" s="197"/>
      <c r="AI287" s="197"/>
      <c r="AJ287" s="197"/>
      <c r="AK287" s="197"/>
      <c r="AL287" s="197"/>
      <c r="AM287" s="197"/>
      <c r="AN287" s="197"/>
      <c r="AO287" s="197"/>
      <c r="AP287" s="197"/>
      <c r="AQ287" s="197"/>
      <c r="AR287" s="197"/>
      <c r="AS287" s="197"/>
      <c r="AT287" s="197"/>
      <c r="AU287" s="197"/>
      <c r="AV287" s="197"/>
      <c r="AW287" s="197"/>
      <c r="AX287" s="197"/>
      <c r="AY287" s="197"/>
      <c r="AZ287" s="197"/>
      <c r="BA287" s="197"/>
      <c r="BB287" s="197"/>
      <c r="BC287" s="197"/>
      <c r="BD287" s="197"/>
      <c r="BE287" s="197"/>
      <c r="BF287" s="197"/>
      <c r="BG287" s="197"/>
      <c r="BH287" s="197"/>
      <c r="BI287" s="197"/>
      <c r="BJ287" s="197"/>
      <c r="BK287" s="197"/>
      <c r="BL287" s="197"/>
      <c r="BM287" s="197"/>
      <c r="BN287" s="197"/>
      <c r="BO287" s="197"/>
      <c r="BP287" s="197"/>
    </row>
    <row r="288" spans="1:68" ht="20" customHeight="1" x14ac:dyDescent="0.15">
      <c r="A288" s="197"/>
      <c r="B288" s="197"/>
      <c r="C288" s="193"/>
      <c r="D288" s="197"/>
      <c r="E288" s="197"/>
      <c r="F288" s="214"/>
      <c r="G288" s="197"/>
      <c r="H288" s="197"/>
      <c r="I288" s="197"/>
      <c r="J288" s="197"/>
      <c r="K288" s="197"/>
      <c r="L288" s="197"/>
      <c r="M288" s="197"/>
      <c r="N288" s="197"/>
      <c r="O288" s="197"/>
      <c r="P288" s="197"/>
      <c r="Q288" s="197"/>
      <c r="R288" s="197"/>
      <c r="S288" s="197"/>
      <c r="T288" s="197"/>
      <c r="U288" s="197"/>
      <c r="V288" s="197"/>
      <c r="W288" s="197"/>
      <c r="X288" s="197"/>
      <c r="Y288" s="197"/>
      <c r="Z288" s="197"/>
      <c r="AA288" s="197"/>
      <c r="AB288" s="197"/>
      <c r="AC288" s="197"/>
      <c r="AD288" s="197"/>
      <c r="AE288" s="197"/>
      <c r="AF288" s="197"/>
      <c r="AG288" s="197"/>
      <c r="AH288" s="197"/>
      <c r="AI288" s="197"/>
      <c r="AJ288" s="197"/>
      <c r="AK288" s="197"/>
      <c r="AL288" s="197"/>
      <c r="AM288" s="197"/>
      <c r="AN288" s="197"/>
      <c r="AO288" s="197"/>
      <c r="AP288" s="197"/>
      <c r="AQ288" s="197"/>
      <c r="AR288" s="197"/>
      <c r="AS288" s="197"/>
      <c r="AT288" s="197"/>
      <c r="AU288" s="197"/>
      <c r="AV288" s="197"/>
      <c r="AW288" s="197"/>
      <c r="AX288" s="197"/>
      <c r="AY288" s="197"/>
      <c r="AZ288" s="197"/>
      <c r="BA288" s="197"/>
      <c r="BB288" s="197"/>
      <c r="BC288" s="197"/>
      <c r="BD288" s="197"/>
      <c r="BE288" s="197"/>
      <c r="BF288" s="197"/>
      <c r="BG288" s="197"/>
      <c r="BH288" s="197"/>
      <c r="BI288" s="197"/>
      <c r="BJ288" s="197"/>
      <c r="BK288" s="197"/>
      <c r="BL288" s="197"/>
      <c r="BM288" s="197"/>
      <c r="BN288" s="197"/>
      <c r="BO288" s="197"/>
      <c r="BP288" s="197"/>
    </row>
    <row r="289" spans="1:68" ht="20" customHeight="1" x14ac:dyDescent="0.15">
      <c r="A289" s="197"/>
      <c r="B289" s="197"/>
      <c r="C289" s="193"/>
      <c r="D289" s="197"/>
      <c r="E289" s="197"/>
      <c r="F289" s="214"/>
      <c r="G289" s="197"/>
      <c r="H289" s="197"/>
      <c r="I289" s="197"/>
      <c r="J289" s="197"/>
      <c r="K289" s="197"/>
      <c r="L289" s="197"/>
      <c r="M289" s="197"/>
      <c r="N289" s="197"/>
      <c r="O289" s="197"/>
      <c r="P289" s="197"/>
      <c r="Q289" s="197"/>
      <c r="R289" s="197"/>
      <c r="S289" s="197"/>
      <c r="T289" s="197"/>
      <c r="U289" s="197"/>
      <c r="V289" s="197"/>
      <c r="W289" s="197"/>
      <c r="X289" s="197"/>
      <c r="Y289" s="197"/>
      <c r="Z289" s="197"/>
      <c r="AA289" s="197"/>
      <c r="AB289" s="197"/>
      <c r="AC289" s="197"/>
      <c r="AD289" s="197"/>
      <c r="AE289" s="197"/>
      <c r="AF289" s="197"/>
      <c r="AG289" s="197"/>
      <c r="AH289" s="197"/>
      <c r="AI289" s="197"/>
      <c r="AJ289" s="197"/>
      <c r="AK289" s="197"/>
      <c r="AL289" s="197"/>
      <c r="AM289" s="197"/>
      <c r="AN289" s="197"/>
      <c r="AO289" s="197"/>
      <c r="AP289" s="197"/>
      <c r="AQ289" s="197"/>
      <c r="AR289" s="197"/>
      <c r="AS289" s="197"/>
      <c r="AT289" s="197"/>
      <c r="AU289" s="197"/>
      <c r="AV289" s="197"/>
      <c r="AW289" s="197"/>
      <c r="AX289" s="197"/>
      <c r="AY289" s="197"/>
      <c r="AZ289" s="197"/>
      <c r="BA289" s="197"/>
      <c r="BB289" s="197"/>
      <c r="BC289" s="197"/>
      <c r="BD289" s="197"/>
      <c r="BE289" s="197"/>
      <c r="BF289" s="197"/>
      <c r="BG289" s="197"/>
      <c r="BH289" s="197"/>
      <c r="BI289" s="197"/>
      <c r="BJ289" s="197"/>
      <c r="BK289" s="197"/>
      <c r="BL289" s="197"/>
      <c r="BM289" s="197"/>
      <c r="BN289" s="197"/>
      <c r="BO289" s="197"/>
      <c r="BP289" s="197"/>
    </row>
    <row r="290" spans="1:68" ht="20" customHeight="1" x14ac:dyDescent="0.15">
      <c r="A290" s="197"/>
      <c r="B290" s="197"/>
      <c r="C290" s="193"/>
      <c r="D290" s="197"/>
      <c r="E290" s="197"/>
      <c r="F290" s="214"/>
      <c r="G290" s="197"/>
      <c r="H290" s="197"/>
      <c r="I290" s="197"/>
      <c r="J290" s="197"/>
      <c r="K290" s="197"/>
      <c r="L290" s="197"/>
      <c r="M290" s="197"/>
      <c r="N290" s="197"/>
      <c r="O290" s="197"/>
      <c r="P290" s="197"/>
      <c r="Q290" s="197"/>
      <c r="R290" s="197"/>
      <c r="S290" s="197"/>
      <c r="T290" s="197"/>
      <c r="U290" s="197"/>
      <c r="V290" s="197"/>
      <c r="W290" s="197"/>
      <c r="X290" s="197"/>
      <c r="Y290" s="197"/>
      <c r="Z290" s="197"/>
      <c r="AA290" s="197"/>
      <c r="AB290" s="197"/>
      <c r="AC290" s="197"/>
      <c r="AD290" s="197"/>
      <c r="AE290" s="197"/>
      <c r="AF290" s="197"/>
      <c r="AG290" s="197"/>
      <c r="AH290" s="197"/>
      <c r="AI290" s="197"/>
      <c r="AJ290" s="197"/>
      <c r="AK290" s="197"/>
      <c r="AL290" s="197"/>
      <c r="AM290" s="197"/>
      <c r="AN290" s="197"/>
      <c r="AO290" s="197"/>
      <c r="AP290" s="197"/>
      <c r="AQ290" s="197"/>
      <c r="AR290" s="197"/>
      <c r="AS290" s="197"/>
      <c r="AT290" s="197"/>
      <c r="AU290" s="197"/>
      <c r="AV290" s="197"/>
      <c r="AW290" s="197"/>
      <c r="AX290" s="197"/>
      <c r="AY290" s="197"/>
      <c r="AZ290" s="197"/>
      <c r="BA290" s="197"/>
      <c r="BB290" s="197"/>
      <c r="BC290" s="197"/>
      <c r="BD290" s="197"/>
      <c r="BE290" s="197"/>
      <c r="BF290" s="197"/>
      <c r="BG290" s="197"/>
      <c r="BH290" s="197"/>
      <c r="BI290" s="197"/>
      <c r="BJ290" s="197"/>
      <c r="BK290" s="197"/>
      <c r="BL290" s="197"/>
      <c r="BM290" s="197"/>
      <c r="BN290" s="197"/>
      <c r="BO290" s="197"/>
      <c r="BP290" s="197"/>
    </row>
    <row r="291" spans="1:68" ht="20" customHeight="1" x14ac:dyDescent="0.15">
      <c r="A291" s="197"/>
      <c r="B291" s="197"/>
      <c r="C291" s="193"/>
      <c r="D291" s="197"/>
      <c r="E291" s="197"/>
      <c r="F291" s="214"/>
      <c r="G291" s="197"/>
      <c r="H291" s="197"/>
      <c r="I291" s="197"/>
      <c r="J291" s="197"/>
      <c r="K291" s="197"/>
      <c r="L291" s="197"/>
      <c r="M291" s="197"/>
      <c r="N291" s="197"/>
      <c r="O291" s="197"/>
      <c r="P291" s="197"/>
      <c r="Q291" s="197"/>
      <c r="R291" s="197"/>
      <c r="S291" s="197"/>
      <c r="T291" s="197"/>
      <c r="U291" s="197"/>
      <c r="V291" s="197"/>
      <c r="W291" s="197"/>
      <c r="X291" s="197"/>
      <c r="Y291" s="197"/>
      <c r="Z291" s="197"/>
      <c r="AA291" s="197"/>
      <c r="AB291" s="197"/>
      <c r="AC291" s="197"/>
      <c r="AD291" s="197"/>
      <c r="AE291" s="197"/>
      <c r="AF291" s="197"/>
      <c r="AG291" s="197"/>
      <c r="AH291" s="197"/>
      <c r="AI291" s="197"/>
      <c r="AJ291" s="197"/>
      <c r="AK291" s="197"/>
      <c r="AL291" s="197"/>
      <c r="AM291" s="197"/>
      <c r="AN291" s="197"/>
      <c r="AO291" s="197"/>
      <c r="AP291" s="197"/>
      <c r="AQ291" s="197"/>
      <c r="AR291" s="197"/>
      <c r="AS291" s="197"/>
      <c r="AT291" s="197"/>
      <c r="AU291" s="197"/>
      <c r="AV291" s="197"/>
      <c r="AW291" s="197"/>
      <c r="AX291" s="197"/>
      <c r="AY291" s="197"/>
      <c r="AZ291" s="197"/>
      <c r="BA291" s="197"/>
      <c r="BB291" s="197"/>
      <c r="BC291" s="197"/>
      <c r="BD291" s="197"/>
      <c r="BE291" s="197"/>
      <c r="BF291" s="197"/>
      <c r="BG291" s="197"/>
      <c r="BH291" s="197"/>
      <c r="BI291" s="197"/>
      <c r="BJ291" s="197"/>
      <c r="BK291" s="197"/>
      <c r="BL291" s="197"/>
      <c r="BM291" s="197"/>
      <c r="BN291" s="197"/>
      <c r="BO291" s="197"/>
      <c r="BP291" s="197"/>
    </row>
    <row r="292" spans="1:68" ht="20" customHeight="1" x14ac:dyDescent="0.15">
      <c r="A292" s="197"/>
      <c r="B292" s="197"/>
      <c r="C292" s="193"/>
      <c r="D292" s="197"/>
      <c r="E292" s="197"/>
      <c r="F292" s="214"/>
      <c r="G292" s="197"/>
      <c r="H292" s="197"/>
      <c r="I292" s="197"/>
      <c r="J292" s="197"/>
      <c r="K292" s="197"/>
      <c r="L292" s="197"/>
      <c r="M292" s="197"/>
      <c r="N292" s="197"/>
      <c r="O292" s="197"/>
      <c r="P292" s="197"/>
      <c r="Q292" s="197"/>
      <c r="R292" s="197"/>
      <c r="S292" s="197"/>
      <c r="T292" s="197"/>
      <c r="U292" s="197"/>
      <c r="V292" s="197"/>
      <c r="W292" s="197"/>
      <c r="X292" s="197"/>
      <c r="Y292" s="197"/>
      <c r="Z292" s="197"/>
      <c r="AA292" s="197"/>
      <c r="AB292" s="197"/>
      <c r="AC292" s="197"/>
      <c r="AD292" s="197"/>
      <c r="AE292" s="197"/>
      <c r="AF292" s="197"/>
      <c r="AG292" s="197"/>
      <c r="AH292" s="197"/>
      <c r="AI292" s="197"/>
      <c r="AJ292" s="197"/>
      <c r="AK292" s="197"/>
      <c r="AL292" s="197"/>
      <c r="AM292" s="197"/>
      <c r="AN292" s="197"/>
      <c r="AO292" s="197"/>
      <c r="AP292" s="197"/>
      <c r="AQ292" s="197"/>
      <c r="AR292" s="197"/>
      <c r="AS292" s="197"/>
      <c r="AT292" s="197"/>
      <c r="AU292" s="197"/>
      <c r="AV292" s="197"/>
      <c r="AW292" s="197"/>
      <c r="AX292" s="197"/>
      <c r="AY292" s="197"/>
      <c r="AZ292" s="197"/>
      <c r="BA292" s="197"/>
      <c r="BB292" s="197"/>
      <c r="BC292" s="197"/>
      <c r="BD292" s="197"/>
      <c r="BE292" s="197"/>
      <c r="BF292" s="197"/>
      <c r="BG292" s="197"/>
      <c r="BH292" s="197"/>
      <c r="BI292" s="197"/>
      <c r="BJ292" s="197"/>
      <c r="BK292" s="197"/>
      <c r="BL292" s="197"/>
      <c r="BM292" s="197"/>
      <c r="BN292" s="197"/>
      <c r="BO292" s="197"/>
      <c r="BP292" s="197"/>
    </row>
    <row r="293" spans="1:68" ht="20" customHeight="1" x14ac:dyDescent="0.15">
      <c r="A293" s="197"/>
      <c r="B293" s="197"/>
      <c r="C293" s="193"/>
      <c r="D293" s="197"/>
      <c r="E293" s="197"/>
      <c r="F293" s="214"/>
      <c r="G293" s="197"/>
      <c r="H293" s="197"/>
      <c r="I293" s="197"/>
      <c r="J293" s="197"/>
      <c r="K293" s="197"/>
      <c r="L293" s="197"/>
      <c r="M293" s="197"/>
      <c r="N293" s="197"/>
      <c r="O293" s="197"/>
      <c r="P293" s="197"/>
      <c r="Q293" s="197"/>
      <c r="R293" s="197"/>
      <c r="S293" s="197"/>
      <c r="T293" s="197"/>
      <c r="U293" s="197"/>
      <c r="V293" s="197"/>
      <c r="W293" s="197"/>
      <c r="X293" s="197"/>
      <c r="Y293" s="197"/>
      <c r="Z293" s="197"/>
      <c r="AA293" s="197"/>
      <c r="AB293" s="197"/>
      <c r="AC293" s="197"/>
      <c r="AD293" s="197"/>
      <c r="AE293" s="197"/>
      <c r="AF293" s="197"/>
      <c r="AG293" s="197"/>
      <c r="AH293" s="197"/>
      <c r="AI293" s="197"/>
      <c r="AJ293" s="197"/>
      <c r="AK293" s="197"/>
      <c r="AL293" s="197"/>
      <c r="AM293" s="197"/>
      <c r="AN293" s="197"/>
      <c r="AO293" s="197"/>
      <c r="AP293" s="197"/>
      <c r="AQ293" s="197"/>
      <c r="AR293" s="197"/>
      <c r="AS293" s="197"/>
      <c r="AT293" s="197"/>
      <c r="AU293" s="197"/>
      <c r="AV293" s="197"/>
      <c r="AW293" s="197"/>
      <c r="AX293" s="197"/>
      <c r="AY293" s="197"/>
      <c r="AZ293" s="197"/>
      <c r="BA293" s="197"/>
      <c r="BB293" s="197"/>
      <c r="BC293" s="197"/>
      <c r="BD293" s="197"/>
      <c r="BE293" s="197"/>
      <c r="BF293" s="197"/>
      <c r="BG293" s="197"/>
      <c r="BH293" s="197"/>
      <c r="BI293" s="197"/>
      <c r="BJ293" s="197"/>
      <c r="BK293" s="197"/>
      <c r="BL293" s="197"/>
      <c r="BM293" s="197"/>
      <c r="BN293" s="197"/>
      <c r="BO293" s="197"/>
      <c r="BP293" s="197"/>
    </row>
    <row r="294" spans="1:68" ht="20" customHeight="1" x14ac:dyDescent="0.15">
      <c r="A294" s="197"/>
      <c r="B294" s="197"/>
      <c r="C294" s="193"/>
      <c r="D294" s="197"/>
      <c r="E294" s="197"/>
      <c r="F294" s="214"/>
      <c r="G294" s="197"/>
      <c r="H294" s="197"/>
      <c r="I294" s="197"/>
      <c r="J294" s="197"/>
      <c r="K294" s="197"/>
      <c r="L294" s="197"/>
      <c r="M294" s="197"/>
      <c r="N294" s="197"/>
      <c r="O294" s="197"/>
      <c r="P294" s="197"/>
      <c r="Q294" s="197"/>
      <c r="R294" s="197"/>
      <c r="S294" s="197"/>
      <c r="T294" s="197"/>
      <c r="U294" s="197"/>
      <c r="V294" s="197"/>
      <c r="W294" s="197"/>
      <c r="X294" s="197"/>
      <c r="Y294" s="197"/>
      <c r="Z294" s="197"/>
      <c r="AA294" s="197"/>
      <c r="AB294" s="197"/>
      <c r="AC294" s="197"/>
      <c r="AD294" s="197"/>
      <c r="AE294" s="197"/>
      <c r="AF294" s="197"/>
      <c r="AG294" s="197"/>
      <c r="AH294" s="197"/>
      <c r="AI294" s="197"/>
      <c r="AJ294" s="197"/>
      <c r="AK294" s="197"/>
      <c r="AL294" s="197"/>
      <c r="AM294" s="197"/>
      <c r="AN294" s="197"/>
      <c r="AO294" s="197"/>
      <c r="AP294" s="197"/>
      <c r="AQ294" s="197"/>
      <c r="AR294" s="197"/>
      <c r="AS294" s="197"/>
      <c r="AT294" s="197"/>
      <c r="AU294" s="197"/>
      <c r="AV294" s="197"/>
      <c r="AW294" s="197"/>
      <c r="AX294" s="197"/>
      <c r="AY294" s="197"/>
      <c r="AZ294" s="197"/>
      <c r="BA294" s="197"/>
      <c r="BB294" s="197"/>
      <c r="BC294" s="197"/>
      <c r="BD294" s="197"/>
      <c r="BE294" s="197"/>
      <c r="BF294" s="197"/>
      <c r="BG294" s="197"/>
      <c r="BH294" s="197"/>
      <c r="BI294" s="197"/>
      <c r="BJ294" s="197"/>
      <c r="BK294" s="197"/>
      <c r="BL294" s="197"/>
      <c r="BM294" s="197"/>
      <c r="BN294" s="197"/>
      <c r="BO294" s="197"/>
      <c r="BP294" s="197"/>
    </row>
    <row r="295" spans="1:68" ht="20" customHeight="1" x14ac:dyDescent="0.15">
      <c r="A295" s="197"/>
      <c r="B295" s="197"/>
      <c r="C295" s="193"/>
      <c r="D295" s="197"/>
      <c r="E295" s="197"/>
      <c r="F295" s="214"/>
      <c r="G295" s="197"/>
      <c r="H295" s="197"/>
      <c r="I295" s="197"/>
      <c r="J295" s="197"/>
      <c r="K295" s="197"/>
      <c r="L295" s="197"/>
      <c r="M295" s="197"/>
      <c r="N295" s="197"/>
      <c r="O295" s="197"/>
      <c r="P295" s="197"/>
      <c r="Q295" s="197"/>
      <c r="R295" s="197"/>
      <c r="S295" s="197"/>
      <c r="T295" s="197"/>
      <c r="U295" s="197"/>
      <c r="V295" s="197"/>
      <c r="W295" s="197"/>
      <c r="X295" s="197"/>
      <c r="Y295" s="197"/>
      <c r="Z295" s="197"/>
      <c r="AA295" s="197"/>
      <c r="AB295" s="197"/>
      <c r="AC295" s="197"/>
      <c r="AD295" s="197"/>
      <c r="AE295" s="197"/>
      <c r="AF295" s="197"/>
      <c r="AG295" s="197"/>
      <c r="AH295" s="197"/>
      <c r="AI295" s="197"/>
      <c r="AJ295" s="197"/>
      <c r="AK295" s="197"/>
      <c r="AL295" s="197"/>
      <c r="AM295" s="197"/>
      <c r="AN295" s="197"/>
      <c r="AO295" s="197"/>
      <c r="AP295" s="197"/>
      <c r="AQ295" s="197"/>
      <c r="AR295" s="197"/>
      <c r="AS295" s="197"/>
      <c r="AT295" s="197"/>
      <c r="AU295" s="197"/>
      <c r="AV295" s="197"/>
      <c r="AW295" s="197"/>
      <c r="AX295" s="197"/>
      <c r="AY295" s="197"/>
      <c r="AZ295" s="197"/>
      <c r="BA295" s="197"/>
      <c r="BB295" s="197"/>
      <c r="BC295" s="197"/>
      <c r="BD295" s="197"/>
      <c r="BE295" s="197"/>
      <c r="BF295" s="197"/>
      <c r="BG295" s="197"/>
      <c r="BH295" s="197"/>
      <c r="BI295" s="197"/>
      <c r="BJ295" s="197"/>
      <c r="BK295" s="197"/>
      <c r="BL295" s="197"/>
      <c r="BM295" s="197"/>
      <c r="BN295" s="197"/>
      <c r="BO295" s="197"/>
      <c r="BP295" s="197"/>
    </row>
    <row r="296" spans="1:68" ht="20" customHeight="1" x14ac:dyDescent="0.15">
      <c r="A296" s="197"/>
      <c r="B296" s="197"/>
      <c r="C296" s="193"/>
      <c r="D296" s="197"/>
      <c r="E296" s="197"/>
      <c r="F296" s="214"/>
      <c r="G296" s="197"/>
      <c r="H296" s="197"/>
      <c r="I296" s="197"/>
      <c r="J296" s="197"/>
      <c r="K296" s="197"/>
      <c r="L296" s="197"/>
      <c r="M296" s="197"/>
      <c r="N296" s="197"/>
      <c r="O296" s="197"/>
      <c r="P296" s="197"/>
      <c r="Q296" s="197"/>
      <c r="R296" s="197"/>
      <c r="S296" s="197"/>
      <c r="T296" s="197"/>
      <c r="U296" s="197"/>
      <c r="V296" s="197"/>
      <c r="W296" s="197"/>
      <c r="X296" s="197"/>
      <c r="Y296" s="197"/>
      <c r="Z296" s="197"/>
      <c r="AA296" s="197"/>
      <c r="AB296" s="197"/>
      <c r="AC296" s="197"/>
      <c r="AD296" s="197"/>
      <c r="AE296" s="197"/>
      <c r="AF296" s="197"/>
      <c r="AG296" s="197"/>
      <c r="AH296" s="197"/>
      <c r="AI296" s="197"/>
      <c r="AJ296" s="197"/>
      <c r="AK296" s="197"/>
      <c r="AL296" s="197"/>
      <c r="AM296" s="197"/>
      <c r="AN296" s="197"/>
      <c r="AO296" s="197"/>
      <c r="AP296" s="197"/>
      <c r="AQ296" s="197"/>
      <c r="AR296" s="197"/>
      <c r="AS296" s="197"/>
      <c r="AT296" s="197"/>
      <c r="AU296" s="197"/>
      <c r="AV296" s="197"/>
      <c r="AW296" s="197"/>
      <c r="AX296" s="197"/>
      <c r="AY296" s="197"/>
      <c r="AZ296" s="197"/>
      <c r="BA296" s="197"/>
      <c r="BB296" s="197"/>
      <c r="BC296" s="197"/>
      <c r="BD296" s="197"/>
      <c r="BE296" s="197"/>
      <c r="BF296" s="197"/>
      <c r="BG296" s="197"/>
      <c r="BH296" s="197"/>
      <c r="BI296" s="197"/>
      <c r="BJ296" s="197"/>
      <c r="BK296" s="197"/>
      <c r="BL296" s="197"/>
      <c r="BM296" s="197"/>
      <c r="BN296" s="197"/>
      <c r="BO296" s="197"/>
      <c r="BP296" s="197"/>
    </row>
    <row r="297" spans="1:68" ht="20" customHeight="1" x14ac:dyDescent="0.15">
      <c r="A297" s="197"/>
      <c r="B297" s="197"/>
      <c r="C297" s="193"/>
      <c r="D297" s="197"/>
      <c r="E297" s="197"/>
      <c r="F297" s="214"/>
      <c r="G297" s="197"/>
      <c r="H297" s="197"/>
      <c r="I297" s="197"/>
      <c r="J297" s="197"/>
      <c r="K297" s="197"/>
      <c r="L297" s="197"/>
      <c r="M297" s="197"/>
      <c r="N297" s="197"/>
      <c r="O297" s="197"/>
      <c r="P297" s="197"/>
      <c r="Q297" s="197"/>
      <c r="R297" s="197"/>
      <c r="S297" s="197"/>
      <c r="T297" s="197"/>
      <c r="U297" s="197"/>
      <c r="V297" s="197"/>
      <c r="W297" s="197"/>
      <c r="X297" s="197"/>
      <c r="Y297" s="197"/>
      <c r="Z297" s="197"/>
      <c r="AA297" s="197"/>
      <c r="AB297" s="197"/>
      <c r="AC297" s="197"/>
      <c r="AD297" s="197"/>
      <c r="AE297" s="197"/>
      <c r="AF297" s="197"/>
      <c r="AG297" s="197"/>
      <c r="AH297" s="197"/>
      <c r="AI297" s="197"/>
      <c r="AJ297" s="197"/>
      <c r="AK297" s="197"/>
      <c r="AL297" s="197"/>
      <c r="AM297" s="197"/>
      <c r="AN297" s="197"/>
      <c r="AO297" s="197"/>
      <c r="AP297" s="197"/>
      <c r="AQ297" s="197"/>
      <c r="AR297" s="197"/>
      <c r="AS297" s="197"/>
      <c r="AT297" s="197"/>
      <c r="AU297" s="197"/>
      <c r="AV297" s="197"/>
      <c r="AW297" s="197"/>
      <c r="AX297" s="197"/>
      <c r="AY297" s="197"/>
      <c r="AZ297" s="197"/>
      <c r="BA297" s="197"/>
      <c r="BB297" s="197"/>
      <c r="BC297" s="197"/>
      <c r="BD297" s="197"/>
      <c r="BE297" s="197"/>
      <c r="BF297" s="197"/>
      <c r="BG297" s="197"/>
      <c r="BH297" s="197"/>
      <c r="BI297" s="197"/>
      <c r="BJ297" s="197"/>
      <c r="BK297" s="197"/>
      <c r="BL297" s="197"/>
      <c r="BM297" s="197"/>
      <c r="BN297" s="197"/>
      <c r="BO297" s="197"/>
      <c r="BP297" s="197"/>
    </row>
    <row r="298" spans="1:68" ht="20" customHeight="1" x14ac:dyDescent="0.15">
      <c r="A298" s="197"/>
      <c r="B298" s="197"/>
      <c r="C298" s="193"/>
      <c r="D298" s="197"/>
      <c r="E298" s="197"/>
      <c r="F298" s="214"/>
      <c r="G298" s="197"/>
      <c r="H298" s="197"/>
      <c r="I298" s="197"/>
      <c r="J298" s="197"/>
      <c r="K298" s="197"/>
      <c r="L298" s="197"/>
      <c r="M298" s="197"/>
      <c r="N298" s="197"/>
      <c r="O298" s="197"/>
      <c r="P298" s="197"/>
      <c r="Q298" s="197"/>
      <c r="R298" s="197"/>
      <c r="S298" s="197"/>
      <c r="T298" s="197"/>
      <c r="U298" s="197"/>
      <c r="V298" s="197"/>
      <c r="W298" s="197"/>
      <c r="X298" s="197"/>
      <c r="Y298" s="197"/>
      <c r="Z298" s="197"/>
      <c r="AA298" s="197"/>
      <c r="AB298" s="197"/>
      <c r="AC298" s="197"/>
      <c r="AD298" s="197"/>
      <c r="AE298" s="197"/>
      <c r="AF298" s="197"/>
      <c r="AG298" s="197"/>
      <c r="AH298" s="197"/>
      <c r="AI298" s="197"/>
      <c r="AJ298" s="197"/>
      <c r="AK298" s="197"/>
      <c r="AL298" s="197"/>
      <c r="AM298" s="197"/>
      <c r="AN298" s="197"/>
      <c r="AO298" s="197"/>
      <c r="AP298" s="197"/>
      <c r="AQ298" s="197"/>
      <c r="AR298" s="197"/>
      <c r="AS298" s="197"/>
      <c r="AT298" s="197"/>
      <c r="AU298" s="197"/>
      <c r="AV298" s="197"/>
      <c r="AW298" s="197"/>
      <c r="AX298" s="197"/>
      <c r="AY298" s="197"/>
      <c r="AZ298" s="197"/>
      <c r="BA298" s="197"/>
      <c r="BB298" s="197"/>
      <c r="BC298" s="197"/>
      <c r="BD298" s="197"/>
      <c r="BE298" s="197"/>
      <c r="BF298" s="197"/>
      <c r="BG298" s="197"/>
      <c r="BH298" s="197"/>
      <c r="BI298" s="197"/>
      <c r="BJ298" s="197"/>
      <c r="BK298" s="197"/>
      <c r="BL298" s="197"/>
      <c r="BM298" s="197"/>
      <c r="BN298" s="197"/>
      <c r="BO298" s="197"/>
      <c r="BP298" s="197"/>
    </row>
    <row r="299" spans="1:68" ht="20" customHeight="1" x14ac:dyDescent="0.15">
      <c r="A299" s="197"/>
      <c r="B299" s="197"/>
      <c r="C299" s="193"/>
      <c r="D299" s="197"/>
      <c r="E299" s="197"/>
      <c r="F299" s="214"/>
      <c r="G299" s="197"/>
      <c r="H299" s="197"/>
      <c r="I299" s="197"/>
      <c r="J299" s="197"/>
      <c r="K299" s="197"/>
      <c r="L299" s="197"/>
      <c r="M299" s="197"/>
      <c r="N299" s="197"/>
      <c r="O299" s="197"/>
      <c r="P299" s="197"/>
      <c r="Q299" s="197"/>
      <c r="R299" s="197"/>
      <c r="S299" s="197"/>
      <c r="T299" s="197"/>
      <c r="U299" s="197"/>
      <c r="V299" s="197"/>
      <c r="W299" s="197"/>
      <c r="X299" s="197"/>
      <c r="Y299" s="197"/>
      <c r="Z299" s="197"/>
      <c r="AA299" s="197"/>
      <c r="AB299" s="197"/>
      <c r="AC299" s="197"/>
      <c r="AD299" s="197"/>
      <c r="AE299" s="197"/>
      <c r="AF299" s="197"/>
      <c r="AG299" s="197"/>
      <c r="AH299" s="197"/>
      <c r="AI299" s="197"/>
      <c r="AJ299" s="197"/>
      <c r="AK299" s="197"/>
      <c r="AL299" s="197"/>
      <c r="AM299" s="197"/>
      <c r="AN299" s="197"/>
      <c r="AO299" s="197"/>
      <c r="AP299" s="197"/>
      <c r="AQ299" s="197"/>
      <c r="AR299" s="197"/>
      <c r="AS299" s="197"/>
      <c r="AT299" s="197"/>
      <c r="AU299" s="197"/>
      <c r="AV299" s="197"/>
      <c r="AW299" s="197"/>
      <c r="AX299" s="197"/>
      <c r="AY299" s="197"/>
      <c r="AZ299" s="197"/>
      <c r="BA299" s="197"/>
      <c r="BB299" s="197"/>
      <c r="BC299" s="197"/>
      <c r="BD299" s="197"/>
      <c r="BE299" s="197"/>
      <c r="BF299" s="197"/>
      <c r="BG299" s="197"/>
      <c r="BH299" s="197"/>
      <c r="BI299" s="197"/>
      <c r="BJ299" s="197"/>
      <c r="BK299" s="197"/>
      <c r="BL299" s="197"/>
      <c r="BM299" s="197"/>
      <c r="BN299" s="197"/>
      <c r="BO299" s="197"/>
      <c r="BP299" s="197"/>
    </row>
    <row r="300" spans="1:68" ht="20" customHeight="1" x14ac:dyDescent="0.15">
      <c r="A300" s="197"/>
      <c r="B300" s="197"/>
      <c r="C300" s="193"/>
      <c r="D300" s="197"/>
      <c r="E300" s="197"/>
      <c r="F300" s="214"/>
      <c r="G300" s="197"/>
      <c r="H300" s="197"/>
      <c r="I300" s="197"/>
      <c r="J300" s="197"/>
      <c r="K300" s="197"/>
      <c r="L300" s="197"/>
      <c r="M300" s="197"/>
      <c r="N300" s="197"/>
      <c r="O300" s="197"/>
      <c r="P300" s="197"/>
      <c r="Q300" s="197"/>
      <c r="R300" s="197"/>
      <c r="S300" s="197"/>
      <c r="T300" s="197"/>
      <c r="U300" s="197"/>
      <c r="V300" s="197"/>
      <c r="W300" s="197"/>
      <c r="X300" s="197"/>
      <c r="Y300" s="197"/>
      <c r="Z300" s="197"/>
      <c r="AA300" s="197"/>
      <c r="AB300" s="197"/>
      <c r="AC300" s="197"/>
      <c r="AD300" s="197"/>
      <c r="AE300" s="197"/>
      <c r="AF300" s="197"/>
      <c r="AG300" s="197"/>
      <c r="AH300" s="197"/>
      <c r="AI300" s="197"/>
      <c r="AJ300" s="197"/>
      <c r="AK300" s="197"/>
      <c r="AL300" s="197"/>
      <c r="AM300" s="197"/>
      <c r="AN300" s="197"/>
      <c r="AO300" s="197"/>
      <c r="AP300" s="197"/>
      <c r="AQ300" s="197"/>
      <c r="AR300" s="197"/>
      <c r="AS300" s="197"/>
      <c r="AT300" s="197"/>
      <c r="AU300" s="197"/>
      <c r="AV300" s="197"/>
      <c r="AW300" s="197"/>
      <c r="AX300" s="197"/>
      <c r="AY300" s="197"/>
      <c r="AZ300" s="197"/>
      <c r="BA300" s="197"/>
      <c r="BB300" s="197"/>
      <c r="BC300" s="197"/>
      <c r="BD300" s="197"/>
      <c r="BE300" s="197"/>
      <c r="BF300" s="197"/>
      <c r="BG300" s="197"/>
      <c r="BH300" s="197"/>
      <c r="BI300" s="197"/>
      <c r="BJ300" s="197"/>
      <c r="BK300" s="197"/>
      <c r="BL300" s="197"/>
      <c r="BM300" s="197"/>
      <c r="BN300" s="197"/>
      <c r="BO300" s="197"/>
      <c r="BP300" s="197"/>
    </row>
    <row r="301" spans="1:68" ht="20" customHeight="1" x14ac:dyDescent="0.15">
      <c r="A301" s="197"/>
      <c r="B301" s="197"/>
      <c r="C301" s="193"/>
      <c r="D301" s="197"/>
      <c r="E301" s="197"/>
      <c r="F301" s="214"/>
      <c r="G301" s="197"/>
      <c r="H301" s="197"/>
      <c r="I301" s="197"/>
      <c r="J301" s="197"/>
      <c r="K301" s="197"/>
      <c r="L301" s="197"/>
      <c r="M301" s="197"/>
      <c r="N301" s="197"/>
      <c r="O301" s="197"/>
      <c r="P301" s="197"/>
      <c r="Q301" s="197"/>
      <c r="R301" s="197"/>
      <c r="S301" s="197"/>
      <c r="T301" s="197"/>
      <c r="U301" s="197"/>
      <c r="V301" s="197"/>
      <c r="W301" s="197"/>
      <c r="X301" s="197"/>
      <c r="Y301" s="197"/>
      <c r="Z301" s="197"/>
      <c r="AA301" s="197"/>
      <c r="AB301" s="197"/>
      <c r="AC301" s="197"/>
      <c r="AD301" s="197"/>
      <c r="AE301" s="197"/>
      <c r="AF301" s="197"/>
      <c r="AG301" s="197"/>
      <c r="AH301" s="197"/>
      <c r="AI301" s="197"/>
      <c r="AJ301" s="197"/>
      <c r="AK301" s="197"/>
      <c r="AL301" s="197"/>
      <c r="AM301" s="197"/>
      <c r="AN301" s="197"/>
      <c r="AO301" s="197"/>
      <c r="AP301" s="197"/>
      <c r="AQ301" s="197"/>
      <c r="AR301" s="197"/>
      <c r="AS301" s="197"/>
      <c r="AT301" s="197"/>
      <c r="AU301" s="197"/>
      <c r="AV301" s="197"/>
      <c r="AW301" s="197"/>
      <c r="AX301" s="197"/>
      <c r="AY301" s="197"/>
      <c r="AZ301" s="197"/>
      <c r="BA301" s="197"/>
      <c r="BB301" s="197"/>
      <c r="BC301" s="197"/>
      <c r="BD301" s="197"/>
      <c r="BE301" s="197"/>
      <c r="BF301" s="197"/>
      <c r="BG301" s="197"/>
      <c r="BH301" s="197"/>
      <c r="BI301" s="197"/>
      <c r="BJ301" s="197"/>
      <c r="BK301" s="197"/>
      <c r="BL301" s="197"/>
      <c r="BM301" s="197"/>
      <c r="BN301" s="197"/>
      <c r="BO301" s="197"/>
      <c r="BP301" s="197"/>
    </row>
    <row r="302" spans="1:68" ht="20" customHeight="1" x14ac:dyDescent="0.15">
      <c r="A302" s="197"/>
      <c r="B302" s="197"/>
      <c r="C302" s="193"/>
      <c r="D302" s="197"/>
      <c r="E302" s="197"/>
      <c r="F302" s="214"/>
      <c r="G302" s="197"/>
      <c r="H302" s="197"/>
      <c r="I302" s="197"/>
      <c r="J302" s="197"/>
      <c r="K302" s="197"/>
      <c r="L302" s="197"/>
      <c r="M302" s="197"/>
      <c r="N302" s="197"/>
      <c r="O302" s="197"/>
      <c r="P302" s="197"/>
      <c r="Q302" s="197"/>
      <c r="R302" s="197"/>
      <c r="S302" s="197"/>
      <c r="T302" s="197"/>
      <c r="U302" s="197"/>
      <c r="V302" s="197"/>
      <c r="W302" s="197"/>
      <c r="X302" s="197"/>
      <c r="Y302" s="197"/>
      <c r="Z302" s="197"/>
      <c r="AA302" s="197"/>
      <c r="AB302" s="197"/>
      <c r="AC302" s="197"/>
      <c r="AD302" s="197"/>
      <c r="AE302" s="197"/>
      <c r="AF302" s="197"/>
      <c r="AG302" s="197"/>
      <c r="AH302" s="197"/>
      <c r="AI302" s="197"/>
      <c r="AJ302" s="197"/>
      <c r="AK302" s="197"/>
      <c r="AL302" s="197"/>
      <c r="AM302" s="197"/>
      <c r="AN302" s="197"/>
      <c r="AO302" s="197"/>
      <c r="AP302" s="197"/>
      <c r="AQ302" s="197"/>
      <c r="AR302" s="197"/>
      <c r="AS302" s="197"/>
      <c r="AT302" s="197"/>
      <c r="AU302" s="197"/>
      <c r="AV302" s="197"/>
      <c r="AW302" s="197"/>
      <c r="AX302" s="197"/>
      <c r="AY302" s="197"/>
      <c r="AZ302" s="197"/>
      <c r="BA302" s="197"/>
      <c r="BB302" s="197"/>
      <c r="BC302" s="197"/>
      <c r="BD302" s="197"/>
      <c r="BE302" s="197"/>
      <c r="BF302" s="197"/>
      <c r="BG302" s="197"/>
      <c r="BH302" s="197"/>
      <c r="BI302" s="197"/>
      <c r="BJ302" s="197"/>
      <c r="BK302" s="197"/>
      <c r="BL302" s="197"/>
      <c r="BM302" s="197"/>
      <c r="BN302" s="197"/>
      <c r="BO302" s="197"/>
      <c r="BP302" s="197"/>
    </row>
    <row r="303" spans="1:68" ht="20" customHeight="1" x14ac:dyDescent="0.15">
      <c r="A303" s="197"/>
      <c r="B303" s="197"/>
      <c r="C303" s="193"/>
      <c r="D303" s="197"/>
      <c r="E303" s="197"/>
      <c r="F303" s="214"/>
      <c r="G303" s="197"/>
      <c r="H303" s="197"/>
      <c r="I303" s="197"/>
      <c r="J303" s="197"/>
      <c r="K303" s="197"/>
      <c r="L303" s="197"/>
      <c r="M303" s="197"/>
      <c r="N303" s="197"/>
      <c r="O303" s="197"/>
      <c r="P303" s="197"/>
      <c r="Q303" s="197"/>
      <c r="R303" s="197"/>
      <c r="S303" s="197"/>
      <c r="T303" s="197"/>
      <c r="U303" s="197"/>
      <c r="V303" s="197"/>
      <c r="W303" s="197"/>
      <c r="X303" s="197"/>
      <c r="Y303" s="197"/>
      <c r="Z303" s="197"/>
      <c r="AA303" s="197"/>
      <c r="AB303" s="197"/>
      <c r="AC303" s="197"/>
      <c r="AD303" s="197"/>
      <c r="AE303" s="197"/>
      <c r="AF303" s="197"/>
      <c r="AG303" s="197"/>
      <c r="AH303" s="197"/>
      <c r="AI303" s="197"/>
      <c r="AJ303" s="197"/>
      <c r="AK303" s="197"/>
      <c r="AL303" s="197"/>
      <c r="AM303" s="197"/>
      <c r="AN303" s="197"/>
      <c r="AO303" s="197"/>
      <c r="AP303" s="197"/>
      <c r="AQ303" s="197"/>
      <c r="AR303" s="197"/>
      <c r="AS303" s="197"/>
      <c r="AT303" s="197"/>
      <c r="AU303" s="197"/>
      <c r="AV303" s="197"/>
      <c r="AW303" s="197"/>
      <c r="AX303" s="197"/>
      <c r="AY303" s="197"/>
      <c r="AZ303" s="197"/>
      <c r="BA303" s="197"/>
      <c r="BB303" s="197"/>
      <c r="BC303" s="197"/>
      <c r="BD303" s="197"/>
      <c r="BE303" s="197"/>
      <c r="BF303" s="197"/>
      <c r="BG303" s="197"/>
      <c r="BH303" s="197"/>
      <c r="BI303" s="197"/>
      <c r="BJ303" s="197"/>
      <c r="BK303" s="197"/>
      <c r="BL303" s="197"/>
      <c r="BM303" s="197"/>
      <c r="BN303" s="197"/>
      <c r="BO303" s="197"/>
      <c r="BP303" s="197"/>
    </row>
    <row r="304" spans="1:68" ht="20" customHeight="1" x14ac:dyDescent="0.15">
      <c r="A304" s="197"/>
      <c r="B304" s="197"/>
      <c r="C304" s="193"/>
      <c r="D304" s="197"/>
      <c r="E304" s="197"/>
      <c r="F304" s="214"/>
      <c r="G304" s="197"/>
      <c r="H304" s="197"/>
      <c r="I304" s="197"/>
      <c r="J304" s="197"/>
      <c r="K304" s="197"/>
      <c r="L304" s="197"/>
      <c r="M304" s="197"/>
      <c r="N304" s="197"/>
      <c r="O304" s="197"/>
      <c r="P304" s="197"/>
      <c r="Q304" s="197"/>
      <c r="R304" s="197"/>
      <c r="S304" s="197"/>
      <c r="T304" s="197"/>
      <c r="U304" s="197"/>
      <c r="V304" s="197"/>
      <c r="W304" s="197"/>
      <c r="X304" s="197"/>
      <c r="Y304" s="197"/>
      <c r="Z304" s="197"/>
      <c r="AA304" s="197"/>
      <c r="AB304" s="197"/>
      <c r="AC304" s="197"/>
      <c r="AD304" s="197"/>
      <c r="AE304" s="197"/>
      <c r="AF304" s="197"/>
      <c r="AG304" s="197"/>
      <c r="AH304" s="197"/>
      <c r="AI304" s="197"/>
      <c r="AJ304" s="197"/>
      <c r="AK304" s="197"/>
      <c r="AL304" s="197"/>
      <c r="AM304" s="197"/>
      <c r="AN304" s="197"/>
      <c r="AO304" s="197"/>
      <c r="AP304" s="197"/>
      <c r="AQ304" s="197"/>
      <c r="AR304" s="197"/>
      <c r="AS304" s="197"/>
      <c r="AT304" s="197"/>
      <c r="AU304" s="197"/>
      <c r="AV304" s="197"/>
      <c r="AW304" s="197"/>
      <c r="AX304" s="197"/>
      <c r="AY304" s="197"/>
      <c r="AZ304" s="197"/>
      <c r="BA304" s="197"/>
      <c r="BB304" s="197"/>
      <c r="BC304" s="197"/>
      <c r="BD304" s="197"/>
      <c r="BE304" s="197"/>
      <c r="BF304" s="197"/>
      <c r="BG304" s="197"/>
      <c r="BH304" s="197"/>
      <c r="BI304" s="197"/>
      <c r="BJ304" s="197"/>
      <c r="BK304" s="197"/>
      <c r="BL304" s="197"/>
      <c r="BM304" s="197"/>
      <c r="BN304" s="197"/>
      <c r="BO304" s="197"/>
      <c r="BP304" s="197"/>
    </row>
    <row r="305" spans="1:68" ht="20" customHeight="1" x14ac:dyDescent="0.15">
      <c r="A305" s="197"/>
      <c r="B305" s="197"/>
      <c r="C305" s="193"/>
      <c r="D305" s="197"/>
      <c r="E305" s="197"/>
      <c r="F305" s="214"/>
      <c r="G305" s="197"/>
      <c r="H305" s="197"/>
      <c r="I305" s="197"/>
      <c r="J305" s="197"/>
      <c r="K305" s="197"/>
      <c r="L305" s="197"/>
      <c r="M305" s="197"/>
      <c r="N305" s="197"/>
      <c r="O305" s="197"/>
      <c r="P305" s="197"/>
      <c r="Q305" s="197"/>
      <c r="R305" s="197"/>
      <c r="S305" s="197"/>
      <c r="T305" s="197"/>
      <c r="U305" s="197"/>
      <c r="V305" s="197"/>
      <c r="W305" s="197"/>
      <c r="X305" s="197"/>
      <c r="Y305" s="197"/>
      <c r="Z305" s="197"/>
      <c r="AA305" s="197"/>
      <c r="AB305" s="197"/>
      <c r="AC305" s="197"/>
      <c r="AD305" s="197"/>
      <c r="AE305" s="197"/>
      <c r="AF305" s="197"/>
      <c r="AG305" s="197"/>
      <c r="AH305" s="197"/>
      <c r="AI305" s="197"/>
      <c r="AJ305" s="197"/>
      <c r="AK305" s="197"/>
      <c r="AL305" s="197"/>
      <c r="AM305" s="197"/>
      <c r="AN305" s="197"/>
      <c r="AO305" s="197"/>
      <c r="AP305" s="197"/>
      <c r="AQ305" s="197"/>
      <c r="AR305" s="197"/>
      <c r="AS305" s="197"/>
      <c r="AT305" s="197"/>
      <c r="AU305" s="197"/>
      <c r="AV305" s="197"/>
      <c r="AW305" s="197"/>
      <c r="AX305" s="197"/>
      <c r="AY305" s="197"/>
      <c r="AZ305" s="197"/>
      <c r="BA305" s="197"/>
      <c r="BB305" s="197"/>
      <c r="BC305" s="197"/>
      <c r="BD305" s="197"/>
      <c r="BE305" s="197"/>
      <c r="BF305" s="197"/>
      <c r="BG305" s="197"/>
      <c r="BH305" s="197"/>
      <c r="BI305" s="197"/>
      <c r="BJ305" s="197"/>
      <c r="BK305" s="197"/>
      <c r="BL305" s="197"/>
      <c r="BM305" s="197"/>
      <c r="BN305" s="197"/>
      <c r="BO305" s="197"/>
      <c r="BP305" s="197"/>
    </row>
    <row r="306" spans="1:68" ht="20" customHeight="1" x14ac:dyDescent="0.15">
      <c r="A306" s="197"/>
      <c r="B306" s="197"/>
      <c r="C306" s="193"/>
      <c r="D306" s="197"/>
      <c r="E306" s="197"/>
      <c r="F306" s="214"/>
      <c r="G306" s="197"/>
      <c r="H306" s="197"/>
      <c r="I306" s="197"/>
      <c r="J306" s="197"/>
      <c r="K306" s="197"/>
      <c r="L306" s="197"/>
      <c r="M306" s="197"/>
      <c r="N306" s="197"/>
      <c r="O306" s="197"/>
      <c r="P306" s="197"/>
      <c r="Q306" s="197"/>
      <c r="R306" s="197"/>
      <c r="S306" s="197"/>
      <c r="T306" s="197"/>
      <c r="U306" s="197"/>
      <c r="V306" s="197"/>
      <c r="W306" s="197"/>
      <c r="X306" s="197"/>
      <c r="Y306" s="197"/>
      <c r="Z306" s="197"/>
      <c r="AA306" s="197"/>
      <c r="AB306" s="197"/>
      <c r="AC306" s="197"/>
      <c r="AD306" s="197"/>
      <c r="AE306" s="197"/>
      <c r="AF306" s="197"/>
      <c r="AG306" s="197"/>
      <c r="AH306" s="197"/>
      <c r="AI306" s="197"/>
      <c r="AJ306" s="197"/>
      <c r="AK306" s="197"/>
      <c r="AL306" s="197"/>
      <c r="AM306" s="197"/>
      <c r="AN306" s="197"/>
      <c r="AO306" s="197"/>
      <c r="AP306" s="197"/>
      <c r="AQ306" s="197"/>
      <c r="AR306" s="197"/>
      <c r="AS306" s="197"/>
      <c r="AT306" s="197"/>
      <c r="AU306" s="197"/>
      <c r="AV306" s="197"/>
      <c r="AW306" s="197"/>
      <c r="AX306" s="197"/>
      <c r="AY306" s="197"/>
      <c r="AZ306" s="197"/>
      <c r="BA306" s="197"/>
      <c r="BB306" s="197"/>
      <c r="BC306" s="197"/>
      <c r="BD306" s="197"/>
      <c r="BE306" s="197"/>
      <c r="BF306" s="197"/>
      <c r="BG306" s="197"/>
      <c r="BH306" s="197"/>
      <c r="BI306" s="197"/>
      <c r="BJ306" s="197"/>
      <c r="BK306" s="197"/>
      <c r="BL306" s="197"/>
      <c r="BM306" s="197"/>
      <c r="BN306" s="197"/>
      <c r="BO306" s="197"/>
      <c r="BP306" s="197"/>
    </row>
    <row r="307" spans="1:68" ht="20" customHeight="1" x14ac:dyDescent="0.15">
      <c r="A307" s="197"/>
      <c r="B307" s="197"/>
      <c r="C307" s="193"/>
      <c r="D307" s="197"/>
      <c r="E307" s="197"/>
      <c r="F307" s="214"/>
      <c r="G307" s="197"/>
      <c r="H307" s="197"/>
      <c r="I307" s="197"/>
      <c r="J307" s="197"/>
      <c r="K307" s="197"/>
      <c r="L307" s="197"/>
      <c r="M307" s="197"/>
      <c r="N307" s="197"/>
      <c r="O307" s="197"/>
      <c r="P307" s="197"/>
      <c r="Q307" s="197"/>
      <c r="R307" s="197"/>
      <c r="S307" s="197"/>
      <c r="T307" s="197"/>
      <c r="U307" s="197"/>
      <c r="V307" s="197"/>
      <c r="W307" s="197"/>
      <c r="X307" s="197"/>
      <c r="Y307" s="197"/>
      <c r="Z307" s="197"/>
      <c r="AA307" s="197"/>
      <c r="AB307" s="197"/>
      <c r="AC307" s="197"/>
      <c r="AD307" s="197"/>
      <c r="AE307" s="197"/>
      <c r="AF307" s="197"/>
      <c r="AG307" s="197"/>
      <c r="AH307" s="197"/>
      <c r="AI307" s="197"/>
      <c r="AJ307" s="197"/>
      <c r="AK307" s="197"/>
      <c r="AL307" s="197"/>
      <c r="AM307" s="197"/>
      <c r="AN307" s="197"/>
      <c r="AO307" s="197"/>
      <c r="AP307" s="197"/>
      <c r="AQ307" s="197"/>
      <c r="AR307" s="197"/>
      <c r="AS307" s="197"/>
      <c r="AT307" s="197"/>
      <c r="AU307" s="197"/>
      <c r="AV307" s="197"/>
      <c r="AW307" s="197"/>
      <c r="AX307" s="197"/>
      <c r="AY307" s="197"/>
      <c r="AZ307" s="197"/>
      <c r="BA307" s="197"/>
      <c r="BB307" s="197"/>
      <c r="BC307" s="197"/>
      <c r="BD307" s="197"/>
      <c r="BE307" s="197"/>
      <c r="BF307" s="197"/>
      <c r="BG307" s="197"/>
      <c r="BH307" s="197"/>
      <c r="BI307" s="197"/>
      <c r="BJ307" s="197"/>
      <c r="BK307" s="197"/>
      <c r="BL307" s="197"/>
      <c r="BM307" s="197"/>
      <c r="BN307" s="197"/>
      <c r="BO307" s="197"/>
      <c r="BP307" s="197"/>
    </row>
    <row r="308" spans="1:68" ht="20" customHeight="1" x14ac:dyDescent="0.15">
      <c r="A308" s="197"/>
      <c r="B308" s="197"/>
      <c r="C308" s="193"/>
      <c r="D308" s="197"/>
      <c r="E308" s="197"/>
      <c r="F308" s="214"/>
      <c r="G308" s="197"/>
      <c r="H308" s="197"/>
      <c r="I308" s="197"/>
      <c r="J308" s="197"/>
      <c r="K308" s="197"/>
      <c r="L308" s="197"/>
      <c r="M308" s="197"/>
      <c r="N308" s="197"/>
      <c r="O308" s="197"/>
      <c r="P308" s="197"/>
      <c r="Q308" s="197"/>
      <c r="R308" s="197"/>
      <c r="S308" s="197"/>
      <c r="T308" s="197"/>
      <c r="U308" s="197"/>
      <c r="V308" s="197"/>
      <c r="W308" s="197"/>
      <c r="X308" s="197"/>
      <c r="Y308" s="197"/>
      <c r="Z308" s="197"/>
      <c r="AA308" s="197"/>
      <c r="AB308" s="197"/>
      <c r="AC308" s="197"/>
      <c r="AD308" s="197"/>
      <c r="AE308" s="197"/>
      <c r="AF308" s="197"/>
      <c r="AG308" s="197"/>
      <c r="AH308" s="197"/>
      <c r="AI308" s="197"/>
      <c r="AJ308" s="197"/>
      <c r="AK308" s="197"/>
      <c r="AL308" s="197"/>
      <c r="AM308" s="197"/>
      <c r="AN308" s="197"/>
      <c r="AO308" s="197"/>
      <c r="AP308" s="197"/>
      <c r="AQ308" s="197"/>
      <c r="AR308" s="197"/>
      <c r="AS308" s="197"/>
      <c r="AT308" s="197"/>
      <c r="AU308" s="197"/>
      <c r="AV308" s="197"/>
      <c r="AW308" s="197"/>
      <c r="AX308" s="197"/>
      <c r="AY308" s="197"/>
      <c r="AZ308" s="197"/>
      <c r="BA308" s="197"/>
      <c r="BB308" s="197"/>
      <c r="BC308" s="197"/>
      <c r="BD308" s="197"/>
      <c r="BE308" s="197"/>
      <c r="BF308" s="197"/>
      <c r="BG308" s="197"/>
      <c r="BH308" s="197"/>
      <c r="BI308" s="197"/>
      <c r="BJ308" s="197"/>
      <c r="BK308" s="197"/>
      <c r="BL308" s="197"/>
      <c r="BM308" s="197"/>
      <c r="BN308" s="197"/>
      <c r="BO308" s="197"/>
      <c r="BP308" s="197"/>
    </row>
    <row r="309" spans="1:68" ht="20" customHeight="1" x14ac:dyDescent="0.15">
      <c r="A309" s="197"/>
      <c r="B309" s="197"/>
      <c r="C309" s="193"/>
      <c r="D309" s="197"/>
      <c r="E309" s="197"/>
      <c r="F309" s="214"/>
      <c r="G309" s="197"/>
      <c r="H309" s="197"/>
      <c r="I309" s="197"/>
      <c r="J309" s="197"/>
      <c r="K309" s="197"/>
      <c r="L309" s="197"/>
      <c r="M309" s="197"/>
      <c r="N309" s="197"/>
      <c r="O309" s="197"/>
      <c r="P309" s="197"/>
      <c r="Q309" s="197"/>
      <c r="R309" s="197"/>
      <c r="S309" s="197"/>
      <c r="T309" s="197"/>
      <c r="U309" s="197"/>
      <c r="V309" s="197"/>
      <c r="W309" s="197"/>
      <c r="X309" s="197"/>
      <c r="Y309" s="197"/>
      <c r="Z309" s="197"/>
      <c r="AA309" s="197"/>
      <c r="AB309" s="197"/>
      <c r="AC309" s="197"/>
      <c r="AD309" s="197"/>
      <c r="AE309" s="197"/>
      <c r="AF309" s="197"/>
      <c r="AG309" s="197"/>
      <c r="AH309" s="197"/>
      <c r="AI309" s="197"/>
      <c r="AJ309" s="197"/>
      <c r="AK309" s="197"/>
      <c r="AL309" s="197"/>
      <c r="AM309" s="197"/>
      <c r="AN309" s="197"/>
      <c r="AO309" s="197"/>
      <c r="AP309" s="197"/>
      <c r="AQ309" s="197"/>
      <c r="AR309" s="197"/>
      <c r="AS309" s="197"/>
      <c r="AT309" s="197"/>
      <c r="AU309" s="197"/>
      <c r="AV309" s="197"/>
      <c r="AW309" s="197"/>
      <c r="AX309" s="197"/>
      <c r="AY309" s="197"/>
      <c r="AZ309" s="197"/>
      <c r="BA309" s="197"/>
      <c r="BB309" s="197"/>
      <c r="BC309" s="197"/>
      <c r="BD309" s="197"/>
      <c r="BE309" s="197"/>
      <c r="BF309" s="197"/>
      <c r="BG309" s="197"/>
      <c r="BH309" s="197"/>
      <c r="BI309" s="197"/>
      <c r="BJ309" s="197"/>
      <c r="BK309" s="197"/>
      <c r="BL309" s="197"/>
      <c r="BM309" s="197"/>
      <c r="BN309" s="197"/>
      <c r="BO309" s="197"/>
      <c r="BP309" s="197"/>
    </row>
    <row r="310" spans="1:68" ht="20" customHeight="1" x14ac:dyDescent="0.15">
      <c r="A310" s="197"/>
      <c r="B310" s="197"/>
      <c r="C310" s="193"/>
      <c r="D310" s="197"/>
      <c r="E310" s="197"/>
      <c r="F310" s="214"/>
      <c r="G310" s="197"/>
      <c r="H310" s="197"/>
      <c r="I310" s="197"/>
      <c r="J310" s="197"/>
      <c r="K310" s="197"/>
      <c r="L310" s="197"/>
      <c r="M310" s="197"/>
      <c r="N310" s="197"/>
      <c r="O310" s="197"/>
      <c r="P310" s="197"/>
      <c r="Q310" s="197"/>
      <c r="R310" s="197"/>
      <c r="S310" s="197"/>
      <c r="T310" s="197"/>
      <c r="U310" s="197"/>
      <c r="V310" s="197"/>
      <c r="W310" s="197"/>
      <c r="X310" s="197"/>
      <c r="Y310" s="197"/>
      <c r="Z310" s="197"/>
      <c r="AA310" s="197"/>
      <c r="AB310" s="197"/>
      <c r="AC310" s="197"/>
      <c r="AD310" s="197"/>
      <c r="AE310" s="197"/>
      <c r="AF310" s="197"/>
      <c r="AG310" s="197"/>
      <c r="AH310" s="197"/>
      <c r="AI310" s="197"/>
      <c r="AJ310" s="197"/>
      <c r="AK310" s="197"/>
      <c r="AL310" s="197"/>
      <c r="AM310" s="197"/>
      <c r="AN310" s="197"/>
      <c r="AO310" s="197"/>
      <c r="AP310" s="197"/>
      <c r="AQ310" s="197"/>
      <c r="AR310" s="197"/>
      <c r="AS310" s="197"/>
      <c r="AT310" s="197"/>
      <c r="AU310" s="197"/>
      <c r="AV310" s="197"/>
      <c r="AW310" s="197"/>
      <c r="AX310" s="197"/>
      <c r="AY310" s="197"/>
      <c r="AZ310" s="197"/>
      <c r="BA310" s="197"/>
      <c r="BB310" s="197"/>
      <c r="BC310" s="197"/>
      <c r="BD310" s="197"/>
      <c r="BE310" s="197"/>
      <c r="BF310" s="197"/>
      <c r="BG310" s="197"/>
      <c r="BH310" s="197"/>
      <c r="BI310" s="197"/>
      <c r="BJ310" s="197"/>
      <c r="BK310" s="197"/>
      <c r="BL310" s="197"/>
      <c r="BM310" s="197"/>
      <c r="BN310" s="197"/>
      <c r="BO310" s="197"/>
      <c r="BP310" s="197"/>
    </row>
    <row r="311" spans="1:68" ht="20" customHeight="1" x14ac:dyDescent="0.15">
      <c r="A311" s="197"/>
      <c r="B311" s="197"/>
      <c r="C311" s="193"/>
      <c r="D311" s="197"/>
      <c r="E311" s="197"/>
      <c r="F311" s="214"/>
      <c r="G311" s="197"/>
      <c r="H311" s="197"/>
      <c r="I311" s="197"/>
      <c r="J311" s="197"/>
      <c r="K311" s="197"/>
      <c r="L311" s="197"/>
      <c r="M311" s="197"/>
      <c r="N311" s="197"/>
      <c r="O311" s="197"/>
      <c r="P311" s="197"/>
      <c r="Q311" s="197"/>
      <c r="R311" s="197"/>
      <c r="S311" s="197"/>
      <c r="T311" s="197"/>
      <c r="U311" s="197"/>
      <c r="V311" s="197"/>
      <c r="W311" s="197"/>
      <c r="X311" s="197"/>
      <c r="Y311" s="197"/>
      <c r="Z311" s="197"/>
      <c r="AA311" s="197"/>
      <c r="AB311" s="197"/>
      <c r="AC311" s="197"/>
      <c r="AD311" s="197"/>
      <c r="AE311" s="197"/>
      <c r="AF311" s="197"/>
      <c r="AG311" s="197"/>
      <c r="AH311" s="197"/>
      <c r="AI311" s="197"/>
      <c r="AJ311" s="197"/>
      <c r="AK311" s="197"/>
      <c r="AL311" s="197"/>
      <c r="AM311" s="197"/>
      <c r="AN311" s="197"/>
      <c r="AO311" s="197"/>
      <c r="AP311" s="197"/>
      <c r="AQ311" s="197"/>
      <c r="AR311" s="197"/>
      <c r="AS311" s="197"/>
      <c r="AT311" s="197"/>
      <c r="AU311" s="197"/>
      <c r="AV311" s="197"/>
      <c r="AW311" s="197"/>
      <c r="AX311" s="197"/>
      <c r="AY311" s="197"/>
      <c r="AZ311" s="197"/>
      <c r="BA311" s="197"/>
      <c r="BB311" s="197"/>
      <c r="BC311" s="197"/>
      <c r="BD311" s="197"/>
      <c r="BE311" s="197"/>
      <c r="BF311" s="197"/>
      <c r="BG311" s="197"/>
      <c r="BH311" s="197"/>
      <c r="BI311" s="197"/>
      <c r="BJ311" s="197"/>
      <c r="BK311" s="197"/>
      <c r="BL311" s="197"/>
      <c r="BM311" s="197"/>
      <c r="BN311" s="197"/>
      <c r="BO311" s="197"/>
      <c r="BP311" s="197"/>
    </row>
    <row r="312" spans="1:68" ht="20" customHeight="1" x14ac:dyDescent="0.15">
      <c r="A312" s="197"/>
      <c r="B312" s="197"/>
      <c r="C312" s="193"/>
      <c r="D312" s="197"/>
      <c r="E312" s="197"/>
      <c r="F312" s="214"/>
      <c r="G312" s="197"/>
      <c r="H312" s="197"/>
      <c r="I312" s="197"/>
      <c r="J312" s="197"/>
      <c r="K312" s="197"/>
      <c r="L312" s="197"/>
      <c r="M312" s="197"/>
      <c r="N312" s="197"/>
      <c r="O312" s="197"/>
      <c r="P312" s="197"/>
      <c r="Q312" s="197"/>
      <c r="R312" s="197"/>
      <c r="S312" s="197"/>
      <c r="T312" s="197"/>
      <c r="U312" s="197"/>
      <c r="V312" s="197"/>
      <c r="W312" s="197"/>
      <c r="X312" s="197"/>
      <c r="Y312" s="197"/>
      <c r="Z312" s="197"/>
      <c r="AA312" s="197"/>
      <c r="AB312" s="197"/>
      <c r="AC312" s="197"/>
      <c r="AD312" s="197"/>
      <c r="AE312" s="197"/>
      <c r="AF312" s="197"/>
      <c r="AG312" s="197"/>
      <c r="AH312" s="197"/>
      <c r="AI312" s="197"/>
      <c r="AJ312" s="197"/>
      <c r="AK312" s="197"/>
      <c r="AL312" s="197"/>
      <c r="AM312" s="197"/>
      <c r="AN312" s="197"/>
      <c r="AO312" s="197"/>
      <c r="AP312" s="197"/>
      <c r="AQ312" s="197"/>
      <c r="AR312" s="197"/>
      <c r="AS312" s="197"/>
      <c r="AT312" s="197"/>
      <c r="AU312" s="197"/>
      <c r="AV312" s="197"/>
      <c r="AW312" s="197"/>
      <c r="AX312" s="197"/>
      <c r="AY312" s="197"/>
      <c r="AZ312" s="197"/>
      <c r="BA312" s="197"/>
      <c r="BB312" s="197"/>
      <c r="BC312" s="197"/>
      <c r="BD312" s="197"/>
      <c r="BE312" s="197"/>
      <c r="BF312" s="197"/>
      <c r="BG312" s="197"/>
      <c r="BH312" s="197"/>
      <c r="BI312" s="197"/>
      <c r="BJ312" s="197"/>
      <c r="BK312" s="197"/>
      <c r="BL312" s="197"/>
      <c r="BM312" s="197"/>
      <c r="BN312" s="197"/>
      <c r="BO312" s="197"/>
      <c r="BP312" s="197"/>
    </row>
    <row r="313" spans="1:68" ht="20" customHeight="1" x14ac:dyDescent="0.15">
      <c r="A313" s="197"/>
      <c r="B313" s="197"/>
      <c r="C313" s="193"/>
      <c r="D313" s="197"/>
      <c r="E313" s="197"/>
      <c r="F313" s="214"/>
      <c r="G313" s="197"/>
      <c r="H313" s="197"/>
      <c r="I313" s="197"/>
      <c r="J313" s="197"/>
      <c r="K313" s="197"/>
      <c r="L313" s="197"/>
      <c r="M313" s="197"/>
      <c r="N313" s="197"/>
      <c r="O313" s="197"/>
      <c r="P313" s="197"/>
      <c r="Q313" s="197"/>
      <c r="R313" s="197"/>
      <c r="S313" s="197"/>
      <c r="T313" s="197"/>
      <c r="U313" s="197"/>
      <c r="V313" s="197"/>
      <c r="W313" s="197"/>
      <c r="X313" s="197"/>
      <c r="Y313" s="197"/>
      <c r="Z313" s="197"/>
      <c r="AA313" s="197"/>
      <c r="AB313" s="197"/>
      <c r="AC313" s="197"/>
      <c r="AD313" s="197"/>
      <c r="AE313" s="197"/>
      <c r="AF313" s="197"/>
      <c r="AG313" s="197"/>
      <c r="AH313" s="197"/>
      <c r="AI313" s="197"/>
      <c r="AJ313" s="197"/>
      <c r="AK313" s="197"/>
      <c r="AL313" s="197"/>
      <c r="AM313" s="197"/>
      <c r="AN313" s="197"/>
      <c r="AO313" s="197"/>
      <c r="AP313" s="197"/>
      <c r="AQ313" s="197"/>
      <c r="AR313" s="197"/>
      <c r="AS313" s="197"/>
      <c r="AT313" s="197"/>
      <c r="AU313" s="197"/>
      <c r="AV313" s="197"/>
      <c r="AW313" s="197"/>
      <c r="AX313" s="197"/>
      <c r="AY313" s="197"/>
      <c r="AZ313" s="197"/>
      <c r="BA313" s="197"/>
      <c r="BB313" s="197"/>
      <c r="BC313" s="197"/>
      <c r="BD313" s="197"/>
      <c r="BE313" s="197"/>
      <c r="BF313" s="197"/>
      <c r="BG313" s="197"/>
      <c r="BH313" s="197"/>
      <c r="BI313" s="197"/>
      <c r="BJ313" s="197"/>
      <c r="BK313" s="197"/>
      <c r="BL313" s="197"/>
      <c r="BM313" s="197"/>
      <c r="BN313" s="197"/>
      <c r="BO313" s="197"/>
      <c r="BP313" s="197"/>
    </row>
    <row r="314" spans="1:68" ht="20" customHeight="1" x14ac:dyDescent="0.15">
      <c r="A314" s="197"/>
      <c r="B314" s="197"/>
      <c r="C314" s="193"/>
      <c r="D314" s="197"/>
      <c r="E314" s="197"/>
      <c r="F314" s="214"/>
      <c r="G314" s="197"/>
      <c r="H314" s="197"/>
      <c r="I314" s="197"/>
      <c r="J314" s="197"/>
      <c r="K314" s="197"/>
      <c r="L314" s="197"/>
      <c r="M314" s="197"/>
      <c r="N314" s="197"/>
      <c r="O314" s="197"/>
      <c r="P314" s="197"/>
      <c r="Q314" s="197"/>
      <c r="R314" s="197"/>
      <c r="S314" s="197"/>
      <c r="T314" s="197"/>
      <c r="U314" s="197"/>
      <c r="V314" s="197"/>
      <c r="W314" s="197"/>
      <c r="X314" s="197"/>
      <c r="Y314" s="197"/>
      <c r="Z314" s="197"/>
      <c r="AA314" s="197"/>
      <c r="AB314" s="197"/>
      <c r="AC314" s="197"/>
      <c r="AD314" s="197"/>
      <c r="AE314" s="197"/>
      <c r="AF314" s="197"/>
      <c r="AG314" s="197"/>
      <c r="AH314" s="197"/>
      <c r="AI314" s="197"/>
      <c r="AJ314" s="197"/>
      <c r="AK314" s="197"/>
      <c r="AL314" s="197"/>
      <c r="AM314" s="197"/>
      <c r="AN314" s="197"/>
      <c r="AO314" s="197"/>
      <c r="AP314" s="197"/>
      <c r="AQ314" s="197"/>
      <c r="AR314" s="197"/>
      <c r="AS314" s="197"/>
      <c r="AT314" s="197"/>
      <c r="AU314" s="197"/>
      <c r="AV314" s="197"/>
      <c r="AW314" s="197"/>
      <c r="AX314" s="197"/>
      <c r="AY314" s="197"/>
      <c r="AZ314" s="197"/>
      <c r="BA314" s="197"/>
      <c r="BB314" s="197"/>
      <c r="BC314" s="197"/>
      <c r="BD314" s="197"/>
      <c r="BE314" s="197"/>
      <c r="BF314" s="197"/>
      <c r="BG314" s="197"/>
      <c r="BH314" s="197"/>
      <c r="BI314" s="197"/>
      <c r="BJ314" s="197"/>
      <c r="BK314" s="197"/>
      <c r="BL314" s="197"/>
      <c r="BM314" s="197"/>
      <c r="BN314" s="197"/>
      <c r="BO314" s="197"/>
      <c r="BP314" s="197"/>
    </row>
    <row r="315" spans="1:68" ht="20" customHeight="1" x14ac:dyDescent="0.15">
      <c r="A315" s="197"/>
      <c r="B315" s="197"/>
      <c r="C315" s="193"/>
      <c r="D315" s="197"/>
      <c r="E315" s="197"/>
      <c r="F315" s="214"/>
      <c r="G315" s="197"/>
      <c r="H315" s="197"/>
      <c r="I315" s="197"/>
      <c r="J315" s="197"/>
      <c r="K315" s="197"/>
      <c r="L315" s="197"/>
      <c r="M315" s="197"/>
      <c r="N315" s="197"/>
      <c r="O315" s="197"/>
      <c r="P315" s="197"/>
      <c r="Q315" s="197"/>
      <c r="R315" s="197"/>
      <c r="S315" s="197"/>
      <c r="T315" s="197"/>
      <c r="U315" s="197"/>
      <c r="V315" s="197"/>
      <c r="W315" s="197"/>
      <c r="X315" s="197"/>
      <c r="Y315" s="197"/>
      <c r="Z315" s="197"/>
      <c r="AA315" s="197"/>
      <c r="AB315" s="197"/>
      <c r="AC315" s="197"/>
      <c r="AD315" s="197"/>
      <c r="AE315" s="197"/>
      <c r="AF315" s="197"/>
      <c r="AG315" s="197"/>
      <c r="AH315" s="197"/>
      <c r="AI315" s="197"/>
      <c r="AJ315" s="197"/>
      <c r="AK315" s="197"/>
      <c r="AL315" s="197"/>
      <c r="AM315" s="197"/>
      <c r="AN315" s="197"/>
      <c r="AO315" s="197"/>
      <c r="AP315" s="197"/>
      <c r="AQ315" s="197"/>
      <c r="AR315" s="197"/>
      <c r="AS315" s="197"/>
      <c r="AT315" s="197"/>
      <c r="AU315" s="197"/>
      <c r="AV315" s="197"/>
      <c r="AW315" s="197"/>
      <c r="AX315" s="197"/>
      <c r="AY315" s="197"/>
      <c r="AZ315" s="197"/>
      <c r="BA315" s="197"/>
      <c r="BB315" s="197"/>
      <c r="BC315" s="197"/>
      <c r="BD315" s="197"/>
      <c r="BE315" s="197"/>
      <c r="BF315" s="197"/>
      <c r="BG315" s="197"/>
      <c r="BH315" s="197"/>
      <c r="BI315" s="197"/>
      <c r="BJ315" s="197"/>
      <c r="BK315" s="197"/>
      <c r="BL315" s="197"/>
      <c r="BM315" s="197"/>
      <c r="BN315" s="197"/>
      <c r="BO315" s="197"/>
      <c r="BP315" s="197"/>
    </row>
    <row r="316" spans="1:68" ht="20" customHeight="1" x14ac:dyDescent="0.15">
      <c r="A316" s="197"/>
      <c r="B316" s="197"/>
      <c r="C316" s="193"/>
      <c r="D316" s="197"/>
      <c r="E316" s="197"/>
      <c r="F316" s="214"/>
      <c r="G316" s="197"/>
      <c r="H316" s="197"/>
      <c r="I316" s="197"/>
      <c r="J316" s="197"/>
      <c r="K316" s="197"/>
      <c r="L316" s="197"/>
      <c r="M316" s="197"/>
      <c r="N316" s="197"/>
      <c r="O316" s="197"/>
      <c r="P316" s="197"/>
      <c r="Q316" s="197"/>
      <c r="R316" s="197"/>
      <c r="S316" s="197"/>
      <c r="T316" s="197"/>
      <c r="U316" s="197"/>
      <c r="V316" s="197"/>
      <c r="W316" s="197"/>
      <c r="X316" s="197"/>
      <c r="Y316" s="197"/>
      <c r="Z316" s="197"/>
      <c r="AA316" s="197"/>
      <c r="AB316" s="197"/>
      <c r="AC316" s="197"/>
      <c r="AD316" s="197"/>
      <c r="AE316" s="197"/>
      <c r="AF316" s="197"/>
      <c r="AG316" s="197"/>
      <c r="AH316" s="197"/>
      <c r="AI316" s="197"/>
      <c r="AJ316" s="197"/>
      <c r="AK316" s="197"/>
      <c r="AL316" s="197"/>
      <c r="AM316" s="197"/>
      <c r="AN316" s="197"/>
      <c r="AO316" s="197"/>
      <c r="AP316" s="197"/>
      <c r="AQ316" s="197"/>
      <c r="AR316" s="197"/>
      <c r="AS316" s="197"/>
      <c r="AT316" s="197"/>
      <c r="AU316" s="197"/>
      <c r="AV316" s="197"/>
      <c r="AW316" s="197"/>
      <c r="AX316" s="197"/>
      <c r="AY316" s="197"/>
      <c r="AZ316" s="197"/>
      <c r="BA316" s="197"/>
      <c r="BB316" s="197"/>
      <c r="BC316" s="197"/>
      <c r="BD316" s="197"/>
      <c r="BE316" s="197"/>
      <c r="BF316" s="197"/>
      <c r="BG316" s="197"/>
      <c r="BH316" s="197"/>
      <c r="BI316" s="197"/>
      <c r="BJ316" s="197"/>
      <c r="BK316" s="197"/>
      <c r="BL316" s="197"/>
      <c r="BM316" s="197"/>
      <c r="BN316" s="197"/>
      <c r="BO316" s="197"/>
      <c r="BP316" s="197"/>
    </row>
    <row r="317" spans="1:68" ht="20" customHeight="1" x14ac:dyDescent="0.15">
      <c r="A317" s="197"/>
      <c r="B317" s="197"/>
      <c r="C317" s="193"/>
      <c r="D317" s="197"/>
      <c r="E317" s="197"/>
      <c r="F317" s="214"/>
      <c r="G317" s="197"/>
      <c r="H317" s="197"/>
      <c r="I317" s="197"/>
      <c r="J317" s="197"/>
      <c r="K317" s="197"/>
      <c r="L317" s="197"/>
      <c r="M317" s="197"/>
      <c r="N317" s="197"/>
      <c r="O317" s="197"/>
      <c r="P317" s="197"/>
      <c r="Q317" s="197"/>
      <c r="R317" s="197"/>
      <c r="S317" s="197"/>
      <c r="T317" s="197"/>
      <c r="U317" s="197"/>
      <c r="V317" s="197"/>
      <c r="W317" s="197"/>
      <c r="X317" s="197"/>
      <c r="Y317" s="197"/>
      <c r="Z317" s="197"/>
      <c r="AA317" s="197"/>
      <c r="AB317" s="197"/>
      <c r="AC317" s="197"/>
      <c r="AD317" s="197"/>
      <c r="AE317" s="197"/>
      <c r="AF317" s="197"/>
      <c r="AG317" s="197"/>
      <c r="AH317" s="197"/>
      <c r="AI317" s="197"/>
      <c r="AJ317" s="197"/>
      <c r="AK317" s="197"/>
      <c r="AL317" s="197"/>
      <c r="AM317" s="197"/>
      <c r="AN317" s="197"/>
      <c r="AO317" s="197"/>
      <c r="AP317" s="197"/>
      <c r="AQ317" s="197"/>
      <c r="AR317" s="197"/>
      <c r="AS317" s="197"/>
      <c r="AT317" s="197"/>
      <c r="AU317" s="197"/>
      <c r="AV317" s="197"/>
      <c r="AW317" s="197"/>
      <c r="AX317" s="197"/>
      <c r="AY317" s="197"/>
      <c r="AZ317" s="197"/>
      <c r="BA317" s="197"/>
      <c r="BB317" s="197"/>
      <c r="BC317" s="197"/>
      <c r="BD317" s="197"/>
      <c r="BE317" s="197"/>
      <c r="BF317" s="197"/>
      <c r="BG317" s="197"/>
      <c r="BH317" s="197"/>
      <c r="BI317" s="197"/>
      <c r="BJ317" s="197"/>
      <c r="BK317" s="197"/>
      <c r="BL317" s="197"/>
      <c r="BM317" s="197"/>
      <c r="BN317" s="197"/>
      <c r="BO317" s="197"/>
      <c r="BP317" s="197"/>
    </row>
    <row r="318" spans="1:68" ht="20" customHeight="1" x14ac:dyDescent="0.15">
      <c r="A318" s="197"/>
      <c r="B318" s="197"/>
      <c r="C318" s="193"/>
      <c r="D318" s="197"/>
      <c r="E318" s="197"/>
      <c r="F318" s="214"/>
      <c r="G318" s="197"/>
      <c r="H318" s="197"/>
      <c r="I318" s="197"/>
      <c r="J318" s="197"/>
      <c r="K318" s="197"/>
      <c r="L318" s="197"/>
      <c r="M318" s="197"/>
      <c r="N318" s="197"/>
      <c r="O318" s="197"/>
      <c r="P318" s="197"/>
      <c r="Q318" s="197"/>
      <c r="R318" s="197"/>
      <c r="S318" s="197"/>
      <c r="T318" s="197"/>
      <c r="U318" s="197"/>
      <c r="V318" s="197"/>
      <c r="W318" s="197"/>
      <c r="X318" s="197"/>
      <c r="Y318" s="197"/>
      <c r="Z318" s="197"/>
      <c r="AA318" s="197"/>
      <c r="AB318" s="197"/>
      <c r="AC318" s="197"/>
      <c r="AD318" s="197"/>
      <c r="AE318" s="197"/>
      <c r="AF318" s="197"/>
      <c r="AG318" s="197"/>
      <c r="AH318" s="197"/>
      <c r="AI318" s="197"/>
      <c r="AJ318" s="197"/>
      <c r="AK318" s="197"/>
      <c r="AL318" s="197"/>
      <c r="AM318" s="197"/>
      <c r="AN318" s="197"/>
      <c r="AO318" s="197"/>
      <c r="AP318" s="197"/>
      <c r="AQ318" s="197"/>
      <c r="AR318" s="197"/>
      <c r="AS318" s="197"/>
      <c r="AT318" s="197"/>
      <c r="AU318" s="197"/>
      <c r="AV318" s="197"/>
      <c r="AW318" s="197"/>
      <c r="AX318" s="197"/>
      <c r="AY318" s="197"/>
      <c r="AZ318" s="197"/>
      <c r="BA318" s="197"/>
      <c r="BB318" s="197"/>
      <c r="BC318" s="197"/>
      <c r="BD318" s="197"/>
      <c r="BE318" s="197"/>
      <c r="BF318" s="197"/>
      <c r="BG318" s="197"/>
      <c r="BH318" s="197"/>
      <c r="BI318" s="197"/>
      <c r="BJ318" s="197"/>
      <c r="BK318" s="197"/>
      <c r="BL318" s="197"/>
      <c r="BM318" s="197"/>
      <c r="BN318" s="197"/>
      <c r="BO318" s="197"/>
      <c r="BP318" s="197"/>
    </row>
    <row r="319" spans="1:68" ht="20" customHeight="1" x14ac:dyDescent="0.15">
      <c r="A319" s="197"/>
      <c r="B319" s="197"/>
      <c r="C319" s="193"/>
      <c r="D319" s="197"/>
      <c r="E319" s="197"/>
      <c r="F319" s="214"/>
      <c r="G319" s="197"/>
      <c r="H319" s="197"/>
      <c r="I319" s="197"/>
      <c r="J319" s="197"/>
      <c r="K319" s="197"/>
      <c r="L319" s="197"/>
      <c r="M319" s="197"/>
      <c r="N319" s="197"/>
      <c r="O319" s="197"/>
      <c r="P319" s="197"/>
      <c r="Q319" s="197"/>
      <c r="R319" s="197"/>
      <c r="S319" s="197"/>
      <c r="T319" s="197"/>
      <c r="U319" s="197"/>
      <c r="V319" s="197"/>
      <c r="W319" s="197"/>
      <c r="X319" s="197"/>
      <c r="Y319" s="197"/>
      <c r="Z319" s="197"/>
      <c r="AA319" s="197"/>
      <c r="AB319" s="197"/>
      <c r="AC319" s="197"/>
      <c r="AD319" s="197"/>
      <c r="AE319" s="197"/>
      <c r="AF319" s="197"/>
      <c r="AG319" s="197"/>
      <c r="AH319" s="197"/>
      <c r="AI319" s="197"/>
      <c r="AJ319" s="197"/>
      <c r="AK319" s="197"/>
      <c r="AL319" s="197"/>
      <c r="AM319" s="197"/>
      <c r="AN319" s="197"/>
      <c r="AO319" s="197"/>
      <c r="AP319" s="197"/>
      <c r="AQ319" s="197"/>
      <c r="AR319" s="197"/>
      <c r="AS319" s="197"/>
      <c r="AT319" s="197"/>
      <c r="AU319" s="197"/>
      <c r="AV319" s="197"/>
      <c r="AW319" s="197"/>
      <c r="AX319" s="197"/>
      <c r="AY319" s="197"/>
      <c r="AZ319" s="197"/>
      <c r="BA319" s="197"/>
      <c r="BB319" s="197"/>
      <c r="BC319" s="197"/>
      <c r="BD319" s="197"/>
      <c r="BE319" s="197"/>
      <c r="BF319" s="197"/>
      <c r="BG319" s="197"/>
      <c r="BH319" s="197"/>
      <c r="BI319" s="197"/>
      <c r="BJ319" s="197"/>
      <c r="BK319" s="197"/>
      <c r="BL319" s="197"/>
      <c r="BM319" s="197"/>
      <c r="BN319" s="197"/>
      <c r="BO319" s="197"/>
      <c r="BP319" s="197"/>
    </row>
    <row r="320" spans="1:68" ht="20" customHeight="1" x14ac:dyDescent="0.15">
      <c r="A320" s="197"/>
      <c r="B320" s="197"/>
      <c r="C320" s="193"/>
      <c r="D320" s="197"/>
      <c r="E320" s="197"/>
      <c r="F320" s="214"/>
      <c r="G320" s="197"/>
      <c r="H320" s="197"/>
      <c r="I320" s="197"/>
      <c r="J320" s="197"/>
      <c r="K320" s="197"/>
      <c r="L320" s="197"/>
      <c r="M320" s="197"/>
      <c r="N320" s="197"/>
      <c r="O320" s="197"/>
      <c r="P320" s="197"/>
      <c r="Q320" s="197"/>
      <c r="R320" s="197"/>
      <c r="S320" s="197"/>
      <c r="T320" s="197"/>
      <c r="U320" s="197"/>
      <c r="V320" s="197"/>
      <c r="W320" s="197"/>
      <c r="X320" s="197"/>
      <c r="Y320" s="197"/>
      <c r="Z320" s="197"/>
      <c r="AA320" s="197"/>
      <c r="AB320" s="197"/>
      <c r="AC320" s="197"/>
      <c r="AD320" s="197"/>
      <c r="AE320" s="197"/>
      <c r="AF320" s="197"/>
      <c r="AG320" s="197"/>
      <c r="AH320" s="197"/>
      <c r="AI320" s="197"/>
      <c r="AJ320" s="197"/>
      <c r="AK320" s="197"/>
      <c r="AL320" s="197"/>
      <c r="AM320" s="197"/>
      <c r="AN320" s="197"/>
      <c r="AO320" s="197"/>
      <c r="AP320" s="197"/>
      <c r="AQ320" s="197"/>
      <c r="AR320" s="197"/>
      <c r="AS320" s="197"/>
      <c r="AT320" s="197"/>
      <c r="AU320" s="197"/>
      <c r="AV320" s="197"/>
      <c r="AW320" s="197"/>
      <c r="AX320" s="197"/>
      <c r="AY320" s="197"/>
      <c r="AZ320" s="197"/>
      <c r="BA320" s="197"/>
      <c r="BB320" s="197"/>
      <c r="BC320" s="197"/>
      <c r="BD320" s="197"/>
      <c r="BE320" s="197"/>
      <c r="BF320" s="197"/>
      <c r="BG320" s="197"/>
      <c r="BH320" s="197"/>
      <c r="BI320" s="197"/>
      <c r="BJ320" s="197"/>
      <c r="BK320" s="197"/>
      <c r="BL320" s="197"/>
      <c r="BM320" s="197"/>
      <c r="BN320" s="197"/>
      <c r="BO320" s="197"/>
      <c r="BP320" s="197"/>
    </row>
    <row r="321" spans="1:68" ht="20" customHeight="1" x14ac:dyDescent="0.15">
      <c r="A321" s="197"/>
      <c r="B321" s="197"/>
      <c r="C321" s="193"/>
      <c r="D321" s="197"/>
      <c r="E321" s="197"/>
      <c r="F321" s="214"/>
      <c r="G321" s="197"/>
      <c r="H321" s="197"/>
      <c r="I321" s="197"/>
      <c r="J321" s="197"/>
      <c r="K321" s="197"/>
      <c r="L321" s="197"/>
      <c r="M321" s="197"/>
      <c r="N321" s="197"/>
      <c r="O321" s="197"/>
      <c r="P321" s="197"/>
      <c r="Q321" s="197"/>
      <c r="R321" s="197"/>
      <c r="S321" s="197"/>
      <c r="T321" s="197"/>
      <c r="U321" s="197"/>
      <c r="V321" s="197"/>
      <c r="W321" s="197"/>
      <c r="X321" s="197"/>
      <c r="Y321" s="197"/>
      <c r="Z321" s="197"/>
      <c r="AA321" s="197"/>
      <c r="AB321" s="197"/>
      <c r="AC321" s="197"/>
      <c r="AD321" s="197"/>
      <c r="AE321" s="197"/>
      <c r="AF321" s="197"/>
      <c r="AG321" s="197"/>
      <c r="AH321" s="197"/>
      <c r="AI321" s="197"/>
      <c r="AJ321" s="197"/>
      <c r="AK321" s="197"/>
      <c r="AL321" s="197"/>
      <c r="AM321" s="197"/>
      <c r="AN321" s="197"/>
      <c r="AO321" s="197"/>
      <c r="AP321" s="197"/>
      <c r="AQ321" s="197"/>
      <c r="AR321" s="197"/>
      <c r="AS321" s="197"/>
      <c r="AT321" s="197"/>
      <c r="AU321" s="197"/>
      <c r="AV321" s="197"/>
      <c r="AW321" s="197"/>
      <c r="AX321" s="197"/>
      <c r="AY321" s="197"/>
      <c r="AZ321" s="197"/>
      <c r="BA321" s="197"/>
      <c r="BB321" s="197"/>
      <c r="BC321" s="197"/>
      <c r="BD321" s="197"/>
      <c r="BE321" s="197"/>
      <c r="BF321" s="197"/>
      <c r="BG321" s="197"/>
      <c r="BH321" s="197"/>
      <c r="BI321" s="197"/>
      <c r="BJ321" s="197"/>
      <c r="BK321" s="197"/>
      <c r="BL321" s="197"/>
      <c r="BM321" s="197"/>
      <c r="BN321" s="197"/>
      <c r="BO321" s="197"/>
      <c r="BP321" s="197"/>
    </row>
    <row r="322" spans="1:68" ht="20" customHeight="1" x14ac:dyDescent="0.15">
      <c r="A322" s="197"/>
      <c r="B322" s="197"/>
      <c r="C322" s="193"/>
      <c r="D322" s="197"/>
      <c r="E322" s="197"/>
      <c r="F322" s="214"/>
      <c r="G322" s="197"/>
      <c r="H322" s="197"/>
      <c r="I322" s="197"/>
      <c r="J322" s="197"/>
      <c r="K322" s="197"/>
      <c r="L322" s="197"/>
      <c r="M322" s="197"/>
      <c r="N322" s="197"/>
      <c r="O322" s="197"/>
      <c r="P322" s="197"/>
      <c r="Q322" s="197"/>
      <c r="R322" s="197"/>
      <c r="S322" s="197"/>
      <c r="T322" s="197"/>
      <c r="U322" s="197"/>
      <c r="V322" s="197"/>
      <c r="W322" s="197"/>
      <c r="X322" s="197"/>
      <c r="Y322" s="197"/>
      <c r="Z322" s="197"/>
      <c r="AA322" s="197"/>
      <c r="AB322" s="197"/>
      <c r="AC322" s="197"/>
      <c r="AD322" s="197"/>
      <c r="AE322" s="197"/>
      <c r="AF322" s="197"/>
      <c r="AG322" s="197"/>
      <c r="AH322" s="197"/>
      <c r="AI322" s="197"/>
      <c r="AJ322" s="197"/>
      <c r="AK322" s="197"/>
      <c r="AL322" s="197"/>
      <c r="AM322" s="197"/>
      <c r="AN322" s="197"/>
      <c r="AO322" s="197"/>
      <c r="AP322" s="197"/>
      <c r="AQ322" s="197"/>
      <c r="AR322" s="197"/>
      <c r="AS322" s="197"/>
      <c r="AT322" s="197"/>
      <c r="AU322" s="197"/>
      <c r="AV322" s="197"/>
      <c r="AW322" s="197"/>
      <c r="AX322" s="197"/>
      <c r="AY322" s="197"/>
      <c r="AZ322" s="197"/>
      <c r="BA322" s="197"/>
      <c r="BB322" s="197"/>
      <c r="BC322" s="197"/>
      <c r="BD322" s="197"/>
      <c r="BE322" s="197"/>
      <c r="BF322" s="197"/>
      <c r="BG322" s="197"/>
      <c r="BH322" s="197"/>
      <c r="BI322" s="197"/>
      <c r="BJ322" s="197"/>
      <c r="BK322" s="197"/>
      <c r="BL322" s="197"/>
      <c r="BM322" s="197"/>
      <c r="BN322" s="197"/>
      <c r="BO322" s="197"/>
      <c r="BP322" s="197"/>
    </row>
    <row r="323" spans="1:68" ht="20" customHeight="1" x14ac:dyDescent="0.15">
      <c r="A323" s="197"/>
      <c r="B323" s="197"/>
      <c r="C323" s="193"/>
      <c r="D323" s="197"/>
      <c r="E323" s="197"/>
      <c r="F323" s="214"/>
      <c r="G323" s="197"/>
      <c r="H323" s="197"/>
      <c r="I323" s="197"/>
      <c r="J323" s="197"/>
      <c r="K323" s="197"/>
      <c r="L323" s="197"/>
      <c r="M323" s="197"/>
      <c r="N323" s="197"/>
      <c r="O323" s="197"/>
      <c r="P323" s="197"/>
      <c r="Q323" s="197"/>
      <c r="R323" s="197"/>
      <c r="S323" s="197"/>
      <c r="T323" s="197"/>
      <c r="U323" s="197"/>
      <c r="V323" s="197"/>
      <c r="W323" s="197"/>
      <c r="X323" s="197"/>
      <c r="Y323" s="197"/>
      <c r="Z323" s="197"/>
      <c r="AA323" s="197"/>
      <c r="AB323" s="197"/>
      <c r="AC323" s="197"/>
      <c r="AD323" s="197"/>
      <c r="AE323" s="197"/>
      <c r="AF323" s="197"/>
      <c r="AG323" s="197"/>
      <c r="AH323" s="197"/>
      <c r="AI323" s="197"/>
      <c r="AJ323" s="197"/>
      <c r="AK323" s="197"/>
      <c r="AL323" s="197"/>
      <c r="AM323" s="197"/>
      <c r="AN323" s="197"/>
      <c r="AO323" s="197"/>
      <c r="AP323" s="197"/>
      <c r="AQ323" s="197"/>
      <c r="AR323" s="197"/>
      <c r="AS323" s="197"/>
      <c r="AT323" s="197"/>
      <c r="AU323" s="197"/>
      <c r="AV323" s="197"/>
      <c r="AW323" s="197"/>
      <c r="AX323" s="197"/>
      <c r="AY323" s="197"/>
      <c r="AZ323" s="197"/>
      <c r="BA323" s="197"/>
      <c r="BB323" s="197"/>
      <c r="BC323" s="197"/>
      <c r="BD323" s="197"/>
      <c r="BE323" s="197"/>
      <c r="BF323" s="197"/>
      <c r="BG323" s="197"/>
      <c r="BH323" s="197"/>
      <c r="BI323" s="197"/>
      <c r="BJ323" s="197"/>
      <c r="BK323" s="197"/>
      <c r="BL323" s="197"/>
      <c r="BM323" s="197"/>
      <c r="BN323" s="197"/>
      <c r="BO323" s="197"/>
      <c r="BP323" s="197"/>
    </row>
    <row r="324" spans="1:68" ht="20" customHeight="1" x14ac:dyDescent="0.15">
      <c r="A324" s="197"/>
      <c r="B324" s="197"/>
      <c r="C324" s="193"/>
      <c r="D324" s="197"/>
      <c r="E324" s="197"/>
      <c r="F324" s="214"/>
      <c r="G324" s="197"/>
      <c r="H324" s="197"/>
      <c r="I324" s="197"/>
      <c r="J324" s="197"/>
      <c r="K324" s="197"/>
      <c r="L324" s="197"/>
      <c r="M324" s="197"/>
      <c r="N324" s="197"/>
      <c r="O324" s="197"/>
      <c r="P324" s="197"/>
      <c r="Q324" s="197"/>
      <c r="R324" s="197"/>
      <c r="S324" s="197"/>
      <c r="T324" s="197"/>
      <c r="U324" s="197"/>
      <c r="V324" s="197"/>
      <c r="W324" s="197"/>
      <c r="X324" s="197"/>
      <c r="Y324" s="197"/>
      <c r="Z324" s="197"/>
      <c r="AA324" s="197"/>
      <c r="AB324" s="197"/>
      <c r="AC324" s="197"/>
      <c r="AD324" s="197"/>
      <c r="AE324" s="197"/>
      <c r="AF324" s="197"/>
      <c r="AG324" s="197"/>
      <c r="AH324" s="197"/>
      <c r="AI324" s="197"/>
      <c r="AJ324" s="197"/>
      <c r="AK324" s="197"/>
      <c r="AL324" s="197"/>
      <c r="AM324" s="197"/>
      <c r="AN324" s="197"/>
      <c r="AO324" s="197"/>
      <c r="AP324" s="197"/>
      <c r="AQ324" s="197"/>
      <c r="AR324" s="197"/>
      <c r="AS324" s="197"/>
      <c r="AT324" s="197"/>
      <c r="AU324" s="197"/>
      <c r="AV324" s="197"/>
      <c r="AW324" s="197"/>
      <c r="AX324" s="197"/>
      <c r="AY324" s="197"/>
      <c r="AZ324" s="197"/>
      <c r="BA324" s="197"/>
      <c r="BB324" s="197"/>
      <c r="BC324" s="197"/>
      <c r="BD324" s="197"/>
      <c r="BE324" s="197"/>
      <c r="BF324" s="197"/>
      <c r="BG324" s="197"/>
      <c r="BH324" s="197"/>
      <c r="BI324" s="197"/>
      <c r="BJ324" s="197"/>
      <c r="BK324" s="197"/>
      <c r="BL324" s="197"/>
      <c r="BM324" s="197"/>
      <c r="BN324" s="197"/>
      <c r="BO324" s="197"/>
      <c r="BP324" s="197"/>
    </row>
    <row r="325" spans="1:68" ht="20" customHeight="1" x14ac:dyDescent="0.15">
      <c r="A325" s="197"/>
      <c r="B325" s="197"/>
      <c r="C325" s="193"/>
      <c r="D325" s="197"/>
      <c r="E325" s="197"/>
      <c r="F325" s="214"/>
      <c r="G325" s="197"/>
      <c r="H325" s="197"/>
      <c r="I325" s="197"/>
      <c r="J325" s="197"/>
      <c r="K325" s="197"/>
      <c r="L325" s="197"/>
      <c r="M325" s="197"/>
      <c r="N325" s="197"/>
      <c r="O325" s="197"/>
      <c r="P325" s="197"/>
      <c r="Q325" s="197"/>
      <c r="R325" s="197"/>
      <c r="S325" s="197"/>
      <c r="T325" s="197"/>
      <c r="U325" s="197"/>
      <c r="V325" s="197"/>
      <c r="W325" s="197"/>
      <c r="X325" s="197"/>
      <c r="Y325" s="197"/>
      <c r="Z325" s="197"/>
      <c r="AA325" s="197"/>
      <c r="AB325" s="197"/>
      <c r="AC325" s="197"/>
      <c r="AD325" s="197"/>
      <c r="AE325" s="197"/>
      <c r="AF325" s="197"/>
      <c r="AG325" s="197"/>
      <c r="AH325" s="197"/>
      <c r="AI325" s="197"/>
      <c r="AJ325" s="197"/>
      <c r="AK325" s="197"/>
      <c r="AL325" s="197"/>
      <c r="AM325" s="197"/>
      <c r="AN325" s="197"/>
      <c r="AO325" s="197"/>
      <c r="AP325" s="197"/>
      <c r="AQ325" s="197"/>
      <c r="AR325" s="197"/>
      <c r="AS325" s="197"/>
      <c r="AT325" s="197"/>
      <c r="AU325" s="197"/>
      <c r="AV325" s="197"/>
      <c r="AW325" s="197"/>
      <c r="AX325" s="197"/>
      <c r="AY325" s="197"/>
      <c r="AZ325" s="197"/>
      <c r="BA325" s="197"/>
      <c r="BB325" s="197"/>
      <c r="BC325" s="197"/>
      <c r="BD325" s="197"/>
      <c r="BE325" s="197"/>
      <c r="BF325" s="197"/>
      <c r="BG325" s="197"/>
      <c r="BH325" s="197"/>
      <c r="BI325" s="197"/>
      <c r="BJ325" s="197"/>
      <c r="BK325" s="197"/>
      <c r="BL325" s="197"/>
      <c r="BM325" s="197"/>
      <c r="BN325" s="197"/>
      <c r="BO325" s="197"/>
      <c r="BP325" s="197"/>
    </row>
    <row r="326" spans="1:68" ht="20" customHeight="1" x14ac:dyDescent="0.15">
      <c r="A326" s="197"/>
      <c r="B326" s="197"/>
      <c r="C326" s="193"/>
      <c r="D326" s="197"/>
      <c r="E326" s="197"/>
      <c r="F326" s="214"/>
      <c r="G326" s="197"/>
      <c r="H326" s="197"/>
      <c r="I326" s="197"/>
      <c r="J326" s="197"/>
      <c r="K326" s="197"/>
      <c r="L326" s="197"/>
      <c r="M326" s="197"/>
      <c r="N326" s="197"/>
      <c r="O326" s="197"/>
      <c r="P326" s="197"/>
      <c r="Q326" s="197"/>
      <c r="R326" s="197"/>
      <c r="S326" s="197"/>
      <c r="T326" s="197"/>
      <c r="U326" s="197"/>
      <c r="V326" s="197"/>
      <c r="W326" s="197"/>
      <c r="X326" s="197"/>
      <c r="Y326" s="197"/>
      <c r="Z326" s="197"/>
      <c r="AA326" s="197"/>
      <c r="AB326" s="197"/>
      <c r="AC326" s="197"/>
      <c r="AD326" s="197"/>
      <c r="AE326" s="197"/>
      <c r="AF326" s="197"/>
      <c r="AG326" s="197"/>
      <c r="AH326" s="197"/>
      <c r="AI326" s="197"/>
      <c r="AJ326" s="197"/>
      <c r="AK326" s="197"/>
      <c r="AL326" s="197"/>
      <c r="AM326" s="197"/>
      <c r="AN326" s="197"/>
      <c r="AO326" s="197"/>
      <c r="AP326" s="197"/>
      <c r="AQ326" s="197"/>
      <c r="AR326" s="197"/>
      <c r="AS326" s="197"/>
      <c r="AT326" s="197"/>
      <c r="AU326" s="197"/>
      <c r="AV326" s="197"/>
      <c r="AW326" s="197"/>
      <c r="AX326" s="197"/>
      <c r="AY326" s="197"/>
      <c r="AZ326" s="197"/>
      <c r="BA326" s="197"/>
      <c r="BB326" s="197"/>
      <c r="BC326" s="197"/>
      <c r="BD326" s="197"/>
      <c r="BE326" s="197"/>
      <c r="BF326" s="197"/>
      <c r="BG326" s="197"/>
      <c r="BH326" s="197"/>
      <c r="BI326" s="197"/>
      <c r="BJ326" s="197"/>
      <c r="BK326" s="197"/>
      <c r="BL326" s="197"/>
      <c r="BM326" s="197"/>
      <c r="BN326" s="197"/>
      <c r="BO326" s="197"/>
      <c r="BP326" s="197"/>
    </row>
    <row r="327" spans="1:68" ht="20" customHeight="1" x14ac:dyDescent="0.15">
      <c r="A327" s="197"/>
      <c r="B327" s="197"/>
      <c r="C327" s="193"/>
      <c r="D327" s="197"/>
      <c r="E327" s="197"/>
      <c r="F327" s="214"/>
      <c r="G327" s="197"/>
      <c r="H327" s="197"/>
      <c r="I327" s="197"/>
      <c r="J327" s="197"/>
      <c r="K327" s="197"/>
      <c r="L327" s="197"/>
      <c r="M327" s="197"/>
      <c r="N327" s="197"/>
      <c r="O327" s="197"/>
      <c r="P327" s="197"/>
      <c r="Q327" s="197"/>
      <c r="R327" s="197"/>
      <c r="S327" s="197"/>
      <c r="T327" s="197"/>
      <c r="U327" s="197"/>
      <c r="V327" s="197"/>
      <c r="W327" s="197"/>
      <c r="X327" s="197"/>
      <c r="Y327" s="197"/>
      <c r="Z327" s="197"/>
      <c r="AA327" s="197"/>
      <c r="AB327" s="197"/>
      <c r="AC327" s="197"/>
      <c r="AD327" s="197"/>
      <c r="AE327" s="197"/>
      <c r="AF327" s="197"/>
      <c r="AG327" s="197"/>
      <c r="AH327" s="197"/>
      <c r="AI327" s="197"/>
      <c r="AJ327" s="197"/>
      <c r="AK327" s="197"/>
      <c r="AL327" s="197"/>
      <c r="AM327" s="197"/>
      <c r="AN327" s="197"/>
      <c r="AO327" s="197"/>
      <c r="AP327" s="197"/>
      <c r="AQ327" s="197"/>
      <c r="AR327" s="197"/>
      <c r="AS327" s="197"/>
      <c r="AT327" s="197"/>
      <c r="AU327" s="197"/>
      <c r="AV327" s="197"/>
      <c r="AW327" s="197"/>
      <c r="AX327" s="197"/>
      <c r="AY327" s="197"/>
      <c r="AZ327" s="197"/>
      <c r="BA327" s="197"/>
      <c r="BB327" s="197"/>
      <c r="BC327" s="197"/>
      <c r="BD327" s="197"/>
      <c r="BE327" s="197"/>
      <c r="BF327" s="197"/>
      <c r="BG327" s="197"/>
      <c r="BH327" s="197"/>
      <c r="BI327" s="197"/>
      <c r="BJ327" s="197"/>
      <c r="BK327" s="197"/>
      <c r="BL327" s="197"/>
      <c r="BM327" s="197"/>
      <c r="BN327" s="197"/>
      <c r="BO327" s="197"/>
      <c r="BP327" s="197"/>
    </row>
    <row r="328" spans="1:68" ht="20" customHeight="1" x14ac:dyDescent="0.15">
      <c r="A328" s="197"/>
      <c r="B328" s="197"/>
      <c r="C328" s="193"/>
      <c r="D328" s="197"/>
      <c r="E328" s="197"/>
      <c r="F328" s="214"/>
      <c r="G328" s="197"/>
      <c r="H328" s="197"/>
      <c r="I328" s="197"/>
      <c r="J328" s="197"/>
      <c r="K328" s="197"/>
      <c r="L328" s="197"/>
      <c r="M328" s="197"/>
      <c r="N328" s="197"/>
      <c r="O328" s="197"/>
      <c r="P328" s="197"/>
      <c r="Q328" s="197"/>
      <c r="R328" s="197"/>
      <c r="S328" s="197"/>
      <c r="T328" s="197"/>
      <c r="U328" s="197"/>
      <c r="V328" s="197"/>
      <c r="W328" s="197"/>
      <c r="X328" s="197"/>
      <c r="Y328" s="197"/>
      <c r="Z328" s="197"/>
      <c r="AA328" s="197"/>
      <c r="AB328" s="197"/>
      <c r="AC328" s="197"/>
      <c r="AD328" s="197"/>
      <c r="AE328" s="197"/>
      <c r="AF328" s="197"/>
      <c r="AG328" s="197"/>
      <c r="AH328" s="197"/>
      <c r="AI328" s="197"/>
      <c r="AJ328" s="197"/>
      <c r="AK328" s="197"/>
      <c r="AL328" s="197"/>
      <c r="AM328" s="197"/>
      <c r="AN328" s="197"/>
      <c r="AO328" s="197"/>
      <c r="AP328" s="197"/>
      <c r="AQ328" s="197"/>
      <c r="AR328" s="197"/>
      <c r="AS328" s="197"/>
      <c r="AT328" s="197"/>
      <c r="AU328" s="197"/>
      <c r="AV328" s="197"/>
      <c r="AW328" s="197"/>
      <c r="AX328" s="197"/>
      <c r="AY328" s="197"/>
      <c r="AZ328" s="197"/>
      <c r="BA328" s="197"/>
      <c r="BB328" s="197"/>
      <c r="BC328" s="197"/>
      <c r="BD328" s="197"/>
      <c r="BE328" s="197"/>
      <c r="BF328" s="197"/>
      <c r="BG328" s="197"/>
      <c r="BH328" s="197"/>
      <c r="BI328" s="197"/>
      <c r="BJ328" s="197"/>
      <c r="BK328" s="197"/>
      <c r="BL328" s="197"/>
      <c r="BM328" s="197"/>
      <c r="BN328" s="197"/>
      <c r="BO328" s="197"/>
      <c r="BP328" s="197"/>
    </row>
    <row r="329" spans="1:68" ht="20" customHeight="1" x14ac:dyDescent="0.15">
      <c r="A329" s="197"/>
      <c r="B329" s="197"/>
      <c r="C329" s="193"/>
      <c r="D329" s="197"/>
      <c r="E329" s="197"/>
      <c r="F329" s="214"/>
      <c r="G329" s="197"/>
      <c r="H329" s="197"/>
      <c r="I329" s="197"/>
      <c r="J329" s="197"/>
      <c r="K329" s="197"/>
      <c r="L329" s="197"/>
      <c r="M329" s="197"/>
      <c r="N329" s="197"/>
      <c r="O329" s="197"/>
      <c r="P329" s="197"/>
      <c r="Q329" s="197"/>
      <c r="R329" s="197"/>
      <c r="S329" s="197"/>
      <c r="T329" s="197"/>
      <c r="U329" s="197"/>
      <c r="V329" s="197"/>
      <c r="W329" s="197"/>
      <c r="X329" s="197"/>
      <c r="Y329" s="197"/>
      <c r="Z329" s="197"/>
      <c r="AA329" s="197"/>
      <c r="AB329" s="197"/>
      <c r="AC329" s="197"/>
      <c r="AD329" s="197"/>
      <c r="AE329" s="197"/>
      <c r="AF329" s="197"/>
      <c r="AG329" s="197"/>
      <c r="AH329" s="197"/>
      <c r="AI329" s="197"/>
      <c r="AJ329" s="197"/>
      <c r="AK329" s="197"/>
      <c r="AL329" s="197"/>
      <c r="AM329" s="197"/>
      <c r="AN329" s="197"/>
      <c r="AO329" s="197"/>
      <c r="AP329" s="197"/>
      <c r="AQ329" s="197"/>
      <c r="AR329" s="197"/>
      <c r="AS329" s="197"/>
      <c r="AT329" s="197"/>
      <c r="AU329" s="197"/>
      <c r="AV329" s="197"/>
      <c r="AW329" s="197"/>
      <c r="AX329" s="197"/>
      <c r="AY329" s="197"/>
      <c r="AZ329" s="197"/>
      <c r="BA329" s="197"/>
      <c r="BB329" s="197"/>
      <c r="BC329" s="197"/>
      <c r="BD329" s="197"/>
      <c r="BE329" s="197"/>
      <c r="BF329" s="197"/>
      <c r="BG329" s="197"/>
      <c r="BH329" s="197"/>
      <c r="BI329" s="197"/>
      <c r="BJ329" s="197"/>
      <c r="BK329" s="197"/>
      <c r="BL329" s="197"/>
      <c r="BM329" s="197"/>
      <c r="BN329" s="197"/>
      <c r="BO329" s="197"/>
      <c r="BP329" s="197"/>
    </row>
    <row r="330" spans="1:68" ht="20" customHeight="1" x14ac:dyDescent="0.15">
      <c r="A330" s="197"/>
      <c r="B330" s="197"/>
      <c r="C330" s="193"/>
      <c r="D330" s="197"/>
      <c r="E330" s="197"/>
      <c r="F330" s="214"/>
      <c r="G330" s="197"/>
      <c r="H330" s="197"/>
      <c r="I330" s="197"/>
      <c r="J330" s="197"/>
      <c r="K330" s="197"/>
      <c r="L330" s="197"/>
      <c r="M330" s="197"/>
      <c r="N330" s="197"/>
      <c r="O330" s="197"/>
      <c r="P330" s="197"/>
      <c r="Q330" s="197"/>
      <c r="R330" s="197"/>
      <c r="S330" s="197"/>
      <c r="T330" s="197"/>
      <c r="U330" s="197"/>
      <c r="V330" s="197"/>
      <c r="W330" s="197"/>
      <c r="X330" s="197"/>
      <c r="Y330" s="197"/>
      <c r="Z330" s="197"/>
      <c r="AA330" s="197"/>
      <c r="AB330" s="197"/>
      <c r="AC330" s="197"/>
      <c r="AD330" s="197"/>
      <c r="AE330" s="197"/>
      <c r="AF330" s="197"/>
      <c r="AG330" s="197"/>
      <c r="AH330" s="197"/>
      <c r="AI330" s="197"/>
      <c r="AJ330" s="197"/>
      <c r="AK330" s="197"/>
      <c r="AL330" s="197"/>
      <c r="AM330" s="197"/>
      <c r="AN330" s="197"/>
      <c r="AO330" s="197"/>
      <c r="AP330" s="197"/>
      <c r="AQ330" s="197"/>
      <c r="AR330" s="197"/>
      <c r="AS330" s="197"/>
      <c r="AT330" s="197"/>
      <c r="AU330" s="197"/>
      <c r="AV330" s="197"/>
      <c r="AW330" s="197"/>
      <c r="AX330" s="197"/>
      <c r="AY330" s="197"/>
      <c r="AZ330" s="197"/>
      <c r="BA330" s="197"/>
      <c r="BB330" s="197"/>
      <c r="BC330" s="197"/>
      <c r="BD330" s="197"/>
      <c r="BE330" s="197"/>
      <c r="BF330" s="197"/>
      <c r="BG330" s="197"/>
      <c r="BH330" s="197"/>
      <c r="BI330" s="197"/>
      <c r="BJ330" s="197"/>
      <c r="BK330" s="197"/>
      <c r="BL330" s="197"/>
      <c r="BM330" s="197"/>
      <c r="BN330" s="197"/>
      <c r="BO330" s="197"/>
      <c r="BP330" s="197"/>
    </row>
    <row r="331" spans="1:68" ht="20" customHeight="1" x14ac:dyDescent="0.15">
      <c r="A331" s="197"/>
      <c r="B331" s="197"/>
      <c r="C331" s="193"/>
      <c r="D331" s="197"/>
      <c r="E331" s="197"/>
      <c r="F331" s="214"/>
      <c r="G331" s="197"/>
      <c r="H331" s="197"/>
      <c r="I331" s="197"/>
      <c r="J331" s="197"/>
      <c r="K331" s="197"/>
      <c r="L331" s="197"/>
      <c r="M331" s="197"/>
      <c r="N331" s="197"/>
      <c r="O331" s="197"/>
      <c r="P331" s="197"/>
      <c r="Q331" s="197"/>
      <c r="R331" s="197"/>
      <c r="S331" s="197"/>
      <c r="T331" s="197"/>
      <c r="U331" s="197"/>
      <c r="V331" s="197"/>
      <c r="W331" s="197"/>
      <c r="X331" s="197"/>
      <c r="Y331" s="197"/>
      <c r="Z331" s="197"/>
      <c r="AA331" s="197"/>
      <c r="AB331" s="197"/>
      <c r="AC331" s="197"/>
      <c r="AD331" s="197"/>
      <c r="AE331" s="197"/>
      <c r="AF331" s="197"/>
      <c r="AG331" s="197"/>
      <c r="AH331" s="197"/>
      <c r="AI331" s="197"/>
      <c r="AJ331" s="197"/>
      <c r="AK331" s="197"/>
      <c r="AL331" s="197"/>
      <c r="AM331" s="197"/>
      <c r="AN331" s="197"/>
      <c r="AO331" s="197"/>
      <c r="AP331" s="197"/>
      <c r="AQ331" s="197"/>
      <c r="AR331" s="197"/>
      <c r="AS331" s="197"/>
      <c r="AT331" s="197"/>
      <c r="AU331" s="197"/>
      <c r="AV331" s="197"/>
      <c r="AW331" s="197"/>
      <c r="AX331" s="197"/>
      <c r="AY331" s="197"/>
      <c r="AZ331" s="197"/>
      <c r="BA331" s="197"/>
      <c r="BB331" s="197"/>
      <c r="BC331" s="197"/>
      <c r="BD331" s="197"/>
      <c r="BE331" s="197"/>
      <c r="BF331" s="197"/>
      <c r="BG331" s="197"/>
      <c r="BH331" s="197"/>
      <c r="BI331" s="197"/>
      <c r="BJ331" s="197"/>
      <c r="BK331" s="197"/>
      <c r="BL331" s="197"/>
      <c r="BM331" s="197"/>
      <c r="BN331" s="197"/>
      <c r="BO331" s="197"/>
      <c r="BP331" s="197"/>
    </row>
    <row r="332" spans="1:68" ht="20" customHeight="1" x14ac:dyDescent="0.15">
      <c r="A332" s="197"/>
      <c r="B332" s="197"/>
      <c r="C332" s="193"/>
      <c r="D332" s="197"/>
      <c r="E332" s="197"/>
      <c r="F332" s="214"/>
      <c r="G332" s="197"/>
      <c r="H332" s="197"/>
      <c r="I332" s="197"/>
      <c r="J332" s="197"/>
      <c r="K332" s="197"/>
      <c r="L332" s="197"/>
      <c r="M332" s="197"/>
      <c r="N332" s="197"/>
      <c r="O332" s="197"/>
      <c r="P332" s="197"/>
      <c r="Q332" s="197"/>
      <c r="R332" s="197"/>
      <c r="S332" s="197"/>
      <c r="T332" s="197"/>
      <c r="U332" s="197"/>
      <c r="V332" s="197"/>
      <c r="W332" s="197"/>
      <c r="X332" s="197"/>
      <c r="Y332" s="197"/>
      <c r="Z332" s="197"/>
      <c r="AA332" s="197"/>
      <c r="AB332" s="197"/>
      <c r="AC332" s="197"/>
      <c r="AD332" s="197"/>
      <c r="AE332" s="197"/>
      <c r="AF332" s="197"/>
      <c r="AG332" s="197"/>
      <c r="AH332" s="197"/>
      <c r="AI332" s="197"/>
      <c r="AJ332" s="197"/>
      <c r="AK332" s="197"/>
      <c r="AL332" s="197"/>
      <c r="AM332" s="197"/>
      <c r="AN332" s="197"/>
      <c r="AO332" s="197"/>
      <c r="AP332" s="197"/>
      <c r="AQ332" s="197"/>
      <c r="AR332" s="197"/>
      <c r="AS332" s="197"/>
      <c r="AT332" s="197"/>
      <c r="AU332" s="197"/>
      <c r="AV332" s="197"/>
      <c r="AW332" s="197"/>
      <c r="AX332" s="197"/>
      <c r="AY332" s="197"/>
      <c r="AZ332" s="197"/>
      <c r="BA332" s="197"/>
      <c r="BB332" s="197"/>
      <c r="BC332" s="197"/>
      <c r="BD332" s="197"/>
      <c r="BE332" s="197"/>
      <c r="BF332" s="197"/>
      <c r="BG332" s="197"/>
      <c r="BH332" s="197"/>
      <c r="BI332" s="197"/>
      <c r="BJ332" s="197"/>
      <c r="BK332" s="197"/>
      <c r="BL332" s="197"/>
      <c r="BM332" s="197"/>
      <c r="BN332" s="197"/>
      <c r="BO332" s="197"/>
      <c r="BP332" s="197"/>
    </row>
    <row r="333" spans="1:68" ht="20" customHeight="1" x14ac:dyDescent="0.15">
      <c r="A333" s="197"/>
      <c r="B333" s="197"/>
      <c r="C333" s="193"/>
      <c r="D333" s="197"/>
      <c r="E333" s="197"/>
      <c r="F333" s="214"/>
      <c r="G333" s="197"/>
      <c r="H333" s="197"/>
      <c r="I333" s="197"/>
      <c r="J333" s="197"/>
      <c r="K333" s="197"/>
      <c r="L333" s="197"/>
      <c r="M333" s="197"/>
      <c r="N333" s="197"/>
      <c r="O333" s="197"/>
      <c r="P333" s="197"/>
      <c r="Q333" s="197"/>
      <c r="R333" s="197"/>
      <c r="S333" s="197"/>
      <c r="T333" s="197"/>
      <c r="U333" s="197"/>
      <c r="V333" s="197"/>
      <c r="W333" s="197"/>
      <c r="X333" s="197"/>
      <c r="Y333" s="197"/>
      <c r="Z333" s="197"/>
      <c r="AA333" s="197"/>
      <c r="AB333" s="197"/>
      <c r="AC333" s="197"/>
      <c r="AD333" s="197"/>
      <c r="AE333" s="197"/>
      <c r="AF333" s="197"/>
      <c r="AG333" s="197"/>
      <c r="AH333" s="197"/>
      <c r="AI333" s="197"/>
      <c r="AJ333" s="197"/>
      <c r="AK333" s="197"/>
      <c r="AL333" s="197"/>
      <c r="AM333" s="197"/>
      <c r="AN333" s="197"/>
      <c r="AO333" s="197"/>
      <c r="AP333" s="197"/>
      <c r="AQ333" s="197"/>
      <c r="AR333" s="197"/>
      <c r="AS333" s="197"/>
      <c r="AT333" s="197"/>
      <c r="AU333" s="197"/>
      <c r="AV333" s="197"/>
      <c r="AW333" s="197"/>
      <c r="AX333" s="197"/>
      <c r="AY333" s="197"/>
      <c r="AZ333" s="197"/>
      <c r="BA333" s="197"/>
      <c r="BB333" s="197"/>
      <c r="BC333" s="197"/>
      <c r="BD333" s="197"/>
      <c r="BE333" s="197"/>
      <c r="BF333" s="197"/>
      <c r="BG333" s="197"/>
      <c r="BH333" s="197"/>
      <c r="BI333" s="197"/>
      <c r="BJ333" s="197"/>
      <c r="BK333" s="197"/>
      <c r="BL333" s="197"/>
      <c r="BM333" s="197"/>
      <c r="BN333" s="197"/>
      <c r="BO333" s="197"/>
      <c r="BP333" s="197"/>
    </row>
    <row r="334" spans="1:68" ht="20" customHeight="1" x14ac:dyDescent="0.15">
      <c r="A334" s="197"/>
      <c r="B334" s="197"/>
      <c r="C334" s="193"/>
      <c r="D334" s="197"/>
      <c r="E334" s="197"/>
      <c r="F334" s="214"/>
      <c r="G334" s="197"/>
      <c r="H334" s="197"/>
      <c r="I334" s="197"/>
      <c r="J334" s="197"/>
      <c r="K334" s="197"/>
      <c r="L334" s="197"/>
      <c r="M334" s="197"/>
      <c r="N334" s="197"/>
      <c r="O334" s="197"/>
      <c r="P334" s="197"/>
      <c r="Q334" s="197"/>
      <c r="R334" s="197"/>
      <c r="S334" s="197"/>
      <c r="T334" s="197"/>
      <c r="U334" s="197"/>
      <c r="V334" s="197"/>
      <c r="W334" s="197"/>
      <c r="X334" s="197"/>
      <c r="Y334" s="197"/>
      <c r="Z334" s="197"/>
      <c r="AA334" s="197"/>
      <c r="AB334" s="197"/>
      <c r="AC334" s="197"/>
      <c r="AD334" s="197"/>
      <c r="AE334" s="197"/>
      <c r="AF334" s="197"/>
      <c r="AG334" s="197"/>
      <c r="AH334" s="197"/>
      <c r="AI334" s="197"/>
      <c r="AJ334" s="197"/>
      <c r="AK334" s="197"/>
      <c r="AL334" s="197"/>
      <c r="AM334" s="197"/>
      <c r="AN334" s="197"/>
      <c r="AO334" s="197"/>
      <c r="AP334" s="197"/>
      <c r="AQ334" s="197"/>
      <c r="AR334" s="197"/>
      <c r="AS334" s="197"/>
      <c r="AT334" s="197"/>
      <c r="AU334" s="197"/>
      <c r="AV334" s="197"/>
      <c r="AW334" s="197"/>
      <c r="AX334" s="197"/>
      <c r="AY334" s="197"/>
      <c r="AZ334" s="197"/>
      <c r="BA334" s="197"/>
      <c r="BB334" s="197"/>
      <c r="BC334" s="197"/>
      <c r="BD334" s="197"/>
      <c r="BE334" s="197"/>
      <c r="BF334" s="197"/>
      <c r="BG334" s="197"/>
      <c r="BH334" s="197"/>
      <c r="BI334" s="197"/>
      <c r="BJ334" s="197"/>
      <c r="BK334" s="197"/>
      <c r="BL334" s="197"/>
      <c r="BM334" s="197"/>
      <c r="BN334" s="197"/>
      <c r="BO334" s="197"/>
      <c r="BP334" s="197"/>
    </row>
    <row r="335" spans="1:68" ht="20" customHeight="1" x14ac:dyDescent="0.15">
      <c r="A335" s="197"/>
      <c r="B335" s="197"/>
      <c r="C335" s="193"/>
      <c r="D335" s="197"/>
      <c r="E335" s="197"/>
      <c r="F335" s="214"/>
      <c r="G335" s="197"/>
      <c r="H335" s="197"/>
      <c r="I335" s="197"/>
      <c r="J335" s="197"/>
      <c r="K335" s="197"/>
      <c r="L335" s="197"/>
      <c r="M335" s="197"/>
      <c r="N335" s="197"/>
      <c r="O335" s="197"/>
      <c r="P335" s="197"/>
      <c r="Q335" s="197"/>
      <c r="R335" s="197"/>
      <c r="S335" s="197"/>
      <c r="T335" s="197"/>
      <c r="U335" s="197"/>
      <c r="V335" s="197"/>
      <c r="W335" s="197"/>
      <c r="X335" s="197"/>
      <c r="Y335" s="197"/>
      <c r="Z335" s="197"/>
      <c r="AA335" s="197"/>
      <c r="AB335" s="197"/>
      <c r="AC335" s="197"/>
      <c r="AD335" s="197"/>
      <c r="AE335" s="197"/>
      <c r="AF335" s="197"/>
      <c r="AG335" s="197"/>
      <c r="AH335" s="197"/>
      <c r="AI335" s="197"/>
      <c r="AJ335" s="197"/>
      <c r="AK335" s="197"/>
      <c r="AL335" s="197"/>
      <c r="AM335" s="197"/>
      <c r="AN335" s="197"/>
      <c r="AO335" s="197"/>
      <c r="AP335" s="197"/>
      <c r="AQ335" s="197"/>
      <c r="AR335" s="197"/>
      <c r="AS335" s="197"/>
      <c r="AT335" s="197"/>
      <c r="AU335" s="197"/>
      <c r="AV335" s="197"/>
      <c r="AW335" s="197"/>
      <c r="AX335" s="197"/>
      <c r="AY335" s="197"/>
      <c r="AZ335" s="197"/>
      <c r="BA335" s="197"/>
      <c r="BB335" s="197"/>
      <c r="BC335" s="197"/>
      <c r="BD335" s="197"/>
      <c r="BE335" s="197"/>
      <c r="BF335" s="197"/>
      <c r="BG335" s="197"/>
      <c r="BH335" s="197"/>
      <c r="BI335" s="197"/>
      <c r="BJ335" s="197"/>
      <c r="BK335" s="197"/>
      <c r="BL335" s="197"/>
      <c r="BM335" s="197"/>
      <c r="BN335" s="197"/>
      <c r="BO335" s="197"/>
      <c r="BP335" s="197"/>
    </row>
    <row r="336" spans="1:68" ht="20" customHeight="1" x14ac:dyDescent="0.15">
      <c r="A336" s="197"/>
      <c r="B336" s="197"/>
      <c r="C336" s="193"/>
      <c r="D336" s="197"/>
      <c r="E336" s="197"/>
      <c r="F336" s="214"/>
      <c r="G336" s="197"/>
      <c r="H336" s="197"/>
      <c r="I336" s="197"/>
      <c r="J336" s="197"/>
      <c r="K336" s="197"/>
      <c r="L336" s="197"/>
      <c r="M336" s="197"/>
      <c r="N336" s="197"/>
      <c r="O336" s="197"/>
      <c r="P336" s="197"/>
      <c r="Q336" s="197"/>
      <c r="R336" s="197"/>
      <c r="S336" s="197"/>
      <c r="T336" s="197"/>
      <c r="U336" s="197"/>
      <c r="V336" s="197"/>
      <c r="W336" s="197"/>
      <c r="X336" s="197"/>
      <c r="Y336" s="197"/>
      <c r="Z336" s="197"/>
      <c r="AA336" s="197"/>
      <c r="AB336" s="197"/>
      <c r="AC336" s="197"/>
      <c r="AD336" s="197"/>
      <c r="AE336" s="197"/>
      <c r="AF336" s="197"/>
      <c r="AG336" s="197"/>
      <c r="AH336" s="197"/>
      <c r="AI336" s="197"/>
      <c r="AJ336" s="197"/>
      <c r="AK336" s="197"/>
      <c r="AL336" s="197"/>
      <c r="AM336" s="197"/>
      <c r="AN336" s="197"/>
      <c r="AO336" s="197"/>
      <c r="AP336" s="197"/>
      <c r="AQ336" s="197"/>
      <c r="AR336" s="197"/>
      <c r="AS336" s="197"/>
      <c r="AT336" s="197"/>
      <c r="AU336" s="197"/>
      <c r="AV336" s="197"/>
      <c r="AW336" s="197"/>
      <c r="AX336" s="197"/>
      <c r="AY336" s="197"/>
      <c r="AZ336" s="197"/>
      <c r="BA336" s="197"/>
      <c r="BB336" s="197"/>
      <c r="BC336" s="197"/>
      <c r="BD336" s="197"/>
      <c r="BE336" s="197"/>
      <c r="BF336" s="197"/>
      <c r="BG336" s="197"/>
      <c r="BH336" s="197"/>
      <c r="BI336" s="197"/>
      <c r="BJ336" s="197"/>
      <c r="BK336" s="197"/>
      <c r="BL336" s="197"/>
      <c r="BM336" s="197"/>
      <c r="BN336" s="197"/>
      <c r="BO336" s="197"/>
      <c r="BP336" s="197"/>
    </row>
    <row r="337" spans="1:68" ht="20" customHeight="1" x14ac:dyDescent="0.15">
      <c r="A337" s="197"/>
      <c r="B337" s="197"/>
      <c r="C337" s="193"/>
      <c r="D337" s="197"/>
      <c r="E337" s="197"/>
      <c r="F337" s="214"/>
      <c r="G337" s="197"/>
      <c r="H337" s="197"/>
      <c r="I337" s="197"/>
      <c r="J337" s="197"/>
      <c r="K337" s="197"/>
      <c r="L337" s="197"/>
      <c r="M337" s="197"/>
      <c r="N337" s="197"/>
      <c r="O337" s="197"/>
      <c r="P337" s="197"/>
      <c r="Q337" s="197"/>
      <c r="R337" s="197"/>
      <c r="S337" s="197"/>
      <c r="T337" s="197"/>
      <c r="U337" s="197"/>
      <c r="V337" s="197"/>
      <c r="W337" s="197"/>
      <c r="X337" s="197"/>
      <c r="Y337" s="197"/>
      <c r="Z337" s="197"/>
      <c r="AA337" s="197"/>
      <c r="AB337" s="197"/>
      <c r="AC337" s="197"/>
      <c r="AD337" s="197"/>
      <c r="AE337" s="197"/>
      <c r="AF337" s="197"/>
      <c r="AG337" s="197"/>
      <c r="AH337" s="197"/>
      <c r="AI337" s="197"/>
      <c r="AJ337" s="197"/>
      <c r="AK337" s="197"/>
      <c r="AL337" s="197"/>
      <c r="AM337" s="197"/>
      <c r="AN337" s="197"/>
      <c r="AO337" s="197"/>
      <c r="AP337" s="197"/>
      <c r="AQ337" s="197"/>
      <c r="AR337" s="197"/>
      <c r="AS337" s="197"/>
      <c r="AT337" s="197"/>
      <c r="AU337" s="197"/>
      <c r="AV337" s="197"/>
      <c r="AW337" s="197"/>
      <c r="AX337" s="197"/>
      <c r="AY337" s="197"/>
      <c r="AZ337" s="197"/>
      <c r="BA337" s="197"/>
      <c r="BB337" s="197"/>
      <c r="BC337" s="197"/>
      <c r="BD337" s="197"/>
      <c r="BE337" s="197"/>
      <c r="BF337" s="197"/>
      <c r="BG337" s="197"/>
      <c r="BH337" s="197"/>
      <c r="BI337" s="197"/>
      <c r="BJ337" s="197"/>
      <c r="BK337" s="197"/>
      <c r="BL337" s="197"/>
      <c r="BM337" s="197"/>
      <c r="BN337" s="197"/>
      <c r="BO337" s="197"/>
      <c r="BP337" s="197"/>
    </row>
    <row r="338" spans="1:68" ht="20" customHeight="1" x14ac:dyDescent="0.15">
      <c r="A338" s="197"/>
      <c r="B338" s="197"/>
      <c r="C338" s="193"/>
      <c r="D338" s="197"/>
      <c r="E338" s="197"/>
      <c r="F338" s="214"/>
      <c r="G338" s="197"/>
      <c r="H338" s="197"/>
      <c r="I338" s="197"/>
      <c r="J338" s="197"/>
      <c r="K338" s="197"/>
      <c r="L338" s="197"/>
      <c r="M338" s="197"/>
      <c r="N338" s="197"/>
      <c r="O338" s="197"/>
      <c r="P338" s="197"/>
      <c r="Q338" s="197"/>
      <c r="R338" s="197"/>
      <c r="S338" s="197"/>
      <c r="T338" s="197"/>
      <c r="U338" s="197"/>
      <c r="V338" s="197"/>
      <c r="W338" s="197"/>
      <c r="X338" s="197"/>
      <c r="Y338" s="197"/>
      <c r="Z338" s="197"/>
      <c r="AA338" s="197"/>
      <c r="AB338" s="197"/>
      <c r="AC338" s="197"/>
      <c r="AD338" s="197"/>
      <c r="AE338" s="197"/>
      <c r="AF338" s="197"/>
      <c r="AG338" s="197"/>
      <c r="AH338" s="197"/>
      <c r="AI338" s="197"/>
      <c r="AJ338" s="197"/>
      <c r="AK338" s="197"/>
      <c r="AL338" s="197"/>
      <c r="AM338" s="197"/>
      <c r="AN338" s="197"/>
      <c r="AO338" s="197"/>
      <c r="AP338" s="197"/>
      <c r="AQ338" s="197"/>
      <c r="AR338" s="197"/>
      <c r="AS338" s="197"/>
      <c r="AT338" s="197"/>
      <c r="AU338" s="197"/>
      <c r="AV338" s="197"/>
      <c r="AW338" s="197"/>
      <c r="AX338" s="197"/>
      <c r="AY338" s="197"/>
      <c r="AZ338" s="197"/>
      <c r="BA338" s="197"/>
      <c r="BB338" s="197"/>
      <c r="BC338" s="197"/>
      <c r="BD338" s="197"/>
      <c r="BE338" s="197"/>
      <c r="BF338" s="197"/>
      <c r="BG338" s="197"/>
      <c r="BH338" s="197"/>
      <c r="BI338" s="197"/>
      <c r="BJ338" s="197"/>
      <c r="BK338" s="197"/>
      <c r="BL338" s="197"/>
      <c r="BM338" s="197"/>
      <c r="BN338" s="197"/>
      <c r="BO338" s="197"/>
      <c r="BP338" s="197"/>
    </row>
    <row r="339" spans="1:68" ht="20" customHeight="1" x14ac:dyDescent="0.15">
      <c r="A339" s="197"/>
      <c r="B339" s="197"/>
      <c r="C339" s="193"/>
      <c r="D339" s="197"/>
      <c r="E339" s="197"/>
      <c r="F339" s="214"/>
      <c r="G339" s="197"/>
      <c r="H339" s="197"/>
      <c r="I339" s="197"/>
      <c r="J339" s="197"/>
      <c r="K339" s="197"/>
      <c r="L339" s="197"/>
      <c r="M339" s="197"/>
      <c r="N339" s="197"/>
      <c r="O339" s="197"/>
      <c r="P339" s="197"/>
      <c r="Q339" s="197"/>
      <c r="R339" s="197"/>
      <c r="S339" s="197"/>
      <c r="T339" s="197"/>
      <c r="U339" s="197"/>
      <c r="V339" s="197"/>
      <c r="W339" s="197"/>
      <c r="X339" s="197"/>
      <c r="Y339" s="197"/>
      <c r="Z339" s="197"/>
      <c r="AA339" s="197"/>
      <c r="AB339" s="197"/>
      <c r="AC339" s="197"/>
      <c r="AD339" s="197"/>
      <c r="AE339" s="197"/>
      <c r="AF339" s="197"/>
      <c r="AG339" s="197"/>
      <c r="AH339" s="197"/>
      <c r="AI339" s="197"/>
      <c r="AJ339" s="197"/>
      <c r="AK339" s="197"/>
      <c r="AL339" s="197"/>
      <c r="AM339" s="197"/>
      <c r="AN339" s="197"/>
      <c r="AO339" s="197"/>
      <c r="AP339" s="197"/>
      <c r="AQ339" s="197"/>
      <c r="AR339" s="197"/>
      <c r="AS339" s="197"/>
      <c r="AT339" s="197"/>
      <c r="AU339" s="197"/>
      <c r="AV339" s="197"/>
      <c r="AW339" s="197"/>
      <c r="AX339" s="197"/>
      <c r="AY339" s="197"/>
      <c r="AZ339" s="197"/>
      <c r="BA339" s="197"/>
      <c r="BB339" s="197"/>
      <c r="BC339" s="197"/>
      <c r="BD339" s="197"/>
      <c r="BE339" s="197"/>
      <c r="BF339" s="197"/>
      <c r="BG339" s="197"/>
      <c r="BH339" s="197"/>
      <c r="BI339" s="197"/>
      <c r="BJ339" s="197"/>
      <c r="BK339" s="197"/>
      <c r="BL339" s="197"/>
      <c r="BM339" s="197"/>
      <c r="BN339" s="197"/>
      <c r="BO339" s="197"/>
      <c r="BP339" s="197"/>
    </row>
    <row r="340" spans="1:68" ht="20" customHeight="1" x14ac:dyDescent="0.15">
      <c r="A340" s="197"/>
      <c r="B340" s="197"/>
      <c r="C340" s="193"/>
      <c r="D340" s="197"/>
      <c r="E340" s="197"/>
      <c r="F340" s="214"/>
      <c r="G340" s="197"/>
      <c r="H340" s="197"/>
      <c r="I340" s="197"/>
      <c r="J340" s="197"/>
      <c r="K340" s="197"/>
      <c r="L340" s="197"/>
      <c r="M340" s="197"/>
      <c r="N340" s="197"/>
      <c r="O340" s="197"/>
      <c r="P340" s="197"/>
      <c r="Q340" s="197"/>
      <c r="R340" s="197"/>
      <c r="S340" s="197"/>
      <c r="T340" s="197"/>
      <c r="U340" s="197"/>
      <c r="V340" s="197"/>
      <c r="W340" s="197"/>
      <c r="X340" s="197"/>
      <c r="Y340" s="197"/>
      <c r="Z340" s="197"/>
      <c r="AA340" s="197"/>
      <c r="AB340" s="197"/>
      <c r="AC340" s="197"/>
      <c r="AD340" s="197"/>
      <c r="AE340" s="197"/>
      <c r="AF340" s="197"/>
      <c r="AG340" s="197"/>
      <c r="AH340" s="197"/>
      <c r="AI340" s="197"/>
      <c r="AJ340" s="197"/>
      <c r="AK340" s="197"/>
      <c r="AL340" s="197"/>
      <c r="AM340" s="197"/>
      <c r="AN340" s="197"/>
      <c r="AO340" s="197"/>
      <c r="AP340" s="197"/>
      <c r="AQ340" s="197"/>
      <c r="AR340" s="197"/>
      <c r="AS340" s="197"/>
      <c r="AT340" s="197"/>
      <c r="AU340" s="197"/>
      <c r="AV340" s="197"/>
      <c r="AW340" s="197"/>
      <c r="AX340" s="197"/>
      <c r="AY340" s="197"/>
      <c r="AZ340" s="197"/>
      <c r="BA340" s="197"/>
      <c r="BB340" s="197"/>
      <c r="BC340" s="197"/>
      <c r="BD340" s="197"/>
      <c r="BE340" s="197"/>
      <c r="BF340" s="197"/>
      <c r="BG340" s="197"/>
      <c r="BH340" s="197"/>
      <c r="BI340" s="197"/>
      <c r="BJ340" s="197"/>
      <c r="BK340" s="197"/>
      <c r="BL340" s="197"/>
      <c r="BM340" s="197"/>
      <c r="BN340" s="197"/>
      <c r="BO340" s="197"/>
      <c r="BP340" s="197"/>
    </row>
    <row r="341" spans="1:68" ht="20" customHeight="1" x14ac:dyDescent="0.15">
      <c r="A341" s="197"/>
      <c r="B341" s="197"/>
      <c r="C341" s="193"/>
      <c r="D341" s="197"/>
      <c r="E341" s="197"/>
      <c r="F341" s="214"/>
      <c r="G341" s="197"/>
      <c r="H341" s="197"/>
      <c r="I341" s="197"/>
      <c r="J341" s="197"/>
      <c r="K341" s="197"/>
      <c r="L341" s="197"/>
      <c r="M341" s="197"/>
      <c r="N341" s="197"/>
      <c r="O341" s="197"/>
      <c r="P341" s="197"/>
      <c r="Q341" s="197"/>
      <c r="R341" s="197"/>
      <c r="S341" s="197"/>
      <c r="T341" s="197"/>
      <c r="U341" s="197"/>
      <c r="V341" s="197"/>
      <c r="W341" s="197"/>
      <c r="X341" s="197"/>
      <c r="Y341" s="197"/>
      <c r="Z341" s="197"/>
      <c r="AA341" s="197"/>
      <c r="AB341" s="197"/>
      <c r="AC341" s="197"/>
      <c r="AD341" s="197"/>
      <c r="AE341" s="197"/>
      <c r="AF341" s="197"/>
      <c r="AG341" s="197"/>
      <c r="AH341" s="197"/>
      <c r="AI341" s="197"/>
      <c r="AJ341" s="197"/>
      <c r="AK341" s="197"/>
      <c r="AL341" s="197"/>
      <c r="AM341" s="197"/>
      <c r="AN341" s="197"/>
      <c r="AO341" s="197"/>
      <c r="AP341" s="197"/>
      <c r="AQ341" s="197"/>
      <c r="AR341" s="197"/>
      <c r="AS341" s="197"/>
      <c r="AT341" s="197"/>
      <c r="AU341" s="197"/>
      <c r="AV341" s="197"/>
      <c r="AW341" s="197"/>
      <c r="AX341" s="197"/>
      <c r="AY341" s="197"/>
      <c r="AZ341" s="197"/>
      <c r="BA341" s="197"/>
      <c r="BB341" s="197"/>
      <c r="BC341" s="197"/>
      <c r="BD341" s="197"/>
      <c r="BE341" s="197"/>
      <c r="BF341" s="197"/>
      <c r="BG341" s="197"/>
      <c r="BH341" s="197"/>
      <c r="BI341" s="197"/>
      <c r="BJ341" s="197"/>
      <c r="BK341" s="197"/>
      <c r="BL341" s="197"/>
      <c r="BM341" s="197"/>
      <c r="BN341" s="197"/>
      <c r="BO341" s="197"/>
      <c r="BP341" s="197"/>
    </row>
    <row r="342" spans="1:68" ht="20" customHeight="1" x14ac:dyDescent="0.15">
      <c r="A342" s="197"/>
      <c r="B342" s="197"/>
      <c r="C342" s="193"/>
      <c r="D342" s="197"/>
      <c r="E342" s="197"/>
      <c r="F342" s="214"/>
      <c r="G342" s="197"/>
      <c r="H342" s="197"/>
      <c r="I342" s="197"/>
      <c r="J342" s="197"/>
      <c r="K342" s="197"/>
      <c r="L342" s="197"/>
      <c r="M342" s="197"/>
      <c r="N342" s="197"/>
      <c r="O342" s="197"/>
      <c r="P342" s="197"/>
      <c r="Q342" s="197"/>
      <c r="R342" s="197"/>
      <c r="S342" s="197"/>
      <c r="T342" s="197"/>
      <c r="U342" s="197"/>
      <c r="V342" s="197"/>
      <c r="W342" s="197"/>
      <c r="X342" s="197"/>
      <c r="Y342" s="197"/>
      <c r="Z342" s="197"/>
      <c r="AA342" s="197"/>
      <c r="AB342" s="197"/>
      <c r="AC342" s="197"/>
      <c r="AD342" s="197"/>
      <c r="AE342" s="197"/>
      <c r="AF342" s="197"/>
      <c r="AG342" s="197"/>
      <c r="AH342" s="197"/>
      <c r="AI342" s="197"/>
      <c r="AJ342" s="197"/>
      <c r="AK342" s="197"/>
      <c r="AL342" s="197"/>
      <c r="AM342" s="197"/>
      <c r="AN342" s="197"/>
      <c r="AO342" s="197"/>
      <c r="AP342" s="197"/>
      <c r="AQ342" s="197"/>
      <c r="AR342" s="197"/>
      <c r="AS342" s="197"/>
      <c r="AT342" s="197"/>
      <c r="AU342" s="197"/>
      <c r="AV342" s="197"/>
      <c r="AW342" s="197"/>
      <c r="AX342" s="197"/>
      <c r="AY342" s="197"/>
      <c r="AZ342" s="197"/>
      <c r="BA342" s="197"/>
      <c r="BB342" s="197"/>
      <c r="BC342" s="197"/>
      <c r="BD342" s="197"/>
      <c r="BE342" s="197"/>
      <c r="BF342" s="197"/>
      <c r="BG342" s="197"/>
      <c r="BH342" s="197"/>
      <c r="BI342" s="197"/>
      <c r="BJ342" s="197"/>
      <c r="BK342" s="197"/>
      <c r="BL342" s="197"/>
      <c r="BM342" s="197"/>
      <c r="BN342" s="197"/>
      <c r="BO342" s="197"/>
      <c r="BP342" s="197"/>
    </row>
    <row r="343" spans="1:68" ht="20" customHeight="1" x14ac:dyDescent="0.15">
      <c r="A343" s="197"/>
      <c r="B343" s="197"/>
      <c r="C343" s="193"/>
      <c r="D343" s="197"/>
      <c r="E343" s="197"/>
      <c r="F343" s="214"/>
      <c r="G343" s="197"/>
      <c r="H343" s="197"/>
      <c r="I343" s="197"/>
      <c r="J343" s="197"/>
      <c r="K343" s="197"/>
      <c r="L343" s="197"/>
      <c r="M343" s="197"/>
      <c r="N343" s="197"/>
      <c r="O343" s="197"/>
      <c r="P343" s="197"/>
      <c r="Q343" s="197"/>
      <c r="R343" s="197"/>
      <c r="S343" s="197"/>
      <c r="T343" s="197"/>
      <c r="U343" s="197"/>
      <c r="V343" s="197"/>
      <c r="W343" s="197"/>
      <c r="X343" s="197"/>
      <c r="Y343" s="197"/>
      <c r="Z343" s="197"/>
      <c r="AA343" s="197"/>
      <c r="AB343" s="197"/>
      <c r="AC343" s="197"/>
      <c r="AD343" s="197"/>
      <c r="AE343" s="197"/>
      <c r="AF343" s="197"/>
      <c r="AG343" s="197"/>
      <c r="AH343" s="197"/>
      <c r="AI343" s="197"/>
      <c r="AJ343" s="197"/>
      <c r="AK343" s="197"/>
      <c r="AL343" s="197"/>
      <c r="AM343" s="197"/>
      <c r="AN343" s="197"/>
      <c r="AO343" s="197"/>
      <c r="AP343" s="197"/>
      <c r="AQ343" s="197"/>
      <c r="AR343" s="197"/>
      <c r="AS343" s="197"/>
      <c r="AT343" s="197"/>
      <c r="AU343" s="197"/>
      <c r="AV343" s="197"/>
      <c r="AW343" s="197"/>
      <c r="AX343" s="197"/>
      <c r="AY343" s="197"/>
      <c r="AZ343" s="197"/>
      <c r="BA343" s="197"/>
      <c r="BB343" s="197"/>
      <c r="BC343" s="197"/>
      <c r="BD343" s="197"/>
      <c r="BE343" s="197"/>
      <c r="BF343" s="197"/>
      <c r="BG343" s="197"/>
      <c r="BH343" s="197"/>
      <c r="BI343" s="197"/>
      <c r="BJ343" s="197"/>
      <c r="BK343" s="197"/>
      <c r="BL343" s="197"/>
      <c r="BM343" s="197"/>
      <c r="BN343" s="197"/>
      <c r="BO343" s="197"/>
      <c r="BP343" s="197"/>
    </row>
    <row r="344" spans="1:68" ht="20" customHeight="1" x14ac:dyDescent="0.15">
      <c r="A344" s="197"/>
      <c r="B344" s="197"/>
      <c r="C344" s="193"/>
      <c r="D344" s="197"/>
      <c r="E344" s="197"/>
      <c r="F344" s="214"/>
      <c r="G344" s="197"/>
      <c r="H344" s="197"/>
      <c r="I344" s="197"/>
      <c r="J344" s="197"/>
      <c r="K344" s="197"/>
      <c r="L344" s="197"/>
      <c r="M344" s="197"/>
      <c r="N344" s="197"/>
      <c r="O344" s="197"/>
      <c r="P344" s="197"/>
      <c r="Q344" s="197"/>
      <c r="R344" s="197"/>
      <c r="S344" s="197"/>
      <c r="T344" s="197"/>
      <c r="U344" s="197"/>
      <c r="V344" s="197"/>
      <c r="W344" s="197"/>
      <c r="X344" s="197"/>
      <c r="Y344" s="197"/>
      <c r="Z344" s="197"/>
      <c r="AA344" s="197"/>
      <c r="AB344" s="197"/>
      <c r="AC344" s="197"/>
      <c r="AD344" s="197"/>
      <c r="AE344" s="197"/>
      <c r="AF344" s="197"/>
      <c r="AG344" s="197"/>
      <c r="AH344" s="197"/>
      <c r="AI344" s="197"/>
      <c r="AJ344" s="197"/>
      <c r="AK344" s="197"/>
      <c r="AL344" s="197"/>
      <c r="AM344" s="197"/>
      <c r="AN344" s="197"/>
      <c r="AO344" s="197"/>
      <c r="AP344" s="197"/>
      <c r="AQ344" s="197"/>
      <c r="AR344" s="197"/>
      <c r="AS344" s="197"/>
      <c r="AT344" s="197"/>
      <c r="AU344" s="197"/>
      <c r="AV344" s="197"/>
      <c r="AW344" s="197"/>
      <c r="AX344" s="197"/>
      <c r="AY344" s="197"/>
      <c r="AZ344" s="197"/>
      <c r="BA344" s="197"/>
      <c r="BB344" s="197"/>
      <c r="BC344" s="197"/>
      <c r="BD344" s="197"/>
      <c r="BE344" s="197"/>
      <c r="BF344" s="197"/>
      <c r="BG344" s="197"/>
      <c r="BH344" s="197"/>
      <c r="BI344" s="197"/>
      <c r="BJ344" s="197"/>
      <c r="BK344" s="197"/>
      <c r="BL344" s="197"/>
      <c r="BM344" s="197"/>
      <c r="BN344" s="197"/>
      <c r="BO344" s="197"/>
      <c r="BP344" s="197"/>
    </row>
    <row r="345" spans="1:68" ht="20" customHeight="1" x14ac:dyDescent="0.15">
      <c r="A345" s="197"/>
      <c r="B345" s="197"/>
      <c r="C345" s="193"/>
      <c r="D345" s="197"/>
      <c r="E345" s="197"/>
      <c r="F345" s="214"/>
      <c r="G345" s="197"/>
      <c r="H345" s="197"/>
      <c r="I345" s="197"/>
      <c r="J345" s="197"/>
      <c r="K345" s="197"/>
      <c r="L345" s="197"/>
      <c r="M345" s="197"/>
      <c r="N345" s="197"/>
      <c r="O345" s="197"/>
      <c r="P345" s="197"/>
      <c r="Q345" s="197"/>
      <c r="R345" s="197"/>
      <c r="S345" s="197"/>
      <c r="T345" s="197"/>
      <c r="U345" s="197"/>
      <c r="V345" s="197"/>
      <c r="W345" s="197"/>
      <c r="X345" s="197"/>
      <c r="Y345" s="197"/>
      <c r="Z345" s="197"/>
      <c r="AA345" s="197"/>
      <c r="AB345" s="197"/>
      <c r="AC345" s="197"/>
      <c r="AD345" s="197"/>
      <c r="AE345" s="197"/>
      <c r="AF345" s="197"/>
      <c r="AG345" s="197"/>
      <c r="AH345" s="197"/>
      <c r="AI345" s="197"/>
      <c r="AJ345" s="197"/>
      <c r="AK345" s="197"/>
      <c r="AL345" s="197"/>
      <c r="AM345" s="197"/>
      <c r="AN345" s="197"/>
      <c r="AO345" s="197"/>
      <c r="AP345" s="197"/>
      <c r="AQ345" s="197"/>
      <c r="AR345" s="197"/>
      <c r="AS345" s="197"/>
      <c r="AT345" s="197"/>
      <c r="AU345" s="197"/>
      <c r="AV345" s="197"/>
      <c r="AW345" s="197"/>
      <c r="AX345" s="197"/>
      <c r="AY345" s="197"/>
      <c r="AZ345" s="197"/>
      <c r="BA345" s="197"/>
      <c r="BB345" s="197"/>
      <c r="BC345" s="197"/>
      <c r="BD345" s="197"/>
      <c r="BE345" s="197"/>
      <c r="BF345" s="197"/>
      <c r="BG345" s="197"/>
      <c r="BH345" s="197"/>
      <c r="BI345" s="197"/>
      <c r="BJ345" s="197"/>
      <c r="BK345" s="197"/>
      <c r="BL345" s="197"/>
      <c r="BM345" s="197"/>
      <c r="BN345" s="197"/>
      <c r="BO345" s="197"/>
      <c r="BP345" s="197"/>
    </row>
    <row r="346" spans="1:68" ht="20" customHeight="1" x14ac:dyDescent="0.15">
      <c r="A346" s="197"/>
      <c r="B346" s="197"/>
      <c r="C346" s="193"/>
      <c r="D346" s="197"/>
      <c r="E346" s="197"/>
      <c r="F346" s="214"/>
      <c r="G346" s="197"/>
      <c r="H346" s="197"/>
      <c r="I346" s="197"/>
      <c r="J346" s="197"/>
      <c r="K346" s="197"/>
      <c r="L346" s="197"/>
      <c r="M346" s="197"/>
      <c r="N346" s="197"/>
      <c r="O346" s="197"/>
      <c r="P346" s="197"/>
      <c r="Q346" s="197"/>
      <c r="R346" s="197"/>
      <c r="S346" s="197"/>
      <c r="T346" s="197"/>
      <c r="U346" s="197"/>
      <c r="V346" s="197"/>
      <c r="W346" s="197"/>
      <c r="X346" s="197"/>
      <c r="Y346" s="197"/>
      <c r="Z346" s="197"/>
      <c r="AA346" s="197"/>
      <c r="AB346" s="197"/>
      <c r="AC346" s="197"/>
      <c r="AD346" s="197"/>
      <c r="AE346" s="197"/>
      <c r="AF346" s="197"/>
      <c r="AG346" s="197"/>
      <c r="AH346" s="197"/>
      <c r="AI346" s="197"/>
      <c r="AJ346" s="197"/>
      <c r="AK346" s="197"/>
      <c r="AL346" s="197"/>
      <c r="AM346" s="197"/>
      <c r="AN346" s="197"/>
      <c r="AO346" s="197"/>
      <c r="AP346" s="197"/>
      <c r="AQ346" s="197"/>
      <c r="AR346" s="197"/>
      <c r="AS346" s="197"/>
      <c r="AT346" s="197"/>
      <c r="AU346" s="197"/>
      <c r="AV346" s="197"/>
      <c r="AW346" s="197"/>
      <c r="AX346" s="197"/>
      <c r="AY346" s="197"/>
      <c r="AZ346" s="197"/>
      <c r="BA346" s="197"/>
      <c r="BB346" s="197"/>
      <c r="BC346" s="197"/>
      <c r="BD346" s="197"/>
      <c r="BE346" s="197"/>
      <c r="BF346" s="197"/>
      <c r="BG346" s="197"/>
      <c r="BH346" s="197"/>
      <c r="BI346" s="197"/>
      <c r="BJ346" s="197"/>
      <c r="BK346" s="197"/>
      <c r="BL346" s="197"/>
      <c r="BM346" s="197"/>
      <c r="BN346" s="197"/>
      <c r="BO346" s="197"/>
      <c r="BP346" s="197"/>
    </row>
    <row r="347" spans="1:68" ht="20" customHeight="1" x14ac:dyDescent="0.15">
      <c r="A347" s="197"/>
      <c r="B347" s="197"/>
      <c r="C347" s="193"/>
      <c r="D347" s="197"/>
      <c r="E347" s="197"/>
      <c r="F347" s="214"/>
      <c r="G347" s="197"/>
      <c r="H347" s="197"/>
      <c r="I347" s="197"/>
      <c r="J347" s="197"/>
      <c r="K347" s="197"/>
      <c r="L347" s="197"/>
      <c r="M347" s="197"/>
      <c r="N347" s="197"/>
      <c r="O347" s="197"/>
      <c r="P347" s="197"/>
      <c r="Q347" s="197"/>
      <c r="R347" s="197"/>
      <c r="S347" s="197"/>
      <c r="T347" s="197"/>
      <c r="U347" s="197"/>
      <c r="V347" s="197"/>
      <c r="W347" s="197"/>
      <c r="X347" s="197"/>
      <c r="Y347" s="197"/>
      <c r="Z347" s="197"/>
      <c r="AA347" s="197"/>
      <c r="AB347" s="197"/>
      <c r="AC347" s="197"/>
      <c r="AD347" s="197"/>
      <c r="AE347" s="197"/>
      <c r="AF347" s="197"/>
      <c r="AG347" s="197"/>
      <c r="AH347" s="197"/>
      <c r="AI347" s="197"/>
      <c r="AJ347" s="197"/>
      <c r="AK347" s="197"/>
      <c r="AL347" s="197"/>
      <c r="AM347" s="197"/>
      <c r="AN347" s="197"/>
      <c r="AO347" s="197"/>
      <c r="AP347" s="197"/>
      <c r="AQ347" s="197"/>
      <c r="AR347" s="197"/>
      <c r="AS347" s="197"/>
      <c r="AT347" s="197"/>
      <c r="AU347" s="197"/>
      <c r="AV347" s="197"/>
      <c r="AW347" s="197"/>
      <c r="AX347" s="197"/>
      <c r="AY347" s="197"/>
      <c r="AZ347" s="197"/>
      <c r="BA347" s="197"/>
      <c r="BB347" s="197"/>
      <c r="BC347" s="197"/>
      <c r="BD347" s="197"/>
      <c r="BE347" s="197"/>
      <c r="BF347" s="197"/>
      <c r="BG347" s="197"/>
      <c r="BH347" s="197"/>
      <c r="BI347" s="197"/>
      <c r="BJ347" s="197"/>
      <c r="BK347" s="197"/>
      <c r="BL347" s="197"/>
      <c r="BM347" s="197"/>
      <c r="BN347" s="197"/>
      <c r="BO347" s="197"/>
      <c r="BP347" s="197"/>
    </row>
    <row r="348" spans="1:68" ht="20" customHeight="1" x14ac:dyDescent="0.15">
      <c r="A348" s="197"/>
      <c r="B348" s="197"/>
      <c r="C348" s="193"/>
      <c r="D348" s="197"/>
      <c r="E348" s="197"/>
      <c r="F348" s="214"/>
      <c r="G348" s="197"/>
      <c r="H348" s="197"/>
      <c r="I348" s="197"/>
      <c r="J348" s="197"/>
      <c r="K348" s="197"/>
      <c r="L348" s="197"/>
      <c r="M348" s="197"/>
      <c r="N348" s="197"/>
      <c r="O348" s="197"/>
      <c r="P348" s="197"/>
      <c r="Q348" s="197"/>
      <c r="R348" s="197"/>
      <c r="S348" s="197"/>
      <c r="T348" s="197"/>
      <c r="U348" s="197"/>
      <c r="V348" s="197"/>
      <c r="W348" s="197"/>
      <c r="X348" s="197"/>
      <c r="Y348" s="197"/>
      <c r="Z348" s="197"/>
      <c r="AA348" s="197"/>
      <c r="AB348" s="197"/>
      <c r="AC348" s="197"/>
      <c r="AD348" s="197"/>
      <c r="AE348" s="197"/>
      <c r="AF348" s="197"/>
      <c r="AG348" s="197"/>
      <c r="AH348" s="197"/>
      <c r="AI348" s="197"/>
      <c r="AJ348" s="197"/>
      <c r="AK348" s="197"/>
      <c r="AL348" s="197"/>
      <c r="AM348" s="197"/>
      <c r="AN348" s="197"/>
      <c r="AO348" s="197"/>
      <c r="AP348" s="197"/>
      <c r="AQ348" s="197"/>
      <c r="AR348" s="197"/>
      <c r="AS348" s="197"/>
      <c r="AT348" s="197"/>
      <c r="AU348" s="197"/>
      <c r="AV348" s="197"/>
      <c r="AW348" s="197"/>
      <c r="AX348" s="197"/>
      <c r="AY348" s="197"/>
      <c r="AZ348" s="197"/>
      <c r="BA348" s="197"/>
      <c r="BB348" s="197"/>
      <c r="BC348" s="197"/>
      <c r="BD348" s="197"/>
      <c r="BE348" s="197"/>
      <c r="BF348" s="197"/>
      <c r="BG348" s="197"/>
      <c r="BH348" s="197"/>
      <c r="BI348" s="197"/>
      <c r="BJ348" s="197"/>
      <c r="BK348" s="197"/>
      <c r="BL348" s="197"/>
      <c r="BM348" s="197"/>
      <c r="BN348" s="197"/>
      <c r="BO348" s="197"/>
      <c r="BP348" s="197"/>
    </row>
    <row r="349" spans="1:68" ht="20" customHeight="1" x14ac:dyDescent="0.15">
      <c r="A349" s="197"/>
      <c r="B349" s="197"/>
      <c r="C349" s="193"/>
      <c r="D349" s="197"/>
      <c r="E349" s="197"/>
      <c r="F349" s="214"/>
      <c r="G349" s="197"/>
      <c r="H349" s="197"/>
      <c r="I349" s="197"/>
      <c r="J349" s="197"/>
      <c r="K349" s="197"/>
      <c r="L349" s="197"/>
      <c r="M349" s="197"/>
      <c r="N349" s="197"/>
      <c r="O349" s="197"/>
      <c r="P349" s="197"/>
      <c r="Q349" s="197"/>
      <c r="R349" s="197"/>
      <c r="S349" s="197"/>
      <c r="T349" s="197"/>
      <c r="U349" s="197"/>
      <c r="V349" s="197"/>
      <c r="W349" s="197"/>
      <c r="X349" s="197"/>
      <c r="Y349" s="197"/>
      <c r="Z349" s="197"/>
      <c r="AA349" s="197"/>
      <c r="AB349" s="197"/>
      <c r="AC349" s="197"/>
      <c r="AD349" s="197"/>
      <c r="AE349" s="197"/>
      <c r="AF349" s="197"/>
      <c r="AG349" s="197"/>
      <c r="AH349" s="197"/>
      <c r="AI349" s="197"/>
      <c r="AJ349" s="197"/>
      <c r="AK349" s="197"/>
      <c r="AL349" s="197"/>
      <c r="AM349" s="197"/>
      <c r="AN349" s="197"/>
      <c r="AO349" s="197"/>
      <c r="AP349" s="197"/>
      <c r="AQ349" s="197"/>
      <c r="AR349" s="197"/>
      <c r="AS349" s="197"/>
      <c r="AT349" s="197"/>
      <c r="AU349" s="197"/>
      <c r="AV349" s="197"/>
      <c r="AW349" s="197"/>
      <c r="AX349" s="197"/>
      <c r="AY349" s="197"/>
      <c r="AZ349" s="197"/>
      <c r="BA349" s="197"/>
      <c r="BB349" s="197"/>
      <c r="BC349" s="197"/>
      <c r="BD349" s="197"/>
      <c r="BE349" s="197"/>
      <c r="BF349" s="197"/>
      <c r="BG349" s="197"/>
      <c r="BH349" s="197"/>
      <c r="BI349" s="197"/>
      <c r="BJ349" s="197"/>
      <c r="BK349" s="197"/>
      <c r="BL349" s="197"/>
      <c r="BM349" s="197"/>
      <c r="BN349" s="197"/>
      <c r="BO349" s="197"/>
      <c r="BP349" s="197"/>
    </row>
    <row r="350" spans="1:68" ht="20" customHeight="1" x14ac:dyDescent="0.15">
      <c r="A350" s="197"/>
      <c r="B350" s="197"/>
      <c r="C350" s="193"/>
      <c r="D350" s="197"/>
      <c r="E350" s="197"/>
      <c r="F350" s="214"/>
      <c r="G350" s="197"/>
      <c r="H350" s="197"/>
      <c r="I350" s="197"/>
      <c r="J350" s="197"/>
      <c r="K350" s="197"/>
      <c r="L350" s="197"/>
      <c r="M350" s="197"/>
      <c r="N350" s="197"/>
      <c r="O350" s="197"/>
      <c r="P350" s="197"/>
      <c r="Q350" s="197"/>
      <c r="R350" s="197"/>
      <c r="S350" s="197"/>
      <c r="T350" s="197"/>
      <c r="U350" s="197"/>
      <c r="V350" s="197"/>
      <c r="W350" s="197"/>
      <c r="X350" s="197"/>
      <c r="Y350" s="197"/>
      <c r="Z350" s="197"/>
      <c r="AA350" s="197"/>
      <c r="AB350" s="197"/>
      <c r="AC350" s="197"/>
      <c r="AD350" s="197"/>
      <c r="AE350" s="197"/>
      <c r="AF350" s="197"/>
      <c r="AG350" s="197"/>
      <c r="AH350" s="197"/>
      <c r="AI350" s="197"/>
      <c r="AJ350" s="197"/>
      <c r="AK350" s="197"/>
      <c r="AL350" s="197"/>
      <c r="AM350" s="197"/>
      <c r="AN350" s="197"/>
      <c r="AO350" s="197"/>
      <c r="AP350" s="197"/>
      <c r="AQ350" s="197"/>
      <c r="AR350" s="197"/>
      <c r="AS350" s="197"/>
      <c r="AT350" s="197"/>
      <c r="AU350" s="197"/>
      <c r="AV350" s="197"/>
      <c r="AW350" s="197"/>
      <c r="AX350" s="197"/>
      <c r="AY350" s="197"/>
      <c r="AZ350" s="197"/>
      <c r="BA350" s="197"/>
      <c r="BB350" s="197"/>
      <c r="BC350" s="197"/>
      <c r="BD350" s="197"/>
      <c r="BE350" s="197"/>
      <c r="BF350" s="197"/>
      <c r="BG350" s="197"/>
      <c r="BH350" s="197"/>
      <c r="BI350" s="197"/>
      <c r="BJ350" s="197"/>
      <c r="BK350" s="197"/>
      <c r="BL350" s="197"/>
      <c r="BM350" s="197"/>
      <c r="BN350" s="197"/>
      <c r="BO350" s="197"/>
      <c r="BP350" s="197"/>
    </row>
    <row r="351" spans="1:68" ht="20" customHeight="1" x14ac:dyDescent="0.15">
      <c r="A351" s="197"/>
      <c r="B351" s="197"/>
      <c r="C351" s="193"/>
      <c r="D351" s="197"/>
      <c r="E351" s="197"/>
      <c r="F351" s="214"/>
      <c r="G351" s="197"/>
      <c r="H351" s="197"/>
      <c r="I351" s="197"/>
      <c r="J351" s="197"/>
      <c r="K351" s="197"/>
      <c r="L351" s="197"/>
      <c r="M351" s="197"/>
      <c r="N351" s="197"/>
      <c r="O351" s="197"/>
      <c r="P351" s="197"/>
      <c r="Q351" s="197"/>
      <c r="R351" s="197"/>
      <c r="S351" s="197"/>
      <c r="T351" s="197"/>
      <c r="U351" s="197"/>
      <c r="V351" s="197"/>
      <c r="W351" s="197"/>
      <c r="X351" s="197"/>
      <c r="Y351" s="197"/>
      <c r="Z351" s="197"/>
      <c r="AA351" s="197"/>
      <c r="AB351" s="197"/>
      <c r="AC351" s="197"/>
      <c r="AD351" s="197"/>
      <c r="AE351" s="197"/>
      <c r="AF351" s="197"/>
      <c r="AG351" s="197"/>
      <c r="AH351" s="197"/>
      <c r="AI351" s="197"/>
      <c r="AJ351" s="197"/>
      <c r="AK351" s="197"/>
      <c r="AL351" s="197"/>
      <c r="AM351" s="197"/>
      <c r="AN351" s="197"/>
      <c r="AO351" s="197"/>
      <c r="AP351" s="197"/>
      <c r="AQ351" s="197"/>
      <c r="AR351" s="197"/>
      <c r="AS351" s="197"/>
      <c r="AT351" s="197"/>
      <c r="AU351" s="197"/>
      <c r="AV351" s="197"/>
      <c r="AW351" s="197"/>
      <c r="AX351" s="197"/>
      <c r="AY351" s="197"/>
      <c r="AZ351" s="197"/>
      <c r="BA351" s="197"/>
      <c r="BB351" s="197"/>
      <c r="BC351" s="197"/>
      <c r="BD351" s="197"/>
      <c r="BE351" s="197"/>
      <c r="BF351" s="197"/>
      <c r="BG351" s="197"/>
      <c r="BH351" s="197"/>
      <c r="BI351" s="197"/>
      <c r="BJ351" s="197"/>
      <c r="BK351" s="197"/>
      <c r="BL351" s="197"/>
      <c r="BM351" s="197"/>
      <c r="BN351" s="197"/>
      <c r="BO351" s="197"/>
      <c r="BP351" s="197"/>
    </row>
    <row r="352" spans="1:68" ht="20" customHeight="1" x14ac:dyDescent="0.15">
      <c r="A352" s="197"/>
      <c r="B352" s="197"/>
      <c r="C352" s="193"/>
      <c r="D352" s="197"/>
      <c r="E352" s="197"/>
      <c r="F352" s="214"/>
      <c r="G352" s="197"/>
      <c r="H352" s="197"/>
      <c r="I352" s="197"/>
      <c r="J352" s="197"/>
      <c r="K352" s="197"/>
      <c r="L352" s="197"/>
      <c r="M352" s="197"/>
      <c r="N352" s="197"/>
      <c r="O352" s="197"/>
      <c r="P352" s="197"/>
      <c r="Q352" s="197"/>
      <c r="R352" s="197"/>
      <c r="S352" s="197"/>
      <c r="T352" s="197"/>
      <c r="U352" s="197"/>
      <c r="V352" s="197"/>
      <c r="W352" s="197"/>
      <c r="X352" s="197"/>
      <c r="Y352" s="197"/>
      <c r="Z352" s="197"/>
      <c r="AA352" s="197"/>
      <c r="AB352" s="197"/>
      <c r="AC352" s="197"/>
      <c r="AD352" s="197"/>
      <c r="AE352" s="197"/>
      <c r="AF352" s="197"/>
      <c r="AG352" s="197"/>
      <c r="AH352" s="197"/>
      <c r="AI352" s="197"/>
      <c r="AJ352" s="197"/>
      <c r="AK352" s="197"/>
      <c r="AL352" s="197"/>
      <c r="AM352" s="197"/>
      <c r="AN352" s="197"/>
      <c r="AO352" s="197"/>
      <c r="AP352" s="197"/>
      <c r="AQ352" s="197"/>
      <c r="AR352" s="197"/>
      <c r="AS352" s="197"/>
      <c r="AT352" s="197"/>
      <c r="AU352" s="197"/>
      <c r="AV352" s="197"/>
      <c r="AW352" s="197"/>
      <c r="AX352" s="197"/>
      <c r="AY352" s="197"/>
      <c r="AZ352" s="197"/>
      <c r="BA352" s="197"/>
      <c r="BB352" s="197"/>
      <c r="BC352" s="197"/>
      <c r="BD352" s="197"/>
      <c r="BE352" s="197"/>
      <c r="BF352" s="197"/>
      <c r="BG352" s="197"/>
      <c r="BH352" s="197"/>
      <c r="BI352" s="197"/>
      <c r="BJ352" s="197"/>
      <c r="BK352" s="197"/>
      <c r="BL352" s="197"/>
      <c r="BM352" s="197"/>
      <c r="BN352" s="197"/>
      <c r="BO352" s="197"/>
      <c r="BP352" s="197"/>
    </row>
    <row r="353" spans="1:68" ht="20" customHeight="1" x14ac:dyDescent="0.15">
      <c r="A353" s="197"/>
      <c r="B353" s="197"/>
      <c r="C353" s="193"/>
      <c r="D353" s="197"/>
      <c r="E353" s="197"/>
      <c r="F353" s="214"/>
      <c r="G353" s="197"/>
      <c r="H353" s="197"/>
      <c r="I353" s="197"/>
      <c r="J353" s="197"/>
      <c r="K353" s="197"/>
      <c r="L353" s="197"/>
      <c r="M353" s="197"/>
      <c r="N353" s="197"/>
      <c r="O353" s="197"/>
      <c r="P353" s="197"/>
      <c r="Q353" s="197"/>
      <c r="R353" s="197"/>
      <c r="S353" s="197"/>
      <c r="T353" s="197"/>
      <c r="U353" s="197"/>
      <c r="V353" s="197"/>
      <c r="W353" s="197"/>
      <c r="X353" s="197"/>
      <c r="Y353" s="197"/>
      <c r="Z353" s="197"/>
      <c r="AA353" s="197"/>
      <c r="AB353" s="197"/>
      <c r="AC353" s="197"/>
      <c r="AD353" s="197"/>
      <c r="AE353" s="197"/>
      <c r="AF353" s="197"/>
      <c r="AG353" s="197"/>
      <c r="AH353" s="197"/>
      <c r="AI353" s="197"/>
      <c r="AJ353" s="197"/>
      <c r="AK353" s="197"/>
      <c r="AL353" s="197"/>
      <c r="AM353" s="197"/>
      <c r="AN353" s="197"/>
      <c r="AO353" s="197"/>
      <c r="AP353" s="197"/>
      <c r="AQ353" s="197"/>
      <c r="AR353" s="197"/>
      <c r="AS353" s="197"/>
      <c r="AT353" s="197"/>
      <c r="AU353" s="197"/>
      <c r="AV353" s="197"/>
      <c r="AW353" s="197"/>
      <c r="AX353" s="197"/>
      <c r="AY353" s="197"/>
      <c r="AZ353" s="197"/>
      <c r="BA353" s="197"/>
      <c r="BB353" s="197"/>
      <c r="BC353" s="197"/>
      <c r="BD353" s="197"/>
      <c r="BE353" s="197"/>
      <c r="BF353" s="197"/>
      <c r="BG353" s="197"/>
      <c r="BH353" s="197"/>
      <c r="BI353" s="197"/>
      <c r="BJ353" s="197"/>
      <c r="BK353" s="197"/>
      <c r="BL353" s="197"/>
      <c r="BM353" s="197"/>
      <c r="BN353" s="197"/>
      <c r="BO353" s="197"/>
      <c r="BP353" s="197"/>
    </row>
    <row r="354" spans="1:68" ht="20" customHeight="1" x14ac:dyDescent="0.15">
      <c r="A354" s="197"/>
      <c r="B354" s="197"/>
      <c r="C354" s="193"/>
      <c r="D354" s="197"/>
      <c r="E354" s="197"/>
      <c r="F354" s="214"/>
      <c r="G354" s="197"/>
      <c r="H354" s="197"/>
      <c r="I354" s="197"/>
      <c r="J354" s="197"/>
      <c r="K354" s="197"/>
      <c r="L354" s="197"/>
      <c r="M354" s="197"/>
      <c r="N354" s="197"/>
      <c r="O354" s="197"/>
      <c r="P354" s="197"/>
      <c r="Q354" s="197"/>
      <c r="R354" s="197"/>
      <c r="S354" s="197"/>
      <c r="T354" s="197"/>
      <c r="U354" s="197"/>
      <c r="V354" s="197"/>
      <c r="W354" s="197"/>
      <c r="X354" s="197"/>
      <c r="Y354" s="197"/>
      <c r="Z354" s="197"/>
      <c r="AA354" s="197"/>
      <c r="AB354" s="197"/>
      <c r="AC354" s="197"/>
      <c r="AD354" s="197"/>
      <c r="AE354" s="197"/>
      <c r="AF354" s="197"/>
      <c r="AG354" s="197"/>
      <c r="AH354" s="197"/>
      <c r="AI354" s="197"/>
      <c r="AJ354" s="197"/>
      <c r="AK354" s="197"/>
      <c r="AL354" s="197"/>
      <c r="AM354" s="197"/>
      <c r="AN354" s="197"/>
      <c r="AO354" s="197"/>
      <c r="AP354" s="197"/>
      <c r="AQ354" s="197"/>
      <c r="AR354" s="197"/>
      <c r="AS354" s="197"/>
      <c r="AT354" s="197"/>
      <c r="AU354" s="197"/>
      <c r="AV354" s="197"/>
      <c r="AW354" s="197"/>
      <c r="AX354" s="197"/>
      <c r="AY354" s="197"/>
      <c r="AZ354" s="197"/>
      <c r="BA354" s="197"/>
      <c r="BB354" s="197"/>
      <c r="BC354" s="197"/>
      <c r="BD354" s="197"/>
      <c r="BE354" s="197"/>
      <c r="BF354" s="197"/>
      <c r="BG354" s="197"/>
      <c r="BH354" s="197"/>
      <c r="BI354" s="197"/>
      <c r="BJ354" s="197"/>
      <c r="BK354" s="197"/>
      <c r="BL354" s="197"/>
      <c r="BM354" s="197"/>
      <c r="BN354" s="197"/>
      <c r="BO354" s="197"/>
      <c r="BP354" s="197"/>
    </row>
    <row r="355" spans="1:68" ht="20" customHeight="1" x14ac:dyDescent="0.15">
      <c r="A355" s="197"/>
      <c r="B355" s="197"/>
      <c r="C355" s="193"/>
      <c r="D355" s="197"/>
      <c r="E355" s="197"/>
      <c r="F355" s="214"/>
      <c r="G355" s="197"/>
      <c r="H355" s="197"/>
      <c r="I355" s="197"/>
      <c r="J355" s="197"/>
      <c r="K355" s="197"/>
      <c r="L355" s="197"/>
      <c r="M355" s="197"/>
      <c r="N355" s="197"/>
      <c r="O355" s="197"/>
      <c r="P355" s="197"/>
      <c r="Q355" s="197"/>
      <c r="R355" s="197"/>
      <c r="S355" s="197"/>
      <c r="T355" s="197"/>
      <c r="U355" s="197"/>
      <c r="V355" s="197"/>
      <c r="W355" s="197"/>
      <c r="X355" s="197"/>
      <c r="Y355" s="197"/>
      <c r="Z355" s="197"/>
      <c r="AA355" s="197"/>
      <c r="AB355" s="197"/>
      <c r="AC355" s="197"/>
      <c r="AD355" s="197"/>
      <c r="AE355" s="197"/>
      <c r="AF355" s="197"/>
      <c r="AG355" s="197"/>
      <c r="AH355" s="197"/>
      <c r="AI355" s="197"/>
      <c r="AJ355" s="197"/>
      <c r="AK355" s="197"/>
      <c r="AL355" s="197"/>
      <c r="AM355" s="197"/>
      <c r="AN355" s="197"/>
      <c r="AO355" s="197"/>
      <c r="AP355" s="197"/>
      <c r="AQ355" s="197"/>
      <c r="AR355" s="197"/>
      <c r="AS355" s="197"/>
      <c r="AT355" s="197"/>
      <c r="AU355" s="197"/>
      <c r="AV355" s="197"/>
      <c r="AW355" s="197"/>
      <c r="AX355" s="197"/>
      <c r="AY355" s="197"/>
      <c r="AZ355" s="197"/>
      <c r="BA355" s="197"/>
      <c r="BB355" s="197"/>
      <c r="BC355" s="197"/>
      <c r="BD355" s="197"/>
      <c r="BE355" s="197"/>
      <c r="BF355" s="197"/>
      <c r="BG355" s="197"/>
      <c r="BH355" s="197"/>
      <c r="BI355" s="197"/>
      <c r="BJ355" s="197"/>
      <c r="BK355" s="197"/>
      <c r="BL355" s="197"/>
      <c r="BM355" s="197"/>
      <c r="BN355" s="197"/>
      <c r="BO355" s="197"/>
      <c r="BP355" s="197"/>
    </row>
    <row r="356" spans="1:68" ht="20" customHeight="1" x14ac:dyDescent="0.15">
      <c r="A356" s="197"/>
      <c r="B356" s="197"/>
      <c r="C356" s="193"/>
      <c r="D356" s="197"/>
      <c r="E356" s="197"/>
      <c r="F356" s="214"/>
      <c r="G356" s="197"/>
      <c r="H356" s="197"/>
      <c r="I356" s="197"/>
      <c r="J356" s="197"/>
      <c r="K356" s="197"/>
      <c r="L356" s="197"/>
      <c r="M356" s="197"/>
      <c r="N356" s="197"/>
      <c r="O356" s="197"/>
      <c r="P356" s="197"/>
      <c r="Q356" s="197"/>
      <c r="R356" s="197"/>
      <c r="S356" s="197"/>
      <c r="T356" s="197"/>
      <c r="U356" s="197"/>
      <c r="V356" s="197"/>
      <c r="W356" s="197"/>
      <c r="X356" s="197"/>
      <c r="Y356" s="197"/>
      <c r="Z356" s="197"/>
      <c r="AA356" s="197"/>
      <c r="AB356" s="197"/>
      <c r="AC356" s="197"/>
      <c r="AD356" s="197"/>
      <c r="AE356" s="197"/>
      <c r="AF356" s="197"/>
      <c r="AG356" s="197"/>
      <c r="AH356" s="197"/>
      <c r="AI356" s="197"/>
      <c r="AJ356" s="197"/>
      <c r="AK356" s="197"/>
      <c r="AL356" s="197"/>
      <c r="AM356" s="197"/>
      <c r="AN356" s="197"/>
      <c r="AO356" s="197"/>
      <c r="AP356" s="197"/>
      <c r="AQ356" s="197"/>
      <c r="AR356" s="197"/>
      <c r="AS356" s="197"/>
      <c r="AT356" s="197"/>
      <c r="AU356" s="197"/>
      <c r="AV356" s="197"/>
      <c r="AW356" s="197"/>
      <c r="AX356" s="197"/>
      <c r="AY356" s="197"/>
      <c r="AZ356" s="197"/>
      <c r="BA356" s="197"/>
      <c r="BB356" s="197"/>
      <c r="BC356" s="197"/>
      <c r="BD356" s="197"/>
      <c r="BE356" s="197"/>
      <c r="BF356" s="197"/>
      <c r="BG356" s="197"/>
      <c r="BH356" s="197"/>
      <c r="BI356" s="197"/>
      <c r="BJ356" s="197"/>
      <c r="BK356" s="197"/>
      <c r="BL356" s="197"/>
      <c r="BM356" s="197"/>
      <c r="BN356" s="197"/>
      <c r="BO356" s="197"/>
      <c r="BP356" s="197"/>
    </row>
    <row r="357" spans="1:68" ht="20" customHeight="1" x14ac:dyDescent="0.15">
      <c r="A357" s="197"/>
      <c r="B357" s="197"/>
      <c r="C357" s="193"/>
      <c r="D357" s="197"/>
      <c r="E357" s="197"/>
      <c r="F357" s="214"/>
      <c r="G357" s="197"/>
      <c r="H357" s="197"/>
      <c r="I357" s="197"/>
      <c r="J357" s="197"/>
      <c r="K357" s="197"/>
      <c r="L357" s="197"/>
      <c r="M357" s="197"/>
      <c r="N357" s="197"/>
      <c r="O357" s="197"/>
      <c r="P357" s="197"/>
      <c r="Q357" s="197"/>
      <c r="R357" s="197"/>
      <c r="S357" s="197"/>
      <c r="T357" s="197"/>
      <c r="U357" s="197"/>
      <c r="V357" s="197"/>
      <c r="W357" s="197"/>
      <c r="X357" s="197"/>
      <c r="Y357" s="197"/>
      <c r="Z357" s="197"/>
      <c r="AA357" s="197"/>
      <c r="AB357" s="197"/>
      <c r="AC357" s="197"/>
      <c r="AD357" s="197"/>
      <c r="AE357" s="197"/>
      <c r="AF357" s="197"/>
      <c r="AG357" s="197"/>
      <c r="AH357" s="197"/>
      <c r="AI357" s="197"/>
      <c r="AJ357" s="197"/>
      <c r="AK357" s="197"/>
      <c r="AL357" s="197"/>
      <c r="AM357" s="197"/>
      <c r="AN357" s="197"/>
      <c r="AO357" s="197"/>
      <c r="AP357" s="197"/>
      <c r="AQ357" s="197"/>
      <c r="AR357" s="197"/>
      <c r="AS357" s="197"/>
      <c r="AT357" s="197"/>
      <c r="AU357" s="197"/>
      <c r="AV357" s="197"/>
      <c r="AW357" s="197"/>
      <c r="AX357" s="197"/>
      <c r="AY357" s="197"/>
      <c r="AZ357" s="197"/>
      <c r="BA357" s="197"/>
      <c r="BB357" s="197"/>
      <c r="BC357" s="197"/>
      <c r="BD357" s="197"/>
      <c r="BE357" s="197"/>
      <c r="BF357" s="197"/>
      <c r="BG357" s="197"/>
      <c r="BH357" s="197"/>
      <c r="BI357" s="197"/>
      <c r="BJ357" s="197"/>
      <c r="BK357" s="197"/>
      <c r="BL357" s="197"/>
      <c r="BM357" s="197"/>
      <c r="BN357" s="197"/>
      <c r="BO357" s="197"/>
      <c r="BP357" s="197"/>
    </row>
    <row r="358" spans="1:68" ht="20" customHeight="1" x14ac:dyDescent="0.15">
      <c r="A358" s="197"/>
      <c r="B358" s="197"/>
      <c r="C358" s="193"/>
      <c r="D358" s="197"/>
      <c r="E358" s="197"/>
      <c r="F358" s="214"/>
      <c r="G358" s="197"/>
      <c r="H358" s="197"/>
      <c r="I358" s="197"/>
      <c r="J358" s="197"/>
      <c r="K358" s="197"/>
      <c r="L358" s="197"/>
      <c r="M358" s="197"/>
      <c r="N358" s="197"/>
      <c r="O358" s="197"/>
      <c r="P358" s="197"/>
      <c r="Q358" s="197"/>
      <c r="R358" s="197"/>
      <c r="S358" s="197"/>
      <c r="T358" s="197"/>
      <c r="U358" s="197"/>
      <c r="V358" s="197"/>
      <c r="W358" s="197"/>
      <c r="X358" s="197"/>
      <c r="Y358" s="197"/>
      <c r="Z358" s="197"/>
      <c r="AA358" s="197"/>
      <c r="AB358" s="197"/>
      <c r="AC358" s="197"/>
      <c r="AD358" s="197"/>
      <c r="AE358" s="197"/>
      <c r="AF358" s="197"/>
      <c r="AG358" s="197"/>
      <c r="AH358" s="197"/>
      <c r="AI358" s="197"/>
      <c r="AJ358" s="197"/>
      <c r="AK358" s="197"/>
      <c r="AL358" s="197"/>
      <c r="AM358" s="197"/>
      <c r="AN358" s="197"/>
      <c r="AO358" s="197"/>
      <c r="AP358" s="197"/>
      <c r="AQ358" s="197"/>
      <c r="AR358" s="197"/>
      <c r="AS358" s="197"/>
      <c r="AT358" s="197"/>
      <c r="AU358" s="197"/>
      <c r="AV358" s="197"/>
      <c r="AW358" s="197"/>
      <c r="AX358" s="197"/>
      <c r="AY358" s="197"/>
      <c r="AZ358" s="197"/>
      <c r="BA358" s="197"/>
      <c r="BB358" s="197"/>
      <c r="BC358" s="197"/>
      <c r="BD358" s="197"/>
      <c r="BE358" s="197"/>
      <c r="BF358" s="197"/>
      <c r="BG358" s="197"/>
      <c r="BH358" s="197"/>
      <c r="BI358" s="197"/>
      <c r="BJ358" s="197"/>
      <c r="BK358" s="197"/>
      <c r="BL358" s="197"/>
      <c r="BM358" s="197"/>
      <c r="BN358" s="197"/>
      <c r="BO358" s="197"/>
      <c r="BP358" s="197"/>
    </row>
    <row r="359" spans="1:68" ht="20" customHeight="1" x14ac:dyDescent="0.15">
      <c r="A359" s="197"/>
      <c r="B359" s="197"/>
      <c r="C359" s="193"/>
      <c r="D359" s="197"/>
      <c r="E359" s="197"/>
      <c r="F359" s="214"/>
      <c r="G359" s="197"/>
      <c r="H359" s="197"/>
      <c r="I359" s="197"/>
      <c r="J359" s="197"/>
      <c r="K359" s="197"/>
      <c r="L359" s="197"/>
      <c r="M359" s="197"/>
      <c r="N359" s="197"/>
      <c r="O359" s="197"/>
      <c r="P359" s="197"/>
      <c r="Q359" s="197"/>
      <c r="R359" s="197"/>
      <c r="S359" s="197"/>
      <c r="T359" s="197"/>
      <c r="U359" s="197"/>
      <c r="V359" s="197"/>
      <c r="W359" s="197"/>
      <c r="X359" s="197"/>
      <c r="Y359" s="197"/>
      <c r="Z359" s="197"/>
      <c r="AA359" s="197"/>
      <c r="AB359" s="197"/>
      <c r="AC359" s="197"/>
      <c r="AD359" s="197"/>
      <c r="AE359" s="197"/>
      <c r="AF359" s="197"/>
      <c r="AG359" s="197"/>
      <c r="AH359" s="197"/>
      <c r="AI359" s="197"/>
      <c r="AJ359" s="197"/>
      <c r="AK359" s="197"/>
      <c r="AL359" s="197"/>
      <c r="AM359" s="197"/>
      <c r="AN359" s="197"/>
      <c r="AO359" s="197"/>
      <c r="AP359" s="197"/>
      <c r="AQ359" s="197"/>
      <c r="AR359" s="197"/>
      <c r="AS359" s="197"/>
      <c r="AT359" s="197"/>
      <c r="AU359" s="197"/>
      <c r="AV359" s="197"/>
      <c r="AW359" s="197"/>
      <c r="AX359" s="197"/>
      <c r="AY359" s="197"/>
      <c r="AZ359" s="197"/>
      <c r="BA359" s="197"/>
      <c r="BB359" s="197"/>
      <c r="BC359" s="197"/>
      <c r="BD359" s="197"/>
      <c r="BE359" s="197"/>
      <c r="BF359" s="197"/>
      <c r="BG359" s="197"/>
      <c r="BH359" s="197"/>
      <c r="BI359" s="197"/>
      <c r="BJ359" s="197"/>
      <c r="BK359" s="197"/>
      <c r="BL359" s="197"/>
      <c r="BM359" s="197"/>
      <c r="BN359" s="197"/>
      <c r="BO359" s="197"/>
      <c r="BP359" s="197"/>
    </row>
    <row r="360" spans="1:68" ht="20" customHeight="1" x14ac:dyDescent="0.15">
      <c r="A360" s="197"/>
      <c r="B360" s="197"/>
      <c r="C360" s="193"/>
      <c r="D360" s="197"/>
      <c r="E360" s="197"/>
      <c r="F360" s="214"/>
      <c r="G360" s="197"/>
      <c r="H360" s="197"/>
      <c r="I360" s="197"/>
      <c r="J360" s="197"/>
      <c r="K360" s="197"/>
      <c r="L360" s="197"/>
      <c r="M360" s="197"/>
      <c r="N360" s="197"/>
      <c r="O360" s="197"/>
      <c r="P360" s="197"/>
      <c r="Q360" s="197"/>
      <c r="R360" s="197"/>
      <c r="S360" s="197"/>
      <c r="T360" s="197"/>
      <c r="U360" s="197"/>
      <c r="V360" s="197"/>
      <c r="W360" s="197"/>
      <c r="X360" s="197"/>
      <c r="Y360" s="197"/>
      <c r="Z360" s="197"/>
      <c r="AA360" s="197"/>
      <c r="AB360" s="197"/>
      <c r="AC360" s="197"/>
      <c r="AD360" s="197"/>
      <c r="AE360" s="197"/>
      <c r="AF360" s="197"/>
      <c r="AG360" s="197"/>
      <c r="AH360" s="197"/>
      <c r="AI360" s="197"/>
      <c r="AJ360" s="197"/>
      <c r="AK360" s="197"/>
      <c r="AL360" s="197"/>
      <c r="AM360" s="197"/>
      <c r="AN360" s="197"/>
      <c r="AO360" s="197"/>
      <c r="AP360" s="197"/>
      <c r="AQ360" s="197"/>
      <c r="AR360" s="197"/>
      <c r="AS360" s="197"/>
      <c r="AT360" s="197"/>
      <c r="AU360" s="197"/>
      <c r="AV360" s="197"/>
      <c r="AW360" s="197"/>
      <c r="AX360" s="197"/>
      <c r="AY360" s="197"/>
      <c r="AZ360" s="197"/>
      <c r="BA360" s="197"/>
      <c r="BB360" s="197"/>
      <c r="BC360" s="197"/>
      <c r="BD360" s="197"/>
      <c r="BE360" s="197"/>
      <c r="BF360" s="197"/>
      <c r="BG360" s="197"/>
      <c r="BH360" s="197"/>
      <c r="BI360" s="197"/>
      <c r="BJ360" s="197"/>
      <c r="BK360" s="197"/>
      <c r="BL360" s="197"/>
      <c r="BM360" s="197"/>
      <c r="BN360" s="197"/>
      <c r="BO360" s="197"/>
      <c r="BP360" s="197"/>
    </row>
    <row r="361" spans="1:68" ht="20" customHeight="1" x14ac:dyDescent="0.15">
      <c r="A361" s="197"/>
      <c r="B361" s="197"/>
      <c r="C361" s="193"/>
      <c r="D361" s="197"/>
      <c r="E361" s="197"/>
      <c r="F361" s="214"/>
      <c r="G361" s="197"/>
      <c r="H361" s="197"/>
      <c r="I361" s="197"/>
      <c r="J361" s="197"/>
      <c r="K361" s="197"/>
      <c r="L361" s="197"/>
      <c r="M361" s="197"/>
      <c r="N361" s="197"/>
      <c r="O361" s="197"/>
      <c r="P361" s="197"/>
      <c r="Q361" s="197"/>
      <c r="R361" s="197"/>
      <c r="S361" s="197"/>
      <c r="T361" s="197"/>
      <c r="U361" s="197"/>
      <c r="V361" s="197"/>
      <c r="W361" s="197"/>
      <c r="X361" s="197"/>
      <c r="Y361" s="197"/>
      <c r="Z361" s="197"/>
      <c r="AA361" s="197"/>
      <c r="AB361" s="197"/>
      <c r="AC361" s="197"/>
      <c r="AD361" s="197"/>
      <c r="AE361" s="197"/>
      <c r="AF361" s="197"/>
      <c r="AG361" s="197"/>
      <c r="AH361" s="197"/>
      <c r="AI361" s="197"/>
      <c r="AJ361" s="197"/>
      <c r="AK361" s="197"/>
      <c r="AL361" s="197"/>
      <c r="AM361" s="197"/>
      <c r="AN361" s="197"/>
      <c r="AO361" s="197"/>
      <c r="AP361" s="197"/>
      <c r="AQ361" s="197"/>
      <c r="AR361" s="197"/>
      <c r="AS361" s="197"/>
      <c r="AT361" s="197"/>
      <c r="AU361" s="197"/>
      <c r="AV361" s="197"/>
      <c r="AW361" s="197"/>
      <c r="AX361" s="197"/>
      <c r="AY361" s="197"/>
      <c r="AZ361" s="197"/>
      <c r="BA361" s="197"/>
      <c r="BB361" s="197"/>
      <c r="BC361" s="197"/>
      <c r="BD361" s="197"/>
      <c r="BE361" s="197"/>
      <c r="BF361" s="197"/>
      <c r="BG361" s="197"/>
      <c r="BH361" s="197"/>
      <c r="BI361" s="197"/>
      <c r="BJ361" s="197"/>
      <c r="BK361" s="197"/>
      <c r="BL361" s="197"/>
      <c r="BM361" s="197"/>
      <c r="BN361" s="197"/>
      <c r="BO361" s="197"/>
      <c r="BP361" s="197"/>
    </row>
    <row r="362" spans="1:68" ht="20" customHeight="1" x14ac:dyDescent="0.15">
      <c r="A362" s="197"/>
      <c r="B362" s="197"/>
      <c r="C362" s="193"/>
      <c r="D362" s="197"/>
      <c r="E362" s="197"/>
      <c r="F362" s="214"/>
      <c r="G362" s="197"/>
      <c r="H362" s="197"/>
      <c r="I362" s="197"/>
      <c r="J362" s="197"/>
      <c r="K362" s="197"/>
      <c r="L362" s="197"/>
      <c r="M362" s="197"/>
      <c r="N362" s="197"/>
      <c r="O362" s="197"/>
      <c r="P362" s="197"/>
      <c r="Q362" s="197"/>
      <c r="R362" s="197"/>
      <c r="S362" s="197"/>
      <c r="T362" s="197"/>
      <c r="U362" s="197"/>
      <c r="V362" s="197"/>
      <c r="W362" s="197"/>
      <c r="X362" s="197"/>
      <c r="Y362" s="197"/>
      <c r="Z362" s="197"/>
      <c r="AA362" s="197"/>
      <c r="AB362" s="197"/>
      <c r="AC362" s="197"/>
      <c r="AD362" s="197"/>
      <c r="AE362" s="197"/>
      <c r="AF362" s="197"/>
      <c r="AG362" s="197"/>
      <c r="AH362" s="197"/>
      <c r="AI362" s="197"/>
      <c r="AJ362" s="197"/>
      <c r="AK362" s="197"/>
      <c r="AL362" s="197"/>
      <c r="AM362" s="197"/>
      <c r="AN362" s="197"/>
      <c r="AO362" s="197"/>
      <c r="AP362" s="197"/>
      <c r="AQ362" s="197"/>
      <c r="AR362" s="197"/>
      <c r="AS362" s="197"/>
      <c r="AT362" s="197"/>
      <c r="AU362" s="197"/>
      <c r="AV362" s="197"/>
      <c r="AW362" s="197"/>
      <c r="AX362" s="197"/>
      <c r="AY362" s="197"/>
      <c r="AZ362" s="197"/>
      <c r="BA362" s="197"/>
      <c r="BB362" s="197"/>
      <c r="BC362" s="197"/>
      <c r="BD362" s="197"/>
      <c r="BE362" s="197"/>
      <c r="BF362" s="197"/>
      <c r="BG362" s="197"/>
      <c r="BH362" s="197"/>
      <c r="BI362" s="197"/>
      <c r="BJ362" s="197"/>
      <c r="BK362" s="197"/>
      <c r="BL362" s="197"/>
      <c r="BM362" s="197"/>
      <c r="BN362" s="197"/>
      <c r="BO362" s="197"/>
      <c r="BP362" s="197"/>
    </row>
    <row r="363" spans="1:68" ht="20" customHeight="1" x14ac:dyDescent="0.15">
      <c r="A363" s="197"/>
      <c r="B363" s="197"/>
      <c r="C363" s="193"/>
      <c r="D363" s="197"/>
      <c r="E363" s="197"/>
      <c r="F363" s="214"/>
      <c r="G363" s="197"/>
      <c r="H363" s="197"/>
      <c r="I363" s="197"/>
      <c r="J363" s="197"/>
      <c r="K363" s="197"/>
      <c r="L363" s="197"/>
      <c r="M363" s="197"/>
      <c r="N363" s="197"/>
      <c r="O363" s="197"/>
      <c r="P363" s="197"/>
      <c r="Q363" s="197"/>
      <c r="R363" s="197"/>
      <c r="S363" s="197"/>
      <c r="T363" s="197"/>
      <c r="U363" s="197"/>
      <c r="V363" s="197"/>
      <c r="W363" s="197"/>
      <c r="X363" s="197"/>
      <c r="Y363" s="197"/>
      <c r="Z363" s="197"/>
      <c r="AA363" s="197"/>
      <c r="AB363" s="197"/>
      <c r="AC363" s="197"/>
      <c r="AD363" s="197"/>
      <c r="AE363" s="197"/>
      <c r="AF363" s="197"/>
      <c r="AG363" s="197"/>
      <c r="AH363" s="197"/>
      <c r="AI363" s="197"/>
      <c r="AJ363" s="197"/>
      <c r="AK363" s="197"/>
      <c r="AL363" s="197"/>
      <c r="AM363" s="197"/>
      <c r="AN363" s="197"/>
      <c r="AO363" s="197"/>
      <c r="AP363" s="197"/>
      <c r="AQ363" s="197"/>
      <c r="AR363" s="197"/>
      <c r="AS363" s="197"/>
      <c r="AT363" s="197"/>
      <c r="AU363" s="197"/>
      <c r="AV363" s="197"/>
      <c r="AW363" s="197"/>
      <c r="AX363" s="197"/>
      <c r="AY363" s="197"/>
      <c r="AZ363" s="197"/>
      <c r="BA363" s="197"/>
      <c r="BB363" s="197"/>
      <c r="BC363" s="197"/>
      <c r="BD363" s="197"/>
      <c r="BE363" s="197"/>
      <c r="BF363" s="197"/>
      <c r="BG363" s="197"/>
      <c r="BH363" s="197"/>
      <c r="BI363" s="197"/>
      <c r="BJ363" s="197"/>
      <c r="BK363" s="197"/>
      <c r="BL363" s="197"/>
      <c r="BM363" s="197"/>
      <c r="BN363" s="197"/>
      <c r="BO363" s="197"/>
      <c r="BP363" s="197"/>
    </row>
    <row r="364" spans="1:68" ht="20" customHeight="1" x14ac:dyDescent="0.15">
      <c r="A364" s="197"/>
      <c r="B364" s="197"/>
      <c r="C364" s="193"/>
      <c r="D364" s="197"/>
      <c r="E364" s="197"/>
      <c r="F364" s="214"/>
      <c r="G364" s="197"/>
      <c r="H364" s="197"/>
      <c r="I364" s="197"/>
      <c r="J364" s="197"/>
      <c r="K364" s="197"/>
      <c r="L364" s="197"/>
      <c r="M364" s="197"/>
      <c r="N364" s="197"/>
      <c r="O364" s="197"/>
      <c r="P364" s="197"/>
      <c r="Q364" s="197"/>
      <c r="R364" s="197"/>
      <c r="S364" s="197"/>
      <c r="T364" s="197"/>
      <c r="U364" s="197"/>
      <c r="V364" s="197"/>
      <c r="W364" s="197"/>
      <c r="X364" s="197"/>
      <c r="Y364" s="197"/>
      <c r="Z364" s="197"/>
      <c r="AA364" s="197"/>
      <c r="AB364" s="197"/>
      <c r="AC364" s="197"/>
      <c r="AD364" s="197"/>
      <c r="AE364" s="197"/>
      <c r="AF364" s="197"/>
      <c r="AG364" s="197"/>
      <c r="AH364" s="197"/>
      <c r="AI364" s="197"/>
      <c r="AJ364" s="197"/>
      <c r="AK364" s="197"/>
      <c r="AL364" s="197"/>
      <c r="AM364" s="197"/>
      <c r="AN364" s="197"/>
      <c r="AO364" s="197"/>
      <c r="AP364" s="197"/>
      <c r="AQ364" s="197"/>
      <c r="AR364" s="197"/>
      <c r="AS364" s="197"/>
      <c r="AT364" s="197"/>
      <c r="AU364" s="197"/>
      <c r="AV364" s="197"/>
      <c r="AW364" s="197"/>
      <c r="AX364" s="197"/>
      <c r="AY364" s="197"/>
      <c r="AZ364" s="197"/>
      <c r="BA364" s="197"/>
      <c r="BB364" s="197"/>
      <c r="BC364" s="197"/>
      <c r="BD364" s="197"/>
      <c r="BE364" s="197"/>
      <c r="BF364" s="197"/>
      <c r="BG364" s="197"/>
      <c r="BH364" s="197"/>
      <c r="BI364" s="197"/>
      <c r="BJ364" s="197"/>
      <c r="BK364" s="197"/>
      <c r="BL364" s="197"/>
      <c r="BM364" s="197"/>
      <c r="BN364" s="197"/>
      <c r="BO364" s="197"/>
      <c r="BP364" s="197"/>
    </row>
    <row r="365" spans="1:68" ht="20" customHeight="1" x14ac:dyDescent="0.15">
      <c r="A365" s="197"/>
      <c r="B365" s="197"/>
      <c r="C365" s="193"/>
      <c r="D365" s="197"/>
      <c r="E365" s="197"/>
      <c r="F365" s="214"/>
      <c r="G365" s="197"/>
      <c r="H365" s="197"/>
      <c r="I365" s="197"/>
      <c r="J365" s="197"/>
      <c r="K365" s="197"/>
      <c r="L365" s="197"/>
      <c r="M365" s="197"/>
      <c r="N365" s="197"/>
      <c r="O365" s="197"/>
      <c r="P365" s="197"/>
      <c r="Q365" s="197"/>
      <c r="R365" s="197"/>
      <c r="S365" s="197"/>
      <c r="T365" s="197"/>
      <c r="U365" s="197"/>
      <c r="V365" s="197"/>
      <c r="W365" s="197"/>
      <c r="X365" s="197"/>
      <c r="Y365" s="197"/>
      <c r="Z365" s="197"/>
      <c r="AA365" s="197"/>
      <c r="AB365" s="197"/>
      <c r="AC365" s="197"/>
      <c r="AD365" s="197"/>
      <c r="AE365" s="197"/>
      <c r="AF365" s="197"/>
      <c r="AG365" s="197"/>
      <c r="AH365" s="197"/>
      <c r="AI365" s="197"/>
      <c r="AJ365" s="197"/>
      <c r="AK365" s="197"/>
      <c r="AL365" s="197"/>
      <c r="AM365" s="197"/>
      <c r="AN365" s="197"/>
      <c r="AO365" s="197"/>
      <c r="AP365" s="197"/>
      <c r="AQ365" s="197"/>
      <c r="AR365" s="197"/>
      <c r="AS365" s="197"/>
      <c r="AT365" s="197"/>
      <c r="AU365" s="197"/>
      <c r="AV365" s="197"/>
      <c r="AW365" s="197"/>
      <c r="AX365" s="197"/>
      <c r="AY365" s="197"/>
      <c r="AZ365" s="197"/>
      <c r="BA365" s="197"/>
      <c r="BB365" s="197"/>
      <c r="BC365" s="197"/>
      <c r="BD365" s="197"/>
      <c r="BE365" s="197"/>
      <c r="BF365" s="197"/>
      <c r="BG365" s="197"/>
      <c r="BH365" s="197"/>
      <c r="BI365" s="197"/>
      <c r="BJ365" s="197"/>
      <c r="BK365" s="197"/>
      <c r="BL365" s="197"/>
      <c r="BM365" s="197"/>
      <c r="BN365" s="197"/>
      <c r="BO365" s="197"/>
      <c r="BP365" s="197"/>
    </row>
    <row r="366" spans="1:68" ht="20" customHeight="1" x14ac:dyDescent="0.15">
      <c r="A366" s="197"/>
      <c r="B366" s="197"/>
      <c r="C366" s="193"/>
      <c r="D366" s="197"/>
      <c r="E366" s="197"/>
      <c r="F366" s="214"/>
      <c r="G366" s="197"/>
      <c r="H366" s="197"/>
      <c r="I366" s="197"/>
      <c r="J366" s="197"/>
      <c r="K366" s="197"/>
      <c r="L366" s="197"/>
      <c r="M366" s="197"/>
      <c r="N366" s="197"/>
      <c r="O366" s="197"/>
      <c r="P366" s="197"/>
      <c r="Q366" s="197"/>
      <c r="R366" s="197"/>
      <c r="S366" s="197"/>
      <c r="T366" s="197"/>
      <c r="U366" s="197"/>
      <c r="V366" s="197"/>
      <c r="W366" s="197"/>
      <c r="X366" s="197"/>
      <c r="Y366" s="197"/>
      <c r="Z366" s="197"/>
      <c r="AA366" s="197"/>
      <c r="AB366" s="197"/>
      <c r="AC366" s="197"/>
      <c r="AD366" s="197"/>
      <c r="AE366" s="197"/>
      <c r="AF366" s="197"/>
      <c r="AG366" s="197"/>
      <c r="AH366" s="197"/>
      <c r="AI366" s="197"/>
      <c r="AJ366" s="197"/>
      <c r="AK366" s="197"/>
      <c r="AL366" s="197"/>
      <c r="AM366" s="197"/>
      <c r="AN366" s="197"/>
      <c r="AO366" s="197"/>
      <c r="AP366" s="197"/>
      <c r="AQ366" s="197"/>
      <c r="AR366" s="197"/>
      <c r="AS366" s="197"/>
      <c r="AT366" s="197"/>
      <c r="AU366" s="197"/>
      <c r="AV366" s="197"/>
      <c r="AW366" s="197"/>
      <c r="AX366" s="197"/>
      <c r="AY366" s="197"/>
      <c r="AZ366" s="197"/>
      <c r="BA366" s="197"/>
      <c r="BB366" s="197"/>
      <c r="BC366" s="197"/>
      <c r="BD366" s="197"/>
      <c r="BE366" s="197"/>
      <c r="BF366" s="197"/>
      <c r="BG366" s="197"/>
      <c r="BH366" s="197"/>
      <c r="BI366" s="197"/>
      <c r="BJ366" s="197"/>
      <c r="BK366" s="197"/>
      <c r="BL366" s="197"/>
      <c r="BM366" s="197"/>
      <c r="BN366" s="197"/>
      <c r="BO366" s="197"/>
      <c r="BP366" s="197"/>
    </row>
    <row r="367" spans="1:68" ht="20" customHeight="1" x14ac:dyDescent="0.15">
      <c r="A367" s="197"/>
      <c r="B367" s="197"/>
      <c r="C367" s="193"/>
      <c r="D367" s="197"/>
      <c r="E367" s="197"/>
      <c r="F367" s="214"/>
      <c r="G367" s="197"/>
      <c r="H367" s="197"/>
      <c r="I367" s="197"/>
      <c r="J367" s="197"/>
      <c r="K367" s="197"/>
      <c r="L367" s="197"/>
      <c r="M367" s="197"/>
      <c r="N367" s="197"/>
      <c r="O367" s="197"/>
      <c r="P367" s="197"/>
      <c r="Q367" s="197"/>
      <c r="R367" s="197"/>
      <c r="S367" s="197"/>
      <c r="T367" s="197"/>
      <c r="U367" s="197"/>
      <c r="V367" s="197"/>
      <c r="W367" s="197"/>
      <c r="X367" s="197"/>
      <c r="Y367" s="197"/>
      <c r="Z367" s="197"/>
      <c r="AA367" s="197"/>
      <c r="AB367" s="197"/>
      <c r="AC367" s="197"/>
      <c r="AD367" s="197"/>
      <c r="AE367" s="197"/>
      <c r="AF367" s="197"/>
      <c r="AG367" s="197"/>
      <c r="AH367" s="197"/>
      <c r="AI367" s="197"/>
      <c r="AJ367" s="197"/>
      <c r="AK367" s="197"/>
      <c r="AL367" s="197"/>
      <c r="AM367" s="197"/>
      <c r="AN367" s="197"/>
      <c r="AO367" s="197"/>
      <c r="AP367" s="197"/>
      <c r="AQ367" s="197"/>
      <c r="AR367" s="197"/>
      <c r="AS367" s="197"/>
      <c r="AT367" s="197"/>
      <c r="AU367" s="197"/>
      <c r="AV367" s="197"/>
      <c r="AW367" s="197"/>
      <c r="AX367" s="197"/>
      <c r="AY367" s="197"/>
      <c r="AZ367" s="197"/>
      <c r="BA367" s="197"/>
      <c r="BB367" s="197"/>
      <c r="BC367" s="197"/>
      <c r="BD367" s="197"/>
      <c r="BE367" s="197"/>
      <c r="BF367" s="197"/>
      <c r="BG367" s="197"/>
      <c r="BH367" s="197"/>
      <c r="BI367" s="197"/>
      <c r="BJ367" s="197"/>
      <c r="BK367" s="197"/>
      <c r="BL367" s="197"/>
      <c r="BM367" s="197"/>
      <c r="BN367" s="197"/>
      <c r="BO367" s="197"/>
      <c r="BP367" s="197"/>
    </row>
    <row r="368" spans="1:68" ht="20" customHeight="1" x14ac:dyDescent="0.15">
      <c r="A368" s="197"/>
      <c r="B368" s="197"/>
      <c r="C368" s="193"/>
      <c r="D368" s="197"/>
      <c r="E368" s="197"/>
      <c r="F368" s="214"/>
      <c r="G368" s="197"/>
      <c r="H368" s="197"/>
      <c r="I368" s="197"/>
      <c r="J368" s="197"/>
      <c r="K368" s="197"/>
      <c r="L368" s="197"/>
      <c r="M368" s="197"/>
      <c r="N368" s="197"/>
      <c r="O368" s="197"/>
      <c r="P368" s="197"/>
      <c r="Q368" s="197"/>
      <c r="R368" s="197"/>
      <c r="S368" s="197"/>
      <c r="T368" s="197"/>
      <c r="U368" s="197"/>
      <c r="V368" s="197"/>
      <c r="W368" s="197"/>
      <c r="X368" s="197"/>
      <c r="Y368" s="197"/>
      <c r="Z368" s="197"/>
      <c r="AA368" s="197"/>
      <c r="AB368" s="197"/>
      <c r="AC368" s="197"/>
      <c r="AD368" s="197"/>
      <c r="AE368" s="197"/>
      <c r="AF368" s="197"/>
      <c r="AG368" s="197"/>
      <c r="AH368" s="197"/>
      <c r="AI368" s="197"/>
      <c r="AJ368" s="197"/>
      <c r="AK368" s="197"/>
      <c r="AL368" s="197"/>
      <c r="AM368" s="197"/>
      <c r="AN368" s="197"/>
      <c r="AO368" s="197"/>
      <c r="AP368" s="197"/>
      <c r="AQ368" s="197"/>
      <c r="AR368" s="197"/>
      <c r="AS368" s="197"/>
      <c r="AT368" s="197"/>
      <c r="AU368" s="197"/>
      <c r="AV368" s="197"/>
      <c r="AW368" s="197"/>
      <c r="AX368" s="197"/>
      <c r="AY368" s="197"/>
      <c r="AZ368" s="197"/>
      <c r="BA368" s="197"/>
      <c r="BB368" s="197"/>
      <c r="BC368" s="197"/>
      <c r="BD368" s="197"/>
      <c r="BE368" s="197"/>
      <c r="BF368" s="197"/>
      <c r="BG368" s="197"/>
      <c r="BH368" s="197"/>
      <c r="BI368" s="197"/>
      <c r="BJ368" s="197"/>
      <c r="BK368" s="197"/>
      <c r="BL368" s="197"/>
      <c r="BM368" s="197"/>
      <c r="BN368" s="197"/>
      <c r="BO368" s="197"/>
      <c r="BP368" s="197"/>
    </row>
    <row r="369" spans="1:68" ht="20" customHeight="1" x14ac:dyDescent="0.15">
      <c r="A369" s="197"/>
      <c r="B369" s="197"/>
      <c r="C369" s="193"/>
      <c r="D369" s="197"/>
      <c r="E369" s="197"/>
      <c r="F369" s="214"/>
      <c r="G369" s="197"/>
      <c r="H369" s="197"/>
      <c r="I369" s="197"/>
      <c r="J369" s="197"/>
      <c r="K369" s="197"/>
      <c r="L369" s="197"/>
      <c r="M369" s="197"/>
      <c r="N369" s="197"/>
      <c r="O369" s="197"/>
      <c r="P369" s="197"/>
      <c r="Q369" s="197"/>
      <c r="R369" s="197"/>
      <c r="S369" s="197"/>
      <c r="T369" s="197"/>
      <c r="U369" s="197"/>
      <c r="V369" s="197"/>
      <c r="W369" s="197"/>
      <c r="X369" s="197"/>
      <c r="Y369" s="197"/>
      <c r="Z369" s="197"/>
      <c r="AA369" s="197"/>
      <c r="AB369" s="197"/>
      <c r="AC369" s="197"/>
      <c r="AD369" s="197"/>
      <c r="AE369" s="197"/>
      <c r="AF369" s="197"/>
      <c r="AG369" s="197"/>
      <c r="AH369" s="197"/>
      <c r="AI369" s="197"/>
      <c r="AJ369" s="197"/>
      <c r="AK369" s="197"/>
      <c r="AL369" s="197"/>
      <c r="AM369" s="197"/>
      <c r="AN369" s="197"/>
      <c r="AO369" s="197"/>
      <c r="AP369" s="197"/>
      <c r="AQ369" s="197"/>
      <c r="AR369" s="197"/>
      <c r="AS369" s="197"/>
      <c r="AT369" s="197"/>
      <c r="AU369" s="197"/>
      <c r="AV369" s="197"/>
      <c r="AW369" s="197"/>
      <c r="AX369" s="197"/>
      <c r="AY369" s="197"/>
      <c r="AZ369" s="197"/>
      <c r="BA369" s="197"/>
      <c r="BB369" s="197"/>
      <c r="BC369" s="197"/>
      <c r="BD369" s="197"/>
      <c r="BE369" s="197"/>
      <c r="BF369" s="197"/>
      <c r="BG369" s="197"/>
      <c r="BH369" s="197"/>
      <c r="BI369" s="197"/>
      <c r="BJ369" s="197"/>
      <c r="BK369" s="197"/>
      <c r="BL369" s="197"/>
      <c r="BM369" s="197"/>
      <c r="BN369" s="197"/>
      <c r="BO369" s="197"/>
      <c r="BP369" s="197"/>
    </row>
    <row r="370" spans="1:68" ht="20" customHeight="1" x14ac:dyDescent="0.15">
      <c r="A370" s="197"/>
      <c r="B370" s="197"/>
      <c r="C370" s="193"/>
      <c r="D370" s="197"/>
      <c r="E370" s="197"/>
      <c r="F370" s="214"/>
      <c r="G370" s="197"/>
      <c r="H370" s="197"/>
      <c r="I370" s="197"/>
      <c r="J370" s="197"/>
      <c r="K370" s="197"/>
      <c r="L370" s="197"/>
      <c r="M370" s="197"/>
      <c r="N370" s="197"/>
      <c r="O370" s="197"/>
      <c r="P370" s="197"/>
      <c r="Q370" s="197"/>
      <c r="R370" s="197"/>
      <c r="S370" s="197"/>
      <c r="T370" s="197"/>
      <c r="U370" s="197"/>
      <c r="V370" s="197"/>
      <c r="W370" s="197"/>
      <c r="X370" s="197"/>
      <c r="Y370" s="197"/>
      <c r="Z370" s="197"/>
      <c r="AA370" s="197"/>
      <c r="AB370" s="197"/>
      <c r="AC370" s="197"/>
      <c r="AD370" s="197"/>
      <c r="AE370" s="197"/>
      <c r="AF370" s="197"/>
      <c r="AG370" s="197"/>
      <c r="AH370" s="197"/>
      <c r="AI370" s="197"/>
      <c r="AJ370" s="197"/>
      <c r="AK370" s="197"/>
      <c r="AL370" s="197"/>
      <c r="AM370" s="197"/>
      <c r="AN370" s="197"/>
      <c r="AO370" s="197"/>
      <c r="AP370" s="197"/>
      <c r="AQ370" s="197"/>
      <c r="AR370" s="197"/>
      <c r="AS370" s="197"/>
      <c r="AT370" s="197"/>
      <c r="AU370" s="197"/>
      <c r="AV370" s="197"/>
      <c r="AW370" s="197"/>
      <c r="AX370" s="197"/>
      <c r="AY370" s="197"/>
      <c r="AZ370" s="197"/>
      <c r="BA370" s="197"/>
      <c r="BB370" s="197"/>
      <c r="BC370" s="197"/>
      <c r="BD370" s="197"/>
      <c r="BE370" s="197"/>
      <c r="BF370" s="197"/>
      <c r="BG370" s="197"/>
      <c r="BH370" s="197"/>
      <c r="BI370" s="197"/>
      <c r="BJ370" s="197"/>
      <c r="BK370" s="197"/>
      <c r="BL370" s="197"/>
      <c r="BM370" s="197"/>
      <c r="BN370" s="197"/>
      <c r="BO370" s="197"/>
      <c r="BP370" s="197"/>
    </row>
    <row r="371" spans="1:68" ht="20" customHeight="1" x14ac:dyDescent="0.15">
      <c r="A371" s="197"/>
      <c r="B371" s="197"/>
      <c r="C371" s="193"/>
      <c r="D371" s="197"/>
      <c r="E371" s="197"/>
      <c r="F371" s="214"/>
      <c r="G371" s="197"/>
      <c r="H371" s="197"/>
      <c r="I371" s="197"/>
      <c r="J371" s="197"/>
      <c r="K371" s="197"/>
      <c r="L371" s="197"/>
      <c r="M371" s="197"/>
      <c r="N371" s="197"/>
      <c r="O371" s="197"/>
      <c r="P371" s="197"/>
      <c r="Q371" s="197"/>
      <c r="R371" s="197"/>
      <c r="S371" s="197"/>
      <c r="T371" s="197"/>
      <c r="U371" s="197"/>
      <c r="V371" s="197"/>
      <c r="W371" s="197"/>
      <c r="X371" s="197"/>
      <c r="Y371" s="197"/>
      <c r="Z371" s="197"/>
      <c r="AA371" s="197"/>
      <c r="AB371" s="197"/>
      <c r="AC371" s="197"/>
      <c r="AD371" s="197"/>
      <c r="AE371" s="197"/>
      <c r="AF371" s="197"/>
      <c r="AG371" s="197"/>
      <c r="AH371" s="197"/>
      <c r="AI371" s="197"/>
      <c r="AJ371" s="197"/>
      <c r="AK371" s="197"/>
      <c r="AL371" s="197"/>
      <c r="AM371" s="197"/>
      <c r="AN371" s="197"/>
      <c r="AO371" s="197"/>
      <c r="AP371" s="197"/>
      <c r="AQ371" s="197"/>
      <c r="AR371" s="197"/>
      <c r="AS371" s="197"/>
      <c r="AT371" s="197"/>
      <c r="AU371" s="197"/>
      <c r="AV371" s="197"/>
      <c r="AW371" s="197"/>
      <c r="AX371" s="197"/>
      <c r="AY371" s="197"/>
      <c r="AZ371" s="197"/>
      <c r="BA371" s="197"/>
      <c r="BB371" s="197"/>
      <c r="BC371" s="197"/>
      <c r="BD371" s="197"/>
      <c r="BE371" s="197"/>
      <c r="BF371" s="197"/>
      <c r="BG371" s="197"/>
      <c r="BH371" s="197"/>
      <c r="BI371" s="197"/>
      <c r="BJ371" s="197"/>
      <c r="BK371" s="197"/>
      <c r="BL371" s="197"/>
      <c r="BM371" s="197"/>
      <c r="BN371" s="197"/>
      <c r="BO371" s="197"/>
      <c r="BP371" s="197"/>
    </row>
    <row r="372" spans="1:68" ht="20" customHeight="1" x14ac:dyDescent="0.15">
      <c r="A372" s="197"/>
      <c r="B372" s="197"/>
      <c r="C372" s="193"/>
      <c r="D372" s="197"/>
      <c r="E372" s="197"/>
      <c r="F372" s="214"/>
      <c r="G372" s="197"/>
      <c r="H372" s="197"/>
      <c r="I372" s="197"/>
      <c r="J372" s="197"/>
      <c r="K372" s="197"/>
      <c r="L372" s="197"/>
      <c r="M372" s="197"/>
      <c r="N372" s="197"/>
      <c r="O372" s="197"/>
      <c r="P372" s="197"/>
      <c r="Q372" s="197"/>
      <c r="R372" s="197"/>
      <c r="S372" s="197"/>
      <c r="T372" s="197"/>
      <c r="U372" s="197"/>
      <c r="V372" s="197"/>
      <c r="W372" s="197"/>
      <c r="X372" s="197"/>
      <c r="Y372" s="197"/>
      <c r="Z372" s="197"/>
      <c r="AA372" s="197"/>
      <c r="AB372" s="197"/>
      <c r="AC372" s="197"/>
      <c r="AD372" s="197"/>
      <c r="AE372" s="197"/>
      <c r="AF372" s="197"/>
      <c r="AG372" s="197"/>
      <c r="AH372" s="197"/>
      <c r="AI372" s="197"/>
      <c r="AJ372" s="197"/>
      <c r="AK372" s="197"/>
      <c r="AL372" s="197"/>
      <c r="AM372" s="197"/>
      <c r="AN372" s="197"/>
      <c r="AO372" s="197"/>
      <c r="AP372" s="197"/>
      <c r="AQ372" s="197"/>
      <c r="AR372" s="197"/>
      <c r="AS372" s="197"/>
      <c r="AT372" s="197"/>
      <c r="AU372" s="197"/>
      <c r="AV372" s="197"/>
      <c r="AW372" s="197"/>
      <c r="AX372" s="197"/>
      <c r="AY372" s="197"/>
      <c r="AZ372" s="197"/>
      <c r="BA372" s="197"/>
      <c r="BB372" s="197"/>
      <c r="BC372" s="197"/>
      <c r="BD372" s="197"/>
      <c r="BE372" s="197"/>
      <c r="BF372" s="197"/>
      <c r="BG372" s="197"/>
      <c r="BH372" s="197"/>
      <c r="BI372" s="197"/>
      <c r="BJ372" s="197"/>
      <c r="BK372" s="197"/>
      <c r="BL372" s="197"/>
      <c r="BM372" s="197"/>
      <c r="BN372" s="197"/>
      <c r="BO372" s="197"/>
      <c r="BP372" s="197"/>
    </row>
    <row r="373" spans="1:68" ht="20" customHeight="1" x14ac:dyDescent="0.15">
      <c r="A373" s="197"/>
      <c r="B373" s="197"/>
      <c r="C373" s="193"/>
      <c r="D373" s="197"/>
      <c r="E373" s="197"/>
      <c r="F373" s="214"/>
      <c r="G373" s="197"/>
      <c r="H373" s="197"/>
      <c r="I373" s="197"/>
      <c r="J373" s="197"/>
      <c r="K373" s="197"/>
      <c r="L373" s="197"/>
      <c r="M373" s="197"/>
      <c r="N373" s="197"/>
      <c r="O373" s="197"/>
      <c r="P373" s="197"/>
      <c r="Q373" s="197"/>
      <c r="R373" s="197"/>
      <c r="S373" s="197"/>
      <c r="T373" s="197"/>
      <c r="U373" s="197"/>
      <c r="V373" s="197"/>
      <c r="W373" s="197"/>
      <c r="X373" s="197"/>
      <c r="Y373" s="197"/>
      <c r="Z373" s="197"/>
      <c r="AA373" s="197"/>
      <c r="AB373" s="197"/>
      <c r="AC373" s="197"/>
      <c r="AD373" s="197"/>
      <c r="AE373" s="197"/>
      <c r="AF373" s="197"/>
      <c r="AG373" s="197"/>
      <c r="AH373" s="197"/>
      <c r="AI373" s="197"/>
      <c r="AJ373" s="197"/>
      <c r="AK373" s="197"/>
      <c r="AL373" s="197"/>
      <c r="AM373" s="197"/>
      <c r="AN373" s="197"/>
      <c r="AO373" s="197"/>
      <c r="AP373" s="197"/>
      <c r="AQ373" s="197"/>
      <c r="AR373" s="197"/>
      <c r="AS373" s="197"/>
      <c r="AT373" s="197"/>
      <c r="AU373" s="197"/>
      <c r="AV373" s="197"/>
      <c r="AW373" s="197"/>
      <c r="AX373" s="197"/>
      <c r="AY373" s="197"/>
      <c r="AZ373" s="197"/>
      <c r="BA373" s="197"/>
      <c r="BB373" s="197"/>
      <c r="BC373" s="197"/>
      <c r="BD373" s="197"/>
      <c r="BE373" s="197"/>
      <c r="BF373" s="197"/>
      <c r="BG373" s="197"/>
      <c r="BH373" s="197"/>
      <c r="BI373" s="197"/>
      <c r="BJ373" s="197"/>
      <c r="BK373" s="197"/>
      <c r="BL373" s="197"/>
      <c r="BM373" s="197"/>
      <c r="BN373" s="197"/>
      <c r="BO373" s="197"/>
      <c r="BP373" s="197"/>
    </row>
    <row r="374" spans="1:68" ht="20" customHeight="1" x14ac:dyDescent="0.15">
      <c r="A374" s="197"/>
      <c r="B374" s="197"/>
      <c r="C374" s="193"/>
      <c r="D374" s="197"/>
      <c r="E374" s="197"/>
      <c r="F374" s="214"/>
      <c r="G374" s="197"/>
      <c r="H374" s="197"/>
      <c r="I374" s="197"/>
      <c r="J374" s="197"/>
      <c r="K374" s="197"/>
      <c r="L374" s="197"/>
      <c r="M374" s="197"/>
      <c r="N374" s="197"/>
      <c r="O374" s="197"/>
      <c r="P374" s="197"/>
      <c r="Q374" s="197"/>
      <c r="R374" s="197"/>
      <c r="S374" s="197"/>
      <c r="T374" s="197"/>
      <c r="U374" s="197"/>
      <c r="V374" s="197"/>
      <c r="W374" s="197"/>
      <c r="X374" s="197"/>
      <c r="Y374" s="197"/>
      <c r="Z374" s="197"/>
      <c r="AA374" s="197"/>
      <c r="AB374" s="197"/>
      <c r="AC374" s="197"/>
      <c r="AD374" s="197"/>
      <c r="AE374" s="197"/>
      <c r="AF374" s="197"/>
      <c r="AG374" s="197"/>
      <c r="AH374" s="197"/>
      <c r="AI374" s="197"/>
      <c r="AJ374" s="197"/>
      <c r="AK374" s="197"/>
      <c r="AL374" s="197"/>
      <c r="AM374" s="197"/>
      <c r="AN374" s="197"/>
      <c r="AO374" s="197"/>
      <c r="AP374" s="197"/>
      <c r="AQ374" s="197"/>
      <c r="AR374" s="197"/>
      <c r="AS374" s="197"/>
      <c r="AT374" s="197"/>
      <c r="AU374" s="197"/>
      <c r="AV374" s="197"/>
      <c r="AW374" s="197"/>
      <c r="AX374" s="197"/>
      <c r="AY374" s="197"/>
      <c r="AZ374" s="197"/>
      <c r="BA374" s="197"/>
      <c r="BB374" s="197"/>
      <c r="BC374" s="197"/>
      <c r="BD374" s="197"/>
      <c r="BE374" s="197"/>
      <c r="BF374" s="197"/>
      <c r="BG374" s="197"/>
      <c r="BH374" s="197"/>
      <c r="BI374" s="197"/>
      <c r="BJ374" s="197"/>
      <c r="BK374" s="197"/>
      <c r="BL374" s="197"/>
      <c r="BM374" s="197"/>
      <c r="BN374" s="197"/>
      <c r="BO374" s="197"/>
      <c r="BP374" s="197"/>
    </row>
    <row r="375" spans="1:68" ht="20" customHeight="1" x14ac:dyDescent="0.15">
      <c r="A375" s="197"/>
      <c r="B375" s="197"/>
      <c r="C375" s="193"/>
      <c r="D375" s="197"/>
      <c r="E375" s="197"/>
      <c r="F375" s="214"/>
      <c r="G375" s="197"/>
      <c r="H375" s="197"/>
      <c r="I375" s="197"/>
      <c r="J375" s="197"/>
      <c r="K375" s="197"/>
      <c r="L375" s="197"/>
      <c r="M375" s="197"/>
      <c r="N375" s="197"/>
      <c r="O375" s="197"/>
      <c r="P375" s="197"/>
      <c r="Q375" s="197"/>
      <c r="R375" s="197"/>
      <c r="S375" s="197"/>
      <c r="T375" s="197"/>
      <c r="U375" s="197"/>
      <c r="V375" s="197"/>
      <c r="W375" s="197"/>
      <c r="X375" s="197"/>
      <c r="Y375" s="197"/>
      <c r="Z375" s="197"/>
      <c r="AA375" s="197"/>
      <c r="AB375" s="197"/>
      <c r="AC375" s="197"/>
      <c r="AD375" s="197"/>
      <c r="AE375" s="197"/>
      <c r="AF375" s="197"/>
      <c r="AG375" s="197"/>
      <c r="AH375" s="197"/>
      <c r="AI375" s="197"/>
      <c r="AJ375" s="197"/>
      <c r="AK375" s="197"/>
      <c r="AL375" s="197"/>
      <c r="AM375" s="197"/>
      <c r="AN375" s="197"/>
      <c r="AO375" s="197"/>
      <c r="AP375" s="197"/>
      <c r="AQ375" s="197"/>
      <c r="AR375" s="197"/>
      <c r="AS375" s="197"/>
      <c r="AT375" s="197"/>
      <c r="AU375" s="197"/>
      <c r="AV375" s="197"/>
      <c r="AW375" s="197"/>
      <c r="AX375" s="197"/>
      <c r="AY375" s="197"/>
      <c r="AZ375" s="197"/>
      <c r="BA375" s="197"/>
      <c r="BB375" s="197"/>
      <c r="BC375" s="197"/>
      <c r="BD375" s="197"/>
      <c r="BE375" s="197"/>
      <c r="BF375" s="197"/>
      <c r="BG375" s="197"/>
      <c r="BH375" s="197"/>
      <c r="BI375" s="197"/>
      <c r="BJ375" s="197"/>
      <c r="BK375" s="197"/>
      <c r="BL375" s="197"/>
      <c r="BM375" s="197"/>
      <c r="BN375" s="197"/>
      <c r="BO375" s="197"/>
      <c r="BP375" s="197"/>
    </row>
    <row r="376" spans="1:68" ht="20" customHeight="1" x14ac:dyDescent="0.15">
      <c r="A376" s="197"/>
      <c r="B376" s="197"/>
      <c r="C376" s="193"/>
      <c r="D376" s="197"/>
      <c r="E376" s="197"/>
      <c r="F376" s="214"/>
      <c r="G376" s="197"/>
      <c r="H376" s="197"/>
      <c r="I376" s="197"/>
      <c r="J376" s="197"/>
      <c r="K376" s="197"/>
      <c r="L376" s="197"/>
      <c r="M376" s="197"/>
      <c r="N376" s="197"/>
      <c r="O376" s="197"/>
      <c r="P376" s="197"/>
      <c r="Q376" s="197"/>
      <c r="R376" s="197"/>
      <c r="S376" s="197"/>
      <c r="T376" s="197"/>
      <c r="U376" s="197"/>
      <c r="V376" s="197"/>
      <c r="W376" s="197"/>
      <c r="X376" s="197"/>
      <c r="Y376" s="197"/>
      <c r="Z376" s="197"/>
      <c r="AA376" s="197"/>
      <c r="AB376" s="197"/>
      <c r="AC376" s="197"/>
      <c r="AD376" s="197"/>
      <c r="AE376" s="197"/>
      <c r="AF376" s="197"/>
      <c r="AG376" s="197"/>
      <c r="AH376" s="197"/>
      <c r="AI376" s="197"/>
      <c r="AJ376" s="197"/>
      <c r="AK376" s="197"/>
      <c r="AL376" s="197"/>
      <c r="AM376" s="197"/>
      <c r="AN376" s="197"/>
      <c r="AO376" s="197"/>
      <c r="AP376" s="197"/>
      <c r="AQ376" s="197"/>
      <c r="AR376" s="197"/>
      <c r="AS376" s="197"/>
      <c r="AT376" s="197"/>
      <c r="AU376" s="197"/>
      <c r="AV376" s="197"/>
      <c r="AW376" s="197"/>
      <c r="AX376" s="197"/>
      <c r="AY376" s="197"/>
      <c r="AZ376" s="197"/>
      <c r="BA376" s="197"/>
      <c r="BB376" s="197"/>
      <c r="BC376" s="197"/>
      <c r="BD376" s="197"/>
      <c r="BE376" s="197"/>
      <c r="BF376" s="197"/>
      <c r="BG376" s="197"/>
      <c r="BH376" s="197"/>
      <c r="BI376" s="197"/>
      <c r="BJ376" s="197"/>
      <c r="BK376" s="197"/>
      <c r="BL376" s="197"/>
      <c r="BM376" s="197"/>
      <c r="BN376" s="197"/>
      <c r="BO376" s="197"/>
      <c r="BP376" s="197"/>
    </row>
    <row r="377" spans="1:68" ht="20" customHeight="1" x14ac:dyDescent="0.15">
      <c r="A377" s="197"/>
      <c r="B377" s="197"/>
      <c r="C377" s="193"/>
      <c r="D377" s="197"/>
      <c r="E377" s="197"/>
      <c r="F377" s="214"/>
      <c r="G377" s="197"/>
      <c r="H377" s="197"/>
      <c r="I377" s="197"/>
      <c r="J377" s="197"/>
      <c r="K377" s="197"/>
      <c r="L377" s="197"/>
      <c r="M377" s="197"/>
      <c r="N377" s="197"/>
      <c r="O377" s="197"/>
      <c r="P377" s="197"/>
      <c r="Q377" s="197"/>
      <c r="R377" s="197"/>
      <c r="S377" s="197"/>
      <c r="T377" s="197"/>
      <c r="U377" s="197"/>
      <c r="V377" s="197"/>
      <c r="W377" s="197"/>
      <c r="X377" s="197"/>
      <c r="Y377" s="197"/>
      <c r="Z377" s="197"/>
      <c r="AA377" s="197"/>
      <c r="AB377" s="197"/>
      <c r="AC377" s="197"/>
      <c r="AD377" s="197"/>
      <c r="AE377" s="197"/>
      <c r="AF377" s="197"/>
      <c r="AG377" s="197"/>
      <c r="AH377" s="197"/>
      <c r="AI377" s="197"/>
      <c r="AJ377" s="197"/>
      <c r="AK377" s="197"/>
      <c r="AL377" s="197"/>
      <c r="AM377" s="197"/>
      <c r="AN377" s="197"/>
      <c r="AO377" s="197"/>
      <c r="AP377" s="197"/>
      <c r="AQ377" s="197"/>
      <c r="AR377" s="197"/>
      <c r="AS377" s="197"/>
      <c r="AT377" s="197"/>
      <c r="AU377" s="197"/>
      <c r="AV377" s="197"/>
      <c r="AW377" s="197"/>
      <c r="AX377" s="197"/>
      <c r="AY377" s="197"/>
      <c r="AZ377" s="197"/>
      <c r="BA377" s="197"/>
      <c r="BB377" s="197"/>
      <c r="BC377" s="197"/>
      <c r="BD377" s="197"/>
      <c r="BE377" s="197"/>
      <c r="BF377" s="197"/>
      <c r="BG377" s="197"/>
      <c r="BH377" s="197"/>
      <c r="BI377" s="197"/>
      <c r="BJ377" s="197"/>
      <c r="BK377" s="197"/>
      <c r="BL377" s="197"/>
      <c r="BM377" s="197"/>
      <c r="BN377" s="197"/>
      <c r="BO377" s="197"/>
      <c r="BP377" s="197"/>
    </row>
    <row r="378" spans="1:68" ht="20" customHeight="1" x14ac:dyDescent="0.15">
      <c r="A378" s="197"/>
      <c r="B378" s="197"/>
      <c r="C378" s="193"/>
      <c r="D378" s="197"/>
      <c r="E378" s="197"/>
      <c r="F378" s="214"/>
      <c r="G378" s="197"/>
      <c r="H378" s="197"/>
      <c r="I378" s="197"/>
      <c r="J378" s="197"/>
      <c r="K378" s="197"/>
      <c r="L378" s="197"/>
      <c r="M378" s="197"/>
      <c r="N378" s="197"/>
      <c r="O378" s="197"/>
      <c r="P378" s="197"/>
      <c r="Q378" s="197"/>
      <c r="R378" s="197"/>
      <c r="S378" s="197"/>
      <c r="T378" s="197"/>
      <c r="U378" s="197"/>
      <c r="V378" s="197"/>
      <c r="W378" s="197"/>
      <c r="X378" s="197"/>
      <c r="Y378" s="197"/>
      <c r="Z378" s="197"/>
      <c r="AA378" s="197"/>
      <c r="AB378" s="197"/>
      <c r="AC378" s="197"/>
      <c r="AD378" s="197"/>
      <c r="AE378" s="197"/>
      <c r="AF378" s="197"/>
      <c r="AG378" s="197"/>
      <c r="AH378" s="197"/>
      <c r="AI378" s="197"/>
      <c r="AJ378" s="197"/>
      <c r="AK378" s="197"/>
      <c r="AL378" s="197"/>
      <c r="AM378" s="197"/>
      <c r="AN378" s="197"/>
      <c r="AO378" s="197"/>
      <c r="AP378" s="197"/>
      <c r="AQ378" s="197"/>
      <c r="AR378" s="197"/>
      <c r="AS378" s="197"/>
      <c r="AT378" s="197"/>
      <c r="AU378" s="197"/>
      <c r="AV378" s="197"/>
      <c r="AW378" s="197"/>
      <c r="AX378" s="197"/>
      <c r="AY378" s="197"/>
      <c r="AZ378" s="197"/>
      <c r="BA378" s="197"/>
      <c r="BB378" s="197"/>
      <c r="BC378" s="197"/>
      <c r="BD378" s="197"/>
      <c r="BE378" s="197"/>
      <c r="BF378" s="197"/>
      <c r="BG378" s="197"/>
      <c r="BH378" s="197"/>
      <c r="BI378" s="197"/>
      <c r="BJ378" s="197"/>
      <c r="BK378" s="197"/>
      <c r="BL378" s="197"/>
      <c r="BM378" s="197"/>
      <c r="BN378" s="197"/>
      <c r="BO378" s="197"/>
      <c r="BP378" s="197"/>
    </row>
    <row r="379" spans="1:68" ht="20" customHeight="1" x14ac:dyDescent="0.15">
      <c r="A379" s="197"/>
      <c r="B379" s="197"/>
      <c r="C379" s="193"/>
      <c r="D379" s="197"/>
      <c r="E379" s="197"/>
      <c r="F379" s="214"/>
      <c r="G379" s="197"/>
      <c r="H379" s="197"/>
      <c r="I379" s="197"/>
      <c r="J379" s="197"/>
      <c r="K379" s="197"/>
      <c r="L379" s="197"/>
      <c r="M379" s="197"/>
      <c r="N379" s="197"/>
      <c r="O379" s="197"/>
      <c r="P379" s="197"/>
      <c r="Q379" s="197"/>
      <c r="R379" s="197"/>
      <c r="S379" s="197"/>
      <c r="T379" s="197"/>
      <c r="U379" s="197"/>
      <c r="V379" s="197"/>
      <c r="W379" s="197"/>
      <c r="X379" s="197"/>
      <c r="Y379" s="197"/>
      <c r="Z379" s="197"/>
      <c r="AA379" s="197"/>
      <c r="AB379" s="197"/>
      <c r="AC379" s="197"/>
      <c r="AD379" s="197"/>
      <c r="AE379" s="197"/>
      <c r="AF379" s="197"/>
      <c r="AG379" s="197"/>
      <c r="AH379" s="197"/>
      <c r="AI379" s="197"/>
      <c r="AJ379" s="197"/>
      <c r="AK379" s="197"/>
      <c r="AL379" s="197"/>
      <c r="AM379" s="197"/>
      <c r="AN379" s="197"/>
      <c r="AO379" s="197"/>
      <c r="AP379" s="197"/>
      <c r="AQ379" s="197"/>
      <c r="AR379" s="197"/>
      <c r="AS379" s="197"/>
      <c r="AT379" s="197"/>
      <c r="AU379" s="197"/>
      <c r="AV379" s="197"/>
      <c r="AW379" s="197"/>
      <c r="AX379" s="197"/>
      <c r="AY379" s="197"/>
      <c r="AZ379" s="197"/>
      <c r="BA379" s="197"/>
      <c r="BB379" s="197"/>
      <c r="BC379" s="197"/>
      <c r="BD379" s="197"/>
      <c r="BE379" s="197"/>
      <c r="BF379" s="197"/>
      <c r="BG379" s="197"/>
      <c r="BH379" s="197"/>
      <c r="BI379" s="197"/>
      <c r="BJ379" s="197"/>
      <c r="BK379" s="197"/>
      <c r="BL379" s="197"/>
      <c r="BM379" s="197"/>
      <c r="BN379" s="197"/>
      <c r="BO379" s="197"/>
      <c r="BP379" s="197"/>
    </row>
    <row r="380" spans="1:68" ht="20" customHeight="1" x14ac:dyDescent="0.15">
      <c r="A380" s="197"/>
      <c r="B380" s="197"/>
      <c r="C380" s="193"/>
      <c r="D380" s="197"/>
      <c r="E380" s="197"/>
      <c r="F380" s="214"/>
      <c r="G380" s="197"/>
      <c r="H380" s="197"/>
      <c r="I380" s="197"/>
      <c r="J380" s="197"/>
      <c r="K380" s="197"/>
      <c r="L380" s="197"/>
      <c r="M380" s="197"/>
      <c r="N380" s="197"/>
      <c r="O380" s="197"/>
      <c r="P380" s="197"/>
      <c r="Q380" s="197"/>
      <c r="R380" s="197"/>
      <c r="S380" s="197"/>
      <c r="T380" s="197"/>
      <c r="U380" s="197"/>
      <c r="V380" s="197"/>
      <c r="W380" s="197"/>
      <c r="X380" s="197"/>
      <c r="Y380" s="197"/>
      <c r="Z380" s="197"/>
      <c r="AA380" s="197"/>
      <c r="AB380" s="197"/>
      <c r="AC380" s="197"/>
      <c r="AD380" s="197"/>
      <c r="AE380" s="197"/>
      <c r="AF380" s="197"/>
      <c r="AG380" s="197"/>
      <c r="AH380" s="197"/>
      <c r="AI380" s="197"/>
      <c r="AJ380" s="197"/>
      <c r="AK380" s="197"/>
      <c r="AL380" s="197"/>
      <c r="AM380" s="197"/>
      <c r="AN380" s="197"/>
      <c r="AO380" s="197"/>
      <c r="AP380" s="197"/>
      <c r="AQ380" s="197"/>
      <c r="AR380" s="197"/>
      <c r="AS380" s="197"/>
      <c r="AT380" s="197"/>
      <c r="AU380" s="197"/>
      <c r="AV380" s="197"/>
      <c r="AW380" s="197"/>
      <c r="AX380" s="197"/>
      <c r="AY380" s="197"/>
      <c r="AZ380" s="197"/>
      <c r="BA380" s="197"/>
      <c r="BB380" s="197"/>
      <c r="BC380" s="197"/>
      <c r="BD380" s="197"/>
      <c r="BE380" s="197"/>
      <c r="BF380" s="197"/>
      <c r="BG380" s="197"/>
      <c r="BH380" s="197"/>
      <c r="BI380" s="197"/>
      <c r="BJ380" s="197"/>
      <c r="BK380" s="197"/>
      <c r="BL380" s="197"/>
      <c r="BM380" s="197"/>
      <c r="BN380" s="197"/>
      <c r="BO380" s="197"/>
      <c r="BP380" s="197"/>
    </row>
    <row r="381" spans="1:68" ht="20" customHeight="1" x14ac:dyDescent="0.15">
      <c r="A381" s="197"/>
      <c r="B381" s="197"/>
      <c r="C381" s="193"/>
      <c r="D381" s="197"/>
      <c r="E381" s="197"/>
      <c r="F381" s="214"/>
      <c r="G381" s="197"/>
      <c r="H381" s="197"/>
      <c r="I381" s="197"/>
      <c r="J381" s="197"/>
      <c r="K381" s="197"/>
      <c r="L381" s="197"/>
      <c r="M381" s="197"/>
      <c r="N381" s="197"/>
      <c r="O381" s="197"/>
      <c r="P381" s="197"/>
      <c r="Q381" s="197"/>
      <c r="R381" s="197"/>
      <c r="S381" s="197"/>
      <c r="T381" s="197"/>
      <c r="U381" s="197"/>
      <c r="V381" s="197"/>
      <c r="W381" s="197"/>
      <c r="X381" s="197"/>
      <c r="Y381" s="197"/>
      <c r="Z381" s="197"/>
      <c r="AA381" s="197"/>
      <c r="AB381" s="197"/>
      <c r="AC381" s="197"/>
      <c r="AD381" s="197"/>
      <c r="AE381" s="197"/>
      <c r="AF381" s="197"/>
      <c r="AG381" s="197"/>
      <c r="AH381" s="197"/>
      <c r="AI381" s="197"/>
      <c r="AJ381" s="197"/>
      <c r="AK381" s="197"/>
      <c r="AL381" s="197"/>
      <c r="AM381" s="197"/>
      <c r="AN381" s="197"/>
      <c r="AO381" s="197"/>
      <c r="AP381" s="197"/>
      <c r="AQ381" s="197"/>
      <c r="AR381" s="197"/>
      <c r="AS381" s="197"/>
      <c r="AT381" s="197"/>
      <c r="AU381" s="197"/>
      <c r="AV381" s="197"/>
      <c r="AW381" s="197"/>
      <c r="AX381" s="197"/>
      <c r="AY381" s="197"/>
      <c r="AZ381" s="197"/>
      <c r="BA381" s="197"/>
      <c r="BB381" s="197"/>
      <c r="BC381" s="197"/>
      <c r="BD381" s="197"/>
      <c r="BE381" s="197"/>
      <c r="BF381" s="197"/>
      <c r="BG381" s="197"/>
      <c r="BH381" s="197"/>
      <c r="BI381" s="197"/>
      <c r="BJ381" s="197"/>
      <c r="BK381" s="197"/>
      <c r="BL381" s="197"/>
      <c r="BM381" s="197"/>
      <c r="BN381" s="197"/>
      <c r="BO381" s="197"/>
      <c r="BP381" s="197"/>
    </row>
    <row r="382" spans="1:68" ht="20" customHeight="1" x14ac:dyDescent="0.15">
      <c r="A382" s="197"/>
      <c r="B382" s="197"/>
      <c r="C382" s="193"/>
      <c r="D382" s="197"/>
      <c r="E382" s="197"/>
      <c r="F382" s="214"/>
      <c r="G382" s="197"/>
      <c r="H382" s="197"/>
      <c r="I382" s="197"/>
      <c r="J382" s="197"/>
      <c r="K382" s="197"/>
      <c r="L382" s="197"/>
      <c r="M382" s="197"/>
      <c r="N382" s="197"/>
      <c r="O382" s="197"/>
      <c r="P382" s="197"/>
      <c r="Q382" s="197"/>
      <c r="R382" s="197"/>
      <c r="S382" s="197"/>
      <c r="T382" s="197"/>
      <c r="U382" s="197"/>
      <c r="V382" s="197"/>
      <c r="W382" s="197"/>
      <c r="X382" s="197"/>
      <c r="Y382" s="197"/>
      <c r="Z382" s="197"/>
      <c r="AA382" s="197"/>
      <c r="AB382" s="197"/>
      <c r="AC382" s="197"/>
      <c r="AD382" s="197"/>
      <c r="AE382" s="197"/>
      <c r="AF382" s="197"/>
      <c r="AG382" s="197"/>
      <c r="AH382" s="197"/>
      <c r="AI382" s="197"/>
      <c r="AJ382" s="197"/>
      <c r="AK382" s="197"/>
      <c r="AL382" s="197"/>
      <c r="AM382" s="197"/>
      <c r="AN382" s="197"/>
      <c r="AO382" s="197"/>
      <c r="AP382" s="197"/>
      <c r="AQ382" s="197"/>
      <c r="AR382" s="197"/>
      <c r="AS382" s="197"/>
      <c r="AT382" s="197"/>
      <c r="AU382" s="197"/>
      <c r="AV382" s="197"/>
      <c r="AW382" s="197"/>
      <c r="AX382" s="197"/>
      <c r="AY382" s="197"/>
      <c r="AZ382" s="197"/>
      <c r="BA382" s="197"/>
      <c r="BB382" s="197"/>
      <c r="BC382" s="197"/>
      <c r="BD382" s="197"/>
      <c r="BE382" s="197"/>
      <c r="BF382" s="197"/>
      <c r="BG382" s="197"/>
      <c r="BH382" s="197"/>
      <c r="BI382" s="197"/>
      <c r="BJ382" s="197"/>
      <c r="BK382" s="197"/>
      <c r="BL382" s="197"/>
      <c r="BM382" s="197"/>
      <c r="BN382" s="197"/>
      <c r="BO382" s="197"/>
      <c r="BP382" s="197"/>
    </row>
    <row r="383" spans="1:68" ht="20" customHeight="1" x14ac:dyDescent="0.15">
      <c r="A383" s="197"/>
      <c r="B383" s="197"/>
      <c r="C383" s="193"/>
      <c r="D383" s="197"/>
      <c r="E383" s="197"/>
      <c r="F383" s="214"/>
      <c r="G383" s="197"/>
      <c r="H383" s="197"/>
      <c r="I383" s="197"/>
      <c r="J383" s="197"/>
      <c r="K383" s="197"/>
      <c r="L383" s="197"/>
      <c r="M383" s="197"/>
      <c r="N383" s="197"/>
      <c r="O383" s="197"/>
      <c r="P383" s="197"/>
      <c r="Q383" s="197"/>
      <c r="R383" s="197"/>
      <c r="S383" s="197"/>
      <c r="T383" s="197"/>
      <c r="U383" s="197"/>
      <c r="V383" s="197"/>
      <c r="W383" s="197"/>
      <c r="X383" s="197"/>
      <c r="Y383" s="197"/>
      <c r="Z383" s="197"/>
      <c r="AA383" s="197"/>
      <c r="AB383" s="197"/>
      <c r="AC383" s="197"/>
      <c r="AD383" s="197"/>
      <c r="AE383" s="197"/>
      <c r="AF383" s="197"/>
      <c r="AG383" s="197"/>
      <c r="AH383" s="197"/>
      <c r="AI383" s="197"/>
      <c r="AJ383" s="197"/>
      <c r="AK383" s="197"/>
      <c r="AL383" s="197"/>
      <c r="AM383" s="197"/>
      <c r="AN383" s="197"/>
      <c r="AO383" s="197"/>
      <c r="AP383" s="197"/>
      <c r="AQ383" s="197"/>
      <c r="AR383" s="197"/>
      <c r="AS383" s="197"/>
      <c r="AT383" s="197"/>
      <c r="AU383" s="197"/>
      <c r="AV383" s="197"/>
      <c r="AW383" s="197"/>
      <c r="AX383" s="197"/>
      <c r="AY383" s="197"/>
      <c r="AZ383" s="197"/>
      <c r="BA383" s="197"/>
      <c r="BB383" s="197"/>
      <c r="BC383" s="197"/>
      <c r="BD383" s="197"/>
      <c r="BE383" s="197"/>
      <c r="BF383" s="197"/>
      <c r="BG383" s="197"/>
      <c r="BH383" s="197"/>
      <c r="BI383" s="197"/>
      <c r="BJ383" s="197"/>
      <c r="BK383" s="197"/>
      <c r="BL383" s="197"/>
      <c r="BM383" s="197"/>
      <c r="BN383" s="197"/>
      <c r="BO383" s="197"/>
      <c r="BP383" s="197"/>
    </row>
    <row r="384" spans="1:68" ht="20" customHeight="1" x14ac:dyDescent="0.15">
      <c r="A384" s="197"/>
      <c r="B384" s="197"/>
      <c r="C384" s="193"/>
      <c r="D384" s="197"/>
      <c r="E384" s="197"/>
      <c r="F384" s="214"/>
      <c r="G384" s="197"/>
      <c r="H384" s="197"/>
      <c r="I384" s="197"/>
      <c r="J384" s="197"/>
      <c r="K384" s="197"/>
      <c r="L384" s="197"/>
      <c r="M384" s="197"/>
      <c r="N384" s="197"/>
      <c r="O384" s="197"/>
      <c r="P384" s="197"/>
      <c r="Q384" s="197"/>
      <c r="R384" s="197"/>
      <c r="S384" s="197"/>
      <c r="T384" s="197"/>
      <c r="U384" s="197"/>
      <c r="V384" s="197"/>
      <c r="W384" s="197"/>
      <c r="X384" s="197"/>
      <c r="Y384" s="197"/>
      <c r="Z384" s="197"/>
      <c r="AA384" s="197"/>
      <c r="AB384" s="197"/>
      <c r="AC384" s="197"/>
      <c r="AD384" s="197"/>
      <c r="AE384" s="197"/>
      <c r="AF384" s="197"/>
      <c r="AG384" s="197"/>
      <c r="AH384" s="197"/>
      <c r="AI384" s="197"/>
      <c r="AJ384" s="197"/>
      <c r="AK384" s="197"/>
      <c r="AL384" s="197"/>
      <c r="AM384" s="197"/>
      <c r="AN384" s="197"/>
      <c r="AO384" s="197"/>
      <c r="AP384" s="197"/>
      <c r="AQ384" s="197"/>
      <c r="AR384" s="197"/>
      <c r="AS384" s="197"/>
      <c r="AT384" s="197"/>
      <c r="AU384" s="197"/>
      <c r="AV384" s="197"/>
      <c r="AW384" s="197"/>
      <c r="AX384" s="197"/>
      <c r="AY384" s="197"/>
      <c r="AZ384" s="197"/>
      <c r="BA384" s="197"/>
      <c r="BB384" s="197"/>
      <c r="BC384" s="197"/>
      <c r="BD384" s="197"/>
      <c r="BE384" s="197"/>
      <c r="BF384" s="197"/>
      <c r="BG384" s="197"/>
      <c r="BH384" s="197"/>
      <c r="BI384" s="197"/>
      <c r="BJ384" s="197"/>
      <c r="BK384" s="197"/>
      <c r="BL384" s="197"/>
      <c r="BM384" s="197"/>
      <c r="BN384" s="197"/>
      <c r="BO384" s="197"/>
      <c r="BP384" s="197"/>
    </row>
    <row r="385" spans="1:68" ht="20" customHeight="1" x14ac:dyDescent="0.15">
      <c r="A385" s="197"/>
      <c r="B385" s="197"/>
      <c r="C385" s="193"/>
      <c r="D385" s="197"/>
      <c r="E385" s="197"/>
      <c r="F385" s="214"/>
      <c r="G385" s="197"/>
      <c r="H385" s="197"/>
      <c r="I385" s="197"/>
      <c r="J385" s="197"/>
      <c r="K385" s="197"/>
      <c r="L385" s="197"/>
      <c r="M385" s="197"/>
      <c r="N385" s="197"/>
      <c r="O385" s="197"/>
      <c r="P385" s="197"/>
      <c r="Q385" s="197"/>
      <c r="R385" s="197"/>
      <c r="S385" s="197"/>
      <c r="T385" s="197"/>
      <c r="U385" s="197"/>
      <c r="V385" s="197"/>
      <c r="W385" s="197"/>
      <c r="X385" s="197"/>
      <c r="Y385" s="197"/>
      <c r="Z385" s="197"/>
      <c r="AA385" s="197"/>
      <c r="AB385" s="197"/>
      <c r="AC385" s="197"/>
      <c r="AD385" s="197"/>
      <c r="AE385" s="197"/>
      <c r="AF385" s="197"/>
      <c r="AG385" s="197"/>
      <c r="AH385" s="197"/>
      <c r="AI385" s="197"/>
      <c r="AJ385" s="197"/>
      <c r="AK385" s="197"/>
      <c r="AL385" s="197"/>
      <c r="AM385" s="197"/>
      <c r="AN385" s="197"/>
      <c r="AO385" s="197"/>
      <c r="AP385" s="197"/>
      <c r="AQ385" s="197"/>
      <c r="AR385" s="197"/>
      <c r="AS385" s="197"/>
      <c r="AT385" s="197"/>
      <c r="AU385" s="197"/>
      <c r="AV385" s="197"/>
      <c r="AW385" s="197"/>
      <c r="AX385" s="197"/>
      <c r="AY385" s="197"/>
      <c r="AZ385" s="197"/>
      <c r="BA385" s="197"/>
      <c r="BB385" s="197"/>
      <c r="BC385" s="197"/>
      <c r="BD385" s="197"/>
      <c r="BE385" s="197"/>
      <c r="BF385" s="197"/>
      <c r="BG385" s="197"/>
      <c r="BH385" s="197"/>
      <c r="BI385" s="197"/>
      <c r="BJ385" s="197"/>
      <c r="BK385" s="197"/>
      <c r="BL385" s="197"/>
      <c r="BM385" s="197"/>
      <c r="BN385" s="197"/>
      <c r="BO385" s="197"/>
      <c r="BP385" s="197"/>
    </row>
    <row r="386" spans="1:68" ht="20" customHeight="1" x14ac:dyDescent="0.15">
      <c r="A386" s="197"/>
      <c r="B386" s="197"/>
      <c r="C386" s="193"/>
      <c r="D386" s="197"/>
      <c r="E386" s="197"/>
      <c r="F386" s="214"/>
      <c r="G386" s="197"/>
      <c r="H386" s="197"/>
      <c r="I386" s="197"/>
      <c r="J386" s="197"/>
      <c r="K386" s="197"/>
      <c r="L386" s="197"/>
      <c r="M386" s="197"/>
      <c r="N386" s="197"/>
      <c r="O386" s="197"/>
      <c r="P386" s="197"/>
      <c r="Q386" s="197"/>
      <c r="R386" s="197"/>
      <c r="S386" s="197"/>
      <c r="T386" s="197"/>
      <c r="U386" s="197"/>
      <c r="V386" s="197"/>
      <c r="W386" s="197"/>
      <c r="X386" s="197"/>
      <c r="Y386" s="197"/>
      <c r="Z386" s="197"/>
      <c r="AA386" s="197"/>
      <c r="AB386" s="197"/>
      <c r="AC386" s="197"/>
      <c r="AD386" s="197"/>
      <c r="AE386" s="197"/>
      <c r="AF386" s="197"/>
      <c r="AG386" s="197"/>
      <c r="AH386" s="197"/>
      <c r="AI386" s="197"/>
      <c r="AJ386" s="197"/>
      <c r="AK386" s="197"/>
      <c r="AL386" s="197"/>
      <c r="AM386" s="197"/>
      <c r="AN386" s="197"/>
      <c r="AO386" s="197"/>
      <c r="AP386" s="197"/>
      <c r="AQ386" s="197"/>
      <c r="AR386" s="197"/>
      <c r="AS386" s="197"/>
      <c r="AT386" s="197"/>
      <c r="AU386" s="197"/>
      <c r="AV386" s="197"/>
      <c r="AW386" s="197"/>
      <c r="AX386" s="197"/>
      <c r="AY386" s="197"/>
      <c r="AZ386" s="197"/>
      <c r="BA386" s="197"/>
      <c r="BB386" s="197"/>
      <c r="BC386" s="197"/>
      <c r="BD386" s="197"/>
      <c r="BE386" s="197"/>
      <c r="BF386" s="197"/>
      <c r="BG386" s="197"/>
      <c r="BH386" s="197"/>
      <c r="BI386" s="197"/>
      <c r="BJ386" s="197"/>
      <c r="BK386" s="197"/>
      <c r="BL386" s="197"/>
      <c r="BM386" s="197"/>
      <c r="BN386" s="197"/>
      <c r="BO386" s="197"/>
      <c r="BP386" s="197"/>
    </row>
    <row r="387" spans="1:68" ht="20" customHeight="1" x14ac:dyDescent="0.15">
      <c r="A387" s="197"/>
      <c r="B387" s="197"/>
      <c r="C387" s="193"/>
      <c r="D387" s="197"/>
      <c r="E387" s="197"/>
      <c r="F387" s="214"/>
      <c r="G387" s="197"/>
      <c r="H387" s="197"/>
      <c r="I387" s="197"/>
      <c r="J387" s="197"/>
      <c r="K387" s="197"/>
      <c r="L387" s="197"/>
      <c r="M387" s="197"/>
      <c r="N387" s="197"/>
      <c r="O387" s="197"/>
      <c r="P387" s="197"/>
      <c r="Q387" s="197"/>
      <c r="R387" s="197"/>
      <c r="S387" s="197"/>
      <c r="T387" s="197"/>
      <c r="U387" s="197"/>
      <c r="V387" s="197"/>
      <c r="W387" s="197"/>
      <c r="X387" s="197"/>
      <c r="Y387" s="197"/>
      <c r="Z387" s="197"/>
      <c r="AA387" s="197"/>
      <c r="AB387" s="197"/>
      <c r="AC387" s="197"/>
      <c r="AD387" s="197"/>
      <c r="AE387" s="197"/>
      <c r="AF387" s="197"/>
      <c r="AG387" s="197"/>
      <c r="AH387" s="197"/>
      <c r="AI387" s="197"/>
      <c r="AJ387" s="197"/>
      <c r="AK387" s="197"/>
      <c r="AL387" s="197"/>
      <c r="AM387" s="197"/>
      <c r="AN387" s="197"/>
      <c r="AO387" s="197"/>
      <c r="AP387" s="197"/>
      <c r="AQ387" s="197"/>
      <c r="AR387" s="197"/>
      <c r="AS387" s="197"/>
      <c r="AT387" s="197"/>
      <c r="AU387" s="197"/>
      <c r="AV387" s="197"/>
      <c r="AW387" s="197"/>
      <c r="AX387" s="197"/>
      <c r="AY387" s="197"/>
      <c r="AZ387" s="197"/>
      <c r="BA387" s="197"/>
      <c r="BB387" s="197"/>
      <c r="BC387" s="197"/>
      <c r="BD387" s="197"/>
      <c r="BE387" s="197"/>
      <c r="BF387" s="197"/>
      <c r="BG387" s="197"/>
      <c r="BH387" s="197"/>
      <c r="BI387" s="197"/>
      <c r="BJ387" s="197"/>
      <c r="BK387" s="197"/>
      <c r="BL387" s="197"/>
      <c r="BM387" s="197"/>
      <c r="BN387" s="197"/>
      <c r="BO387" s="197"/>
      <c r="BP387" s="197"/>
    </row>
    <row r="388" spans="1:68" ht="20" customHeight="1" x14ac:dyDescent="0.15">
      <c r="A388" s="197"/>
      <c r="B388" s="197"/>
      <c r="C388" s="193"/>
      <c r="D388" s="197"/>
      <c r="E388" s="197"/>
      <c r="F388" s="214"/>
      <c r="G388" s="197"/>
      <c r="H388" s="197"/>
      <c r="I388" s="197"/>
      <c r="J388" s="197"/>
      <c r="K388" s="197"/>
      <c r="L388" s="197"/>
      <c r="M388" s="197"/>
      <c r="N388" s="197"/>
      <c r="O388" s="197"/>
      <c r="P388" s="197"/>
      <c r="Q388" s="197"/>
      <c r="R388" s="197"/>
      <c r="S388" s="197"/>
      <c r="T388" s="197"/>
      <c r="U388" s="197"/>
      <c r="V388" s="197"/>
      <c r="W388" s="197"/>
      <c r="X388" s="197"/>
      <c r="Y388" s="197"/>
      <c r="Z388" s="197"/>
      <c r="AA388" s="197"/>
      <c r="AB388" s="197"/>
      <c r="AC388" s="197"/>
      <c r="AD388" s="197"/>
      <c r="AE388" s="197"/>
      <c r="AF388" s="197"/>
      <c r="AG388" s="197"/>
      <c r="AH388" s="197"/>
      <c r="AI388" s="197"/>
      <c r="AJ388" s="197"/>
      <c r="AK388" s="197"/>
      <c r="AL388" s="197"/>
      <c r="AM388" s="197"/>
      <c r="AN388" s="197"/>
      <c r="AO388" s="197"/>
      <c r="AP388" s="197"/>
      <c r="AQ388" s="197"/>
      <c r="AR388" s="197"/>
      <c r="AS388" s="197"/>
      <c r="AT388" s="197"/>
      <c r="AU388" s="197"/>
      <c r="AV388" s="197"/>
      <c r="AW388" s="197"/>
      <c r="AX388" s="197"/>
      <c r="AY388" s="197"/>
      <c r="AZ388" s="197"/>
      <c r="BA388" s="197"/>
      <c r="BB388" s="197"/>
      <c r="BC388" s="197"/>
      <c r="BD388" s="197"/>
      <c r="BE388" s="197"/>
      <c r="BF388" s="197"/>
      <c r="BG388" s="197"/>
      <c r="BH388" s="197"/>
      <c r="BI388" s="197"/>
      <c r="BJ388" s="197"/>
      <c r="BK388" s="197"/>
      <c r="BL388" s="197"/>
      <c r="BM388" s="197"/>
      <c r="BN388" s="197"/>
      <c r="BO388" s="197"/>
      <c r="BP388" s="197"/>
    </row>
    <row r="389" spans="1:68" ht="20" customHeight="1" x14ac:dyDescent="0.15">
      <c r="A389" s="197"/>
      <c r="B389" s="197"/>
      <c r="C389" s="193"/>
      <c r="D389" s="197"/>
      <c r="E389" s="197"/>
      <c r="F389" s="214"/>
      <c r="G389" s="197"/>
      <c r="H389" s="197"/>
      <c r="I389" s="197"/>
      <c r="J389" s="197"/>
      <c r="K389" s="197"/>
      <c r="L389" s="197"/>
      <c r="M389" s="197"/>
      <c r="N389" s="197"/>
      <c r="O389" s="197"/>
      <c r="P389" s="197"/>
      <c r="Q389" s="197"/>
      <c r="R389" s="197"/>
      <c r="S389" s="197"/>
      <c r="T389" s="197"/>
      <c r="U389" s="197"/>
      <c r="V389" s="197"/>
      <c r="W389" s="197"/>
      <c r="X389" s="197"/>
      <c r="Y389" s="197"/>
      <c r="Z389" s="197"/>
      <c r="AA389" s="197"/>
      <c r="AB389" s="197"/>
      <c r="AC389" s="197"/>
      <c r="AD389" s="197"/>
      <c r="AE389" s="197"/>
      <c r="AF389" s="197"/>
      <c r="AG389" s="197"/>
      <c r="AH389" s="197"/>
      <c r="AI389" s="197"/>
      <c r="AJ389" s="197"/>
      <c r="AK389" s="197"/>
      <c r="AL389" s="197"/>
      <c r="AM389" s="197"/>
      <c r="AN389" s="197"/>
      <c r="AO389" s="197"/>
      <c r="AP389" s="197"/>
      <c r="AQ389" s="197"/>
      <c r="AR389" s="197"/>
      <c r="AS389" s="197"/>
      <c r="AT389" s="197"/>
      <c r="AU389" s="197"/>
      <c r="AV389" s="197"/>
      <c r="AW389" s="197"/>
      <c r="AX389" s="197"/>
      <c r="AY389" s="197"/>
      <c r="AZ389" s="197"/>
      <c r="BA389" s="197"/>
      <c r="BB389" s="197"/>
      <c r="BC389" s="197"/>
      <c r="BD389" s="197"/>
      <c r="BE389" s="197"/>
      <c r="BF389" s="197"/>
      <c r="BG389" s="197"/>
      <c r="BH389" s="197"/>
      <c r="BI389" s="197"/>
      <c r="BJ389" s="197"/>
      <c r="BK389" s="197"/>
      <c r="BL389" s="197"/>
      <c r="BM389" s="197"/>
      <c r="BN389" s="197"/>
      <c r="BO389" s="197"/>
      <c r="BP389" s="197"/>
    </row>
    <row r="390" spans="1:68" ht="20" customHeight="1" x14ac:dyDescent="0.15">
      <c r="A390" s="197"/>
      <c r="B390" s="197"/>
      <c r="C390" s="193"/>
      <c r="D390" s="197"/>
      <c r="E390" s="197"/>
      <c r="F390" s="214"/>
      <c r="G390" s="197"/>
      <c r="H390" s="197"/>
      <c r="I390" s="197"/>
      <c r="J390" s="197"/>
      <c r="K390" s="197"/>
      <c r="L390" s="197"/>
      <c r="M390" s="197"/>
      <c r="N390" s="197"/>
      <c r="O390" s="197"/>
      <c r="P390" s="197"/>
      <c r="Q390" s="197"/>
      <c r="R390" s="197"/>
      <c r="S390" s="197"/>
      <c r="T390" s="197"/>
      <c r="U390" s="197"/>
      <c r="V390" s="197"/>
      <c r="W390" s="197"/>
      <c r="X390" s="197"/>
      <c r="Y390" s="197"/>
      <c r="Z390" s="197"/>
      <c r="AA390" s="197"/>
      <c r="AB390" s="197"/>
      <c r="AC390" s="197"/>
      <c r="AD390" s="197"/>
      <c r="AE390" s="197"/>
      <c r="AF390" s="197"/>
      <c r="AG390" s="197"/>
      <c r="AH390" s="197"/>
      <c r="AI390" s="197"/>
      <c r="AJ390" s="197"/>
      <c r="AK390" s="197"/>
      <c r="AL390" s="197"/>
      <c r="AM390" s="197"/>
      <c r="AN390" s="197"/>
      <c r="AO390" s="197"/>
      <c r="AP390" s="197"/>
      <c r="AQ390" s="197"/>
      <c r="AR390" s="197"/>
      <c r="AS390" s="197"/>
      <c r="AT390" s="197"/>
      <c r="AU390" s="197"/>
      <c r="AV390" s="197"/>
      <c r="AW390" s="197"/>
      <c r="AX390" s="197"/>
      <c r="AY390" s="197"/>
      <c r="AZ390" s="197"/>
      <c r="BA390" s="197"/>
      <c r="BB390" s="197"/>
      <c r="BC390" s="197"/>
      <c r="BD390" s="197"/>
      <c r="BE390" s="197"/>
      <c r="BF390" s="197"/>
      <c r="BG390" s="197"/>
      <c r="BH390" s="197"/>
      <c r="BI390" s="197"/>
      <c r="BJ390" s="197"/>
      <c r="BK390" s="197"/>
      <c r="BL390" s="197"/>
      <c r="BM390" s="197"/>
      <c r="BN390" s="197"/>
      <c r="BO390" s="197"/>
      <c r="BP390" s="197"/>
    </row>
    <row r="391" spans="1:68" ht="20" customHeight="1" x14ac:dyDescent="0.15">
      <c r="A391" s="197"/>
      <c r="B391" s="197"/>
      <c r="C391" s="193"/>
      <c r="D391" s="197"/>
      <c r="E391" s="197"/>
      <c r="F391" s="214"/>
      <c r="G391" s="197"/>
      <c r="H391" s="197"/>
      <c r="I391" s="197"/>
      <c r="J391" s="197"/>
      <c r="K391" s="197"/>
      <c r="L391" s="197"/>
      <c r="M391" s="197"/>
      <c r="N391" s="197"/>
      <c r="O391" s="197"/>
      <c r="P391" s="197"/>
      <c r="Q391" s="197"/>
      <c r="R391" s="197"/>
      <c r="S391" s="197"/>
      <c r="T391" s="197"/>
      <c r="U391" s="197"/>
      <c r="V391" s="197"/>
      <c r="W391" s="197"/>
      <c r="X391" s="197"/>
      <c r="Y391" s="197"/>
      <c r="Z391" s="197"/>
      <c r="AA391" s="197"/>
      <c r="AB391" s="197"/>
      <c r="AC391" s="197"/>
      <c r="AD391" s="197"/>
      <c r="AE391" s="197"/>
      <c r="AF391" s="197"/>
      <c r="AG391" s="197"/>
      <c r="AH391" s="197"/>
      <c r="AI391" s="197"/>
      <c r="AJ391" s="197"/>
      <c r="AK391" s="197"/>
      <c r="AL391" s="197"/>
      <c r="AM391" s="197"/>
      <c r="AN391" s="197"/>
      <c r="AO391" s="197"/>
      <c r="AP391" s="197"/>
      <c r="AQ391" s="197"/>
      <c r="AR391" s="197"/>
      <c r="AS391" s="197"/>
      <c r="AT391" s="197"/>
      <c r="AU391" s="197"/>
      <c r="AV391" s="197"/>
      <c r="AW391" s="197"/>
      <c r="AX391" s="197"/>
      <c r="AY391" s="197"/>
      <c r="AZ391" s="197"/>
      <c r="BA391" s="197"/>
      <c r="BB391" s="197"/>
      <c r="BC391" s="197"/>
      <c r="BD391" s="197"/>
      <c r="BE391" s="197"/>
      <c r="BF391" s="197"/>
      <c r="BG391" s="197"/>
      <c r="BH391" s="197"/>
      <c r="BI391" s="197"/>
      <c r="BJ391" s="197"/>
      <c r="BK391" s="197"/>
      <c r="BL391" s="197"/>
      <c r="BM391" s="197"/>
      <c r="BN391" s="197"/>
      <c r="BO391" s="197"/>
      <c r="BP391" s="197"/>
    </row>
    <row r="392" spans="1:68" ht="20" customHeight="1" x14ac:dyDescent="0.15">
      <c r="A392" s="197"/>
      <c r="B392" s="197"/>
      <c r="C392" s="193"/>
      <c r="D392" s="197"/>
      <c r="E392" s="197"/>
      <c r="F392" s="214"/>
      <c r="G392" s="197"/>
      <c r="H392" s="197"/>
      <c r="I392" s="197"/>
      <c r="J392" s="197"/>
      <c r="K392" s="197"/>
      <c r="L392" s="197"/>
      <c r="M392" s="197"/>
      <c r="N392" s="197"/>
      <c r="O392" s="197"/>
      <c r="P392" s="197"/>
      <c r="Q392" s="197"/>
      <c r="R392" s="197"/>
      <c r="S392" s="197"/>
      <c r="T392" s="197"/>
      <c r="U392" s="197"/>
      <c r="V392" s="197"/>
      <c r="W392" s="197"/>
      <c r="X392" s="197"/>
      <c r="Y392" s="197"/>
      <c r="Z392" s="197"/>
      <c r="AA392" s="197"/>
      <c r="AB392" s="197"/>
      <c r="AC392" s="197"/>
      <c r="AD392" s="197"/>
      <c r="AE392" s="197"/>
      <c r="AF392" s="197"/>
      <c r="AG392" s="197"/>
      <c r="AH392" s="197"/>
      <c r="AI392" s="197"/>
      <c r="AJ392" s="197"/>
      <c r="AK392" s="197"/>
      <c r="AL392" s="197"/>
      <c r="AM392" s="197"/>
      <c r="AN392" s="197"/>
      <c r="AO392" s="197"/>
      <c r="AP392" s="197"/>
      <c r="AQ392" s="197"/>
      <c r="AR392" s="197"/>
      <c r="AS392" s="197"/>
      <c r="AT392" s="197"/>
      <c r="AU392" s="197"/>
      <c r="AV392" s="197"/>
      <c r="AW392" s="197"/>
      <c r="AX392" s="197"/>
      <c r="AY392" s="197"/>
      <c r="AZ392" s="197"/>
      <c r="BA392" s="197"/>
      <c r="BB392" s="197"/>
      <c r="BC392" s="197"/>
      <c r="BD392" s="197"/>
      <c r="BE392" s="197"/>
      <c r="BF392" s="197"/>
      <c r="BG392" s="197"/>
      <c r="BH392" s="197"/>
      <c r="BI392" s="197"/>
      <c r="BJ392" s="197"/>
      <c r="BK392" s="197"/>
      <c r="BL392" s="197"/>
      <c r="BM392" s="197"/>
      <c r="BN392" s="197"/>
      <c r="BO392" s="197"/>
      <c r="BP392" s="197"/>
    </row>
    <row r="393" spans="1:68" ht="20" customHeight="1" x14ac:dyDescent="0.15">
      <c r="A393" s="197"/>
      <c r="B393" s="197"/>
      <c r="C393" s="193"/>
      <c r="D393" s="197"/>
      <c r="E393" s="197"/>
      <c r="F393" s="214"/>
      <c r="G393" s="197"/>
      <c r="H393" s="197"/>
      <c r="I393" s="197"/>
      <c r="J393" s="197"/>
      <c r="K393" s="197"/>
      <c r="L393" s="197"/>
      <c r="M393" s="197"/>
      <c r="N393" s="197"/>
      <c r="O393" s="197"/>
      <c r="P393" s="197"/>
      <c r="Q393" s="197"/>
      <c r="R393" s="197"/>
      <c r="S393" s="197"/>
      <c r="T393" s="197"/>
      <c r="U393" s="197"/>
      <c r="V393" s="197"/>
      <c r="W393" s="197"/>
      <c r="X393" s="197"/>
      <c r="Y393" s="197"/>
      <c r="Z393" s="197"/>
      <c r="AA393" s="197"/>
      <c r="AB393" s="197"/>
      <c r="AC393" s="197"/>
      <c r="AD393" s="197"/>
      <c r="AE393" s="197"/>
      <c r="AF393" s="197"/>
      <c r="AG393" s="197"/>
      <c r="AH393" s="197"/>
      <c r="AI393" s="197"/>
      <c r="AJ393" s="197"/>
      <c r="AK393" s="197"/>
      <c r="AL393" s="197"/>
      <c r="AM393" s="197"/>
      <c r="AN393" s="197"/>
      <c r="AO393" s="197"/>
      <c r="AP393" s="197"/>
      <c r="AQ393" s="197"/>
      <c r="AR393" s="197"/>
      <c r="AS393" s="197"/>
      <c r="AT393" s="197"/>
      <c r="AU393" s="197"/>
      <c r="AV393" s="197"/>
      <c r="AW393" s="197"/>
      <c r="AX393" s="197"/>
      <c r="AY393" s="197"/>
      <c r="AZ393" s="197"/>
      <c r="BA393" s="197"/>
      <c r="BB393" s="197"/>
      <c r="BC393" s="197"/>
      <c r="BD393" s="197"/>
      <c r="BE393" s="197"/>
      <c r="BF393" s="197"/>
      <c r="BG393" s="197"/>
      <c r="BH393" s="197"/>
      <c r="BI393" s="197"/>
      <c r="BJ393" s="197"/>
      <c r="BK393" s="197"/>
      <c r="BL393" s="197"/>
      <c r="BM393" s="197"/>
      <c r="BN393" s="197"/>
      <c r="BO393" s="197"/>
      <c r="BP393" s="197"/>
    </row>
    <row r="394" spans="1:68" ht="20" customHeight="1" x14ac:dyDescent="0.15">
      <c r="A394" s="197"/>
      <c r="B394" s="197"/>
      <c r="C394" s="193"/>
      <c r="D394" s="197"/>
      <c r="E394" s="197"/>
      <c r="F394" s="214"/>
      <c r="G394" s="197"/>
      <c r="H394" s="197"/>
      <c r="I394" s="197"/>
      <c r="J394" s="197"/>
      <c r="K394" s="197"/>
      <c r="L394" s="197"/>
      <c r="M394" s="197"/>
      <c r="N394" s="197"/>
      <c r="O394" s="197"/>
      <c r="P394" s="197"/>
      <c r="Q394" s="197"/>
      <c r="R394" s="197"/>
      <c r="S394" s="197"/>
      <c r="T394" s="197"/>
      <c r="U394" s="197"/>
      <c r="V394" s="197"/>
      <c r="W394" s="197"/>
      <c r="X394" s="197"/>
      <c r="Y394" s="197"/>
      <c r="Z394" s="197"/>
      <c r="AA394" s="197"/>
      <c r="AB394" s="197"/>
      <c r="AC394" s="197"/>
      <c r="AD394" s="197"/>
      <c r="AE394" s="197"/>
      <c r="AF394" s="197"/>
      <c r="AG394" s="197"/>
      <c r="AH394" s="197"/>
      <c r="AI394" s="197"/>
      <c r="AJ394" s="197"/>
      <c r="AK394" s="197"/>
      <c r="AL394" s="197"/>
      <c r="AM394" s="197"/>
      <c r="AN394" s="197"/>
      <c r="AO394" s="197"/>
      <c r="AP394" s="197"/>
      <c r="AQ394" s="197"/>
      <c r="AR394" s="197"/>
      <c r="AS394" s="197"/>
      <c r="AT394" s="197"/>
      <c r="AU394" s="197"/>
      <c r="AV394" s="197"/>
      <c r="AW394" s="197"/>
      <c r="AX394" s="197"/>
      <c r="AY394" s="197"/>
      <c r="AZ394" s="197"/>
      <c r="BA394" s="197"/>
      <c r="BB394" s="197"/>
      <c r="BC394" s="197"/>
      <c r="BD394" s="197"/>
      <c r="BE394" s="197"/>
      <c r="BF394" s="197"/>
      <c r="BG394" s="197"/>
      <c r="BH394" s="197"/>
      <c r="BI394" s="197"/>
      <c r="BJ394" s="197"/>
      <c r="BK394" s="197"/>
      <c r="BL394" s="197"/>
      <c r="BM394" s="197"/>
      <c r="BN394" s="197"/>
      <c r="BO394" s="197"/>
      <c r="BP394" s="197"/>
    </row>
    <row r="395" spans="1:68" ht="20" customHeight="1" x14ac:dyDescent="0.15">
      <c r="A395" s="197"/>
      <c r="B395" s="197"/>
      <c r="C395" s="193"/>
      <c r="D395" s="197"/>
      <c r="E395" s="197"/>
      <c r="F395" s="214"/>
      <c r="G395" s="197"/>
      <c r="H395" s="197"/>
      <c r="I395" s="197"/>
      <c r="J395" s="197"/>
      <c r="K395" s="197"/>
      <c r="L395" s="197"/>
      <c r="M395" s="197"/>
      <c r="N395" s="197"/>
      <c r="O395" s="197"/>
      <c r="P395" s="197"/>
      <c r="Q395" s="197"/>
      <c r="R395" s="197"/>
      <c r="S395" s="197"/>
      <c r="T395" s="197"/>
      <c r="U395" s="197"/>
      <c r="V395" s="197"/>
      <c r="W395" s="197"/>
      <c r="X395" s="197"/>
      <c r="Y395" s="197"/>
      <c r="Z395" s="197"/>
      <c r="AA395" s="197"/>
      <c r="AB395" s="197"/>
      <c r="AC395" s="197"/>
      <c r="AD395" s="197"/>
      <c r="AE395" s="197"/>
      <c r="AF395" s="197"/>
      <c r="AG395" s="197"/>
      <c r="AH395" s="197"/>
      <c r="AI395" s="197"/>
      <c r="AJ395" s="197"/>
      <c r="AK395" s="197"/>
      <c r="AL395" s="197"/>
      <c r="AM395" s="197"/>
      <c r="AN395" s="197"/>
      <c r="AO395" s="197"/>
      <c r="AP395" s="197"/>
      <c r="AQ395" s="197"/>
      <c r="AR395" s="197"/>
      <c r="AS395" s="197"/>
      <c r="AT395" s="197"/>
      <c r="AU395" s="197"/>
      <c r="AV395" s="197"/>
      <c r="AW395" s="197"/>
      <c r="AX395" s="197"/>
      <c r="AY395" s="197"/>
      <c r="AZ395" s="197"/>
      <c r="BA395" s="197"/>
      <c r="BB395" s="197"/>
      <c r="BC395" s="197"/>
      <c r="BD395" s="197"/>
      <c r="BE395" s="197"/>
      <c r="BF395" s="197"/>
      <c r="BG395" s="197"/>
      <c r="BH395" s="197"/>
      <c r="BI395" s="197"/>
      <c r="BJ395" s="197"/>
      <c r="BK395" s="197"/>
      <c r="BL395" s="197"/>
      <c r="BM395" s="197"/>
      <c r="BN395" s="197"/>
      <c r="BO395" s="197"/>
      <c r="BP395" s="197"/>
    </row>
    <row r="396" spans="1:68" ht="20" customHeight="1" x14ac:dyDescent="0.15">
      <c r="A396" s="197"/>
      <c r="B396" s="197"/>
      <c r="C396" s="193"/>
      <c r="D396" s="197"/>
      <c r="E396" s="197"/>
      <c r="F396" s="214"/>
      <c r="G396" s="197"/>
      <c r="H396" s="197"/>
      <c r="I396" s="197"/>
      <c r="J396" s="197"/>
      <c r="K396" s="197"/>
      <c r="L396" s="197"/>
      <c r="M396" s="197"/>
      <c r="N396" s="197"/>
      <c r="O396" s="197"/>
      <c r="P396" s="197"/>
      <c r="Q396" s="197"/>
      <c r="R396" s="197"/>
      <c r="S396" s="197"/>
      <c r="T396" s="197"/>
      <c r="U396" s="197"/>
      <c r="V396" s="197"/>
      <c r="W396" s="197"/>
      <c r="X396" s="197"/>
      <c r="Y396" s="197"/>
      <c r="Z396" s="197"/>
      <c r="AA396" s="197"/>
      <c r="AB396" s="197"/>
      <c r="AC396" s="197"/>
      <c r="AD396" s="197"/>
      <c r="AE396" s="197"/>
      <c r="AF396" s="197"/>
      <c r="AG396" s="197"/>
      <c r="AH396" s="197"/>
      <c r="AI396" s="197"/>
      <c r="AJ396" s="197"/>
      <c r="AK396" s="197"/>
      <c r="AL396" s="197"/>
      <c r="AM396" s="197"/>
      <c r="AN396" s="197"/>
      <c r="AO396" s="197"/>
      <c r="AP396" s="197"/>
      <c r="AQ396" s="197"/>
      <c r="AR396" s="197"/>
      <c r="AS396" s="197"/>
      <c r="AT396" s="197"/>
      <c r="AU396" s="197"/>
      <c r="AV396" s="197"/>
      <c r="AW396" s="197"/>
      <c r="AX396" s="197"/>
      <c r="AY396" s="197"/>
      <c r="AZ396" s="197"/>
      <c r="BA396" s="197"/>
      <c r="BB396" s="197"/>
      <c r="BC396" s="197"/>
      <c r="BD396" s="197"/>
      <c r="BE396" s="197"/>
      <c r="BF396" s="197"/>
      <c r="BG396" s="197"/>
      <c r="BH396" s="197"/>
      <c r="BI396" s="197"/>
      <c r="BJ396" s="197"/>
      <c r="BK396" s="197"/>
      <c r="BL396" s="197"/>
      <c r="BM396" s="197"/>
      <c r="BN396" s="197"/>
      <c r="BO396" s="197"/>
      <c r="BP396" s="197"/>
    </row>
    <row r="397" spans="1:68" ht="20" customHeight="1" x14ac:dyDescent="0.15">
      <c r="A397" s="197"/>
      <c r="B397" s="197"/>
      <c r="C397" s="193"/>
      <c r="D397" s="197"/>
      <c r="E397" s="197"/>
      <c r="F397" s="214"/>
      <c r="G397" s="197"/>
      <c r="H397" s="197"/>
      <c r="I397" s="197"/>
      <c r="J397" s="197"/>
      <c r="K397" s="197"/>
      <c r="L397" s="197"/>
      <c r="M397" s="197"/>
      <c r="N397" s="197"/>
      <c r="O397" s="197"/>
      <c r="P397" s="197"/>
      <c r="Q397" s="197"/>
      <c r="R397" s="197"/>
      <c r="S397" s="197"/>
      <c r="T397" s="197"/>
      <c r="U397" s="197"/>
      <c r="V397" s="197"/>
      <c r="W397" s="197"/>
      <c r="X397" s="197"/>
      <c r="Y397" s="197"/>
      <c r="Z397" s="197"/>
      <c r="AA397" s="197"/>
      <c r="AB397" s="197"/>
      <c r="AC397" s="197"/>
      <c r="AD397" s="197"/>
      <c r="AE397" s="197"/>
      <c r="AF397" s="197"/>
      <c r="AG397" s="197"/>
      <c r="AH397" s="197"/>
      <c r="AI397" s="197"/>
      <c r="AJ397" s="197"/>
      <c r="AK397" s="197"/>
      <c r="AL397" s="197"/>
      <c r="AM397" s="197"/>
      <c r="AN397" s="197"/>
      <c r="AO397" s="197"/>
      <c r="AP397" s="197"/>
      <c r="AQ397" s="197"/>
      <c r="AR397" s="197"/>
      <c r="AS397" s="197"/>
      <c r="AT397" s="197"/>
      <c r="AU397" s="197"/>
      <c r="AV397" s="197"/>
      <c r="AW397" s="197"/>
      <c r="AX397" s="197"/>
      <c r="AY397" s="197"/>
      <c r="AZ397" s="197"/>
      <c r="BA397" s="197"/>
      <c r="BB397" s="197"/>
      <c r="BC397" s="197"/>
      <c r="BD397" s="197"/>
      <c r="BE397" s="197"/>
      <c r="BF397" s="197"/>
      <c r="BG397" s="197"/>
      <c r="BH397" s="197"/>
      <c r="BI397" s="197"/>
      <c r="BJ397" s="197"/>
      <c r="BK397" s="197"/>
      <c r="BL397" s="197"/>
      <c r="BM397" s="197"/>
      <c r="BN397" s="197"/>
      <c r="BO397" s="197"/>
      <c r="BP397" s="197"/>
    </row>
    <row r="398" spans="1:68" ht="20" customHeight="1" x14ac:dyDescent="0.15">
      <c r="A398" s="197"/>
      <c r="B398" s="197"/>
      <c r="C398" s="193"/>
      <c r="D398" s="197"/>
      <c r="E398" s="197"/>
      <c r="F398" s="214"/>
      <c r="G398" s="197"/>
      <c r="H398" s="197"/>
      <c r="I398" s="197"/>
      <c r="J398" s="197"/>
      <c r="K398" s="197"/>
      <c r="L398" s="197"/>
      <c r="M398" s="197"/>
      <c r="N398" s="197"/>
      <c r="O398" s="197"/>
      <c r="P398" s="197"/>
      <c r="Q398" s="197"/>
      <c r="R398" s="197"/>
      <c r="S398" s="197"/>
      <c r="T398" s="197"/>
      <c r="U398" s="197"/>
      <c r="V398" s="197"/>
      <c r="W398" s="197"/>
      <c r="X398" s="197"/>
      <c r="Y398" s="197"/>
      <c r="Z398" s="197"/>
      <c r="AA398" s="197"/>
      <c r="AB398" s="197"/>
      <c r="AC398" s="197"/>
      <c r="AD398" s="197"/>
      <c r="AE398" s="197"/>
      <c r="AF398" s="197"/>
      <c r="AG398" s="197"/>
      <c r="AH398" s="197"/>
      <c r="AI398" s="197"/>
      <c r="AJ398" s="197"/>
      <c r="AK398" s="197"/>
      <c r="AL398" s="197"/>
      <c r="AM398" s="197"/>
      <c r="AN398" s="197"/>
      <c r="AO398" s="197"/>
      <c r="AP398" s="197"/>
      <c r="AQ398" s="197"/>
      <c r="AR398" s="197"/>
      <c r="AS398" s="197"/>
      <c r="AT398" s="197"/>
      <c r="AU398" s="197"/>
      <c r="AV398" s="197"/>
      <c r="AW398" s="197"/>
      <c r="AX398" s="197"/>
      <c r="AY398" s="197"/>
      <c r="AZ398" s="197"/>
      <c r="BA398" s="197"/>
      <c r="BB398" s="197"/>
      <c r="BC398" s="197"/>
      <c r="BD398" s="197"/>
      <c r="BE398" s="197"/>
      <c r="BF398" s="197"/>
      <c r="BG398" s="197"/>
      <c r="BH398" s="197"/>
      <c r="BI398" s="197"/>
      <c r="BJ398" s="197"/>
      <c r="BK398" s="197"/>
      <c r="BL398" s="197"/>
      <c r="BM398" s="197"/>
      <c r="BN398" s="197"/>
      <c r="BO398" s="197"/>
      <c r="BP398" s="197"/>
    </row>
    <row r="399" spans="1:68" ht="20" customHeight="1" x14ac:dyDescent="0.15">
      <c r="A399" s="197"/>
      <c r="B399" s="197"/>
      <c r="C399" s="193"/>
      <c r="D399" s="197"/>
      <c r="E399" s="197"/>
      <c r="F399" s="214"/>
      <c r="G399" s="197"/>
      <c r="H399" s="197"/>
      <c r="I399" s="197"/>
      <c r="J399" s="197"/>
      <c r="K399" s="197"/>
      <c r="L399" s="197"/>
      <c r="M399" s="197"/>
      <c r="N399" s="197"/>
      <c r="O399" s="197"/>
      <c r="P399" s="197"/>
      <c r="Q399" s="197"/>
      <c r="R399" s="197"/>
      <c r="S399" s="197"/>
      <c r="T399" s="197"/>
      <c r="U399" s="197"/>
      <c r="V399" s="197"/>
      <c r="W399" s="197"/>
      <c r="X399" s="197"/>
      <c r="Y399" s="197"/>
      <c r="Z399" s="197"/>
      <c r="AA399" s="197"/>
      <c r="AB399" s="197"/>
      <c r="AC399" s="197"/>
      <c r="AD399" s="197"/>
      <c r="AE399" s="197"/>
      <c r="AF399" s="197"/>
      <c r="AG399" s="197"/>
      <c r="AH399" s="197"/>
      <c r="AI399" s="197"/>
      <c r="AJ399" s="197"/>
      <c r="AK399" s="197"/>
      <c r="AL399" s="197"/>
      <c r="AM399" s="197"/>
      <c r="AN399" s="197"/>
      <c r="AO399" s="197"/>
      <c r="AP399" s="197"/>
      <c r="AQ399" s="197"/>
      <c r="AR399" s="197"/>
      <c r="AS399" s="197"/>
      <c r="AT399" s="197"/>
      <c r="AU399" s="197"/>
      <c r="AV399" s="197"/>
      <c r="AW399" s="197"/>
      <c r="AX399" s="197"/>
      <c r="AY399" s="197"/>
      <c r="AZ399" s="197"/>
      <c r="BA399" s="197"/>
      <c r="BB399" s="197"/>
      <c r="BC399" s="197"/>
      <c r="BD399" s="197"/>
      <c r="BE399" s="197"/>
      <c r="BF399" s="197"/>
      <c r="BG399" s="197"/>
      <c r="BH399" s="197"/>
      <c r="BI399" s="197"/>
      <c r="BJ399" s="197"/>
      <c r="BK399" s="197"/>
      <c r="BL399" s="197"/>
      <c r="BM399" s="197"/>
      <c r="BN399" s="197"/>
      <c r="BO399" s="197"/>
      <c r="BP399" s="197"/>
    </row>
    <row r="400" spans="1:68" ht="20" customHeight="1" x14ac:dyDescent="0.15">
      <c r="A400" s="197"/>
      <c r="B400" s="197"/>
      <c r="C400" s="193"/>
      <c r="D400" s="197"/>
      <c r="E400" s="197"/>
      <c r="F400" s="214"/>
      <c r="G400" s="197"/>
      <c r="H400" s="197"/>
      <c r="I400" s="197"/>
      <c r="J400" s="197"/>
      <c r="K400" s="197"/>
      <c r="L400" s="197"/>
      <c r="M400" s="197"/>
      <c r="N400" s="197"/>
      <c r="O400" s="197"/>
      <c r="P400" s="197"/>
      <c r="Q400" s="197"/>
      <c r="R400" s="197"/>
      <c r="S400" s="197"/>
      <c r="T400" s="197"/>
      <c r="U400" s="197"/>
      <c r="V400" s="197"/>
      <c r="W400" s="197"/>
      <c r="X400" s="197"/>
      <c r="Y400" s="197"/>
      <c r="Z400" s="197"/>
      <c r="AA400" s="197"/>
      <c r="AB400" s="197"/>
      <c r="AC400" s="197"/>
      <c r="AD400" s="197"/>
      <c r="AE400" s="197"/>
      <c r="AF400" s="197"/>
      <c r="AG400" s="197"/>
      <c r="AH400" s="197"/>
      <c r="AI400" s="197"/>
      <c r="AJ400" s="197"/>
      <c r="AK400" s="197"/>
      <c r="AL400" s="197"/>
      <c r="AM400" s="197"/>
      <c r="AN400" s="197"/>
      <c r="AO400" s="197"/>
      <c r="AP400" s="197"/>
      <c r="AQ400" s="197"/>
      <c r="AR400" s="197"/>
      <c r="AS400" s="197"/>
      <c r="AT400" s="197"/>
      <c r="AU400" s="197"/>
      <c r="AV400" s="197"/>
      <c r="AW400" s="197"/>
      <c r="AX400" s="197"/>
      <c r="AY400" s="197"/>
      <c r="AZ400" s="197"/>
      <c r="BA400" s="197"/>
      <c r="BB400" s="197"/>
      <c r="BC400" s="197"/>
      <c r="BD400" s="197"/>
      <c r="BE400" s="197"/>
      <c r="BF400" s="197"/>
      <c r="BG400" s="197"/>
      <c r="BH400" s="197"/>
      <c r="BI400" s="197"/>
      <c r="BJ400" s="197"/>
      <c r="BK400" s="197"/>
      <c r="BL400" s="197"/>
      <c r="BM400" s="197"/>
      <c r="BN400" s="197"/>
      <c r="BO400" s="197"/>
      <c r="BP400" s="197"/>
    </row>
    <row r="401" spans="1:68" ht="20" customHeight="1" x14ac:dyDescent="0.15">
      <c r="A401" s="197"/>
      <c r="B401" s="197"/>
      <c r="C401" s="193"/>
      <c r="D401" s="197"/>
      <c r="E401" s="197"/>
      <c r="F401" s="214"/>
      <c r="G401" s="197"/>
      <c r="H401" s="197"/>
      <c r="I401" s="197"/>
      <c r="J401" s="197"/>
      <c r="K401" s="197"/>
      <c r="L401" s="197"/>
      <c r="M401" s="197"/>
      <c r="N401" s="197"/>
      <c r="O401" s="197"/>
      <c r="P401" s="197"/>
      <c r="Q401" s="197"/>
      <c r="R401" s="197"/>
      <c r="S401" s="197"/>
      <c r="T401" s="197"/>
      <c r="U401" s="197"/>
      <c r="V401" s="197"/>
      <c r="W401" s="197"/>
      <c r="X401" s="197"/>
      <c r="Y401" s="197"/>
      <c r="Z401" s="197"/>
      <c r="AA401" s="197"/>
      <c r="AB401" s="197"/>
      <c r="AC401" s="197"/>
      <c r="AD401" s="197"/>
      <c r="AE401" s="197"/>
      <c r="AF401" s="197"/>
      <c r="AG401" s="197"/>
      <c r="AH401" s="197"/>
      <c r="AI401" s="197"/>
      <c r="AJ401" s="197"/>
      <c r="AK401" s="197"/>
      <c r="AL401" s="197"/>
      <c r="AM401" s="197"/>
      <c r="AN401" s="197"/>
      <c r="AO401" s="197"/>
      <c r="AP401" s="197"/>
      <c r="AQ401" s="197"/>
      <c r="AR401" s="197"/>
      <c r="AS401" s="197"/>
      <c r="AT401" s="197"/>
      <c r="AU401" s="197"/>
      <c r="AV401" s="197"/>
      <c r="AW401" s="197"/>
      <c r="AX401" s="197"/>
      <c r="AY401" s="197"/>
      <c r="AZ401" s="197"/>
      <c r="BA401" s="197"/>
      <c r="BB401" s="197"/>
      <c r="BC401" s="197"/>
      <c r="BD401" s="197"/>
      <c r="BE401" s="197"/>
      <c r="BF401" s="197"/>
      <c r="BG401" s="197"/>
      <c r="BH401" s="197"/>
      <c r="BI401" s="197"/>
      <c r="BJ401" s="197"/>
      <c r="BK401" s="197"/>
      <c r="BL401" s="197"/>
      <c r="BM401" s="197"/>
      <c r="BN401" s="197"/>
      <c r="BO401" s="197"/>
      <c r="BP401" s="197"/>
    </row>
    <row r="402" spans="1:68" ht="20" customHeight="1" x14ac:dyDescent="0.15">
      <c r="A402" s="197"/>
      <c r="B402" s="197"/>
      <c r="C402" s="193"/>
      <c r="D402" s="197"/>
      <c r="E402" s="197"/>
      <c r="F402" s="214"/>
      <c r="G402" s="197"/>
      <c r="H402" s="197"/>
      <c r="I402" s="197"/>
      <c r="J402" s="197"/>
      <c r="K402" s="197"/>
      <c r="L402" s="197"/>
      <c r="M402" s="197"/>
      <c r="N402" s="197"/>
      <c r="O402" s="197"/>
      <c r="P402" s="197"/>
      <c r="Q402" s="197"/>
      <c r="R402" s="197"/>
      <c r="S402" s="197"/>
      <c r="T402" s="197"/>
      <c r="U402" s="197"/>
      <c r="V402" s="197"/>
      <c r="W402" s="197"/>
      <c r="X402" s="197"/>
      <c r="Y402" s="197"/>
      <c r="Z402" s="197"/>
      <c r="AA402" s="197"/>
      <c r="AB402" s="197"/>
      <c r="AC402" s="197"/>
      <c r="AD402" s="197"/>
      <c r="AE402" s="197"/>
      <c r="AF402" s="197"/>
      <c r="AG402" s="197"/>
      <c r="AH402" s="197"/>
      <c r="AI402" s="197"/>
      <c r="AJ402" s="197"/>
      <c r="AK402" s="197"/>
      <c r="AL402" s="197"/>
      <c r="AM402" s="197"/>
      <c r="AN402" s="197"/>
      <c r="AO402" s="197"/>
      <c r="AP402" s="197"/>
      <c r="AQ402" s="197"/>
      <c r="AR402" s="197"/>
      <c r="AS402" s="197"/>
      <c r="AT402" s="197"/>
      <c r="AU402" s="197"/>
      <c r="AV402" s="197"/>
      <c r="AW402" s="197"/>
      <c r="AX402" s="197"/>
      <c r="AY402" s="197"/>
      <c r="AZ402" s="197"/>
      <c r="BA402" s="197"/>
      <c r="BB402" s="197"/>
      <c r="BC402" s="197"/>
      <c r="BD402" s="197"/>
      <c r="BE402" s="197"/>
      <c r="BF402" s="197"/>
      <c r="BG402" s="197"/>
      <c r="BH402" s="197"/>
      <c r="BI402" s="197"/>
      <c r="BJ402" s="197"/>
      <c r="BK402" s="197"/>
      <c r="BL402" s="197"/>
      <c r="BM402" s="197"/>
      <c r="BN402" s="197"/>
      <c r="BO402" s="197"/>
      <c r="BP402" s="197"/>
    </row>
    <row r="403" spans="1:68" ht="20" customHeight="1" x14ac:dyDescent="0.15">
      <c r="A403" s="197"/>
      <c r="B403" s="197"/>
      <c r="C403" s="193"/>
      <c r="D403" s="197"/>
      <c r="E403" s="197"/>
      <c r="F403" s="214"/>
      <c r="G403" s="197"/>
      <c r="H403" s="197"/>
      <c r="I403" s="197"/>
      <c r="J403" s="197"/>
      <c r="K403" s="197"/>
      <c r="L403" s="197"/>
      <c r="M403" s="197"/>
      <c r="N403" s="197"/>
      <c r="O403" s="197"/>
      <c r="P403" s="197"/>
      <c r="Q403" s="197"/>
      <c r="R403" s="197"/>
      <c r="S403" s="197"/>
      <c r="T403" s="197"/>
      <c r="U403" s="197"/>
      <c r="V403" s="197"/>
      <c r="W403" s="197"/>
      <c r="X403" s="197"/>
      <c r="Y403" s="197"/>
      <c r="Z403" s="197"/>
      <c r="AA403" s="197"/>
      <c r="AB403" s="197"/>
      <c r="AC403" s="197"/>
      <c r="AD403" s="197"/>
      <c r="AE403" s="197"/>
      <c r="AF403" s="197"/>
      <c r="AG403" s="197"/>
      <c r="AH403" s="197"/>
      <c r="AI403" s="197"/>
      <c r="AJ403" s="197"/>
      <c r="AK403" s="197"/>
      <c r="AL403" s="197"/>
      <c r="AM403" s="197"/>
      <c r="AN403" s="197"/>
      <c r="AO403" s="197"/>
      <c r="AP403" s="197"/>
      <c r="AQ403" s="197"/>
      <c r="AR403" s="197"/>
      <c r="AS403" s="197"/>
      <c r="AT403" s="197"/>
      <c r="AU403" s="197"/>
      <c r="AV403" s="197"/>
      <c r="AW403" s="197"/>
      <c r="AX403" s="197"/>
      <c r="AY403" s="197"/>
      <c r="AZ403" s="197"/>
      <c r="BA403" s="197"/>
      <c r="BB403" s="197"/>
      <c r="BC403" s="197"/>
      <c r="BD403" s="197"/>
      <c r="BE403" s="197"/>
      <c r="BF403" s="197"/>
      <c r="BG403" s="197"/>
      <c r="BH403" s="197"/>
      <c r="BI403" s="197"/>
      <c r="BJ403" s="197"/>
      <c r="BK403" s="197"/>
      <c r="BL403" s="197"/>
      <c r="BM403" s="197"/>
      <c r="BN403" s="197"/>
      <c r="BO403" s="197"/>
      <c r="BP403" s="197"/>
    </row>
    <row r="404" spans="1:68" ht="20" customHeight="1" x14ac:dyDescent="0.15">
      <c r="A404" s="197"/>
      <c r="B404" s="197"/>
      <c r="C404" s="193"/>
      <c r="D404" s="197"/>
      <c r="E404" s="197"/>
      <c r="F404" s="214"/>
      <c r="G404" s="197"/>
      <c r="H404" s="197"/>
      <c r="I404" s="197"/>
      <c r="J404" s="197"/>
      <c r="K404" s="197"/>
      <c r="L404" s="197"/>
      <c r="M404" s="197"/>
      <c r="N404" s="197"/>
      <c r="O404" s="197"/>
      <c r="P404" s="197"/>
      <c r="Q404" s="197"/>
      <c r="R404" s="197"/>
      <c r="S404" s="197"/>
      <c r="T404" s="197"/>
      <c r="U404" s="197"/>
      <c r="V404" s="197"/>
      <c r="W404" s="197"/>
      <c r="X404" s="197"/>
      <c r="Y404" s="197"/>
      <c r="Z404" s="197"/>
      <c r="AA404" s="197"/>
      <c r="AB404" s="197"/>
      <c r="AC404" s="197"/>
      <c r="AD404" s="197"/>
      <c r="AE404" s="197"/>
      <c r="AF404" s="197"/>
      <c r="AG404" s="197"/>
      <c r="AH404" s="197"/>
      <c r="AI404" s="197"/>
      <c r="AJ404" s="197"/>
      <c r="AK404" s="197"/>
      <c r="AL404" s="197"/>
      <c r="AM404" s="197"/>
      <c r="AN404" s="197"/>
      <c r="AO404" s="197"/>
      <c r="AP404" s="197"/>
      <c r="AQ404" s="197"/>
      <c r="AR404" s="197"/>
      <c r="AS404" s="197"/>
      <c r="AT404" s="197"/>
      <c r="AU404" s="197"/>
      <c r="AV404" s="197"/>
      <c r="AW404" s="197"/>
      <c r="AX404" s="197"/>
      <c r="AY404" s="197"/>
      <c r="AZ404" s="197"/>
      <c r="BA404" s="197"/>
      <c r="BB404" s="197"/>
      <c r="BC404" s="197"/>
      <c r="BD404" s="197"/>
      <c r="BE404" s="197"/>
      <c r="BF404" s="197"/>
      <c r="BG404" s="197"/>
      <c r="BH404" s="197"/>
      <c r="BI404" s="197"/>
      <c r="BJ404" s="197"/>
      <c r="BK404" s="197"/>
      <c r="BL404" s="197"/>
      <c r="BM404" s="197"/>
      <c r="BN404" s="197"/>
      <c r="BO404" s="197"/>
      <c r="BP404" s="197"/>
    </row>
    <row r="405" spans="1:68" ht="20" customHeight="1" x14ac:dyDescent="0.15">
      <c r="A405" s="197"/>
      <c r="B405" s="197"/>
      <c r="C405" s="193"/>
      <c r="D405" s="197"/>
      <c r="E405" s="197"/>
      <c r="F405" s="214"/>
      <c r="G405" s="197"/>
      <c r="H405" s="197"/>
      <c r="I405" s="197"/>
      <c r="J405" s="197"/>
      <c r="K405" s="197"/>
      <c r="L405" s="197"/>
      <c r="M405" s="197"/>
      <c r="N405" s="197"/>
      <c r="O405" s="197"/>
      <c r="P405" s="197"/>
      <c r="Q405" s="197"/>
      <c r="R405" s="197"/>
      <c r="S405" s="197"/>
      <c r="T405" s="197"/>
      <c r="U405" s="197"/>
      <c r="V405" s="197"/>
      <c r="W405" s="197"/>
      <c r="X405" s="197"/>
      <c r="Y405" s="197"/>
      <c r="Z405" s="197"/>
      <c r="AA405" s="197"/>
      <c r="AB405" s="197"/>
      <c r="AC405" s="197"/>
      <c r="AD405" s="197"/>
      <c r="AE405" s="197"/>
      <c r="AF405" s="197"/>
      <c r="AG405" s="197"/>
      <c r="AH405" s="197"/>
      <c r="AI405" s="197"/>
      <c r="AJ405" s="197"/>
      <c r="AK405" s="197"/>
      <c r="AL405" s="197"/>
      <c r="AM405" s="197"/>
      <c r="AN405" s="197"/>
      <c r="AO405" s="197"/>
      <c r="AP405" s="197"/>
      <c r="AQ405" s="197"/>
      <c r="AR405" s="197"/>
      <c r="AS405" s="197"/>
      <c r="AT405" s="197"/>
      <c r="AU405" s="197"/>
      <c r="AV405" s="197"/>
      <c r="AW405" s="197"/>
      <c r="AX405" s="197"/>
      <c r="AY405" s="197"/>
      <c r="AZ405" s="197"/>
      <c r="BA405" s="197"/>
      <c r="BB405" s="197"/>
      <c r="BC405" s="197"/>
      <c r="BD405" s="197"/>
      <c r="BE405" s="197"/>
      <c r="BF405" s="197"/>
      <c r="BG405" s="197"/>
      <c r="BH405" s="197"/>
      <c r="BI405" s="197"/>
      <c r="BJ405" s="197"/>
      <c r="BK405" s="197"/>
      <c r="BL405" s="197"/>
      <c r="BM405" s="197"/>
      <c r="BN405" s="197"/>
      <c r="BO405" s="197"/>
      <c r="BP405" s="197"/>
    </row>
    <row r="406" spans="1:68" ht="20" customHeight="1" x14ac:dyDescent="0.15">
      <c r="A406" s="197"/>
      <c r="B406" s="197"/>
      <c r="C406" s="193"/>
      <c r="D406" s="197"/>
      <c r="E406" s="197"/>
      <c r="F406" s="214"/>
      <c r="G406" s="197"/>
      <c r="H406" s="197"/>
      <c r="I406" s="197"/>
      <c r="J406" s="197"/>
      <c r="K406" s="197"/>
      <c r="L406" s="197"/>
      <c r="M406" s="197"/>
      <c r="N406" s="197"/>
      <c r="O406" s="197"/>
      <c r="P406" s="197"/>
      <c r="Q406" s="197"/>
      <c r="R406" s="197"/>
      <c r="S406" s="197"/>
      <c r="T406" s="197"/>
      <c r="U406" s="197"/>
      <c r="V406" s="197"/>
      <c r="W406" s="197"/>
      <c r="X406" s="197"/>
      <c r="Y406" s="197"/>
      <c r="Z406" s="197"/>
      <c r="AA406" s="197"/>
      <c r="AB406" s="197"/>
      <c r="AC406" s="197"/>
      <c r="AD406" s="197"/>
      <c r="AE406" s="197"/>
      <c r="AF406" s="197"/>
      <c r="AG406" s="197"/>
      <c r="AH406" s="197"/>
      <c r="AI406" s="197"/>
      <c r="AJ406" s="197"/>
      <c r="AK406" s="197"/>
      <c r="AL406" s="197"/>
      <c r="AM406" s="197"/>
      <c r="AN406" s="197"/>
      <c r="AO406" s="197"/>
      <c r="AP406" s="197"/>
      <c r="AQ406" s="197"/>
      <c r="AR406" s="197"/>
      <c r="AS406" s="197"/>
      <c r="AT406" s="197"/>
      <c r="AU406" s="197"/>
      <c r="AV406" s="197"/>
      <c r="AW406" s="197"/>
      <c r="AX406" s="197"/>
      <c r="AY406" s="197"/>
      <c r="AZ406" s="197"/>
      <c r="BA406" s="197"/>
      <c r="BB406" s="197"/>
      <c r="BC406" s="197"/>
      <c r="BD406" s="197"/>
      <c r="BE406" s="197"/>
      <c r="BF406" s="197"/>
      <c r="BG406" s="197"/>
      <c r="BH406" s="197"/>
      <c r="BI406" s="197"/>
      <c r="BJ406" s="197"/>
      <c r="BK406" s="197"/>
      <c r="BL406" s="197"/>
      <c r="BM406" s="197"/>
      <c r="BN406" s="197"/>
      <c r="BO406" s="197"/>
      <c r="BP406" s="197"/>
    </row>
    <row r="407" spans="1:68" ht="20" customHeight="1" x14ac:dyDescent="0.15">
      <c r="A407" s="197"/>
      <c r="B407" s="197"/>
      <c r="C407" s="193"/>
      <c r="D407" s="197"/>
      <c r="E407" s="197"/>
      <c r="F407" s="214"/>
      <c r="G407" s="197"/>
      <c r="H407" s="197"/>
      <c r="I407" s="197"/>
      <c r="J407" s="197"/>
      <c r="K407" s="197"/>
      <c r="L407" s="197"/>
      <c r="M407" s="197"/>
      <c r="N407" s="197"/>
      <c r="O407" s="197"/>
      <c r="P407" s="197"/>
      <c r="Q407" s="197"/>
      <c r="R407" s="197"/>
      <c r="S407" s="197"/>
      <c r="T407" s="197"/>
      <c r="U407" s="197"/>
      <c r="V407" s="197"/>
      <c r="W407" s="197"/>
      <c r="X407" s="197"/>
      <c r="Y407" s="197"/>
      <c r="Z407" s="197"/>
      <c r="AA407" s="197"/>
      <c r="AB407" s="197"/>
      <c r="AC407" s="197"/>
      <c r="AD407" s="197"/>
      <c r="AE407" s="197"/>
      <c r="AF407" s="197"/>
      <c r="AG407" s="197"/>
      <c r="AH407" s="197"/>
      <c r="AI407" s="197"/>
      <c r="AJ407" s="197"/>
      <c r="AK407" s="197"/>
      <c r="AL407" s="197"/>
      <c r="AM407" s="197"/>
      <c r="AN407" s="197"/>
      <c r="AO407" s="197"/>
      <c r="AP407" s="197"/>
      <c r="AQ407" s="197"/>
      <c r="AR407" s="197"/>
      <c r="AS407" s="197"/>
      <c r="AT407" s="197"/>
      <c r="AU407" s="197"/>
      <c r="AV407" s="197"/>
      <c r="AW407" s="197"/>
      <c r="AX407" s="197"/>
      <c r="AY407" s="197"/>
      <c r="AZ407" s="197"/>
      <c r="BA407" s="197"/>
      <c r="BB407" s="197"/>
      <c r="BC407" s="197"/>
      <c r="BD407" s="197"/>
      <c r="BE407" s="197"/>
      <c r="BF407" s="197"/>
      <c r="BG407" s="197"/>
      <c r="BH407" s="197"/>
      <c r="BI407" s="197"/>
      <c r="BJ407" s="197"/>
      <c r="BK407" s="197"/>
      <c r="BL407" s="197"/>
      <c r="BM407" s="197"/>
      <c r="BN407" s="197"/>
      <c r="BO407" s="197"/>
      <c r="BP407" s="197"/>
    </row>
    <row r="408" spans="1:68" ht="20" customHeight="1" x14ac:dyDescent="0.15">
      <c r="A408" s="197"/>
      <c r="B408" s="197"/>
      <c r="C408" s="193"/>
      <c r="D408" s="197"/>
      <c r="E408" s="197"/>
      <c r="F408" s="214"/>
      <c r="G408" s="197"/>
      <c r="H408" s="197"/>
      <c r="I408" s="197"/>
      <c r="J408" s="197"/>
      <c r="K408" s="197"/>
      <c r="L408" s="197"/>
      <c r="M408" s="197"/>
      <c r="N408" s="197"/>
      <c r="O408" s="197"/>
      <c r="P408" s="197"/>
      <c r="Q408" s="197"/>
      <c r="R408" s="197"/>
      <c r="S408" s="197"/>
      <c r="T408" s="197"/>
      <c r="U408" s="197"/>
      <c r="V408" s="197"/>
      <c r="W408" s="197"/>
      <c r="X408" s="197"/>
      <c r="Y408" s="197"/>
      <c r="Z408" s="197"/>
      <c r="AA408" s="197"/>
      <c r="AB408" s="197"/>
      <c r="AC408" s="197"/>
      <c r="AD408" s="197"/>
      <c r="AE408" s="197"/>
      <c r="AF408" s="197"/>
      <c r="AG408" s="197"/>
      <c r="AH408" s="197"/>
      <c r="AI408" s="197"/>
      <c r="AJ408" s="197"/>
      <c r="AK408" s="197"/>
      <c r="AL408" s="197"/>
      <c r="AM408" s="197"/>
      <c r="AN408" s="197"/>
      <c r="AO408" s="197"/>
      <c r="AP408" s="197"/>
      <c r="AQ408" s="197"/>
      <c r="AR408" s="197"/>
      <c r="AS408" s="197"/>
      <c r="AT408" s="197"/>
      <c r="AU408" s="197"/>
      <c r="AV408" s="197"/>
      <c r="AW408" s="197"/>
      <c r="AX408" s="197"/>
      <c r="AY408" s="197"/>
      <c r="AZ408" s="197"/>
      <c r="BA408" s="197"/>
      <c r="BB408" s="197"/>
      <c r="BC408" s="197"/>
      <c r="BD408" s="197"/>
      <c r="BE408" s="197"/>
      <c r="BF408" s="197"/>
      <c r="BG408" s="197"/>
      <c r="BH408" s="197"/>
      <c r="BI408" s="197"/>
      <c r="BJ408" s="197"/>
      <c r="BK408" s="197"/>
      <c r="BL408" s="197"/>
      <c r="BM408" s="197"/>
      <c r="BN408" s="197"/>
      <c r="BO408" s="197"/>
      <c r="BP408" s="197"/>
    </row>
    <row r="409" spans="1:68" ht="20" customHeight="1" x14ac:dyDescent="0.15">
      <c r="A409" s="197"/>
      <c r="B409" s="197"/>
      <c r="C409" s="193"/>
      <c r="D409" s="197"/>
      <c r="E409" s="197"/>
      <c r="F409" s="214"/>
      <c r="G409" s="197"/>
      <c r="H409" s="197"/>
      <c r="I409" s="197"/>
      <c r="J409" s="197"/>
      <c r="K409" s="197"/>
      <c r="L409" s="197"/>
      <c r="M409" s="197"/>
      <c r="N409" s="197"/>
      <c r="O409" s="197"/>
      <c r="P409" s="197"/>
      <c r="Q409" s="197"/>
      <c r="R409" s="197"/>
      <c r="S409" s="197"/>
      <c r="T409" s="197"/>
      <c r="U409" s="197"/>
      <c r="V409" s="197"/>
      <c r="W409" s="197"/>
      <c r="X409" s="197"/>
      <c r="Y409" s="197"/>
      <c r="Z409" s="197"/>
      <c r="AA409" s="197"/>
      <c r="AB409" s="197"/>
      <c r="AC409" s="197"/>
      <c r="AD409" s="197"/>
      <c r="AE409" s="197"/>
      <c r="AF409" s="197"/>
      <c r="AG409" s="197"/>
      <c r="AH409" s="197"/>
      <c r="AI409" s="197"/>
      <c r="AJ409" s="197"/>
      <c r="AK409" s="197"/>
      <c r="AL409" s="197"/>
      <c r="AM409" s="197"/>
      <c r="AN409" s="197"/>
      <c r="AO409" s="197"/>
      <c r="AP409" s="197"/>
      <c r="AQ409" s="197"/>
      <c r="AR409" s="197"/>
      <c r="AS409" s="197"/>
      <c r="AT409" s="197"/>
      <c r="AU409" s="197"/>
      <c r="AV409" s="197"/>
      <c r="AW409" s="197"/>
      <c r="AX409" s="197"/>
      <c r="AY409" s="197"/>
      <c r="AZ409" s="197"/>
      <c r="BA409" s="197"/>
      <c r="BB409" s="197"/>
      <c r="BC409" s="197"/>
      <c r="BD409" s="197"/>
      <c r="BE409" s="197"/>
      <c r="BF409" s="197"/>
      <c r="BG409" s="197"/>
      <c r="BH409" s="197"/>
      <c r="BI409" s="197"/>
      <c r="BJ409" s="197"/>
      <c r="BK409" s="197"/>
      <c r="BL409" s="197"/>
      <c r="BM409" s="197"/>
      <c r="BN409" s="197"/>
      <c r="BO409" s="197"/>
      <c r="BP409" s="197"/>
    </row>
    <row r="410" spans="1:68" ht="20" customHeight="1" x14ac:dyDescent="0.15">
      <c r="A410" s="197"/>
      <c r="B410" s="197"/>
      <c r="C410" s="193"/>
      <c r="D410" s="197"/>
      <c r="E410" s="197"/>
      <c r="F410" s="214"/>
      <c r="G410" s="197"/>
      <c r="H410" s="197"/>
      <c r="I410" s="197"/>
      <c r="J410" s="197"/>
      <c r="K410" s="197"/>
      <c r="L410" s="197"/>
      <c r="M410" s="197"/>
      <c r="N410" s="197"/>
      <c r="O410" s="197"/>
      <c r="P410" s="197"/>
      <c r="Q410" s="197"/>
      <c r="R410" s="197"/>
      <c r="S410" s="197"/>
      <c r="T410" s="197"/>
      <c r="U410" s="197"/>
      <c r="V410" s="197"/>
      <c r="W410" s="197"/>
      <c r="X410" s="197"/>
      <c r="Y410" s="197"/>
      <c r="Z410" s="197"/>
      <c r="AA410" s="197"/>
      <c r="AB410" s="197"/>
      <c r="AC410" s="197"/>
      <c r="AD410" s="197"/>
      <c r="AE410" s="197"/>
      <c r="AF410" s="197"/>
      <c r="AG410" s="197"/>
      <c r="AH410" s="197"/>
      <c r="AI410" s="197"/>
      <c r="AJ410" s="197"/>
      <c r="AK410" s="197"/>
      <c r="AL410" s="197"/>
      <c r="AM410" s="197"/>
      <c r="AN410" s="197"/>
      <c r="AO410" s="197"/>
      <c r="AP410" s="197"/>
      <c r="AQ410" s="197"/>
      <c r="AR410" s="197"/>
      <c r="AS410" s="197"/>
      <c r="AT410" s="197"/>
      <c r="AU410" s="197"/>
      <c r="AV410" s="197"/>
      <c r="AW410" s="197"/>
      <c r="AX410" s="197"/>
      <c r="AY410" s="197"/>
      <c r="AZ410" s="197"/>
      <c r="BA410" s="197"/>
      <c r="BB410" s="197"/>
      <c r="BC410" s="197"/>
      <c r="BD410" s="197"/>
      <c r="BE410" s="197"/>
      <c r="BF410" s="197"/>
      <c r="BG410" s="197"/>
      <c r="BH410" s="197"/>
      <c r="BI410" s="197"/>
      <c r="BJ410" s="197"/>
      <c r="BK410" s="197"/>
      <c r="BL410" s="197"/>
      <c r="BM410" s="197"/>
      <c r="BN410" s="197"/>
      <c r="BO410" s="197"/>
      <c r="BP410" s="197"/>
    </row>
    <row r="411" spans="1:68" ht="20" customHeight="1" x14ac:dyDescent="0.15">
      <c r="A411" s="197"/>
      <c r="B411" s="197"/>
      <c r="C411" s="193"/>
      <c r="D411" s="197"/>
      <c r="E411" s="197"/>
      <c r="F411" s="214"/>
      <c r="G411" s="197"/>
      <c r="H411" s="197"/>
      <c r="I411" s="197"/>
      <c r="J411" s="197"/>
      <c r="K411" s="197"/>
      <c r="L411" s="197"/>
      <c r="M411" s="197"/>
      <c r="N411" s="197"/>
      <c r="O411" s="197"/>
      <c r="P411" s="197"/>
      <c r="Q411" s="197"/>
      <c r="R411" s="197"/>
      <c r="S411" s="197"/>
      <c r="T411" s="197"/>
      <c r="U411" s="197"/>
      <c r="V411" s="197"/>
      <c r="W411" s="197"/>
      <c r="X411" s="197"/>
      <c r="Y411" s="197"/>
      <c r="Z411" s="197"/>
      <c r="AA411" s="197"/>
      <c r="AB411" s="197"/>
      <c r="AC411" s="197"/>
      <c r="AD411" s="197"/>
      <c r="AE411" s="197"/>
      <c r="AF411" s="197"/>
      <c r="AG411" s="197"/>
      <c r="AH411" s="197"/>
      <c r="AI411" s="197"/>
      <c r="AJ411" s="197"/>
      <c r="AK411" s="197"/>
      <c r="AL411" s="197"/>
      <c r="AM411" s="197"/>
      <c r="AN411" s="197"/>
      <c r="AO411" s="197"/>
      <c r="AP411" s="197"/>
      <c r="AQ411" s="197"/>
      <c r="AR411" s="197"/>
      <c r="AS411" s="197"/>
      <c r="AT411" s="197"/>
      <c r="AU411" s="197"/>
      <c r="AV411" s="197"/>
      <c r="AW411" s="197"/>
      <c r="AX411" s="197"/>
      <c r="AY411" s="197"/>
      <c r="AZ411" s="197"/>
      <c r="BA411" s="197"/>
      <c r="BB411" s="197"/>
      <c r="BC411" s="197"/>
      <c r="BD411" s="197"/>
      <c r="BE411" s="197"/>
      <c r="BF411" s="197"/>
      <c r="BG411" s="197"/>
      <c r="BH411" s="197"/>
      <c r="BI411" s="197"/>
      <c r="BJ411" s="197"/>
      <c r="BK411" s="197"/>
      <c r="BL411" s="197"/>
      <c r="BM411" s="197"/>
      <c r="BN411" s="197"/>
      <c r="BO411" s="197"/>
      <c r="BP411" s="197"/>
    </row>
    <row r="412" spans="1:68" ht="20" customHeight="1" x14ac:dyDescent="0.15">
      <c r="A412" s="197"/>
      <c r="B412" s="197"/>
      <c r="C412" s="193"/>
      <c r="D412" s="197"/>
      <c r="E412" s="197"/>
      <c r="F412" s="214"/>
      <c r="G412" s="197"/>
      <c r="H412" s="197"/>
      <c r="I412" s="197"/>
      <c r="J412" s="197"/>
      <c r="K412" s="197"/>
      <c r="L412" s="197"/>
      <c r="M412" s="197"/>
      <c r="N412" s="197"/>
      <c r="O412" s="197"/>
      <c r="P412" s="197"/>
      <c r="Q412" s="197"/>
      <c r="R412" s="197"/>
      <c r="S412" s="197"/>
      <c r="T412" s="197"/>
      <c r="U412" s="197"/>
      <c r="V412" s="197"/>
      <c r="W412" s="197"/>
      <c r="X412" s="197"/>
      <c r="Y412" s="197"/>
      <c r="Z412" s="197"/>
      <c r="AA412" s="197"/>
      <c r="AB412" s="197"/>
      <c r="AC412" s="197"/>
      <c r="AD412" s="197"/>
      <c r="AE412" s="197"/>
      <c r="AF412" s="197"/>
      <c r="AG412" s="197"/>
      <c r="AH412" s="197"/>
      <c r="AI412" s="197"/>
      <c r="AJ412" s="197"/>
      <c r="AK412" s="197"/>
      <c r="AL412" s="197"/>
      <c r="AM412" s="197"/>
      <c r="AN412" s="197"/>
      <c r="AO412" s="197"/>
      <c r="AP412" s="197"/>
      <c r="AQ412" s="197"/>
      <c r="AR412" s="197"/>
      <c r="AS412" s="197"/>
      <c r="AT412" s="197"/>
      <c r="AU412" s="197"/>
      <c r="AV412" s="197"/>
      <c r="AW412" s="197"/>
      <c r="AX412" s="197"/>
      <c r="AY412" s="197"/>
      <c r="AZ412" s="197"/>
      <c r="BA412" s="197"/>
      <c r="BB412" s="197"/>
      <c r="BC412" s="197"/>
      <c r="BD412" s="197"/>
      <c r="BE412" s="197"/>
      <c r="BF412" s="197"/>
      <c r="BG412" s="197"/>
      <c r="BH412" s="197"/>
      <c r="BI412" s="197"/>
      <c r="BJ412" s="197"/>
      <c r="BK412" s="197"/>
      <c r="BL412" s="197"/>
      <c r="BM412" s="197"/>
      <c r="BN412" s="197"/>
      <c r="BO412" s="197"/>
      <c r="BP412" s="197"/>
    </row>
    <row r="413" spans="1:68" ht="20" customHeight="1" x14ac:dyDescent="0.15">
      <c r="A413" s="197"/>
      <c r="B413" s="197"/>
      <c r="C413" s="193"/>
      <c r="D413" s="197"/>
      <c r="E413" s="197"/>
      <c r="F413" s="214"/>
      <c r="G413" s="197"/>
      <c r="H413" s="197"/>
      <c r="I413" s="197"/>
      <c r="J413" s="197"/>
      <c r="K413" s="197"/>
      <c r="L413" s="197"/>
      <c r="M413" s="197"/>
      <c r="N413" s="197"/>
      <c r="O413" s="197"/>
      <c r="P413" s="197"/>
      <c r="Q413" s="197"/>
      <c r="R413" s="197"/>
      <c r="S413" s="197"/>
      <c r="T413" s="197"/>
      <c r="U413" s="197"/>
      <c r="V413" s="197"/>
      <c r="W413" s="197"/>
      <c r="X413" s="197"/>
      <c r="Y413" s="197"/>
      <c r="Z413" s="197"/>
      <c r="AA413" s="197"/>
      <c r="AB413" s="197"/>
      <c r="AC413" s="197"/>
      <c r="AD413" s="197"/>
      <c r="AE413" s="197"/>
      <c r="AF413" s="197"/>
      <c r="AG413" s="197"/>
      <c r="AH413" s="197"/>
      <c r="AI413" s="197"/>
      <c r="AJ413" s="197"/>
      <c r="AK413" s="197"/>
      <c r="AL413" s="197"/>
      <c r="AM413" s="197"/>
      <c r="AN413" s="197"/>
      <c r="AO413" s="197"/>
      <c r="AP413" s="197"/>
      <c r="AQ413" s="197"/>
      <c r="AR413" s="197"/>
      <c r="AS413" s="197"/>
      <c r="AT413" s="197"/>
      <c r="AU413" s="197"/>
      <c r="AV413" s="197"/>
      <c r="AW413" s="197"/>
      <c r="AX413" s="197"/>
      <c r="AY413" s="197"/>
      <c r="AZ413" s="197"/>
      <c r="BA413" s="197"/>
      <c r="BB413" s="197"/>
      <c r="BC413" s="197"/>
      <c r="BD413" s="197"/>
      <c r="BE413" s="197"/>
      <c r="BF413" s="197"/>
      <c r="BG413" s="197"/>
      <c r="BH413" s="197"/>
      <c r="BI413" s="197"/>
      <c r="BJ413" s="197"/>
      <c r="BK413" s="197"/>
      <c r="BL413" s="197"/>
      <c r="BM413" s="197"/>
      <c r="BN413" s="197"/>
      <c r="BO413" s="197"/>
      <c r="BP413" s="197"/>
    </row>
    <row r="414" spans="1:68" ht="20" customHeight="1" x14ac:dyDescent="0.15">
      <c r="A414" s="197"/>
      <c r="B414" s="197"/>
      <c r="C414" s="193"/>
      <c r="D414" s="197"/>
      <c r="E414" s="197"/>
      <c r="F414" s="214"/>
      <c r="G414" s="197"/>
      <c r="H414" s="197"/>
      <c r="I414" s="197"/>
      <c r="J414" s="197"/>
      <c r="K414" s="197"/>
      <c r="L414" s="197"/>
      <c r="M414" s="197"/>
      <c r="N414" s="197"/>
      <c r="O414" s="197"/>
      <c r="P414" s="197"/>
      <c r="Q414" s="197"/>
      <c r="R414" s="197"/>
      <c r="S414" s="197"/>
      <c r="T414" s="197"/>
      <c r="U414" s="197"/>
      <c r="V414" s="197"/>
      <c r="W414" s="197"/>
      <c r="X414" s="197"/>
      <c r="Y414" s="197"/>
      <c r="Z414" s="197"/>
      <c r="AA414" s="197"/>
      <c r="AB414" s="197"/>
      <c r="AC414" s="197"/>
      <c r="AD414" s="197"/>
      <c r="AE414" s="197"/>
      <c r="AF414" s="197"/>
      <c r="AG414" s="197"/>
      <c r="AH414" s="197"/>
      <c r="AI414" s="197"/>
      <c r="AJ414" s="197"/>
      <c r="AK414" s="197"/>
      <c r="AL414" s="197"/>
      <c r="AM414" s="197"/>
      <c r="AN414" s="197"/>
      <c r="AO414" s="197"/>
      <c r="AP414" s="197"/>
      <c r="AQ414" s="197"/>
      <c r="AR414" s="197"/>
      <c r="AS414" s="197"/>
      <c r="AT414" s="197"/>
      <c r="AU414" s="197"/>
      <c r="AV414" s="197"/>
      <c r="AW414" s="197"/>
      <c r="AX414" s="197"/>
      <c r="AY414" s="197"/>
      <c r="AZ414" s="197"/>
      <c r="BA414" s="197"/>
      <c r="BB414" s="197"/>
      <c r="BC414" s="197"/>
      <c r="BD414" s="197"/>
      <c r="BE414" s="197"/>
      <c r="BF414" s="197"/>
      <c r="BG414" s="197"/>
      <c r="BH414" s="197"/>
      <c r="BI414" s="197"/>
      <c r="BJ414" s="197"/>
      <c r="BK414" s="197"/>
      <c r="BL414" s="197"/>
      <c r="BM414" s="197"/>
      <c r="BN414" s="197"/>
      <c r="BO414" s="197"/>
      <c r="BP414" s="197"/>
    </row>
    <row r="415" spans="1:68" ht="20" customHeight="1" x14ac:dyDescent="0.15">
      <c r="A415" s="197"/>
      <c r="B415" s="197"/>
      <c r="C415" s="193"/>
      <c r="D415" s="197"/>
      <c r="E415" s="197"/>
      <c r="F415" s="214"/>
      <c r="G415" s="197"/>
      <c r="H415" s="197"/>
      <c r="I415" s="197"/>
      <c r="J415" s="197"/>
      <c r="K415" s="197"/>
      <c r="L415" s="197"/>
      <c r="M415" s="197"/>
      <c r="N415" s="197"/>
      <c r="O415" s="197"/>
      <c r="P415" s="197"/>
      <c r="Q415" s="197"/>
      <c r="R415" s="197"/>
      <c r="S415" s="197"/>
      <c r="T415" s="197"/>
      <c r="U415" s="197"/>
      <c r="V415" s="197"/>
      <c r="W415" s="197"/>
      <c r="X415" s="197"/>
      <c r="Y415" s="197"/>
      <c r="Z415" s="197"/>
      <c r="AA415" s="197"/>
      <c r="AB415" s="197"/>
      <c r="AC415" s="197"/>
      <c r="AD415" s="197"/>
      <c r="AE415" s="197"/>
      <c r="AF415" s="197"/>
      <c r="AG415" s="197"/>
      <c r="AH415" s="197"/>
      <c r="AI415" s="197"/>
      <c r="AJ415" s="197"/>
      <c r="AK415" s="197"/>
      <c r="AL415" s="197"/>
      <c r="AM415" s="197"/>
      <c r="AN415" s="197"/>
      <c r="AO415" s="197"/>
      <c r="AP415" s="197"/>
      <c r="AQ415" s="197"/>
      <c r="AR415" s="197"/>
      <c r="AS415" s="197"/>
      <c r="AT415" s="197"/>
      <c r="AU415" s="197"/>
      <c r="AV415" s="197"/>
      <c r="AW415" s="197"/>
      <c r="AX415" s="197"/>
      <c r="AY415" s="197"/>
      <c r="AZ415" s="197"/>
      <c r="BA415" s="197"/>
      <c r="BB415" s="197"/>
      <c r="BC415" s="197"/>
      <c r="BD415" s="197"/>
      <c r="BE415" s="197"/>
      <c r="BF415" s="197"/>
      <c r="BG415" s="197"/>
      <c r="BH415" s="197"/>
      <c r="BI415" s="197"/>
      <c r="BJ415" s="197"/>
      <c r="BK415" s="197"/>
      <c r="BL415" s="197"/>
      <c r="BM415" s="197"/>
      <c r="BN415" s="197"/>
      <c r="BO415" s="197"/>
      <c r="BP415" s="197"/>
    </row>
    <row r="416" spans="1:68" ht="20" customHeight="1" x14ac:dyDescent="0.15">
      <c r="A416" s="197"/>
      <c r="B416" s="197"/>
      <c r="C416" s="193"/>
      <c r="D416" s="197"/>
      <c r="E416" s="197"/>
      <c r="F416" s="214"/>
      <c r="G416" s="197"/>
      <c r="H416" s="197"/>
      <c r="I416" s="197"/>
      <c r="J416" s="197"/>
      <c r="K416" s="197"/>
      <c r="L416" s="197"/>
      <c r="M416" s="197"/>
      <c r="N416" s="197"/>
      <c r="O416" s="197"/>
      <c r="P416" s="197"/>
      <c r="Q416" s="197"/>
      <c r="R416" s="197"/>
      <c r="S416" s="197"/>
      <c r="T416" s="197"/>
      <c r="U416" s="197"/>
      <c r="V416" s="197"/>
      <c r="W416" s="197"/>
      <c r="X416" s="197"/>
      <c r="Y416" s="197"/>
      <c r="Z416" s="197"/>
      <c r="AA416" s="197"/>
      <c r="AB416" s="197"/>
      <c r="AC416" s="197"/>
      <c r="AD416" s="197"/>
      <c r="AE416" s="197"/>
      <c r="AF416" s="197"/>
      <c r="AG416" s="197"/>
      <c r="AH416" s="197"/>
      <c r="AI416" s="197"/>
      <c r="AJ416" s="197"/>
      <c r="AK416" s="197"/>
      <c r="AL416" s="197"/>
      <c r="AM416" s="197"/>
      <c r="AN416" s="197"/>
      <c r="AO416" s="197"/>
      <c r="AP416" s="197"/>
      <c r="AQ416" s="197"/>
      <c r="AR416" s="197"/>
      <c r="AS416" s="197"/>
      <c r="AT416" s="197"/>
      <c r="AU416" s="197"/>
      <c r="AV416" s="197"/>
      <c r="AW416" s="197"/>
      <c r="AX416" s="197"/>
      <c r="AY416" s="197"/>
      <c r="AZ416" s="197"/>
      <c r="BA416" s="197"/>
      <c r="BB416" s="197"/>
      <c r="BC416" s="197"/>
      <c r="BD416" s="197"/>
      <c r="BE416" s="197"/>
      <c r="BF416" s="197"/>
      <c r="BG416" s="197"/>
      <c r="BH416" s="197"/>
      <c r="BI416" s="197"/>
      <c r="BJ416" s="197"/>
      <c r="BK416" s="197"/>
      <c r="BL416" s="197"/>
      <c r="BM416" s="197"/>
      <c r="BN416" s="197"/>
      <c r="BO416" s="197"/>
      <c r="BP416" s="197"/>
    </row>
    <row r="417" spans="1:68" ht="20" customHeight="1" x14ac:dyDescent="0.15">
      <c r="A417" s="197"/>
      <c r="B417" s="197"/>
      <c r="C417" s="193"/>
      <c r="D417" s="197"/>
      <c r="E417" s="197"/>
      <c r="F417" s="214"/>
      <c r="G417" s="197"/>
      <c r="H417" s="197"/>
      <c r="I417" s="197"/>
      <c r="J417" s="197"/>
      <c r="K417" s="197"/>
      <c r="L417" s="197"/>
      <c r="M417" s="197"/>
      <c r="N417" s="197"/>
      <c r="O417" s="197"/>
      <c r="P417" s="197"/>
      <c r="Q417" s="197"/>
      <c r="R417" s="197"/>
      <c r="S417" s="197"/>
      <c r="T417" s="197"/>
      <c r="U417" s="197"/>
      <c r="V417" s="197"/>
      <c r="W417" s="197"/>
      <c r="X417" s="197"/>
      <c r="Y417" s="197"/>
      <c r="Z417" s="197"/>
      <c r="AA417" s="197"/>
      <c r="AB417" s="197"/>
      <c r="AC417" s="197"/>
      <c r="AD417" s="197"/>
      <c r="AE417" s="197"/>
      <c r="AF417" s="197"/>
      <c r="AG417" s="197"/>
      <c r="AH417" s="197"/>
      <c r="AI417" s="197"/>
      <c r="AJ417" s="197"/>
      <c r="AK417" s="197"/>
      <c r="AL417" s="197"/>
      <c r="AM417" s="197"/>
      <c r="AN417" s="197"/>
      <c r="AO417" s="197"/>
      <c r="AP417" s="197"/>
      <c r="AQ417" s="197"/>
      <c r="AR417" s="197"/>
      <c r="AS417" s="197"/>
      <c r="AT417" s="197"/>
      <c r="AU417" s="197"/>
      <c r="AV417" s="197"/>
      <c r="AW417" s="197"/>
      <c r="AX417" s="197"/>
      <c r="AY417" s="197"/>
      <c r="AZ417" s="197"/>
      <c r="BA417" s="197"/>
      <c r="BB417" s="197"/>
      <c r="BC417" s="197"/>
      <c r="BD417" s="197"/>
      <c r="BE417" s="197"/>
      <c r="BF417" s="197"/>
      <c r="BG417" s="197"/>
      <c r="BH417" s="197"/>
      <c r="BI417" s="197"/>
      <c r="BJ417" s="197"/>
      <c r="BK417" s="197"/>
      <c r="BL417" s="197"/>
      <c r="BM417" s="197"/>
      <c r="BN417" s="197"/>
      <c r="BO417" s="197"/>
      <c r="BP417" s="197"/>
    </row>
    <row r="418" spans="1:68" ht="20" customHeight="1" x14ac:dyDescent="0.15">
      <c r="A418" s="197"/>
      <c r="B418" s="197"/>
      <c r="C418" s="193"/>
      <c r="D418" s="197"/>
      <c r="E418" s="197"/>
      <c r="F418" s="214"/>
      <c r="G418" s="197"/>
      <c r="H418" s="197"/>
      <c r="I418" s="197"/>
      <c r="J418" s="197"/>
      <c r="K418" s="197"/>
      <c r="L418" s="197"/>
      <c r="M418" s="197"/>
      <c r="N418" s="197"/>
      <c r="O418" s="197"/>
      <c r="P418" s="197"/>
      <c r="Q418" s="197"/>
      <c r="R418" s="197"/>
      <c r="S418" s="197"/>
      <c r="T418" s="197"/>
      <c r="U418" s="197"/>
      <c r="V418" s="197"/>
      <c r="W418" s="197"/>
      <c r="X418" s="197"/>
      <c r="Y418" s="197"/>
      <c r="Z418" s="197"/>
      <c r="AA418" s="197"/>
      <c r="AB418" s="197"/>
      <c r="AC418" s="197"/>
      <c r="AD418" s="197"/>
      <c r="AE418" s="197"/>
      <c r="AF418" s="197"/>
      <c r="AG418" s="197"/>
      <c r="AH418" s="197"/>
      <c r="AI418" s="197"/>
      <c r="AJ418" s="197"/>
      <c r="AK418" s="197"/>
      <c r="AL418" s="197"/>
      <c r="AM418" s="197"/>
      <c r="AN418" s="197"/>
      <c r="AO418" s="197"/>
      <c r="AP418" s="197"/>
      <c r="AQ418" s="197"/>
      <c r="AR418" s="197"/>
      <c r="AS418" s="197"/>
      <c r="AT418" s="197"/>
      <c r="AU418" s="197"/>
      <c r="AV418" s="197"/>
      <c r="AW418" s="197"/>
      <c r="AX418" s="197"/>
      <c r="AY418" s="197"/>
      <c r="AZ418" s="197"/>
      <c r="BA418" s="197"/>
      <c r="BB418" s="197"/>
      <c r="BC418" s="197"/>
      <c r="BD418" s="197"/>
      <c r="BE418" s="197"/>
      <c r="BF418" s="197"/>
      <c r="BG418" s="197"/>
      <c r="BH418" s="197"/>
      <c r="BI418" s="197"/>
      <c r="BJ418" s="197"/>
      <c r="BK418" s="197"/>
      <c r="BL418" s="197"/>
      <c r="BM418" s="197"/>
      <c r="BN418" s="197"/>
      <c r="BO418" s="197"/>
      <c r="BP418" s="197"/>
    </row>
    <row r="419" spans="1:68" ht="20" customHeight="1" x14ac:dyDescent="0.15">
      <c r="A419" s="197"/>
      <c r="B419" s="197"/>
      <c r="C419" s="193"/>
      <c r="D419" s="197"/>
      <c r="E419" s="197"/>
      <c r="F419" s="214"/>
      <c r="G419" s="197"/>
      <c r="H419" s="197"/>
      <c r="I419" s="197"/>
      <c r="J419" s="197"/>
      <c r="K419" s="197"/>
      <c r="L419" s="197"/>
      <c r="M419" s="197"/>
      <c r="N419" s="197"/>
      <c r="O419" s="197"/>
      <c r="P419" s="197"/>
      <c r="Q419" s="197"/>
      <c r="R419" s="197"/>
      <c r="S419" s="197"/>
      <c r="T419" s="197"/>
      <c r="U419" s="197"/>
      <c r="V419" s="197"/>
      <c r="W419" s="197"/>
      <c r="X419" s="197"/>
      <c r="Y419" s="197"/>
      <c r="Z419" s="197"/>
      <c r="AA419" s="197"/>
      <c r="AB419" s="197"/>
      <c r="AC419" s="197"/>
      <c r="AD419" s="197"/>
      <c r="AE419" s="197"/>
      <c r="AF419" s="197"/>
      <c r="AG419" s="197"/>
      <c r="AH419" s="197"/>
      <c r="AI419" s="197"/>
      <c r="AJ419" s="197"/>
      <c r="AK419" s="197"/>
      <c r="AL419" s="197"/>
      <c r="AM419" s="197"/>
      <c r="AN419" s="197"/>
      <c r="AO419" s="197"/>
      <c r="AP419" s="197"/>
      <c r="AQ419" s="197"/>
      <c r="AR419" s="197"/>
      <c r="AS419" s="197"/>
      <c r="AT419" s="197"/>
      <c r="AU419" s="197"/>
      <c r="AV419" s="197"/>
      <c r="AW419" s="197"/>
      <c r="AX419" s="197"/>
      <c r="AY419" s="197"/>
      <c r="AZ419" s="197"/>
      <c r="BA419" s="197"/>
      <c r="BB419" s="197"/>
      <c r="BC419" s="197"/>
      <c r="BD419" s="197"/>
      <c r="BE419" s="197"/>
      <c r="BF419" s="197"/>
      <c r="BG419" s="197"/>
      <c r="BH419" s="197"/>
      <c r="BI419" s="197"/>
      <c r="BJ419" s="197"/>
      <c r="BK419" s="197"/>
      <c r="BL419" s="197"/>
      <c r="BM419" s="197"/>
      <c r="BN419" s="197"/>
      <c r="BO419" s="197"/>
      <c r="BP419" s="197"/>
    </row>
    <row r="420" spans="1:68" ht="20" customHeight="1" x14ac:dyDescent="0.15">
      <c r="A420" s="197"/>
      <c r="B420" s="197"/>
      <c r="C420" s="193"/>
      <c r="D420" s="197"/>
      <c r="E420" s="197"/>
      <c r="F420" s="214"/>
      <c r="G420" s="197"/>
      <c r="H420" s="197"/>
      <c r="I420" s="197"/>
      <c r="J420" s="197"/>
      <c r="K420" s="197"/>
      <c r="L420" s="197"/>
      <c r="M420" s="197"/>
      <c r="N420" s="197"/>
      <c r="O420" s="197"/>
      <c r="P420" s="197"/>
      <c r="Q420" s="197"/>
      <c r="R420" s="197"/>
      <c r="S420" s="197"/>
      <c r="T420" s="197"/>
      <c r="U420" s="197"/>
      <c r="V420" s="197"/>
      <c r="W420" s="197"/>
      <c r="X420" s="197"/>
      <c r="Y420" s="197"/>
      <c r="Z420" s="197"/>
      <c r="AA420" s="197"/>
      <c r="AB420" s="197"/>
      <c r="AC420" s="197"/>
      <c r="AD420" s="197"/>
      <c r="AE420" s="197"/>
      <c r="AF420" s="197"/>
      <c r="AG420" s="197"/>
      <c r="AH420" s="197"/>
      <c r="AI420" s="197"/>
      <c r="AJ420" s="197"/>
      <c r="AK420" s="197"/>
      <c r="AL420" s="197"/>
      <c r="AM420" s="197"/>
      <c r="AN420" s="197"/>
      <c r="AO420" s="197"/>
      <c r="AP420" s="197"/>
      <c r="AQ420" s="197"/>
      <c r="AR420" s="197"/>
      <c r="AS420" s="197"/>
      <c r="AT420" s="197"/>
      <c r="AU420" s="197"/>
      <c r="AV420" s="197"/>
      <c r="AW420" s="197"/>
      <c r="AX420" s="197"/>
      <c r="AY420" s="197"/>
      <c r="AZ420" s="197"/>
      <c r="BA420" s="197"/>
      <c r="BB420" s="197"/>
      <c r="BC420" s="197"/>
      <c r="BD420" s="197"/>
      <c r="BE420" s="197"/>
      <c r="BF420" s="197"/>
      <c r="BG420" s="197"/>
      <c r="BH420" s="197"/>
      <c r="BI420" s="197"/>
      <c r="BJ420" s="197"/>
      <c r="BK420" s="197"/>
      <c r="BL420" s="197"/>
      <c r="BM420" s="197"/>
      <c r="BN420" s="197"/>
      <c r="BO420" s="197"/>
      <c r="BP420" s="197"/>
    </row>
    <row r="421" spans="1:68" ht="20" customHeight="1" x14ac:dyDescent="0.15">
      <c r="A421" s="197"/>
      <c r="B421" s="197"/>
      <c r="C421" s="193"/>
      <c r="D421" s="197"/>
      <c r="E421" s="197"/>
      <c r="F421" s="214"/>
      <c r="G421" s="197"/>
      <c r="H421" s="197"/>
      <c r="I421" s="197"/>
      <c r="J421" s="197"/>
      <c r="K421" s="197"/>
      <c r="L421" s="197"/>
      <c r="M421" s="197"/>
      <c r="N421" s="197"/>
      <c r="O421" s="197"/>
      <c r="P421" s="197"/>
      <c r="Q421" s="197"/>
      <c r="R421" s="197"/>
      <c r="S421" s="197"/>
      <c r="T421" s="197"/>
      <c r="U421" s="197"/>
      <c r="V421" s="197"/>
      <c r="W421" s="197"/>
      <c r="X421" s="197"/>
      <c r="Y421" s="197"/>
      <c r="Z421" s="197"/>
      <c r="AA421" s="197"/>
      <c r="AB421" s="197"/>
      <c r="AC421" s="197"/>
      <c r="AD421" s="197"/>
      <c r="AE421" s="197"/>
      <c r="AF421" s="197"/>
      <c r="AG421" s="197"/>
      <c r="AH421" s="197"/>
      <c r="AI421" s="197"/>
      <c r="AJ421" s="197"/>
      <c r="AK421" s="197"/>
      <c r="AL421" s="197"/>
      <c r="AM421" s="197"/>
      <c r="AN421" s="197"/>
      <c r="AO421" s="197"/>
      <c r="AP421" s="197"/>
      <c r="AQ421" s="197"/>
      <c r="AR421" s="197"/>
      <c r="AS421" s="197"/>
      <c r="AT421" s="197"/>
      <c r="AU421" s="197"/>
      <c r="AV421" s="197"/>
      <c r="AW421" s="197"/>
      <c r="AX421" s="197"/>
      <c r="AY421" s="197"/>
      <c r="AZ421" s="197"/>
      <c r="BA421" s="197"/>
      <c r="BB421" s="197"/>
      <c r="BC421" s="197"/>
      <c r="BD421" s="197"/>
      <c r="BE421" s="197"/>
      <c r="BF421" s="197"/>
      <c r="BG421" s="197"/>
      <c r="BH421" s="197"/>
      <c r="BI421" s="197"/>
      <c r="BJ421" s="197"/>
      <c r="BK421" s="197"/>
      <c r="BL421" s="197"/>
      <c r="BM421" s="197"/>
      <c r="BN421" s="197"/>
      <c r="BO421" s="197"/>
      <c r="BP421" s="197"/>
    </row>
    <row r="422" spans="1:68" ht="20" customHeight="1" x14ac:dyDescent="0.15">
      <c r="A422" s="197"/>
      <c r="B422" s="197"/>
      <c r="C422" s="193"/>
      <c r="D422" s="197"/>
      <c r="E422" s="197"/>
      <c r="F422" s="214"/>
      <c r="G422" s="197"/>
      <c r="H422" s="197"/>
      <c r="I422" s="197"/>
      <c r="J422" s="197"/>
      <c r="K422" s="197"/>
      <c r="L422" s="197"/>
      <c r="M422" s="197"/>
      <c r="N422" s="197"/>
      <c r="O422" s="197"/>
      <c r="P422" s="197"/>
      <c r="Q422" s="197"/>
      <c r="R422" s="197"/>
      <c r="S422" s="197"/>
      <c r="T422" s="197"/>
      <c r="U422" s="197"/>
      <c r="V422" s="197"/>
      <c r="W422" s="197"/>
      <c r="X422" s="197"/>
      <c r="Y422" s="197"/>
      <c r="Z422" s="197"/>
      <c r="AA422" s="197"/>
      <c r="AB422" s="197"/>
      <c r="AC422" s="197"/>
      <c r="AD422" s="197"/>
      <c r="AE422" s="197"/>
      <c r="AF422" s="197"/>
      <c r="AG422" s="197"/>
      <c r="AH422" s="197"/>
      <c r="AI422" s="197"/>
      <c r="AJ422" s="197"/>
      <c r="AK422" s="197"/>
      <c r="AL422" s="197"/>
      <c r="AM422" s="197"/>
      <c r="AN422" s="197"/>
      <c r="AO422" s="197"/>
      <c r="AP422" s="197"/>
      <c r="AQ422" s="197"/>
      <c r="AR422" s="197"/>
      <c r="AS422" s="197"/>
      <c r="AT422" s="197"/>
      <c r="AU422" s="197"/>
      <c r="AV422" s="197"/>
      <c r="AW422" s="197"/>
      <c r="AX422" s="197"/>
      <c r="AY422" s="197"/>
      <c r="AZ422" s="197"/>
      <c r="BA422" s="197"/>
      <c r="BB422" s="197"/>
      <c r="BC422" s="197"/>
      <c r="BD422" s="197"/>
      <c r="BE422" s="197"/>
      <c r="BF422" s="197"/>
      <c r="BG422" s="197"/>
      <c r="BH422" s="197"/>
      <c r="BI422" s="197"/>
      <c r="BJ422" s="197"/>
      <c r="BK422" s="197"/>
      <c r="BL422" s="197"/>
      <c r="BM422" s="197"/>
      <c r="BN422" s="197"/>
      <c r="BO422" s="197"/>
      <c r="BP422" s="197"/>
    </row>
    <row r="423" spans="1:68" ht="20" customHeight="1" x14ac:dyDescent="0.15">
      <c r="A423" s="197"/>
      <c r="B423" s="197"/>
      <c r="C423" s="193"/>
      <c r="D423" s="197"/>
      <c r="E423" s="197"/>
      <c r="F423" s="214"/>
      <c r="G423" s="197"/>
      <c r="H423" s="197"/>
      <c r="I423" s="197"/>
      <c r="J423" s="197"/>
      <c r="K423" s="197"/>
      <c r="L423" s="197"/>
      <c r="M423" s="197"/>
      <c r="N423" s="197"/>
      <c r="O423" s="197"/>
      <c r="P423" s="197"/>
      <c r="Q423" s="197"/>
      <c r="R423" s="197"/>
      <c r="S423" s="197"/>
      <c r="T423" s="197"/>
      <c r="U423" s="197"/>
      <c r="V423" s="197"/>
      <c r="W423" s="197"/>
      <c r="X423" s="197"/>
      <c r="Y423" s="197"/>
      <c r="Z423" s="197"/>
      <c r="AA423" s="197"/>
      <c r="AB423" s="197"/>
      <c r="AC423" s="197"/>
      <c r="AD423" s="197"/>
      <c r="AE423" s="197"/>
      <c r="AF423" s="197"/>
      <c r="AG423" s="197"/>
      <c r="AH423" s="197"/>
      <c r="AI423" s="197"/>
      <c r="AJ423" s="197"/>
      <c r="AK423" s="197"/>
      <c r="AL423" s="197"/>
      <c r="AM423" s="197"/>
      <c r="AN423" s="197"/>
      <c r="AO423" s="197"/>
      <c r="AP423" s="197"/>
      <c r="AQ423" s="197"/>
      <c r="AR423" s="197"/>
      <c r="AS423" s="197"/>
      <c r="AT423" s="197"/>
      <c r="AU423" s="197"/>
      <c r="AV423" s="197"/>
      <c r="AW423" s="197"/>
      <c r="AX423" s="197"/>
      <c r="AY423" s="197"/>
      <c r="AZ423" s="197"/>
      <c r="BA423" s="197"/>
      <c r="BB423" s="197"/>
      <c r="BC423" s="197"/>
      <c r="BD423" s="197"/>
      <c r="BE423" s="197"/>
      <c r="BF423" s="197"/>
      <c r="BG423" s="197"/>
      <c r="BH423" s="197"/>
      <c r="BI423" s="197"/>
      <c r="BJ423" s="197"/>
      <c r="BK423" s="197"/>
      <c r="BL423" s="197"/>
      <c r="BM423" s="197"/>
      <c r="BN423" s="197"/>
      <c r="BO423" s="197"/>
      <c r="BP423" s="197"/>
    </row>
    <row r="424" spans="1:68" ht="20" customHeight="1" x14ac:dyDescent="0.15">
      <c r="A424" s="197"/>
      <c r="B424" s="197"/>
      <c r="C424" s="193"/>
      <c r="D424" s="197"/>
      <c r="E424" s="197"/>
      <c r="F424" s="214"/>
      <c r="G424" s="197"/>
      <c r="H424" s="197"/>
      <c r="I424" s="197"/>
      <c r="J424" s="197"/>
      <c r="K424" s="197"/>
      <c r="L424" s="197"/>
      <c r="M424" s="197"/>
      <c r="N424" s="197"/>
      <c r="O424" s="197"/>
      <c r="P424" s="197"/>
      <c r="Q424" s="197"/>
      <c r="R424" s="197"/>
      <c r="S424" s="197"/>
      <c r="T424" s="197"/>
      <c r="U424" s="197"/>
      <c r="V424" s="197"/>
      <c r="W424" s="197"/>
      <c r="X424" s="197"/>
      <c r="Y424" s="197"/>
      <c r="Z424" s="197"/>
      <c r="AA424" s="197"/>
      <c r="AB424" s="197"/>
      <c r="AC424" s="197"/>
      <c r="AD424" s="197"/>
      <c r="AE424" s="197"/>
      <c r="AF424" s="197"/>
      <c r="AG424" s="197"/>
      <c r="AH424" s="197"/>
      <c r="AI424" s="197"/>
      <c r="AJ424" s="197"/>
      <c r="AK424" s="197"/>
      <c r="AL424" s="197"/>
      <c r="AM424" s="197"/>
      <c r="AN424" s="197"/>
      <c r="AO424" s="197"/>
      <c r="AP424" s="197"/>
      <c r="AQ424" s="197"/>
      <c r="AR424" s="197"/>
      <c r="AS424" s="197"/>
      <c r="AT424" s="197"/>
      <c r="AU424" s="197"/>
      <c r="AV424" s="197"/>
      <c r="AW424" s="197"/>
      <c r="AX424" s="197"/>
      <c r="AY424" s="197"/>
      <c r="AZ424" s="197"/>
      <c r="BA424" s="197"/>
      <c r="BB424" s="197"/>
      <c r="BC424" s="197"/>
      <c r="BD424" s="197"/>
      <c r="BE424" s="197"/>
      <c r="BF424" s="197"/>
      <c r="BG424" s="197"/>
      <c r="BH424" s="197"/>
      <c r="BI424" s="197"/>
      <c r="BJ424" s="197"/>
      <c r="BK424" s="197"/>
      <c r="BL424" s="197"/>
      <c r="BM424" s="197"/>
      <c r="BN424" s="197"/>
      <c r="BO424" s="197"/>
      <c r="BP424" s="197"/>
    </row>
    <row r="425" spans="1:68" ht="20" customHeight="1" x14ac:dyDescent="0.15">
      <c r="A425" s="197"/>
      <c r="B425" s="197"/>
      <c r="C425" s="193"/>
      <c r="D425" s="197"/>
      <c r="E425" s="197"/>
      <c r="F425" s="214"/>
      <c r="G425" s="197"/>
      <c r="H425" s="197"/>
      <c r="I425" s="197"/>
      <c r="J425" s="197"/>
      <c r="K425" s="197"/>
      <c r="L425" s="197"/>
      <c r="M425" s="197"/>
      <c r="N425" s="197"/>
      <c r="O425" s="197"/>
      <c r="P425" s="197"/>
      <c r="Q425" s="197"/>
      <c r="R425" s="197"/>
      <c r="S425" s="197"/>
      <c r="T425" s="197"/>
      <c r="U425" s="197"/>
      <c r="V425" s="197"/>
      <c r="W425" s="197"/>
      <c r="X425" s="197"/>
      <c r="Y425" s="197"/>
      <c r="Z425" s="197"/>
      <c r="AA425" s="197"/>
      <c r="AB425" s="197"/>
      <c r="AC425" s="197"/>
      <c r="AD425" s="197"/>
      <c r="AE425" s="197"/>
      <c r="AF425" s="197"/>
      <c r="AG425" s="197"/>
      <c r="AH425" s="197"/>
      <c r="AI425" s="197"/>
      <c r="AJ425" s="197"/>
      <c r="AK425" s="197"/>
      <c r="AL425" s="197"/>
      <c r="AM425" s="197"/>
      <c r="AN425" s="197"/>
      <c r="AO425" s="197"/>
      <c r="AP425" s="197"/>
      <c r="AQ425" s="197"/>
      <c r="AR425" s="197"/>
      <c r="AS425" s="197"/>
      <c r="AT425" s="197"/>
      <c r="AU425" s="197"/>
      <c r="AV425" s="197"/>
      <c r="AW425" s="197"/>
      <c r="AX425" s="197"/>
      <c r="AY425" s="197"/>
      <c r="AZ425" s="197"/>
      <c r="BA425" s="197"/>
      <c r="BB425" s="197"/>
      <c r="BC425" s="197"/>
      <c r="BD425" s="197"/>
      <c r="BE425" s="197"/>
      <c r="BF425" s="197"/>
      <c r="BG425" s="197"/>
      <c r="BH425" s="197"/>
      <c r="BI425" s="197"/>
      <c r="BJ425" s="197"/>
      <c r="BK425" s="197"/>
      <c r="BL425" s="197"/>
      <c r="BM425" s="197"/>
      <c r="BN425" s="197"/>
      <c r="BO425" s="197"/>
      <c r="BP425" s="197"/>
    </row>
    <row r="426" spans="1:68" ht="20" customHeight="1" x14ac:dyDescent="0.15">
      <c r="A426" s="197"/>
      <c r="B426" s="197"/>
      <c r="C426" s="193"/>
      <c r="D426" s="197"/>
      <c r="E426" s="197"/>
      <c r="F426" s="214"/>
      <c r="G426" s="197"/>
      <c r="H426" s="197"/>
      <c r="I426" s="197"/>
      <c r="J426" s="197"/>
      <c r="K426" s="197"/>
      <c r="L426" s="197"/>
      <c r="M426" s="197"/>
      <c r="N426" s="197"/>
      <c r="O426" s="197"/>
      <c r="P426" s="197"/>
      <c r="Q426" s="197"/>
      <c r="R426" s="197"/>
      <c r="S426" s="197"/>
      <c r="T426" s="197"/>
      <c r="U426" s="197"/>
      <c r="V426" s="197"/>
      <c r="W426" s="197"/>
      <c r="X426" s="197"/>
      <c r="Y426" s="197"/>
      <c r="Z426" s="197"/>
      <c r="AA426" s="197"/>
      <c r="AB426" s="197"/>
      <c r="AC426" s="197"/>
      <c r="AD426" s="197"/>
      <c r="AE426" s="197"/>
      <c r="AF426" s="197"/>
      <c r="AG426" s="197"/>
      <c r="AH426" s="197"/>
      <c r="AI426" s="197"/>
      <c r="AJ426" s="197"/>
      <c r="AK426" s="197"/>
      <c r="AL426" s="197"/>
      <c r="AM426" s="197"/>
      <c r="AN426" s="197"/>
      <c r="AO426" s="197"/>
      <c r="AP426" s="197"/>
      <c r="AQ426" s="197"/>
      <c r="AR426" s="197"/>
      <c r="AS426" s="197"/>
      <c r="AT426" s="197"/>
      <c r="AU426" s="197"/>
      <c r="AV426" s="197"/>
      <c r="AW426" s="197"/>
      <c r="AX426" s="197"/>
      <c r="AY426" s="197"/>
      <c r="AZ426" s="197"/>
      <c r="BA426" s="197"/>
      <c r="BB426" s="197"/>
      <c r="BC426" s="197"/>
      <c r="BD426" s="197"/>
      <c r="BE426" s="197"/>
      <c r="BF426" s="197"/>
      <c r="BG426" s="197"/>
      <c r="BH426" s="197"/>
      <c r="BI426" s="197"/>
      <c r="BJ426" s="197"/>
      <c r="BK426" s="197"/>
      <c r="BL426" s="197"/>
      <c r="BM426" s="197"/>
      <c r="BN426" s="197"/>
      <c r="BO426" s="197"/>
      <c r="BP426" s="197"/>
    </row>
    <row r="427" spans="1:68" ht="20" customHeight="1" x14ac:dyDescent="0.15">
      <c r="A427" s="197"/>
      <c r="B427" s="197"/>
      <c r="C427" s="193"/>
      <c r="D427" s="197"/>
      <c r="E427" s="197"/>
      <c r="F427" s="214"/>
      <c r="G427" s="197"/>
      <c r="H427" s="197"/>
      <c r="I427" s="197"/>
      <c r="J427" s="197"/>
      <c r="K427" s="197"/>
      <c r="L427" s="197"/>
      <c r="M427" s="197"/>
      <c r="N427" s="197"/>
      <c r="O427" s="197"/>
      <c r="P427" s="197"/>
      <c r="Q427" s="197"/>
      <c r="R427" s="197"/>
      <c r="S427" s="197"/>
      <c r="T427" s="197"/>
      <c r="U427" s="197"/>
      <c r="V427" s="197"/>
      <c r="W427" s="197"/>
      <c r="X427" s="197"/>
      <c r="Y427" s="197"/>
      <c r="Z427" s="197"/>
      <c r="AA427" s="197"/>
      <c r="AB427" s="197"/>
      <c r="AC427" s="197"/>
      <c r="AD427" s="197"/>
      <c r="AE427" s="197"/>
      <c r="AF427" s="197"/>
      <c r="AG427" s="197"/>
      <c r="AH427" s="197"/>
      <c r="AI427" s="197"/>
      <c r="AJ427" s="197"/>
      <c r="AK427" s="197"/>
      <c r="AL427" s="197"/>
      <c r="AM427" s="197"/>
      <c r="AN427" s="197"/>
      <c r="AO427" s="197"/>
      <c r="AP427" s="197"/>
      <c r="AQ427" s="197"/>
      <c r="AR427" s="197"/>
      <c r="AS427" s="197"/>
      <c r="AT427" s="197"/>
      <c r="AU427" s="197"/>
      <c r="AV427" s="197"/>
      <c r="AW427" s="197"/>
      <c r="AX427" s="197"/>
      <c r="AY427" s="197"/>
      <c r="AZ427" s="197"/>
      <c r="BA427" s="197"/>
      <c r="BB427" s="197"/>
      <c r="BC427" s="197"/>
      <c r="BD427" s="197"/>
      <c r="BE427" s="197"/>
      <c r="BF427" s="197"/>
      <c r="BG427" s="197"/>
      <c r="BH427" s="197"/>
      <c r="BI427" s="197"/>
      <c r="BJ427" s="197"/>
      <c r="BK427" s="197"/>
      <c r="BL427" s="197"/>
      <c r="BM427" s="197"/>
      <c r="BN427" s="197"/>
      <c r="BO427" s="197"/>
      <c r="BP427" s="197"/>
    </row>
    <row r="428" spans="1:68" ht="20" customHeight="1" x14ac:dyDescent="0.15">
      <c r="A428" s="197"/>
      <c r="B428" s="197"/>
      <c r="C428" s="193"/>
      <c r="D428" s="197"/>
      <c r="E428" s="197"/>
      <c r="F428" s="214"/>
      <c r="G428" s="197"/>
      <c r="H428" s="197"/>
      <c r="I428" s="197"/>
      <c r="J428" s="197"/>
      <c r="K428" s="197"/>
      <c r="L428" s="197"/>
      <c r="M428" s="197"/>
      <c r="N428" s="197"/>
      <c r="O428" s="197"/>
      <c r="P428" s="197"/>
      <c r="Q428" s="197"/>
      <c r="R428" s="197"/>
      <c r="S428" s="197"/>
      <c r="T428" s="197"/>
      <c r="U428" s="197"/>
      <c r="V428" s="197"/>
      <c r="W428" s="197"/>
      <c r="X428" s="197"/>
      <c r="Y428" s="197"/>
      <c r="Z428" s="197"/>
      <c r="AA428" s="197"/>
      <c r="AB428" s="197"/>
      <c r="AC428" s="197"/>
      <c r="AD428" s="197"/>
      <c r="AE428" s="197"/>
      <c r="AF428" s="197"/>
      <c r="AG428" s="197"/>
      <c r="AH428" s="197"/>
      <c r="AI428" s="197"/>
      <c r="AJ428" s="197"/>
      <c r="AK428" s="197"/>
      <c r="AL428" s="197"/>
      <c r="AM428" s="197"/>
      <c r="AN428" s="197"/>
      <c r="AO428" s="197"/>
      <c r="AP428" s="197"/>
      <c r="AQ428" s="197"/>
      <c r="AR428" s="197"/>
      <c r="AS428" s="197"/>
      <c r="AT428" s="197"/>
      <c r="AU428" s="197"/>
      <c r="AV428" s="197"/>
      <c r="AW428" s="197"/>
      <c r="AX428" s="197"/>
      <c r="AY428" s="197"/>
      <c r="AZ428" s="197"/>
      <c r="BA428" s="197"/>
      <c r="BB428" s="197"/>
      <c r="BC428" s="197"/>
      <c r="BD428" s="197"/>
      <c r="BE428" s="197"/>
      <c r="BF428" s="197"/>
      <c r="BG428" s="197"/>
      <c r="BH428" s="197"/>
      <c r="BI428" s="197"/>
      <c r="BJ428" s="197"/>
      <c r="BK428" s="197"/>
      <c r="BL428" s="197"/>
      <c r="BM428" s="197"/>
      <c r="BN428" s="197"/>
      <c r="BO428" s="197"/>
      <c r="BP428" s="197"/>
    </row>
    <row r="429" spans="1:68" ht="20" customHeight="1" x14ac:dyDescent="0.15">
      <c r="A429" s="197"/>
      <c r="B429" s="197"/>
      <c r="C429" s="193"/>
      <c r="D429" s="197"/>
      <c r="E429" s="197"/>
      <c r="F429" s="214"/>
      <c r="G429" s="197"/>
      <c r="H429" s="197"/>
      <c r="I429" s="197"/>
      <c r="J429" s="197"/>
      <c r="K429" s="197"/>
      <c r="L429" s="197"/>
      <c r="M429" s="197"/>
      <c r="N429" s="197"/>
      <c r="O429" s="197"/>
      <c r="P429" s="197"/>
      <c r="Q429" s="197"/>
      <c r="R429" s="197"/>
      <c r="S429" s="197"/>
      <c r="T429" s="197"/>
      <c r="U429" s="197"/>
      <c r="V429" s="197"/>
      <c r="W429" s="197"/>
      <c r="X429" s="197"/>
      <c r="Y429" s="197"/>
      <c r="Z429" s="197"/>
      <c r="AA429" s="197"/>
      <c r="AB429" s="197"/>
      <c r="AC429" s="197"/>
      <c r="AD429" s="197"/>
      <c r="AE429" s="197"/>
      <c r="AF429" s="197"/>
      <c r="AG429" s="197"/>
      <c r="AH429" s="197"/>
      <c r="AI429" s="197"/>
      <c r="AJ429" s="197"/>
      <c r="AK429" s="197"/>
      <c r="AL429" s="197"/>
      <c r="AM429" s="197"/>
      <c r="AN429" s="197"/>
      <c r="AO429" s="197"/>
      <c r="AP429" s="197"/>
      <c r="AQ429" s="197"/>
      <c r="AR429" s="197"/>
      <c r="AS429" s="197"/>
      <c r="AT429" s="197"/>
      <c r="AU429" s="197"/>
      <c r="AV429" s="197"/>
      <c r="AW429" s="197"/>
      <c r="AX429" s="197"/>
      <c r="AY429" s="197"/>
      <c r="AZ429" s="197"/>
      <c r="BA429" s="197"/>
      <c r="BB429" s="197"/>
      <c r="BC429" s="197"/>
      <c r="BD429" s="197"/>
      <c r="BE429" s="197"/>
      <c r="BF429" s="197"/>
      <c r="BG429" s="197"/>
      <c r="BH429" s="197"/>
      <c r="BI429" s="197"/>
      <c r="BJ429" s="197"/>
      <c r="BK429" s="197"/>
      <c r="BL429" s="197"/>
      <c r="BM429" s="197"/>
      <c r="BN429" s="197"/>
      <c r="BO429" s="197"/>
      <c r="BP429" s="197"/>
    </row>
    <row r="430" spans="1:68" ht="20" customHeight="1" x14ac:dyDescent="0.15">
      <c r="A430" s="197"/>
      <c r="B430" s="197"/>
      <c r="C430" s="193"/>
      <c r="D430" s="197"/>
      <c r="E430" s="197"/>
      <c r="F430" s="214"/>
      <c r="G430" s="197"/>
      <c r="H430" s="197"/>
      <c r="I430" s="197"/>
      <c r="J430" s="197"/>
      <c r="K430" s="197"/>
      <c r="L430" s="197"/>
      <c r="M430" s="197"/>
      <c r="N430" s="197"/>
      <c r="O430" s="197"/>
      <c r="P430" s="197"/>
      <c r="Q430" s="197"/>
      <c r="R430" s="197"/>
      <c r="S430" s="197"/>
      <c r="T430" s="197"/>
      <c r="U430" s="197"/>
      <c r="V430" s="197"/>
      <c r="W430" s="197"/>
      <c r="X430" s="197"/>
      <c r="Y430" s="197"/>
      <c r="Z430" s="197"/>
      <c r="AA430" s="197"/>
      <c r="AB430" s="197"/>
      <c r="AC430" s="197"/>
      <c r="AD430" s="197"/>
      <c r="AE430" s="197"/>
      <c r="AF430" s="197"/>
      <c r="AG430" s="197"/>
      <c r="AH430" s="197"/>
      <c r="AI430" s="197"/>
      <c r="AJ430" s="197"/>
      <c r="AK430" s="197"/>
      <c r="AL430" s="197"/>
      <c r="AM430" s="197"/>
      <c r="AN430" s="197"/>
      <c r="AO430" s="197"/>
      <c r="AP430" s="197"/>
      <c r="AQ430" s="197"/>
      <c r="AR430" s="197"/>
      <c r="AS430" s="197"/>
      <c r="AT430" s="197"/>
      <c r="AU430" s="197"/>
      <c r="AV430" s="197"/>
      <c r="AW430" s="197"/>
      <c r="AX430" s="197"/>
      <c r="AY430" s="197"/>
      <c r="AZ430" s="197"/>
      <c r="BA430" s="197"/>
      <c r="BB430" s="197"/>
      <c r="BC430" s="197"/>
      <c r="BD430" s="197"/>
      <c r="BE430" s="197"/>
      <c r="BF430" s="197"/>
      <c r="BG430" s="197"/>
      <c r="BH430" s="197"/>
      <c r="BI430" s="197"/>
      <c r="BJ430" s="197"/>
      <c r="BK430" s="197"/>
      <c r="BL430" s="197"/>
      <c r="BM430" s="197"/>
      <c r="BN430" s="197"/>
      <c r="BO430" s="197"/>
      <c r="BP430" s="197"/>
    </row>
    <row r="431" spans="1:68" ht="20" customHeight="1" x14ac:dyDescent="0.15">
      <c r="A431" s="197"/>
      <c r="B431" s="197"/>
      <c r="C431" s="193"/>
      <c r="D431" s="197"/>
      <c r="E431" s="197"/>
      <c r="F431" s="214"/>
      <c r="G431" s="197"/>
      <c r="H431" s="197"/>
      <c r="I431" s="197"/>
      <c r="J431" s="197"/>
      <c r="K431" s="197"/>
      <c r="L431" s="197"/>
      <c r="M431" s="197"/>
      <c r="N431" s="197"/>
      <c r="O431" s="197"/>
      <c r="P431" s="197"/>
      <c r="Q431" s="197"/>
      <c r="R431" s="197"/>
      <c r="S431" s="197"/>
      <c r="T431" s="197"/>
      <c r="U431" s="197"/>
      <c r="V431" s="197"/>
      <c r="W431" s="197"/>
      <c r="X431" s="197"/>
      <c r="Y431" s="197"/>
      <c r="Z431" s="197"/>
      <c r="AA431" s="197"/>
      <c r="AB431" s="197"/>
      <c r="AC431" s="197"/>
      <c r="AD431" s="197"/>
      <c r="AE431" s="197"/>
      <c r="AF431" s="197"/>
      <c r="AG431" s="197"/>
      <c r="AH431" s="197"/>
      <c r="AI431" s="197"/>
      <c r="AJ431" s="197"/>
      <c r="AK431" s="197"/>
      <c r="AL431" s="197"/>
      <c r="AM431" s="197"/>
      <c r="AN431" s="197"/>
      <c r="AO431" s="197"/>
      <c r="AP431" s="197"/>
      <c r="AQ431" s="197"/>
      <c r="AR431" s="197"/>
      <c r="AS431" s="197"/>
      <c r="AT431" s="197"/>
      <c r="AU431" s="197"/>
      <c r="AV431" s="197"/>
      <c r="AW431" s="197"/>
      <c r="AX431" s="197"/>
      <c r="AY431" s="197"/>
      <c r="AZ431" s="197"/>
      <c r="BA431" s="197"/>
      <c r="BB431" s="197"/>
      <c r="BC431" s="197"/>
      <c r="BD431" s="197"/>
      <c r="BE431" s="197"/>
      <c r="BF431" s="197"/>
      <c r="BG431" s="197"/>
      <c r="BH431" s="197"/>
      <c r="BI431" s="197"/>
      <c r="BJ431" s="197"/>
      <c r="BK431" s="197"/>
      <c r="BL431" s="197"/>
      <c r="BM431" s="197"/>
      <c r="BN431" s="197"/>
      <c r="BO431" s="197"/>
      <c r="BP431" s="197"/>
    </row>
    <row r="432" spans="1:68" ht="20" customHeight="1" x14ac:dyDescent="0.15">
      <c r="A432" s="197"/>
      <c r="B432" s="197"/>
      <c r="C432" s="193"/>
      <c r="D432" s="197"/>
      <c r="E432" s="197"/>
      <c r="F432" s="214"/>
      <c r="G432" s="197"/>
      <c r="H432" s="197"/>
      <c r="I432" s="197"/>
      <c r="J432" s="197"/>
      <c r="K432" s="197"/>
      <c r="L432" s="197"/>
      <c r="M432" s="197"/>
      <c r="N432" s="197"/>
      <c r="O432" s="197"/>
      <c r="P432" s="197"/>
      <c r="Q432" s="197"/>
      <c r="R432" s="197"/>
      <c r="S432" s="197"/>
      <c r="T432" s="197"/>
      <c r="U432" s="197"/>
      <c r="V432" s="197"/>
      <c r="W432" s="197"/>
      <c r="X432" s="197"/>
      <c r="Y432" s="197"/>
      <c r="Z432" s="197"/>
      <c r="AA432" s="197"/>
      <c r="AB432" s="197"/>
      <c r="AC432" s="197"/>
      <c r="AD432" s="197"/>
      <c r="AE432" s="197"/>
      <c r="AF432" s="197"/>
      <c r="AG432" s="197"/>
      <c r="AH432" s="197"/>
      <c r="AI432" s="197"/>
      <c r="AJ432" s="197"/>
      <c r="AK432" s="197"/>
      <c r="AL432" s="197"/>
      <c r="AM432" s="197"/>
      <c r="AN432" s="197"/>
      <c r="AO432" s="197"/>
      <c r="AP432" s="197"/>
      <c r="AQ432" s="197"/>
      <c r="AR432" s="197"/>
      <c r="AS432" s="197"/>
      <c r="AT432" s="197"/>
      <c r="AU432" s="197"/>
      <c r="AV432" s="197"/>
      <c r="AW432" s="197"/>
      <c r="AX432" s="197"/>
      <c r="AY432" s="197"/>
      <c r="AZ432" s="197"/>
      <c r="BA432" s="197"/>
      <c r="BB432" s="197"/>
      <c r="BC432" s="197"/>
      <c r="BD432" s="197"/>
      <c r="BE432" s="197"/>
      <c r="BF432" s="197"/>
      <c r="BG432" s="197"/>
      <c r="BH432" s="197"/>
      <c r="BI432" s="197"/>
      <c r="BJ432" s="197"/>
      <c r="BK432" s="197"/>
      <c r="BL432" s="197"/>
      <c r="BM432" s="197"/>
      <c r="BN432" s="197"/>
      <c r="BO432" s="197"/>
      <c r="BP432" s="197"/>
    </row>
    <row r="433" spans="1:68" ht="20" customHeight="1" x14ac:dyDescent="0.15">
      <c r="A433" s="197"/>
      <c r="B433" s="197"/>
      <c r="C433" s="193"/>
      <c r="D433" s="197"/>
      <c r="E433" s="197"/>
      <c r="F433" s="214"/>
      <c r="G433" s="197"/>
      <c r="H433" s="197"/>
      <c r="I433" s="197"/>
      <c r="J433" s="197"/>
      <c r="K433" s="197"/>
      <c r="L433" s="197"/>
      <c r="M433" s="197"/>
      <c r="N433" s="197"/>
      <c r="O433" s="197"/>
      <c r="P433" s="197"/>
      <c r="Q433" s="197"/>
      <c r="R433" s="197"/>
      <c r="S433" s="197"/>
      <c r="T433" s="197"/>
      <c r="U433" s="197"/>
      <c r="V433" s="197"/>
      <c r="W433" s="197"/>
      <c r="X433" s="197"/>
      <c r="Y433" s="197"/>
      <c r="Z433" s="197"/>
      <c r="AA433" s="197"/>
      <c r="AB433" s="197"/>
      <c r="AC433" s="197"/>
      <c r="AD433" s="197"/>
      <c r="AE433" s="197"/>
      <c r="AF433" s="197"/>
      <c r="AG433" s="197"/>
      <c r="AH433" s="197"/>
      <c r="AI433" s="197"/>
      <c r="AJ433" s="197"/>
      <c r="AK433" s="197"/>
      <c r="AL433" s="197"/>
      <c r="AM433" s="197"/>
      <c r="AN433" s="197"/>
      <c r="AO433" s="197"/>
      <c r="AP433" s="197"/>
      <c r="AQ433" s="197"/>
      <c r="AR433" s="197"/>
      <c r="AS433" s="197"/>
      <c r="AT433" s="197"/>
      <c r="AU433" s="197"/>
      <c r="AV433" s="197"/>
      <c r="AW433" s="197"/>
      <c r="AX433" s="197"/>
      <c r="AY433" s="197"/>
      <c r="AZ433" s="197"/>
      <c r="BA433" s="197"/>
      <c r="BB433" s="197"/>
      <c r="BC433" s="197"/>
      <c r="BD433" s="197"/>
      <c r="BE433" s="197"/>
      <c r="BF433" s="197"/>
      <c r="BG433" s="197"/>
      <c r="BH433" s="197"/>
      <c r="BI433" s="197"/>
      <c r="BJ433" s="197"/>
      <c r="BK433" s="197"/>
      <c r="BL433" s="197"/>
      <c r="BM433" s="197"/>
      <c r="BN433" s="197"/>
      <c r="BO433" s="197"/>
      <c r="BP433" s="197"/>
    </row>
    <row r="434" spans="1:68" ht="20" customHeight="1" x14ac:dyDescent="0.15">
      <c r="A434" s="197"/>
      <c r="B434" s="197"/>
      <c r="C434" s="193"/>
      <c r="D434" s="197"/>
      <c r="E434" s="197"/>
      <c r="F434" s="214"/>
      <c r="G434" s="197"/>
      <c r="H434" s="197"/>
      <c r="I434" s="197"/>
      <c r="J434" s="197"/>
      <c r="K434" s="197"/>
      <c r="L434" s="197"/>
      <c r="M434" s="197"/>
      <c r="N434" s="197"/>
      <c r="O434" s="197"/>
      <c r="P434" s="197"/>
      <c r="Q434" s="197"/>
      <c r="R434" s="197"/>
      <c r="S434" s="197"/>
      <c r="T434" s="197"/>
      <c r="U434" s="197"/>
      <c r="V434" s="197"/>
      <c r="W434" s="197"/>
      <c r="X434" s="197"/>
      <c r="Y434" s="197"/>
      <c r="Z434" s="197"/>
      <c r="AA434" s="197"/>
      <c r="AB434" s="197"/>
      <c r="AC434" s="197"/>
      <c r="AD434" s="197"/>
      <c r="AE434" s="197"/>
      <c r="AF434" s="197"/>
      <c r="AG434" s="197"/>
      <c r="AH434" s="197"/>
      <c r="AI434" s="197"/>
      <c r="AJ434" s="197"/>
      <c r="AK434" s="197"/>
      <c r="AL434" s="197"/>
      <c r="AM434" s="197"/>
      <c r="AN434" s="197"/>
      <c r="AO434" s="197"/>
      <c r="AP434" s="197"/>
      <c r="AQ434" s="197"/>
      <c r="AR434" s="197"/>
      <c r="AS434" s="197"/>
      <c r="AT434" s="197"/>
      <c r="AU434" s="197"/>
      <c r="AV434" s="197"/>
      <c r="AW434" s="197"/>
      <c r="AX434" s="197"/>
      <c r="AY434" s="197"/>
      <c r="AZ434" s="197"/>
      <c r="BA434" s="197"/>
      <c r="BB434" s="197"/>
      <c r="BC434" s="197"/>
      <c r="BD434" s="197"/>
      <c r="BE434" s="197"/>
      <c r="BF434" s="197"/>
      <c r="BG434" s="197"/>
      <c r="BH434" s="197"/>
      <c r="BI434" s="197"/>
      <c r="BJ434" s="197"/>
      <c r="BK434" s="197"/>
      <c r="BL434" s="197"/>
      <c r="BM434" s="197"/>
      <c r="BN434" s="197"/>
      <c r="BO434" s="197"/>
      <c r="BP434" s="197"/>
    </row>
    <row r="435" spans="1:68" ht="20" customHeight="1" x14ac:dyDescent="0.15">
      <c r="A435" s="197"/>
      <c r="B435" s="197"/>
      <c r="C435" s="193"/>
      <c r="D435" s="197"/>
      <c r="E435" s="197"/>
      <c r="F435" s="214"/>
      <c r="G435" s="197"/>
      <c r="H435" s="197"/>
      <c r="I435" s="197"/>
      <c r="J435" s="197"/>
      <c r="K435" s="197"/>
      <c r="L435" s="197"/>
      <c r="M435" s="197"/>
      <c r="N435" s="197"/>
      <c r="O435" s="197"/>
      <c r="P435" s="197"/>
      <c r="Q435" s="197"/>
      <c r="R435" s="197"/>
      <c r="S435" s="197"/>
      <c r="T435" s="197"/>
      <c r="U435" s="197"/>
      <c r="V435" s="197"/>
      <c r="W435" s="197"/>
      <c r="X435" s="197"/>
      <c r="Y435" s="197"/>
      <c r="Z435" s="197"/>
      <c r="AA435" s="197"/>
      <c r="AB435" s="197"/>
      <c r="AC435" s="197"/>
      <c r="AD435" s="197"/>
      <c r="AE435" s="197"/>
      <c r="AF435" s="197"/>
      <c r="AG435" s="197"/>
      <c r="AH435" s="197"/>
      <c r="AI435" s="197"/>
      <c r="AJ435" s="197"/>
      <c r="AK435" s="197"/>
      <c r="AL435" s="197"/>
      <c r="AM435" s="197"/>
      <c r="AN435" s="197"/>
      <c r="AO435" s="197"/>
      <c r="AP435" s="197"/>
      <c r="AQ435" s="197"/>
      <c r="AR435" s="197"/>
      <c r="AS435" s="197"/>
      <c r="AT435" s="197"/>
      <c r="AU435" s="197"/>
      <c r="AV435" s="197"/>
      <c r="AW435" s="197"/>
      <c r="AX435" s="197"/>
      <c r="AY435" s="197"/>
      <c r="AZ435" s="197"/>
      <c r="BA435" s="197"/>
      <c r="BB435" s="197"/>
      <c r="BC435" s="197"/>
      <c r="BD435" s="197"/>
      <c r="BE435" s="197"/>
      <c r="BF435" s="197"/>
      <c r="BG435" s="197"/>
      <c r="BH435" s="197"/>
      <c r="BI435" s="197"/>
      <c r="BJ435" s="197"/>
      <c r="BK435" s="197"/>
      <c r="BL435" s="197"/>
      <c r="BM435" s="197"/>
      <c r="BN435" s="197"/>
      <c r="BO435" s="197"/>
      <c r="BP435" s="197"/>
    </row>
    <row r="436" spans="1:68" ht="20" customHeight="1" x14ac:dyDescent="0.15">
      <c r="A436" s="197"/>
      <c r="B436" s="197"/>
      <c r="C436" s="193"/>
      <c r="D436" s="197"/>
      <c r="E436" s="197"/>
      <c r="F436" s="214"/>
      <c r="G436" s="197"/>
      <c r="H436" s="197"/>
      <c r="I436" s="197"/>
      <c r="J436" s="197"/>
      <c r="K436" s="197"/>
      <c r="L436" s="197"/>
      <c r="M436" s="197"/>
      <c r="N436" s="197"/>
      <c r="O436" s="197"/>
      <c r="P436" s="197"/>
      <c r="Q436" s="197"/>
      <c r="R436" s="197"/>
      <c r="S436" s="197"/>
      <c r="T436" s="197"/>
      <c r="U436" s="197"/>
      <c r="V436" s="197"/>
      <c r="W436" s="197"/>
      <c r="X436" s="197"/>
      <c r="Y436" s="197"/>
      <c r="Z436" s="197"/>
      <c r="AA436" s="197"/>
      <c r="AB436" s="197"/>
      <c r="AC436" s="197"/>
      <c r="AD436" s="197"/>
      <c r="AE436" s="197"/>
      <c r="AF436" s="197"/>
      <c r="AG436" s="197"/>
      <c r="AH436" s="197"/>
      <c r="AI436" s="197"/>
      <c r="AJ436" s="197"/>
      <c r="AK436" s="197"/>
      <c r="AL436" s="197"/>
      <c r="AM436" s="197"/>
      <c r="AN436" s="197"/>
      <c r="AO436" s="197"/>
      <c r="AP436" s="197"/>
      <c r="AQ436" s="197"/>
      <c r="AR436" s="197"/>
      <c r="AS436" s="197"/>
      <c r="AT436" s="197"/>
      <c r="AU436" s="197"/>
      <c r="AV436" s="197"/>
      <c r="AW436" s="197"/>
      <c r="AX436" s="197"/>
      <c r="AY436" s="197"/>
      <c r="AZ436" s="197"/>
      <c r="BA436" s="197"/>
      <c r="BB436" s="197"/>
      <c r="BC436" s="197"/>
      <c r="BD436" s="197"/>
      <c r="BE436" s="197"/>
      <c r="BF436" s="197"/>
      <c r="BG436" s="197"/>
      <c r="BH436" s="197"/>
      <c r="BI436" s="197"/>
      <c r="BJ436" s="197"/>
      <c r="BK436" s="197"/>
      <c r="BL436" s="197"/>
      <c r="BM436" s="197"/>
      <c r="BN436" s="197"/>
      <c r="BO436" s="197"/>
      <c r="BP436" s="197"/>
    </row>
    <row r="437" spans="1:68" ht="20" customHeight="1" x14ac:dyDescent="0.15">
      <c r="A437" s="197"/>
      <c r="B437" s="197"/>
      <c r="C437" s="193"/>
      <c r="D437" s="197"/>
      <c r="E437" s="197"/>
      <c r="F437" s="214"/>
      <c r="G437" s="197"/>
      <c r="H437" s="197"/>
      <c r="I437" s="197"/>
      <c r="J437" s="197"/>
      <c r="K437" s="197"/>
      <c r="L437" s="197"/>
      <c r="M437" s="197"/>
      <c r="N437" s="197"/>
      <c r="O437" s="197"/>
      <c r="P437" s="197"/>
      <c r="Q437" s="197"/>
      <c r="R437" s="197"/>
      <c r="S437" s="197"/>
      <c r="T437" s="197"/>
      <c r="U437" s="197"/>
      <c r="V437" s="197"/>
      <c r="W437" s="197"/>
      <c r="X437" s="197"/>
      <c r="Y437" s="197"/>
      <c r="Z437" s="197"/>
      <c r="AA437" s="197"/>
      <c r="AB437" s="197"/>
      <c r="AC437" s="197"/>
      <c r="AD437" s="197"/>
      <c r="AE437" s="197"/>
      <c r="AF437" s="197"/>
      <c r="AG437" s="197"/>
      <c r="AH437" s="197"/>
      <c r="AI437" s="197"/>
      <c r="AJ437" s="197"/>
      <c r="AK437" s="197"/>
      <c r="AL437" s="197"/>
      <c r="AM437" s="197"/>
      <c r="AN437" s="197"/>
      <c r="AO437" s="197"/>
      <c r="AP437" s="197"/>
      <c r="AQ437" s="197"/>
      <c r="AR437" s="197"/>
      <c r="AS437" s="197"/>
      <c r="AT437" s="197"/>
      <c r="AU437" s="197"/>
      <c r="AV437" s="197"/>
      <c r="AW437" s="197"/>
      <c r="AX437" s="197"/>
      <c r="AY437" s="197"/>
      <c r="AZ437" s="197"/>
      <c r="BA437" s="197"/>
      <c r="BB437" s="197"/>
      <c r="BC437" s="197"/>
      <c r="BD437" s="197"/>
      <c r="BE437" s="197"/>
      <c r="BF437" s="197"/>
      <c r="BG437" s="197"/>
      <c r="BH437" s="197"/>
      <c r="BI437" s="197"/>
      <c r="BJ437" s="197"/>
      <c r="BK437" s="197"/>
      <c r="BL437" s="197"/>
      <c r="BM437" s="197"/>
      <c r="BN437" s="197"/>
      <c r="BO437" s="197"/>
      <c r="BP437" s="197"/>
    </row>
    <row r="438" spans="1:68" ht="20" customHeight="1" x14ac:dyDescent="0.15">
      <c r="A438" s="197"/>
      <c r="B438" s="197"/>
      <c r="C438" s="193"/>
      <c r="D438" s="197"/>
      <c r="E438" s="197"/>
      <c r="F438" s="214"/>
      <c r="G438" s="197"/>
      <c r="H438" s="197"/>
      <c r="I438" s="197"/>
      <c r="J438" s="197"/>
      <c r="K438" s="197"/>
      <c r="L438" s="197"/>
      <c r="M438" s="197"/>
      <c r="N438" s="197"/>
      <c r="O438" s="197"/>
      <c r="P438" s="197"/>
      <c r="Q438" s="197"/>
      <c r="R438" s="197"/>
      <c r="S438" s="197"/>
      <c r="T438" s="197"/>
      <c r="U438" s="197"/>
      <c r="V438" s="197"/>
      <c r="W438" s="197"/>
      <c r="X438" s="197"/>
      <c r="Y438" s="197"/>
      <c r="Z438" s="197"/>
      <c r="AA438" s="197"/>
      <c r="AB438" s="197"/>
      <c r="AC438" s="197"/>
      <c r="AD438" s="197"/>
      <c r="AE438" s="197"/>
      <c r="AF438" s="197"/>
      <c r="AG438" s="197"/>
      <c r="AH438" s="197"/>
      <c r="AI438" s="197"/>
      <c r="AJ438" s="197"/>
      <c r="AK438" s="197"/>
      <c r="AL438" s="197"/>
      <c r="AM438" s="197"/>
      <c r="AN438" s="197"/>
      <c r="AO438" s="197"/>
      <c r="AP438" s="197"/>
      <c r="AQ438" s="197"/>
      <c r="AR438" s="197"/>
      <c r="AS438" s="197"/>
      <c r="AT438" s="197"/>
      <c r="AU438" s="197"/>
      <c r="AV438" s="197"/>
      <c r="AW438" s="197"/>
      <c r="AX438" s="197"/>
      <c r="AY438" s="197"/>
      <c r="AZ438" s="197"/>
      <c r="BA438" s="197"/>
      <c r="BB438" s="197"/>
      <c r="BC438" s="197"/>
      <c r="BD438" s="197"/>
      <c r="BE438" s="197"/>
      <c r="BF438" s="197"/>
      <c r="BG438" s="197"/>
      <c r="BH438" s="197"/>
      <c r="BI438" s="197"/>
      <c r="BJ438" s="197"/>
      <c r="BK438" s="197"/>
      <c r="BL438" s="197"/>
      <c r="BM438" s="197"/>
      <c r="BN438" s="197"/>
      <c r="BO438" s="197"/>
      <c r="BP438" s="197"/>
    </row>
    <row r="439" spans="1:68" ht="20" customHeight="1" x14ac:dyDescent="0.15">
      <c r="A439" s="197"/>
      <c r="B439" s="197"/>
      <c r="C439" s="193"/>
      <c r="D439" s="197"/>
      <c r="E439" s="197"/>
      <c r="F439" s="214"/>
      <c r="G439" s="197"/>
      <c r="H439" s="197"/>
      <c r="I439" s="197"/>
      <c r="J439" s="197"/>
      <c r="K439" s="197"/>
      <c r="L439" s="197"/>
      <c r="M439" s="197"/>
      <c r="N439" s="197"/>
      <c r="O439" s="197"/>
      <c r="P439" s="197"/>
      <c r="Q439" s="197"/>
      <c r="R439" s="197"/>
      <c r="S439" s="197"/>
      <c r="T439" s="197"/>
      <c r="U439" s="197"/>
      <c r="V439" s="197"/>
      <c r="W439" s="197"/>
      <c r="X439" s="197"/>
      <c r="Y439" s="197"/>
      <c r="Z439" s="197"/>
      <c r="AA439" s="197"/>
      <c r="AB439" s="197"/>
      <c r="AC439" s="197"/>
      <c r="AD439" s="197"/>
      <c r="AE439" s="197"/>
      <c r="AF439" s="197"/>
      <c r="AG439" s="197"/>
      <c r="AH439" s="197"/>
      <c r="AI439" s="197"/>
      <c r="AJ439" s="197"/>
      <c r="AK439" s="197"/>
      <c r="AL439" s="197"/>
      <c r="AM439" s="197"/>
      <c r="AN439" s="197"/>
      <c r="AO439" s="197"/>
      <c r="AP439" s="197"/>
      <c r="AQ439" s="197"/>
      <c r="AR439" s="197"/>
      <c r="AS439" s="197"/>
      <c r="AT439" s="197"/>
      <c r="AU439" s="197"/>
      <c r="AV439" s="197"/>
      <c r="AW439" s="197"/>
      <c r="AX439" s="197"/>
      <c r="AY439" s="197"/>
      <c r="AZ439" s="197"/>
      <c r="BA439" s="197"/>
      <c r="BB439" s="197"/>
      <c r="BC439" s="197"/>
      <c r="BD439" s="197"/>
      <c r="BE439" s="197"/>
      <c r="BF439" s="197"/>
      <c r="BG439" s="197"/>
      <c r="BH439" s="197"/>
      <c r="BI439" s="197"/>
      <c r="BJ439" s="197"/>
      <c r="BK439" s="197"/>
      <c r="BL439" s="197"/>
      <c r="BM439" s="197"/>
      <c r="BN439" s="197"/>
      <c r="BO439" s="197"/>
      <c r="BP439" s="197"/>
    </row>
    <row r="440" spans="1:68" ht="20" customHeight="1" x14ac:dyDescent="0.15">
      <c r="A440" s="197"/>
      <c r="B440" s="197"/>
      <c r="C440" s="193"/>
      <c r="D440" s="197"/>
      <c r="E440" s="197"/>
      <c r="F440" s="214"/>
      <c r="G440" s="197"/>
      <c r="H440" s="197"/>
      <c r="I440" s="197"/>
      <c r="J440" s="197"/>
      <c r="K440" s="197"/>
      <c r="L440" s="197"/>
      <c r="M440" s="197"/>
      <c r="N440" s="197"/>
      <c r="O440" s="197"/>
      <c r="P440" s="197"/>
      <c r="Q440" s="197"/>
      <c r="R440" s="197"/>
      <c r="S440" s="197"/>
      <c r="T440" s="197"/>
      <c r="U440" s="197"/>
      <c r="V440" s="197"/>
      <c r="W440" s="197"/>
      <c r="X440" s="197"/>
      <c r="Y440" s="197"/>
      <c r="Z440" s="197"/>
      <c r="AA440" s="197"/>
      <c r="AB440" s="197"/>
      <c r="AC440" s="197"/>
      <c r="AD440" s="197"/>
      <c r="AE440" s="197"/>
      <c r="AF440" s="197"/>
      <c r="AG440" s="197"/>
      <c r="AH440" s="197"/>
      <c r="AI440" s="197"/>
      <c r="AJ440" s="197"/>
      <c r="AK440" s="197"/>
      <c r="AL440" s="197"/>
      <c r="AM440" s="197"/>
      <c r="AN440" s="197"/>
      <c r="AO440" s="197"/>
      <c r="AP440" s="197"/>
      <c r="AQ440" s="197"/>
      <c r="AR440" s="197"/>
      <c r="AS440" s="197"/>
      <c r="AT440" s="197"/>
      <c r="AU440" s="197"/>
      <c r="AV440" s="197"/>
      <c r="AW440" s="197"/>
      <c r="AX440" s="197"/>
      <c r="AY440" s="197"/>
      <c r="AZ440" s="197"/>
      <c r="BA440" s="197"/>
      <c r="BB440" s="197"/>
      <c r="BC440" s="197"/>
      <c r="BD440" s="197"/>
      <c r="BE440" s="197"/>
      <c r="BF440" s="197"/>
      <c r="BG440" s="197"/>
      <c r="BH440" s="197"/>
      <c r="BI440" s="197"/>
      <c r="BJ440" s="197"/>
      <c r="BK440" s="197"/>
      <c r="BL440" s="197"/>
      <c r="BM440" s="197"/>
      <c r="BN440" s="197"/>
      <c r="BO440" s="197"/>
      <c r="BP440" s="197"/>
    </row>
    <row r="441" spans="1:68" ht="20" customHeight="1" x14ac:dyDescent="0.15">
      <c r="A441" s="197"/>
      <c r="B441" s="197"/>
      <c r="C441" s="193"/>
      <c r="D441" s="197"/>
      <c r="E441" s="197"/>
      <c r="F441" s="214"/>
      <c r="G441" s="197"/>
      <c r="H441" s="197"/>
      <c r="I441" s="197"/>
      <c r="J441" s="197"/>
      <c r="K441" s="197"/>
      <c r="L441" s="197"/>
      <c r="M441" s="197"/>
      <c r="N441" s="197"/>
      <c r="O441" s="197"/>
      <c r="P441" s="197"/>
      <c r="Q441" s="197"/>
      <c r="R441" s="197"/>
      <c r="S441" s="197"/>
      <c r="T441" s="197"/>
      <c r="U441" s="197"/>
      <c r="V441" s="197"/>
      <c r="W441" s="197"/>
      <c r="X441" s="197"/>
      <c r="Y441" s="197"/>
      <c r="Z441" s="197"/>
      <c r="AA441" s="197"/>
      <c r="AB441" s="197"/>
      <c r="AC441" s="197"/>
      <c r="AD441" s="197"/>
      <c r="AE441" s="197"/>
      <c r="AF441" s="197"/>
      <c r="AG441" s="197"/>
      <c r="AH441" s="197"/>
      <c r="AI441" s="197"/>
      <c r="AJ441" s="197"/>
      <c r="AK441" s="197"/>
      <c r="AL441" s="197"/>
      <c r="AM441" s="197"/>
      <c r="AN441" s="197"/>
      <c r="AO441" s="197"/>
      <c r="AP441" s="197"/>
      <c r="AQ441" s="197"/>
      <c r="AR441" s="197"/>
      <c r="AS441" s="197"/>
      <c r="AT441" s="197"/>
      <c r="AU441" s="197"/>
      <c r="AV441" s="197"/>
      <c r="AW441" s="197"/>
      <c r="AX441" s="197"/>
      <c r="AY441" s="197"/>
      <c r="AZ441" s="197"/>
      <c r="BA441" s="197"/>
      <c r="BB441" s="197"/>
      <c r="BC441" s="197"/>
      <c r="BD441" s="197"/>
      <c r="BE441" s="197"/>
      <c r="BF441" s="197"/>
      <c r="BG441" s="197"/>
      <c r="BH441" s="197"/>
      <c r="BI441" s="197"/>
      <c r="BJ441" s="197"/>
      <c r="BK441" s="197"/>
      <c r="BL441" s="197"/>
      <c r="BM441" s="197"/>
      <c r="BN441" s="197"/>
      <c r="BO441" s="197"/>
      <c r="BP441" s="197"/>
    </row>
    <row r="442" spans="1:68" ht="20" customHeight="1" x14ac:dyDescent="0.15">
      <c r="A442" s="197"/>
      <c r="B442" s="197"/>
      <c r="C442" s="193"/>
      <c r="D442" s="197"/>
      <c r="E442" s="197"/>
      <c r="F442" s="214"/>
      <c r="G442" s="197"/>
      <c r="H442" s="197"/>
      <c r="I442" s="197"/>
      <c r="J442" s="197"/>
      <c r="K442" s="197"/>
      <c r="L442" s="197"/>
      <c r="M442" s="197"/>
      <c r="N442" s="197"/>
      <c r="O442" s="197"/>
      <c r="P442" s="197"/>
      <c r="Q442" s="197"/>
      <c r="R442" s="197"/>
      <c r="S442" s="197"/>
      <c r="T442" s="197"/>
      <c r="U442" s="197"/>
      <c r="V442" s="197"/>
      <c r="W442" s="197"/>
      <c r="X442" s="197"/>
      <c r="Y442" s="197"/>
      <c r="Z442" s="197"/>
      <c r="AA442" s="197"/>
      <c r="AB442" s="197"/>
      <c r="AC442" s="197"/>
      <c r="AD442" s="197"/>
      <c r="AE442" s="197"/>
      <c r="AF442" s="197"/>
      <c r="AG442" s="197"/>
      <c r="AH442" s="197"/>
      <c r="AI442" s="197"/>
      <c r="AJ442" s="197"/>
      <c r="AK442" s="197"/>
      <c r="AL442" s="197"/>
      <c r="AM442" s="197"/>
      <c r="AN442" s="197"/>
      <c r="AO442" s="197"/>
      <c r="AP442" s="197"/>
      <c r="AQ442" s="197"/>
      <c r="AR442" s="197"/>
      <c r="AS442" s="197"/>
      <c r="AT442" s="197"/>
      <c r="AU442" s="197"/>
      <c r="AV442" s="197"/>
      <c r="AW442" s="197"/>
      <c r="AX442" s="197"/>
      <c r="AY442" s="197"/>
      <c r="AZ442" s="197"/>
      <c r="BA442" s="197"/>
      <c r="BB442" s="197"/>
      <c r="BC442" s="197"/>
      <c r="BD442" s="197"/>
      <c r="BE442" s="197"/>
      <c r="BF442" s="197"/>
      <c r="BG442" s="197"/>
      <c r="BH442" s="197"/>
      <c r="BI442" s="197"/>
      <c r="BJ442" s="197"/>
      <c r="BK442" s="197"/>
      <c r="BL442" s="197"/>
      <c r="BM442" s="197"/>
      <c r="BN442" s="197"/>
      <c r="BO442" s="197"/>
      <c r="BP442" s="197"/>
    </row>
    <row r="443" spans="1:68" ht="20" customHeight="1" x14ac:dyDescent="0.15">
      <c r="A443" s="197"/>
      <c r="B443" s="197"/>
      <c r="C443" s="193"/>
      <c r="D443" s="197"/>
      <c r="E443" s="197"/>
      <c r="F443" s="214"/>
      <c r="G443" s="197"/>
      <c r="H443" s="197"/>
      <c r="I443" s="197"/>
      <c r="J443" s="197"/>
      <c r="K443" s="197"/>
      <c r="L443" s="197"/>
      <c r="M443" s="197"/>
      <c r="N443" s="197"/>
      <c r="O443" s="197"/>
      <c r="P443" s="197"/>
      <c r="Q443" s="197"/>
      <c r="R443" s="197"/>
      <c r="S443" s="197"/>
      <c r="T443" s="197"/>
      <c r="U443" s="197"/>
      <c r="V443" s="197"/>
      <c r="W443" s="197"/>
      <c r="X443" s="197"/>
      <c r="Y443" s="197"/>
      <c r="Z443" s="197"/>
      <c r="AA443" s="197"/>
      <c r="AB443" s="197"/>
      <c r="AC443" s="197"/>
      <c r="AD443" s="197"/>
      <c r="AE443" s="197"/>
      <c r="AF443" s="197"/>
      <c r="AG443" s="197"/>
      <c r="AH443" s="197"/>
      <c r="AI443" s="197"/>
      <c r="AJ443" s="197"/>
      <c r="AK443" s="197"/>
      <c r="AL443" s="197"/>
      <c r="AM443" s="197"/>
      <c r="AN443" s="197"/>
      <c r="AO443" s="197"/>
      <c r="AP443" s="197"/>
      <c r="AQ443" s="197"/>
      <c r="AR443" s="197"/>
      <c r="AS443" s="197"/>
      <c r="AT443" s="197"/>
      <c r="AU443" s="197"/>
      <c r="AV443" s="197"/>
      <c r="AW443" s="197"/>
      <c r="AX443" s="197"/>
      <c r="AY443" s="197"/>
      <c r="AZ443" s="197"/>
      <c r="BA443" s="197"/>
      <c r="BB443" s="197"/>
      <c r="BC443" s="197"/>
      <c r="BD443" s="197"/>
      <c r="BE443" s="197"/>
      <c r="BF443" s="197"/>
      <c r="BG443" s="197"/>
      <c r="BH443" s="197"/>
      <c r="BI443" s="197"/>
      <c r="BJ443" s="197"/>
      <c r="BK443" s="197"/>
      <c r="BL443" s="197"/>
      <c r="BM443" s="197"/>
      <c r="BN443" s="197"/>
      <c r="BO443" s="197"/>
      <c r="BP443" s="197"/>
    </row>
    <row r="444" spans="1:68" ht="20" customHeight="1" x14ac:dyDescent="0.15">
      <c r="A444" s="197"/>
      <c r="B444" s="197"/>
      <c r="C444" s="193"/>
      <c r="D444" s="197"/>
      <c r="E444" s="197"/>
      <c r="F444" s="214"/>
      <c r="G444" s="197"/>
      <c r="H444" s="197"/>
      <c r="I444" s="197"/>
      <c r="J444" s="197"/>
      <c r="K444" s="197"/>
      <c r="L444" s="197"/>
      <c r="M444" s="197"/>
      <c r="N444" s="197"/>
      <c r="O444" s="197"/>
      <c r="P444" s="197"/>
      <c r="Q444" s="197"/>
      <c r="R444" s="197"/>
      <c r="S444" s="197"/>
      <c r="T444" s="197"/>
      <c r="U444" s="197"/>
      <c r="V444" s="197"/>
      <c r="W444" s="197"/>
      <c r="X444" s="197"/>
      <c r="Y444" s="197"/>
      <c r="Z444" s="197"/>
      <c r="AA444" s="197"/>
      <c r="AB444" s="197"/>
      <c r="AC444" s="197"/>
      <c r="AD444" s="197"/>
      <c r="AE444" s="197"/>
      <c r="AF444" s="197"/>
      <c r="AG444" s="197"/>
      <c r="AH444" s="197"/>
      <c r="AI444" s="197"/>
      <c r="AJ444" s="197"/>
      <c r="AK444" s="197"/>
      <c r="AL444" s="197"/>
      <c r="AM444" s="197"/>
      <c r="AN444" s="197"/>
      <c r="AO444" s="197"/>
      <c r="AP444" s="197"/>
      <c r="AQ444" s="197"/>
      <c r="AR444" s="197"/>
      <c r="AS444" s="197"/>
      <c r="AT444" s="197"/>
      <c r="AU444" s="197"/>
      <c r="AV444" s="197"/>
      <c r="AW444" s="197"/>
      <c r="AX444" s="197"/>
      <c r="AY444" s="197"/>
      <c r="AZ444" s="197"/>
      <c r="BA444" s="197"/>
      <c r="BB444" s="197"/>
      <c r="BC444" s="197"/>
      <c r="BD444" s="197"/>
      <c r="BE444" s="197"/>
      <c r="BF444" s="197"/>
      <c r="BG444" s="197"/>
      <c r="BH444" s="197"/>
      <c r="BI444" s="197"/>
      <c r="BJ444" s="197"/>
      <c r="BK444" s="197"/>
      <c r="BL444" s="197"/>
      <c r="BM444" s="197"/>
      <c r="BN444" s="197"/>
      <c r="BO444" s="197"/>
      <c r="BP444" s="197"/>
    </row>
    <row r="445" spans="1:68" ht="20" customHeight="1" x14ac:dyDescent="0.15">
      <c r="A445" s="197"/>
      <c r="B445" s="197"/>
      <c r="C445" s="193"/>
      <c r="D445" s="197"/>
      <c r="E445" s="197"/>
      <c r="F445" s="214"/>
      <c r="G445" s="197"/>
      <c r="H445" s="197"/>
      <c r="I445" s="197"/>
      <c r="J445" s="197"/>
      <c r="K445" s="197"/>
      <c r="L445" s="197"/>
      <c r="M445" s="197"/>
      <c r="N445" s="197"/>
      <c r="O445" s="197"/>
      <c r="P445" s="197"/>
      <c r="Q445" s="197"/>
      <c r="R445" s="197"/>
      <c r="S445" s="197"/>
      <c r="T445" s="197"/>
      <c r="U445" s="197"/>
      <c r="V445" s="197"/>
      <c r="W445" s="197"/>
      <c r="X445" s="197"/>
      <c r="Y445" s="197"/>
      <c r="Z445" s="197"/>
      <c r="AA445" s="197"/>
      <c r="AB445" s="197"/>
      <c r="AC445" s="197"/>
      <c r="AD445" s="197"/>
      <c r="AE445" s="197"/>
      <c r="AF445" s="197"/>
      <c r="AG445" s="197"/>
      <c r="AH445" s="197"/>
      <c r="AI445" s="197"/>
      <c r="AJ445" s="197"/>
      <c r="AK445" s="197"/>
      <c r="AL445" s="197"/>
      <c r="AM445" s="197"/>
      <c r="AN445" s="197"/>
      <c r="AO445" s="197"/>
      <c r="AP445" s="197"/>
      <c r="AQ445" s="197"/>
      <c r="AR445" s="197"/>
      <c r="AS445" s="197"/>
      <c r="AT445" s="197"/>
      <c r="AU445" s="197"/>
      <c r="AV445" s="197"/>
      <c r="AW445" s="197"/>
      <c r="AX445" s="197"/>
      <c r="AY445" s="197"/>
      <c r="AZ445" s="197"/>
      <c r="BA445" s="197"/>
      <c r="BB445" s="197"/>
      <c r="BC445" s="197"/>
      <c r="BD445" s="197"/>
      <c r="BE445" s="197"/>
      <c r="BF445" s="197"/>
      <c r="BG445" s="197"/>
      <c r="BH445" s="197"/>
      <c r="BI445" s="197"/>
      <c r="BJ445" s="197"/>
      <c r="BK445" s="197"/>
      <c r="BL445" s="197"/>
      <c r="BM445" s="197"/>
      <c r="BN445" s="197"/>
      <c r="BO445" s="197"/>
      <c r="BP445" s="197"/>
    </row>
    <row r="446" spans="1:68" ht="20" customHeight="1" x14ac:dyDescent="0.15">
      <c r="A446" s="197"/>
      <c r="B446" s="197"/>
      <c r="C446" s="193"/>
      <c r="D446" s="197"/>
      <c r="E446" s="197"/>
      <c r="F446" s="214"/>
      <c r="G446" s="197"/>
      <c r="H446" s="197"/>
      <c r="I446" s="197"/>
      <c r="J446" s="197"/>
      <c r="K446" s="197"/>
      <c r="L446" s="197"/>
      <c r="M446" s="197"/>
      <c r="N446" s="197"/>
      <c r="O446" s="197"/>
      <c r="P446" s="197"/>
      <c r="Q446" s="197"/>
      <c r="R446" s="197"/>
      <c r="S446" s="197"/>
      <c r="T446" s="197"/>
      <c r="U446" s="197"/>
      <c r="V446" s="197"/>
      <c r="W446" s="197"/>
      <c r="X446" s="197"/>
      <c r="Y446" s="197"/>
      <c r="Z446" s="197"/>
      <c r="AA446" s="197"/>
      <c r="AB446" s="197"/>
      <c r="AC446" s="197"/>
      <c r="AD446" s="197"/>
      <c r="AE446" s="197"/>
      <c r="AF446" s="197"/>
      <c r="AG446" s="197"/>
      <c r="AH446" s="197"/>
      <c r="AI446" s="197"/>
      <c r="AJ446" s="197"/>
      <c r="AK446" s="197"/>
      <c r="AL446" s="197"/>
      <c r="AM446" s="197"/>
      <c r="AN446" s="197"/>
      <c r="AO446" s="197"/>
      <c r="AP446" s="197"/>
      <c r="AQ446" s="197"/>
      <c r="AR446" s="197"/>
      <c r="AS446" s="197"/>
      <c r="AT446" s="197"/>
      <c r="AU446" s="197"/>
      <c r="AV446" s="197"/>
      <c r="AW446" s="197"/>
      <c r="AX446" s="197"/>
      <c r="AY446" s="197"/>
      <c r="AZ446" s="197"/>
      <c r="BA446" s="197"/>
      <c r="BB446" s="197"/>
      <c r="BC446" s="197"/>
      <c r="BD446" s="197"/>
      <c r="BE446" s="197"/>
      <c r="BF446" s="197"/>
      <c r="BG446" s="197"/>
      <c r="BH446" s="197"/>
      <c r="BI446" s="197"/>
      <c r="BJ446" s="197"/>
      <c r="BK446" s="197"/>
      <c r="BL446" s="197"/>
      <c r="BM446" s="197"/>
      <c r="BN446" s="197"/>
      <c r="BO446" s="197"/>
      <c r="BP446" s="197"/>
    </row>
    <row r="447" spans="1:68" ht="20" customHeight="1" x14ac:dyDescent="0.15">
      <c r="A447" s="197"/>
      <c r="B447" s="197"/>
      <c r="C447" s="193"/>
      <c r="D447" s="197"/>
      <c r="E447" s="197"/>
      <c r="F447" s="214"/>
      <c r="G447" s="197"/>
      <c r="H447" s="197"/>
      <c r="I447" s="197"/>
      <c r="J447" s="197"/>
      <c r="K447" s="197"/>
      <c r="L447" s="197"/>
      <c r="M447" s="197"/>
      <c r="N447" s="197"/>
      <c r="O447" s="197"/>
      <c r="P447" s="197"/>
      <c r="Q447" s="197"/>
      <c r="R447" s="197"/>
      <c r="S447" s="197"/>
      <c r="T447" s="197"/>
      <c r="U447" s="197"/>
      <c r="V447" s="197"/>
      <c r="W447" s="197"/>
      <c r="X447" s="197"/>
      <c r="Y447" s="197"/>
      <c r="Z447" s="197"/>
      <c r="AA447" s="197"/>
      <c r="AB447" s="197"/>
      <c r="AC447" s="197"/>
      <c r="AD447" s="197"/>
      <c r="AE447" s="197"/>
      <c r="AF447" s="197"/>
      <c r="AG447" s="197"/>
      <c r="AH447" s="197"/>
      <c r="AI447" s="197"/>
      <c r="AJ447" s="197"/>
      <c r="AK447" s="197"/>
      <c r="AL447" s="197"/>
      <c r="AM447" s="197"/>
      <c r="AN447" s="197"/>
      <c r="AO447" s="197"/>
      <c r="AP447" s="197"/>
      <c r="AQ447" s="197"/>
      <c r="AR447" s="197"/>
      <c r="AS447" s="197"/>
      <c r="AT447" s="197"/>
      <c r="AU447" s="197"/>
      <c r="AV447" s="197"/>
      <c r="AW447" s="197"/>
      <c r="AX447" s="197"/>
      <c r="AY447" s="197"/>
      <c r="AZ447" s="197"/>
      <c r="BA447" s="197"/>
      <c r="BB447" s="197"/>
      <c r="BC447" s="197"/>
      <c r="BD447" s="197"/>
      <c r="BE447" s="197"/>
      <c r="BF447" s="197"/>
      <c r="BG447" s="197"/>
      <c r="BH447" s="197"/>
      <c r="BI447" s="197"/>
      <c r="BJ447" s="197"/>
      <c r="BK447" s="197"/>
      <c r="BL447" s="197"/>
      <c r="BM447" s="197"/>
      <c r="BN447" s="197"/>
      <c r="BO447" s="197"/>
      <c r="BP447" s="197"/>
    </row>
    <row r="448" spans="1:68" ht="20" customHeight="1" x14ac:dyDescent="0.15">
      <c r="A448" s="197"/>
      <c r="B448" s="197"/>
      <c r="C448" s="193"/>
      <c r="D448" s="197"/>
      <c r="E448" s="197"/>
      <c r="F448" s="214"/>
      <c r="G448" s="197"/>
      <c r="H448" s="197"/>
      <c r="I448" s="197"/>
      <c r="J448" s="197"/>
      <c r="K448" s="197"/>
      <c r="L448" s="197"/>
      <c r="M448" s="197"/>
      <c r="N448" s="197"/>
      <c r="O448" s="197"/>
      <c r="P448" s="197"/>
      <c r="Q448" s="197"/>
      <c r="R448" s="197"/>
      <c r="S448" s="197"/>
      <c r="T448" s="197"/>
      <c r="U448" s="197"/>
      <c r="V448" s="197"/>
      <c r="W448" s="197"/>
      <c r="X448" s="197"/>
      <c r="Y448" s="197"/>
      <c r="Z448" s="197"/>
      <c r="AA448" s="197"/>
      <c r="AB448" s="197"/>
      <c r="AC448" s="197"/>
      <c r="AD448" s="197"/>
      <c r="AE448" s="197"/>
      <c r="AF448" s="197"/>
      <c r="AG448" s="197"/>
      <c r="AH448" s="197"/>
      <c r="AI448" s="197"/>
      <c r="AJ448" s="197"/>
      <c r="AK448" s="197"/>
      <c r="AL448" s="197"/>
      <c r="AM448" s="197"/>
      <c r="AN448" s="197"/>
      <c r="AO448" s="197"/>
      <c r="AP448" s="197"/>
      <c r="AQ448" s="197"/>
      <c r="AR448" s="197"/>
      <c r="AS448" s="197"/>
      <c r="AT448" s="197"/>
      <c r="AU448" s="197"/>
      <c r="AV448" s="197"/>
      <c r="AW448" s="197"/>
      <c r="AX448" s="197"/>
      <c r="AY448" s="197"/>
      <c r="AZ448" s="197"/>
      <c r="BA448" s="197"/>
      <c r="BB448" s="197"/>
      <c r="BC448" s="197"/>
      <c r="BD448" s="197"/>
      <c r="BE448" s="197"/>
      <c r="BF448" s="197"/>
      <c r="BG448" s="197"/>
      <c r="BH448" s="197"/>
      <c r="BI448" s="197"/>
      <c r="BJ448" s="197"/>
      <c r="BK448" s="197"/>
      <c r="BL448" s="197"/>
      <c r="BM448" s="197"/>
      <c r="BN448" s="197"/>
      <c r="BO448" s="197"/>
      <c r="BP448" s="197"/>
    </row>
    <row r="449" spans="1:68" ht="20" customHeight="1" x14ac:dyDescent="0.15">
      <c r="A449" s="197"/>
      <c r="B449" s="197"/>
      <c r="C449" s="193"/>
      <c r="D449" s="197"/>
      <c r="E449" s="197"/>
      <c r="F449" s="214"/>
      <c r="G449" s="197"/>
      <c r="H449" s="197"/>
      <c r="I449" s="197"/>
      <c r="J449" s="197"/>
      <c r="K449" s="197"/>
      <c r="L449" s="197"/>
      <c r="M449" s="197"/>
      <c r="N449" s="197"/>
      <c r="O449" s="197"/>
      <c r="P449" s="197"/>
      <c r="Q449" s="197"/>
      <c r="R449" s="197"/>
      <c r="S449" s="197"/>
      <c r="T449" s="197"/>
      <c r="U449" s="197"/>
      <c r="V449" s="197"/>
      <c r="W449" s="197"/>
      <c r="X449" s="197"/>
      <c r="Y449" s="197"/>
      <c r="Z449" s="197"/>
      <c r="AA449" s="197"/>
      <c r="AB449" s="197"/>
      <c r="AC449" s="197"/>
      <c r="AD449" s="197"/>
      <c r="AE449" s="197"/>
      <c r="AF449" s="197"/>
      <c r="AG449" s="197"/>
      <c r="AH449" s="197"/>
      <c r="AI449" s="197"/>
      <c r="AJ449" s="197"/>
      <c r="AK449" s="197"/>
      <c r="AL449" s="197"/>
      <c r="AM449" s="197"/>
      <c r="AN449" s="197"/>
      <c r="AO449" s="197"/>
      <c r="AP449" s="197"/>
      <c r="AQ449" s="197"/>
      <c r="AR449" s="197"/>
      <c r="AS449" s="197"/>
      <c r="AT449" s="197"/>
      <c r="AU449" s="197"/>
      <c r="AV449" s="197"/>
      <c r="AW449" s="197"/>
      <c r="AX449" s="197"/>
      <c r="AY449" s="197"/>
      <c r="AZ449" s="197"/>
      <c r="BA449" s="197"/>
      <c r="BB449" s="197"/>
      <c r="BC449" s="197"/>
      <c r="BD449" s="197"/>
      <c r="BE449" s="197"/>
      <c r="BF449" s="197"/>
      <c r="BG449" s="197"/>
      <c r="BH449" s="197"/>
      <c r="BI449" s="197"/>
      <c r="BJ449" s="197"/>
      <c r="BK449" s="197"/>
      <c r="BL449" s="197"/>
      <c r="BM449" s="197"/>
      <c r="BN449" s="197"/>
      <c r="BO449" s="197"/>
      <c r="BP449" s="197"/>
    </row>
    <row r="450" spans="1:68" ht="20" customHeight="1" x14ac:dyDescent="0.15">
      <c r="A450" s="197"/>
      <c r="B450" s="197"/>
      <c r="C450" s="193"/>
      <c r="D450" s="197"/>
      <c r="E450" s="197"/>
      <c r="F450" s="214"/>
      <c r="G450" s="197"/>
      <c r="H450" s="197"/>
      <c r="I450" s="197"/>
      <c r="J450" s="197"/>
      <c r="K450" s="197"/>
      <c r="L450" s="197"/>
      <c r="M450" s="197"/>
      <c r="N450" s="197"/>
      <c r="O450" s="197"/>
      <c r="P450" s="197"/>
      <c r="Q450" s="197"/>
      <c r="R450" s="197"/>
      <c r="S450" s="197"/>
      <c r="T450" s="197"/>
      <c r="U450" s="197"/>
      <c r="V450" s="197"/>
      <c r="W450" s="197"/>
      <c r="X450" s="197"/>
      <c r="Y450" s="197"/>
      <c r="Z450" s="197"/>
      <c r="AA450" s="197"/>
      <c r="AB450" s="197"/>
      <c r="AC450" s="197"/>
      <c r="AD450" s="197"/>
      <c r="AE450" s="197"/>
      <c r="AF450" s="197"/>
      <c r="AG450" s="197"/>
      <c r="AH450" s="197"/>
      <c r="AI450" s="197"/>
      <c r="AJ450" s="197"/>
      <c r="AK450" s="197"/>
      <c r="AL450" s="197"/>
      <c r="AM450" s="197"/>
      <c r="AN450" s="197"/>
      <c r="AO450" s="197"/>
      <c r="AP450" s="197"/>
      <c r="AQ450" s="197"/>
      <c r="AR450" s="197"/>
      <c r="AS450" s="197"/>
      <c r="AT450" s="197"/>
      <c r="AU450" s="197"/>
      <c r="AV450" s="197"/>
      <c r="AW450" s="197"/>
      <c r="AX450" s="197"/>
      <c r="AY450" s="197"/>
      <c r="AZ450" s="197"/>
      <c r="BA450" s="197"/>
      <c r="BB450" s="197"/>
      <c r="BC450" s="197"/>
      <c r="BD450" s="197"/>
      <c r="BE450" s="197"/>
      <c r="BF450" s="197"/>
      <c r="BG450" s="197"/>
      <c r="BH450" s="197"/>
      <c r="BI450" s="197"/>
      <c r="BJ450" s="197"/>
      <c r="BK450" s="197"/>
      <c r="BL450" s="197"/>
      <c r="BM450" s="197"/>
      <c r="BN450" s="197"/>
      <c r="BO450" s="197"/>
      <c r="BP450" s="197"/>
    </row>
    <row r="451" spans="1:68" ht="20" customHeight="1" x14ac:dyDescent="0.15">
      <c r="A451" s="197"/>
      <c r="B451" s="197"/>
      <c r="C451" s="193"/>
      <c r="D451" s="197"/>
      <c r="E451" s="197"/>
      <c r="F451" s="214"/>
      <c r="G451" s="197"/>
      <c r="H451" s="197"/>
      <c r="I451" s="197"/>
      <c r="J451" s="197"/>
      <c r="K451" s="197"/>
      <c r="L451" s="197"/>
      <c r="M451" s="197"/>
      <c r="N451" s="197"/>
      <c r="O451" s="197"/>
      <c r="P451" s="197"/>
      <c r="Q451" s="197"/>
      <c r="R451" s="197"/>
      <c r="S451" s="197"/>
      <c r="T451" s="197"/>
      <c r="U451" s="197"/>
      <c r="V451" s="197"/>
      <c r="W451" s="197"/>
      <c r="X451" s="197"/>
      <c r="Y451" s="197"/>
      <c r="Z451" s="197"/>
      <c r="AA451" s="197"/>
      <c r="AB451" s="197"/>
      <c r="AC451" s="197"/>
      <c r="AD451" s="197"/>
      <c r="AE451" s="197"/>
      <c r="AF451" s="197"/>
      <c r="AG451" s="197"/>
      <c r="AH451" s="197"/>
      <c r="AI451" s="197"/>
      <c r="AJ451" s="197"/>
      <c r="AK451" s="197"/>
      <c r="AL451" s="197"/>
      <c r="AM451" s="197"/>
      <c r="AN451" s="197"/>
      <c r="AO451" s="197"/>
      <c r="AP451" s="197"/>
      <c r="AQ451" s="197"/>
      <c r="AR451" s="197"/>
      <c r="AS451" s="197"/>
      <c r="AT451" s="197"/>
      <c r="AU451" s="197"/>
      <c r="AV451" s="197"/>
      <c r="AW451" s="197"/>
      <c r="AX451" s="197"/>
      <c r="AY451" s="197"/>
      <c r="AZ451" s="197"/>
      <c r="BA451" s="197"/>
      <c r="BB451" s="197"/>
      <c r="BC451" s="197"/>
      <c r="BD451" s="197"/>
      <c r="BE451" s="197"/>
      <c r="BF451" s="197"/>
      <c r="BG451" s="197"/>
      <c r="BH451" s="197"/>
      <c r="BI451" s="197"/>
      <c r="BJ451" s="197"/>
      <c r="BK451" s="197"/>
      <c r="BL451" s="197"/>
      <c r="BM451" s="197"/>
      <c r="BN451" s="197"/>
      <c r="BO451" s="197"/>
      <c r="BP451" s="197"/>
    </row>
    <row r="452" spans="1:68" ht="20" customHeight="1" x14ac:dyDescent="0.15">
      <c r="A452" s="197"/>
      <c r="B452" s="197"/>
      <c r="C452" s="193"/>
      <c r="D452" s="197"/>
      <c r="E452" s="197"/>
      <c r="F452" s="214"/>
      <c r="G452" s="197"/>
      <c r="H452" s="197"/>
      <c r="I452" s="197"/>
      <c r="J452" s="197"/>
      <c r="K452" s="197"/>
      <c r="L452" s="197"/>
      <c r="M452" s="197"/>
      <c r="N452" s="197"/>
      <c r="O452" s="197"/>
      <c r="P452" s="197"/>
      <c r="Q452" s="197"/>
      <c r="R452" s="197"/>
      <c r="S452" s="197"/>
      <c r="T452" s="197"/>
      <c r="U452" s="197"/>
      <c r="V452" s="197"/>
      <c r="W452" s="197"/>
      <c r="X452" s="197"/>
      <c r="Y452" s="197"/>
      <c r="Z452" s="197"/>
      <c r="AA452" s="197"/>
      <c r="AB452" s="197"/>
      <c r="AC452" s="197"/>
      <c r="AD452" s="197"/>
      <c r="AE452" s="197"/>
      <c r="AF452" s="197"/>
      <c r="AG452" s="197"/>
      <c r="AH452" s="197"/>
      <c r="AI452" s="197"/>
      <c r="AJ452" s="197"/>
      <c r="AK452" s="197"/>
      <c r="AL452" s="197"/>
      <c r="AM452" s="197"/>
      <c r="AN452" s="197"/>
      <c r="AO452" s="197"/>
      <c r="AP452" s="197"/>
      <c r="AQ452" s="197"/>
      <c r="AR452" s="197"/>
      <c r="AS452" s="197"/>
      <c r="AT452" s="197"/>
      <c r="AU452" s="197"/>
      <c r="AV452" s="197"/>
      <c r="AW452" s="197"/>
      <c r="AX452" s="197"/>
      <c r="AY452" s="197"/>
      <c r="AZ452" s="197"/>
      <c r="BA452" s="197"/>
      <c r="BB452" s="197"/>
      <c r="BC452" s="197"/>
      <c r="BD452" s="197"/>
      <c r="BE452" s="197"/>
      <c r="BF452" s="197"/>
      <c r="BG452" s="197"/>
      <c r="BH452" s="197"/>
      <c r="BI452" s="197"/>
      <c r="BJ452" s="197"/>
      <c r="BK452" s="197"/>
      <c r="BL452" s="197"/>
      <c r="BM452" s="197"/>
      <c r="BN452" s="197"/>
      <c r="BO452" s="197"/>
      <c r="BP452" s="197"/>
    </row>
    <row r="453" spans="1:68" ht="20" customHeight="1" x14ac:dyDescent="0.15">
      <c r="A453" s="197"/>
      <c r="B453" s="197"/>
      <c r="C453" s="193"/>
      <c r="D453" s="197"/>
      <c r="E453" s="197"/>
      <c r="F453" s="214"/>
      <c r="G453" s="197"/>
      <c r="H453" s="197"/>
      <c r="I453" s="197"/>
      <c r="J453" s="197"/>
      <c r="K453" s="197"/>
      <c r="L453" s="197"/>
      <c r="M453" s="197"/>
      <c r="N453" s="197"/>
      <c r="O453" s="197"/>
      <c r="P453" s="197"/>
      <c r="Q453" s="197"/>
      <c r="R453" s="197"/>
      <c r="S453" s="197"/>
      <c r="T453" s="197"/>
      <c r="U453" s="197"/>
      <c r="V453" s="197"/>
      <c r="W453" s="197"/>
      <c r="X453" s="197"/>
      <c r="Y453" s="197"/>
      <c r="Z453" s="197"/>
      <c r="AA453" s="197"/>
      <c r="AB453" s="197"/>
      <c r="AC453" s="197"/>
      <c r="AD453" s="197"/>
      <c r="AE453" s="197"/>
      <c r="AF453" s="197"/>
      <c r="AG453" s="197"/>
      <c r="AH453" s="197"/>
      <c r="AI453" s="197"/>
      <c r="AJ453" s="197"/>
      <c r="AK453" s="197"/>
      <c r="AL453" s="197"/>
      <c r="AM453" s="197"/>
      <c r="AN453" s="197"/>
      <c r="AO453" s="197"/>
      <c r="AP453" s="197"/>
      <c r="AQ453" s="197"/>
      <c r="AR453" s="197"/>
      <c r="AS453" s="197"/>
      <c r="AT453" s="197"/>
      <c r="AU453" s="197"/>
      <c r="AV453" s="197"/>
      <c r="AW453" s="197"/>
      <c r="AX453" s="197"/>
      <c r="AY453" s="197"/>
      <c r="AZ453" s="197"/>
      <c r="BA453" s="197"/>
      <c r="BB453" s="197"/>
      <c r="BC453" s="197"/>
      <c r="BD453" s="197"/>
      <c r="BE453" s="197"/>
      <c r="BF453" s="197"/>
      <c r="BG453" s="197"/>
      <c r="BH453" s="197"/>
      <c r="BI453" s="197"/>
      <c r="BJ453" s="197"/>
      <c r="BK453" s="197"/>
      <c r="BL453" s="197"/>
      <c r="BM453" s="197"/>
      <c r="BN453" s="197"/>
      <c r="BO453" s="197"/>
      <c r="BP453" s="197"/>
    </row>
    <row r="454" spans="1:68" ht="20" customHeight="1" x14ac:dyDescent="0.15">
      <c r="A454" s="197"/>
      <c r="B454" s="197"/>
      <c r="C454" s="193"/>
      <c r="D454" s="197"/>
      <c r="E454" s="197"/>
      <c r="F454" s="214"/>
      <c r="G454" s="197"/>
      <c r="H454" s="197"/>
      <c r="I454" s="197"/>
      <c r="J454" s="197"/>
      <c r="K454" s="197"/>
      <c r="L454" s="197"/>
      <c r="M454" s="197"/>
      <c r="N454" s="197"/>
      <c r="O454" s="197"/>
      <c r="P454" s="197"/>
      <c r="Q454" s="197"/>
      <c r="R454" s="197"/>
      <c r="S454" s="197"/>
      <c r="T454" s="197"/>
      <c r="U454" s="197"/>
      <c r="V454" s="197"/>
      <c r="W454" s="197"/>
      <c r="X454" s="197"/>
      <c r="Y454" s="197"/>
      <c r="Z454" s="197"/>
      <c r="AA454" s="197"/>
      <c r="AB454" s="197"/>
      <c r="AC454" s="197"/>
      <c r="AD454" s="197"/>
      <c r="AE454" s="197"/>
      <c r="AF454" s="197"/>
      <c r="AG454" s="197"/>
      <c r="AH454" s="197"/>
      <c r="AI454" s="197"/>
      <c r="AJ454" s="197"/>
      <c r="AK454" s="197"/>
      <c r="AL454" s="197"/>
      <c r="AM454" s="197"/>
      <c r="AN454" s="197"/>
      <c r="AO454" s="197"/>
      <c r="AP454" s="197"/>
      <c r="AQ454" s="197"/>
      <c r="AR454" s="197"/>
      <c r="AS454" s="197"/>
      <c r="AT454" s="197"/>
      <c r="AU454" s="197"/>
      <c r="AV454" s="197"/>
      <c r="AW454" s="197"/>
      <c r="AX454" s="197"/>
      <c r="AY454" s="197"/>
      <c r="AZ454" s="197"/>
      <c r="BA454" s="197"/>
      <c r="BB454" s="197"/>
      <c r="BC454" s="197"/>
      <c r="BD454" s="197"/>
      <c r="BE454" s="197"/>
      <c r="BF454" s="197"/>
      <c r="BG454" s="197"/>
      <c r="BH454" s="197"/>
      <c r="BI454" s="197"/>
      <c r="BJ454" s="197"/>
      <c r="BK454" s="197"/>
      <c r="BL454" s="197"/>
      <c r="BM454" s="197"/>
      <c r="BN454" s="197"/>
      <c r="BO454" s="197"/>
      <c r="BP454" s="197"/>
    </row>
    <row r="455" spans="1:68" ht="20" customHeight="1" x14ac:dyDescent="0.15">
      <c r="A455" s="197"/>
      <c r="B455" s="197"/>
      <c r="C455" s="193"/>
      <c r="D455" s="197"/>
      <c r="E455" s="197"/>
      <c r="F455" s="214"/>
      <c r="G455" s="197"/>
      <c r="H455" s="197"/>
      <c r="I455" s="197"/>
      <c r="J455" s="197"/>
      <c r="K455" s="197"/>
      <c r="L455" s="197"/>
      <c r="M455" s="197"/>
      <c r="N455" s="197"/>
      <c r="O455" s="197"/>
      <c r="P455" s="197"/>
      <c r="Q455" s="197"/>
      <c r="R455" s="197"/>
      <c r="S455" s="197"/>
      <c r="T455" s="197"/>
      <c r="U455" s="197"/>
      <c r="V455" s="197"/>
      <c r="W455" s="197"/>
      <c r="X455" s="197"/>
      <c r="Y455" s="197"/>
      <c r="Z455" s="197"/>
      <c r="AA455" s="197"/>
      <c r="AB455" s="197"/>
      <c r="AC455" s="197"/>
      <c r="AD455" s="197"/>
      <c r="AE455" s="197"/>
      <c r="AF455" s="197"/>
      <c r="AG455" s="197"/>
      <c r="AH455" s="197"/>
      <c r="AI455" s="197"/>
      <c r="AJ455" s="197"/>
      <c r="AK455" s="197"/>
      <c r="AL455" s="197"/>
      <c r="AM455" s="197"/>
      <c r="AN455" s="197"/>
      <c r="AO455" s="197"/>
      <c r="AP455" s="197"/>
      <c r="AQ455" s="197"/>
      <c r="AR455" s="197"/>
      <c r="AS455" s="197"/>
      <c r="AT455" s="197"/>
      <c r="AU455" s="197"/>
      <c r="AV455" s="197"/>
      <c r="AW455" s="197"/>
      <c r="AX455" s="197"/>
      <c r="AY455" s="197"/>
      <c r="AZ455" s="197"/>
      <c r="BA455" s="197"/>
      <c r="BB455" s="197"/>
      <c r="BC455" s="197"/>
      <c r="BD455" s="197"/>
      <c r="BE455" s="197"/>
      <c r="BF455" s="197"/>
      <c r="BG455" s="197"/>
      <c r="BH455" s="197"/>
      <c r="BI455" s="197"/>
      <c r="BJ455" s="197"/>
      <c r="BK455" s="197"/>
      <c r="BL455" s="197"/>
      <c r="BM455" s="197"/>
      <c r="BN455" s="197"/>
      <c r="BO455" s="197"/>
      <c r="BP455" s="197"/>
    </row>
    <row r="456" spans="1:68" ht="20" customHeight="1" x14ac:dyDescent="0.15">
      <c r="A456" s="197"/>
      <c r="B456" s="197"/>
      <c r="C456" s="193"/>
      <c r="D456" s="197"/>
      <c r="E456" s="197"/>
      <c r="F456" s="214"/>
      <c r="G456" s="197"/>
      <c r="H456" s="197"/>
      <c r="I456" s="197"/>
      <c r="J456" s="197"/>
      <c r="K456" s="197"/>
      <c r="L456" s="197"/>
      <c r="M456" s="197"/>
      <c r="N456" s="197"/>
      <c r="O456" s="197"/>
      <c r="P456" s="197"/>
      <c r="Q456" s="197"/>
      <c r="R456" s="197"/>
      <c r="S456" s="197"/>
      <c r="T456" s="197"/>
      <c r="U456" s="197"/>
      <c r="V456" s="197"/>
      <c r="W456" s="197"/>
      <c r="X456" s="197"/>
      <c r="Y456" s="197"/>
      <c r="Z456" s="197"/>
      <c r="AA456" s="197"/>
      <c r="AB456" s="197"/>
      <c r="AC456" s="197"/>
      <c r="AD456" s="197"/>
      <c r="AE456" s="197"/>
      <c r="AF456" s="197"/>
      <c r="AG456" s="197"/>
      <c r="AH456" s="197"/>
      <c r="AI456" s="197"/>
      <c r="AJ456" s="197"/>
      <c r="AK456" s="197"/>
      <c r="AL456" s="197"/>
      <c r="AM456" s="197"/>
      <c r="AN456" s="197"/>
      <c r="AO456" s="197"/>
      <c r="AP456" s="197"/>
      <c r="AQ456" s="197"/>
      <c r="AR456" s="197"/>
      <c r="AS456" s="197"/>
      <c r="AT456" s="197"/>
      <c r="AU456" s="197"/>
      <c r="AV456" s="197"/>
      <c r="AW456" s="197"/>
      <c r="AX456" s="197"/>
      <c r="AY456" s="197"/>
      <c r="AZ456" s="197"/>
      <c r="BA456" s="197"/>
      <c r="BB456" s="197"/>
      <c r="BC456" s="197"/>
      <c r="BD456" s="197"/>
      <c r="BE456" s="197"/>
      <c r="BF456" s="197"/>
      <c r="BG456" s="197"/>
      <c r="BH456" s="197"/>
      <c r="BI456" s="197"/>
      <c r="BJ456" s="197"/>
      <c r="BK456" s="197"/>
      <c r="BL456" s="197"/>
      <c r="BM456" s="197"/>
      <c r="BN456" s="197"/>
      <c r="BO456" s="197"/>
      <c r="BP456" s="197"/>
    </row>
    <row r="457" spans="1:68" ht="20" customHeight="1" x14ac:dyDescent="0.15">
      <c r="A457" s="197"/>
      <c r="B457" s="197"/>
      <c r="C457" s="193"/>
      <c r="D457" s="197"/>
      <c r="E457" s="197"/>
      <c r="F457" s="214"/>
      <c r="G457" s="197"/>
      <c r="H457" s="197"/>
      <c r="I457" s="197"/>
      <c r="J457" s="197"/>
      <c r="K457" s="197"/>
      <c r="L457" s="197"/>
      <c r="M457" s="197"/>
      <c r="N457" s="197"/>
      <c r="O457" s="197"/>
      <c r="P457" s="197"/>
      <c r="Q457" s="197"/>
      <c r="R457" s="197"/>
      <c r="S457" s="197"/>
      <c r="T457" s="197"/>
      <c r="U457" s="197"/>
      <c r="V457" s="197"/>
      <c r="W457" s="197"/>
      <c r="X457" s="197"/>
      <c r="Y457" s="197"/>
      <c r="Z457" s="197"/>
      <c r="AA457" s="197"/>
      <c r="AB457" s="197"/>
      <c r="AC457" s="197"/>
      <c r="AD457" s="197"/>
      <c r="AE457" s="197"/>
      <c r="AF457" s="197"/>
      <c r="AG457" s="197"/>
      <c r="AH457" s="197"/>
      <c r="AI457" s="197"/>
      <c r="AJ457" s="197"/>
      <c r="AK457" s="197"/>
      <c r="AL457" s="197"/>
      <c r="AM457" s="197"/>
      <c r="AN457" s="197"/>
      <c r="AO457" s="197"/>
      <c r="AP457" s="197"/>
      <c r="AQ457" s="197"/>
      <c r="AR457" s="197"/>
      <c r="AS457" s="197"/>
      <c r="AT457" s="197"/>
      <c r="AU457" s="197"/>
      <c r="AV457" s="197"/>
      <c r="AW457" s="197"/>
      <c r="AX457" s="197"/>
      <c r="AY457" s="197"/>
      <c r="AZ457" s="197"/>
      <c r="BA457" s="197"/>
      <c r="BB457" s="197"/>
      <c r="BC457" s="197"/>
      <c r="BD457" s="197"/>
      <c r="BE457" s="197"/>
      <c r="BF457" s="197"/>
      <c r="BG457" s="197"/>
      <c r="BH457" s="197"/>
      <c r="BI457" s="197"/>
      <c r="BJ457" s="197"/>
      <c r="BK457" s="197"/>
      <c r="BL457" s="197"/>
      <c r="BM457" s="197"/>
      <c r="BN457" s="197"/>
      <c r="BO457" s="197"/>
      <c r="BP457" s="197"/>
    </row>
    <row r="458" spans="1:68" ht="20" customHeight="1" x14ac:dyDescent="0.15">
      <c r="A458" s="197"/>
      <c r="B458" s="197"/>
      <c r="C458" s="193"/>
      <c r="D458" s="197"/>
      <c r="E458" s="197"/>
      <c r="F458" s="214"/>
      <c r="G458" s="197"/>
      <c r="H458" s="197"/>
      <c r="I458" s="197"/>
      <c r="J458" s="197"/>
      <c r="K458" s="197"/>
      <c r="L458" s="197"/>
      <c r="M458" s="197"/>
      <c r="N458" s="197"/>
      <c r="O458" s="197"/>
      <c r="P458" s="197"/>
      <c r="Q458" s="197"/>
      <c r="R458" s="197"/>
      <c r="S458" s="197"/>
      <c r="T458" s="197"/>
      <c r="U458" s="197"/>
      <c r="V458" s="197"/>
      <c r="W458" s="197"/>
      <c r="X458" s="197"/>
      <c r="Y458" s="197"/>
      <c r="Z458" s="197"/>
      <c r="AA458" s="197"/>
      <c r="AB458" s="197"/>
      <c r="AC458" s="197"/>
      <c r="AD458" s="197"/>
      <c r="AE458" s="197"/>
      <c r="AF458" s="197"/>
      <c r="AG458" s="197"/>
      <c r="AH458" s="197"/>
      <c r="AI458" s="197"/>
      <c r="AJ458" s="197"/>
      <c r="AK458" s="197"/>
      <c r="AL458" s="197"/>
      <c r="AM458" s="197"/>
      <c r="AN458" s="197"/>
      <c r="AO458" s="197"/>
      <c r="AP458" s="197"/>
      <c r="AQ458" s="197"/>
      <c r="AR458" s="197"/>
      <c r="AS458" s="197"/>
      <c r="AT458" s="197"/>
      <c r="AU458" s="197"/>
      <c r="AV458" s="197"/>
      <c r="AW458" s="197"/>
      <c r="AX458" s="197"/>
      <c r="AY458" s="197"/>
      <c r="AZ458" s="197"/>
      <c r="BA458" s="197"/>
      <c r="BB458" s="197"/>
      <c r="BC458" s="197"/>
      <c r="BD458" s="197"/>
      <c r="BE458" s="197"/>
      <c r="BF458" s="197"/>
      <c r="BG458" s="197"/>
      <c r="BH458" s="197"/>
      <c r="BI458" s="197"/>
      <c r="BJ458" s="197"/>
      <c r="BK458" s="197"/>
      <c r="BL458" s="197"/>
      <c r="BM458" s="197"/>
      <c r="BN458" s="197"/>
      <c r="BO458" s="197"/>
      <c r="BP458" s="197"/>
    </row>
    <row r="459" spans="1:68" ht="20" customHeight="1" x14ac:dyDescent="0.15">
      <c r="A459" s="197"/>
      <c r="B459" s="197"/>
      <c r="C459" s="193"/>
      <c r="D459" s="197"/>
      <c r="E459" s="197"/>
      <c r="F459" s="214"/>
      <c r="G459" s="197"/>
      <c r="H459" s="197"/>
      <c r="I459" s="197"/>
      <c r="J459" s="197"/>
      <c r="K459" s="197"/>
      <c r="L459" s="197"/>
      <c r="M459" s="197"/>
      <c r="N459" s="197"/>
      <c r="O459" s="197"/>
      <c r="P459" s="197"/>
      <c r="Q459" s="197"/>
      <c r="R459" s="197"/>
      <c r="S459" s="197"/>
      <c r="T459" s="197"/>
      <c r="U459" s="197"/>
      <c r="V459" s="197"/>
      <c r="W459" s="197"/>
      <c r="X459" s="197"/>
      <c r="Y459" s="197"/>
      <c r="Z459" s="197"/>
      <c r="AA459" s="197"/>
      <c r="AB459" s="197"/>
      <c r="AC459" s="197"/>
      <c r="AD459" s="197"/>
      <c r="AE459" s="197"/>
      <c r="AF459" s="197"/>
      <c r="AG459" s="197"/>
      <c r="AH459" s="197"/>
      <c r="AI459" s="197"/>
      <c r="AJ459" s="197"/>
      <c r="AK459" s="197"/>
      <c r="AL459" s="197"/>
      <c r="AM459" s="197"/>
      <c r="AN459" s="197"/>
      <c r="AO459" s="197"/>
      <c r="AP459" s="197"/>
      <c r="AQ459" s="197"/>
      <c r="AR459" s="197"/>
      <c r="AS459" s="197"/>
      <c r="AT459" s="197"/>
      <c r="AU459" s="197"/>
      <c r="AV459" s="197"/>
      <c r="AW459" s="197"/>
      <c r="AX459" s="197"/>
      <c r="AY459" s="197"/>
      <c r="AZ459" s="197"/>
      <c r="BA459" s="197"/>
      <c r="BB459" s="197"/>
      <c r="BC459" s="197"/>
      <c r="BD459" s="197"/>
      <c r="BE459" s="197"/>
      <c r="BF459" s="197"/>
      <c r="BG459" s="197"/>
      <c r="BH459" s="197"/>
      <c r="BI459" s="197"/>
      <c r="BJ459" s="197"/>
      <c r="BK459" s="197"/>
      <c r="BL459" s="197"/>
      <c r="BM459" s="197"/>
      <c r="BN459" s="197"/>
      <c r="BO459" s="197"/>
      <c r="BP459" s="197"/>
    </row>
    <row r="460" spans="1:68" ht="20" customHeight="1" x14ac:dyDescent="0.15">
      <c r="A460" s="197"/>
      <c r="B460" s="197"/>
      <c r="C460" s="193"/>
      <c r="D460" s="197"/>
      <c r="E460" s="197"/>
      <c r="F460" s="214"/>
      <c r="G460" s="197"/>
      <c r="H460" s="197"/>
      <c r="I460" s="197"/>
      <c r="J460" s="197"/>
      <c r="K460" s="197"/>
      <c r="L460" s="197"/>
      <c r="M460" s="197"/>
      <c r="N460" s="197"/>
      <c r="O460" s="197"/>
      <c r="P460" s="197"/>
      <c r="Q460" s="197"/>
      <c r="R460" s="197"/>
      <c r="S460" s="197"/>
      <c r="T460" s="197"/>
      <c r="U460" s="197"/>
      <c r="V460" s="197"/>
      <c r="W460" s="197"/>
      <c r="X460" s="197"/>
      <c r="Y460" s="197"/>
      <c r="Z460" s="197"/>
      <c r="AA460" s="197"/>
      <c r="AB460" s="197"/>
      <c r="AC460" s="197"/>
      <c r="AD460" s="197"/>
      <c r="AE460" s="197"/>
      <c r="AF460" s="197"/>
      <c r="AG460" s="197"/>
      <c r="AH460" s="197"/>
      <c r="AI460" s="197"/>
      <c r="AJ460" s="197"/>
      <c r="AK460" s="197"/>
      <c r="AL460" s="197"/>
      <c r="AM460" s="197"/>
      <c r="AN460" s="197"/>
      <c r="AO460" s="197"/>
      <c r="AP460" s="197"/>
      <c r="AQ460" s="197"/>
      <c r="AR460" s="197"/>
      <c r="AS460" s="197"/>
      <c r="AT460" s="197"/>
      <c r="AU460" s="197"/>
      <c r="AV460" s="197"/>
      <c r="AW460" s="197"/>
      <c r="AX460" s="197"/>
      <c r="AY460" s="197"/>
      <c r="AZ460" s="197"/>
      <c r="BA460" s="197"/>
      <c r="BB460" s="197"/>
      <c r="BC460" s="197"/>
      <c r="BD460" s="197"/>
      <c r="BE460" s="197"/>
      <c r="BF460" s="197"/>
      <c r="BG460" s="197"/>
      <c r="BH460" s="197"/>
      <c r="BI460" s="197"/>
      <c r="BJ460" s="197"/>
      <c r="BK460" s="197"/>
      <c r="BL460" s="197"/>
      <c r="BM460" s="197"/>
      <c r="BN460" s="197"/>
      <c r="BO460" s="197"/>
      <c r="BP460" s="197"/>
    </row>
    <row r="461" spans="1:68" ht="20" customHeight="1" x14ac:dyDescent="0.15">
      <c r="A461" s="197"/>
      <c r="B461" s="197"/>
      <c r="C461" s="193"/>
      <c r="D461" s="197"/>
      <c r="E461" s="197"/>
      <c r="F461" s="214"/>
      <c r="G461" s="197"/>
      <c r="H461" s="197"/>
      <c r="I461" s="197"/>
      <c r="J461" s="197"/>
      <c r="K461" s="197"/>
      <c r="L461" s="197"/>
      <c r="M461" s="197"/>
      <c r="N461" s="197"/>
      <c r="O461" s="197"/>
      <c r="P461" s="197"/>
      <c r="Q461" s="197"/>
      <c r="R461" s="197"/>
      <c r="S461" s="197"/>
      <c r="T461" s="197"/>
      <c r="U461" s="197"/>
      <c r="V461" s="197"/>
      <c r="W461" s="197"/>
      <c r="X461" s="197"/>
      <c r="Y461" s="197"/>
      <c r="Z461" s="197"/>
      <c r="AA461" s="197"/>
      <c r="AB461" s="197"/>
      <c r="AC461" s="197"/>
      <c r="AD461" s="197"/>
      <c r="AE461" s="197"/>
      <c r="AF461" s="197"/>
      <c r="AG461" s="197"/>
      <c r="AH461" s="197"/>
      <c r="AI461" s="197"/>
      <c r="AJ461" s="197"/>
      <c r="AK461" s="197"/>
      <c r="AL461" s="197"/>
      <c r="AM461" s="197"/>
      <c r="AN461" s="197"/>
      <c r="AO461" s="197"/>
      <c r="AP461" s="197"/>
      <c r="AQ461" s="197"/>
      <c r="AR461" s="197"/>
      <c r="AS461" s="197"/>
      <c r="AT461" s="197"/>
      <c r="AU461" s="197"/>
      <c r="AV461" s="197"/>
      <c r="AW461" s="197"/>
      <c r="AX461" s="197"/>
      <c r="AY461" s="197"/>
      <c r="AZ461" s="197"/>
      <c r="BA461" s="197"/>
      <c r="BB461" s="197"/>
      <c r="BC461" s="197"/>
      <c r="BD461" s="197"/>
      <c r="BE461" s="197"/>
      <c r="BF461" s="197"/>
      <c r="BG461" s="197"/>
      <c r="BH461" s="197"/>
      <c r="BI461" s="197"/>
      <c r="BJ461" s="197"/>
      <c r="BK461" s="197"/>
      <c r="BL461" s="197"/>
      <c r="BM461" s="197"/>
      <c r="BN461" s="197"/>
      <c r="BO461" s="197"/>
      <c r="BP461" s="197"/>
    </row>
    <row r="462" spans="1:68" ht="20" customHeight="1" x14ac:dyDescent="0.15">
      <c r="A462" s="197"/>
      <c r="B462" s="197"/>
      <c r="C462" s="193"/>
      <c r="D462" s="197"/>
      <c r="E462" s="197"/>
      <c r="F462" s="214"/>
      <c r="G462" s="197"/>
      <c r="H462" s="197"/>
      <c r="I462" s="197"/>
      <c r="J462" s="197"/>
      <c r="K462" s="197"/>
      <c r="L462" s="197"/>
      <c r="M462" s="197"/>
      <c r="N462" s="197"/>
      <c r="O462" s="197"/>
      <c r="P462" s="197"/>
      <c r="Q462" s="197"/>
      <c r="R462" s="197"/>
      <c r="S462" s="197"/>
      <c r="T462" s="197"/>
      <c r="U462" s="197"/>
      <c r="V462" s="197"/>
      <c r="W462" s="197"/>
      <c r="X462" s="197"/>
      <c r="Y462" s="197"/>
      <c r="Z462" s="197"/>
      <c r="AA462" s="197"/>
      <c r="AB462" s="197"/>
      <c r="AC462" s="197"/>
      <c r="AD462" s="197"/>
      <c r="AE462" s="197"/>
      <c r="AF462" s="197"/>
      <c r="AG462" s="197"/>
      <c r="AH462" s="197"/>
      <c r="AI462" s="197"/>
      <c r="AJ462" s="197"/>
      <c r="AK462" s="197"/>
      <c r="AL462" s="197"/>
      <c r="AM462" s="197"/>
      <c r="AN462" s="197"/>
      <c r="AO462" s="197"/>
      <c r="AP462" s="197"/>
      <c r="AQ462" s="197"/>
      <c r="AR462" s="197"/>
      <c r="AS462" s="197"/>
      <c r="AT462" s="197"/>
      <c r="AU462" s="197"/>
      <c r="AV462" s="197"/>
      <c r="AW462" s="197"/>
      <c r="AX462" s="197"/>
      <c r="AY462" s="197"/>
      <c r="AZ462" s="197"/>
      <c r="BA462" s="197"/>
      <c r="BB462" s="197"/>
      <c r="BC462" s="197"/>
      <c r="BD462" s="197"/>
      <c r="BE462" s="197"/>
      <c r="BF462" s="197"/>
      <c r="BG462" s="197"/>
      <c r="BH462" s="197"/>
      <c r="BI462" s="197"/>
      <c r="BJ462" s="197"/>
      <c r="BK462" s="197"/>
      <c r="BL462" s="197"/>
      <c r="BM462" s="197"/>
      <c r="BN462" s="197"/>
      <c r="BO462" s="197"/>
      <c r="BP462" s="197"/>
    </row>
    <row r="463" spans="1:68" ht="20" customHeight="1" x14ac:dyDescent="0.15">
      <c r="A463" s="197"/>
      <c r="B463" s="197"/>
      <c r="C463" s="193"/>
      <c r="D463" s="197"/>
      <c r="E463" s="197"/>
      <c r="F463" s="214"/>
      <c r="G463" s="197"/>
      <c r="H463" s="197"/>
      <c r="I463" s="197"/>
      <c r="J463" s="197"/>
      <c r="K463" s="197"/>
      <c r="L463" s="197"/>
      <c r="M463" s="197"/>
      <c r="N463" s="197"/>
      <c r="O463" s="197"/>
      <c r="P463" s="197"/>
      <c r="Q463" s="197"/>
      <c r="R463" s="197"/>
      <c r="S463" s="197"/>
      <c r="T463" s="197"/>
      <c r="U463" s="197"/>
      <c r="V463" s="197"/>
      <c r="W463" s="197"/>
      <c r="X463" s="197"/>
      <c r="Y463" s="197"/>
      <c r="Z463" s="197"/>
      <c r="AA463" s="197"/>
      <c r="AB463" s="197"/>
      <c r="AC463" s="197"/>
      <c r="AD463" s="197"/>
      <c r="AE463" s="197"/>
      <c r="AF463" s="197"/>
      <c r="AG463" s="197"/>
      <c r="AH463" s="197"/>
      <c r="AI463" s="197"/>
      <c r="AJ463" s="197"/>
      <c r="AK463" s="197"/>
      <c r="AL463" s="197"/>
      <c r="AM463" s="197"/>
      <c r="AN463" s="197"/>
      <c r="AO463" s="197"/>
      <c r="AP463" s="197"/>
      <c r="AQ463" s="197"/>
      <c r="AR463" s="197"/>
      <c r="AS463" s="197"/>
      <c r="AT463" s="197"/>
      <c r="AU463" s="197"/>
      <c r="AV463" s="197"/>
      <c r="AW463" s="197"/>
      <c r="AX463" s="197"/>
      <c r="AY463" s="197"/>
      <c r="AZ463" s="197"/>
      <c r="BA463" s="197"/>
      <c r="BB463" s="197"/>
      <c r="BC463" s="197"/>
      <c r="BD463" s="197"/>
      <c r="BE463" s="197"/>
      <c r="BF463" s="197"/>
      <c r="BG463" s="197"/>
      <c r="BH463" s="197"/>
      <c r="BI463" s="197"/>
      <c r="BJ463" s="197"/>
      <c r="BK463" s="197"/>
      <c r="BL463" s="197"/>
      <c r="BM463" s="197"/>
      <c r="BN463" s="197"/>
      <c r="BO463" s="197"/>
      <c r="BP463" s="197"/>
    </row>
    <row r="464" spans="1:68" ht="20" customHeight="1" x14ac:dyDescent="0.15">
      <c r="A464" s="197"/>
      <c r="B464" s="197"/>
      <c r="C464" s="193"/>
      <c r="D464" s="197"/>
      <c r="E464" s="197"/>
      <c r="F464" s="214"/>
      <c r="G464" s="197"/>
      <c r="H464" s="197"/>
      <c r="I464" s="197"/>
      <c r="J464" s="197"/>
      <c r="K464" s="197"/>
      <c r="L464" s="197"/>
      <c r="M464" s="197"/>
      <c r="N464" s="197"/>
      <c r="O464" s="197"/>
      <c r="P464" s="197"/>
      <c r="Q464" s="197"/>
      <c r="R464" s="197"/>
      <c r="S464" s="197"/>
      <c r="T464" s="197"/>
      <c r="U464" s="197"/>
      <c r="V464" s="197"/>
      <c r="W464" s="197"/>
      <c r="X464" s="197"/>
      <c r="Y464" s="197"/>
      <c r="Z464" s="197"/>
      <c r="AA464" s="197"/>
      <c r="AB464" s="197"/>
      <c r="AC464" s="197"/>
      <c r="AD464" s="197"/>
      <c r="AE464" s="197"/>
      <c r="AF464" s="197"/>
      <c r="AG464" s="197"/>
      <c r="AH464" s="197"/>
      <c r="AI464" s="197"/>
      <c r="AJ464" s="197"/>
      <c r="AK464" s="197"/>
      <c r="AL464" s="197"/>
      <c r="AM464" s="197"/>
      <c r="AN464" s="197"/>
      <c r="AO464" s="197"/>
      <c r="AP464" s="197"/>
      <c r="AQ464" s="197"/>
      <c r="AR464" s="197"/>
      <c r="AS464" s="197"/>
      <c r="AT464" s="197"/>
      <c r="AU464" s="197"/>
      <c r="AV464" s="197"/>
      <c r="AW464" s="197"/>
      <c r="AX464" s="197"/>
      <c r="AY464" s="197"/>
      <c r="AZ464" s="197"/>
      <c r="BA464" s="197"/>
      <c r="BB464" s="197"/>
      <c r="BC464" s="197"/>
      <c r="BD464" s="197"/>
      <c r="BE464" s="197"/>
      <c r="BF464" s="197"/>
      <c r="BG464" s="197"/>
      <c r="BH464" s="197"/>
      <c r="BI464" s="197"/>
      <c r="BJ464" s="197"/>
      <c r="BK464" s="197"/>
      <c r="BL464" s="197"/>
      <c r="BM464" s="197"/>
      <c r="BN464" s="197"/>
      <c r="BO464" s="197"/>
      <c r="BP464" s="197"/>
    </row>
    <row r="465" spans="1:68" ht="20" customHeight="1" x14ac:dyDescent="0.15">
      <c r="A465" s="197"/>
      <c r="B465" s="197"/>
      <c r="C465" s="193"/>
      <c r="D465" s="197"/>
      <c r="E465" s="197"/>
      <c r="F465" s="214"/>
      <c r="G465" s="197"/>
      <c r="H465" s="197"/>
      <c r="I465" s="197"/>
      <c r="J465" s="197"/>
      <c r="K465" s="197"/>
      <c r="L465" s="197"/>
      <c r="M465" s="197"/>
      <c r="N465" s="197"/>
      <c r="O465" s="197"/>
      <c r="P465" s="197"/>
      <c r="Q465" s="197"/>
      <c r="R465" s="197"/>
      <c r="S465" s="197"/>
      <c r="T465" s="197"/>
      <c r="U465" s="197"/>
      <c r="V465" s="197"/>
      <c r="W465" s="197"/>
      <c r="X465" s="197"/>
      <c r="Y465" s="197"/>
      <c r="Z465" s="197"/>
      <c r="AA465" s="197"/>
      <c r="AB465" s="197"/>
      <c r="AC465" s="197"/>
      <c r="AD465" s="197"/>
      <c r="AE465" s="197"/>
      <c r="AF465" s="197"/>
      <c r="AG465" s="197"/>
      <c r="AH465" s="197"/>
      <c r="AI465" s="197"/>
      <c r="AJ465" s="197"/>
      <c r="AK465" s="197"/>
      <c r="AL465" s="197"/>
      <c r="AM465" s="197"/>
      <c r="AN465" s="197"/>
      <c r="AO465" s="197"/>
      <c r="AP465" s="197"/>
      <c r="AQ465" s="197"/>
      <c r="AR465" s="197"/>
      <c r="AS465" s="197"/>
      <c r="AT465" s="197"/>
      <c r="AU465" s="197"/>
      <c r="AV465" s="197"/>
      <c r="AW465" s="197"/>
      <c r="AX465" s="197"/>
      <c r="AY465" s="197"/>
      <c r="AZ465" s="197"/>
      <c r="BA465" s="197"/>
      <c r="BB465" s="197"/>
      <c r="BC465" s="197"/>
      <c r="BD465" s="197"/>
      <c r="BE465" s="197"/>
      <c r="BF465" s="197"/>
      <c r="BG465" s="197"/>
      <c r="BH465" s="197"/>
      <c r="BI465" s="197"/>
      <c r="BJ465" s="197"/>
      <c r="BK465" s="197"/>
      <c r="BL465" s="197"/>
      <c r="BM465" s="197"/>
      <c r="BN465" s="197"/>
      <c r="BO465" s="197"/>
      <c r="BP465" s="197"/>
    </row>
    <row r="466" spans="1:68" ht="20" customHeight="1" x14ac:dyDescent="0.15">
      <c r="A466" s="197"/>
      <c r="B466" s="197"/>
      <c r="C466" s="193"/>
      <c r="D466" s="197"/>
      <c r="E466" s="197"/>
      <c r="F466" s="214"/>
      <c r="G466" s="197"/>
      <c r="H466" s="197"/>
      <c r="I466" s="197"/>
      <c r="J466" s="197"/>
      <c r="K466" s="197"/>
      <c r="L466" s="197"/>
      <c r="M466" s="197"/>
      <c r="N466" s="197"/>
      <c r="O466" s="197"/>
      <c r="P466" s="197"/>
      <c r="Q466" s="197"/>
      <c r="R466" s="197"/>
      <c r="S466" s="197"/>
      <c r="T466" s="197"/>
      <c r="U466" s="197"/>
      <c r="V466" s="197"/>
      <c r="W466" s="197"/>
      <c r="X466" s="197"/>
      <c r="Y466" s="197"/>
      <c r="Z466" s="197"/>
      <c r="AA466" s="197"/>
      <c r="AB466" s="197"/>
      <c r="AC466" s="197"/>
      <c r="AD466" s="197"/>
      <c r="AE466" s="197"/>
      <c r="AF466" s="197"/>
      <c r="AG466" s="197"/>
      <c r="AH466" s="197"/>
      <c r="AI466" s="197"/>
      <c r="AJ466" s="197"/>
      <c r="AK466" s="197"/>
      <c r="AL466" s="197"/>
      <c r="AM466" s="197"/>
      <c r="AN466" s="197"/>
      <c r="AO466" s="197"/>
      <c r="AP466" s="197"/>
      <c r="AQ466" s="197"/>
      <c r="AR466" s="197"/>
      <c r="AS466" s="197"/>
      <c r="AT466" s="197"/>
      <c r="AU466" s="197"/>
      <c r="AV466" s="197"/>
      <c r="AW466" s="197"/>
      <c r="AX466" s="197"/>
      <c r="AY466" s="197"/>
      <c r="AZ466" s="197"/>
      <c r="BA466" s="197"/>
      <c r="BB466" s="197"/>
      <c r="BC466" s="197"/>
      <c r="BD466" s="197"/>
      <c r="BE466" s="197"/>
      <c r="BF466" s="197"/>
      <c r="BG466" s="197"/>
      <c r="BH466" s="197"/>
      <c r="BI466" s="197"/>
      <c r="BJ466" s="197"/>
      <c r="BK466" s="197"/>
      <c r="BL466" s="197"/>
      <c r="BM466" s="197"/>
      <c r="BN466" s="197"/>
      <c r="BO466" s="197"/>
      <c r="BP466" s="197"/>
    </row>
    <row r="467" spans="1:68" ht="20" customHeight="1" x14ac:dyDescent="0.15">
      <c r="A467" s="197"/>
      <c r="B467" s="197"/>
      <c r="C467" s="193"/>
      <c r="D467" s="197"/>
      <c r="E467" s="197"/>
      <c r="F467" s="214"/>
      <c r="G467" s="197"/>
      <c r="H467" s="197"/>
      <c r="I467" s="197"/>
      <c r="J467" s="197"/>
      <c r="K467" s="197"/>
      <c r="L467" s="197"/>
      <c r="M467" s="197"/>
      <c r="N467" s="197"/>
      <c r="O467" s="197"/>
      <c r="P467" s="197"/>
      <c r="Q467" s="197"/>
      <c r="R467" s="197"/>
      <c r="S467" s="197"/>
      <c r="T467" s="197"/>
      <c r="U467" s="197"/>
      <c r="V467" s="197"/>
      <c r="W467" s="197"/>
      <c r="X467" s="197"/>
      <c r="Y467" s="197"/>
      <c r="Z467" s="197"/>
      <c r="AA467" s="197"/>
      <c r="AB467" s="197"/>
      <c r="AC467" s="197"/>
      <c r="AD467" s="197"/>
      <c r="AE467" s="197"/>
      <c r="AF467" s="197"/>
      <c r="AG467" s="197"/>
      <c r="AH467" s="197"/>
      <c r="AI467" s="197"/>
      <c r="AJ467" s="197"/>
      <c r="AK467" s="197"/>
      <c r="AL467" s="197"/>
      <c r="AM467" s="197"/>
      <c r="AN467" s="197"/>
      <c r="AO467" s="197"/>
      <c r="AP467" s="197"/>
      <c r="AQ467" s="197"/>
      <c r="AR467" s="197"/>
      <c r="AS467" s="197"/>
      <c r="AT467" s="197"/>
      <c r="AU467" s="197"/>
      <c r="AV467" s="197"/>
      <c r="AW467" s="197"/>
      <c r="AX467" s="197"/>
      <c r="AY467" s="197"/>
      <c r="AZ467" s="197"/>
      <c r="BA467" s="197"/>
      <c r="BB467" s="197"/>
      <c r="BC467" s="197"/>
      <c r="BD467" s="197"/>
      <c r="BE467" s="197"/>
      <c r="BF467" s="197"/>
      <c r="BG467" s="197"/>
      <c r="BH467" s="197"/>
      <c r="BI467" s="197"/>
      <c r="BJ467" s="197"/>
      <c r="BK467" s="197"/>
      <c r="BL467" s="197"/>
      <c r="BM467" s="197"/>
      <c r="BN467" s="197"/>
      <c r="BO467" s="197"/>
      <c r="BP467" s="197"/>
    </row>
    <row r="468" spans="1:68" ht="20" customHeight="1" x14ac:dyDescent="0.15">
      <c r="A468" s="197"/>
      <c r="B468" s="197"/>
      <c r="C468" s="193"/>
      <c r="D468" s="197"/>
      <c r="E468" s="197"/>
      <c r="F468" s="214"/>
      <c r="G468" s="197"/>
      <c r="H468" s="197"/>
      <c r="I468" s="197"/>
      <c r="J468" s="197"/>
      <c r="K468" s="197"/>
      <c r="L468" s="197"/>
      <c r="M468" s="197"/>
      <c r="N468" s="197"/>
      <c r="O468" s="197"/>
      <c r="P468" s="197"/>
      <c r="Q468" s="197"/>
      <c r="R468" s="197"/>
      <c r="S468" s="197"/>
      <c r="T468" s="197"/>
      <c r="U468" s="197"/>
      <c r="V468" s="197"/>
      <c r="W468" s="197"/>
      <c r="X468" s="197"/>
      <c r="Y468" s="197"/>
      <c r="Z468" s="197"/>
      <c r="AA468" s="197"/>
      <c r="AB468" s="197"/>
      <c r="AC468" s="197"/>
      <c r="AD468" s="197"/>
      <c r="AE468" s="197"/>
      <c r="AF468" s="197"/>
      <c r="AG468" s="197"/>
      <c r="AH468" s="197"/>
      <c r="AI468" s="197"/>
      <c r="AJ468" s="197"/>
      <c r="AK468" s="197"/>
      <c r="AL468" s="197"/>
      <c r="AM468" s="197"/>
      <c r="AN468" s="197"/>
      <c r="AO468" s="197"/>
      <c r="AP468" s="197"/>
      <c r="AQ468" s="197"/>
      <c r="AR468" s="197"/>
      <c r="AS468" s="197"/>
      <c r="AT468" s="197"/>
      <c r="AU468" s="197"/>
      <c r="AV468" s="197"/>
      <c r="AW468" s="197"/>
      <c r="AX468" s="197"/>
      <c r="AY468" s="197"/>
      <c r="AZ468" s="197"/>
      <c r="BA468" s="197"/>
      <c r="BB468" s="197"/>
      <c r="BC468" s="197"/>
      <c r="BD468" s="197"/>
      <c r="BE468" s="197"/>
      <c r="BF468" s="197"/>
      <c r="BG468" s="197"/>
      <c r="BH468" s="197"/>
      <c r="BI468" s="197"/>
      <c r="BJ468" s="197"/>
      <c r="BK468" s="197"/>
      <c r="BL468" s="197"/>
      <c r="BM468" s="197"/>
      <c r="BN468" s="197"/>
      <c r="BO468" s="197"/>
      <c r="BP468" s="197"/>
    </row>
    <row r="469" spans="1:68" ht="20" customHeight="1" x14ac:dyDescent="0.15">
      <c r="A469" s="197"/>
      <c r="B469" s="197"/>
      <c r="C469" s="193"/>
      <c r="D469" s="197"/>
      <c r="E469" s="197"/>
      <c r="F469" s="214"/>
      <c r="G469" s="197"/>
      <c r="H469" s="197"/>
      <c r="I469" s="197"/>
      <c r="J469" s="197"/>
      <c r="K469" s="197"/>
      <c r="L469" s="197"/>
      <c r="M469" s="197"/>
      <c r="N469" s="197"/>
      <c r="O469" s="197"/>
      <c r="P469" s="197"/>
      <c r="Q469" s="197"/>
      <c r="R469" s="197"/>
      <c r="S469" s="197"/>
      <c r="T469" s="197"/>
      <c r="U469" s="197"/>
      <c r="V469" s="197"/>
      <c r="W469" s="197"/>
      <c r="X469" s="197"/>
      <c r="Y469" s="197"/>
      <c r="Z469" s="197"/>
      <c r="AA469" s="197"/>
      <c r="AB469" s="197"/>
      <c r="AC469" s="197"/>
      <c r="AD469" s="197"/>
      <c r="AE469" s="197"/>
      <c r="AF469" s="197"/>
      <c r="AG469" s="197"/>
      <c r="AH469" s="197"/>
      <c r="AI469" s="197"/>
      <c r="AJ469" s="197"/>
      <c r="AK469" s="197"/>
      <c r="AL469" s="197"/>
      <c r="AM469" s="197"/>
      <c r="AN469" s="197"/>
      <c r="AO469" s="197"/>
      <c r="AP469" s="197"/>
      <c r="AQ469" s="197"/>
      <c r="AR469" s="197"/>
      <c r="AS469" s="197"/>
      <c r="AT469" s="197"/>
      <c r="AU469" s="197"/>
      <c r="AV469" s="197"/>
      <c r="AW469" s="197"/>
      <c r="AX469" s="197"/>
      <c r="AY469" s="197"/>
      <c r="AZ469" s="197"/>
      <c r="BA469" s="197"/>
      <c r="BB469" s="197"/>
      <c r="BC469" s="197"/>
      <c r="BD469" s="197"/>
      <c r="BE469" s="197"/>
      <c r="BF469" s="197"/>
      <c r="BG469" s="197"/>
      <c r="BH469" s="197"/>
      <c r="BI469" s="197"/>
      <c r="BJ469" s="197"/>
      <c r="BK469" s="197"/>
      <c r="BL469" s="197"/>
      <c r="BM469" s="197"/>
      <c r="BN469" s="197"/>
      <c r="BO469" s="197"/>
      <c r="BP469" s="197"/>
    </row>
    <row r="470" spans="1:68" ht="20" customHeight="1" x14ac:dyDescent="0.15">
      <c r="A470" s="197"/>
      <c r="B470" s="197"/>
      <c r="C470" s="193"/>
      <c r="D470" s="197"/>
      <c r="E470" s="197"/>
      <c r="F470" s="214"/>
      <c r="G470" s="197"/>
      <c r="H470" s="197"/>
      <c r="I470" s="197"/>
      <c r="J470" s="197"/>
      <c r="K470" s="197"/>
      <c r="L470" s="197"/>
      <c r="M470" s="197"/>
      <c r="N470" s="197"/>
      <c r="O470" s="197"/>
      <c r="P470" s="197"/>
      <c r="Q470" s="197"/>
      <c r="R470" s="197"/>
      <c r="S470" s="197"/>
      <c r="T470" s="197"/>
      <c r="U470" s="197"/>
      <c r="V470" s="197"/>
      <c r="W470" s="197"/>
      <c r="X470" s="197"/>
      <c r="Y470" s="197"/>
      <c r="Z470" s="197"/>
      <c r="AA470" s="197"/>
      <c r="AB470" s="197"/>
      <c r="AC470" s="197"/>
      <c r="AD470" s="197"/>
      <c r="AE470" s="197"/>
      <c r="AF470" s="197"/>
      <c r="AG470" s="197"/>
      <c r="AH470" s="197"/>
      <c r="AI470" s="197"/>
      <c r="AJ470" s="197"/>
      <c r="AK470" s="197"/>
      <c r="AL470" s="197"/>
      <c r="AM470" s="197"/>
      <c r="AN470" s="197"/>
      <c r="AO470" s="197"/>
      <c r="AP470" s="197"/>
      <c r="AQ470" s="197"/>
      <c r="AR470" s="197"/>
      <c r="AS470" s="197"/>
      <c r="AT470" s="197"/>
      <c r="AU470" s="197"/>
      <c r="AV470" s="197"/>
      <c r="AW470" s="197"/>
      <c r="AX470" s="197"/>
      <c r="AY470" s="197"/>
      <c r="AZ470" s="197"/>
      <c r="BA470" s="197"/>
      <c r="BB470" s="197"/>
      <c r="BC470" s="197"/>
      <c r="BD470" s="197"/>
      <c r="BE470" s="197"/>
      <c r="BF470" s="197"/>
      <c r="BG470" s="197"/>
      <c r="BH470" s="197"/>
      <c r="BI470" s="197"/>
      <c r="BJ470" s="197"/>
      <c r="BK470" s="197"/>
      <c r="BL470" s="197"/>
      <c r="BM470" s="197"/>
      <c r="BN470" s="197"/>
      <c r="BO470" s="197"/>
      <c r="BP470" s="197"/>
    </row>
    <row r="471" spans="1:68" ht="20" customHeight="1" x14ac:dyDescent="0.15">
      <c r="A471" s="197"/>
      <c r="B471" s="197"/>
      <c r="C471" s="193"/>
      <c r="D471" s="197"/>
      <c r="E471" s="197"/>
      <c r="F471" s="214"/>
      <c r="G471" s="197"/>
      <c r="H471" s="197"/>
      <c r="I471" s="197"/>
      <c r="J471" s="197"/>
      <c r="K471" s="197"/>
      <c r="L471" s="197"/>
      <c r="M471" s="197"/>
      <c r="N471" s="197"/>
      <c r="O471" s="197"/>
      <c r="P471" s="197"/>
      <c r="Q471" s="197"/>
      <c r="R471" s="197"/>
      <c r="S471" s="197"/>
      <c r="T471" s="197"/>
      <c r="U471" s="197"/>
      <c r="V471" s="197"/>
      <c r="W471" s="197"/>
      <c r="X471" s="197"/>
      <c r="Y471" s="197"/>
      <c r="Z471" s="197"/>
      <c r="AA471" s="197"/>
      <c r="AB471" s="197"/>
      <c r="AC471" s="197"/>
      <c r="AD471" s="197"/>
      <c r="AE471" s="197"/>
      <c r="AF471" s="197"/>
      <c r="AG471" s="197"/>
      <c r="AH471" s="197"/>
      <c r="AI471" s="197"/>
      <c r="AJ471" s="197"/>
      <c r="AK471" s="197"/>
      <c r="AL471" s="197"/>
      <c r="AM471" s="197"/>
      <c r="AN471" s="197"/>
      <c r="AO471" s="197"/>
      <c r="AP471" s="197"/>
      <c r="AQ471" s="197"/>
      <c r="AR471" s="197"/>
      <c r="AS471" s="197"/>
      <c r="AT471" s="197"/>
      <c r="AU471" s="197"/>
      <c r="AV471" s="197"/>
      <c r="AW471" s="197"/>
      <c r="AX471" s="197"/>
      <c r="AY471" s="197"/>
      <c r="AZ471" s="197"/>
      <c r="BA471" s="197"/>
      <c r="BB471" s="197"/>
      <c r="BC471" s="197"/>
      <c r="BD471" s="197"/>
      <c r="BE471" s="197"/>
      <c r="BF471" s="197"/>
      <c r="BG471" s="197"/>
      <c r="BH471" s="197"/>
      <c r="BI471" s="197"/>
      <c r="BJ471" s="197"/>
      <c r="BK471" s="197"/>
      <c r="BL471" s="197"/>
      <c r="BM471" s="197"/>
      <c r="BN471" s="197"/>
      <c r="BO471" s="197"/>
      <c r="BP471" s="197"/>
    </row>
    <row r="472" spans="1:68" ht="20" customHeight="1" x14ac:dyDescent="0.15">
      <c r="A472" s="197"/>
      <c r="B472" s="197"/>
      <c r="C472" s="193"/>
      <c r="D472" s="197"/>
      <c r="E472" s="197"/>
      <c r="F472" s="214"/>
      <c r="G472" s="197"/>
      <c r="H472" s="197"/>
      <c r="I472" s="197"/>
      <c r="J472" s="197"/>
      <c r="K472" s="197"/>
      <c r="L472" s="197"/>
      <c r="M472" s="197"/>
      <c r="N472" s="197"/>
      <c r="O472" s="197"/>
      <c r="P472" s="197"/>
      <c r="Q472" s="197"/>
      <c r="R472" s="197"/>
      <c r="S472" s="197"/>
      <c r="T472" s="197"/>
      <c r="U472" s="197"/>
      <c r="V472" s="197"/>
      <c r="W472" s="197"/>
      <c r="X472" s="197"/>
      <c r="Y472" s="197"/>
      <c r="Z472" s="197"/>
      <c r="AA472" s="197"/>
      <c r="AB472" s="197"/>
      <c r="AC472" s="197"/>
      <c r="AD472" s="197"/>
      <c r="AE472" s="197"/>
      <c r="AF472" s="197"/>
      <c r="AG472" s="197"/>
      <c r="AH472" s="197"/>
      <c r="AI472" s="197"/>
      <c r="AJ472" s="197"/>
      <c r="AK472" s="197"/>
      <c r="AL472" s="197"/>
      <c r="AM472" s="197"/>
      <c r="AN472" s="197"/>
      <c r="AO472" s="197"/>
      <c r="AP472" s="197"/>
      <c r="AQ472" s="197"/>
      <c r="AR472" s="197"/>
      <c r="AS472" s="197"/>
      <c r="AT472" s="197"/>
      <c r="AU472" s="197"/>
      <c r="AV472" s="197"/>
      <c r="AW472" s="197"/>
      <c r="AX472" s="197"/>
      <c r="AY472" s="197"/>
      <c r="AZ472" s="197"/>
      <c r="BA472" s="197"/>
      <c r="BB472" s="197"/>
      <c r="BC472" s="197"/>
      <c r="BD472" s="197"/>
      <c r="BE472" s="197"/>
      <c r="BF472" s="197"/>
      <c r="BG472" s="197"/>
      <c r="BH472" s="197"/>
      <c r="BI472" s="197"/>
      <c r="BJ472" s="197"/>
      <c r="BK472" s="197"/>
      <c r="BL472" s="197"/>
      <c r="BM472" s="197"/>
      <c r="BN472" s="197"/>
      <c r="BO472" s="197"/>
      <c r="BP472" s="197"/>
    </row>
    <row r="473" spans="1:68" ht="20" customHeight="1" x14ac:dyDescent="0.15">
      <c r="A473" s="197"/>
      <c r="B473" s="197"/>
      <c r="C473" s="193"/>
      <c r="D473" s="197"/>
      <c r="E473" s="197"/>
      <c r="F473" s="214"/>
      <c r="G473" s="197"/>
      <c r="H473" s="197"/>
      <c r="I473" s="197"/>
      <c r="J473" s="197"/>
      <c r="K473" s="197"/>
      <c r="L473" s="197"/>
      <c r="M473" s="197"/>
      <c r="N473" s="197"/>
      <c r="O473" s="197"/>
      <c r="P473" s="197"/>
      <c r="Q473" s="197"/>
      <c r="R473" s="197"/>
      <c r="S473" s="197"/>
      <c r="T473" s="197"/>
      <c r="U473" s="197"/>
      <c r="V473" s="197"/>
      <c r="W473" s="197"/>
      <c r="X473" s="197"/>
      <c r="Y473" s="197"/>
      <c r="Z473" s="197"/>
      <c r="AA473" s="197"/>
      <c r="AB473" s="197"/>
      <c r="AC473" s="197"/>
      <c r="AD473" s="197"/>
      <c r="AE473" s="197"/>
      <c r="AF473" s="197"/>
      <c r="AG473" s="197"/>
      <c r="AH473" s="197"/>
      <c r="AI473" s="197"/>
      <c r="AJ473" s="197"/>
      <c r="AK473" s="197"/>
      <c r="AL473" s="197"/>
      <c r="AM473" s="197"/>
      <c r="AN473" s="197"/>
      <c r="AO473" s="197"/>
      <c r="AP473" s="197"/>
      <c r="AQ473" s="197"/>
      <c r="AR473" s="197"/>
      <c r="AS473" s="197"/>
      <c r="AT473" s="197"/>
      <c r="AU473" s="197"/>
      <c r="AV473" s="197"/>
      <c r="AW473" s="197"/>
      <c r="AX473" s="197"/>
      <c r="AY473" s="197"/>
      <c r="AZ473" s="197"/>
      <c r="BA473" s="197"/>
      <c r="BB473" s="197"/>
      <c r="BC473" s="197"/>
      <c r="BD473" s="197"/>
      <c r="BE473" s="197"/>
      <c r="BF473" s="197"/>
      <c r="BG473" s="197"/>
      <c r="BH473" s="197"/>
      <c r="BI473" s="197"/>
      <c r="BJ473" s="197"/>
      <c r="BK473" s="197"/>
      <c r="BL473" s="197"/>
      <c r="BM473" s="197"/>
      <c r="BN473" s="197"/>
      <c r="BO473" s="197"/>
      <c r="BP473" s="197"/>
    </row>
    <row r="474" spans="1:68" ht="20" customHeight="1" x14ac:dyDescent="0.15">
      <c r="A474" s="197"/>
      <c r="B474" s="197"/>
      <c r="C474" s="193"/>
      <c r="D474" s="197"/>
      <c r="E474" s="197"/>
      <c r="F474" s="214"/>
      <c r="G474" s="197"/>
      <c r="H474" s="197"/>
      <c r="I474" s="197"/>
      <c r="J474" s="197"/>
      <c r="K474" s="197"/>
      <c r="L474" s="197"/>
      <c r="M474" s="197"/>
      <c r="N474" s="197"/>
      <c r="O474" s="197"/>
      <c r="P474" s="197"/>
      <c r="Q474" s="197"/>
      <c r="R474" s="197"/>
      <c r="S474" s="197"/>
      <c r="T474" s="197"/>
      <c r="U474" s="197"/>
      <c r="V474" s="197"/>
      <c r="W474" s="197"/>
      <c r="X474" s="197"/>
      <c r="Y474" s="197"/>
      <c r="Z474" s="197"/>
      <c r="AA474" s="197"/>
      <c r="AB474" s="197"/>
      <c r="AC474" s="197"/>
      <c r="AD474" s="197"/>
      <c r="AE474" s="197"/>
      <c r="AF474" s="197"/>
      <c r="AG474" s="197"/>
      <c r="AH474" s="197"/>
      <c r="AI474" s="197"/>
      <c r="AJ474" s="197"/>
      <c r="AK474" s="197"/>
      <c r="AL474" s="197"/>
      <c r="AM474" s="197"/>
      <c r="AN474" s="197"/>
      <c r="AO474" s="197"/>
      <c r="AP474" s="197"/>
      <c r="AQ474" s="197"/>
      <c r="AR474" s="197"/>
      <c r="AS474" s="197"/>
      <c r="AT474" s="197"/>
      <c r="AU474" s="197"/>
      <c r="AV474" s="197"/>
      <c r="AW474" s="197"/>
      <c r="AX474" s="197"/>
      <c r="AY474" s="197"/>
      <c r="AZ474" s="197"/>
      <c r="BA474" s="197"/>
      <c r="BB474" s="197"/>
      <c r="BC474" s="197"/>
      <c r="BD474" s="197"/>
      <c r="BE474" s="197"/>
      <c r="BF474" s="197"/>
      <c r="BG474" s="197"/>
      <c r="BH474" s="197"/>
      <c r="BI474" s="197"/>
      <c r="BJ474" s="197"/>
      <c r="BK474" s="197"/>
      <c r="BL474" s="197"/>
      <c r="BM474" s="197"/>
      <c r="BN474" s="197"/>
      <c r="BO474" s="197"/>
      <c r="BP474" s="197"/>
    </row>
    <row r="475" spans="1:68" ht="20" customHeight="1" x14ac:dyDescent="0.15">
      <c r="A475" s="197"/>
      <c r="B475" s="197"/>
      <c r="C475" s="193"/>
      <c r="D475" s="197"/>
      <c r="E475" s="197"/>
      <c r="F475" s="214"/>
      <c r="G475" s="197"/>
      <c r="H475" s="197"/>
      <c r="I475" s="197"/>
      <c r="J475" s="197"/>
      <c r="K475" s="197"/>
      <c r="L475" s="197"/>
      <c r="M475" s="197"/>
      <c r="N475" s="197"/>
      <c r="O475" s="197"/>
      <c r="P475" s="197"/>
      <c r="Q475" s="197"/>
      <c r="R475" s="197"/>
      <c r="S475" s="197"/>
      <c r="T475" s="197"/>
      <c r="U475" s="197"/>
      <c r="V475" s="197"/>
      <c r="W475" s="197"/>
      <c r="X475" s="197"/>
      <c r="Y475" s="197"/>
      <c r="Z475" s="197"/>
      <c r="AA475" s="197"/>
      <c r="AB475" s="197"/>
      <c r="AC475" s="197"/>
      <c r="AD475" s="197"/>
      <c r="AE475" s="197"/>
      <c r="AF475" s="197"/>
      <c r="AG475" s="197"/>
      <c r="AH475" s="197"/>
      <c r="AI475" s="197"/>
      <c r="AJ475" s="197"/>
      <c r="AK475" s="197"/>
      <c r="AL475" s="197"/>
      <c r="AM475" s="197"/>
      <c r="AN475" s="197"/>
      <c r="AO475" s="197"/>
      <c r="AP475" s="197"/>
      <c r="AQ475" s="197"/>
      <c r="AR475" s="197"/>
      <c r="AS475" s="197"/>
      <c r="AT475" s="197"/>
      <c r="AU475" s="197"/>
      <c r="AV475" s="197"/>
      <c r="AW475" s="197"/>
      <c r="AX475" s="197"/>
      <c r="AY475" s="197"/>
      <c r="AZ475" s="197"/>
      <c r="BA475" s="197"/>
      <c r="BB475" s="197"/>
      <c r="BC475" s="197"/>
      <c r="BD475" s="197"/>
      <c r="BE475" s="197"/>
      <c r="BF475" s="197"/>
      <c r="BG475" s="197"/>
      <c r="BH475" s="197"/>
      <c r="BI475" s="197"/>
      <c r="BJ475" s="197"/>
      <c r="BK475" s="197"/>
      <c r="BL475" s="197"/>
      <c r="BM475" s="197"/>
      <c r="BN475" s="197"/>
      <c r="BO475" s="197"/>
      <c r="BP475" s="197"/>
    </row>
    <row r="476" spans="1:68" ht="20" customHeight="1" x14ac:dyDescent="0.15">
      <c r="A476" s="197"/>
      <c r="B476" s="197"/>
      <c r="C476" s="193"/>
      <c r="D476" s="197"/>
      <c r="E476" s="197"/>
      <c r="F476" s="214"/>
      <c r="G476" s="197"/>
      <c r="H476" s="197"/>
      <c r="I476" s="197"/>
      <c r="J476" s="197"/>
      <c r="K476" s="197"/>
      <c r="L476" s="197"/>
      <c r="M476" s="197"/>
      <c r="N476" s="197"/>
      <c r="O476" s="197"/>
      <c r="P476" s="197"/>
      <c r="Q476" s="197"/>
      <c r="R476" s="197"/>
      <c r="S476" s="197"/>
      <c r="T476" s="197"/>
      <c r="U476" s="197"/>
      <c r="V476" s="197"/>
      <c r="W476" s="197"/>
      <c r="X476" s="197"/>
      <c r="Y476" s="197"/>
      <c r="Z476" s="197"/>
      <c r="AA476" s="197"/>
      <c r="AB476" s="197"/>
      <c r="AC476" s="197"/>
      <c r="AD476" s="197"/>
      <c r="AE476" s="197"/>
      <c r="AF476" s="197"/>
      <c r="AG476" s="197"/>
      <c r="AH476" s="197"/>
      <c r="AI476" s="197"/>
      <c r="AJ476" s="197"/>
      <c r="AK476" s="197"/>
      <c r="AL476" s="197"/>
      <c r="AM476" s="197"/>
      <c r="AN476" s="197"/>
      <c r="AO476" s="197"/>
      <c r="AP476" s="197"/>
      <c r="AQ476" s="197"/>
      <c r="AR476" s="197"/>
      <c r="AS476" s="197"/>
      <c r="AT476" s="197"/>
      <c r="AU476" s="197"/>
      <c r="AV476" s="197"/>
      <c r="AW476" s="197"/>
      <c r="AX476" s="197"/>
      <c r="AY476" s="197"/>
      <c r="AZ476" s="197"/>
      <c r="BA476" s="197"/>
      <c r="BB476" s="197"/>
      <c r="BC476" s="197"/>
      <c r="BD476" s="197"/>
      <c r="BE476" s="197"/>
      <c r="BF476" s="197"/>
      <c r="BG476" s="197"/>
      <c r="BH476" s="197"/>
      <c r="BI476" s="197"/>
      <c r="BJ476" s="197"/>
      <c r="BK476" s="197"/>
      <c r="BL476" s="197"/>
      <c r="BM476" s="197"/>
      <c r="BN476" s="197"/>
      <c r="BO476" s="197"/>
      <c r="BP476" s="197"/>
    </row>
    <row r="477" spans="1:68" ht="20" customHeight="1" x14ac:dyDescent="0.15">
      <c r="A477" s="197"/>
      <c r="B477" s="197"/>
      <c r="C477" s="193"/>
      <c r="D477" s="197"/>
      <c r="E477" s="197"/>
      <c r="F477" s="214"/>
      <c r="G477" s="197"/>
      <c r="H477" s="197"/>
      <c r="I477" s="197"/>
      <c r="J477" s="197"/>
      <c r="K477" s="197"/>
      <c r="L477" s="197"/>
      <c r="M477" s="197"/>
      <c r="N477" s="197"/>
      <c r="O477" s="197"/>
      <c r="P477" s="197"/>
      <c r="Q477" s="197"/>
      <c r="R477" s="197"/>
      <c r="S477" s="197"/>
      <c r="T477" s="197"/>
      <c r="U477" s="197"/>
      <c r="V477" s="197"/>
      <c r="W477" s="197"/>
      <c r="X477" s="197"/>
      <c r="Y477" s="197"/>
      <c r="Z477" s="197"/>
      <c r="AA477" s="197"/>
      <c r="AB477" s="197"/>
      <c r="AC477" s="197"/>
      <c r="AD477" s="197"/>
      <c r="AE477" s="197"/>
      <c r="AF477" s="197"/>
      <c r="AG477" s="197"/>
      <c r="AH477" s="197"/>
      <c r="AI477" s="197"/>
      <c r="AJ477" s="197"/>
      <c r="AK477" s="197"/>
      <c r="AL477" s="197"/>
      <c r="AM477" s="197"/>
      <c r="AN477" s="197"/>
      <c r="AO477" s="197"/>
      <c r="AP477" s="197"/>
      <c r="AQ477" s="197"/>
      <c r="AR477" s="197"/>
      <c r="AS477" s="197"/>
      <c r="AT477" s="197"/>
      <c r="AU477" s="197"/>
      <c r="AV477" s="197"/>
      <c r="AW477" s="197"/>
      <c r="AX477" s="197"/>
      <c r="AY477" s="197"/>
      <c r="AZ477" s="197"/>
      <c r="BA477" s="197"/>
      <c r="BB477" s="197"/>
      <c r="BC477" s="197"/>
      <c r="BD477" s="197"/>
      <c r="BE477" s="197"/>
      <c r="BF477" s="197"/>
      <c r="BG477" s="197"/>
      <c r="BH477" s="197"/>
      <c r="BI477" s="197"/>
      <c r="BJ477" s="197"/>
      <c r="BK477" s="197"/>
      <c r="BL477" s="197"/>
      <c r="BM477" s="197"/>
      <c r="BN477" s="197"/>
      <c r="BO477" s="197"/>
      <c r="BP477" s="197"/>
    </row>
    <row r="478" spans="1:68" ht="20" customHeight="1" x14ac:dyDescent="0.15">
      <c r="A478" s="197"/>
      <c r="B478" s="197"/>
      <c r="C478" s="193"/>
      <c r="D478" s="197"/>
      <c r="E478" s="197"/>
      <c r="F478" s="214"/>
      <c r="G478" s="197"/>
      <c r="H478" s="197"/>
      <c r="I478" s="197"/>
      <c r="J478" s="197"/>
      <c r="K478" s="197"/>
      <c r="L478" s="197"/>
      <c r="M478" s="197"/>
      <c r="N478" s="197"/>
      <c r="O478" s="197"/>
      <c r="P478" s="197"/>
      <c r="Q478" s="197"/>
      <c r="R478" s="197"/>
      <c r="S478" s="197"/>
      <c r="T478" s="197"/>
      <c r="U478" s="197"/>
      <c r="V478" s="197"/>
      <c r="W478" s="197"/>
      <c r="X478" s="197"/>
      <c r="Y478" s="197"/>
      <c r="Z478" s="197"/>
      <c r="AA478" s="197"/>
      <c r="AB478" s="197"/>
      <c r="AC478" s="197"/>
      <c r="AD478" s="197"/>
      <c r="AE478" s="197"/>
      <c r="AF478" s="197"/>
      <c r="AG478" s="197"/>
      <c r="AH478" s="197"/>
      <c r="AI478" s="197"/>
      <c r="AJ478" s="197"/>
      <c r="AK478" s="197"/>
      <c r="AL478" s="197"/>
      <c r="AM478" s="197"/>
      <c r="AN478" s="197"/>
      <c r="AO478" s="197"/>
      <c r="AP478" s="197"/>
      <c r="AQ478" s="197"/>
      <c r="AR478" s="197"/>
      <c r="AS478" s="197"/>
      <c r="AT478" s="197"/>
      <c r="AU478" s="197"/>
      <c r="AV478" s="197"/>
      <c r="AW478" s="197"/>
      <c r="AX478" s="197"/>
      <c r="AY478" s="197"/>
      <c r="AZ478" s="197"/>
      <c r="BA478" s="197"/>
      <c r="BB478" s="197"/>
      <c r="BC478" s="197"/>
      <c r="BD478" s="197"/>
      <c r="BE478" s="197"/>
      <c r="BF478" s="197"/>
      <c r="BG478" s="197"/>
      <c r="BH478" s="197"/>
      <c r="BI478" s="197"/>
      <c r="BJ478" s="197"/>
      <c r="BK478" s="197"/>
      <c r="BL478" s="197"/>
      <c r="BM478" s="197"/>
      <c r="BN478" s="197"/>
      <c r="BO478" s="197"/>
      <c r="BP478" s="197"/>
    </row>
    <row r="479" spans="1:68" ht="20" customHeight="1" x14ac:dyDescent="0.15">
      <c r="A479" s="197"/>
      <c r="B479" s="197"/>
      <c r="C479" s="193"/>
      <c r="D479" s="197"/>
      <c r="E479" s="197"/>
      <c r="F479" s="214"/>
      <c r="G479" s="197"/>
      <c r="H479" s="197"/>
      <c r="I479" s="197"/>
      <c r="J479" s="197"/>
      <c r="K479" s="197"/>
      <c r="L479" s="197"/>
      <c r="M479" s="197"/>
      <c r="N479" s="197"/>
      <c r="O479" s="197"/>
      <c r="P479" s="197"/>
      <c r="Q479" s="197"/>
      <c r="R479" s="197"/>
      <c r="S479" s="197"/>
      <c r="T479" s="197"/>
      <c r="U479" s="197"/>
      <c r="V479" s="197"/>
      <c r="W479" s="197"/>
      <c r="X479" s="197"/>
      <c r="Y479" s="197"/>
      <c r="Z479" s="197"/>
      <c r="AA479" s="197"/>
      <c r="AB479" s="197"/>
      <c r="AC479" s="197"/>
      <c r="AD479" s="197"/>
      <c r="AE479" s="197"/>
      <c r="AF479" s="197"/>
      <c r="AG479" s="197"/>
      <c r="AH479" s="197"/>
      <c r="AI479" s="197"/>
      <c r="AJ479" s="197"/>
      <c r="AK479" s="197"/>
      <c r="AL479" s="197"/>
      <c r="AM479" s="197"/>
      <c r="AN479" s="197"/>
      <c r="AO479" s="197"/>
      <c r="AP479" s="197"/>
      <c r="AQ479" s="197"/>
      <c r="AR479" s="197"/>
      <c r="AS479" s="197"/>
      <c r="AT479" s="197"/>
      <c r="AU479" s="197"/>
      <c r="AV479" s="197"/>
      <c r="AW479" s="197"/>
      <c r="AX479" s="197"/>
      <c r="AY479" s="197"/>
      <c r="AZ479" s="197"/>
      <c r="BA479" s="197"/>
      <c r="BB479" s="197"/>
      <c r="BC479" s="197"/>
      <c r="BD479" s="197"/>
      <c r="BE479" s="197"/>
      <c r="BF479" s="197"/>
      <c r="BG479" s="197"/>
      <c r="BH479" s="197"/>
      <c r="BI479" s="197"/>
      <c r="BJ479" s="197"/>
      <c r="BK479" s="197"/>
      <c r="BL479" s="197"/>
      <c r="BM479" s="197"/>
      <c r="BN479" s="197"/>
      <c r="BO479" s="197"/>
      <c r="BP479" s="197"/>
    </row>
    <row r="480" spans="1:68" ht="20" customHeight="1" x14ac:dyDescent="0.15">
      <c r="A480" s="197"/>
      <c r="B480" s="197"/>
      <c r="C480" s="193"/>
      <c r="D480" s="197"/>
      <c r="E480" s="197"/>
      <c r="F480" s="214"/>
      <c r="G480" s="197"/>
      <c r="H480" s="197"/>
      <c r="I480" s="197"/>
      <c r="J480" s="197"/>
      <c r="K480" s="197"/>
      <c r="L480" s="197"/>
      <c r="M480" s="197"/>
      <c r="N480" s="197"/>
      <c r="O480" s="197"/>
      <c r="P480" s="197"/>
      <c r="Q480" s="197"/>
      <c r="R480" s="197"/>
      <c r="S480" s="197"/>
      <c r="T480" s="197"/>
      <c r="U480" s="197"/>
      <c r="V480" s="197"/>
      <c r="W480" s="197"/>
      <c r="X480" s="197"/>
      <c r="Y480" s="197"/>
      <c r="Z480" s="197"/>
      <c r="AA480" s="197"/>
      <c r="AB480" s="197"/>
      <c r="AC480" s="197"/>
      <c r="AD480" s="197"/>
      <c r="AE480" s="197"/>
      <c r="AF480" s="197"/>
      <c r="AG480" s="197"/>
      <c r="AH480" s="197"/>
      <c r="AI480" s="197"/>
      <c r="AJ480" s="197"/>
      <c r="AK480" s="197"/>
      <c r="AL480" s="197"/>
      <c r="AM480" s="197"/>
      <c r="AN480" s="197"/>
      <c r="AO480" s="197"/>
      <c r="AP480" s="197"/>
      <c r="AQ480" s="197"/>
      <c r="AR480" s="197"/>
      <c r="AS480" s="197"/>
      <c r="AT480" s="197"/>
      <c r="AU480" s="197"/>
      <c r="AV480" s="197"/>
      <c r="AW480" s="197"/>
      <c r="AX480" s="197"/>
      <c r="AY480" s="197"/>
      <c r="AZ480" s="197"/>
      <c r="BA480" s="197"/>
      <c r="BB480" s="197"/>
      <c r="BC480" s="197"/>
      <c r="BD480" s="197"/>
      <c r="BE480" s="197"/>
      <c r="BF480" s="197"/>
      <c r="BG480" s="197"/>
      <c r="BH480" s="197"/>
      <c r="BI480" s="197"/>
      <c r="BJ480" s="197"/>
      <c r="BK480" s="197"/>
      <c r="BL480" s="197"/>
      <c r="BM480" s="197"/>
      <c r="BN480" s="197"/>
      <c r="BO480" s="197"/>
      <c r="BP480" s="197"/>
    </row>
    <row r="481" spans="1:68" ht="20" customHeight="1" x14ac:dyDescent="0.15">
      <c r="A481" s="197"/>
      <c r="B481" s="197"/>
      <c r="C481" s="193"/>
      <c r="D481" s="197"/>
      <c r="E481" s="197"/>
      <c r="F481" s="214"/>
      <c r="G481" s="197"/>
      <c r="H481" s="197"/>
      <c r="I481" s="197"/>
      <c r="J481" s="197"/>
      <c r="K481" s="197"/>
      <c r="L481" s="197"/>
      <c r="M481" s="197"/>
      <c r="N481" s="197"/>
      <c r="O481" s="197"/>
      <c r="P481" s="197"/>
      <c r="Q481" s="197"/>
      <c r="R481" s="197"/>
      <c r="S481" s="197"/>
      <c r="T481" s="197"/>
      <c r="U481" s="197"/>
      <c r="V481" s="197"/>
      <c r="W481" s="197"/>
      <c r="X481" s="197"/>
      <c r="Y481" s="197"/>
      <c r="Z481" s="197"/>
      <c r="AA481" s="197"/>
      <c r="AB481" s="197"/>
      <c r="AC481" s="197"/>
      <c r="AD481" s="197"/>
      <c r="AE481" s="197"/>
      <c r="AF481" s="197"/>
      <c r="AG481" s="197"/>
      <c r="AH481" s="197"/>
      <c r="AI481" s="197"/>
      <c r="AJ481" s="197"/>
      <c r="AK481" s="197"/>
      <c r="AL481" s="197"/>
      <c r="AM481" s="197"/>
      <c r="AN481" s="197"/>
      <c r="AO481" s="197"/>
      <c r="AP481" s="197"/>
      <c r="AQ481" s="197"/>
      <c r="AR481" s="197"/>
      <c r="AS481" s="197"/>
      <c r="AT481" s="197"/>
      <c r="AU481" s="197"/>
      <c r="AV481" s="197"/>
      <c r="AW481" s="197"/>
      <c r="AX481" s="197"/>
      <c r="AY481" s="197"/>
      <c r="AZ481" s="197"/>
      <c r="BA481" s="197"/>
      <c r="BB481" s="197"/>
      <c r="BC481" s="197"/>
      <c r="BD481" s="197"/>
      <c r="BE481" s="197"/>
      <c r="BF481" s="197"/>
      <c r="BG481" s="197"/>
      <c r="BH481" s="197"/>
      <c r="BI481" s="197"/>
      <c r="BJ481" s="197"/>
      <c r="BK481" s="197"/>
      <c r="BL481" s="197"/>
      <c r="BM481" s="197"/>
      <c r="BN481" s="197"/>
      <c r="BO481" s="197"/>
      <c r="BP481" s="197"/>
    </row>
    <row r="482" spans="1:68" ht="20" customHeight="1" x14ac:dyDescent="0.15">
      <c r="A482" s="197"/>
      <c r="B482" s="197"/>
      <c r="C482" s="193"/>
      <c r="D482" s="197"/>
      <c r="E482" s="197"/>
      <c r="F482" s="214"/>
      <c r="G482" s="197"/>
      <c r="H482" s="197"/>
      <c r="I482" s="197"/>
      <c r="J482" s="197"/>
      <c r="K482" s="197"/>
      <c r="L482" s="197"/>
      <c r="M482" s="197"/>
      <c r="N482" s="197"/>
      <c r="O482" s="197"/>
      <c r="P482" s="197"/>
      <c r="Q482" s="197"/>
      <c r="R482" s="197"/>
      <c r="S482" s="197"/>
      <c r="T482" s="197"/>
      <c r="U482" s="197"/>
      <c r="V482" s="197"/>
      <c r="W482" s="197"/>
      <c r="X482" s="197"/>
      <c r="Y482" s="197"/>
      <c r="Z482" s="197"/>
      <c r="AA482" s="197"/>
      <c r="AB482" s="197"/>
      <c r="AC482" s="197"/>
      <c r="AD482" s="197"/>
      <c r="AE482" s="197"/>
      <c r="AF482" s="197"/>
      <c r="AG482" s="197"/>
      <c r="AH482" s="197"/>
      <c r="AI482" s="197"/>
      <c r="AJ482" s="197"/>
      <c r="AK482" s="197"/>
      <c r="AL482" s="197"/>
      <c r="AM482" s="197"/>
      <c r="AN482" s="197"/>
      <c r="AO482" s="197"/>
      <c r="AP482" s="197"/>
      <c r="AQ482" s="197"/>
      <c r="AR482" s="197"/>
      <c r="AS482" s="197"/>
      <c r="AT482" s="197"/>
      <c r="AU482" s="197"/>
      <c r="AV482" s="197"/>
      <c r="AW482" s="197"/>
      <c r="AX482" s="197"/>
      <c r="AY482" s="197"/>
      <c r="AZ482" s="197"/>
      <c r="BA482" s="197"/>
      <c r="BB482" s="197"/>
      <c r="BC482" s="197"/>
      <c r="BD482" s="197"/>
      <c r="BE482" s="197"/>
      <c r="BF482" s="197"/>
      <c r="BG482" s="197"/>
      <c r="BH482" s="197"/>
      <c r="BI482" s="197"/>
      <c r="BJ482" s="197"/>
      <c r="BK482" s="197"/>
      <c r="BL482" s="197"/>
      <c r="BM482" s="197"/>
      <c r="BN482" s="197"/>
      <c r="BO482" s="197"/>
      <c r="BP482" s="197"/>
    </row>
    <row r="483" spans="1:68" ht="20" customHeight="1" x14ac:dyDescent="0.15">
      <c r="A483" s="197"/>
      <c r="B483" s="197"/>
      <c r="C483" s="193"/>
      <c r="D483" s="197"/>
      <c r="E483" s="197"/>
      <c r="F483" s="214"/>
      <c r="G483" s="197"/>
      <c r="H483" s="197"/>
      <c r="I483" s="197"/>
      <c r="J483" s="197"/>
      <c r="K483" s="197"/>
      <c r="L483" s="197"/>
      <c r="M483" s="197"/>
      <c r="N483" s="197"/>
      <c r="O483" s="197"/>
      <c r="P483" s="197"/>
      <c r="Q483" s="197"/>
      <c r="R483" s="197"/>
      <c r="S483" s="197"/>
      <c r="T483" s="197"/>
      <c r="U483" s="197"/>
      <c r="V483" s="197"/>
      <c r="W483" s="197"/>
      <c r="X483" s="197"/>
      <c r="Y483" s="197"/>
      <c r="Z483" s="197"/>
      <c r="AA483" s="197"/>
      <c r="AB483" s="197"/>
      <c r="AC483" s="197"/>
      <c r="AD483" s="197"/>
      <c r="AE483" s="197"/>
      <c r="AF483" s="197"/>
      <c r="AG483" s="197"/>
      <c r="AH483" s="197"/>
      <c r="AI483" s="197"/>
      <c r="AJ483" s="197"/>
      <c r="AK483" s="197"/>
      <c r="AL483" s="197"/>
      <c r="AM483" s="197"/>
      <c r="AN483" s="197"/>
      <c r="AO483" s="197"/>
      <c r="AP483" s="197"/>
      <c r="AQ483" s="197"/>
      <c r="AR483" s="197"/>
      <c r="AS483" s="197"/>
      <c r="AT483" s="197"/>
      <c r="AU483" s="197"/>
      <c r="AV483" s="197"/>
      <c r="AW483" s="197"/>
      <c r="AX483" s="197"/>
      <c r="AY483" s="197"/>
      <c r="AZ483" s="197"/>
      <c r="BA483" s="197"/>
      <c r="BB483" s="197"/>
      <c r="BC483" s="197"/>
      <c r="BD483" s="197"/>
      <c r="BE483" s="197"/>
      <c r="BF483" s="197"/>
      <c r="BG483" s="197"/>
      <c r="BH483" s="197"/>
      <c r="BI483" s="197"/>
      <c r="BJ483" s="197"/>
      <c r="BK483" s="197"/>
      <c r="BL483" s="197"/>
      <c r="BM483" s="197"/>
      <c r="BN483" s="197"/>
      <c r="BO483" s="197"/>
      <c r="BP483" s="197"/>
    </row>
    <row r="484" spans="1:68" ht="20" customHeight="1" x14ac:dyDescent="0.15">
      <c r="A484" s="197"/>
      <c r="B484" s="197"/>
      <c r="C484" s="193"/>
      <c r="D484" s="197"/>
      <c r="E484" s="197"/>
      <c r="F484" s="214"/>
      <c r="G484" s="197"/>
      <c r="H484" s="197"/>
      <c r="I484" s="197"/>
      <c r="J484" s="197"/>
      <c r="K484" s="197"/>
      <c r="L484" s="197"/>
      <c r="M484" s="197"/>
      <c r="N484" s="197"/>
      <c r="O484" s="197"/>
      <c r="P484" s="197"/>
      <c r="Q484" s="197"/>
      <c r="R484" s="197"/>
      <c r="S484" s="197"/>
      <c r="T484" s="197"/>
      <c r="U484" s="197"/>
      <c r="V484" s="197"/>
      <c r="W484" s="197"/>
      <c r="X484" s="197"/>
      <c r="Y484" s="197"/>
      <c r="Z484" s="197"/>
      <c r="AA484" s="197"/>
      <c r="AB484" s="197"/>
      <c r="AC484" s="197"/>
      <c r="AD484" s="197"/>
      <c r="AE484" s="197"/>
      <c r="AF484" s="197"/>
      <c r="AG484" s="197"/>
      <c r="AH484" s="197"/>
      <c r="AI484" s="197"/>
      <c r="AJ484" s="197"/>
      <c r="AK484" s="197"/>
      <c r="AL484" s="197"/>
      <c r="AM484" s="197"/>
      <c r="AN484" s="197"/>
      <c r="AO484" s="197"/>
      <c r="AP484" s="197"/>
      <c r="AQ484" s="197"/>
      <c r="AR484" s="197"/>
      <c r="AS484" s="197"/>
      <c r="AT484" s="197"/>
      <c r="AU484" s="197"/>
      <c r="AV484" s="197"/>
      <c r="AW484" s="197"/>
      <c r="AX484" s="197"/>
      <c r="AY484" s="197"/>
      <c r="AZ484" s="197"/>
      <c r="BA484" s="197"/>
      <c r="BB484" s="197"/>
      <c r="BC484" s="197"/>
      <c r="BD484" s="197"/>
      <c r="BE484" s="197"/>
      <c r="BF484" s="197"/>
      <c r="BG484" s="197"/>
      <c r="BH484" s="197"/>
      <c r="BI484" s="197"/>
      <c r="BJ484" s="197"/>
      <c r="BK484" s="197"/>
      <c r="BL484" s="197"/>
      <c r="BM484" s="197"/>
      <c r="BN484" s="197"/>
      <c r="BO484" s="197"/>
      <c r="BP484" s="197"/>
    </row>
    <row r="485" spans="1:68" ht="20" customHeight="1" x14ac:dyDescent="0.15">
      <c r="A485" s="197"/>
      <c r="B485" s="197"/>
      <c r="C485" s="193"/>
      <c r="D485" s="197"/>
      <c r="E485" s="197"/>
      <c r="F485" s="214"/>
      <c r="G485" s="197"/>
      <c r="H485" s="197"/>
      <c r="I485" s="197"/>
      <c r="J485" s="197"/>
      <c r="K485" s="197"/>
      <c r="L485" s="197"/>
      <c r="M485" s="197"/>
      <c r="N485" s="197"/>
      <c r="O485" s="197"/>
      <c r="P485" s="197"/>
      <c r="Q485" s="197"/>
      <c r="R485" s="197"/>
      <c r="S485" s="197"/>
      <c r="T485" s="197"/>
      <c r="U485" s="197"/>
      <c r="V485" s="197"/>
      <c r="W485" s="197"/>
      <c r="X485" s="197"/>
      <c r="Y485" s="197"/>
      <c r="Z485" s="197"/>
      <c r="AA485" s="197"/>
      <c r="AB485" s="197"/>
      <c r="AC485" s="197"/>
      <c r="AD485" s="197"/>
      <c r="AE485" s="197"/>
      <c r="AF485" s="197"/>
      <c r="AG485" s="197"/>
      <c r="AH485" s="197"/>
      <c r="AI485" s="197"/>
      <c r="AJ485" s="197"/>
      <c r="AK485" s="197"/>
      <c r="AL485" s="197"/>
      <c r="AM485" s="197"/>
      <c r="AN485" s="197"/>
      <c r="AO485" s="197"/>
      <c r="AP485" s="197"/>
      <c r="AQ485" s="197"/>
      <c r="AR485" s="197"/>
      <c r="AS485" s="197"/>
      <c r="AT485" s="197"/>
      <c r="AU485" s="197"/>
      <c r="AV485" s="197"/>
      <c r="AW485" s="197"/>
      <c r="AX485" s="197"/>
      <c r="AY485" s="197"/>
      <c r="AZ485" s="197"/>
      <c r="BA485" s="197"/>
      <c r="BB485" s="197"/>
      <c r="BC485" s="197"/>
      <c r="BD485" s="197"/>
      <c r="BE485" s="197"/>
      <c r="BF485" s="197"/>
      <c r="BG485" s="197"/>
      <c r="BH485" s="197"/>
      <c r="BI485" s="197"/>
      <c r="BJ485" s="197"/>
      <c r="BK485" s="197"/>
      <c r="BL485" s="197"/>
      <c r="BM485" s="197"/>
      <c r="BN485" s="197"/>
      <c r="BO485" s="197"/>
      <c r="BP485" s="197"/>
    </row>
    <row r="486" spans="1:68" ht="20" customHeight="1" x14ac:dyDescent="0.15">
      <c r="A486" s="197"/>
      <c r="B486" s="197"/>
      <c r="C486" s="193"/>
      <c r="D486" s="197"/>
      <c r="E486" s="197"/>
      <c r="F486" s="214"/>
      <c r="G486" s="197"/>
      <c r="H486" s="197"/>
      <c r="I486" s="197"/>
      <c r="J486" s="197"/>
      <c r="K486" s="197"/>
      <c r="L486" s="197"/>
      <c r="M486" s="197"/>
      <c r="N486" s="197"/>
      <c r="O486" s="197"/>
      <c r="P486" s="197"/>
      <c r="Q486" s="197"/>
      <c r="R486" s="197"/>
      <c r="S486" s="197"/>
      <c r="T486" s="197"/>
      <c r="U486" s="197"/>
      <c r="V486" s="197"/>
      <c r="W486" s="197"/>
      <c r="X486" s="197"/>
      <c r="Y486" s="197"/>
      <c r="Z486" s="197"/>
      <c r="AA486" s="197"/>
      <c r="AB486" s="197"/>
      <c r="AC486" s="197"/>
      <c r="AD486" s="197"/>
      <c r="AE486" s="197"/>
      <c r="AF486" s="197"/>
      <c r="AG486" s="197"/>
      <c r="AH486" s="197"/>
      <c r="AI486" s="197"/>
      <c r="AJ486" s="197"/>
      <c r="AK486" s="197"/>
      <c r="AL486" s="197"/>
      <c r="AM486" s="197"/>
      <c r="AN486" s="197"/>
      <c r="AO486" s="197"/>
      <c r="AP486" s="197"/>
      <c r="AQ486" s="197"/>
      <c r="AR486" s="197"/>
      <c r="AS486" s="197"/>
      <c r="AT486" s="197"/>
      <c r="AU486" s="197"/>
      <c r="AV486" s="197"/>
      <c r="AW486" s="197"/>
      <c r="AX486" s="197"/>
      <c r="AY486" s="197"/>
      <c r="AZ486" s="197"/>
      <c r="BA486" s="197"/>
      <c r="BB486" s="197"/>
      <c r="BC486" s="197"/>
      <c r="BD486" s="197"/>
      <c r="BE486" s="197"/>
      <c r="BF486" s="197"/>
      <c r="BG486" s="197"/>
      <c r="BH486" s="197"/>
      <c r="BI486" s="197"/>
      <c r="BJ486" s="197"/>
      <c r="BK486" s="197"/>
      <c r="BL486" s="197"/>
      <c r="BM486" s="197"/>
      <c r="BN486" s="197"/>
      <c r="BO486" s="197"/>
      <c r="BP486" s="197"/>
    </row>
    <row r="487" spans="1:68" ht="20" customHeight="1" x14ac:dyDescent="0.15">
      <c r="A487" s="197"/>
      <c r="B487" s="197"/>
      <c r="C487" s="193"/>
      <c r="D487" s="197"/>
      <c r="E487" s="197"/>
      <c r="F487" s="214"/>
      <c r="G487" s="197"/>
      <c r="H487" s="197"/>
      <c r="I487" s="197"/>
      <c r="J487" s="197"/>
      <c r="K487" s="197"/>
      <c r="L487" s="197"/>
      <c r="M487" s="197"/>
      <c r="N487" s="197"/>
      <c r="O487" s="197"/>
      <c r="P487" s="197"/>
      <c r="Q487" s="197"/>
      <c r="R487" s="197"/>
      <c r="S487" s="197"/>
      <c r="T487" s="197"/>
      <c r="U487" s="197"/>
      <c r="V487" s="197"/>
      <c r="W487" s="197"/>
      <c r="X487" s="197"/>
      <c r="Y487" s="197"/>
      <c r="Z487" s="197"/>
      <c r="AA487" s="197"/>
      <c r="AB487" s="197"/>
      <c r="AC487" s="197"/>
      <c r="AD487" s="197"/>
      <c r="AE487" s="197"/>
      <c r="AF487" s="197"/>
      <c r="AG487" s="197"/>
      <c r="AH487" s="197"/>
      <c r="AI487" s="197"/>
      <c r="AJ487" s="197"/>
      <c r="AK487" s="197"/>
      <c r="AL487" s="197"/>
      <c r="AM487" s="197"/>
      <c r="AN487" s="197"/>
      <c r="AO487" s="197"/>
      <c r="AP487" s="197"/>
      <c r="AQ487" s="197"/>
      <c r="AR487" s="197"/>
      <c r="AS487" s="197"/>
      <c r="AT487" s="197"/>
      <c r="AU487" s="197"/>
      <c r="AV487" s="197"/>
      <c r="AW487" s="197"/>
      <c r="AX487" s="197"/>
      <c r="AY487" s="197"/>
      <c r="AZ487" s="197"/>
      <c r="BA487" s="197"/>
      <c r="BB487" s="197"/>
      <c r="BC487" s="197"/>
      <c r="BD487" s="197"/>
      <c r="BE487" s="197"/>
      <c r="BF487" s="197"/>
      <c r="BG487" s="197"/>
      <c r="BH487" s="197"/>
      <c r="BI487" s="197"/>
      <c r="BJ487" s="197"/>
      <c r="BK487" s="197"/>
      <c r="BL487" s="197"/>
      <c r="BM487" s="197"/>
      <c r="BN487" s="197"/>
      <c r="BO487" s="197"/>
      <c r="BP487" s="197"/>
    </row>
    <row r="488" spans="1:68" ht="20" customHeight="1" x14ac:dyDescent="0.15">
      <c r="A488" s="197"/>
      <c r="B488" s="197"/>
      <c r="C488" s="193"/>
      <c r="D488" s="197"/>
      <c r="E488" s="197"/>
      <c r="F488" s="214"/>
      <c r="G488" s="197"/>
      <c r="H488" s="197"/>
      <c r="I488" s="197"/>
      <c r="J488" s="197"/>
      <c r="K488" s="197"/>
      <c r="L488" s="197"/>
      <c r="M488" s="197"/>
      <c r="N488" s="197"/>
      <c r="O488" s="197"/>
      <c r="P488" s="197"/>
      <c r="Q488" s="197"/>
      <c r="R488" s="197"/>
      <c r="S488" s="197"/>
      <c r="T488" s="197"/>
      <c r="U488" s="197"/>
      <c r="V488" s="197"/>
      <c r="W488" s="197"/>
      <c r="X488" s="197"/>
      <c r="Y488" s="197"/>
      <c r="Z488" s="197"/>
      <c r="AA488" s="197"/>
      <c r="AB488" s="197"/>
      <c r="AC488" s="197"/>
      <c r="AD488" s="197"/>
      <c r="AE488" s="197"/>
      <c r="AF488" s="197"/>
      <c r="AG488" s="197"/>
      <c r="AH488" s="197"/>
      <c r="AI488" s="197"/>
      <c r="AJ488" s="197"/>
      <c r="AK488" s="197"/>
      <c r="AL488" s="197"/>
      <c r="AM488" s="197"/>
      <c r="AN488" s="197"/>
      <c r="AO488" s="197"/>
      <c r="AP488" s="197"/>
      <c r="AQ488" s="197"/>
      <c r="AR488" s="197"/>
      <c r="AS488" s="197"/>
      <c r="AT488" s="197"/>
      <c r="AU488" s="197"/>
      <c r="AV488" s="197"/>
      <c r="AW488" s="197"/>
      <c r="AX488" s="197"/>
      <c r="AY488" s="197"/>
      <c r="AZ488" s="197"/>
      <c r="BA488" s="197"/>
      <c r="BB488" s="197"/>
      <c r="BC488" s="197"/>
      <c r="BD488" s="197"/>
      <c r="BE488" s="197"/>
      <c r="BF488" s="197"/>
      <c r="BG488" s="197"/>
      <c r="BH488" s="197"/>
      <c r="BI488" s="197"/>
      <c r="BJ488" s="197"/>
      <c r="BK488" s="197"/>
      <c r="BL488" s="197"/>
      <c r="BM488" s="197"/>
      <c r="BN488" s="197"/>
      <c r="BO488" s="197"/>
      <c r="BP488" s="197"/>
    </row>
    <row r="489" spans="1:68" ht="20" customHeight="1" x14ac:dyDescent="0.15">
      <c r="A489" s="197"/>
      <c r="B489" s="197"/>
      <c r="C489" s="193"/>
      <c r="D489" s="197"/>
      <c r="E489" s="197"/>
      <c r="F489" s="214"/>
      <c r="G489" s="197"/>
      <c r="H489" s="197"/>
      <c r="I489" s="197"/>
      <c r="J489" s="197"/>
      <c r="K489" s="197"/>
      <c r="L489" s="197"/>
      <c r="M489" s="197"/>
      <c r="N489" s="197"/>
      <c r="O489" s="197"/>
      <c r="P489" s="197"/>
      <c r="Q489" s="197"/>
      <c r="R489" s="197"/>
      <c r="S489" s="197"/>
      <c r="T489" s="197"/>
      <c r="U489" s="197"/>
      <c r="V489" s="197"/>
      <c r="W489" s="197"/>
      <c r="X489" s="197"/>
      <c r="Y489" s="197"/>
      <c r="Z489" s="197"/>
      <c r="AA489" s="197"/>
      <c r="AB489" s="197"/>
      <c r="AC489" s="197"/>
      <c r="AD489" s="197"/>
      <c r="AE489" s="197"/>
      <c r="AF489" s="197"/>
      <c r="AG489" s="197"/>
      <c r="AH489" s="197"/>
      <c r="AI489" s="197"/>
      <c r="AJ489" s="197"/>
      <c r="AK489" s="197"/>
      <c r="AL489" s="197"/>
      <c r="AM489" s="197"/>
      <c r="AN489" s="197"/>
      <c r="AO489" s="197"/>
      <c r="AP489" s="197"/>
      <c r="AQ489" s="197"/>
      <c r="AR489" s="197"/>
      <c r="AS489" s="197"/>
      <c r="AT489" s="197"/>
      <c r="AU489" s="197"/>
      <c r="AV489" s="197"/>
      <c r="AW489" s="197"/>
      <c r="AX489" s="197"/>
      <c r="AY489" s="197"/>
      <c r="AZ489" s="197"/>
      <c r="BA489" s="197"/>
      <c r="BB489" s="197"/>
      <c r="BC489" s="197"/>
      <c r="BD489" s="197"/>
      <c r="BE489" s="197"/>
      <c r="BF489" s="197"/>
      <c r="BG489" s="197"/>
      <c r="BH489" s="197"/>
      <c r="BI489" s="197"/>
      <c r="BJ489" s="197"/>
      <c r="BK489" s="197"/>
      <c r="BL489" s="197"/>
      <c r="BM489" s="197"/>
      <c r="BN489" s="197"/>
      <c r="BO489" s="197"/>
      <c r="BP489" s="197"/>
    </row>
    <row r="490" spans="1:68" ht="20" customHeight="1" x14ac:dyDescent="0.15">
      <c r="A490" s="197"/>
      <c r="B490" s="197"/>
      <c r="C490" s="193"/>
      <c r="D490" s="197"/>
      <c r="E490" s="197"/>
      <c r="F490" s="214"/>
      <c r="G490" s="197"/>
      <c r="H490" s="197"/>
      <c r="I490" s="197"/>
      <c r="J490" s="197"/>
      <c r="K490" s="197"/>
      <c r="L490" s="197"/>
      <c r="M490" s="197"/>
      <c r="N490" s="197"/>
      <c r="O490" s="197"/>
      <c r="P490" s="197"/>
      <c r="Q490" s="197"/>
      <c r="R490" s="197"/>
      <c r="S490" s="197"/>
      <c r="T490" s="197"/>
      <c r="U490" s="197"/>
      <c r="V490" s="197"/>
      <c r="W490" s="197"/>
      <c r="X490" s="197"/>
      <c r="Y490" s="197"/>
      <c r="Z490" s="197"/>
      <c r="AA490" s="197"/>
      <c r="AB490" s="197"/>
      <c r="AC490" s="197"/>
      <c r="AD490" s="197"/>
      <c r="AE490" s="197"/>
      <c r="AF490" s="197"/>
      <c r="AG490" s="197"/>
      <c r="AH490" s="197"/>
      <c r="AI490" s="197"/>
      <c r="AJ490" s="197"/>
      <c r="AK490" s="197"/>
      <c r="AL490" s="197"/>
      <c r="AM490" s="197"/>
      <c r="AN490" s="197"/>
      <c r="AO490" s="197"/>
      <c r="AP490" s="197"/>
      <c r="AQ490" s="197"/>
      <c r="AR490" s="197"/>
      <c r="AS490" s="197"/>
      <c r="AT490" s="197"/>
      <c r="AU490" s="197"/>
      <c r="AV490" s="197"/>
      <c r="AW490" s="197"/>
      <c r="AX490" s="197"/>
      <c r="AY490" s="197"/>
      <c r="AZ490" s="197"/>
      <c r="BA490" s="197"/>
      <c r="BB490" s="197"/>
      <c r="BC490" s="197"/>
      <c r="BD490" s="197"/>
      <c r="BE490" s="197"/>
      <c r="BF490" s="197"/>
      <c r="BG490" s="197"/>
      <c r="BH490" s="197"/>
      <c r="BI490" s="197"/>
      <c r="BJ490" s="197"/>
      <c r="BK490" s="197"/>
      <c r="BL490" s="197"/>
      <c r="BM490" s="197"/>
      <c r="BN490" s="197"/>
      <c r="BO490" s="197"/>
      <c r="BP490" s="197"/>
    </row>
    <row r="491" spans="1:68" ht="20" customHeight="1" x14ac:dyDescent="0.15">
      <c r="A491" s="197"/>
      <c r="B491" s="197"/>
      <c r="C491" s="193"/>
      <c r="D491" s="197"/>
      <c r="E491" s="197"/>
      <c r="F491" s="214"/>
      <c r="G491" s="197"/>
      <c r="H491" s="197"/>
      <c r="I491" s="197"/>
      <c r="J491" s="197"/>
      <c r="K491" s="197"/>
      <c r="L491" s="197"/>
      <c r="M491" s="197"/>
      <c r="N491" s="197"/>
      <c r="O491" s="197"/>
      <c r="P491" s="197"/>
      <c r="Q491" s="197"/>
      <c r="R491" s="197"/>
      <c r="S491" s="197"/>
      <c r="T491" s="197"/>
      <c r="U491" s="197"/>
      <c r="V491" s="197"/>
      <c r="W491" s="197"/>
      <c r="X491" s="197"/>
      <c r="Y491" s="197"/>
      <c r="Z491" s="197"/>
      <c r="AA491" s="197"/>
      <c r="AB491" s="197"/>
      <c r="AC491" s="197"/>
      <c r="AD491" s="197"/>
      <c r="AE491" s="197"/>
      <c r="AF491" s="197"/>
      <c r="AG491" s="197"/>
      <c r="AH491" s="197"/>
      <c r="AI491" s="197"/>
      <c r="AJ491" s="197"/>
      <c r="AK491" s="197"/>
      <c r="AL491" s="197"/>
      <c r="AM491" s="197"/>
      <c r="AN491" s="197"/>
      <c r="AO491" s="197"/>
      <c r="AP491" s="197"/>
      <c r="AQ491" s="197"/>
      <c r="AR491" s="197"/>
      <c r="AS491" s="197"/>
      <c r="AT491" s="197"/>
      <c r="AU491" s="197"/>
      <c r="AV491" s="197"/>
      <c r="AW491" s="197"/>
      <c r="AX491" s="197"/>
      <c r="AY491" s="197"/>
      <c r="AZ491" s="197"/>
      <c r="BA491" s="197"/>
      <c r="BB491" s="197"/>
      <c r="BC491" s="197"/>
      <c r="BD491" s="197"/>
      <c r="BE491" s="197"/>
      <c r="BF491" s="197"/>
      <c r="BG491" s="197"/>
      <c r="BH491" s="197"/>
      <c r="BI491" s="197"/>
      <c r="BJ491" s="197"/>
      <c r="BK491" s="197"/>
      <c r="BL491" s="197"/>
      <c r="BM491" s="197"/>
      <c r="BN491" s="197"/>
      <c r="BO491" s="197"/>
      <c r="BP491" s="197"/>
    </row>
    <row r="492" spans="1:68" ht="20" customHeight="1" x14ac:dyDescent="0.15">
      <c r="A492" s="197"/>
      <c r="B492" s="197"/>
      <c r="C492" s="193"/>
      <c r="D492" s="197"/>
      <c r="E492" s="197"/>
      <c r="F492" s="214"/>
      <c r="G492" s="197"/>
      <c r="H492" s="197"/>
      <c r="I492" s="197"/>
      <c r="J492" s="197"/>
      <c r="K492" s="197"/>
      <c r="L492" s="197"/>
      <c r="M492" s="197"/>
      <c r="N492" s="197"/>
      <c r="O492" s="197"/>
      <c r="P492" s="197"/>
      <c r="Q492" s="197"/>
      <c r="R492" s="197"/>
      <c r="S492" s="197"/>
      <c r="T492" s="197"/>
      <c r="U492" s="197"/>
      <c r="V492" s="197"/>
      <c r="W492" s="197"/>
      <c r="X492" s="197"/>
      <c r="Y492" s="197"/>
      <c r="Z492" s="197"/>
      <c r="AA492" s="197"/>
      <c r="AB492" s="197"/>
      <c r="AC492" s="197"/>
      <c r="AD492" s="197"/>
      <c r="AE492" s="197"/>
      <c r="AF492" s="197"/>
      <c r="AG492" s="197"/>
      <c r="AH492" s="197"/>
      <c r="AI492" s="197"/>
      <c r="AJ492" s="197"/>
      <c r="AK492" s="197"/>
      <c r="AL492" s="197"/>
      <c r="AM492" s="197"/>
      <c r="AN492" s="197"/>
      <c r="AO492" s="197"/>
      <c r="AP492" s="197"/>
      <c r="AQ492" s="197"/>
      <c r="AR492" s="197"/>
      <c r="AS492" s="197"/>
      <c r="AT492" s="197"/>
      <c r="AU492" s="197"/>
      <c r="AV492" s="197"/>
      <c r="AW492" s="197"/>
      <c r="AX492" s="197"/>
      <c r="AY492" s="197"/>
      <c r="AZ492" s="197"/>
      <c r="BA492" s="197"/>
      <c r="BB492" s="197"/>
      <c r="BC492" s="197"/>
      <c r="BD492" s="197"/>
      <c r="BE492" s="197"/>
      <c r="BF492" s="197"/>
      <c r="BG492" s="197"/>
      <c r="BH492" s="197"/>
      <c r="BI492" s="197"/>
      <c r="BJ492" s="197"/>
      <c r="BK492" s="197"/>
      <c r="BL492" s="197"/>
      <c r="BM492" s="197"/>
      <c r="BN492" s="197"/>
      <c r="BO492" s="197"/>
      <c r="BP492" s="197"/>
    </row>
    <row r="493" spans="1:68" ht="20" customHeight="1" x14ac:dyDescent="0.15">
      <c r="A493" s="197"/>
      <c r="B493" s="197"/>
      <c r="C493" s="193"/>
      <c r="D493" s="197"/>
      <c r="E493" s="197"/>
      <c r="F493" s="214"/>
      <c r="G493" s="197"/>
      <c r="H493" s="197"/>
      <c r="I493" s="197"/>
      <c r="J493" s="197"/>
      <c r="K493" s="197"/>
      <c r="L493" s="197"/>
      <c r="M493" s="197"/>
      <c r="N493" s="197"/>
      <c r="O493" s="197"/>
      <c r="P493" s="197"/>
      <c r="Q493" s="197"/>
      <c r="R493" s="197"/>
      <c r="S493" s="197"/>
      <c r="T493" s="197"/>
      <c r="U493" s="197"/>
      <c r="V493" s="197"/>
      <c r="W493" s="197"/>
      <c r="X493" s="197"/>
      <c r="Y493" s="197"/>
      <c r="Z493" s="197"/>
      <c r="AA493" s="197"/>
      <c r="AB493" s="197"/>
      <c r="AC493" s="197"/>
      <c r="AD493" s="197"/>
      <c r="AE493" s="197"/>
      <c r="AF493" s="197"/>
      <c r="AG493" s="197"/>
      <c r="AH493" s="197"/>
      <c r="AI493" s="197"/>
      <c r="AJ493" s="197"/>
      <c r="AK493" s="197"/>
      <c r="AL493" s="197"/>
      <c r="AM493" s="197"/>
      <c r="AN493" s="197"/>
      <c r="AO493" s="197"/>
      <c r="AP493" s="197"/>
      <c r="AQ493" s="197"/>
      <c r="AR493" s="197"/>
      <c r="AS493" s="197"/>
      <c r="AT493" s="197"/>
      <c r="AU493" s="197"/>
      <c r="AV493" s="197"/>
      <c r="AW493" s="197"/>
      <c r="AX493" s="197"/>
      <c r="AY493" s="197"/>
      <c r="AZ493" s="197"/>
      <c r="BA493" s="197"/>
      <c r="BB493" s="197"/>
      <c r="BC493" s="197"/>
      <c r="BD493" s="197"/>
      <c r="BE493" s="197"/>
      <c r="BF493" s="197"/>
      <c r="BG493" s="197"/>
      <c r="BH493" s="197"/>
      <c r="BI493" s="197"/>
      <c r="BJ493" s="197"/>
      <c r="BK493" s="197"/>
      <c r="BL493" s="197"/>
      <c r="BM493" s="197"/>
      <c r="BN493" s="197"/>
      <c r="BO493" s="197"/>
      <c r="BP493" s="197"/>
    </row>
    <row r="494" spans="1:68" ht="20" customHeight="1" x14ac:dyDescent="0.15">
      <c r="A494" s="197"/>
      <c r="B494" s="197"/>
      <c r="C494" s="193"/>
      <c r="D494" s="197"/>
      <c r="E494" s="197"/>
      <c r="F494" s="214"/>
      <c r="G494" s="197"/>
      <c r="H494" s="197"/>
      <c r="I494" s="197"/>
      <c r="J494" s="197"/>
      <c r="K494" s="197"/>
      <c r="L494" s="197"/>
      <c r="M494" s="197"/>
      <c r="N494" s="197"/>
      <c r="O494" s="197"/>
      <c r="P494" s="197"/>
      <c r="Q494" s="197"/>
      <c r="R494" s="197"/>
      <c r="S494" s="197"/>
      <c r="T494" s="197"/>
      <c r="U494" s="197"/>
      <c r="V494" s="197"/>
      <c r="W494" s="197"/>
      <c r="X494" s="197"/>
      <c r="Y494" s="197"/>
      <c r="Z494" s="197"/>
      <c r="AA494" s="197"/>
      <c r="AB494" s="197"/>
      <c r="AC494" s="197"/>
      <c r="AD494" s="197"/>
      <c r="AE494" s="197"/>
      <c r="AF494" s="197"/>
      <c r="AG494" s="197"/>
      <c r="AH494" s="197"/>
      <c r="AI494" s="197"/>
      <c r="AJ494" s="197"/>
      <c r="AK494" s="197"/>
      <c r="AL494" s="197"/>
      <c r="AM494" s="197"/>
      <c r="AN494" s="197"/>
      <c r="AO494" s="197"/>
      <c r="AP494" s="197"/>
      <c r="AQ494" s="197"/>
      <c r="AR494" s="197"/>
      <c r="AS494" s="197"/>
      <c r="AT494" s="197"/>
      <c r="AU494" s="197"/>
      <c r="AV494" s="197"/>
      <c r="AW494" s="197"/>
      <c r="AX494" s="197"/>
      <c r="AY494" s="197"/>
      <c r="AZ494" s="197"/>
      <c r="BA494" s="197"/>
      <c r="BB494" s="197"/>
      <c r="BC494" s="197"/>
      <c r="BD494" s="197"/>
      <c r="BE494" s="197"/>
      <c r="BF494" s="197"/>
      <c r="BG494" s="197"/>
      <c r="BH494" s="197"/>
      <c r="BI494" s="197"/>
      <c r="BJ494" s="197"/>
      <c r="BK494" s="197"/>
      <c r="BL494" s="197"/>
      <c r="BM494" s="197"/>
      <c r="BN494" s="197"/>
      <c r="BO494" s="197"/>
      <c r="BP494" s="197"/>
    </row>
    <row r="495" spans="1:68" ht="20" customHeight="1" x14ac:dyDescent="0.15">
      <c r="A495" s="197"/>
      <c r="B495" s="197"/>
      <c r="C495" s="193"/>
      <c r="D495" s="197"/>
      <c r="E495" s="197"/>
      <c r="F495" s="214"/>
      <c r="G495" s="197"/>
      <c r="H495" s="197"/>
      <c r="I495" s="197"/>
      <c r="J495" s="197"/>
      <c r="K495" s="197"/>
      <c r="L495" s="197"/>
      <c r="M495" s="197"/>
      <c r="N495" s="197"/>
      <c r="O495" s="197"/>
      <c r="P495" s="197"/>
      <c r="Q495" s="197"/>
      <c r="R495" s="197"/>
      <c r="S495" s="197"/>
      <c r="T495" s="197"/>
      <c r="U495" s="197"/>
      <c r="V495" s="197"/>
      <c r="W495" s="197"/>
      <c r="X495" s="197"/>
      <c r="Y495" s="197"/>
      <c r="Z495" s="197"/>
      <c r="AA495" s="197"/>
      <c r="AB495" s="197"/>
      <c r="AC495" s="197"/>
      <c r="AD495" s="197"/>
      <c r="AE495" s="197"/>
      <c r="AF495" s="197"/>
      <c r="AG495" s="197"/>
      <c r="AH495" s="197"/>
      <c r="AI495" s="197"/>
      <c r="AJ495" s="197"/>
      <c r="AK495" s="197"/>
      <c r="AL495" s="197"/>
      <c r="AM495" s="197"/>
      <c r="AN495" s="197"/>
      <c r="AO495" s="197"/>
      <c r="AP495" s="197"/>
      <c r="AQ495" s="197"/>
      <c r="AR495" s="197"/>
      <c r="AS495" s="197"/>
      <c r="AT495" s="197"/>
      <c r="AU495" s="197"/>
      <c r="AV495" s="197"/>
      <c r="AW495" s="197"/>
      <c r="AX495" s="197"/>
      <c r="AY495" s="197"/>
      <c r="AZ495" s="197"/>
      <c r="BA495" s="197"/>
      <c r="BB495" s="197"/>
      <c r="BC495" s="197"/>
      <c r="BD495" s="197"/>
      <c r="BE495" s="197"/>
      <c r="BF495" s="197"/>
      <c r="BG495" s="197"/>
      <c r="BH495" s="197"/>
      <c r="BI495" s="197"/>
      <c r="BJ495" s="197"/>
      <c r="BK495" s="197"/>
      <c r="BL495" s="197"/>
      <c r="BM495" s="197"/>
      <c r="BN495" s="197"/>
      <c r="BO495" s="197"/>
      <c r="BP495" s="197"/>
    </row>
    <row r="496" spans="1:68" ht="20" customHeight="1" x14ac:dyDescent="0.15">
      <c r="A496" s="197"/>
      <c r="B496" s="197"/>
      <c r="C496" s="193"/>
      <c r="D496" s="197"/>
      <c r="E496" s="197"/>
      <c r="F496" s="214"/>
      <c r="G496" s="197"/>
      <c r="H496" s="197"/>
      <c r="I496" s="197"/>
      <c r="J496" s="197"/>
      <c r="K496" s="197"/>
      <c r="L496" s="197"/>
      <c r="M496" s="197"/>
      <c r="N496" s="197"/>
      <c r="O496" s="197"/>
      <c r="P496" s="197"/>
      <c r="Q496" s="197"/>
      <c r="R496" s="197"/>
      <c r="S496" s="197"/>
      <c r="T496" s="197"/>
      <c r="U496" s="197"/>
      <c r="V496" s="197"/>
      <c r="W496" s="197"/>
      <c r="X496" s="197"/>
      <c r="Y496" s="197"/>
      <c r="Z496" s="197"/>
      <c r="AA496" s="197"/>
      <c r="AB496" s="197"/>
      <c r="AC496" s="197"/>
      <c r="AD496" s="197"/>
      <c r="AE496" s="197"/>
      <c r="AF496" s="197"/>
      <c r="AG496" s="197"/>
      <c r="AH496" s="197"/>
      <c r="AI496" s="197"/>
      <c r="AJ496" s="197"/>
      <c r="AK496" s="197"/>
      <c r="AL496" s="197"/>
      <c r="AM496" s="197"/>
      <c r="AN496" s="197"/>
      <c r="AO496" s="197"/>
      <c r="AP496" s="197"/>
      <c r="AQ496" s="197"/>
      <c r="AR496" s="197"/>
      <c r="AS496" s="197"/>
      <c r="AT496" s="197"/>
      <c r="AU496" s="197"/>
      <c r="AV496" s="197"/>
      <c r="AW496" s="197"/>
      <c r="AX496" s="197"/>
      <c r="AY496" s="197"/>
      <c r="AZ496" s="197"/>
      <c r="BA496" s="197"/>
      <c r="BB496" s="197"/>
      <c r="BC496" s="197"/>
      <c r="BD496" s="197"/>
      <c r="BE496" s="197"/>
      <c r="BF496" s="197"/>
      <c r="BG496" s="197"/>
      <c r="BH496" s="197"/>
      <c r="BI496" s="197"/>
      <c r="BJ496" s="197"/>
      <c r="BK496" s="197"/>
      <c r="BL496" s="197"/>
      <c r="BM496" s="197"/>
      <c r="BN496" s="197"/>
      <c r="BO496" s="197"/>
      <c r="BP496" s="197"/>
    </row>
    <row r="497" spans="1:68" ht="20" customHeight="1" x14ac:dyDescent="0.15">
      <c r="A497" s="197"/>
      <c r="B497" s="197"/>
      <c r="C497" s="193"/>
      <c r="D497" s="197"/>
      <c r="E497" s="197"/>
      <c r="F497" s="214"/>
      <c r="G497" s="197"/>
      <c r="H497" s="197"/>
      <c r="I497" s="197"/>
      <c r="J497" s="197"/>
      <c r="K497" s="197"/>
      <c r="L497" s="197"/>
      <c r="M497" s="197"/>
      <c r="N497" s="197"/>
      <c r="O497" s="197"/>
      <c r="P497" s="197"/>
      <c r="Q497" s="197"/>
      <c r="R497" s="197"/>
      <c r="S497" s="197"/>
      <c r="T497" s="197"/>
      <c r="U497" s="197"/>
      <c r="V497" s="197"/>
      <c r="W497" s="197"/>
      <c r="X497" s="197"/>
      <c r="Y497" s="197"/>
      <c r="Z497" s="197"/>
      <c r="AA497" s="197"/>
      <c r="AB497" s="197"/>
      <c r="AC497" s="197"/>
      <c r="AD497" s="197"/>
      <c r="AE497" s="197"/>
      <c r="AF497" s="197"/>
      <c r="AG497" s="197"/>
      <c r="AH497" s="197"/>
      <c r="AI497" s="197"/>
      <c r="AJ497" s="197"/>
      <c r="AK497" s="197"/>
      <c r="AL497" s="197"/>
      <c r="AM497" s="197"/>
      <c r="AN497" s="197"/>
      <c r="AO497" s="197"/>
      <c r="AP497" s="197"/>
      <c r="AQ497" s="197"/>
      <c r="AR497" s="197"/>
      <c r="AS497" s="197"/>
      <c r="AT497" s="197"/>
      <c r="AU497" s="197"/>
      <c r="AV497" s="197"/>
      <c r="AW497" s="197"/>
      <c r="AX497" s="197"/>
      <c r="AY497" s="197"/>
      <c r="AZ497" s="197"/>
      <c r="BA497" s="197"/>
      <c r="BB497" s="197"/>
      <c r="BC497" s="197"/>
      <c r="BD497" s="197"/>
      <c r="BE497" s="197"/>
      <c r="BF497" s="197"/>
      <c r="BG497" s="197"/>
      <c r="BH497" s="197"/>
      <c r="BI497" s="197"/>
      <c r="BJ497" s="197"/>
      <c r="BK497" s="197"/>
      <c r="BL497" s="197"/>
      <c r="BM497" s="197"/>
      <c r="BN497" s="197"/>
      <c r="BO497" s="197"/>
      <c r="BP497" s="197"/>
    </row>
    <row r="498" spans="1:68" ht="20" customHeight="1" x14ac:dyDescent="0.15">
      <c r="A498" s="197"/>
      <c r="B498" s="197"/>
      <c r="C498" s="193"/>
      <c r="D498" s="197"/>
      <c r="E498" s="197"/>
      <c r="F498" s="214"/>
      <c r="G498" s="197"/>
      <c r="H498" s="197"/>
      <c r="I498" s="197"/>
      <c r="J498" s="197"/>
      <c r="K498" s="197"/>
      <c r="L498" s="197"/>
      <c r="M498" s="197"/>
      <c r="N498" s="197"/>
      <c r="O498" s="197"/>
      <c r="P498" s="197"/>
      <c r="Q498" s="197"/>
      <c r="R498" s="197"/>
      <c r="S498" s="197"/>
      <c r="T498" s="197"/>
      <c r="U498" s="197"/>
      <c r="V498" s="197"/>
      <c r="W498" s="197"/>
      <c r="X498" s="197"/>
      <c r="Y498" s="197"/>
      <c r="Z498" s="197"/>
      <c r="AA498" s="197"/>
      <c r="AB498" s="197"/>
      <c r="AC498" s="197"/>
      <c r="AD498" s="197"/>
      <c r="AE498" s="197"/>
      <c r="AF498" s="197"/>
      <c r="AG498" s="197"/>
      <c r="AH498" s="197"/>
      <c r="AI498" s="197"/>
      <c r="AJ498" s="197"/>
      <c r="AK498" s="197"/>
      <c r="AL498" s="197"/>
      <c r="AM498" s="197"/>
      <c r="AN498" s="197"/>
      <c r="AO498" s="197"/>
      <c r="AP498" s="197"/>
      <c r="AQ498" s="197"/>
      <c r="AR498" s="197"/>
      <c r="AS498" s="197"/>
      <c r="AT498" s="197"/>
      <c r="AU498" s="197"/>
      <c r="AV498" s="197"/>
      <c r="AW498" s="197"/>
      <c r="AX498" s="197"/>
      <c r="AY498" s="197"/>
      <c r="AZ498" s="197"/>
      <c r="BA498" s="197"/>
      <c r="BB498" s="197"/>
      <c r="BC498" s="197"/>
      <c r="BD498" s="197"/>
      <c r="BE498" s="197"/>
      <c r="BF498" s="197"/>
      <c r="BG498" s="197"/>
      <c r="BH498" s="197"/>
      <c r="BI498" s="197"/>
      <c r="BJ498" s="197"/>
      <c r="BK498" s="197"/>
      <c r="BL498" s="197"/>
      <c r="BM498" s="197"/>
      <c r="BN498" s="197"/>
      <c r="BO498" s="197"/>
      <c r="BP498" s="197"/>
    </row>
    <row r="499" spans="1:68" ht="20" customHeight="1" x14ac:dyDescent="0.15">
      <c r="A499" s="197"/>
      <c r="B499" s="197"/>
      <c r="C499" s="193"/>
      <c r="D499" s="197"/>
      <c r="E499" s="197"/>
      <c r="F499" s="214"/>
      <c r="G499" s="197"/>
      <c r="H499" s="197"/>
      <c r="I499" s="197"/>
      <c r="J499" s="197"/>
      <c r="K499" s="197"/>
      <c r="L499" s="197"/>
      <c r="M499" s="197"/>
      <c r="N499" s="197"/>
      <c r="O499" s="197"/>
      <c r="P499" s="197"/>
      <c r="Q499" s="197"/>
      <c r="R499" s="197"/>
      <c r="S499" s="197"/>
      <c r="T499" s="197"/>
      <c r="U499" s="197"/>
      <c r="V499" s="197"/>
      <c r="W499" s="197"/>
      <c r="X499" s="197"/>
      <c r="Y499" s="197"/>
      <c r="Z499" s="197"/>
      <c r="AA499" s="197"/>
      <c r="AB499" s="197"/>
      <c r="AC499" s="197"/>
      <c r="AD499" s="197"/>
      <c r="AE499" s="197"/>
      <c r="AF499" s="197"/>
      <c r="AG499" s="197"/>
      <c r="AH499" s="197"/>
      <c r="AI499" s="197"/>
      <c r="AJ499" s="197"/>
      <c r="AK499" s="197"/>
      <c r="AL499" s="197"/>
      <c r="AM499" s="197"/>
      <c r="AN499" s="197"/>
      <c r="AO499" s="197"/>
      <c r="AP499" s="197"/>
      <c r="AQ499" s="197"/>
      <c r="AR499" s="197"/>
      <c r="AS499" s="197"/>
      <c r="AT499" s="197"/>
      <c r="AU499" s="197"/>
      <c r="AV499" s="197"/>
      <c r="AW499" s="197"/>
      <c r="AX499" s="197"/>
      <c r="AY499" s="197"/>
      <c r="AZ499" s="197"/>
      <c r="BA499" s="197"/>
      <c r="BB499" s="197"/>
      <c r="BC499" s="197"/>
      <c r="BD499" s="197"/>
      <c r="BE499" s="197"/>
      <c r="BF499" s="197"/>
      <c r="BG499" s="197"/>
      <c r="BH499" s="197"/>
      <c r="BI499" s="197"/>
      <c r="BJ499" s="197"/>
      <c r="BK499" s="197"/>
      <c r="BL499" s="197"/>
      <c r="BM499" s="197"/>
      <c r="BN499" s="197"/>
      <c r="BO499" s="197"/>
      <c r="BP499" s="197"/>
    </row>
    <row r="500" spans="1:68" ht="20" customHeight="1" x14ac:dyDescent="0.15">
      <c r="A500" s="197"/>
      <c r="B500" s="197"/>
      <c r="C500" s="193"/>
      <c r="D500" s="197"/>
      <c r="E500" s="197"/>
      <c r="F500" s="214"/>
      <c r="G500" s="197"/>
      <c r="H500" s="197"/>
      <c r="I500" s="197"/>
      <c r="J500" s="197"/>
      <c r="K500" s="197"/>
      <c r="L500" s="197"/>
      <c r="M500" s="197"/>
      <c r="N500" s="197"/>
      <c r="O500" s="197"/>
      <c r="P500" s="197"/>
      <c r="Q500" s="197"/>
      <c r="R500" s="197"/>
      <c r="S500" s="197"/>
      <c r="T500" s="197"/>
      <c r="U500" s="197"/>
      <c r="V500" s="197"/>
      <c r="W500" s="197"/>
      <c r="X500" s="197"/>
      <c r="Y500" s="197"/>
      <c r="Z500" s="197"/>
      <c r="AA500" s="197"/>
      <c r="AB500" s="197"/>
      <c r="AC500" s="197"/>
      <c r="AD500" s="197"/>
      <c r="AE500" s="197"/>
      <c r="AF500" s="197"/>
      <c r="AG500" s="197"/>
      <c r="AH500" s="197"/>
      <c r="AI500" s="197"/>
      <c r="AJ500" s="197"/>
      <c r="AK500" s="197"/>
      <c r="AL500" s="197"/>
      <c r="AM500" s="197"/>
      <c r="AN500" s="197"/>
      <c r="AO500" s="197"/>
      <c r="AP500" s="197"/>
      <c r="AQ500" s="197"/>
      <c r="AR500" s="197"/>
      <c r="AS500" s="197"/>
      <c r="AT500" s="197"/>
      <c r="AU500" s="197"/>
      <c r="AV500" s="197"/>
      <c r="AW500" s="197"/>
      <c r="AX500" s="197"/>
      <c r="AY500" s="197"/>
      <c r="AZ500" s="197"/>
      <c r="BA500" s="197"/>
      <c r="BB500" s="197"/>
      <c r="BC500" s="197"/>
      <c r="BD500" s="197"/>
      <c r="BE500" s="197"/>
      <c r="BF500" s="197"/>
      <c r="BG500" s="197"/>
      <c r="BH500" s="197"/>
      <c r="BI500" s="197"/>
      <c r="BJ500" s="197"/>
      <c r="BK500" s="197"/>
      <c r="BL500" s="197"/>
      <c r="BM500" s="197"/>
      <c r="BN500" s="197"/>
      <c r="BO500" s="197"/>
      <c r="BP500" s="197"/>
    </row>
    <row r="501" spans="1:68" ht="20" customHeight="1" x14ac:dyDescent="0.15">
      <c r="A501" s="197"/>
      <c r="B501" s="197"/>
      <c r="C501" s="193"/>
      <c r="D501" s="197"/>
      <c r="E501" s="197"/>
      <c r="F501" s="214"/>
      <c r="G501" s="197"/>
      <c r="H501" s="197"/>
      <c r="I501" s="197"/>
      <c r="J501" s="197"/>
      <c r="K501" s="197"/>
      <c r="L501" s="197"/>
      <c r="M501" s="197"/>
      <c r="N501" s="197"/>
      <c r="O501" s="197"/>
      <c r="P501" s="197"/>
      <c r="Q501" s="197"/>
      <c r="R501" s="197"/>
      <c r="S501" s="197"/>
      <c r="T501" s="197"/>
      <c r="U501" s="197"/>
      <c r="V501" s="197"/>
      <c r="W501" s="197"/>
      <c r="X501" s="197"/>
      <c r="Y501" s="197"/>
      <c r="Z501" s="197"/>
      <c r="AA501" s="197"/>
      <c r="AB501" s="197"/>
      <c r="AC501" s="197"/>
      <c r="AD501" s="197"/>
      <c r="AE501" s="197"/>
      <c r="AF501" s="197"/>
      <c r="AG501" s="197"/>
      <c r="AH501" s="197"/>
      <c r="AI501" s="197"/>
      <c r="AJ501" s="197"/>
      <c r="AK501" s="197"/>
      <c r="AL501" s="197"/>
      <c r="AM501" s="197"/>
      <c r="AN501" s="197"/>
      <c r="AO501" s="197"/>
      <c r="AP501" s="197"/>
      <c r="AQ501" s="197"/>
      <c r="AR501" s="197"/>
      <c r="AS501" s="197"/>
      <c r="AT501" s="197"/>
      <c r="AU501" s="197"/>
      <c r="AV501" s="197"/>
      <c r="AW501" s="197"/>
      <c r="AX501" s="197"/>
      <c r="AY501" s="197"/>
      <c r="AZ501" s="197"/>
      <c r="BA501" s="197"/>
      <c r="BB501" s="197"/>
      <c r="BC501" s="197"/>
      <c r="BD501" s="197"/>
      <c r="BE501" s="197"/>
      <c r="BF501" s="197"/>
      <c r="BG501" s="197"/>
      <c r="BH501" s="197"/>
      <c r="BI501" s="197"/>
      <c r="BJ501" s="197"/>
      <c r="BK501" s="197"/>
      <c r="BL501" s="197"/>
      <c r="BM501" s="197"/>
      <c r="BN501" s="197"/>
      <c r="BO501" s="197"/>
      <c r="BP501" s="197"/>
    </row>
    <row r="502" spans="1:68" ht="20" customHeight="1" x14ac:dyDescent="0.15">
      <c r="A502" s="197"/>
      <c r="B502" s="197"/>
      <c r="C502" s="193"/>
      <c r="D502" s="197"/>
      <c r="E502" s="197"/>
      <c r="F502" s="214"/>
      <c r="G502" s="197"/>
      <c r="H502" s="197"/>
      <c r="I502" s="197"/>
      <c r="J502" s="197"/>
      <c r="K502" s="197"/>
      <c r="L502" s="197"/>
      <c r="M502" s="197"/>
      <c r="N502" s="197"/>
      <c r="O502" s="197"/>
      <c r="P502" s="197"/>
      <c r="Q502" s="197"/>
      <c r="R502" s="197"/>
      <c r="S502" s="197"/>
      <c r="T502" s="197"/>
      <c r="U502" s="197"/>
      <c r="V502" s="197"/>
      <c r="W502" s="197"/>
      <c r="X502" s="197"/>
      <c r="Y502" s="197"/>
      <c r="Z502" s="197"/>
      <c r="AA502" s="197"/>
      <c r="AB502" s="197"/>
      <c r="AC502" s="197"/>
      <c r="AD502" s="197"/>
      <c r="AE502" s="197"/>
      <c r="AF502" s="197"/>
      <c r="AG502" s="197"/>
      <c r="AH502" s="197"/>
      <c r="AI502" s="197"/>
      <c r="AJ502" s="197"/>
      <c r="AK502" s="197"/>
      <c r="AL502" s="197"/>
      <c r="AM502" s="197"/>
      <c r="AN502" s="197"/>
      <c r="AO502" s="197"/>
      <c r="AP502" s="197"/>
      <c r="AQ502" s="197"/>
      <c r="AR502" s="197"/>
      <c r="AS502" s="197"/>
      <c r="AT502" s="197"/>
      <c r="AU502" s="197"/>
      <c r="AV502" s="197"/>
      <c r="AW502" s="197"/>
      <c r="AX502" s="197"/>
      <c r="AY502" s="197"/>
      <c r="AZ502" s="197"/>
      <c r="BA502" s="197"/>
      <c r="BB502" s="197"/>
      <c r="BC502" s="197"/>
      <c r="BD502" s="197"/>
      <c r="BE502" s="197"/>
      <c r="BF502" s="197"/>
      <c r="BG502" s="197"/>
      <c r="BH502" s="197"/>
      <c r="BI502" s="197"/>
      <c r="BJ502" s="197"/>
      <c r="BK502" s="197"/>
      <c r="BL502" s="197"/>
      <c r="BM502" s="197"/>
      <c r="BN502" s="197"/>
      <c r="BO502" s="197"/>
      <c r="BP502" s="197"/>
    </row>
    <row r="503" spans="1:68" ht="20" customHeight="1" x14ac:dyDescent="0.15">
      <c r="A503" s="197"/>
      <c r="B503" s="197"/>
      <c r="C503" s="193"/>
      <c r="D503" s="197"/>
      <c r="E503" s="197"/>
      <c r="F503" s="214"/>
      <c r="G503" s="197"/>
      <c r="H503" s="197"/>
      <c r="I503" s="197"/>
      <c r="J503" s="197"/>
      <c r="K503" s="197"/>
      <c r="L503" s="197"/>
      <c r="M503" s="197"/>
      <c r="N503" s="197"/>
      <c r="O503" s="197"/>
      <c r="P503" s="197"/>
      <c r="Q503" s="197"/>
      <c r="R503" s="197"/>
      <c r="S503" s="197"/>
      <c r="T503" s="197"/>
      <c r="U503" s="197"/>
      <c r="V503" s="197"/>
      <c r="W503" s="197"/>
      <c r="X503" s="197"/>
      <c r="Y503" s="197"/>
      <c r="Z503" s="197"/>
      <c r="AA503" s="197"/>
      <c r="AB503" s="197"/>
      <c r="AC503" s="197"/>
      <c r="AD503" s="197"/>
      <c r="AE503" s="197"/>
      <c r="AF503" s="197"/>
      <c r="AG503" s="197"/>
      <c r="AH503" s="197"/>
      <c r="AI503" s="197"/>
      <c r="AJ503" s="197"/>
      <c r="AK503" s="197"/>
      <c r="AL503" s="197"/>
      <c r="AM503" s="197"/>
      <c r="AN503" s="197"/>
      <c r="AO503" s="197"/>
      <c r="AP503" s="197"/>
      <c r="AQ503" s="197"/>
      <c r="AR503" s="197"/>
      <c r="AS503" s="197"/>
      <c r="AT503" s="197"/>
      <c r="AU503" s="197"/>
      <c r="AV503" s="197"/>
      <c r="AW503" s="197"/>
      <c r="AX503" s="197"/>
      <c r="AY503" s="197"/>
      <c r="AZ503" s="197"/>
      <c r="BA503" s="197"/>
      <c r="BB503" s="197"/>
      <c r="BC503" s="197"/>
      <c r="BD503" s="197"/>
      <c r="BE503" s="197"/>
      <c r="BF503" s="197"/>
      <c r="BG503" s="197"/>
      <c r="BH503" s="197"/>
      <c r="BI503" s="197"/>
      <c r="BJ503" s="197"/>
      <c r="BK503" s="197"/>
      <c r="BL503" s="197"/>
      <c r="BM503" s="197"/>
      <c r="BN503" s="197"/>
      <c r="BO503" s="197"/>
      <c r="BP503" s="197"/>
    </row>
    <row r="504" spans="1:68" ht="20" customHeight="1" x14ac:dyDescent="0.15">
      <c r="A504" s="197"/>
      <c r="B504" s="197"/>
      <c r="C504" s="193"/>
      <c r="D504" s="197"/>
      <c r="E504" s="197"/>
      <c r="F504" s="214"/>
      <c r="G504" s="197"/>
      <c r="H504" s="197"/>
      <c r="I504" s="197"/>
      <c r="J504" s="197"/>
      <c r="K504" s="197"/>
      <c r="L504" s="197"/>
      <c r="M504" s="197"/>
      <c r="N504" s="197"/>
      <c r="O504" s="197"/>
      <c r="P504" s="197"/>
      <c r="Q504" s="197"/>
      <c r="R504" s="197"/>
      <c r="S504" s="197"/>
      <c r="T504" s="197"/>
      <c r="U504" s="197"/>
      <c r="V504" s="197"/>
      <c r="W504" s="197"/>
      <c r="X504" s="197"/>
      <c r="Y504" s="197"/>
      <c r="Z504" s="197"/>
      <c r="AA504" s="197"/>
      <c r="AB504" s="197"/>
      <c r="AC504" s="197"/>
      <c r="AD504" s="197"/>
      <c r="AE504" s="197"/>
      <c r="AF504" s="197"/>
      <c r="AG504" s="197"/>
      <c r="AH504" s="197"/>
      <c r="AI504" s="197"/>
      <c r="AJ504" s="197"/>
      <c r="AK504" s="197"/>
      <c r="AL504" s="197"/>
      <c r="AM504" s="197"/>
      <c r="AN504" s="197"/>
      <c r="AO504" s="197"/>
      <c r="AP504" s="197"/>
      <c r="AQ504" s="197"/>
      <c r="AR504" s="197"/>
      <c r="AS504" s="197"/>
      <c r="AT504" s="197"/>
      <c r="AU504" s="197"/>
      <c r="AV504" s="197"/>
      <c r="AW504" s="197"/>
      <c r="AX504" s="197"/>
      <c r="AY504" s="197"/>
      <c r="AZ504" s="197"/>
      <c r="BA504" s="197"/>
      <c r="BB504" s="197"/>
      <c r="BC504" s="197"/>
      <c r="BD504" s="197"/>
      <c r="BE504" s="197"/>
      <c r="BF504" s="197"/>
      <c r="BG504" s="197"/>
      <c r="BH504" s="197"/>
      <c r="BI504" s="197"/>
      <c r="BJ504" s="197"/>
      <c r="BK504" s="197"/>
      <c r="BL504" s="197"/>
      <c r="BM504" s="197"/>
      <c r="BN504" s="197"/>
      <c r="BO504" s="197"/>
      <c r="BP504" s="197"/>
    </row>
    <row r="505" spans="1:68" ht="20" customHeight="1" x14ac:dyDescent="0.15">
      <c r="A505" s="197"/>
      <c r="B505" s="197"/>
      <c r="C505" s="193"/>
      <c r="D505" s="197"/>
      <c r="E505" s="197"/>
      <c r="F505" s="214"/>
      <c r="G505" s="197"/>
      <c r="H505" s="197"/>
      <c r="I505" s="197"/>
      <c r="J505" s="197"/>
      <c r="K505" s="197"/>
      <c r="L505" s="197"/>
      <c r="M505" s="197"/>
      <c r="N505" s="197"/>
      <c r="O505" s="197"/>
      <c r="P505" s="197"/>
      <c r="Q505" s="197"/>
      <c r="R505" s="197"/>
      <c r="S505" s="197"/>
      <c r="T505" s="197"/>
      <c r="U505" s="197"/>
      <c r="V505" s="197"/>
      <c r="W505" s="197"/>
      <c r="X505" s="197"/>
      <c r="Y505" s="197"/>
      <c r="Z505" s="197"/>
      <c r="AA505" s="197"/>
      <c r="AB505" s="197"/>
      <c r="AC505" s="197"/>
      <c r="AD505" s="197"/>
      <c r="AE505" s="197"/>
      <c r="AF505" s="197"/>
      <c r="AG505" s="197"/>
      <c r="AH505" s="197"/>
      <c r="AI505" s="197"/>
      <c r="AJ505" s="197"/>
      <c r="AK505" s="197"/>
      <c r="AL505" s="197"/>
      <c r="AM505" s="197"/>
      <c r="AN505" s="197"/>
      <c r="AO505" s="197"/>
      <c r="AP505" s="197"/>
      <c r="AQ505" s="197"/>
      <c r="AR505" s="197"/>
      <c r="AS505" s="197"/>
      <c r="AT505" s="197"/>
      <c r="AU505" s="197"/>
      <c r="AV505" s="197"/>
      <c r="AW505" s="197"/>
      <c r="AX505" s="197"/>
      <c r="AY505" s="197"/>
      <c r="AZ505" s="197"/>
      <c r="BA505" s="197"/>
      <c r="BB505" s="197"/>
      <c r="BC505" s="197"/>
      <c r="BD505" s="197"/>
      <c r="BE505" s="197"/>
      <c r="BF505" s="197"/>
      <c r="BG505" s="197"/>
      <c r="BH505" s="197"/>
      <c r="BI505" s="197"/>
      <c r="BJ505" s="197"/>
      <c r="BK505" s="197"/>
      <c r="BL505" s="197"/>
      <c r="BM505" s="197"/>
      <c r="BN505" s="197"/>
      <c r="BO505" s="197"/>
      <c r="BP505" s="197"/>
    </row>
    <row r="506" spans="1:68" ht="20" customHeight="1" x14ac:dyDescent="0.15">
      <c r="A506" s="197"/>
      <c r="B506" s="197"/>
      <c r="C506" s="193"/>
      <c r="D506" s="197"/>
      <c r="E506" s="197"/>
      <c r="F506" s="214"/>
      <c r="G506" s="197"/>
      <c r="H506" s="197"/>
      <c r="I506" s="197"/>
      <c r="J506" s="197"/>
      <c r="K506" s="197"/>
      <c r="L506" s="197"/>
      <c r="M506" s="197"/>
      <c r="N506" s="197"/>
      <c r="O506" s="197"/>
      <c r="P506" s="197"/>
      <c r="Q506" s="197"/>
      <c r="R506" s="197"/>
      <c r="S506" s="197"/>
      <c r="T506" s="197"/>
      <c r="U506" s="197"/>
      <c r="V506" s="197"/>
      <c r="W506" s="197"/>
      <c r="X506" s="197"/>
      <c r="Y506" s="197"/>
      <c r="Z506" s="197"/>
      <c r="AA506" s="197"/>
      <c r="AB506" s="197"/>
      <c r="AC506" s="197"/>
      <c r="AD506" s="197"/>
      <c r="AE506" s="197"/>
      <c r="AF506" s="197"/>
      <c r="AG506" s="197"/>
      <c r="AH506" s="197"/>
      <c r="AI506" s="197"/>
      <c r="AJ506" s="197"/>
      <c r="AK506" s="197"/>
      <c r="AL506" s="197"/>
      <c r="AM506" s="197"/>
      <c r="AN506" s="197"/>
      <c r="AO506" s="197"/>
      <c r="AP506" s="197"/>
      <c r="AQ506" s="197"/>
      <c r="AR506" s="197"/>
      <c r="AS506" s="197"/>
      <c r="AT506" s="197"/>
      <c r="AU506" s="197"/>
      <c r="AV506" s="197"/>
      <c r="AW506" s="197"/>
      <c r="AX506" s="197"/>
      <c r="AY506" s="197"/>
      <c r="AZ506" s="197"/>
      <c r="BA506" s="197"/>
      <c r="BB506" s="197"/>
      <c r="BC506" s="197"/>
      <c r="BD506" s="197"/>
      <c r="BE506" s="197"/>
      <c r="BF506" s="197"/>
      <c r="BG506" s="197"/>
      <c r="BH506" s="197"/>
      <c r="BI506" s="197"/>
      <c r="BJ506" s="197"/>
      <c r="BK506" s="197"/>
      <c r="BL506" s="197"/>
      <c r="BM506" s="197"/>
      <c r="BN506" s="197"/>
      <c r="BO506" s="197"/>
      <c r="BP506" s="197"/>
    </row>
    <row r="507" spans="1:68" ht="20" customHeight="1" x14ac:dyDescent="0.15">
      <c r="A507" s="197"/>
      <c r="B507" s="197"/>
      <c r="C507" s="193"/>
      <c r="D507" s="197"/>
      <c r="E507" s="197"/>
      <c r="F507" s="214"/>
      <c r="G507" s="197"/>
      <c r="H507" s="197"/>
      <c r="I507" s="197"/>
      <c r="J507" s="197"/>
      <c r="K507" s="197"/>
      <c r="L507" s="197"/>
      <c r="M507" s="197"/>
      <c r="N507" s="197"/>
      <c r="O507" s="197"/>
      <c r="P507" s="197"/>
      <c r="Q507" s="197"/>
      <c r="R507" s="197"/>
      <c r="S507" s="197"/>
      <c r="T507" s="197"/>
      <c r="U507" s="197"/>
      <c r="V507" s="197"/>
      <c r="W507" s="197"/>
      <c r="X507" s="197"/>
      <c r="Y507" s="197"/>
      <c r="Z507" s="197"/>
      <c r="AA507" s="197"/>
      <c r="AB507" s="197"/>
      <c r="AC507" s="197"/>
      <c r="AD507" s="197"/>
      <c r="AE507" s="197"/>
      <c r="AF507" s="197"/>
      <c r="AG507" s="197"/>
      <c r="AH507" s="197"/>
      <c r="AI507" s="197"/>
      <c r="AJ507" s="197"/>
      <c r="AK507" s="197"/>
      <c r="AL507" s="197"/>
      <c r="AM507" s="197"/>
      <c r="AN507" s="197"/>
      <c r="AO507" s="197"/>
      <c r="AP507" s="197"/>
      <c r="AQ507" s="197"/>
      <c r="AR507" s="197"/>
      <c r="AS507" s="197"/>
      <c r="AT507" s="197"/>
      <c r="AU507" s="197"/>
      <c r="AV507" s="197"/>
      <c r="AW507" s="197"/>
      <c r="AX507" s="197"/>
      <c r="AY507" s="197"/>
      <c r="AZ507" s="197"/>
      <c r="BA507" s="197"/>
      <c r="BB507" s="197"/>
      <c r="BC507" s="197"/>
      <c r="BD507" s="197"/>
      <c r="BE507" s="197"/>
      <c r="BF507" s="197"/>
      <c r="BG507" s="197"/>
      <c r="BH507" s="197"/>
      <c r="BI507" s="197"/>
      <c r="BJ507" s="197"/>
      <c r="BK507" s="197"/>
      <c r="BL507" s="197"/>
      <c r="BM507" s="197"/>
      <c r="BN507" s="197"/>
      <c r="BO507" s="197"/>
      <c r="BP507" s="197"/>
    </row>
    <row r="508" spans="1:68" ht="20" customHeight="1" x14ac:dyDescent="0.15">
      <c r="A508" s="197"/>
      <c r="B508" s="197"/>
      <c r="C508" s="193"/>
      <c r="D508" s="197"/>
      <c r="E508" s="197"/>
      <c r="F508" s="214"/>
      <c r="G508" s="197"/>
      <c r="H508" s="197"/>
      <c r="I508" s="197"/>
      <c r="J508" s="197"/>
      <c r="K508" s="197"/>
      <c r="L508" s="197"/>
      <c r="M508" s="197"/>
      <c r="N508" s="197"/>
      <c r="O508" s="197"/>
      <c r="P508" s="197"/>
      <c r="Q508" s="197"/>
      <c r="R508" s="197"/>
      <c r="S508" s="197"/>
      <c r="T508" s="197"/>
      <c r="U508" s="197"/>
      <c r="V508" s="197"/>
      <c r="W508" s="197"/>
      <c r="X508" s="197"/>
      <c r="Y508" s="197"/>
      <c r="Z508" s="197"/>
      <c r="AA508" s="197"/>
      <c r="AB508" s="197"/>
      <c r="AC508" s="197"/>
      <c r="AD508" s="197"/>
      <c r="AE508" s="197"/>
      <c r="AF508" s="197"/>
      <c r="AG508" s="197"/>
      <c r="AH508" s="197"/>
      <c r="AI508" s="197"/>
      <c r="AJ508" s="197"/>
      <c r="AK508" s="197"/>
      <c r="AL508" s="197"/>
      <c r="AM508" s="197"/>
      <c r="AN508" s="197"/>
      <c r="AO508" s="197"/>
      <c r="AP508" s="197"/>
      <c r="AQ508" s="197"/>
      <c r="AR508" s="197"/>
      <c r="AS508" s="197"/>
      <c r="AT508" s="197"/>
      <c r="AU508" s="197"/>
      <c r="AV508" s="197"/>
      <c r="AW508" s="197"/>
      <c r="AX508" s="197"/>
      <c r="AY508" s="197"/>
      <c r="AZ508" s="197"/>
      <c r="BA508" s="197"/>
      <c r="BB508" s="197"/>
      <c r="BC508" s="197"/>
      <c r="BD508" s="197"/>
      <c r="BE508" s="197"/>
      <c r="BF508" s="197"/>
      <c r="BG508" s="197"/>
      <c r="BH508" s="197"/>
      <c r="BI508" s="197"/>
      <c r="BJ508" s="197"/>
      <c r="BK508" s="197"/>
      <c r="BL508" s="197"/>
      <c r="BM508" s="197"/>
      <c r="BN508" s="197"/>
      <c r="BO508" s="197"/>
      <c r="BP508" s="197"/>
    </row>
    <row r="509" spans="1:68" ht="20" customHeight="1" x14ac:dyDescent="0.15">
      <c r="A509" s="197"/>
      <c r="B509" s="197"/>
      <c r="C509" s="193"/>
      <c r="D509" s="197"/>
      <c r="E509" s="197"/>
      <c r="F509" s="214"/>
      <c r="G509" s="197"/>
      <c r="H509" s="197"/>
      <c r="I509" s="197"/>
      <c r="J509" s="197"/>
      <c r="K509" s="197"/>
      <c r="L509" s="197"/>
      <c r="M509" s="197"/>
      <c r="N509" s="197"/>
      <c r="O509" s="197"/>
      <c r="P509" s="197"/>
      <c r="Q509" s="197"/>
      <c r="R509" s="197"/>
      <c r="S509" s="197"/>
      <c r="T509" s="197"/>
      <c r="U509" s="197"/>
      <c r="V509" s="197"/>
      <c r="W509" s="197"/>
      <c r="X509" s="197"/>
      <c r="Y509" s="197"/>
      <c r="Z509" s="197"/>
      <c r="AA509" s="197"/>
      <c r="AB509" s="197"/>
      <c r="AC509" s="197"/>
      <c r="AD509" s="197"/>
      <c r="AE509" s="197"/>
      <c r="AF509" s="197"/>
      <c r="AG509" s="197"/>
      <c r="AH509" s="197"/>
      <c r="AI509" s="197"/>
      <c r="AJ509" s="197"/>
      <c r="AK509" s="197"/>
      <c r="AL509" s="197"/>
      <c r="AM509" s="197"/>
      <c r="AN509" s="197"/>
      <c r="AO509" s="197"/>
      <c r="AP509" s="197"/>
      <c r="AQ509" s="197"/>
      <c r="AR509" s="197"/>
      <c r="AS509" s="197"/>
      <c r="AT509" s="197"/>
      <c r="AU509" s="197"/>
      <c r="AV509" s="197"/>
      <c r="AW509" s="197"/>
      <c r="AX509" s="197"/>
      <c r="AY509" s="197"/>
      <c r="AZ509" s="197"/>
      <c r="BA509" s="197"/>
      <c r="BB509" s="197"/>
      <c r="BC509" s="197"/>
      <c r="BD509" s="197"/>
      <c r="BE509" s="197"/>
      <c r="BF509" s="197"/>
      <c r="BG509" s="197"/>
      <c r="BH509" s="197"/>
      <c r="BI509" s="197"/>
      <c r="BJ509" s="197"/>
      <c r="BK509" s="197"/>
      <c r="BL509" s="197"/>
      <c r="BM509" s="197"/>
      <c r="BN509" s="197"/>
      <c r="BO509" s="197"/>
      <c r="BP509" s="197"/>
    </row>
    <row r="510" spans="1:68" ht="20" customHeight="1" x14ac:dyDescent="0.15">
      <c r="A510" s="197"/>
      <c r="B510" s="197"/>
      <c r="C510" s="193"/>
      <c r="D510" s="197"/>
      <c r="E510" s="197"/>
      <c r="F510" s="214"/>
      <c r="G510" s="197"/>
      <c r="H510" s="197"/>
      <c r="I510" s="197"/>
      <c r="J510" s="197"/>
      <c r="K510" s="197"/>
      <c r="L510" s="197"/>
      <c r="M510" s="197"/>
      <c r="N510" s="197"/>
      <c r="O510" s="197"/>
      <c r="P510" s="197"/>
      <c r="Q510" s="197"/>
      <c r="R510" s="197"/>
      <c r="S510" s="197"/>
      <c r="T510" s="197"/>
      <c r="U510" s="197"/>
      <c r="V510" s="197"/>
      <c r="W510" s="197"/>
      <c r="X510" s="197"/>
      <c r="Y510" s="197"/>
      <c r="Z510" s="197"/>
      <c r="AA510" s="197"/>
      <c r="AB510" s="197"/>
      <c r="AC510" s="197"/>
      <c r="AD510" s="197"/>
      <c r="AE510" s="197"/>
      <c r="AF510" s="197"/>
      <c r="AG510" s="197"/>
      <c r="AH510" s="197"/>
      <c r="AI510" s="197"/>
      <c r="AJ510" s="197"/>
      <c r="AK510" s="197"/>
      <c r="AL510" s="197"/>
      <c r="AM510" s="197"/>
      <c r="AN510" s="197"/>
      <c r="AO510" s="197"/>
      <c r="AP510" s="197"/>
      <c r="AQ510" s="197"/>
      <c r="AR510" s="197"/>
      <c r="AS510" s="197"/>
      <c r="AT510" s="197"/>
      <c r="AU510" s="197"/>
      <c r="AV510" s="197"/>
      <c r="AW510" s="197"/>
      <c r="AX510" s="197"/>
      <c r="AY510" s="197"/>
      <c r="AZ510" s="197"/>
      <c r="BA510" s="197"/>
      <c r="BB510" s="197"/>
      <c r="BC510" s="197"/>
      <c r="BD510" s="197"/>
      <c r="BE510" s="197"/>
      <c r="BF510" s="197"/>
      <c r="BG510" s="197"/>
      <c r="BH510" s="197"/>
      <c r="BI510" s="197"/>
      <c r="BJ510" s="197"/>
      <c r="BK510" s="197"/>
      <c r="BL510" s="197"/>
      <c r="BM510" s="197"/>
      <c r="BN510" s="197"/>
      <c r="BO510" s="197"/>
      <c r="BP510" s="197"/>
    </row>
    <row r="511" spans="1:68" ht="20" customHeight="1" x14ac:dyDescent="0.15">
      <c r="A511" s="197"/>
      <c r="B511" s="197"/>
      <c r="C511" s="193"/>
      <c r="D511" s="197"/>
      <c r="E511" s="197"/>
      <c r="F511" s="214"/>
      <c r="G511" s="197"/>
      <c r="H511" s="197"/>
      <c r="I511" s="197"/>
      <c r="J511" s="197"/>
      <c r="K511" s="197"/>
      <c r="L511" s="197"/>
      <c r="M511" s="197"/>
      <c r="N511" s="197"/>
      <c r="O511" s="197"/>
      <c r="P511" s="197"/>
      <c r="Q511" s="197"/>
      <c r="R511" s="197"/>
      <c r="S511" s="197"/>
      <c r="T511" s="197"/>
      <c r="U511" s="197"/>
      <c r="V511" s="197"/>
      <c r="W511" s="197"/>
      <c r="X511" s="197"/>
      <c r="Y511" s="197"/>
      <c r="Z511" s="197"/>
      <c r="AA511" s="197"/>
      <c r="AB511" s="197"/>
      <c r="AC511" s="197"/>
      <c r="AD511" s="197"/>
      <c r="AE511" s="197"/>
      <c r="AF511" s="197"/>
      <c r="AG511" s="197"/>
      <c r="AH511" s="197"/>
      <c r="AI511" s="197"/>
      <c r="AJ511" s="197"/>
      <c r="AK511" s="197"/>
      <c r="AL511" s="197"/>
      <c r="AM511" s="197"/>
      <c r="AN511" s="197"/>
      <c r="AO511" s="197"/>
      <c r="AP511" s="197"/>
      <c r="AQ511" s="197"/>
      <c r="AR511" s="197"/>
      <c r="AS511" s="197"/>
      <c r="AT511" s="197"/>
      <c r="AU511" s="197"/>
      <c r="AV511" s="197"/>
      <c r="AW511" s="197"/>
      <c r="AX511" s="197"/>
      <c r="AY511" s="197"/>
      <c r="AZ511" s="197"/>
      <c r="BA511" s="197"/>
      <c r="BB511" s="197"/>
      <c r="BC511" s="197"/>
      <c r="BD511" s="197"/>
      <c r="BE511" s="197"/>
      <c r="BF511" s="197"/>
      <c r="BG511" s="197"/>
      <c r="BH511" s="197"/>
      <c r="BI511" s="197"/>
      <c r="BJ511" s="197"/>
      <c r="BK511" s="197"/>
      <c r="BL511" s="197"/>
      <c r="BM511" s="197"/>
      <c r="BN511" s="197"/>
      <c r="BO511" s="197"/>
      <c r="BP511" s="197"/>
    </row>
    <row r="512" spans="1:68" ht="20" customHeight="1" x14ac:dyDescent="0.15">
      <c r="A512" s="197"/>
      <c r="B512" s="197"/>
      <c r="C512" s="193"/>
      <c r="D512" s="197"/>
      <c r="E512" s="197"/>
      <c r="F512" s="214"/>
      <c r="G512" s="197"/>
      <c r="H512" s="197"/>
      <c r="I512" s="197"/>
      <c r="J512" s="197"/>
      <c r="K512" s="197"/>
      <c r="L512" s="197"/>
      <c r="M512" s="197"/>
      <c r="N512" s="197"/>
      <c r="O512" s="197"/>
      <c r="P512" s="197"/>
      <c r="Q512" s="197"/>
      <c r="R512" s="197"/>
      <c r="S512" s="197"/>
      <c r="T512" s="197"/>
      <c r="U512" s="197"/>
      <c r="V512" s="197"/>
      <c r="W512" s="197"/>
      <c r="X512" s="197"/>
      <c r="Y512" s="197"/>
      <c r="Z512" s="197"/>
      <c r="AA512" s="197"/>
      <c r="AB512" s="197"/>
      <c r="AC512" s="197"/>
      <c r="AD512" s="197"/>
      <c r="AE512" s="197"/>
      <c r="AF512" s="197"/>
      <c r="AG512" s="197"/>
      <c r="AH512" s="197"/>
      <c r="AI512" s="197"/>
      <c r="AJ512" s="197"/>
      <c r="AK512" s="197"/>
      <c r="AL512" s="197"/>
      <c r="AM512" s="197"/>
      <c r="AN512" s="197"/>
      <c r="AO512" s="197"/>
      <c r="AP512" s="197"/>
      <c r="AQ512" s="197"/>
      <c r="AR512" s="197"/>
      <c r="AS512" s="197"/>
      <c r="AT512" s="197"/>
      <c r="AU512" s="197"/>
      <c r="AV512" s="197"/>
      <c r="AW512" s="197"/>
      <c r="AX512" s="197"/>
      <c r="AY512" s="197"/>
      <c r="AZ512" s="197"/>
      <c r="BA512" s="197"/>
      <c r="BB512" s="197"/>
      <c r="BC512" s="197"/>
      <c r="BD512" s="197"/>
      <c r="BE512" s="197"/>
      <c r="BF512" s="197"/>
      <c r="BG512" s="197"/>
      <c r="BH512" s="197"/>
      <c r="BI512" s="197"/>
      <c r="BJ512" s="197"/>
      <c r="BK512" s="197"/>
      <c r="BL512" s="197"/>
      <c r="BM512" s="197"/>
      <c r="BN512" s="197"/>
      <c r="BO512" s="197"/>
      <c r="BP512" s="197"/>
    </row>
    <row r="513" spans="1:68" ht="20" customHeight="1" x14ac:dyDescent="0.15">
      <c r="A513" s="197"/>
      <c r="B513" s="197"/>
      <c r="C513" s="193"/>
      <c r="D513" s="197"/>
      <c r="E513" s="197"/>
      <c r="F513" s="214"/>
      <c r="G513" s="197"/>
      <c r="H513" s="197"/>
      <c r="I513" s="197"/>
      <c r="J513" s="197"/>
      <c r="K513" s="197"/>
      <c r="L513" s="197"/>
      <c r="M513" s="197"/>
      <c r="N513" s="197"/>
      <c r="O513" s="197"/>
      <c r="P513" s="197"/>
      <c r="Q513" s="197"/>
      <c r="R513" s="197"/>
      <c r="S513" s="197"/>
      <c r="T513" s="197"/>
      <c r="U513" s="197"/>
      <c r="V513" s="197"/>
      <c r="W513" s="197"/>
      <c r="X513" s="197"/>
      <c r="Y513" s="197"/>
      <c r="Z513" s="197"/>
      <c r="AA513" s="197"/>
      <c r="AB513" s="197"/>
      <c r="AC513" s="197"/>
      <c r="AD513" s="197"/>
      <c r="AE513" s="197"/>
      <c r="AF513" s="197"/>
      <c r="AG513" s="197"/>
      <c r="AH513" s="197"/>
      <c r="AI513" s="197"/>
      <c r="AJ513" s="197"/>
      <c r="AK513" s="197"/>
      <c r="AL513" s="197"/>
      <c r="AM513" s="197"/>
      <c r="AN513" s="197"/>
      <c r="AO513" s="197"/>
      <c r="AP513" s="197"/>
      <c r="AQ513" s="197"/>
      <c r="AR513" s="197"/>
      <c r="AS513" s="197"/>
      <c r="AT513" s="197"/>
      <c r="AU513" s="197"/>
      <c r="AV513" s="197"/>
      <c r="AW513" s="197"/>
      <c r="AX513" s="197"/>
      <c r="AY513" s="197"/>
      <c r="AZ513" s="197"/>
      <c r="BA513" s="197"/>
      <c r="BB513" s="197"/>
      <c r="BC513" s="197"/>
      <c r="BD513" s="197"/>
      <c r="BE513" s="197"/>
      <c r="BF513" s="197"/>
      <c r="BG513" s="197"/>
      <c r="BH513" s="197"/>
      <c r="BI513" s="197"/>
      <c r="BJ513" s="197"/>
      <c r="BK513" s="197"/>
      <c r="BL513" s="197"/>
      <c r="BM513" s="197"/>
      <c r="BN513" s="197"/>
      <c r="BO513" s="197"/>
      <c r="BP513" s="197"/>
    </row>
    <row r="514" spans="1:68" ht="20" customHeight="1" x14ac:dyDescent="0.15">
      <c r="A514" s="197"/>
      <c r="B514" s="197"/>
      <c r="C514" s="193"/>
      <c r="D514" s="197"/>
      <c r="E514" s="197"/>
      <c r="F514" s="214"/>
      <c r="G514" s="197"/>
      <c r="H514" s="197"/>
      <c r="I514" s="197"/>
      <c r="J514" s="197"/>
      <c r="K514" s="197"/>
      <c r="L514" s="197"/>
      <c r="M514" s="197"/>
      <c r="N514" s="197"/>
      <c r="O514" s="197"/>
      <c r="P514" s="197"/>
      <c r="Q514" s="197"/>
      <c r="R514" s="197"/>
      <c r="S514" s="197"/>
      <c r="T514" s="197"/>
      <c r="U514" s="197"/>
      <c r="V514" s="197"/>
      <c r="W514" s="197"/>
      <c r="X514" s="197"/>
      <c r="Y514" s="197"/>
      <c r="Z514" s="197"/>
      <c r="AA514" s="197"/>
      <c r="AB514" s="197"/>
      <c r="AC514" s="197"/>
      <c r="AD514" s="197"/>
      <c r="AE514" s="197"/>
      <c r="AF514" s="197"/>
      <c r="AG514" s="197"/>
      <c r="AH514" s="197"/>
      <c r="AI514" s="197"/>
      <c r="AJ514" s="197"/>
      <c r="AK514" s="197"/>
      <c r="AL514" s="197"/>
      <c r="AM514" s="197"/>
      <c r="AN514" s="197"/>
      <c r="AO514" s="197"/>
      <c r="AP514" s="197"/>
      <c r="AQ514" s="197"/>
      <c r="AR514" s="197"/>
      <c r="AS514" s="197"/>
      <c r="AT514" s="197"/>
      <c r="AU514" s="197"/>
      <c r="AV514" s="197"/>
      <c r="AW514" s="197"/>
      <c r="AX514" s="197"/>
      <c r="AY514" s="197"/>
      <c r="AZ514" s="197"/>
      <c r="BA514" s="197"/>
      <c r="BB514" s="197"/>
      <c r="BC514" s="197"/>
      <c r="BD514" s="197"/>
      <c r="BE514" s="197"/>
      <c r="BF514" s="197"/>
      <c r="BG514" s="197"/>
      <c r="BH514" s="197"/>
      <c r="BI514" s="197"/>
      <c r="BJ514" s="197"/>
      <c r="BK514" s="197"/>
      <c r="BL514" s="197"/>
      <c r="BM514" s="197"/>
      <c r="BN514" s="197"/>
      <c r="BO514" s="197"/>
      <c r="BP514" s="197"/>
    </row>
    <row r="515" spans="1:68" ht="20" customHeight="1" x14ac:dyDescent="0.15">
      <c r="A515" s="197"/>
      <c r="B515" s="197"/>
      <c r="C515" s="193"/>
      <c r="D515" s="197"/>
      <c r="E515" s="197"/>
      <c r="F515" s="214"/>
      <c r="G515" s="197"/>
      <c r="H515" s="197"/>
      <c r="I515" s="197"/>
      <c r="J515" s="197"/>
      <c r="K515" s="197"/>
      <c r="L515" s="197"/>
      <c r="M515" s="197"/>
      <c r="N515" s="197"/>
      <c r="O515" s="197"/>
      <c r="P515" s="197"/>
      <c r="Q515" s="197"/>
      <c r="R515" s="197"/>
      <c r="S515" s="197"/>
      <c r="T515" s="197"/>
      <c r="U515" s="197"/>
      <c r="V515" s="197"/>
      <c r="W515" s="197"/>
      <c r="X515" s="197"/>
      <c r="Y515" s="197"/>
      <c r="Z515" s="197"/>
      <c r="AA515" s="197"/>
      <c r="AB515" s="197"/>
      <c r="AC515" s="197"/>
      <c r="AD515" s="197"/>
      <c r="AE515" s="197"/>
      <c r="AF515" s="197"/>
      <c r="AG515" s="197"/>
      <c r="AH515" s="197"/>
      <c r="AI515" s="197"/>
      <c r="AJ515" s="197"/>
      <c r="AK515" s="197"/>
      <c r="AL515" s="197"/>
      <c r="AM515" s="197"/>
      <c r="AN515" s="197"/>
      <c r="AO515" s="197"/>
      <c r="AP515" s="197"/>
      <c r="AQ515" s="197"/>
      <c r="AR515" s="197"/>
      <c r="AS515" s="197"/>
      <c r="AT515" s="197"/>
      <c r="AU515" s="197"/>
      <c r="AV515" s="197"/>
      <c r="AW515" s="197"/>
      <c r="AX515" s="197"/>
      <c r="AY515" s="197"/>
      <c r="AZ515" s="197"/>
      <c r="BA515" s="197"/>
      <c r="BB515" s="197"/>
      <c r="BC515" s="197"/>
      <c r="BD515" s="197"/>
      <c r="BE515" s="197"/>
      <c r="BF515" s="197"/>
      <c r="BG515" s="197"/>
      <c r="BH515" s="197"/>
      <c r="BI515" s="197"/>
      <c r="BJ515" s="197"/>
      <c r="BK515" s="197"/>
      <c r="BL515" s="197"/>
      <c r="BM515" s="197"/>
      <c r="BN515" s="197"/>
      <c r="BO515" s="197"/>
      <c r="BP515" s="197"/>
    </row>
    <row r="516" spans="1:68" ht="20" customHeight="1" x14ac:dyDescent="0.15">
      <c r="A516" s="197"/>
      <c r="B516" s="197"/>
      <c r="C516" s="193"/>
      <c r="D516" s="197"/>
      <c r="E516" s="197"/>
      <c r="F516" s="214"/>
      <c r="G516" s="197"/>
      <c r="H516" s="197"/>
      <c r="I516" s="197"/>
      <c r="J516" s="197"/>
      <c r="K516" s="197"/>
      <c r="L516" s="197"/>
      <c r="M516" s="197"/>
      <c r="N516" s="197"/>
      <c r="O516" s="197"/>
      <c r="P516" s="197"/>
      <c r="Q516" s="197"/>
      <c r="R516" s="197"/>
      <c r="S516" s="197"/>
      <c r="T516" s="197"/>
      <c r="U516" s="197"/>
      <c r="V516" s="197"/>
      <c r="W516" s="197"/>
      <c r="X516" s="197"/>
      <c r="Y516" s="197"/>
      <c r="Z516" s="197"/>
      <c r="AA516" s="197"/>
      <c r="AB516" s="197"/>
      <c r="AC516" s="197"/>
      <c r="AD516" s="197"/>
      <c r="AE516" s="197"/>
      <c r="AF516" s="197"/>
      <c r="AG516" s="197"/>
      <c r="AH516" s="197"/>
      <c r="AI516" s="197"/>
      <c r="AJ516" s="197"/>
      <c r="AK516" s="197"/>
      <c r="AL516" s="197"/>
      <c r="AM516" s="197"/>
      <c r="AN516" s="197"/>
      <c r="AO516" s="197"/>
      <c r="AP516" s="197"/>
      <c r="AQ516" s="197"/>
      <c r="AR516" s="197"/>
      <c r="AS516" s="197"/>
      <c r="AT516" s="197"/>
      <c r="AU516" s="197"/>
      <c r="AV516" s="197"/>
      <c r="AW516" s="197"/>
      <c r="AX516" s="197"/>
      <c r="AY516" s="197"/>
      <c r="AZ516" s="197"/>
      <c r="BA516" s="197"/>
      <c r="BB516" s="197"/>
      <c r="BC516" s="197"/>
      <c r="BD516" s="197"/>
      <c r="BE516" s="197"/>
      <c r="BF516" s="197"/>
      <c r="BG516" s="197"/>
      <c r="BH516" s="197"/>
      <c r="BI516" s="197"/>
      <c r="BJ516" s="197"/>
      <c r="BK516" s="197"/>
      <c r="BL516" s="197"/>
      <c r="BM516" s="197"/>
      <c r="BN516" s="197"/>
      <c r="BO516" s="197"/>
      <c r="BP516" s="197"/>
    </row>
    <row r="517" spans="1:68" ht="20" customHeight="1" x14ac:dyDescent="0.15">
      <c r="A517" s="197"/>
      <c r="B517" s="197"/>
      <c r="C517" s="193"/>
      <c r="D517" s="197"/>
      <c r="E517" s="197"/>
      <c r="F517" s="214"/>
      <c r="G517" s="197"/>
      <c r="H517" s="197"/>
      <c r="I517" s="197"/>
      <c r="J517" s="197"/>
      <c r="K517" s="197"/>
      <c r="L517" s="197"/>
      <c r="M517" s="197"/>
      <c r="N517" s="197"/>
      <c r="O517" s="197"/>
      <c r="P517" s="197"/>
      <c r="Q517" s="197"/>
      <c r="R517" s="197"/>
      <c r="S517" s="197"/>
      <c r="T517" s="197"/>
      <c r="U517" s="197"/>
      <c r="V517" s="197"/>
      <c r="W517" s="197"/>
      <c r="X517" s="197"/>
      <c r="Y517" s="197"/>
      <c r="Z517" s="197"/>
      <c r="AA517" s="197"/>
      <c r="AB517" s="197"/>
      <c r="AC517" s="197"/>
      <c r="AD517" s="197"/>
      <c r="AE517" s="197"/>
      <c r="AF517" s="197"/>
      <c r="AG517" s="197"/>
      <c r="AH517" s="197"/>
      <c r="AI517" s="197"/>
      <c r="AJ517" s="197"/>
      <c r="AK517" s="197"/>
      <c r="AL517" s="197"/>
      <c r="AM517" s="197"/>
      <c r="AN517" s="197"/>
      <c r="AO517" s="197"/>
      <c r="AP517" s="197"/>
      <c r="AQ517" s="197"/>
      <c r="AR517" s="197"/>
      <c r="AS517" s="197"/>
      <c r="AT517" s="197"/>
      <c r="AU517" s="197"/>
      <c r="AV517" s="197"/>
      <c r="AW517" s="197"/>
      <c r="AX517" s="197"/>
      <c r="AY517" s="197"/>
      <c r="AZ517" s="197"/>
      <c r="BA517" s="197"/>
      <c r="BB517" s="197"/>
      <c r="BC517" s="197"/>
      <c r="BD517" s="197"/>
      <c r="BE517" s="197"/>
      <c r="BF517" s="197"/>
      <c r="BG517" s="197"/>
      <c r="BH517" s="197"/>
      <c r="BI517" s="197"/>
      <c r="BJ517" s="197"/>
      <c r="BK517" s="197"/>
      <c r="BL517" s="197"/>
      <c r="BM517" s="197"/>
      <c r="BN517" s="197"/>
      <c r="BO517" s="197"/>
      <c r="BP517" s="197"/>
    </row>
    <row r="518" spans="1:68" ht="20" customHeight="1" x14ac:dyDescent="0.15">
      <c r="A518" s="197"/>
      <c r="B518" s="197"/>
      <c r="C518" s="193"/>
      <c r="D518" s="197"/>
      <c r="E518" s="197"/>
      <c r="F518" s="214"/>
      <c r="G518" s="197"/>
      <c r="H518" s="197"/>
      <c r="I518" s="197"/>
      <c r="J518" s="197"/>
      <c r="K518" s="197"/>
      <c r="L518" s="197"/>
      <c r="M518" s="197"/>
      <c r="N518" s="197"/>
      <c r="O518" s="197"/>
      <c r="P518" s="197"/>
      <c r="Q518" s="197"/>
      <c r="R518" s="197"/>
      <c r="S518" s="197"/>
      <c r="T518" s="197"/>
      <c r="U518" s="197"/>
      <c r="V518" s="197"/>
      <c r="W518" s="197"/>
      <c r="X518" s="197"/>
      <c r="Y518" s="197"/>
      <c r="Z518" s="197"/>
      <c r="AA518" s="197"/>
      <c r="AB518" s="197"/>
      <c r="AC518" s="197"/>
      <c r="AD518" s="197"/>
      <c r="AE518" s="197"/>
      <c r="AF518" s="197"/>
      <c r="AG518" s="197"/>
      <c r="AH518" s="197"/>
      <c r="AI518" s="197"/>
      <c r="AJ518" s="197"/>
      <c r="AK518" s="197"/>
      <c r="AL518" s="197"/>
      <c r="AM518" s="197"/>
      <c r="AN518" s="197"/>
      <c r="AO518" s="197"/>
      <c r="AP518" s="197"/>
      <c r="AQ518" s="197"/>
      <c r="AR518" s="197"/>
      <c r="AS518" s="197"/>
      <c r="AT518" s="197"/>
      <c r="AU518" s="197"/>
      <c r="AV518" s="197"/>
      <c r="AW518" s="197"/>
      <c r="AX518" s="197"/>
      <c r="AY518" s="197"/>
      <c r="AZ518" s="197"/>
      <c r="BA518" s="197"/>
      <c r="BB518" s="197"/>
      <c r="BC518" s="197"/>
      <c r="BD518" s="197"/>
      <c r="BE518" s="197"/>
      <c r="BF518" s="197"/>
      <c r="BG518" s="197"/>
      <c r="BH518" s="197"/>
      <c r="BI518" s="197"/>
      <c r="BJ518" s="197"/>
      <c r="BK518" s="197"/>
      <c r="BL518" s="197"/>
      <c r="BM518" s="197"/>
      <c r="BN518" s="197"/>
      <c r="BO518" s="197"/>
      <c r="BP518" s="197"/>
    </row>
    <row r="519" spans="1:68" ht="20" customHeight="1" x14ac:dyDescent="0.15">
      <c r="A519" s="197"/>
      <c r="B519" s="197"/>
      <c r="C519" s="193"/>
      <c r="D519" s="197"/>
      <c r="E519" s="197"/>
      <c r="F519" s="214"/>
      <c r="G519" s="197"/>
      <c r="H519" s="197"/>
      <c r="I519" s="197"/>
      <c r="J519" s="197"/>
      <c r="K519" s="197"/>
      <c r="L519" s="197"/>
      <c r="M519" s="197"/>
      <c r="N519" s="197"/>
      <c r="O519" s="197"/>
      <c r="P519" s="197"/>
      <c r="Q519" s="197"/>
      <c r="R519" s="197"/>
      <c r="S519" s="197"/>
      <c r="T519" s="197"/>
      <c r="U519" s="197"/>
      <c r="V519" s="197"/>
      <c r="W519" s="197"/>
      <c r="X519" s="197"/>
      <c r="Y519" s="197"/>
      <c r="Z519" s="197"/>
      <c r="AA519" s="197"/>
      <c r="AB519" s="197"/>
      <c r="AC519" s="197"/>
      <c r="AD519" s="197"/>
      <c r="AE519" s="197"/>
      <c r="AF519" s="197"/>
      <c r="AG519" s="197"/>
      <c r="AH519" s="197"/>
      <c r="AI519" s="197"/>
      <c r="AJ519" s="197"/>
      <c r="AK519" s="197"/>
      <c r="AL519" s="197"/>
      <c r="AM519" s="197"/>
      <c r="AN519" s="197"/>
      <c r="AO519" s="197"/>
      <c r="AP519" s="197"/>
      <c r="AQ519" s="197"/>
      <c r="AR519" s="197"/>
      <c r="AS519" s="197"/>
      <c r="AT519" s="197"/>
      <c r="AU519" s="197"/>
      <c r="AV519" s="197"/>
      <c r="AW519" s="197"/>
      <c r="AX519" s="197"/>
      <c r="AY519" s="197"/>
      <c r="AZ519" s="197"/>
      <c r="BA519" s="197"/>
      <c r="BB519" s="197"/>
      <c r="BC519" s="197"/>
      <c r="BD519" s="197"/>
      <c r="BE519" s="197"/>
      <c r="BF519" s="197"/>
      <c r="BG519" s="197"/>
      <c r="BH519" s="197"/>
      <c r="BI519" s="197"/>
      <c r="BJ519" s="197"/>
      <c r="BK519" s="197"/>
      <c r="BL519" s="197"/>
      <c r="BM519" s="197"/>
      <c r="BN519" s="197"/>
      <c r="BO519" s="197"/>
      <c r="BP519" s="197"/>
    </row>
    <row r="520" spans="1:68" ht="20" customHeight="1" x14ac:dyDescent="0.15">
      <c r="A520" s="197"/>
      <c r="B520" s="197"/>
      <c r="C520" s="193"/>
      <c r="D520" s="197"/>
      <c r="E520" s="197"/>
      <c r="F520" s="214"/>
      <c r="G520" s="197"/>
      <c r="H520" s="197"/>
      <c r="I520" s="197"/>
      <c r="J520" s="197"/>
      <c r="K520" s="197"/>
      <c r="L520" s="197"/>
      <c r="M520" s="197"/>
      <c r="N520" s="197"/>
      <c r="O520" s="197"/>
      <c r="P520" s="197"/>
      <c r="Q520" s="197"/>
      <c r="R520" s="197"/>
      <c r="S520" s="197"/>
      <c r="T520" s="197"/>
      <c r="U520" s="197"/>
      <c r="V520" s="197"/>
      <c r="W520" s="197"/>
      <c r="X520" s="197"/>
      <c r="Y520" s="197"/>
      <c r="Z520" s="197"/>
      <c r="AA520" s="197"/>
      <c r="AB520" s="197"/>
      <c r="AC520" s="197"/>
      <c r="AD520" s="197"/>
      <c r="AE520" s="197"/>
      <c r="AF520" s="197"/>
      <c r="AG520" s="197"/>
      <c r="AH520" s="197"/>
      <c r="AI520" s="197"/>
      <c r="AJ520" s="197"/>
      <c r="AK520" s="197"/>
      <c r="AL520" s="197"/>
      <c r="AM520" s="197"/>
      <c r="AN520" s="197"/>
      <c r="AO520" s="197"/>
      <c r="AP520" s="197"/>
      <c r="AQ520" s="197"/>
      <c r="AR520" s="197"/>
      <c r="AS520" s="197"/>
      <c r="AT520" s="197"/>
      <c r="AU520" s="197"/>
      <c r="AV520" s="197"/>
      <c r="AW520" s="197"/>
      <c r="AX520" s="197"/>
      <c r="AY520" s="197"/>
      <c r="AZ520" s="197"/>
      <c r="BA520" s="197"/>
      <c r="BB520" s="197"/>
      <c r="BC520" s="197"/>
      <c r="BD520" s="197"/>
      <c r="BE520" s="197"/>
      <c r="BF520" s="197"/>
      <c r="BG520" s="197"/>
      <c r="BH520" s="197"/>
      <c r="BI520" s="197"/>
      <c r="BJ520" s="197"/>
      <c r="BK520" s="197"/>
      <c r="BL520" s="197"/>
      <c r="BM520" s="197"/>
      <c r="BN520" s="197"/>
      <c r="BO520" s="197"/>
      <c r="BP520" s="197"/>
    </row>
    <row r="521" spans="1:68" ht="20" customHeight="1" x14ac:dyDescent="0.15">
      <c r="A521" s="197"/>
      <c r="B521" s="197"/>
      <c r="C521" s="193"/>
      <c r="D521" s="197"/>
      <c r="E521" s="197"/>
      <c r="F521" s="214"/>
      <c r="G521" s="197"/>
      <c r="H521" s="197"/>
      <c r="I521" s="197"/>
      <c r="J521" s="197"/>
      <c r="K521" s="197"/>
      <c r="L521" s="197"/>
      <c r="M521" s="197"/>
      <c r="N521" s="197"/>
      <c r="O521" s="197"/>
      <c r="P521" s="197"/>
      <c r="Q521" s="197"/>
      <c r="R521" s="197"/>
      <c r="S521" s="197"/>
      <c r="T521" s="197"/>
      <c r="U521" s="197"/>
      <c r="V521" s="197"/>
      <c r="W521" s="197"/>
      <c r="X521" s="197"/>
      <c r="Y521" s="197"/>
      <c r="Z521" s="197"/>
      <c r="AA521" s="197"/>
      <c r="AB521" s="197"/>
      <c r="AC521" s="197"/>
      <c r="AD521" s="197"/>
      <c r="AE521" s="197"/>
      <c r="AF521" s="197"/>
      <c r="AG521" s="197"/>
      <c r="AH521" s="197"/>
      <c r="AI521" s="197"/>
      <c r="AJ521" s="197"/>
      <c r="AK521" s="197"/>
      <c r="AL521" s="197"/>
      <c r="AM521" s="197"/>
      <c r="AN521" s="197"/>
      <c r="AO521" s="197"/>
      <c r="AP521" s="197"/>
      <c r="AQ521" s="197"/>
      <c r="AR521" s="197"/>
      <c r="AS521" s="197"/>
      <c r="AT521" s="197"/>
      <c r="AU521" s="197"/>
      <c r="AV521" s="197"/>
      <c r="AW521" s="197"/>
      <c r="AX521" s="197"/>
      <c r="AY521" s="197"/>
      <c r="AZ521" s="197"/>
      <c r="BA521" s="197"/>
      <c r="BB521" s="197"/>
      <c r="BC521" s="197"/>
      <c r="BD521" s="197"/>
      <c r="BE521" s="197"/>
      <c r="BF521" s="197"/>
      <c r="BG521" s="197"/>
      <c r="BH521" s="197"/>
      <c r="BI521" s="197"/>
      <c r="BJ521" s="197"/>
      <c r="BK521" s="197"/>
      <c r="BL521" s="197"/>
      <c r="BM521" s="197"/>
      <c r="BN521" s="197"/>
      <c r="BO521" s="197"/>
      <c r="BP521" s="197"/>
    </row>
    <row r="522" spans="1:68" ht="20" customHeight="1" x14ac:dyDescent="0.15">
      <c r="A522" s="197"/>
      <c r="B522" s="197"/>
      <c r="C522" s="193"/>
      <c r="D522" s="197"/>
      <c r="E522" s="197"/>
      <c r="F522" s="214"/>
      <c r="G522" s="197"/>
      <c r="H522" s="197"/>
      <c r="I522" s="197"/>
      <c r="J522" s="197"/>
      <c r="K522" s="197"/>
      <c r="L522" s="197"/>
      <c r="M522" s="197"/>
      <c r="N522" s="197"/>
      <c r="O522" s="197"/>
      <c r="P522" s="197"/>
      <c r="Q522" s="197"/>
      <c r="R522" s="197"/>
      <c r="S522" s="197"/>
      <c r="T522" s="197"/>
      <c r="U522" s="197"/>
      <c r="V522" s="197"/>
      <c r="W522" s="197"/>
      <c r="X522" s="197"/>
      <c r="Y522" s="197"/>
      <c r="Z522" s="197"/>
      <c r="AA522" s="197"/>
      <c r="AB522" s="197"/>
      <c r="AC522" s="197"/>
      <c r="AD522" s="197"/>
      <c r="AE522" s="197"/>
      <c r="AF522" s="197"/>
      <c r="AG522" s="197"/>
      <c r="AH522" s="197"/>
      <c r="AI522" s="197"/>
      <c r="AJ522" s="197"/>
      <c r="AK522" s="197"/>
      <c r="AL522" s="197"/>
      <c r="AM522" s="197"/>
      <c r="AN522" s="197"/>
      <c r="AO522" s="197"/>
      <c r="AP522" s="197"/>
      <c r="AQ522" s="197"/>
      <c r="AR522" s="197"/>
      <c r="AS522" s="197"/>
      <c r="AT522" s="197"/>
      <c r="AU522" s="197"/>
      <c r="AV522" s="197"/>
      <c r="AW522" s="197"/>
      <c r="AX522" s="197"/>
      <c r="AY522" s="197"/>
      <c r="AZ522" s="197"/>
      <c r="BA522" s="197"/>
      <c r="BB522" s="197"/>
      <c r="BC522" s="197"/>
      <c r="BD522" s="197"/>
      <c r="BE522" s="197"/>
      <c r="BF522" s="197"/>
      <c r="BG522" s="197"/>
      <c r="BH522" s="197"/>
      <c r="BI522" s="197"/>
      <c r="BJ522" s="197"/>
      <c r="BK522" s="197"/>
      <c r="BL522" s="197"/>
      <c r="BM522" s="197"/>
      <c r="BN522" s="197"/>
      <c r="BO522" s="197"/>
      <c r="BP522" s="197"/>
    </row>
    <row r="523" spans="1:68" ht="20" customHeight="1" x14ac:dyDescent="0.15">
      <c r="A523" s="197"/>
      <c r="B523" s="197"/>
      <c r="C523" s="193"/>
      <c r="D523" s="197"/>
      <c r="E523" s="197"/>
      <c r="F523" s="214"/>
      <c r="G523" s="197"/>
      <c r="H523" s="197"/>
      <c r="I523" s="197"/>
      <c r="J523" s="197"/>
      <c r="K523" s="197"/>
      <c r="L523" s="197"/>
      <c r="M523" s="197"/>
      <c r="N523" s="197"/>
      <c r="O523" s="197"/>
      <c r="P523" s="197"/>
      <c r="Q523" s="197"/>
      <c r="R523" s="197"/>
      <c r="S523" s="197"/>
      <c r="T523" s="197"/>
      <c r="U523" s="197"/>
      <c r="V523" s="197"/>
      <c r="W523" s="197"/>
      <c r="X523" s="197"/>
      <c r="Y523" s="197"/>
      <c r="Z523" s="197"/>
      <c r="AA523" s="197"/>
      <c r="AB523" s="197"/>
      <c r="AC523" s="197"/>
      <c r="AD523" s="197"/>
      <c r="AE523" s="197"/>
      <c r="AF523" s="197"/>
      <c r="AG523" s="197"/>
      <c r="AH523" s="197"/>
      <c r="AI523" s="197"/>
      <c r="AJ523" s="197"/>
      <c r="AK523" s="197"/>
      <c r="AL523" s="197"/>
      <c r="AM523" s="197"/>
      <c r="AN523" s="197"/>
      <c r="AO523" s="197"/>
      <c r="AP523" s="197"/>
      <c r="AQ523" s="197"/>
      <c r="AR523" s="197"/>
      <c r="AS523" s="197"/>
      <c r="AT523" s="197"/>
      <c r="AU523" s="197"/>
      <c r="AV523" s="197"/>
      <c r="AW523" s="197"/>
      <c r="AX523" s="197"/>
      <c r="AY523" s="197"/>
      <c r="AZ523" s="197"/>
      <c r="BA523" s="197"/>
      <c r="BB523" s="197"/>
      <c r="BC523" s="197"/>
      <c r="BD523" s="197"/>
      <c r="BE523" s="197"/>
      <c r="BF523" s="197"/>
      <c r="BG523" s="197"/>
      <c r="BH523" s="197"/>
      <c r="BI523" s="197"/>
      <c r="BJ523" s="197"/>
      <c r="BK523" s="197"/>
      <c r="BL523" s="197"/>
      <c r="BM523" s="197"/>
      <c r="BN523" s="197"/>
      <c r="BO523" s="197"/>
      <c r="BP523" s="197"/>
    </row>
    <row r="524" spans="1:68" ht="20" customHeight="1" x14ac:dyDescent="0.15">
      <c r="A524" s="197"/>
      <c r="B524" s="197"/>
      <c r="C524" s="193"/>
      <c r="D524" s="197"/>
      <c r="E524" s="197"/>
      <c r="F524" s="214"/>
      <c r="G524" s="197"/>
      <c r="H524" s="197"/>
      <c r="I524" s="197"/>
      <c r="J524" s="197"/>
      <c r="K524" s="197"/>
      <c r="L524" s="197"/>
      <c r="M524" s="197"/>
      <c r="N524" s="197"/>
      <c r="O524" s="197"/>
      <c r="P524" s="197"/>
      <c r="Q524" s="197"/>
      <c r="R524" s="197"/>
      <c r="S524" s="197"/>
      <c r="T524" s="197"/>
      <c r="U524" s="197"/>
      <c r="V524" s="197"/>
      <c r="W524" s="197"/>
      <c r="X524" s="197"/>
      <c r="Y524" s="197"/>
      <c r="Z524" s="197"/>
      <c r="AA524" s="197"/>
      <c r="AB524" s="197"/>
      <c r="AC524" s="197"/>
      <c r="AD524" s="197"/>
      <c r="AE524" s="197"/>
      <c r="AF524" s="197"/>
      <c r="AG524" s="197"/>
      <c r="AH524" s="197"/>
      <c r="AI524" s="197"/>
      <c r="AJ524" s="197"/>
      <c r="AK524" s="197"/>
      <c r="AL524" s="197"/>
      <c r="AM524" s="197"/>
      <c r="AN524" s="197"/>
      <c r="AO524" s="197"/>
      <c r="AP524" s="197"/>
      <c r="AQ524" s="197"/>
      <c r="AR524" s="197"/>
      <c r="AS524" s="197"/>
      <c r="AT524" s="197"/>
      <c r="AU524" s="197"/>
      <c r="AV524" s="197"/>
      <c r="AW524" s="197"/>
      <c r="AX524" s="197"/>
      <c r="AY524" s="197"/>
      <c r="AZ524" s="197"/>
      <c r="BA524" s="197"/>
      <c r="BB524" s="197"/>
      <c r="BC524" s="197"/>
      <c r="BD524" s="197"/>
      <c r="BE524" s="197"/>
      <c r="BF524" s="197"/>
      <c r="BG524" s="197"/>
      <c r="BH524" s="197"/>
      <c r="BI524" s="197"/>
      <c r="BJ524" s="197"/>
      <c r="BK524" s="197"/>
      <c r="BL524" s="197"/>
      <c r="BM524" s="197"/>
      <c r="BN524" s="197"/>
      <c r="BO524" s="197"/>
      <c r="BP524" s="197"/>
    </row>
    <row r="525" spans="1:68" ht="20" customHeight="1" x14ac:dyDescent="0.15">
      <c r="A525" s="197"/>
      <c r="B525" s="197"/>
      <c r="C525" s="193"/>
      <c r="D525" s="197"/>
      <c r="E525" s="197"/>
      <c r="F525" s="214"/>
      <c r="G525" s="197"/>
      <c r="H525" s="197"/>
      <c r="I525" s="197"/>
      <c r="J525" s="197"/>
      <c r="K525" s="197"/>
      <c r="L525" s="197"/>
      <c r="M525" s="197"/>
      <c r="N525" s="197"/>
      <c r="O525" s="197"/>
      <c r="P525" s="197"/>
      <c r="Q525" s="197"/>
      <c r="R525" s="197"/>
      <c r="S525" s="197"/>
      <c r="T525" s="197"/>
      <c r="U525" s="197"/>
      <c r="V525" s="197"/>
      <c r="W525" s="197"/>
      <c r="X525" s="197"/>
      <c r="Y525" s="197"/>
      <c r="Z525" s="197"/>
      <c r="AA525" s="197"/>
      <c r="AB525" s="197"/>
      <c r="AC525" s="197"/>
      <c r="AD525" s="197"/>
      <c r="AE525" s="197"/>
      <c r="AF525" s="197"/>
      <c r="AG525" s="197"/>
      <c r="AH525" s="197"/>
      <c r="AI525" s="197"/>
      <c r="AJ525" s="197"/>
      <c r="AK525" s="197"/>
      <c r="AL525" s="197"/>
      <c r="AM525" s="197"/>
      <c r="AN525" s="197"/>
      <c r="AO525" s="197"/>
      <c r="AP525" s="197"/>
      <c r="AQ525" s="197"/>
      <c r="AR525" s="197"/>
      <c r="AS525" s="197"/>
      <c r="AT525" s="197"/>
      <c r="AU525" s="197"/>
      <c r="AV525" s="197"/>
      <c r="AW525" s="197"/>
      <c r="AX525" s="197"/>
      <c r="AY525" s="197"/>
      <c r="AZ525" s="197"/>
      <c r="BA525" s="197"/>
      <c r="BB525" s="197"/>
      <c r="BC525" s="197"/>
      <c r="BD525" s="197"/>
      <c r="BE525" s="197"/>
      <c r="BF525" s="197"/>
      <c r="BG525" s="197"/>
      <c r="BH525" s="197"/>
      <c r="BI525" s="197"/>
      <c r="BJ525" s="197"/>
      <c r="BK525" s="197"/>
      <c r="BL525" s="197"/>
      <c r="BM525" s="197"/>
      <c r="BN525" s="197"/>
      <c r="BO525" s="197"/>
      <c r="BP525" s="197"/>
    </row>
    <row r="526" spans="1:68" ht="20" customHeight="1" x14ac:dyDescent="0.15">
      <c r="A526" s="197"/>
      <c r="B526" s="197"/>
      <c r="C526" s="193"/>
      <c r="D526" s="197"/>
      <c r="E526" s="197"/>
      <c r="F526" s="214"/>
      <c r="G526" s="197"/>
      <c r="H526" s="197"/>
      <c r="I526" s="197"/>
      <c r="J526" s="197"/>
      <c r="K526" s="197"/>
      <c r="L526" s="197"/>
      <c r="M526" s="197"/>
      <c r="N526" s="197"/>
      <c r="O526" s="197"/>
      <c r="P526" s="197"/>
      <c r="Q526" s="197"/>
      <c r="R526" s="197"/>
      <c r="S526" s="197"/>
      <c r="T526" s="197"/>
      <c r="U526" s="197"/>
      <c r="V526" s="197"/>
      <c r="W526" s="197"/>
      <c r="X526" s="197"/>
      <c r="Y526" s="197"/>
      <c r="Z526" s="197"/>
      <c r="AA526" s="197"/>
      <c r="AB526" s="197"/>
      <c r="AC526" s="197"/>
      <c r="AD526" s="197"/>
      <c r="AE526" s="197"/>
      <c r="AF526" s="197"/>
      <c r="AG526" s="197"/>
      <c r="AH526" s="197"/>
      <c r="AI526" s="197"/>
      <c r="AJ526" s="197"/>
      <c r="AK526" s="197"/>
      <c r="AL526" s="197"/>
      <c r="AM526" s="197"/>
      <c r="AN526" s="197"/>
      <c r="AO526" s="197"/>
      <c r="AP526" s="197"/>
      <c r="AQ526" s="197"/>
      <c r="AR526" s="197"/>
      <c r="AS526" s="197"/>
      <c r="AT526" s="197"/>
      <c r="AU526" s="197"/>
      <c r="AV526" s="197"/>
      <c r="AW526" s="197"/>
      <c r="AX526" s="197"/>
      <c r="AY526" s="197"/>
      <c r="AZ526" s="197"/>
      <c r="BA526" s="197"/>
      <c r="BB526" s="197"/>
      <c r="BC526" s="197"/>
      <c r="BD526" s="197"/>
      <c r="BE526" s="197"/>
      <c r="BF526" s="197"/>
      <c r="BG526" s="197"/>
      <c r="BH526" s="197"/>
      <c r="BI526" s="197"/>
      <c r="BJ526" s="197"/>
      <c r="BK526" s="197"/>
      <c r="BL526" s="197"/>
      <c r="BM526" s="197"/>
      <c r="BN526" s="197"/>
      <c r="BO526" s="197"/>
      <c r="BP526" s="197"/>
    </row>
    <row r="527" spans="1:68" ht="20" customHeight="1" x14ac:dyDescent="0.15">
      <c r="A527" s="197"/>
      <c r="B527" s="197"/>
      <c r="C527" s="193"/>
      <c r="D527" s="197"/>
      <c r="E527" s="197"/>
      <c r="F527" s="214"/>
      <c r="G527" s="197"/>
      <c r="H527" s="197"/>
      <c r="I527" s="197"/>
      <c r="J527" s="197"/>
      <c r="K527" s="197"/>
      <c r="L527" s="197"/>
      <c r="M527" s="197"/>
      <c r="N527" s="197"/>
      <c r="O527" s="197"/>
      <c r="P527" s="197"/>
      <c r="Q527" s="197"/>
      <c r="R527" s="197"/>
      <c r="S527" s="197"/>
      <c r="T527" s="197"/>
      <c r="U527" s="197"/>
      <c r="V527" s="197"/>
      <c r="W527" s="197"/>
      <c r="X527" s="197"/>
      <c r="Y527" s="197"/>
      <c r="Z527" s="197"/>
      <c r="AA527" s="197"/>
      <c r="AB527" s="197"/>
      <c r="AC527" s="197"/>
      <c r="AD527" s="197"/>
      <c r="AE527" s="197"/>
      <c r="AF527" s="197"/>
      <c r="AG527" s="197"/>
      <c r="AH527" s="197"/>
      <c r="AI527" s="197"/>
      <c r="AJ527" s="197"/>
      <c r="AK527" s="197"/>
      <c r="AL527" s="197"/>
      <c r="AM527" s="197"/>
      <c r="AN527" s="197"/>
      <c r="AO527" s="197"/>
      <c r="AP527" s="197"/>
      <c r="AQ527" s="197"/>
      <c r="AR527" s="197"/>
      <c r="AS527" s="197"/>
      <c r="AT527" s="197"/>
      <c r="AU527" s="197"/>
      <c r="AV527" s="197"/>
      <c r="AW527" s="197"/>
      <c r="AX527" s="197"/>
      <c r="AY527" s="197"/>
      <c r="AZ527" s="197"/>
      <c r="BA527" s="197"/>
      <c r="BB527" s="197"/>
      <c r="BC527" s="197"/>
      <c r="BD527" s="197"/>
      <c r="BE527" s="197"/>
      <c r="BF527" s="197"/>
      <c r="BG527" s="197"/>
      <c r="BH527" s="197"/>
      <c r="BI527" s="197"/>
      <c r="BJ527" s="197"/>
      <c r="BK527" s="197"/>
      <c r="BL527" s="197"/>
      <c r="BM527" s="197"/>
      <c r="BN527" s="197"/>
      <c r="BO527" s="197"/>
      <c r="BP527" s="197"/>
    </row>
    <row r="528" spans="1:68" ht="20" customHeight="1" x14ac:dyDescent="0.15">
      <c r="A528" s="197"/>
      <c r="B528" s="197"/>
      <c r="C528" s="193"/>
      <c r="D528" s="197"/>
      <c r="E528" s="197"/>
      <c r="F528" s="214"/>
      <c r="G528" s="197"/>
      <c r="H528" s="197"/>
      <c r="I528" s="197"/>
      <c r="J528" s="197"/>
      <c r="K528" s="197"/>
      <c r="L528" s="197"/>
      <c r="M528" s="197"/>
      <c r="N528" s="197"/>
      <c r="O528" s="197"/>
      <c r="P528" s="197"/>
      <c r="Q528" s="197"/>
      <c r="R528" s="197"/>
      <c r="S528" s="197"/>
      <c r="T528" s="197"/>
      <c r="U528" s="197"/>
      <c r="V528" s="197"/>
      <c r="W528" s="197"/>
      <c r="X528" s="197"/>
      <c r="Y528" s="197"/>
      <c r="Z528" s="197"/>
      <c r="AA528" s="197"/>
      <c r="AB528" s="197"/>
      <c r="AC528" s="197"/>
      <c r="AD528" s="197"/>
      <c r="AE528" s="197"/>
      <c r="AF528" s="197"/>
      <c r="AG528" s="197"/>
      <c r="AH528" s="197"/>
      <c r="AI528" s="197"/>
      <c r="AJ528" s="197"/>
      <c r="AK528" s="197"/>
      <c r="AL528" s="197"/>
      <c r="AM528" s="197"/>
      <c r="AN528" s="197"/>
      <c r="AO528" s="197"/>
      <c r="AP528" s="197"/>
      <c r="AQ528" s="197"/>
      <c r="AR528" s="197"/>
      <c r="AS528" s="197"/>
      <c r="AT528" s="197"/>
      <c r="AU528" s="197"/>
      <c r="AV528" s="197"/>
      <c r="AW528" s="197"/>
      <c r="AX528" s="197"/>
      <c r="AY528" s="197"/>
      <c r="AZ528" s="197"/>
      <c r="BA528" s="197"/>
      <c r="BB528" s="197"/>
      <c r="BC528" s="197"/>
      <c r="BD528" s="197"/>
      <c r="BE528" s="197"/>
      <c r="BF528" s="197"/>
      <c r="BG528" s="197"/>
      <c r="BH528" s="197"/>
      <c r="BI528" s="197"/>
      <c r="BJ528" s="197"/>
      <c r="BK528" s="197"/>
      <c r="BL528" s="197"/>
      <c r="BM528" s="197"/>
      <c r="BN528" s="197"/>
      <c r="BO528" s="197"/>
      <c r="BP528" s="197"/>
    </row>
    <row r="529" spans="1:68" ht="20" customHeight="1" x14ac:dyDescent="0.15">
      <c r="A529" s="197"/>
      <c r="B529" s="197"/>
      <c r="C529" s="193"/>
      <c r="D529" s="197"/>
      <c r="E529" s="197"/>
      <c r="F529" s="214"/>
      <c r="G529" s="197"/>
      <c r="H529" s="197"/>
      <c r="I529" s="197"/>
      <c r="J529" s="197"/>
      <c r="K529" s="197"/>
      <c r="L529" s="197"/>
      <c r="M529" s="197"/>
      <c r="N529" s="197"/>
      <c r="O529" s="197"/>
      <c r="P529" s="197"/>
      <c r="Q529" s="197"/>
      <c r="R529" s="197"/>
      <c r="S529" s="197"/>
      <c r="T529" s="197"/>
      <c r="U529" s="197"/>
      <c r="V529" s="197"/>
      <c r="W529" s="197"/>
      <c r="X529" s="197"/>
      <c r="Y529" s="197"/>
      <c r="Z529" s="197"/>
      <c r="AA529" s="197"/>
      <c r="AB529" s="197"/>
      <c r="AC529" s="197"/>
      <c r="AD529" s="197"/>
      <c r="AE529" s="197"/>
      <c r="AF529" s="197"/>
      <c r="AG529" s="197"/>
      <c r="AH529" s="197"/>
      <c r="AI529" s="197"/>
      <c r="AJ529" s="197"/>
      <c r="AK529" s="197"/>
      <c r="AL529" s="197"/>
      <c r="AM529" s="197"/>
      <c r="AN529" s="197"/>
      <c r="AO529" s="197"/>
      <c r="AP529" s="197"/>
      <c r="AQ529" s="197"/>
      <c r="AR529" s="197"/>
      <c r="AS529" s="197"/>
      <c r="AT529" s="197"/>
      <c r="AU529" s="197"/>
      <c r="AV529" s="197"/>
      <c r="AW529" s="197"/>
      <c r="AX529" s="197"/>
      <c r="AY529" s="197"/>
      <c r="AZ529" s="197"/>
      <c r="BA529" s="197"/>
      <c r="BB529" s="197"/>
      <c r="BC529" s="197"/>
      <c r="BD529" s="197"/>
      <c r="BE529" s="197"/>
      <c r="BF529" s="197"/>
      <c r="BG529" s="197"/>
      <c r="BH529" s="197"/>
      <c r="BI529" s="197"/>
      <c r="BJ529" s="197"/>
      <c r="BK529" s="197"/>
      <c r="BL529" s="197"/>
      <c r="BM529" s="197"/>
      <c r="BN529" s="197"/>
      <c r="BO529" s="197"/>
      <c r="BP529" s="197"/>
    </row>
    <row r="530" spans="1:68" ht="20" customHeight="1" x14ac:dyDescent="0.15">
      <c r="A530" s="197"/>
      <c r="B530" s="197"/>
      <c r="C530" s="193"/>
      <c r="D530" s="197"/>
      <c r="E530" s="197"/>
      <c r="F530" s="214"/>
      <c r="G530" s="197"/>
      <c r="H530" s="197"/>
      <c r="I530" s="197"/>
      <c r="J530" s="197"/>
      <c r="K530" s="197"/>
      <c r="L530" s="197"/>
      <c r="M530" s="197"/>
      <c r="N530" s="197"/>
      <c r="O530" s="197"/>
      <c r="P530" s="197"/>
      <c r="Q530" s="197"/>
      <c r="R530" s="197"/>
      <c r="S530" s="197"/>
      <c r="T530" s="197"/>
      <c r="U530" s="197"/>
      <c r="V530" s="197"/>
      <c r="W530" s="197"/>
      <c r="X530" s="197"/>
      <c r="Y530" s="197"/>
      <c r="Z530" s="197"/>
      <c r="AA530" s="197"/>
      <c r="AB530" s="197"/>
      <c r="AC530" s="197"/>
      <c r="AD530" s="197"/>
      <c r="AE530" s="197"/>
      <c r="AF530" s="197"/>
      <c r="AG530" s="197"/>
      <c r="AH530" s="197"/>
      <c r="AI530" s="197"/>
      <c r="AJ530" s="197"/>
      <c r="AK530" s="197"/>
      <c r="AL530" s="197"/>
      <c r="AM530" s="197"/>
      <c r="AN530" s="197"/>
      <c r="AO530" s="197"/>
      <c r="AP530" s="197"/>
      <c r="AQ530" s="197"/>
      <c r="AR530" s="197"/>
      <c r="AS530" s="197"/>
      <c r="AT530" s="197"/>
      <c r="AU530" s="197"/>
      <c r="AV530" s="197"/>
      <c r="AW530" s="197"/>
      <c r="AX530" s="197"/>
      <c r="AY530" s="197"/>
      <c r="AZ530" s="197"/>
      <c r="BA530" s="197"/>
      <c r="BB530" s="197"/>
      <c r="BC530" s="197"/>
      <c r="BD530" s="197"/>
      <c r="BE530" s="197"/>
      <c r="BF530" s="197"/>
      <c r="BG530" s="197"/>
      <c r="BH530" s="197"/>
      <c r="BI530" s="197"/>
      <c r="BJ530" s="197"/>
      <c r="BK530" s="197"/>
      <c r="BL530" s="197"/>
      <c r="BM530" s="197"/>
      <c r="BN530" s="197"/>
      <c r="BO530" s="197"/>
      <c r="BP530" s="197"/>
    </row>
    <row r="531" spans="1:68" ht="20" customHeight="1" x14ac:dyDescent="0.15">
      <c r="A531" s="197"/>
      <c r="B531" s="197"/>
      <c r="C531" s="193"/>
      <c r="D531" s="197"/>
      <c r="E531" s="197"/>
      <c r="F531" s="214"/>
      <c r="G531" s="197"/>
      <c r="H531" s="197"/>
      <c r="I531" s="197"/>
      <c r="J531" s="197"/>
      <c r="K531" s="197"/>
      <c r="L531" s="197"/>
      <c r="M531" s="197"/>
      <c r="N531" s="197"/>
      <c r="O531" s="197"/>
      <c r="P531" s="197"/>
      <c r="Q531" s="197"/>
      <c r="R531" s="197"/>
      <c r="S531" s="197"/>
      <c r="T531" s="197"/>
      <c r="U531" s="197"/>
      <c r="V531" s="197"/>
      <c r="W531" s="197"/>
      <c r="X531" s="197"/>
      <c r="Y531" s="197"/>
      <c r="Z531" s="197"/>
      <c r="AA531" s="197"/>
      <c r="AB531" s="197"/>
      <c r="AC531" s="197"/>
      <c r="AD531" s="197"/>
      <c r="AE531" s="197"/>
      <c r="AF531" s="197"/>
      <c r="AG531" s="197"/>
      <c r="AH531" s="197"/>
      <c r="AI531" s="197"/>
      <c r="AJ531" s="197"/>
      <c r="AK531" s="197"/>
      <c r="AL531" s="197"/>
      <c r="AM531" s="197"/>
      <c r="AN531" s="197"/>
      <c r="AO531" s="197"/>
      <c r="AP531" s="197"/>
      <c r="AQ531" s="197"/>
      <c r="AR531" s="197"/>
      <c r="AS531" s="197"/>
      <c r="AT531" s="197"/>
      <c r="AU531" s="197"/>
      <c r="AV531" s="197"/>
      <c r="AW531" s="197"/>
      <c r="AX531" s="197"/>
      <c r="AY531" s="197"/>
      <c r="AZ531" s="197"/>
      <c r="BA531" s="197"/>
      <c r="BB531" s="197"/>
      <c r="BC531" s="197"/>
      <c r="BD531" s="197"/>
      <c r="BE531" s="197"/>
      <c r="BF531" s="197"/>
      <c r="BG531" s="197"/>
      <c r="BH531" s="197"/>
      <c r="BI531" s="197"/>
      <c r="BJ531" s="197"/>
      <c r="BK531" s="197"/>
      <c r="BL531" s="197"/>
      <c r="BM531" s="197"/>
      <c r="BN531" s="197"/>
      <c r="BO531" s="197"/>
      <c r="BP531" s="197"/>
    </row>
    <row r="532" spans="1:68" ht="20" customHeight="1" x14ac:dyDescent="0.15">
      <c r="A532" s="197"/>
      <c r="B532" s="197"/>
      <c r="C532" s="193"/>
      <c r="D532" s="197"/>
      <c r="E532" s="197"/>
      <c r="F532" s="214"/>
      <c r="G532" s="197"/>
      <c r="H532" s="197"/>
      <c r="I532" s="197"/>
      <c r="J532" s="197"/>
      <c r="K532" s="197"/>
      <c r="L532" s="197"/>
      <c r="M532" s="197"/>
      <c r="N532" s="197"/>
      <c r="O532" s="197"/>
      <c r="P532" s="197"/>
      <c r="Q532" s="197"/>
      <c r="R532" s="197"/>
      <c r="S532" s="197"/>
      <c r="T532" s="197"/>
      <c r="U532" s="197"/>
      <c r="V532" s="197"/>
      <c r="W532" s="197"/>
      <c r="X532" s="197"/>
      <c r="Y532" s="197"/>
      <c r="Z532" s="197"/>
      <c r="AA532" s="197"/>
      <c r="AB532" s="197"/>
      <c r="AC532" s="197"/>
      <c r="AD532" s="197"/>
      <c r="AE532" s="197"/>
      <c r="AF532" s="197"/>
      <c r="AG532" s="197"/>
      <c r="AH532" s="197"/>
      <c r="AI532" s="197"/>
      <c r="AJ532" s="197"/>
      <c r="AK532" s="197"/>
      <c r="AL532" s="197"/>
      <c r="AM532" s="197"/>
      <c r="AN532" s="197"/>
      <c r="AO532" s="197"/>
      <c r="AP532" s="197"/>
      <c r="AQ532" s="197"/>
      <c r="AR532" s="197"/>
      <c r="AS532" s="197"/>
      <c r="AT532" s="197"/>
      <c r="AU532" s="197"/>
      <c r="AV532" s="197"/>
      <c r="AW532" s="197"/>
      <c r="AX532" s="197"/>
      <c r="AY532" s="197"/>
      <c r="AZ532" s="197"/>
      <c r="BA532" s="197"/>
      <c r="BB532" s="197"/>
      <c r="BC532" s="197"/>
      <c r="BD532" s="197"/>
      <c r="BE532" s="197"/>
      <c r="BF532" s="197"/>
      <c r="BG532" s="197"/>
      <c r="BH532" s="197"/>
      <c r="BI532" s="197"/>
      <c r="BJ532" s="197"/>
      <c r="BK532" s="197"/>
      <c r="BL532" s="197"/>
      <c r="BM532" s="197"/>
      <c r="BN532" s="197"/>
      <c r="BO532" s="197"/>
      <c r="BP532" s="197"/>
    </row>
    <row r="533" spans="1:68" ht="20" customHeight="1" x14ac:dyDescent="0.15">
      <c r="A533" s="197"/>
      <c r="B533" s="197"/>
      <c r="C533" s="193"/>
      <c r="D533" s="197"/>
      <c r="E533" s="197"/>
      <c r="F533" s="214"/>
      <c r="G533" s="197"/>
      <c r="H533" s="197"/>
      <c r="I533" s="197"/>
      <c r="J533" s="197"/>
      <c r="K533" s="197"/>
      <c r="L533" s="197"/>
      <c r="M533" s="197"/>
      <c r="N533" s="197"/>
      <c r="O533" s="197"/>
      <c r="P533" s="197"/>
      <c r="Q533" s="197"/>
      <c r="R533" s="197"/>
      <c r="S533" s="197"/>
      <c r="T533" s="197"/>
      <c r="U533" s="197"/>
      <c r="V533" s="197"/>
      <c r="W533" s="197"/>
      <c r="X533" s="197"/>
      <c r="Y533" s="197"/>
      <c r="Z533" s="197"/>
      <c r="AA533" s="197"/>
      <c r="AB533" s="197"/>
      <c r="AC533" s="197"/>
      <c r="AD533" s="197"/>
      <c r="AE533" s="197"/>
      <c r="AF533" s="197"/>
      <c r="AG533" s="197"/>
      <c r="AH533" s="197"/>
      <c r="AI533" s="197"/>
      <c r="AJ533" s="197"/>
      <c r="AK533" s="197"/>
      <c r="AL533" s="197"/>
      <c r="AM533" s="197"/>
      <c r="AN533" s="197"/>
      <c r="AO533" s="197"/>
      <c r="AP533" s="197"/>
      <c r="AQ533" s="197"/>
      <c r="AR533" s="197"/>
      <c r="AS533" s="197"/>
      <c r="AT533" s="197"/>
      <c r="AU533" s="197"/>
      <c r="AV533" s="197"/>
      <c r="AW533" s="197"/>
      <c r="AX533" s="197"/>
      <c r="AY533" s="197"/>
      <c r="AZ533" s="197"/>
      <c r="BA533" s="197"/>
      <c r="BB533" s="197"/>
      <c r="BC533" s="197"/>
      <c r="BD533" s="197"/>
      <c r="BE533" s="197"/>
      <c r="BF533" s="197"/>
      <c r="BG533" s="197"/>
      <c r="BH533" s="197"/>
      <c r="BI533" s="197"/>
      <c r="BJ533" s="197"/>
      <c r="BK533" s="197"/>
      <c r="BL533" s="197"/>
      <c r="BM533" s="197"/>
      <c r="BN533" s="197"/>
      <c r="BO533" s="197"/>
      <c r="BP533" s="197"/>
    </row>
    <row r="534" spans="1:68" ht="20" customHeight="1" x14ac:dyDescent="0.15">
      <c r="A534" s="197"/>
      <c r="B534" s="197"/>
      <c r="C534" s="193"/>
      <c r="D534" s="197"/>
      <c r="E534" s="197"/>
      <c r="F534" s="214"/>
      <c r="G534" s="197"/>
      <c r="H534" s="197"/>
      <c r="I534" s="197"/>
      <c r="J534" s="197"/>
      <c r="K534" s="197"/>
      <c r="L534" s="197"/>
      <c r="M534" s="197"/>
      <c r="N534" s="197"/>
      <c r="O534" s="197"/>
      <c r="P534" s="197"/>
      <c r="Q534" s="197"/>
      <c r="R534" s="197"/>
      <c r="S534" s="197"/>
      <c r="T534" s="197"/>
      <c r="U534" s="197"/>
      <c r="V534" s="197"/>
      <c r="W534" s="197"/>
      <c r="X534" s="197"/>
      <c r="Y534" s="197"/>
      <c r="Z534" s="197"/>
      <c r="AA534" s="197"/>
      <c r="AB534" s="197"/>
      <c r="AC534" s="197"/>
      <c r="AD534" s="197"/>
      <c r="AE534" s="197"/>
      <c r="AF534" s="197"/>
      <c r="AG534" s="197"/>
      <c r="AH534" s="197"/>
      <c r="AI534" s="197"/>
      <c r="AJ534" s="197"/>
      <c r="AK534" s="197"/>
      <c r="AL534" s="197"/>
      <c r="AM534" s="197"/>
      <c r="AN534" s="197"/>
      <c r="AO534" s="197"/>
      <c r="AP534" s="197"/>
      <c r="AQ534" s="197"/>
      <c r="AR534" s="197"/>
      <c r="AS534" s="197"/>
      <c r="AT534" s="197"/>
      <c r="AU534" s="197"/>
      <c r="AV534" s="197"/>
      <c r="AW534" s="197"/>
      <c r="AX534" s="197"/>
      <c r="AY534" s="197"/>
      <c r="AZ534" s="197"/>
      <c r="BA534" s="197"/>
      <c r="BB534" s="197"/>
      <c r="BC534" s="197"/>
      <c r="BD534" s="197"/>
      <c r="BE534" s="197"/>
      <c r="BF534" s="197"/>
      <c r="BG534" s="197"/>
      <c r="BH534" s="197"/>
      <c r="BI534" s="197"/>
      <c r="BJ534" s="197"/>
      <c r="BK534" s="197"/>
      <c r="BL534" s="197"/>
      <c r="BM534" s="197"/>
      <c r="BN534" s="197"/>
      <c r="BO534" s="197"/>
      <c r="BP534" s="197"/>
    </row>
    <row r="535" spans="1:68" ht="20" customHeight="1" x14ac:dyDescent="0.15">
      <c r="A535" s="197"/>
      <c r="B535" s="197"/>
      <c r="C535" s="193"/>
      <c r="D535" s="197"/>
      <c r="E535" s="197"/>
      <c r="F535" s="214"/>
      <c r="G535" s="197"/>
      <c r="H535" s="197"/>
      <c r="I535" s="197"/>
      <c r="J535" s="197"/>
      <c r="K535" s="197"/>
      <c r="L535" s="197"/>
      <c r="M535" s="197"/>
      <c r="N535" s="197"/>
      <c r="O535" s="197"/>
      <c r="P535" s="197"/>
      <c r="Q535" s="197"/>
      <c r="R535" s="197"/>
      <c r="S535" s="197"/>
      <c r="T535" s="197"/>
      <c r="U535" s="197"/>
      <c r="V535" s="197"/>
      <c r="W535" s="197"/>
      <c r="X535" s="197"/>
      <c r="Y535" s="197"/>
      <c r="Z535" s="197"/>
      <c r="AA535" s="197"/>
      <c r="AB535" s="197"/>
      <c r="AC535" s="197"/>
      <c r="AD535" s="197"/>
      <c r="AE535" s="197"/>
      <c r="AF535" s="197"/>
      <c r="AG535" s="197"/>
      <c r="AH535" s="197"/>
      <c r="AI535" s="197"/>
      <c r="AJ535" s="197"/>
      <c r="AK535" s="197"/>
      <c r="AL535" s="197"/>
      <c r="AM535" s="197"/>
      <c r="AN535" s="197"/>
      <c r="AO535" s="197"/>
      <c r="AP535" s="197"/>
      <c r="AQ535" s="197"/>
      <c r="AR535" s="197"/>
      <c r="AS535" s="197"/>
      <c r="AT535" s="197"/>
      <c r="AU535" s="197"/>
      <c r="AV535" s="197"/>
      <c r="AW535" s="197"/>
      <c r="AX535" s="197"/>
      <c r="AY535" s="197"/>
      <c r="AZ535" s="197"/>
      <c r="BA535" s="197"/>
      <c r="BB535" s="197"/>
      <c r="BC535" s="197"/>
      <c r="BD535" s="197"/>
      <c r="BE535" s="197"/>
      <c r="BF535" s="197"/>
      <c r="BG535" s="197"/>
      <c r="BH535" s="197"/>
      <c r="BI535" s="197"/>
      <c r="BJ535" s="197"/>
      <c r="BK535" s="197"/>
      <c r="BL535" s="197"/>
      <c r="BM535" s="197"/>
      <c r="BN535" s="197"/>
      <c r="BO535" s="197"/>
      <c r="BP535" s="197"/>
    </row>
    <row r="536" spans="1:68" ht="20" customHeight="1" x14ac:dyDescent="0.15">
      <c r="A536" s="197"/>
      <c r="B536" s="197"/>
      <c r="C536" s="193"/>
      <c r="D536" s="197"/>
      <c r="E536" s="197"/>
      <c r="F536" s="214"/>
      <c r="G536" s="197"/>
      <c r="H536" s="197"/>
      <c r="I536" s="197"/>
      <c r="J536" s="197"/>
      <c r="K536" s="197"/>
      <c r="L536" s="197"/>
      <c r="M536" s="197"/>
      <c r="N536" s="197"/>
      <c r="O536" s="197"/>
      <c r="P536" s="197"/>
      <c r="Q536" s="197"/>
      <c r="R536" s="197"/>
      <c r="S536" s="197"/>
      <c r="T536" s="197"/>
      <c r="U536" s="197"/>
      <c r="V536" s="197"/>
      <c r="W536" s="197"/>
      <c r="X536" s="197"/>
      <c r="Y536" s="197"/>
      <c r="Z536" s="197"/>
      <c r="AA536" s="197"/>
      <c r="AB536" s="197"/>
      <c r="AC536" s="197"/>
      <c r="AD536" s="197"/>
      <c r="AE536" s="197"/>
      <c r="AF536" s="197"/>
      <c r="AG536" s="197"/>
      <c r="AH536" s="197"/>
      <c r="AI536" s="197"/>
      <c r="AJ536" s="197"/>
      <c r="AK536" s="197"/>
      <c r="AL536" s="197"/>
      <c r="AM536" s="197"/>
      <c r="AN536" s="197"/>
      <c r="AO536" s="197"/>
      <c r="AP536" s="197"/>
      <c r="AQ536" s="197"/>
      <c r="AR536" s="197"/>
      <c r="AS536" s="197"/>
      <c r="AT536" s="197"/>
      <c r="AU536" s="197"/>
      <c r="AV536" s="197"/>
      <c r="AW536" s="197"/>
      <c r="AX536" s="197"/>
      <c r="AY536" s="197"/>
      <c r="AZ536" s="197"/>
      <c r="BA536" s="197"/>
      <c r="BB536" s="197"/>
      <c r="BC536" s="197"/>
      <c r="BD536" s="197"/>
      <c r="BE536" s="197"/>
      <c r="BF536" s="197"/>
      <c r="BG536" s="197"/>
      <c r="BH536" s="197"/>
      <c r="BI536" s="197"/>
      <c r="BJ536" s="197"/>
      <c r="BK536" s="197"/>
      <c r="BL536" s="197"/>
      <c r="BM536" s="197"/>
      <c r="BN536" s="197"/>
      <c r="BO536" s="197"/>
      <c r="BP536" s="197"/>
    </row>
    <row r="537" spans="1:68" ht="20" customHeight="1" x14ac:dyDescent="0.15">
      <c r="A537" s="197"/>
      <c r="B537" s="197"/>
      <c r="C537" s="193"/>
      <c r="D537" s="197"/>
      <c r="E537" s="197"/>
      <c r="F537" s="214"/>
      <c r="G537" s="197"/>
      <c r="H537" s="197"/>
      <c r="I537" s="197"/>
      <c r="J537" s="197"/>
      <c r="K537" s="197"/>
      <c r="L537" s="197"/>
      <c r="M537" s="197"/>
      <c r="N537" s="197"/>
      <c r="O537" s="197"/>
      <c r="P537" s="197"/>
      <c r="Q537" s="197"/>
      <c r="R537" s="197"/>
      <c r="S537" s="197"/>
      <c r="T537" s="197"/>
      <c r="U537" s="197"/>
      <c r="V537" s="197"/>
      <c r="W537" s="197"/>
      <c r="X537" s="197"/>
      <c r="Y537" s="197"/>
      <c r="Z537" s="197"/>
      <c r="AA537" s="197"/>
      <c r="AB537" s="197"/>
      <c r="AC537" s="197"/>
      <c r="AD537" s="197"/>
      <c r="AE537" s="197"/>
      <c r="AF537" s="197"/>
      <c r="AG537" s="197"/>
      <c r="AH537" s="197"/>
      <c r="AI537" s="197"/>
      <c r="AJ537" s="197"/>
      <c r="AK537" s="197"/>
      <c r="AL537" s="197"/>
      <c r="AM537" s="197"/>
      <c r="AN537" s="197"/>
      <c r="AO537" s="197"/>
      <c r="AP537" s="197"/>
      <c r="AQ537" s="197"/>
      <c r="AR537" s="197"/>
      <c r="AS537" s="197"/>
      <c r="AT537" s="197"/>
      <c r="AU537" s="197"/>
      <c r="AV537" s="197"/>
      <c r="AW537" s="197"/>
      <c r="AX537" s="197"/>
      <c r="AY537" s="197"/>
      <c r="AZ537" s="197"/>
      <c r="BA537" s="197"/>
      <c r="BB537" s="197"/>
      <c r="BC537" s="197"/>
      <c r="BD537" s="197"/>
      <c r="BE537" s="197"/>
      <c r="BF537" s="197"/>
      <c r="BG537" s="197"/>
      <c r="BH537" s="197"/>
      <c r="BI537" s="197"/>
      <c r="BJ537" s="197"/>
      <c r="BK537" s="197"/>
      <c r="BL537" s="197"/>
      <c r="BM537" s="197"/>
      <c r="BN537" s="197"/>
      <c r="BO537" s="197"/>
      <c r="BP537" s="197"/>
    </row>
    <row r="538" spans="1:68" ht="20" customHeight="1" x14ac:dyDescent="0.15">
      <c r="A538" s="197"/>
      <c r="B538" s="197"/>
      <c r="C538" s="193"/>
      <c r="D538" s="197"/>
      <c r="E538" s="197"/>
      <c r="F538" s="214"/>
      <c r="G538" s="197"/>
      <c r="H538" s="197"/>
      <c r="I538" s="197"/>
      <c r="J538" s="197"/>
      <c r="K538" s="197"/>
      <c r="L538" s="197"/>
      <c r="M538" s="197"/>
      <c r="N538" s="197"/>
      <c r="O538" s="197"/>
      <c r="P538" s="197"/>
      <c r="Q538" s="197"/>
      <c r="R538" s="197"/>
      <c r="S538" s="197"/>
      <c r="T538" s="197"/>
      <c r="U538" s="197"/>
      <c r="V538" s="197"/>
      <c r="W538" s="197"/>
      <c r="X538" s="197"/>
      <c r="Y538" s="197"/>
      <c r="Z538" s="197"/>
      <c r="AA538" s="197"/>
      <c r="AB538" s="197"/>
      <c r="AC538" s="197"/>
      <c r="AD538" s="197"/>
      <c r="AE538" s="197"/>
      <c r="AF538" s="197"/>
      <c r="AG538" s="197"/>
      <c r="AH538" s="197"/>
      <c r="AI538" s="197"/>
      <c r="AJ538" s="197"/>
      <c r="AK538" s="197"/>
      <c r="AL538" s="197"/>
      <c r="AM538" s="197"/>
      <c r="AN538" s="197"/>
      <c r="AO538" s="197"/>
      <c r="AP538" s="197"/>
      <c r="AQ538" s="197"/>
      <c r="AR538" s="197"/>
      <c r="AS538" s="197"/>
      <c r="AT538" s="197"/>
      <c r="AU538" s="197"/>
      <c r="AV538" s="197"/>
      <c r="AW538" s="197"/>
      <c r="AX538" s="197"/>
      <c r="AY538" s="197"/>
      <c r="AZ538" s="197"/>
      <c r="BA538" s="197"/>
      <c r="BB538" s="197"/>
      <c r="BC538" s="197"/>
      <c r="BD538" s="197"/>
      <c r="BE538" s="197"/>
      <c r="BF538" s="197"/>
      <c r="BG538" s="197"/>
      <c r="BH538" s="197"/>
      <c r="BI538" s="197"/>
      <c r="BJ538" s="197"/>
      <c r="BK538" s="197"/>
      <c r="BL538" s="197"/>
      <c r="BM538" s="197"/>
      <c r="BN538" s="197"/>
      <c r="BO538" s="197"/>
      <c r="BP538" s="197"/>
    </row>
    <row r="539" spans="1:68" ht="20" customHeight="1" x14ac:dyDescent="0.15">
      <c r="A539" s="197"/>
      <c r="B539" s="197"/>
      <c r="C539" s="193"/>
      <c r="D539" s="197"/>
      <c r="E539" s="197"/>
      <c r="F539" s="214"/>
      <c r="G539" s="197"/>
      <c r="H539" s="197"/>
      <c r="I539" s="197"/>
      <c r="J539" s="197"/>
      <c r="K539" s="197"/>
      <c r="L539" s="197"/>
      <c r="M539" s="197"/>
      <c r="N539" s="197"/>
      <c r="O539" s="197"/>
      <c r="P539" s="197"/>
      <c r="Q539" s="197"/>
      <c r="R539" s="197"/>
      <c r="S539" s="197"/>
      <c r="T539" s="197"/>
      <c r="U539" s="197"/>
      <c r="V539" s="197"/>
      <c r="W539" s="197"/>
      <c r="X539" s="197"/>
      <c r="Y539" s="197"/>
      <c r="Z539" s="197"/>
      <c r="AA539" s="197"/>
      <c r="AB539" s="197"/>
      <c r="AC539" s="197"/>
      <c r="AD539" s="197"/>
      <c r="AE539" s="197"/>
      <c r="AF539" s="197"/>
      <c r="AG539" s="197"/>
      <c r="AH539" s="197"/>
      <c r="AI539" s="197"/>
      <c r="AJ539" s="197"/>
      <c r="AK539" s="197"/>
      <c r="AL539" s="197"/>
      <c r="AM539" s="197"/>
      <c r="AN539" s="197"/>
      <c r="AO539" s="197"/>
      <c r="AP539" s="197"/>
      <c r="AQ539" s="197"/>
      <c r="AR539" s="197"/>
      <c r="AS539" s="197"/>
      <c r="AT539" s="197"/>
      <c r="AU539" s="197"/>
      <c r="AV539" s="197"/>
      <c r="AW539" s="197"/>
      <c r="AX539" s="197"/>
      <c r="AY539" s="197"/>
      <c r="AZ539" s="197"/>
      <c r="BA539" s="197"/>
      <c r="BB539" s="197"/>
      <c r="BC539" s="197"/>
      <c r="BD539" s="197"/>
      <c r="BE539" s="197"/>
      <c r="BF539" s="197"/>
      <c r="BG539" s="197"/>
      <c r="BH539" s="197"/>
      <c r="BI539" s="197"/>
      <c r="BJ539" s="197"/>
      <c r="BK539" s="197"/>
      <c r="BL539" s="197"/>
      <c r="BM539" s="197"/>
      <c r="BN539" s="197"/>
      <c r="BO539" s="197"/>
      <c r="BP539" s="197"/>
    </row>
    <row r="540" spans="1:68" ht="20" customHeight="1" x14ac:dyDescent="0.15">
      <c r="A540" s="197"/>
      <c r="B540" s="197"/>
      <c r="C540" s="193"/>
      <c r="D540" s="197"/>
      <c r="E540" s="197"/>
      <c r="F540" s="214"/>
      <c r="G540" s="197"/>
      <c r="H540" s="197"/>
      <c r="I540" s="197"/>
      <c r="J540" s="197"/>
      <c r="K540" s="197"/>
      <c r="L540" s="197"/>
      <c r="M540" s="197"/>
      <c r="N540" s="197"/>
      <c r="O540" s="197"/>
      <c r="P540" s="197"/>
      <c r="Q540" s="197"/>
      <c r="R540" s="197"/>
      <c r="S540" s="197"/>
      <c r="T540" s="197"/>
      <c r="U540" s="197"/>
      <c r="V540" s="197"/>
      <c r="W540" s="197"/>
      <c r="X540" s="197"/>
      <c r="Y540" s="197"/>
      <c r="Z540" s="197"/>
      <c r="AA540" s="197"/>
      <c r="AB540" s="197"/>
      <c r="AC540" s="197"/>
      <c r="AD540" s="197"/>
      <c r="AE540" s="197"/>
      <c r="AF540" s="197"/>
      <c r="AG540" s="197"/>
      <c r="AH540" s="197"/>
      <c r="AI540" s="197"/>
      <c r="AJ540" s="197"/>
      <c r="AK540" s="197"/>
      <c r="AL540" s="197"/>
      <c r="AM540" s="197"/>
      <c r="AN540" s="197"/>
      <c r="AO540" s="197"/>
      <c r="AP540" s="197"/>
      <c r="AQ540" s="197"/>
      <c r="AR540" s="197"/>
      <c r="AS540" s="197"/>
      <c r="AT540" s="197"/>
      <c r="AU540" s="197"/>
      <c r="AV540" s="197"/>
      <c r="AW540" s="197"/>
      <c r="AX540" s="197"/>
      <c r="AY540" s="197"/>
      <c r="AZ540" s="197"/>
      <c r="BA540" s="197"/>
      <c r="BB540" s="197"/>
      <c r="BC540" s="197"/>
      <c r="BD540" s="197"/>
      <c r="BE540" s="197"/>
      <c r="BF540" s="197"/>
      <c r="BG540" s="197"/>
      <c r="BH540" s="197"/>
      <c r="BI540" s="197"/>
      <c r="BJ540" s="197"/>
      <c r="BK540" s="197"/>
      <c r="BL540" s="197"/>
      <c r="BM540" s="197"/>
      <c r="BN540" s="197"/>
      <c r="BO540" s="197"/>
      <c r="BP540" s="197"/>
    </row>
    <row r="541" spans="1:68" ht="20" customHeight="1" x14ac:dyDescent="0.15">
      <c r="A541" s="197"/>
      <c r="B541" s="197"/>
      <c r="C541" s="193"/>
      <c r="D541" s="197"/>
      <c r="E541" s="197"/>
      <c r="F541" s="214"/>
      <c r="G541" s="197"/>
      <c r="H541" s="197"/>
      <c r="I541" s="197"/>
      <c r="J541" s="197"/>
      <c r="K541" s="197"/>
      <c r="L541" s="197"/>
      <c r="M541" s="197"/>
      <c r="N541" s="197"/>
      <c r="O541" s="197"/>
      <c r="P541" s="197"/>
      <c r="Q541" s="197"/>
      <c r="R541" s="197"/>
      <c r="S541" s="197"/>
      <c r="T541" s="197"/>
      <c r="U541" s="197"/>
      <c r="V541" s="197"/>
      <c r="W541" s="197"/>
      <c r="X541" s="197"/>
      <c r="Y541" s="197"/>
      <c r="Z541" s="197"/>
      <c r="AA541" s="197"/>
      <c r="AB541" s="197"/>
      <c r="AC541" s="197"/>
      <c r="AD541" s="197"/>
      <c r="AE541" s="197"/>
      <c r="AF541" s="197"/>
      <c r="AG541" s="197"/>
      <c r="AH541" s="197"/>
      <c r="AI541" s="197"/>
      <c r="AJ541" s="197"/>
      <c r="AK541" s="197"/>
      <c r="AL541" s="197"/>
      <c r="AM541" s="197"/>
      <c r="AN541" s="197"/>
      <c r="AO541" s="197"/>
      <c r="AP541" s="197"/>
      <c r="AQ541" s="197"/>
      <c r="AR541" s="197"/>
      <c r="AS541" s="197"/>
      <c r="AT541" s="197"/>
      <c r="AU541" s="197"/>
      <c r="AV541" s="197"/>
      <c r="AW541" s="197"/>
      <c r="AX541" s="197"/>
      <c r="AY541" s="197"/>
      <c r="AZ541" s="197"/>
      <c r="BA541" s="197"/>
      <c r="BB541" s="197"/>
      <c r="BC541" s="197"/>
      <c r="BD541" s="197"/>
      <c r="BE541" s="197"/>
      <c r="BF541" s="197"/>
      <c r="BG541" s="197"/>
      <c r="BH541" s="197"/>
      <c r="BI541" s="197"/>
      <c r="BJ541" s="197"/>
      <c r="BK541" s="197"/>
      <c r="BL541" s="197"/>
      <c r="BM541" s="197"/>
      <c r="BN541" s="197"/>
      <c r="BO541" s="197"/>
      <c r="BP541" s="197"/>
    </row>
    <row r="542" spans="1:68" ht="20" customHeight="1" x14ac:dyDescent="0.15">
      <c r="A542" s="197"/>
      <c r="B542" s="197"/>
      <c r="C542" s="193"/>
      <c r="D542" s="197"/>
      <c r="E542" s="197"/>
      <c r="F542" s="214"/>
      <c r="G542" s="197"/>
      <c r="H542" s="197"/>
      <c r="I542" s="197"/>
      <c r="J542" s="197"/>
      <c r="K542" s="197"/>
      <c r="L542" s="197"/>
      <c r="M542" s="197"/>
      <c r="N542" s="197"/>
      <c r="O542" s="197"/>
      <c r="P542" s="197"/>
      <c r="Q542" s="197"/>
      <c r="R542" s="197"/>
      <c r="S542" s="197"/>
      <c r="T542" s="197"/>
      <c r="U542" s="197"/>
      <c r="V542" s="197"/>
      <c r="W542" s="197"/>
      <c r="X542" s="197"/>
      <c r="Y542" s="197"/>
      <c r="Z542" s="197"/>
      <c r="AA542" s="197"/>
      <c r="AB542" s="197"/>
      <c r="AC542" s="197"/>
      <c r="AD542" s="197"/>
      <c r="AE542" s="197"/>
      <c r="AF542" s="197"/>
      <c r="AG542" s="197"/>
      <c r="AH542" s="197"/>
      <c r="AI542" s="197"/>
      <c r="AJ542" s="197"/>
      <c r="AK542" s="197"/>
      <c r="AL542" s="197"/>
      <c r="AM542" s="197"/>
      <c r="AN542" s="197"/>
      <c r="AO542" s="197"/>
      <c r="AP542" s="197"/>
      <c r="AQ542" s="197"/>
      <c r="AR542" s="197"/>
      <c r="AS542" s="197"/>
      <c r="AT542" s="197"/>
      <c r="AU542" s="197"/>
      <c r="AV542" s="197"/>
      <c r="AW542" s="197"/>
      <c r="AX542" s="197"/>
      <c r="AY542" s="197"/>
      <c r="AZ542" s="197"/>
      <c r="BA542" s="197"/>
      <c r="BB542" s="197"/>
      <c r="BC542" s="197"/>
      <c r="BD542" s="197"/>
      <c r="BE542" s="197"/>
      <c r="BF542" s="197"/>
      <c r="BG542" s="197"/>
      <c r="BH542" s="197"/>
      <c r="BI542" s="197"/>
      <c r="BJ542" s="197"/>
      <c r="BK542" s="197"/>
      <c r="BL542" s="197"/>
      <c r="BM542" s="197"/>
      <c r="BN542" s="197"/>
      <c r="BO542" s="197"/>
      <c r="BP542" s="197"/>
    </row>
    <row r="543" spans="1:68" ht="20" customHeight="1" x14ac:dyDescent="0.15">
      <c r="A543" s="197"/>
      <c r="B543" s="197"/>
      <c r="C543" s="193"/>
      <c r="D543" s="197"/>
      <c r="E543" s="197"/>
      <c r="F543" s="214"/>
      <c r="G543" s="197"/>
      <c r="H543" s="197"/>
      <c r="I543" s="197"/>
      <c r="J543" s="197"/>
      <c r="K543" s="197"/>
      <c r="L543" s="197"/>
      <c r="M543" s="197"/>
      <c r="N543" s="197"/>
      <c r="O543" s="197"/>
      <c r="P543" s="197"/>
      <c r="Q543" s="197"/>
      <c r="R543" s="197"/>
      <c r="S543" s="197"/>
      <c r="T543" s="197"/>
      <c r="U543" s="197"/>
      <c r="V543" s="197"/>
      <c r="W543" s="197"/>
      <c r="X543" s="197"/>
      <c r="Y543" s="197"/>
      <c r="Z543" s="197"/>
      <c r="AA543" s="197"/>
      <c r="AB543" s="197"/>
      <c r="AC543" s="197"/>
      <c r="AD543" s="197"/>
      <c r="AE543" s="197"/>
      <c r="AF543" s="197"/>
      <c r="AG543" s="197"/>
      <c r="AH543" s="197"/>
      <c r="AI543" s="197"/>
      <c r="AJ543" s="197"/>
      <c r="AK543" s="197"/>
      <c r="AL543" s="197"/>
      <c r="AM543" s="197"/>
      <c r="AN543" s="197"/>
      <c r="AO543" s="197"/>
      <c r="AP543" s="197"/>
      <c r="AQ543" s="197"/>
      <c r="AR543" s="197"/>
      <c r="AS543" s="197"/>
      <c r="AT543" s="197"/>
      <c r="AU543" s="197"/>
      <c r="AV543" s="197"/>
      <c r="AW543" s="197"/>
      <c r="AX543" s="197"/>
      <c r="AY543" s="197"/>
      <c r="AZ543" s="197"/>
      <c r="BA543" s="197"/>
      <c r="BB543" s="197"/>
      <c r="BC543" s="197"/>
      <c r="BD543" s="197"/>
      <c r="BE543" s="197"/>
      <c r="BF543" s="197"/>
      <c r="BG543" s="197"/>
      <c r="BH543" s="197"/>
      <c r="BI543" s="197"/>
      <c r="BJ543" s="197"/>
      <c r="BK543" s="197"/>
      <c r="BL543" s="197"/>
      <c r="BM543" s="197"/>
      <c r="BN543" s="197"/>
      <c r="BO543" s="197"/>
      <c r="BP543" s="197"/>
    </row>
    <row r="544" spans="1:68" ht="20" customHeight="1" x14ac:dyDescent="0.15">
      <c r="A544" s="197"/>
      <c r="B544" s="197"/>
      <c r="C544" s="193"/>
      <c r="D544" s="197"/>
      <c r="E544" s="197"/>
      <c r="F544" s="214"/>
      <c r="G544" s="197"/>
      <c r="H544" s="197"/>
      <c r="I544" s="197"/>
      <c r="J544" s="197"/>
      <c r="K544" s="197"/>
      <c r="L544" s="197"/>
      <c r="M544" s="197"/>
      <c r="N544" s="197"/>
      <c r="O544" s="197"/>
      <c r="P544" s="197"/>
      <c r="Q544" s="197"/>
      <c r="R544" s="197"/>
      <c r="S544" s="197"/>
      <c r="T544" s="197"/>
      <c r="U544" s="197"/>
      <c r="V544" s="197"/>
      <c r="W544" s="197"/>
      <c r="X544" s="197"/>
      <c r="Y544" s="197"/>
      <c r="Z544" s="197"/>
      <c r="AA544" s="197"/>
      <c r="AB544" s="197"/>
      <c r="AC544" s="197"/>
      <c r="AD544" s="197"/>
      <c r="AE544" s="197"/>
      <c r="AF544" s="197"/>
      <c r="AG544" s="197"/>
      <c r="AH544" s="197"/>
      <c r="AI544" s="197"/>
      <c r="AJ544" s="197"/>
      <c r="AK544" s="197"/>
      <c r="AL544" s="197"/>
      <c r="AM544" s="197"/>
      <c r="AN544" s="197"/>
      <c r="AO544" s="197"/>
      <c r="AP544" s="197"/>
      <c r="AQ544" s="197"/>
      <c r="AR544" s="197"/>
      <c r="AS544" s="197"/>
      <c r="AT544" s="197"/>
      <c r="AU544" s="197"/>
      <c r="AV544" s="197"/>
      <c r="AW544" s="197"/>
      <c r="AX544" s="197"/>
      <c r="AY544" s="197"/>
      <c r="AZ544" s="197"/>
      <c r="BA544" s="197"/>
      <c r="BB544" s="197"/>
      <c r="BC544" s="197"/>
      <c r="BD544" s="197"/>
      <c r="BE544" s="197"/>
      <c r="BF544" s="197"/>
      <c r="BG544" s="197"/>
      <c r="BH544" s="197"/>
      <c r="BI544" s="197"/>
      <c r="BJ544" s="197"/>
      <c r="BK544" s="197"/>
      <c r="BL544" s="197"/>
      <c r="BM544" s="197"/>
      <c r="BN544" s="197"/>
      <c r="BO544" s="197"/>
      <c r="BP544" s="197"/>
    </row>
    <row r="545" spans="1:68" ht="20" customHeight="1" x14ac:dyDescent="0.15">
      <c r="A545" s="197"/>
      <c r="B545" s="197"/>
      <c r="C545" s="193"/>
      <c r="D545" s="197"/>
      <c r="E545" s="197"/>
      <c r="F545" s="214"/>
      <c r="G545" s="197"/>
      <c r="H545" s="197"/>
      <c r="I545" s="197"/>
      <c r="J545" s="197"/>
      <c r="K545" s="197"/>
      <c r="L545" s="197"/>
      <c r="M545" s="197"/>
      <c r="N545" s="197"/>
      <c r="O545" s="197"/>
      <c r="P545" s="197"/>
      <c r="Q545" s="197"/>
      <c r="R545" s="197"/>
      <c r="S545" s="197"/>
      <c r="T545" s="197"/>
      <c r="U545" s="197"/>
      <c r="V545" s="197"/>
      <c r="W545" s="197"/>
      <c r="X545" s="197"/>
      <c r="Y545" s="197"/>
      <c r="Z545" s="197"/>
      <c r="AA545" s="197"/>
      <c r="AB545" s="197"/>
      <c r="AC545" s="197"/>
      <c r="AD545" s="197"/>
      <c r="AE545" s="197"/>
      <c r="AF545" s="197"/>
      <c r="AG545" s="197"/>
      <c r="AH545" s="197"/>
      <c r="AI545" s="197"/>
      <c r="AJ545" s="197"/>
      <c r="AK545" s="197"/>
      <c r="AL545" s="197"/>
      <c r="AM545" s="197"/>
      <c r="AN545" s="197"/>
      <c r="AO545" s="197"/>
      <c r="AP545" s="197"/>
      <c r="AQ545" s="197"/>
      <c r="AR545" s="197"/>
      <c r="AS545" s="197"/>
      <c r="AT545" s="197"/>
      <c r="AU545" s="197"/>
      <c r="AV545" s="197"/>
      <c r="AW545" s="197"/>
      <c r="AX545" s="197"/>
      <c r="AY545" s="197"/>
      <c r="AZ545" s="197"/>
      <c r="BA545" s="197"/>
      <c r="BB545" s="197"/>
      <c r="BC545" s="197"/>
      <c r="BD545" s="197"/>
      <c r="BE545" s="197"/>
      <c r="BF545" s="197"/>
      <c r="BG545" s="197"/>
      <c r="BH545" s="197"/>
      <c r="BI545" s="197"/>
      <c r="BJ545" s="197"/>
      <c r="BK545" s="197"/>
      <c r="BL545" s="197"/>
      <c r="BM545" s="197"/>
      <c r="BN545" s="197"/>
      <c r="BO545" s="197"/>
      <c r="BP545" s="197"/>
    </row>
    <row r="546" spans="1:68" ht="20" customHeight="1" x14ac:dyDescent="0.15">
      <c r="A546" s="197"/>
      <c r="B546" s="197"/>
      <c r="C546" s="193"/>
      <c r="D546" s="197"/>
      <c r="E546" s="197"/>
      <c r="F546" s="214"/>
      <c r="G546" s="197"/>
      <c r="H546" s="197"/>
      <c r="I546" s="197"/>
      <c r="J546" s="197"/>
      <c r="K546" s="197"/>
      <c r="L546" s="197"/>
      <c r="M546" s="197"/>
      <c r="N546" s="197"/>
      <c r="O546" s="197"/>
      <c r="P546" s="197"/>
      <c r="Q546" s="197"/>
      <c r="R546" s="197"/>
      <c r="S546" s="197"/>
      <c r="T546" s="197"/>
      <c r="U546" s="197"/>
      <c r="V546" s="197"/>
      <c r="W546" s="197"/>
      <c r="X546" s="197"/>
      <c r="Y546" s="197"/>
      <c r="Z546" s="197"/>
      <c r="AA546" s="197"/>
      <c r="AB546" s="197"/>
      <c r="AC546" s="197"/>
      <c r="AD546" s="197"/>
      <c r="AE546" s="197"/>
      <c r="AF546" s="197"/>
      <c r="AG546" s="197"/>
      <c r="AH546" s="197"/>
      <c r="AI546" s="197"/>
      <c r="AJ546" s="197"/>
      <c r="AK546" s="197"/>
      <c r="AL546" s="197"/>
      <c r="AM546" s="197"/>
      <c r="AN546" s="197"/>
      <c r="AO546" s="197"/>
      <c r="AP546" s="197"/>
      <c r="AQ546" s="197"/>
      <c r="AR546" s="197"/>
      <c r="AS546" s="197"/>
      <c r="AT546" s="197"/>
      <c r="AU546" s="197"/>
      <c r="AV546" s="197"/>
      <c r="AW546" s="197"/>
      <c r="AX546" s="197"/>
      <c r="AY546" s="197"/>
      <c r="AZ546" s="197"/>
      <c r="BA546" s="197"/>
      <c r="BB546" s="197"/>
      <c r="BC546" s="197"/>
      <c r="BD546" s="197"/>
      <c r="BE546" s="197"/>
      <c r="BF546" s="197"/>
      <c r="BG546" s="197"/>
      <c r="BH546" s="197"/>
      <c r="BI546" s="197"/>
      <c r="BJ546" s="197"/>
      <c r="BK546" s="197"/>
      <c r="BL546" s="197"/>
      <c r="BM546" s="197"/>
      <c r="BN546" s="197"/>
      <c r="BO546" s="197"/>
      <c r="BP546" s="197"/>
    </row>
    <row r="547" spans="1:68" ht="20" customHeight="1" x14ac:dyDescent="0.15">
      <c r="A547" s="197"/>
      <c r="B547" s="197"/>
      <c r="C547" s="193"/>
      <c r="D547" s="197"/>
      <c r="E547" s="197"/>
      <c r="F547" s="214"/>
      <c r="G547" s="197"/>
      <c r="H547" s="197"/>
      <c r="I547" s="197"/>
      <c r="J547" s="197"/>
      <c r="K547" s="197"/>
      <c r="L547" s="197"/>
      <c r="M547" s="197"/>
      <c r="N547" s="197"/>
      <c r="O547" s="197"/>
      <c r="P547" s="197"/>
      <c r="Q547" s="197"/>
      <c r="R547" s="197"/>
      <c r="S547" s="197"/>
      <c r="T547" s="197"/>
      <c r="U547" s="197"/>
      <c r="V547" s="197"/>
      <c r="W547" s="197"/>
      <c r="X547" s="197"/>
      <c r="Y547" s="197"/>
      <c r="Z547" s="197"/>
      <c r="AA547" s="197"/>
      <c r="AB547" s="197"/>
      <c r="AC547" s="197"/>
      <c r="AD547" s="197"/>
      <c r="AE547" s="197"/>
      <c r="AF547" s="197"/>
      <c r="AG547" s="197"/>
      <c r="AH547" s="197"/>
      <c r="AI547" s="197"/>
      <c r="AJ547" s="197"/>
      <c r="AK547" s="197"/>
      <c r="AL547" s="197"/>
      <c r="AM547" s="197"/>
      <c r="AN547" s="197"/>
      <c r="AO547" s="197"/>
      <c r="AP547" s="197"/>
      <c r="AQ547" s="197"/>
      <c r="AR547" s="197"/>
      <c r="AS547" s="197"/>
      <c r="AT547" s="197"/>
      <c r="AU547" s="197"/>
      <c r="AV547" s="197"/>
      <c r="AW547" s="197"/>
      <c r="AX547" s="197"/>
      <c r="AY547" s="197"/>
      <c r="AZ547" s="197"/>
      <c r="BA547" s="197"/>
      <c r="BB547" s="197"/>
      <c r="BC547" s="197"/>
      <c r="BD547" s="197"/>
      <c r="BE547" s="197"/>
      <c r="BF547" s="197"/>
      <c r="BG547" s="197"/>
      <c r="BH547" s="197"/>
      <c r="BI547" s="197"/>
      <c r="BJ547" s="197"/>
      <c r="BK547" s="197"/>
      <c r="BL547" s="197"/>
      <c r="BM547" s="197"/>
      <c r="BN547" s="197"/>
      <c r="BO547" s="197"/>
      <c r="BP547" s="197"/>
    </row>
    <row r="548" spans="1:68" ht="20" customHeight="1" x14ac:dyDescent="0.15">
      <c r="A548" s="197"/>
      <c r="B548" s="197"/>
      <c r="C548" s="193"/>
      <c r="D548" s="197"/>
      <c r="E548" s="197"/>
      <c r="F548" s="214"/>
      <c r="G548" s="197"/>
      <c r="H548" s="197"/>
      <c r="I548" s="197"/>
      <c r="J548" s="197"/>
      <c r="K548" s="197"/>
      <c r="L548" s="197"/>
      <c r="M548" s="197"/>
      <c r="N548" s="197"/>
      <c r="O548" s="197"/>
      <c r="P548" s="197"/>
      <c r="Q548" s="197"/>
      <c r="R548" s="197"/>
      <c r="S548" s="197"/>
      <c r="T548" s="197"/>
      <c r="U548" s="197"/>
      <c r="V548" s="197"/>
      <c r="W548" s="197"/>
      <c r="X548" s="197"/>
      <c r="Y548" s="197"/>
      <c r="Z548" s="197"/>
      <c r="AA548" s="197"/>
      <c r="AB548" s="197"/>
      <c r="AC548" s="197"/>
      <c r="AD548" s="197"/>
      <c r="AE548" s="197"/>
      <c r="AF548" s="197"/>
      <c r="AG548" s="197"/>
      <c r="AH548" s="197"/>
      <c r="AI548" s="197"/>
      <c r="AJ548" s="197"/>
      <c r="AK548" s="197"/>
      <c r="AL548" s="197"/>
      <c r="AM548" s="197"/>
      <c r="AN548" s="197"/>
      <c r="AO548" s="197"/>
      <c r="AP548" s="197"/>
      <c r="AQ548" s="197"/>
      <c r="AR548" s="197"/>
      <c r="AS548" s="197"/>
      <c r="AT548" s="197"/>
      <c r="AU548" s="197"/>
      <c r="AV548" s="197"/>
      <c r="AW548" s="197"/>
      <c r="AX548" s="197"/>
      <c r="AY548" s="197"/>
      <c r="AZ548" s="197"/>
      <c r="BA548" s="197"/>
      <c r="BB548" s="197"/>
      <c r="BC548" s="197"/>
      <c r="BD548" s="197"/>
      <c r="BE548" s="197"/>
      <c r="BF548" s="197"/>
      <c r="BG548" s="197"/>
      <c r="BH548" s="197"/>
      <c r="BI548" s="197"/>
      <c r="BJ548" s="197"/>
      <c r="BK548" s="197"/>
      <c r="BL548" s="197"/>
      <c r="BM548" s="197"/>
      <c r="BN548" s="197"/>
      <c r="BO548" s="197"/>
      <c r="BP548" s="197"/>
    </row>
    <row r="549" spans="1:68" ht="20" customHeight="1" x14ac:dyDescent="0.15">
      <c r="A549" s="197"/>
      <c r="B549" s="197"/>
      <c r="C549" s="193"/>
      <c r="D549" s="197"/>
      <c r="E549" s="197"/>
      <c r="F549" s="214"/>
      <c r="G549" s="197"/>
      <c r="H549" s="197"/>
      <c r="I549" s="197"/>
      <c r="J549" s="197"/>
      <c r="K549" s="197"/>
      <c r="L549" s="197"/>
      <c r="M549" s="197"/>
      <c r="N549" s="197"/>
      <c r="O549" s="197"/>
      <c r="P549" s="197"/>
      <c r="Q549" s="197"/>
      <c r="R549" s="197"/>
      <c r="S549" s="197"/>
      <c r="T549" s="197"/>
      <c r="U549" s="197"/>
      <c r="V549" s="197"/>
      <c r="W549" s="197"/>
      <c r="X549" s="197"/>
      <c r="Y549" s="197"/>
      <c r="Z549" s="197"/>
      <c r="AA549" s="197"/>
      <c r="AB549" s="197"/>
      <c r="AC549" s="197"/>
      <c r="AD549" s="197"/>
      <c r="AE549" s="197"/>
      <c r="AF549" s="197"/>
      <c r="AG549" s="197"/>
      <c r="AH549" s="197"/>
      <c r="AI549" s="197"/>
      <c r="AJ549" s="197"/>
      <c r="AK549" s="197"/>
      <c r="AL549" s="197"/>
      <c r="AM549" s="197"/>
      <c r="AN549" s="197"/>
      <c r="AO549" s="197"/>
      <c r="AP549" s="197"/>
      <c r="AQ549" s="197"/>
      <c r="AR549" s="197"/>
      <c r="AS549" s="197"/>
      <c r="AT549" s="197"/>
      <c r="AU549" s="197"/>
      <c r="AV549" s="197"/>
      <c r="AW549" s="197"/>
      <c r="AX549" s="197"/>
      <c r="AY549" s="197"/>
      <c r="AZ549" s="197"/>
      <c r="BA549" s="197"/>
      <c r="BB549" s="197"/>
      <c r="BC549" s="197"/>
      <c r="BD549" s="197"/>
      <c r="BE549" s="197"/>
      <c r="BF549" s="197"/>
      <c r="BG549" s="197"/>
      <c r="BH549" s="197"/>
      <c r="BI549" s="197"/>
      <c r="BJ549" s="197"/>
      <c r="BK549" s="197"/>
      <c r="BL549" s="197"/>
      <c r="BM549" s="197"/>
      <c r="BN549" s="197"/>
      <c r="BO549" s="197"/>
      <c r="BP549" s="197"/>
    </row>
    <row r="550" spans="1:68" ht="20" customHeight="1" x14ac:dyDescent="0.15">
      <c r="A550" s="197"/>
      <c r="B550" s="197"/>
      <c r="C550" s="193"/>
      <c r="D550" s="197"/>
      <c r="E550" s="197"/>
      <c r="F550" s="214"/>
      <c r="G550" s="197"/>
      <c r="H550" s="197"/>
      <c r="I550" s="197"/>
      <c r="J550" s="197"/>
      <c r="K550" s="197"/>
      <c r="L550" s="197"/>
      <c r="M550" s="197"/>
      <c r="N550" s="197"/>
      <c r="O550" s="197"/>
      <c r="P550" s="197"/>
      <c r="Q550" s="197"/>
      <c r="R550" s="197"/>
      <c r="S550" s="197"/>
      <c r="T550" s="197"/>
      <c r="U550" s="197"/>
      <c r="V550" s="197"/>
      <c r="W550" s="197"/>
      <c r="X550" s="197"/>
      <c r="Y550" s="197"/>
      <c r="Z550" s="197"/>
      <c r="AA550" s="197"/>
      <c r="AB550" s="197"/>
      <c r="AC550" s="197"/>
      <c r="AD550" s="197"/>
      <c r="AE550" s="197"/>
      <c r="AF550" s="197"/>
      <c r="AG550" s="197"/>
      <c r="AH550" s="197"/>
      <c r="AI550" s="197"/>
      <c r="AJ550" s="197"/>
      <c r="AK550" s="197"/>
      <c r="AL550" s="197"/>
      <c r="AM550" s="197"/>
      <c r="AN550" s="197"/>
      <c r="AO550" s="197"/>
      <c r="AP550" s="197"/>
      <c r="AQ550" s="197"/>
      <c r="AR550" s="197"/>
      <c r="AS550" s="197"/>
      <c r="AT550" s="197"/>
      <c r="AU550" s="197"/>
      <c r="AV550" s="197"/>
      <c r="AW550" s="197"/>
      <c r="AX550" s="197"/>
      <c r="AY550" s="197"/>
      <c r="AZ550" s="197"/>
      <c r="BA550" s="197"/>
      <c r="BB550" s="197"/>
      <c r="BC550" s="197"/>
      <c r="BD550" s="197"/>
      <c r="BE550" s="197"/>
      <c r="BF550" s="197"/>
      <c r="BG550" s="197"/>
      <c r="BH550" s="197"/>
      <c r="BI550" s="197"/>
      <c r="BJ550" s="197"/>
      <c r="BK550" s="197"/>
      <c r="BL550" s="197"/>
      <c r="BM550" s="197"/>
      <c r="BN550" s="197"/>
      <c r="BO550" s="197"/>
      <c r="BP550" s="197"/>
    </row>
    <row r="551" spans="1:68" ht="20" customHeight="1" x14ac:dyDescent="0.15">
      <c r="A551" s="197"/>
      <c r="B551" s="197"/>
      <c r="C551" s="193"/>
      <c r="D551" s="197"/>
      <c r="E551" s="197"/>
      <c r="F551" s="214"/>
      <c r="G551" s="197"/>
      <c r="H551" s="197"/>
      <c r="I551" s="197"/>
      <c r="J551" s="197"/>
      <c r="K551" s="197"/>
      <c r="L551" s="197"/>
      <c r="M551" s="197"/>
      <c r="N551" s="197"/>
      <c r="O551" s="197"/>
      <c r="P551" s="197"/>
      <c r="Q551" s="197"/>
      <c r="R551" s="197"/>
      <c r="S551" s="197"/>
      <c r="T551" s="197"/>
      <c r="U551" s="197"/>
      <c r="V551" s="197"/>
      <c r="W551" s="197"/>
      <c r="X551" s="197"/>
      <c r="Y551" s="197"/>
      <c r="Z551" s="197"/>
      <c r="AA551" s="197"/>
      <c r="AB551" s="197"/>
      <c r="AC551" s="197"/>
      <c r="AD551" s="197"/>
      <c r="AE551" s="197"/>
      <c r="AF551" s="197"/>
      <c r="AG551" s="197"/>
      <c r="AH551" s="197"/>
      <c r="AI551" s="197"/>
      <c r="AJ551" s="197"/>
      <c r="AK551" s="197"/>
      <c r="AL551" s="197"/>
      <c r="AM551" s="197"/>
      <c r="AN551" s="197"/>
      <c r="AO551" s="197"/>
      <c r="AP551" s="197"/>
      <c r="AQ551" s="197"/>
      <c r="AR551" s="197"/>
      <c r="AS551" s="197"/>
      <c r="AT551" s="197"/>
      <c r="AU551" s="197"/>
      <c r="AV551" s="197"/>
      <c r="AW551" s="197"/>
      <c r="AX551" s="197"/>
      <c r="AY551" s="197"/>
      <c r="AZ551" s="197"/>
      <c r="BA551" s="197"/>
      <c r="BB551" s="197"/>
      <c r="BC551" s="197"/>
      <c r="BD551" s="197"/>
      <c r="BE551" s="197"/>
      <c r="BF551" s="197"/>
      <c r="BG551" s="197"/>
      <c r="BH551" s="197"/>
      <c r="BI551" s="197"/>
      <c r="BJ551" s="197"/>
      <c r="BK551" s="197"/>
      <c r="BL551" s="197"/>
      <c r="BM551" s="197"/>
      <c r="BN551" s="197"/>
      <c r="BO551" s="197"/>
      <c r="BP551" s="197"/>
    </row>
    <row r="552" spans="1:68" ht="20" customHeight="1" x14ac:dyDescent="0.15">
      <c r="A552" s="197"/>
      <c r="B552" s="197"/>
      <c r="C552" s="193"/>
      <c r="D552" s="197"/>
      <c r="E552" s="197"/>
      <c r="F552" s="214"/>
      <c r="G552" s="197"/>
      <c r="H552" s="197"/>
      <c r="I552" s="197"/>
      <c r="J552" s="197"/>
      <c r="K552" s="197"/>
      <c r="L552" s="197"/>
      <c r="M552" s="197"/>
      <c r="N552" s="197"/>
      <c r="O552" s="197"/>
      <c r="P552" s="197"/>
      <c r="Q552" s="197"/>
      <c r="R552" s="197"/>
      <c r="S552" s="197"/>
      <c r="T552" s="197"/>
      <c r="U552" s="197"/>
      <c r="V552" s="197"/>
      <c r="W552" s="197"/>
      <c r="X552" s="197"/>
      <c r="Y552" s="197"/>
      <c r="Z552" s="197"/>
      <c r="AA552" s="197"/>
      <c r="AB552" s="197"/>
      <c r="AC552" s="197"/>
      <c r="AD552" s="197"/>
      <c r="AE552" s="197"/>
      <c r="AF552" s="197"/>
      <c r="AG552" s="197"/>
      <c r="AH552" s="197"/>
      <c r="AI552" s="197"/>
      <c r="AJ552" s="197"/>
      <c r="AK552" s="197"/>
      <c r="AL552" s="197"/>
      <c r="AM552" s="197"/>
      <c r="AN552" s="197"/>
      <c r="AO552" s="197"/>
      <c r="AP552" s="197"/>
      <c r="AQ552" s="197"/>
      <c r="AR552" s="197"/>
      <c r="AS552" s="197"/>
      <c r="AT552" s="197"/>
      <c r="AU552" s="197"/>
      <c r="AV552" s="197"/>
      <c r="AW552" s="197"/>
      <c r="AX552" s="197"/>
      <c r="AY552" s="197"/>
      <c r="AZ552" s="197"/>
      <c r="BA552" s="197"/>
      <c r="BB552" s="197"/>
      <c r="BC552" s="197"/>
      <c r="BD552" s="197"/>
      <c r="BE552" s="197"/>
      <c r="BF552" s="197"/>
      <c r="BG552" s="197"/>
      <c r="BH552" s="197"/>
      <c r="BI552" s="197"/>
      <c r="BJ552" s="197"/>
      <c r="BK552" s="197"/>
      <c r="BL552" s="197"/>
      <c r="BM552" s="197"/>
      <c r="BN552" s="197"/>
      <c r="BO552" s="197"/>
      <c r="BP552" s="197"/>
    </row>
    <row r="553" spans="1:68" ht="20" customHeight="1" x14ac:dyDescent="0.15">
      <c r="A553" s="197"/>
      <c r="B553" s="197"/>
      <c r="C553" s="193"/>
      <c r="D553" s="197"/>
      <c r="E553" s="197"/>
      <c r="F553" s="214"/>
      <c r="G553" s="197"/>
      <c r="H553" s="197"/>
      <c r="I553" s="197"/>
      <c r="J553" s="197"/>
      <c r="K553" s="197"/>
      <c r="L553" s="197"/>
      <c r="M553" s="197"/>
      <c r="N553" s="197"/>
      <c r="O553" s="197"/>
      <c r="P553" s="197"/>
      <c r="Q553" s="197"/>
      <c r="R553" s="197"/>
      <c r="S553" s="197"/>
      <c r="T553" s="197"/>
      <c r="U553" s="197"/>
      <c r="V553" s="197"/>
      <c r="W553" s="197"/>
      <c r="X553" s="197"/>
      <c r="Y553" s="197"/>
      <c r="Z553" s="197"/>
      <c r="AA553" s="197"/>
      <c r="AB553" s="197"/>
      <c r="AC553" s="197"/>
      <c r="AD553" s="197"/>
      <c r="AE553" s="197"/>
      <c r="AF553" s="197"/>
      <c r="AG553" s="197"/>
      <c r="AH553" s="197"/>
      <c r="AI553" s="197"/>
      <c r="AJ553" s="197"/>
      <c r="AK553" s="197"/>
      <c r="AL553" s="197"/>
      <c r="AM553" s="197"/>
      <c r="AN553" s="197"/>
      <c r="AO553" s="197"/>
      <c r="AP553" s="197"/>
      <c r="AQ553" s="197"/>
      <c r="AR553" s="197"/>
      <c r="AS553" s="197"/>
      <c r="AT553" s="197"/>
      <c r="AU553" s="197"/>
      <c r="AV553" s="197"/>
      <c r="AW553" s="197"/>
      <c r="AX553" s="197"/>
      <c r="AY553" s="197"/>
      <c r="AZ553" s="197"/>
      <c r="BA553" s="197"/>
      <c r="BB553" s="197"/>
      <c r="BC553" s="197"/>
      <c r="BD553" s="197"/>
      <c r="BE553" s="197"/>
      <c r="BF553" s="197"/>
      <c r="BG553" s="197"/>
      <c r="BH553" s="197"/>
      <c r="BI553" s="197"/>
      <c r="BJ553" s="197"/>
      <c r="BK553" s="197"/>
      <c r="BL553" s="197"/>
      <c r="BM553" s="197"/>
      <c r="BN553" s="197"/>
      <c r="BO553" s="197"/>
      <c r="BP553" s="197"/>
    </row>
    <row r="554" spans="1:68" ht="20" customHeight="1" x14ac:dyDescent="0.15">
      <c r="A554" s="197"/>
      <c r="B554" s="197"/>
      <c r="C554" s="193"/>
      <c r="D554" s="197"/>
      <c r="E554" s="197"/>
      <c r="F554" s="214"/>
      <c r="G554" s="197"/>
      <c r="H554" s="197"/>
      <c r="I554" s="197"/>
      <c r="J554" s="197"/>
      <c r="K554" s="197"/>
      <c r="L554" s="197"/>
      <c r="M554" s="197"/>
      <c r="N554" s="197"/>
      <c r="O554" s="197"/>
      <c r="P554" s="197"/>
      <c r="Q554" s="197"/>
      <c r="R554" s="197"/>
      <c r="S554" s="197"/>
      <c r="T554" s="197"/>
      <c r="U554" s="197"/>
      <c r="V554" s="197"/>
      <c r="W554" s="197"/>
      <c r="X554" s="197"/>
      <c r="Y554" s="197"/>
      <c r="Z554" s="197"/>
      <c r="AA554" s="197"/>
      <c r="AB554" s="197"/>
      <c r="AC554" s="197"/>
      <c r="AD554" s="197"/>
      <c r="AE554" s="197"/>
      <c r="AF554" s="197"/>
      <c r="AG554" s="197"/>
      <c r="AH554" s="197"/>
      <c r="AI554" s="197"/>
      <c r="AJ554" s="197"/>
      <c r="AK554" s="197"/>
      <c r="AL554" s="197"/>
      <c r="AM554" s="197"/>
      <c r="AN554" s="197"/>
      <c r="AO554" s="197"/>
      <c r="AP554" s="197"/>
      <c r="AQ554" s="197"/>
      <c r="AR554" s="197"/>
      <c r="AS554" s="197"/>
      <c r="AT554" s="197"/>
      <c r="AU554" s="197"/>
      <c r="AV554" s="197"/>
      <c r="AW554" s="197"/>
      <c r="AX554" s="197"/>
      <c r="AY554" s="197"/>
      <c r="AZ554" s="197"/>
      <c r="BA554" s="197"/>
      <c r="BB554" s="197"/>
      <c r="BC554" s="197"/>
      <c r="BD554" s="197"/>
      <c r="BE554" s="197"/>
      <c r="BF554" s="197"/>
      <c r="BG554" s="197"/>
      <c r="BH554" s="197"/>
      <c r="BI554" s="197"/>
      <c r="BJ554" s="197"/>
      <c r="BK554" s="197"/>
      <c r="BL554" s="197"/>
      <c r="BM554" s="197"/>
      <c r="BN554" s="197"/>
      <c r="BO554" s="197"/>
      <c r="BP554" s="197"/>
    </row>
    <row r="555" spans="1:68" ht="20" customHeight="1" x14ac:dyDescent="0.15">
      <c r="A555" s="197"/>
      <c r="B555" s="197"/>
      <c r="C555" s="193"/>
      <c r="D555" s="197"/>
      <c r="E555" s="197"/>
      <c r="F555" s="214"/>
      <c r="G555" s="197"/>
      <c r="H555" s="197"/>
      <c r="I555" s="197"/>
      <c r="J555" s="197"/>
      <c r="K555" s="197"/>
      <c r="L555" s="197"/>
      <c r="M555" s="197"/>
      <c r="N555" s="197"/>
      <c r="O555" s="197"/>
      <c r="P555" s="197"/>
      <c r="Q555" s="197"/>
      <c r="R555" s="197"/>
      <c r="S555" s="197"/>
      <c r="T555" s="197"/>
      <c r="U555" s="197"/>
      <c r="V555" s="197"/>
      <c r="W555" s="197"/>
      <c r="X555" s="197"/>
      <c r="Y555" s="197"/>
      <c r="Z555" s="197"/>
      <c r="AA555" s="197"/>
      <c r="AB555" s="197"/>
      <c r="AC555" s="197"/>
      <c r="AD555" s="197"/>
      <c r="AE555" s="197"/>
      <c r="AF555" s="197"/>
      <c r="AG555" s="197"/>
      <c r="AH555" s="197"/>
      <c r="AI555" s="197"/>
      <c r="AJ555" s="197"/>
      <c r="AK555" s="197"/>
      <c r="AL555" s="197"/>
      <c r="AM555" s="197"/>
      <c r="AN555" s="197"/>
      <c r="AO555" s="197"/>
      <c r="AP555" s="197"/>
      <c r="AQ555" s="197"/>
      <c r="AR555" s="197"/>
      <c r="AS555" s="197"/>
      <c r="AT555" s="197"/>
      <c r="AU555" s="197"/>
      <c r="AV555" s="197"/>
      <c r="AW555" s="197"/>
      <c r="AX555" s="197"/>
      <c r="AY555" s="197"/>
      <c r="AZ555" s="197"/>
      <c r="BA555" s="197"/>
      <c r="BB555" s="197"/>
      <c r="BC555" s="197"/>
      <c r="BD555" s="197"/>
      <c r="BE555" s="197"/>
      <c r="BF555" s="197"/>
      <c r="BG555" s="197"/>
      <c r="BH555" s="197"/>
      <c r="BI555" s="197"/>
      <c r="BJ555" s="197"/>
      <c r="BK555" s="197"/>
      <c r="BL555" s="197"/>
      <c r="BM555" s="197"/>
      <c r="BN555" s="197"/>
      <c r="BO555" s="197"/>
      <c r="BP555" s="197"/>
    </row>
    <row r="556" spans="1:68" ht="20" customHeight="1" x14ac:dyDescent="0.15">
      <c r="A556" s="197"/>
      <c r="B556" s="197"/>
      <c r="C556" s="193"/>
      <c r="D556" s="197"/>
      <c r="E556" s="197"/>
      <c r="F556" s="214"/>
      <c r="G556" s="197"/>
      <c r="H556" s="197"/>
      <c r="I556" s="197"/>
      <c r="J556" s="197"/>
      <c r="K556" s="197"/>
      <c r="L556" s="197"/>
      <c r="M556" s="197"/>
      <c r="N556" s="197"/>
      <c r="O556" s="197"/>
      <c r="P556" s="197"/>
      <c r="Q556" s="197"/>
      <c r="R556" s="197"/>
      <c r="S556" s="197"/>
      <c r="T556" s="197"/>
      <c r="U556" s="197"/>
      <c r="V556" s="197"/>
      <c r="W556" s="197"/>
      <c r="X556" s="197"/>
      <c r="Y556" s="197"/>
      <c r="Z556" s="197"/>
      <c r="AA556" s="197"/>
      <c r="AB556" s="197"/>
      <c r="AC556" s="197"/>
      <c r="AD556" s="197"/>
      <c r="AE556" s="197"/>
      <c r="AF556" s="197"/>
      <c r="AG556" s="197"/>
      <c r="AH556" s="197"/>
      <c r="AI556" s="197"/>
      <c r="AJ556" s="197"/>
      <c r="AK556" s="197"/>
      <c r="AL556" s="197"/>
      <c r="AM556" s="197"/>
      <c r="AN556" s="197"/>
      <c r="AO556" s="197"/>
      <c r="AP556" s="197"/>
      <c r="AQ556" s="197"/>
      <c r="AR556" s="197"/>
      <c r="AS556" s="197"/>
      <c r="AT556" s="197"/>
      <c r="AU556" s="197"/>
      <c r="AV556" s="197"/>
      <c r="AW556" s="197"/>
      <c r="AX556" s="197"/>
      <c r="AY556" s="197"/>
      <c r="AZ556" s="197"/>
      <c r="BA556" s="197"/>
      <c r="BB556" s="197"/>
      <c r="BC556" s="197"/>
      <c r="BD556" s="197"/>
      <c r="BE556" s="197"/>
      <c r="BF556" s="197"/>
      <c r="BG556" s="197"/>
      <c r="BH556" s="197"/>
      <c r="BI556" s="197"/>
      <c r="BJ556" s="197"/>
      <c r="BK556" s="197"/>
      <c r="BL556" s="197"/>
      <c r="BM556" s="197"/>
      <c r="BN556" s="197"/>
      <c r="BO556" s="197"/>
      <c r="BP556" s="197"/>
    </row>
    <row r="557" spans="1:68" ht="20" customHeight="1" x14ac:dyDescent="0.15">
      <c r="A557" s="197"/>
      <c r="B557" s="197"/>
      <c r="C557" s="193"/>
      <c r="D557" s="197"/>
      <c r="E557" s="197"/>
      <c r="F557" s="214"/>
      <c r="G557" s="197"/>
      <c r="H557" s="197"/>
      <c r="I557" s="197"/>
      <c r="J557" s="197"/>
      <c r="K557" s="197"/>
      <c r="L557" s="197"/>
      <c r="M557" s="197"/>
      <c r="N557" s="197"/>
      <c r="O557" s="197"/>
      <c r="P557" s="197"/>
      <c r="Q557" s="197"/>
      <c r="R557" s="197"/>
      <c r="S557" s="197"/>
      <c r="T557" s="197"/>
      <c r="U557" s="197"/>
      <c r="V557" s="197"/>
      <c r="W557" s="197"/>
      <c r="X557" s="197"/>
      <c r="Y557" s="197"/>
      <c r="Z557" s="197"/>
      <c r="AA557" s="197"/>
      <c r="AB557" s="197"/>
      <c r="AC557" s="197"/>
      <c r="AD557" s="197"/>
      <c r="AE557" s="197"/>
      <c r="AF557" s="197"/>
      <c r="AG557" s="197"/>
      <c r="AH557" s="197"/>
      <c r="AI557" s="197"/>
      <c r="AJ557" s="197"/>
      <c r="AK557" s="197"/>
      <c r="AL557" s="197"/>
      <c r="AM557" s="197"/>
      <c r="AN557" s="197"/>
      <c r="AO557" s="197"/>
      <c r="AP557" s="197"/>
      <c r="AQ557" s="197"/>
      <c r="AR557" s="197"/>
      <c r="AS557" s="197"/>
      <c r="AT557" s="197"/>
      <c r="AU557" s="197"/>
      <c r="AV557" s="197"/>
      <c r="AW557" s="197"/>
      <c r="AX557" s="197"/>
      <c r="AY557" s="197"/>
      <c r="AZ557" s="197"/>
      <c r="BA557" s="197"/>
      <c r="BB557" s="197"/>
      <c r="BC557" s="197"/>
      <c r="BD557" s="197"/>
      <c r="BE557" s="197"/>
      <c r="BF557" s="197"/>
      <c r="BG557" s="197"/>
      <c r="BH557" s="197"/>
      <c r="BI557" s="197"/>
      <c r="BJ557" s="197"/>
      <c r="BK557" s="197"/>
      <c r="BL557" s="197"/>
      <c r="BM557" s="197"/>
      <c r="BN557" s="197"/>
      <c r="BO557" s="197"/>
      <c r="BP557" s="197"/>
    </row>
    <row r="558" spans="1:68" ht="20" customHeight="1" x14ac:dyDescent="0.15">
      <c r="A558" s="197"/>
      <c r="B558" s="197"/>
      <c r="C558" s="193"/>
      <c r="D558" s="197"/>
      <c r="E558" s="197"/>
      <c r="F558" s="214"/>
      <c r="G558" s="197"/>
      <c r="H558" s="197"/>
      <c r="I558" s="197"/>
      <c r="J558" s="197"/>
      <c r="K558" s="197"/>
      <c r="L558" s="197"/>
      <c r="M558" s="197"/>
      <c r="N558" s="197"/>
      <c r="O558" s="197"/>
      <c r="P558" s="197"/>
      <c r="Q558" s="197"/>
      <c r="R558" s="197"/>
      <c r="S558" s="197"/>
      <c r="T558" s="197"/>
      <c r="U558" s="197"/>
      <c r="V558" s="197"/>
      <c r="W558" s="197"/>
      <c r="X558" s="197"/>
      <c r="Y558" s="197"/>
      <c r="Z558" s="197"/>
      <c r="AA558" s="197"/>
      <c r="AB558" s="197"/>
      <c r="AC558" s="197"/>
      <c r="AD558" s="197"/>
      <c r="AE558" s="197"/>
      <c r="AF558" s="197"/>
      <c r="AG558" s="197"/>
      <c r="AH558" s="197"/>
      <c r="AI558" s="197"/>
      <c r="AJ558" s="197"/>
      <c r="AK558" s="197"/>
      <c r="AL558" s="197"/>
      <c r="AM558" s="197"/>
      <c r="AN558" s="197"/>
      <c r="AO558" s="197"/>
      <c r="AP558" s="197"/>
      <c r="AQ558" s="197"/>
      <c r="AR558" s="197"/>
      <c r="AS558" s="197"/>
      <c r="AT558" s="197"/>
      <c r="AU558" s="197"/>
      <c r="AV558" s="197"/>
      <c r="AW558" s="197"/>
      <c r="AX558" s="197"/>
      <c r="AY558" s="197"/>
      <c r="AZ558" s="197"/>
      <c r="BA558" s="197"/>
      <c r="BB558" s="197"/>
      <c r="BC558" s="197"/>
      <c r="BD558" s="197"/>
      <c r="BE558" s="197"/>
      <c r="BF558" s="197"/>
      <c r="BG558" s="197"/>
      <c r="BH558" s="197"/>
      <c r="BI558" s="197"/>
      <c r="BJ558" s="197"/>
      <c r="BK558" s="197"/>
      <c r="BL558" s="197"/>
      <c r="BM558" s="197"/>
      <c r="BN558" s="197"/>
      <c r="BO558" s="197"/>
      <c r="BP558" s="197"/>
    </row>
    <row r="559" spans="1:68" ht="20" customHeight="1" x14ac:dyDescent="0.15">
      <c r="A559" s="197"/>
      <c r="B559" s="197"/>
      <c r="C559" s="193"/>
      <c r="D559" s="197"/>
      <c r="E559" s="197"/>
      <c r="F559" s="214"/>
      <c r="G559" s="197"/>
      <c r="H559" s="197"/>
      <c r="I559" s="197"/>
      <c r="J559" s="197"/>
      <c r="K559" s="197"/>
      <c r="L559" s="197"/>
      <c r="M559" s="197"/>
      <c r="N559" s="197"/>
      <c r="O559" s="197"/>
      <c r="P559" s="197"/>
      <c r="Q559" s="197"/>
      <c r="R559" s="197"/>
      <c r="S559" s="197"/>
      <c r="T559" s="197"/>
      <c r="U559" s="197"/>
      <c r="V559" s="197"/>
      <c r="W559" s="197"/>
      <c r="X559" s="197"/>
      <c r="Y559" s="197"/>
      <c r="Z559" s="197"/>
      <c r="AA559" s="197"/>
      <c r="AB559" s="197"/>
      <c r="AC559" s="197"/>
      <c r="AD559" s="197"/>
      <c r="AE559" s="197"/>
      <c r="AF559" s="197"/>
      <c r="AG559" s="197"/>
      <c r="AH559" s="197"/>
      <c r="AI559" s="197"/>
      <c r="AJ559" s="197"/>
      <c r="AK559" s="197"/>
      <c r="AL559" s="197"/>
      <c r="AM559" s="197"/>
      <c r="AN559" s="197"/>
      <c r="AO559" s="197"/>
      <c r="AP559" s="197"/>
      <c r="AQ559" s="197"/>
      <c r="AR559" s="197"/>
      <c r="AS559" s="197"/>
      <c r="AT559" s="197"/>
      <c r="AU559" s="197"/>
      <c r="AV559" s="197"/>
      <c r="AW559" s="197"/>
      <c r="AX559" s="197"/>
      <c r="AY559" s="197"/>
      <c r="AZ559" s="197"/>
      <c r="BA559" s="197"/>
      <c r="BB559" s="197"/>
      <c r="BC559" s="197"/>
      <c r="BD559" s="197"/>
      <c r="BE559" s="197"/>
      <c r="BF559" s="197"/>
      <c r="BG559" s="197"/>
      <c r="BH559" s="197"/>
      <c r="BI559" s="197"/>
      <c r="BJ559" s="197"/>
      <c r="BK559" s="197"/>
      <c r="BL559" s="197"/>
      <c r="BM559" s="197"/>
      <c r="BN559" s="197"/>
      <c r="BO559" s="197"/>
      <c r="BP559" s="197"/>
    </row>
    <row r="560" spans="1:68" ht="20" customHeight="1" x14ac:dyDescent="0.15">
      <c r="A560" s="197"/>
      <c r="B560" s="197"/>
      <c r="C560" s="193"/>
      <c r="D560" s="197"/>
      <c r="E560" s="197"/>
      <c r="F560" s="214"/>
      <c r="G560" s="197"/>
      <c r="H560" s="197"/>
      <c r="I560" s="197"/>
      <c r="J560" s="197"/>
      <c r="K560" s="197"/>
      <c r="L560" s="197"/>
      <c r="M560" s="197"/>
      <c r="N560" s="197"/>
      <c r="O560" s="197"/>
      <c r="P560" s="197"/>
      <c r="Q560" s="197"/>
      <c r="R560" s="197"/>
      <c r="S560" s="197"/>
      <c r="T560" s="197"/>
      <c r="U560" s="197"/>
      <c r="V560" s="197"/>
      <c r="W560" s="197"/>
      <c r="X560" s="197"/>
      <c r="Y560" s="197"/>
      <c r="Z560" s="197"/>
      <c r="AA560" s="197"/>
      <c r="AB560" s="197"/>
      <c r="AC560" s="197"/>
      <c r="AD560" s="197"/>
      <c r="AE560" s="197"/>
      <c r="AF560" s="197"/>
      <c r="AG560" s="197"/>
      <c r="AH560" s="197"/>
      <c r="AI560" s="197"/>
      <c r="AJ560" s="197"/>
      <c r="AK560" s="197"/>
      <c r="AL560" s="197"/>
      <c r="AM560" s="197"/>
      <c r="AN560" s="197"/>
      <c r="AO560" s="197"/>
      <c r="AP560" s="197"/>
      <c r="AQ560" s="197"/>
      <c r="AR560" s="197"/>
      <c r="AS560" s="197"/>
      <c r="AT560" s="197"/>
      <c r="AU560" s="197"/>
      <c r="AV560" s="197"/>
      <c r="AW560" s="197"/>
      <c r="AX560" s="197"/>
      <c r="AY560" s="197"/>
      <c r="AZ560" s="197"/>
      <c r="BA560" s="197"/>
      <c r="BB560" s="197"/>
      <c r="BC560" s="197"/>
      <c r="BD560" s="197"/>
      <c r="BE560" s="197"/>
      <c r="BF560" s="197"/>
      <c r="BG560" s="197"/>
      <c r="BH560" s="197"/>
      <c r="BI560" s="197"/>
      <c r="BJ560" s="197"/>
      <c r="BK560" s="197"/>
      <c r="BL560" s="197"/>
      <c r="BM560" s="197"/>
      <c r="BN560" s="197"/>
      <c r="BO560" s="197"/>
      <c r="BP560" s="197"/>
    </row>
    <row r="561" spans="1:68" ht="20" customHeight="1" x14ac:dyDescent="0.15">
      <c r="A561" s="197"/>
      <c r="B561" s="197"/>
      <c r="C561" s="193"/>
      <c r="D561" s="197"/>
      <c r="E561" s="197"/>
      <c r="F561" s="214"/>
      <c r="G561" s="197"/>
      <c r="H561" s="197"/>
      <c r="I561" s="197"/>
      <c r="J561" s="197"/>
      <c r="K561" s="197"/>
      <c r="L561" s="197"/>
      <c r="M561" s="197"/>
      <c r="N561" s="197"/>
      <c r="O561" s="197"/>
      <c r="P561" s="197"/>
      <c r="Q561" s="197"/>
      <c r="R561" s="197"/>
      <c r="S561" s="197"/>
      <c r="T561" s="197"/>
      <c r="U561" s="197"/>
      <c r="V561" s="197"/>
      <c r="W561" s="197"/>
      <c r="X561" s="197"/>
      <c r="Y561" s="197"/>
      <c r="Z561" s="197"/>
      <c r="AA561" s="197"/>
      <c r="AB561" s="197"/>
      <c r="AC561" s="197"/>
      <c r="AD561" s="197"/>
      <c r="AE561" s="197"/>
      <c r="AF561" s="197"/>
      <c r="AG561" s="197"/>
      <c r="AH561" s="197"/>
      <c r="AI561" s="197"/>
      <c r="AJ561" s="197"/>
      <c r="AK561" s="197"/>
      <c r="AL561" s="197"/>
      <c r="AM561" s="197"/>
      <c r="AN561" s="197"/>
      <c r="AO561" s="197"/>
      <c r="AP561" s="197"/>
      <c r="AQ561" s="197"/>
      <c r="AR561" s="197"/>
      <c r="AS561" s="197"/>
      <c r="AT561" s="197"/>
      <c r="AU561" s="197"/>
      <c r="AV561" s="197"/>
      <c r="AW561" s="197"/>
      <c r="AX561" s="197"/>
      <c r="AY561" s="197"/>
      <c r="AZ561" s="197"/>
      <c r="BA561" s="197"/>
      <c r="BB561" s="197"/>
      <c r="BC561" s="197"/>
      <c r="BD561" s="197"/>
      <c r="BE561" s="197"/>
      <c r="BF561" s="197"/>
      <c r="BG561" s="197"/>
      <c r="BH561" s="197"/>
      <c r="BI561" s="197"/>
      <c r="BJ561" s="197"/>
      <c r="BK561" s="197"/>
      <c r="BL561" s="197"/>
      <c r="BM561" s="197"/>
      <c r="BN561" s="197"/>
      <c r="BO561" s="197"/>
      <c r="BP561" s="197"/>
    </row>
    <row r="562" spans="1:68" ht="20" customHeight="1" x14ac:dyDescent="0.15">
      <c r="A562" s="197"/>
      <c r="B562" s="197"/>
      <c r="C562" s="193"/>
      <c r="D562" s="197"/>
      <c r="E562" s="197"/>
      <c r="F562" s="214"/>
      <c r="G562" s="197"/>
      <c r="H562" s="197"/>
      <c r="I562" s="197"/>
      <c r="J562" s="197"/>
      <c r="K562" s="197"/>
      <c r="L562" s="197"/>
      <c r="M562" s="197"/>
      <c r="N562" s="197"/>
      <c r="O562" s="197"/>
      <c r="P562" s="197"/>
      <c r="Q562" s="197"/>
      <c r="R562" s="197"/>
      <c r="S562" s="197"/>
      <c r="T562" s="197"/>
      <c r="U562" s="197"/>
      <c r="V562" s="197"/>
      <c r="W562" s="197"/>
      <c r="X562" s="197"/>
      <c r="Y562" s="197"/>
      <c r="Z562" s="197"/>
      <c r="AA562" s="197"/>
      <c r="AB562" s="197"/>
      <c r="AC562" s="197"/>
      <c r="AD562" s="197"/>
      <c r="AE562" s="197"/>
      <c r="AF562" s="197"/>
      <c r="AG562" s="197"/>
      <c r="AH562" s="197"/>
      <c r="AI562" s="197"/>
      <c r="AJ562" s="197"/>
      <c r="AK562" s="197"/>
      <c r="AL562" s="197"/>
      <c r="AM562" s="197"/>
      <c r="AN562" s="197"/>
      <c r="AO562" s="197"/>
      <c r="AP562" s="197"/>
      <c r="AQ562" s="197"/>
      <c r="AR562" s="197"/>
      <c r="AS562" s="197"/>
      <c r="AT562" s="197"/>
      <c r="AU562" s="197"/>
      <c r="AV562" s="197"/>
      <c r="AW562" s="197"/>
      <c r="AX562" s="197"/>
      <c r="AY562" s="197"/>
      <c r="AZ562" s="197"/>
      <c r="BA562" s="197"/>
      <c r="BB562" s="197"/>
      <c r="BC562" s="197"/>
      <c r="BD562" s="197"/>
      <c r="BE562" s="197"/>
      <c r="BF562" s="197"/>
      <c r="BG562" s="197"/>
      <c r="BH562" s="197"/>
      <c r="BI562" s="197"/>
      <c r="BJ562" s="197"/>
      <c r="BK562" s="197"/>
      <c r="BL562" s="197"/>
      <c r="BM562" s="197"/>
      <c r="BN562" s="197"/>
      <c r="BO562" s="197"/>
      <c r="BP562" s="197"/>
    </row>
    <row r="563" spans="1:68" ht="20" customHeight="1" x14ac:dyDescent="0.15">
      <c r="A563" s="197"/>
      <c r="B563" s="197"/>
      <c r="C563" s="193"/>
      <c r="D563" s="197"/>
      <c r="E563" s="197"/>
      <c r="F563" s="214"/>
      <c r="G563" s="197"/>
      <c r="H563" s="197"/>
      <c r="I563" s="197"/>
      <c r="J563" s="197"/>
      <c r="K563" s="197"/>
      <c r="L563" s="197"/>
      <c r="M563" s="197"/>
      <c r="N563" s="197"/>
      <c r="O563" s="197"/>
      <c r="P563" s="197"/>
      <c r="Q563" s="197"/>
      <c r="R563" s="197"/>
      <c r="S563" s="197"/>
      <c r="T563" s="197"/>
      <c r="U563" s="197"/>
      <c r="V563" s="197"/>
      <c r="W563" s="197"/>
      <c r="X563" s="197"/>
      <c r="Y563" s="197"/>
      <c r="Z563" s="197"/>
      <c r="AA563" s="197"/>
      <c r="AB563" s="197"/>
      <c r="AC563" s="197"/>
      <c r="AD563" s="197"/>
      <c r="AE563" s="197"/>
      <c r="AF563" s="197"/>
      <c r="AG563" s="197"/>
      <c r="AH563" s="197"/>
      <c r="AI563" s="197"/>
      <c r="AJ563" s="197"/>
      <c r="AK563" s="197"/>
      <c r="AL563" s="197"/>
      <c r="AM563" s="197"/>
      <c r="AN563" s="197"/>
      <c r="AO563" s="197"/>
      <c r="AP563" s="197"/>
      <c r="AQ563" s="197"/>
      <c r="AR563" s="197"/>
      <c r="AS563" s="197"/>
      <c r="AT563" s="197"/>
      <c r="AU563" s="197"/>
      <c r="AV563" s="197"/>
      <c r="AW563" s="197"/>
      <c r="AX563" s="197"/>
      <c r="AY563" s="197"/>
      <c r="AZ563" s="197"/>
      <c r="BA563" s="197"/>
      <c r="BB563" s="197"/>
      <c r="BC563" s="197"/>
      <c r="BD563" s="197"/>
      <c r="BE563" s="197"/>
      <c r="BF563" s="197"/>
      <c r="BG563" s="197"/>
      <c r="BH563" s="197"/>
      <c r="BI563" s="197"/>
      <c r="BJ563" s="197"/>
      <c r="BK563" s="197"/>
      <c r="BL563" s="197"/>
      <c r="BM563" s="197"/>
      <c r="BN563" s="197"/>
      <c r="BO563" s="197"/>
      <c r="BP563" s="197"/>
    </row>
    <row r="564" spans="1:68" ht="20" customHeight="1" x14ac:dyDescent="0.15">
      <c r="A564" s="197"/>
      <c r="B564" s="197"/>
      <c r="C564" s="193"/>
      <c r="D564" s="197"/>
      <c r="E564" s="197"/>
      <c r="F564" s="214"/>
      <c r="G564" s="197"/>
      <c r="H564" s="197"/>
      <c r="I564" s="197"/>
      <c r="J564" s="197"/>
      <c r="K564" s="197"/>
      <c r="L564" s="197"/>
      <c r="M564" s="197"/>
      <c r="N564" s="197"/>
      <c r="O564" s="197"/>
      <c r="P564" s="197"/>
      <c r="Q564" s="197"/>
      <c r="R564" s="197"/>
      <c r="S564" s="197"/>
      <c r="T564" s="197"/>
      <c r="U564" s="197"/>
      <c r="V564" s="197"/>
      <c r="W564" s="197"/>
      <c r="X564" s="197"/>
      <c r="Y564" s="197"/>
      <c r="Z564" s="197"/>
      <c r="AA564" s="197"/>
      <c r="AB564" s="197"/>
      <c r="AC564" s="197"/>
      <c r="AD564" s="197"/>
      <c r="AE564" s="197"/>
      <c r="AF564" s="197"/>
      <c r="AG564" s="197"/>
      <c r="AH564" s="197"/>
      <c r="AI564" s="197"/>
      <c r="AJ564" s="197"/>
      <c r="AK564" s="197"/>
      <c r="AL564" s="197"/>
      <c r="AM564" s="197"/>
      <c r="AN564" s="197"/>
      <c r="AO564" s="197"/>
      <c r="AP564" s="197"/>
      <c r="AQ564" s="197"/>
      <c r="AR564" s="197"/>
      <c r="AS564" s="197"/>
      <c r="AT564" s="197"/>
      <c r="AU564" s="197"/>
      <c r="AV564" s="197"/>
      <c r="AW564" s="197"/>
      <c r="AX564" s="197"/>
      <c r="AY564" s="197"/>
      <c r="AZ564" s="197"/>
      <c r="BA564" s="197"/>
      <c r="BB564" s="197"/>
      <c r="BC564" s="197"/>
      <c r="BD564" s="197"/>
      <c r="BE564" s="197"/>
      <c r="BF564" s="197"/>
      <c r="BG564" s="197"/>
      <c r="BH564" s="197"/>
      <c r="BI564" s="197"/>
      <c r="BJ564" s="197"/>
      <c r="BK564" s="197"/>
      <c r="BL564" s="197"/>
      <c r="BM564" s="197"/>
      <c r="BN564" s="197"/>
      <c r="BO564" s="197"/>
      <c r="BP564" s="197"/>
    </row>
    <row r="565" spans="1:68" ht="20" customHeight="1" x14ac:dyDescent="0.15">
      <c r="A565" s="197"/>
      <c r="B565" s="197"/>
      <c r="C565" s="193"/>
      <c r="D565" s="197"/>
      <c r="E565" s="197"/>
      <c r="F565" s="214"/>
      <c r="G565" s="197"/>
      <c r="H565" s="197"/>
      <c r="I565" s="197"/>
      <c r="J565" s="197"/>
      <c r="K565" s="197"/>
      <c r="L565" s="197"/>
      <c r="M565" s="197"/>
      <c r="N565" s="197"/>
      <c r="O565" s="197"/>
      <c r="P565" s="197"/>
      <c r="Q565" s="197"/>
      <c r="R565" s="197"/>
      <c r="S565" s="197"/>
      <c r="T565" s="197"/>
      <c r="U565" s="197"/>
      <c r="V565" s="197"/>
      <c r="W565" s="197"/>
      <c r="X565" s="197"/>
      <c r="Y565" s="197"/>
      <c r="Z565" s="197"/>
      <c r="AA565" s="197"/>
      <c r="AB565" s="197"/>
      <c r="AC565" s="197"/>
      <c r="AD565" s="197"/>
      <c r="AE565" s="197"/>
      <c r="AF565" s="197"/>
      <c r="AG565" s="197"/>
      <c r="AH565" s="197"/>
      <c r="AI565" s="197"/>
      <c r="AJ565" s="197"/>
      <c r="AK565" s="197"/>
      <c r="AL565" s="197"/>
      <c r="AM565" s="197"/>
      <c r="AN565" s="197"/>
      <c r="AO565" s="197"/>
      <c r="AP565" s="197"/>
      <c r="AQ565" s="197"/>
      <c r="AR565" s="197"/>
      <c r="AS565" s="197"/>
      <c r="AT565" s="197"/>
      <c r="AU565" s="197"/>
      <c r="AV565" s="197"/>
      <c r="AW565" s="197"/>
      <c r="AX565" s="197"/>
      <c r="AY565" s="197"/>
      <c r="AZ565" s="197"/>
      <c r="BA565" s="197"/>
      <c r="BB565" s="197"/>
      <c r="BC565" s="197"/>
      <c r="BD565" s="197"/>
      <c r="BE565" s="197"/>
      <c r="BF565" s="197"/>
      <c r="BG565" s="197"/>
      <c r="BH565" s="197"/>
      <c r="BI565" s="197"/>
      <c r="BJ565" s="197"/>
      <c r="BK565" s="197"/>
      <c r="BL565" s="197"/>
      <c r="BM565" s="197"/>
      <c r="BN565" s="197"/>
      <c r="BO565" s="197"/>
      <c r="BP565" s="197"/>
    </row>
    <row r="566" spans="1:68" ht="20" customHeight="1" x14ac:dyDescent="0.15">
      <c r="A566" s="197"/>
      <c r="B566" s="197"/>
      <c r="C566" s="193"/>
      <c r="D566" s="197"/>
      <c r="E566" s="197"/>
      <c r="F566" s="214"/>
      <c r="G566" s="197"/>
      <c r="H566" s="197"/>
      <c r="I566" s="197"/>
      <c r="J566" s="197"/>
      <c r="K566" s="197"/>
      <c r="L566" s="197"/>
      <c r="M566" s="197"/>
      <c r="N566" s="197"/>
      <c r="O566" s="197"/>
      <c r="P566" s="197"/>
      <c r="Q566" s="197"/>
      <c r="R566" s="197"/>
      <c r="S566" s="197"/>
      <c r="T566" s="197"/>
      <c r="U566" s="197"/>
      <c r="V566" s="197"/>
      <c r="W566" s="197"/>
      <c r="X566" s="197"/>
      <c r="Y566" s="197"/>
      <c r="Z566" s="197"/>
      <c r="AA566" s="197"/>
      <c r="AB566" s="197"/>
      <c r="AC566" s="197"/>
      <c r="AD566" s="197"/>
      <c r="AE566" s="197"/>
      <c r="AF566" s="197"/>
      <c r="AG566" s="197"/>
      <c r="AH566" s="197"/>
      <c r="AI566" s="197"/>
      <c r="AJ566" s="197"/>
      <c r="AK566" s="197"/>
      <c r="AL566" s="197"/>
      <c r="AM566" s="197"/>
      <c r="AN566" s="197"/>
      <c r="AO566" s="197"/>
      <c r="AP566" s="197"/>
      <c r="AQ566" s="197"/>
      <c r="AR566" s="197"/>
      <c r="AS566" s="197"/>
      <c r="AT566" s="197"/>
      <c r="AU566" s="197"/>
      <c r="AV566" s="197"/>
      <c r="AW566" s="197"/>
      <c r="AX566" s="197"/>
      <c r="AY566" s="197"/>
      <c r="AZ566" s="197"/>
      <c r="BA566" s="197"/>
      <c r="BB566" s="197"/>
      <c r="BC566" s="197"/>
      <c r="BD566" s="197"/>
      <c r="BE566" s="197"/>
      <c r="BF566" s="197"/>
      <c r="BG566" s="197"/>
      <c r="BH566" s="197"/>
      <c r="BI566" s="197"/>
      <c r="BJ566" s="197"/>
      <c r="BK566" s="197"/>
      <c r="BL566" s="197"/>
      <c r="BM566" s="197"/>
      <c r="BN566" s="197"/>
      <c r="BO566" s="197"/>
      <c r="BP566" s="197"/>
    </row>
    <row r="567" spans="1:68" ht="20" customHeight="1" x14ac:dyDescent="0.15">
      <c r="A567" s="197"/>
      <c r="B567" s="197"/>
      <c r="C567" s="193"/>
      <c r="D567" s="197"/>
      <c r="E567" s="197"/>
      <c r="F567" s="214"/>
      <c r="G567" s="197"/>
      <c r="H567" s="197"/>
      <c r="I567" s="197"/>
      <c r="J567" s="197"/>
      <c r="K567" s="197"/>
      <c r="L567" s="197"/>
      <c r="M567" s="197"/>
      <c r="N567" s="197"/>
      <c r="O567" s="197"/>
      <c r="P567" s="197"/>
      <c r="Q567" s="197"/>
      <c r="R567" s="197"/>
      <c r="S567" s="197"/>
      <c r="T567" s="197"/>
      <c r="U567" s="197"/>
      <c r="V567" s="197"/>
      <c r="W567" s="197"/>
      <c r="X567" s="197"/>
      <c r="Y567" s="197"/>
      <c r="Z567" s="197"/>
      <c r="AA567" s="197"/>
      <c r="AB567" s="197"/>
      <c r="AC567" s="197"/>
      <c r="AD567" s="197"/>
      <c r="AE567" s="197"/>
      <c r="AF567" s="197"/>
      <c r="AG567" s="197"/>
      <c r="AH567" s="197"/>
      <c r="AI567" s="197"/>
      <c r="AJ567" s="197"/>
      <c r="AK567" s="197"/>
      <c r="AL567" s="197"/>
      <c r="AM567" s="197"/>
      <c r="AN567" s="197"/>
      <c r="AO567" s="197"/>
      <c r="AP567" s="197"/>
      <c r="AQ567" s="197"/>
      <c r="AR567" s="197"/>
      <c r="AS567" s="197"/>
      <c r="AT567" s="197"/>
      <c r="AU567" s="197"/>
      <c r="AV567" s="197"/>
      <c r="AW567" s="197"/>
      <c r="AX567" s="197"/>
      <c r="AY567" s="197"/>
      <c r="AZ567" s="197"/>
      <c r="BA567" s="197"/>
      <c r="BB567" s="197"/>
      <c r="BC567" s="197"/>
      <c r="BD567" s="197"/>
      <c r="BE567" s="197"/>
      <c r="BF567" s="197"/>
      <c r="BG567" s="197"/>
      <c r="BH567" s="197"/>
      <c r="BI567" s="197"/>
      <c r="BJ567" s="197"/>
      <c r="BK567" s="197"/>
      <c r="BL567" s="197"/>
      <c r="BM567" s="197"/>
      <c r="BN567" s="197"/>
      <c r="BO567" s="197"/>
      <c r="BP567" s="197"/>
    </row>
    <row r="568" spans="1:68" ht="20" customHeight="1" x14ac:dyDescent="0.15">
      <c r="A568" s="197"/>
      <c r="B568" s="197"/>
      <c r="C568" s="193"/>
      <c r="D568" s="197"/>
      <c r="E568" s="197"/>
      <c r="F568" s="214"/>
      <c r="G568" s="197"/>
      <c r="H568" s="197"/>
      <c r="I568" s="197"/>
      <c r="J568" s="197"/>
      <c r="K568" s="197"/>
      <c r="L568" s="197"/>
      <c r="M568" s="197"/>
      <c r="N568" s="197"/>
      <c r="O568" s="197"/>
      <c r="P568" s="197"/>
      <c r="Q568" s="197"/>
      <c r="R568" s="197"/>
      <c r="S568" s="197"/>
      <c r="T568" s="197"/>
      <c r="U568" s="197"/>
      <c r="V568" s="197"/>
      <c r="W568" s="197"/>
      <c r="X568" s="197"/>
      <c r="Y568" s="197"/>
      <c r="Z568" s="197"/>
      <c r="AA568" s="197"/>
      <c r="AB568" s="197"/>
      <c r="AC568" s="197"/>
      <c r="AD568" s="197"/>
      <c r="AE568" s="197"/>
      <c r="AF568" s="197"/>
      <c r="AG568" s="197"/>
      <c r="AH568" s="197"/>
      <c r="AI568" s="197"/>
      <c r="AJ568" s="197"/>
      <c r="AK568" s="197"/>
      <c r="AL568" s="197"/>
      <c r="AM568" s="197"/>
      <c r="AN568" s="197"/>
      <c r="AO568" s="197"/>
      <c r="AP568" s="197"/>
      <c r="AQ568" s="197"/>
      <c r="AR568" s="197"/>
      <c r="AS568" s="197"/>
      <c r="AT568" s="197"/>
      <c r="AU568" s="197"/>
      <c r="AV568" s="197"/>
      <c r="AW568" s="197"/>
      <c r="AX568" s="197"/>
      <c r="AY568" s="197"/>
      <c r="AZ568" s="197"/>
      <c r="BA568" s="197"/>
      <c r="BB568" s="197"/>
      <c r="BC568" s="197"/>
      <c r="BD568" s="197"/>
      <c r="BE568" s="197"/>
      <c r="BF568" s="197"/>
      <c r="BG568" s="197"/>
      <c r="BH568" s="197"/>
      <c r="BI568" s="197"/>
      <c r="BJ568" s="197"/>
      <c r="BK568" s="197"/>
      <c r="BL568" s="197"/>
      <c r="BM568" s="197"/>
      <c r="BN568" s="197"/>
      <c r="BO568" s="197"/>
      <c r="BP568" s="197"/>
    </row>
    <row r="569" spans="1:68" ht="20" customHeight="1" x14ac:dyDescent="0.15">
      <c r="A569" s="197"/>
      <c r="B569" s="197"/>
      <c r="C569" s="193"/>
      <c r="D569" s="197"/>
      <c r="E569" s="197"/>
      <c r="F569" s="214"/>
      <c r="G569" s="197"/>
      <c r="H569" s="197"/>
      <c r="I569" s="197"/>
      <c r="J569" s="197"/>
      <c r="K569" s="197"/>
      <c r="L569" s="197"/>
      <c r="M569" s="197"/>
      <c r="N569" s="197"/>
      <c r="O569" s="197"/>
      <c r="P569" s="197"/>
      <c r="Q569" s="197"/>
      <c r="R569" s="197"/>
      <c r="S569" s="197"/>
      <c r="T569" s="197"/>
      <c r="U569" s="197"/>
      <c r="V569" s="197"/>
      <c r="W569" s="197"/>
      <c r="X569" s="197"/>
      <c r="Y569" s="197"/>
      <c r="Z569" s="197"/>
      <c r="AA569" s="197"/>
      <c r="AB569" s="197"/>
      <c r="AC569" s="197"/>
      <c r="AD569" s="197"/>
      <c r="AE569" s="197"/>
      <c r="AF569" s="197"/>
      <c r="AG569" s="197"/>
      <c r="AH569" s="197"/>
      <c r="AI569" s="197"/>
      <c r="AJ569" s="197"/>
      <c r="AK569" s="197"/>
      <c r="AL569" s="197"/>
      <c r="AM569" s="197"/>
      <c r="AN569" s="197"/>
      <c r="AO569" s="197"/>
      <c r="AP569" s="197"/>
      <c r="AQ569" s="197"/>
      <c r="AR569" s="197"/>
      <c r="AS569" s="197"/>
      <c r="AT569" s="197"/>
      <c r="AU569" s="197"/>
      <c r="AV569" s="197"/>
      <c r="AW569" s="197"/>
      <c r="AX569" s="197"/>
      <c r="AY569" s="197"/>
      <c r="AZ569" s="197"/>
      <c r="BA569" s="197"/>
      <c r="BB569" s="197"/>
      <c r="BC569" s="197"/>
      <c r="BD569" s="197"/>
      <c r="BE569" s="197"/>
      <c r="BF569" s="197"/>
      <c r="BG569" s="197"/>
      <c r="BH569" s="197"/>
      <c r="BI569" s="197"/>
      <c r="BJ569" s="197"/>
      <c r="BK569" s="197"/>
      <c r="BL569" s="197"/>
      <c r="BM569" s="197"/>
      <c r="BN569" s="197"/>
      <c r="BO569" s="197"/>
      <c r="BP569" s="197"/>
    </row>
    <row r="570" spans="1:68" ht="20" customHeight="1" x14ac:dyDescent="0.15">
      <c r="A570" s="197"/>
      <c r="B570" s="197"/>
      <c r="C570" s="193"/>
      <c r="D570" s="197"/>
      <c r="E570" s="197"/>
      <c r="F570" s="214"/>
      <c r="G570" s="197"/>
      <c r="H570" s="197"/>
      <c r="I570" s="197"/>
      <c r="J570" s="197"/>
      <c r="K570" s="197"/>
      <c r="L570" s="197"/>
      <c r="M570" s="197"/>
      <c r="N570" s="197"/>
      <c r="O570" s="197"/>
      <c r="P570" s="197"/>
      <c r="Q570" s="197"/>
      <c r="R570" s="197"/>
      <c r="S570" s="197"/>
      <c r="T570" s="197"/>
      <c r="U570" s="197"/>
      <c r="V570" s="197"/>
      <c r="W570" s="197"/>
      <c r="X570" s="197"/>
      <c r="Y570" s="197"/>
      <c r="Z570" s="197"/>
      <c r="AA570" s="197"/>
      <c r="AB570" s="197"/>
      <c r="AC570" s="197"/>
      <c r="AD570" s="197"/>
      <c r="AE570" s="197"/>
      <c r="AF570" s="197"/>
      <c r="AG570" s="197"/>
      <c r="AH570" s="197"/>
      <c r="AI570" s="197"/>
      <c r="AJ570" s="197"/>
      <c r="AK570" s="197"/>
      <c r="AL570" s="197"/>
      <c r="AM570" s="197"/>
      <c r="AN570" s="197"/>
      <c r="AO570" s="197"/>
      <c r="AP570" s="197"/>
      <c r="AQ570" s="197"/>
      <c r="AR570" s="197"/>
      <c r="AS570" s="197"/>
      <c r="AT570" s="197"/>
      <c r="AU570" s="197"/>
      <c r="AV570" s="197"/>
      <c r="AW570" s="197"/>
      <c r="AX570" s="197"/>
      <c r="AY570" s="197"/>
      <c r="AZ570" s="197"/>
      <c r="BA570" s="197"/>
      <c r="BB570" s="197"/>
      <c r="BC570" s="197"/>
      <c r="BD570" s="197"/>
      <c r="BE570" s="197"/>
      <c r="BF570" s="197"/>
      <c r="BG570" s="197"/>
      <c r="BH570" s="197"/>
      <c r="BI570" s="197"/>
      <c r="BJ570" s="197"/>
      <c r="BK570" s="197"/>
      <c r="BL570" s="197"/>
      <c r="BM570" s="197"/>
      <c r="BN570" s="197"/>
      <c r="BO570" s="197"/>
      <c r="BP570" s="197"/>
    </row>
    <row r="571" spans="1:68" ht="20" customHeight="1" x14ac:dyDescent="0.15">
      <c r="A571" s="197"/>
      <c r="B571" s="197"/>
      <c r="C571" s="193"/>
      <c r="D571" s="197"/>
      <c r="E571" s="197"/>
      <c r="F571" s="214"/>
      <c r="G571" s="197"/>
      <c r="H571" s="197"/>
      <c r="I571" s="197"/>
      <c r="J571" s="197"/>
      <c r="K571" s="197"/>
      <c r="L571" s="197"/>
      <c r="M571" s="197"/>
      <c r="N571" s="197"/>
      <c r="O571" s="197"/>
      <c r="P571" s="197"/>
      <c r="Q571" s="197"/>
      <c r="R571" s="197"/>
      <c r="S571" s="197"/>
      <c r="T571" s="197"/>
      <c r="U571" s="197"/>
      <c r="V571" s="197"/>
      <c r="W571" s="197"/>
      <c r="X571" s="197"/>
      <c r="Y571" s="197"/>
      <c r="Z571" s="197"/>
      <c r="AA571" s="197"/>
      <c r="AB571" s="197"/>
      <c r="AC571" s="197"/>
      <c r="AD571" s="197"/>
      <c r="AE571" s="197"/>
      <c r="AF571" s="197"/>
      <c r="AG571" s="197"/>
      <c r="AH571" s="197"/>
      <c r="AI571" s="197"/>
      <c r="AJ571" s="197"/>
      <c r="AK571" s="197"/>
      <c r="AL571" s="197"/>
      <c r="AM571" s="197"/>
      <c r="AN571" s="197"/>
      <c r="AO571" s="197"/>
      <c r="AP571" s="197"/>
      <c r="AQ571" s="197"/>
      <c r="AR571" s="197"/>
      <c r="AS571" s="197"/>
      <c r="AT571" s="197"/>
      <c r="AU571" s="197"/>
      <c r="AV571" s="197"/>
      <c r="AW571" s="197"/>
      <c r="AX571" s="197"/>
      <c r="AY571" s="197"/>
      <c r="AZ571" s="197"/>
      <c r="BA571" s="197"/>
      <c r="BB571" s="197"/>
      <c r="BC571" s="197"/>
      <c r="BD571" s="197"/>
      <c r="BE571" s="197"/>
      <c r="BF571" s="197"/>
      <c r="BG571" s="197"/>
      <c r="BH571" s="197"/>
      <c r="BI571" s="197"/>
      <c r="BJ571" s="197"/>
      <c r="BK571" s="197"/>
      <c r="BL571" s="197"/>
      <c r="BM571" s="197"/>
      <c r="BN571" s="197"/>
      <c r="BO571" s="197"/>
      <c r="BP571" s="197"/>
    </row>
    <row r="572" spans="1:68" ht="20" customHeight="1" x14ac:dyDescent="0.15">
      <c r="A572" s="197"/>
      <c r="B572" s="197"/>
      <c r="C572" s="193"/>
      <c r="D572" s="197"/>
      <c r="E572" s="197"/>
      <c r="F572" s="214"/>
      <c r="G572" s="197"/>
      <c r="H572" s="197"/>
      <c r="I572" s="197"/>
      <c r="J572" s="197"/>
      <c r="K572" s="197"/>
      <c r="L572" s="197"/>
      <c r="M572" s="197"/>
      <c r="N572" s="197"/>
      <c r="O572" s="197"/>
      <c r="P572" s="197"/>
      <c r="Q572" s="197"/>
      <c r="R572" s="197"/>
      <c r="S572" s="197"/>
      <c r="T572" s="197"/>
      <c r="U572" s="197"/>
      <c r="V572" s="197"/>
      <c r="W572" s="197"/>
      <c r="X572" s="197"/>
      <c r="Y572" s="197"/>
      <c r="Z572" s="197"/>
      <c r="AA572" s="197"/>
      <c r="AB572" s="197"/>
      <c r="AC572" s="197"/>
      <c r="AD572" s="197"/>
      <c r="AE572" s="197"/>
      <c r="AF572" s="197"/>
      <c r="AG572" s="197"/>
      <c r="AH572" s="197"/>
      <c r="AI572" s="197"/>
      <c r="AJ572" s="197"/>
      <c r="AK572" s="197"/>
      <c r="AL572" s="197"/>
      <c r="AM572" s="197"/>
      <c r="AN572" s="197"/>
      <c r="AO572" s="197"/>
      <c r="AP572" s="197"/>
      <c r="AQ572" s="197"/>
      <c r="AR572" s="197"/>
      <c r="AS572" s="197"/>
      <c r="AT572" s="197"/>
      <c r="AU572" s="197"/>
      <c r="AV572" s="197"/>
      <c r="AW572" s="197"/>
      <c r="AX572" s="197"/>
      <c r="AY572" s="197"/>
      <c r="AZ572" s="197"/>
      <c r="BA572" s="197"/>
      <c r="BB572" s="197"/>
      <c r="BC572" s="197"/>
      <c r="BD572" s="197"/>
      <c r="BE572" s="197"/>
      <c r="BF572" s="197"/>
      <c r="BG572" s="197"/>
      <c r="BH572" s="197"/>
      <c r="BI572" s="197"/>
      <c r="BJ572" s="197"/>
      <c r="BK572" s="197"/>
      <c r="BL572" s="197"/>
      <c r="BM572" s="197"/>
      <c r="BN572" s="197"/>
      <c r="BO572" s="197"/>
      <c r="BP572" s="197"/>
    </row>
    <row r="573" spans="1:68" ht="20" customHeight="1" x14ac:dyDescent="0.15">
      <c r="A573" s="197"/>
      <c r="B573" s="197"/>
      <c r="C573" s="193"/>
      <c r="D573" s="197"/>
      <c r="E573" s="197"/>
      <c r="F573" s="214"/>
      <c r="G573" s="197"/>
      <c r="H573" s="197"/>
      <c r="I573" s="197"/>
      <c r="J573" s="197"/>
      <c r="K573" s="197"/>
      <c r="L573" s="197"/>
      <c r="M573" s="197"/>
      <c r="N573" s="197"/>
      <c r="O573" s="197"/>
      <c r="P573" s="197"/>
      <c r="Q573" s="197"/>
      <c r="R573" s="197"/>
      <c r="S573" s="197"/>
      <c r="T573" s="197"/>
      <c r="U573" s="197"/>
      <c r="V573" s="197"/>
      <c r="W573" s="197"/>
      <c r="X573" s="197"/>
      <c r="Y573" s="197"/>
      <c r="Z573" s="197"/>
      <c r="AA573" s="197"/>
      <c r="AB573" s="197"/>
      <c r="AC573" s="197"/>
      <c r="AD573" s="197"/>
      <c r="AE573" s="197"/>
      <c r="AF573" s="197"/>
      <c r="AG573" s="197"/>
      <c r="AH573" s="197"/>
      <c r="AI573" s="197"/>
      <c r="AJ573" s="197"/>
      <c r="AK573" s="197"/>
      <c r="AL573" s="197"/>
      <c r="AM573" s="197"/>
      <c r="AN573" s="197"/>
      <c r="AO573" s="197"/>
      <c r="AP573" s="197"/>
      <c r="AQ573" s="197"/>
      <c r="AR573" s="197"/>
      <c r="AS573" s="197"/>
      <c r="AT573" s="197"/>
      <c r="AU573" s="197"/>
      <c r="AV573" s="197"/>
      <c r="AW573" s="197"/>
      <c r="AX573" s="197"/>
      <c r="AY573" s="197"/>
      <c r="AZ573" s="197"/>
      <c r="BA573" s="197"/>
      <c r="BB573" s="197"/>
      <c r="BC573" s="197"/>
      <c r="BD573" s="197"/>
      <c r="BE573" s="197"/>
      <c r="BF573" s="197"/>
      <c r="BG573" s="197"/>
      <c r="BH573" s="197"/>
      <c r="BI573" s="197"/>
      <c r="BJ573" s="197"/>
      <c r="BK573" s="197"/>
      <c r="BL573" s="197"/>
      <c r="BM573" s="197"/>
      <c r="BN573" s="197"/>
      <c r="BO573" s="197"/>
      <c r="BP573" s="197"/>
    </row>
    <row r="574" spans="1:68" ht="20" customHeight="1" x14ac:dyDescent="0.15">
      <c r="A574" s="197"/>
      <c r="B574" s="197"/>
      <c r="C574" s="193"/>
      <c r="D574" s="197"/>
      <c r="E574" s="197"/>
      <c r="F574" s="214"/>
      <c r="G574" s="197"/>
      <c r="H574" s="197"/>
      <c r="I574" s="197"/>
      <c r="J574" s="197"/>
      <c r="K574" s="197"/>
      <c r="L574" s="197"/>
      <c r="M574" s="197"/>
      <c r="N574" s="197"/>
      <c r="O574" s="197"/>
      <c r="P574" s="197"/>
      <c r="Q574" s="197"/>
      <c r="R574" s="197"/>
      <c r="S574" s="197"/>
      <c r="T574" s="197"/>
      <c r="U574" s="197"/>
      <c r="V574" s="197"/>
      <c r="W574" s="197"/>
      <c r="X574" s="197"/>
      <c r="Y574" s="197"/>
      <c r="Z574" s="197"/>
      <c r="AA574" s="197"/>
      <c r="AB574" s="197"/>
      <c r="AC574" s="197"/>
      <c r="AD574" s="197"/>
      <c r="AE574" s="197"/>
      <c r="AF574" s="197"/>
      <c r="AG574" s="197"/>
      <c r="AH574" s="197"/>
      <c r="AI574" s="197"/>
      <c r="AJ574" s="197"/>
      <c r="AK574" s="197"/>
      <c r="AL574" s="197"/>
      <c r="AM574" s="197"/>
      <c r="AN574" s="197"/>
      <c r="AO574" s="197"/>
      <c r="AP574" s="197"/>
      <c r="AQ574" s="197"/>
      <c r="AR574" s="197"/>
      <c r="AS574" s="197"/>
      <c r="AT574" s="197"/>
      <c r="AU574" s="197"/>
      <c r="AV574" s="197"/>
      <c r="AW574" s="197"/>
      <c r="AX574" s="197"/>
      <c r="AY574" s="197"/>
      <c r="AZ574" s="197"/>
      <c r="BA574" s="197"/>
      <c r="BB574" s="197"/>
      <c r="BC574" s="197"/>
      <c r="BD574" s="197"/>
      <c r="BE574" s="197"/>
      <c r="BF574" s="197"/>
      <c r="BG574" s="197"/>
      <c r="BH574" s="197"/>
      <c r="BI574" s="197"/>
      <c r="BJ574" s="197"/>
      <c r="BK574" s="197"/>
      <c r="BL574" s="197"/>
      <c r="BM574" s="197"/>
      <c r="BN574" s="197"/>
      <c r="BO574" s="197"/>
      <c r="BP574" s="197"/>
    </row>
    <row r="575" spans="1:68" ht="20" customHeight="1" x14ac:dyDescent="0.15">
      <c r="A575" s="197"/>
      <c r="B575" s="197"/>
      <c r="C575" s="193"/>
      <c r="D575" s="197"/>
      <c r="E575" s="197"/>
      <c r="F575" s="214"/>
      <c r="G575" s="197"/>
      <c r="H575" s="197"/>
      <c r="I575" s="197"/>
      <c r="J575" s="197"/>
      <c r="K575" s="197"/>
      <c r="L575" s="197"/>
      <c r="M575" s="197"/>
      <c r="N575" s="197"/>
      <c r="O575" s="197"/>
      <c r="P575" s="197"/>
      <c r="Q575" s="197"/>
      <c r="R575" s="197"/>
      <c r="S575" s="197"/>
      <c r="T575" s="197"/>
      <c r="U575" s="197"/>
      <c r="V575" s="197"/>
      <c r="W575" s="197"/>
      <c r="X575" s="197"/>
      <c r="Y575" s="197"/>
      <c r="Z575" s="197"/>
      <c r="AA575" s="197"/>
      <c r="AB575" s="197"/>
      <c r="AC575" s="197"/>
      <c r="AD575" s="197"/>
      <c r="AE575" s="197"/>
      <c r="AF575" s="197"/>
      <c r="AG575" s="197"/>
      <c r="AH575" s="197"/>
      <c r="AI575" s="197"/>
      <c r="AJ575" s="197"/>
      <c r="AK575" s="197"/>
      <c r="AL575" s="197"/>
      <c r="AM575" s="197"/>
      <c r="AN575" s="197"/>
      <c r="AO575" s="197"/>
      <c r="AP575" s="197"/>
      <c r="AQ575" s="197"/>
      <c r="AR575" s="197"/>
      <c r="AS575" s="197"/>
      <c r="AT575" s="197"/>
      <c r="AU575" s="197"/>
      <c r="AV575" s="197"/>
      <c r="AW575" s="197"/>
      <c r="AX575" s="197"/>
      <c r="AY575" s="197"/>
      <c r="AZ575" s="197"/>
      <c r="BA575" s="197"/>
      <c r="BB575" s="197"/>
      <c r="BC575" s="197"/>
      <c r="BD575" s="197"/>
      <c r="BE575" s="197"/>
      <c r="BF575" s="197"/>
      <c r="BG575" s="197"/>
      <c r="BH575" s="197"/>
      <c r="BI575" s="197"/>
      <c r="BJ575" s="197"/>
      <c r="BK575" s="197"/>
      <c r="BL575" s="197"/>
      <c r="BM575" s="197"/>
      <c r="BN575" s="197"/>
      <c r="BO575" s="197"/>
      <c r="BP575" s="197"/>
    </row>
    <row r="576" spans="1:68" ht="20" customHeight="1" x14ac:dyDescent="0.15">
      <c r="A576" s="197"/>
      <c r="B576" s="197"/>
      <c r="C576" s="193"/>
      <c r="D576" s="197"/>
      <c r="E576" s="197"/>
      <c r="F576" s="214"/>
      <c r="G576" s="197"/>
      <c r="H576" s="197"/>
      <c r="I576" s="197"/>
      <c r="J576" s="197"/>
      <c r="K576" s="197"/>
      <c r="L576" s="197"/>
      <c r="M576" s="197"/>
      <c r="N576" s="197"/>
      <c r="O576" s="197"/>
      <c r="P576" s="197"/>
      <c r="Q576" s="197"/>
      <c r="R576" s="197"/>
      <c r="S576" s="197"/>
      <c r="T576" s="197"/>
      <c r="U576" s="197"/>
      <c r="V576" s="197"/>
      <c r="W576" s="197"/>
      <c r="X576" s="197"/>
      <c r="Y576" s="197"/>
      <c r="Z576" s="197"/>
      <c r="AA576" s="197"/>
      <c r="AB576" s="197"/>
      <c r="AC576" s="197"/>
      <c r="AD576" s="197"/>
      <c r="AE576" s="197"/>
      <c r="AF576" s="197"/>
      <c r="AG576" s="197"/>
      <c r="AH576" s="197"/>
      <c r="AI576" s="197"/>
      <c r="AJ576" s="197"/>
      <c r="AK576" s="197"/>
      <c r="AL576" s="197"/>
      <c r="AM576" s="197"/>
      <c r="AN576" s="197"/>
      <c r="AO576" s="197"/>
      <c r="AP576" s="197"/>
      <c r="AQ576" s="197"/>
      <c r="AR576" s="197"/>
      <c r="AS576" s="197"/>
      <c r="AT576" s="197"/>
      <c r="AU576" s="197"/>
      <c r="AV576" s="197"/>
      <c r="AW576" s="197"/>
      <c r="AX576" s="197"/>
      <c r="AY576" s="197"/>
      <c r="AZ576" s="197"/>
      <c r="BA576" s="197"/>
      <c r="BB576" s="197"/>
      <c r="BC576" s="197"/>
      <c r="BD576" s="197"/>
      <c r="BE576" s="197"/>
      <c r="BF576" s="197"/>
      <c r="BG576" s="197"/>
      <c r="BH576" s="197"/>
      <c r="BI576" s="197"/>
      <c r="BJ576" s="197"/>
      <c r="BK576" s="197"/>
      <c r="BL576" s="197"/>
      <c r="BM576" s="197"/>
      <c r="BN576" s="197"/>
      <c r="BO576" s="197"/>
      <c r="BP576" s="197"/>
    </row>
    <row r="577" spans="1:68" ht="20" customHeight="1" x14ac:dyDescent="0.15">
      <c r="A577" s="197"/>
      <c r="B577" s="197"/>
      <c r="C577" s="193"/>
      <c r="D577" s="197"/>
      <c r="E577" s="197"/>
      <c r="F577" s="214"/>
      <c r="G577" s="197"/>
      <c r="H577" s="197"/>
      <c r="I577" s="197"/>
      <c r="J577" s="197"/>
      <c r="K577" s="197"/>
      <c r="L577" s="197"/>
      <c r="M577" s="197"/>
      <c r="N577" s="197"/>
      <c r="O577" s="197"/>
      <c r="P577" s="197"/>
      <c r="Q577" s="197"/>
      <c r="R577" s="197"/>
      <c r="S577" s="197"/>
      <c r="T577" s="197"/>
      <c r="U577" s="197"/>
      <c r="V577" s="197"/>
      <c r="W577" s="197"/>
      <c r="X577" s="197"/>
      <c r="Y577" s="197"/>
      <c r="Z577" s="197"/>
      <c r="AA577" s="197"/>
      <c r="AB577" s="197"/>
      <c r="AC577" s="197"/>
      <c r="AD577" s="197"/>
      <c r="AE577" s="197"/>
      <c r="AF577" s="197"/>
      <c r="AG577" s="197"/>
      <c r="AH577" s="197"/>
      <c r="AI577" s="197"/>
      <c r="AJ577" s="197"/>
      <c r="AK577" s="197"/>
      <c r="AL577" s="197"/>
      <c r="AM577" s="197"/>
      <c r="AN577" s="197"/>
      <c r="AO577" s="197"/>
      <c r="AP577" s="197"/>
      <c r="AQ577" s="197"/>
      <c r="AR577" s="197"/>
      <c r="AS577" s="197"/>
      <c r="AT577" s="197"/>
      <c r="AU577" s="197"/>
      <c r="AV577" s="197"/>
      <c r="AW577" s="197"/>
      <c r="AX577" s="197"/>
      <c r="AY577" s="197"/>
      <c r="AZ577" s="197"/>
      <c r="BA577" s="197"/>
      <c r="BB577" s="197"/>
      <c r="BC577" s="197"/>
      <c r="BD577" s="197"/>
      <c r="BE577" s="197"/>
      <c r="BF577" s="197"/>
      <c r="BG577" s="197"/>
      <c r="BH577" s="197"/>
      <c r="BI577" s="197"/>
      <c r="BJ577" s="197"/>
      <c r="BK577" s="197"/>
      <c r="BL577" s="197"/>
      <c r="BM577" s="197"/>
      <c r="BN577" s="197"/>
      <c r="BO577" s="197"/>
      <c r="BP577" s="197"/>
    </row>
    <row r="578" spans="1:68" ht="20" customHeight="1" x14ac:dyDescent="0.15">
      <c r="A578" s="197"/>
      <c r="B578" s="197"/>
      <c r="C578" s="193"/>
      <c r="D578" s="197"/>
      <c r="E578" s="197"/>
      <c r="F578" s="214"/>
      <c r="G578" s="197"/>
      <c r="H578" s="197"/>
      <c r="I578" s="197"/>
      <c r="J578" s="197"/>
      <c r="K578" s="197"/>
      <c r="L578" s="197"/>
      <c r="M578" s="197"/>
      <c r="N578" s="197"/>
      <c r="O578" s="197"/>
      <c r="P578" s="197"/>
      <c r="Q578" s="197"/>
      <c r="R578" s="197"/>
      <c r="S578" s="197"/>
      <c r="T578" s="197"/>
      <c r="U578" s="197"/>
      <c r="V578" s="197"/>
      <c r="W578" s="197"/>
      <c r="X578" s="197"/>
      <c r="Y578" s="197"/>
      <c r="Z578" s="197"/>
      <c r="AA578" s="197"/>
      <c r="AB578" s="197"/>
      <c r="AC578" s="197"/>
      <c r="AD578" s="197"/>
      <c r="AE578" s="197"/>
      <c r="AF578" s="197"/>
      <c r="AG578" s="197"/>
      <c r="AH578" s="197"/>
      <c r="AI578" s="197"/>
      <c r="AJ578" s="197"/>
      <c r="AK578" s="197"/>
      <c r="AL578" s="197"/>
      <c r="AM578" s="197"/>
      <c r="AN578" s="197"/>
      <c r="AO578" s="197"/>
      <c r="AP578" s="197"/>
      <c r="AQ578" s="197"/>
      <c r="AR578" s="197"/>
      <c r="AS578" s="197"/>
      <c r="AT578" s="197"/>
      <c r="AU578" s="197"/>
      <c r="AV578" s="197"/>
      <c r="AW578" s="197"/>
      <c r="AX578" s="197"/>
      <c r="AY578" s="197"/>
      <c r="AZ578" s="197"/>
      <c r="BA578" s="197"/>
      <c r="BB578" s="197"/>
      <c r="BC578" s="197"/>
      <c r="BD578" s="197"/>
      <c r="BE578" s="197"/>
      <c r="BF578" s="197"/>
      <c r="BG578" s="197"/>
      <c r="BH578" s="197"/>
      <c r="BI578" s="197"/>
      <c r="BJ578" s="197"/>
      <c r="BK578" s="197"/>
      <c r="BL578" s="197"/>
      <c r="BM578" s="197"/>
      <c r="BN578" s="197"/>
      <c r="BO578" s="197"/>
      <c r="BP578" s="197"/>
    </row>
    <row r="579" spans="1:68" ht="20" customHeight="1" x14ac:dyDescent="0.15">
      <c r="A579" s="197"/>
      <c r="B579" s="197"/>
      <c r="C579" s="193"/>
      <c r="D579" s="197"/>
      <c r="E579" s="197"/>
      <c r="F579" s="214"/>
      <c r="G579" s="197"/>
      <c r="H579" s="197"/>
      <c r="I579" s="197"/>
      <c r="J579" s="197"/>
      <c r="K579" s="197"/>
      <c r="L579" s="197"/>
      <c r="M579" s="197"/>
      <c r="N579" s="197"/>
      <c r="O579" s="197"/>
      <c r="P579" s="197"/>
      <c r="Q579" s="197"/>
      <c r="R579" s="197"/>
      <c r="S579" s="197"/>
      <c r="T579" s="197"/>
      <c r="U579" s="197"/>
      <c r="V579" s="197"/>
      <c r="W579" s="197"/>
      <c r="X579" s="197"/>
      <c r="Y579" s="197"/>
      <c r="Z579" s="197"/>
      <c r="AA579" s="197"/>
      <c r="AB579" s="197"/>
      <c r="AC579" s="197"/>
      <c r="AD579" s="197"/>
      <c r="AE579" s="197"/>
      <c r="AF579" s="197"/>
      <c r="AG579" s="197"/>
      <c r="AH579" s="197"/>
      <c r="AI579" s="197"/>
      <c r="AJ579" s="197"/>
      <c r="AK579" s="197"/>
      <c r="AL579" s="197"/>
      <c r="AM579" s="197"/>
      <c r="AN579" s="197"/>
      <c r="AO579" s="197"/>
      <c r="AP579" s="197"/>
      <c r="AQ579" s="197"/>
      <c r="AR579" s="197"/>
      <c r="AS579" s="197"/>
      <c r="AT579" s="197"/>
      <c r="AU579" s="197"/>
      <c r="AV579" s="197"/>
      <c r="AW579" s="197"/>
      <c r="AX579" s="197"/>
      <c r="AY579" s="197"/>
      <c r="AZ579" s="197"/>
      <c r="BA579" s="197"/>
      <c r="BB579" s="197"/>
      <c r="BC579" s="197"/>
      <c r="BD579" s="197"/>
      <c r="BE579" s="197"/>
      <c r="BF579" s="197"/>
      <c r="BG579" s="197"/>
      <c r="BH579" s="197"/>
      <c r="BI579" s="197"/>
      <c r="BJ579" s="197"/>
      <c r="BK579" s="197"/>
      <c r="BL579" s="197"/>
      <c r="BM579" s="197"/>
      <c r="BN579" s="197"/>
      <c r="BO579" s="197"/>
      <c r="BP579" s="197"/>
    </row>
    <row r="580" spans="1:68" ht="20" customHeight="1" x14ac:dyDescent="0.15">
      <c r="A580" s="197"/>
      <c r="B580" s="197"/>
      <c r="C580" s="193"/>
      <c r="D580" s="197"/>
      <c r="E580" s="197"/>
      <c r="F580" s="214"/>
      <c r="G580" s="197"/>
      <c r="H580" s="197"/>
      <c r="I580" s="197"/>
      <c r="J580" s="197"/>
      <c r="K580" s="197"/>
      <c r="L580" s="197"/>
      <c r="M580" s="197"/>
      <c r="N580" s="197"/>
      <c r="O580" s="197"/>
      <c r="P580" s="197"/>
      <c r="Q580" s="197"/>
      <c r="R580" s="197"/>
      <c r="S580" s="197"/>
      <c r="T580" s="197"/>
      <c r="U580" s="197"/>
      <c r="V580" s="197"/>
      <c r="W580" s="197"/>
      <c r="X580" s="197"/>
      <c r="Y580" s="197"/>
      <c r="Z580" s="197"/>
      <c r="AA580" s="197"/>
      <c r="AB580" s="197"/>
      <c r="AC580" s="197"/>
      <c r="AD580" s="197"/>
      <c r="AE580" s="197"/>
      <c r="AF580" s="197"/>
      <c r="AG580" s="197"/>
      <c r="AH580" s="197"/>
      <c r="AI580" s="197"/>
      <c r="AJ580" s="197"/>
      <c r="AK580" s="197"/>
      <c r="AL580" s="197"/>
      <c r="AM580" s="197"/>
      <c r="AN580" s="197"/>
      <c r="AO580" s="197"/>
      <c r="AP580" s="197"/>
      <c r="AQ580" s="197"/>
      <c r="AR580" s="197"/>
      <c r="AS580" s="197"/>
      <c r="AT580" s="197"/>
      <c r="AU580" s="197"/>
      <c r="AV580" s="197"/>
      <c r="AW580" s="197"/>
      <c r="AX580" s="197"/>
      <c r="AY580" s="197"/>
      <c r="AZ580" s="197"/>
      <c r="BA580" s="197"/>
      <c r="BB580" s="197"/>
      <c r="BC580" s="197"/>
      <c r="BD580" s="197"/>
      <c r="BE580" s="197"/>
      <c r="BF580" s="197"/>
      <c r="BG580" s="197"/>
      <c r="BH580" s="197"/>
      <c r="BI580" s="197"/>
      <c r="BJ580" s="197"/>
      <c r="BK580" s="197"/>
      <c r="BL580" s="197"/>
      <c r="BM580" s="197"/>
      <c r="BN580" s="197"/>
      <c r="BO580" s="197"/>
      <c r="BP580" s="197"/>
    </row>
    <row r="581" spans="1:68" ht="20" customHeight="1" x14ac:dyDescent="0.15">
      <c r="A581" s="197"/>
      <c r="B581" s="197"/>
      <c r="C581" s="193"/>
      <c r="D581" s="197"/>
      <c r="E581" s="197"/>
      <c r="F581" s="214"/>
      <c r="G581" s="197"/>
      <c r="H581" s="197"/>
      <c r="I581" s="197"/>
      <c r="J581" s="197"/>
      <c r="K581" s="197"/>
      <c r="L581" s="197"/>
      <c r="M581" s="197"/>
      <c r="N581" s="197"/>
      <c r="O581" s="197"/>
      <c r="P581" s="197"/>
      <c r="Q581" s="197"/>
      <c r="R581" s="197"/>
      <c r="S581" s="197"/>
      <c r="T581" s="197"/>
      <c r="U581" s="197"/>
      <c r="V581" s="197"/>
      <c r="W581" s="197"/>
      <c r="X581" s="197"/>
      <c r="Y581" s="197"/>
      <c r="Z581" s="197"/>
      <c r="AA581" s="197"/>
      <c r="AB581" s="197"/>
      <c r="AC581" s="197"/>
      <c r="AD581" s="197"/>
      <c r="AE581" s="197"/>
      <c r="AF581" s="197"/>
      <c r="AG581" s="197"/>
      <c r="AH581" s="197"/>
      <c r="AI581" s="197"/>
      <c r="AJ581" s="197"/>
      <c r="AK581" s="197"/>
      <c r="AL581" s="197"/>
      <c r="AM581" s="197"/>
      <c r="AN581" s="197"/>
      <c r="AO581" s="197"/>
      <c r="AP581" s="197"/>
      <c r="AQ581" s="197"/>
      <c r="AR581" s="197"/>
      <c r="AS581" s="197"/>
      <c r="AT581" s="197"/>
      <c r="AU581" s="197"/>
      <c r="AV581" s="197"/>
      <c r="AW581" s="197"/>
      <c r="AX581" s="197"/>
      <c r="AY581" s="197"/>
      <c r="AZ581" s="197"/>
      <c r="BA581" s="197"/>
      <c r="BB581" s="197"/>
      <c r="BC581" s="197"/>
      <c r="BD581" s="197"/>
      <c r="BE581" s="197"/>
      <c r="BF581" s="197"/>
      <c r="BG581" s="197"/>
      <c r="BH581" s="197"/>
      <c r="BI581" s="197"/>
      <c r="BJ581" s="197"/>
      <c r="BK581" s="197"/>
      <c r="BL581" s="197"/>
      <c r="BM581" s="197"/>
      <c r="BN581" s="197"/>
      <c r="BO581" s="197"/>
      <c r="BP581" s="197"/>
    </row>
    <row r="582" spans="1:68" ht="20" customHeight="1" x14ac:dyDescent="0.15">
      <c r="A582" s="197"/>
      <c r="B582" s="197"/>
      <c r="C582" s="193"/>
      <c r="D582" s="197"/>
      <c r="E582" s="197"/>
      <c r="F582" s="214"/>
      <c r="G582" s="197"/>
      <c r="H582" s="197"/>
      <c r="I582" s="197"/>
      <c r="J582" s="197"/>
      <c r="K582" s="197"/>
      <c r="L582" s="197"/>
      <c r="M582" s="197"/>
      <c r="N582" s="197"/>
      <c r="O582" s="197"/>
      <c r="P582" s="197"/>
      <c r="Q582" s="197"/>
      <c r="R582" s="197"/>
      <c r="S582" s="197"/>
      <c r="T582" s="197"/>
      <c r="U582" s="197"/>
      <c r="V582" s="197"/>
      <c r="W582" s="197"/>
      <c r="X582" s="197"/>
      <c r="Y582" s="197"/>
      <c r="Z582" s="197"/>
      <c r="AA582" s="197"/>
      <c r="AB582" s="197"/>
      <c r="AC582" s="197"/>
      <c r="AD582" s="197"/>
      <c r="AE582" s="197"/>
      <c r="AF582" s="197"/>
      <c r="AG582" s="197"/>
      <c r="AH582" s="197"/>
      <c r="AI582" s="197"/>
      <c r="AJ582" s="197"/>
      <c r="AK582" s="197"/>
      <c r="AL582" s="197"/>
      <c r="AM582" s="197"/>
      <c r="AN582" s="197"/>
      <c r="AO582" s="197"/>
      <c r="AP582" s="197"/>
      <c r="AQ582" s="197"/>
      <c r="AR582" s="197"/>
      <c r="AS582" s="197"/>
      <c r="AT582" s="197"/>
      <c r="AU582" s="197"/>
      <c r="AV582" s="197"/>
      <c r="AW582" s="197"/>
      <c r="AX582" s="197"/>
      <c r="AY582" s="197"/>
      <c r="AZ582" s="197"/>
      <c r="BA582" s="197"/>
      <c r="BB582" s="197"/>
      <c r="BC582" s="197"/>
      <c r="BD582" s="197"/>
      <c r="BE582" s="197"/>
      <c r="BF582" s="197"/>
      <c r="BG582" s="197"/>
      <c r="BH582" s="197"/>
      <c r="BI582" s="197"/>
      <c r="BJ582" s="197"/>
      <c r="BK582" s="197"/>
      <c r="BL582" s="197"/>
      <c r="BM582" s="197"/>
      <c r="BN582" s="197"/>
      <c r="BO582" s="197"/>
      <c r="BP582" s="197"/>
    </row>
    <row r="583" spans="1:68" ht="20" customHeight="1" x14ac:dyDescent="0.15">
      <c r="A583" s="197"/>
      <c r="B583" s="197"/>
      <c r="C583" s="193"/>
      <c r="D583" s="197"/>
      <c r="E583" s="197"/>
      <c r="F583" s="214"/>
      <c r="G583" s="197"/>
      <c r="H583" s="197"/>
      <c r="I583" s="197"/>
      <c r="J583" s="197"/>
      <c r="K583" s="197"/>
      <c r="L583" s="197"/>
      <c r="M583" s="197"/>
      <c r="N583" s="197"/>
      <c r="O583" s="197"/>
      <c r="P583" s="197"/>
      <c r="Q583" s="197"/>
      <c r="R583" s="197"/>
      <c r="S583" s="197"/>
      <c r="T583" s="197"/>
      <c r="U583" s="197"/>
      <c r="V583" s="197"/>
      <c r="W583" s="197"/>
      <c r="X583" s="197"/>
      <c r="Y583" s="197"/>
      <c r="Z583" s="197"/>
      <c r="AA583" s="197"/>
      <c r="AB583" s="197"/>
      <c r="AC583" s="197"/>
      <c r="AD583" s="197"/>
      <c r="AE583" s="197"/>
      <c r="AF583" s="197"/>
      <c r="AG583" s="197"/>
      <c r="AH583" s="197"/>
      <c r="AI583" s="197"/>
      <c r="AJ583" s="197"/>
      <c r="AK583" s="197"/>
      <c r="AL583" s="197"/>
      <c r="AM583" s="197"/>
      <c r="AN583" s="197"/>
      <c r="AO583" s="197"/>
      <c r="AP583" s="197"/>
      <c r="AQ583" s="197"/>
      <c r="AR583" s="197"/>
      <c r="AS583" s="197"/>
      <c r="AT583" s="197"/>
      <c r="AU583" s="197"/>
      <c r="AV583" s="197"/>
      <c r="AW583" s="197"/>
      <c r="AX583" s="197"/>
      <c r="AY583" s="197"/>
      <c r="AZ583" s="197"/>
      <c r="BA583" s="197"/>
      <c r="BB583" s="197"/>
      <c r="BC583" s="197"/>
      <c r="BD583" s="197"/>
      <c r="BE583" s="197"/>
      <c r="BF583" s="197"/>
      <c r="BG583" s="197"/>
      <c r="BH583" s="197"/>
      <c r="BI583" s="197"/>
      <c r="BJ583" s="197"/>
      <c r="BK583" s="197"/>
      <c r="BL583" s="197"/>
      <c r="BM583" s="197"/>
      <c r="BN583" s="197"/>
      <c r="BO583" s="197"/>
      <c r="BP583" s="197"/>
    </row>
    <row r="584" spans="1:68" ht="20" customHeight="1" x14ac:dyDescent="0.15">
      <c r="A584" s="197"/>
      <c r="B584" s="197"/>
      <c r="C584" s="193"/>
      <c r="D584" s="197"/>
      <c r="E584" s="197"/>
      <c r="F584" s="214"/>
      <c r="G584" s="197"/>
      <c r="H584" s="197"/>
      <c r="I584" s="197"/>
      <c r="J584" s="197"/>
      <c r="K584" s="197"/>
      <c r="L584" s="197"/>
      <c r="M584" s="197"/>
      <c r="N584" s="197"/>
      <c r="O584" s="197"/>
      <c r="P584" s="197"/>
      <c r="Q584" s="197"/>
      <c r="R584" s="197"/>
      <c r="S584" s="197"/>
      <c r="T584" s="197"/>
      <c r="U584" s="197"/>
      <c r="V584" s="197"/>
      <c r="W584" s="197"/>
      <c r="X584" s="197"/>
      <c r="Y584" s="197"/>
      <c r="Z584" s="197"/>
      <c r="AA584" s="197"/>
      <c r="AB584" s="197"/>
      <c r="AC584" s="197"/>
      <c r="AD584" s="197"/>
      <c r="AE584" s="197"/>
      <c r="AF584" s="197"/>
      <c r="AG584" s="197"/>
      <c r="AH584" s="197"/>
      <c r="AI584" s="197"/>
      <c r="AJ584" s="197"/>
      <c r="AK584" s="197"/>
      <c r="AL584" s="197"/>
      <c r="AM584" s="197"/>
      <c r="AN584" s="197"/>
      <c r="AO584" s="197"/>
      <c r="AP584" s="197"/>
      <c r="AQ584" s="197"/>
      <c r="AR584" s="197"/>
      <c r="AS584" s="197"/>
      <c r="AT584" s="197"/>
      <c r="AU584" s="197"/>
      <c r="AV584" s="197"/>
      <c r="AW584" s="197"/>
      <c r="AX584" s="197"/>
      <c r="AY584" s="197"/>
      <c r="AZ584" s="197"/>
      <c r="BA584" s="197"/>
      <c r="BB584" s="197"/>
      <c r="BC584" s="197"/>
      <c r="BD584" s="197"/>
      <c r="BE584" s="197"/>
      <c r="BF584" s="197"/>
      <c r="BG584" s="197"/>
      <c r="BH584" s="197"/>
      <c r="BI584" s="197"/>
      <c r="BJ584" s="197"/>
      <c r="BK584" s="197"/>
      <c r="BL584" s="197"/>
      <c r="BM584" s="197"/>
      <c r="BN584" s="197"/>
      <c r="BO584" s="197"/>
      <c r="BP584" s="197"/>
    </row>
    <row r="585" spans="1:68" ht="20" customHeight="1" x14ac:dyDescent="0.15">
      <c r="A585" s="197"/>
      <c r="B585" s="197"/>
      <c r="C585" s="193"/>
      <c r="D585" s="197"/>
      <c r="E585" s="197"/>
      <c r="F585" s="214"/>
      <c r="G585" s="197"/>
      <c r="H585" s="197"/>
      <c r="I585" s="197"/>
      <c r="J585" s="197"/>
      <c r="K585" s="197"/>
      <c r="L585" s="197"/>
      <c r="M585" s="197"/>
      <c r="N585" s="197"/>
      <c r="O585" s="197"/>
      <c r="P585" s="197"/>
      <c r="Q585" s="197"/>
      <c r="R585" s="197"/>
      <c r="S585" s="197"/>
      <c r="T585" s="197"/>
      <c r="U585" s="197"/>
      <c r="V585" s="197"/>
      <c r="W585" s="197"/>
      <c r="X585" s="197"/>
      <c r="Y585" s="197"/>
      <c r="Z585" s="197"/>
      <c r="AA585" s="197"/>
      <c r="AB585" s="197"/>
      <c r="AC585" s="197"/>
      <c r="AD585" s="197"/>
      <c r="AE585" s="197"/>
      <c r="AF585" s="197"/>
      <c r="AG585" s="197"/>
      <c r="AH585" s="197"/>
      <c r="AI585" s="197"/>
      <c r="AJ585" s="197"/>
      <c r="AK585" s="197"/>
      <c r="AL585" s="197"/>
      <c r="AM585" s="197"/>
      <c r="AN585" s="197"/>
      <c r="AO585" s="197"/>
      <c r="AP585" s="197"/>
      <c r="AQ585" s="197"/>
      <c r="AR585" s="197"/>
      <c r="AS585" s="197"/>
      <c r="AT585" s="197"/>
      <c r="AU585" s="197"/>
      <c r="AV585" s="197"/>
      <c r="AW585" s="197"/>
      <c r="AX585" s="197"/>
      <c r="AY585" s="197"/>
      <c r="AZ585" s="197"/>
      <c r="BA585" s="197"/>
      <c r="BB585" s="197"/>
      <c r="BC585" s="197"/>
      <c r="BD585" s="197"/>
      <c r="BE585" s="197"/>
      <c r="BF585" s="197"/>
      <c r="BG585" s="197"/>
      <c r="BH585" s="197"/>
      <c r="BI585" s="197"/>
      <c r="BJ585" s="197"/>
      <c r="BK585" s="197"/>
      <c r="BL585" s="197"/>
      <c r="BM585" s="197"/>
      <c r="BN585" s="197"/>
      <c r="BO585" s="197"/>
      <c r="BP585" s="197"/>
    </row>
    <row r="586" spans="1:68" ht="20" customHeight="1" x14ac:dyDescent="0.15">
      <c r="A586" s="197"/>
      <c r="B586" s="197"/>
      <c r="C586" s="193"/>
      <c r="D586" s="197"/>
      <c r="E586" s="197"/>
      <c r="F586" s="214"/>
      <c r="G586" s="197"/>
      <c r="H586" s="197"/>
      <c r="I586" s="197"/>
      <c r="J586" s="197"/>
      <c r="K586" s="197"/>
      <c r="L586" s="197"/>
      <c r="M586" s="197"/>
      <c r="N586" s="197"/>
      <c r="O586" s="197"/>
      <c r="P586" s="197"/>
      <c r="Q586" s="197"/>
      <c r="R586" s="197"/>
      <c r="S586" s="197"/>
      <c r="T586" s="197"/>
      <c r="U586" s="197"/>
      <c r="V586" s="197"/>
      <c r="W586" s="197"/>
      <c r="X586" s="197"/>
      <c r="Y586" s="197"/>
      <c r="Z586" s="197"/>
      <c r="AA586" s="197"/>
      <c r="AB586" s="197"/>
      <c r="AC586" s="197"/>
      <c r="AD586" s="197"/>
      <c r="AE586" s="197"/>
      <c r="AF586" s="197"/>
      <c r="AG586" s="197"/>
      <c r="AH586" s="197"/>
      <c r="AI586" s="197"/>
      <c r="AJ586" s="197"/>
      <c r="AK586" s="197"/>
      <c r="AL586" s="197"/>
      <c r="AM586" s="197"/>
      <c r="AN586" s="197"/>
      <c r="AO586" s="197"/>
      <c r="AP586" s="197"/>
      <c r="AQ586" s="197"/>
      <c r="AR586" s="197"/>
      <c r="AS586" s="197"/>
      <c r="AT586" s="197"/>
      <c r="AU586" s="197"/>
      <c r="AV586" s="197"/>
      <c r="AW586" s="197"/>
      <c r="AX586" s="197"/>
      <c r="AY586" s="197"/>
      <c r="AZ586" s="197"/>
      <c r="BA586" s="197"/>
      <c r="BB586" s="197"/>
      <c r="BC586" s="197"/>
      <c r="BD586" s="197"/>
      <c r="BE586" s="197"/>
      <c r="BF586" s="197"/>
      <c r="BG586" s="197"/>
      <c r="BH586" s="197"/>
      <c r="BI586" s="197"/>
      <c r="BJ586" s="197"/>
      <c r="BK586" s="197"/>
      <c r="BL586" s="197"/>
      <c r="BM586" s="197"/>
      <c r="BN586" s="197"/>
      <c r="BO586" s="197"/>
      <c r="BP586" s="197"/>
    </row>
    <row r="587" spans="1:68" ht="20" customHeight="1" x14ac:dyDescent="0.15">
      <c r="A587" s="197"/>
      <c r="B587" s="197"/>
      <c r="C587" s="193"/>
      <c r="D587" s="197"/>
      <c r="E587" s="197"/>
      <c r="F587" s="214"/>
      <c r="G587" s="197"/>
      <c r="H587" s="197"/>
      <c r="I587" s="197"/>
      <c r="J587" s="197"/>
      <c r="K587" s="197"/>
      <c r="L587" s="197"/>
      <c r="M587" s="197"/>
      <c r="N587" s="197"/>
      <c r="O587" s="197"/>
      <c r="P587" s="197"/>
      <c r="Q587" s="197"/>
      <c r="R587" s="197"/>
      <c r="S587" s="197"/>
      <c r="T587" s="197"/>
      <c r="U587" s="197"/>
      <c r="V587" s="197"/>
      <c r="W587" s="197"/>
      <c r="X587" s="197"/>
      <c r="Y587" s="197"/>
      <c r="Z587" s="197"/>
      <c r="AA587" s="197"/>
      <c r="AB587" s="197"/>
      <c r="AC587" s="197"/>
      <c r="AD587" s="197"/>
      <c r="AE587" s="197"/>
      <c r="AF587" s="197"/>
      <c r="AG587" s="197"/>
      <c r="AH587" s="197"/>
      <c r="AI587" s="197"/>
      <c r="AJ587" s="197"/>
      <c r="AK587" s="197"/>
      <c r="AL587" s="197"/>
      <c r="AM587" s="197"/>
      <c r="AN587" s="197"/>
      <c r="AO587" s="197"/>
      <c r="AP587" s="197"/>
      <c r="AQ587" s="197"/>
      <c r="AR587" s="197"/>
      <c r="AS587" s="197"/>
      <c r="AT587" s="197"/>
      <c r="AU587" s="197"/>
      <c r="AV587" s="197"/>
      <c r="AW587" s="197"/>
      <c r="AX587" s="197"/>
      <c r="AY587" s="197"/>
      <c r="AZ587" s="197"/>
      <c r="BA587" s="197"/>
      <c r="BB587" s="197"/>
      <c r="BC587" s="197"/>
      <c r="BD587" s="197"/>
      <c r="BE587" s="197"/>
      <c r="BF587" s="197"/>
      <c r="BG587" s="197"/>
      <c r="BH587" s="197"/>
      <c r="BI587" s="197"/>
      <c r="BJ587" s="197"/>
      <c r="BK587" s="197"/>
      <c r="BL587" s="197"/>
      <c r="BM587" s="197"/>
      <c r="BN587" s="197"/>
      <c r="BO587" s="197"/>
      <c r="BP587" s="197"/>
    </row>
    <row r="588" spans="1:68" ht="20" customHeight="1" x14ac:dyDescent="0.15">
      <c r="A588" s="197"/>
      <c r="B588" s="197"/>
      <c r="C588" s="193"/>
      <c r="D588" s="197"/>
      <c r="E588" s="197"/>
      <c r="F588" s="214"/>
      <c r="G588" s="197"/>
      <c r="H588" s="197"/>
      <c r="I588" s="197"/>
      <c r="J588" s="197"/>
      <c r="K588" s="197"/>
      <c r="L588" s="197"/>
      <c r="M588" s="197"/>
      <c r="N588" s="197"/>
      <c r="O588" s="197"/>
      <c r="P588" s="197"/>
      <c r="Q588" s="197"/>
      <c r="R588" s="197"/>
      <c r="S588" s="197"/>
      <c r="T588" s="197"/>
      <c r="U588" s="197"/>
      <c r="V588" s="197"/>
      <c r="W588" s="197"/>
      <c r="X588" s="197"/>
      <c r="Y588" s="197"/>
      <c r="Z588" s="197"/>
      <c r="AA588" s="197"/>
      <c r="AB588" s="197"/>
      <c r="AC588" s="197"/>
      <c r="AD588" s="197"/>
      <c r="AE588" s="197"/>
      <c r="AF588" s="197"/>
      <c r="AG588" s="197"/>
      <c r="AH588" s="197"/>
      <c r="AI588" s="197"/>
      <c r="AJ588" s="197"/>
      <c r="AK588" s="197"/>
      <c r="AL588" s="197"/>
      <c r="AM588" s="197"/>
      <c r="AN588" s="197"/>
      <c r="AO588" s="197"/>
      <c r="AP588" s="197"/>
      <c r="AQ588" s="197"/>
      <c r="AR588" s="197"/>
      <c r="AS588" s="197"/>
      <c r="AT588" s="197"/>
      <c r="AU588" s="197"/>
      <c r="AV588" s="197"/>
      <c r="AW588" s="197"/>
      <c r="AX588" s="197"/>
      <c r="AY588" s="197"/>
      <c r="AZ588" s="197"/>
      <c r="BA588" s="197"/>
      <c r="BB588" s="197"/>
      <c r="BC588" s="197"/>
      <c r="BD588" s="197"/>
      <c r="BE588" s="197"/>
      <c r="BF588" s="197"/>
      <c r="BG588" s="197"/>
      <c r="BH588" s="197"/>
      <c r="BI588" s="197"/>
      <c r="BJ588" s="197"/>
      <c r="BK588" s="197"/>
      <c r="BL588" s="197"/>
      <c r="BM588" s="197"/>
      <c r="BN588" s="197"/>
      <c r="BO588" s="197"/>
      <c r="BP588" s="197"/>
    </row>
    <row r="589" spans="1:68" ht="20" customHeight="1" x14ac:dyDescent="0.15">
      <c r="A589" s="197"/>
      <c r="B589" s="197"/>
      <c r="C589" s="193"/>
      <c r="D589" s="197"/>
      <c r="E589" s="197"/>
      <c r="F589" s="214"/>
      <c r="G589" s="197"/>
      <c r="H589" s="197"/>
      <c r="I589" s="197"/>
      <c r="J589" s="197"/>
      <c r="K589" s="197"/>
      <c r="L589" s="197"/>
      <c r="M589" s="197"/>
      <c r="N589" s="197"/>
      <c r="O589" s="197"/>
      <c r="P589" s="197"/>
      <c r="Q589" s="197"/>
      <c r="R589" s="197"/>
      <c r="S589" s="197"/>
      <c r="T589" s="197"/>
      <c r="U589" s="197"/>
      <c r="V589" s="197"/>
      <c r="W589" s="197"/>
      <c r="X589" s="197"/>
      <c r="Y589" s="197"/>
      <c r="Z589" s="197"/>
      <c r="AA589" s="197"/>
      <c r="AB589" s="197"/>
      <c r="AC589" s="197"/>
      <c r="AD589" s="197"/>
      <c r="AE589" s="197"/>
      <c r="AF589" s="197"/>
      <c r="AG589" s="197"/>
      <c r="AH589" s="197"/>
      <c r="AI589" s="197"/>
      <c r="AJ589" s="197"/>
      <c r="AK589" s="197"/>
      <c r="AL589" s="197"/>
      <c r="AM589" s="197"/>
      <c r="AN589" s="197"/>
      <c r="AO589" s="197"/>
      <c r="AP589" s="197"/>
      <c r="AQ589" s="197"/>
      <c r="AR589" s="197"/>
      <c r="AS589" s="197"/>
      <c r="AT589" s="197"/>
      <c r="AU589" s="197"/>
      <c r="AV589" s="197"/>
      <c r="AW589" s="197"/>
      <c r="AX589" s="197"/>
      <c r="AY589" s="197"/>
      <c r="AZ589" s="197"/>
      <c r="BA589" s="197"/>
      <c r="BB589" s="197"/>
      <c r="BC589" s="197"/>
      <c r="BD589" s="197"/>
      <c r="BE589" s="197"/>
      <c r="BF589" s="197"/>
      <c r="BG589" s="197"/>
      <c r="BH589" s="197"/>
      <c r="BI589" s="197"/>
      <c r="BJ589" s="197"/>
      <c r="BK589" s="197"/>
      <c r="BL589" s="197"/>
      <c r="BM589" s="197"/>
      <c r="BN589" s="197"/>
      <c r="BO589" s="197"/>
      <c r="BP589" s="197"/>
    </row>
    <row r="590" spans="1:68" ht="20" customHeight="1" x14ac:dyDescent="0.15">
      <c r="A590" s="197"/>
      <c r="B590" s="197"/>
      <c r="C590" s="193"/>
      <c r="D590" s="197"/>
      <c r="E590" s="197"/>
      <c r="F590" s="214"/>
      <c r="G590" s="197"/>
      <c r="H590" s="197"/>
      <c r="I590" s="197"/>
      <c r="J590" s="197"/>
      <c r="K590" s="197"/>
      <c r="L590" s="197"/>
      <c r="M590" s="197"/>
      <c r="N590" s="197"/>
      <c r="O590" s="197"/>
      <c r="P590" s="197"/>
      <c r="Q590" s="197"/>
      <c r="R590" s="197"/>
      <c r="S590" s="197"/>
      <c r="T590" s="197"/>
      <c r="U590" s="197"/>
      <c r="V590" s="197"/>
      <c r="W590" s="197"/>
      <c r="X590" s="197"/>
      <c r="Y590" s="197"/>
      <c r="Z590" s="197"/>
      <c r="AA590" s="197"/>
      <c r="AB590" s="197"/>
      <c r="AC590" s="197"/>
      <c r="AD590" s="197"/>
      <c r="AE590" s="197"/>
      <c r="AF590" s="197"/>
      <c r="AG590" s="197"/>
      <c r="AH590" s="197"/>
      <c r="AI590" s="197"/>
      <c r="AJ590" s="197"/>
      <c r="AK590" s="197"/>
      <c r="AL590" s="197"/>
      <c r="AM590" s="197"/>
      <c r="AN590" s="197"/>
      <c r="AO590" s="197"/>
      <c r="AP590" s="197"/>
      <c r="AQ590" s="197"/>
      <c r="AR590" s="197"/>
      <c r="AS590" s="197"/>
      <c r="AT590" s="197"/>
      <c r="AU590" s="197"/>
      <c r="AV590" s="197"/>
      <c r="AW590" s="197"/>
      <c r="AX590" s="197"/>
      <c r="AY590" s="197"/>
      <c r="AZ590" s="197"/>
      <c r="BA590" s="197"/>
      <c r="BB590" s="197"/>
      <c r="BC590" s="197"/>
      <c r="BD590" s="197"/>
      <c r="BE590" s="197"/>
      <c r="BF590" s="197"/>
      <c r="BG590" s="197"/>
      <c r="BH590" s="197"/>
      <c r="BI590" s="197"/>
      <c r="BJ590" s="197"/>
      <c r="BK590" s="197"/>
      <c r="BL590" s="197"/>
      <c r="BM590" s="197"/>
      <c r="BN590" s="197"/>
      <c r="BO590" s="197"/>
      <c r="BP590" s="197"/>
    </row>
    <row r="591" spans="1:68" ht="20" customHeight="1" x14ac:dyDescent="0.15">
      <c r="A591" s="197"/>
      <c r="B591" s="197"/>
      <c r="C591" s="193"/>
      <c r="D591" s="197"/>
      <c r="E591" s="197"/>
      <c r="F591" s="214"/>
      <c r="G591" s="197"/>
      <c r="H591" s="197"/>
      <c r="I591" s="197"/>
      <c r="J591" s="197"/>
      <c r="K591" s="197"/>
      <c r="L591" s="197"/>
      <c r="M591" s="197"/>
      <c r="N591" s="197"/>
      <c r="O591" s="197"/>
      <c r="P591" s="197"/>
      <c r="Q591" s="197"/>
      <c r="R591" s="197"/>
      <c r="S591" s="197"/>
      <c r="T591" s="197"/>
      <c r="U591" s="197"/>
      <c r="V591" s="197"/>
      <c r="W591" s="197"/>
      <c r="X591" s="197"/>
      <c r="Y591" s="197"/>
      <c r="Z591" s="197"/>
      <c r="AA591" s="197"/>
      <c r="AB591" s="197"/>
      <c r="AC591" s="197"/>
      <c r="AD591" s="197"/>
      <c r="AE591" s="197"/>
      <c r="AF591" s="197"/>
      <c r="AG591" s="197"/>
      <c r="AH591" s="197"/>
      <c r="AI591" s="197"/>
      <c r="AJ591" s="197"/>
      <c r="AK591" s="197"/>
      <c r="AL591" s="197"/>
      <c r="AM591" s="197"/>
      <c r="AN591" s="197"/>
      <c r="AO591" s="197"/>
      <c r="AP591" s="197"/>
      <c r="AQ591" s="197"/>
      <c r="AR591" s="197"/>
      <c r="AS591" s="197"/>
      <c r="AT591" s="197"/>
      <c r="AU591" s="197"/>
      <c r="AV591" s="197"/>
      <c r="AW591" s="197"/>
      <c r="AX591" s="197"/>
      <c r="AY591" s="197"/>
      <c r="AZ591" s="197"/>
      <c r="BA591" s="197"/>
      <c r="BB591" s="197"/>
      <c r="BC591" s="197"/>
      <c r="BD591" s="197"/>
      <c r="BE591" s="197"/>
      <c r="BF591" s="197"/>
      <c r="BG591" s="197"/>
      <c r="BH591" s="197"/>
      <c r="BI591" s="197"/>
      <c r="BJ591" s="197"/>
      <c r="BK591" s="197"/>
      <c r="BL591" s="197"/>
      <c r="BM591" s="197"/>
      <c r="BN591" s="197"/>
      <c r="BO591" s="197"/>
      <c r="BP591" s="197"/>
    </row>
    <row r="592" spans="1:68" ht="20" customHeight="1" x14ac:dyDescent="0.15">
      <c r="A592" s="197"/>
      <c r="B592" s="197"/>
      <c r="C592" s="193"/>
      <c r="D592" s="197"/>
      <c r="E592" s="197"/>
      <c r="F592" s="214"/>
      <c r="G592" s="197"/>
      <c r="H592" s="197"/>
      <c r="I592" s="197"/>
      <c r="J592" s="197"/>
      <c r="K592" s="197"/>
      <c r="L592" s="197"/>
      <c r="M592" s="197"/>
      <c r="N592" s="197"/>
      <c r="O592" s="197"/>
      <c r="P592" s="197"/>
      <c r="Q592" s="197"/>
      <c r="R592" s="197"/>
      <c r="S592" s="197"/>
      <c r="T592" s="197"/>
      <c r="U592" s="197"/>
      <c r="V592" s="197"/>
      <c r="W592" s="197"/>
      <c r="X592" s="197"/>
      <c r="Y592" s="197"/>
      <c r="Z592" s="197"/>
      <c r="AA592" s="197"/>
      <c r="AB592" s="197"/>
      <c r="AC592" s="197"/>
      <c r="AD592" s="197"/>
      <c r="AE592" s="197"/>
      <c r="AF592" s="197"/>
      <c r="AG592" s="197"/>
      <c r="AH592" s="197"/>
      <c r="AI592" s="197"/>
      <c r="AJ592" s="197"/>
      <c r="AK592" s="197"/>
      <c r="AL592" s="197"/>
      <c r="AM592" s="197"/>
      <c r="AN592" s="197"/>
      <c r="AO592" s="197"/>
      <c r="AP592" s="197"/>
      <c r="AQ592" s="197"/>
      <c r="AR592" s="197"/>
      <c r="AS592" s="197"/>
      <c r="AT592" s="197"/>
      <c r="AU592" s="197"/>
      <c r="AV592" s="197"/>
      <c r="AW592" s="197"/>
      <c r="AX592" s="197"/>
      <c r="AY592" s="197"/>
      <c r="AZ592" s="197"/>
      <c r="BA592" s="197"/>
      <c r="BB592" s="197"/>
      <c r="BC592" s="197"/>
      <c r="BD592" s="197"/>
      <c r="BE592" s="197"/>
      <c r="BF592" s="197"/>
      <c r="BG592" s="197"/>
      <c r="BH592" s="197"/>
      <c r="BI592" s="197"/>
      <c r="BJ592" s="197"/>
      <c r="BK592" s="197"/>
      <c r="BL592" s="197"/>
      <c r="BM592" s="197"/>
      <c r="BN592" s="197"/>
      <c r="BO592" s="197"/>
      <c r="BP592" s="197"/>
    </row>
    <row r="593" spans="1:68" ht="20" customHeight="1" x14ac:dyDescent="0.15">
      <c r="A593" s="197"/>
      <c r="B593" s="197"/>
      <c r="C593" s="193"/>
      <c r="D593" s="197"/>
      <c r="E593" s="197"/>
      <c r="F593" s="214"/>
      <c r="G593" s="197"/>
      <c r="H593" s="197"/>
      <c r="I593" s="197"/>
      <c r="J593" s="197"/>
      <c r="K593" s="197"/>
      <c r="L593" s="197"/>
      <c r="M593" s="197"/>
      <c r="N593" s="197"/>
      <c r="O593" s="197"/>
      <c r="P593" s="197"/>
      <c r="Q593" s="197"/>
      <c r="R593" s="197"/>
      <c r="S593" s="197"/>
      <c r="T593" s="197"/>
      <c r="U593" s="197"/>
      <c r="V593" s="197"/>
      <c r="W593" s="197"/>
      <c r="X593" s="197"/>
      <c r="Y593" s="197"/>
      <c r="Z593" s="197"/>
      <c r="AA593" s="197"/>
      <c r="AB593" s="197"/>
      <c r="AC593" s="197"/>
      <c r="AD593" s="197"/>
      <c r="AE593" s="197"/>
      <c r="AF593" s="197"/>
      <c r="AG593" s="197"/>
      <c r="AH593" s="197"/>
      <c r="AI593" s="197"/>
      <c r="AJ593" s="197"/>
      <c r="AK593" s="197"/>
      <c r="AL593" s="197"/>
      <c r="AM593" s="197"/>
      <c r="AN593" s="197"/>
      <c r="AO593" s="197"/>
      <c r="AP593" s="197"/>
      <c r="AQ593" s="197"/>
      <c r="AR593" s="197"/>
      <c r="AS593" s="197"/>
      <c r="AT593" s="197"/>
      <c r="AU593" s="197"/>
      <c r="AV593" s="197"/>
      <c r="AW593" s="197"/>
      <c r="AX593" s="197"/>
      <c r="AY593" s="197"/>
      <c r="AZ593" s="197"/>
      <c r="BA593" s="197"/>
      <c r="BB593" s="197"/>
      <c r="BC593" s="197"/>
      <c r="BD593" s="197"/>
      <c r="BE593" s="197"/>
      <c r="BF593" s="197"/>
      <c r="BG593" s="197"/>
      <c r="BH593" s="197"/>
      <c r="BI593" s="197"/>
      <c r="BJ593" s="197"/>
      <c r="BK593" s="197"/>
      <c r="BL593" s="197"/>
      <c r="BM593" s="197"/>
      <c r="BN593" s="197"/>
      <c r="BO593" s="197"/>
      <c r="BP593" s="197"/>
    </row>
    <row r="594" spans="1:68" ht="20" customHeight="1" x14ac:dyDescent="0.15">
      <c r="A594" s="197"/>
      <c r="B594" s="197"/>
      <c r="C594" s="193"/>
      <c r="D594" s="197"/>
      <c r="E594" s="197"/>
      <c r="F594" s="214"/>
      <c r="G594" s="197"/>
      <c r="H594" s="197"/>
      <c r="I594" s="197"/>
      <c r="J594" s="197"/>
      <c r="K594" s="197"/>
      <c r="L594" s="197"/>
      <c r="M594" s="197"/>
      <c r="N594" s="197"/>
      <c r="O594" s="197"/>
      <c r="P594" s="197"/>
      <c r="Q594" s="197"/>
      <c r="R594" s="197"/>
      <c r="S594" s="197"/>
      <c r="T594" s="197"/>
      <c r="U594" s="197"/>
      <c r="V594" s="197"/>
      <c r="W594" s="197"/>
      <c r="X594" s="197"/>
      <c r="Y594" s="197"/>
      <c r="Z594" s="197"/>
      <c r="AA594" s="197"/>
      <c r="AB594" s="197"/>
      <c r="AC594" s="197"/>
      <c r="AD594" s="197"/>
      <c r="AE594" s="197"/>
      <c r="AF594" s="197"/>
      <c r="AG594" s="197"/>
      <c r="AH594" s="197"/>
      <c r="AI594" s="197"/>
      <c r="AJ594" s="197"/>
      <c r="AK594" s="197"/>
      <c r="AL594" s="197"/>
      <c r="AM594" s="197"/>
      <c r="AN594" s="197"/>
      <c r="AO594" s="197"/>
      <c r="AP594" s="197"/>
      <c r="AQ594" s="197"/>
      <c r="AR594" s="197"/>
      <c r="AS594" s="197"/>
      <c r="AT594" s="197"/>
      <c r="AU594" s="197"/>
      <c r="AV594" s="197"/>
      <c r="AW594" s="197"/>
      <c r="AX594" s="197"/>
      <c r="AY594" s="197"/>
      <c r="AZ594" s="197"/>
      <c r="BA594" s="197"/>
      <c r="BB594" s="197"/>
      <c r="BC594" s="197"/>
      <c r="BD594" s="197"/>
      <c r="BE594" s="197"/>
      <c r="BF594" s="197"/>
      <c r="BG594" s="197"/>
      <c r="BH594" s="197"/>
      <c r="BI594" s="197"/>
      <c r="BJ594" s="197"/>
      <c r="BK594" s="197"/>
      <c r="BL594" s="197"/>
      <c r="BM594" s="197"/>
      <c r="BN594" s="197"/>
      <c r="BO594" s="197"/>
      <c r="BP594" s="197"/>
    </row>
    <row r="595" spans="1:68" ht="20" customHeight="1" x14ac:dyDescent="0.15">
      <c r="A595" s="197"/>
      <c r="B595" s="197"/>
      <c r="C595" s="193"/>
      <c r="D595" s="197"/>
      <c r="E595" s="197"/>
      <c r="F595" s="214"/>
      <c r="G595" s="197"/>
      <c r="H595" s="197"/>
      <c r="I595" s="197"/>
      <c r="J595" s="197"/>
      <c r="K595" s="197"/>
      <c r="L595" s="197"/>
      <c r="M595" s="197"/>
      <c r="N595" s="197"/>
      <c r="O595" s="197"/>
      <c r="P595" s="197"/>
      <c r="Q595" s="197"/>
      <c r="R595" s="197"/>
      <c r="S595" s="197"/>
      <c r="T595" s="197"/>
      <c r="U595" s="197"/>
      <c r="V595" s="197"/>
      <c r="W595" s="197"/>
      <c r="X595" s="197"/>
      <c r="Y595" s="197"/>
      <c r="Z595" s="197"/>
      <c r="AA595" s="197"/>
      <c r="AB595" s="197"/>
      <c r="AC595" s="197"/>
      <c r="AD595" s="197"/>
      <c r="AE595" s="197"/>
      <c r="AF595" s="197"/>
      <c r="AG595" s="197"/>
      <c r="AH595" s="197"/>
      <c r="AI595" s="197"/>
      <c r="AJ595" s="197"/>
      <c r="AK595" s="197"/>
      <c r="AL595" s="197"/>
      <c r="AM595" s="197"/>
      <c r="AN595" s="197"/>
      <c r="AO595" s="197"/>
      <c r="AP595" s="197"/>
      <c r="AQ595" s="197"/>
      <c r="AR595" s="197"/>
      <c r="AS595" s="197"/>
      <c r="AT595" s="197"/>
      <c r="AU595" s="197"/>
      <c r="AV595" s="197"/>
      <c r="AW595" s="197"/>
      <c r="AX595" s="197"/>
      <c r="AY595" s="197"/>
      <c r="AZ595" s="197"/>
      <c r="BA595" s="197"/>
      <c r="BB595" s="197"/>
      <c r="BC595" s="197"/>
      <c r="BD595" s="197"/>
      <c r="BE595" s="197"/>
      <c r="BF595" s="197"/>
      <c r="BG595" s="197"/>
      <c r="BH595" s="197"/>
      <c r="BI595" s="197"/>
      <c r="BJ595" s="197"/>
      <c r="BK595" s="197"/>
      <c r="BL595" s="197"/>
      <c r="BM595" s="197"/>
      <c r="BN595" s="197"/>
      <c r="BO595" s="197"/>
      <c r="BP595" s="197"/>
    </row>
    <row r="596" spans="1:68" ht="20" customHeight="1" x14ac:dyDescent="0.15">
      <c r="A596" s="197"/>
      <c r="B596" s="197"/>
      <c r="C596" s="193"/>
      <c r="D596" s="197"/>
      <c r="E596" s="197"/>
      <c r="F596" s="214"/>
      <c r="G596" s="197"/>
      <c r="H596" s="197"/>
      <c r="I596" s="197"/>
      <c r="J596" s="197"/>
      <c r="K596" s="197"/>
      <c r="L596" s="197"/>
      <c r="M596" s="197"/>
      <c r="N596" s="197"/>
      <c r="O596" s="197"/>
      <c r="P596" s="197"/>
      <c r="Q596" s="197"/>
      <c r="R596" s="197"/>
      <c r="S596" s="197"/>
      <c r="T596" s="197"/>
      <c r="U596" s="197"/>
      <c r="V596" s="197"/>
      <c r="W596" s="197"/>
      <c r="X596" s="197"/>
      <c r="Y596" s="197"/>
      <c r="Z596" s="197"/>
      <c r="AA596" s="197"/>
      <c r="AB596" s="197"/>
      <c r="AC596" s="197"/>
      <c r="AD596" s="197"/>
      <c r="AE596" s="197"/>
      <c r="AF596" s="197"/>
      <c r="AG596" s="197"/>
      <c r="AH596" s="197"/>
      <c r="AI596" s="197"/>
      <c r="AJ596" s="197"/>
      <c r="AK596" s="197"/>
      <c r="AL596" s="197"/>
      <c r="AM596" s="197"/>
      <c r="AN596" s="197"/>
      <c r="AO596" s="197"/>
      <c r="AP596" s="197"/>
      <c r="AQ596" s="197"/>
      <c r="AR596" s="197"/>
      <c r="AS596" s="197"/>
      <c r="AT596" s="197"/>
      <c r="AU596" s="197"/>
      <c r="AV596" s="197"/>
      <c r="AW596" s="197"/>
      <c r="AX596" s="197"/>
      <c r="AY596" s="197"/>
      <c r="AZ596" s="197"/>
      <c r="BA596" s="197"/>
      <c r="BB596" s="197"/>
      <c r="BC596" s="197"/>
      <c r="BD596" s="197"/>
      <c r="BE596" s="197"/>
      <c r="BF596" s="197"/>
      <c r="BG596" s="197"/>
      <c r="BH596" s="197"/>
      <c r="BI596" s="197"/>
      <c r="BJ596" s="197"/>
      <c r="BK596" s="197"/>
      <c r="BL596" s="197"/>
      <c r="BM596" s="197"/>
      <c r="BN596" s="197"/>
      <c r="BO596" s="197"/>
      <c r="BP596" s="197"/>
    </row>
    <row r="597" spans="1:68" ht="20" customHeight="1" x14ac:dyDescent="0.15">
      <c r="A597" s="197"/>
      <c r="B597" s="197"/>
      <c r="C597" s="193"/>
      <c r="D597" s="197"/>
      <c r="E597" s="197"/>
      <c r="F597" s="214"/>
      <c r="G597" s="197"/>
      <c r="H597" s="197"/>
      <c r="I597" s="197"/>
      <c r="J597" s="197"/>
      <c r="K597" s="197"/>
      <c r="L597" s="197"/>
      <c r="M597" s="197"/>
      <c r="N597" s="197"/>
      <c r="O597" s="197"/>
      <c r="P597" s="197"/>
      <c r="Q597" s="197"/>
      <c r="R597" s="197"/>
      <c r="S597" s="197"/>
      <c r="T597" s="197"/>
      <c r="U597" s="197"/>
      <c r="V597" s="197"/>
      <c r="W597" s="197"/>
      <c r="X597" s="197"/>
      <c r="Y597" s="197"/>
      <c r="Z597" s="197"/>
      <c r="AA597" s="197"/>
      <c r="AB597" s="197"/>
      <c r="AC597" s="197"/>
      <c r="AD597" s="197"/>
      <c r="AE597" s="197"/>
      <c r="AF597" s="197"/>
      <c r="AG597" s="197"/>
      <c r="AH597" s="197"/>
      <c r="AI597" s="197"/>
      <c r="AJ597" s="197"/>
      <c r="AK597" s="197"/>
      <c r="AL597" s="197"/>
      <c r="AM597" s="197"/>
      <c r="AN597" s="197"/>
      <c r="AO597" s="197"/>
      <c r="AP597" s="197"/>
      <c r="AQ597" s="197"/>
      <c r="AR597" s="197"/>
      <c r="AS597" s="197"/>
      <c r="AT597" s="197"/>
      <c r="AU597" s="197"/>
      <c r="AV597" s="197"/>
      <c r="AW597" s="197"/>
      <c r="AX597" s="197"/>
      <c r="AY597" s="197"/>
      <c r="AZ597" s="197"/>
      <c r="BA597" s="197"/>
      <c r="BB597" s="197"/>
      <c r="BC597" s="197"/>
      <c r="BD597" s="197"/>
      <c r="BE597" s="197"/>
      <c r="BF597" s="197"/>
      <c r="BG597" s="197"/>
      <c r="BH597" s="197"/>
      <c r="BI597" s="197"/>
      <c r="BJ597" s="197"/>
      <c r="BK597" s="197"/>
      <c r="BL597" s="197"/>
      <c r="BM597" s="197"/>
      <c r="BN597" s="197"/>
      <c r="BO597" s="197"/>
      <c r="BP597" s="197"/>
    </row>
    <row r="598" spans="1:68" ht="20" customHeight="1" x14ac:dyDescent="0.15">
      <c r="A598" s="197"/>
      <c r="B598" s="197"/>
      <c r="C598" s="193"/>
      <c r="D598" s="197"/>
      <c r="E598" s="197"/>
      <c r="F598" s="214"/>
      <c r="G598" s="197"/>
      <c r="H598" s="197"/>
      <c r="I598" s="197"/>
      <c r="J598" s="197"/>
      <c r="K598" s="197"/>
      <c r="L598" s="197"/>
      <c r="M598" s="197"/>
      <c r="N598" s="197"/>
      <c r="O598" s="197"/>
      <c r="P598" s="197"/>
      <c r="Q598" s="197"/>
      <c r="R598" s="197"/>
      <c r="S598" s="197"/>
      <c r="T598" s="197"/>
      <c r="U598" s="197"/>
      <c r="V598" s="197"/>
      <c r="W598" s="197"/>
      <c r="X598" s="197"/>
      <c r="Y598" s="197"/>
      <c r="Z598" s="197"/>
      <c r="AA598" s="197"/>
      <c r="AB598" s="197"/>
      <c r="AC598" s="197"/>
      <c r="AD598" s="197"/>
      <c r="AE598" s="197"/>
      <c r="AF598" s="197"/>
      <c r="AG598" s="197"/>
      <c r="AH598" s="197"/>
      <c r="AI598" s="197"/>
      <c r="AJ598" s="197"/>
      <c r="AK598" s="197"/>
      <c r="AL598" s="197"/>
      <c r="AM598" s="197"/>
      <c r="AN598" s="197"/>
      <c r="AO598" s="197"/>
      <c r="AP598" s="197"/>
      <c r="AQ598" s="197"/>
      <c r="AR598" s="197"/>
      <c r="AS598" s="197"/>
      <c r="AT598" s="197"/>
      <c r="AU598" s="197"/>
      <c r="AV598" s="197"/>
      <c r="AW598" s="197"/>
      <c r="AX598" s="197"/>
      <c r="AY598" s="197"/>
      <c r="AZ598" s="197"/>
      <c r="BA598" s="197"/>
      <c r="BB598" s="197"/>
      <c r="BC598" s="197"/>
      <c r="BD598" s="197"/>
      <c r="BE598" s="197"/>
      <c r="BF598" s="197"/>
      <c r="BG598" s="197"/>
      <c r="BH598" s="197"/>
      <c r="BI598" s="197"/>
      <c r="BJ598" s="197"/>
      <c r="BK598" s="197"/>
      <c r="BL598" s="197"/>
      <c r="BM598" s="197"/>
      <c r="BN598" s="197"/>
      <c r="BO598" s="197"/>
      <c r="BP598" s="197"/>
    </row>
    <row r="599" spans="1:68" ht="20" customHeight="1" x14ac:dyDescent="0.15">
      <c r="A599" s="197"/>
      <c r="B599" s="197"/>
      <c r="C599" s="193"/>
      <c r="D599" s="197"/>
      <c r="E599" s="197"/>
      <c r="F599" s="214"/>
      <c r="G599" s="197"/>
      <c r="H599" s="197"/>
      <c r="I599" s="197"/>
      <c r="J599" s="197"/>
      <c r="K599" s="197"/>
      <c r="L599" s="197"/>
      <c r="M599" s="197"/>
      <c r="N599" s="197"/>
      <c r="O599" s="197"/>
      <c r="P599" s="197"/>
      <c r="Q599" s="197"/>
      <c r="R599" s="197"/>
      <c r="S599" s="197"/>
      <c r="T599" s="197"/>
      <c r="U599" s="197"/>
      <c r="V599" s="197"/>
      <c r="W599" s="197"/>
      <c r="X599" s="197"/>
      <c r="Y599" s="197"/>
      <c r="Z599" s="197"/>
      <c r="AA599" s="197"/>
      <c r="AB599" s="197"/>
      <c r="AC599" s="197"/>
      <c r="AD599" s="197"/>
      <c r="AE599" s="197"/>
      <c r="AF599" s="197"/>
      <c r="AG599" s="197"/>
      <c r="AH599" s="197"/>
      <c r="AI599" s="197"/>
      <c r="AJ599" s="197"/>
      <c r="AK599" s="197"/>
      <c r="AL599" s="197"/>
      <c r="AM599" s="197"/>
      <c r="AN599" s="197"/>
      <c r="AO599" s="197"/>
      <c r="AP599" s="197"/>
      <c r="AQ599" s="197"/>
      <c r="AR599" s="197"/>
      <c r="AS599" s="197"/>
      <c r="AT599" s="197"/>
      <c r="AU599" s="197"/>
      <c r="AV599" s="197"/>
      <c r="AW599" s="197"/>
      <c r="AX599" s="197"/>
      <c r="AY599" s="197"/>
      <c r="AZ599" s="197"/>
      <c r="BA599" s="197"/>
      <c r="BB599" s="197"/>
      <c r="BC599" s="197"/>
      <c r="BD599" s="197"/>
      <c r="BE599" s="197"/>
      <c r="BF599" s="197"/>
      <c r="BG599" s="197"/>
      <c r="BH599" s="197"/>
      <c r="BI599" s="197"/>
      <c r="BJ599" s="197"/>
      <c r="BK599" s="197"/>
      <c r="BL599" s="197"/>
      <c r="BM599" s="197"/>
      <c r="BN599" s="197"/>
      <c r="BO599" s="197"/>
      <c r="BP599" s="197"/>
    </row>
    <row r="600" spans="1:68" ht="20" customHeight="1" x14ac:dyDescent="0.15">
      <c r="A600" s="197"/>
      <c r="B600" s="197"/>
      <c r="C600" s="193"/>
      <c r="D600" s="197"/>
      <c r="E600" s="197"/>
      <c r="F600" s="214"/>
      <c r="G600" s="197"/>
      <c r="H600" s="197"/>
      <c r="I600" s="197"/>
      <c r="J600" s="197"/>
      <c r="K600" s="197"/>
      <c r="L600" s="197"/>
      <c r="M600" s="197"/>
      <c r="N600" s="197"/>
      <c r="O600" s="197"/>
      <c r="P600" s="197"/>
      <c r="Q600" s="197"/>
      <c r="R600" s="197"/>
      <c r="S600" s="197"/>
      <c r="T600" s="197"/>
      <c r="U600" s="197"/>
      <c r="V600" s="197"/>
      <c r="W600" s="197"/>
      <c r="X600" s="197"/>
      <c r="Y600" s="197"/>
      <c r="Z600" s="197"/>
      <c r="AA600" s="197"/>
      <c r="AB600" s="197"/>
      <c r="AC600" s="197"/>
      <c r="AD600" s="197"/>
      <c r="AE600" s="197"/>
      <c r="AF600" s="197"/>
      <c r="AG600" s="197"/>
      <c r="AH600" s="197"/>
      <c r="AI600" s="197"/>
      <c r="AJ600" s="197"/>
      <c r="AK600" s="197"/>
      <c r="AL600" s="197"/>
      <c r="AM600" s="197"/>
      <c r="AN600" s="197"/>
      <c r="AO600" s="197"/>
      <c r="AP600" s="197"/>
      <c r="AQ600" s="197"/>
      <c r="AR600" s="197"/>
      <c r="AS600" s="197"/>
      <c r="AT600" s="197"/>
      <c r="AU600" s="197"/>
      <c r="AV600" s="197"/>
      <c r="AW600" s="197"/>
      <c r="AX600" s="197"/>
      <c r="AY600" s="197"/>
      <c r="AZ600" s="197"/>
      <c r="BA600" s="197"/>
      <c r="BB600" s="197"/>
      <c r="BC600" s="197"/>
      <c r="BD600" s="197"/>
      <c r="BE600" s="197"/>
      <c r="BF600" s="197"/>
      <c r="BG600" s="197"/>
      <c r="BH600" s="197"/>
      <c r="BI600" s="197"/>
      <c r="BJ600" s="197"/>
      <c r="BK600" s="197"/>
      <c r="BL600" s="197"/>
      <c r="BM600" s="197"/>
      <c r="BN600" s="197"/>
      <c r="BO600" s="197"/>
      <c r="BP600" s="197"/>
    </row>
    <row r="601" spans="1:68" ht="20" customHeight="1" x14ac:dyDescent="0.15">
      <c r="A601" s="197"/>
      <c r="B601" s="197"/>
      <c r="C601" s="193"/>
      <c r="D601" s="197"/>
      <c r="E601" s="197"/>
      <c r="F601" s="214"/>
      <c r="G601" s="197"/>
      <c r="H601" s="197"/>
      <c r="I601" s="197"/>
      <c r="J601" s="197"/>
      <c r="K601" s="197"/>
      <c r="L601" s="197"/>
      <c r="M601" s="197"/>
      <c r="N601" s="197"/>
      <c r="O601" s="197"/>
      <c r="P601" s="197"/>
      <c r="Q601" s="197"/>
      <c r="R601" s="197"/>
      <c r="S601" s="197"/>
      <c r="T601" s="197"/>
      <c r="U601" s="197"/>
      <c r="V601" s="197"/>
      <c r="W601" s="197"/>
      <c r="X601" s="197"/>
      <c r="Y601" s="197"/>
      <c r="Z601" s="197"/>
      <c r="AA601" s="197"/>
      <c r="AB601" s="197"/>
      <c r="AC601" s="197"/>
      <c r="AD601" s="197"/>
      <c r="AE601" s="197"/>
      <c r="AF601" s="197"/>
      <c r="AG601" s="197"/>
      <c r="AH601" s="197"/>
      <c r="AI601" s="197"/>
      <c r="AJ601" s="197"/>
      <c r="AK601" s="197"/>
      <c r="AL601" s="197"/>
      <c r="AM601" s="197"/>
      <c r="AN601" s="197"/>
      <c r="AO601" s="197"/>
      <c r="AP601" s="197"/>
      <c r="AQ601" s="197"/>
      <c r="AR601" s="197"/>
      <c r="AS601" s="197"/>
      <c r="AT601" s="197"/>
      <c r="AU601" s="197"/>
      <c r="AV601" s="197"/>
      <c r="AW601" s="197"/>
      <c r="AX601" s="197"/>
      <c r="AY601" s="197"/>
      <c r="AZ601" s="197"/>
      <c r="BA601" s="197"/>
      <c r="BB601" s="197"/>
      <c r="BC601" s="197"/>
      <c r="BD601" s="197"/>
      <c r="BE601" s="197"/>
      <c r="BF601" s="197"/>
      <c r="BG601" s="197"/>
      <c r="BH601" s="197"/>
      <c r="BI601" s="197"/>
      <c r="BJ601" s="197"/>
      <c r="BK601" s="197"/>
      <c r="BL601" s="197"/>
      <c r="BM601" s="197"/>
      <c r="BN601" s="197"/>
      <c r="BO601" s="197"/>
      <c r="BP601" s="197"/>
    </row>
    <row r="602" spans="1:68" ht="20" customHeight="1" x14ac:dyDescent="0.15">
      <c r="A602" s="197"/>
      <c r="B602" s="197"/>
      <c r="C602" s="193"/>
      <c r="D602" s="197"/>
      <c r="E602" s="197"/>
      <c r="F602" s="214"/>
      <c r="G602" s="197"/>
      <c r="H602" s="197"/>
      <c r="I602" s="197"/>
      <c r="J602" s="197"/>
      <c r="K602" s="197"/>
      <c r="L602" s="197"/>
      <c r="M602" s="197"/>
      <c r="N602" s="197"/>
      <c r="O602" s="197"/>
      <c r="P602" s="197"/>
      <c r="Q602" s="197"/>
      <c r="R602" s="197"/>
      <c r="S602" s="197"/>
      <c r="T602" s="197"/>
      <c r="U602" s="197"/>
      <c r="V602" s="197"/>
      <c r="W602" s="197"/>
      <c r="X602" s="197"/>
      <c r="Y602" s="197"/>
      <c r="Z602" s="197"/>
      <c r="AA602" s="197"/>
      <c r="AB602" s="197"/>
      <c r="AC602" s="197"/>
      <c r="AD602" s="197"/>
      <c r="AE602" s="197"/>
      <c r="AF602" s="197"/>
      <c r="AG602" s="197"/>
      <c r="AH602" s="197"/>
      <c r="AI602" s="197"/>
      <c r="AJ602" s="197"/>
      <c r="AK602" s="197"/>
      <c r="AL602" s="197"/>
      <c r="AM602" s="197"/>
      <c r="AN602" s="197"/>
      <c r="AO602" s="197"/>
      <c r="AP602" s="197"/>
      <c r="AQ602" s="197"/>
      <c r="AR602" s="197"/>
      <c r="AS602" s="197"/>
      <c r="AT602" s="197"/>
      <c r="AU602" s="197"/>
      <c r="AV602" s="197"/>
      <c r="AW602" s="197"/>
      <c r="AX602" s="197"/>
      <c r="AY602" s="197"/>
      <c r="AZ602" s="197"/>
      <c r="BA602" s="197"/>
      <c r="BB602" s="197"/>
      <c r="BC602" s="197"/>
      <c r="BD602" s="197"/>
      <c r="BE602" s="197"/>
      <c r="BF602" s="197"/>
      <c r="BG602" s="197"/>
      <c r="BH602" s="197"/>
      <c r="BI602" s="197"/>
      <c r="BJ602" s="197"/>
      <c r="BK602" s="197"/>
      <c r="BL602" s="197"/>
      <c r="BM602" s="197"/>
      <c r="BN602" s="197"/>
      <c r="BO602" s="197"/>
      <c r="BP602" s="197"/>
    </row>
    <row r="603" spans="1:68" ht="20" customHeight="1" x14ac:dyDescent="0.15">
      <c r="A603" s="197"/>
      <c r="B603" s="197"/>
      <c r="C603" s="193"/>
      <c r="D603" s="197"/>
      <c r="E603" s="197"/>
      <c r="F603" s="214"/>
      <c r="G603" s="197"/>
      <c r="H603" s="197"/>
      <c r="I603" s="197"/>
      <c r="J603" s="197"/>
      <c r="K603" s="197"/>
      <c r="L603" s="197"/>
      <c r="M603" s="197"/>
      <c r="N603" s="197"/>
      <c r="O603" s="197"/>
      <c r="P603" s="197"/>
      <c r="Q603" s="197"/>
      <c r="R603" s="197"/>
      <c r="S603" s="197"/>
      <c r="T603" s="197"/>
      <c r="U603" s="197"/>
      <c r="V603" s="197"/>
      <c r="W603" s="197"/>
      <c r="X603" s="197"/>
      <c r="Y603" s="197"/>
      <c r="Z603" s="197"/>
      <c r="AA603" s="197"/>
      <c r="AB603" s="197"/>
      <c r="AC603" s="197"/>
      <c r="AD603" s="197"/>
      <c r="AE603" s="197"/>
      <c r="AF603" s="197"/>
      <c r="AG603" s="197"/>
      <c r="AH603" s="197"/>
      <c r="AI603" s="197"/>
      <c r="AJ603" s="197"/>
      <c r="AK603" s="197"/>
      <c r="AL603" s="197"/>
      <c r="AM603" s="197"/>
      <c r="AN603" s="197"/>
      <c r="AO603" s="197"/>
      <c r="AP603" s="197"/>
      <c r="AQ603" s="197"/>
      <c r="AR603" s="197"/>
      <c r="AS603" s="197"/>
      <c r="AT603" s="197"/>
      <c r="AU603" s="197"/>
      <c r="AV603" s="197"/>
      <c r="AW603" s="197"/>
      <c r="AX603" s="197"/>
      <c r="AY603" s="197"/>
      <c r="AZ603" s="197"/>
      <c r="BA603" s="197"/>
      <c r="BB603" s="197"/>
      <c r="BC603" s="197"/>
      <c r="BD603" s="197"/>
      <c r="BE603" s="197"/>
      <c r="BF603" s="197"/>
      <c r="BG603" s="197"/>
      <c r="BH603" s="197"/>
      <c r="BI603" s="197"/>
      <c r="BJ603" s="197"/>
      <c r="BK603" s="197"/>
      <c r="BL603" s="197"/>
      <c r="BM603" s="197"/>
      <c r="BN603" s="197"/>
      <c r="BO603" s="197"/>
      <c r="BP603" s="197"/>
    </row>
    <row r="604" spans="1:68" ht="20" customHeight="1" x14ac:dyDescent="0.15">
      <c r="A604" s="197"/>
      <c r="B604" s="197"/>
      <c r="C604" s="193"/>
      <c r="D604" s="197"/>
      <c r="E604" s="197"/>
      <c r="F604" s="214"/>
      <c r="G604" s="197"/>
      <c r="H604" s="197"/>
      <c r="I604" s="197"/>
      <c r="J604" s="197"/>
      <c r="K604" s="197"/>
      <c r="L604" s="197"/>
      <c r="M604" s="197"/>
      <c r="N604" s="197"/>
      <c r="O604" s="197"/>
      <c r="P604" s="197"/>
      <c r="Q604" s="197"/>
      <c r="R604" s="197"/>
      <c r="S604" s="197"/>
      <c r="T604" s="197"/>
      <c r="U604" s="197"/>
      <c r="V604" s="197"/>
      <c r="W604" s="197"/>
      <c r="X604" s="197"/>
      <c r="Y604" s="197"/>
      <c r="Z604" s="197"/>
      <c r="AA604" s="197"/>
      <c r="AB604" s="197"/>
      <c r="AC604" s="197"/>
      <c r="AD604" s="197"/>
      <c r="AE604" s="197"/>
      <c r="AF604" s="197"/>
      <c r="AG604" s="197"/>
      <c r="AH604" s="197"/>
      <c r="AI604" s="197"/>
      <c r="AJ604" s="197"/>
      <c r="AK604" s="197"/>
      <c r="AL604" s="197"/>
      <c r="AM604" s="197"/>
      <c r="AN604" s="197"/>
      <c r="AO604" s="197"/>
      <c r="AP604" s="197"/>
      <c r="AQ604" s="197"/>
      <c r="AR604" s="197"/>
      <c r="AS604" s="197"/>
      <c r="AT604" s="197"/>
      <c r="AU604" s="197"/>
      <c r="AV604" s="197"/>
      <c r="AW604" s="197"/>
      <c r="AX604" s="197"/>
      <c r="AY604" s="197"/>
      <c r="AZ604" s="197"/>
      <c r="BA604" s="197"/>
      <c r="BB604" s="197"/>
      <c r="BC604" s="197"/>
      <c r="BD604" s="197"/>
      <c r="BE604" s="197"/>
      <c r="BF604" s="197"/>
      <c r="BG604" s="197"/>
      <c r="BH604" s="197"/>
      <c r="BI604" s="197"/>
      <c r="BJ604" s="197"/>
      <c r="BK604" s="197"/>
      <c r="BL604" s="197"/>
      <c r="BM604" s="197"/>
      <c r="BN604" s="197"/>
      <c r="BO604" s="197"/>
      <c r="BP604" s="197"/>
    </row>
    <row r="605" spans="1:68" ht="20" customHeight="1" x14ac:dyDescent="0.15">
      <c r="A605" s="197"/>
      <c r="B605" s="197"/>
      <c r="C605" s="193"/>
      <c r="D605" s="197"/>
      <c r="E605" s="197"/>
      <c r="F605" s="214"/>
      <c r="G605" s="197"/>
      <c r="H605" s="197"/>
      <c r="I605" s="197"/>
      <c r="J605" s="197"/>
      <c r="K605" s="197"/>
      <c r="L605" s="197"/>
      <c r="M605" s="197"/>
      <c r="N605" s="197"/>
      <c r="O605" s="197"/>
      <c r="P605" s="197"/>
      <c r="Q605" s="197"/>
      <c r="R605" s="197"/>
      <c r="S605" s="197"/>
      <c r="T605" s="197"/>
      <c r="U605" s="197"/>
      <c r="V605" s="197"/>
      <c r="W605" s="197"/>
      <c r="X605" s="197"/>
      <c r="Y605" s="197"/>
      <c r="Z605" s="197"/>
      <c r="AA605" s="197"/>
      <c r="AB605" s="197"/>
      <c r="AC605" s="197"/>
      <c r="AD605" s="197"/>
      <c r="AE605" s="197"/>
      <c r="AF605" s="197"/>
      <c r="AG605" s="197"/>
      <c r="AH605" s="197"/>
      <c r="AI605" s="197"/>
      <c r="AJ605" s="197"/>
      <c r="AK605" s="197"/>
      <c r="AL605" s="197"/>
      <c r="AM605" s="197"/>
      <c r="AN605" s="197"/>
      <c r="AO605" s="197"/>
      <c r="AP605" s="197"/>
      <c r="AQ605" s="197"/>
      <c r="AR605" s="197"/>
      <c r="AS605" s="197"/>
      <c r="AT605" s="197"/>
      <c r="AU605" s="197"/>
      <c r="AV605" s="197"/>
      <c r="AW605" s="197"/>
      <c r="AX605" s="197"/>
      <c r="AY605" s="197"/>
      <c r="AZ605" s="197"/>
      <c r="BA605" s="197"/>
      <c r="BB605" s="197"/>
      <c r="BC605" s="197"/>
      <c r="BD605" s="197"/>
      <c r="BE605" s="197"/>
      <c r="BF605" s="197"/>
      <c r="BG605" s="197"/>
      <c r="BH605" s="197"/>
      <c r="BI605" s="197"/>
      <c r="BJ605" s="197"/>
      <c r="BK605" s="197"/>
      <c r="BL605" s="197"/>
      <c r="BM605" s="197"/>
      <c r="BN605" s="197"/>
      <c r="BO605" s="197"/>
      <c r="BP605" s="197"/>
    </row>
    <row r="606" spans="1:68" ht="20" customHeight="1" x14ac:dyDescent="0.15">
      <c r="A606" s="197"/>
      <c r="B606" s="197"/>
      <c r="C606" s="193"/>
      <c r="D606" s="197"/>
      <c r="E606" s="197"/>
      <c r="F606" s="214"/>
      <c r="G606" s="197"/>
      <c r="H606" s="197"/>
      <c r="I606" s="197"/>
      <c r="J606" s="197"/>
      <c r="K606" s="197"/>
      <c r="L606" s="197"/>
      <c r="M606" s="197"/>
      <c r="N606" s="197"/>
      <c r="O606" s="197"/>
      <c r="P606" s="197"/>
      <c r="Q606" s="197"/>
      <c r="R606" s="197"/>
      <c r="S606" s="197"/>
      <c r="T606" s="197"/>
      <c r="U606" s="197"/>
      <c r="V606" s="197"/>
      <c r="W606" s="197"/>
      <c r="X606" s="197"/>
      <c r="Y606" s="197"/>
      <c r="Z606" s="197"/>
      <c r="AA606" s="197"/>
      <c r="AB606" s="197"/>
      <c r="AC606" s="197"/>
      <c r="AD606" s="197"/>
      <c r="AE606" s="197"/>
      <c r="AF606" s="197"/>
      <c r="AG606" s="197"/>
      <c r="AH606" s="197"/>
      <c r="AI606" s="197"/>
      <c r="AJ606" s="197"/>
      <c r="AK606" s="197"/>
      <c r="AL606" s="197"/>
      <c r="AM606" s="197"/>
      <c r="AN606" s="197"/>
      <c r="AO606" s="197"/>
      <c r="AP606" s="197"/>
      <c r="AQ606" s="197"/>
      <c r="AR606" s="197"/>
      <c r="AS606" s="197"/>
      <c r="AT606" s="197"/>
      <c r="AU606" s="197"/>
      <c r="AV606" s="197"/>
      <c r="AW606" s="197"/>
      <c r="AX606" s="197"/>
      <c r="AY606" s="197"/>
      <c r="AZ606" s="197"/>
      <c r="BA606" s="197"/>
      <c r="BB606" s="197"/>
      <c r="BC606" s="197"/>
      <c r="BD606" s="197"/>
      <c r="BE606" s="197"/>
      <c r="BF606" s="197"/>
      <c r="BG606" s="197"/>
      <c r="BH606" s="197"/>
      <c r="BI606" s="197"/>
      <c r="BJ606" s="197"/>
      <c r="BK606" s="197"/>
      <c r="BL606" s="197"/>
      <c r="BM606" s="197"/>
      <c r="BN606" s="197"/>
      <c r="BO606" s="197"/>
      <c r="BP606" s="197"/>
    </row>
    <row r="607" spans="1:68" ht="20" customHeight="1" x14ac:dyDescent="0.15">
      <c r="A607" s="197"/>
      <c r="B607" s="197"/>
      <c r="C607" s="193"/>
      <c r="D607" s="197"/>
      <c r="E607" s="197"/>
      <c r="F607" s="214"/>
      <c r="G607" s="197"/>
      <c r="H607" s="197"/>
      <c r="I607" s="197"/>
      <c r="J607" s="197"/>
      <c r="K607" s="197"/>
      <c r="L607" s="197"/>
      <c r="M607" s="197"/>
      <c r="N607" s="197"/>
      <c r="O607" s="197"/>
      <c r="P607" s="197"/>
      <c r="Q607" s="197"/>
      <c r="R607" s="197"/>
      <c r="S607" s="197"/>
      <c r="T607" s="197"/>
      <c r="U607" s="197"/>
      <c r="V607" s="197"/>
      <c r="W607" s="197"/>
      <c r="X607" s="197"/>
      <c r="Y607" s="197"/>
      <c r="Z607" s="197"/>
      <c r="AA607" s="197"/>
      <c r="AB607" s="197"/>
      <c r="AC607" s="197"/>
      <c r="AD607" s="197"/>
      <c r="AE607" s="197"/>
      <c r="AF607" s="197"/>
      <c r="AG607" s="197"/>
      <c r="AH607" s="197"/>
      <c r="AI607" s="197"/>
      <c r="AJ607" s="197"/>
      <c r="AK607" s="197"/>
      <c r="AL607" s="197"/>
      <c r="AM607" s="197"/>
      <c r="AN607" s="197"/>
      <c r="AO607" s="197"/>
      <c r="AP607" s="197"/>
      <c r="AQ607" s="197"/>
      <c r="AR607" s="197"/>
      <c r="AS607" s="197"/>
      <c r="AT607" s="197"/>
      <c r="AU607" s="197"/>
      <c r="AV607" s="197"/>
      <c r="AW607" s="197"/>
      <c r="AX607" s="197"/>
      <c r="AY607" s="197"/>
      <c r="AZ607" s="197"/>
      <c r="BA607" s="197"/>
      <c r="BB607" s="197"/>
      <c r="BC607" s="197"/>
      <c r="BD607" s="197"/>
      <c r="BE607" s="197"/>
      <c r="BF607" s="197"/>
      <c r="BG607" s="197"/>
      <c r="BH607" s="197"/>
      <c r="BI607" s="197"/>
      <c r="BJ607" s="197"/>
      <c r="BK607" s="197"/>
      <c r="BL607" s="197"/>
      <c r="BM607" s="197"/>
      <c r="BN607" s="197"/>
      <c r="BO607" s="197"/>
      <c r="BP607" s="197"/>
    </row>
    <row r="608" spans="1:68" ht="20" customHeight="1" x14ac:dyDescent="0.15">
      <c r="A608" s="197"/>
      <c r="B608" s="197"/>
      <c r="C608" s="193"/>
      <c r="D608" s="197"/>
      <c r="E608" s="197"/>
      <c r="F608" s="214"/>
      <c r="G608" s="197"/>
      <c r="H608" s="197"/>
      <c r="I608" s="197"/>
      <c r="J608" s="197"/>
      <c r="K608" s="197"/>
      <c r="L608" s="197"/>
      <c r="M608" s="197"/>
      <c r="N608" s="197"/>
      <c r="O608" s="197"/>
      <c r="P608" s="197"/>
      <c r="Q608" s="197"/>
      <c r="R608" s="197"/>
      <c r="S608" s="197"/>
      <c r="T608" s="197"/>
      <c r="U608" s="197"/>
      <c r="V608" s="197"/>
      <c r="W608" s="197"/>
      <c r="X608" s="197"/>
      <c r="Y608" s="197"/>
      <c r="Z608" s="197"/>
      <c r="AA608" s="197"/>
      <c r="AB608" s="197"/>
      <c r="AC608" s="197"/>
      <c r="AD608" s="197"/>
      <c r="AE608" s="197"/>
      <c r="AF608" s="197"/>
      <c r="AG608" s="197"/>
      <c r="AH608" s="197"/>
      <c r="AI608" s="197"/>
      <c r="AJ608" s="197"/>
      <c r="AK608" s="197"/>
      <c r="AL608" s="197"/>
      <c r="AM608" s="197"/>
      <c r="AN608" s="197"/>
      <c r="AO608" s="197"/>
      <c r="AP608" s="197"/>
      <c r="AQ608" s="197"/>
      <c r="AR608" s="197"/>
      <c r="AS608" s="197"/>
      <c r="AT608" s="197"/>
      <c r="AU608" s="197"/>
      <c r="AV608" s="197"/>
      <c r="AW608" s="197"/>
      <c r="AX608" s="197"/>
      <c r="AY608" s="197"/>
      <c r="AZ608" s="197"/>
      <c r="BA608" s="197"/>
      <c r="BB608" s="197"/>
      <c r="BC608" s="197"/>
      <c r="BD608" s="197"/>
      <c r="BE608" s="197"/>
      <c r="BF608" s="197"/>
      <c r="BG608" s="197"/>
      <c r="BH608" s="197"/>
      <c r="BI608" s="197"/>
      <c r="BJ608" s="197"/>
      <c r="BK608" s="197"/>
      <c r="BL608" s="197"/>
      <c r="BM608" s="197"/>
      <c r="BN608" s="197"/>
      <c r="BO608" s="197"/>
      <c r="BP608" s="197"/>
    </row>
    <row r="609" spans="1:68" ht="20" customHeight="1" x14ac:dyDescent="0.15">
      <c r="A609" s="197"/>
      <c r="B609" s="197"/>
      <c r="C609" s="193"/>
      <c r="D609" s="197"/>
      <c r="E609" s="197"/>
      <c r="F609" s="214"/>
      <c r="G609" s="197"/>
      <c r="H609" s="197"/>
      <c r="I609" s="197"/>
      <c r="J609" s="197"/>
      <c r="K609" s="197"/>
      <c r="L609" s="197"/>
      <c r="M609" s="197"/>
      <c r="N609" s="197"/>
      <c r="O609" s="197"/>
      <c r="P609" s="197"/>
      <c r="Q609" s="197"/>
      <c r="R609" s="197"/>
      <c r="S609" s="197"/>
      <c r="T609" s="197"/>
      <c r="U609" s="197"/>
      <c r="V609" s="197"/>
      <c r="W609" s="197"/>
      <c r="X609" s="197"/>
      <c r="Y609" s="197"/>
      <c r="Z609" s="197"/>
      <c r="AA609" s="197"/>
      <c r="AB609" s="197"/>
      <c r="AC609" s="197"/>
      <c r="AD609" s="197"/>
      <c r="AE609" s="197"/>
      <c r="AF609" s="197"/>
      <c r="AG609" s="197"/>
      <c r="AH609" s="197"/>
      <c r="AI609" s="197"/>
      <c r="AJ609" s="197"/>
      <c r="AK609" s="197"/>
      <c r="AL609" s="197"/>
      <c r="AM609" s="197"/>
      <c r="AN609" s="197"/>
      <c r="AO609" s="197"/>
      <c r="AP609" s="197"/>
      <c r="AQ609" s="197"/>
      <c r="AR609" s="197"/>
      <c r="AS609" s="197"/>
      <c r="AT609" s="197"/>
      <c r="AU609" s="197"/>
      <c r="AV609" s="197"/>
      <c r="AW609" s="197"/>
      <c r="AX609" s="197"/>
      <c r="AY609" s="197"/>
      <c r="AZ609" s="197"/>
      <c r="BA609" s="197"/>
      <c r="BB609" s="197"/>
      <c r="BC609" s="197"/>
      <c r="BD609" s="197"/>
      <c r="BE609" s="197"/>
      <c r="BF609" s="197"/>
      <c r="BG609" s="197"/>
      <c r="BH609" s="197"/>
      <c r="BI609" s="197"/>
      <c r="BJ609" s="197"/>
      <c r="BK609" s="197"/>
      <c r="BL609" s="197"/>
      <c r="BM609" s="197"/>
      <c r="BN609" s="197"/>
      <c r="BO609" s="197"/>
      <c r="BP609" s="197"/>
    </row>
    <row r="610" spans="1:68" ht="20" customHeight="1" x14ac:dyDescent="0.15">
      <c r="A610" s="197"/>
      <c r="B610" s="197"/>
      <c r="C610" s="193"/>
      <c r="D610" s="197"/>
      <c r="E610" s="197"/>
      <c r="F610" s="214"/>
      <c r="G610" s="197"/>
      <c r="H610" s="197"/>
      <c r="I610" s="197"/>
      <c r="J610" s="197"/>
      <c r="K610" s="197"/>
      <c r="L610" s="197"/>
      <c r="M610" s="197"/>
      <c r="N610" s="197"/>
      <c r="O610" s="197"/>
      <c r="P610" s="197"/>
      <c r="Q610" s="197"/>
      <c r="R610" s="197"/>
      <c r="S610" s="197"/>
      <c r="T610" s="197"/>
      <c r="U610" s="197"/>
      <c r="V610" s="197"/>
      <c r="W610" s="197"/>
      <c r="X610" s="197"/>
      <c r="Y610" s="197"/>
      <c r="Z610" s="197"/>
      <c r="AA610" s="197"/>
      <c r="AB610" s="197"/>
      <c r="AC610" s="197"/>
      <c r="AD610" s="197"/>
      <c r="AE610" s="197"/>
      <c r="AF610" s="197"/>
      <c r="AG610" s="197"/>
      <c r="AH610" s="197"/>
      <c r="AI610" s="197"/>
      <c r="AJ610" s="197"/>
      <c r="AK610" s="197"/>
      <c r="AL610" s="197"/>
      <c r="AM610" s="197"/>
      <c r="AN610" s="197"/>
      <c r="AO610" s="197"/>
      <c r="AP610" s="197"/>
      <c r="AQ610" s="197"/>
      <c r="AR610" s="197"/>
      <c r="AS610" s="197"/>
      <c r="AT610" s="197"/>
      <c r="AU610" s="197"/>
      <c r="AV610" s="197"/>
      <c r="AW610" s="197"/>
      <c r="AX610" s="197"/>
      <c r="AY610" s="197"/>
      <c r="AZ610" s="197"/>
      <c r="BA610" s="197"/>
      <c r="BB610" s="197"/>
      <c r="BC610" s="197"/>
      <c r="BD610" s="197"/>
      <c r="BE610" s="197"/>
      <c r="BF610" s="197"/>
      <c r="BG610" s="197"/>
      <c r="BH610" s="197"/>
      <c r="BI610" s="197"/>
      <c r="BJ610" s="197"/>
      <c r="BK610" s="197"/>
      <c r="BL610" s="197"/>
      <c r="BM610" s="197"/>
      <c r="BN610" s="197"/>
      <c r="BO610" s="197"/>
      <c r="BP610" s="197"/>
    </row>
    <row r="611" spans="1:68" ht="20" customHeight="1" x14ac:dyDescent="0.15">
      <c r="A611" s="197"/>
      <c r="B611" s="197"/>
      <c r="C611" s="193"/>
      <c r="D611" s="197"/>
      <c r="E611" s="197"/>
      <c r="F611" s="214"/>
      <c r="G611" s="197"/>
      <c r="H611" s="197"/>
      <c r="I611" s="197"/>
      <c r="J611" s="197"/>
      <c r="K611" s="197"/>
      <c r="L611" s="197"/>
      <c r="M611" s="197"/>
      <c r="N611" s="197"/>
      <c r="O611" s="197"/>
      <c r="P611" s="197"/>
      <c r="Q611" s="197"/>
      <c r="R611" s="197"/>
      <c r="S611" s="197"/>
      <c r="T611" s="197"/>
      <c r="U611" s="197"/>
      <c r="V611" s="197"/>
      <c r="W611" s="197"/>
      <c r="X611" s="197"/>
      <c r="Y611" s="197"/>
      <c r="Z611" s="197"/>
      <c r="AA611" s="197"/>
      <c r="AB611" s="197"/>
      <c r="AC611" s="197"/>
      <c r="AD611" s="197"/>
      <c r="AE611" s="197"/>
      <c r="AF611" s="197"/>
      <c r="AG611" s="197"/>
      <c r="AH611" s="197"/>
      <c r="AI611" s="197"/>
      <c r="AJ611" s="197"/>
      <c r="AK611" s="197"/>
      <c r="AL611" s="197"/>
      <c r="AM611" s="197"/>
      <c r="AN611" s="197"/>
      <c r="AO611" s="197"/>
      <c r="AP611" s="197"/>
      <c r="AQ611" s="197"/>
      <c r="AR611" s="197"/>
      <c r="AS611" s="197"/>
      <c r="AT611" s="197"/>
      <c r="AU611" s="197"/>
      <c r="AV611" s="197"/>
      <c r="AW611" s="197"/>
      <c r="AX611" s="197"/>
      <c r="AY611" s="197"/>
      <c r="AZ611" s="197"/>
      <c r="BA611" s="197"/>
      <c r="BB611" s="197"/>
      <c r="BC611" s="197"/>
      <c r="BD611" s="197"/>
      <c r="BE611" s="197"/>
      <c r="BF611" s="197"/>
      <c r="BG611" s="197"/>
      <c r="BH611" s="197"/>
      <c r="BI611" s="197"/>
      <c r="BJ611" s="197"/>
      <c r="BK611" s="197"/>
      <c r="BL611" s="197"/>
      <c r="BM611" s="197"/>
      <c r="BN611" s="197"/>
      <c r="BO611" s="197"/>
      <c r="BP611" s="197"/>
    </row>
    <row r="612" spans="1:68" ht="20" customHeight="1" x14ac:dyDescent="0.15">
      <c r="A612" s="197"/>
      <c r="B612" s="197"/>
      <c r="C612" s="193"/>
      <c r="D612" s="197"/>
      <c r="E612" s="197"/>
      <c r="F612" s="214"/>
      <c r="G612" s="197"/>
      <c r="H612" s="197"/>
      <c r="I612" s="197"/>
      <c r="J612" s="197"/>
      <c r="K612" s="197"/>
      <c r="L612" s="197"/>
      <c r="M612" s="197"/>
      <c r="N612" s="197"/>
      <c r="O612" s="197"/>
      <c r="P612" s="197"/>
      <c r="Q612" s="197"/>
      <c r="R612" s="197"/>
      <c r="S612" s="197"/>
      <c r="T612" s="197"/>
      <c r="U612" s="197"/>
      <c r="V612" s="197"/>
      <c r="W612" s="197"/>
      <c r="X612" s="197"/>
      <c r="Y612" s="197"/>
      <c r="Z612" s="197"/>
      <c r="AA612" s="197"/>
      <c r="AB612" s="197"/>
      <c r="AC612" s="197"/>
      <c r="AD612" s="197"/>
      <c r="AE612" s="197"/>
      <c r="AF612" s="197"/>
      <c r="AG612" s="197"/>
      <c r="AH612" s="197"/>
      <c r="AI612" s="197"/>
      <c r="AJ612" s="197"/>
      <c r="AK612" s="197"/>
      <c r="AL612" s="197"/>
      <c r="AM612" s="197"/>
      <c r="AN612" s="197"/>
      <c r="AO612" s="197"/>
      <c r="AP612" s="197"/>
      <c r="AQ612" s="197"/>
      <c r="AR612" s="197"/>
      <c r="AS612" s="197"/>
      <c r="AT612" s="197"/>
      <c r="AU612" s="197"/>
      <c r="AV612" s="197"/>
      <c r="AW612" s="197"/>
      <c r="AX612" s="197"/>
      <c r="AY612" s="197"/>
      <c r="AZ612" s="197"/>
      <c r="BA612" s="197"/>
      <c r="BB612" s="197"/>
      <c r="BC612" s="197"/>
      <c r="BD612" s="197"/>
      <c r="BE612" s="197"/>
      <c r="BF612" s="197"/>
      <c r="BG612" s="197"/>
      <c r="BH612" s="197"/>
      <c r="BI612" s="197"/>
      <c r="BJ612" s="197"/>
      <c r="BK612" s="197"/>
      <c r="BL612" s="197"/>
      <c r="BM612" s="197"/>
      <c r="BN612" s="197"/>
      <c r="BO612" s="197"/>
      <c r="BP612" s="197"/>
    </row>
    <row r="613" spans="1:68" ht="20" customHeight="1" x14ac:dyDescent="0.15">
      <c r="A613" s="197"/>
      <c r="B613" s="197"/>
      <c r="C613" s="193"/>
      <c r="D613" s="197"/>
      <c r="E613" s="197"/>
      <c r="F613" s="214"/>
      <c r="G613" s="197"/>
      <c r="H613" s="197"/>
      <c r="I613" s="197"/>
      <c r="J613" s="197"/>
      <c r="K613" s="197"/>
      <c r="L613" s="197"/>
      <c r="M613" s="197"/>
      <c r="N613" s="197"/>
      <c r="O613" s="197"/>
      <c r="P613" s="197"/>
      <c r="Q613" s="197"/>
      <c r="R613" s="197"/>
      <c r="S613" s="197"/>
      <c r="T613" s="197"/>
      <c r="U613" s="197"/>
      <c r="V613" s="197"/>
      <c r="W613" s="197"/>
      <c r="X613" s="197"/>
      <c r="Y613" s="197"/>
      <c r="Z613" s="197"/>
      <c r="AA613" s="197"/>
      <c r="AB613" s="197"/>
      <c r="AC613" s="197"/>
      <c r="AD613" s="197"/>
      <c r="AE613" s="197"/>
      <c r="AF613" s="197"/>
      <c r="AG613" s="197"/>
      <c r="AH613" s="197"/>
      <c r="AI613" s="197"/>
      <c r="AJ613" s="197"/>
      <c r="AK613" s="197"/>
      <c r="AL613" s="197"/>
      <c r="AM613" s="197"/>
      <c r="AN613" s="197"/>
      <c r="AO613" s="197"/>
      <c r="AP613" s="197"/>
      <c r="AQ613" s="197"/>
      <c r="AR613" s="197"/>
      <c r="AS613" s="197"/>
      <c r="AT613" s="197"/>
      <c r="AU613" s="197"/>
      <c r="AV613" s="197"/>
      <c r="AW613" s="197"/>
      <c r="AX613" s="197"/>
      <c r="AY613" s="197"/>
      <c r="AZ613" s="197"/>
      <c r="BA613" s="197"/>
      <c r="BB613" s="197"/>
      <c r="BC613" s="197"/>
      <c r="BD613" s="197"/>
      <c r="BE613" s="197"/>
      <c r="BF613" s="197"/>
      <c r="BG613" s="197"/>
      <c r="BH613" s="197"/>
      <c r="BI613" s="197"/>
      <c r="BJ613" s="197"/>
      <c r="BK613" s="197"/>
      <c r="BL613" s="197"/>
      <c r="BM613" s="197"/>
      <c r="BN613" s="197"/>
      <c r="BO613" s="197"/>
      <c r="BP613" s="197"/>
    </row>
    <row r="614" spans="1:68" ht="20" customHeight="1" x14ac:dyDescent="0.15">
      <c r="A614" s="197"/>
      <c r="B614" s="197"/>
      <c r="C614" s="193"/>
      <c r="D614" s="197"/>
      <c r="E614" s="197"/>
      <c r="F614" s="214"/>
      <c r="G614" s="197"/>
      <c r="H614" s="197"/>
      <c r="I614" s="197"/>
      <c r="J614" s="197"/>
      <c r="K614" s="197"/>
      <c r="L614" s="197"/>
      <c r="M614" s="197"/>
      <c r="N614" s="197"/>
      <c r="O614" s="197"/>
      <c r="P614" s="197"/>
      <c r="Q614" s="197"/>
      <c r="R614" s="197"/>
      <c r="S614" s="197"/>
      <c r="T614" s="197"/>
      <c r="U614" s="197"/>
      <c r="V614" s="197"/>
      <c r="W614" s="197"/>
      <c r="X614" s="197"/>
      <c r="Y614" s="197"/>
      <c r="Z614" s="197"/>
      <c r="AA614" s="197"/>
      <c r="AB614" s="197"/>
      <c r="AC614" s="197"/>
      <c r="AD614" s="197"/>
      <c r="AE614" s="197"/>
      <c r="AF614" s="197"/>
      <c r="AG614" s="197"/>
      <c r="AH614" s="197"/>
      <c r="AI614" s="197"/>
      <c r="AJ614" s="197"/>
      <c r="AK614" s="197"/>
      <c r="AL614" s="197"/>
      <c r="AM614" s="197"/>
      <c r="AN614" s="197"/>
      <c r="AO614" s="197"/>
      <c r="AP614" s="197"/>
      <c r="AQ614" s="197"/>
      <c r="AR614" s="197"/>
      <c r="AS614" s="197"/>
      <c r="AT614" s="197"/>
      <c r="AU614" s="197"/>
      <c r="AV614" s="197"/>
      <c r="AW614" s="197"/>
      <c r="AX614" s="197"/>
      <c r="AY614" s="197"/>
      <c r="AZ614" s="197"/>
      <c r="BA614" s="197"/>
      <c r="BB614" s="197"/>
      <c r="BC614" s="197"/>
      <c r="BD614" s="197"/>
      <c r="BE614" s="197"/>
      <c r="BF614" s="197"/>
      <c r="BG614" s="197"/>
      <c r="BH614" s="197"/>
      <c r="BI614" s="197"/>
      <c r="BJ614" s="197"/>
      <c r="BK614" s="197"/>
      <c r="BL614" s="197"/>
      <c r="BM614" s="197"/>
      <c r="BN614" s="197"/>
      <c r="BO614" s="197"/>
      <c r="BP614" s="197"/>
    </row>
    <row r="615" spans="1:68" ht="20" customHeight="1" x14ac:dyDescent="0.15">
      <c r="A615" s="197"/>
      <c r="B615" s="197"/>
      <c r="C615" s="193"/>
      <c r="D615" s="197"/>
      <c r="E615" s="197"/>
      <c r="F615" s="214"/>
      <c r="G615" s="197"/>
      <c r="H615" s="197"/>
      <c r="I615" s="197"/>
      <c r="J615" s="197"/>
      <c r="K615" s="197"/>
      <c r="L615" s="197"/>
      <c r="M615" s="197"/>
      <c r="N615" s="197"/>
      <c r="O615" s="197"/>
      <c r="P615" s="197"/>
      <c r="Q615" s="197"/>
      <c r="R615" s="197"/>
      <c r="S615" s="197"/>
      <c r="T615" s="197"/>
      <c r="U615" s="197"/>
      <c r="V615" s="197"/>
      <c r="W615" s="197"/>
      <c r="X615" s="197"/>
      <c r="Y615" s="197"/>
      <c r="Z615" s="197"/>
      <c r="AA615" s="197"/>
      <c r="AB615" s="197"/>
      <c r="AC615" s="197"/>
      <c r="AD615" s="197"/>
      <c r="AE615" s="197"/>
      <c r="AF615" s="197"/>
      <c r="AG615" s="197"/>
      <c r="AH615" s="197"/>
      <c r="AI615" s="197"/>
      <c r="AJ615" s="197"/>
      <c r="AK615" s="197"/>
      <c r="AL615" s="197"/>
      <c r="AM615" s="197"/>
      <c r="AN615" s="197"/>
      <c r="AO615" s="197"/>
      <c r="AP615" s="197"/>
      <c r="AQ615" s="197"/>
      <c r="AR615" s="197"/>
      <c r="AS615" s="197"/>
      <c r="AT615" s="197"/>
      <c r="AU615" s="197"/>
      <c r="AV615" s="197"/>
      <c r="AW615" s="197"/>
      <c r="AX615" s="197"/>
      <c r="AY615" s="197"/>
      <c r="AZ615" s="197"/>
      <c r="BA615" s="197"/>
      <c r="BB615" s="197"/>
      <c r="BC615" s="197"/>
      <c r="BD615" s="197"/>
      <c r="BE615" s="197"/>
      <c r="BF615" s="197"/>
      <c r="BG615" s="197"/>
      <c r="BH615" s="197"/>
      <c r="BI615" s="197"/>
      <c r="BJ615" s="197"/>
      <c r="BK615" s="197"/>
      <c r="BL615" s="197"/>
      <c r="BM615" s="197"/>
      <c r="BN615" s="197"/>
      <c r="BO615" s="197"/>
      <c r="BP615" s="197"/>
    </row>
    <row r="616" spans="1:68" ht="20" customHeight="1" x14ac:dyDescent="0.15">
      <c r="A616" s="197"/>
      <c r="B616" s="197"/>
      <c r="C616" s="193"/>
      <c r="D616" s="197"/>
      <c r="E616" s="197"/>
      <c r="F616" s="214"/>
      <c r="G616" s="197"/>
      <c r="H616" s="197"/>
      <c r="I616" s="197"/>
      <c r="J616" s="197"/>
      <c r="K616" s="197"/>
      <c r="L616" s="197"/>
      <c r="M616" s="197"/>
      <c r="N616" s="197"/>
      <c r="O616" s="197"/>
      <c r="P616" s="197"/>
      <c r="Q616" s="197"/>
      <c r="R616" s="197"/>
      <c r="S616" s="197"/>
      <c r="T616" s="197"/>
      <c r="U616" s="197"/>
      <c r="V616" s="197"/>
      <c r="W616" s="197"/>
      <c r="X616" s="197"/>
      <c r="Y616" s="197"/>
      <c r="Z616" s="197"/>
      <c r="AA616" s="197"/>
      <c r="AB616" s="197"/>
      <c r="AC616" s="197"/>
      <c r="AD616" s="197"/>
      <c r="AE616" s="197"/>
      <c r="AF616" s="197"/>
      <c r="AG616" s="197"/>
      <c r="AH616" s="197"/>
      <c r="AI616" s="197"/>
      <c r="AJ616" s="197"/>
      <c r="AK616" s="197"/>
      <c r="AL616" s="197"/>
      <c r="AM616" s="197"/>
      <c r="AN616" s="197"/>
      <c r="AO616" s="197"/>
      <c r="AP616" s="197"/>
      <c r="AQ616" s="197"/>
      <c r="AR616" s="197"/>
      <c r="AS616" s="197"/>
      <c r="AT616" s="197"/>
      <c r="AU616" s="197"/>
      <c r="AV616" s="197"/>
      <c r="AW616" s="197"/>
      <c r="AX616" s="197"/>
      <c r="AY616" s="197"/>
      <c r="AZ616" s="197"/>
      <c r="BA616" s="197"/>
      <c r="BB616" s="197"/>
      <c r="BC616" s="197"/>
      <c r="BD616" s="197"/>
      <c r="BE616" s="197"/>
      <c r="BF616" s="197"/>
      <c r="BG616" s="197"/>
      <c r="BH616" s="197"/>
      <c r="BI616" s="197"/>
      <c r="BJ616" s="197"/>
      <c r="BK616" s="197"/>
      <c r="BL616" s="197"/>
      <c r="BM616" s="197"/>
      <c r="BN616" s="197"/>
      <c r="BO616" s="197"/>
      <c r="BP616" s="197"/>
    </row>
    <row r="617" spans="1:68" ht="20" customHeight="1" x14ac:dyDescent="0.15">
      <c r="A617" s="197"/>
      <c r="B617" s="197"/>
      <c r="C617" s="193"/>
      <c r="D617" s="197"/>
      <c r="E617" s="197"/>
      <c r="F617" s="214"/>
      <c r="G617" s="197"/>
      <c r="H617" s="197"/>
      <c r="I617" s="197"/>
      <c r="J617" s="197"/>
      <c r="K617" s="197"/>
      <c r="L617" s="197"/>
      <c r="M617" s="197"/>
      <c r="N617" s="197"/>
      <c r="O617" s="197"/>
      <c r="P617" s="197"/>
      <c r="Q617" s="197"/>
      <c r="R617" s="197"/>
      <c r="S617" s="197"/>
      <c r="T617" s="197"/>
      <c r="U617" s="197"/>
      <c r="V617" s="197"/>
      <c r="W617" s="197"/>
      <c r="X617" s="197"/>
      <c r="Y617" s="197"/>
      <c r="Z617" s="197"/>
      <c r="AA617" s="197"/>
      <c r="AB617" s="197"/>
      <c r="AC617" s="197"/>
      <c r="AD617" s="197"/>
      <c r="AE617" s="197"/>
      <c r="AF617" s="197"/>
      <c r="AG617" s="197"/>
      <c r="AH617" s="197"/>
      <c r="AI617" s="197"/>
      <c r="AJ617" s="197"/>
      <c r="AK617" s="197"/>
      <c r="AL617" s="197"/>
      <c r="AM617" s="197"/>
      <c r="AN617" s="197"/>
      <c r="AO617" s="197"/>
      <c r="AP617" s="197"/>
      <c r="AQ617" s="197"/>
      <c r="AR617" s="197"/>
      <c r="AS617" s="197"/>
      <c r="AT617" s="197"/>
      <c r="AU617" s="197"/>
      <c r="AV617" s="197"/>
      <c r="AW617" s="197"/>
      <c r="AX617" s="197"/>
      <c r="AY617" s="197"/>
      <c r="AZ617" s="197"/>
      <c r="BA617" s="197"/>
      <c r="BB617" s="197"/>
      <c r="BC617" s="197"/>
      <c r="BD617" s="197"/>
      <c r="BE617" s="197"/>
      <c r="BF617" s="197"/>
      <c r="BG617" s="197"/>
      <c r="BH617" s="197"/>
      <c r="BI617" s="197"/>
      <c r="BJ617" s="197"/>
      <c r="BK617" s="197"/>
      <c r="BL617" s="197"/>
      <c r="BM617" s="197"/>
      <c r="BN617" s="197"/>
      <c r="BO617" s="197"/>
      <c r="BP617" s="197"/>
    </row>
    <row r="618" spans="1:68" ht="20" customHeight="1" x14ac:dyDescent="0.15">
      <c r="A618" s="197"/>
      <c r="B618" s="197"/>
      <c r="C618" s="193"/>
      <c r="D618" s="197"/>
      <c r="E618" s="197"/>
      <c r="F618" s="214"/>
      <c r="G618" s="197"/>
      <c r="H618" s="197"/>
      <c r="I618" s="197"/>
      <c r="J618" s="197"/>
      <c r="K618" s="197"/>
      <c r="L618" s="197"/>
      <c r="M618" s="197"/>
      <c r="N618" s="197"/>
      <c r="O618" s="197"/>
      <c r="P618" s="197"/>
      <c r="Q618" s="197"/>
      <c r="R618" s="197"/>
      <c r="S618" s="197"/>
      <c r="T618" s="197"/>
      <c r="U618" s="197"/>
      <c r="V618" s="197"/>
      <c r="W618" s="197"/>
      <c r="X618" s="197"/>
      <c r="Y618" s="197"/>
      <c r="Z618" s="197"/>
      <c r="AA618" s="197"/>
      <c r="AB618" s="197"/>
      <c r="AC618" s="197"/>
      <c r="AD618" s="197"/>
      <c r="AE618" s="197"/>
      <c r="AF618" s="197"/>
      <c r="AG618" s="197"/>
      <c r="AH618" s="197"/>
      <c r="AI618" s="197"/>
      <c r="AJ618" s="197"/>
      <c r="AK618" s="197"/>
      <c r="AL618" s="197"/>
      <c r="AM618" s="197"/>
      <c r="AN618" s="197"/>
      <c r="AO618" s="197"/>
      <c r="AP618" s="197"/>
      <c r="AQ618" s="197"/>
      <c r="AR618" s="197"/>
      <c r="AS618" s="197"/>
      <c r="AT618" s="197"/>
      <c r="AU618" s="197"/>
      <c r="AV618" s="197"/>
      <c r="AW618" s="197"/>
      <c r="AX618" s="197"/>
      <c r="AY618" s="197"/>
      <c r="AZ618" s="197"/>
      <c r="BA618" s="197"/>
      <c r="BB618" s="197"/>
      <c r="BC618" s="197"/>
      <c r="BD618" s="197"/>
      <c r="BE618" s="197"/>
      <c r="BF618" s="197"/>
      <c r="BG618" s="197"/>
      <c r="BH618" s="197"/>
      <c r="BI618" s="197"/>
      <c r="BJ618" s="197"/>
      <c r="BK618" s="197"/>
      <c r="BL618" s="197"/>
      <c r="BM618" s="197"/>
      <c r="BN618" s="197"/>
      <c r="BO618" s="197"/>
      <c r="BP618" s="197"/>
    </row>
    <row r="619" spans="1:68" ht="20" customHeight="1" x14ac:dyDescent="0.15">
      <c r="A619" s="197"/>
      <c r="B619" s="197"/>
      <c r="C619" s="193"/>
      <c r="D619" s="197"/>
      <c r="E619" s="197"/>
      <c r="F619" s="214"/>
      <c r="G619" s="197"/>
      <c r="H619" s="197"/>
      <c r="I619" s="197"/>
      <c r="J619" s="197"/>
      <c r="K619" s="197"/>
      <c r="L619" s="197"/>
      <c r="M619" s="197"/>
      <c r="N619" s="197"/>
      <c r="O619" s="197"/>
      <c r="P619" s="197"/>
      <c r="Q619" s="197"/>
      <c r="R619" s="197"/>
      <c r="S619" s="197"/>
      <c r="T619" s="197"/>
      <c r="U619" s="197"/>
      <c r="V619" s="197"/>
      <c r="W619" s="197"/>
      <c r="X619" s="197"/>
      <c r="Y619" s="197"/>
      <c r="Z619" s="197"/>
      <c r="AA619" s="197"/>
      <c r="AB619" s="197"/>
      <c r="AC619" s="197"/>
      <c r="AD619" s="197"/>
      <c r="AE619" s="197"/>
      <c r="AF619" s="197"/>
      <c r="AG619" s="197"/>
      <c r="AH619" s="197"/>
      <c r="AI619" s="197"/>
      <c r="AJ619" s="197"/>
      <c r="AK619" s="197"/>
      <c r="AL619" s="197"/>
      <c r="AM619" s="197"/>
      <c r="AN619" s="197"/>
      <c r="AO619" s="197"/>
      <c r="AP619" s="197"/>
      <c r="AQ619" s="197"/>
      <c r="AR619" s="197"/>
      <c r="AS619" s="197"/>
      <c r="AT619" s="197"/>
      <c r="AU619" s="197"/>
      <c r="AV619" s="197"/>
      <c r="AW619" s="197"/>
      <c r="AX619" s="197"/>
      <c r="AY619" s="197"/>
      <c r="AZ619" s="197"/>
      <c r="BA619" s="197"/>
      <c r="BB619" s="197"/>
      <c r="BC619" s="197"/>
      <c r="BD619" s="197"/>
      <c r="BE619" s="197"/>
      <c r="BF619" s="197"/>
      <c r="BG619" s="197"/>
      <c r="BH619" s="197"/>
      <c r="BI619" s="197"/>
      <c r="BJ619" s="197"/>
      <c r="BK619" s="197"/>
      <c r="BL619" s="197"/>
      <c r="BM619" s="197"/>
      <c r="BN619" s="197"/>
      <c r="BO619" s="197"/>
      <c r="BP619" s="197"/>
    </row>
    <row r="620" spans="1:68" ht="20" customHeight="1" x14ac:dyDescent="0.15">
      <c r="A620" s="197"/>
      <c r="B620" s="197"/>
      <c r="C620" s="193"/>
      <c r="D620" s="197"/>
      <c r="E620" s="197"/>
      <c r="F620" s="214"/>
      <c r="G620" s="197"/>
      <c r="H620" s="197"/>
      <c r="I620" s="197"/>
      <c r="J620" s="197"/>
      <c r="K620" s="197"/>
      <c r="L620" s="197"/>
      <c r="M620" s="197"/>
      <c r="N620" s="197"/>
      <c r="O620" s="197"/>
      <c r="P620" s="197"/>
      <c r="Q620" s="197"/>
      <c r="R620" s="197"/>
      <c r="S620" s="197"/>
      <c r="T620" s="197"/>
      <c r="U620" s="197"/>
      <c r="V620" s="197"/>
      <c r="W620" s="197"/>
      <c r="X620" s="197"/>
      <c r="Y620" s="197"/>
      <c r="Z620" s="197"/>
      <c r="AA620" s="197"/>
      <c r="AB620" s="197"/>
      <c r="AC620" s="197"/>
      <c r="AD620" s="197"/>
      <c r="AE620" s="197"/>
      <c r="AF620" s="197"/>
      <c r="AG620" s="197"/>
      <c r="AH620" s="197"/>
      <c r="AI620" s="197"/>
      <c r="AJ620" s="197"/>
      <c r="AK620" s="197"/>
      <c r="AL620" s="197"/>
      <c r="AM620" s="197"/>
      <c r="AN620" s="197"/>
      <c r="AO620" s="197"/>
      <c r="AP620" s="197"/>
      <c r="AQ620" s="197"/>
      <c r="AR620" s="197"/>
      <c r="AS620" s="197"/>
      <c r="AT620" s="197"/>
      <c r="AU620" s="197"/>
      <c r="AV620" s="197"/>
      <c r="AW620" s="197"/>
      <c r="AX620" s="197"/>
      <c r="AY620" s="197"/>
      <c r="AZ620" s="197"/>
      <c r="BA620" s="197"/>
      <c r="BB620" s="197"/>
      <c r="BC620" s="197"/>
      <c r="BD620" s="197"/>
      <c r="BE620" s="197"/>
      <c r="BF620" s="197"/>
      <c r="BG620" s="197"/>
      <c r="BH620" s="197"/>
      <c r="BI620" s="197"/>
      <c r="BJ620" s="197"/>
      <c r="BK620" s="197"/>
      <c r="BL620" s="197"/>
      <c r="BM620" s="197"/>
      <c r="BN620" s="197"/>
      <c r="BO620" s="197"/>
      <c r="BP620" s="197"/>
    </row>
    <row r="621" spans="1:68" ht="20" customHeight="1" x14ac:dyDescent="0.15">
      <c r="A621" s="197"/>
      <c r="B621" s="197"/>
      <c r="C621" s="193"/>
      <c r="D621" s="197"/>
      <c r="E621" s="197"/>
      <c r="F621" s="214"/>
      <c r="G621" s="197"/>
      <c r="H621" s="197"/>
      <c r="I621" s="197"/>
      <c r="J621" s="197"/>
      <c r="K621" s="197"/>
      <c r="L621" s="197"/>
      <c r="M621" s="197"/>
      <c r="N621" s="197"/>
      <c r="O621" s="197"/>
      <c r="P621" s="197"/>
      <c r="Q621" s="197"/>
      <c r="R621" s="197"/>
      <c r="S621" s="197"/>
      <c r="T621" s="197"/>
      <c r="U621" s="197"/>
      <c r="V621" s="197"/>
      <c r="W621" s="197"/>
      <c r="X621" s="197"/>
      <c r="Y621" s="197"/>
      <c r="Z621" s="197"/>
      <c r="AA621" s="197"/>
      <c r="AB621" s="197"/>
      <c r="AC621" s="197"/>
      <c r="AD621" s="197"/>
      <c r="AE621" s="197"/>
      <c r="AF621" s="197"/>
      <c r="AG621" s="197"/>
      <c r="AH621" s="197"/>
      <c r="AI621" s="197"/>
      <c r="AJ621" s="197"/>
      <c r="AK621" s="197"/>
      <c r="AL621" s="197"/>
      <c r="AM621" s="197"/>
      <c r="AN621" s="197"/>
      <c r="AO621" s="197"/>
      <c r="AP621" s="197"/>
      <c r="AQ621" s="197"/>
      <c r="AR621" s="197"/>
      <c r="AS621" s="197"/>
      <c r="AT621" s="197"/>
      <c r="AU621" s="197"/>
      <c r="AV621" s="197"/>
      <c r="AW621" s="197"/>
      <c r="AX621" s="197"/>
      <c r="AY621" s="197"/>
      <c r="AZ621" s="197"/>
      <c r="BA621" s="197"/>
      <c r="BB621" s="197"/>
      <c r="BC621" s="197"/>
      <c r="BD621" s="197"/>
      <c r="BE621" s="197"/>
      <c r="BF621" s="197"/>
      <c r="BG621" s="197"/>
      <c r="BH621" s="197"/>
      <c r="BI621" s="197"/>
      <c r="BJ621" s="197"/>
      <c r="BK621" s="197"/>
      <c r="BL621" s="197"/>
      <c r="BM621" s="197"/>
      <c r="BN621" s="197"/>
      <c r="BO621" s="197"/>
      <c r="BP621" s="197"/>
    </row>
    <row r="622" spans="1:68" ht="20" customHeight="1" x14ac:dyDescent="0.15">
      <c r="A622" s="197"/>
      <c r="B622" s="197"/>
      <c r="C622" s="193"/>
      <c r="D622" s="197"/>
      <c r="E622" s="197"/>
      <c r="F622" s="214"/>
      <c r="G622" s="197"/>
      <c r="H622" s="197"/>
      <c r="I622" s="197"/>
      <c r="J622" s="197"/>
      <c r="K622" s="197"/>
      <c r="L622" s="197"/>
      <c r="M622" s="197"/>
      <c r="N622" s="197"/>
      <c r="O622" s="197"/>
      <c r="P622" s="197"/>
      <c r="Q622" s="197"/>
      <c r="R622" s="197"/>
      <c r="S622" s="197"/>
      <c r="T622" s="197"/>
      <c r="U622" s="197"/>
      <c r="V622" s="197"/>
      <c r="W622" s="197"/>
      <c r="X622" s="197"/>
      <c r="Y622" s="197"/>
      <c r="Z622" s="197"/>
      <c r="AA622" s="197"/>
      <c r="AB622" s="197"/>
      <c r="AC622" s="197"/>
      <c r="AD622" s="197"/>
      <c r="AE622" s="197"/>
      <c r="AF622" s="197"/>
      <c r="AG622" s="197"/>
      <c r="AH622" s="197"/>
      <c r="AI622" s="197"/>
      <c r="AJ622" s="197"/>
      <c r="AK622" s="197"/>
      <c r="AL622" s="197"/>
      <c r="AM622" s="197"/>
      <c r="AN622" s="197"/>
      <c r="AO622" s="197"/>
      <c r="AP622" s="197"/>
      <c r="AQ622" s="197"/>
      <c r="AR622" s="197"/>
      <c r="AS622" s="197"/>
      <c r="AT622" s="197"/>
      <c r="AU622" s="197"/>
      <c r="AV622" s="197"/>
      <c r="AW622" s="197"/>
      <c r="AX622" s="197"/>
      <c r="AY622" s="197"/>
      <c r="AZ622" s="197"/>
      <c r="BA622" s="197"/>
      <c r="BB622" s="197"/>
      <c r="BC622" s="197"/>
      <c r="BD622" s="197"/>
      <c r="BE622" s="197"/>
      <c r="BF622" s="197"/>
      <c r="BG622" s="197"/>
      <c r="BH622" s="197"/>
      <c r="BI622" s="197"/>
      <c r="BJ622" s="197"/>
      <c r="BK622" s="197"/>
      <c r="BL622" s="197"/>
      <c r="BM622" s="197"/>
      <c r="BN622" s="197"/>
      <c r="BO622" s="197"/>
      <c r="BP622" s="197"/>
    </row>
    <row r="623" spans="1:68" ht="20" customHeight="1" x14ac:dyDescent="0.15">
      <c r="A623" s="197"/>
      <c r="B623" s="197"/>
      <c r="C623" s="193"/>
      <c r="D623" s="197"/>
      <c r="E623" s="197"/>
      <c r="F623" s="214"/>
      <c r="G623" s="197"/>
      <c r="H623" s="197"/>
      <c r="I623" s="197"/>
      <c r="J623" s="197"/>
      <c r="K623" s="197"/>
      <c r="L623" s="197"/>
      <c r="M623" s="197"/>
      <c r="N623" s="197"/>
      <c r="O623" s="197"/>
      <c r="P623" s="197"/>
      <c r="Q623" s="197"/>
      <c r="R623" s="197"/>
      <c r="S623" s="197"/>
      <c r="T623" s="197"/>
      <c r="U623" s="197"/>
      <c r="V623" s="197"/>
      <c r="W623" s="197"/>
      <c r="X623" s="197"/>
      <c r="Y623" s="197"/>
      <c r="Z623" s="197"/>
      <c r="AA623" s="197"/>
      <c r="AB623" s="197"/>
      <c r="AC623" s="197"/>
      <c r="AD623" s="197"/>
      <c r="AE623" s="197"/>
      <c r="AF623" s="197"/>
      <c r="AG623" s="197"/>
      <c r="AH623" s="197"/>
      <c r="AI623" s="197"/>
      <c r="AJ623" s="197"/>
      <c r="AK623" s="197"/>
      <c r="AL623" s="197"/>
      <c r="AM623" s="197"/>
      <c r="AN623" s="197"/>
      <c r="AO623" s="197"/>
      <c r="AP623" s="197"/>
      <c r="AQ623" s="197"/>
      <c r="AR623" s="197"/>
      <c r="AS623" s="197"/>
      <c r="AT623" s="197"/>
      <c r="AU623" s="197"/>
      <c r="AV623" s="197"/>
      <c r="AW623" s="197"/>
      <c r="AX623" s="197"/>
      <c r="AY623" s="197"/>
      <c r="AZ623" s="197"/>
      <c r="BA623" s="197"/>
      <c r="BB623" s="197"/>
      <c r="BC623" s="197"/>
      <c r="BD623" s="197"/>
      <c r="BE623" s="197"/>
      <c r="BF623" s="197"/>
      <c r="BG623" s="197"/>
      <c r="BH623" s="197"/>
      <c r="BI623" s="197"/>
      <c r="BJ623" s="197"/>
      <c r="BK623" s="197"/>
      <c r="BL623" s="197"/>
      <c r="BM623" s="197"/>
      <c r="BN623" s="197"/>
      <c r="BO623" s="197"/>
      <c r="BP623" s="197"/>
    </row>
    <row r="624" spans="1:68" ht="20" customHeight="1" x14ac:dyDescent="0.15">
      <c r="A624" s="197"/>
      <c r="B624" s="197"/>
      <c r="C624" s="193"/>
      <c r="D624" s="197"/>
      <c r="E624" s="197"/>
      <c r="F624" s="214"/>
      <c r="G624" s="197"/>
      <c r="H624" s="197"/>
      <c r="I624" s="197"/>
      <c r="J624" s="197"/>
      <c r="K624" s="197"/>
      <c r="L624" s="197"/>
      <c r="M624" s="197"/>
      <c r="N624" s="197"/>
      <c r="O624" s="197"/>
      <c r="P624" s="197"/>
      <c r="Q624" s="197"/>
      <c r="R624" s="197"/>
      <c r="S624" s="197"/>
      <c r="T624" s="197"/>
      <c r="U624" s="197"/>
      <c r="V624" s="197"/>
      <c r="W624" s="197"/>
      <c r="X624" s="197"/>
      <c r="Y624" s="197"/>
      <c r="Z624" s="197"/>
      <c r="AA624" s="197"/>
      <c r="AB624" s="197"/>
      <c r="AC624" s="197"/>
      <c r="AD624" s="197"/>
      <c r="AE624" s="197"/>
      <c r="AF624" s="197"/>
      <c r="AG624" s="197"/>
      <c r="AH624" s="197"/>
      <c r="AI624" s="197"/>
      <c r="AJ624" s="197"/>
      <c r="AK624" s="197"/>
      <c r="AL624" s="197"/>
      <c r="AM624" s="197"/>
      <c r="AN624" s="197"/>
      <c r="AO624" s="197"/>
      <c r="AP624" s="197"/>
      <c r="AQ624" s="197"/>
      <c r="AR624" s="197"/>
      <c r="AS624" s="197"/>
      <c r="AT624" s="197"/>
      <c r="AU624" s="197"/>
      <c r="AV624" s="197"/>
      <c r="AW624" s="197"/>
      <c r="AX624" s="197"/>
      <c r="AY624" s="197"/>
      <c r="AZ624" s="197"/>
      <c r="BA624" s="197"/>
      <c r="BB624" s="197"/>
      <c r="BC624" s="197"/>
      <c r="BD624" s="197"/>
      <c r="BE624" s="197"/>
      <c r="BF624" s="197"/>
      <c r="BG624" s="197"/>
      <c r="BH624" s="197"/>
      <c r="BI624" s="197"/>
      <c r="BJ624" s="197"/>
      <c r="BK624" s="197"/>
      <c r="BL624" s="197"/>
      <c r="BM624" s="197"/>
      <c r="BN624" s="197"/>
      <c r="BO624" s="197"/>
      <c r="BP624" s="197"/>
    </row>
    <row r="625" spans="1:68" ht="20" customHeight="1" x14ac:dyDescent="0.15">
      <c r="A625" s="197"/>
      <c r="B625" s="197"/>
      <c r="C625" s="193"/>
      <c r="D625" s="197"/>
      <c r="E625" s="197"/>
      <c r="F625" s="214"/>
      <c r="G625" s="197"/>
      <c r="H625" s="197"/>
      <c r="I625" s="197"/>
      <c r="J625" s="197"/>
      <c r="K625" s="197"/>
      <c r="L625" s="197"/>
      <c r="M625" s="197"/>
      <c r="N625" s="197"/>
      <c r="O625" s="197"/>
      <c r="P625" s="197"/>
      <c r="Q625" s="197"/>
      <c r="R625" s="197"/>
      <c r="S625" s="197"/>
      <c r="T625" s="197"/>
      <c r="U625" s="197"/>
      <c r="V625" s="197"/>
      <c r="W625" s="197"/>
      <c r="X625" s="197"/>
      <c r="Y625" s="197"/>
      <c r="Z625" s="197"/>
      <c r="AA625" s="197"/>
      <c r="AB625" s="197"/>
      <c r="AC625" s="197"/>
      <c r="AD625" s="197"/>
      <c r="AE625" s="197"/>
      <c r="AF625" s="197"/>
      <c r="AG625" s="197"/>
      <c r="AH625" s="197"/>
      <c r="AI625" s="197"/>
      <c r="AJ625" s="197"/>
      <c r="AK625" s="197"/>
      <c r="AL625" s="197"/>
      <c r="AM625" s="197"/>
      <c r="AN625" s="197"/>
      <c r="AO625" s="197"/>
      <c r="AP625" s="197"/>
      <c r="AQ625" s="197"/>
      <c r="AR625" s="197"/>
      <c r="AS625" s="197"/>
      <c r="AT625" s="197"/>
      <c r="AU625" s="197"/>
      <c r="AV625" s="197"/>
      <c r="AW625" s="197"/>
      <c r="AX625" s="197"/>
      <c r="AY625" s="197"/>
      <c r="AZ625" s="197"/>
      <c r="BA625" s="197"/>
      <c r="BB625" s="197"/>
      <c r="BC625" s="197"/>
      <c r="BD625" s="197"/>
      <c r="BE625" s="197"/>
      <c r="BF625" s="197"/>
      <c r="BG625" s="197"/>
      <c r="BH625" s="197"/>
      <c r="BI625" s="197"/>
      <c r="BJ625" s="197"/>
      <c r="BK625" s="197"/>
      <c r="BL625" s="197"/>
      <c r="BM625" s="197"/>
      <c r="BN625" s="197"/>
      <c r="BO625" s="197"/>
      <c r="BP625" s="197"/>
    </row>
    <row r="626" spans="1:68" ht="20" customHeight="1" x14ac:dyDescent="0.15">
      <c r="A626" s="197"/>
      <c r="B626" s="197"/>
      <c r="C626" s="193"/>
      <c r="D626" s="197"/>
      <c r="E626" s="197"/>
      <c r="F626" s="214"/>
      <c r="G626" s="197"/>
      <c r="H626" s="197"/>
      <c r="I626" s="197"/>
      <c r="J626" s="197"/>
      <c r="K626" s="197"/>
      <c r="L626" s="197"/>
      <c r="M626" s="197"/>
      <c r="N626" s="197"/>
      <c r="O626" s="197"/>
      <c r="P626" s="197"/>
      <c r="Q626" s="197"/>
      <c r="R626" s="197"/>
      <c r="S626" s="197"/>
      <c r="T626" s="197"/>
      <c r="U626" s="197"/>
      <c r="V626" s="197"/>
      <c r="W626" s="197"/>
      <c r="X626" s="197"/>
      <c r="Y626" s="197"/>
      <c r="Z626" s="197"/>
      <c r="AA626" s="197"/>
      <c r="AB626" s="197"/>
      <c r="AC626" s="197"/>
      <c r="AD626" s="197"/>
      <c r="AE626" s="197"/>
      <c r="AF626" s="197"/>
      <c r="AG626" s="197"/>
      <c r="AH626" s="197"/>
      <c r="AI626" s="197"/>
      <c r="AJ626" s="197"/>
      <c r="AK626" s="197"/>
      <c r="AL626" s="197"/>
      <c r="AM626" s="197"/>
      <c r="AN626" s="197"/>
      <c r="AO626" s="197"/>
      <c r="AP626" s="197"/>
      <c r="AQ626" s="197"/>
      <c r="AR626" s="197"/>
      <c r="AS626" s="197"/>
      <c r="AT626" s="197"/>
      <c r="AU626" s="197"/>
      <c r="AV626" s="197"/>
      <c r="AW626" s="197"/>
      <c r="AX626" s="197"/>
      <c r="AY626" s="197"/>
      <c r="AZ626" s="197"/>
      <c r="BA626" s="197"/>
      <c r="BB626" s="197"/>
      <c r="BC626" s="197"/>
      <c r="BD626" s="197"/>
      <c r="BE626" s="197"/>
      <c r="BF626" s="197"/>
      <c r="BG626" s="197"/>
      <c r="BH626" s="197"/>
      <c r="BI626" s="197"/>
      <c r="BJ626" s="197"/>
      <c r="BK626" s="197"/>
      <c r="BL626" s="197"/>
      <c r="BM626" s="197"/>
      <c r="BN626" s="197"/>
      <c r="BO626" s="197"/>
      <c r="BP626" s="197"/>
    </row>
    <row r="627" spans="1:68" ht="20" customHeight="1" x14ac:dyDescent="0.15">
      <c r="A627" s="197"/>
      <c r="B627" s="197"/>
      <c r="C627" s="193"/>
      <c r="D627" s="197"/>
      <c r="E627" s="197"/>
      <c r="F627" s="214"/>
      <c r="G627" s="197"/>
      <c r="H627" s="197"/>
      <c r="I627" s="197"/>
      <c r="J627" s="197"/>
      <c r="K627" s="197"/>
      <c r="L627" s="197"/>
      <c r="M627" s="197"/>
      <c r="N627" s="197"/>
      <c r="O627" s="197"/>
      <c r="P627" s="197"/>
      <c r="Q627" s="197"/>
      <c r="R627" s="197"/>
      <c r="S627" s="197"/>
      <c r="T627" s="197"/>
      <c r="U627" s="197"/>
      <c r="V627" s="197"/>
      <c r="W627" s="197"/>
      <c r="X627" s="197"/>
      <c r="Y627" s="197"/>
      <c r="Z627" s="197"/>
      <c r="AA627" s="197"/>
      <c r="AB627" s="197"/>
      <c r="AC627" s="197"/>
      <c r="AD627" s="197"/>
      <c r="AE627" s="197"/>
      <c r="AF627" s="197"/>
      <c r="AG627" s="197"/>
      <c r="AH627" s="197"/>
      <c r="AI627" s="197"/>
      <c r="AJ627" s="197"/>
      <c r="AK627" s="197"/>
      <c r="AL627" s="197"/>
      <c r="AM627" s="197"/>
      <c r="AN627" s="197"/>
      <c r="AO627" s="197"/>
      <c r="AP627" s="197"/>
      <c r="AQ627" s="197"/>
      <c r="AR627" s="197"/>
      <c r="AS627" s="197"/>
      <c r="AT627" s="197"/>
      <c r="AU627" s="197"/>
      <c r="AV627" s="197"/>
      <c r="AW627" s="197"/>
      <c r="AX627" s="197"/>
      <c r="AY627" s="197"/>
      <c r="AZ627" s="197"/>
      <c r="BA627" s="197"/>
      <c r="BB627" s="197"/>
      <c r="BC627" s="197"/>
      <c r="BD627" s="197"/>
      <c r="BE627" s="197"/>
      <c r="BF627" s="197"/>
      <c r="BG627" s="197"/>
      <c r="BH627" s="197"/>
      <c r="BI627" s="197"/>
      <c r="BJ627" s="197"/>
      <c r="BK627" s="197"/>
      <c r="BL627" s="197"/>
      <c r="BM627" s="197"/>
      <c r="BN627" s="197"/>
      <c r="BO627" s="197"/>
      <c r="BP627" s="197"/>
    </row>
    <row r="628" spans="1:68" ht="20" customHeight="1" x14ac:dyDescent="0.15">
      <c r="A628" s="197"/>
      <c r="B628" s="197"/>
      <c r="C628" s="193"/>
      <c r="D628" s="197"/>
      <c r="E628" s="197"/>
      <c r="F628" s="214"/>
      <c r="G628" s="197"/>
      <c r="H628" s="197"/>
      <c r="I628" s="197"/>
      <c r="J628" s="197"/>
      <c r="K628" s="197"/>
      <c r="L628" s="197"/>
      <c r="M628" s="197"/>
      <c r="N628" s="197"/>
      <c r="O628" s="197"/>
      <c r="P628" s="197"/>
      <c r="Q628" s="197"/>
      <c r="R628" s="197"/>
      <c r="S628" s="197"/>
      <c r="T628" s="197"/>
      <c r="U628" s="197"/>
      <c r="V628" s="197"/>
      <c r="W628" s="197"/>
      <c r="X628" s="197"/>
      <c r="Y628" s="197"/>
      <c r="Z628" s="197"/>
      <c r="AA628" s="197"/>
      <c r="AB628" s="197"/>
      <c r="AC628" s="197"/>
      <c r="AD628" s="197"/>
      <c r="AE628" s="197"/>
      <c r="AF628" s="197"/>
      <c r="AG628" s="197"/>
      <c r="AH628" s="197"/>
      <c r="AI628" s="197"/>
      <c r="AJ628" s="197"/>
      <c r="AK628" s="197"/>
      <c r="AL628" s="197"/>
      <c r="AM628" s="197"/>
      <c r="AN628" s="197"/>
      <c r="AO628" s="197"/>
      <c r="AP628" s="197"/>
      <c r="AQ628" s="197"/>
      <c r="AR628" s="197"/>
      <c r="AS628" s="197"/>
      <c r="AT628" s="197"/>
      <c r="AU628" s="197"/>
      <c r="AV628" s="197"/>
      <c r="AW628" s="197"/>
      <c r="AX628" s="197"/>
      <c r="AY628" s="197"/>
      <c r="AZ628" s="197"/>
      <c r="BA628" s="197"/>
      <c r="BB628" s="197"/>
      <c r="BC628" s="197"/>
      <c r="BD628" s="197"/>
      <c r="BE628" s="197"/>
      <c r="BF628" s="197"/>
      <c r="BG628" s="197"/>
      <c r="BH628" s="197"/>
      <c r="BI628" s="197"/>
      <c r="BJ628" s="197"/>
      <c r="BK628" s="197"/>
      <c r="BL628" s="197"/>
      <c r="BM628" s="197"/>
      <c r="BN628" s="197"/>
      <c r="BO628" s="197"/>
      <c r="BP628" s="197"/>
    </row>
    <row r="629" spans="1:68" ht="20" customHeight="1" x14ac:dyDescent="0.15">
      <c r="A629" s="197"/>
      <c r="B629" s="197"/>
      <c r="C629" s="193"/>
      <c r="D629" s="197"/>
      <c r="E629" s="197"/>
      <c r="F629" s="214"/>
      <c r="G629" s="197"/>
      <c r="H629" s="197"/>
      <c r="I629" s="197"/>
      <c r="J629" s="197"/>
      <c r="K629" s="197"/>
      <c r="L629" s="197"/>
      <c r="M629" s="197"/>
      <c r="N629" s="197"/>
      <c r="O629" s="197"/>
      <c r="P629" s="197"/>
      <c r="Q629" s="197"/>
      <c r="R629" s="197"/>
      <c r="S629" s="197"/>
      <c r="T629" s="197"/>
      <c r="U629" s="197"/>
      <c r="V629" s="197"/>
      <c r="W629" s="197"/>
      <c r="X629" s="197"/>
      <c r="Y629" s="197"/>
      <c r="Z629" s="197"/>
      <c r="AA629" s="197"/>
      <c r="AB629" s="197"/>
      <c r="AC629" s="197"/>
      <c r="AD629" s="197"/>
      <c r="AE629" s="197"/>
      <c r="AF629" s="197"/>
      <c r="AG629" s="197"/>
      <c r="AH629" s="197"/>
      <c r="AI629" s="197"/>
      <c r="AJ629" s="197"/>
      <c r="AK629" s="197"/>
      <c r="AL629" s="197"/>
      <c r="AM629" s="197"/>
      <c r="AN629" s="197"/>
      <c r="AO629" s="197"/>
      <c r="AP629" s="197"/>
      <c r="AQ629" s="197"/>
      <c r="AR629" s="197"/>
      <c r="AS629" s="197"/>
      <c r="AT629" s="197"/>
      <c r="AU629" s="197"/>
      <c r="AV629" s="197"/>
      <c r="AW629" s="197"/>
      <c r="AX629" s="197"/>
      <c r="AY629" s="197"/>
      <c r="AZ629" s="197"/>
      <c r="BA629" s="197"/>
      <c r="BB629" s="197"/>
      <c r="BC629" s="197"/>
      <c r="BD629" s="197"/>
      <c r="BE629" s="197"/>
      <c r="BF629" s="197"/>
      <c r="BG629" s="197"/>
      <c r="BH629" s="197"/>
      <c r="BI629" s="197"/>
      <c r="BJ629" s="197"/>
      <c r="BK629" s="197"/>
      <c r="BL629" s="197"/>
      <c r="BM629" s="197"/>
      <c r="BN629" s="197"/>
      <c r="BO629" s="197"/>
      <c r="BP629" s="197"/>
    </row>
    <row r="630" spans="1:68" ht="20" customHeight="1" x14ac:dyDescent="0.15">
      <c r="A630" s="197"/>
      <c r="B630" s="197"/>
      <c r="C630" s="193"/>
      <c r="D630" s="197"/>
      <c r="E630" s="197"/>
      <c r="F630" s="214"/>
      <c r="G630" s="197"/>
      <c r="H630" s="197"/>
      <c r="I630" s="197"/>
      <c r="J630" s="197"/>
      <c r="K630" s="197"/>
      <c r="L630" s="197"/>
      <c r="M630" s="197"/>
      <c r="N630" s="197"/>
      <c r="O630" s="197"/>
      <c r="P630" s="197"/>
      <c r="Q630" s="197"/>
      <c r="R630" s="197"/>
      <c r="S630" s="197"/>
      <c r="T630" s="197"/>
      <c r="U630" s="197"/>
      <c r="V630" s="197"/>
      <c r="W630" s="197"/>
      <c r="X630" s="197"/>
      <c r="Y630" s="197"/>
      <c r="Z630" s="197"/>
      <c r="AA630" s="197"/>
      <c r="AB630" s="197"/>
      <c r="AC630" s="197"/>
      <c r="AD630" s="197"/>
      <c r="AE630" s="197"/>
      <c r="AF630" s="197"/>
      <c r="AG630" s="197"/>
      <c r="AH630" s="197"/>
      <c r="AI630" s="197"/>
      <c r="AJ630" s="197"/>
      <c r="AK630" s="197"/>
      <c r="AL630" s="197"/>
      <c r="AM630" s="197"/>
      <c r="AN630" s="197"/>
      <c r="AO630" s="197"/>
      <c r="AP630" s="197"/>
      <c r="AQ630" s="197"/>
      <c r="AR630" s="197"/>
      <c r="AS630" s="197"/>
      <c r="AT630" s="197"/>
      <c r="AU630" s="197"/>
      <c r="AV630" s="197"/>
      <c r="AW630" s="197"/>
      <c r="AX630" s="197"/>
      <c r="AY630" s="197"/>
      <c r="AZ630" s="197"/>
      <c r="BA630" s="197"/>
      <c r="BB630" s="197"/>
      <c r="BC630" s="197"/>
      <c r="BD630" s="197"/>
      <c r="BE630" s="197"/>
      <c r="BF630" s="197"/>
      <c r="BG630" s="197"/>
      <c r="BH630" s="197"/>
      <c r="BI630" s="197"/>
      <c r="BJ630" s="197"/>
      <c r="BK630" s="197"/>
      <c r="BL630" s="197"/>
      <c r="BM630" s="197"/>
      <c r="BN630" s="197"/>
      <c r="BO630" s="197"/>
      <c r="BP630" s="197"/>
    </row>
    <row r="631" spans="1:68" ht="20" customHeight="1" x14ac:dyDescent="0.15">
      <c r="A631" s="197"/>
      <c r="B631" s="197"/>
      <c r="C631" s="193"/>
      <c r="D631" s="197"/>
      <c r="E631" s="197"/>
      <c r="F631" s="214"/>
      <c r="G631" s="197"/>
      <c r="H631" s="197"/>
      <c r="I631" s="197"/>
      <c r="J631" s="197"/>
      <c r="K631" s="197"/>
      <c r="L631" s="197"/>
      <c r="M631" s="197"/>
      <c r="N631" s="197"/>
      <c r="O631" s="197"/>
      <c r="P631" s="197"/>
      <c r="Q631" s="197"/>
      <c r="R631" s="197"/>
      <c r="S631" s="197"/>
      <c r="T631" s="197"/>
      <c r="U631" s="197"/>
      <c r="V631" s="197"/>
      <c r="W631" s="197"/>
      <c r="X631" s="197"/>
      <c r="Y631" s="197"/>
      <c r="Z631" s="197"/>
      <c r="AA631" s="197"/>
      <c r="AB631" s="197"/>
      <c r="AC631" s="197"/>
      <c r="AD631" s="197"/>
      <c r="AE631" s="197"/>
      <c r="AF631" s="197"/>
      <c r="AG631" s="197"/>
      <c r="AH631" s="197"/>
      <c r="AI631" s="197"/>
      <c r="AJ631" s="197"/>
      <c r="AK631" s="197"/>
      <c r="AL631" s="197"/>
      <c r="AM631" s="197"/>
      <c r="AN631" s="197"/>
      <c r="AO631" s="197"/>
      <c r="AP631" s="197"/>
      <c r="AQ631" s="197"/>
      <c r="AR631" s="197"/>
      <c r="AS631" s="197"/>
      <c r="AT631" s="197"/>
      <c r="AU631" s="197"/>
      <c r="AV631" s="197"/>
      <c r="AW631" s="197"/>
      <c r="AX631" s="197"/>
      <c r="AY631" s="197"/>
      <c r="AZ631" s="197"/>
      <c r="BA631" s="197"/>
      <c r="BB631" s="197"/>
      <c r="BC631" s="197"/>
      <c r="BD631" s="197"/>
      <c r="BE631" s="197"/>
      <c r="BF631" s="197"/>
      <c r="BG631" s="197"/>
      <c r="BH631" s="197"/>
      <c r="BI631" s="197"/>
      <c r="BJ631" s="197"/>
      <c r="BK631" s="197"/>
      <c r="BL631" s="197"/>
      <c r="BM631" s="197"/>
      <c r="BN631" s="197"/>
      <c r="BO631" s="197"/>
      <c r="BP631" s="197"/>
    </row>
    <row r="632" spans="1:68" ht="20" customHeight="1" x14ac:dyDescent="0.15">
      <c r="A632" s="197"/>
      <c r="B632" s="197"/>
      <c r="C632" s="193"/>
      <c r="D632" s="197"/>
      <c r="E632" s="197"/>
      <c r="F632" s="214"/>
      <c r="G632" s="197"/>
      <c r="H632" s="197"/>
      <c r="I632" s="197"/>
      <c r="J632" s="197"/>
      <c r="K632" s="197"/>
      <c r="L632" s="197"/>
      <c r="M632" s="197"/>
      <c r="N632" s="197"/>
      <c r="O632" s="197"/>
      <c r="P632" s="197"/>
      <c r="Q632" s="197"/>
      <c r="R632" s="197"/>
      <c r="S632" s="197"/>
      <c r="T632" s="197"/>
      <c r="U632" s="197"/>
      <c r="V632" s="197"/>
      <c r="W632" s="197"/>
      <c r="X632" s="197"/>
      <c r="Y632" s="197"/>
      <c r="Z632" s="197"/>
      <c r="AA632" s="197"/>
      <c r="AB632" s="197"/>
      <c r="AC632" s="197"/>
      <c r="AD632" s="197"/>
      <c r="AE632" s="197"/>
      <c r="AF632" s="197"/>
      <c r="AG632" s="197"/>
      <c r="AH632" s="197"/>
      <c r="AI632" s="197"/>
      <c r="AJ632" s="197"/>
      <c r="AK632" s="197"/>
      <c r="AL632" s="197"/>
      <c r="AM632" s="197"/>
      <c r="AN632" s="197"/>
      <c r="AO632" s="197"/>
      <c r="AP632" s="197"/>
      <c r="AQ632" s="197"/>
      <c r="AR632" s="197"/>
      <c r="AS632" s="197"/>
      <c r="AT632" s="197"/>
      <c r="AU632" s="197"/>
      <c r="AV632" s="197"/>
      <c r="AW632" s="197"/>
      <c r="AX632" s="197"/>
      <c r="AY632" s="197"/>
      <c r="AZ632" s="197"/>
      <c r="BA632" s="197"/>
      <c r="BB632" s="197"/>
      <c r="BC632" s="197"/>
      <c r="BD632" s="197"/>
      <c r="BE632" s="197"/>
      <c r="BF632" s="197"/>
      <c r="BG632" s="197"/>
      <c r="BH632" s="197"/>
      <c r="BI632" s="197"/>
      <c r="BJ632" s="197"/>
      <c r="BK632" s="197"/>
      <c r="BL632" s="197"/>
      <c r="BM632" s="197"/>
      <c r="BN632" s="197"/>
      <c r="BO632" s="197"/>
      <c r="BP632" s="197"/>
    </row>
    <row r="633" spans="1:68" ht="20" customHeight="1" x14ac:dyDescent="0.15">
      <c r="A633" s="197"/>
      <c r="B633" s="197"/>
      <c r="C633" s="193"/>
      <c r="D633" s="197"/>
      <c r="E633" s="197"/>
      <c r="F633" s="214"/>
      <c r="G633" s="197"/>
      <c r="H633" s="197"/>
      <c r="I633" s="197"/>
      <c r="J633" s="197"/>
      <c r="K633" s="197"/>
      <c r="L633" s="197"/>
      <c r="M633" s="197"/>
      <c r="N633" s="197"/>
      <c r="O633" s="197"/>
      <c r="P633" s="197"/>
      <c r="Q633" s="197"/>
      <c r="R633" s="197"/>
      <c r="S633" s="197"/>
      <c r="T633" s="197"/>
      <c r="U633" s="197"/>
      <c r="V633" s="197"/>
      <c r="W633" s="197"/>
      <c r="X633" s="197"/>
      <c r="Y633" s="197"/>
      <c r="Z633" s="197"/>
      <c r="AA633" s="197"/>
      <c r="AB633" s="197"/>
      <c r="AC633" s="197"/>
      <c r="AD633" s="197"/>
      <c r="AE633" s="197"/>
      <c r="AF633" s="197"/>
      <c r="AG633" s="197"/>
      <c r="AH633" s="197"/>
      <c r="AI633" s="197"/>
      <c r="AJ633" s="197"/>
      <c r="AK633" s="197"/>
      <c r="AL633" s="197"/>
      <c r="AM633" s="197"/>
      <c r="AN633" s="197"/>
      <c r="AO633" s="197"/>
      <c r="AP633" s="197"/>
      <c r="AQ633" s="197"/>
      <c r="AR633" s="197"/>
      <c r="AS633" s="197"/>
      <c r="AT633" s="197"/>
      <c r="AU633" s="197"/>
      <c r="AV633" s="197"/>
      <c r="AW633" s="197"/>
      <c r="AX633" s="197"/>
      <c r="AY633" s="197"/>
      <c r="AZ633" s="197"/>
      <c r="BA633" s="197"/>
      <c r="BB633" s="197"/>
      <c r="BC633" s="197"/>
      <c r="BD633" s="197"/>
      <c r="BE633" s="197"/>
      <c r="BF633" s="197"/>
      <c r="BG633" s="197"/>
      <c r="BH633" s="197"/>
      <c r="BI633" s="197"/>
      <c r="BJ633" s="197"/>
      <c r="BK633" s="197"/>
      <c r="BL633" s="197"/>
      <c r="BM633" s="197"/>
      <c r="BN633" s="197"/>
      <c r="BO633" s="197"/>
      <c r="BP633" s="197"/>
    </row>
    <row r="634" spans="1:68" ht="20" customHeight="1" x14ac:dyDescent="0.15">
      <c r="A634" s="197"/>
      <c r="B634" s="197"/>
      <c r="C634" s="193"/>
      <c r="D634" s="197"/>
      <c r="E634" s="197"/>
      <c r="F634" s="214"/>
      <c r="G634" s="197"/>
      <c r="H634" s="197"/>
      <c r="I634" s="197"/>
      <c r="J634" s="197"/>
      <c r="K634" s="197"/>
      <c r="L634" s="197"/>
      <c r="M634" s="197"/>
      <c r="N634" s="197"/>
      <c r="O634" s="197"/>
      <c r="P634" s="197"/>
      <c r="Q634" s="197"/>
      <c r="R634" s="197"/>
      <c r="S634" s="197"/>
      <c r="T634" s="197"/>
      <c r="U634" s="197"/>
      <c r="V634" s="197"/>
      <c r="W634" s="197"/>
      <c r="X634" s="197"/>
      <c r="Y634" s="197"/>
      <c r="Z634" s="197"/>
      <c r="AA634" s="197"/>
      <c r="AB634" s="197"/>
      <c r="AC634" s="197"/>
      <c r="AD634" s="197"/>
      <c r="AE634" s="197"/>
      <c r="AF634" s="197"/>
      <c r="AG634" s="197"/>
      <c r="AH634" s="197"/>
      <c r="AI634" s="197"/>
      <c r="AJ634" s="197"/>
      <c r="AK634" s="197"/>
      <c r="AL634" s="197"/>
      <c r="AM634" s="197"/>
      <c r="AN634" s="197"/>
      <c r="AO634" s="197"/>
      <c r="AP634" s="197"/>
      <c r="AQ634" s="197"/>
      <c r="AR634" s="197"/>
      <c r="AS634" s="197"/>
      <c r="AT634" s="197"/>
      <c r="AU634" s="197"/>
      <c r="AV634" s="197"/>
      <c r="AW634" s="197"/>
      <c r="AX634" s="197"/>
      <c r="AY634" s="197"/>
      <c r="AZ634" s="197"/>
      <c r="BA634" s="197"/>
      <c r="BB634" s="197"/>
      <c r="BC634" s="197"/>
      <c r="BD634" s="197"/>
      <c r="BE634" s="197"/>
      <c r="BF634" s="197"/>
      <c r="BG634" s="197"/>
      <c r="BH634" s="197"/>
      <c r="BI634" s="197"/>
      <c r="BJ634" s="197"/>
      <c r="BK634" s="197"/>
      <c r="BL634" s="197"/>
      <c r="BM634" s="197"/>
      <c r="BN634" s="197"/>
      <c r="BO634" s="197"/>
      <c r="BP634" s="197"/>
    </row>
    <row r="635" spans="1:68" ht="20" customHeight="1" x14ac:dyDescent="0.15">
      <c r="A635" s="197"/>
      <c r="B635" s="197"/>
      <c r="C635" s="193"/>
      <c r="D635" s="197"/>
      <c r="E635" s="197"/>
      <c r="F635" s="214"/>
      <c r="G635" s="197"/>
      <c r="H635" s="197"/>
      <c r="I635" s="197"/>
      <c r="J635" s="197"/>
      <c r="K635" s="197"/>
      <c r="L635" s="197"/>
      <c r="M635" s="197"/>
      <c r="N635" s="197"/>
      <c r="O635" s="197"/>
      <c r="P635" s="197"/>
      <c r="Q635" s="197"/>
      <c r="R635" s="197"/>
      <c r="S635" s="197"/>
      <c r="T635" s="197"/>
      <c r="U635" s="197"/>
      <c r="V635" s="197"/>
      <c r="W635" s="197"/>
      <c r="X635" s="197"/>
      <c r="Y635" s="197"/>
      <c r="Z635" s="197"/>
      <c r="AA635" s="197"/>
      <c r="AB635" s="197"/>
      <c r="AC635" s="197"/>
      <c r="AD635" s="197"/>
      <c r="AE635" s="197"/>
      <c r="AF635" s="197"/>
      <c r="AG635" s="197"/>
      <c r="AH635" s="197"/>
      <c r="AI635" s="197"/>
      <c r="AJ635" s="197"/>
      <c r="AK635" s="197"/>
      <c r="AL635" s="197"/>
      <c r="AM635" s="197"/>
      <c r="AN635" s="197"/>
      <c r="AO635" s="197"/>
      <c r="AP635" s="197"/>
      <c r="AQ635" s="197"/>
      <c r="AR635" s="197"/>
      <c r="AS635" s="197"/>
      <c r="AT635" s="197"/>
      <c r="AU635" s="197"/>
      <c r="AV635" s="197"/>
      <c r="AW635" s="197"/>
      <c r="AX635" s="197"/>
      <c r="AY635" s="197"/>
      <c r="AZ635" s="197"/>
      <c r="BA635" s="197"/>
      <c r="BB635" s="197"/>
      <c r="BC635" s="197"/>
      <c r="BD635" s="197"/>
      <c r="BE635" s="197"/>
      <c r="BF635" s="197"/>
      <c r="BG635" s="197"/>
      <c r="BH635" s="197"/>
      <c r="BI635" s="197"/>
      <c r="BJ635" s="197"/>
      <c r="BK635" s="197"/>
      <c r="BL635" s="197"/>
      <c r="BM635" s="197"/>
      <c r="BN635" s="197"/>
      <c r="BO635" s="197"/>
      <c r="BP635" s="197"/>
    </row>
    <row r="636" spans="1:68" ht="20" customHeight="1" x14ac:dyDescent="0.15">
      <c r="A636" s="197"/>
      <c r="B636" s="197"/>
      <c r="C636" s="193"/>
      <c r="D636" s="197"/>
      <c r="E636" s="197"/>
      <c r="F636" s="214"/>
      <c r="G636" s="197"/>
      <c r="H636" s="197"/>
      <c r="I636" s="197"/>
      <c r="J636" s="197"/>
      <c r="K636" s="197"/>
      <c r="L636" s="197"/>
      <c r="M636" s="197"/>
      <c r="N636" s="197"/>
      <c r="O636" s="197"/>
      <c r="P636" s="197"/>
      <c r="Q636" s="197"/>
      <c r="R636" s="197"/>
      <c r="S636" s="197"/>
      <c r="T636" s="197"/>
      <c r="U636" s="197"/>
      <c r="V636" s="197"/>
      <c r="W636" s="197"/>
      <c r="X636" s="197"/>
      <c r="Y636" s="197"/>
      <c r="Z636" s="197"/>
      <c r="AA636" s="197"/>
      <c r="AB636" s="197"/>
      <c r="AC636" s="197"/>
      <c r="AD636" s="197"/>
      <c r="AE636" s="197"/>
      <c r="AF636" s="197"/>
      <c r="AG636" s="197"/>
      <c r="AH636" s="197"/>
      <c r="AI636" s="197"/>
      <c r="AJ636" s="197"/>
      <c r="AK636" s="197"/>
      <c r="AL636" s="197"/>
      <c r="AM636" s="197"/>
      <c r="AN636" s="197"/>
      <c r="AO636" s="197"/>
      <c r="AP636" s="197"/>
      <c r="AQ636" s="197"/>
      <c r="AR636" s="197"/>
      <c r="AS636" s="197"/>
      <c r="AT636" s="197"/>
      <c r="AU636" s="197"/>
      <c r="AV636" s="197"/>
      <c r="AW636" s="197"/>
      <c r="AX636" s="197"/>
      <c r="AY636" s="197"/>
      <c r="AZ636" s="197"/>
      <c r="BA636" s="197"/>
      <c r="BB636" s="197"/>
      <c r="BC636" s="197"/>
      <c r="BD636" s="197"/>
      <c r="BE636" s="197"/>
      <c r="BF636" s="197"/>
      <c r="BG636" s="197"/>
      <c r="BH636" s="197"/>
      <c r="BI636" s="197"/>
      <c r="BJ636" s="197"/>
      <c r="BK636" s="197"/>
      <c r="BL636" s="197"/>
      <c r="BM636" s="197"/>
      <c r="BN636" s="197"/>
      <c r="BO636" s="197"/>
      <c r="BP636" s="197"/>
    </row>
    <row r="637" spans="1:68" ht="20" customHeight="1" x14ac:dyDescent="0.15">
      <c r="A637" s="197"/>
      <c r="B637" s="197"/>
      <c r="C637" s="193"/>
      <c r="D637" s="197"/>
      <c r="E637" s="197"/>
      <c r="F637" s="214"/>
      <c r="G637" s="197"/>
      <c r="H637" s="197"/>
      <c r="I637" s="197"/>
      <c r="J637" s="197"/>
      <c r="K637" s="197"/>
      <c r="L637" s="197"/>
      <c r="M637" s="197"/>
      <c r="N637" s="197"/>
      <c r="O637" s="197"/>
      <c r="P637" s="197"/>
      <c r="Q637" s="197"/>
      <c r="R637" s="197"/>
      <c r="S637" s="197"/>
      <c r="T637" s="197"/>
      <c r="U637" s="197"/>
      <c r="V637" s="197"/>
      <c r="W637" s="197"/>
      <c r="X637" s="197"/>
      <c r="Y637" s="197"/>
      <c r="Z637" s="197"/>
      <c r="AA637" s="197"/>
      <c r="AB637" s="197"/>
      <c r="AC637" s="197"/>
      <c r="AD637" s="197"/>
      <c r="AE637" s="197"/>
      <c r="AF637" s="197"/>
      <c r="AG637" s="197"/>
      <c r="AH637" s="197"/>
      <c r="AI637" s="197"/>
      <c r="AJ637" s="197"/>
      <c r="AK637" s="197"/>
      <c r="AL637" s="197"/>
      <c r="AM637" s="197"/>
      <c r="AN637" s="197"/>
      <c r="AO637" s="197"/>
      <c r="AP637" s="197"/>
      <c r="AQ637" s="197"/>
      <c r="AR637" s="197"/>
      <c r="AS637" s="197"/>
      <c r="AT637" s="197"/>
      <c r="AU637" s="197"/>
      <c r="AV637" s="197"/>
      <c r="AW637" s="197"/>
      <c r="AX637" s="197"/>
      <c r="AY637" s="197"/>
      <c r="AZ637" s="197"/>
      <c r="BA637" s="197"/>
      <c r="BB637" s="197"/>
      <c r="BC637" s="197"/>
      <c r="BD637" s="197"/>
      <c r="BE637" s="197"/>
      <c r="BF637" s="197"/>
      <c r="BG637" s="197"/>
      <c r="BH637" s="197"/>
      <c r="BI637" s="197"/>
      <c r="BJ637" s="197"/>
      <c r="BK637" s="197"/>
      <c r="BL637" s="197"/>
      <c r="BM637" s="197"/>
      <c r="BN637" s="197"/>
      <c r="BO637" s="197"/>
      <c r="BP637" s="197"/>
    </row>
    <row r="638" spans="1:68" ht="20" customHeight="1" x14ac:dyDescent="0.15">
      <c r="A638" s="197"/>
      <c r="B638" s="197"/>
      <c r="C638" s="193"/>
      <c r="D638" s="197"/>
      <c r="E638" s="197"/>
      <c r="F638" s="214"/>
      <c r="G638" s="197"/>
      <c r="H638" s="197"/>
      <c r="I638" s="197"/>
      <c r="J638" s="197"/>
      <c r="K638" s="197"/>
      <c r="L638" s="197"/>
      <c r="M638" s="197"/>
      <c r="N638" s="197"/>
      <c r="O638" s="197"/>
      <c r="P638" s="197"/>
      <c r="Q638" s="197"/>
      <c r="R638" s="197"/>
      <c r="S638" s="197"/>
      <c r="T638" s="197"/>
      <c r="U638" s="197"/>
      <c r="V638" s="197"/>
      <c r="W638" s="197"/>
      <c r="X638" s="197"/>
      <c r="Y638" s="197"/>
      <c r="Z638" s="197"/>
      <c r="AA638" s="197"/>
      <c r="AB638" s="197"/>
      <c r="AC638" s="197"/>
      <c r="AD638" s="197"/>
      <c r="AE638" s="197"/>
      <c r="AF638" s="197"/>
      <c r="AG638" s="197"/>
      <c r="AH638" s="197"/>
      <c r="AI638" s="197"/>
      <c r="AJ638" s="197"/>
      <c r="AK638" s="197"/>
      <c r="AL638" s="197"/>
      <c r="AM638" s="197"/>
      <c r="AN638" s="197"/>
      <c r="AO638" s="197"/>
      <c r="AP638" s="197"/>
      <c r="AQ638" s="197"/>
      <c r="AR638" s="197"/>
      <c r="AS638" s="197"/>
      <c r="AT638" s="197"/>
      <c r="AU638" s="197"/>
      <c r="AV638" s="197"/>
      <c r="AW638" s="197"/>
      <c r="AX638" s="197"/>
      <c r="AY638" s="197"/>
      <c r="AZ638" s="197"/>
      <c r="BA638" s="197"/>
      <c r="BB638" s="197"/>
      <c r="BC638" s="197"/>
      <c r="BD638" s="197"/>
      <c r="BE638" s="197"/>
      <c r="BF638" s="197"/>
      <c r="BG638" s="197"/>
      <c r="BH638" s="197"/>
      <c r="BI638" s="197"/>
      <c r="BJ638" s="197"/>
      <c r="BK638" s="197"/>
      <c r="BL638" s="197"/>
      <c r="BM638" s="197"/>
      <c r="BN638" s="197"/>
      <c r="BO638" s="197"/>
      <c r="BP638" s="197"/>
    </row>
    <row r="639" spans="1:68" ht="20" customHeight="1" x14ac:dyDescent="0.15">
      <c r="A639" s="197"/>
      <c r="B639" s="197"/>
      <c r="C639" s="193"/>
      <c r="D639" s="197"/>
      <c r="E639" s="197"/>
      <c r="F639" s="214"/>
      <c r="G639" s="197"/>
      <c r="H639" s="197"/>
      <c r="I639" s="197"/>
      <c r="J639" s="197"/>
      <c r="K639" s="197"/>
      <c r="L639" s="197"/>
      <c r="M639" s="197"/>
      <c r="N639" s="197"/>
      <c r="O639" s="197"/>
      <c r="P639" s="197"/>
      <c r="Q639" s="197"/>
      <c r="R639" s="197"/>
      <c r="S639" s="197"/>
      <c r="T639" s="197"/>
      <c r="U639" s="197"/>
      <c r="V639" s="197"/>
      <c r="W639" s="197"/>
      <c r="X639" s="197"/>
      <c r="Y639" s="197"/>
      <c r="Z639" s="197"/>
      <c r="AA639" s="197"/>
      <c r="AB639" s="197"/>
      <c r="AC639" s="197"/>
      <c r="AD639" s="197"/>
      <c r="AE639" s="197"/>
      <c r="AF639" s="197"/>
      <c r="AG639" s="197"/>
      <c r="AH639" s="197"/>
      <c r="AI639" s="197"/>
      <c r="AJ639" s="197"/>
      <c r="AK639" s="197"/>
      <c r="AL639" s="197"/>
      <c r="AM639" s="197"/>
      <c r="AN639" s="197"/>
      <c r="AO639" s="197"/>
      <c r="AP639" s="197"/>
      <c r="AQ639" s="197"/>
      <c r="AR639" s="197"/>
      <c r="AS639" s="197"/>
      <c r="AT639" s="197"/>
      <c r="AU639" s="197"/>
      <c r="AV639" s="197"/>
      <c r="AW639" s="197"/>
      <c r="AX639" s="197"/>
      <c r="AY639" s="197"/>
      <c r="AZ639" s="197"/>
      <c r="BA639" s="197"/>
      <c r="BB639" s="197"/>
      <c r="BC639" s="197"/>
      <c r="BD639" s="197"/>
      <c r="BE639" s="197"/>
      <c r="BF639" s="197"/>
      <c r="BG639" s="197"/>
      <c r="BH639" s="197"/>
      <c r="BI639" s="197"/>
      <c r="BJ639" s="197"/>
      <c r="BK639" s="197"/>
      <c r="BL639" s="197"/>
      <c r="BM639" s="197"/>
      <c r="BN639" s="197"/>
      <c r="BO639" s="197"/>
      <c r="BP639" s="197"/>
    </row>
    <row r="640" spans="1:68" ht="20" customHeight="1" x14ac:dyDescent="0.15">
      <c r="A640" s="197"/>
      <c r="B640" s="197"/>
      <c r="C640" s="193"/>
      <c r="D640" s="197"/>
      <c r="E640" s="197"/>
      <c r="F640" s="214"/>
      <c r="G640" s="197"/>
      <c r="H640" s="197"/>
      <c r="I640" s="197"/>
      <c r="J640" s="197"/>
      <c r="K640" s="197"/>
      <c r="L640" s="197"/>
      <c r="M640" s="197"/>
      <c r="N640" s="197"/>
      <c r="O640" s="197"/>
      <c r="P640" s="197"/>
      <c r="Q640" s="197"/>
      <c r="R640" s="197"/>
      <c r="S640" s="197"/>
      <c r="T640" s="197"/>
      <c r="U640" s="197"/>
      <c r="V640" s="197"/>
      <c r="W640" s="197"/>
      <c r="X640" s="197"/>
      <c r="Y640" s="197"/>
      <c r="Z640" s="197"/>
      <c r="AA640" s="197"/>
      <c r="AB640" s="197"/>
      <c r="AC640" s="197"/>
      <c r="AD640" s="197"/>
      <c r="AE640" s="197"/>
      <c r="AF640" s="197"/>
      <c r="AG640" s="197"/>
      <c r="AH640" s="197"/>
      <c r="AI640" s="197"/>
      <c r="AJ640" s="197"/>
      <c r="AK640" s="197"/>
      <c r="AL640" s="197"/>
      <c r="AM640" s="197"/>
      <c r="AN640" s="197"/>
      <c r="AO640" s="197"/>
      <c r="AP640" s="197"/>
      <c r="AQ640" s="197"/>
      <c r="AR640" s="197"/>
      <c r="AS640" s="197"/>
      <c r="AT640" s="197"/>
      <c r="AU640" s="197"/>
      <c r="AV640" s="197"/>
      <c r="AW640" s="197"/>
      <c r="AX640" s="197"/>
      <c r="AY640" s="197"/>
      <c r="AZ640" s="197"/>
      <c r="BA640" s="197"/>
      <c r="BB640" s="197"/>
      <c r="BC640" s="197"/>
      <c r="BD640" s="197"/>
      <c r="BE640" s="197"/>
      <c r="BF640" s="197"/>
      <c r="BG640" s="197"/>
      <c r="BH640" s="197"/>
      <c r="BI640" s="197"/>
      <c r="BJ640" s="197"/>
      <c r="BK640" s="197"/>
      <c r="BL640" s="197"/>
      <c r="BM640" s="197"/>
      <c r="BN640" s="197"/>
      <c r="BO640" s="197"/>
      <c r="BP640" s="197"/>
    </row>
    <row r="641" spans="1:68" ht="20" customHeight="1" x14ac:dyDescent="0.15">
      <c r="A641" s="197"/>
      <c r="B641" s="197"/>
      <c r="C641" s="193"/>
      <c r="D641" s="197"/>
      <c r="E641" s="197"/>
      <c r="F641" s="214"/>
      <c r="G641" s="197"/>
      <c r="H641" s="197"/>
      <c r="I641" s="197"/>
      <c r="J641" s="197"/>
      <c r="K641" s="197"/>
      <c r="L641" s="197"/>
      <c r="M641" s="197"/>
      <c r="N641" s="197"/>
      <c r="O641" s="197"/>
      <c r="P641" s="197"/>
      <c r="Q641" s="197"/>
      <c r="R641" s="197"/>
      <c r="S641" s="197"/>
      <c r="T641" s="197"/>
      <c r="U641" s="197"/>
      <c r="V641" s="197"/>
      <c r="W641" s="197"/>
      <c r="X641" s="197"/>
      <c r="Y641" s="197"/>
      <c r="Z641" s="197"/>
      <c r="AA641" s="197"/>
      <c r="AB641" s="197"/>
      <c r="AC641" s="197"/>
      <c r="AD641" s="197"/>
      <c r="AE641" s="197"/>
      <c r="AF641" s="197"/>
      <c r="AG641" s="197"/>
      <c r="AH641" s="197"/>
      <c r="AI641" s="197"/>
      <c r="AJ641" s="197"/>
      <c r="AK641" s="197"/>
      <c r="AL641" s="197"/>
      <c r="AM641" s="197"/>
      <c r="AN641" s="197"/>
      <c r="AO641" s="197"/>
      <c r="AP641" s="197"/>
      <c r="AQ641" s="197"/>
      <c r="AR641" s="197"/>
      <c r="AS641" s="197"/>
      <c r="AT641" s="197"/>
      <c r="AU641" s="197"/>
      <c r="AV641" s="197"/>
      <c r="AW641" s="197"/>
      <c r="AX641" s="197"/>
      <c r="AY641" s="197"/>
      <c r="AZ641" s="197"/>
      <c r="BA641" s="197"/>
      <c r="BB641" s="197"/>
      <c r="BC641" s="197"/>
      <c r="BD641" s="197"/>
      <c r="BE641" s="197"/>
      <c r="BF641" s="197"/>
      <c r="BG641" s="197"/>
      <c r="BH641" s="197"/>
      <c r="BI641" s="197"/>
      <c r="BJ641" s="197"/>
      <c r="BK641" s="197"/>
      <c r="BL641" s="197"/>
      <c r="BM641" s="197"/>
      <c r="BN641" s="197"/>
      <c r="BO641" s="197"/>
      <c r="BP641" s="197"/>
    </row>
    <row r="642" spans="1:68" ht="20" customHeight="1" x14ac:dyDescent="0.15">
      <c r="A642" s="197"/>
      <c r="B642" s="197"/>
      <c r="C642" s="193"/>
      <c r="D642" s="197"/>
      <c r="E642" s="197"/>
      <c r="F642" s="214"/>
      <c r="G642" s="197"/>
      <c r="H642" s="197"/>
      <c r="I642" s="197"/>
      <c r="J642" s="197"/>
      <c r="K642" s="197"/>
      <c r="L642" s="197"/>
      <c r="M642" s="197"/>
      <c r="N642" s="197"/>
      <c r="O642" s="197"/>
      <c r="P642" s="197"/>
      <c r="Q642" s="197"/>
      <c r="R642" s="197"/>
      <c r="S642" s="197"/>
      <c r="T642" s="197"/>
      <c r="U642" s="197"/>
      <c r="V642" s="197"/>
      <c r="W642" s="197"/>
      <c r="X642" s="197"/>
      <c r="Y642" s="197"/>
      <c r="Z642" s="197"/>
      <c r="AA642" s="197"/>
      <c r="AB642" s="197"/>
      <c r="AC642" s="197"/>
      <c r="AD642" s="197"/>
      <c r="AE642" s="197"/>
      <c r="AF642" s="197"/>
      <c r="AG642" s="197"/>
      <c r="AH642" s="197"/>
      <c r="AI642" s="197"/>
      <c r="AJ642" s="197"/>
      <c r="AK642" s="197"/>
      <c r="AL642" s="197"/>
      <c r="AM642" s="197"/>
      <c r="AN642" s="197"/>
      <c r="AO642" s="197"/>
      <c r="AP642" s="197"/>
      <c r="AQ642" s="197"/>
      <c r="AR642" s="197"/>
      <c r="AS642" s="197"/>
      <c r="AT642" s="197"/>
      <c r="AU642" s="197"/>
      <c r="AV642" s="197"/>
      <c r="AW642" s="197"/>
      <c r="AX642" s="197"/>
      <c r="AY642" s="197"/>
      <c r="AZ642" s="197"/>
      <c r="BA642" s="197"/>
      <c r="BB642" s="197"/>
      <c r="BC642" s="197"/>
      <c r="BD642" s="197"/>
      <c r="BE642" s="197"/>
      <c r="BF642" s="197"/>
      <c r="BG642" s="197"/>
      <c r="BH642" s="197"/>
      <c r="BI642" s="197"/>
      <c r="BJ642" s="197"/>
      <c r="BK642" s="197"/>
      <c r="BL642" s="197"/>
      <c r="BM642" s="197"/>
      <c r="BN642" s="197"/>
      <c r="BO642" s="197"/>
      <c r="BP642" s="197"/>
    </row>
    <row r="643" spans="1:68" ht="20" customHeight="1" x14ac:dyDescent="0.15">
      <c r="A643" s="197"/>
      <c r="B643" s="197"/>
      <c r="C643" s="193"/>
      <c r="D643" s="197"/>
      <c r="E643" s="197"/>
      <c r="F643" s="214"/>
      <c r="G643" s="197"/>
      <c r="H643" s="197"/>
      <c r="I643" s="197"/>
      <c r="J643" s="197"/>
      <c r="K643" s="197"/>
      <c r="L643" s="197"/>
      <c r="M643" s="197"/>
      <c r="N643" s="197"/>
      <c r="O643" s="197"/>
      <c r="P643" s="197"/>
      <c r="Q643" s="197"/>
      <c r="R643" s="197"/>
      <c r="S643" s="197"/>
      <c r="T643" s="197"/>
      <c r="U643" s="197"/>
      <c r="V643" s="197"/>
      <c r="W643" s="197"/>
      <c r="X643" s="197"/>
      <c r="Y643" s="197"/>
      <c r="Z643" s="197"/>
      <c r="AA643" s="197"/>
      <c r="AB643" s="197"/>
      <c r="AC643" s="197"/>
      <c r="AD643" s="197"/>
      <c r="AE643" s="197"/>
      <c r="AF643" s="197"/>
      <c r="AG643" s="197"/>
      <c r="AH643" s="197"/>
      <c r="AI643" s="197"/>
      <c r="AJ643" s="197"/>
      <c r="AK643" s="197"/>
      <c r="AL643" s="197"/>
      <c r="AM643" s="197"/>
      <c r="AN643" s="197"/>
      <c r="AO643" s="197"/>
      <c r="AP643" s="197"/>
      <c r="AQ643" s="197"/>
      <c r="AR643" s="197"/>
      <c r="AS643" s="197"/>
      <c r="AT643" s="197"/>
      <c r="AU643" s="197"/>
      <c r="AV643" s="197"/>
      <c r="AW643" s="197"/>
      <c r="AX643" s="197"/>
      <c r="AY643" s="197"/>
      <c r="AZ643" s="197"/>
      <c r="BA643" s="197"/>
      <c r="BB643" s="197"/>
      <c r="BC643" s="197"/>
      <c r="BD643" s="197"/>
      <c r="BE643" s="197"/>
      <c r="BF643" s="197"/>
      <c r="BG643" s="197"/>
      <c r="BH643" s="197"/>
      <c r="BI643" s="197"/>
      <c r="BJ643" s="197"/>
      <c r="BK643" s="197"/>
      <c r="BL643" s="197"/>
      <c r="BM643" s="197"/>
      <c r="BN643" s="197"/>
      <c r="BO643" s="197"/>
      <c r="BP643" s="197"/>
    </row>
    <row r="644" spans="1:68" ht="20" customHeight="1" x14ac:dyDescent="0.15">
      <c r="A644" s="197"/>
      <c r="B644" s="197"/>
      <c r="C644" s="193"/>
      <c r="D644" s="197"/>
      <c r="E644" s="197"/>
      <c r="F644" s="214"/>
      <c r="G644" s="197"/>
      <c r="H644" s="197"/>
      <c r="I644" s="197"/>
      <c r="J644" s="197"/>
      <c r="K644" s="197"/>
      <c r="L644" s="197"/>
      <c r="M644" s="197"/>
      <c r="N644" s="197"/>
      <c r="O644" s="197"/>
      <c r="P644" s="197"/>
      <c r="Q644" s="197"/>
      <c r="R644" s="197"/>
      <c r="S644" s="197"/>
      <c r="T644" s="197"/>
      <c r="U644" s="197"/>
      <c r="V644" s="197"/>
      <c r="W644" s="197"/>
      <c r="X644" s="197"/>
      <c r="Y644" s="197"/>
      <c r="Z644" s="197"/>
      <c r="AA644" s="197"/>
      <c r="AB644" s="197"/>
      <c r="AC644" s="197"/>
      <c r="AD644" s="197"/>
      <c r="AE644" s="197"/>
      <c r="AF644" s="197"/>
      <c r="AG644" s="197"/>
      <c r="AH644" s="197"/>
      <c r="AI644" s="197"/>
      <c r="AJ644" s="197"/>
      <c r="AK644" s="197"/>
      <c r="AL644" s="197"/>
      <c r="AM644" s="197"/>
      <c r="AN644" s="197"/>
      <c r="AO644" s="197"/>
      <c r="AP644" s="197"/>
      <c r="AQ644" s="197"/>
      <c r="AR644" s="197"/>
      <c r="AS644" s="197"/>
      <c r="AT644" s="197"/>
      <c r="AU644" s="197"/>
      <c r="AV644" s="197"/>
      <c r="AW644" s="197"/>
      <c r="AX644" s="197"/>
      <c r="AY644" s="197"/>
      <c r="AZ644" s="197"/>
      <c r="BA644" s="197"/>
      <c r="BB644" s="197"/>
      <c r="BC644" s="197"/>
      <c r="BD644" s="197"/>
      <c r="BE644" s="197"/>
      <c r="BF644" s="197"/>
      <c r="BG644" s="197"/>
      <c r="BH644" s="197"/>
      <c r="BI644" s="197"/>
      <c r="BJ644" s="197"/>
      <c r="BK644" s="197"/>
      <c r="BL644" s="197"/>
      <c r="BM644" s="197"/>
      <c r="BN644" s="197"/>
      <c r="BO644" s="197"/>
      <c r="BP644" s="197"/>
    </row>
    <row r="645" spans="1:68" ht="20" customHeight="1" x14ac:dyDescent="0.15">
      <c r="A645" s="197"/>
      <c r="B645" s="197"/>
      <c r="C645" s="193"/>
      <c r="D645" s="197"/>
      <c r="E645" s="197"/>
      <c r="F645" s="214"/>
      <c r="G645" s="197"/>
      <c r="H645" s="197"/>
      <c r="I645" s="197"/>
      <c r="J645" s="197"/>
      <c r="K645" s="197"/>
      <c r="L645" s="197"/>
      <c r="M645" s="197"/>
      <c r="N645" s="197"/>
      <c r="O645" s="197"/>
      <c r="P645" s="197"/>
      <c r="Q645" s="197"/>
      <c r="R645" s="197"/>
      <c r="S645" s="197"/>
      <c r="T645" s="197"/>
      <c r="U645" s="197"/>
      <c r="V645" s="197"/>
      <c r="W645" s="197"/>
      <c r="X645" s="197"/>
      <c r="Y645" s="197"/>
      <c r="Z645" s="197"/>
      <c r="AA645" s="197"/>
      <c r="AB645" s="197"/>
      <c r="AC645" s="197"/>
      <c r="AD645" s="197"/>
      <c r="AE645" s="197"/>
      <c r="AF645" s="197"/>
      <c r="AG645" s="197"/>
      <c r="AH645" s="197"/>
      <c r="AI645" s="197"/>
      <c r="AJ645" s="197"/>
      <c r="AK645" s="197"/>
      <c r="AL645" s="197"/>
      <c r="AM645" s="197"/>
      <c r="AN645" s="197"/>
      <c r="AO645" s="197"/>
      <c r="AP645" s="197"/>
      <c r="AQ645" s="197"/>
      <c r="AR645" s="197"/>
      <c r="AS645" s="197"/>
      <c r="AT645" s="197"/>
      <c r="AU645" s="197"/>
      <c r="AV645" s="197"/>
      <c r="AW645" s="197"/>
      <c r="AX645" s="197"/>
      <c r="AY645" s="197"/>
      <c r="AZ645" s="197"/>
      <c r="BA645" s="197"/>
      <c r="BB645" s="197"/>
      <c r="BC645" s="197"/>
      <c r="BD645" s="197"/>
      <c r="BE645" s="197"/>
      <c r="BF645" s="197"/>
      <c r="BG645" s="197"/>
      <c r="BH645" s="197"/>
      <c r="BI645" s="197"/>
      <c r="BJ645" s="197"/>
      <c r="BK645" s="197"/>
      <c r="BL645" s="197"/>
      <c r="BM645" s="197"/>
      <c r="BN645" s="197"/>
      <c r="BO645" s="197"/>
      <c r="BP645" s="197"/>
    </row>
    <row r="646" spans="1:68" ht="20" customHeight="1" x14ac:dyDescent="0.15">
      <c r="A646" s="197"/>
      <c r="B646" s="197"/>
      <c r="C646" s="193"/>
      <c r="D646" s="197"/>
      <c r="E646" s="197"/>
      <c r="F646" s="214"/>
      <c r="G646" s="197"/>
      <c r="H646" s="197"/>
      <c r="I646" s="197"/>
      <c r="J646" s="197"/>
      <c r="K646" s="197"/>
      <c r="L646" s="197"/>
      <c r="M646" s="197"/>
      <c r="N646" s="197"/>
      <c r="O646" s="197"/>
      <c r="P646" s="197"/>
      <c r="Q646" s="197"/>
      <c r="R646" s="197"/>
      <c r="S646" s="197"/>
      <c r="T646" s="197"/>
      <c r="U646" s="197"/>
      <c r="V646" s="197"/>
      <c r="W646" s="197"/>
      <c r="X646" s="197"/>
      <c r="Y646" s="197"/>
      <c r="Z646" s="197"/>
      <c r="AA646" s="197"/>
      <c r="AB646" s="197"/>
      <c r="AC646" s="197"/>
      <c r="AD646" s="197"/>
      <c r="AE646" s="197"/>
      <c r="AF646" s="197"/>
      <c r="AG646" s="197"/>
      <c r="AH646" s="197"/>
      <c r="AI646" s="197"/>
      <c r="AJ646" s="197"/>
      <c r="AK646" s="197"/>
      <c r="AL646" s="197"/>
      <c r="AM646" s="197"/>
      <c r="AN646" s="197"/>
      <c r="AO646" s="197"/>
      <c r="AP646" s="197"/>
      <c r="AQ646" s="197"/>
      <c r="AR646" s="197"/>
      <c r="AS646" s="197"/>
      <c r="AT646" s="197"/>
      <c r="AU646" s="197"/>
      <c r="AV646" s="197"/>
      <c r="AW646" s="197"/>
      <c r="AX646" s="197"/>
      <c r="AY646" s="197"/>
      <c r="AZ646" s="197"/>
      <c r="BA646" s="197"/>
      <c r="BB646" s="197"/>
      <c r="BC646" s="197"/>
      <c r="BD646" s="197"/>
      <c r="BE646" s="197"/>
      <c r="BF646" s="197"/>
      <c r="BG646" s="197"/>
      <c r="BH646" s="197"/>
      <c r="BI646" s="197"/>
      <c r="BJ646" s="197"/>
      <c r="BK646" s="197"/>
      <c r="BL646" s="197"/>
      <c r="BM646" s="197"/>
      <c r="BN646" s="197"/>
      <c r="BO646" s="197"/>
      <c r="BP646" s="197"/>
    </row>
    <row r="647" spans="1:68" ht="20" customHeight="1" x14ac:dyDescent="0.15">
      <c r="A647" s="197"/>
      <c r="B647" s="197"/>
      <c r="C647" s="193"/>
      <c r="D647" s="197"/>
      <c r="E647" s="197"/>
      <c r="F647" s="214"/>
      <c r="G647" s="197"/>
      <c r="H647" s="197"/>
      <c r="I647" s="197"/>
      <c r="J647" s="197"/>
      <c r="K647" s="197"/>
      <c r="L647" s="197"/>
      <c r="M647" s="197"/>
      <c r="N647" s="197"/>
      <c r="O647" s="197"/>
      <c r="P647" s="197"/>
      <c r="Q647" s="197"/>
      <c r="R647" s="197"/>
      <c r="S647" s="197"/>
      <c r="T647" s="197"/>
      <c r="U647" s="197"/>
      <c r="V647" s="197"/>
      <c r="W647" s="197"/>
      <c r="X647" s="197"/>
      <c r="Y647" s="197"/>
      <c r="Z647" s="197"/>
      <c r="AA647" s="197"/>
      <c r="AB647" s="197"/>
      <c r="AC647" s="197"/>
      <c r="AD647" s="197"/>
      <c r="AE647" s="197"/>
      <c r="AF647" s="197"/>
      <c r="AG647" s="197"/>
      <c r="AH647" s="197"/>
      <c r="AI647" s="197"/>
      <c r="AJ647" s="197"/>
      <c r="AK647" s="197"/>
      <c r="AL647" s="197"/>
      <c r="AM647" s="197"/>
      <c r="AN647" s="197"/>
      <c r="AO647" s="197"/>
      <c r="AP647" s="197"/>
      <c r="AQ647" s="197"/>
      <c r="AR647" s="197"/>
      <c r="AS647" s="197"/>
      <c r="AT647" s="197"/>
      <c r="AU647" s="197"/>
      <c r="AV647" s="197"/>
      <c r="AW647" s="197"/>
      <c r="AX647" s="197"/>
      <c r="AY647" s="197"/>
      <c r="AZ647" s="197"/>
      <c r="BA647" s="197"/>
      <c r="BB647" s="197"/>
      <c r="BC647" s="197"/>
      <c r="BD647" s="197"/>
      <c r="BE647" s="197"/>
      <c r="BF647" s="197"/>
      <c r="BG647" s="197"/>
      <c r="BH647" s="197"/>
      <c r="BI647" s="197"/>
      <c r="BJ647" s="197"/>
      <c r="BK647" s="197"/>
      <c r="BL647" s="197"/>
      <c r="BM647" s="197"/>
      <c r="BN647" s="197"/>
      <c r="BO647" s="197"/>
      <c r="BP647" s="197"/>
    </row>
    <row r="648" spans="1:68" ht="20" customHeight="1" x14ac:dyDescent="0.15">
      <c r="A648" s="197"/>
      <c r="B648" s="197"/>
      <c r="C648" s="193"/>
      <c r="D648" s="197"/>
      <c r="E648" s="197"/>
      <c r="F648" s="214"/>
      <c r="G648" s="197"/>
      <c r="H648" s="197"/>
      <c r="I648" s="197"/>
      <c r="J648" s="197"/>
      <c r="K648" s="197"/>
      <c r="L648" s="197"/>
      <c r="M648" s="197"/>
      <c r="N648" s="197"/>
      <c r="O648" s="197"/>
      <c r="P648" s="197"/>
      <c r="Q648" s="197"/>
      <c r="R648" s="197"/>
      <c r="S648" s="197"/>
      <c r="T648" s="197"/>
      <c r="U648" s="197"/>
      <c r="V648" s="197"/>
      <c r="W648" s="197"/>
      <c r="X648" s="197"/>
      <c r="Y648" s="197"/>
      <c r="Z648" s="197"/>
      <c r="AA648" s="197"/>
      <c r="AB648" s="197"/>
      <c r="AC648" s="197"/>
      <c r="AD648" s="197"/>
      <c r="AE648" s="197"/>
      <c r="AF648" s="197"/>
      <c r="AG648" s="197"/>
      <c r="AH648" s="197"/>
      <c r="AI648" s="197"/>
      <c r="AJ648" s="197"/>
      <c r="AK648" s="197"/>
      <c r="AL648" s="197"/>
      <c r="AM648" s="197"/>
      <c r="AN648" s="197"/>
      <c r="AO648" s="197"/>
      <c r="AP648" s="197"/>
      <c r="AQ648" s="197"/>
      <c r="AR648" s="197"/>
      <c r="AS648" s="197"/>
      <c r="AT648" s="197"/>
      <c r="AU648" s="197"/>
      <c r="AV648" s="197"/>
      <c r="AW648" s="197"/>
      <c r="AX648" s="197"/>
      <c r="AY648" s="197"/>
      <c r="AZ648" s="197"/>
      <c r="BA648" s="197"/>
      <c r="BB648" s="197"/>
      <c r="BC648" s="197"/>
      <c r="BD648" s="197"/>
      <c r="BE648" s="197"/>
      <c r="BF648" s="197"/>
      <c r="BG648" s="197"/>
      <c r="BH648" s="197"/>
      <c r="BI648" s="197"/>
      <c r="BJ648" s="197"/>
      <c r="BK648" s="197"/>
      <c r="BL648" s="197"/>
      <c r="BM648" s="197"/>
      <c r="BN648" s="197"/>
      <c r="BO648" s="197"/>
      <c r="BP648" s="197"/>
    </row>
    <row r="649" spans="1:68" ht="20" customHeight="1" x14ac:dyDescent="0.15">
      <c r="A649" s="197"/>
      <c r="B649" s="197"/>
      <c r="C649" s="193"/>
      <c r="D649" s="197"/>
      <c r="E649" s="197"/>
      <c r="F649" s="214"/>
      <c r="G649" s="197"/>
      <c r="H649" s="197"/>
      <c r="I649" s="197"/>
      <c r="J649" s="197"/>
      <c r="K649" s="197"/>
      <c r="L649" s="197"/>
      <c r="M649" s="197"/>
      <c r="N649" s="197"/>
      <c r="O649" s="197"/>
      <c r="P649" s="197"/>
      <c r="Q649" s="197"/>
      <c r="R649" s="197"/>
      <c r="S649" s="197"/>
      <c r="T649" s="197"/>
      <c r="U649" s="197"/>
      <c r="V649" s="197"/>
      <c r="W649" s="197"/>
      <c r="X649" s="197"/>
      <c r="Y649" s="197"/>
      <c r="Z649" s="197"/>
      <c r="AA649" s="197"/>
      <c r="AB649" s="197"/>
      <c r="AC649" s="197"/>
      <c r="AD649" s="197"/>
      <c r="AE649" s="197"/>
      <c r="AF649" s="197"/>
      <c r="AG649" s="197"/>
      <c r="AH649" s="197"/>
      <c r="AI649" s="197"/>
      <c r="AJ649" s="197"/>
      <c r="AK649" s="197"/>
      <c r="AL649" s="197"/>
      <c r="AM649" s="197"/>
      <c r="AN649" s="197"/>
      <c r="AO649" s="197"/>
      <c r="AP649" s="197"/>
      <c r="AQ649" s="197"/>
      <c r="AR649" s="197"/>
      <c r="AS649" s="197"/>
      <c r="AT649" s="197"/>
      <c r="AU649" s="197"/>
      <c r="AV649" s="197"/>
      <c r="AW649" s="197"/>
      <c r="AX649" s="197"/>
      <c r="AY649" s="197"/>
      <c r="AZ649" s="197"/>
      <c r="BA649" s="197"/>
      <c r="BB649" s="197"/>
      <c r="BC649" s="197"/>
      <c r="BD649" s="197"/>
      <c r="BE649" s="197"/>
      <c r="BF649" s="197"/>
      <c r="BG649" s="197"/>
      <c r="BH649" s="197"/>
      <c r="BI649" s="197"/>
      <c r="BJ649" s="197"/>
      <c r="BK649" s="197"/>
      <c r="BL649" s="197"/>
      <c r="BM649" s="197"/>
      <c r="BN649" s="197"/>
      <c r="BO649" s="197"/>
      <c r="BP649" s="197"/>
    </row>
    <row r="650" spans="1:68" ht="20" customHeight="1" x14ac:dyDescent="0.15">
      <c r="A650" s="197"/>
      <c r="B650" s="197"/>
      <c r="C650" s="193"/>
      <c r="D650" s="197"/>
      <c r="E650" s="197"/>
      <c r="F650" s="214"/>
      <c r="G650" s="197"/>
      <c r="H650" s="197"/>
      <c r="I650" s="197"/>
      <c r="J650" s="197"/>
      <c r="K650" s="197"/>
      <c r="L650" s="197"/>
      <c r="M650" s="197"/>
      <c r="N650" s="197"/>
      <c r="O650" s="197"/>
      <c r="P650" s="197"/>
      <c r="Q650" s="197"/>
      <c r="R650" s="197"/>
      <c r="S650" s="197"/>
      <c r="T650" s="197"/>
      <c r="U650" s="197"/>
      <c r="V650" s="197"/>
      <c r="W650" s="197"/>
      <c r="X650" s="197"/>
      <c r="Y650" s="197"/>
      <c r="Z650" s="197"/>
      <c r="AA650" s="197"/>
      <c r="AB650" s="197"/>
      <c r="AC650" s="197"/>
      <c r="AD650" s="197"/>
      <c r="AE650" s="197"/>
      <c r="AF650" s="197"/>
      <c r="AG650" s="197"/>
      <c r="AH650" s="197"/>
      <c r="AI650" s="197"/>
      <c r="AJ650" s="197"/>
      <c r="AK650" s="197"/>
      <c r="AL650" s="197"/>
      <c r="AM650" s="197"/>
      <c r="AN650" s="197"/>
      <c r="AO650" s="197"/>
      <c r="AP650" s="197"/>
      <c r="AQ650" s="197"/>
      <c r="AR650" s="197"/>
      <c r="AS650" s="197"/>
      <c r="AT650" s="197"/>
      <c r="AU650" s="197"/>
      <c r="AV650" s="197"/>
      <c r="AW650" s="197"/>
      <c r="AX650" s="197"/>
      <c r="AY650" s="197"/>
      <c r="AZ650" s="197"/>
      <c r="BA650" s="197"/>
      <c r="BB650" s="197"/>
      <c r="BC650" s="197"/>
      <c r="BD650" s="197"/>
      <c r="BE650" s="197"/>
      <c r="BF650" s="197"/>
      <c r="BG650" s="197"/>
      <c r="BH650" s="197"/>
      <c r="BI650" s="197"/>
      <c r="BJ650" s="197"/>
      <c r="BK650" s="197"/>
      <c r="BL650" s="197"/>
      <c r="BM650" s="197"/>
      <c r="BN650" s="197"/>
      <c r="BO650" s="197"/>
      <c r="BP650" s="197"/>
    </row>
  </sheetData>
  <mergeCells count="28">
    <mergeCell ref="B2:K2"/>
    <mergeCell ref="L2:O2"/>
    <mergeCell ref="B4:C4"/>
    <mergeCell ref="P4:S4"/>
    <mergeCell ref="F5:I5"/>
    <mergeCell ref="F4:G4"/>
    <mergeCell ref="B7:E7"/>
    <mergeCell ref="F7:I7"/>
    <mergeCell ref="F11:I11"/>
    <mergeCell ref="O24:R24"/>
    <mergeCell ref="D48:I48"/>
    <mergeCell ref="J24:N24"/>
    <mergeCell ref="S24:W24"/>
    <mergeCell ref="S34:AF34"/>
    <mergeCell ref="I34:R34"/>
    <mergeCell ref="B163:B169"/>
    <mergeCell ref="B8:E8"/>
    <mergeCell ref="F8:I8"/>
    <mergeCell ref="B9:E9"/>
    <mergeCell ref="F9:I9"/>
    <mergeCell ref="B10:E10"/>
    <mergeCell ref="F10:I10"/>
    <mergeCell ref="B11:E11"/>
    <mergeCell ref="B52:B88"/>
    <mergeCell ref="B90:B123"/>
    <mergeCell ref="B125:B148"/>
    <mergeCell ref="B150:B154"/>
    <mergeCell ref="B156:B161"/>
  </mergeCells>
  <dataValidations count="1">
    <dataValidation type="list" allowBlank="1" showInputMessage="1" showErrorMessage="1" sqref="J27:J32 S27:S32 J37:J44 T37:T44" xr:uid="{6F8E9AAC-C82E-D948-A5A9-EF1DC543F7AD}">
      <formula1>"TRUE, FALSE"</formula1>
    </dataValidation>
  </dataValidations>
  <pageMargins left="0.25" right="0.25"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F99E7-B8F7-6141-A481-5A4584CBB279}">
  <sheetPr>
    <outlinePr summaryBelow="0" summaryRight="0"/>
  </sheetPr>
  <dimension ref="A1:AN212"/>
  <sheetViews>
    <sheetView zoomScaleNormal="100" zoomScaleSheetLayoutView="50" workbookViewId="0">
      <pane xSplit="3" ySplit="6" topLeftCell="D7" activePane="bottomRight" state="frozen"/>
      <selection pane="topRight" activeCell="D1" sqref="D1"/>
      <selection pane="bottomLeft" activeCell="A7" sqref="A7"/>
      <selection pane="bottomRight" activeCell="B16" sqref="B16"/>
    </sheetView>
  </sheetViews>
  <sheetFormatPr baseColWidth="10" defaultColWidth="12.6640625" defaultRowHeight="15.75" customHeight="1" x14ac:dyDescent="0.15"/>
  <cols>
    <col min="1" max="1" width="15.83203125" style="148" customWidth="1"/>
    <col min="2" max="2" width="20.83203125" style="148" customWidth="1"/>
    <col min="3" max="3" width="22.6640625" style="149" customWidth="1"/>
    <col min="4" max="4" width="17.33203125" style="148" customWidth="1"/>
    <col min="5" max="6" width="19.5" style="148" customWidth="1"/>
    <col min="7" max="7" width="15.83203125" style="148" customWidth="1"/>
    <col min="8" max="8" width="19" style="148" customWidth="1"/>
    <col min="9" max="9" width="20.83203125" style="148" customWidth="1"/>
    <col min="10" max="10" width="17.5" style="148" customWidth="1"/>
    <col min="11" max="11" width="17.6640625" style="148" customWidth="1"/>
    <col min="12" max="40" width="15.83203125" style="148" customWidth="1"/>
    <col min="41" max="16384" width="12.6640625" style="148"/>
  </cols>
  <sheetData>
    <row r="1" spans="1:40" ht="30" customHeight="1" x14ac:dyDescent="0.15">
      <c r="A1" s="1399" t="s">
        <v>115</v>
      </c>
      <c r="B1" s="1399"/>
      <c r="C1" s="151"/>
      <c r="D1" s="11"/>
      <c r="E1" s="152"/>
      <c r="F1" s="80"/>
      <c r="G1" s="80"/>
      <c r="H1" s="1167"/>
      <c r="I1" s="80"/>
      <c r="J1" s="80"/>
      <c r="K1" s="153"/>
      <c r="L1" s="153"/>
      <c r="M1" s="286"/>
      <c r="N1" s="10"/>
      <c r="O1" s="286"/>
      <c r="P1" s="286"/>
      <c r="Q1" s="286"/>
      <c r="R1" s="286"/>
      <c r="S1" s="286"/>
      <c r="T1" s="286"/>
      <c r="U1" s="10"/>
      <c r="V1" s="286"/>
      <c r="W1" s="286"/>
      <c r="X1" s="286"/>
      <c r="Y1" s="286"/>
      <c r="Z1" s="286"/>
      <c r="AA1" s="286"/>
      <c r="AB1" s="10"/>
      <c r="AC1" s="286"/>
      <c r="AD1" s="286"/>
      <c r="AE1" s="286"/>
      <c r="AF1" s="286"/>
      <c r="AG1" s="286"/>
      <c r="AH1" s="286"/>
      <c r="AI1" s="10"/>
      <c r="AJ1" s="286"/>
      <c r="AK1" s="286"/>
      <c r="AL1" s="286"/>
      <c r="AM1" s="286"/>
      <c r="AN1" s="286"/>
    </row>
    <row r="2" spans="1:40" ht="20" customHeight="1" x14ac:dyDescent="0.15">
      <c r="A2" s="95" t="s">
        <v>113</v>
      </c>
      <c r="B2" s="97">
        <v>4</v>
      </c>
      <c r="C2" s="154"/>
      <c r="D2" s="1400" t="s">
        <v>215</v>
      </c>
      <c r="E2" s="1400"/>
      <c r="F2" s="1400"/>
      <c r="G2" s="1400"/>
      <c r="H2" s="1400"/>
      <c r="I2" s="1400"/>
      <c r="J2" s="1168"/>
      <c r="K2" s="153"/>
      <c r="L2" s="286"/>
      <c r="M2" s="286"/>
      <c r="N2" s="10"/>
      <c r="O2" s="286"/>
      <c r="P2" s="286"/>
      <c r="Q2" s="286"/>
      <c r="R2" s="286"/>
      <c r="S2" s="286"/>
      <c r="T2" s="286"/>
      <c r="U2" s="10"/>
      <c r="V2" s="286"/>
      <c r="W2" s="286"/>
      <c r="X2" s="286"/>
      <c r="Y2" s="286"/>
      <c r="Z2" s="286"/>
      <c r="AA2" s="286"/>
      <c r="AB2" s="10"/>
      <c r="AC2" s="286"/>
      <c r="AD2" s="286"/>
      <c r="AE2" s="286"/>
      <c r="AF2" s="286"/>
      <c r="AG2" s="286"/>
      <c r="AH2" s="286"/>
      <c r="AI2" s="10"/>
      <c r="AJ2" s="286"/>
      <c r="AK2" s="286"/>
      <c r="AL2" s="286"/>
      <c r="AM2" s="286"/>
      <c r="AN2" s="286"/>
    </row>
    <row r="3" spans="1:40" ht="20" customHeight="1" x14ac:dyDescent="0.15">
      <c r="A3" s="95" t="s">
        <v>114</v>
      </c>
      <c r="B3" s="97">
        <v>2025</v>
      </c>
      <c r="C3" s="155"/>
      <c r="D3" s="1400"/>
      <c r="E3" s="1400"/>
      <c r="F3" s="1400"/>
      <c r="G3" s="1400"/>
      <c r="H3" s="1400"/>
      <c r="I3" s="1400"/>
      <c r="J3" s="80"/>
      <c r="K3" s="153"/>
      <c r="L3" s="286"/>
      <c r="M3" s="286"/>
      <c r="N3" s="190"/>
      <c r="O3" s="286"/>
      <c r="P3" s="286"/>
      <c r="Q3" s="286"/>
      <c r="R3" s="286"/>
      <c r="S3" s="286"/>
      <c r="T3" s="286"/>
      <c r="U3" s="10"/>
      <c r="V3" s="286"/>
      <c r="W3" s="286"/>
      <c r="X3" s="286"/>
      <c r="Y3" s="286"/>
      <c r="Z3" s="286"/>
      <c r="AA3" s="286"/>
      <c r="AB3" s="10"/>
      <c r="AC3" s="286"/>
      <c r="AD3" s="286"/>
      <c r="AE3" s="286"/>
      <c r="AF3" s="286"/>
      <c r="AG3" s="286"/>
      <c r="AH3" s="286"/>
      <c r="AI3" s="10"/>
      <c r="AJ3" s="286"/>
      <c r="AK3" s="286"/>
      <c r="AL3" s="286"/>
      <c r="AM3" s="286"/>
      <c r="AN3" s="286"/>
    </row>
    <row r="4" spans="1:40" ht="49" customHeight="1" x14ac:dyDescent="0.15">
      <c r="A4" s="95" t="s">
        <v>79</v>
      </c>
      <c r="B4" s="98">
        <v>1000000</v>
      </c>
      <c r="C4" s="151"/>
      <c r="D4" s="1400"/>
      <c r="E4" s="1400"/>
      <c r="F4" s="1400"/>
      <c r="G4" s="1400"/>
      <c r="H4" s="1400"/>
      <c r="I4" s="1400"/>
      <c r="J4" s="80"/>
      <c r="K4" s="156"/>
      <c r="L4" s="286"/>
      <c r="M4" s="286"/>
      <c r="N4" s="10"/>
      <c r="O4" s="286"/>
      <c r="P4" s="286"/>
      <c r="Q4" s="286"/>
      <c r="R4" s="286"/>
      <c r="S4" s="286"/>
      <c r="T4" s="286"/>
      <c r="U4" s="10"/>
      <c r="V4" s="286"/>
      <c r="W4" s="286"/>
      <c r="X4" s="286"/>
      <c r="Y4" s="286"/>
      <c r="Z4" s="286"/>
      <c r="AA4" s="286"/>
      <c r="AB4" s="10"/>
      <c r="AC4" s="286"/>
      <c r="AD4" s="286"/>
      <c r="AE4" s="286"/>
      <c r="AF4" s="286"/>
      <c r="AG4" s="286"/>
      <c r="AH4" s="286"/>
      <c r="AI4" s="10"/>
      <c r="AJ4" s="286"/>
      <c r="AK4" s="286"/>
      <c r="AL4" s="286"/>
      <c r="AM4" s="286"/>
      <c r="AN4" s="286"/>
    </row>
    <row r="5" spans="1:40" ht="20" customHeight="1" x14ac:dyDescent="0.15">
      <c r="A5" s="96"/>
      <c r="B5" s="99"/>
      <c r="C5" s="157"/>
      <c r="D5" s="158"/>
      <c r="E5" s="158"/>
      <c r="F5" s="159"/>
      <c r="G5" s="159"/>
      <c r="H5" s="93"/>
      <c r="I5" s="93"/>
      <c r="J5" s="83">
        <v>45748</v>
      </c>
      <c r="K5" s="83">
        <f>J5+1</f>
        <v>45749</v>
      </c>
      <c r="L5" s="83">
        <f>K5+1</f>
        <v>45750</v>
      </c>
      <c r="M5" s="83">
        <f>L5+1</f>
        <v>45751</v>
      </c>
      <c r="N5" s="83">
        <f t="shared" ref="N5:AN5" si="0">M5+1</f>
        <v>45752</v>
      </c>
      <c r="O5" s="83">
        <f t="shared" si="0"/>
        <v>45753</v>
      </c>
      <c r="P5" s="83">
        <f t="shared" si="0"/>
        <v>45754</v>
      </c>
      <c r="Q5" s="83">
        <f t="shared" si="0"/>
        <v>45755</v>
      </c>
      <c r="R5" s="83">
        <f t="shared" si="0"/>
        <v>45756</v>
      </c>
      <c r="S5" s="83">
        <f t="shared" si="0"/>
        <v>45757</v>
      </c>
      <c r="T5" s="83">
        <f t="shared" si="0"/>
        <v>45758</v>
      </c>
      <c r="U5" s="83">
        <f t="shared" si="0"/>
        <v>45759</v>
      </c>
      <c r="V5" s="83">
        <f t="shared" si="0"/>
        <v>45760</v>
      </c>
      <c r="W5" s="83">
        <f t="shared" si="0"/>
        <v>45761</v>
      </c>
      <c r="X5" s="83">
        <f t="shared" si="0"/>
        <v>45762</v>
      </c>
      <c r="Y5" s="83">
        <f t="shared" si="0"/>
        <v>45763</v>
      </c>
      <c r="Z5" s="83">
        <f t="shared" si="0"/>
        <v>45764</v>
      </c>
      <c r="AA5" s="83">
        <f t="shared" si="0"/>
        <v>45765</v>
      </c>
      <c r="AB5" s="83">
        <f t="shared" si="0"/>
        <v>45766</v>
      </c>
      <c r="AC5" s="83">
        <f t="shared" si="0"/>
        <v>45767</v>
      </c>
      <c r="AD5" s="83">
        <f t="shared" si="0"/>
        <v>45768</v>
      </c>
      <c r="AE5" s="83">
        <f t="shared" si="0"/>
        <v>45769</v>
      </c>
      <c r="AF5" s="83">
        <f t="shared" si="0"/>
        <v>45770</v>
      </c>
      <c r="AG5" s="83">
        <f t="shared" si="0"/>
        <v>45771</v>
      </c>
      <c r="AH5" s="83">
        <f t="shared" si="0"/>
        <v>45772</v>
      </c>
      <c r="AI5" s="83">
        <f t="shared" si="0"/>
        <v>45773</v>
      </c>
      <c r="AJ5" s="83">
        <f t="shared" si="0"/>
        <v>45774</v>
      </c>
      <c r="AK5" s="83">
        <f t="shared" si="0"/>
        <v>45775</v>
      </c>
      <c r="AL5" s="83">
        <f t="shared" si="0"/>
        <v>45776</v>
      </c>
      <c r="AM5" s="83">
        <f t="shared" si="0"/>
        <v>45777</v>
      </c>
      <c r="AN5" s="695">
        <f t="shared" si="0"/>
        <v>45778</v>
      </c>
    </row>
    <row r="6" spans="1:40" ht="20" customHeight="1" thickBot="1" x14ac:dyDescent="0.2">
      <c r="A6" s="10"/>
      <c r="B6" s="10"/>
      <c r="C6" s="157"/>
      <c r="D6" s="84" t="s">
        <v>107</v>
      </c>
      <c r="E6" s="85" t="s">
        <v>141</v>
      </c>
      <c r="F6" s="86" t="s">
        <v>108</v>
      </c>
      <c r="G6" s="87" t="s">
        <v>109</v>
      </c>
      <c r="H6" s="88" t="s">
        <v>74</v>
      </c>
      <c r="I6" s="88" t="s">
        <v>110</v>
      </c>
      <c r="J6" s="160" t="str">
        <f>IF(WEEKDAY(J5)=1,"CN","T"&amp;WEEKDAY(J5))</f>
        <v>T3</v>
      </c>
      <c r="K6" s="89" t="str">
        <f>IF(WEEKDAY(K5)=1,"CN","T"&amp;WEEKDAY(K5))</f>
        <v>T4</v>
      </c>
      <c r="L6" s="89" t="str">
        <f>IF(WEEKDAY(L5)=1,"CN","T"&amp;WEEKDAY(L5))</f>
        <v>T5</v>
      </c>
      <c r="M6" s="89" t="str">
        <f t="shared" ref="M6:AN6" si="1">IF(WEEKDAY(M5)=1,"CN","T"&amp;WEEKDAY(M5))</f>
        <v>T6</v>
      </c>
      <c r="N6" s="89" t="str">
        <f t="shared" si="1"/>
        <v>T7</v>
      </c>
      <c r="O6" s="89" t="str">
        <f t="shared" si="1"/>
        <v>CN</v>
      </c>
      <c r="P6" s="89" t="str">
        <f t="shared" si="1"/>
        <v>T2</v>
      </c>
      <c r="Q6" s="89" t="str">
        <f t="shared" si="1"/>
        <v>T3</v>
      </c>
      <c r="R6" s="89" t="str">
        <f t="shared" si="1"/>
        <v>T4</v>
      </c>
      <c r="S6" s="89" t="str">
        <f t="shared" si="1"/>
        <v>T5</v>
      </c>
      <c r="T6" s="89" t="str">
        <f t="shared" si="1"/>
        <v>T6</v>
      </c>
      <c r="U6" s="89" t="str">
        <f t="shared" si="1"/>
        <v>T7</v>
      </c>
      <c r="V6" s="89" t="str">
        <f t="shared" si="1"/>
        <v>CN</v>
      </c>
      <c r="W6" s="89" t="str">
        <f t="shared" si="1"/>
        <v>T2</v>
      </c>
      <c r="X6" s="89" t="str">
        <f t="shared" si="1"/>
        <v>T3</v>
      </c>
      <c r="Y6" s="89" t="str">
        <f t="shared" si="1"/>
        <v>T4</v>
      </c>
      <c r="Z6" s="89" t="str">
        <f t="shared" si="1"/>
        <v>T5</v>
      </c>
      <c r="AA6" s="89" t="str">
        <f t="shared" si="1"/>
        <v>T6</v>
      </c>
      <c r="AB6" s="89" t="str">
        <f t="shared" si="1"/>
        <v>T7</v>
      </c>
      <c r="AC6" s="89" t="str">
        <f t="shared" si="1"/>
        <v>CN</v>
      </c>
      <c r="AD6" s="89" t="str">
        <f t="shared" si="1"/>
        <v>T2</v>
      </c>
      <c r="AE6" s="89" t="str">
        <f t="shared" si="1"/>
        <v>T3</v>
      </c>
      <c r="AF6" s="89" t="str">
        <f t="shared" si="1"/>
        <v>T4</v>
      </c>
      <c r="AG6" s="89" t="str">
        <f t="shared" si="1"/>
        <v>T5</v>
      </c>
      <c r="AH6" s="89" t="str">
        <f t="shared" si="1"/>
        <v>T6</v>
      </c>
      <c r="AI6" s="89" t="str">
        <f t="shared" si="1"/>
        <v>T7</v>
      </c>
      <c r="AJ6" s="89" t="str">
        <f t="shared" si="1"/>
        <v>CN</v>
      </c>
      <c r="AK6" s="89" t="str">
        <f t="shared" si="1"/>
        <v>T2</v>
      </c>
      <c r="AL6" s="89" t="str">
        <f t="shared" si="1"/>
        <v>T3</v>
      </c>
      <c r="AM6" s="89" t="str">
        <f t="shared" si="1"/>
        <v>T4</v>
      </c>
      <c r="AN6" s="696" t="str">
        <f t="shared" si="1"/>
        <v>T5</v>
      </c>
    </row>
    <row r="7" spans="1:40" ht="20" customHeight="1" x14ac:dyDescent="0.15">
      <c r="A7" s="9"/>
      <c r="B7" s="184"/>
      <c r="C7" s="1050" t="s">
        <v>130</v>
      </c>
      <c r="D7" s="1051">
        <f>Dashboard!E15</f>
        <v>170000000</v>
      </c>
      <c r="E7" s="1054">
        <f>E8+'E-Com Operations'!E7</f>
        <v>45700000</v>
      </c>
      <c r="F7" s="1052">
        <f>D7-E7</f>
        <v>124300000</v>
      </c>
      <c r="G7" s="1257">
        <f>_xlfn.IFS(F7&gt;0,1,F7&lt;=0,D7/E7)</f>
        <v>1</v>
      </c>
      <c r="H7" s="1053">
        <f>D7/'Action Plan'!$C$6</f>
        <v>6538461.538461538</v>
      </c>
      <c r="I7" s="1054">
        <f ca="1">SUMIF($J$5:$AN$5,TODAY(),J7:AN7)</f>
        <v>0</v>
      </c>
      <c r="J7" s="684">
        <f>J8</f>
        <v>850000</v>
      </c>
      <c r="K7" s="684">
        <f>K8</f>
        <v>900000</v>
      </c>
      <c r="L7" s="684">
        <f>L8</f>
        <v>900000</v>
      </c>
      <c r="M7" s="684">
        <f t="shared" ref="M7:AN7" si="2">M8</f>
        <v>900000</v>
      </c>
      <c r="N7" s="684">
        <f t="shared" si="2"/>
        <v>900000</v>
      </c>
      <c r="O7" s="684">
        <f t="shared" si="2"/>
        <v>900000</v>
      </c>
      <c r="P7" s="684">
        <f t="shared" si="2"/>
        <v>900000</v>
      </c>
      <c r="Q7" s="684">
        <f t="shared" si="2"/>
        <v>900000</v>
      </c>
      <c r="R7" s="684">
        <f t="shared" si="2"/>
        <v>900000</v>
      </c>
      <c r="S7" s="684">
        <f t="shared" si="2"/>
        <v>900000</v>
      </c>
      <c r="T7" s="684">
        <f t="shared" si="2"/>
        <v>900000</v>
      </c>
      <c r="U7" s="684">
        <f t="shared" si="2"/>
        <v>900000</v>
      </c>
      <c r="V7" s="684">
        <f t="shared" si="2"/>
        <v>900000</v>
      </c>
      <c r="W7" s="684">
        <f t="shared" si="2"/>
        <v>900000</v>
      </c>
      <c r="X7" s="684">
        <f t="shared" si="2"/>
        <v>900000</v>
      </c>
      <c r="Y7" s="684">
        <f t="shared" si="2"/>
        <v>900000</v>
      </c>
      <c r="Z7" s="684">
        <f t="shared" si="2"/>
        <v>900000</v>
      </c>
      <c r="AA7" s="684">
        <f t="shared" si="2"/>
        <v>900000</v>
      </c>
      <c r="AB7" s="684">
        <f t="shared" si="2"/>
        <v>900000</v>
      </c>
      <c r="AC7" s="684">
        <f t="shared" si="2"/>
        <v>900000</v>
      </c>
      <c r="AD7" s="684">
        <f t="shared" si="2"/>
        <v>900000</v>
      </c>
      <c r="AE7" s="684">
        <f t="shared" si="2"/>
        <v>900000</v>
      </c>
      <c r="AF7" s="684">
        <f t="shared" si="2"/>
        <v>900000</v>
      </c>
      <c r="AG7" s="684">
        <f t="shared" si="2"/>
        <v>900000</v>
      </c>
      <c r="AH7" s="684">
        <f t="shared" si="2"/>
        <v>900000</v>
      </c>
      <c r="AI7" s="684">
        <f t="shared" si="2"/>
        <v>1010000</v>
      </c>
      <c r="AJ7" s="684">
        <f t="shared" si="2"/>
        <v>1010000</v>
      </c>
      <c r="AK7" s="684">
        <f t="shared" si="2"/>
        <v>1010000</v>
      </c>
      <c r="AL7" s="684">
        <f t="shared" si="2"/>
        <v>1160000</v>
      </c>
      <c r="AM7" s="684">
        <f t="shared" si="2"/>
        <v>1160000</v>
      </c>
      <c r="AN7" s="725">
        <f t="shared" si="2"/>
        <v>1100000</v>
      </c>
    </row>
    <row r="8" spans="1:40" ht="20" customHeight="1" x14ac:dyDescent="0.15">
      <c r="A8" s="10"/>
      <c r="B8" s="262"/>
      <c r="C8" s="689" t="s">
        <v>130</v>
      </c>
      <c r="D8" s="687">
        <f>D9+D15+D21+D24+D25+D27+D28+D26</f>
        <v>200000000</v>
      </c>
      <c r="E8" s="679">
        <f>E9+E15+E21+E24+E25+E27+E28+E26</f>
        <v>28900000</v>
      </c>
      <c r="F8" s="680">
        <f>F9+F15+F21+F24+F25+F27+F28+F26</f>
        <v>171100000</v>
      </c>
      <c r="G8" s="1258">
        <f>_xlfn.IFS(F8&gt;0,1,F8&lt;=0,D8/E8)</f>
        <v>1</v>
      </c>
      <c r="H8" s="681">
        <f>H9+H15+H21+H24+H25+H27+H28+H26</f>
        <v>7692307.6923076939</v>
      </c>
      <c r="I8" s="679">
        <f ca="1">I9+I15+I21+I24+I25+I27+I28+I26</f>
        <v>0</v>
      </c>
      <c r="J8" s="685">
        <f>J9+J15+J21+J24+J25+J27+J28+J26</f>
        <v>850000</v>
      </c>
      <c r="K8" s="685">
        <f>K9+K15+K21+K24+K25+K27+K28+K26</f>
        <v>900000</v>
      </c>
      <c r="L8" s="685">
        <f t="shared" ref="L8:AN8" si="3">L9+L15+L21+L24+L25+L27+L28+L26</f>
        <v>900000</v>
      </c>
      <c r="M8" s="685">
        <f t="shared" si="3"/>
        <v>900000</v>
      </c>
      <c r="N8" s="685">
        <f t="shared" si="3"/>
        <v>900000</v>
      </c>
      <c r="O8" s="685">
        <f t="shared" si="3"/>
        <v>900000</v>
      </c>
      <c r="P8" s="685">
        <f t="shared" si="3"/>
        <v>900000</v>
      </c>
      <c r="Q8" s="685">
        <f t="shared" si="3"/>
        <v>900000</v>
      </c>
      <c r="R8" s="685">
        <f t="shared" si="3"/>
        <v>900000</v>
      </c>
      <c r="S8" s="685">
        <f t="shared" si="3"/>
        <v>900000</v>
      </c>
      <c r="T8" s="685">
        <f t="shared" si="3"/>
        <v>900000</v>
      </c>
      <c r="U8" s="685">
        <f t="shared" si="3"/>
        <v>900000</v>
      </c>
      <c r="V8" s="685">
        <f t="shared" si="3"/>
        <v>900000</v>
      </c>
      <c r="W8" s="685">
        <f t="shared" si="3"/>
        <v>900000</v>
      </c>
      <c r="X8" s="685">
        <f t="shared" si="3"/>
        <v>900000</v>
      </c>
      <c r="Y8" s="685">
        <f t="shared" si="3"/>
        <v>900000</v>
      </c>
      <c r="Z8" s="685">
        <f t="shared" si="3"/>
        <v>900000</v>
      </c>
      <c r="AA8" s="685">
        <f t="shared" si="3"/>
        <v>900000</v>
      </c>
      <c r="AB8" s="685">
        <f t="shared" si="3"/>
        <v>900000</v>
      </c>
      <c r="AC8" s="685">
        <f t="shared" si="3"/>
        <v>900000</v>
      </c>
      <c r="AD8" s="685">
        <f t="shared" si="3"/>
        <v>900000</v>
      </c>
      <c r="AE8" s="685">
        <f t="shared" si="3"/>
        <v>900000</v>
      </c>
      <c r="AF8" s="685">
        <f t="shared" si="3"/>
        <v>900000</v>
      </c>
      <c r="AG8" s="685">
        <f t="shared" si="3"/>
        <v>900000</v>
      </c>
      <c r="AH8" s="685">
        <f t="shared" si="3"/>
        <v>900000</v>
      </c>
      <c r="AI8" s="685">
        <f t="shared" si="3"/>
        <v>1010000</v>
      </c>
      <c r="AJ8" s="685">
        <f t="shared" si="3"/>
        <v>1010000</v>
      </c>
      <c r="AK8" s="685">
        <f t="shared" si="3"/>
        <v>1010000</v>
      </c>
      <c r="AL8" s="685">
        <f t="shared" si="3"/>
        <v>1160000</v>
      </c>
      <c r="AM8" s="685">
        <f t="shared" si="3"/>
        <v>1160000</v>
      </c>
      <c r="AN8" s="774">
        <f t="shared" si="3"/>
        <v>1100000</v>
      </c>
    </row>
    <row r="9" spans="1:40" ht="20" customHeight="1" x14ac:dyDescent="0.15">
      <c r="A9" s="9"/>
      <c r="B9" s="184"/>
      <c r="C9" s="736" t="str">
        <f>Dashboard!B16</f>
        <v>FACEBOOK</v>
      </c>
      <c r="D9" s="737">
        <f>Dashboard!E16*Dashboard!$P$8</f>
        <v>10000000</v>
      </c>
      <c r="E9" s="738">
        <f>SUM(E10:E14)</f>
        <v>300000</v>
      </c>
      <c r="F9" s="739">
        <f>D9-E9</f>
        <v>9700000</v>
      </c>
      <c r="G9" s="1259">
        <f>_xlfn.IFS(F9&gt;0,1,F9&lt;=0,D9/E9)</f>
        <v>1</v>
      </c>
      <c r="H9" s="740">
        <f>D9/'Action Plan'!$C$6</f>
        <v>384615.38461538462</v>
      </c>
      <c r="I9" s="738">
        <f ca="1">SUM(I10:I14)</f>
        <v>0</v>
      </c>
      <c r="J9" s="1065">
        <f>SUM(J10:J14)</f>
        <v>0</v>
      </c>
      <c r="K9" s="1065">
        <f t="shared" ref="K9:AN9" si="4">SUM(K10:K14)</f>
        <v>0</v>
      </c>
      <c r="L9" s="1065">
        <f t="shared" si="4"/>
        <v>0</v>
      </c>
      <c r="M9" s="1065">
        <f t="shared" si="4"/>
        <v>0</v>
      </c>
      <c r="N9" s="1065">
        <f t="shared" si="4"/>
        <v>0</v>
      </c>
      <c r="O9" s="1065">
        <f t="shared" si="4"/>
        <v>0</v>
      </c>
      <c r="P9" s="1065">
        <f t="shared" si="4"/>
        <v>0</v>
      </c>
      <c r="Q9" s="1065">
        <f t="shared" si="4"/>
        <v>0</v>
      </c>
      <c r="R9" s="1065">
        <f t="shared" si="4"/>
        <v>0</v>
      </c>
      <c r="S9" s="1065">
        <f t="shared" si="4"/>
        <v>0</v>
      </c>
      <c r="T9" s="1065">
        <f t="shared" si="4"/>
        <v>0</v>
      </c>
      <c r="U9" s="1065">
        <f t="shared" si="4"/>
        <v>0</v>
      </c>
      <c r="V9" s="1065">
        <f t="shared" si="4"/>
        <v>0</v>
      </c>
      <c r="W9" s="1065">
        <f t="shared" si="4"/>
        <v>0</v>
      </c>
      <c r="X9" s="1065">
        <f t="shared" si="4"/>
        <v>0</v>
      </c>
      <c r="Y9" s="1065">
        <f t="shared" si="4"/>
        <v>0</v>
      </c>
      <c r="Z9" s="1065">
        <f t="shared" si="4"/>
        <v>0</v>
      </c>
      <c r="AA9" s="1065">
        <f t="shared" si="4"/>
        <v>0</v>
      </c>
      <c r="AB9" s="1065">
        <f t="shared" si="4"/>
        <v>0</v>
      </c>
      <c r="AC9" s="1065">
        <f t="shared" si="4"/>
        <v>0</v>
      </c>
      <c r="AD9" s="1065">
        <f t="shared" si="4"/>
        <v>0</v>
      </c>
      <c r="AE9" s="1065">
        <f t="shared" si="4"/>
        <v>0</v>
      </c>
      <c r="AF9" s="1065">
        <f t="shared" si="4"/>
        <v>0</v>
      </c>
      <c r="AG9" s="1065">
        <f t="shared" si="4"/>
        <v>0</v>
      </c>
      <c r="AH9" s="1065">
        <f t="shared" si="4"/>
        <v>0</v>
      </c>
      <c r="AI9" s="1065">
        <f t="shared" si="4"/>
        <v>0</v>
      </c>
      <c r="AJ9" s="1065">
        <f t="shared" si="4"/>
        <v>0</v>
      </c>
      <c r="AK9" s="1065">
        <f t="shared" si="4"/>
        <v>0</v>
      </c>
      <c r="AL9" s="1065">
        <f t="shared" si="4"/>
        <v>150000</v>
      </c>
      <c r="AM9" s="1065">
        <f t="shared" si="4"/>
        <v>150000</v>
      </c>
      <c r="AN9" s="1066">
        <f t="shared" si="4"/>
        <v>0</v>
      </c>
    </row>
    <row r="10" spans="1:40" ht="20" customHeight="1" x14ac:dyDescent="0.15">
      <c r="A10" s="171"/>
      <c r="B10" s="183"/>
      <c r="C10" s="690" t="s">
        <v>134</v>
      </c>
      <c r="D10" s="605">
        <f>$D$9/5</f>
        <v>2000000</v>
      </c>
      <c r="E10" s="1084">
        <f>SUM(J10:AN10)</f>
        <v>60000</v>
      </c>
      <c r="F10" s="610">
        <f>D10-E10</f>
        <v>1940000</v>
      </c>
      <c r="G10" s="1240"/>
      <c r="H10" s="682"/>
      <c r="I10" s="683">
        <f ca="1">SUMIF($J$5:$AN$5,TODAY(),J10:AN10)</f>
        <v>0</v>
      </c>
      <c r="J10" s="1041"/>
      <c r="K10" s="1041"/>
      <c r="L10" s="1041"/>
      <c r="M10" s="1041"/>
      <c r="N10" s="1041"/>
      <c r="O10" s="1041"/>
      <c r="P10" s="1041"/>
      <c r="Q10" s="1041"/>
      <c r="R10" s="1041"/>
      <c r="S10" s="1041"/>
      <c r="T10" s="1041"/>
      <c r="U10" s="1041"/>
      <c r="V10" s="1041"/>
      <c r="W10" s="1041"/>
      <c r="X10" s="1041"/>
      <c r="Y10" s="1041"/>
      <c r="Z10" s="1041"/>
      <c r="AA10" s="1041"/>
      <c r="AB10" s="1041"/>
      <c r="AC10" s="1041"/>
      <c r="AD10" s="1041"/>
      <c r="AE10" s="1041"/>
      <c r="AF10" s="1041"/>
      <c r="AG10" s="1041"/>
      <c r="AH10" s="1041"/>
      <c r="AI10" s="1041"/>
      <c r="AJ10" s="1041"/>
      <c r="AK10" s="1041"/>
      <c r="AL10" s="1041">
        <v>30000</v>
      </c>
      <c r="AM10" s="1041">
        <v>30000</v>
      </c>
      <c r="AN10" s="1067">
        <v>0</v>
      </c>
    </row>
    <row r="11" spans="1:40" ht="20" customHeight="1" x14ac:dyDescent="0.15">
      <c r="A11" s="171"/>
      <c r="B11" s="183"/>
      <c r="C11" s="690" t="s">
        <v>135</v>
      </c>
      <c r="D11" s="605">
        <f>$D$9/5</f>
        <v>2000000</v>
      </c>
      <c r="E11" s="1084">
        <f t="shared" ref="E11:E14" si="5">SUM(J11:AN11)</f>
        <v>60000</v>
      </c>
      <c r="F11" s="610">
        <f t="shared" ref="F11:F14" si="6">D11-E11</f>
        <v>1940000</v>
      </c>
      <c r="G11" s="1240"/>
      <c r="H11" s="682"/>
      <c r="I11" s="683">
        <f t="shared" ref="I11:I13" ca="1" si="7">SUMIF($J$5:$AN$5,TODAY(),J11:AN11)</f>
        <v>0</v>
      </c>
      <c r="J11" s="1041"/>
      <c r="K11" s="1041"/>
      <c r="L11" s="1041"/>
      <c r="M11" s="1041"/>
      <c r="N11" s="1041"/>
      <c r="O11" s="1041"/>
      <c r="P11" s="1041"/>
      <c r="Q11" s="1041"/>
      <c r="R11" s="1041"/>
      <c r="S11" s="1041"/>
      <c r="T11" s="1041"/>
      <c r="U11" s="1041"/>
      <c r="V11" s="1041"/>
      <c r="W11" s="1041"/>
      <c r="X11" s="1041"/>
      <c r="Y11" s="1041"/>
      <c r="Z11" s="1041"/>
      <c r="AA11" s="1041"/>
      <c r="AB11" s="1041"/>
      <c r="AC11" s="1041"/>
      <c r="AD11" s="1041"/>
      <c r="AE11" s="1041"/>
      <c r="AF11" s="1041"/>
      <c r="AG11" s="1041"/>
      <c r="AH11" s="1041"/>
      <c r="AI11" s="1041"/>
      <c r="AJ11" s="1041"/>
      <c r="AK11" s="1041"/>
      <c r="AL11" s="1041">
        <v>30000</v>
      </c>
      <c r="AM11" s="1041">
        <v>30000</v>
      </c>
      <c r="AN11" s="1067">
        <v>0</v>
      </c>
    </row>
    <row r="12" spans="1:40" ht="20" customHeight="1" x14ac:dyDescent="0.15">
      <c r="A12" s="171"/>
      <c r="B12" s="183"/>
      <c r="C12" s="691" t="s">
        <v>136</v>
      </c>
      <c r="D12" s="605">
        <f t="shared" ref="D12:D14" si="8">$D$9/5</f>
        <v>2000000</v>
      </c>
      <c r="E12" s="1084">
        <f t="shared" si="5"/>
        <v>60000</v>
      </c>
      <c r="F12" s="610">
        <f t="shared" si="6"/>
        <v>1940000</v>
      </c>
      <c r="G12" s="1240"/>
      <c r="H12" s="682"/>
      <c r="I12" s="683">
        <f t="shared" ca="1" si="7"/>
        <v>0</v>
      </c>
      <c r="J12" s="1041"/>
      <c r="K12" s="1041"/>
      <c r="L12" s="1041"/>
      <c r="M12" s="1041"/>
      <c r="N12" s="1041"/>
      <c r="O12" s="1041"/>
      <c r="P12" s="1041"/>
      <c r="Q12" s="1041"/>
      <c r="R12" s="1041"/>
      <c r="S12" s="1041"/>
      <c r="T12" s="1041"/>
      <c r="U12" s="1041"/>
      <c r="V12" s="1041"/>
      <c r="W12" s="1041"/>
      <c r="X12" s="1041"/>
      <c r="Y12" s="1041"/>
      <c r="Z12" s="1041"/>
      <c r="AA12" s="1041"/>
      <c r="AB12" s="1041"/>
      <c r="AC12" s="1041"/>
      <c r="AD12" s="1041"/>
      <c r="AE12" s="1041"/>
      <c r="AF12" s="1041"/>
      <c r="AG12" s="1041"/>
      <c r="AH12" s="1041"/>
      <c r="AI12" s="1041"/>
      <c r="AJ12" s="1041"/>
      <c r="AK12" s="1041"/>
      <c r="AL12" s="1041">
        <v>30000</v>
      </c>
      <c r="AM12" s="1041">
        <v>30000</v>
      </c>
      <c r="AN12" s="1067">
        <v>0</v>
      </c>
    </row>
    <row r="13" spans="1:40" ht="20" customHeight="1" x14ac:dyDescent="0.15">
      <c r="A13" s="171"/>
      <c r="B13" s="183"/>
      <c r="C13" s="691" t="s">
        <v>137</v>
      </c>
      <c r="D13" s="605">
        <f t="shared" si="8"/>
        <v>2000000</v>
      </c>
      <c r="E13" s="1084">
        <f t="shared" si="5"/>
        <v>60000</v>
      </c>
      <c r="F13" s="610">
        <f t="shared" si="6"/>
        <v>1940000</v>
      </c>
      <c r="G13" s="1240"/>
      <c r="H13" s="682"/>
      <c r="I13" s="683">
        <f t="shared" ca="1" si="7"/>
        <v>0</v>
      </c>
      <c r="J13" s="1041"/>
      <c r="K13" s="1041"/>
      <c r="L13" s="1041"/>
      <c r="M13" s="1041"/>
      <c r="N13" s="1041"/>
      <c r="O13" s="1041"/>
      <c r="P13" s="1041"/>
      <c r="Q13" s="1041"/>
      <c r="R13" s="1041"/>
      <c r="S13" s="1041"/>
      <c r="T13" s="1041"/>
      <c r="U13" s="1041"/>
      <c r="V13" s="1041"/>
      <c r="W13" s="1041"/>
      <c r="X13" s="1041"/>
      <c r="Y13" s="1041"/>
      <c r="Z13" s="1041"/>
      <c r="AA13" s="1041"/>
      <c r="AB13" s="1041"/>
      <c r="AC13" s="1041"/>
      <c r="AD13" s="1041"/>
      <c r="AE13" s="1041"/>
      <c r="AF13" s="1041"/>
      <c r="AG13" s="1041"/>
      <c r="AH13" s="1041"/>
      <c r="AI13" s="1041"/>
      <c r="AJ13" s="1041"/>
      <c r="AK13" s="1041"/>
      <c r="AL13" s="1041">
        <v>30000</v>
      </c>
      <c r="AM13" s="1041">
        <v>30000</v>
      </c>
      <c r="AN13" s="1067">
        <v>0</v>
      </c>
    </row>
    <row r="14" spans="1:40" ht="20" customHeight="1" x14ac:dyDescent="0.15">
      <c r="A14" s="171"/>
      <c r="B14" s="183"/>
      <c r="C14" s="691" t="s">
        <v>138</v>
      </c>
      <c r="D14" s="605">
        <f t="shared" si="8"/>
        <v>2000000</v>
      </c>
      <c r="E14" s="1084">
        <f t="shared" si="5"/>
        <v>60000</v>
      </c>
      <c r="F14" s="610">
        <f t="shared" si="6"/>
        <v>1940000</v>
      </c>
      <c r="G14" s="1240"/>
      <c r="H14" s="682"/>
      <c r="I14" s="683">
        <f ca="1">SUMIF($J$5:$AN$5,TODAY(),J14:AN14)</f>
        <v>0</v>
      </c>
      <c r="J14" s="1041"/>
      <c r="K14" s="1041"/>
      <c r="L14" s="1041"/>
      <c r="M14" s="1041"/>
      <c r="N14" s="1041"/>
      <c r="O14" s="1041"/>
      <c r="P14" s="1041"/>
      <c r="Q14" s="1041"/>
      <c r="R14" s="1041"/>
      <c r="S14" s="1041"/>
      <c r="T14" s="1041"/>
      <c r="U14" s="1041"/>
      <c r="V14" s="1041"/>
      <c r="W14" s="1041"/>
      <c r="X14" s="1041"/>
      <c r="Y14" s="1041"/>
      <c r="Z14" s="1041"/>
      <c r="AA14" s="1041"/>
      <c r="AB14" s="1041"/>
      <c r="AC14" s="1041"/>
      <c r="AD14" s="1041"/>
      <c r="AE14" s="1041"/>
      <c r="AF14" s="1041"/>
      <c r="AG14" s="1041"/>
      <c r="AH14" s="1041"/>
      <c r="AI14" s="1041"/>
      <c r="AJ14" s="1041"/>
      <c r="AK14" s="1041"/>
      <c r="AL14" s="1041">
        <v>30000</v>
      </c>
      <c r="AM14" s="1041">
        <v>30000</v>
      </c>
      <c r="AN14" s="1067">
        <v>0</v>
      </c>
    </row>
    <row r="15" spans="1:40" ht="20" customHeight="1" x14ac:dyDescent="0.15">
      <c r="A15" s="9"/>
      <c r="B15" s="184"/>
      <c r="C15" s="736" t="str">
        <f>Dashboard!B17</f>
        <v>LANDING PAGE</v>
      </c>
      <c r="D15" s="737">
        <f>Dashboard!E17*Dashboard!$P$8</f>
        <v>60000000</v>
      </c>
      <c r="E15" s="738">
        <f>SUM(E16:E20)</f>
        <v>15000000</v>
      </c>
      <c r="F15" s="739">
        <f>D15-E15</f>
        <v>45000000</v>
      </c>
      <c r="G15" s="1259">
        <f>_xlfn.IFS(F15&gt;0,1,F15&lt;=0,D15/E15)</f>
        <v>1</v>
      </c>
      <c r="H15" s="740">
        <f>D15/'Action Plan'!$C$6</f>
        <v>2307692.3076923075</v>
      </c>
      <c r="I15" s="738">
        <f ca="1">SUM(I16:I20)</f>
        <v>0</v>
      </c>
      <c r="J15" s="1065">
        <f>SUM(J16:J20)</f>
        <v>500000</v>
      </c>
      <c r="K15" s="1065">
        <f t="shared" ref="K15:AM15" si="9">SUM(K16:K20)</f>
        <v>500000</v>
      </c>
      <c r="L15" s="1065">
        <f t="shared" si="9"/>
        <v>500000</v>
      </c>
      <c r="M15" s="1065">
        <f t="shared" si="9"/>
        <v>500000</v>
      </c>
      <c r="N15" s="1065">
        <f t="shared" si="9"/>
        <v>500000</v>
      </c>
      <c r="O15" s="1065">
        <f t="shared" si="9"/>
        <v>500000</v>
      </c>
      <c r="P15" s="1065">
        <f t="shared" si="9"/>
        <v>500000</v>
      </c>
      <c r="Q15" s="1065">
        <f t="shared" si="9"/>
        <v>500000</v>
      </c>
      <c r="R15" s="1065">
        <f t="shared" si="9"/>
        <v>500000</v>
      </c>
      <c r="S15" s="1065">
        <f t="shared" si="9"/>
        <v>500000</v>
      </c>
      <c r="T15" s="1065">
        <f t="shared" si="9"/>
        <v>500000</v>
      </c>
      <c r="U15" s="1065">
        <f t="shared" si="9"/>
        <v>500000</v>
      </c>
      <c r="V15" s="1065">
        <f t="shared" si="9"/>
        <v>500000</v>
      </c>
      <c r="W15" s="1065">
        <f t="shared" si="9"/>
        <v>500000</v>
      </c>
      <c r="X15" s="1065">
        <f t="shared" si="9"/>
        <v>500000</v>
      </c>
      <c r="Y15" s="1065">
        <f t="shared" si="9"/>
        <v>500000</v>
      </c>
      <c r="Z15" s="1065">
        <f t="shared" si="9"/>
        <v>500000</v>
      </c>
      <c r="AA15" s="1065">
        <f t="shared" si="9"/>
        <v>500000</v>
      </c>
      <c r="AB15" s="1065">
        <f t="shared" si="9"/>
        <v>500000</v>
      </c>
      <c r="AC15" s="1065">
        <f t="shared" si="9"/>
        <v>500000</v>
      </c>
      <c r="AD15" s="1065">
        <f t="shared" si="9"/>
        <v>500000</v>
      </c>
      <c r="AE15" s="1065">
        <f t="shared" si="9"/>
        <v>500000</v>
      </c>
      <c r="AF15" s="1065">
        <f t="shared" si="9"/>
        <v>500000</v>
      </c>
      <c r="AG15" s="1065">
        <f t="shared" si="9"/>
        <v>500000</v>
      </c>
      <c r="AH15" s="1065">
        <f t="shared" si="9"/>
        <v>500000</v>
      </c>
      <c r="AI15" s="1065">
        <f t="shared" si="9"/>
        <v>500000</v>
      </c>
      <c r="AJ15" s="1065">
        <f t="shared" si="9"/>
        <v>500000</v>
      </c>
      <c r="AK15" s="1065">
        <f t="shared" si="9"/>
        <v>500000</v>
      </c>
      <c r="AL15" s="1065">
        <f t="shared" si="9"/>
        <v>500000</v>
      </c>
      <c r="AM15" s="1065">
        <f t="shared" si="9"/>
        <v>500000</v>
      </c>
      <c r="AN15" s="1066">
        <f t="shared" ref="AN15" si="10">SUM(AN16:AN20)</f>
        <v>0</v>
      </c>
    </row>
    <row r="16" spans="1:40" ht="20" customHeight="1" x14ac:dyDescent="0.15">
      <c r="A16" s="171"/>
      <c r="B16" s="183"/>
      <c r="C16" s="690" t="s">
        <v>134</v>
      </c>
      <c r="D16" s="605">
        <f>$D$15/5</f>
        <v>12000000</v>
      </c>
      <c r="E16" s="1084">
        <f>SUM(J16:AN16)</f>
        <v>3000000</v>
      </c>
      <c r="F16" s="610">
        <f>D16-E16</f>
        <v>9000000</v>
      </c>
      <c r="G16" s="1240"/>
      <c r="H16" s="682"/>
      <c r="I16" s="683">
        <f ca="1">SUMIF($J$5:$AN$5,TODAY(),J16:AN16)</f>
        <v>0</v>
      </c>
      <c r="J16" s="1041">
        <v>100000</v>
      </c>
      <c r="K16" s="1041">
        <v>100000</v>
      </c>
      <c r="L16" s="1041">
        <v>100000</v>
      </c>
      <c r="M16" s="1041">
        <v>100000</v>
      </c>
      <c r="N16" s="1041">
        <v>100000</v>
      </c>
      <c r="O16" s="1041">
        <v>100000</v>
      </c>
      <c r="P16" s="1041">
        <v>100000</v>
      </c>
      <c r="Q16" s="1041">
        <v>100000</v>
      </c>
      <c r="R16" s="1041">
        <v>100000</v>
      </c>
      <c r="S16" s="1041">
        <v>100000</v>
      </c>
      <c r="T16" s="1041">
        <v>100000</v>
      </c>
      <c r="U16" s="1041">
        <v>100000</v>
      </c>
      <c r="V16" s="1041">
        <v>100000</v>
      </c>
      <c r="W16" s="1041">
        <v>100000</v>
      </c>
      <c r="X16" s="1041">
        <v>100000</v>
      </c>
      <c r="Y16" s="1041">
        <v>100000</v>
      </c>
      <c r="Z16" s="1041">
        <v>100000</v>
      </c>
      <c r="AA16" s="1041">
        <v>100000</v>
      </c>
      <c r="AB16" s="1041">
        <v>100000</v>
      </c>
      <c r="AC16" s="1041">
        <v>100000</v>
      </c>
      <c r="AD16" s="1041">
        <v>100000</v>
      </c>
      <c r="AE16" s="1041">
        <v>100000</v>
      </c>
      <c r="AF16" s="1041">
        <v>100000</v>
      </c>
      <c r="AG16" s="1041">
        <v>100000</v>
      </c>
      <c r="AH16" s="1041">
        <v>100000</v>
      </c>
      <c r="AI16" s="1041">
        <v>100000</v>
      </c>
      <c r="AJ16" s="1041">
        <v>100000</v>
      </c>
      <c r="AK16" s="1041">
        <v>100000</v>
      </c>
      <c r="AL16" s="1041">
        <v>100000</v>
      </c>
      <c r="AM16" s="1041">
        <v>100000</v>
      </c>
      <c r="AN16" s="1067">
        <v>0</v>
      </c>
    </row>
    <row r="17" spans="1:40" ht="20" customHeight="1" x14ac:dyDescent="0.15">
      <c r="A17" s="171"/>
      <c r="B17" s="183"/>
      <c r="C17" s="690" t="s">
        <v>135</v>
      </c>
      <c r="D17" s="605">
        <f t="shared" ref="D17:D20" si="11">$D$15/5</f>
        <v>12000000</v>
      </c>
      <c r="E17" s="1084">
        <f t="shared" ref="E17:E20" si="12">SUM(J17:AN17)</f>
        <v>3000000</v>
      </c>
      <c r="F17" s="610">
        <f t="shared" ref="F17:F20" si="13">D17-E17</f>
        <v>9000000</v>
      </c>
      <c r="G17" s="1240"/>
      <c r="H17" s="682"/>
      <c r="I17" s="683">
        <f t="shared" ref="I17:I20" ca="1" si="14">SUMIF($J$5:$AN$5,TODAY(),J17:AN17)</f>
        <v>0</v>
      </c>
      <c r="J17" s="1041">
        <v>100000</v>
      </c>
      <c r="K17" s="1041">
        <v>100000</v>
      </c>
      <c r="L17" s="1041">
        <v>100000</v>
      </c>
      <c r="M17" s="1041">
        <v>100000</v>
      </c>
      <c r="N17" s="1041">
        <v>100000</v>
      </c>
      <c r="O17" s="1041">
        <v>100000</v>
      </c>
      <c r="P17" s="1041">
        <v>100000</v>
      </c>
      <c r="Q17" s="1041">
        <v>100000</v>
      </c>
      <c r="R17" s="1041">
        <v>100000</v>
      </c>
      <c r="S17" s="1041">
        <v>100000</v>
      </c>
      <c r="T17" s="1041">
        <v>100000</v>
      </c>
      <c r="U17" s="1041">
        <v>100000</v>
      </c>
      <c r="V17" s="1041">
        <v>100000</v>
      </c>
      <c r="W17" s="1041">
        <v>100000</v>
      </c>
      <c r="X17" s="1041">
        <v>100000</v>
      </c>
      <c r="Y17" s="1041">
        <v>100000</v>
      </c>
      <c r="Z17" s="1041">
        <v>100000</v>
      </c>
      <c r="AA17" s="1041">
        <v>100000</v>
      </c>
      <c r="AB17" s="1041">
        <v>100000</v>
      </c>
      <c r="AC17" s="1041">
        <v>100000</v>
      </c>
      <c r="AD17" s="1041">
        <v>100000</v>
      </c>
      <c r="AE17" s="1041">
        <v>100000</v>
      </c>
      <c r="AF17" s="1041">
        <v>100000</v>
      </c>
      <c r="AG17" s="1041">
        <v>100000</v>
      </c>
      <c r="AH17" s="1041">
        <v>100000</v>
      </c>
      <c r="AI17" s="1041">
        <v>100000</v>
      </c>
      <c r="AJ17" s="1041">
        <v>100000</v>
      </c>
      <c r="AK17" s="1041">
        <v>100000</v>
      </c>
      <c r="AL17" s="1041">
        <v>100000</v>
      </c>
      <c r="AM17" s="1041">
        <v>100000</v>
      </c>
      <c r="AN17" s="1067">
        <v>0</v>
      </c>
    </row>
    <row r="18" spans="1:40" ht="20" customHeight="1" x14ac:dyDescent="0.15">
      <c r="A18" s="171"/>
      <c r="B18" s="183"/>
      <c r="C18" s="691" t="s">
        <v>136</v>
      </c>
      <c r="D18" s="605">
        <f t="shared" si="11"/>
        <v>12000000</v>
      </c>
      <c r="E18" s="1084">
        <f t="shared" si="12"/>
        <v>3000000</v>
      </c>
      <c r="F18" s="610">
        <f t="shared" si="13"/>
        <v>9000000</v>
      </c>
      <c r="G18" s="1240"/>
      <c r="H18" s="682"/>
      <c r="I18" s="683">
        <f t="shared" ca="1" si="14"/>
        <v>0</v>
      </c>
      <c r="J18" s="1041">
        <v>100000</v>
      </c>
      <c r="K18" s="1041">
        <v>100000</v>
      </c>
      <c r="L18" s="1041">
        <v>100000</v>
      </c>
      <c r="M18" s="1041">
        <v>100000</v>
      </c>
      <c r="N18" s="1041">
        <v>100000</v>
      </c>
      <c r="O18" s="1041">
        <v>100000</v>
      </c>
      <c r="P18" s="1041">
        <v>100000</v>
      </c>
      <c r="Q18" s="1041">
        <v>100000</v>
      </c>
      <c r="R18" s="1041">
        <v>100000</v>
      </c>
      <c r="S18" s="1041">
        <v>100000</v>
      </c>
      <c r="T18" s="1041">
        <v>100000</v>
      </c>
      <c r="U18" s="1041">
        <v>100000</v>
      </c>
      <c r="V18" s="1041">
        <v>100000</v>
      </c>
      <c r="W18" s="1041">
        <v>100000</v>
      </c>
      <c r="X18" s="1041">
        <v>100000</v>
      </c>
      <c r="Y18" s="1041">
        <v>100000</v>
      </c>
      <c r="Z18" s="1041">
        <v>100000</v>
      </c>
      <c r="AA18" s="1041">
        <v>100000</v>
      </c>
      <c r="AB18" s="1041">
        <v>100000</v>
      </c>
      <c r="AC18" s="1041">
        <v>100000</v>
      </c>
      <c r="AD18" s="1041">
        <v>100000</v>
      </c>
      <c r="AE18" s="1041">
        <v>100000</v>
      </c>
      <c r="AF18" s="1041">
        <v>100000</v>
      </c>
      <c r="AG18" s="1041">
        <v>100000</v>
      </c>
      <c r="AH18" s="1041">
        <v>100000</v>
      </c>
      <c r="AI18" s="1041">
        <v>100000</v>
      </c>
      <c r="AJ18" s="1041">
        <v>100000</v>
      </c>
      <c r="AK18" s="1041">
        <v>100000</v>
      </c>
      <c r="AL18" s="1041">
        <v>100000</v>
      </c>
      <c r="AM18" s="1041">
        <v>100000</v>
      </c>
      <c r="AN18" s="1067">
        <v>0</v>
      </c>
    </row>
    <row r="19" spans="1:40" ht="20" customHeight="1" x14ac:dyDescent="0.15">
      <c r="A19" s="171"/>
      <c r="B19" s="183"/>
      <c r="C19" s="691" t="s">
        <v>137</v>
      </c>
      <c r="D19" s="605">
        <f t="shared" si="11"/>
        <v>12000000</v>
      </c>
      <c r="E19" s="1084">
        <f t="shared" si="12"/>
        <v>3000000</v>
      </c>
      <c r="F19" s="610">
        <f t="shared" si="13"/>
        <v>9000000</v>
      </c>
      <c r="G19" s="1240"/>
      <c r="H19" s="1303"/>
      <c r="I19" s="683">
        <f t="shared" ca="1" si="14"/>
        <v>0</v>
      </c>
      <c r="J19" s="1041">
        <v>100000</v>
      </c>
      <c r="K19" s="1041">
        <v>100000</v>
      </c>
      <c r="L19" s="1041">
        <v>100000</v>
      </c>
      <c r="M19" s="1041">
        <v>100000</v>
      </c>
      <c r="N19" s="1041">
        <v>100000</v>
      </c>
      <c r="O19" s="1041">
        <v>100000</v>
      </c>
      <c r="P19" s="1041">
        <v>100000</v>
      </c>
      <c r="Q19" s="1041">
        <v>100000</v>
      </c>
      <c r="R19" s="1041">
        <v>100000</v>
      </c>
      <c r="S19" s="1041">
        <v>100000</v>
      </c>
      <c r="T19" s="1041">
        <v>100000</v>
      </c>
      <c r="U19" s="1041">
        <v>100000</v>
      </c>
      <c r="V19" s="1041">
        <v>100000</v>
      </c>
      <c r="W19" s="1041">
        <v>100000</v>
      </c>
      <c r="X19" s="1041">
        <v>100000</v>
      </c>
      <c r="Y19" s="1041">
        <v>100000</v>
      </c>
      <c r="Z19" s="1041">
        <v>100000</v>
      </c>
      <c r="AA19" s="1041">
        <v>100000</v>
      </c>
      <c r="AB19" s="1041">
        <v>100000</v>
      </c>
      <c r="AC19" s="1041">
        <v>100000</v>
      </c>
      <c r="AD19" s="1041">
        <v>100000</v>
      </c>
      <c r="AE19" s="1041">
        <v>100000</v>
      </c>
      <c r="AF19" s="1041">
        <v>100000</v>
      </c>
      <c r="AG19" s="1041">
        <v>100000</v>
      </c>
      <c r="AH19" s="1041">
        <v>100000</v>
      </c>
      <c r="AI19" s="1041">
        <v>100000</v>
      </c>
      <c r="AJ19" s="1041">
        <v>100000</v>
      </c>
      <c r="AK19" s="1041">
        <v>100000</v>
      </c>
      <c r="AL19" s="1041">
        <v>100000</v>
      </c>
      <c r="AM19" s="1041">
        <v>100000</v>
      </c>
      <c r="AN19" s="1067">
        <v>0</v>
      </c>
    </row>
    <row r="20" spans="1:40" ht="20" customHeight="1" x14ac:dyDescent="0.15">
      <c r="A20" s="171"/>
      <c r="B20" s="183"/>
      <c r="C20" s="691" t="s">
        <v>138</v>
      </c>
      <c r="D20" s="605">
        <f t="shared" si="11"/>
        <v>12000000</v>
      </c>
      <c r="E20" s="1084">
        <f t="shared" si="12"/>
        <v>3000000</v>
      </c>
      <c r="F20" s="610">
        <f t="shared" si="13"/>
        <v>9000000</v>
      </c>
      <c r="G20" s="1240"/>
      <c r="H20" s="682"/>
      <c r="I20" s="683">
        <f t="shared" ca="1" si="14"/>
        <v>0</v>
      </c>
      <c r="J20" s="1041">
        <v>100000</v>
      </c>
      <c r="K20" s="1041">
        <v>100000</v>
      </c>
      <c r="L20" s="1041">
        <v>100000</v>
      </c>
      <c r="M20" s="1041">
        <v>100000</v>
      </c>
      <c r="N20" s="1041">
        <v>100000</v>
      </c>
      <c r="O20" s="1041">
        <v>100000</v>
      </c>
      <c r="P20" s="1041">
        <v>100000</v>
      </c>
      <c r="Q20" s="1041">
        <v>100000</v>
      </c>
      <c r="R20" s="1041">
        <v>100000</v>
      </c>
      <c r="S20" s="1041">
        <v>100000</v>
      </c>
      <c r="T20" s="1041">
        <v>100000</v>
      </c>
      <c r="U20" s="1041">
        <v>100000</v>
      </c>
      <c r="V20" s="1041">
        <v>100000</v>
      </c>
      <c r="W20" s="1041">
        <v>100000</v>
      </c>
      <c r="X20" s="1041">
        <v>100000</v>
      </c>
      <c r="Y20" s="1041">
        <v>100000</v>
      </c>
      <c r="Z20" s="1041">
        <v>100000</v>
      </c>
      <c r="AA20" s="1041">
        <v>100000</v>
      </c>
      <c r="AB20" s="1041">
        <v>100000</v>
      </c>
      <c r="AC20" s="1041">
        <v>100000</v>
      </c>
      <c r="AD20" s="1041">
        <v>100000</v>
      </c>
      <c r="AE20" s="1041">
        <v>100000</v>
      </c>
      <c r="AF20" s="1041">
        <v>100000</v>
      </c>
      <c r="AG20" s="1041">
        <v>100000</v>
      </c>
      <c r="AH20" s="1041">
        <v>100000</v>
      </c>
      <c r="AI20" s="1041">
        <v>100000</v>
      </c>
      <c r="AJ20" s="1041">
        <v>100000</v>
      </c>
      <c r="AK20" s="1041">
        <v>100000</v>
      </c>
      <c r="AL20" s="1041">
        <v>100000</v>
      </c>
      <c r="AM20" s="1041">
        <v>100000</v>
      </c>
      <c r="AN20" s="1067">
        <v>0</v>
      </c>
    </row>
    <row r="21" spans="1:40" ht="20" customHeight="1" x14ac:dyDescent="0.15">
      <c r="A21" s="9"/>
      <c r="B21" s="184"/>
      <c r="C21" s="736" t="str">
        <f>Dashboard!B18</f>
        <v>WEBSITE</v>
      </c>
      <c r="D21" s="737">
        <f>Dashboard!E18*Dashboard!$P$8</f>
        <v>10000000</v>
      </c>
      <c r="E21" s="738">
        <f>SUM(E22:E23)</f>
        <v>3600000</v>
      </c>
      <c r="F21" s="739">
        <f>D21-E21</f>
        <v>6400000</v>
      </c>
      <c r="G21" s="1259">
        <f>_xlfn.IFS(F21&gt;0,1,F21&lt;=0,D21/E21)</f>
        <v>1</v>
      </c>
      <c r="H21" s="740">
        <f>D21/'Action Plan'!$C$6</f>
        <v>384615.38461538462</v>
      </c>
      <c r="I21" s="738">
        <f ca="1">SUM(I22:I23)</f>
        <v>0</v>
      </c>
      <c r="J21" s="1065">
        <f>SUM(J22:J23)</f>
        <v>100000</v>
      </c>
      <c r="K21" s="1065">
        <f>SUM(K22:K23)</f>
        <v>100000</v>
      </c>
      <c r="L21" s="1065">
        <f>SUM(L22:L23)</f>
        <v>100000</v>
      </c>
      <c r="M21" s="1065">
        <f>SUM(M22:M23)</f>
        <v>100000</v>
      </c>
      <c r="N21" s="1065">
        <f t="shared" ref="N21" si="15">SUM(N22:N23)</f>
        <v>100000</v>
      </c>
      <c r="O21" s="1065">
        <f t="shared" ref="O21" si="16">SUM(O22:O23)</f>
        <v>100000</v>
      </c>
      <c r="P21" s="1065">
        <f t="shared" ref="P21" si="17">SUM(P22:P23)</f>
        <v>100000</v>
      </c>
      <c r="Q21" s="1065">
        <f t="shared" ref="Q21" si="18">SUM(Q22:Q23)</f>
        <v>100000</v>
      </c>
      <c r="R21" s="1065">
        <f t="shared" ref="R21" si="19">SUM(R22:R23)</f>
        <v>100000</v>
      </c>
      <c r="S21" s="1065">
        <f t="shared" ref="S21" si="20">SUM(S22:S23)</f>
        <v>100000</v>
      </c>
      <c r="T21" s="1065">
        <f t="shared" ref="T21" si="21">SUM(T22:T23)</f>
        <v>100000</v>
      </c>
      <c r="U21" s="1065">
        <f t="shared" ref="U21" si="22">SUM(U22:U23)</f>
        <v>100000</v>
      </c>
      <c r="V21" s="1065">
        <f t="shared" ref="V21" si="23">SUM(V22:V23)</f>
        <v>100000</v>
      </c>
      <c r="W21" s="1065">
        <f t="shared" ref="W21" si="24">SUM(W22:W23)</f>
        <v>100000</v>
      </c>
      <c r="X21" s="1065">
        <f t="shared" ref="X21" si="25">SUM(X22:X23)</f>
        <v>100000</v>
      </c>
      <c r="Y21" s="1065">
        <f t="shared" ref="Y21" si="26">SUM(Y22:Y23)</f>
        <v>100000</v>
      </c>
      <c r="Z21" s="1065">
        <f t="shared" ref="Z21" si="27">SUM(Z22:Z23)</f>
        <v>100000</v>
      </c>
      <c r="AA21" s="1065">
        <f t="shared" ref="AA21" si="28">SUM(AA22:AA23)</f>
        <v>100000</v>
      </c>
      <c r="AB21" s="1065">
        <f t="shared" ref="AB21" si="29">SUM(AB22:AB23)</f>
        <v>100000</v>
      </c>
      <c r="AC21" s="1065">
        <f t="shared" ref="AC21" si="30">SUM(AC22:AC23)</f>
        <v>100000</v>
      </c>
      <c r="AD21" s="1065">
        <f t="shared" ref="AD21" si="31">SUM(AD22:AD23)</f>
        <v>100000</v>
      </c>
      <c r="AE21" s="1065">
        <f t="shared" ref="AE21" si="32">SUM(AE22:AE23)</f>
        <v>100000</v>
      </c>
      <c r="AF21" s="1065">
        <f t="shared" ref="AF21" si="33">SUM(AF22:AF23)</f>
        <v>100000</v>
      </c>
      <c r="AG21" s="1065">
        <f t="shared" ref="AG21" si="34">SUM(AG22:AG23)</f>
        <v>100000</v>
      </c>
      <c r="AH21" s="1065">
        <f t="shared" ref="AH21" si="35">SUM(AH22:AH23)</f>
        <v>100000</v>
      </c>
      <c r="AI21" s="1065">
        <f t="shared" ref="AI21" si="36">SUM(AI22:AI23)</f>
        <v>100000</v>
      </c>
      <c r="AJ21" s="1065">
        <f t="shared" ref="AJ21" si="37">SUM(AJ22:AJ23)</f>
        <v>100000</v>
      </c>
      <c r="AK21" s="1065">
        <f t="shared" ref="AK21" si="38">SUM(AK22:AK23)</f>
        <v>100000</v>
      </c>
      <c r="AL21" s="1065">
        <f t="shared" ref="AL21" si="39">SUM(AL22:AL23)</f>
        <v>100000</v>
      </c>
      <c r="AM21" s="1065">
        <f t="shared" ref="AM21" si="40">SUM(AM22:AM23)</f>
        <v>100000</v>
      </c>
      <c r="AN21" s="1066">
        <f t="shared" ref="AN21" si="41">SUM(AN22:AN23)</f>
        <v>600000</v>
      </c>
    </row>
    <row r="22" spans="1:40" ht="20" customHeight="1" x14ac:dyDescent="0.15">
      <c r="A22" s="171"/>
      <c r="B22" s="183"/>
      <c r="C22" s="690" t="s">
        <v>132</v>
      </c>
      <c r="D22" s="605">
        <f>$D$21/2</f>
        <v>5000000</v>
      </c>
      <c r="E22" s="1084">
        <f>SUM(J22:AN22)</f>
        <v>1800000</v>
      </c>
      <c r="F22" s="610">
        <f>D22-E22</f>
        <v>3200000</v>
      </c>
      <c r="G22" s="1260"/>
      <c r="H22" s="610">
        <f>D22/'Action Plan'!$C$6</f>
        <v>192307.69230769231</v>
      </c>
      <c r="I22" s="683">
        <f ca="1">SUMIF($J$5:$AN$5,TODAY(),J22:AN22)</f>
        <v>0</v>
      </c>
      <c r="J22" s="1041">
        <v>50000</v>
      </c>
      <c r="K22" s="1041">
        <v>50000</v>
      </c>
      <c r="L22" s="1041">
        <v>50000</v>
      </c>
      <c r="M22" s="1041">
        <v>50000</v>
      </c>
      <c r="N22" s="1041">
        <v>50000</v>
      </c>
      <c r="O22" s="1041">
        <v>50000</v>
      </c>
      <c r="P22" s="1041">
        <v>50000</v>
      </c>
      <c r="Q22" s="1041">
        <v>50000</v>
      </c>
      <c r="R22" s="1041">
        <v>50000</v>
      </c>
      <c r="S22" s="1041">
        <v>50000</v>
      </c>
      <c r="T22" s="1041">
        <v>50000</v>
      </c>
      <c r="U22" s="1041">
        <v>50000</v>
      </c>
      <c r="V22" s="1041">
        <v>50000</v>
      </c>
      <c r="W22" s="1041">
        <v>50000</v>
      </c>
      <c r="X22" s="1041">
        <v>50000</v>
      </c>
      <c r="Y22" s="1041">
        <v>50000</v>
      </c>
      <c r="Z22" s="1041">
        <v>50000</v>
      </c>
      <c r="AA22" s="1041">
        <v>50000</v>
      </c>
      <c r="AB22" s="1041">
        <v>50000</v>
      </c>
      <c r="AC22" s="1041">
        <v>50000</v>
      </c>
      <c r="AD22" s="1041">
        <v>50000</v>
      </c>
      <c r="AE22" s="1041">
        <v>50000</v>
      </c>
      <c r="AF22" s="1041">
        <v>50000</v>
      </c>
      <c r="AG22" s="1041">
        <v>50000</v>
      </c>
      <c r="AH22" s="1041">
        <v>50000</v>
      </c>
      <c r="AI22" s="1041">
        <v>50000</v>
      </c>
      <c r="AJ22" s="1041">
        <v>50000</v>
      </c>
      <c r="AK22" s="1041">
        <v>50000</v>
      </c>
      <c r="AL22" s="1041">
        <v>50000</v>
      </c>
      <c r="AM22" s="1041">
        <v>50000</v>
      </c>
      <c r="AN22" s="1067">
        <v>300000</v>
      </c>
    </row>
    <row r="23" spans="1:40" ht="20" customHeight="1" x14ac:dyDescent="0.15">
      <c r="A23" s="171"/>
      <c r="B23" s="183"/>
      <c r="C23" s="690" t="s">
        <v>133</v>
      </c>
      <c r="D23" s="605">
        <f>$D$21/2</f>
        <v>5000000</v>
      </c>
      <c r="E23" s="1084">
        <f t="shared" ref="E23:E27" si="42">SUM(J23:AN23)</f>
        <v>1800000</v>
      </c>
      <c r="F23" s="610">
        <f t="shared" ref="F23:F27" si="43">D23-E23</f>
        <v>3200000</v>
      </c>
      <c r="G23" s="1260"/>
      <c r="H23" s="610">
        <f>D23/'Action Plan'!$C$6</f>
        <v>192307.69230769231</v>
      </c>
      <c r="I23" s="683">
        <f ca="1">SUMIF($J$5:$AN$5,TODAY(),J23:AN23)</f>
        <v>0</v>
      </c>
      <c r="J23" s="1041">
        <v>50000</v>
      </c>
      <c r="K23" s="1041">
        <v>50000</v>
      </c>
      <c r="L23" s="1041">
        <v>50000</v>
      </c>
      <c r="M23" s="1041">
        <v>50000</v>
      </c>
      <c r="N23" s="1041">
        <v>50000</v>
      </c>
      <c r="O23" s="1041">
        <v>50000</v>
      </c>
      <c r="P23" s="1041">
        <v>50000</v>
      </c>
      <c r="Q23" s="1041">
        <v>50000</v>
      </c>
      <c r="R23" s="1041">
        <v>50000</v>
      </c>
      <c r="S23" s="1041">
        <v>50000</v>
      </c>
      <c r="T23" s="1041">
        <v>50000</v>
      </c>
      <c r="U23" s="1041">
        <v>50000</v>
      </c>
      <c r="V23" s="1041">
        <v>50000</v>
      </c>
      <c r="W23" s="1041">
        <v>50000</v>
      </c>
      <c r="X23" s="1041">
        <v>50000</v>
      </c>
      <c r="Y23" s="1041">
        <v>50000</v>
      </c>
      <c r="Z23" s="1041">
        <v>50000</v>
      </c>
      <c r="AA23" s="1041">
        <v>50000</v>
      </c>
      <c r="AB23" s="1041">
        <v>50000</v>
      </c>
      <c r="AC23" s="1041">
        <v>50000</v>
      </c>
      <c r="AD23" s="1041">
        <v>50000</v>
      </c>
      <c r="AE23" s="1041">
        <v>50000</v>
      </c>
      <c r="AF23" s="1041">
        <v>50000</v>
      </c>
      <c r="AG23" s="1041">
        <v>50000</v>
      </c>
      <c r="AH23" s="1041">
        <v>50000</v>
      </c>
      <c r="AI23" s="1041">
        <v>50000</v>
      </c>
      <c r="AJ23" s="1041">
        <v>50000</v>
      </c>
      <c r="AK23" s="1041">
        <v>50000</v>
      </c>
      <c r="AL23" s="1041">
        <v>50000</v>
      </c>
      <c r="AM23" s="1041">
        <v>50000</v>
      </c>
      <c r="AN23" s="1067">
        <v>300000</v>
      </c>
    </row>
    <row r="24" spans="1:40" ht="20" customHeight="1" x14ac:dyDescent="0.15">
      <c r="A24" s="9"/>
      <c r="B24" s="184"/>
      <c r="C24" s="736" t="str">
        <f>Dashboard!B19</f>
        <v>TIKTOK SHOP</v>
      </c>
      <c r="D24" s="737">
        <f>Dashboard!E19*Dashboard!$P$8</f>
        <v>20000000</v>
      </c>
      <c r="E24" s="738">
        <f t="shared" si="42"/>
        <v>1200000</v>
      </c>
      <c r="F24" s="739">
        <f t="shared" si="43"/>
        <v>18800000</v>
      </c>
      <c r="G24" s="1259">
        <f>_xlfn.IFS(F24&gt;0,1,F24&lt;=0,D24/E24)</f>
        <v>1</v>
      </c>
      <c r="H24" s="740">
        <f>D24/'Action Plan'!$C$6</f>
        <v>769230.76923076925</v>
      </c>
      <c r="I24" s="741">
        <f t="shared" ref="I24:I28" ca="1" si="44">SUMIF($J$5:$AN$5,TODAY(),J24:AN24)</f>
        <v>0</v>
      </c>
      <c r="J24" s="1063">
        <v>0</v>
      </c>
      <c r="K24" s="1063">
        <v>0</v>
      </c>
      <c r="L24" s="1063">
        <v>0</v>
      </c>
      <c r="M24" s="1063">
        <v>0</v>
      </c>
      <c r="N24" s="1063">
        <v>0</v>
      </c>
      <c r="O24" s="1063">
        <v>0</v>
      </c>
      <c r="P24" s="1063">
        <v>0</v>
      </c>
      <c r="Q24" s="1063">
        <v>0</v>
      </c>
      <c r="R24" s="1063">
        <v>0</v>
      </c>
      <c r="S24" s="1063">
        <v>0</v>
      </c>
      <c r="T24" s="1063">
        <v>0</v>
      </c>
      <c r="U24" s="1063">
        <v>0</v>
      </c>
      <c r="V24" s="1063">
        <v>0</v>
      </c>
      <c r="W24" s="1063">
        <v>0</v>
      </c>
      <c r="X24" s="1063">
        <v>0</v>
      </c>
      <c r="Y24" s="1063">
        <v>0</v>
      </c>
      <c r="Z24" s="1063">
        <v>0</v>
      </c>
      <c r="AA24" s="1063">
        <v>0</v>
      </c>
      <c r="AB24" s="1063">
        <v>0</v>
      </c>
      <c r="AC24" s="1063">
        <v>0</v>
      </c>
      <c r="AD24" s="1063">
        <v>0</v>
      </c>
      <c r="AE24" s="1063">
        <v>0</v>
      </c>
      <c r="AF24" s="1063">
        <v>0</v>
      </c>
      <c r="AG24" s="1063">
        <v>0</v>
      </c>
      <c r="AH24" s="1063">
        <v>0</v>
      </c>
      <c r="AI24" s="1063">
        <v>200000</v>
      </c>
      <c r="AJ24" s="1063">
        <v>200000</v>
      </c>
      <c r="AK24" s="1063">
        <v>200000</v>
      </c>
      <c r="AL24" s="1063">
        <v>200000</v>
      </c>
      <c r="AM24" s="1063">
        <v>200000</v>
      </c>
      <c r="AN24" s="1245">
        <v>200000</v>
      </c>
    </row>
    <row r="25" spans="1:40" ht="20" customHeight="1" x14ac:dyDescent="0.15">
      <c r="A25" s="9"/>
      <c r="B25" s="184"/>
      <c r="C25" s="742" t="str">
        <f>Dashboard!B20</f>
        <v>SHOPEE</v>
      </c>
      <c r="D25" s="737">
        <f>Dashboard!E20*Dashboard!$P$8</f>
        <v>10000000</v>
      </c>
      <c r="E25" s="738">
        <f>SUM(J25:AN25)</f>
        <v>0</v>
      </c>
      <c r="F25" s="739">
        <f t="shared" si="43"/>
        <v>10000000</v>
      </c>
      <c r="G25" s="1259">
        <f>_xlfn.IFS(F25&gt;0,1,F25&lt;=0,D25/E25)</f>
        <v>1</v>
      </c>
      <c r="H25" s="740">
        <f>D25/'Action Plan'!$C$6</f>
        <v>384615.38461538462</v>
      </c>
      <c r="I25" s="741">
        <f t="shared" ca="1" si="44"/>
        <v>0</v>
      </c>
      <c r="J25" s="1063">
        <v>0</v>
      </c>
      <c r="K25" s="1063">
        <v>0</v>
      </c>
      <c r="L25" s="1063">
        <v>0</v>
      </c>
      <c r="M25" s="1063">
        <v>0</v>
      </c>
      <c r="N25" s="1063">
        <v>0</v>
      </c>
      <c r="O25" s="1063">
        <v>0</v>
      </c>
      <c r="P25" s="1063">
        <v>0</v>
      </c>
      <c r="Q25" s="1063">
        <v>0</v>
      </c>
      <c r="R25" s="1063">
        <v>0</v>
      </c>
      <c r="S25" s="1063">
        <v>0</v>
      </c>
      <c r="T25" s="1063">
        <v>0</v>
      </c>
      <c r="U25" s="1063">
        <v>0</v>
      </c>
      <c r="V25" s="1063">
        <v>0</v>
      </c>
      <c r="W25" s="1063">
        <v>0</v>
      </c>
      <c r="X25" s="1063">
        <v>0</v>
      </c>
      <c r="Y25" s="1063">
        <v>0</v>
      </c>
      <c r="Z25" s="1063">
        <v>0</v>
      </c>
      <c r="AA25" s="1063">
        <v>0</v>
      </c>
      <c r="AB25" s="1063">
        <v>0</v>
      </c>
      <c r="AC25" s="1063">
        <v>0</v>
      </c>
      <c r="AD25" s="1063">
        <v>0</v>
      </c>
      <c r="AE25" s="1063">
        <v>0</v>
      </c>
      <c r="AF25" s="1063">
        <v>0</v>
      </c>
      <c r="AG25" s="1063">
        <v>0</v>
      </c>
      <c r="AH25" s="1063">
        <v>0</v>
      </c>
      <c r="AI25" s="1063">
        <v>0</v>
      </c>
      <c r="AJ25" s="1063">
        <v>0</v>
      </c>
      <c r="AK25" s="1063">
        <v>0</v>
      </c>
      <c r="AL25" s="1063">
        <v>0</v>
      </c>
      <c r="AM25" s="1063">
        <v>0</v>
      </c>
      <c r="AN25" s="1245">
        <v>0</v>
      </c>
    </row>
    <row r="26" spans="1:40" ht="20" customHeight="1" x14ac:dyDescent="0.15">
      <c r="A26" s="9"/>
      <c r="B26" s="184"/>
      <c r="C26" s="742" t="str">
        <f>Dashboard!B21</f>
        <v>ZALO</v>
      </c>
      <c r="D26" s="737">
        <f>Dashboard!E21*Dashboard!$P$8</f>
        <v>40000000</v>
      </c>
      <c r="E26" s="738">
        <f>SUM(J26:AN26)</f>
        <v>2650000</v>
      </c>
      <c r="F26" s="739">
        <f t="shared" si="43"/>
        <v>37350000</v>
      </c>
      <c r="G26" s="1259">
        <f>_xlfn.IFS(F26&gt;0,1,F26&lt;=0,D26/E26)</f>
        <v>1</v>
      </c>
      <c r="H26" s="740">
        <f>D26/'Action Plan'!$C$6</f>
        <v>1538461.5384615385</v>
      </c>
      <c r="I26" s="741">
        <f t="shared" ca="1" si="44"/>
        <v>0</v>
      </c>
      <c r="J26" s="1063">
        <v>100000</v>
      </c>
      <c r="K26" s="1063">
        <v>100000</v>
      </c>
      <c r="L26" s="1063">
        <v>100000</v>
      </c>
      <c r="M26" s="1063">
        <v>100000</v>
      </c>
      <c r="N26" s="1063">
        <v>100000</v>
      </c>
      <c r="O26" s="1063">
        <v>100000</v>
      </c>
      <c r="P26" s="1063">
        <v>100000</v>
      </c>
      <c r="Q26" s="1063">
        <v>100000</v>
      </c>
      <c r="R26" s="1063">
        <v>100000</v>
      </c>
      <c r="S26" s="1063">
        <v>100000</v>
      </c>
      <c r="T26" s="1063">
        <v>100000</v>
      </c>
      <c r="U26" s="1063">
        <v>100000</v>
      </c>
      <c r="V26" s="1063">
        <v>100000</v>
      </c>
      <c r="W26" s="1063">
        <v>100000</v>
      </c>
      <c r="X26" s="1063">
        <v>100000</v>
      </c>
      <c r="Y26" s="1063">
        <v>100000</v>
      </c>
      <c r="Z26" s="1063">
        <v>100000</v>
      </c>
      <c r="AA26" s="1063">
        <v>100000</v>
      </c>
      <c r="AB26" s="1063">
        <v>100000</v>
      </c>
      <c r="AC26" s="1063">
        <v>100000</v>
      </c>
      <c r="AD26" s="1063">
        <v>100000</v>
      </c>
      <c r="AE26" s="1063">
        <v>100000</v>
      </c>
      <c r="AF26" s="1063">
        <v>100000</v>
      </c>
      <c r="AG26" s="1063">
        <v>100000</v>
      </c>
      <c r="AH26" s="1063">
        <v>100000</v>
      </c>
      <c r="AI26" s="1064">
        <v>10000</v>
      </c>
      <c r="AJ26" s="1064">
        <v>10000</v>
      </c>
      <c r="AK26" s="1064">
        <v>10000</v>
      </c>
      <c r="AL26" s="1064">
        <v>10000</v>
      </c>
      <c r="AM26" s="1064">
        <v>10000</v>
      </c>
      <c r="AN26" s="1068">
        <v>100000</v>
      </c>
    </row>
    <row r="27" spans="1:40" ht="20" customHeight="1" x14ac:dyDescent="0.15">
      <c r="A27" s="9"/>
      <c r="B27" s="184"/>
      <c r="C27" s="743" t="str">
        <f>Dashboard!B22</f>
        <v>BOOKING</v>
      </c>
      <c r="D27" s="737">
        <f>Dashboard!E21*Dashboard!$P$8</f>
        <v>40000000</v>
      </c>
      <c r="E27" s="738">
        <f t="shared" si="42"/>
        <v>3150000</v>
      </c>
      <c r="F27" s="739">
        <f t="shared" si="43"/>
        <v>36850000</v>
      </c>
      <c r="G27" s="1259">
        <f t="shared" ref="G27" si="45">_xlfn.IFS(F27&gt;0,1,F27&lt;=0,D27/E27)</f>
        <v>1</v>
      </c>
      <c r="H27" s="740">
        <f>D27/'Action Plan'!$C$6</f>
        <v>1538461.5384615385</v>
      </c>
      <c r="I27" s="741">
        <f t="shared" ca="1" si="44"/>
        <v>0</v>
      </c>
      <c r="J27" s="1063">
        <v>150000</v>
      </c>
      <c r="K27" s="1064">
        <v>100000</v>
      </c>
      <c r="L27" s="1064">
        <v>100000</v>
      </c>
      <c r="M27" s="1064">
        <v>100000</v>
      </c>
      <c r="N27" s="1064">
        <v>100000</v>
      </c>
      <c r="O27" s="1064">
        <v>100000</v>
      </c>
      <c r="P27" s="1064">
        <v>100000</v>
      </c>
      <c r="Q27" s="1064">
        <v>100000</v>
      </c>
      <c r="R27" s="1064">
        <v>100000</v>
      </c>
      <c r="S27" s="1064">
        <v>100000</v>
      </c>
      <c r="T27" s="1064">
        <v>100000</v>
      </c>
      <c r="U27" s="1064">
        <v>100000</v>
      </c>
      <c r="V27" s="1064">
        <v>100000</v>
      </c>
      <c r="W27" s="1064">
        <v>100000</v>
      </c>
      <c r="X27" s="1064">
        <v>100000</v>
      </c>
      <c r="Y27" s="1064">
        <v>100000</v>
      </c>
      <c r="Z27" s="1064">
        <v>100000</v>
      </c>
      <c r="AA27" s="1064">
        <v>100000</v>
      </c>
      <c r="AB27" s="1064">
        <v>100000</v>
      </c>
      <c r="AC27" s="1064">
        <v>100000</v>
      </c>
      <c r="AD27" s="1064">
        <v>100000</v>
      </c>
      <c r="AE27" s="1064">
        <v>100000</v>
      </c>
      <c r="AF27" s="1064">
        <v>100000</v>
      </c>
      <c r="AG27" s="1064">
        <v>100000</v>
      </c>
      <c r="AH27" s="1064">
        <v>100000</v>
      </c>
      <c r="AI27" s="1064">
        <v>100000</v>
      </c>
      <c r="AJ27" s="1064">
        <v>100000</v>
      </c>
      <c r="AK27" s="1064">
        <v>100000</v>
      </c>
      <c r="AL27" s="1064">
        <v>100000</v>
      </c>
      <c r="AM27" s="1064">
        <v>100000</v>
      </c>
      <c r="AN27" s="1068">
        <v>100000</v>
      </c>
    </row>
    <row r="28" spans="1:40" ht="20" customHeight="1" thickBot="1" x14ac:dyDescent="0.2">
      <c r="A28" s="9"/>
      <c r="B28" s="184"/>
      <c r="C28" s="744" t="str">
        <f>Dashboard!B23</f>
        <v>BRANDING</v>
      </c>
      <c r="D28" s="745">
        <f>Dashboard!E22*Dashboard!$P$8</f>
        <v>10000000</v>
      </c>
      <c r="E28" s="746">
        <f>SUM(J28:AN28)</f>
        <v>3000000</v>
      </c>
      <c r="F28" s="747">
        <f>D28-E28</f>
        <v>7000000</v>
      </c>
      <c r="G28" s="1261">
        <f>_xlfn.IFS(F28&gt;0,1,F28&lt;=0,D28/E28)</f>
        <v>1</v>
      </c>
      <c r="H28" s="748">
        <f>D28/'Action Plan'!$C$6</f>
        <v>384615.38461538462</v>
      </c>
      <c r="I28" s="749">
        <f t="shared" ca="1" si="44"/>
        <v>0</v>
      </c>
      <c r="J28" s="1070">
        <v>0</v>
      </c>
      <c r="K28" s="1071">
        <v>100000</v>
      </c>
      <c r="L28" s="1071">
        <v>100000</v>
      </c>
      <c r="M28" s="1071">
        <v>100000</v>
      </c>
      <c r="N28" s="1071">
        <v>100000</v>
      </c>
      <c r="O28" s="1071">
        <v>100000</v>
      </c>
      <c r="P28" s="1071">
        <v>100000</v>
      </c>
      <c r="Q28" s="1071">
        <v>100000</v>
      </c>
      <c r="R28" s="1071">
        <v>100000</v>
      </c>
      <c r="S28" s="1071">
        <v>100000</v>
      </c>
      <c r="T28" s="1071">
        <v>100000</v>
      </c>
      <c r="U28" s="1071">
        <v>100000</v>
      </c>
      <c r="V28" s="1071">
        <v>100000</v>
      </c>
      <c r="W28" s="1071">
        <v>100000</v>
      </c>
      <c r="X28" s="1071">
        <v>100000</v>
      </c>
      <c r="Y28" s="1071">
        <v>100000</v>
      </c>
      <c r="Z28" s="1071">
        <v>100000</v>
      </c>
      <c r="AA28" s="1071">
        <v>100000</v>
      </c>
      <c r="AB28" s="1071">
        <v>100000</v>
      </c>
      <c r="AC28" s="1071">
        <v>100000</v>
      </c>
      <c r="AD28" s="1071">
        <v>100000</v>
      </c>
      <c r="AE28" s="1071">
        <v>100000</v>
      </c>
      <c r="AF28" s="1071">
        <v>100000</v>
      </c>
      <c r="AG28" s="1071">
        <v>100000</v>
      </c>
      <c r="AH28" s="1071">
        <v>100000</v>
      </c>
      <c r="AI28" s="1071">
        <v>100000</v>
      </c>
      <c r="AJ28" s="1071">
        <v>100000</v>
      </c>
      <c r="AK28" s="1071">
        <v>100000</v>
      </c>
      <c r="AL28" s="1071">
        <v>100000</v>
      </c>
      <c r="AM28" s="1071">
        <v>100000</v>
      </c>
      <c r="AN28" s="1072">
        <v>100000</v>
      </c>
    </row>
    <row r="29" spans="1:40" ht="20" customHeight="1" x14ac:dyDescent="0.15">
      <c r="A29" s="10"/>
      <c r="B29" s="262"/>
      <c r="C29" s="728" t="str">
        <f>Dashboard!K52</f>
        <v>P2</v>
      </c>
      <c r="D29" s="758"/>
      <c r="E29" s="759"/>
      <c r="F29" s="760"/>
      <c r="G29" s="761"/>
      <c r="H29" s="762"/>
      <c r="I29" s="763"/>
      <c r="J29" s="770"/>
      <c r="K29" s="770"/>
      <c r="L29" s="770"/>
      <c r="M29" s="770"/>
      <c r="N29" s="770"/>
      <c r="O29" s="770"/>
      <c r="P29" s="770"/>
      <c r="Q29" s="770"/>
      <c r="R29" s="770"/>
      <c r="S29" s="770"/>
      <c r="T29" s="770"/>
      <c r="U29" s="770"/>
      <c r="V29" s="770"/>
      <c r="W29" s="770"/>
      <c r="X29" s="770"/>
      <c r="Y29" s="770"/>
      <c r="Z29" s="770"/>
      <c r="AA29" s="770"/>
      <c r="AB29" s="770"/>
      <c r="AC29" s="770"/>
      <c r="AD29" s="770"/>
      <c r="AE29" s="770"/>
      <c r="AF29" s="770"/>
      <c r="AG29" s="770"/>
      <c r="AH29" s="770"/>
      <c r="AI29" s="770"/>
      <c r="AJ29" s="770"/>
      <c r="AK29" s="770"/>
      <c r="AL29" s="770"/>
      <c r="AM29" s="770"/>
      <c r="AN29" s="771"/>
    </row>
    <row r="30" spans="1:40" ht="20" customHeight="1" x14ac:dyDescent="0.15">
      <c r="A30" s="10"/>
      <c r="B30" s="262"/>
      <c r="C30" s="1044" t="s">
        <v>22</v>
      </c>
      <c r="D30" s="1045">
        <f>Dashboard!E53</f>
        <v>1680</v>
      </c>
      <c r="E30" s="1046">
        <f>Dashboard!F53</f>
        <v>1528</v>
      </c>
      <c r="F30" s="1047">
        <f>E30-D30</f>
        <v>-152</v>
      </c>
      <c r="G30" s="1257">
        <f>_xlfn.IFS(F30&gt;0,1,F30&lt;0,E30/D30,F30=0,0)</f>
        <v>0.90952380952380951</v>
      </c>
      <c r="H30" s="1048">
        <f>D30/'Action Plan'!$C$6</f>
        <v>64.615384615384613</v>
      </c>
      <c r="I30" s="1049">
        <f ca="1">SUMIF($J$5:$AN$5,TODAY(),J30:AN30)</f>
        <v>0</v>
      </c>
      <c r="J30" s="172">
        <f>J31</f>
        <v>36</v>
      </c>
      <c r="K30" s="172">
        <f>K31</f>
        <v>36</v>
      </c>
      <c r="L30" s="173">
        <f>L31</f>
        <v>36</v>
      </c>
      <c r="M30" s="173">
        <f>M31</f>
        <v>36</v>
      </c>
      <c r="N30" s="173">
        <f t="shared" ref="N30:AN30" si="46">N31</f>
        <v>36</v>
      </c>
      <c r="O30" s="173">
        <f t="shared" si="46"/>
        <v>36</v>
      </c>
      <c r="P30" s="173">
        <f t="shared" si="46"/>
        <v>36</v>
      </c>
      <c r="Q30" s="173">
        <f t="shared" si="46"/>
        <v>36</v>
      </c>
      <c r="R30" s="173">
        <f t="shared" si="46"/>
        <v>36</v>
      </c>
      <c r="S30" s="173">
        <f t="shared" si="46"/>
        <v>36</v>
      </c>
      <c r="T30" s="173">
        <f t="shared" si="46"/>
        <v>36</v>
      </c>
      <c r="U30" s="173">
        <f t="shared" si="46"/>
        <v>36</v>
      </c>
      <c r="V30" s="173">
        <f t="shared" si="46"/>
        <v>36</v>
      </c>
      <c r="W30" s="173">
        <f t="shared" si="46"/>
        <v>36</v>
      </c>
      <c r="X30" s="173">
        <f t="shared" si="46"/>
        <v>36</v>
      </c>
      <c r="Y30" s="173">
        <f t="shared" si="46"/>
        <v>36</v>
      </c>
      <c r="Z30" s="173">
        <f t="shared" si="46"/>
        <v>36</v>
      </c>
      <c r="AA30" s="173">
        <f t="shared" si="46"/>
        <v>36</v>
      </c>
      <c r="AB30" s="173">
        <f t="shared" si="46"/>
        <v>36</v>
      </c>
      <c r="AC30" s="173">
        <f t="shared" si="46"/>
        <v>36</v>
      </c>
      <c r="AD30" s="173">
        <f t="shared" si="46"/>
        <v>36</v>
      </c>
      <c r="AE30" s="173">
        <f t="shared" si="46"/>
        <v>36</v>
      </c>
      <c r="AF30" s="173">
        <f t="shared" si="46"/>
        <v>36</v>
      </c>
      <c r="AG30" s="173">
        <f t="shared" si="46"/>
        <v>36</v>
      </c>
      <c r="AH30" s="173">
        <f t="shared" si="46"/>
        <v>36</v>
      </c>
      <c r="AI30" s="173">
        <f t="shared" si="46"/>
        <v>36</v>
      </c>
      <c r="AJ30" s="173">
        <f t="shared" si="46"/>
        <v>36</v>
      </c>
      <c r="AK30" s="173">
        <f t="shared" si="46"/>
        <v>36</v>
      </c>
      <c r="AL30" s="173">
        <f t="shared" si="46"/>
        <v>36</v>
      </c>
      <c r="AM30" s="173">
        <f t="shared" si="46"/>
        <v>36</v>
      </c>
      <c r="AN30" s="773">
        <f t="shared" si="46"/>
        <v>45</v>
      </c>
    </row>
    <row r="31" spans="1:40" ht="20" customHeight="1" x14ac:dyDescent="0.15">
      <c r="A31" s="9"/>
      <c r="B31" s="1244"/>
      <c r="C31" s="750" t="str">
        <f>Dashboard!K53</f>
        <v>DATA</v>
      </c>
      <c r="D31" s="751">
        <f>Dashboard!M53</f>
        <v>1000</v>
      </c>
      <c r="E31" s="752">
        <f>SUM(E32:E37)</f>
        <v>1125</v>
      </c>
      <c r="F31" s="753">
        <f>E31-D31</f>
        <v>125</v>
      </c>
      <c r="G31" s="1259">
        <f>_xlfn.IFS(F31&gt;0,1,F31&lt;0,E31/D31,F31=0,0)</f>
        <v>1</v>
      </c>
      <c r="H31" s="754">
        <f>D31/'Action Plan'!$C$6</f>
        <v>38.46153846153846</v>
      </c>
      <c r="I31" s="755">
        <f ca="1">SUM(I32:I37)</f>
        <v>0</v>
      </c>
      <c r="J31" s="1069">
        <f>SUM(J32:J37)</f>
        <v>36</v>
      </c>
      <c r="K31" s="1069">
        <f>SUM(K32:K37)</f>
        <v>36</v>
      </c>
      <c r="L31" s="1069">
        <f t="shared" ref="L31:AN31" si="47">SUM(L32:L37)</f>
        <v>36</v>
      </c>
      <c r="M31" s="1069">
        <f t="shared" si="47"/>
        <v>36</v>
      </c>
      <c r="N31" s="1069">
        <f t="shared" si="47"/>
        <v>36</v>
      </c>
      <c r="O31" s="1069">
        <f t="shared" si="47"/>
        <v>36</v>
      </c>
      <c r="P31" s="1069">
        <f t="shared" si="47"/>
        <v>36</v>
      </c>
      <c r="Q31" s="1069">
        <f t="shared" si="47"/>
        <v>36</v>
      </c>
      <c r="R31" s="1069">
        <f t="shared" si="47"/>
        <v>36</v>
      </c>
      <c r="S31" s="1069">
        <f t="shared" si="47"/>
        <v>36</v>
      </c>
      <c r="T31" s="1069">
        <f t="shared" si="47"/>
        <v>36</v>
      </c>
      <c r="U31" s="1069">
        <f t="shared" si="47"/>
        <v>36</v>
      </c>
      <c r="V31" s="1069">
        <f t="shared" si="47"/>
        <v>36</v>
      </c>
      <c r="W31" s="1069">
        <f t="shared" si="47"/>
        <v>36</v>
      </c>
      <c r="X31" s="1069">
        <f t="shared" si="47"/>
        <v>36</v>
      </c>
      <c r="Y31" s="1069">
        <f t="shared" si="47"/>
        <v>36</v>
      </c>
      <c r="Z31" s="1069">
        <f t="shared" si="47"/>
        <v>36</v>
      </c>
      <c r="AA31" s="1069">
        <f t="shared" si="47"/>
        <v>36</v>
      </c>
      <c r="AB31" s="1069">
        <f t="shared" si="47"/>
        <v>36</v>
      </c>
      <c r="AC31" s="1069">
        <f t="shared" si="47"/>
        <v>36</v>
      </c>
      <c r="AD31" s="1069">
        <f t="shared" si="47"/>
        <v>36</v>
      </c>
      <c r="AE31" s="1069">
        <f t="shared" si="47"/>
        <v>36</v>
      </c>
      <c r="AF31" s="1069">
        <f t="shared" si="47"/>
        <v>36</v>
      </c>
      <c r="AG31" s="1069">
        <f t="shared" si="47"/>
        <v>36</v>
      </c>
      <c r="AH31" s="1069">
        <f t="shared" si="47"/>
        <v>36</v>
      </c>
      <c r="AI31" s="1069">
        <f t="shared" si="47"/>
        <v>36</v>
      </c>
      <c r="AJ31" s="1069">
        <f t="shared" si="47"/>
        <v>36</v>
      </c>
      <c r="AK31" s="1069">
        <f t="shared" si="47"/>
        <v>36</v>
      </c>
      <c r="AL31" s="1069">
        <f t="shared" si="47"/>
        <v>36</v>
      </c>
      <c r="AM31" s="1069">
        <f t="shared" si="47"/>
        <v>36</v>
      </c>
      <c r="AN31" s="1073">
        <f t="shared" si="47"/>
        <v>45</v>
      </c>
    </row>
    <row r="32" spans="1:40" ht="20" customHeight="1" x14ac:dyDescent="0.15">
      <c r="A32" s="9"/>
      <c r="B32" s="184"/>
      <c r="C32" s="693" t="str">
        <f>Dashboard!K54</f>
        <v>FACEBOOK</v>
      </c>
      <c r="D32" s="709">
        <f>Dashboard!M54</f>
        <v>400</v>
      </c>
      <c r="E32" s="1085">
        <f>SUM(J32:AN32)</f>
        <v>310</v>
      </c>
      <c r="F32" s="207">
        <f>E32-D32</f>
        <v>-90</v>
      </c>
      <c r="G32" s="208">
        <f>_xlfn.IFS(F32&gt;0,1,F32&lt;0,E32/D32,F32=0,0)</f>
        <v>0.77500000000000002</v>
      </c>
      <c r="H32" s="703">
        <f>D32/'Action Plan'!$C$6</f>
        <v>15.384615384615385</v>
      </c>
      <c r="I32" s="704">
        <f ca="1">SUMIF($J$5:$AN$5,TODAY(),J32:AN32)</f>
        <v>0</v>
      </c>
      <c r="J32" s="1042">
        <v>10</v>
      </c>
      <c r="K32" s="1042">
        <v>10</v>
      </c>
      <c r="L32" s="1042">
        <v>10</v>
      </c>
      <c r="M32" s="1042">
        <v>10</v>
      </c>
      <c r="N32" s="1042">
        <v>10</v>
      </c>
      <c r="O32" s="1042">
        <v>10</v>
      </c>
      <c r="P32" s="1042">
        <v>10</v>
      </c>
      <c r="Q32" s="1042">
        <v>10</v>
      </c>
      <c r="R32" s="1042">
        <v>10</v>
      </c>
      <c r="S32" s="1042">
        <v>10</v>
      </c>
      <c r="T32" s="1042">
        <v>10</v>
      </c>
      <c r="U32" s="1042">
        <v>10</v>
      </c>
      <c r="V32" s="1042">
        <v>10</v>
      </c>
      <c r="W32" s="1042">
        <v>10</v>
      </c>
      <c r="X32" s="1042">
        <v>10</v>
      </c>
      <c r="Y32" s="1042">
        <v>10</v>
      </c>
      <c r="Z32" s="1042">
        <v>10</v>
      </c>
      <c r="AA32" s="1042">
        <v>10</v>
      </c>
      <c r="AB32" s="1042">
        <v>10</v>
      </c>
      <c r="AC32" s="1042">
        <v>10</v>
      </c>
      <c r="AD32" s="1042">
        <v>10</v>
      </c>
      <c r="AE32" s="1042">
        <v>10</v>
      </c>
      <c r="AF32" s="1042">
        <v>10</v>
      </c>
      <c r="AG32" s="1042">
        <v>10</v>
      </c>
      <c r="AH32" s="1042">
        <v>10</v>
      </c>
      <c r="AI32" s="1042">
        <v>10</v>
      </c>
      <c r="AJ32" s="1042">
        <v>10</v>
      </c>
      <c r="AK32" s="1042">
        <v>10</v>
      </c>
      <c r="AL32" s="1042">
        <v>10</v>
      </c>
      <c r="AM32" s="1042">
        <v>10</v>
      </c>
      <c r="AN32" s="1074">
        <v>10</v>
      </c>
    </row>
    <row r="33" spans="1:40" ht="20" customHeight="1" x14ac:dyDescent="0.15">
      <c r="A33" s="9"/>
      <c r="B33" s="184"/>
      <c r="C33" s="693" t="str">
        <f>Dashboard!K55</f>
        <v>LANDING PAGE</v>
      </c>
      <c r="D33" s="709">
        <f>Dashboard!M55</f>
        <v>300</v>
      </c>
      <c r="E33" s="1085">
        <f>SUM(J33:AN33)</f>
        <v>310</v>
      </c>
      <c r="F33" s="207">
        <f t="shared" ref="F33:F37" si="48">E33-D33</f>
        <v>10</v>
      </c>
      <c r="G33" s="208">
        <f>_xlfn.IFS(F33&gt;0,1,F33&lt;0,E33/D33,F33=0,0)</f>
        <v>1</v>
      </c>
      <c r="H33" s="703">
        <f>D33/'Action Plan'!$C$6</f>
        <v>11.538461538461538</v>
      </c>
      <c r="I33" s="704">
        <f t="shared" ref="I33:I38" ca="1" si="49">SUMIF($J$5:$AN$5,TODAY(),J33:AN33)</f>
        <v>0</v>
      </c>
      <c r="J33" s="1042">
        <v>10</v>
      </c>
      <c r="K33" s="1042">
        <v>10</v>
      </c>
      <c r="L33" s="1042">
        <v>10</v>
      </c>
      <c r="M33" s="1042">
        <v>10</v>
      </c>
      <c r="N33" s="1042">
        <v>10</v>
      </c>
      <c r="O33" s="1042">
        <v>10</v>
      </c>
      <c r="P33" s="1042">
        <v>10</v>
      </c>
      <c r="Q33" s="1042">
        <v>10</v>
      </c>
      <c r="R33" s="1042">
        <v>10</v>
      </c>
      <c r="S33" s="1042">
        <v>10</v>
      </c>
      <c r="T33" s="1042">
        <v>10</v>
      </c>
      <c r="U33" s="1042">
        <v>10</v>
      </c>
      <c r="V33" s="1042">
        <v>10</v>
      </c>
      <c r="W33" s="1042">
        <v>10</v>
      </c>
      <c r="X33" s="1042">
        <v>10</v>
      </c>
      <c r="Y33" s="1042">
        <v>10</v>
      </c>
      <c r="Z33" s="1042">
        <v>10</v>
      </c>
      <c r="AA33" s="1042">
        <v>10</v>
      </c>
      <c r="AB33" s="1042">
        <v>10</v>
      </c>
      <c r="AC33" s="1042">
        <v>10</v>
      </c>
      <c r="AD33" s="1042">
        <v>10</v>
      </c>
      <c r="AE33" s="1042">
        <v>10</v>
      </c>
      <c r="AF33" s="1042">
        <v>10</v>
      </c>
      <c r="AG33" s="1042">
        <v>10</v>
      </c>
      <c r="AH33" s="1042">
        <v>10</v>
      </c>
      <c r="AI33" s="1042">
        <v>10</v>
      </c>
      <c r="AJ33" s="1042">
        <v>10</v>
      </c>
      <c r="AK33" s="1042">
        <v>10</v>
      </c>
      <c r="AL33" s="1042">
        <v>10</v>
      </c>
      <c r="AM33" s="1042">
        <v>10</v>
      </c>
      <c r="AN33" s="1074">
        <v>10</v>
      </c>
    </row>
    <row r="34" spans="1:40" ht="20" customHeight="1" x14ac:dyDescent="0.15">
      <c r="A34" s="9"/>
      <c r="B34" s="184"/>
      <c r="C34" s="693" t="str">
        <f>Dashboard!K56</f>
        <v>WEBSITE</v>
      </c>
      <c r="D34" s="709">
        <f>Dashboard!M56</f>
        <v>100</v>
      </c>
      <c r="E34" s="1085">
        <f t="shared" ref="E34" si="50">SUM(J34:AN34)</f>
        <v>40</v>
      </c>
      <c r="F34" s="207">
        <f t="shared" si="48"/>
        <v>-60</v>
      </c>
      <c r="G34" s="208">
        <f t="shared" ref="G34:G36" si="51">_xlfn.IFS(F34&gt;0,1,F34&lt;0,E34/D34,F34=0,0)</f>
        <v>0.4</v>
      </c>
      <c r="H34" s="703">
        <f>D34/'Action Plan'!$C$6</f>
        <v>3.8461538461538463</v>
      </c>
      <c r="I34" s="704">
        <f t="shared" ca="1" si="49"/>
        <v>0</v>
      </c>
      <c r="J34" s="1042">
        <v>1</v>
      </c>
      <c r="K34" s="1042">
        <v>1</v>
      </c>
      <c r="L34" s="1042">
        <v>1</v>
      </c>
      <c r="M34" s="1042">
        <v>1</v>
      </c>
      <c r="N34" s="1042">
        <v>1</v>
      </c>
      <c r="O34" s="1042">
        <v>1</v>
      </c>
      <c r="P34" s="1042">
        <v>1</v>
      </c>
      <c r="Q34" s="1042">
        <v>1</v>
      </c>
      <c r="R34" s="1042">
        <v>1</v>
      </c>
      <c r="S34" s="1042">
        <v>1</v>
      </c>
      <c r="T34" s="1042">
        <v>1</v>
      </c>
      <c r="U34" s="1042">
        <v>1</v>
      </c>
      <c r="V34" s="1042">
        <v>1</v>
      </c>
      <c r="W34" s="1042">
        <v>1</v>
      </c>
      <c r="X34" s="1042">
        <v>1</v>
      </c>
      <c r="Y34" s="1042">
        <v>1</v>
      </c>
      <c r="Z34" s="1042">
        <v>1</v>
      </c>
      <c r="AA34" s="1042">
        <v>1</v>
      </c>
      <c r="AB34" s="1042">
        <v>1</v>
      </c>
      <c r="AC34" s="1042">
        <v>1</v>
      </c>
      <c r="AD34" s="1042">
        <v>1</v>
      </c>
      <c r="AE34" s="1042">
        <v>1</v>
      </c>
      <c r="AF34" s="1042">
        <v>1</v>
      </c>
      <c r="AG34" s="1042">
        <v>1</v>
      </c>
      <c r="AH34" s="1042">
        <v>1</v>
      </c>
      <c r="AI34" s="1042">
        <v>1</v>
      </c>
      <c r="AJ34" s="1042">
        <v>1</v>
      </c>
      <c r="AK34" s="1042">
        <v>1</v>
      </c>
      <c r="AL34" s="1042">
        <v>1</v>
      </c>
      <c r="AM34" s="1042">
        <v>1</v>
      </c>
      <c r="AN34" s="1074">
        <v>10</v>
      </c>
    </row>
    <row r="35" spans="1:40" ht="20" customHeight="1" x14ac:dyDescent="0.15">
      <c r="A35" s="10"/>
      <c r="B35" s="262"/>
      <c r="C35" s="693" t="str">
        <f>Dashboard!K57</f>
        <v>TIKTOKSHOP</v>
      </c>
      <c r="D35" s="709">
        <f>Dashboard!M57</f>
        <v>50</v>
      </c>
      <c r="E35" s="1085">
        <f>SUM(J35:AN35)</f>
        <v>155</v>
      </c>
      <c r="F35" s="207">
        <f>E35-D35</f>
        <v>105</v>
      </c>
      <c r="G35" s="208">
        <f t="shared" si="51"/>
        <v>1</v>
      </c>
      <c r="H35" s="703">
        <f>D35/'Action Plan'!$C$6</f>
        <v>1.9230769230769231</v>
      </c>
      <c r="I35" s="704">
        <f t="shared" ca="1" si="49"/>
        <v>0</v>
      </c>
      <c r="J35" s="1043">
        <v>5</v>
      </c>
      <c r="K35" s="1043">
        <v>5</v>
      </c>
      <c r="L35" s="1043">
        <v>5</v>
      </c>
      <c r="M35" s="1043">
        <v>5</v>
      </c>
      <c r="N35" s="1043">
        <v>5</v>
      </c>
      <c r="O35" s="1043">
        <v>5</v>
      </c>
      <c r="P35" s="1043">
        <v>5</v>
      </c>
      <c r="Q35" s="1043">
        <v>5</v>
      </c>
      <c r="R35" s="1043">
        <v>5</v>
      </c>
      <c r="S35" s="1043">
        <v>5</v>
      </c>
      <c r="T35" s="1043">
        <v>5</v>
      </c>
      <c r="U35" s="1043">
        <v>5</v>
      </c>
      <c r="V35" s="1043">
        <v>5</v>
      </c>
      <c r="W35" s="1043">
        <v>5</v>
      </c>
      <c r="X35" s="1043">
        <v>5</v>
      </c>
      <c r="Y35" s="1043">
        <v>5</v>
      </c>
      <c r="Z35" s="1043">
        <v>5</v>
      </c>
      <c r="AA35" s="1043">
        <v>5</v>
      </c>
      <c r="AB35" s="1043">
        <v>5</v>
      </c>
      <c r="AC35" s="1043">
        <v>5</v>
      </c>
      <c r="AD35" s="1043">
        <v>5</v>
      </c>
      <c r="AE35" s="1043">
        <v>5</v>
      </c>
      <c r="AF35" s="1043">
        <v>5</v>
      </c>
      <c r="AG35" s="1043">
        <v>5</v>
      </c>
      <c r="AH35" s="1043">
        <v>5</v>
      </c>
      <c r="AI35" s="1043">
        <v>5</v>
      </c>
      <c r="AJ35" s="1043">
        <v>5</v>
      </c>
      <c r="AK35" s="1043">
        <v>5</v>
      </c>
      <c r="AL35" s="1043">
        <v>5</v>
      </c>
      <c r="AM35" s="1043">
        <v>5</v>
      </c>
      <c r="AN35" s="1075">
        <v>5</v>
      </c>
    </row>
    <row r="36" spans="1:40" ht="20" customHeight="1" x14ac:dyDescent="0.15">
      <c r="A36" s="10"/>
      <c r="B36" s="262"/>
      <c r="C36" s="693" t="str">
        <f>Dashboard!K58</f>
        <v>SHOPPEE</v>
      </c>
      <c r="D36" s="709">
        <f>Dashboard!M58</f>
        <v>50</v>
      </c>
      <c r="E36" s="1085">
        <f t="shared" ref="E36" si="52">SUM(J36:AN36)</f>
        <v>155</v>
      </c>
      <c r="F36" s="207">
        <f t="shared" si="48"/>
        <v>105</v>
      </c>
      <c r="G36" s="208">
        <f t="shared" si="51"/>
        <v>1</v>
      </c>
      <c r="H36" s="703">
        <f>D36/'Action Plan'!$C$6</f>
        <v>1.9230769230769231</v>
      </c>
      <c r="I36" s="704">
        <f t="shared" ca="1" si="49"/>
        <v>0</v>
      </c>
      <c r="J36" s="1043">
        <v>5</v>
      </c>
      <c r="K36" s="1043">
        <v>5</v>
      </c>
      <c r="L36" s="1043">
        <v>5</v>
      </c>
      <c r="M36" s="1043">
        <v>5</v>
      </c>
      <c r="N36" s="1043">
        <v>5</v>
      </c>
      <c r="O36" s="1043">
        <v>5</v>
      </c>
      <c r="P36" s="1043">
        <v>5</v>
      </c>
      <c r="Q36" s="1043">
        <v>5</v>
      </c>
      <c r="R36" s="1043">
        <v>5</v>
      </c>
      <c r="S36" s="1043">
        <v>5</v>
      </c>
      <c r="T36" s="1043">
        <v>5</v>
      </c>
      <c r="U36" s="1043">
        <v>5</v>
      </c>
      <c r="V36" s="1043">
        <v>5</v>
      </c>
      <c r="W36" s="1043">
        <v>5</v>
      </c>
      <c r="X36" s="1043">
        <v>5</v>
      </c>
      <c r="Y36" s="1043">
        <v>5</v>
      </c>
      <c r="Z36" s="1043">
        <v>5</v>
      </c>
      <c r="AA36" s="1043">
        <v>5</v>
      </c>
      <c r="AB36" s="1043">
        <v>5</v>
      </c>
      <c r="AC36" s="1043">
        <v>5</v>
      </c>
      <c r="AD36" s="1043">
        <v>5</v>
      </c>
      <c r="AE36" s="1043">
        <v>5</v>
      </c>
      <c r="AF36" s="1043">
        <v>5</v>
      </c>
      <c r="AG36" s="1043">
        <v>5</v>
      </c>
      <c r="AH36" s="1043">
        <v>5</v>
      </c>
      <c r="AI36" s="1043">
        <v>5</v>
      </c>
      <c r="AJ36" s="1043">
        <v>5</v>
      </c>
      <c r="AK36" s="1043">
        <v>5</v>
      </c>
      <c r="AL36" s="1043">
        <v>5</v>
      </c>
      <c r="AM36" s="1043">
        <v>5</v>
      </c>
      <c r="AN36" s="1075">
        <v>5</v>
      </c>
    </row>
    <row r="37" spans="1:40" ht="20" customHeight="1" x14ac:dyDescent="0.15">
      <c r="A37" s="10"/>
      <c r="B37" s="262"/>
      <c r="C37" s="693" t="str">
        <f>Dashboard!K59</f>
        <v>ZALO</v>
      </c>
      <c r="D37" s="709">
        <f>Dashboard!M59</f>
        <v>100</v>
      </c>
      <c r="E37" s="1085">
        <f>SUM(J37:AN37)</f>
        <v>155</v>
      </c>
      <c r="F37" s="207">
        <f t="shared" si="48"/>
        <v>55</v>
      </c>
      <c r="G37" s="208">
        <f>_xlfn.IFS(F37&gt;0,1,F37&lt;0,E37/D37,F37=0,0)</f>
        <v>1</v>
      </c>
      <c r="H37" s="703">
        <f>D37/'Action Plan'!$C$6</f>
        <v>3.8461538461538463</v>
      </c>
      <c r="I37" s="704">
        <f t="shared" ca="1" si="49"/>
        <v>0</v>
      </c>
      <c r="J37" s="1043">
        <v>5</v>
      </c>
      <c r="K37" s="1043">
        <v>5</v>
      </c>
      <c r="L37" s="1043">
        <v>5</v>
      </c>
      <c r="M37" s="1043">
        <v>5</v>
      </c>
      <c r="N37" s="1043">
        <v>5</v>
      </c>
      <c r="O37" s="1043">
        <v>5</v>
      </c>
      <c r="P37" s="1043">
        <v>5</v>
      </c>
      <c r="Q37" s="1043">
        <v>5</v>
      </c>
      <c r="R37" s="1043">
        <v>5</v>
      </c>
      <c r="S37" s="1043">
        <v>5</v>
      </c>
      <c r="T37" s="1043">
        <v>5</v>
      </c>
      <c r="U37" s="1043">
        <v>5</v>
      </c>
      <c r="V37" s="1043">
        <v>5</v>
      </c>
      <c r="W37" s="1043">
        <v>5</v>
      </c>
      <c r="X37" s="1043">
        <v>5</v>
      </c>
      <c r="Y37" s="1043">
        <v>5</v>
      </c>
      <c r="Z37" s="1043">
        <v>5</v>
      </c>
      <c r="AA37" s="1043">
        <v>5</v>
      </c>
      <c r="AB37" s="1043">
        <v>5</v>
      </c>
      <c r="AC37" s="1043">
        <v>5</v>
      </c>
      <c r="AD37" s="1043">
        <v>5</v>
      </c>
      <c r="AE37" s="1043">
        <v>5</v>
      </c>
      <c r="AF37" s="1043">
        <v>5</v>
      </c>
      <c r="AG37" s="1043">
        <v>5</v>
      </c>
      <c r="AH37" s="1043">
        <v>5</v>
      </c>
      <c r="AI37" s="1043">
        <v>5</v>
      </c>
      <c r="AJ37" s="1043">
        <v>5</v>
      </c>
      <c r="AK37" s="1043">
        <v>5</v>
      </c>
      <c r="AL37" s="1043">
        <v>5</v>
      </c>
      <c r="AM37" s="1043">
        <v>5</v>
      </c>
      <c r="AN37" s="1075">
        <v>5</v>
      </c>
    </row>
    <row r="38" spans="1:40" ht="20" customHeight="1" x14ac:dyDescent="0.15">
      <c r="A38" s="10"/>
      <c r="B38" s="262"/>
      <c r="C38" s="692" t="s">
        <v>23</v>
      </c>
      <c r="D38" s="688">
        <f>Dashboard!E60</f>
        <v>70</v>
      </c>
      <c r="E38" s="186">
        <f>Dashboard!F60</f>
        <v>188</v>
      </c>
      <c r="F38" s="187">
        <f t="shared" ref="F38:F45" si="53">E38-D38</f>
        <v>118</v>
      </c>
      <c r="G38" s="1262">
        <f>_xlfn.IFS(F38&gt;0,1,F38&lt;=0,E38/D38)</f>
        <v>1</v>
      </c>
      <c r="H38" s="192">
        <f>D38/'Action Plan'!$C$6</f>
        <v>2.6923076923076925</v>
      </c>
      <c r="I38" s="191">
        <f t="shared" ca="1" si="49"/>
        <v>0</v>
      </c>
      <c r="J38" s="167">
        <f>J39</f>
        <v>5</v>
      </c>
      <c r="K38" s="172">
        <f>K39</f>
        <v>5</v>
      </c>
      <c r="L38" s="173">
        <f>L39</f>
        <v>5</v>
      </c>
      <c r="M38" s="173">
        <f t="shared" ref="M38:AN38" si="54">M39</f>
        <v>5</v>
      </c>
      <c r="N38" s="173">
        <f t="shared" si="54"/>
        <v>5</v>
      </c>
      <c r="O38" s="173">
        <f t="shared" si="54"/>
        <v>5</v>
      </c>
      <c r="P38" s="173">
        <f t="shared" si="54"/>
        <v>5</v>
      </c>
      <c r="Q38" s="173">
        <f t="shared" si="54"/>
        <v>5</v>
      </c>
      <c r="R38" s="173">
        <f t="shared" si="54"/>
        <v>5</v>
      </c>
      <c r="S38" s="173">
        <f t="shared" si="54"/>
        <v>5</v>
      </c>
      <c r="T38" s="173">
        <f t="shared" si="54"/>
        <v>5</v>
      </c>
      <c r="U38" s="173">
        <f t="shared" si="54"/>
        <v>5</v>
      </c>
      <c r="V38" s="173">
        <f t="shared" si="54"/>
        <v>5</v>
      </c>
      <c r="W38" s="173">
        <f t="shared" si="54"/>
        <v>5</v>
      </c>
      <c r="X38" s="173">
        <f t="shared" si="54"/>
        <v>5</v>
      </c>
      <c r="Y38" s="173">
        <f t="shared" si="54"/>
        <v>5</v>
      </c>
      <c r="Z38" s="173">
        <f t="shared" si="54"/>
        <v>5</v>
      </c>
      <c r="AA38" s="173">
        <f t="shared" si="54"/>
        <v>5</v>
      </c>
      <c r="AB38" s="173">
        <f t="shared" si="54"/>
        <v>5</v>
      </c>
      <c r="AC38" s="173">
        <f t="shared" si="54"/>
        <v>5</v>
      </c>
      <c r="AD38" s="173">
        <f t="shared" si="54"/>
        <v>5</v>
      </c>
      <c r="AE38" s="173">
        <f t="shared" si="54"/>
        <v>5</v>
      </c>
      <c r="AF38" s="173">
        <f t="shared" si="54"/>
        <v>5</v>
      </c>
      <c r="AG38" s="173">
        <f t="shared" si="54"/>
        <v>5</v>
      </c>
      <c r="AH38" s="173">
        <f t="shared" si="54"/>
        <v>5</v>
      </c>
      <c r="AI38" s="173">
        <f t="shared" si="54"/>
        <v>5</v>
      </c>
      <c r="AJ38" s="173">
        <f t="shared" si="54"/>
        <v>5</v>
      </c>
      <c r="AK38" s="173">
        <f t="shared" si="54"/>
        <v>5</v>
      </c>
      <c r="AL38" s="173">
        <f t="shared" si="54"/>
        <v>5</v>
      </c>
      <c r="AM38" s="173">
        <f t="shared" si="54"/>
        <v>5</v>
      </c>
      <c r="AN38" s="773">
        <f t="shared" si="54"/>
        <v>6</v>
      </c>
    </row>
    <row r="39" spans="1:40" ht="20" customHeight="1" x14ac:dyDescent="0.15">
      <c r="A39" s="9"/>
      <c r="B39" s="184"/>
      <c r="C39" s="750" t="str">
        <f>Dashboard!K60</f>
        <v>ADS</v>
      </c>
      <c r="D39" s="751">
        <f>Dashboard!M60</f>
        <v>30</v>
      </c>
      <c r="E39" s="752">
        <f>SUM(E40:E45)</f>
        <v>156</v>
      </c>
      <c r="F39" s="753">
        <f t="shared" si="53"/>
        <v>126</v>
      </c>
      <c r="G39" s="1259">
        <f>_xlfn.IFS(F39&gt;0,1,F39&lt;=0,E39/D39)</f>
        <v>1</v>
      </c>
      <c r="H39" s="756">
        <f>D39/'Action Plan'!$C$6</f>
        <v>1.1538461538461537</v>
      </c>
      <c r="I39" s="757">
        <f ca="1">SUM(I40:I45)</f>
        <v>0</v>
      </c>
      <c r="J39" s="1069">
        <f>SUM(J40:J45)</f>
        <v>5</v>
      </c>
      <c r="K39" s="1069">
        <f>SUM(K40:K45)</f>
        <v>5</v>
      </c>
      <c r="L39" s="1069">
        <f t="shared" ref="L39:AN39" si="55">SUM(L40:L45)</f>
        <v>5</v>
      </c>
      <c r="M39" s="1069">
        <f t="shared" si="55"/>
        <v>5</v>
      </c>
      <c r="N39" s="1069">
        <f t="shared" si="55"/>
        <v>5</v>
      </c>
      <c r="O39" s="1069">
        <f t="shared" si="55"/>
        <v>5</v>
      </c>
      <c r="P39" s="1069">
        <f t="shared" si="55"/>
        <v>5</v>
      </c>
      <c r="Q39" s="1069">
        <f t="shared" si="55"/>
        <v>5</v>
      </c>
      <c r="R39" s="1069">
        <f t="shared" si="55"/>
        <v>5</v>
      </c>
      <c r="S39" s="1069">
        <f t="shared" si="55"/>
        <v>5</v>
      </c>
      <c r="T39" s="1069">
        <f t="shared" si="55"/>
        <v>5</v>
      </c>
      <c r="U39" s="1069">
        <f t="shared" si="55"/>
        <v>5</v>
      </c>
      <c r="V39" s="1069">
        <f t="shared" si="55"/>
        <v>5</v>
      </c>
      <c r="W39" s="1069">
        <f t="shared" si="55"/>
        <v>5</v>
      </c>
      <c r="X39" s="1069">
        <f t="shared" si="55"/>
        <v>5</v>
      </c>
      <c r="Y39" s="1069">
        <f t="shared" si="55"/>
        <v>5</v>
      </c>
      <c r="Z39" s="1069">
        <f t="shared" si="55"/>
        <v>5</v>
      </c>
      <c r="AA39" s="1069">
        <f t="shared" si="55"/>
        <v>5</v>
      </c>
      <c r="AB39" s="1069">
        <f t="shared" si="55"/>
        <v>5</v>
      </c>
      <c r="AC39" s="1069">
        <f t="shared" si="55"/>
        <v>5</v>
      </c>
      <c r="AD39" s="1069">
        <f t="shared" si="55"/>
        <v>5</v>
      </c>
      <c r="AE39" s="1069">
        <f t="shared" si="55"/>
        <v>5</v>
      </c>
      <c r="AF39" s="1069">
        <f t="shared" si="55"/>
        <v>5</v>
      </c>
      <c r="AG39" s="1069">
        <f t="shared" si="55"/>
        <v>5</v>
      </c>
      <c r="AH39" s="1069">
        <f t="shared" si="55"/>
        <v>5</v>
      </c>
      <c r="AI39" s="1069">
        <f t="shared" si="55"/>
        <v>5</v>
      </c>
      <c r="AJ39" s="1069">
        <f t="shared" si="55"/>
        <v>5</v>
      </c>
      <c r="AK39" s="1069">
        <f t="shared" si="55"/>
        <v>5</v>
      </c>
      <c r="AL39" s="1069">
        <f t="shared" si="55"/>
        <v>5</v>
      </c>
      <c r="AM39" s="1069">
        <f t="shared" si="55"/>
        <v>5</v>
      </c>
      <c r="AN39" s="1073">
        <f t="shared" si="55"/>
        <v>6</v>
      </c>
    </row>
    <row r="40" spans="1:40" ht="20" customHeight="1" x14ac:dyDescent="0.15">
      <c r="A40" s="10"/>
      <c r="B40" s="262"/>
      <c r="C40" s="693" t="str">
        <f>Dashboard!K61</f>
        <v>FACEBOOK</v>
      </c>
      <c r="D40" s="709">
        <f>Dashboard!M61</f>
        <v>10</v>
      </c>
      <c r="E40" s="1085">
        <f>SUM(J40:AN40)</f>
        <v>62</v>
      </c>
      <c r="F40" s="207">
        <f>E40-D40</f>
        <v>52</v>
      </c>
      <c r="G40" s="208">
        <f>_xlfn.IFS(F40&gt;0,1,F40&lt;0,E40/D40,F40=0,0)</f>
        <v>1</v>
      </c>
      <c r="H40" s="778">
        <f>D40/'Action Plan'!$C$6</f>
        <v>0.38461538461538464</v>
      </c>
      <c r="I40" s="706">
        <f ca="1">SUMIF($J$5:$AN$5,TODAY(),J40:AN40)</f>
        <v>0</v>
      </c>
      <c r="J40" s="1043">
        <v>2</v>
      </c>
      <c r="K40" s="1043">
        <v>2</v>
      </c>
      <c r="L40" s="1043">
        <v>2</v>
      </c>
      <c r="M40" s="1043">
        <v>2</v>
      </c>
      <c r="N40" s="1043">
        <v>2</v>
      </c>
      <c r="O40" s="1043">
        <v>2</v>
      </c>
      <c r="P40" s="1043">
        <v>2</v>
      </c>
      <c r="Q40" s="1043">
        <v>2</v>
      </c>
      <c r="R40" s="1043">
        <v>2</v>
      </c>
      <c r="S40" s="1043">
        <v>2</v>
      </c>
      <c r="T40" s="1043">
        <v>2</v>
      </c>
      <c r="U40" s="1043">
        <v>2</v>
      </c>
      <c r="V40" s="1043">
        <v>2</v>
      </c>
      <c r="W40" s="1043">
        <v>2</v>
      </c>
      <c r="X40" s="1043">
        <v>2</v>
      </c>
      <c r="Y40" s="1043">
        <v>2</v>
      </c>
      <c r="Z40" s="1043">
        <v>2</v>
      </c>
      <c r="AA40" s="1043">
        <v>2</v>
      </c>
      <c r="AB40" s="1043">
        <v>2</v>
      </c>
      <c r="AC40" s="1043">
        <v>2</v>
      </c>
      <c r="AD40" s="1043">
        <v>2</v>
      </c>
      <c r="AE40" s="1043">
        <v>2</v>
      </c>
      <c r="AF40" s="1043">
        <v>2</v>
      </c>
      <c r="AG40" s="1043">
        <v>2</v>
      </c>
      <c r="AH40" s="1043">
        <v>2</v>
      </c>
      <c r="AI40" s="1043">
        <v>2</v>
      </c>
      <c r="AJ40" s="1043">
        <v>2</v>
      </c>
      <c r="AK40" s="1043">
        <v>2</v>
      </c>
      <c r="AL40" s="1043">
        <v>2</v>
      </c>
      <c r="AM40" s="1043">
        <v>2</v>
      </c>
      <c r="AN40" s="1075">
        <v>2</v>
      </c>
    </row>
    <row r="41" spans="1:40" ht="20" customHeight="1" x14ac:dyDescent="0.15">
      <c r="A41" s="10"/>
      <c r="B41" s="262"/>
      <c r="C41" s="693" t="str">
        <f>Dashboard!K62</f>
        <v>LANDING PAGE</v>
      </c>
      <c r="D41" s="709">
        <f>Dashboard!M62</f>
        <v>10</v>
      </c>
      <c r="E41" s="1085">
        <f t="shared" ref="E41:E45" si="56">SUM(J41:AN41)</f>
        <v>62</v>
      </c>
      <c r="F41" s="207">
        <f t="shared" si="53"/>
        <v>52</v>
      </c>
      <c r="G41" s="208">
        <f t="shared" ref="G41" si="57">_xlfn.IFS(F41&gt;0,1,F41&lt;0,E41/D41,F41=0,0)</f>
        <v>1</v>
      </c>
      <c r="H41" s="778">
        <f>D41/'Action Plan'!$C$6</f>
        <v>0.38461538461538464</v>
      </c>
      <c r="I41" s="706">
        <f t="shared" ref="I41:I45" ca="1" si="58">SUMIF($J$5:$AN$5,TODAY(),J41:AN41)</f>
        <v>0</v>
      </c>
      <c r="J41" s="1043">
        <v>2</v>
      </c>
      <c r="K41" s="1043">
        <v>2</v>
      </c>
      <c r="L41" s="1043">
        <v>2</v>
      </c>
      <c r="M41" s="1043">
        <v>2</v>
      </c>
      <c r="N41" s="1043">
        <v>2</v>
      </c>
      <c r="O41" s="1043">
        <v>2</v>
      </c>
      <c r="P41" s="1043">
        <v>2</v>
      </c>
      <c r="Q41" s="1043">
        <v>2</v>
      </c>
      <c r="R41" s="1043">
        <v>2</v>
      </c>
      <c r="S41" s="1043">
        <v>2</v>
      </c>
      <c r="T41" s="1043">
        <v>2</v>
      </c>
      <c r="U41" s="1043">
        <v>2</v>
      </c>
      <c r="V41" s="1043">
        <v>2</v>
      </c>
      <c r="W41" s="1043">
        <v>2</v>
      </c>
      <c r="X41" s="1043">
        <v>2</v>
      </c>
      <c r="Y41" s="1043">
        <v>2</v>
      </c>
      <c r="Z41" s="1043">
        <v>2</v>
      </c>
      <c r="AA41" s="1043">
        <v>2</v>
      </c>
      <c r="AB41" s="1043">
        <v>2</v>
      </c>
      <c r="AC41" s="1043">
        <v>2</v>
      </c>
      <c r="AD41" s="1043">
        <v>2</v>
      </c>
      <c r="AE41" s="1043">
        <v>2</v>
      </c>
      <c r="AF41" s="1043">
        <v>2</v>
      </c>
      <c r="AG41" s="1043">
        <v>2</v>
      </c>
      <c r="AH41" s="1043">
        <v>2</v>
      </c>
      <c r="AI41" s="1043">
        <v>2</v>
      </c>
      <c r="AJ41" s="1043">
        <v>2</v>
      </c>
      <c r="AK41" s="1043">
        <v>2</v>
      </c>
      <c r="AL41" s="1043">
        <v>2</v>
      </c>
      <c r="AM41" s="1043">
        <v>2</v>
      </c>
      <c r="AN41" s="1075">
        <v>2</v>
      </c>
    </row>
    <row r="42" spans="1:40" ht="20" customHeight="1" x14ac:dyDescent="0.15">
      <c r="A42" s="10"/>
      <c r="B42" s="262"/>
      <c r="C42" s="694" t="str">
        <f>Dashboard!K63</f>
        <v>WEBSITE</v>
      </c>
      <c r="D42" s="709">
        <f>Dashboard!M63</f>
        <v>5</v>
      </c>
      <c r="E42" s="1085">
        <f t="shared" si="56"/>
        <v>1</v>
      </c>
      <c r="F42" s="207">
        <f t="shared" si="53"/>
        <v>-4</v>
      </c>
      <c r="G42" s="208">
        <f>_xlfn.IFS(F42&gt;0,1,F42&lt;0,E42/D42,F42=0,0)</f>
        <v>0.2</v>
      </c>
      <c r="H42" s="778">
        <f>D42/'Action Plan'!$C$6</f>
        <v>0.19230769230769232</v>
      </c>
      <c r="I42" s="706">
        <f t="shared" ca="1" si="58"/>
        <v>0</v>
      </c>
      <c r="J42" s="1043">
        <v>0</v>
      </c>
      <c r="K42" s="1043">
        <v>0</v>
      </c>
      <c r="L42" s="1043">
        <v>0</v>
      </c>
      <c r="M42" s="1043">
        <v>0</v>
      </c>
      <c r="N42" s="1043">
        <v>0</v>
      </c>
      <c r="O42" s="1043">
        <v>0</v>
      </c>
      <c r="P42" s="1043">
        <v>0</v>
      </c>
      <c r="Q42" s="1043">
        <v>0</v>
      </c>
      <c r="R42" s="1043">
        <v>0</v>
      </c>
      <c r="S42" s="1043">
        <v>0</v>
      </c>
      <c r="T42" s="1043">
        <v>0</v>
      </c>
      <c r="U42" s="1043">
        <v>0</v>
      </c>
      <c r="V42" s="1043">
        <v>0</v>
      </c>
      <c r="W42" s="1043">
        <v>0</v>
      </c>
      <c r="X42" s="1043">
        <v>0</v>
      </c>
      <c r="Y42" s="1043">
        <v>0</v>
      </c>
      <c r="Z42" s="1043">
        <v>0</v>
      </c>
      <c r="AA42" s="1043">
        <v>0</v>
      </c>
      <c r="AB42" s="1043">
        <v>0</v>
      </c>
      <c r="AC42" s="1043">
        <v>0</v>
      </c>
      <c r="AD42" s="1043">
        <v>0</v>
      </c>
      <c r="AE42" s="1043">
        <v>0</v>
      </c>
      <c r="AF42" s="1043">
        <v>0</v>
      </c>
      <c r="AG42" s="1043">
        <v>0</v>
      </c>
      <c r="AH42" s="1043">
        <v>0</v>
      </c>
      <c r="AI42" s="1043">
        <v>0</v>
      </c>
      <c r="AJ42" s="1043">
        <v>0</v>
      </c>
      <c r="AK42" s="1043">
        <v>0</v>
      </c>
      <c r="AL42" s="1043">
        <v>0</v>
      </c>
      <c r="AM42" s="1043">
        <v>0</v>
      </c>
      <c r="AN42" s="1075">
        <v>1</v>
      </c>
    </row>
    <row r="43" spans="1:40" ht="20" customHeight="1" x14ac:dyDescent="0.15">
      <c r="A43" s="10"/>
      <c r="B43" s="262"/>
      <c r="C43" s="694" t="str">
        <f>Dashboard!K64</f>
        <v>TIKTOKSHOP</v>
      </c>
      <c r="D43" s="709">
        <f>Dashboard!M64</f>
        <v>0</v>
      </c>
      <c r="E43" s="1085">
        <f>SUM(J43:AN43)</f>
        <v>0</v>
      </c>
      <c r="F43" s="207">
        <f t="shared" si="53"/>
        <v>0</v>
      </c>
      <c r="G43" s="208">
        <f>_xlfn.IFS(F43&gt;0,1,F43&lt;0,E43/D43,F43=0,0)</f>
        <v>0</v>
      </c>
      <c r="H43" s="778">
        <f>D43/'Action Plan'!$C$6</f>
        <v>0</v>
      </c>
      <c r="I43" s="706">
        <f t="shared" ca="1" si="58"/>
        <v>0</v>
      </c>
      <c r="J43" s="1043">
        <v>0</v>
      </c>
      <c r="K43" s="1043">
        <v>0</v>
      </c>
      <c r="L43" s="1043">
        <v>0</v>
      </c>
      <c r="M43" s="1043">
        <v>0</v>
      </c>
      <c r="N43" s="1043">
        <v>0</v>
      </c>
      <c r="O43" s="1043">
        <v>0</v>
      </c>
      <c r="P43" s="1043">
        <v>0</v>
      </c>
      <c r="Q43" s="1043">
        <v>0</v>
      </c>
      <c r="R43" s="1043">
        <v>0</v>
      </c>
      <c r="S43" s="1043">
        <v>0</v>
      </c>
      <c r="T43" s="1043">
        <v>0</v>
      </c>
      <c r="U43" s="1043">
        <v>0</v>
      </c>
      <c r="V43" s="1043">
        <v>0</v>
      </c>
      <c r="W43" s="1043">
        <v>0</v>
      </c>
      <c r="X43" s="1043">
        <v>0</v>
      </c>
      <c r="Y43" s="1043">
        <v>0</v>
      </c>
      <c r="Z43" s="1043">
        <v>0</v>
      </c>
      <c r="AA43" s="1043">
        <v>0</v>
      </c>
      <c r="AB43" s="1043">
        <v>0</v>
      </c>
      <c r="AC43" s="1043">
        <v>0</v>
      </c>
      <c r="AD43" s="1043">
        <v>0</v>
      </c>
      <c r="AE43" s="1043">
        <v>0</v>
      </c>
      <c r="AF43" s="1043">
        <v>0</v>
      </c>
      <c r="AG43" s="1043">
        <v>0</v>
      </c>
      <c r="AH43" s="1043">
        <v>0</v>
      </c>
      <c r="AI43" s="1043">
        <v>0</v>
      </c>
      <c r="AJ43" s="1043">
        <v>0</v>
      </c>
      <c r="AK43" s="1043">
        <v>0</v>
      </c>
      <c r="AL43" s="1043">
        <v>0</v>
      </c>
      <c r="AM43" s="1043">
        <v>0</v>
      </c>
      <c r="AN43" s="1075">
        <v>0</v>
      </c>
    </row>
    <row r="44" spans="1:40" ht="20" customHeight="1" x14ac:dyDescent="0.15">
      <c r="A44" s="10"/>
      <c r="B44" s="262"/>
      <c r="C44" s="694" t="str">
        <f>Dashboard!K65</f>
        <v>SHOPPEE</v>
      </c>
      <c r="D44" s="709">
        <f>Dashboard!M65</f>
        <v>0</v>
      </c>
      <c r="E44" s="1085">
        <f t="shared" si="56"/>
        <v>0</v>
      </c>
      <c r="F44" s="207">
        <f t="shared" si="53"/>
        <v>0</v>
      </c>
      <c r="G44" s="208">
        <f>_xlfn.IFS(F44&gt;0,1,F44&lt;0,E44/D44,F44=0,0)</f>
        <v>0</v>
      </c>
      <c r="H44" s="778">
        <f>D44/'Action Plan'!$C$6</f>
        <v>0</v>
      </c>
      <c r="I44" s="706">
        <f t="shared" ca="1" si="58"/>
        <v>0</v>
      </c>
      <c r="J44" s="1043">
        <v>0</v>
      </c>
      <c r="K44" s="1043">
        <v>0</v>
      </c>
      <c r="L44" s="1043">
        <v>0</v>
      </c>
      <c r="M44" s="1043">
        <v>0</v>
      </c>
      <c r="N44" s="1043">
        <v>0</v>
      </c>
      <c r="O44" s="1043">
        <v>0</v>
      </c>
      <c r="P44" s="1043">
        <v>0</v>
      </c>
      <c r="Q44" s="1043">
        <v>0</v>
      </c>
      <c r="R44" s="1043">
        <v>0</v>
      </c>
      <c r="S44" s="1043">
        <v>0</v>
      </c>
      <c r="T44" s="1043">
        <v>0</v>
      </c>
      <c r="U44" s="1043">
        <v>0</v>
      </c>
      <c r="V44" s="1043">
        <v>0</v>
      </c>
      <c r="W44" s="1043">
        <v>0</v>
      </c>
      <c r="X44" s="1043">
        <v>0</v>
      </c>
      <c r="Y44" s="1043">
        <v>0</v>
      </c>
      <c r="Z44" s="1043">
        <v>0</v>
      </c>
      <c r="AA44" s="1043">
        <v>0</v>
      </c>
      <c r="AB44" s="1043">
        <v>0</v>
      </c>
      <c r="AC44" s="1043">
        <v>0</v>
      </c>
      <c r="AD44" s="1043">
        <v>0</v>
      </c>
      <c r="AE44" s="1043">
        <v>0</v>
      </c>
      <c r="AF44" s="1043">
        <v>0</v>
      </c>
      <c r="AG44" s="1043">
        <v>0</v>
      </c>
      <c r="AH44" s="1043">
        <v>0</v>
      </c>
      <c r="AI44" s="1043">
        <v>0</v>
      </c>
      <c r="AJ44" s="1043">
        <v>0</v>
      </c>
      <c r="AK44" s="1043">
        <v>0</v>
      </c>
      <c r="AL44" s="1043">
        <v>0</v>
      </c>
      <c r="AM44" s="1043">
        <v>0</v>
      </c>
      <c r="AN44" s="1075">
        <v>0</v>
      </c>
    </row>
    <row r="45" spans="1:40" ht="20" customHeight="1" thickBot="1" x14ac:dyDescent="0.2">
      <c r="A45" s="10"/>
      <c r="B45" s="262"/>
      <c r="C45" s="697" t="str">
        <f>Dashboard!K66</f>
        <v>ZALO</v>
      </c>
      <c r="D45" s="710">
        <f>Dashboard!M66</f>
        <v>5</v>
      </c>
      <c r="E45" s="1086">
        <f t="shared" si="56"/>
        <v>31</v>
      </c>
      <c r="F45" s="710">
        <f t="shared" si="53"/>
        <v>26</v>
      </c>
      <c r="G45" s="1263">
        <f>_xlfn.IFS(F45&gt;0,1,F45&lt;0,E45/D45,F45=0,0)</f>
        <v>1</v>
      </c>
      <c r="H45" s="779">
        <f>D45/'Action Plan'!$C$6</f>
        <v>0.19230769230769232</v>
      </c>
      <c r="I45" s="708">
        <f t="shared" ca="1" si="58"/>
        <v>0</v>
      </c>
      <c r="J45" s="1060">
        <v>1</v>
      </c>
      <c r="K45" s="1060">
        <v>1</v>
      </c>
      <c r="L45" s="1060">
        <v>1</v>
      </c>
      <c r="M45" s="1060">
        <v>1</v>
      </c>
      <c r="N45" s="1060">
        <v>1</v>
      </c>
      <c r="O45" s="1060">
        <v>1</v>
      </c>
      <c r="P45" s="1060">
        <v>1</v>
      </c>
      <c r="Q45" s="1060">
        <v>1</v>
      </c>
      <c r="R45" s="1060">
        <v>1</v>
      </c>
      <c r="S45" s="1060">
        <v>1</v>
      </c>
      <c r="T45" s="1060">
        <v>1</v>
      </c>
      <c r="U45" s="1060">
        <v>1</v>
      </c>
      <c r="V45" s="1060">
        <v>1</v>
      </c>
      <c r="W45" s="1060">
        <v>1</v>
      </c>
      <c r="X45" s="1060">
        <v>1</v>
      </c>
      <c r="Y45" s="1060">
        <v>1</v>
      </c>
      <c r="Z45" s="1060">
        <v>1</v>
      </c>
      <c r="AA45" s="1060">
        <v>1</v>
      </c>
      <c r="AB45" s="1060">
        <v>1</v>
      </c>
      <c r="AC45" s="1060">
        <v>1</v>
      </c>
      <c r="AD45" s="1060">
        <v>1</v>
      </c>
      <c r="AE45" s="1060">
        <v>1</v>
      </c>
      <c r="AF45" s="1060">
        <v>1</v>
      </c>
      <c r="AG45" s="1060">
        <v>1</v>
      </c>
      <c r="AH45" s="1060">
        <v>1</v>
      </c>
      <c r="AI45" s="1060">
        <v>1</v>
      </c>
      <c r="AJ45" s="1060">
        <v>1</v>
      </c>
      <c r="AK45" s="1060">
        <v>1</v>
      </c>
      <c r="AL45" s="1060">
        <v>1</v>
      </c>
      <c r="AM45" s="1060">
        <v>1</v>
      </c>
      <c r="AN45" s="1076">
        <v>1</v>
      </c>
    </row>
    <row r="46" spans="1:40" ht="20" customHeight="1" x14ac:dyDescent="0.15">
      <c r="A46" s="10"/>
      <c r="B46" s="262"/>
      <c r="C46" s="728" t="str">
        <f>Dashboard!K67</f>
        <v>P3</v>
      </c>
      <c r="D46" s="764"/>
      <c r="E46" s="765"/>
      <c r="F46" s="766"/>
      <c r="G46" s="767"/>
      <c r="H46" s="768"/>
      <c r="I46" s="769"/>
      <c r="J46" s="770"/>
      <c r="K46" s="770"/>
      <c r="L46" s="770"/>
      <c r="M46" s="770"/>
      <c r="N46" s="770"/>
      <c r="O46" s="770"/>
      <c r="P46" s="770"/>
      <c r="Q46" s="770"/>
      <c r="R46" s="770"/>
      <c r="S46" s="770"/>
      <c r="T46" s="770"/>
      <c r="U46" s="770"/>
      <c r="V46" s="770"/>
      <c r="W46" s="770"/>
      <c r="X46" s="770"/>
      <c r="Y46" s="770"/>
      <c r="Z46" s="770"/>
      <c r="AA46" s="770"/>
      <c r="AB46" s="770"/>
      <c r="AC46" s="770"/>
      <c r="AD46" s="770"/>
      <c r="AE46" s="770"/>
      <c r="AF46" s="770"/>
      <c r="AG46" s="770"/>
      <c r="AH46" s="770"/>
      <c r="AI46" s="770"/>
      <c r="AJ46" s="770"/>
      <c r="AK46" s="770"/>
      <c r="AL46" s="770"/>
      <c r="AM46" s="770"/>
      <c r="AN46" s="772"/>
    </row>
    <row r="47" spans="1:40" ht="20" customHeight="1" x14ac:dyDescent="0.15">
      <c r="A47" s="11"/>
      <c r="B47" s="384"/>
      <c r="C47" s="1055" t="s">
        <v>131</v>
      </c>
      <c r="D47" s="1056">
        <f>Dashboard!E68</f>
        <v>500000000</v>
      </c>
      <c r="E47" s="1057">
        <f>Dashboard!F68</f>
        <v>373050000</v>
      </c>
      <c r="F47" s="1058">
        <f>E47-D47</f>
        <v>-126950000</v>
      </c>
      <c r="G47" s="1257">
        <f>_xlfn.IFS(F47&gt;0,1,F47&lt;=0,E47/D47)</f>
        <v>0.74609999999999999</v>
      </c>
      <c r="H47" s="1059">
        <f>D47/'Action Plan'!$C$6</f>
        <v>19230769.230769232</v>
      </c>
      <c r="I47" s="1046">
        <f ca="1">SUMIF($J$5:$AN$5,TODAY(),J47:AN47)</f>
        <v>0</v>
      </c>
      <c r="J47" s="698">
        <f>J48</f>
        <v>1750000</v>
      </c>
      <c r="K47" s="698">
        <f>K48</f>
        <v>1750000</v>
      </c>
      <c r="L47" s="698">
        <f>L48</f>
        <v>1750000</v>
      </c>
      <c r="M47" s="698">
        <f t="shared" ref="M47" si="59">M48</f>
        <v>1750000</v>
      </c>
      <c r="N47" s="698">
        <f t="shared" ref="N47" si="60">N48</f>
        <v>1750000</v>
      </c>
      <c r="O47" s="698">
        <f t="shared" ref="O47" si="61">O48</f>
        <v>1750000</v>
      </c>
      <c r="P47" s="698">
        <f t="shared" ref="P47" si="62">P48</f>
        <v>1750000</v>
      </c>
      <c r="Q47" s="698">
        <f t="shared" ref="Q47" si="63">Q48</f>
        <v>1750000</v>
      </c>
      <c r="R47" s="698">
        <f t="shared" ref="R47" si="64">R48</f>
        <v>1750000</v>
      </c>
      <c r="S47" s="698">
        <f t="shared" ref="S47" si="65">S48</f>
        <v>1750000</v>
      </c>
      <c r="T47" s="698">
        <f t="shared" ref="T47" si="66">T48</f>
        <v>1750000</v>
      </c>
      <c r="U47" s="698">
        <f t="shared" ref="U47" si="67">U48</f>
        <v>1750000</v>
      </c>
      <c r="V47" s="698">
        <f t="shared" ref="V47" si="68">V48</f>
        <v>1750000</v>
      </c>
      <c r="W47" s="698">
        <f t="shared" ref="W47" si="69">W48</f>
        <v>1750000</v>
      </c>
      <c r="X47" s="698">
        <f t="shared" ref="X47" si="70">X48</f>
        <v>1750000</v>
      </c>
      <c r="Y47" s="698">
        <f t="shared" ref="Y47" si="71">Y48</f>
        <v>1750000</v>
      </c>
      <c r="Z47" s="698">
        <f t="shared" ref="Z47" si="72">Z48</f>
        <v>1750000</v>
      </c>
      <c r="AA47" s="698">
        <f t="shared" ref="AA47" si="73">AA48</f>
        <v>1750000</v>
      </c>
      <c r="AB47" s="698">
        <f t="shared" ref="AB47" si="74">AB48</f>
        <v>1750000</v>
      </c>
      <c r="AC47" s="698">
        <f t="shared" ref="AC47" si="75">AC48</f>
        <v>1750000</v>
      </c>
      <c r="AD47" s="698">
        <f t="shared" ref="AD47" si="76">AD48</f>
        <v>1750000</v>
      </c>
      <c r="AE47" s="698">
        <f t="shared" ref="AE47" si="77">AE48</f>
        <v>1750000</v>
      </c>
      <c r="AF47" s="698">
        <f t="shared" ref="AF47" si="78">AF48</f>
        <v>1750000</v>
      </c>
      <c r="AG47" s="698">
        <f t="shared" ref="AG47" si="79">AG48</f>
        <v>1750000</v>
      </c>
      <c r="AH47" s="698">
        <f t="shared" ref="AH47" si="80">AH48</f>
        <v>1750000</v>
      </c>
      <c r="AI47" s="698">
        <f t="shared" ref="AI47" si="81">AI48</f>
        <v>1750000</v>
      </c>
      <c r="AJ47" s="698">
        <f t="shared" ref="AJ47" si="82">AJ48</f>
        <v>1750000</v>
      </c>
      <c r="AK47" s="698">
        <f t="shared" ref="AK47" si="83">AK48</f>
        <v>1750000</v>
      </c>
      <c r="AL47" s="698">
        <f t="shared" ref="AL47" si="84">AL48</f>
        <v>1750000</v>
      </c>
      <c r="AM47" s="698">
        <f t="shared" ref="AM47" si="85">AM48</f>
        <v>1750000</v>
      </c>
      <c r="AN47" s="727">
        <f t="shared" ref="AN47" si="86">AN48</f>
        <v>550000</v>
      </c>
    </row>
    <row r="48" spans="1:40" ht="20" customHeight="1" x14ac:dyDescent="0.15">
      <c r="A48" s="9"/>
      <c r="B48" s="184"/>
      <c r="C48" s="729" t="str">
        <f>Dashboard!K68</f>
        <v>SALES REVENUE</v>
      </c>
      <c r="D48" s="730">
        <f>Dashboard!M68</f>
        <v>250000000</v>
      </c>
      <c r="E48" s="731">
        <f>SUM(E49:E54)</f>
        <v>53050000</v>
      </c>
      <c r="F48" s="732">
        <f>E48-D48</f>
        <v>-196950000</v>
      </c>
      <c r="G48" s="1259">
        <f>_xlfn.IFS(F48&gt;0,1,F48&lt;=0,E48/D48)</f>
        <v>0.2122</v>
      </c>
      <c r="H48" s="733">
        <f>D48/'Action Plan'!$C$6</f>
        <v>9615384.615384616</v>
      </c>
      <c r="I48" s="734">
        <f ca="1">SUM(I49:I54)</f>
        <v>0</v>
      </c>
      <c r="J48" s="1065">
        <f>SUM(J49:J54)</f>
        <v>1750000</v>
      </c>
      <c r="K48" s="1065">
        <f>SUM(K49:K54)</f>
        <v>1750000</v>
      </c>
      <c r="L48" s="1065">
        <f t="shared" ref="L48:AN48" si="87">SUM(L49:L54)</f>
        <v>1750000</v>
      </c>
      <c r="M48" s="1065">
        <f t="shared" si="87"/>
        <v>1750000</v>
      </c>
      <c r="N48" s="1065">
        <f t="shared" si="87"/>
        <v>1750000</v>
      </c>
      <c r="O48" s="1065">
        <f t="shared" si="87"/>
        <v>1750000</v>
      </c>
      <c r="P48" s="1065">
        <f t="shared" si="87"/>
        <v>1750000</v>
      </c>
      <c r="Q48" s="1065">
        <f t="shared" si="87"/>
        <v>1750000</v>
      </c>
      <c r="R48" s="1065">
        <f t="shared" si="87"/>
        <v>1750000</v>
      </c>
      <c r="S48" s="1065">
        <f t="shared" si="87"/>
        <v>1750000</v>
      </c>
      <c r="T48" s="1065">
        <f t="shared" si="87"/>
        <v>1750000</v>
      </c>
      <c r="U48" s="1065">
        <f t="shared" si="87"/>
        <v>1750000</v>
      </c>
      <c r="V48" s="1065">
        <f t="shared" si="87"/>
        <v>1750000</v>
      </c>
      <c r="W48" s="1065">
        <f t="shared" si="87"/>
        <v>1750000</v>
      </c>
      <c r="X48" s="1065">
        <f t="shared" si="87"/>
        <v>1750000</v>
      </c>
      <c r="Y48" s="1065">
        <f t="shared" si="87"/>
        <v>1750000</v>
      </c>
      <c r="Z48" s="1065">
        <f t="shared" si="87"/>
        <v>1750000</v>
      </c>
      <c r="AA48" s="1065">
        <f t="shared" si="87"/>
        <v>1750000</v>
      </c>
      <c r="AB48" s="1065">
        <f t="shared" si="87"/>
        <v>1750000</v>
      </c>
      <c r="AC48" s="1065">
        <f t="shared" si="87"/>
        <v>1750000</v>
      </c>
      <c r="AD48" s="1065">
        <f t="shared" si="87"/>
        <v>1750000</v>
      </c>
      <c r="AE48" s="1065">
        <f t="shared" si="87"/>
        <v>1750000</v>
      </c>
      <c r="AF48" s="1065">
        <f t="shared" si="87"/>
        <v>1750000</v>
      </c>
      <c r="AG48" s="1065">
        <f t="shared" si="87"/>
        <v>1750000</v>
      </c>
      <c r="AH48" s="1065">
        <f t="shared" si="87"/>
        <v>1750000</v>
      </c>
      <c r="AI48" s="1065">
        <f t="shared" si="87"/>
        <v>1750000</v>
      </c>
      <c r="AJ48" s="1065">
        <f t="shared" si="87"/>
        <v>1750000</v>
      </c>
      <c r="AK48" s="1065">
        <f t="shared" si="87"/>
        <v>1750000</v>
      </c>
      <c r="AL48" s="1065">
        <f t="shared" si="87"/>
        <v>1750000</v>
      </c>
      <c r="AM48" s="1065">
        <f t="shared" si="87"/>
        <v>1750000</v>
      </c>
      <c r="AN48" s="1066">
        <f t="shared" si="87"/>
        <v>550000</v>
      </c>
    </row>
    <row r="49" spans="1:40" ht="20" customHeight="1" x14ac:dyDescent="0.15">
      <c r="A49" s="171"/>
      <c r="B49" s="183"/>
      <c r="C49" s="693" t="str">
        <f>Dashboard!K69</f>
        <v>FACEBOOK</v>
      </c>
      <c r="D49" s="605">
        <f>Dashboard!M69</f>
        <v>25000000</v>
      </c>
      <c r="E49" s="1082">
        <f>SUM(J49:AN49)</f>
        <v>15100000</v>
      </c>
      <c r="F49" s="610">
        <f>E49-D49</f>
        <v>-9900000</v>
      </c>
      <c r="G49" s="208">
        <f>_xlfn.IFS(F49&gt;0,1,F49&lt;=0,E49/D49)</f>
        <v>0.60399999999999998</v>
      </c>
      <c r="H49" s="610">
        <f>D49/'Action Plan'!$C$6</f>
        <v>961538.4615384615</v>
      </c>
      <c r="I49" s="605">
        <f ca="1">SUMIF($J$5:$AN$5,TODAY(),J49:AN49)</f>
        <v>0</v>
      </c>
      <c r="J49" s="1061">
        <v>500000</v>
      </c>
      <c r="K49" s="1061">
        <v>500000</v>
      </c>
      <c r="L49" s="1061">
        <v>500000</v>
      </c>
      <c r="M49" s="1061">
        <v>500000</v>
      </c>
      <c r="N49" s="1061">
        <v>500000</v>
      </c>
      <c r="O49" s="1061">
        <v>500000</v>
      </c>
      <c r="P49" s="1061">
        <v>500000</v>
      </c>
      <c r="Q49" s="1061">
        <v>500000</v>
      </c>
      <c r="R49" s="1061">
        <v>500000</v>
      </c>
      <c r="S49" s="1061">
        <v>500000</v>
      </c>
      <c r="T49" s="1061">
        <v>500000</v>
      </c>
      <c r="U49" s="1061">
        <v>500000</v>
      </c>
      <c r="V49" s="1061">
        <v>500000</v>
      </c>
      <c r="W49" s="1061">
        <v>500000</v>
      </c>
      <c r="X49" s="1061">
        <v>500000</v>
      </c>
      <c r="Y49" s="1061">
        <v>500000</v>
      </c>
      <c r="Z49" s="1061">
        <v>500000</v>
      </c>
      <c r="AA49" s="1061">
        <v>500000</v>
      </c>
      <c r="AB49" s="1061">
        <v>500000</v>
      </c>
      <c r="AC49" s="1061">
        <v>500000</v>
      </c>
      <c r="AD49" s="1061">
        <v>500000</v>
      </c>
      <c r="AE49" s="1061">
        <v>500000</v>
      </c>
      <c r="AF49" s="1061">
        <v>500000</v>
      </c>
      <c r="AG49" s="1061">
        <v>500000</v>
      </c>
      <c r="AH49" s="1061">
        <v>500000</v>
      </c>
      <c r="AI49" s="1061">
        <v>500000</v>
      </c>
      <c r="AJ49" s="1061">
        <v>500000</v>
      </c>
      <c r="AK49" s="1061">
        <v>500000</v>
      </c>
      <c r="AL49" s="1061">
        <v>500000</v>
      </c>
      <c r="AM49" s="1061">
        <v>500000</v>
      </c>
      <c r="AN49" s="1078">
        <v>100000</v>
      </c>
    </row>
    <row r="50" spans="1:40" ht="20" customHeight="1" x14ac:dyDescent="0.15">
      <c r="A50" s="171"/>
      <c r="B50" s="183"/>
      <c r="C50" s="693" t="str">
        <f>Dashboard!K70</f>
        <v>LANDING PAGE</v>
      </c>
      <c r="D50" s="605">
        <f>Dashboard!M70</f>
        <v>125000000</v>
      </c>
      <c r="E50" s="1082">
        <f>SUM(J50:AN50)</f>
        <v>15100000</v>
      </c>
      <c r="F50" s="610">
        <f>E50-D50</f>
        <v>-109900000</v>
      </c>
      <c r="G50" s="208">
        <f t="shared" ref="G50:G54" si="88">_xlfn.IFS(F50&gt;0,1,F50&lt;=0,E50/D50)</f>
        <v>0.1208</v>
      </c>
      <c r="H50" s="610">
        <f>D50/'Action Plan'!$C$6</f>
        <v>4807692.307692308</v>
      </c>
      <c r="I50" s="605">
        <f t="shared" ref="I50:I54" ca="1" si="89">SUMIF($J$5:$AN$5,TODAY(),J50:AN50)</f>
        <v>0</v>
      </c>
      <c r="J50" s="1061">
        <v>500000</v>
      </c>
      <c r="K50" s="1061">
        <v>500000</v>
      </c>
      <c r="L50" s="1061">
        <v>500000</v>
      </c>
      <c r="M50" s="1061">
        <v>500000</v>
      </c>
      <c r="N50" s="1061">
        <v>500000</v>
      </c>
      <c r="O50" s="1061">
        <v>500000</v>
      </c>
      <c r="P50" s="1061">
        <v>500000</v>
      </c>
      <c r="Q50" s="1061">
        <v>500000</v>
      </c>
      <c r="R50" s="1061">
        <v>500000</v>
      </c>
      <c r="S50" s="1061">
        <v>500000</v>
      </c>
      <c r="T50" s="1061">
        <v>500000</v>
      </c>
      <c r="U50" s="1061">
        <v>500000</v>
      </c>
      <c r="V50" s="1061">
        <v>500000</v>
      </c>
      <c r="W50" s="1061">
        <v>500000</v>
      </c>
      <c r="X50" s="1061">
        <v>500000</v>
      </c>
      <c r="Y50" s="1061">
        <v>500000</v>
      </c>
      <c r="Z50" s="1061">
        <v>500000</v>
      </c>
      <c r="AA50" s="1061">
        <v>500000</v>
      </c>
      <c r="AB50" s="1061">
        <v>500000</v>
      </c>
      <c r="AC50" s="1061">
        <v>500000</v>
      </c>
      <c r="AD50" s="1061">
        <v>500000</v>
      </c>
      <c r="AE50" s="1061">
        <v>500000</v>
      </c>
      <c r="AF50" s="1061">
        <v>500000</v>
      </c>
      <c r="AG50" s="1061">
        <v>500000</v>
      </c>
      <c r="AH50" s="1061">
        <v>500000</v>
      </c>
      <c r="AI50" s="1061">
        <v>500000</v>
      </c>
      <c r="AJ50" s="1061">
        <v>500000</v>
      </c>
      <c r="AK50" s="1061">
        <v>500000</v>
      </c>
      <c r="AL50" s="1061">
        <v>500000</v>
      </c>
      <c r="AM50" s="1061">
        <v>500000</v>
      </c>
      <c r="AN50" s="1078">
        <v>100000</v>
      </c>
    </row>
    <row r="51" spans="1:40" ht="20" customHeight="1" x14ac:dyDescent="0.15">
      <c r="A51" s="171"/>
      <c r="B51" s="183"/>
      <c r="C51" s="693" t="str">
        <f>Dashboard!K71</f>
        <v>WEBSITE</v>
      </c>
      <c r="D51" s="605">
        <f>Dashboard!M71</f>
        <v>25000000</v>
      </c>
      <c r="E51" s="1082">
        <f t="shared" ref="E51:E54" si="90">SUM(J51:AN51)</f>
        <v>15100000</v>
      </c>
      <c r="F51" s="610">
        <f t="shared" ref="F51:F54" si="91">E51-D51</f>
        <v>-9900000</v>
      </c>
      <c r="G51" s="208">
        <f t="shared" si="88"/>
        <v>0.60399999999999998</v>
      </c>
      <c r="H51" s="610">
        <f>D51/'Action Plan'!$C$6</f>
        <v>961538.4615384615</v>
      </c>
      <c r="I51" s="605">
        <f t="shared" ca="1" si="89"/>
        <v>0</v>
      </c>
      <c r="J51" s="1061">
        <v>500000</v>
      </c>
      <c r="K51" s="1061">
        <v>500000</v>
      </c>
      <c r="L51" s="1061">
        <v>500000</v>
      </c>
      <c r="M51" s="1061">
        <v>500000</v>
      </c>
      <c r="N51" s="1061">
        <v>500000</v>
      </c>
      <c r="O51" s="1061">
        <v>500000</v>
      </c>
      <c r="P51" s="1061">
        <v>500000</v>
      </c>
      <c r="Q51" s="1061">
        <v>500000</v>
      </c>
      <c r="R51" s="1061">
        <v>500000</v>
      </c>
      <c r="S51" s="1061">
        <v>500000</v>
      </c>
      <c r="T51" s="1061">
        <v>500000</v>
      </c>
      <c r="U51" s="1061">
        <v>500000</v>
      </c>
      <c r="V51" s="1061">
        <v>500000</v>
      </c>
      <c r="W51" s="1061">
        <v>500000</v>
      </c>
      <c r="X51" s="1061">
        <v>500000</v>
      </c>
      <c r="Y51" s="1061">
        <v>500000</v>
      </c>
      <c r="Z51" s="1061">
        <v>500000</v>
      </c>
      <c r="AA51" s="1061">
        <v>500000</v>
      </c>
      <c r="AB51" s="1061">
        <v>500000</v>
      </c>
      <c r="AC51" s="1061">
        <v>500000</v>
      </c>
      <c r="AD51" s="1061">
        <v>500000</v>
      </c>
      <c r="AE51" s="1061">
        <v>500000</v>
      </c>
      <c r="AF51" s="1061">
        <v>500000</v>
      </c>
      <c r="AG51" s="1061">
        <v>500000</v>
      </c>
      <c r="AH51" s="1061">
        <v>500000</v>
      </c>
      <c r="AI51" s="1061">
        <v>500000</v>
      </c>
      <c r="AJ51" s="1061">
        <v>500000</v>
      </c>
      <c r="AK51" s="1061">
        <v>500000</v>
      </c>
      <c r="AL51" s="1061">
        <v>500000</v>
      </c>
      <c r="AM51" s="1061">
        <v>500000</v>
      </c>
      <c r="AN51" s="1078">
        <v>100000</v>
      </c>
    </row>
    <row r="52" spans="1:40" ht="20" customHeight="1" x14ac:dyDescent="0.15">
      <c r="A52" s="171"/>
      <c r="B52" s="183"/>
      <c r="C52" s="693" t="str">
        <f>Dashboard!K72</f>
        <v>TIKTOKSHOP</v>
      </c>
      <c r="D52" s="605">
        <f>Dashboard!M72</f>
        <v>25000000</v>
      </c>
      <c r="E52" s="1082">
        <f t="shared" si="90"/>
        <v>1600000</v>
      </c>
      <c r="F52" s="610">
        <f t="shared" si="91"/>
        <v>-23400000</v>
      </c>
      <c r="G52" s="208">
        <f t="shared" si="88"/>
        <v>6.4000000000000001E-2</v>
      </c>
      <c r="H52" s="610">
        <f>D52/'Action Plan'!$C$6</f>
        <v>961538.4615384615</v>
      </c>
      <c r="I52" s="605">
        <f t="shared" ca="1" si="89"/>
        <v>0</v>
      </c>
      <c r="J52" s="1061">
        <v>50000</v>
      </c>
      <c r="K52" s="1061">
        <v>50000</v>
      </c>
      <c r="L52" s="1061">
        <v>50000</v>
      </c>
      <c r="M52" s="1061">
        <v>50000</v>
      </c>
      <c r="N52" s="1061">
        <v>50000</v>
      </c>
      <c r="O52" s="1061">
        <v>50000</v>
      </c>
      <c r="P52" s="1061">
        <v>50000</v>
      </c>
      <c r="Q52" s="1061">
        <v>50000</v>
      </c>
      <c r="R52" s="1061">
        <v>50000</v>
      </c>
      <c r="S52" s="1061">
        <v>50000</v>
      </c>
      <c r="T52" s="1061">
        <v>50000</v>
      </c>
      <c r="U52" s="1061">
        <v>50000</v>
      </c>
      <c r="V52" s="1061">
        <v>50000</v>
      </c>
      <c r="W52" s="1061">
        <v>50000</v>
      </c>
      <c r="X52" s="1061">
        <v>50000</v>
      </c>
      <c r="Y52" s="1061">
        <v>50000</v>
      </c>
      <c r="Z52" s="1061">
        <v>50000</v>
      </c>
      <c r="AA52" s="1061">
        <v>50000</v>
      </c>
      <c r="AB52" s="1061">
        <v>50000</v>
      </c>
      <c r="AC52" s="1061">
        <v>50000</v>
      </c>
      <c r="AD52" s="1061">
        <v>50000</v>
      </c>
      <c r="AE52" s="1061">
        <v>50000</v>
      </c>
      <c r="AF52" s="1061">
        <v>50000</v>
      </c>
      <c r="AG52" s="1061">
        <v>50000</v>
      </c>
      <c r="AH52" s="1061">
        <v>50000</v>
      </c>
      <c r="AI52" s="1061">
        <v>50000</v>
      </c>
      <c r="AJ52" s="1061">
        <v>50000</v>
      </c>
      <c r="AK52" s="1061">
        <v>50000</v>
      </c>
      <c r="AL52" s="1061">
        <v>50000</v>
      </c>
      <c r="AM52" s="1061">
        <v>50000</v>
      </c>
      <c r="AN52" s="1078">
        <v>100000</v>
      </c>
    </row>
    <row r="53" spans="1:40" ht="20" customHeight="1" x14ac:dyDescent="0.15">
      <c r="A53" s="171"/>
      <c r="B53" s="183"/>
      <c r="C53" s="693" t="str">
        <f>Dashboard!K73</f>
        <v>SHOPPEE</v>
      </c>
      <c r="D53" s="605">
        <f>Dashboard!M73</f>
        <v>25000000</v>
      </c>
      <c r="E53" s="1082">
        <f t="shared" si="90"/>
        <v>3100000</v>
      </c>
      <c r="F53" s="610">
        <f t="shared" si="91"/>
        <v>-21900000</v>
      </c>
      <c r="G53" s="208">
        <f t="shared" si="88"/>
        <v>0.124</v>
      </c>
      <c r="H53" s="610">
        <f>D53/'Action Plan'!$C$6</f>
        <v>961538.4615384615</v>
      </c>
      <c r="I53" s="605">
        <f t="shared" ca="1" si="89"/>
        <v>0</v>
      </c>
      <c r="J53" s="1061">
        <v>100000</v>
      </c>
      <c r="K53" s="1061">
        <v>100000</v>
      </c>
      <c r="L53" s="1061">
        <v>100000</v>
      </c>
      <c r="M53" s="1061">
        <v>100000</v>
      </c>
      <c r="N53" s="1061">
        <v>100000</v>
      </c>
      <c r="O53" s="1061">
        <v>100000</v>
      </c>
      <c r="P53" s="1061">
        <v>100000</v>
      </c>
      <c r="Q53" s="1061">
        <v>100000</v>
      </c>
      <c r="R53" s="1061">
        <v>100000</v>
      </c>
      <c r="S53" s="1061">
        <v>100000</v>
      </c>
      <c r="T53" s="1061">
        <v>100000</v>
      </c>
      <c r="U53" s="1061">
        <v>100000</v>
      </c>
      <c r="V53" s="1061">
        <v>100000</v>
      </c>
      <c r="W53" s="1061">
        <v>100000</v>
      </c>
      <c r="X53" s="1061">
        <v>100000</v>
      </c>
      <c r="Y53" s="1061">
        <v>100000</v>
      </c>
      <c r="Z53" s="1061">
        <v>100000</v>
      </c>
      <c r="AA53" s="1061">
        <v>100000</v>
      </c>
      <c r="AB53" s="1061">
        <v>100000</v>
      </c>
      <c r="AC53" s="1061">
        <v>100000</v>
      </c>
      <c r="AD53" s="1061">
        <v>100000</v>
      </c>
      <c r="AE53" s="1061">
        <v>100000</v>
      </c>
      <c r="AF53" s="1061">
        <v>100000</v>
      </c>
      <c r="AG53" s="1061">
        <v>100000</v>
      </c>
      <c r="AH53" s="1061">
        <v>100000</v>
      </c>
      <c r="AI53" s="1061">
        <v>100000</v>
      </c>
      <c r="AJ53" s="1061">
        <v>100000</v>
      </c>
      <c r="AK53" s="1061">
        <v>100000</v>
      </c>
      <c r="AL53" s="1061">
        <v>100000</v>
      </c>
      <c r="AM53" s="1061">
        <v>100000</v>
      </c>
      <c r="AN53" s="1078">
        <v>100000</v>
      </c>
    </row>
    <row r="54" spans="1:40" ht="20" customHeight="1" x14ac:dyDescent="0.15">
      <c r="A54" s="171"/>
      <c r="B54" s="183"/>
      <c r="C54" s="700" t="str">
        <f>Dashboard!K74</f>
        <v>ZALO</v>
      </c>
      <c r="D54" s="702">
        <f>Dashboard!M74</f>
        <v>25000000</v>
      </c>
      <c r="E54" s="1087">
        <f t="shared" si="90"/>
        <v>3050000</v>
      </c>
      <c r="F54" s="702">
        <f t="shared" si="91"/>
        <v>-21950000</v>
      </c>
      <c r="G54" s="701">
        <f t="shared" si="88"/>
        <v>0.122</v>
      </c>
      <c r="H54" s="702">
        <f>D54/'Action Plan'!$C$6</f>
        <v>961538.4615384615</v>
      </c>
      <c r="I54" s="702">
        <f t="shared" ca="1" si="89"/>
        <v>0</v>
      </c>
      <c r="J54" s="1077">
        <v>100000</v>
      </c>
      <c r="K54" s="1077">
        <v>100000</v>
      </c>
      <c r="L54" s="1077">
        <v>100000</v>
      </c>
      <c r="M54" s="1077">
        <v>100000</v>
      </c>
      <c r="N54" s="1077">
        <v>100000</v>
      </c>
      <c r="O54" s="1077">
        <v>100000</v>
      </c>
      <c r="P54" s="1077">
        <v>100000</v>
      </c>
      <c r="Q54" s="1077">
        <v>100000</v>
      </c>
      <c r="R54" s="1077">
        <v>100000</v>
      </c>
      <c r="S54" s="1077">
        <v>100000</v>
      </c>
      <c r="T54" s="1077">
        <v>100000</v>
      </c>
      <c r="U54" s="1077">
        <v>100000</v>
      </c>
      <c r="V54" s="1077">
        <v>100000</v>
      </c>
      <c r="W54" s="1077">
        <v>100000</v>
      </c>
      <c r="X54" s="1077">
        <v>100000</v>
      </c>
      <c r="Y54" s="1077">
        <v>100000</v>
      </c>
      <c r="Z54" s="1077">
        <v>100000</v>
      </c>
      <c r="AA54" s="1077">
        <v>100000</v>
      </c>
      <c r="AB54" s="1077">
        <v>100000</v>
      </c>
      <c r="AC54" s="1077">
        <v>100000</v>
      </c>
      <c r="AD54" s="1077">
        <v>100000</v>
      </c>
      <c r="AE54" s="1077">
        <v>100000</v>
      </c>
      <c r="AF54" s="1077">
        <v>100000</v>
      </c>
      <c r="AG54" s="1077">
        <v>100000</v>
      </c>
      <c r="AH54" s="1077">
        <v>100000</v>
      </c>
      <c r="AI54" s="1077">
        <v>100000</v>
      </c>
      <c r="AJ54" s="1077">
        <v>100000</v>
      </c>
      <c r="AK54" s="1077">
        <v>100000</v>
      </c>
      <c r="AL54" s="1077">
        <v>100000</v>
      </c>
      <c r="AM54" s="1077">
        <v>100000</v>
      </c>
      <c r="AN54" s="1079">
        <v>50000</v>
      </c>
    </row>
    <row r="55" spans="1:40" ht="20" customHeight="1" x14ac:dyDescent="0.15">
      <c r="A55" s="171"/>
      <c r="B55" s="1246" t="s">
        <v>222</v>
      </c>
      <c r="C55" s="729" t="str">
        <f>Dashboard!K75</f>
        <v>A/S RATIO</v>
      </c>
      <c r="D55" s="1286">
        <f>Dashboard!M75</f>
        <v>0.18666666666666668</v>
      </c>
      <c r="E55" s="1242">
        <f>AVERAGE(E56:E61)</f>
        <v>18.349999999999998</v>
      </c>
      <c r="F55" s="1241">
        <f>D55-E55</f>
        <v>-18.16333333333333</v>
      </c>
      <c r="G55" s="1264">
        <f>_xlfn.IFS(F55&gt;0,1,F55&lt;=0,D55/E55)</f>
        <v>1.0172570390554043E-2</v>
      </c>
      <c r="H55" s="1270">
        <f>D55/'Action Plan'!$C$6</f>
        <v>7.1794871794871795E-3</v>
      </c>
      <c r="I55" s="1242">
        <f ca="1">AVERAGE(I56:I61)</f>
        <v>0</v>
      </c>
      <c r="J55" s="1271">
        <f>SUM(J56:J61)</f>
        <v>3</v>
      </c>
      <c r="K55" s="1271">
        <f>SUM(K56:K61)</f>
        <v>3</v>
      </c>
      <c r="L55" s="1271">
        <f t="shared" ref="L55:AN55" si="92">SUM(L56:L61)</f>
        <v>3</v>
      </c>
      <c r="M55" s="1271">
        <f t="shared" si="92"/>
        <v>3</v>
      </c>
      <c r="N55" s="1271">
        <f t="shared" si="92"/>
        <v>3</v>
      </c>
      <c r="O55" s="1271">
        <f t="shared" si="92"/>
        <v>3</v>
      </c>
      <c r="P55" s="1271">
        <f t="shared" si="92"/>
        <v>3</v>
      </c>
      <c r="Q55" s="1271">
        <f t="shared" si="92"/>
        <v>3</v>
      </c>
      <c r="R55" s="1271">
        <f t="shared" si="92"/>
        <v>3</v>
      </c>
      <c r="S55" s="1271">
        <f t="shared" si="92"/>
        <v>3</v>
      </c>
      <c r="T55" s="1271">
        <f t="shared" si="92"/>
        <v>3</v>
      </c>
      <c r="U55" s="1271">
        <f t="shared" si="92"/>
        <v>3</v>
      </c>
      <c r="V55" s="1271">
        <f t="shared" si="92"/>
        <v>3</v>
      </c>
      <c r="W55" s="1271">
        <f t="shared" si="92"/>
        <v>3</v>
      </c>
      <c r="X55" s="1271">
        <f t="shared" si="92"/>
        <v>3</v>
      </c>
      <c r="Y55" s="1271">
        <f t="shared" si="92"/>
        <v>3</v>
      </c>
      <c r="Z55" s="1271">
        <f t="shared" si="92"/>
        <v>3</v>
      </c>
      <c r="AA55" s="1271">
        <f t="shared" si="92"/>
        <v>3</v>
      </c>
      <c r="AB55" s="1271">
        <f t="shared" si="92"/>
        <v>3</v>
      </c>
      <c r="AC55" s="1271">
        <f t="shared" si="92"/>
        <v>3</v>
      </c>
      <c r="AD55" s="1271">
        <f t="shared" si="92"/>
        <v>3</v>
      </c>
      <c r="AE55" s="1271">
        <f t="shared" si="92"/>
        <v>3</v>
      </c>
      <c r="AF55" s="1271">
        <f t="shared" si="92"/>
        <v>3</v>
      </c>
      <c r="AG55" s="1271">
        <f t="shared" si="92"/>
        <v>3</v>
      </c>
      <c r="AH55" s="1271">
        <f t="shared" si="92"/>
        <v>3</v>
      </c>
      <c r="AI55" s="1271">
        <f t="shared" si="92"/>
        <v>6.1</v>
      </c>
      <c r="AJ55" s="1271">
        <f t="shared" si="92"/>
        <v>6.1</v>
      </c>
      <c r="AK55" s="1271">
        <f t="shared" si="92"/>
        <v>6.1</v>
      </c>
      <c r="AL55" s="1271">
        <f t="shared" si="92"/>
        <v>6.3999999999999995</v>
      </c>
      <c r="AM55" s="1271">
        <f t="shared" si="92"/>
        <v>6.3999999999999995</v>
      </c>
      <c r="AN55" s="1272">
        <f t="shared" si="92"/>
        <v>4</v>
      </c>
    </row>
    <row r="56" spans="1:40" ht="20" customHeight="1" x14ac:dyDescent="0.15">
      <c r="A56" s="171"/>
      <c r="B56" s="183"/>
      <c r="C56" s="693" t="str">
        <f>Dashboard!K76</f>
        <v>FACEBOOK</v>
      </c>
      <c r="D56" s="208">
        <f>Dashboard!M76</f>
        <v>0.1</v>
      </c>
      <c r="E56" s="1287">
        <f>SUM(J56:AN56)</f>
        <v>0.6</v>
      </c>
      <c r="F56" s="208">
        <f>D56-E56</f>
        <v>-0.5</v>
      </c>
      <c r="G56" s="208">
        <f>_xlfn.IFS(F56&gt;0,1,F56&lt;=0,D56/E56)</f>
        <v>0.16666666666666669</v>
      </c>
      <c r="H56" s="208">
        <f>D56/'Action Plan'!$C$6</f>
        <v>3.8461538461538464E-3</v>
      </c>
      <c r="I56" s="208">
        <f ca="1">SUMIF($J$5:$AN$5,TODAY(),J56:AN56)</f>
        <v>0</v>
      </c>
      <c r="J56" s="1273">
        <f>_xlfn.IFS(J49&lt;=0,0,J49&gt;0,J9/J49)</f>
        <v>0</v>
      </c>
      <c r="K56" s="1273">
        <f t="shared" ref="K56:AM56" si="93">_xlfn.IFS(K49&lt;=0,0,K49&gt;0,K9/K49)</f>
        <v>0</v>
      </c>
      <c r="L56" s="1273">
        <f t="shared" si="93"/>
        <v>0</v>
      </c>
      <c r="M56" s="1273">
        <f t="shared" si="93"/>
        <v>0</v>
      </c>
      <c r="N56" s="1273">
        <f t="shared" si="93"/>
        <v>0</v>
      </c>
      <c r="O56" s="1273">
        <f t="shared" si="93"/>
        <v>0</v>
      </c>
      <c r="P56" s="1273">
        <f t="shared" si="93"/>
        <v>0</v>
      </c>
      <c r="Q56" s="1273">
        <f t="shared" si="93"/>
        <v>0</v>
      </c>
      <c r="R56" s="1273">
        <f t="shared" si="93"/>
        <v>0</v>
      </c>
      <c r="S56" s="1273">
        <f t="shared" si="93"/>
        <v>0</v>
      </c>
      <c r="T56" s="1273">
        <f t="shared" si="93"/>
        <v>0</v>
      </c>
      <c r="U56" s="1273">
        <f t="shared" si="93"/>
        <v>0</v>
      </c>
      <c r="V56" s="1273">
        <f t="shared" si="93"/>
        <v>0</v>
      </c>
      <c r="W56" s="1273">
        <f t="shared" si="93"/>
        <v>0</v>
      </c>
      <c r="X56" s="1273">
        <f t="shared" si="93"/>
        <v>0</v>
      </c>
      <c r="Y56" s="1273">
        <f t="shared" si="93"/>
        <v>0</v>
      </c>
      <c r="Z56" s="1273">
        <f t="shared" si="93"/>
        <v>0</v>
      </c>
      <c r="AA56" s="1273">
        <f t="shared" si="93"/>
        <v>0</v>
      </c>
      <c r="AB56" s="1273">
        <f t="shared" si="93"/>
        <v>0</v>
      </c>
      <c r="AC56" s="1273">
        <f t="shared" si="93"/>
        <v>0</v>
      </c>
      <c r="AD56" s="1273">
        <f t="shared" si="93"/>
        <v>0</v>
      </c>
      <c r="AE56" s="1273">
        <f t="shared" si="93"/>
        <v>0</v>
      </c>
      <c r="AF56" s="1273">
        <f t="shared" si="93"/>
        <v>0</v>
      </c>
      <c r="AG56" s="1273">
        <f t="shared" si="93"/>
        <v>0</v>
      </c>
      <c r="AH56" s="1273">
        <f t="shared" si="93"/>
        <v>0</v>
      </c>
      <c r="AI56" s="1273">
        <f t="shared" si="93"/>
        <v>0</v>
      </c>
      <c r="AJ56" s="1273">
        <f t="shared" si="93"/>
        <v>0</v>
      </c>
      <c r="AK56" s="1273">
        <f t="shared" si="93"/>
        <v>0</v>
      </c>
      <c r="AL56" s="1273">
        <f t="shared" si="93"/>
        <v>0.3</v>
      </c>
      <c r="AM56" s="1273">
        <f t="shared" si="93"/>
        <v>0.3</v>
      </c>
      <c r="AN56" s="1274">
        <f t="shared" ref="AN56" si="94">_xlfn.IFS(AN49&lt;=0,0,AN49&gt;0,AN9/AN49)</f>
        <v>0</v>
      </c>
    </row>
    <row r="57" spans="1:40" ht="20" customHeight="1" x14ac:dyDescent="0.15">
      <c r="A57" s="171"/>
      <c r="B57" s="183"/>
      <c r="C57" s="693" t="str">
        <f>Dashboard!K77</f>
        <v>LANDING PAGE</v>
      </c>
      <c r="D57" s="208">
        <f>Dashboard!M77</f>
        <v>0.12</v>
      </c>
      <c r="E57" s="1287">
        <f>SUM(J57:AN57)</f>
        <v>30</v>
      </c>
      <c r="F57" s="208">
        <f t="shared" ref="F57:F60" si="95">D57-E57</f>
        <v>-29.88</v>
      </c>
      <c r="G57" s="208">
        <f t="shared" ref="G57:G60" si="96">_xlfn.IFS(F57&gt;0,1,F57&lt;=0,D57/E57)</f>
        <v>4.0000000000000001E-3</v>
      </c>
      <c r="H57" s="208">
        <f>D57/'Action Plan'!$C$6</f>
        <v>4.6153846153846149E-3</v>
      </c>
      <c r="I57" s="208">
        <f t="shared" ref="I57:I61" ca="1" si="97">SUMIF($J$5:$AN$5,TODAY(),J57:AN57)</f>
        <v>0</v>
      </c>
      <c r="J57" s="1273">
        <f>_xlfn.IFS(J50&lt;=0,0,J50&gt;0,J15/J50)</f>
        <v>1</v>
      </c>
      <c r="K57" s="1273">
        <f t="shared" ref="K57:AM57" si="98">_xlfn.IFS(K50&lt;=0,0,K50&gt;0,K15/K50)</f>
        <v>1</v>
      </c>
      <c r="L57" s="1273">
        <f t="shared" si="98"/>
        <v>1</v>
      </c>
      <c r="M57" s="1273">
        <f t="shared" si="98"/>
        <v>1</v>
      </c>
      <c r="N57" s="1273">
        <f t="shared" si="98"/>
        <v>1</v>
      </c>
      <c r="O57" s="1273">
        <f t="shared" si="98"/>
        <v>1</v>
      </c>
      <c r="P57" s="1273">
        <f t="shared" si="98"/>
        <v>1</v>
      </c>
      <c r="Q57" s="1273">
        <f t="shared" si="98"/>
        <v>1</v>
      </c>
      <c r="R57" s="1273">
        <f t="shared" si="98"/>
        <v>1</v>
      </c>
      <c r="S57" s="1273">
        <f t="shared" si="98"/>
        <v>1</v>
      </c>
      <c r="T57" s="1273">
        <f t="shared" si="98"/>
        <v>1</v>
      </c>
      <c r="U57" s="1273">
        <f t="shared" si="98"/>
        <v>1</v>
      </c>
      <c r="V57" s="1273">
        <f t="shared" si="98"/>
        <v>1</v>
      </c>
      <c r="W57" s="1273">
        <f t="shared" si="98"/>
        <v>1</v>
      </c>
      <c r="X57" s="1273">
        <f t="shared" si="98"/>
        <v>1</v>
      </c>
      <c r="Y57" s="1273">
        <f t="shared" si="98"/>
        <v>1</v>
      </c>
      <c r="Z57" s="1273">
        <f t="shared" si="98"/>
        <v>1</v>
      </c>
      <c r="AA57" s="1273">
        <f t="shared" si="98"/>
        <v>1</v>
      </c>
      <c r="AB57" s="1273">
        <f t="shared" si="98"/>
        <v>1</v>
      </c>
      <c r="AC57" s="1273">
        <f t="shared" si="98"/>
        <v>1</v>
      </c>
      <c r="AD57" s="1273">
        <f t="shared" si="98"/>
        <v>1</v>
      </c>
      <c r="AE57" s="1273">
        <f t="shared" si="98"/>
        <v>1</v>
      </c>
      <c r="AF57" s="1273">
        <f t="shared" si="98"/>
        <v>1</v>
      </c>
      <c r="AG57" s="1273">
        <f t="shared" si="98"/>
        <v>1</v>
      </c>
      <c r="AH57" s="1273">
        <f t="shared" si="98"/>
        <v>1</v>
      </c>
      <c r="AI57" s="1273">
        <f t="shared" si="98"/>
        <v>1</v>
      </c>
      <c r="AJ57" s="1273">
        <f t="shared" si="98"/>
        <v>1</v>
      </c>
      <c r="AK57" s="1273">
        <f t="shared" si="98"/>
        <v>1</v>
      </c>
      <c r="AL57" s="1273">
        <f t="shared" si="98"/>
        <v>1</v>
      </c>
      <c r="AM57" s="1273">
        <f t="shared" si="98"/>
        <v>1</v>
      </c>
      <c r="AN57" s="1274">
        <f t="shared" ref="AN57" si="99">_xlfn.IFS(AN50&lt;=0,0,AN50&gt;0,AN15/AN50)</f>
        <v>0</v>
      </c>
    </row>
    <row r="58" spans="1:40" ht="20" customHeight="1" x14ac:dyDescent="0.15">
      <c r="A58" s="171"/>
      <c r="B58" s="183"/>
      <c r="C58" s="693" t="str">
        <f>Dashboard!K78</f>
        <v>WEBSITE</v>
      </c>
      <c r="D58" s="208">
        <f>Dashboard!M78</f>
        <v>0.1</v>
      </c>
      <c r="E58" s="1287">
        <f>SUM(J58:AN58)</f>
        <v>30</v>
      </c>
      <c r="F58" s="208">
        <f t="shared" si="95"/>
        <v>-29.9</v>
      </c>
      <c r="G58" s="208">
        <f t="shared" si="96"/>
        <v>3.3333333333333335E-3</v>
      </c>
      <c r="H58" s="208">
        <f>D58/'Action Plan'!$C$6</f>
        <v>3.8461538461538464E-3</v>
      </c>
      <c r="I58" s="208">
        <f t="shared" ca="1" si="97"/>
        <v>0</v>
      </c>
      <c r="J58" s="1273">
        <f>_xlfn.IFS(J51&lt;=0,0,J51&gt;0,J15/J51)</f>
        <v>1</v>
      </c>
      <c r="K58" s="1273">
        <f t="shared" ref="K58:AM58" si="100">_xlfn.IFS(K51&lt;=0,0,K51&gt;0,K15/K51)</f>
        <v>1</v>
      </c>
      <c r="L58" s="1273">
        <f t="shared" si="100"/>
        <v>1</v>
      </c>
      <c r="M58" s="1273">
        <f t="shared" si="100"/>
        <v>1</v>
      </c>
      <c r="N58" s="1273">
        <f t="shared" si="100"/>
        <v>1</v>
      </c>
      <c r="O58" s="1273">
        <f t="shared" si="100"/>
        <v>1</v>
      </c>
      <c r="P58" s="1273">
        <f t="shared" si="100"/>
        <v>1</v>
      </c>
      <c r="Q58" s="1273">
        <f t="shared" si="100"/>
        <v>1</v>
      </c>
      <c r="R58" s="1273">
        <f t="shared" si="100"/>
        <v>1</v>
      </c>
      <c r="S58" s="1273">
        <f t="shared" si="100"/>
        <v>1</v>
      </c>
      <c r="T58" s="1273">
        <f t="shared" si="100"/>
        <v>1</v>
      </c>
      <c r="U58" s="1273">
        <f t="shared" si="100"/>
        <v>1</v>
      </c>
      <c r="V58" s="1273">
        <f t="shared" si="100"/>
        <v>1</v>
      </c>
      <c r="W58" s="1273">
        <f t="shared" si="100"/>
        <v>1</v>
      </c>
      <c r="X58" s="1273">
        <f t="shared" si="100"/>
        <v>1</v>
      </c>
      <c r="Y58" s="1273">
        <f t="shared" si="100"/>
        <v>1</v>
      </c>
      <c r="Z58" s="1273">
        <f t="shared" si="100"/>
        <v>1</v>
      </c>
      <c r="AA58" s="1273">
        <f t="shared" si="100"/>
        <v>1</v>
      </c>
      <c r="AB58" s="1273">
        <f t="shared" si="100"/>
        <v>1</v>
      </c>
      <c r="AC58" s="1273">
        <f t="shared" si="100"/>
        <v>1</v>
      </c>
      <c r="AD58" s="1273">
        <f t="shared" si="100"/>
        <v>1</v>
      </c>
      <c r="AE58" s="1273">
        <f t="shared" si="100"/>
        <v>1</v>
      </c>
      <c r="AF58" s="1273">
        <f t="shared" si="100"/>
        <v>1</v>
      </c>
      <c r="AG58" s="1273">
        <f t="shared" si="100"/>
        <v>1</v>
      </c>
      <c r="AH58" s="1273">
        <f t="shared" si="100"/>
        <v>1</v>
      </c>
      <c r="AI58" s="1273">
        <f t="shared" si="100"/>
        <v>1</v>
      </c>
      <c r="AJ58" s="1273">
        <f t="shared" si="100"/>
        <v>1</v>
      </c>
      <c r="AK58" s="1273">
        <f t="shared" si="100"/>
        <v>1</v>
      </c>
      <c r="AL58" s="1273">
        <f t="shared" si="100"/>
        <v>1</v>
      </c>
      <c r="AM58" s="1273">
        <f t="shared" si="100"/>
        <v>1</v>
      </c>
      <c r="AN58" s="1274">
        <f t="shared" ref="AN58" si="101">_xlfn.IFS(AN51&lt;=0,0,AN51&gt;0,AN15/AN51)</f>
        <v>0</v>
      </c>
    </row>
    <row r="59" spans="1:40" ht="20" customHeight="1" x14ac:dyDescent="0.15">
      <c r="A59" s="171"/>
      <c r="B59" s="183"/>
      <c r="C59" s="693" t="str">
        <f>Dashboard!K79</f>
        <v>TIKTOKSHOP</v>
      </c>
      <c r="D59" s="208">
        <f>Dashboard!M79</f>
        <v>0.3</v>
      </c>
      <c r="E59" s="1287">
        <f t="shared" ref="E59:E61" si="102">SUM(J59:AN59)</f>
        <v>22</v>
      </c>
      <c r="F59" s="208">
        <f t="shared" si="95"/>
        <v>-21.7</v>
      </c>
      <c r="G59" s="208">
        <f t="shared" si="96"/>
        <v>1.3636363636363636E-2</v>
      </c>
      <c r="H59" s="208">
        <f>D59/'Action Plan'!$C$6</f>
        <v>1.1538461538461537E-2</v>
      </c>
      <c r="I59" s="208">
        <f t="shared" ca="1" si="97"/>
        <v>0</v>
      </c>
      <c r="J59" s="1273">
        <f>_xlfn.IFS(J52&lt;=0,0,J52&gt;0,J24/J52)</f>
        <v>0</v>
      </c>
      <c r="K59" s="1273">
        <f t="shared" ref="K59:AM59" si="103">_xlfn.IFS(K52&lt;=0,0,K52&gt;0,K24/K52)</f>
        <v>0</v>
      </c>
      <c r="L59" s="1273">
        <f t="shared" si="103"/>
        <v>0</v>
      </c>
      <c r="M59" s="1273">
        <f t="shared" si="103"/>
        <v>0</v>
      </c>
      <c r="N59" s="1273">
        <f t="shared" si="103"/>
        <v>0</v>
      </c>
      <c r="O59" s="1273">
        <f t="shared" si="103"/>
        <v>0</v>
      </c>
      <c r="P59" s="1273">
        <f t="shared" si="103"/>
        <v>0</v>
      </c>
      <c r="Q59" s="1273">
        <f t="shared" si="103"/>
        <v>0</v>
      </c>
      <c r="R59" s="1273">
        <f t="shared" si="103"/>
        <v>0</v>
      </c>
      <c r="S59" s="1273">
        <f t="shared" si="103"/>
        <v>0</v>
      </c>
      <c r="T59" s="1273">
        <f t="shared" si="103"/>
        <v>0</v>
      </c>
      <c r="U59" s="1273">
        <f t="shared" si="103"/>
        <v>0</v>
      </c>
      <c r="V59" s="1273">
        <f t="shared" si="103"/>
        <v>0</v>
      </c>
      <c r="W59" s="1273">
        <f t="shared" si="103"/>
        <v>0</v>
      </c>
      <c r="X59" s="1273">
        <f t="shared" si="103"/>
        <v>0</v>
      </c>
      <c r="Y59" s="1273">
        <f t="shared" si="103"/>
        <v>0</v>
      </c>
      <c r="Z59" s="1273">
        <f t="shared" si="103"/>
        <v>0</v>
      </c>
      <c r="AA59" s="1273">
        <f t="shared" si="103"/>
        <v>0</v>
      </c>
      <c r="AB59" s="1273">
        <f t="shared" si="103"/>
        <v>0</v>
      </c>
      <c r="AC59" s="1273">
        <f t="shared" si="103"/>
        <v>0</v>
      </c>
      <c r="AD59" s="1273">
        <f t="shared" si="103"/>
        <v>0</v>
      </c>
      <c r="AE59" s="1273">
        <f t="shared" si="103"/>
        <v>0</v>
      </c>
      <c r="AF59" s="1273">
        <f t="shared" si="103"/>
        <v>0</v>
      </c>
      <c r="AG59" s="1273">
        <f t="shared" si="103"/>
        <v>0</v>
      </c>
      <c r="AH59" s="1273">
        <f t="shared" si="103"/>
        <v>0</v>
      </c>
      <c r="AI59" s="1273">
        <f t="shared" si="103"/>
        <v>4</v>
      </c>
      <c r="AJ59" s="1273">
        <f t="shared" si="103"/>
        <v>4</v>
      </c>
      <c r="AK59" s="1273">
        <f t="shared" si="103"/>
        <v>4</v>
      </c>
      <c r="AL59" s="1273">
        <f t="shared" si="103"/>
        <v>4</v>
      </c>
      <c r="AM59" s="1273">
        <f t="shared" si="103"/>
        <v>4</v>
      </c>
      <c r="AN59" s="1274">
        <f t="shared" ref="AN59" si="104">_xlfn.IFS(AN52&lt;=0,0,AN52&gt;0,AN24/AN52)</f>
        <v>2</v>
      </c>
    </row>
    <row r="60" spans="1:40" ht="20" customHeight="1" x14ac:dyDescent="0.15">
      <c r="A60" s="171"/>
      <c r="B60" s="183"/>
      <c r="C60" s="693" t="str">
        <f>Dashboard!K80</f>
        <v>SHOPPEE</v>
      </c>
      <c r="D60" s="208">
        <f>Dashboard!M80</f>
        <v>0.1</v>
      </c>
      <c r="E60" s="1287">
        <f t="shared" si="102"/>
        <v>0</v>
      </c>
      <c r="F60" s="208">
        <f t="shared" si="95"/>
        <v>0.1</v>
      </c>
      <c r="G60" s="208">
        <f t="shared" si="96"/>
        <v>1</v>
      </c>
      <c r="H60" s="208">
        <f>D60/'Action Plan'!$C$6</f>
        <v>3.8461538461538464E-3</v>
      </c>
      <c r="I60" s="208">
        <f t="shared" ca="1" si="97"/>
        <v>0</v>
      </c>
      <c r="J60" s="1273">
        <f>_xlfn.IFS(J53&lt;=0,0,J53&gt;0,J25/J53)</f>
        <v>0</v>
      </c>
      <c r="K60" s="1273">
        <f t="shared" ref="K60:AM60" si="105">_xlfn.IFS(K53&lt;=0,0,K53&gt;0,K25/K53)</f>
        <v>0</v>
      </c>
      <c r="L60" s="1273">
        <f t="shared" si="105"/>
        <v>0</v>
      </c>
      <c r="M60" s="1273">
        <f t="shared" si="105"/>
        <v>0</v>
      </c>
      <c r="N60" s="1273">
        <f t="shared" si="105"/>
        <v>0</v>
      </c>
      <c r="O60" s="1273">
        <f t="shared" si="105"/>
        <v>0</v>
      </c>
      <c r="P60" s="1273">
        <f t="shared" si="105"/>
        <v>0</v>
      </c>
      <c r="Q60" s="1273">
        <f t="shared" si="105"/>
        <v>0</v>
      </c>
      <c r="R60" s="1273">
        <f t="shared" si="105"/>
        <v>0</v>
      </c>
      <c r="S60" s="1273">
        <f t="shared" si="105"/>
        <v>0</v>
      </c>
      <c r="T60" s="1273">
        <f t="shared" si="105"/>
        <v>0</v>
      </c>
      <c r="U60" s="1273">
        <f t="shared" si="105"/>
        <v>0</v>
      </c>
      <c r="V60" s="1273">
        <f t="shared" si="105"/>
        <v>0</v>
      </c>
      <c r="W60" s="1273">
        <f t="shared" si="105"/>
        <v>0</v>
      </c>
      <c r="X60" s="1273">
        <f t="shared" si="105"/>
        <v>0</v>
      </c>
      <c r="Y60" s="1273">
        <f t="shared" si="105"/>
        <v>0</v>
      </c>
      <c r="Z60" s="1273">
        <f t="shared" si="105"/>
        <v>0</v>
      </c>
      <c r="AA60" s="1273">
        <f t="shared" si="105"/>
        <v>0</v>
      </c>
      <c r="AB60" s="1273">
        <f t="shared" si="105"/>
        <v>0</v>
      </c>
      <c r="AC60" s="1273">
        <f t="shared" si="105"/>
        <v>0</v>
      </c>
      <c r="AD60" s="1273">
        <f t="shared" si="105"/>
        <v>0</v>
      </c>
      <c r="AE60" s="1273">
        <f t="shared" si="105"/>
        <v>0</v>
      </c>
      <c r="AF60" s="1273">
        <f t="shared" si="105"/>
        <v>0</v>
      </c>
      <c r="AG60" s="1273">
        <f t="shared" si="105"/>
        <v>0</v>
      </c>
      <c r="AH60" s="1273">
        <f t="shared" si="105"/>
        <v>0</v>
      </c>
      <c r="AI60" s="1273">
        <f t="shared" si="105"/>
        <v>0</v>
      </c>
      <c r="AJ60" s="1273">
        <f t="shared" si="105"/>
        <v>0</v>
      </c>
      <c r="AK60" s="1273">
        <f t="shared" si="105"/>
        <v>0</v>
      </c>
      <c r="AL60" s="1273">
        <f t="shared" si="105"/>
        <v>0</v>
      </c>
      <c r="AM60" s="1273">
        <f t="shared" si="105"/>
        <v>0</v>
      </c>
      <c r="AN60" s="1274">
        <f t="shared" ref="AN60" si="106">_xlfn.IFS(AN53&lt;=0,0,AN53&gt;0,AN25/AN53)</f>
        <v>0</v>
      </c>
    </row>
    <row r="61" spans="1:40" ht="20" customHeight="1" x14ac:dyDescent="0.15">
      <c r="A61" s="171"/>
      <c r="B61" s="183"/>
      <c r="C61" s="700" t="str">
        <f>Dashboard!K81</f>
        <v>ZALO</v>
      </c>
      <c r="D61" s="701">
        <f>Dashboard!M81</f>
        <v>0.4</v>
      </c>
      <c r="E61" s="1288">
        <f t="shared" si="102"/>
        <v>27.500000000000007</v>
      </c>
      <c r="F61" s="701">
        <f>D61-E61</f>
        <v>-27.100000000000009</v>
      </c>
      <c r="G61" s="1265">
        <f>_xlfn.IFS(F61&gt;0,1,F61&lt;=0,D61/E61)</f>
        <v>1.4545454545454542E-2</v>
      </c>
      <c r="H61" s="701">
        <f>D61/'Action Plan'!$C$6</f>
        <v>1.5384615384615385E-2</v>
      </c>
      <c r="I61" s="701">
        <f t="shared" ca="1" si="97"/>
        <v>0</v>
      </c>
      <c r="J61" s="1275">
        <f>_xlfn.IFS(J54&lt;=0,0,J54&gt;0,J26/J54)</f>
        <v>1</v>
      </c>
      <c r="K61" s="1275">
        <f t="shared" ref="K61:AM61" si="107">_xlfn.IFS(K54&lt;=0,0,K54&gt;0,K26/K54)</f>
        <v>1</v>
      </c>
      <c r="L61" s="1275">
        <f t="shared" si="107"/>
        <v>1</v>
      </c>
      <c r="M61" s="1275">
        <f t="shared" si="107"/>
        <v>1</v>
      </c>
      <c r="N61" s="1275">
        <f t="shared" si="107"/>
        <v>1</v>
      </c>
      <c r="O61" s="1275">
        <f t="shared" si="107"/>
        <v>1</v>
      </c>
      <c r="P61" s="1275">
        <f t="shared" si="107"/>
        <v>1</v>
      </c>
      <c r="Q61" s="1275">
        <f t="shared" si="107"/>
        <v>1</v>
      </c>
      <c r="R61" s="1275">
        <f t="shared" si="107"/>
        <v>1</v>
      </c>
      <c r="S61" s="1275">
        <f t="shared" si="107"/>
        <v>1</v>
      </c>
      <c r="T61" s="1275">
        <f t="shared" si="107"/>
        <v>1</v>
      </c>
      <c r="U61" s="1275">
        <f t="shared" si="107"/>
        <v>1</v>
      </c>
      <c r="V61" s="1275">
        <f t="shared" si="107"/>
        <v>1</v>
      </c>
      <c r="W61" s="1275">
        <f t="shared" si="107"/>
        <v>1</v>
      </c>
      <c r="X61" s="1275">
        <f t="shared" si="107"/>
        <v>1</v>
      </c>
      <c r="Y61" s="1275">
        <f t="shared" si="107"/>
        <v>1</v>
      </c>
      <c r="Z61" s="1275">
        <f t="shared" si="107"/>
        <v>1</v>
      </c>
      <c r="AA61" s="1275">
        <f t="shared" si="107"/>
        <v>1</v>
      </c>
      <c r="AB61" s="1275">
        <f t="shared" si="107"/>
        <v>1</v>
      </c>
      <c r="AC61" s="1275">
        <f t="shared" si="107"/>
        <v>1</v>
      </c>
      <c r="AD61" s="1275">
        <f t="shared" si="107"/>
        <v>1</v>
      </c>
      <c r="AE61" s="1275">
        <f t="shared" si="107"/>
        <v>1</v>
      </c>
      <c r="AF61" s="1275">
        <f t="shared" si="107"/>
        <v>1</v>
      </c>
      <c r="AG61" s="1275">
        <f t="shared" si="107"/>
        <v>1</v>
      </c>
      <c r="AH61" s="1275">
        <f t="shared" si="107"/>
        <v>1</v>
      </c>
      <c r="AI61" s="1275">
        <f t="shared" si="107"/>
        <v>0.1</v>
      </c>
      <c r="AJ61" s="1275">
        <f t="shared" si="107"/>
        <v>0.1</v>
      </c>
      <c r="AK61" s="1275">
        <f t="shared" si="107"/>
        <v>0.1</v>
      </c>
      <c r="AL61" s="1275">
        <f t="shared" si="107"/>
        <v>0.1</v>
      </c>
      <c r="AM61" s="1275">
        <f t="shared" si="107"/>
        <v>0.1</v>
      </c>
      <c r="AN61" s="1276">
        <f t="shared" ref="AN61" si="108">_xlfn.IFS(AN54&lt;=0,0,AN54&gt;0,AN26/AN54)</f>
        <v>2</v>
      </c>
    </row>
    <row r="62" spans="1:40" ht="20" customHeight="1" x14ac:dyDescent="0.15">
      <c r="A62" s="9"/>
      <c r="B62" s="1246" t="s">
        <v>223</v>
      </c>
      <c r="C62" s="729" t="str">
        <f>Dashboard!K82</f>
        <v>CONVERSION RATE</v>
      </c>
      <c r="D62" s="1289">
        <f>Dashboard!M82</f>
        <v>0.25833333333333336</v>
      </c>
      <c r="E62" s="735">
        <f>AVERAGE(E63:E69)</f>
        <v>0.19857142857142862</v>
      </c>
      <c r="F62" s="1241">
        <f>E62-D62</f>
        <v>-5.9761904761904738E-2</v>
      </c>
      <c r="G62" s="1266">
        <f>_xlfn.IFS(F62&gt;0,1,F62&lt;=0,E62/D62)</f>
        <v>0.76866359447004617</v>
      </c>
      <c r="H62" s="1270">
        <f>D62/'Action Plan'!$C$6</f>
        <v>9.935897435897437E-3</v>
      </c>
      <c r="I62" s="1268">
        <f ca="1">AVERAGE(I63:I68)</f>
        <v>0</v>
      </c>
      <c r="J62" s="1277">
        <f>SUM(J63:J69)</f>
        <v>0.04</v>
      </c>
      <c r="K62" s="1277">
        <f>SUM(K63:K69)</f>
        <v>0.04</v>
      </c>
      <c r="L62" s="1277">
        <f t="shared" ref="L62:AM62" si="109">SUM(L63:L69)</f>
        <v>0.04</v>
      </c>
      <c r="M62" s="1277">
        <f t="shared" si="109"/>
        <v>0.04</v>
      </c>
      <c r="N62" s="1277">
        <f t="shared" si="109"/>
        <v>0.04</v>
      </c>
      <c r="O62" s="1277">
        <f t="shared" si="109"/>
        <v>0.04</v>
      </c>
      <c r="P62" s="1277">
        <f t="shared" si="109"/>
        <v>0.04</v>
      </c>
      <c r="Q62" s="1277">
        <f t="shared" si="109"/>
        <v>0.04</v>
      </c>
      <c r="R62" s="1277">
        <f t="shared" si="109"/>
        <v>0.04</v>
      </c>
      <c r="S62" s="1277">
        <f t="shared" si="109"/>
        <v>0.04</v>
      </c>
      <c r="T62" s="1277">
        <f t="shared" si="109"/>
        <v>0.04</v>
      </c>
      <c r="U62" s="1277">
        <f t="shared" si="109"/>
        <v>0.04</v>
      </c>
      <c r="V62" s="1277">
        <f t="shared" si="109"/>
        <v>0.04</v>
      </c>
      <c r="W62" s="1277">
        <f t="shared" si="109"/>
        <v>0.04</v>
      </c>
      <c r="X62" s="1277">
        <f t="shared" si="109"/>
        <v>0.04</v>
      </c>
      <c r="Y62" s="1277">
        <f t="shared" si="109"/>
        <v>0.04</v>
      </c>
      <c r="Z62" s="1277">
        <f t="shared" si="109"/>
        <v>0.04</v>
      </c>
      <c r="AA62" s="1277">
        <f t="shared" si="109"/>
        <v>0.04</v>
      </c>
      <c r="AB62" s="1277">
        <f t="shared" si="109"/>
        <v>0.04</v>
      </c>
      <c r="AC62" s="1277">
        <f t="shared" si="109"/>
        <v>0.04</v>
      </c>
      <c r="AD62" s="1277">
        <f t="shared" si="109"/>
        <v>0.04</v>
      </c>
      <c r="AE62" s="1277">
        <f t="shared" si="109"/>
        <v>0.04</v>
      </c>
      <c r="AF62" s="1277">
        <f t="shared" si="109"/>
        <v>0.04</v>
      </c>
      <c r="AG62" s="1277">
        <f t="shared" si="109"/>
        <v>0.04</v>
      </c>
      <c r="AH62" s="1277">
        <f t="shared" si="109"/>
        <v>0.04</v>
      </c>
      <c r="AI62" s="1277">
        <f t="shared" si="109"/>
        <v>0.04</v>
      </c>
      <c r="AJ62" s="1277">
        <f t="shared" si="109"/>
        <v>0.04</v>
      </c>
      <c r="AK62" s="1277">
        <f t="shared" si="109"/>
        <v>0.04</v>
      </c>
      <c r="AL62" s="1277">
        <f t="shared" si="109"/>
        <v>0.04</v>
      </c>
      <c r="AM62" s="1277">
        <f t="shared" si="109"/>
        <v>0.04</v>
      </c>
      <c r="AN62" s="1272">
        <f>SUM(AN63:AN69)</f>
        <v>0.18999999999999997</v>
      </c>
    </row>
    <row r="63" spans="1:40" ht="20" customHeight="1" x14ac:dyDescent="0.15">
      <c r="A63" s="171"/>
      <c r="B63" s="183"/>
      <c r="C63" s="693" t="str">
        <f>Dashboard!K83</f>
        <v>FACEBOOK</v>
      </c>
      <c r="D63" s="1290">
        <f>Dashboard!M83</f>
        <v>0.15</v>
      </c>
      <c r="E63" s="1088">
        <f>SUM(J63:AN63)</f>
        <v>0.35000000000000009</v>
      </c>
      <c r="F63" s="208">
        <f>E63-D63</f>
        <v>0.20000000000000009</v>
      </c>
      <c r="G63" s="208">
        <f>_xlfn.IFS(F63&gt;0,1,F63&lt;=0,E63/D63)</f>
        <v>1</v>
      </c>
      <c r="H63" s="208">
        <f>D63/'Action Plan'!$C$6</f>
        <v>5.7692307692307687E-3</v>
      </c>
      <c r="I63" s="1269">
        <f ca="1">SUMIF($J$5:$AN$5,TODAY(),J63:AN63)</f>
        <v>0</v>
      </c>
      <c r="J63" s="1278">
        <v>0.01</v>
      </c>
      <c r="K63" s="1278">
        <v>0.01</v>
      </c>
      <c r="L63" s="1278">
        <v>0.01</v>
      </c>
      <c r="M63" s="1278">
        <v>0.01</v>
      </c>
      <c r="N63" s="1278">
        <v>0.01</v>
      </c>
      <c r="O63" s="1278">
        <v>0.01</v>
      </c>
      <c r="P63" s="1278">
        <v>0.01</v>
      </c>
      <c r="Q63" s="1278">
        <v>0.01</v>
      </c>
      <c r="R63" s="1278">
        <v>0.01</v>
      </c>
      <c r="S63" s="1278">
        <v>0.01</v>
      </c>
      <c r="T63" s="1278">
        <v>0.01</v>
      </c>
      <c r="U63" s="1278">
        <v>0.01</v>
      </c>
      <c r="V63" s="1278">
        <v>0.01</v>
      </c>
      <c r="W63" s="1278">
        <v>0.01</v>
      </c>
      <c r="X63" s="1278">
        <v>0.01</v>
      </c>
      <c r="Y63" s="1278">
        <v>0.01</v>
      </c>
      <c r="Z63" s="1278">
        <v>0.01</v>
      </c>
      <c r="AA63" s="1278">
        <v>0.01</v>
      </c>
      <c r="AB63" s="1278">
        <v>0.01</v>
      </c>
      <c r="AC63" s="1278">
        <v>0.01</v>
      </c>
      <c r="AD63" s="1278">
        <v>0.01</v>
      </c>
      <c r="AE63" s="1278">
        <v>0.01</v>
      </c>
      <c r="AF63" s="1278">
        <v>0.01</v>
      </c>
      <c r="AG63" s="1278">
        <v>0.01</v>
      </c>
      <c r="AH63" s="1278">
        <v>0.01</v>
      </c>
      <c r="AI63" s="1278">
        <v>0.01</v>
      </c>
      <c r="AJ63" s="1278">
        <v>0.01</v>
      </c>
      <c r="AK63" s="1278">
        <v>0.01</v>
      </c>
      <c r="AL63" s="1278">
        <v>0.01</v>
      </c>
      <c r="AM63" s="1278">
        <v>0.01</v>
      </c>
      <c r="AN63" s="1280">
        <v>0.05</v>
      </c>
    </row>
    <row r="64" spans="1:40" ht="20" customHeight="1" x14ac:dyDescent="0.15">
      <c r="A64" s="171"/>
      <c r="B64" s="183"/>
      <c r="C64" s="693" t="str">
        <f>Dashboard!K84</f>
        <v>LANDING PAGE</v>
      </c>
      <c r="D64" s="1290">
        <f>Dashboard!M84</f>
        <v>0.8</v>
      </c>
      <c r="E64" s="1088">
        <f>SUM(J64:AN64)</f>
        <v>0.31000000000000011</v>
      </c>
      <c r="F64" s="208">
        <f t="shared" ref="F64:F70" si="110">E64-D64</f>
        <v>-0.48999999999999994</v>
      </c>
      <c r="G64" s="208">
        <f t="shared" ref="G64:G68" si="111">_xlfn.IFS(F64&gt;0,1,F64&lt;=0,E64/D64)</f>
        <v>0.38750000000000012</v>
      </c>
      <c r="H64" s="208">
        <f>D64/'Action Plan'!$C$6</f>
        <v>3.0769230769230771E-2</v>
      </c>
      <c r="I64" s="1269">
        <f t="shared" ref="I64:I70" ca="1" si="112">SUMIF($J$5:$AN$5,TODAY(),J64:AN64)</f>
        <v>0</v>
      </c>
      <c r="J64" s="1278">
        <v>0.01</v>
      </c>
      <c r="K64" s="1278">
        <v>0.01</v>
      </c>
      <c r="L64" s="1278">
        <v>0.01</v>
      </c>
      <c r="M64" s="1278">
        <v>0.01</v>
      </c>
      <c r="N64" s="1278">
        <v>0.01</v>
      </c>
      <c r="O64" s="1278">
        <v>0.01</v>
      </c>
      <c r="P64" s="1278">
        <v>0.01</v>
      </c>
      <c r="Q64" s="1278">
        <v>0.01</v>
      </c>
      <c r="R64" s="1278">
        <v>0.01</v>
      </c>
      <c r="S64" s="1278">
        <v>0.01</v>
      </c>
      <c r="T64" s="1278">
        <v>0.01</v>
      </c>
      <c r="U64" s="1278">
        <v>0.01</v>
      </c>
      <c r="V64" s="1278">
        <v>0.01</v>
      </c>
      <c r="W64" s="1278">
        <v>0.01</v>
      </c>
      <c r="X64" s="1278">
        <v>0.01</v>
      </c>
      <c r="Y64" s="1278">
        <v>0.01</v>
      </c>
      <c r="Z64" s="1278">
        <v>0.01</v>
      </c>
      <c r="AA64" s="1278">
        <v>0.01</v>
      </c>
      <c r="AB64" s="1278">
        <v>0.01</v>
      </c>
      <c r="AC64" s="1278">
        <v>0.01</v>
      </c>
      <c r="AD64" s="1278">
        <v>0.01</v>
      </c>
      <c r="AE64" s="1278">
        <v>0.01</v>
      </c>
      <c r="AF64" s="1278">
        <v>0.01</v>
      </c>
      <c r="AG64" s="1278">
        <v>0.01</v>
      </c>
      <c r="AH64" s="1278">
        <v>0.01</v>
      </c>
      <c r="AI64" s="1278">
        <v>0.01</v>
      </c>
      <c r="AJ64" s="1278">
        <v>0.01</v>
      </c>
      <c r="AK64" s="1278">
        <v>0.01</v>
      </c>
      <c r="AL64" s="1278">
        <v>0.01</v>
      </c>
      <c r="AM64" s="1278">
        <v>0.01</v>
      </c>
      <c r="AN64" s="1281">
        <v>0.01</v>
      </c>
    </row>
    <row r="65" spans="1:40" ht="20" customHeight="1" x14ac:dyDescent="0.15">
      <c r="A65" s="171"/>
      <c r="B65" s="183"/>
      <c r="C65" s="693" t="str">
        <f>Dashboard!K85</f>
        <v>WEBSITE</v>
      </c>
      <c r="D65" s="1290">
        <f>Dashboard!M85</f>
        <v>0.45</v>
      </c>
      <c r="E65" s="1088">
        <f t="shared" ref="E65:E69" si="113">SUM(J65:AN65)</f>
        <v>0.33000000000000007</v>
      </c>
      <c r="F65" s="208">
        <f t="shared" si="110"/>
        <v>-0.11999999999999994</v>
      </c>
      <c r="G65" s="208">
        <f t="shared" si="111"/>
        <v>0.7333333333333335</v>
      </c>
      <c r="H65" s="208">
        <f>D65/'Action Plan'!$C$6</f>
        <v>1.7307692307692309E-2</v>
      </c>
      <c r="I65" s="1269">
        <f t="shared" ca="1" si="112"/>
        <v>0</v>
      </c>
      <c r="J65" s="1278">
        <v>0.01</v>
      </c>
      <c r="K65" s="1278">
        <v>0.01</v>
      </c>
      <c r="L65" s="1278">
        <v>0.01</v>
      </c>
      <c r="M65" s="1278">
        <v>0.01</v>
      </c>
      <c r="N65" s="1278">
        <v>0.01</v>
      </c>
      <c r="O65" s="1278">
        <v>0.01</v>
      </c>
      <c r="P65" s="1278">
        <v>0.01</v>
      </c>
      <c r="Q65" s="1278">
        <v>0.01</v>
      </c>
      <c r="R65" s="1278">
        <v>0.01</v>
      </c>
      <c r="S65" s="1278">
        <v>0.01</v>
      </c>
      <c r="T65" s="1278">
        <v>0.01</v>
      </c>
      <c r="U65" s="1278">
        <v>0.01</v>
      </c>
      <c r="V65" s="1278">
        <v>0.01</v>
      </c>
      <c r="W65" s="1278">
        <v>0.01</v>
      </c>
      <c r="X65" s="1278">
        <v>0.01</v>
      </c>
      <c r="Y65" s="1278">
        <v>0.01</v>
      </c>
      <c r="Z65" s="1278">
        <v>0.01</v>
      </c>
      <c r="AA65" s="1278">
        <v>0.01</v>
      </c>
      <c r="AB65" s="1278">
        <v>0.01</v>
      </c>
      <c r="AC65" s="1278">
        <v>0.01</v>
      </c>
      <c r="AD65" s="1278">
        <v>0.01</v>
      </c>
      <c r="AE65" s="1278">
        <v>0.01</v>
      </c>
      <c r="AF65" s="1278">
        <v>0.01</v>
      </c>
      <c r="AG65" s="1278">
        <v>0.01</v>
      </c>
      <c r="AH65" s="1278">
        <v>0.01</v>
      </c>
      <c r="AI65" s="1278">
        <v>0.01</v>
      </c>
      <c r="AJ65" s="1278">
        <v>0.01</v>
      </c>
      <c r="AK65" s="1278">
        <v>0.01</v>
      </c>
      <c r="AL65" s="1278">
        <v>0.01</v>
      </c>
      <c r="AM65" s="1278">
        <v>0.01</v>
      </c>
      <c r="AN65" s="1280">
        <v>0.03</v>
      </c>
    </row>
    <row r="66" spans="1:40" ht="20" customHeight="1" x14ac:dyDescent="0.15">
      <c r="A66" s="171"/>
      <c r="B66" s="183"/>
      <c r="C66" s="693" t="str">
        <f>Dashboard!K86</f>
        <v>TIKTOKSHOP</v>
      </c>
      <c r="D66" s="1290">
        <f>Dashboard!M86</f>
        <v>0.05</v>
      </c>
      <c r="E66" s="1088">
        <f t="shared" si="113"/>
        <v>0.06</v>
      </c>
      <c r="F66" s="208">
        <f>E66-D66</f>
        <v>9.999999999999995E-3</v>
      </c>
      <c r="G66" s="208">
        <f t="shared" si="111"/>
        <v>1</v>
      </c>
      <c r="H66" s="208">
        <f>D66/'Action Plan'!$C$6</f>
        <v>1.9230769230769232E-3</v>
      </c>
      <c r="I66" s="1269">
        <f t="shared" ca="1" si="112"/>
        <v>0</v>
      </c>
      <c r="J66" s="1282">
        <v>0</v>
      </c>
      <c r="K66" s="1282">
        <v>0</v>
      </c>
      <c r="L66" s="1282">
        <v>0</v>
      </c>
      <c r="M66" s="1282">
        <v>0</v>
      </c>
      <c r="N66" s="1282">
        <v>0</v>
      </c>
      <c r="O66" s="1282">
        <v>0</v>
      </c>
      <c r="P66" s="1282">
        <v>0</v>
      </c>
      <c r="Q66" s="1282">
        <v>0</v>
      </c>
      <c r="R66" s="1282">
        <v>0</v>
      </c>
      <c r="S66" s="1282">
        <v>0</v>
      </c>
      <c r="T66" s="1282">
        <v>0</v>
      </c>
      <c r="U66" s="1282">
        <v>0</v>
      </c>
      <c r="V66" s="1282">
        <v>0</v>
      </c>
      <c r="W66" s="1282">
        <v>0</v>
      </c>
      <c r="X66" s="1282">
        <v>0</v>
      </c>
      <c r="Y66" s="1282">
        <v>0</v>
      </c>
      <c r="Z66" s="1282">
        <v>0</v>
      </c>
      <c r="AA66" s="1282">
        <v>0</v>
      </c>
      <c r="AB66" s="1282">
        <v>0</v>
      </c>
      <c r="AC66" s="1282">
        <v>0</v>
      </c>
      <c r="AD66" s="1282">
        <v>0</v>
      </c>
      <c r="AE66" s="1282">
        <v>0</v>
      </c>
      <c r="AF66" s="1282">
        <v>0</v>
      </c>
      <c r="AG66" s="1282">
        <v>0</v>
      </c>
      <c r="AH66" s="1282">
        <v>0</v>
      </c>
      <c r="AI66" s="1282">
        <v>0</v>
      </c>
      <c r="AJ66" s="1282">
        <v>0</v>
      </c>
      <c r="AK66" s="1282">
        <v>0</v>
      </c>
      <c r="AL66" s="1282">
        <v>0</v>
      </c>
      <c r="AM66" s="1282">
        <v>0</v>
      </c>
      <c r="AN66" s="1283">
        <v>0.06</v>
      </c>
    </row>
    <row r="67" spans="1:40" ht="20" customHeight="1" x14ac:dyDescent="0.15">
      <c r="A67" s="171"/>
      <c r="B67" s="183"/>
      <c r="C67" s="693" t="str">
        <f>Dashboard!K87</f>
        <v>SHOPPEE</v>
      </c>
      <c r="D67" s="1290">
        <f>Dashboard!M87</f>
        <v>0.05</v>
      </c>
      <c r="E67" s="1088">
        <f t="shared" si="113"/>
        <v>0.02</v>
      </c>
      <c r="F67" s="208">
        <f t="shared" si="110"/>
        <v>-3.0000000000000002E-2</v>
      </c>
      <c r="G67" s="208">
        <f t="shared" si="111"/>
        <v>0.39999999999999997</v>
      </c>
      <c r="H67" s="208">
        <f>D67/'Action Plan'!$C$6</f>
        <v>1.9230769230769232E-3</v>
      </c>
      <c r="I67" s="1269">
        <f t="shared" ca="1" si="112"/>
        <v>0</v>
      </c>
      <c r="J67" s="1282">
        <v>0</v>
      </c>
      <c r="K67" s="1282">
        <v>0</v>
      </c>
      <c r="L67" s="1282">
        <v>0</v>
      </c>
      <c r="M67" s="1282">
        <v>0</v>
      </c>
      <c r="N67" s="1282">
        <v>0</v>
      </c>
      <c r="O67" s="1282">
        <v>0</v>
      </c>
      <c r="P67" s="1282">
        <v>0</v>
      </c>
      <c r="Q67" s="1282">
        <v>0</v>
      </c>
      <c r="R67" s="1282">
        <v>0</v>
      </c>
      <c r="S67" s="1282">
        <v>0</v>
      </c>
      <c r="T67" s="1282">
        <v>0</v>
      </c>
      <c r="U67" s="1282">
        <v>0</v>
      </c>
      <c r="V67" s="1282">
        <v>0</v>
      </c>
      <c r="W67" s="1282">
        <v>0</v>
      </c>
      <c r="X67" s="1282">
        <v>0</v>
      </c>
      <c r="Y67" s="1282">
        <v>0</v>
      </c>
      <c r="Z67" s="1282">
        <v>0</v>
      </c>
      <c r="AA67" s="1282">
        <v>0</v>
      </c>
      <c r="AB67" s="1282">
        <v>0</v>
      </c>
      <c r="AC67" s="1282">
        <v>0</v>
      </c>
      <c r="AD67" s="1282">
        <v>0</v>
      </c>
      <c r="AE67" s="1282">
        <v>0</v>
      </c>
      <c r="AF67" s="1282">
        <v>0</v>
      </c>
      <c r="AG67" s="1282">
        <v>0</v>
      </c>
      <c r="AH67" s="1282">
        <v>0</v>
      </c>
      <c r="AI67" s="1282">
        <v>0</v>
      </c>
      <c r="AJ67" s="1282">
        <v>0</v>
      </c>
      <c r="AK67" s="1282">
        <v>0</v>
      </c>
      <c r="AL67" s="1282">
        <v>0</v>
      </c>
      <c r="AM67" s="1282">
        <v>0</v>
      </c>
      <c r="AN67" s="1283">
        <v>0.02</v>
      </c>
    </row>
    <row r="68" spans="1:40" ht="20" customHeight="1" thickBot="1" x14ac:dyDescent="0.2">
      <c r="A68" s="171"/>
      <c r="B68" s="183"/>
      <c r="C68" s="699" t="str">
        <f>Dashboard!K88</f>
        <v>ZALO</v>
      </c>
      <c r="D68" s="1291">
        <f>Dashboard!M88</f>
        <v>0.05</v>
      </c>
      <c r="E68" s="1089">
        <f t="shared" si="113"/>
        <v>0.32000000000000012</v>
      </c>
      <c r="F68" s="1267">
        <f t="shared" si="110"/>
        <v>0.27000000000000013</v>
      </c>
      <c r="G68" s="1267">
        <f t="shared" si="111"/>
        <v>1</v>
      </c>
      <c r="H68" s="1267">
        <f>D68/'Action Plan'!$C$6</f>
        <v>1.9230769230769232E-3</v>
      </c>
      <c r="I68" s="1267">
        <f t="shared" ca="1" si="112"/>
        <v>0</v>
      </c>
      <c r="J68" s="1284">
        <v>0.01</v>
      </c>
      <c r="K68" s="1284">
        <v>0.01</v>
      </c>
      <c r="L68" s="1284">
        <v>0.01</v>
      </c>
      <c r="M68" s="1284">
        <v>0.01</v>
      </c>
      <c r="N68" s="1284">
        <v>0.01</v>
      </c>
      <c r="O68" s="1284">
        <v>0.01</v>
      </c>
      <c r="P68" s="1284">
        <v>0.01</v>
      </c>
      <c r="Q68" s="1284">
        <v>0.01</v>
      </c>
      <c r="R68" s="1284">
        <v>0.01</v>
      </c>
      <c r="S68" s="1284">
        <v>0.01</v>
      </c>
      <c r="T68" s="1284">
        <v>0.01</v>
      </c>
      <c r="U68" s="1284">
        <v>0.01</v>
      </c>
      <c r="V68" s="1284">
        <v>0.01</v>
      </c>
      <c r="W68" s="1284">
        <v>0.01</v>
      </c>
      <c r="X68" s="1284">
        <v>0.01</v>
      </c>
      <c r="Y68" s="1284">
        <v>0.01</v>
      </c>
      <c r="Z68" s="1284">
        <v>0.01</v>
      </c>
      <c r="AA68" s="1284">
        <v>0.01</v>
      </c>
      <c r="AB68" s="1284">
        <v>0.01</v>
      </c>
      <c r="AC68" s="1284">
        <v>0.01</v>
      </c>
      <c r="AD68" s="1284">
        <v>0.01</v>
      </c>
      <c r="AE68" s="1284">
        <v>0.01</v>
      </c>
      <c r="AF68" s="1284">
        <v>0.01</v>
      </c>
      <c r="AG68" s="1284">
        <v>0.01</v>
      </c>
      <c r="AH68" s="1284">
        <v>0.01</v>
      </c>
      <c r="AI68" s="1284">
        <v>0.01</v>
      </c>
      <c r="AJ68" s="1284">
        <v>0.01</v>
      </c>
      <c r="AK68" s="1284">
        <v>0.01</v>
      </c>
      <c r="AL68" s="1284">
        <v>0.01</v>
      </c>
      <c r="AM68" s="1284">
        <v>0.01</v>
      </c>
      <c r="AN68" s="1285">
        <v>0.02</v>
      </c>
    </row>
    <row r="69" spans="1:40" ht="16" hidden="1" x14ac:dyDescent="0.15">
      <c r="A69" s="171"/>
      <c r="B69" s="171"/>
      <c r="C69" s="175" t="str">
        <f>Dashboard!K74</f>
        <v>ZALO</v>
      </c>
      <c r="D69" s="179">
        <f>Dashboard!M74</f>
        <v>25000000</v>
      </c>
      <c r="E69" s="72">
        <f t="shared" si="113"/>
        <v>0</v>
      </c>
      <c r="F69" s="72">
        <f t="shared" si="110"/>
        <v>-25000000</v>
      </c>
      <c r="G69" s="177" t="e">
        <f t="shared" ref="G69" ca="1" si="114">_xludf.IFS(F69&gt;0,1,F69&lt;=0,E69/D69)</f>
        <v>#NAME?</v>
      </c>
      <c r="H69" s="72">
        <f>D69/'Action Plan'!$C$6</f>
        <v>961538.4615384615</v>
      </c>
      <c r="I69" s="171">
        <f t="shared" ca="1" si="112"/>
        <v>0</v>
      </c>
      <c r="J69" s="171"/>
      <c r="K69" s="171"/>
      <c r="L69" s="171"/>
      <c r="M69" s="171"/>
      <c r="N69" s="171"/>
      <c r="O69" s="171"/>
      <c r="P69" s="171"/>
      <c r="Q69" s="171"/>
      <c r="R69" s="171"/>
      <c r="S69" s="171"/>
      <c r="T69" s="171"/>
      <c r="U69" s="171"/>
      <c r="V69" s="171"/>
      <c r="W69" s="171"/>
      <c r="X69" s="171"/>
      <c r="Y69" s="171"/>
      <c r="Z69" s="171"/>
      <c r="AA69" s="171"/>
      <c r="AB69" s="171"/>
      <c r="AC69" s="171"/>
      <c r="AD69" s="171"/>
      <c r="AE69" s="171"/>
      <c r="AF69" s="171"/>
      <c r="AG69" s="171"/>
      <c r="AH69" s="171"/>
      <c r="AI69" s="171"/>
      <c r="AJ69" s="171"/>
      <c r="AK69" s="171"/>
      <c r="AL69" s="171"/>
      <c r="AM69" s="171"/>
      <c r="AN69" s="171"/>
    </row>
    <row r="70" spans="1:40" ht="17" hidden="1" x14ac:dyDescent="0.15">
      <c r="A70" s="10"/>
      <c r="B70" s="10"/>
      <c r="C70" s="161" t="s">
        <v>27</v>
      </c>
      <c r="D70" s="165">
        <f>Dashboard!E75</f>
        <v>0.37333333333333335</v>
      </c>
      <c r="E70" s="163">
        <f>Dashboard!F75</f>
        <v>19.066666666666666</v>
      </c>
      <c r="F70" s="164">
        <f t="shared" si="110"/>
        <v>18.693333333333332</v>
      </c>
      <c r="G70" s="165" t="e">
        <f t="shared" ref="G70:G82" ca="1" si="115">_xludf.IFS(F70&gt;0,0,F70&lt;=0,E70/D70)</f>
        <v>#NAME?</v>
      </c>
      <c r="H70" s="162">
        <f>D70/'Action Plan'!$C$6</f>
        <v>1.4358974358974359E-2</v>
      </c>
      <c r="I70" s="166">
        <f t="shared" ca="1" si="112"/>
        <v>0</v>
      </c>
      <c r="J70" s="173" t="e">
        <f>(J71+#REF!)/2</f>
        <v>#REF!</v>
      </c>
      <c r="K70" s="173" t="e">
        <f>(K71+#REF!)/2</f>
        <v>#REF!</v>
      </c>
      <c r="L70" s="173" t="e">
        <f>(L71+#REF!)/2</f>
        <v>#REF!</v>
      </c>
      <c r="M70" s="173" t="e">
        <f>(M71+#REF!)/2</f>
        <v>#REF!</v>
      </c>
      <c r="N70" s="173" t="e">
        <f>(N71+#REF!)/2</f>
        <v>#REF!</v>
      </c>
      <c r="O70" s="173" t="e">
        <f>(O71+#REF!)/2</f>
        <v>#REF!</v>
      </c>
      <c r="P70" s="173" t="e">
        <f>(P71+#REF!)/2</f>
        <v>#REF!</v>
      </c>
      <c r="Q70" s="173" t="e">
        <f>(Q71+#REF!)/2</f>
        <v>#REF!</v>
      </c>
      <c r="R70" s="173" t="e">
        <f>(R71+#REF!)/2</f>
        <v>#REF!</v>
      </c>
      <c r="S70" s="173" t="e">
        <f>(S71+#REF!)/2</f>
        <v>#REF!</v>
      </c>
      <c r="T70" s="173" t="e">
        <f>(T71+#REF!)/2</f>
        <v>#REF!</v>
      </c>
      <c r="U70" s="173" t="e">
        <f>(U71+#REF!)/2</f>
        <v>#REF!</v>
      </c>
      <c r="V70" s="173" t="e">
        <f>(V71+#REF!)/2</f>
        <v>#REF!</v>
      </c>
      <c r="W70" s="173" t="e">
        <f>(W71+#REF!)/2</f>
        <v>#REF!</v>
      </c>
      <c r="X70" s="173" t="e">
        <f>(X71+#REF!)/2</f>
        <v>#REF!</v>
      </c>
      <c r="Y70" s="173" t="e">
        <f>(Y71+#REF!)/2</f>
        <v>#REF!</v>
      </c>
      <c r="Z70" s="173" t="e">
        <f>(Z71+#REF!)/2</f>
        <v>#REF!</v>
      </c>
      <c r="AA70" s="173" t="e">
        <f>(AA71+#REF!)/2</f>
        <v>#REF!</v>
      </c>
      <c r="AB70" s="173" t="e">
        <f>(AB71+#REF!)/2</f>
        <v>#REF!</v>
      </c>
      <c r="AC70" s="173" t="e">
        <f>(AC71+#REF!)/2</f>
        <v>#REF!</v>
      </c>
      <c r="AD70" s="173" t="e">
        <f>(AD71+#REF!)/2</f>
        <v>#REF!</v>
      </c>
      <c r="AE70" s="173" t="e">
        <f>(AE71+#REF!)/2</f>
        <v>#REF!</v>
      </c>
      <c r="AF70" s="173" t="e">
        <f>(AF71+#REF!)/2</f>
        <v>#REF!</v>
      </c>
      <c r="AG70" s="173" t="e">
        <f>(AG71+#REF!)/2</f>
        <v>#REF!</v>
      </c>
      <c r="AH70" s="173" t="e">
        <f>(AH71+#REF!)/2</f>
        <v>#REF!</v>
      </c>
      <c r="AI70" s="173" t="e">
        <f>(AI71+#REF!)/2</f>
        <v>#REF!</v>
      </c>
      <c r="AJ70" s="173" t="e">
        <f>(AJ71+#REF!)/2</f>
        <v>#REF!</v>
      </c>
      <c r="AK70" s="173" t="e">
        <f>(AK71+#REF!)/2</f>
        <v>#REF!</v>
      </c>
      <c r="AL70" s="173" t="e">
        <f>(AL71+#REF!)/2</f>
        <v>#REF!</v>
      </c>
      <c r="AM70" s="173" t="e">
        <f>(AM71+#REF!)/2</f>
        <v>#REF!</v>
      </c>
      <c r="AN70" s="173" t="e">
        <f>(AN71+#REF!)/2</f>
        <v>#REF!</v>
      </c>
    </row>
    <row r="71" spans="1:40" ht="13" hidden="1" x14ac:dyDescent="0.15">
      <c r="A71" s="9"/>
      <c r="B71" s="9"/>
      <c r="C71" s="178" t="str">
        <f>Dashboard!K75</f>
        <v>A/S RATIO</v>
      </c>
      <c r="D71" s="180">
        <f>Dashboard!M75</f>
        <v>0.18666666666666668</v>
      </c>
      <c r="E71" s="168">
        <f t="shared" ref="E71:F71" si="116">AVERAGE(E72:E77)</f>
        <v>309166666.66666669</v>
      </c>
      <c r="F71" s="169">
        <f t="shared" si="116"/>
        <v>309166666.48000008</v>
      </c>
      <c r="G71" s="170" t="e">
        <f t="shared" ca="1" si="115"/>
        <v>#NAME?</v>
      </c>
      <c r="H71" s="181">
        <f t="shared" ref="H71:AN71" si="117">AVERAGE(H72:H77)</f>
        <v>7.1794871794871795E-3</v>
      </c>
      <c r="I71" s="174">
        <f t="shared" ca="1" si="117"/>
        <v>0</v>
      </c>
      <c r="J71" s="20">
        <f t="shared" si="117"/>
        <v>10000000</v>
      </c>
      <c r="K71" s="20">
        <f t="shared" si="117"/>
        <v>10000000</v>
      </c>
      <c r="L71" s="20">
        <f t="shared" si="117"/>
        <v>10000000</v>
      </c>
      <c r="M71" s="20">
        <f t="shared" si="117"/>
        <v>10000000</v>
      </c>
      <c r="N71" s="20">
        <f t="shared" si="117"/>
        <v>10000000</v>
      </c>
      <c r="O71" s="20">
        <f t="shared" si="117"/>
        <v>10000000</v>
      </c>
      <c r="P71" s="20">
        <f t="shared" si="117"/>
        <v>10000000</v>
      </c>
      <c r="Q71" s="20">
        <f t="shared" si="117"/>
        <v>10000000</v>
      </c>
      <c r="R71" s="20">
        <f t="shared" si="117"/>
        <v>10000000</v>
      </c>
      <c r="S71" s="20">
        <f t="shared" si="117"/>
        <v>10000000</v>
      </c>
      <c r="T71" s="20">
        <f t="shared" si="117"/>
        <v>10000000</v>
      </c>
      <c r="U71" s="20">
        <f t="shared" si="117"/>
        <v>10000000</v>
      </c>
      <c r="V71" s="20">
        <f t="shared" si="117"/>
        <v>10000000</v>
      </c>
      <c r="W71" s="20">
        <f t="shared" si="117"/>
        <v>10000000</v>
      </c>
      <c r="X71" s="20">
        <f t="shared" si="117"/>
        <v>10000000</v>
      </c>
      <c r="Y71" s="20">
        <f t="shared" si="117"/>
        <v>10000000</v>
      </c>
      <c r="Z71" s="20">
        <f t="shared" si="117"/>
        <v>10000000</v>
      </c>
      <c r="AA71" s="20">
        <f t="shared" si="117"/>
        <v>10000000</v>
      </c>
      <c r="AB71" s="20">
        <f t="shared" si="117"/>
        <v>10000000</v>
      </c>
      <c r="AC71" s="20">
        <f t="shared" si="117"/>
        <v>10000000</v>
      </c>
      <c r="AD71" s="20">
        <f t="shared" si="117"/>
        <v>10000000</v>
      </c>
      <c r="AE71" s="20">
        <f t="shared" si="117"/>
        <v>10000000</v>
      </c>
      <c r="AF71" s="20">
        <f t="shared" si="117"/>
        <v>10000000</v>
      </c>
      <c r="AG71" s="20">
        <f t="shared" si="117"/>
        <v>10000000</v>
      </c>
      <c r="AH71" s="20">
        <f t="shared" si="117"/>
        <v>10000000</v>
      </c>
      <c r="AI71" s="20">
        <f t="shared" si="117"/>
        <v>10000000</v>
      </c>
      <c r="AJ71" s="20">
        <f t="shared" si="117"/>
        <v>10000000</v>
      </c>
      <c r="AK71" s="20">
        <f t="shared" si="117"/>
        <v>10000000</v>
      </c>
      <c r="AL71" s="20">
        <f t="shared" si="117"/>
        <v>12500000</v>
      </c>
      <c r="AM71" s="20">
        <f t="shared" si="117"/>
        <v>12500000</v>
      </c>
      <c r="AN71" s="20">
        <f t="shared" si="117"/>
        <v>4166666.6666666665</v>
      </c>
    </row>
    <row r="72" spans="1:40" ht="13" hidden="1" x14ac:dyDescent="0.15">
      <c r="A72" s="171"/>
      <c r="B72" s="171"/>
      <c r="C72" s="175" t="str">
        <f>Dashboard!K76</f>
        <v>FACEBOOK</v>
      </c>
      <c r="D72" s="74">
        <f>Dashboard!M76</f>
        <v>0.1</v>
      </c>
      <c r="E72" s="72">
        <f t="shared" ref="E72:E77" si="118">SUM(J72:AN72)</f>
        <v>30000000</v>
      </c>
      <c r="F72" s="72">
        <f t="shared" ref="F72:F78" si="119">E72-D72</f>
        <v>29999999.899999999</v>
      </c>
      <c r="G72" s="177" t="e">
        <f t="shared" ca="1" si="115"/>
        <v>#NAME?</v>
      </c>
      <c r="H72" s="72">
        <f>D72/'Action Plan'!$C$6</f>
        <v>3.8461538461538464E-3</v>
      </c>
      <c r="I72" s="171">
        <f t="shared" ref="I72:I78" ca="1" si="120">SUMIF($J$5:$AN$5,TODAY(),J72:AN72)</f>
        <v>0</v>
      </c>
      <c r="J72" s="171">
        <f t="shared" ref="J72:AN72" si="121">IF(J63&lt;&gt;0,J$9/J63,0)</f>
        <v>0</v>
      </c>
      <c r="K72" s="171">
        <f t="shared" si="121"/>
        <v>0</v>
      </c>
      <c r="L72" s="171">
        <f t="shared" si="121"/>
        <v>0</v>
      </c>
      <c r="M72" s="171">
        <f t="shared" si="121"/>
        <v>0</v>
      </c>
      <c r="N72" s="171">
        <f t="shared" si="121"/>
        <v>0</v>
      </c>
      <c r="O72" s="171">
        <f t="shared" si="121"/>
        <v>0</v>
      </c>
      <c r="P72" s="171">
        <f t="shared" si="121"/>
        <v>0</v>
      </c>
      <c r="Q72" s="171">
        <f t="shared" si="121"/>
        <v>0</v>
      </c>
      <c r="R72" s="171">
        <f t="shared" si="121"/>
        <v>0</v>
      </c>
      <c r="S72" s="171">
        <f t="shared" si="121"/>
        <v>0</v>
      </c>
      <c r="T72" s="171">
        <f t="shared" si="121"/>
        <v>0</v>
      </c>
      <c r="U72" s="171">
        <f t="shared" si="121"/>
        <v>0</v>
      </c>
      <c r="V72" s="171">
        <f t="shared" si="121"/>
        <v>0</v>
      </c>
      <c r="W72" s="171">
        <f t="shared" si="121"/>
        <v>0</v>
      </c>
      <c r="X72" s="171">
        <f t="shared" si="121"/>
        <v>0</v>
      </c>
      <c r="Y72" s="171">
        <f t="shared" si="121"/>
        <v>0</v>
      </c>
      <c r="Z72" s="171">
        <f t="shared" si="121"/>
        <v>0</v>
      </c>
      <c r="AA72" s="171">
        <f t="shared" si="121"/>
        <v>0</v>
      </c>
      <c r="AB72" s="171">
        <f t="shared" si="121"/>
        <v>0</v>
      </c>
      <c r="AC72" s="171">
        <f t="shared" si="121"/>
        <v>0</v>
      </c>
      <c r="AD72" s="171">
        <f t="shared" si="121"/>
        <v>0</v>
      </c>
      <c r="AE72" s="171">
        <f t="shared" si="121"/>
        <v>0</v>
      </c>
      <c r="AF72" s="171">
        <f t="shared" si="121"/>
        <v>0</v>
      </c>
      <c r="AG72" s="171">
        <f t="shared" si="121"/>
        <v>0</v>
      </c>
      <c r="AH72" s="171">
        <f t="shared" si="121"/>
        <v>0</v>
      </c>
      <c r="AI72" s="171">
        <f t="shared" si="121"/>
        <v>0</v>
      </c>
      <c r="AJ72" s="171">
        <f t="shared" si="121"/>
        <v>0</v>
      </c>
      <c r="AK72" s="171">
        <f t="shared" si="121"/>
        <v>0</v>
      </c>
      <c r="AL72" s="171">
        <f t="shared" si="121"/>
        <v>15000000</v>
      </c>
      <c r="AM72" s="171">
        <f t="shared" si="121"/>
        <v>15000000</v>
      </c>
      <c r="AN72" s="171">
        <f t="shared" si="121"/>
        <v>0</v>
      </c>
    </row>
    <row r="73" spans="1:40" ht="13" hidden="1" x14ac:dyDescent="0.15">
      <c r="A73" s="171"/>
      <c r="B73" s="171"/>
      <c r="C73" s="175" t="str">
        <f>Dashboard!K77</f>
        <v>LANDING PAGE</v>
      </c>
      <c r="D73" s="74">
        <f>Dashboard!M77</f>
        <v>0.12</v>
      </c>
      <c r="E73" s="72">
        <f t="shared" si="118"/>
        <v>1500000000</v>
      </c>
      <c r="F73" s="72">
        <f t="shared" si="119"/>
        <v>1499999999.8800001</v>
      </c>
      <c r="G73" s="177" t="e">
        <f t="shared" ca="1" si="115"/>
        <v>#NAME?</v>
      </c>
      <c r="H73" s="72">
        <f>D73/'Action Plan'!$C$6</f>
        <v>4.6153846153846149E-3</v>
      </c>
      <c r="I73" s="171">
        <f t="shared" ca="1" si="120"/>
        <v>0</v>
      </c>
      <c r="J73" s="171">
        <f t="shared" ref="J73:AN73" si="122">IF(J64&lt;&gt;0,J$15/J64,0)</f>
        <v>50000000</v>
      </c>
      <c r="K73" s="171">
        <f t="shared" si="122"/>
        <v>50000000</v>
      </c>
      <c r="L73" s="171">
        <f t="shared" si="122"/>
        <v>50000000</v>
      </c>
      <c r="M73" s="171">
        <f t="shared" si="122"/>
        <v>50000000</v>
      </c>
      <c r="N73" s="171">
        <f t="shared" si="122"/>
        <v>50000000</v>
      </c>
      <c r="O73" s="171">
        <f t="shared" si="122"/>
        <v>50000000</v>
      </c>
      <c r="P73" s="171">
        <f t="shared" si="122"/>
        <v>50000000</v>
      </c>
      <c r="Q73" s="171">
        <f t="shared" si="122"/>
        <v>50000000</v>
      </c>
      <c r="R73" s="171">
        <f t="shared" si="122"/>
        <v>50000000</v>
      </c>
      <c r="S73" s="171">
        <f t="shared" si="122"/>
        <v>50000000</v>
      </c>
      <c r="T73" s="171">
        <f t="shared" si="122"/>
        <v>50000000</v>
      </c>
      <c r="U73" s="171">
        <f t="shared" si="122"/>
        <v>50000000</v>
      </c>
      <c r="V73" s="171">
        <f t="shared" si="122"/>
        <v>50000000</v>
      </c>
      <c r="W73" s="171">
        <f t="shared" si="122"/>
        <v>50000000</v>
      </c>
      <c r="X73" s="171">
        <f t="shared" si="122"/>
        <v>50000000</v>
      </c>
      <c r="Y73" s="171">
        <f t="shared" si="122"/>
        <v>50000000</v>
      </c>
      <c r="Z73" s="171">
        <f t="shared" si="122"/>
        <v>50000000</v>
      </c>
      <c r="AA73" s="171">
        <f t="shared" si="122"/>
        <v>50000000</v>
      </c>
      <c r="AB73" s="171">
        <f t="shared" si="122"/>
        <v>50000000</v>
      </c>
      <c r="AC73" s="171">
        <f t="shared" si="122"/>
        <v>50000000</v>
      </c>
      <c r="AD73" s="171">
        <f t="shared" si="122"/>
        <v>50000000</v>
      </c>
      <c r="AE73" s="171">
        <f t="shared" si="122"/>
        <v>50000000</v>
      </c>
      <c r="AF73" s="171">
        <f t="shared" si="122"/>
        <v>50000000</v>
      </c>
      <c r="AG73" s="171">
        <f t="shared" si="122"/>
        <v>50000000</v>
      </c>
      <c r="AH73" s="171">
        <f t="shared" si="122"/>
        <v>50000000</v>
      </c>
      <c r="AI73" s="171">
        <f t="shared" si="122"/>
        <v>50000000</v>
      </c>
      <c r="AJ73" s="171">
        <f t="shared" si="122"/>
        <v>50000000</v>
      </c>
      <c r="AK73" s="171">
        <f t="shared" si="122"/>
        <v>50000000</v>
      </c>
      <c r="AL73" s="171">
        <f t="shared" si="122"/>
        <v>50000000</v>
      </c>
      <c r="AM73" s="171">
        <f t="shared" si="122"/>
        <v>50000000</v>
      </c>
      <c r="AN73" s="171">
        <f t="shared" si="122"/>
        <v>0</v>
      </c>
    </row>
    <row r="74" spans="1:40" ht="13" hidden="1" x14ac:dyDescent="0.15">
      <c r="A74" s="171"/>
      <c r="B74" s="171"/>
      <c r="C74" s="175" t="str">
        <f>Dashboard!K78</f>
        <v>WEBSITE</v>
      </c>
      <c r="D74" s="74">
        <f>Dashboard!M78</f>
        <v>0.1</v>
      </c>
      <c r="E74" s="72">
        <f t="shared" si="118"/>
        <v>320000000</v>
      </c>
      <c r="F74" s="72">
        <f t="shared" si="119"/>
        <v>319999999.89999998</v>
      </c>
      <c r="G74" s="177" t="e">
        <f t="shared" ca="1" si="115"/>
        <v>#NAME?</v>
      </c>
      <c r="H74" s="72">
        <f>D74/'Action Plan'!$C$6</f>
        <v>3.8461538461538464E-3</v>
      </c>
      <c r="I74" s="171">
        <f t="shared" ca="1" si="120"/>
        <v>0</v>
      </c>
      <c r="J74" s="171">
        <f t="shared" ref="J74:AN74" si="123">IF(J65&lt;&gt;0,J$21/J65,0)</f>
        <v>10000000</v>
      </c>
      <c r="K74" s="171">
        <f t="shared" si="123"/>
        <v>10000000</v>
      </c>
      <c r="L74" s="171">
        <f t="shared" si="123"/>
        <v>10000000</v>
      </c>
      <c r="M74" s="171">
        <f t="shared" si="123"/>
        <v>10000000</v>
      </c>
      <c r="N74" s="171">
        <f t="shared" si="123"/>
        <v>10000000</v>
      </c>
      <c r="O74" s="171">
        <f t="shared" si="123"/>
        <v>10000000</v>
      </c>
      <c r="P74" s="171">
        <f t="shared" si="123"/>
        <v>10000000</v>
      </c>
      <c r="Q74" s="171">
        <f t="shared" si="123"/>
        <v>10000000</v>
      </c>
      <c r="R74" s="171">
        <f t="shared" si="123"/>
        <v>10000000</v>
      </c>
      <c r="S74" s="171">
        <f t="shared" si="123"/>
        <v>10000000</v>
      </c>
      <c r="T74" s="171">
        <f t="shared" si="123"/>
        <v>10000000</v>
      </c>
      <c r="U74" s="171">
        <f t="shared" si="123"/>
        <v>10000000</v>
      </c>
      <c r="V74" s="171">
        <f t="shared" si="123"/>
        <v>10000000</v>
      </c>
      <c r="W74" s="171">
        <f t="shared" si="123"/>
        <v>10000000</v>
      </c>
      <c r="X74" s="171">
        <f t="shared" si="123"/>
        <v>10000000</v>
      </c>
      <c r="Y74" s="171">
        <f t="shared" si="123"/>
        <v>10000000</v>
      </c>
      <c r="Z74" s="171">
        <f t="shared" si="123"/>
        <v>10000000</v>
      </c>
      <c r="AA74" s="171">
        <f t="shared" si="123"/>
        <v>10000000</v>
      </c>
      <c r="AB74" s="171">
        <f t="shared" si="123"/>
        <v>10000000</v>
      </c>
      <c r="AC74" s="171">
        <f t="shared" si="123"/>
        <v>10000000</v>
      </c>
      <c r="AD74" s="171">
        <f t="shared" si="123"/>
        <v>10000000</v>
      </c>
      <c r="AE74" s="171">
        <f t="shared" si="123"/>
        <v>10000000</v>
      </c>
      <c r="AF74" s="171">
        <f t="shared" si="123"/>
        <v>10000000</v>
      </c>
      <c r="AG74" s="171">
        <f t="shared" si="123"/>
        <v>10000000</v>
      </c>
      <c r="AH74" s="171">
        <f t="shared" si="123"/>
        <v>10000000</v>
      </c>
      <c r="AI74" s="171">
        <f t="shared" si="123"/>
        <v>10000000</v>
      </c>
      <c r="AJ74" s="171">
        <f t="shared" si="123"/>
        <v>10000000</v>
      </c>
      <c r="AK74" s="171">
        <f t="shared" si="123"/>
        <v>10000000</v>
      </c>
      <c r="AL74" s="171">
        <f t="shared" si="123"/>
        <v>10000000</v>
      </c>
      <c r="AM74" s="171">
        <f t="shared" si="123"/>
        <v>10000000</v>
      </c>
      <c r="AN74" s="171">
        <f t="shared" si="123"/>
        <v>20000000</v>
      </c>
    </row>
    <row r="75" spans="1:40" ht="13" hidden="1" x14ac:dyDescent="0.15">
      <c r="A75" s="171"/>
      <c r="B75" s="171"/>
      <c r="C75" s="175" t="str">
        <f>Dashboard!K79</f>
        <v>TIKTOKSHOP</v>
      </c>
      <c r="D75" s="74">
        <f>Dashboard!M79</f>
        <v>0.3</v>
      </c>
      <c r="E75" s="72">
        <f t="shared" si="118"/>
        <v>5000000</v>
      </c>
      <c r="F75" s="72">
        <f t="shared" si="119"/>
        <v>4999999.7</v>
      </c>
      <c r="G75" s="177" t="e">
        <f t="shared" ca="1" si="115"/>
        <v>#NAME?</v>
      </c>
      <c r="H75" s="72">
        <f>D75/'Action Plan'!$C$6</f>
        <v>1.1538461538461537E-2</v>
      </c>
      <c r="I75" s="171">
        <f t="shared" ca="1" si="120"/>
        <v>0</v>
      </c>
      <c r="J75" s="171">
        <f t="shared" ref="J75:AN75" si="124">IF(J66&lt;&gt;0,(J$24+J$28)/J66,0)</f>
        <v>0</v>
      </c>
      <c r="K75" s="171">
        <f t="shared" si="124"/>
        <v>0</v>
      </c>
      <c r="L75" s="171">
        <f t="shared" si="124"/>
        <v>0</v>
      </c>
      <c r="M75" s="171">
        <f t="shared" si="124"/>
        <v>0</v>
      </c>
      <c r="N75" s="171">
        <f t="shared" si="124"/>
        <v>0</v>
      </c>
      <c r="O75" s="171">
        <f t="shared" si="124"/>
        <v>0</v>
      </c>
      <c r="P75" s="171">
        <f t="shared" si="124"/>
        <v>0</v>
      </c>
      <c r="Q75" s="171">
        <f t="shared" si="124"/>
        <v>0</v>
      </c>
      <c r="R75" s="171">
        <f t="shared" si="124"/>
        <v>0</v>
      </c>
      <c r="S75" s="171">
        <f t="shared" si="124"/>
        <v>0</v>
      </c>
      <c r="T75" s="171">
        <f t="shared" si="124"/>
        <v>0</v>
      </c>
      <c r="U75" s="171">
        <f t="shared" si="124"/>
        <v>0</v>
      </c>
      <c r="V75" s="171">
        <f t="shared" si="124"/>
        <v>0</v>
      </c>
      <c r="W75" s="171">
        <f t="shared" si="124"/>
        <v>0</v>
      </c>
      <c r="X75" s="171">
        <f t="shared" si="124"/>
        <v>0</v>
      </c>
      <c r="Y75" s="171">
        <f t="shared" si="124"/>
        <v>0</v>
      </c>
      <c r="Z75" s="171">
        <f t="shared" si="124"/>
        <v>0</v>
      </c>
      <c r="AA75" s="171">
        <f t="shared" si="124"/>
        <v>0</v>
      </c>
      <c r="AB75" s="171">
        <f t="shared" si="124"/>
        <v>0</v>
      </c>
      <c r="AC75" s="171">
        <f t="shared" si="124"/>
        <v>0</v>
      </c>
      <c r="AD75" s="171">
        <f t="shared" si="124"/>
        <v>0</v>
      </c>
      <c r="AE75" s="171">
        <f t="shared" si="124"/>
        <v>0</v>
      </c>
      <c r="AF75" s="171">
        <f t="shared" si="124"/>
        <v>0</v>
      </c>
      <c r="AG75" s="171">
        <f t="shared" si="124"/>
        <v>0</v>
      </c>
      <c r="AH75" s="171">
        <f t="shared" si="124"/>
        <v>0</v>
      </c>
      <c r="AI75" s="171">
        <f t="shared" si="124"/>
        <v>0</v>
      </c>
      <c r="AJ75" s="171">
        <f t="shared" si="124"/>
        <v>0</v>
      </c>
      <c r="AK75" s="171">
        <f t="shared" si="124"/>
        <v>0</v>
      </c>
      <c r="AL75" s="171">
        <f t="shared" si="124"/>
        <v>0</v>
      </c>
      <c r="AM75" s="171">
        <f t="shared" si="124"/>
        <v>0</v>
      </c>
      <c r="AN75" s="171">
        <f t="shared" si="124"/>
        <v>5000000</v>
      </c>
    </row>
    <row r="76" spans="1:40" ht="13" hidden="1" x14ac:dyDescent="0.15">
      <c r="A76" s="171"/>
      <c r="B76" s="171"/>
      <c r="C76" s="175" t="str">
        <f>Dashboard!K80</f>
        <v>SHOPPEE</v>
      </c>
      <c r="D76" s="74">
        <f>Dashboard!M80</f>
        <v>0.1</v>
      </c>
      <c r="E76" s="72">
        <f t="shared" si="118"/>
        <v>0</v>
      </c>
      <c r="F76" s="72">
        <f t="shared" si="119"/>
        <v>-0.1</v>
      </c>
      <c r="G76" s="177" t="e">
        <f t="shared" ca="1" si="115"/>
        <v>#NAME?</v>
      </c>
      <c r="H76" s="72">
        <f>D76/'Action Plan'!$C$6</f>
        <v>3.8461538461538464E-3</v>
      </c>
      <c r="I76" s="171">
        <f t="shared" ca="1" si="120"/>
        <v>0</v>
      </c>
      <c r="J76" s="171">
        <f t="shared" ref="J76:AN76" si="125">IF(J68&lt;&gt;0,J$25/J68,0)</f>
        <v>0</v>
      </c>
      <c r="K76" s="171">
        <f t="shared" si="125"/>
        <v>0</v>
      </c>
      <c r="L76" s="171">
        <f t="shared" si="125"/>
        <v>0</v>
      </c>
      <c r="M76" s="171">
        <f t="shared" si="125"/>
        <v>0</v>
      </c>
      <c r="N76" s="171">
        <f t="shared" si="125"/>
        <v>0</v>
      </c>
      <c r="O76" s="171">
        <f t="shared" si="125"/>
        <v>0</v>
      </c>
      <c r="P76" s="171">
        <f t="shared" si="125"/>
        <v>0</v>
      </c>
      <c r="Q76" s="171">
        <f t="shared" si="125"/>
        <v>0</v>
      </c>
      <c r="R76" s="171">
        <f t="shared" si="125"/>
        <v>0</v>
      </c>
      <c r="S76" s="171">
        <f t="shared" si="125"/>
        <v>0</v>
      </c>
      <c r="T76" s="171">
        <f t="shared" si="125"/>
        <v>0</v>
      </c>
      <c r="U76" s="171">
        <f t="shared" si="125"/>
        <v>0</v>
      </c>
      <c r="V76" s="171">
        <f t="shared" si="125"/>
        <v>0</v>
      </c>
      <c r="W76" s="171">
        <f t="shared" si="125"/>
        <v>0</v>
      </c>
      <c r="X76" s="171">
        <f t="shared" si="125"/>
        <v>0</v>
      </c>
      <c r="Y76" s="171">
        <f t="shared" si="125"/>
        <v>0</v>
      </c>
      <c r="Z76" s="171">
        <f t="shared" si="125"/>
        <v>0</v>
      </c>
      <c r="AA76" s="171">
        <f t="shared" si="125"/>
        <v>0</v>
      </c>
      <c r="AB76" s="171">
        <f t="shared" si="125"/>
        <v>0</v>
      </c>
      <c r="AC76" s="171">
        <f t="shared" si="125"/>
        <v>0</v>
      </c>
      <c r="AD76" s="171">
        <f t="shared" si="125"/>
        <v>0</v>
      </c>
      <c r="AE76" s="171">
        <f t="shared" si="125"/>
        <v>0</v>
      </c>
      <c r="AF76" s="171">
        <f t="shared" si="125"/>
        <v>0</v>
      </c>
      <c r="AG76" s="171">
        <f t="shared" si="125"/>
        <v>0</v>
      </c>
      <c r="AH76" s="171">
        <f t="shared" si="125"/>
        <v>0</v>
      </c>
      <c r="AI76" s="171">
        <f t="shared" si="125"/>
        <v>0</v>
      </c>
      <c r="AJ76" s="171">
        <f t="shared" si="125"/>
        <v>0</v>
      </c>
      <c r="AK76" s="171">
        <f t="shared" si="125"/>
        <v>0</v>
      </c>
      <c r="AL76" s="171">
        <f t="shared" si="125"/>
        <v>0</v>
      </c>
      <c r="AM76" s="171">
        <f t="shared" si="125"/>
        <v>0</v>
      </c>
      <c r="AN76" s="171">
        <f t="shared" si="125"/>
        <v>0</v>
      </c>
    </row>
    <row r="77" spans="1:40" ht="13" hidden="1" x14ac:dyDescent="0.15">
      <c r="A77" s="171"/>
      <c r="B77" s="171"/>
      <c r="C77" s="175" t="str">
        <f>Dashboard!K81</f>
        <v>ZALO</v>
      </c>
      <c r="D77" s="74">
        <f>Dashboard!M81</f>
        <v>0.4</v>
      </c>
      <c r="E77" s="72">
        <f t="shared" si="118"/>
        <v>0</v>
      </c>
      <c r="F77" s="72">
        <f t="shared" si="119"/>
        <v>-0.4</v>
      </c>
      <c r="G77" s="177" t="e">
        <f t="shared" ca="1" si="115"/>
        <v>#NAME?</v>
      </c>
      <c r="H77" s="72">
        <f>D77/'Action Plan'!$C$6</f>
        <v>1.5384615384615385E-2</v>
      </c>
      <c r="I77" s="171">
        <f t="shared" ca="1" si="120"/>
        <v>0</v>
      </c>
      <c r="J77" s="171">
        <f t="shared" ref="J77:AN77" si="126">IF(J69&lt;&gt;0,J$28/J69,0)</f>
        <v>0</v>
      </c>
      <c r="K77" s="171">
        <f t="shared" si="126"/>
        <v>0</v>
      </c>
      <c r="L77" s="171">
        <f t="shared" si="126"/>
        <v>0</v>
      </c>
      <c r="M77" s="171">
        <f t="shared" si="126"/>
        <v>0</v>
      </c>
      <c r="N77" s="171">
        <f t="shared" si="126"/>
        <v>0</v>
      </c>
      <c r="O77" s="171">
        <f t="shared" si="126"/>
        <v>0</v>
      </c>
      <c r="P77" s="171">
        <f t="shared" si="126"/>
        <v>0</v>
      </c>
      <c r="Q77" s="171">
        <f t="shared" si="126"/>
        <v>0</v>
      </c>
      <c r="R77" s="171">
        <f t="shared" si="126"/>
        <v>0</v>
      </c>
      <c r="S77" s="171">
        <f t="shared" si="126"/>
        <v>0</v>
      </c>
      <c r="T77" s="171">
        <f t="shared" si="126"/>
        <v>0</v>
      </c>
      <c r="U77" s="171">
        <f t="shared" si="126"/>
        <v>0</v>
      </c>
      <c r="V77" s="171">
        <f t="shared" si="126"/>
        <v>0</v>
      </c>
      <c r="W77" s="171">
        <f t="shared" si="126"/>
        <v>0</v>
      </c>
      <c r="X77" s="171">
        <f t="shared" si="126"/>
        <v>0</v>
      </c>
      <c r="Y77" s="171">
        <f t="shared" si="126"/>
        <v>0</v>
      </c>
      <c r="Z77" s="171">
        <f t="shared" si="126"/>
        <v>0</v>
      </c>
      <c r="AA77" s="171">
        <f t="shared" si="126"/>
        <v>0</v>
      </c>
      <c r="AB77" s="171">
        <f t="shared" si="126"/>
        <v>0</v>
      </c>
      <c r="AC77" s="171">
        <f t="shared" si="126"/>
        <v>0</v>
      </c>
      <c r="AD77" s="171">
        <f t="shared" si="126"/>
        <v>0</v>
      </c>
      <c r="AE77" s="171">
        <f t="shared" si="126"/>
        <v>0</v>
      </c>
      <c r="AF77" s="171">
        <f t="shared" si="126"/>
        <v>0</v>
      </c>
      <c r="AG77" s="171">
        <f t="shared" si="126"/>
        <v>0</v>
      </c>
      <c r="AH77" s="171">
        <f t="shared" si="126"/>
        <v>0</v>
      </c>
      <c r="AI77" s="171">
        <f t="shared" si="126"/>
        <v>0</v>
      </c>
      <c r="AJ77" s="171">
        <f t="shared" si="126"/>
        <v>0</v>
      </c>
      <c r="AK77" s="171">
        <f t="shared" si="126"/>
        <v>0</v>
      </c>
      <c r="AL77" s="171">
        <f t="shared" si="126"/>
        <v>0</v>
      </c>
      <c r="AM77" s="171">
        <f t="shared" si="126"/>
        <v>0</v>
      </c>
      <c r="AN77" s="171">
        <f t="shared" si="126"/>
        <v>0</v>
      </c>
    </row>
    <row r="78" spans="1:40" ht="17" hidden="1" x14ac:dyDescent="0.15">
      <c r="A78" s="10"/>
      <c r="B78" s="10"/>
      <c r="C78" s="161" t="s">
        <v>28</v>
      </c>
      <c r="D78" s="165">
        <f>Dashboard!E82</f>
        <v>0.45833333333333331</v>
      </c>
      <c r="E78" s="163">
        <f>Dashboard!F82</f>
        <v>0.45000000000000018</v>
      </c>
      <c r="F78" s="164">
        <f t="shared" si="119"/>
        <v>-8.3333333333331372E-3</v>
      </c>
      <c r="G78" s="165" t="e">
        <f t="shared" ca="1" si="115"/>
        <v>#NAME?</v>
      </c>
      <c r="H78" s="162">
        <f>D78/'Action Plan'!$C$6</f>
        <v>1.7628205128205128E-2</v>
      </c>
      <c r="I78" s="166">
        <f t="shared" ca="1" si="120"/>
        <v>0</v>
      </c>
      <c r="J78" s="173" t="e">
        <f>(J79+#REF!)/2</f>
        <v>#DIV/0!</v>
      </c>
      <c r="K78" s="173" t="e">
        <f>(K79+#REF!)/2</f>
        <v>#DIV/0!</v>
      </c>
      <c r="L78" s="173" t="e">
        <f>(L79+#REF!)/2</f>
        <v>#DIV/0!</v>
      </c>
      <c r="M78" s="173" t="e">
        <f>(M79+#REF!)/2</f>
        <v>#DIV/0!</v>
      </c>
      <c r="N78" s="173" t="e">
        <f>(N79+#REF!)/2</f>
        <v>#DIV/0!</v>
      </c>
      <c r="O78" s="173" t="e">
        <f>(O79+#REF!)/2</f>
        <v>#DIV/0!</v>
      </c>
      <c r="P78" s="173" t="e">
        <f>(P79+#REF!)/2</f>
        <v>#DIV/0!</v>
      </c>
      <c r="Q78" s="173" t="e">
        <f>(Q79+#REF!)/2</f>
        <v>#DIV/0!</v>
      </c>
      <c r="R78" s="173" t="e">
        <f>(R79+#REF!)/2</f>
        <v>#DIV/0!</v>
      </c>
      <c r="S78" s="173" t="e">
        <f>(S79+#REF!)/2</f>
        <v>#DIV/0!</v>
      </c>
      <c r="T78" s="173" t="e">
        <f>(T79+#REF!)/2</f>
        <v>#DIV/0!</v>
      </c>
      <c r="U78" s="173" t="e">
        <f>(U79+#REF!)/2</f>
        <v>#DIV/0!</v>
      </c>
      <c r="V78" s="173" t="e">
        <f>(V79+#REF!)/2</f>
        <v>#DIV/0!</v>
      </c>
      <c r="W78" s="173" t="e">
        <f>(W79+#REF!)/2</f>
        <v>#DIV/0!</v>
      </c>
      <c r="X78" s="173" t="e">
        <f>(X79+#REF!)/2</f>
        <v>#DIV/0!</v>
      </c>
      <c r="Y78" s="173" t="e">
        <f>(Y79+#REF!)/2</f>
        <v>#DIV/0!</v>
      </c>
      <c r="Z78" s="173" t="e">
        <f>(Z79+#REF!)/2</f>
        <v>#DIV/0!</v>
      </c>
      <c r="AA78" s="173" t="e">
        <f>(AA79+#REF!)/2</f>
        <v>#DIV/0!</v>
      </c>
      <c r="AB78" s="173" t="e">
        <f>(AB79+#REF!)/2</f>
        <v>#DIV/0!</v>
      </c>
      <c r="AC78" s="173" t="e">
        <f>(AC79+#REF!)/2</f>
        <v>#DIV/0!</v>
      </c>
      <c r="AD78" s="173" t="e">
        <f>(AD79+#REF!)/2</f>
        <v>#DIV/0!</v>
      </c>
      <c r="AE78" s="173" t="e">
        <f>(AE79+#REF!)/2</f>
        <v>#DIV/0!</v>
      </c>
      <c r="AF78" s="173" t="e">
        <f>(AF79+#REF!)/2</f>
        <v>#DIV/0!</v>
      </c>
      <c r="AG78" s="173" t="e">
        <f>(AG79+#REF!)/2</f>
        <v>#DIV/0!</v>
      </c>
      <c r="AH78" s="173" t="e">
        <f>(AH79+#REF!)/2</f>
        <v>#DIV/0!</v>
      </c>
      <c r="AI78" s="173" t="e">
        <f>(AI79+#REF!)/2</f>
        <v>#DIV/0!</v>
      </c>
      <c r="AJ78" s="173" t="e">
        <f>(AJ79+#REF!)/2</f>
        <v>#DIV/0!</v>
      </c>
      <c r="AK78" s="173" t="e">
        <f>(AK79+#REF!)/2</f>
        <v>#DIV/0!</v>
      </c>
      <c r="AL78" s="173" t="e">
        <f>(AL79+#REF!)/2</f>
        <v>#DIV/0!</v>
      </c>
      <c r="AM78" s="173" t="e">
        <f>(AM79+#REF!)/2</f>
        <v>#DIV/0!</v>
      </c>
      <c r="AN78" s="173" t="e">
        <f>(AN79+#REF!)/2</f>
        <v>#DIV/0!</v>
      </c>
    </row>
    <row r="79" spans="1:40" ht="13" hidden="1" x14ac:dyDescent="0.15">
      <c r="A79" s="9"/>
      <c r="B79" s="9"/>
      <c r="C79" s="178" t="str">
        <f>Dashboard!K82</f>
        <v>CONVERSION RATE</v>
      </c>
      <c r="D79" s="180">
        <f>Dashboard!M82</f>
        <v>0.25833333333333336</v>
      </c>
      <c r="E79" s="168">
        <f t="shared" ref="E79:F79" si="127">AVERAGE(E80:E82)</f>
        <v>0</v>
      </c>
      <c r="F79" s="182">
        <f t="shared" si="127"/>
        <v>-5.000000000000001E-2</v>
      </c>
      <c r="G79" s="170" t="e">
        <f t="shared" ca="1" si="115"/>
        <v>#NAME?</v>
      </c>
      <c r="H79" s="181">
        <f t="shared" ref="H79:AN79" si="128">AVERAGE(H80:H82)</f>
        <v>1.9230769230769232E-3</v>
      </c>
      <c r="I79" s="174">
        <f t="shared" ca="1" si="128"/>
        <v>0</v>
      </c>
      <c r="J79" s="20" t="e">
        <f t="shared" si="128"/>
        <v>#DIV/0!</v>
      </c>
      <c r="K79" s="20" t="e">
        <f t="shared" si="128"/>
        <v>#DIV/0!</v>
      </c>
      <c r="L79" s="20" t="e">
        <f t="shared" si="128"/>
        <v>#DIV/0!</v>
      </c>
      <c r="M79" s="20" t="e">
        <f t="shared" si="128"/>
        <v>#DIV/0!</v>
      </c>
      <c r="N79" s="20" t="e">
        <f t="shared" si="128"/>
        <v>#DIV/0!</v>
      </c>
      <c r="O79" s="20" t="e">
        <f t="shared" si="128"/>
        <v>#DIV/0!</v>
      </c>
      <c r="P79" s="20" t="e">
        <f t="shared" si="128"/>
        <v>#DIV/0!</v>
      </c>
      <c r="Q79" s="20" t="e">
        <f t="shared" si="128"/>
        <v>#DIV/0!</v>
      </c>
      <c r="R79" s="20" t="e">
        <f t="shared" si="128"/>
        <v>#DIV/0!</v>
      </c>
      <c r="S79" s="20" t="e">
        <f t="shared" si="128"/>
        <v>#DIV/0!</v>
      </c>
      <c r="T79" s="20" t="e">
        <f t="shared" si="128"/>
        <v>#DIV/0!</v>
      </c>
      <c r="U79" s="20" t="e">
        <f t="shared" si="128"/>
        <v>#DIV/0!</v>
      </c>
      <c r="V79" s="20" t="e">
        <f t="shared" si="128"/>
        <v>#DIV/0!</v>
      </c>
      <c r="W79" s="20" t="e">
        <f t="shared" si="128"/>
        <v>#DIV/0!</v>
      </c>
      <c r="X79" s="20" t="e">
        <f t="shared" si="128"/>
        <v>#DIV/0!</v>
      </c>
      <c r="Y79" s="20" t="e">
        <f t="shared" si="128"/>
        <v>#DIV/0!</v>
      </c>
      <c r="Z79" s="20" t="e">
        <f t="shared" si="128"/>
        <v>#DIV/0!</v>
      </c>
      <c r="AA79" s="20" t="e">
        <f t="shared" si="128"/>
        <v>#DIV/0!</v>
      </c>
      <c r="AB79" s="20" t="e">
        <f t="shared" si="128"/>
        <v>#DIV/0!</v>
      </c>
      <c r="AC79" s="20" t="e">
        <f t="shared" si="128"/>
        <v>#DIV/0!</v>
      </c>
      <c r="AD79" s="20" t="e">
        <f t="shared" si="128"/>
        <v>#DIV/0!</v>
      </c>
      <c r="AE79" s="20" t="e">
        <f t="shared" si="128"/>
        <v>#DIV/0!</v>
      </c>
      <c r="AF79" s="20" t="e">
        <f t="shared" si="128"/>
        <v>#DIV/0!</v>
      </c>
      <c r="AG79" s="20" t="e">
        <f t="shared" si="128"/>
        <v>#DIV/0!</v>
      </c>
      <c r="AH79" s="20" t="e">
        <f t="shared" si="128"/>
        <v>#DIV/0!</v>
      </c>
      <c r="AI79" s="20" t="e">
        <f t="shared" si="128"/>
        <v>#DIV/0!</v>
      </c>
      <c r="AJ79" s="20" t="e">
        <f t="shared" si="128"/>
        <v>#DIV/0!</v>
      </c>
      <c r="AK79" s="20" t="e">
        <f t="shared" si="128"/>
        <v>#DIV/0!</v>
      </c>
      <c r="AL79" s="20" t="e">
        <f t="shared" si="128"/>
        <v>#DIV/0!</v>
      </c>
      <c r="AM79" s="20" t="e">
        <f t="shared" si="128"/>
        <v>#DIV/0!</v>
      </c>
      <c r="AN79" s="20" t="e">
        <f t="shared" si="128"/>
        <v>#DIV/0!</v>
      </c>
    </row>
    <row r="80" spans="1:40" ht="13" hidden="1" x14ac:dyDescent="0.15">
      <c r="A80" s="171"/>
      <c r="B80" s="171"/>
      <c r="C80" s="175" t="str">
        <f>Dashboard!K86</f>
        <v>TIKTOKSHOP</v>
      </c>
      <c r="D80" s="74">
        <f>Dashboard!M86</f>
        <v>0.05</v>
      </c>
      <c r="E80" s="72">
        <f t="shared" ref="E80:E82" si="129">SUM(J80:AN80)</f>
        <v>0</v>
      </c>
      <c r="F80" s="72">
        <f t="shared" ref="F80:F82" si="130">E80-D80</f>
        <v>-0.05</v>
      </c>
      <c r="G80" s="177" t="e">
        <f t="shared" ca="1" si="115"/>
        <v>#NAME?</v>
      </c>
      <c r="H80" s="72">
        <f>D80/'Action Plan'!$C$6</f>
        <v>1.9230769230769232E-3</v>
      </c>
      <c r="I80" s="171">
        <f t="shared" ref="I80:I82" ca="1" si="131">SUMIF($J$5:$AN$5,TODAY(),J80:AN80)</f>
        <v>0</v>
      </c>
      <c r="J80" s="171"/>
      <c r="K80" s="171"/>
      <c r="L80" s="171"/>
      <c r="M80" s="171"/>
      <c r="N80" s="171"/>
      <c r="O80" s="171"/>
      <c r="P80" s="171"/>
      <c r="Q80" s="171"/>
      <c r="R80" s="171"/>
      <c r="S80" s="171"/>
      <c r="T80" s="171"/>
      <c r="U80" s="171"/>
      <c r="V80" s="171"/>
      <c r="W80" s="171"/>
      <c r="X80" s="171"/>
      <c r="Y80" s="171"/>
      <c r="Z80" s="171"/>
      <c r="AA80" s="171"/>
      <c r="AB80" s="171"/>
      <c r="AC80" s="171"/>
      <c r="AD80" s="171"/>
      <c r="AE80" s="171"/>
      <c r="AF80" s="171"/>
      <c r="AG80" s="171"/>
      <c r="AH80" s="171"/>
      <c r="AI80" s="171"/>
      <c r="AJ80" s="171"/>
      <c r="AK80" s="171"/>
      <c r="AL80" s="171"/>
      <c r="AM80" s="171"/>
      <c r="AN80" s="171"/>
    </row>
    <row r="81" spans="1:40" ht="13" hidden="1" x14ac:dyDescent="0.15">
      <c r="A81" s="171"/>
      <c r="B81" s="171"/>
      <c r="C81" s="175" t="str">
        <f>Dashboard!K87</f>
        <v>SHOPPEE</v>
      </c>
      <c r="D81" s="74">
        <f>Dashboard!M87</f>
        <v>0.05</v>
      </c>
      <c r="E81" s="72">
        <f t="shared" si="129"/>
        <v>0</v>
      </c>
      <c r="F81" s="72">
        <f t="shared" si="130"/>
        <v>-0.05</v>
      </c>
      <c r="G81" s="177" t="e">
        <f t="shared" ca="1" si="115"/>
        <v>#NAME?</v>
      </c>
      <c r="H81" s="72">
        <f>D81/'Action Plan'!$C$6</f>
        <v>1.9230769230769232E-3</v>
      </c>
      <c r="I81" s="171">
        <f t="shared" ca="1" si="131"/>
        <v>0</v>
      </c>
      <c r="J81" s="171"/>
      <c r="K81" s="171"/>
      <c r="L81" s="171"/>
      <c r="M81" s="171"/>
      <c r="N81" s="171"/>
      <c r="O81" s="171"/>
      <c r="P81" s="171"/>
      <c r="Q81" s="171"/>
      <c r="R81" s="171"/>
      <c r="S81" s="171"/>
      <c r="T81" s="171"/>
      <c r="U81" s="171"/>
      <c r="V81" s="171"/>
      <c r="W81" s="171"/>
      <c r="X81" s="171"/>
      <c r="Y81" s="171"/>
      <c r="Z81" s="171"/>
      <c r="AA81" s="171"/>
      <c r="AB81" s="171"/>
      <c r="AC81" s="171"/>
      <c r="AD81" s="171"/>
      <c r="AE81" s="171"/>
      <c r="AF81" s="171"/>
      <c r="AG81" s="171"/>
      <c r="AH81" s="171"/>
      <c r="AI81" s="171"/>
      <c r="AJ81" s="171"/>
      <c r="AK81" s="171"/>
      <c r="AL81" s="171"/>
      <c r="AM81" s="171"/>
      <c r="AN81" s="171"/>
    </row>
    <row r="82" spans="1:40" ht="13" hidden="1" x14ac:dyDescent="0.15">
      <c r="A82" s="171"/>
      <c r="B82" s="171"/>
      <c r="C82" s="175" t="str">
        <f>Dashboard!K88</f>
        <v>ZALO</v>
      </c>
      <c r="D82" s="74">
        <f>Dashboard!M88</f>
        <v>0.05</v>
      </c>
      <c r="E82" s="72">
        <f t="shared" si="129"/>
        <v>0</v>
      </c>
      <c r="F82" s="72">
        <f t="shared" si="130"/>
        <v>-0.05</v>
      </c>
      <c r="G82" s="177" t="e">
        <f t="shared" ca="1" si="115"/>
        <v>#NAME?</v>
      </c>
      <c r="H82" s="72">
        <f>D82/'Action Plan'!$C$6</f>
        <v>1.9230769230769232E-3</v>
      </c>
      <c r="I82" s="171">
        <f t="shared" ca="1" si="131"/>
        <v>0</v>
      </c>
      <c r="J82" s="171"/>
      <c r="K82" s="171"/>
      <c r="L82" s="171"/>
      <c r="M82" s="171"/>
      <c r="N82" s="171"/>
      <c r="O82" s="171"/>
      <c r="P82" s="171"/>
      <c r="Q82" s="171"/>
      <c r="R82" s="171"/>
      <c r="S82" s="171"/>
      <c r="T82" s="171"/>
      <c r="U82" s="171"/>
      <c r="V82" s="171"/>
      <c r="W82" s="171"/>
      <c r="X82" s="171"/>
      <c r="Y82" s="171"/>
      <c r="Z82" s="171"/>
      <c r="AA82" s="171"/>
      <c r="AB82" s="171"/>
      <c r="AC82" s="171"/>
      <c r="AD82" s="171"/>
      <c r="AE82" s="171"/>
      <c r="AF82" s="171"/>
      <c r="AG82" s="171"/>
      <c r="AH82" s="171"/>
      <c r="AI82" s="171"/>
      <c r="AJ82" s="171"/>
      <c r="AK82" s="171"/>
      <c r="AL82" s="171"/>
      <c r="AM82" s="171"/>
      <c r="AN82" s="171"/>
    </row>
    <row r="83" spans="1:40" ht="20" customHeight="1" x14ac:dyDescent="0.15">
      <c r="C83" s="150"/>
      <c r="D83" s="3"/>
      <c r="E83" s="1"/>
      <c r="F83" s="7"/>
      <c r="G83" s="4"/>
      <c r="H83" s="6"/>
      <c r="I83" s="5"/>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row>
    <row r="84" spans="1:40" ht="20" customHeight="1" x14ac:dyDescent="0.15">
      <c r="C84" s="150"/>
      <c r="D84" s="3"/>
      <c r="E84" s="1"/>
      <c r="F84" s="7"/>
      <c r="G84" s="4"/>
      <c r="H84" s="6"/>
      <c r="I84" s="5"/>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row>
    <row r="85" spans="1:40" ht="20" customHeight="1" x14ac:dyDescent="0.15">
      <c r="C85" s="150"/>
      <c r="D85" s="3"/>
      <c r="E85" s="1"/>
      <c r="F85" s="7"/>
      <c r="G85" s="4"/>
      <c r="H85" s="6"/>
      <c r="I85" s="5"/>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row>
    <row r="86" spans="1:40" ht="20" customHeight="1" x14ac:dyDescent="0.15">
      <c r="C86" s="150"/>
      <c r="D86" s="3"/>
      <c r="E86" s="1"/>
      <c r="F86" s="7"/>
      <c r="G86" s="4"/>
      <c r="H86" s="6"/>
      <c r="I86" s="5"/>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row>
    <row r="87" spans="1:40" ht="13" x14ac:dyDescent="0.15">
      <c r="C87" s="150"/>
      <c r="D87" s="3"/>
      <c r="E87" s="1"/>
      <c r="F87" s="7"/>
      <c r="G87" s="4"/>
      <c r="H87" s="6"/>
      <c r="I87" s="5"/>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row>
    <row r="88" spans="1:40" ht="13" x14ac:dyDescent="0.15">
      <c r="C88" s="150"/>
      <c r="D88" s="3"/>
      <c r="E88" s="1"/>
      <c r="F88" s="7"/>
      <c r="G88" s="4"/>
      <c r="H88" s="6"/>
      <c r="I88" s="5"/>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row>
    <row r="89" spans="1:40" ht="13" x14ac:dyDescent="0.15">
      <c r="C89" s="150"/>
      <c r="D89" s="3"/>
      <c r="E89" s="1"/>
      <c r="F89" s="7"/>
      <c r="G89" s="4"/>
      <c r="H89" s="6"/>
      <c r="I89" s="5"/>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row>
    <row r="90" spans="1:40" ht="13" x14ac:dyDescent="0.15">
      <c r="C90" s="150"/>
      <c r="D90" s="3"/>
      <c r="E90" s="1"/>
      <c r="F90" s="7"/>
      <c r="G90" s="4"/>
      <c r="H90" s="6"/>
      <c r="I90" s="5"/>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row>
    <row r="91" spans="1:40" ht="13" x14ac:dyDescent="0.15">
      <c r="C91" s="150"/>
      <c r="D91" s="3"/>
      <c r="E91" s="1"/>
      <c r="F91" s="7"/>
      <c r="G91" s="4"/>
      <c r="H91" s="6"/>
      <c r="I91" s="5"/>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row>
    <row r="92" spans="1:40" ht="13" x14ac:dyDescent="0.15">
      <c r="C92" s="150"/>
      <c r="D92" s="3"/>
      <c r="E92" s="1"/>
      <c r="F92" s="7"/>
      <c r="G92" s="4"/>
      <c r="H92" s="6"/>
      <c r="I92" s="5"/>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row>
    <row r="93" spans="1:40" ht="13" x14ac:dyDescent="0.15">
      <c r="C93" s="150"/>
      <c r="D93" s="3"/>
      <c r="E93" s="1"/>
      <c r="F93" s="7"/>
      <c r="G93" s="4"/>
      <c r="H93" s="6"/>
      <c r="I93" s="5"/>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row>
    <row r="94" spans="1:40" ht="13" x14ac:dyDescent="0.15">
      <c r="C94" s="150"/>
      <c r="D94" s="3"/>
      <c r="E94" s="1"/>
      <c r="F94" s="7"/>
      <c r="G94" s="4"/>
      <c r="H94" s="6"/>
      <c r="I94" s="5"/>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row>
    <row r="95" spans="1:40" ht="13" x14ac:dyDescent="0.15">
      <c r="C95" s="150"/>
      <c r="D95" s="3"/>
      <c r="E95" s="1"/>
      <c r="F95" s="7"/>
      <c r="G95" s="4"/>
      <c r="H95" s="6"/>
      <c r="I95" s="5"/>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row>
    <row r="96" spans="1:40" ht="13" x14ac:dyDescent="0.15">
      <c r="C96" s="150"/>
      <c r="D96" s="3"/>
      <c r="E96" s="1"/>
      <c r="F96" s="7"/>
      <c r="G96" s="4"/>
      <c r="H96" s="6"/>
      <c r="I96" s="5"/>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row>
    <row r="97" spans="3:40" ht="13" x14ac:dyDescent="0.15">
      <c r="C97" s="150"/>
      <c r="D97" s="3"/>
      <c r="E97" s="1"/>
      <c r="F97" s="7"/>
      <c r="G97" s="4"/>
      <c r="H97" s="6"/>
      <c r="I97" s="5"/>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row>
    <row r="98" spans="3:40" ht="13" x14ac:dyDescent="0.15">
      <c r="C98" s="150"/>
      <c r="D98" s="3"/>
      <c r="E98" s="1"/>
      <c r="F98" s="7"/>
      <c r="G98" s="4"/>
      <c r="H98" s="6"/>
      <c r="I98" s="5"/>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row>
    <row r="99" spans="3:40" ht="13" x14ac:dyDescent="0.15">
      <c r="C99" s="150"/>
      <c r="D99" s="3"/>
      <c r="E99" s="1"/>
      <c r="F99" s="7"/>
      <c r="G99" s="4"/>
      <c r="H99" s="6"/>
      <c r="I99" s="5"/>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row>
    <row r="100" spans="3:40" ht="13" x14ac:dyDescent="0.15">
      <c r="C100" s="150"/>
      <c r="D100" s="3"/>
      <c r="E100" s="1"/>
      <c r="F100" s="7"/>
      <c r="G100" s="4"/>
      <c r="H100" s="6"/>
      <c r="I100" s="5"/>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row>
    <row r="101" spans="3:40" ht="13" x14ac:dyDescent="0.15">
      <c r="C101" s="150"/>
      <c r="D101" s="3"/>
      <c r="E101" s="1"/>
      <c r="F101" s="7"/>
      <c r="G101" s="4"/>
      <c r="H101" s="6"/>
      <c r="I101" s="5"/>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row>
    <row r="102" spans="3:40" ht="13" x14ac:dyDescent="0.15">
      <c r="C102" s="150"/>
      <c r="D102" s="3"/>
      <c r="E102" s="1"/>
      <c r="F102" s="7"/>
      <c r="G102" s="4"/>
      <c r="H102" s="6"/>
      <c r="I102" s="5"/>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row>
    <row r="103" spans="3:40" ht="13" x14ac:dyDescent="0.15">
      <c r="C103" s="150"/>
      <c r="D103" s="3"/>
      <c r="E103" s="1"/>
      <c r="F103" s="7"/>
      <c r="G103" s="4"/>
      <c r="H103" s="6"/>
      <c r="I103" s="5"/>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row>
    <row r="104" spans="3:40" ht="13" x14ac:dyDescent="0.15">
      <c r="C104" s="150"/>
      <c r="D104" s="3"/>
      <c r="E104" s="1"/>
      <c r="F104" s="7"/>
      <c r="G104" s="4"/>
      <c r="H104" s="6"/>
      <c r="I104" s="5"/>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row>
    <row r="105" spans="3:40" ht="13" x14ac:dyDescent="0.15">
      <c r="C105" s="150"/>
      <c r="D105" s="3"/>
      <c r="E105" s="1"/>
      <c r="F105" s="7"/>
      <c r="G105" s="4"/>
      <c r="H105" s="6"/>
      <c r="I105" s="5"/>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row>
    <row r="106" spans="3:40" ht="13" x14ac:dyDescent="0.15">
      <c r="C106" s="150"/>
      <c r="D106" s="3"/>
      <c r="E106" s="1"/>
      <c r="F106" s="7"/>
      <c r="G106" s="4"/>
      <c r="H106" s="6"/>
      <c r="I106" s="5"/>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row>
    <row r="107" spans="3:40" ht="13" x14ac:dyDescent="0.15">
      <c r="C107" s="150"/>
      <c r="D107" s="3"/>
      <c r="E107" s="1"/>
      <c r="F107" s="7"/>
      <c r="G107" s="4"/>
      <c r="H107" s="6"/>
      <c r="I107" s="5"/>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row>
    <row r="108" spans="3:40" ht="13" x14ac:dyDescent="0.15">
      <c r="C108" s="150"/>
      <c r="D108" s="3"/>
      <c r="E108" s="1"/>
      <c r="F108" s="7"/>
      <c r="G108" s="4"/>
      <c r="H108" s="6"/>
      <c r="I108" s="5"/>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row>
    <row r="109" spans="3:40" ht="13" x14ac:dyDescent="0.15">
      <c r="C109" s="150"/>
      <c r="D109" s="3"/>
      <c r="E109" s="1"/>
      <c r="F109" s="7"/>
      <c r="G109" s="4"/>
      <c r="H109" s="6"/>
      <c r="I109" s="5"/>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row>
    <row r="110" spans="3:40" ht="13" x14ac:dyDescent="0.15">
      <c r="C110" s="150"/>
      <c r="D110" s="3"/>
      <c r="E110" s="1"/>
      <c r="F110" s="7"/>
      <c r="G110" s="4"/>
      <c r="H110" s="6"/>
      <c r="I110" s="5"/>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row>
    <row r="111" spans="3:40" ht="13" x14ac:dyDescent="0.15">
      <c r="C111" s="150"/>
      <c r="D111" s="3"/>
      <c r="E111" s="1"/>
      <c r="F111" s="7"/>
      <c r="G111" s="4"/>
      <c r="H111" s="6"/>
      <c r="I111" s="5"/>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row>
    <row r="112" spans="3:40" ht="13" x14ac:dyDescent="0.15">
      <c r="C112" s="150"/>
      <c r="D112" s="3"/>
      <c r="E112" s="1"/>
      <c r="F112" s="7"/>
      <c r="G112" s="4"/>
      <c r="H112" s="6"/>
      <c r="I112" s="5"/>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row>
    <row r="113" spans="3:40" ht="13" x14ac:dyDescent="0.15">
      <c r="C113" s="150"/>
      <c r="D113" s="3"/>
      <c r="E113" s="1"/>
      <c r="F113" s="7"/>
      <c r="G113" s="4"/>
      <c r="H113" s="6"/>
      <c r="I113" s="5"/>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row>
    <row r="114" spans="3:40" ht="13" x14ac:dyDescent="0.15">
      <c r="C114" s="150"/>
      <c r="D114" s="3"/>
      <c r="E114" s="1"/>
      <c r="F114" s="7"/>
      <c r="G114" s="4"/>
      <c r="H114" s="6"/>
      <c r="I114" s="5"/>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row>
    <row r="115" spans="3:40" ht="13" x14ac:dyDescent="0.15">
      <c r="C115" s="150"/>
      <c r="D115" s="3"/>
      <c r="E115" s="1"/>
      <c r="F115" s="7"/>
      <c r="G115" s="4"/>
      <c r="H115" s="6"/>
      <c r="I115" s="5"/>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row>
    <row r="116" spans="3:40" ht="13" x14ac:dyDescent="0.15">
      <c r="C116" s="150"/>
      <c r="D116" s="3"/>
      <c r="E116" s="1"/>
      <c r="F116" s="7"/>
      <c r="G116" s="4"/>
      <c r="H116" s="6"/>
      <c r="I116" s="5"/>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row>
    <row r="117" spans="3:40" ht="13" x14ac:dyDescent="0.15">
      <c r="C117" s="150"/>
      <c r="D117" s="3"/>
      <c r="E117" s="1"/>
      <c r="F117" s="7"/>
      <c r="G117" s="4"/>
      <c r="H117" s="6"/>
      <c r="I117" s="5"/>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row>
    <row r="118" spans="3:40" ht="13" x14ac:dyDescent="0.15">
      <c r="C118" s="150"/>
      <c r="D118" s="3"/>
      <c r="E118" s="1"/>
      <c r="F118" s="7"/>
      <c r="G118" s="4"/>
      <c r="H118" s="6"/>
      <c r="I118" s="5"/>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row>
    <row r="119" spans="3:40" ht="13" x14ac:dyDescent="0.15">
      <c r="C119" s="150"/>
      <c r="D119" s="3"/>
      <c r="E119" s="1"/>
      <c r="F119" s="7"/>
      <c r="G119" s="4"/>
      <c r="H119" s="6"/>
      <c r="I119" s="5"/>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row>
    <row r="120" spans="3:40" ht="13" x14ac:dyDescent="0.15">
      <c r="C120" s="150"/>
      <c r="D120" s="3"/>
      <c r="E120" s="1"/>
      <c r="F120" s="7"/>
      <c r="G120" s="4"/>
      <c r="H120" s="6"/>
      <c r="I120" s="5"/>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row>
    <row r="121" spans="3:40" ht="13" x14ac:dyDescent="0.15">
      <c r="C121" s="150"/>
      <c r="D121" s="3"/>
      <c r="E121" s="1"/>
      <c r="F121" s="7"/>
      <c r="G121" s="4"/>
      <c r="H121" s="6"/>
      <c r="I121" s="5"/>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row>
    <row r="122" spans="3:40" ht="13" x14ac:dyDescent="0.15">
      <c r="C122" s="150"/>
      <c r="D122" s="3"/>
      <c r="E122" s="1"/>
      <c r="F122" s="7"/>
      <c r="G122" s="4"/>
      <c r="H122" s="6"/>
      <c r="I122" s="5"/>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row>
    <row r="123" spans="3:40" ht="13" x14ac:dyDescent="0.15">
      <c r="C123" s="150"/>
      <c r="D123" s="3"/>
      <c r="E123" s="1"/>
      <c r="F123" s="7"/>
      <c r="G123" s="4"/>
      <c r="H123" s="6"/>
      <c r="I123" s="5"/>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row>
    <row r="124" spans="3:40" ht="13" x14ac:dyDescent="0.15">
      <c r="C124" s="150"/>
      <c r="D124" s="3"/>
      <c r="E124" s="1"/>
      <c r="F124" s="7"/>
      <c r="G124" s="4"/>
      <c r="H124" s="6"/>
      <c r="I124" s="5"/>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row>
    <row r="125" spans="3:40" ht="13" x14ac:dyDescent="0.15">
      <c r="C125" s="150"/>
      <c r="D125" s="3"/>
      <c r="E125" s="1"/>
      <c r="F125" s="7"/>
      <c r="G125" s="4"/>
      <c r="H125" s="6"/>
      <c r="I125" s="5"/>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row>
    <row r="126" spans="3:40" ht="13" x14ac:dyDescent="0.15">
      <c r="C126" s="150"/>
      <c r="D126" s="3"/>
      <c r="E126" s="1"/>
      <c r="F126" s="7"/>
      <c r="G126" s="4"/>
      <c r="H126" s="6"/>
      <c r="I126" s="5"/>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row>
    <row r="127" spans="3:40" ht="13" x14ac:dyDescent="0.15">
      <c r="C127" s="150"/>
      <c r="D127" s="3"/>
      <c r="E127" s="1"/>
      <c r="F127" s="7"/>
      <c r="G127" s="4"/>
      <c r="H127" s="6"/>
      <c r="I127" s="5"/>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row>
    <row r="128" spans="3:40" ht="13" x14ac:dyDescent="0.15">
      <c r="C128" s="150"/>
      <c r="D128" s="3"/>
      <c r="E128" s="1"/>
      <c r="F128" s="7"/>
      <c r="G128" s="4"/>
      <c r="H128" s="6"/>
      <c r="I128" s="5"/>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row>
    <row r="129" spans="3:40" ht="13" x14ac:dyDescent="0.15">
      <c r="C129" s="150"/>
      <c r="D129" s="3"/>
      <c r="E129" s="1"/>
      <c r="F129" s="7"/>
      <c r="G129" s="4"/>
      <c r="H129" s="6"/>
      <c r="I129" s="5"/>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row>
    <row r="130" spans="3:40" ht="13" x14ac:dyDescent="0.15">
      <c r="C130" s="150"/>
      <c r="D130" s="3"/>
      <c r="E130" s="1"/>
      <c r="F130" s="7"/>
      <c r="G130" s="4"/>
      <c r="H130" s="6"/>
      <c r="I130" s="5"/>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row>
    <row r="131" spans="3:40" ht="13" x14ac:dyDescent="0.15">
      <c r="C131" s="150"/>
      <c r="D131" s="3"/>
      <c r="E131" s="1"/>
      <c r="F131" s="7"/>
      <c r="G131" s="4"/>
      <c r="H131" s="6"/>
      <c r="I131" s="5"/>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row>
    <row r="132" spans="3:40" ht="13" x14ac:dyDescent="0.15">
      <c r="C132" s="150"/>
      <c r="D132" s="3"/>
      <c r="E132" s="1"/>
      <c r="F132" s="7"/>
      <c r="G132" s="4"/>
      <c r="H132" s="6"/>
      <c r="I132" s="5"/>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row>
    <row r="133" spans="3:40" ht="13" x14ac:dyDescent="0.15">
      <c r="C133" s="150"/>
      <c r="D133" s="3"/>
      <c r="E133" s="1"/>
      <c r="F133" s="7"/>
      <c r="G133" s="4"/>
      <c r="H133" s="6"/>
      <c r="I133" s="5"/>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row>
    <row r="134" spans="3:40" ht="13" x14ac:dyDescent="0.15">
      <c r="C134" s="150"/>
      <c r="D134" s="3"/>
      <c r="E134" s="1"/>
      <c r="F134" s="7"/>
      <c r="G134" s="4"/>
      <c r="H134" s="6"/>
      <c r="I134" s="5"/>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row>
    <row r="135" spans="3:40" ht="13" x14ac:dyDescent="0.15">
      <c r="C135" s="150"/>
      <c r="D135" s="3"/>
      <c r="E135" s="1"/>
      <c r="F135" s="7"/>
      <c r="G135" s="4"/>
      <c r="H135" s="6"/>
      <c r="I135" s="5"/>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row>
    <row r="136" spans="3:40" ht="13" x14ac:dyDescent="0.15">
      <c r="C136" s="150"/>
      <c r="D136" s="3"/>
      <c r="E136" s="1"/>
      <c r="F136" s="7"/>
      <c r="G136" s="4"/>
      <c r="H136" s="6"/>
      <c r="I136" s="5"/>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row>
    <row r="137" spans="3:40" ht="13" x14ac:dyDescent="0.15">
      <c r="C137" s="150"/>
      <c r="D137" s="3"/>
      <c r="E137" s="1"/>
      <c r="F137" s="7"/>
      <c r="G137" s="4"/>
      <c r="H137" s="6"/>
      <c r="I137" s="5"/>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row>
    <row r="138" spans="3:40" ht="13" x14ac:dyDescent="0.15">
      <c r="C138" s="150"/>
      <c r="D138" s="3"/>
      <c r="E138" s="1"/>
      <c r="F138" s="7"/>
      <c r="G138" s="4"/>
      <c r="H138" s="6"/>
      <c r="I138" s="5"/>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row>
    <row r="139" spans="3:40" ht="13" x14ac:dyDescent="0.15">
      <c r="C139" s="150"/>
      <c r="D139" s="3"/>
      <c r="E139" s="1"/>
      <c r="F139" s="7"/>
      <c r="G139" s="4"/>
      <c r="H139" s="6"/>
      <c r="I139" s="5"/>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row>
    <row r="140" spans="3:40" ht="13" x14ac:dyDescent="0.15">
      <c r="C140" s="150"/>
      <c r="D140" s="3"/>
      <c r="E140" s="1"/>
      <c r="F140" s="7"/>
      <c r="G140" s="4"/>
      <c r="H140" s="6"/>
      <c r="I140" s="5"/>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row>
    <row r="141" spans="3:40" ht="13" x14ac:dyDescent="0.15">
      <c r="C141" s="150"/>
      <c r="D141" s="3"/>
      <c r="E141" s="1"/>
      <c r="F141" s="7"/>
      <c r="G141" s="4"/>
      <c r="H141" s="6"/>
      <c r="I141" s="5"/>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row>
    <row r="142" spans="3:40" ht="13" x14ac:dyDescent="0.15">
      <c r="C142" s="150"/>
      <c r="D142" s="3"/>
      <c r="E142" s="1"/>
      <c r="F142" s="7"/>
      <c r="G142" s="4"/>
      <c r="H142" s="6"/>
      <c r="I142" s="5"/>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row>
    <row r="143" spans="3:40" ht="13" x14ac:dyDescent="0.15">
      <c r="C143" s="150"/>
      <c r="D143" s="3"/>
      <c r="E143" s="1"/>
      <c r="F143" s="7"/>
      <c r="G143" s="4"/>
      <c r="H143" s="6"/>
      <c r="I143" s="5"/>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row>
    <row r="144" spans="3:40" ht="13" x14ac:dyDescent="0.15">
      <c r="C144" s="150"/>
      <c r="D144" s="3"/>
      <c r="E144" s="1"/>
      <c r="F144" s="7"/>
      <c r="G144" s="4"/>
      <c r="H144" s="6"/>
      <c r="I144" s="5"/>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row>
    <row r="145" spans="3:40" ht="13" x14ac:dyDescent="0.15">
      <c r="C145" s="150"/>
      <c r="D145" s="3"/>
      <c r="E145" s="1"/>
      <c r="F145" s="7"/>
      <c r="G145" s="4"/>
      <c r="H145" s="6"/>
      <c r="I145" s="5"/>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row>
    <row r="146" spans="3:40" ht="13" x14ac:dyDescent="0.15">
      <c r="C146" s="150"/>
      <c r="D146" s="3"/>
      <c r="E146" s="1"/>
      <c r="F146" s="7"/>
      <c r="G146" s="4"/>
      <c r="H146" s="6"/>
      <c r="I146" s="5"/>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row>
    <row r="147" spans="3:40" ht="13" x14ac:dyDescent="0.15">
      <c r="C147" s="150"/>
      <c r="D147" s="3"/>
      <c r="E147" s="1"/>
      <c r="F147" s="7"/>
      <c r="G147" s="4"/>
      <c r="H147" s="6"/>
      <c r="I147" s="5"/>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row>
    <row r="148" spans="3:40" ht="13" x14ac:dyDescent="0.15">
      <c r="C148" s="150"/>
      <c r="D148" s="3"/>
      <c r="E148" s="1"/>
      <c r="F148" s="7"/>
      <c r="G148" s="4"/>
      <c r="H148" s="6"/>
      <c r="I148" s="5"/>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row>
    <row r="149" spans="3:40" ht="13" x14ac:dyDescent="0.15">
      <c r="C149" s="150"/>
      <c r="D149" s="3"/>
      <c r="E149" s="1"/>
      <c r="F149" s="7"/>
      <c r="G149" s="4"/>
      <c r="H149" s="6"/>
      <c r="I149" s="5"/>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row>
    <row r="150" spans="3:40" ht="13" x14ac:dyDescent="0.15">
      <c r="C150" s="150"/>
      <c r="D150" s="3"/>
      <c r="E150" s="1"/>
      <c r="F150" s="7"/>
      <c r="G150" s="4"/>
      <c r="H150" s="6"/>
      <c r="I150" s="5"/>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row>
    <row r="151" spans="3:40" ht="13" x14ac:dyDescent="0.15">
      <c r="C151" s="150"/>
      <c r="D151" s="3"/>
      <c r="E151" s="1"/>
      <c r="F151" s="7"/>
      <c r="G151" s="4"/>
      <c r="H151" s="6"/>
      <c r="I151" s="5"/>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row>
    <row r="152" spans="3:40" ht="13" x14ac:dyDescent="0.15">
      <c r="C152" s="150"/>
      <c r="D152" s="3"/>
      <c r="E152" s="1"/>
      <c r="F152" s="7"/>
      <c r="G152" s="4"/>
      <c r="H152" s="6"/>
      <c r="I152" s="5"/>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row>
    <row r="153" spans="3:40" ht="13" x14ac:dyDescent="0.15">
      <c r="C153" s="150"/>
      <c r="D153" s="3"/>
      <c r="E153" s="1"/>
      <c r="F153" s="7"/>
      <c r="G153" s="4"/>
      <c r="H153" s="6"/>
      <c r="I153" s="5"/>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row>
    <row r="154" spans="3:40" ht="13" x14ac:dyDescent="0.15">
      <c r="C154" s="150"/>
      <c r="D154" s="3"/>
      <c r="E154" s="1"/>
      <c r="F154" s="7"/>
      <c r="G154" s="4"/>
      <c r="H154" s="6"/>
      <c r="I154" s="5"/>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row>
    <row r="155" spans="3:40" ht="13" x14ac:dyDescent="0.15">
      <c r="C155" s="150"/>
      <c r="D155" s="3"/>
      <c r="E155" s="1"/>
      <c r="F155" s="7"/>
      <c r="G155" s="4"/>
      <c r="H155" s="6"/>
      <c r="I155" s="5"/>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row>
    <row r="156" spans="3:40" ht="13" x14ac:dyDescent="0.15">
      <c r="C156" s="150"/>
      <c r="D156" s="3"/>
      <c r="E156" s="1"/>
      <c r="F156" s="7"/>
      <c r="G156" s="4"/>
      <c r="H156" s="6"/>
      <c r="I156" s="5"/>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row>
    <row r="157" spans="3:40" ht="13" x14ac:dyDescent="0.15">
      <c r="C157" s="150"/>
      <c r="D157" s="3"/>
      <c r="E157" s="1"/>
      <c r="F157" s="7"/>
      <c r="G157" s="4"/>
      <c r="H157" s="6"/>
      <c r="I157" s="5"/>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row>
    <row r="158" spans="3:40" ht="13" x14ac:dyDescent="0.15">
      <c r="C158" s="150"/>
      <c r="D158" s="3"/>
      <c r="E158" s="1"/>
      <c r="F158" s="7"/>
      <c r="G158" s="4"/>
      <c r="H158" s="6"/>
      <c r="I158" s="5"/>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row>
    <row r="159" spans="3:40" ht="13" x14ac:dyDescent="0.15">
      <c r="C159" s="150"/>
      <c r="D159" s="3"/>
      <c r="E159" s="1"/>
      <c r="F159" s="7"/>
      <c r="G159" s="4"/>
      <c r="H159" s="6"/>
      <c r="I159" s="5"/>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row>
    <row r="160" spans="3:40" ht="13" x14ac:dyDescent="0.15">
      <c r="C160" s="150"/>
      <c r="D160" s="3"/>
      <c r="E160" s="1"/>
      <c r="F160" s="7"/>
      <c r="G160" s="4"/>
      <c r="H160" s="6"/>
      <c r="I160" s="5"/>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row>
    <row r="161" spans="3:40" ht="13" x14ac:dyDescent="0.15">
      <c r="C161" s="150"/>
      <c r="D161" s="3"/>
      <c r="E161" s="1"/>
      <c r="F161" s="7"/>
      <c r="G161" s="4"/>
      <c r="H161" s="6"/>
      <c r="I161" s="5"/>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row>
    <row r="162" spans="3:40" ht="13" x14ac:dyDescent="0.15">
      <c r="C162" s="150"/>
      <c r="D162" s="3"/>
      <c r="E162" s="1"/>
      <c r="F162" s="7"/>
      <c r="G162" s="4"/>
      <c r="H162" s="6"/>
      <c r="I162" s="5"/>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row>
    <row r="163" spans="3:40" ht="13" x14ac:dyDescent="0.15">
      <c r="C163" s="150"/>
      <c r="D163" s="3"/>
      <c r="E163" s="1"/>
      <c r="F163" s="7"/>
      <c r="G163" s="4"/>
      <c r="H163" s="6"/>
      <c r="I163" s="5"/>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row>
    <row r="164" spans="3:40" ht="13" x14ac:dyDescent="0.15">
      <c r="C164" s="150"/>
      <c r="D164" s="3"/>
      <c r="E164" s="1"/>
      <c r="F164" s="7"/>
      <c r="G164" s="4"/>
      <c r="H164" s="6"/>
      <c r="I164" s="5"/>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row>
    <row r="165" spans="3:40" ht="13" x14ac:dyDescent="0.15">
      <c r="C165" s="150"/>
      <c r="D165" s="3"/>
      <c r="E165" s="1"/>
      <c r="F165" s="7"/>
      <c r="G165" s="4"/>
      <c r="H165" s="6"/>
      <c r="I165" s="5"/>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row>
    <row r="166" spans="3:40" ht="13" x14ac:dyDescent="0.15">
      <c r="C166" s="150"/>
      <c r="D166" s="3"/>
      <c r="E166" s="1"/>
      <c r="F166" s="7"/>
      <c r="G166" s="4"/>
      <c r="H166" s="6"/>
      <c r="I166" s="5"/>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row>
    <row r="167" spans="3:40" ht="13" x14ac:dyDescent="0.15">
      <c r="C167" s="150"/>
      <c r="D167" s="3"/>
      <c r="E167" s="1"/>
      <c r="F167" s="7"/>
      <c r="G167" s="4"/>
      <c r="H167" s="6"/>
      <c r="I167" s="5"/>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row>
    <row r="168" spans="3:40" ht="13" x14ac:dyDescent="0.15">
      <c r="C168" s="150"/>
      <c r="D168" s="3"/>
      <c r="E168" s="1"/>
      <c r="F168" s="7"/>
      <c r="G168" s="4"/>
      <c r="H168" s="6"/>
      <c r="I168" s="5"/>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row>
    <row r="169" spans="3:40" ht="13" x14ac:dyDescent="0.15">
      <c r="C169" s="150"/>
      <c r="D169" s="3"/>
      <c r="E169" s="1"/>
      <c r="F169" s="7"/>
      <c r="G169" s="4"/>
      <c r="H169" s="6"/>
      <c r="I169" s="5"/>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row>
    <row r="170" spans="3:40" ht="13" x14ac:dyDescent="0.15">
      <c r="C170" s="150"/>
      <c r="D170" s="3"/>
      <c r="E170" s="1"/>
      <c r="F170" s="7"/>
      <c r="G170" s="4"/>
      <c r="H170" s="6"/>
      <c r="I170" s="5"/>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row>
    <row r="171" spans="3:40" ht="13" x14ac:dyDescent="0.15">
      <c r="C171" s="150"/>
      <c r="D171" s="3"/>
      <c r="E171" s="1"/>
      <c r="F171" s="7"/>
      <c r="G171" s="4"/>
      <c r="H171" s="6"/>
      <c r="I171" s="5"/>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row>
    <row r="172" spans="3:40" ht="13" x14ac:dyDescent="0.15">
      <c r="C172" s="150"/>
      <c r="D172" s="3"/>
      <c r="E172" s="1"/>
      <c r="F172" s="7"/>
      <c r="G172" s="4"/>
      <c r="H172" s="6"/>
      <c r="I172" s="5"/>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row>
    <row r="173" spans="3:40" ht="13" x14ac:dyDescent="0.15">
      <c r="C173" s="150"/>
      <c r="D173" s="3"/>
      <c r="E173" s="1"/>
      <c r="F173" s="7"/>
      <c r="G173" s="4"/>
      <c r="H173" s="6"/>
      <c r="I173" s="5"/>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row>
    <row r="174" spans="3:40" ht="13" x14ac:dyDescent="0.15">
      <c r="C174" s="150"/>
      <c r="D174" s="3"/>
      <c r="E174" s="1"/>
      <c r="F174" s="7"/>
      <c r="G174" s="4"/>
      <c r="H174" s="6"/>
      <c r="I174" s="5"/>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row>
    <row r="175" spans="3:40" ht="13" x14ac:dyDescent="0.15">
      <c r="C175" s="150"/>
      <c r="D175" s="3"/>
      <c r="E175" s="1"/>
      <c r="F175" s="7"/>
      <c r="G175" s="4"/>
      <c r="H175" s="6"/>
      <c r="I175" s="5"/>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row>
    <row r="176" spans="3:40" ht="13" x14ac:dyDescent="0.15">
      <c r="C176" s="150"/>
      <c r="D176" s="3"/>
      <c r="E176" s="1"/>
      <c r="F176" s="7"/>
      <c r="G176" s="4"/>
      <c r="H176" s="6"/>
      <c r="I176" s="5"/>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row>
    <row r="177" spans="3:40" ht="13" x14ac:dyDescent="0.15">
      <c r="C177" s="150"/>
      <c r="D177" s="3"/>
      <c r="E177" s="1"/>
      <c r="F177" s="7"/>
      <c r="G177" s="4"/>
      <c r="H177" s="6"/>
      <c r="I177" s="5"/>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row>
    <row r="178" spans="3:40" ht="13" x14ac:dyDescent="0.15">
      <c r="C178" s="150"/>
      <c r="D178" s="3"/>
      <c r="E178" s="1"/>
      <c r="F178" s="7"/>
      <c r="G178" s="4"/>
      <c r="H178" s="6"/>
      <c r="I178" s="5"/>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row>
    <row r="179" spans="3:40" ht="13" x14ac:dyDescent="0.15">
      <c r="C179" s="150"/>
      <c r="D179" s="3"/>
      <c r="E179" s="1"/>
      <c r="F179" s="7"/>
      <c r="G179" s="4"/>
      <c r="H179" s="6"/>
      <c r="I179" s="5"/>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row>
    <row r="180" spans="3:40" ht="13" x14ac:dyDescent="0.15">
      <c r="C180" s="150"/>
      <c r="D180" s="3"/>
      <c r="E180" s="1"/>
      <c r="F180" s="7"/>
      <c r="G180" s="4"/>
      <c r="H180" s="6"/>
      <c r="I180" s="5"/>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row>
    <row r="181" spans="3:40" ht="13" x14ac:dyDescent="0.15">
      <c r="C181" s="150"/>
      <c r="D181" s="3"/>
      <c r="E181" s="1"/>
      <c r="F181" s="7"/>
      <c r="G181" s="4"/>
      <c r="H181" s="6"/>
      <c r="I181" s="5"/>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row>
    <row r="182" spans="3:40" ht="13" x14ac:dyDescent="0.15">
      <c r="C182" s="150"/>
      <c r="D182" s="3"/>
      <c r="E182" s="1"/>
      <c r="F182" s="7"/>
      <c r="G182" s="4"/>
      <c r="H182" s="6"/>
      <c r="I182" s="5"/>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row>
    <row r="183" spans="3:40" ht="13" x14ac:dyDescent="0.15">
      <c r="C183" s="150"/>
      <c r="D183" s="3"/>
      <c r="E183" s="1"/>
      <c r="F183" s="7"/>
      <c r="G183" s="4"/>
      <c r="H183" s="6"/>
      <c r="I183" s="5"/>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row>
    <row r="184" spans="3:40" ht="13" x14ac:dyDescent="0.15">
      <c r="C184" s="150"/>
      <c r="D184" s="3"/>
      <c r="E184" s="1"/>
      <c r="F184" s="7"/>
      <c r="G184" s="4"/>
      <c r="H184" s="6"/>
      <c r="I184" s="5"/>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row>
    <row r="185" spans="3:40" ht="13" x14ac:dyDescent="0.15">
      <c r="C185" s="150"/>
      <c r="D185" s="3"/>
      <c r="E185" s="1"/>
      <c r="F185" s="7"/>
      <c r="G185" s="4"/>
      <c r="H185" s="6"/>
      <c r="I185" s="5"/>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row>
    <row r="186" spans="3:40" ht="13" x14ac:dyDescent="0.15">
      <c r="C186" s="150"/>
      <c r="D186" s="3"/>
      <c r="E186" s="1"/>
      <c r="F186" s="7"/>
      <c r="G186" s="4"/>
      <c r="H186" s="6"/>
      <c r="I186" s="5"/>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row>
    <row r="187" spans="3:40" ht="13" x14ac:dyDescent="0.15">
      <c r="C187" s="150"/>
      <c r="D187" s="3"/>
      <c r="E187" s="1"/>
      <c r="F187" s="7"/>
      <c r="G187" s="4"/>
      <c r="H187" s="6"/>
      <c r="I187" s="5"/>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row>
    <row r="188" spans="3:40" ht="13" x14ac:dyDescent="0.15">
      <c r="C188" s="150"/>
      <c r="D188" s="3"/>
      <c r="E188" s="1"/>
      <c r="F188" s="7"/>
      <c r="G188" s="4"/>
      <c r="H188" s="6"/>
      <c r="I188" s="5"/>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row>
    <row r="189" spans="3:40" ht="13" x14ac:dyDescent="0.15">
      <c r="C189" s="150"/>
      <c r="D189" s="3"/>
      <c r="E189" s="1"/>
      <c r="F189" s="7"/>
      <c r="G189" s="4"/>
      <c r="H189" s="6"/>
      <c r="I189" s="5"/>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row>
    <row r="190" spans="3:40" ht="13" x14ac:dyDescent="0.15">
      <c r="C190" s="150"/>
      <c r="D190" s="3"/>
      <c r="E190" s="1"/>
      <c r="F190" s="7"/>
      <c r="G190" s="4"/>
      <c r="H190" s="6"/>
      <c r="I190" s="5"/>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row>
    <row r="191" spans="3:40" ht="13" x14ac:dyDescent="0.15">
      <c r="C191" s="150"/>
      <c r="D191" s="3"/>
      <c r="E191" s="1"/>
      <c r="F191" s="7"/>
      <c r="G191" s="4"/>
      <c r="H191" s="6"/>
      <c r="I191" s="5"/>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row>
    <row r="192" spans="3:40" ht="13" x14ac:dyDescent="0.15">
      <c r="C192" s="150"/>
      <c r="D192" s="3"/>
      <c r="E192" s="1"/>
      <c r="F192" s="7"/>
      <c r="G192" s="4"/>
      <c r="H192" s="6"/>
      <c r="I192" s="5"/>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row>
    <row r="193" spans="3:40" ht="13" x14ac:dyDescent="0.15">
      <c r="C193" s="150"/>
      <c r="D193" s="3"/>
      <c r="E193" s="1"/>
      <c r="F193" s="7"/>
      <c r="G193" s="4"/>
      <c r="H193" s="6"/>
      <c r="I193" s="5"/>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row>
    <row r="194" spans="3:40" ht="13" x14ac:dyDescent="0.15">
      <c r="C194" s="150"/>
      <c r="D194" s="3"/>
      <c r="E194" s="1"/>
      <c r="F194" s="7"/>
      <c r="G194" s="4"/>
      <c r="H194" s="6"/>
      <c r="I194" s="5"/>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row>
    <row r="195" spans="3:40" ht="13" x14ac:dyDescent="0.15">
      <c r="C195" s="150"/>
      <c r="D195" s="3"/>
      <c r="E195" s="1"/>
      <c r="F195" s="7"/>
      <c r="G195" s="4"/>
      <c r="H195" s="6"/>
      <c r="I195" s="5"/>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row>
    <row r="196" spans="3:40" ht="13" x14ac:dyDescent="0.15">
      <c r="C196" s="150"/>
      <c r="D196" s="3"/>
      <c r="E196" s="1"/>
      <c r="F196" s="7"/>
      <c r="G196" s="4"/>
      <c r="H196" s="6"/>
      <c r="I196" s="5"/>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row>
    <row r="197" spans="3:40" ht="13" x14ac:dyDescent="0.15">
      <c r="C197" s="150"/>
      <c r="D197" s="3"/>
      <c r="E197" s="1"/>
      <c r="F197" s="7"/>
      <c r="G197" s="4"/>
      <c r="H197" s="6"/>
      <c r="I197" s="5"/>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row>
    <row r="198" spans="3:40" ht="13" x14ac:dyDescent="0.15">
      <c r="C198" s="150"/>
      <c r="D198" s="3"/>
      <c r="E198" s="1"/>
      <c r="F198" s="7"/>
      <c r="G198" s="4"/>
      <c r="H198" s="6"/>
      <c r="I198" s="5"/>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row>
    <row r="199" spans="3:40" ht="13" x14ac:dyDescent="0.15">
      <c r="C199" s="150"/>
      <c r="D199" s="3"/>
      <c r="E199" s="1"/>
      <c r="F199" s="7"/>
      <c r="G199" s="4"/>
      <c r="H199" s="6"/>
      <c r="I199" s="5"/>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row>
    <row r="200" spans="3:40" ht="13" x14ac:dyDescent="0.15">
      <c r="C200" s="150"/>
      <c r="D200" s="3"/>
      <c r="E200" s="1"/>
      <c r="F200" s="7"/>
      <c r="G200" s="4"/>
      <c r="H200" s="6"/>
      <c r="I200" s="5"/>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row>
    <row r="201" spans="3:40" ht="13" x14ac:dyDescent="0.15">
      <c r="C201" s="150"/>
      <c r="D201" s="3"/>
      <c r="E201" s="1"/>
      <c r="F201" s="7"/>
      <c r="G201" s="4"/>
      <c r="H201" s="6"/>
      <c r="I201" s="5"/>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row>
    <row r="202" spans="3:40" ht="13" x14ac:dyDescent="0.15">
      <c r="C202" s="150"/>
      <c r="D202" s="3"/>
      <c r="E202" s="1"/>
      <c r="F202" s="7"/>
      <c r="G202" s="4"/>
      <c r="H202" s="6"/>
      <c r="I202" s="5"/>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row>
    <row r="203" spans="3:40" ht="13" x14ac:dyDescent="0.15">
      <c r="C203" s="150"/>
      <c r="D203" s="3"/>
      <c r="E203" s="1"/>
      <c r="F203" s="7"/>
      <c r="G203" s="4"/>
      <c r="H203" s="6"/>
      <c r="I203" s="5"/>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row>
    <row r="204" spans="3:40" ht="13" x14ac:dyDescent="0.15">
      <c r="C204" s="150"/>
      <c r="D204" s="3"/>
      <c r="E204" s="1"/>
      <c r="F204" s="7"/>
      <c r="G204" s="4"/>
      <c r="H204" s="6"/>
      <c r="I204" s="5"/>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row>
    <row r="205" spans="3:40" ht="13" x14ac:dyDescent="0.15">
      <c r="C205" s="150"/>
      <c r="D205" s="3"/>
      <c r="E205" s="1"/>
      <c r="F205" s="7"/>
      <c r="G205" s="4"/>
      <c r="H205" s="6"/>
      <c r="I205" s="5"/>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row>
    <row r="206" spans="3:40" ht="13" x14ac:dyDescent="0.15">
      <c r="C206" s="150"/>
      <c r="D206" s="3"/>
      <c r="E206" s="1"/>
      <c r="F206" s="7"/>
      <c r="G206" s="4"/>
      <c r="H206" s="6"/>
      <c r="I206" s="5"/>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row>
    <row r="207" spans="3:40" ht="13" x14ac:dyDescent="0.15">
      <c r="C207" s="150"/>
      <c r="D207" s="3"/>
      <c r="E207" s="1"/>
      <c r="F207" s="7"/>
      <c r="G207" s="4"/>
      <c r="H207" s="6"/>
      <c r="I207" s="5"/>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row>
    <row r="208" spans="3:40" ht="13" x14ac:dyDescent="0.15">
      <c r="C208" s="150"/>
      <c r="D208" s="3"/>
      <c r="E208" s="1"/>
      <c r="F208" s="7"/>
      <c r="G208" s="4"/>
      <c r="H208" s="6"/>
      <c r="I208" s="5"/>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row>
    <row r="209" spans="3:40" ht="13" x14ac:dyDescent="0.15">
      <c r="C209" s="150"/>
      <c r="D209" s="3"/>
      <c r="E209" s="1"/>
      <c r="F209" s="7"/>
      <c r="G209" s="4"/>
      <c r="H209" s="6"/>
      <c r="I209" s="5"/>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row>
    <row r="210" spans="3:40" ht="13" x14ac:dyDescent="0.15">
      <c r="C210" s="150"/>
      <c r="D210" s="3"/>
      <c r="E210" s="1"/>
      <c r="F210" s="7"/>
      <c r="G210" s="4"/>
      <c r="H210" s="6"/>
      <c r="I210" s="5"/>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row>
    <row r="211" spans="3:40" ht="13" x14ac:dyDescent="0.15">
      <c r="C211" s="150"/>
      <c r="D211" s="3"/>
      <c r="E211" s="1"/>
      <c r="F211" s="7"/>
      <c r="G211" s="4"/>
      <c r="H211" s="6"/>
      <c r="I211" s="5"/>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row>
    <row r="212" spans="3:40" ht="13" x14ac:dyDescent="0.15">
      <c r="C212" s="150"/>
      <c r="D212" s="3"/>
      <c r="E212" s="1"/>
      <c r="F212" s="7"/>
      <c r="G212" s="4"/>
      <c r="H212" s="6"/>
      <c r="I212" s="5"/>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row>
  </sheetData>
  <mergeCells count="2">
    <mergeCell ref="A1:B1"/>
    <mergeCell ref="D2:I4"/>
  </mergeCells>
  <conditionalFormatting sqref="S1:AN30 J85:AN212 K84:AN84 M30:AN30 K7:AN7 L8:AN8 O21:AN28 J31:AN47 K22:AM23 L26:AM28 K24:AN25 J5:R30 K22:AH26 K9:AN20 J68:AN83 J62:AN66">
    <cfRule type="expression" dxfId="1480" priority="42">
      <formula>#REF!="CN"</formula>
    </cfRule>
  </conditionalFormatting>
  <conditionalFormatting sqref="S1:AN30 J85:AN212 K84:AN84 M30:AN30 K7:AN7 L8:AN8 O21:AN28 J31:AN47 K22:AM23 L26:AM28 K24:AN25 J5:R30 K22:AH26 K9:AN20 J68:AN83 J62:AN66">
    <cfRule type="expression" dxfId="1479" priority="43">
      <formula>#REF!="CN"</formula>
    </cfRule>
  </conditionalFormatting>
  <conditionalFormatting sqref="S2:AN30 J85:AN212 L84:AN84 M30:AN30 K7:AN7 L8:AN8 O21:AN28 J31:AN47 K22:AM23 L26:AM28 K24:AN25 J5:R30 K22:AH26 K9:AN20 J68:AN83 J62:AN66">
    <cfRule type="expression" dxfId="1478" priority="44">
      <formula>S$3="CN"</formula>
    </cfRule>
  </conditionalFormatting>
  <conditionalFormatting sqref="J1:AN47 J68:AN82 J62:AN66">
    <cfRule type="expression" dxfId="1477" priority="45">
      <formula>J$6="CN"</formula>
    </cfRule>
  </conditionalFormatting>
  <conditionalFormatting sqref="J1:AN47 J68:AN82 J62:AN66">
    <cfRule type="expression" dxfId="1476" priority="46">
      <formula>J$5=TODAY()</formula>
    </cfRule>
  </conditionalFormatting>
  <conditionalFormatting sqref="J67:AN67">
    <cfRule type="expression" dxfId="1475" priority="37">
      <formula>#REF!="CN"</formula>
    </cfRule>
  </conditionalFormatting>
  <conditionalFormatting sqref="J67:AN67">
    <cfRule type="expression" dxfId="1474" priority="38">
      <formula>#REF!="CN"</formula>
    </cfRule>
  </conditionalFormatting>
  <conditionalFormatting sqref="J67:AN67">
    <cfRule type="expression" dxfId="1473" priority="39">
      <formula>S$3="CN"</formula>
    </cfRule>
  </conditionalFormatting>
  <conditionalFormatting sqref="J67:AN67">
    <cfRule type="expression" dxfId="1472" priority="40">
      <formula>J$6="CN"</formula>
    </cfRule>
  </conditionalFormatting>
  <conditionalFormatting sqref="J67:AN67">
    <cfRule type="expression" dxfId="1471" priority="41">
      <formula>J$5=TODAY()</formula>
    </cfRule>
  </conditionalFormatting>
  <conditionalFormatting sqref="K84">
    <cfRule type="expression" dxfId="1470" priority="47">
      <formula>S$3="CN"</formula>
    </cfRule>
  </conditionalFormatting>
  <conditionalFormatting sqref="J48:AN54">
    <cfRule type="expression" dxfId="1469" priority="32">
      <formula>#REF!="CN"</formula>
    </cfRule>
  </conditionalFormatting>
  <conditionalFormatting sqref="J48:AN54">
    <cfRule type="expression" dxfId="1468" priority="33">
      <formula>#REF!="CN"</formula>
    </cfRule>
  </conditionalFormatting>
  <conditionalFormatting sqref="J48:AN54">
    <cfRule type="expression" dxfId="1467" priority="34">
      <formula>S$3="CN"</formula>
    </cfRule>
  </conditionalFormatting>
  <conditionalFormatting sqref="J48:AN54">
    <cfRule type="expression" dxfId="1466" priority="35">
      <formula>J$6="CN"</formula>
    </cfRule>
  </conditionalFormatting>
  <conditionalFormatting sqref="J48:AN54">
    <cfRule type="expression" dxfId="1465" priority="36">
      <formula>J$5=TODAY()</formula>
    </cfRule>
  </conditionalFormatting>
  <conditionalFormatting sqref="J55:J61 K56:AN61">
    <cfRule type="expression" dxfId="1464" priority="16">
      <formula>#REF!="CN"</formula>
    </cfRule>
  </conditionalFormatting>
  <conditionalFormatting sqref="J55:J61 K56:AN61">
    <cfRule type="expression" dxfId="1463" priority="17">
      <formula>#REF!="CN"</formula>
    </cfRule>
  </conditionalFormatting>
  <conditionalFormatting sqref="J55:J61 K56:AN61">
    <cfRule type="expression" dxfId="1462" priority="18">
      <formula>S$3="CN"</formula>
    </cfRule>
  </conditionalFormatting>
  <conditionalFormatting sqref="J55:J61 K56:AN61">
    <cfRule type="expression" dxfId="1461" priority="19">
      <formula>J$6="CN"</formula>
    </cfRule>
  </conditionalFormatting>
  <conditionalFormatting sqref="J55:J61 K56:AN61">
    <cfRule type="expression" dxfId="1460" priority="20">
      <formula>J$5=TODAY()</formula>
    </cfRule>
  </conditionalFormatting>
  <conditionalFormatting sqref="K55:AN55">
    <cfRule type="expression" dxfId="1459" priority="6">
      <formula>#REF!="CN"</formula>
    </cfRule>
  </conditionalFormatting>
  <conditionalFormatting sqref="K55:AN55">
    <cfRule type="expression" dxfId="1458" priority="7">
      <formula>#REF!="CN"</formula>
    </cfRule>
  </conditionalFormatting>
  <conditionalFormatting sqref="K55:AN55">
    <cfRule type="expression" dxfId="1457" priority="8">
      <formula>T$3="CN"</formula>
    </cfRule>
  </conditionalFormatting>
  <conditionalFormatting sqref="K55:AN55">
    <cfRule type="expression" dxfId="1456" priority="9">
      <formula>K$6="CN"</formula>
    </cfRule>
  </conditionalFormatting>
  <conditionalFormatting sqref="K55:AN55">
    <cfRule type="expression" dxfId="1455" priority="10">
      <formula>K$5=TODAY()</formula>
    </cfRule>
  </conditionalFormatting>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DF2C1-C679-064F-8427-D688CBEF659C}">
  <sheetPr>
    <outlinePr summaryBelow="0" summaryRight="0"/>
  </sheetPr>
  <dimension ref="A1:AN212"/>
  <sheetViews>
    <sheetView zoomScaleNormal="100" zoomScaleSheetLayoutView="50" workbookViewId="0">
      <pane xSplit="3" ySplit="6" topLeftCell="D7" activePane="bottomRight" state="frozen"/>
      <selection pane="topRight" activeCell="D1" sqref="D1"/>
      <selection pane="bottomLeft" activeCell="A7" sqref="A7"/>
      <selection pane="bottomRight" activeCell="I20" sqref="I20"/>
    </sheetView>
  </sheetViews>
  <sheetFormatPr baseColWidth="10" defaultColWidth="12.6640625" defaultRowHeight="15.75" customHeight="1" x14ac:dyDescent="0.15"/>
  <cols>
    <col min="1" max="1" width="15.83203125" style="148" customWidth="1"/>
    <col min="2" max="2" width="20.83203125" style="148" customWidth="1"/>
    <col min="3" max="3" width="22.6640625" style="149" customWidth="1"/>
    <col min="4" max="4" width="17.33203125" style="148" customWidth="1"/>
    <col min="5" max="6" width="19.5" style="148" customWidth="1"/>
    <col min="7" max="7" width="15.83203125" style="148" customWidth="1"/>
    <col min="8" max="8" width="19" style="148" customWidth="1"/>
    <col min="9" max="9" width="20.83203125" style="148" customWidth="1"/>
    <col min="10" max="10" width="17.5" style="148" customWidth="1"/>
    <col min="11" max="11" width="17.6640625" style="148" customWidth="1"/>
    <col min="12" max="40" width="15.83203125" style="148" customWidth="1"/>
    <col min="41" max="16384" width="12.6640625" style="148"/>
  </cols>
  <sheetData>
    <row r="1" spans="1:40" ht="30" customHeight="1" x14ac:dyDescent="0.15">
      <c r="A1" s="1399" t="s">
        <v>115</v>
      </c>
      <c r="B1" s="1399"/>
      <c r="C1" s="151"/>
      <c r="D1" s="11"/>
      <c r="E1" s="152"/>
      <c r="F1" s="80"/>
      <c r="G1" s="80"/>
      <c r="H1" s="1167"/>
      <c r="I1" s="80"/>
      <c r="J1" s="80"/>
      <c r="K1" s="153"/>
      <c r="L1" s="153"/>
      <c r="M1" s="286"/>
      <c r="N1" s="10"/>
      <c r="O1" s="286"/>
      <c r="P1" s="286"/>
      <c r="Q1" s="286"/>
      <c r="R1" s="286"/>
      <c r="S1" s="286"/>
      <c r="T1" s="286"/>
      <c r="U1" s="10"/>
      <c r="V1" s="286"/>
      <c r="W1" s="286"/>
      <c r="X1" s="286"/>
      <c r="Y1" s="286"/>
      <c r="Z1" s="286"/>
      <c r="AA1" s="286"/>
      <c r="AB1" s="10"/>
      <c r="AC1" s="286"/>
      <c r="AD1" s="286"/>
      <c r="AE1" s="286"/>
      <c r="AF1" s="286"/>
      <c r="AG1" s="286"/>
      <c r="AH1" s="286"/>
      <c r="AI1" s="10"/>
      <c r="AJ1" s="286"/>
      <c r="AK1" s="286"/>
      <c r="AL1" s="286"/>
      <c r="AM1" s="286"/>
      <c r="AN1" s="286"/>
    </row>
    <row r="2" spans="1:40" ht="20" customHeight="1" x14ac:dyDescent="0.15">
      <c r="A2" s="95" t="s">
        <v>113</v>
      </c>
      <c r="B2" s="97">
        <v>4</v>
      </c>
      <c r="C2" s="154"/>
      <c r="D2" s="1400" t="s">
        <v>215</v>
      </c>
      <c r="E2" s="1400"/>
      <c r="F2" s="1400"/>
      <c r="G2" s="1400"/>
      <c r="H2" s="1400"/>
      <c r="I2" s="1400"/>
      <c r="J2" s="1168"/>
      <c r="K2" s="153"/>
      <c r="L2" s="286"/>
      <c r="M2" s="286"/>
      <c r="N2" s="10"/>
      <c r="O2" s="286"/>
      <c r="P2" s="286"/>
      <c r="Q2" s="286"/>
      <c r="R2" s="286"/>
      <c r="S2" s="286"/>
      <c r="T2" s="286"/>
      <c r="U2" s="10"/>
      <c r="V2" s="286"/>
      <c r="W2" s="286"/>
      <c r="X2" s="286"/>
      <c r="Y2" s="286"/>
      <c r="Z2" s="286"/>
      <c r="AA2" s="286"/>
      <c r="AB2" s="10"/>
      <c r="AC2" s="286"/>
      <c r="AD2" s="286"/>
      <c r="AE2" s="286"/>
      <c r="AF2" s="286"/>
      <c r="AG2" s="286"/>
      <c r="AH2" s="286"/>
      <c r="AI2" s="10"/>
      <c r="AJ2" s="286"/>
      <c r="AK2" s="286"/>
      <c r="AL2" s="286"/>
      <c r="AM2" s="286"/>
      <c r="AN2" s="286"/>
    </row>
    <row r="3" spans="1:40" ht="20" customHeight="1" x14ac:dyDescent="0.15">
      <c r="A3" s="95" t="s">
        <v>114</v>
      </c>
      <c r="B3" s="97">
        <v>2025</v>
      </c>
      <c r="C3" s="155"/>
      <c r="D3" s="1400"/>
      <c r="E3" s="1400"/>
      <c r="F3" s="1400"/>
      <c r="G3" s="1400"/>
      <c r="H3" s="1400"/>
      <c r="I3" s="1400"/>
      <c r="J3" s="80"/>
      <c r="K3" s="153"/>
      <c r="L3" s="286"/>
      <c r="M3" s="286"/>
      <c r="N3" s="190"/>
      <c r="O3" s="286"/>
      <c r="P3" s="286"/>
      <c r="Q3" s="286"/>
      <c r="R3" s="286"/>
      <c r="S3" s="286"/>
      <c r="T3" s="286"/>
      <c r="U3" s="10"/>
      <c r="V3" s="286"/>
      <c r="W3" s="286"/>
      <c r="X3" s="286"/>
      <c r="Y3" s="286"/>
      <c r="Z3" s="286"/>
      <c r="AA3" s="286"/>
      <c r="AB3" s="10"/>
      <c r="AC3" s="286"/>
      <c r="AD3" s="286"/>
      <c r="AE3" s="286"/>
      <c r="AF3" s="286"/>
      <c r="AG3" s="286"/>
      <c r="AH3" s="286"/>
      <c r="AI3" s="10"/>
      <c r="AJ3" s="286"/>
      <c r="AK3" s="286"/>
      <c r="AL3" s="286"/>
      <c r="AM3" s="286"/>
      <c r="AN3" s="286"/>
    </row>
    <row r="4" spans="1:40" ht="49" customHeight="1" x14ac:dyDescent="0.15">
      <c r="A4" s="95" t="s">
        <v>79</v>
      </c>
      <c r="B4" s="98">
        <v>1000000</v>
      </c>
      <c r="C4" s="151"/>
      <c r="D4" s="1400"/>
      <c r="E4" s="1400"/>
      <c r="F4" s="1400"/>
      <c r="G4" s="1400"/>
      <c r="H4" s="1400"/>
      <c r="I4" s="1400"/>
      <c r="J4" s="80"/>
      <c r="K4" s="156"/>
      <c r="L4" s="286"/>
      <c r="M4" s="286"/>
      <c r="N4" s="10"/>
      <c r="O4" s="286"/>
      <c r="P4" s="286"/>
      <c r="Q4" s="286"/>
      <c r="R4" s="286"/>
      <c r="S4" s="286"/>
      <c r="T4" s="286"/>
      <c r="U4" s="10"/>
      <c r="V4" s="286"/>
      <c r="W4" s="286"/>
      <c r="X4" s="286"/>
      <c r="Y4" s="286"/>
      <c r="Z4" s="286"/>
      <c r="AA4" s="286"/>
      <c r="AB4" s="10"/>
      <c r="AC4" s="286"/>
      <c r="AD4" s="286"/>
      <c r="AE4" s="286"/>
      <c r="AF4" s="286"/>
      <c r="AG4" s="286"/>
      <c r="AH4" s="286"/>
      <c r="AI4" s="10"/>
      <c r="AJ4" s="286"/>
      <c r="AK4" s="286"/>
      <c r="AL4" s="286"/>
      <c r="AM4" s="286"/>
      <c r="AN4" s="286"/>
    </row>
    <row r="5" spans="1:40" ht="20" customHeight="1" x14ac:dyDescent="0.15">
      <c r="A5" s="96"/>
      <c r="B5" s="99"/>
      <c r="C5" s="157"/>
      <c r="D5" s="158"/>
      <c r="E5" s="158"/>
      <c r="F5" s="159"/>
      <c r="G5" s="159"/>
      <c r="H5" s="93"/>
      <c r="I5" s="93"/>
      <c r="J5" s="83">
        <v>45748</v>
      </c>
      <c r="K5" s="83">
        <f>J5+1</f>
        <v>45749</v>
      </c>
      <c r="L5" s="83">
        <f>K5+1</f>
        <v>45750</v>
      </c>
      <c r="M5" s="83">
        <f>L5+1</f>
        <v>45751</v>
      </c>
      <c r="N5" s="83">
        <f t="shared" ref="N5:AN5" si="0">M5+1</f>
        <v>45752</v>
      </c>
      <c r="O5" s="83">
        <f t="shared" si="0"/>
        <v>45753</v>
      </c>
      <c r="P5" s="83">
        <f t="shared" si="0"/>
        <v>45754</v>
      </c>
      <c r="Q5" s="83">
        <f t="shared" si="0"/>
        <v>45755</v>
      </c>
      <c r="R5" s="83">
        <f t="shared" si="0"/>
        <v>45756</v>
      </c>
      <c r="S5" s="83">
        <f t="shared" si="0"/>
        <v>45757</v>
      </c>
      <c r="T5" s="83">
        <f t="shared" si="0"/>
        <v>45758</v>
      </c>
      <c r="U5" s="83">
        <f t="shared" si="0"/>
        <v>45759</v>
      </c>
      <c r="V5" s="83">
        <f t="shared" si="0"/>
        <v>45760</v>
      </c>
      <c r="W5" s="83">
        <f t="shared" si="0"/>
        <v>45761</v>
      </c>
      <c r="X5" s="83">
        <f t="shared" si="0"/>
        <v>45762</v>
      </c>
      <c r="Y5" s="83">
        <f t="shared" si="0"/>
        <v>45763</v>
      </c>
      <c r="Z5" s="83">
        <f t="shared" si="0"/>
        <v>45764</v>
      </c>
      <c r="AA5" s="83">
        <f t="shared" si="0"/>
        <v>45765</v>
      </c>
      <c r="AB5" s="83">
        <f t="shared" si="0"/>
        <v>45766</v>
      </c>
      <c r="AC5" s="83">
        <f t="shared" si="0"/>
        <v>45767</v>
      </c>
      <c r="AD5" s="83">
        <f t="shared" si="0"/>
        <v>45768</v>
      </c>
      <c r="AE5" s="83">
        <f t="shared" si="0"/>
        <v>45769</v>
      </c>
      <c r="AF5" s="83">
        <f t="shared" si="0"/>
        <v>45770</v>
      </c>
      <c r="AG5" s="83">
        <f t="shared" si="0"/>
        <v>45771</v>
      </c>
      <c r="AH5" s="83">
        <f t="shared" si="0"/>
        <v>45772</v>
      </c>
      <c r="AI5" s="83">
        <f t="shared" si="0"/>
        <v>45773</v>
      </c>
      <c r="AJ5" s="83">
        <f t="shared" si="0"/>
        <v>45774</v>
      </c>
      <c r="AK5" s="83">
        <f t="shared" si="0"/>
        <v>45775</v>
      </c>
      <c r="AL5" s="83">
        <f t="shared" si="0"/>
        <v>45776</v>
      </c>
      <c r="AM5" s="83">
        <f t="shared" si="0"/>
        <v>45777</v>
      </c>
      <c r="AN5" s="1101">
        <f t="shared" si="0"/>
        <v>45778</v>
      </c>
    </row>
    <row r="6" spans="1:40" ht="20" customHeight="1" thickBot="1" x14ac:dyDescent="0.2">
      <c r="A6" s="10"/>
      <c r="B6" s="10"/>
      <c r="C6" s="157"/>
      <c r="D6" s="84" t="s">
        <v>107</v>
      </c>
      <c r="E6" s="85" t="s">
        <v>141</v>
      </c>
      <c r="F6" s="86" t="s">
        <v>108</v>
      </c>
      <c r="G6" s="87" t="s">
        <v>109</v>
      </c>
      <c r="H6" s="88" t="s">
        <v>74</v>
      </c>
      <c r="I6" s="88" t="s">
        <v>110</v>
      </c>
      <c r="J6" s="160" t="str">
        <f>IF(WEEKDAY(J5)=1,"CN","T"&amp;WEEKDAY(J5))</f>
        <v>T3</v>
      </c>
      <c r="K6" s="89" t="str">
        <f>IF(WEEKDAY(K5)=1,"CN","T"&amp;WEEKDAY(K5))</f>
        <v>T4</v>
      </c>
      <c r="L6" s="89" t="str">
        <f>IF(WEEKDAY(L5)=1,"CN","T"&amp;WEEKDAY(L5))</f>
        <v>T5</v>
      </c>
      <c r="M6" s="89" t="str">
        <f t="shared" ref="M6:AN6" si="1">IF(WEEKDAY(M5)=1,"CN","T"&amp;WEEKDAY(M5))</f>
        <v>T6</v>
      </c>
      <c r="N6" s="89" t="str">
        <f t="shared" si="1"/>
        <v>T7</v>
      </c>
      <c r="O6" s="89" t="str">
        <f t="shared" si="1"/>
        <v>CN</v>
      </c>
      <c r="P6" s="89" t="str">
        <f t="shared" si="1"/>
        <v>T2</v>
      </c>
      <c r="Q6" s="89" t="str">
        <f t="shared" si="1"/>
        <v>T3</v>
      </c>
      <c r="R6" s="89" t="str">
        <f t="shared" si="1"/>
        <v>T4</v>
      </c>
      <c r="S6" s="89" t="str">
        <f t="shared" si="1"/>
        <v>T5</v>
      </c>
      <c r="T6" s="89" t="str">
        <f t="shared" si="1"/>
        <v>T6</v>
      </c>
      <c r="U6" s="89" t="str">
        <f t="shared" si="1"/>
        <v>T7</v>
      </c>
      <c r="V6" s="89" t="str">
        <f t="shared" si="1"/>
        <v>CN</v>
      </c>
      <c r="W6" s="89" t="str">
        <f t="shared" si="1"/>
        <v>T2</v>
      </c>
      <c r="X6" s="89" t="str">
        <f t="shared" si="1"/>
        <v>T3</v>
      </c>
      <c r="Y6" s="89" t="str">
        <f t="shared" si="1"/>
        <v>T4</v>
      </c>
      <c r="Z6" s="89" t="str">
        <f t="shared" si="1"/>
        <v>T5</v>
      </c>
      <c r="AA6" s="89" t="str">
        <f t="shared" si="1"/>
        <v>T6</v>
      </c>
      <c r="AB6" s="89" t="str">
        <f t="shared" si="1"/>
        <v>T7</v>
      </c>
      <c r="AC6" s="89" t="str">
        <f t="shared" si="1"/>
        <v>CN</v>
      </c>
      <c r="AD6" s="89" t="str">
        <f t="shared" si="1"/>
        <v>T2</v>
      </c>
      <c r="AE6" s="89" t="str">
        <f t="shared" si="1"/>
        <v>T3</v>
      </c>
      <c r="AF6" s="89" t="str">
        <f t="shared" si="1"/>
        <v>T4</v>
      </c>
      <c r="AG6" s="89" t="str">
        <f t="shared" si="1"/>
        <v>T5</v>
      </c>
      <c r="AH6" s="89" t="str">
        <f t="shared" si="1"/>
        <v>T6</v>
      </c>
      <c r="AI6" s="89" t="str">
        <f t="shared" si="1"/>
        <v>T7</v>
      </c>
      <c r="AJ6" s="89" t="str">
        <f t="shared" si="1"/>
        <v>CN</v>
      </c>
      <c r="AK6" s="89" t="str">
        <f t="shared" si="1"/>
        <v>T2</v>
      </c>
      <c r="AL6" s="89" t="str">
        <f t="shared" si="1"/>
        <v>T3</v>
      </c>
      <c r="AM6" s="89" t="str">
        <f t="shared" si="1"/>
        <v>T4</v>
      </c>
      <c r="AN6" s="723" t="str">
        <f t="shared" si="1"/>
        <v>T5</v>
      </c>
    </row>
    <row r="7" spans="1:40" ht="20" customHeight="1" x14ac:dyDescent="0.15">
      <c r="A7" s="9"/>
      <c r="B7" s="184"/>
      <c r="C7" s="1103" t="s">
        <v>130</v>
      </c>
      <c r="D7" s="1104">
        <f>Dashboard!E15</f>
        <v>170000000</v>
      </c>
      <c r="E7" s="1105">
        <f>E8</f>
        <v>16800000</v>
      </c>
      <c r="F7" s="1106">
        <f>D7-E7</f>
        <v>153200000</v>
      </c>
      <c r="G7" s="1257">
        <f>_xlfn.IFS(F7&gt;0,1,F7&lt;=0,D7/E7)</f>
        <v>1</v>
      </c>
      <c r="H7" s="1107">
        <f>D7/'Action Plan'!$C$6</f>
        <v>6538461.538461538</v>
      </c>
      <c r="I7" s="1108">
        <f ca="1">SUMIF($J$5:$AN$5,TODAY(),J7:AN7)</f>
        <v>0</v>
      </c>
      <c r="J7" s="684">
        <f>J8</f>
        <v>550000</v>
      </c>
      <c r="K7" s="684">
        <f>K8</f>
        <v>550000</v>
      </c>
      <c r="L7" s="684">
        <f>L8</f>
        <v>550000</v>
      </c>
      <c r="M7" s="684">
        <f t="shared" ref="M7:AN7" si="2">M8</f>
        <v>550000</v>
      </c>
      <c r="N7" s="684">
        <f t="shared" si="2"/>
        <v>550000</v>
      </c>
      <c r="O7" s="684">
        <f t="shared" si="2"/>
        <v>550000</v>
      </c>
      <c r="P7" s="684">
        <f t="shared" si="2"/>
        <v>550000</v>
      </c>
      <c r="Q7" s="684">
        <f t="shared" si="2"/>
        <v>550000</v>
      </c>
      <c r="R7" s="684">
        <f t="shared" si="2"/>
        <v>550000</v>
      </c>
      <c r="S7" s="684">
        <f t="shared" si="2"/>
        <v>550000</v>
      </c>
      <c r="T7" s="684">
        <f t="shared" si="2"/>
        <v>550000</v>
      </c>
      <c r="U7" s="684">
        <f t="shared" si="2"/>
        <v>550000</v>
      </c>
      <c r="V7" s="684">
        <f t="shared" si="2"/>
        <v>550000</v>
      </c>
      <c r="W7" s="684">
        <f t="shared" si="2"/>
        <v>550000</v>
      </c>
      <c r="X7" s="684">
        <f t="shared" si="2"/>
        <v>550000</v>
      </c>
      <c r="Y7" s="684">
        <f t="shared" si="2"/>
        <v>550000</v>
      </c>
      <c r="Z7" s="684">
        <f t="shared" si="2"/>
        <v>550000</v>
      </c>
      <c r="AA7" s="684">
        <f t="shared" si="2"/>
        <v>550000</v>
      </c>
      <c r="AB7" s="684">
        <f t="shared" si="2"/>
        <v>550000</v>
      </c>
      <c r="AC7" s="684">
        <f t="shared" si="2"/>
        <v>550000</v>
      </c>
      <c r="AD7" s="684">
        <f t="shared" si="2"/>
        <v>550000</v>
      </c>
      <c r="AE7" s="684">
        <f t="shared" si="2"/>
        <v>550000</v>
      </c>
      <c r="AF7" s="684">
        <f t="shared" si="2"/>
        <v>550000</v>
      </c>
      <c r="AG7" s="684">
        <f t="shared" si="2"/>
        <v>550000</v>
      </c>
      <c r="AH7" s="684">
        <f t="shared" si="2"/>
        <v>550000</v>
      </c>
      <c r="AI7" s="684">
        <f t="shared" si="2"/>
        <v>550000</v>
      </c>
      <c r="AJ7" s="684">
        <f t="shared" si="2"/>
        <v>550000</v>
      </c>
      <c r="AK7" s="684">
        <f t="shared" si="2"/>
        <v>550000</v>
      </c>
      <c r="AL7" s="684">
        <f t="shared" si="2"/>
        <v>550000</v>
      </c>
      <c r="AM7" s="684">
        <f t="shared" si="2"/>
        <v>550000</v>
      </c>
      <c r="AN7" s="725">
        <f t="shared" si="2"/>
        <v>300000</v>
      </c>
    </row>
    <row r="8" spans="1:40" ht="20" customHeight="1" x14ac:dyDescent="0.15">
      <c r="A8" s="10"/>
      <c r="B8" s="262"/>
      <c r="C8" s="689" t="s">
        <v>130</v>
      </c>
      <c r="D8" s="687">
        <f>D9+D15+D21+D24+D25+D27+D28+D26</f>
        <v>200000000</v>
      </c>
      <c r="E8" s="679">
        <f>E9+E15+E21+E24+E25+E26+E27+E28</f>
        <v>16800000</v>
      </c>
      <c r="F8" s="680">
        <f>F9+F15+F21+F24+F25+F26+F27+F28</f>
        <v>183200000</v>
      </c>
      <c r="G8" s="1258">
        <f>_xlfn.IFS(F8&gt;0,1,F8&lt;=0,D8/E8)</f>
        <v>1</v>
      </c>
      <c r="H8" s="681">
        <f>H9+H15+H21+H24+H25+H27+H28+H26</f>
        <v>7692307.6923076939</v>
      </c>
      <c r="I8" s="679">
        <f ca="1">I9+I15+I21+I24+I25+I27+I28+I26</f>
        <v>0</v>
      </c>
      <c r="J8" s="685">
        <f>J9+J15+J21+J24+J25+J27+J28+J26</f>
        <v>550000</v>
      </c>
      <c r="K8" s="685">
        <f>K9+K15+K21+K24+K25+K27+K28+K26</f>
        <v>550000</v>
      </c>
      <c r="L8" s="685">
        <f t="shared" ref="L8:AN8" si="3">L9+L15+L21+L24+L25+L27+L28+L26</f>
        <v>550000</v>
      </c>
      <c r="M8" s="685">
        <f t="shared" si="3"/>
        <v>550000</v>
      </c>
      <c r="N8" s="685">
        <f t="shared" si="3"/>
        <v>550000</v>
      </c>
      <c r="O8" s="685">
        <f t="shared" si="3"/>
        <v>550000</v>
      </c>
      <c r="P8" s="685">
        <f t="shared" si="3"/>
        <v>550000</v>
      </c>
      <c r="Q8" s="685">
        <f t="shared" si="3"/>
        <v>550000</v>
      </c>
      <c r="R8" s="685">
        <f t="shared" si="3"/>
        <v>550000</v>
      </c>
      <c r="S8" s="685">
        <f t="shared" si="3"/>
        <v>550000</v>
      </c>
      <c r="T8" s="685">
        <f t="shared" si="3"/>
        <v>550000</v>
      </c>
      <c r="U8" s="685">
        <f t="shared" si="3"/>
        <v>550000</v>
      </c>
      <c r="V8" s="685">
        <f t="shared" si="3"/>
        <v>550000</v>
      </c>
      <c r="W8" s="685">
        <f t="shared" si="3"/>
        <v>550000</v>
      </c>
      <c r="X8" s="685">
        <f t="shared" si="3"/>
        <v>550000</v>
      </c>
      <c r="Y8" s="685">
        <f t="shared" si="3"/>
        <v>550000</v>
      </c>
      <c r="Z8" s="685">
        <f t="shared" si="3"/>
        <v>550000</v>
      </c>
      <c r="AA8" s="685">
        <f t="shared" si="3"/>
        <v>550000</v>
      </c>
      <c r="AB8" s="685">
        <f t="shared" si="3"/>
        <v>550000</v>
      </c>
      <c r="AC8" s="685">
        <f t="shared" si="3"/>
        <v>550000</v>
      </c>
      <c r="AD8" s="685">
        <f t="shared" si="3"/>
        <v>550000</v>
      </c>
      <c r="AE8" s="685">
        <f t="shared" si="3"/>
        <v>550000</v>
      </c>
      <c r="AF8" s="685">
        <f t="shared" si="3"/>
        <v>550000</v>
      </c>
      <c r="AG8" s="685">
        <f t="shared" si="3"/>
        <v>550000</v>
      </c>
      <c r="AH8" s="685">
        <f t="shared" si="3"/>
        <v>550000</v>
      </c>
      <c r="AI8" s="685">
        <f t="shared" si="3"/>
        <v>550000</v>
      </c>
      <c r="AJ8" s="685">
        <f t="shared" si="3"/>
        <v>550000</v>
      </c>
      <c r="AK8" s="685">
        <f t="shared" si="3"/>
        <v>550000</v>
      </c>
      <c r="AL8" s="685">
        <f t="shared" si="3"/>
        <v>550000</v>
      </c>
      <c r="AM8" s="685">
        <f t="shared" si="3"/>
        <v>550000</v>
      </c>
      <c r="AN8" s="774">
        <f t="shared" si="3"/>
        <v>300000</v>
      </c>
    </row>
    <row r="9" spans="1:40" ht="20" customHeight="1" x14ac:dyDescent="0.15">
      <c r="A9" s="9"/>
      <c r="B9" s="184"/>
      <c r="C9" s="736" t="str">
        <f>Dashboard!B16</f>
        <v>FACEBOOK</v>
      </c>
      <c r="D9" s="737">
        <f>Dashboard!E16*Dashboard!$P$9</f>
        <v>10000000</v>
      </c>
      <c r="E9" s="738">
        <f>SUM(E10:E14)</f>
        <v>0</v>
      </c>
      <c r="F9" s="739">
        <f t="shared" ref="F9:F16" si="4">D9-E9</f>
        <v>10000000</v>
      </c>
      <c r="G9" s="1259">
        <f>_xlfn.IFS(F9&gt;0,1,F9&lt;=0,D9/E9)</f>
        <v>1</v>
      </c>
      <c r="H9" s="740">
        <f>D9/'Action Plan'!$C$6</f>
        <v>384615.38461538462</v>
      </c>
      <c r="I9" s="738">
        <f t="shared" ref="I9" ca="1" si="5">SUM(I10:I14)</f>
        <v>0</v>
      </c>
      <c r="J9" s="1065">
        <f>SUM(J10:J14)</f>
        <v>0</v>
      </c>
      <c r="K9" s="1065">
        <f t="shared" ref="K9:AN9" si="6">SUM(K10:K14)</f>
        <v>0</v>
      </c>
      <c r="L9" s="1065">
        <f t="shared" si="6"/>
        <v>0</v>
      </c>
      <c r="M9" s="1065">
        <f t="shared" si="6"/>
        <v>0</v>
      </c>
      <c r="N9" s="1065">
        <f t="shared" si="6"/>
        <v>0</v>
      </c>
      <c r="O9" s="1065">
        <f t="shared" si="6"/>
        <v>0</v>
      </c>
      <c r="P9" s="1065">
        <f t="shared" si="6"/>
        <v>0</v>
      </c>
      <c r="Q9" s="1065">
        <f t="shared" si="6"/>
        <v>0</v>
      </c>
      <c r="R9" s="1065">
        <f t="shared" si="6"/>
        <v>0</v>
      </c>
      <c r="S9" s="1065">
        <f t="shared" si="6"/>
        <v>0</v>
      </c>
      <c r="T9" s="1065">
        <f t="shared" si="6"/>
        <v>0</v>
      </c>
      <c r="U9" s="1065">
        <f t="shared" si="6"/>
        <v>0</v>
      </c>
      <c r="V9" s="1065">
        <f t="shared" si="6"/>
        <v>0</v>
      </c>
      <c r="W9" s="1065">
        <f t="shared" si="6"/>
        <v>0</v>
      </c>
      <c r="X9" s="1065">
        <f t="shared" si="6"/>
        <v>0</v>
      </c>
      <c r="Y9" s="1065">
        <f t="shared" si="6"/>
        <v>0</v>
      </c>
      <c r="Z9" s="1065">
        <f t="shared" si="6"/>
        <v>0</v>
      </c>
      <c r="AA9" s="1065">
        <f t="shared" si="6"/>
        <v>0</v>
      </c>
      <c r="AB9" s="1065">
        <f t="shared" si="6"/>
        <v>0</v>
      </c>
      <c r="AC9" s="1065">
        <f t="shared" si="6"/>
        <v>0</v>
      </c>
      <c r="AD9" s="1065">
        <f t="shared" si="6"/>
        <v>0</v>
      </c>
      <c r="AE9" s="1065">
        <f t="shared" si="6"/>
        <v>0</v>
      </c>
      <c r="AF9" s="1065">
        <f t="shared" si="6"/>
        <v>0</v>
      </c>
      <c r="AG9" s="1065">
        <f t="shared" si="6"/>
        <v>0</v>
      </c>
      <c r="AH9" s="1065">
        <f t="shared" si="6"/>
        <v>0</v>
      </c>
      <c r="AI9" s="1065">
        <f t="shared" si="6"/>
        <v>0</v>
      </c>
      <c r="AJ9" s="1065">
        <f t="shared" si="6"/>
        <v>0</v>
      </c>
      <c r="AK9" s="1065">
        <f t="shared" si="6"/>
        <v>0</v>
      </c>
      <c r="AL9" s="1065">
        <f t="shared" si="6"/>
        <v>0</v>
      </c>
      <c r="AM9" s="1065">
        <f t="shared" si="6"/>
        <v>0</v>
      </c>
      <c r="AN9" s="1066">
        <f t="shared" si="6"/>
        <v>0</v>
      </c>
    </row>
    <row r="10" spans="1:40" ht="20" customHeight="1" x14ac:dyDescent="0.15">
      <c r="A10" s="171"/>
      <c r="B10" s="183"/>
      <c r="C10" s="690" t="s">
        <v>134</v>
      </c>
      <c r="D10" s="605">
        <f>$D$9/5</f>
        <v>2000000</v>
      </c>
      <c r="E10" s="1084">
        <f>SUM(J10:AN10)</f>
        <v>0</v>
      </c>
      <c r="F10" s="610">
        <f>D10-E10</f>
        <v>2000000</v>
      </c>
      <c r="G10" s="1292"/>
      <c r="H10" s="682"/>
      <c r="I10" s="683">
        <f ca="1">SUMIF($J$5:$AN$5,TODAY(),J10:AN10)</f>
        <v>0</v>
      </c>
      <c r="J10" s="1041">
        <v>0</v>
      </c>
      <c r="K10" s="1041">
        <v>0</v>
      </c>
      <c r="L10" s="1041">
        <v>0</v>
      </c>
      <c r="M10" s="1041">
        <v>0</v>
      </c>
      <c r="N10" s="1041">
        <v>0</v>
      </c>
      <c r="O10" s="1041">
        <v>0</v>
      </c>
      <c r="P10" s="1041">
        <v>0</v>
      </c>
      <c r="Q10" s="1041">
        <v>0</v>
      </c>
      <c r="R10" s="1041">
        <v>0</v>
      </c>
      <c r="S10" s="1041">
        <v>0</v>
      </c>
      <c r="T10" s="1041">
        <v>0</v>
      </c>
      <c r="U10" s="1041">
        <v>0</v>
      </c>
      <c r="V10" s="1041">
        <v>0</v>
      </c>
      <c r="W10" s="1041">
        <v>0</v>
      </c>
      <c r="X10" s="1041">
        <v>0</v>
      </c>
      <c r="Y10" s="1041">
        <v>0</v>
      </c>
      <c r="Z10" s="1041">
        <v>0</v>
      </c>
      <c r="AA10" s="1041">
        <v>0</v>
      </c>
      <c r="AB10" s="1041">
        <v>0</v>
      </c>
      <c r="AC10" s="1041">
        <v>0</v>
      </c>
      <c r="AD10" s="1041">
        <v>0</v>
      </c>
      <c r="AE10" s="1041">
        <v>0</v>
      </c>
      <c r="AF10" s="1041">
        <v>0</v>
      </c>
      <c r="AG10" s="1041">
        <v>0</v>
      </c>
      <c r="AH10" s="1041">
        <v>0</v>
      </c>
      <c r="AI10" s="1041">
        <v>0</v>
      </c>
      <c r="AJ10" s="1041">
        <v>0</v>
      </c>
      <c r="AK10" s="1041">
        <v>0</v>
      </c>
      <c r="AL10" s="1041">
        <v>0</v>
      </c>
      <c r="AM10" s="1041">
        <v>0</v>
      </c>
      <c r="AN10" s="1067">
        <v>0</v>
      </c>
    </row>
    <row r="11" spans="1:40" ht="20" customHeight="1" x14ac:dyDescent="0.15">
      <c r="A11" s="171"/>
      <c r="B11" s="183"/>
      <c r="C11" s="690" t="s">
        <v>135</v>
      </c>
      <c r="D11" s="605">
        <f t="shared" ref="D11:D14" si="7">$D$9/5</f>
        <v>2000000</v>
      </c>
      <c r="E11" s="1084">
        <f t="shared" ref="E11:E14" si="8">SUM(J11:AN11)</f>
        <v>0</v>
      </c>
      <c r="F11" s="610">
        <f t="shared" si="4"/>
        <v>2000000</v>
      </c>
      <c r="G11" s="1292"/>
      <c r="H11" s="682"/>
      <c r="I11" s="683">
        <f t="shared" ref="I11:I13" ca="1" si="9">SUMIF($J$5:$AN$5,TODAY(),J11:AN11)</f>
        <v>0</v>
      </c>
      <c r="J11" s="1041">
        <v>0</v>
      </c>
      <c r="K11" s="1041">
        <v>0</v>
      </c>
      <c r="L11" s="1041">
        <v>0</v>
      </c>
      <c r="M11" s="1041">
        <v>0</v>
      </c>
      <c r="N11" s="1041">
        <v>0</v>
      </c>
      <c r="O11" s="1041">
        <v>0</v>
      </c>
      <c r="P11" s="1041">
        <v>0</v>
      </c>
      <c r="Q11" s="1041">
        <v>0</v>
      </c>
      <c r="R11" s="1041">
        <v>0</v>
      </c>
      <c r="S11" s="1041">
        <v>0</v>
      </c>
      <c r="T11" s="1041">
        <v>0</v>
      </c>
      <c r="U11" s="1041">
        <v>0</v>
      </c>
      <c r="V11" s="1041">
        <v>0</v>
      </c>
      <c r="W11" s="1041">
        <v>0</v>
      </c>
      <c r="X11" s="1041">
        <v>0</v>
      </c>
      <c r="Y11" s="1041">
        <v>0</v>
      </c>
      <c r="Z11" s="1041">
        <v>0</v>
      </c>
      <c r="AA11" s="1041">
        <v>0</v>
      </c>
      <c r="AB11" s="1041">
        <v>0</v>
      </c>
      <c r="AC11" s="1041">
        <v>0</v>
      </c>
      <c r="AD11" s="1041">
        <v>0</v>
      </c>
      <c r="AE11" s="1041">
        <v>0</v>
      </c>
      <c r="AF11" s="1041">
        <v>0</v>
      </c>
      <c r="AG11" s="1041">
        <v>0</v>
      </c>
      <c r="AH11" s="1041">
        <v>0</v>
      </c>
      <c r="AI11" s="1041">
        <v>0</v>
      </c>
      <c r="AJ11" s="1041">
        <v>0</v>
      </c>
      <c r="AK11" s="1041">
        <v>0</v>
      </c>
      <c r="AL11" s="1041">
        <v>0</v>
      </c>
      <c r="AM11" s="1041">
        <v>0</v>
      </c>
      <c r="AN11" s="1067">
        <v>0</v>
      </c>
    </row>
    <row r="12" spans="1:40" ht="20" customHeight="1" x14ac:dyDescent="0.15">
      <c r="A12" s="171"/>
      <c r="B12" s="183"/>
      <c r="C12" s="691" t="s">
        <v>136</v>
      </c>
      <c r="D12" s="605">
        <f t="shared" si="7"/>
        <v>2000000</v>
      </c>
      <c r="E12" s="1084">
        <f t="shared" si="8"/>
        <v>0</v>
      </c>
      <c r="F12" s="610">
        <f t="shared" si="4"/>
        <v>2000000</v>
      </c>
      <c r="G12" s="1292"/>
      <c r="H12" s="682"/>
      <c r="I12" s="683">
        <f t="shared" ca="1" si="9"/>
        <v>0</v>
      </c>
      <c r="J12" s="1041">
        <v>0</v>
      </c>
      <c r="K12" s="1041">
        <v>0</v>
      </c>
      <c r="L12" s="1041">
        <v>0</v>
      </c>
      <c r="M12" s="1041">
        <v>0</v>
      </c>
      <c r="N12" s="1041">
        <v>0</v>
      </c>
      <c r="O12" s="1041">
        <v>0</v>
      </c>
      <c r="P12" s="1041">
        <v>0</v>
      </c>
      <c r="Q12" s="1041">
        <v>0</v>
      </c>
      <c r="R12" s="1041">
        <v>0</v>
      </c>
      <c r="S12" s="1041">
        <v>0</v>
      </c>
      <c r="T12" s="1041">
        <v>0</v>
      </c>
      <c r="U12" s="1041">
        <v>0</v>
      </c>
      <c r="V12" s="1041">
        <v>0</v>
      </c>
      <c r="W12" s="1041">
        <v>0</v>
      </c>
      <c r="X12" s="1041">
        <v>0</v>
      </c>
      <c r="Y12" s="1041">
        <v>0</v>
      </c>
      <c r="Z12" s="1041">
        <v>0</v>
      </c>
      <c r="AA12" s="1041">
        <v>0</v>
      </c>
      <c r="AB12" s="1041">
        <v>0</v>
      </c>
      <c r="AC12" s="1041">
        <v>0</v>
      </c>
      <c r="AD12" s="1041">
        <v>0</v>
      </c>
      <c r="AE12" s="1041">
        <v>0</v>
      </c>
      <c r="AF12" s="1041">
        <v>0</v>
      </c>
      <c r="AG12" s="1041">
        <v>0</v>
      </c>
      <c r="AH12" s="1041">
        <v>0</v>
      </c>
      <c r="AI12" s="1041">
        <v>0</v>
      </c>
      <c r="AJ12" s="1041">
        <v>0</v>
      </c>
      <c r="AK12" s="1041">
        <v>0</v>
      </c>
      <c r="AL12" s="1041">
        <v>0</v>
      </c>
      <c r="AM12" s="1041">
        <v>0</v>
      </c>
      <c r="AN12" s="1067">
        <v>0</v>
      </c>
    </row>
    <row r="13" spans="1:40" ht="20" customHeight="1" x14ac:dyDescent="0.15">
      <c r="A13" s="171"/>
      <c r="B13" s="183"/>
      <c r="C13" s="691" t="s">
        <v>137</v>
      </c>
      <c r="D13" s="605">
        <f t="shared" si="7"/>
        <v>2000000</v>
      </c>
      <c r="E13" s="1084">
        <f t="shared" si="8"/>
        <v>0</v>
      </c>
      <c r="F13" s="610">
        <f t="shared" si="4"/>
        <v>2000000</v>
      </c>
      <c r="G13" s="1292"/>
      <c r="H13" s="682"/>
      <c r="I13" s="683">
        <f t="shared" ca="1" si="9"/>
        <v>0</v>
      </c>
      <c r="J13" s="1041">
        <v>0</v>
      </c>
      <c r="K13" s="1041">
        <v>0</v>
      </c>
      <c r="L13" s="1041">
        <v>0</v>
      </c>
      <c r="M13" s="1041">
        <v>0</v>
      </c>
      <c r="N13" s="1041">
        <v>0</v>
      </c>
      <c r="O13" s="1041">
        <v>0</v>
      </c>
      <c r="P13" s="1041">
        <v>0</v>
      </c>
      <c r="Q13" s="1041">
        <v>0</v>
      </c>
      <c r="R13" s="1041">
        <v>0</v>
      </c>
      <c r="S13" s="1041">
        <v>0</v>
      </c>
      <c r="T13" s="1041">
        <v>0</v>
      </c>
      <c r="U13" s="1041">
        <v>0</v>
      </c>
      <c r="V13" s="1041">
        <v>0</v>
      </c>
      <c r="W13" s="1041">
        <v>0</v>
      </c>
      <c r="X13" s="1041">
        <v>0</v>
      </c>
      <c r="Y13" s="1041">
        <v>0</v>
      </c>
      <c r="Z13" s="1041">
        <v>0</v>
      </c>
      <c r="AA13" s="1041">
        <v>0</v>
      </c>
      <c r="AB13" s="1041">
        <v>0</v>
      </c>
      <c r="AC13" s="1041">
        <v>0</v>
      </c>
      <c r="AD13" s="1041">
        <v>0</v>
      </c>
      <c r="AE13" s="1041">
        <v>0</v>
      </c>
      <c r="AF13" s="1041">
        <v>0</v>
      </c>
      <c r="AG13" s="1041">
        <v>0</v>
      </c>
      <c r="AH13" s="1041">
        <v>0</v>
      </c>
      <c r="AI13" s="1041">
        <v>0</v>
      </c>
      <c r="AJ13" s="1041">
        <v>0</v>
      </c>
      <c r="AK13" s="1041">
        <v>0</v>
      </c>
      <c r="AL13" s="1041">
        <v>0</v>
      </c>
      <c r="AM13" s="1041">
        <v>0</v>
      </c>
      <c r="AN13" s="1067">
        <v>0</v>
      </c>
    </row>
    <row r="14" spans="1:40" ht="20" customHeight="1" x14ac:dyDescent="0.15">
      <c r="A14" s="171"/>
      <c r="B14" s="183"/>
      <c r="C14" s="691" t="s">
        <v>138</v>
      </c>
      <c r="D14" s="605">
        <f t="shared" si="7"/>
        <v>2000000</v>
      </c>
      <c r="E14" s="1084">
        <f t="shared" si="8"/>
        <v>0</v>
      </c>
      <c r="F14" s="610">
        <f t="shared" si="4"/>
        <v>2000000</v>
      </c>
      <c r="G14" s="1292"/>
      <c r="H14" s="682"/>
      <c r="I14" s="683">
        <f ca="1">SUMIF($J$5:$AN$5,TODAY(),J14:AN14)</f>
        <v>0</v>
      </c>
      <c r="J14" s="1041">
        <v>0</v>
      </c>
      <c r="K14" s="1041">
        <v>0</v>
      </c>
      <c r="L14" s="1041">
        <v>0</v>
      </c>
      <c r="M14" s="1041">
        <v>0</v>
      </c>
      <c r="N14" s="1041">
        <v>0</v>
      </c>
      <c r="O14" s="1041">
        <v>0</v>
      </c>
      <c r="P14" s="1041">
        <v>0</v>
      </c>
      <c r="Q14" s="1041">
        <v>0</v>
      </c>
      <c r="R14" s="1041">
        <v>0</v>
      </c>
      <c r="S14" s="1041">
        <v>0</v>
      </c>
      <c r="T14" s="1041">
        <v>0</v>
      </c>
      <c r="U14" s="1041">
        <v>0</v>
      </c>
      <c r="V14" s="1041">
        <v>0</v>
      </c>
      <c r="W14" s="1041">
        <v>0</v>
      </c>
      <c r="X14" s="1041">
        <v>0</v>
      </c>
      <c r="Y14" s="1041">
        <v>0</v>
      </c>
      <c r="Z14" s="1041">
        <v>0</v>
      </c>
      <c r="AA14" s="1041">
        <v>0</v>
      </c>
      <c r="AB14" s="1041">
        <v>0</v>
      </c>
      <c r="AC14" s="1041">
        <v>0</v>
      </c>
      <c r="AD14" s="1041">
        <v>0</v>
      </c>
      <c r="AE14" s="1041">
        <v>0</v>
      </c>
      <c r="AF14" s="1041">
        <v>0</v>
      </c>
      <c r="AG14" s="1041">
        <v>0</v>
      </c>
      <c r="AH14" s="1041">
        <v>0</v>
      </c>
      <c r="AI14" s="1041">
        <v>0</v>
      </c>
      <c r="AJ14" s="1041">
        <v>0</v>
      </c>
      <c r="AK14" s="1041">
        <v>0</v>
      </c>
      <c r="AL14" s="1041">
        <v>0</v>
      </c>
      <c r="AM14" s="1041">
        <v>0</v>
      </c>
      <c r="AN14" s="1067">
        <v>0</v>
      </c>
    </row>
    <row r="15" spans="1:40" ht="20" customHeight="1" x14ac:dyDescent="0.15">
      <c r="A15" s="9"/>
      <c r="B15" s="184"/>
      <c r="C15" s="736" t="str">
        <f>Dashboard!B17</f>
        <v>LANDING PAGE</v>
      </c>
      <c r="D15" s="737">
        <f>Dashboard!E17*Dashboard!$P$9</f>
        <v>60000000</v>
      </c>
      <c r="E15" s="738">
        <f>SUM(E16:E20)</f>
        <v>0</v>
      </c>
      <c r="F15" s="739">
        <f t="shared" si="4"/>
        <v>60000000</v>
      </c>
      <c r="G15" s="1259">
        <f>_xlfn.IFS(F15&gt;0,1,F15&lt;=0,D15/E15)</f>
        <v>1</v>
      </c>
      <c r="H15" s="740">
        <f>D15/'Action Plan'!$C$6</f>
        <v>2307692.3076923075</v>
      </c>
      <c r="I15" s="738">
        <f ca="1">SUM(I16:I20)</f>
        <v>0</v>
      </c>
      <c r="J15" s="1065">
        <f t="shared" ref="J15" si="10">SUM(J16:J20)</f>
        <v>0</v>
      </c>
      <c r="K15" s="1065">
        <f t="shared" ref="K15:AN15" si="11">SUM(K16:K20)</f>
        <v>0</v>
      </c>
      <c r="L15" s="1065">
        <f t="shared" si="11"/>
        <v>0</v>
      </c>
      <c r="M15" s="1065">
        <f t="shared" si="11"/>
        <v>0</v>
      </c>
      <c r="N15" s="1065">
        <f t="shared" si="11"/>
        <v>0</v>
      </c>
      <c r="O15" s="1065">
        <f t="shared" si="11"/>
        <v>0</v>
      </c>
      <c r="P15" s="1065">
        <f t="shared" si="11"/>
        <v>0</v>
      </c>
      <c r="Q15" s="1065">
        <f t="shared" si="11"/>
        <v>0</v>
      </c>
      <c r="R15" s="1065">
        <f t="shared" si="11"/>
        <v>0</v>
      </c>
      <c r="S15" s="1065">
        <f t="shared" si="11"/>
        <v>0</v>
      </c>
      <c r="T15" s="1065">
        <f t="shared" si="11"/>
        <v>0</v>
      </c>
      <c r="U15" s="1065">
        <f t="shared" si="11"/>
        <v>0</v>
      </c>
      <c r="V15" s="1065">
        <f t="shared" si="11"/>
        <v>0</v>
      </c>
      <c r="W15" s="1065">
        <f t="shared" si="11"/>
        <v>0</v>
      </c>
      <c r="X15" s="1065">
        <f t="shared" si="11"/>
        <v>0</v>
      </c>
      <c r="Y15" s="1065">
        <f t="shared" si="11"/>
        <v>0</v>
      </c>
      <c r="Z15" s="1065">
        <f t="shared" si="11"/>
        <v>0</v>
      </c>
      <c r="AA15" s="1065">
        <f t="shared" si="11"/>
        <v>0</v>
      </c>
      <c r="AB15" s="1065">
        <f t="shared" si="11"/>
        <v>0</v>
      </c>
      <c r="AC15" s="1065">
        <f t="shared" si="11"/>
        <v>0</v>
      </c>
      <c r="AD15" s="1065">
        <f t="shared" si="11"/>
        <v>0</v>
      </c>
      <c r="AE15" s="1065">
        <f t="shared" si="11"/>
        <v>0</v>
      </c>
      <c r="AF15" s="1065">
        <f t="shared" si="11"/>
        <v>0</v>
      </c>
      <c r="AG15" s="1065">
        <f t="shared" si="11"/>
        <v>0</v>
      </c>
      <c r="AH15" s="1065">
        <f t="shared" si="11"/>
        <v>0</v>
      </c>
      <c r="AI15" s="1065">
        <f t="shared" si="11"/>
        <v>0</v>
      </c>
      <c r="AJ15" s="1065">
        <f t="shared" si="11"/>
        <v>0</v>
      </c>
      <c r="AK15" s="1065">
        <f t="shared" si="11"/>
        <v>0</v>
      </c>
      <c r="AL15" s="1065">
        <f t="shared" si="11"/>
        <v>0</v>
      </c>
      <c r="AM15" s="1065">
        <f t="shared" si="11"/>
        <v>0</v>
      </c>
      <c r="AN15" s="1066">
        <f t="shared" si="11"/>
        <v>0</v>
      </c>
    </row>
    <row r="16" spans="1:40" ht="20" customHeight="1" x14ac:dyDescent="0.15">
      <c r="A16" s="171"/>
      <c r="B16" s="183"/>
      <c r="C16" s="690" t="s">
        <v>134</v>
      </c>
      <c r="D16" s="605">
        <f>$D$15/8</f>
        <v>7500000</v>
      </c>
      <c r="E16" s="1084">
        <f>SUM(J16:AN16)</f>
        <v>0</v>
      </c>
      <c r="F16" s="610">
        <f t="shared" si="4"/>
        <v>7500000</v>
      </c>
      <c r="G16" s="1292"/>
      <c r="H16" s="682"/>
      <c r="I16" s="683">
        <f ca="1">SUMIF($J$5:$AN$5,TODAY(),J16:AN16)</f>
        <v>0</v>
      </c>
      <c r="J16" s="1041">
        <v>0</v>
      </c>
      <c r="K16" s="1041">
        <v>0</v>
      </c>
      <c r="L16" s="1041">
        <v>0</v>
      </c>
      <c r="M16" s="1041">
        <v>0</v>
      </c>
      <c r="N16" s="1041">
        <v>0</v>
      </c>
      <c r="O16" s="1041">
        <v>0</v>
      </c>
      <c r="P16" s="1041">
        <v>0</v>
      </c>
      <c r="Q16" s="1041">
        <v>0</v>
      </c>
      <c r="R16" s="1041">
        <v>0</v>
      </c>
      <c r="S16" s="1041">
        <v>0</v>
      </c>
      <c r="T16" s="1041">
        <v>0</v>
      </c>
      <c r="U16" s="1041">
        <v>0</v>
      </c>
      <c r="V16" s="1041">
        <v>0</v>
      </c>
      <c r="W16" s="1041">
        <v>0</v>
      </c>
      <c r="X16" s="1041">
        <v>0</v>
      </c>
      <c r="Y16" s="1041">
        <v>0</v>
      </c>
      <c r="Z16" s="1041">
        <v>0</v>
      </c>
      <c r="AA16" s="1041">
        <v>0</v>
      </c>
      <c r="AB16" s="1041">
        <v>0</v>
      </c>
      <c r="AC16" s="1041">
        <v>0</v>
      </c>
      <c r="AD16" s="1041">
        <v>0</v>
      </c>
      <c r="AE16" s="1041">
        <v>0</v>
      </c>
      <c r="AF16" s="1041">
        <v>0</v>
      </c>
      <c r="AG16" s="1041">
        <v>0</v>
      </c>
      <c r="AH16" s="1041">
        <v>0</v>
      </c>
      <c r="AI16" s="1041">
        <v>0</v>
      </c>
      <c r="AJ16" s="1041">
        <v>0</v>
      </c>
      <c r="AK16" s="1041">
        <v>0</v>
      </c>
      <c r="AL16" s="1041">
        <v>0</v>
      </c>
      <c r="AM16" s="1041">
        <v>0</v>
      </c>
      <c r="AN16" s="1067">
        <v>0</v>
      </c>
    </row>
    <row r="17" spans="1:40" ht="20" customHeight="1" x14ac:dyDescent="0.15">
      <c r="A17" s="171"/>
      <c r="B17" s="183"/>
      <c r="C17" s="690" t="s">
        <v>135</v>
      </c>
      <c r="D17" s="605">
        <f t="shared" ref="D17:D20" si="12">$D$15/8</f>
        <v>7500000</v>
      </c>
      <c r="E17" s="1084">
        <f t="shared" ref="E17:E20" si="13">SUM(J17:AN17)</f>
        <v>0</v>
      </c>
      <c r="F17" s="610">
        <f t="shared" ref="F17:F20" si="14">D17-E17</f>
        <v>7500000</v>
      </c>
      <c r="G17" s="1292"/>
      <c r="H17" s="682"/>
      <c r="I17" s="683">
        <f t="shared" ref="I17:I20" ca="1" si="15">SUMIF($J$5:$AN$5,TODAY(),J17:AN17)</f>
        <v>0</v>
      </c>
      <c r="J17" s="1041">
        <v>0</v>
      </c>
      <c r="K17" s="1041">
        <v>0</v>
      </c>
      <c r="L17" s="1041">
        <v>0</v>
      </c>
      <c r="M17" s="1041">
        <v>0</v>
      </c>
      <c r="N17" s="1041">
        <v>0</v>
      </c>
      <c r="O17" s="1041">
        <v>0</v>
      </c>
      <c r="P17" s="1041">
        <v>0</v>
      </c>
      <c r="Q17" s="1041">
        <v>0</v>
      </c>
      <c r="R17" s="1041">
        <v>0</v>
      </c>
      <c r="S17" s="1041">
        <v>0</v>
      </c>
      <c r="T17" s="1041">
        <v>0</v>
      </c>
      <c r="U17" s="1041">
        <v>0</v>
      </c>
      <c r="V17" s="1041">
        <v>0</v>
      </c>
      <c r="W17" s="1041">
        <v>0</v>
      </c>
      <c r="X17" s="1041">
        <v>0</v>
      </c>
      <c r="Y17" s="1041">
        <v>0</v>
      </c>
      <c r="Z17" s="1041">
        <v>0</v>
      </c>
      <c r="AA17" s="1041">
        <v>0</v>
      </c>
      <c r="AB17" s="1041">
        <v>0</v>
      </c>
      <c r="AC17" s="1041">
        <v>0</v>
      </c>
      <c r="AD17" s="1041">
        <v>0</v>
      </c>
      <c r="AE17" s="1041">
        <v>0</v>
      </c>
      <c r="AF17" s="1041">
        <v>0</v>
      </c>
      <c r="AG17" s="1041">
        <v>0</v>
      </c>
      <c r="AH17" s="1041">
        <v>0</v>
      </c>
      <c r="AI17" s="1041">
        <v>0</v>
      </c>
      <c r="AJ17" s="1041">
        <v>0</v>
      </c>
      <c r="AK17" s="1041">
        <v>0</v>
      </c>
      <c r="AL17" s="1041">
        <v>0</v>
      </c>
      <c r="AM17" s="1041">
        <v>0</v>
      </c>
      <c r="AN17" s="1067">
        <v>0</v>
      </c>
    </row>
    <row r="18" spans="1:40" ht="20" customHeight="1" x14ac:dyDescent="0.15">
      <c r="A18" s="171"/>
      <c r="B18" s="183"/>
      <c r="C18" s="691" t="s">
        <v>136</v>
      </c>
      <c r="D18" s="605">
        <f t="shared" si="12"/>
        <v>7500000</v>
      </c>
      <c r="E18" s="1084">
        <f t="shared" si="13"/>
        <v>0</v>
      </c>
      <c r="F18" s="610">
        <f t="shared" si="14"/>
        <v>7500000</v>
      </c>
      <c r="G18" s="1292"/>
      <c r="H18" s="682"/>
      <c r="I18" s="683">
        <f t="shared" ca="1" si="15"/>
        <v>0</v>
      </c>
      <c r="J18" s="1041">
        <v>0</v>
      </c>
      <c r="K18" s="1041">
        <v>0</v>
      </c>
      <c r="L18" s="1041">
        <v>0</v>
      </c>
      <c r="M18" s="1041">
        <v>0</v>
      </c>
      <c r="N18" s="1041">
        <v>0</v>
      </c>
      <c r="O18" s="1041">
        <v>0</v>
      </c>
      <c r="P18" s="1041">
        <v>0</v>
      </c>
      <c r="Q18" s="1041">
        <v>0</v>
      </c>
      <c r="R18" s="1041">
        <v>0</v>
      </c>
      <c r="S18" s="1041">
        <v>0</v>
      </c>
      <c r="T18" s="1041">
        <v>0</v>
      </c>
      <c r="U18" s="1041">
        <v>0</v>
      </c>
      <c r="V18" s="1041">
        <v>0</v>
      </c>
      <c r="W18" s="1041">
        <v>0</v>
      </c>
      <c r="X18" s="1041">
        <v>0</v>
      </c>
      <c r="Y18" s="1041">
        <v>0</v>
      </c>
      <c r="Z18" s="1041">
        <v>0</v>
      </c>
      <c r="AA18" s="1041">
        <v>0</v>
      </c>
      <c r="AB18" s="1041">
        <v>0</v>
      </c>
      <c r="AC18" s="1041">
        <v>0</v>
      </c>
      <c r="AD18" s="1041">
        <v>0</v>
      </c>
      <c r="AE18" s="1041">
        <v>0</v>
      </c>
      <c r="AF18" s="1041">
        <v>0</v>
      </c>
      <c r="AG18" s="1041">
        <v>0</v>
      </c>
      <c r="AH18" s="1041">
        <v>0</v>
      </c>
      <c r="AI18" s="1041">
        <v>0</v>
      </c>
      <c r="AJ18" s="1041">
        <v>0</v>
      </c>
      <c r="AK18" s="1041">
        <v>0</v>
      </c>
      <c r="AL18" s="1041">
        <v>0</v>
      </c>
      <c r="AM18" s="1041">
        <v>0</v>
      </c>
      <c r="AN18" s="1067">
        <v>0</v>
      </c>
    </row>
    <row r="19" spans="1:40" ht="20" customHeight="1" x14ac:dyDescent="0.15">
      <c r="A19" s="171"/>
      <c r="B19" s="183"/>
      <c r="C19" s="691" t="s">
        <v>137</v>
      </c>
      <c r="D19" s="605">
        <f t="shared" si="12"/>
        <v>7500000</v>
      </c>
      <c r="E19" s="1084">
        <f t="shared" si="13"/>
        <v>0</v>
      </c>
      <c r="F19" s="610">
        <f t="shared" si="14"/>
        <v>7500000</v>
      </c>
      <c r="G19" s="1292"/>
      <c r="H19" s="682"/>
      <c r="I19" s="683">
        <f t="shared" ca="1" si="15"/>
        <v>0</v>
      </c>
      <c r="J19" s="1041">
        <v>0</v>
      </c>
      <c r="K19" s="1041">
        <v>0</v>
      </c>
      <c r="L19" s="1041">
        <v>0</v>
      </c>
      <c r="M19" s="1041">
        <v>0</v>
      </c>
      <c r="N19" s="1041">
        <v>0</v>
      </c>
      <c r="O19" s="1041">
        <v>0</v>
      </c>
      <c r="P19" s="1041">
        <v>0</v>
      </c>
      <c r="Q19" s="1041">
        <v>0</v>
      </c>
      <c r="R19" s="1041">
        <v>0</v>
      </c>
      <c r="S19" s="1041">
        <v>0</v>
      </c>
      <c r="T19" s="1041">
        <v>0</v>
      </c>
      <c r="U19" s="1041">
        <v>0</v>
      </c>
      <c r="V19" s="1041">
        <v>0</v>
      </c>
      <c r="W19" s="1041">
        <v>0</v>
      </c>
      <c r="X19" s="1041">
        <v>0</v>
      </c>
      <c r="Y19" s="1041">
        <v>0</v>
      </c>
      <c r="Z19" s="1041">
        <v>0</v>
      </c>
      <c r="AA19" s="1041">
        <v>0</v>
      </c>
      <c r="AB19" s="1041">
        <v>0</v>
      </c>
      <c r="AC19" s="1041">
        <v>0</v>
      </c>
      <c r="AD19" s="1041">
        <v>0</v>
      </c>
      <c r="AE19" s="1041">
        <v>0</v>
      </c>
      <c r="AF19" s="1041">
        <v>0</v>
      </c>
      <c r="AG19" s="1041">
        <v>0</v>
      </c>
      <c r="AH19" s="1041">
        <v>0</v>
      </c>
      <c r="AI19" s="1041">
        <v>0</v>
      </c>
      <c r="AJ19" s="1041">
        <v>0</v>
      </c>
      <c r="AK19" s="1041">
        <v>0</v>
      </c>
      <c r="AL19" s="1041">
        <v>0</v>
      </c>
      <c r="AM19" s="1041">
        <v>0</v>
      </c>
      <c r="AN19" s="1067">
        <v>0</v>
      </c>
    </row>
    <row r="20" spans="1:40" ht="20" customHeight="1" x14ac:dyDescent="0.15">
      <c r="A20" s="171"/>
      <c r="B20" s="183"/>
      <c r="C20" s="691" t="s">
        <v>138</v>
      </c>
      <c r="D20" s="605">
        <f t="shared" si="12"/>
        <v>7500000</v>
      </c>
      <c r="E20" s="1084">
        <f t="shared" si="13"/>
        <v>0</v>
      </c>
      <c r="F20" s="610">
        <f t="shared" si="14"/>
        <v>7500000</v>
      </c>
      <c r="G20" s="1292"/>
      <c r="H20" s="682"/>
      <c r="I20" s="683">
        <f t="shared" ca="1" si="15"/>
        <v>0</v>
      </c>
      <c r="J20" s="1041">
        <v>0</v>
      </c>
      <c r="K20" s="1041">
        <v>0</v>
      </c>
      <c r="L20" s="1041">
        <v>0</v>
      </c>
      <c r="M20" s="1041">
        <v>0</v>
      </c>
      <c r="N20" s="1041">
        <v>0</v>
      </c>
      <c r="O20" s="1041">
        <v>0</v>
      </c>
      <c r="P20" s="1041">
        <v>0</v>
      </c>
      <c r="Q20" s="1041">
        <v>0</v>
      </c>
      <c r="R20" s="1041">
        <v>0</v>
      </c>
      <c r="S20" s="1041">
        <v>0</v>
      </c>
      <c r="T20" s="1041">
        <v>0</v>
      </c>
      <c r="U20" s="1041">
        <v>0</v>
      </c>
      <c r="V20" s="1041">
        <v>0</v>
      </c>
      <c r="W20" s="1041">
        <v>0</v>
      </c>
      <c r="X20" s="1041">
        <v>0</v>
      </c>
      <c r="Y20" s="1041">
        <v>0</v>
      </c>
      <c r="Z20" s="1041">
        <v>0</v>
      </c>
      <c r="AA20" s="1041">
        <v>0</v>
      </c>
      <c r="AB20" s="1041">
        <v>0</v>
      </c>
      <c r="AC20" s="1041">
        <v>0</v>
      </c>
      <c r="AD20" s="1041">
        <v>0</v>
      </c>
      <c r="AE20" s="1041">
        <v>0</v>
      </c>
      <c r="AF20" s="1041">
        <v>0</v>
      </c>
      <c r="AG20" s="1041">
        <v>0</v>
      </c>
      <c r="AH20" s="1041">
        <v>0</v>
      </c>
      <c r="AI20" s="1041">
        <v>0</v>
      </c>
      <c r="AJ20" s="1041">
        <v>0</v>
      </c>
      <c r="AK20" s="1041">
        <v>0</v>
      </c>
      <c r="AL20" s="1041">
        <v>0</v>
      </c>
      <c r="AM20" s="1041">
        <v>0</v>
      </c>
      <c r="AN20" s="1067">
        <v>0</v>
      </c>
    </row>
    <row r="21" spans="1:40" ht="20" customHeight="1" x14ac:dyDescent="0.15">
      <c r="A21" s="9"/>
      <c r="B21" s="184"/>
      <c r="C21" s="736" t="str">
        <f>Dashboard!B18</f>
        <v>WEBSITE</v>
      </c>
      <c r="D21" s="737">
        <f>Dashboard!E18*Dashboard!$P$9</f>
        <v>10000000</v>
      </c>
      <c r="E21" s="738">
        <f>SUM(E22:E23)</f>
        <v>0</v>
      </c>
      <c r="F21" s="739">
        <f>D21-E21</f>
        <v>10000000</v>
      </c>
      <c r="G21" s="1259">
        <f>_xlfn.IFS(F21&gt;0,1,F21&lt;=0,D21/E21)</f>
        <v>1</v>
      </c>
      <c r="H21" s="740">
        <f>D21/'Action Plan'!$C$6</f>
        <v>384615.38461538462</v>
      </c>
      <c r="I21" s="738">
        <f ca="1">SUM(I22:I23)</f>
        <v>0</v>
      </c>
      <c r="J21" s="1065">
        <f>SUM(J22:J23)</f>
        <v>0</v>
      </c>
      <c r="K21" s="1065">
        <f>SUM(K22:K23)</f>
        <v>0</v>
      </c>
      <c r="L21" s="1065">
        <f t="shared" ref="L21:AN21" si="16">SUM(L22:L23)</f>
        <v>0</v>
      </c>
      <c r="M21" s="1065">
        <f t="shared" si="16"/>
        <v>0</v>
      </c>
      <c r="N21" s="1065">
        <f t="shared" si="16"/>
        <v>0</v>
      </c>
      <c r="O21" s="1065">
        <f t="shared" si="16"/>
        <v>0</v>
      </c>
      <c r="P21" s="1065">
        <f t="shared" si="16"/>
        <v>0</v>
      </c>
      <c r="Q21" s="1065">
        <f t="shared" si="16"/>
        <v>0</v>
      </c>
      <c r="R21" s="1065">
        <f t="shared" si="16"/>
        <v>0</v>
      </c>
      <c r="S21" s="1065">
        <f t="shared" si="16"/>
        <v>0</v>
      </c>
      <c r="T21" s="1065">
        <f t="shared" si="16"/>
        <v>0</v>
      </c>
      <c r="U21" s="1065">
        <f t="shared" si="16"/>
        <v>0</v>
      </c>
      <c r="V21" s="1065">
        <f t="shared" si="16"/>
        <v>0</v>
      </c>
      <c r="W21" s="1065">
        <f t="shared" si="16"/>
        <v>0</v>
      </c>
      <c r="X21" s="1065">
        <f t="shared" si="16"/>
        <v>0</v>
      </c>
      <c r="Y21" s="1065">
        <f t="shared" si="16"/>
        <v>0</v>
      </c>
      <c r="Z21" s="1065">
        <f t="shared" si="16"/>
        <v>0</v>
      </c>
      <c r="AA21" s="1065">
        <f t="shared" si="16"/>
        <v>0</v>
      </c>
      <c r="AB21" s="1065">
        <f t="shared" si="16"/>
        <v>0</v>
      </c>
      <c r="AC21" s="1065">
        <f t="shared" si="16"/>
        <v>0</v>
      </c>
      <c r="AD21" s="1065">
        <f t="shared" si="16"/>
        <v>0</v>
      </c>
      <c r="AE21" s="1065">
        <f t="shared" si="16"/>
        <v>0</v>
      </c>
      <c r="AF21" s="1065">
        <f t="shared" si="16"/>
        <v>0</v>
      </c>
      <c r="AG21" s="1065">
        <f t="shared" si="16"/>
        <v>0</v>
      </c>
      <c r="AH21" s="1065">
        <f t="shared" si="16"/>
        <v>0</v>
      </c>
      <c r="AI21" s="1065">
        <f t="shared" si="16"/>
        <v>0</v>
      </c>
      <c r="AJ21" s="1065">
        <f t="shared" si="16"/>
        <v>0</v>
      </c>
      <c r="AK21" s="1065">
        <f t="shared" si="16"/>
        <v>0</v>
      </c>
      <c r="AL21" s="1065">
        <f t="shared" si="16"/>
        <v>0</v>
      </c>
      <c r="AM21" s="1065">
        <f t="shared" si="16"/>
        <v>0</v>
      </c>
      <c r="AN21" s="1066">
        <f t="shared" si="16"/>
        <v>0</v>
      </c>
    </row>
    <row r="22" spans="1:40" ht="20" customHeight="1" x14ac:dyDescent="0.15">
      <c r="A22" s="171"/>
      <c r="B22" s="183"/>
      <c r="C22" s="690" t="s">
        <v>132</v>
      </c>
      <c r="D22" s="605">
        <f>$D$21/6</f>
        <v>1666666.6666666667</v>
      </c>
      <c r="E22" s="1084">
        <f>SUM(J22:AN22)</f>
        <v>0</v>
      </c>
      <c r="F22" s="610">
        <f>D22-E22</f>
        <v>1666666.6666666667</v>
      </c>
      <c r="G22" s="1260"/>
      <c r="H22" s="610">
        <f>D22/'Action Plan'!$C$6</f>
        <v>64102.564102564109</v>
      </c>
      <c r="I22" s="683">
        <f ca="1">SUMIF($J$5:$AN$5,TODAY(),J22:AN22)</f>
        <v>0</v>
      </c>
      <c r="J22" s="1041">
        <v>0</v>
      </c>
      <c r="K22" s="1041">
        <v>0</v>
      </c>
      <c r="L22" s="1041">
        <v>0</v>
      </c>
      <c r="M22" s="1041">
        <v>0</v>
      </c>
      <c r="N22" s="1041">
        <v>0</v>
      </c>
      <c r="O22" s="1041">
        <v>0</v>
      </c>
      <c r="P22" s="1041">
        <v>0</v>
      </c>
      <c r="Q22" s="1041">
        <v>0</v>
      </c>
      <c r="R22" s="1041">
        <v>0</v>
      </c>
      <c r="S22" s="1041">
        <v>0</v>
      </c>
      <c r="T22" s="1041">
        <v>0</v>
      </c>
      <c r="U22" s="1041">
        <v>0</v>
      </c>
      <c r="V22" s="1041">
        <v>0</v>
      </c>
      <c r="W22" s="1041">
        <v>0</v>
      </c>
      <c r="X22" s="1041">
        <v>0</v>
      </c>
      <c r="Y22" s="1041">
        <v>0</v>
      </c>
      <c r="Z22" s="1041">
        <v>0</v>
      </c>
      <c r="AA22" s="1041">
        <v>0</v>
      </c>
      <c r="AB22" s="1041">
        <v>0</v>
      </c>
      <c r="AC22" s="1041">
        <v>0</v>
      </c>
      <c r="AD22" s="1041">
        <v>0</v>
      </c>
      <c r="AE22" s="1041">
        <v>0</v>
      </c>
      <c r="AF22" s="1041">
        <v>0</v>
      </c>
      <c r="AG22" s="1041">
        <v>0</v>
      </c>
      <c r="AH22" s="1041">
        <v>0</v>
      </c>
      <c r="AI22" s="1041">
        <v>0</v>
      </c>
      <c r="AJ22" s="1041">
        <v>0</v>
      </c>
      <c r="AK22" s="1041">
        <v>0</v>
      </c>
      <c r="AL22" s="1041">
        <v>0</v>
      </c>
      <c r="AM22" s="1041">
        <v>0</v>
      </c>
      <c r="AN22" s="1067">
        <v>0</v>
      </c>
    </row>
    <row r="23" spans="1:40" ht="20" customHeight="1" x14ac:dyDescent="0.15">
      <c r="A23" s="171"/>
      <c r="B23" s="183"/>
      <c r="C23" s="690" t="s">
        <v>133</v>
      </c>
      <c r="D23" s="605">
        <f>$D$21/6</f>
        <v>1666666.6666666667</v>
      </c>
      <c r="E23" s="1084">
        <f>SUM(J23:AN23)</f>
        <v>0</v>
      </c>
      <c r="F23" s="610">
        <f>D23-E23</f>
        <v>1666666.6666666667</v>
      </c>
      <c r="G23" s="1260"/>
      <c r="H23" s="610">
        <f>D23/'Action Plan'!$C$6</f>
        <v>64102.564102564109</v>
      </c>
      <c r="I23" s="683">
        <f ca="1">SUMIF($J$5:$AN$5,TODAY(),J23:AN23)</f>
        <v>0</v>
      </c>
      <c r="J23" s="1041">
        <v>0</v>
      </c>
      <c r="K23" s="1041">
        <v>0</v>
      </c>
      <c r="L23" s="1041">
        <v>0</v>
      </c>
      <c r="M23" s="1041">
        <v>0</v>
      </c>
      <c r="N23" s="1041">
        <v>0</v>
      </c>
      <c r="O23" s="1041">
        <v>0</v>
      </c>
      <c r="P23" s="1041">
        <v>0</v>
      </c>
      <c r="Q23" s="1041">
        <v>0</v>
      </c>
      <c r="R23" s="1041">
        <v>0</v>
      </c>
      <c r="S23" s="1041">
        <v>0</v>
      </c>
      <c r="T23" s="1041">
        <v>0</v>
      </c>
      <c r="U23" s="1041">
        <v>0</v>
      </c>
      <c r="V23" s="1041">
        <v>0</v>
      </c>
      <c r="W23" s="1041">
        <v>0</v>
      </c>
      <c r="X23" s="1041">
        <v>0</v>
      </c>
      <c r="Y23" s="1041">
        <v>0</v>
      </c>
      <c r="Z23" s="1041">
        <v>0</v>
      </c>
      <c r="AA23" s="1041">
        <v>0</v>
      </c>
      <c r="AB23" s="1041">
        <v>0</v>
      </c>
      <c r="AC23" s="1041">
        <v>0</v>
      </c>
      <c r="AD23" s="1041">
        <v>0</v>
      </c>
      <c r="AE23" s="1041">
        <v>0</v>
      </c>
      <c r="AF23" s="1041">
        <v>0</v>
      </c>
      <c r="AG23" s="1041">
        <v>0</v>
      </c>
      <c r="AH23" s="1041">
        <v>0</v>
      </c>
      <c r="AI23" s="1041">
        <v>0</v>
      </c>
      <c r="AJ23" s="1041">
        <v>0</v>
      </c>
      <c r="AK23" s="1041">
        <v>0</v>
      </c>
      <c r="AL23" s="1041">
        <v>0</v>
      </c>
      <c r="AM23" s="1041">
        <v>0</v>
      </c>
      <c r="AN23" s="1067">
        <v>0</v>
      </c>
    </row>
    <row r="24" spans="1:40" ht="20" customHeight="1" x14ac:dyDescent="0.15">
      <c r="A24" s="9"/>
      <c r="B24" s="184"/>
      <c r="C24" s="736" t="str">
        <f>Dashboard!B19</f>
        <v>TIKTOK SHOP</v>
      </c>
      <c r="D24" s="737">
        <f>Dashboard!E19*Dashboard!$P$9</f>
        <v>20000000</v>
      </c>
      <c r="E24" s="738">
        <f t="shared" ref="E24:E27" si="17">SUM(J24:AN24)</f>
        <v>6100000</v>
      </c>
      <c r="F24" s="739">
        <f>D24-E24</f>
        <v>13900000</v>
      </c>
      <c r="G24" s="1259">
        <f>_xlfn.IFS(F24&gt;0,1,F24&lt;=0,D24/E24)</f>
        <v>1</v>
      </c>
      <c r="H24" s="740">
        <f>D24/'Action Plan'!$C$6</f>
        <v>769230.76923076925</v>
      </c>
      <c r="I24" s="741">
        <f t="shared" ref="I24:I28" ca="1" si="18">SUMIF($J$5:$AN$5,TODAY(),J24:AN24)</f>
        <v>0</v>
      </c>
      <c r="J24" s="1065">
        <v>200000</v>
      </c>
      <c r="K24" s="1065">
        <v>200000</v>
      </c>
      <c r="L24" s="1065">
        <v>200000</v>
      </c>
      <c r="M24" s="1065">
        <v>200000</v>
      </c>
      <c r="N24" s="1065">
        <v>200000</v>
      </c>
      <c r="O24" s="1065">
        <v>200000</v>
      </c>
      <c r="P24" s="1065">
        <v>200000</v>
      </c>
      <c r="Q24" s="1065">
        <v>200000</v>
      </c>
      <c r="R24" s="1065">
        <v>200000</v>
      </c>
      <c r="S24" s="1065">
        <v>200000</v>
      </c>
      <c r="T24" s="1065">
        <v>200000</v>
      </c>
      <c r="U24" s="1065">
        <v>200000</v>
      </c>
      <c r="V24" s="1065">
        <v>200000</v>
      </c>
      <c r="W24" s="1065">
        <v>200000</v>
      </c>
      <c r="X24" s="1065">
        <v>200000</v>
      </c>
      <c r="Y24" s="1065">
        <v>200000</v>
      </c>
      <c r="Z24" s="1065">
        <v>200000</v>
      </c>
      <c r="AA24" s="1065">
        <v>200000</v>
      </c>
      <c r="AB24" s="1065">
        <v>200000</v>
      </c>
      <c r="AC24" s="1065">
        <v>200000</v>
      </c>
      <c r="AD24" s="1065">
        <v>200000</v>
      </c>
      <c r="AE24" s="1065">
        <v>200000</v>
      </c>
      <c r="AF24" s="1065">
        <v>200000</v>
      </c>
      <c r="AG24" s="1065">
        <v>200000</v>
      </c>
      <c r="AH24" s="1065">
        <v>200000</v>
      </c>
      <c r="AI24" s="1065">
        <v>200000</v>
      </c>
      <c r="AJ24" s="1065">
        <v>200000</v>
      </c>
      <c r="AK24" s="1065">
        <v>200000</v>
      </c>
      <c r="AL24" s="1065">
        <v>200000</v>
      </c>
      <c r="AM24" s="1065">
        <v>200000</v>
      </c>
      <c r="AN24" s="1100">
        <v>100000</v>
      </c>
    </row>
    <row r="25" spans="1:40" ht="20" customHeight="1" x14ac:dyDescent="0.15">
      <c r="A25" s="9"/>
      <c r="B25" s="184"/>
      <c r="C25" s="742" t="str">
        <f>Dashboard!B20</f>
        <v>SHOPEE</v>
      </c>
      <c r="D25" s="737">
        <f>Dashboard!E20*Dashboard!$P$8</f>
        <v>10000000</v>
      </c>
      <c r="E25" s="738">
        <f t="shared" si="17"/>
        <v>6100000</v>
      </c>
      <c r="F25" s="739">
        <f t="shared" ref="F25:F27" si="19">D25-E25</f>
        <v>3900000</v>
      </c>
      <c r="G25" s="1259">
        <f>_xlfn.IFS(F25&gt;0,1,F25&lt;=0,D25/E25)</f>
        <v>1</v>
      </c>
      <c r="H25" s="740">
        <f>D25/'Action Plan'!$C$6</f>
        <v>384615.38461538462</v>
      </c>
      <c r="I25" s="741">
        <f t="shared" ca="1" si="18"/>
        <v>0</v>
      </c>
      <c r="J25" s="1065">
        <v>200000</v>
      </c>
      <c r="K25" s="1065">
        <v>200000</v>
      </c>
      <c r="L25" s="1065">
        <v>200000</v>
      </c>
      <c r="M25" s="1065">
        <v>200000</v>
      </c>
      <c r="N25" s="1065">
        <v>200000</v>
      </c>
      <c r="O25" s="1065">
        <v>200000</v>
      </c>
      <c r="P25" s="1065">
        <v>200000</v>
      </c>
      <c r="Q25" s="1065">
        <v>200000</v>
      </c>
      <c r="R25" s="1065">
        <v>200000</v>
      </c>
      <c r="S25" s="1065">
        <v>200000</v>
      </c>
      <c r="T25" s="1065">
        <v>200000</v>
      </c>
      <c r="U25" s="1065">
        <v>200000</v>
      </c>
      <c r="V25" s="1065">
        <v>200000</v>
      </c>
      <c r="W25" s="1065">
        <v>200000</v>
      </c>
      <c r="X25" s="1065">
        <v>200000</v>
      </c>
      <c r="Y25" s="1065">
        <v>200000</v>
      </c>
      <c r="Z25" s="1065">
        <v>200000</v>
      </c>
      <c r="AA25" s="1065">
        <v>200000</v>
      </c>
      <c r="AB25" s="1065">
        <v>200000</v>
      </c>
      <c r="AC25" s="1065">
        <v>200000</v>
      </c>
      <c r="AD25" s="1065">
        <v>200000</v>
      </c>
      <c r="AE25" s="1065">
        <v>200000</v>
      </c>
      <c r="AF25" s="1065">
        <v>200000</v>
      </c>
      <c r="AG25" s="1065">
        <v>200000</v>
      </c>
      <c r="AH25" s="1065">
        <v>200000</v>
      </c>
      <c r="AI25" s="1065">
        <v>200000</v>
      </c>
      <c r="AJ25" s="1065">
        <v>200000</v>
      </c>
      <c r="AK25" s="1065">
        <v>200000</v>
      </c>
      <c r="AL25" s="1065">
        <v>200000</v>
      </c>
      <c r="AM25" s="1065">
        <v>200000</v>
      </c>
      <c r="AN25" s="1100">
        <v>100000</v>
      </c>
    </row>
    <row r="26" spans="1:40" ht="20" customHeight="1" x14ac:dyDescent="0.15">
      <c r="A26" s="9"/>
      <c r="B26" s="184"/>
      <c r="C26" s="742" t="str">
        <f>Dashboard!B21</f>
        <v>ZALO</v>
      </c>
      <c r="D26" s="737">
        <f>Dashboard!E21*Dashboard!$P$9</f>
        <v>40000000</v>
      </c>
      <c r="E26" s="738">
        <f t="shared" si="17"/>
        <v>100000</v>
      </c>
      <c r="F26" s="739">
        <f t="shared" si="19"/>
        <v>39900000</v>
      </c>
      <c r="G26" s="1259">
        <f>_xlfn.IFS(F26&gt;0,1,F26&lt;=0,D26/E26)</f>
        <v>1</v>
      </c>
      <c r="H26" s="740">
        <f>D26/'Action Plan'!$C$6</f>
        <v>1538461.5384615385</v>
      </c>
      <c r="I26" s="741">
        <f t="shared" ca="1" si="18"/>
        <v>0</v>
      </c>
      <c r="J26" s="1065">
        <v>0</v>
      </c>
      <c r="K26" s="1065">
        <v>0</v>
      </c>
      <c r="L26" s="1065">
        <v>0</v>
      </c>
      <c r="M26" s="1065">
        <v>0</v>
      </c>
      <c r="N26" s="1065">
        <v>0</v>
      </c>
      <c r="O26" s="1065">
        <v>0</v>
      </c>
      <c r="P26" s="1065">
        <v>0</v>
      </c>
      <c r="Q26" s="1065">
        <v>0</v>
      </c>
      <c r="R26" s="1065">
        <v>0</v>
      </c>
      <c r="S26" s="1065">
        <v>0</v>
      </c>
      <c r="T26" s="1065">
        <v>0</v>
      </c>
      <c r="U26" s="1065">
        <v>0</v>
      </c>
      <c r="V26" s="1065">
        <v>0</v>
      </c>
      <c r="W26" s="1065">
        <v>0</v>
      </c>
      <c r="X26" s="1065">
        <v>0</v>
      </c>
      <c r="Y26" s="1065">
        <v>0</v>
      </c>
      <c r="Z26" s="1065">
        <v>0</v>
      </c>
      <c r="AA26" s="1065">
        <v>0</v>
      </c>
      <c r="AB26" s="1065">
        <v>0</v>
      </c>
      <c r="AC26" s="1065">
        <v>0</v>
      </c>
      <c r="AD26" s="1065">
        <v>0</v>
      </c>
      <c r="AE26" s="1065">
        <v>0</v>
      </c>
      <c r="AF26" s="1065">
        <v>0</v>
      </c>
      <c r="AG26" s="1065">
        <v>0</v>
      </c>
      <c r="AH26" s="1065">
        <v>0</v>
      </c>
      <c r="AI26" s="1065">
        <v>0</v>
      </c>
      <c r="AJ26" s="1065">
        <v>0</v>
      </c>
      <c r="AK26" s="1065">
        <v>0</v>
      </c>
      <c r="AL26" s="1065">
        <v>0</v>
      </c>
      <c r="AM26" s="1065">
        <v>0</v>
      </c>
      <c r="AN26" s="1100">
        <v>100000</v>
      </c>
    </row>
    <row r="27" spans="1:40" ht="20" customHeight="1" x14ac:dyDescent="0.15">
      <c r="A27" s="9"/>
      <c r="B27" s="184"/>
      <c r="C27" s="743" t="str">
        <f>Dashboard!B22</f>
        <v>BOOKING</v>
      </c>
      <c r="D27" s="737">
        <f>Dashboard!E21*Dashboard!$P$9</f>
        <v>40000000</v>
      </c>
      <c r="E27" s="738">
        <f t="shared" si="17"/>
        <v>3000000</v>
      </c>
      <c r="F27" s="739">
        <f t="shared" si="19"/>
        <v>37000000</v>
      </c>
      <c r="G27" s="1259">
        <f>_xlfn.IFS(F27&gt;0,1,F27&lt;=0,D27/E27)</f>
        <v>1</v>
      </c>
      <c r="H27" s="740">
        <f>D27/'Action Plan'!$C$6</f>
        <v>1538461.5384615385</v>
      </c>
      <c r="I27" s="741">
        <f t="shared" ca="1" si="18"/>
        <v>0</v>
      </c>
      <c r="J27" s="1065">
        <v>100000</v>
      </c>
      <c r="K27" s="1065">
        <v>100000</v>
      </c>
      <c r="L27" s="1065">
        <v>100000</v>
      </c>
      <c r="M27" s="1065">
        <v>100000</v>
      </c>
      <c r="N27" s="1065">
        <v>100000</v>
      </c>
      <c r="O27" s="1065">
        <v>100000</v>
      </c>
      <c r="P27" s="1065">
        <v>100000</v>
      </c>
      <c r="Q27" s="1065">
        <v>100000</v>
      </c>
      <c r="R27" s="1065">
        <v>100000</v>
      </c>
      <c r="S27" s="1065">
        <v>100000</v>
      </c>
      <c r="T27" s="1065">
        <v>100000</v>
      </c>
      <c r="U27" s="1065">
        <v>100000</v>
      </c>
      <c r="V27" s="1065">
        <v>100000</v>
      </c>
      <c r="W27" s="1065">
        <v>100000</v>
      </c>
      <c r="X27" s="1065">
        <v>100000</v>
      </c>
      <c r="Y27" s="1065">
        <v>100000</v>
      </c>
      <c r="Z27" s="1065">
        <v>100000</v>
      </c>
      <c r="AA27" s="1065">
        <v>100000</v>
      </c>
      <c r="AB27" s="1065">
        <v>100000</v>
      </c>
      <c r="AC27" s="1065">
        <v>100000</v>
      </c>
      <c r="AD27" s="1065">
        <v>100000</v>
      </c>
      <c r="AE27" s="1065">
        <v>100000</v>
      </c>
      <c r="AF27" s="1065">
        <v>100000</v>
      </c>
      <c r="AG27" s="1065">
        <v>100000</v>
      </c>
      <c r="AH27" s="1065">
        <v>100000</v>
      </c>
      <c r="AI27" s="1065">
        <v>100000</v>
      </c>
      <c r="AJ27" s="1065">
        <v>100000</v>
      </c>
      <c r="AK27" s="1065">
        <v>100000</v>
      </c>
      <c r="AL27" s="1065">
        <v>100000</v>
      </c>
      <c r="AM27" s="1065">
        <v>100000</v>
      </c>
      <c r="AN27" s="1066">
        <v>0</v>
      </c>
    </row>
    <row r="28" spans="1:40" ht="20" customHeight="1" thickBot="1" x14ac:dyDescent="0.2">
      <c r="A28" s="9"/>
      <c r="B28" s="184"/>
      <c r="C28" s="744" t="str">
        <f>Dashboard!B23</f>
        <v>BRANDING</v>
      </c>
      <c r="D28" s="745">
        <f>Dashboard!E22*Dashboard!$P$9</f>
        <v>10000000</v>
      </c>
      <c r="E28" s="746">
        <f>SUM(J28:AN28)</f>
        <v>1500000</v>
      </c>
      <c r="F28" s="780">
        <f>D28-E28</f>
        <v>8500000</v>
      </c>
      <c r="G28" s="1261">
        <f>_xlfn.IFS(F28&gt;0,1,F28&lt;=0,D28/E28)</f>
        <v>1</v>
      </c>
      <c r="H28" s="748">
        <f>D28/'Action Plan'!$C$6</f>
        <v>384615.38461538462</v>
      </c>
      <c r="I28" s="749">
        <f t="shared" ca="1" si="18"/>
        <v>0</v>
      </c>
      <c r="J28" s="1080">
        <v>50000</v>
      </c>
      <c r="K28" s="1080">
        <v>50000</v>
      </c>
      <c r="L28" s="1080">
        <v>50000</v>
      </c>
      <c r="M28" s="1080">
        <v>50000</v>
      </c>
      <c r="N28" s="1080">
        <v>50000</v>
      </c>
      <c r="O28" s="1080">
        <v>50000</v>
      </c>
      <c r="P28" s="1080">
        <v>50000</v>
      </c>
      <c r="Q28" s="1080">
        <v>50000</v>
      </c>
      <c r="R28" s="1080">
        <v>50000</v>
      </c>
      <c r="S28" s="1080">
        <v>50000</v>
      </c>
      <c r="T28" s="1080">
        <v>50000</v>
      </c>
      <c r="U28" s="1080">
        <v>50000</v>
      </c>
      <c r="V28" s="1080">
        <v>50000</v>
      </c>
      <c r="W28" s="1080">
        <v>50000</v>
      </c>
      <c r="X28" s="1080">
        <v>50000</v>
      </c>
      <c r="Y28" s="1080">
        <v>50000</v>
      </c>
      <c r="Z28" s="1080">
        <v>50000</v>
      </c>
      <c r="AA28" s="1080">
        <v>50000</v>
      </c>
      <c r="AB28" s="1080">
        <v>50000</v>
      </c>
      <c r="AC28" s="1080">
        <v>50000</v>
      </c>
      <c r="AD28" s="1080">
        <v>50000</v>
      </c>
      <c r="AE28" s="1080">
        <v>50000</v>
      </c>
      <c r="AF28" s="1080">
        <v>50000</v>
      </c>
      <c r="AG28" s="1080">
        <v>50000</v>
      </c>
      <c r="AH28" s="1080">
        <v>50000</v>
      </c>
      <c r="AI28" s="1080">
        <v>50000</v>
      </c>
      <c r="AJ28" s="1080">
        <v>50000</v>
      </c>
      <c r="AK28" s="1080">
        <v>50000</v>
      </c>
      <c r="AL28" s="1080">
        <v>50000</v>
      </c>
      <c r="AM28" s="1080">
        <v>50000</v>
      </c>
      <c r="AN28" s="1247">
        <v>0</v>
      </c>
    </row>
    <row r="29" spans="1:40" ht="20" customHeight="1" x14ac:dyDescent="0.15">
      <c r="A29" s="10"/>
      <c r="B29" s="262"/>
      <c r="C29" s="728" t="str">
        <f>Dashboard!K52</f>
        <v>P2</v>
      </c>
      <c r="D29" s="758"/>
      <c r="E29" s="759"/>
      <c r="F29" s="760"/>
      <c r="G29" s="1293"/>
      <c r="H29" s="762"/>
      <c r="I29" s="763"/>
      <c r="J29" s="770"/>
      <c r="K29" s="770"/>
      <c r="L29" s="770"/>
      <c r="M29" s="770"/>
      <c r="N29" s="770"/>
      <c r="O29" s="770"/>
      <c r="P29" s="770"/>
      <c r="Q29" s="770"/>
      <c r="R29" s="770"/>
      <c r="S29" s="770"/>
      <c r="T29" s="770"/>
      <c r="U29" s="770"/>
      <c r="V29" s="770"/>
      <c r="W29" s="770"/>
      <c r="X29" s="770"/>
      <c r="Y29" s="770"/>
      <c r="Z29" s="770"/>
      <c r="AA29" s="770"/>
      <c r="AB29" s="770"/>
      <c r="AC29" s="770"/>
      <c r="AD29" s="770"/>
      <c r="AE29" s="770"/>
      <c r="AF29" s="770"/>
      <c r="AG29" s="770"/>
      <c r="AH29" s="770"/>
      <c r="AI29" s="770"/>
      <c r="AJ29" s="770"/>
      <c r="AK29" s="770"/>
      <c r="AL29" s="770"/>
      <c r="AM29" s="770"/>
      <c r="AN29" s="771"/>
    </row>
    <row r="30" spans="1:40" ht="20" customHeight="1" x14ac:dyDescent="0.15">
      <c r="A30" s="10"/>
      <c r="B30" s="262"/>
      <c r="C30" s="1044" t="s">
        <v>22</v>
      </c>
      <c r="D30" s="1045">
        <f>Dashboard!E53</f>
        <v>1680</v>
      </c>
      <c r="E30" s="1046">
        <f>Dashboard!F53</f>
        <v>1528</v>
      </c>
      <c r="F30" s="1047">
        <f>E30-D30</f>
        <v>-152</v>
      </c>
      <c r="G30" s="1257">
        <f>_xlfn.IFS(F30&gt;0,1,F30&lt;0,E30/D30,F30=0,0)</f>
        <v>0.90952380952380951</v>
      </c>
      <c r="H30" s="1048">
        <f>D30/'Action Plan'!$C$6</f>
        <v>64.615384615384613</v>
      </c>
      <c r="I30" s="1049">
        <f ca="1">SUMIF($J$5:$AN$5,TODAY(),J30:AN30)</f>
        <v>0</v>
      </c>
      <c r="J30" s="172">
        <f>J31</f>
        <v>13</v>
      </c>
      <c r="K30" s="172">
        <f>K31</f>
        <v>13</v>
      </c>
      <c r="L30" s="172">
        <f>L31</f>
        <v>13</v>
      </c>
      <c r="M30" s="172">
        <f t="shared" ref="M30:AN30" si="20">M31</f>
        <v>13</v>
      </c>
      <c r="N30" s="172">
        <f t="shared" si="20"/>
        <v>13</v>
      </c>
      <c r="O30" s="172">
        <f t="shared" si="20"/>
        <v>13</v>
      </c>
      <c r="P30" s="172">
        <f t="shared" si="20"/>
        <v>13</v>
      </c>
      <c r="Q30" s="172">
        <f t="shared" si="20"/>
        <v>13</v>
      </c>
      <c r="R30" s="172">
        <f t="shared" si="20"/>
        <v>13</v>
      </c>
      <c r="S30" s="172">
        <f t="shared" si="20"/>
        <v>13</v>
      </c>
      <c r="T30" s="172">
        <f t="shared" si="20"/>
        <v>13</v>
      </c>
      <c r="U30" s="172">
        <f t="shared" si="20"/>
        <v>13</v>
      </c>
      <c r="V30" s="172">
        <f t="shared" si="20"/>
        <v>13</v>
      </c>
      <c r="W30" s="172">
        <f t="shared" si="20"/>
        <v>13</v>
      </c>
      <c r="X30" s="172">
        <f t="shared" si="20"/>
        <v>13</v>
      </c>
      <c r="Y30" s="172">
        <f t="shared" si="20"/>
        <v>13</v>
      </c>
      <c r="Z30" s="172">
        <f t="shared" si="20"/>
        <v>13</v>
      </c>
      <c r="AA30" s="172">
        <f t="shared" si="20"/>
        <v>13</v>
      </c>
      <c r="AB30" s="172">
        <f t="shared" si="20"/>
        <v>13</v>
      </c>
      <c r="AC30" s="172">
        <f t="shared" si="20"/>
        <v>13</v>
      </c>
      <c r="AD30" s="172">
        <f t="shared" si="20"/>
        <v>13</v>
      </c>
      <c r="AE30" s="172">
        <f t="shared" si="20"/>
        <v>13</v>
      </c>
      <c r="AF30" s="172">
        <f t="shared" si="20"/>
        <v>13</v>
      </c>
      <c r="AG30" s="172">
        <f t="shared" si="20"/>
        <v>13</v>
      </c>
      <c r="AH30" s="172">
        <f t="shared" si="20"/>
        <v>13</v>
      </c>
      <c r="AI30" s="172">
        <f t="shared" si="20"/>
        <v>13</v>
      </c>
      <c r="AJ30" s="172">
        <f t="shared" si="20"/>
        <v>13</v>
      </c>
      <c r="AK30" s="172">
        <f t="shared" si="20"/>
        <v>13</v>
      </c>
      <c r="AL30" s="172">
        <f t="shared" si="20"/>
        <v>13</v>
      </c>
      <c r="AM30" s="172">
        <f t="shared" si="20"/>
        <v>13</v>
      </c>
      <c r="AN30" s="724">
        <f t="shared" si="20"/>
        <v>13</v>
      </c>
    </row>
    <row r="31" spans="1:40" ht="20" customHeight="1" x14ac:dyDescent="0.15">
      <c r="A31" s="9"/>
      <c r="B31" s="184"/>
      <c r="C31" s="750" t="str">
        <f>Dashboard!K53</f>
        <v>DATA</v>
      </c>
      <c r="D31" s="751">
        <f>Dashboard!U53</f>
        <v>572</v>
      </c>
      <c r="E31" s="752">
        <f>SUM(E32:E37)</f>
        <v>403</v>
      </c>
      <c r="F31" s="753">
        <f>E31-D31</f>
        <v>-169</v>
      </c>
      <c r="G31" s="1259">
        <f>_xlfn.IFS(F31&gt;0,1,F31&lt;0,E31/D31,F31=0,0)</f>
        <v>0.70454545454545459</v>
      </c>
      <c r="H31" s="754">
        <f>D31/'Action Plan'!$C$6</f>
        <v>22</v>
      </c>
      <c r="I31" s="755">
        <f ca="1">SUM(I32:I37)</f>
        <v>0</v>
      </c>
      <c r="J31" s="1069">
        <f>SUM(J32:J37)</f>
        <v>13</v>
      </c>
      <c r="K31" s="1069">
        <f>SUM(K32:K37)</f>
        <v>13</v>
      </c>
      <c r="L31" s="1069">
        <f t="shared" ref="L31:AN31" si="21">SUM(L32:L37)</f>
        <v>13</v>
      </c>
      <c r="M31" s="1069">
        <f t="shared" si="21"/>
        <v>13</v>
      </c>
      <c r="N31" s="1069">
        <f t="shared" si="21"/>
        <v>13</v>
      </c>
      <c r="O31" s="1069">
        <f t="shared" si="21"/>
        <v>13</v>
      </c>
      <c r="P31" s="1069">
        <f t="shared" si="21"/>
        <v>13</v>
      </c>
      <c r="Q31" s="1069">
        <f t="shared" si="21"/>
        <v>13</v>
      </c>
      <c r="R31" s="1069">
        <f t="shared" si="21"/>
        <v>13</v>
      </c>
      <c r="S31" s="1069">
        <f t="shared" si="21"/>
        <v>13</v>
      </c>
      <c r="T31" s="1069">
        <f t="shared" si="21"/>
        <v>13</v>
      </c>
      <c r="U31" s="1069">
        <f t="shared" si="21"/>
        <v>13</v>
      </c>
      <c r="V31" s="1069">
        <f t="shared" si="21"/>
        <v>13</v>
      </c>
      <c r="W31" s="1069">
        <f t="shared" si="21"/>
        <v>13</v>
      </c>
      <c r="X31" s="1069">
        <f t="shared" si="21"/>
        <v>13</v>
      </c>
      <c r="Y31" s="1069">
        <f t="shared" si="21"/>
        <v>13</v>
      </c>
      <c r="Z31" s="1069">
        <f t="shared" si="21"/>
        <v>13</v>
      </c>
      <c r="AA31" s="1069">
        <f t="shared" si="21"/>
        <v>13</v>
      </c>
      <c r="AB31" s="1069">
        <f t="shared" si="21"/>
        <v>13</v>
      </c>
      <c r="AC31" s="1069">
        <f t="shared" si="21"/>
        <v>13</v>
      </c>
      <c r="AD31" s="1069">
        <f t="shared" si="21"/>
        <v>13</v>
      </c>
      <c r="AE31" s="1069">
        <f t="shared" si="21"/>
        <v>13</v>
      </c>
      <c r="AF31" s="1069">
        <f t="shared" si="21"/>
        <v>13</v>
      </c>
      <c r="AG31" s="1069">
        <f t="shared" si="21"/>
        <v>13</v>
      </c>
      <c r="AH31" s="1069">
        <f t="shared" si="21"/>
        <v>13</v>
      </c>
      <c r="AI31" s="1069">
        <f t="shared" si="21"/>
        <v>13</v>
      </c>
      <c r="AJ31" s="1069">
        <f t="shared" si="21"/>
        <v>13</v>
      </c>
      <c r="AK31" s="1069">
        <f t="shared" si="21"/>
        <v>13</v>
      </c>
      <c r="AL31" s="1069">
        <f t="shared" si="21"/>
        <v>13</v>
      </c>
      <c r="AM31" s="1069">
        <f t="shared" si="21"/>
        <v>13</v>
      </c>
      <c r="AN31" s="1073">
        <f t="shared" si="21"/>
        <v>13</v>
      </c>
    </row>
    <row r="32" spans="1:40" ht="20" customHeight="1" x14ac:dyDescent="0.15">
      <c r="A32" s="9"/>
      <c r="B32" s="184"/>
      <c r="C32" s="693" t="str">
        <f>Dashboard!K54</f>
        <v>FACEBOOK</v>
      </c>
      <c r="D32" s="709">
        <f>Dashboard!U54</f>
        <v>-87</v>
      </c>
      <c r="E32" s="1085">
        <f>SUM(J32:AN32)</f>
        <v>62</v>
      </c>
      <c r="F32" s="207">
        <f>E32-D32</f>
        <v>149</v>
      </c>
      <c r="G32" s="208">
        <f>_xlfn.IFS(F32&gt;0,1,F32&lt;0,E32/D32,F32=0,0)</f>
        <v>1</v>
      </c>
      <c r="H32" s="703">
        <f>D32/'Action Plan'!$C$6</f>
        <v>-3.3461538461538463</v>
      </c>
      <c r="I32" s="704">
        <f t="shared" ref="I32:I38" ca="1" si="22">SUMIF($J$5:$AN$5,TODAY(),J32:AN32)</f>
        <v>0</v>
      </c>
      <c r="J32" s="1042">
        <v>2</v>
      </c>
      <c r="K32" s="1042">
        <v>2</v>
      </c>
      <c r="L32" s="1042">
        <v>2</v>
      </c>
      <c r="M32" s="1042">
        <v>2</v>
      </c>
      <c r="N32" s="1042">
        <v>2</v>
      </c>
      <c r="O32" s="1042">
        <v>2</v>
      </c>
      <c r="P32" s="1042">
        <v>2</v>
      </c>
      <c r="Q32" s="1042">
        <v>2</v>
      </c>
      <c r="R32" s="1042">
        <v>2</v>
      </c>
      <c r="S32" s="1042">
        <v>2</v>
      </c>
      <c r="T32" s="1042">
        <v>2</v>
      </c>
      <c r="U32" s="1042">
        <v>2</v>
      </c>
      <c r="V32" s="1042">
        <v>2</v>
      </c>
      <c r="W32" s="1042">
        <v>2</v>
      </c>
      <c r="X32" s="1042">
        <v>2</v>
      </c>
      <c r="Y32" s="1042">
        <v>2</v>
      </c>
      <c r="Z32" s="1042">
        <v>2</v>
      </c>
      <c r="AA32" s="1042">
        <v>2</v>
      </c>
      <c r="AB32" s="1042">
        <v>2</v>
      </c>
      <c r="AC32" s="1042">
        <v>2</v>
      </c>
      <c r="AD32" s="1042">
        <v>2</v>
      </c>
      <c r="AE32" s="1042">
        <v>2</v>
      </c>
      <c r="AF32" s="1042">
        <v>2</v>
      </c>
      <c r="AG32" s="1042">
        <v>2</v>
      </c>
      <c r="AH32" s="1042">
        <v>2</v>
      </c>
      <c r="AI32" s="1042">
        <v>2</v>
      </c>
      <c r="AJ32" s="1042">
        <v>2</v>
      </c>
      <c r="AK32" s="1042">
        <v>2</v>
      </c>
      <c r="AL32" s="1042">
        <v>2</v>
      </c>
      <c r="AM32" s="1042">
        <v>2</v>
      </c>
      <c r="AN32" s="1074">
        <v>2</v>
      </c>
    </row>
    <row r="33" spans="1:40" ht="20" customHeight="1" x14ac:dyDescent="0.15">
      <c r="A33" s="9"/>
      <c r="B33" s="184"/>
      <c r="C33" s="693" t="str">
        <f>Dashboard!K55</f>
        <v>LANDING PAGE</v>
      </c>
      <c r="D33" s="709">
        <f>Dashboard!U55</f>
        <v>48</v>
      </c>
      <c r="E33" s="1085">
        <f>SUM(J33:AN33)</f>
        <v>31</v>
      </c>
      <c r="F33" s="207">
        <f t="shared" ref="F33:F37" si="23">E33-D33</f>
        <v>-17</v>
      </c>
      <c r="G33" s="208">
        <f>_xlfn.IFS(F33&gt;0,1,F33&lt;0,E33/D33,F33=0,0)</f>
        <v>0.64583333333333337</v>
      </c>
      <c r="H33" s="703">
        <f>D33/'Action Plan'!$C$6</f>
        <v>1.8461538461538463</v>
      </c>
      <c r="I33" s="704">
        <f t="shared" ca="1" si="22"/>
        <v>0</v>
      </c>
      <c r="J33" s="1042">
        <v>1</v>
      </c>
      <c r="K33" s="1042">
        <v>1</v>
      </c>
      <c r="L33" s="1042">
        <v>1</v>
      </c>
      <c r="M33" s="1042">
        <v>1</v>
      </c>
      <c r="N33" s="1042">
        <v>1</v>
      </c>
      <c r="O33" s="1042">
        <v>1</v>
      </c>
      <c r="P33" s="1042">
        <v>1</v>
      </c>
      <c r="Q33" s="1042">
        <v>1</v>
      </c>
      <c r="R33" s="1042">
        <v>1</v>
      </c>
      <c r="S33" s="1042">
        <v>1</v>
      </c>
      <c r="T33" s="1042">
        <v>1</v>
      </c>
      <c r="U33" s="1042">
        <v>1</v>
      </c>
      <c r="V33" s="1042">
        <v>1</v>
      </c>
      <c r="W33" s="1042">
        <v>1</v>
      </c>
      <c r="X33" s="1042">
        <v>1</v>
      </c>
      <c r="Y33" s="1042">
        <v>1</v>
      </c>
      <c r="Z33" s="1042">
        <v>1</v>
      </c>
      <c r="AA33" s="1042">
        <v>1</v>
      </c>
      <c r="AB33" s="1042">
        <v>1</v>
      </c>
      <c r="AC33" s="1042">
        <v>1</v>
      </c>
      <c r="AD33" s="1042">
        <v>1</v>
      </c>
      <c r="AE33" s="1042">
        <v>1</v>
      </c>
      <c r="AF33" s="1042">
        <v>1</v>
      </c>
      <c r="AG33" s="1042">
        <v>1</v>
      </c>
      <c r="AH33" s="1042">
        <v>1</v>
      </c>
      <c r="AI33" s="1042">
        <v>1</v>
      </c>
      <c r="AJ33" s="1042">
        <v>1</v>
      </c>
      <c r="AK33" s="1042">
        <v>1</v>
      </c>
      <c r="AL33" s="1042">
        <v>1</v>
      </c>
      <c r="AM33" s="1042">
        <v>1</v>
      </c>
      <c r="AN33" s="1074">
        <v>1</v>
      </c>
    </row>
    <row r="34" spans="1:40" ht="20" customHeight="1" x14ac:dyDescent="0.15">
      <c r="A34" s="9"/>
      <c r="B34" s="184"/>
      <c r="C34" s="693" t="str">
        <f>Dashboard!K56</f>
        <v>WEBSITE</v>
      </c>
      <c r="D34" s="709">
        <f>Dashboard!U56</f>
        <v>25</v>
      </c>
      <c r="E34" s="1085">
        <f t="shared" ref="E34" si="24">SUM(J34:AN34)</f>
        <v>31</v>
      </c>
      <c r="F34" s="207">
        <f t="shared" si="23"/>
        <v>6</v>
      </c>
      <c r="G34" s="208">
        <f t="shared" ref="G34:G36" si="25">_xlfn.IFS(F34&gt;0,1,F34&lt;0,E34/D34,F34=0,0)</f>
        <v>1</v>
      </c>
      <c r="H34" s="703">
        <f>D34/'Action Plan'!$C$6</f>
        <v>0.96153846153846156</v>
      </c>
      <c r="I34" s="704">
        <f t="shared" ca="1" si="22"/>
        <v>0</v>
      </c>
      <c r="J34" s="1042">
        <v>1</v>
      </c>
      <c r="K34" s="1042">
        <v>1</v>
      </c>
      <c r="L34" s="1042">
        <v>1</v>
      </c>
      <c r="M34" s="1042">
        <v>1</v>
      </c>
      <c r="N34" s="1042">
        <v>1</v>
      </c>
      <c r="O34" s="1042">
        <v>1</v>
      </c>
      <c r="P34" s="1042">
        <v>1</v>
      </c>
      <c r="Q34" s="1042">
        <v>1</v>
      </c>
      <c r="R34" s="1042">
        <v>1</v>
      </c>
      <c r="S34" s="1042">
        <v>1</v>
      </c>
      <c r="T34" s="1042">
        <v>1</v>
      </c>
      <c r="U34" s="1042">
        <v>1</v>
      </c>
      <c r="V34" s="1042">
        <v>1</v>
      </c>
      <c r="W34" s="1042">
        <v>1</v>
      </c>
      <c r="X34" s="1042">
        <v>1</v>
      </c>
      <c r="Y34" s="1042">
        <v>1</v>
      </c>
      <c r="Z34" s="1042">
        <v>1</v>
      </c>
      <c r="AA34" s="1042">
        <v>1</v>
      </c>
      <c r="AB34" s="1042">
        <v>1</v>
      </c>
      <c r="AC34" s="1042">
        <v>1</v>
      </c>
      <c r="AD34" s="1042">
        <v>1</v>
      </c>
      <c r="AE34" s="1042">
        <v>1</v>
      </c>
      <c r="AF34" s="1042">
        <v>1</v>
      </c>
      <c r="AG34" s="1042">
        <v>1</v>
      </c>
      <c r="AH34" s="1042">
        <v>1</v>
      </c>
      <c r="AI34" s="1042">
        <v>1</v>
      </c>
      <c r="AJ34" s="1042">
        <v>1</v>
      </c>
      <c r="AK34" s="1042">
        <v>1</v>
      </c>
      <c r="AL34" s="1042">
        <v>1</v>
      </c>
      <c r="AM34" s="1042">
        <v>1</v>
      </c>
      <c r="AN34" s="1074">
        <v>1</v>
      </c>
    </row>
    <row r="35" spans="1:40" ht="20" customHeight="1" x14ac:dyDescent="0.15">
      <c r="A35" s="10"/>
      <c r="B35" s="262"/>
      <c r="C35" s="693" t="str">
        <f>Dashboard!K57</f>
        <v>TIKTOKSHOP</v>
      </c>
      <c r="D35" s="709">
        <f>Dashboard!U57</f>
        <v>263</v>
      </c>
      <c r="E35" s="1085">
        <f>SUM(J35:AN35)</f>
        <v>0</v>
      </c>
      <c r="F35" s="207">
        <f>E35-D35</f>
        <v>-263</v>
      </c>
      <c r="G35" s="208">
        <f>_xlfn.IFS(F35&gt;0,1,F35&lt;0,E35/D35,F35=0,0)</f>
        <v>0</v>
      </c>
      <c r="H35" s="703">
        <f>D35/'Action Plan'!$C$6</f>
        <v>10.115384615384615</v>
      </c>
      <c r="I35" s="704">
        <f t="shared" ca="1" si="22"/>
        <v>0</v>
      </c>
      <c r="J35" s="1042">
        <v>0</v>
      </c>
      <c r="K35" s="1042">
        <v>0</v>
      </c>
      <c r="L35" s="1042">
        <v>0</v>
      </c>
      <c r="M35" s="1042">
        <v>0</v>
      </c>
      <c r="N35" s="1042">
        <v>0</v>
      </c>
      <c r="O35" s="1042">
        <v>0</v>
      </c>
      <c r="P35" s="1042">
        <v>0</v>
      </c>
      <c r="Q35" s="1042">
        <v>0</v>
      </c>
      <c r="R35" s="1042">
        <v>0</v>
      </c>
      <c r="S35" s="1042">
        <v>0</v>
      </c>
      <c r="T35" s="1042">
        <v>0</v>
      </c>
      <c r="U35" s="1042">
        <v>0</v>
      </c>
      <c r="V35" s="1042">
        <v>0</v>
      </c>
      <c r="W35" s="1042">
        <v>0</v>
      </c>
      <c r="X35" s="1042">
        <v>0</v>
      </c>
      <c r="Y35" s="1042">
        <v>0</v>
      </c>
      <c r="Z35" s="1042">
        <v>0</v>
      </c>
      <c r="AA35" s="1042">
        <v>0</v>
      </c>
      <c r="AB35" s="1042">
        <v>0</v>
      </c>
      <c r="AC35" s="1042">
        <v>0</v>
      </c>
      <c r="AD35" s="1042">
        <v>0</v>
      </c>
      <c r="AE35" s="1042">
        <v>0</v>
      </c>
      <c r="AF35" s="1042">
        <v>0</v>
      </c>
      <c r="AG35" s="1042">
        <v>0</v>
      </c>
      <c r="AH35" s="1042">
        <v>0</v>
      </c>
      <c r="AI35" s="1042">
        <v>0</v>
      </c>
      <c r="AJ35" s="1042">
        <v>0</v>
      </c>
      <c r="AK35" s="1042">
        <v>0</v>
      </c>
      <c r="AL35" s="1042">
        <v>0</v>
      </c>
      <c r="AM35" s="1042">
        <v>0</v>
      </c>
      <c r="AN35" s="1074">
        <v>0</v>
      </c>
    </row>
    <row r="36" spans="1:40" ht="20" customHeight="1" x14ac:dyDescent="0.15">
      <c r="A36" s="10"/>
      <c r="B36" s="262"/>
      <c r="C36" s="693" t="str">
        <f>Dashboard!K58</f>
        <v>SHOPPEE</v>
      </c>
      <c r="D36" s="709">
        <f>Dashboard!U58</f>
        <v>298</v>
      </c>
      <c r="E36" s="1085">
        <f t="shared" ref="E36" si="26">SUM(J36:AN36)</f>
        <v>124</v>
      </c>
      <c r="F36" s="207">
        <f t="shared" si="23"/>
        <v>-174</v>
      </c>
      <c r="G36" s="208">
        <f t="shared" si="25"/>
        <v>0.41610738255033558</v>
      </c>
      <c r="H36" s="703">
        <f>D36/'Action Plan'!$C$6</f>
        <v>11.461538461538462</v>
      </c>
      <c r="I36" s="704">
        <f t="shared" ca="1" si="22"/>
        <v>0</v>
      </c>
      <c r="J36" s="1042">
        <v>4</v>
      </c>
      <c r="K36" s="1042">
        <v>4</v>
      </c>
      <c r="L36" s="1042">
        <v>4</v>
      </c>
      <c r="M36" s="1042">
        <v>4</v>
      </c>
      <c r="N36" s="1042">
        <v>4</v>
      </c>
      <c r="O36" s="1042">
        <v>4</v>
      </c>
      <c r="P36" s="1042">
        <v>4</v>
      </c>
      <c r="Q36" s="1042">
        <v>4</v>
      </c>
      <c r="R36" s="1042">
        <v>4</v>
      </c>
      <c r="S36" s="1042">
        <v>4</v>
      </c>
      <c r="T36" s="1042">
        <v>4</v>
      </c>
      <c r="U36" s="1042">
        <v>4</v>
      </c>
      <c r="V36" s="1042">
        <v>4</v>
      </c>
      <c r="W36" s="1042">
        <v>4</v>
      </c>
      <c r="X36" s="1042">
        <v>4</v>
      </c>
      <c r="Y36" s="1042">
        <v>4</v>
      </c>
      <c r="Z36" s="1042">
        <v>4</v>
      </c>
      <c r="AA36" s="1042">
        <v>4</v>
      </c>
      <c r="AB36" s="1042">
        <v>4</v>
      </c>
      <c r="AC36" s="1042">
        <v>4</v>
      </c>
      <c r="AD36" s="1042">
        <v>4</v>
      </c>
      <c r="AE36" s="1042">
        <v>4</v>
      </c>
      <c r="AF36" s="1042">
        <v>4</v>
      </c>
      <c r="AG36" s="1042">
        <v>4</v>
      </c>
      <c r="AH36" s="1042">
        <v>4</v>
      </c>
      <c r="AI36" s="1042">
        <v>4</v>
      </c>
      <c r="AJ36" s="1042">
        <v>4</v>
      </c>
      <c r="AK36" s="1042">
        <v>4</v>
      </c>
      <c r="AL36" s="1042">
        <v>4</v>
      </c>
      <c r="AM36" s="1042">
        <v>4</v>
      </c>
      <c r="AN36" s="1074">
        <v>4</v>
      </c>
    </row>
    <row r="37" spans="1:40" ht="20" customHeight="1" x14ac:dyDescent="0.15">
      <c r="A37" s="10"/>
      <c r="B37" s="262"/>
      <c r="C37" s="693" t="str">
        <f>Dashboard!K59</f>
        <v>ZALO</v>
      </c>
      <c r="D37" s="709">
        <f>Dashboard!U59</f>
        <v>25</v>
      </c>
      <c r="E37" s="1085">
        <f>SUM(J37:AN37)</f>
        <v>155</v>
      </c>
      <c r="F37" s="207">
        <f t="shared" si="23"/>
        <v>130</v>
      </c>
      <c r="G37" s="208">
        <f>_xlfn.IFS(F37&gt;0,1,F37&lt;0,E37/D37,F37=0,0)</f>
        <v>1</v>
      </c>
      <c r="H37" s="703">
        <f>D37/'Action Plan'!$C$6</f>
        <v>0.96153846153846156</v>
      </c>
      <c r="I37" s="704">
        <f t="shared" ca="1" si="22"/>
        <v>0</v>
      </c>
      <c r="J37" s="1042">
        <v>5</v>
      </c>
      <c r="K37" s="1042">
        <v>5</v>
      </c>
      <c r="L37" s="1042">
        <v>5</v>
      </c>
      <c r="M37" s="1042">
        <v>5</v>
      </c>
      <c r="N37" s="1042">
        <v>5</v>
      </c>
      <c r="O37" s="1042">
        <v>5</v>
      </c>
      <c r="P37" s="1042">
        <v>5</v>
      </c>
      <c r="Q37" s="1042">
        <v>5</v>
      </c>
      <c r="R37" s="1042">
        <v>5</v>
      </c>
      <c r="S37" s="1042">
        <v>5</v>
      </c>
      <c r="T37" s="1042">
        <v>5</v>
      </c>
      <c r="U37" s="1042">
        <v>5</v>
      </c>
      <c r="V37" s="1042">
        <v>5</v>
      </c>
      <c r="W37" s="1042">
        <v>5</v>
      </c>
      <c r="X37" s="1042">
        <v>5</v>
      </c>
      <c r="Y37" s="1042">
        <v>5</v>
      </c>
      <c r="Z37" s="1042">
        <v>5</v>
      </c>
      <c r="AA37" s="1042">
        <v>5</v>
      </c>
      <c r="AB37" s="1042">
        <v>5</v>
      </c>
      <c r="AC37" s="1042">
        <v>5</v>
      </c>
      <c r="AD37" s="1042">
        <v>5</v>
      </c>
      <c r="AE37" s="1042">
        <v>5</v>
      </c>
      <c r="AF37" s="1042">
        <v>5</v>
      </c>
      <c r="AG37" s="1042">
        <v>5</v>
      </c>
      <c r="AH37" s="1042">
        <v>5</v>
      </c>
      <c r="AI37" s="1042">
        <v>5</v>
      </c>
      <c r="AJ37" s="1042">
        <v>5</v>
      </c>
      <c r="AK37" s="1042">
        <v>5</v>
      </c>
      <c r="AL37" s="1042">
        <v>5</v>
      </c>
      <c r="AM37" s="1042">
        <v>5</v>
      </c>
      <c r="AN37" s="1074">
        <v>5</v>
      </c>
    </row>
    <row r="38" spans="1:40" ht="20" customHeight="1" x14ac:dyDescent="0.15">
      <c r="A38" s="10"/>
      <c r="B38" s="262"/>
      <c r="C38" s="1044" t="s">
        <v>23</v>
      </c>
      <c r="D38" s="1045">
        <f>Dashboard!E60</f>
        <v>70</v>
      </c>
      <c r="E38" s="1046">
        <f>Dashboard!F60</f>
        <v>188</v>
      </c>
      <c r="F38" s="1047">
        <f>E38-D38</f>
        <v>118</v>
      </c>
      <c r="G38" s="1262">
        <f>_xlfn.IFS(F38&gt;0,1,F38&lt;=0,E38/D38)</f>
        <v>1</v>
      </c>
      <c r="H38" s="1048">
        <f>D38/'Action Plan'!$C$6</f>
        <v>2.6923076923076925</v>
      </c>
      <c r="I38" s="1049">
        <f t="shared" ca="1" si="22"/>
        <v>0</v>
      </c>
      <c r="J38" s="172">
        <f>J39</f>
        <v>1</v>
      </c>
      <c r="K38" s="172">
        <f>K39</f>
        <v>1</v>
      </c>
      <c r="L38" s="172">
        <f>L39</f>
        <v>1</v>
      </c>
      <c r="M38" s="172">
        <f t="shared" ref="M38:AN38" si="27">M39</f>
        <v>1</v>
      </c>
      <c r="N38" s="172">
        <f t="shared" si="27"/>
        <v>1</v>
      </c>
      <c r="O38" s="172">
        <f t="shared" si="27"/>
        <v>1</v>
      </c>
      <c r="P38" s="172">
        <f t="shared" si="27"/>
        <v>1</v>
      </c>
      <c r="Q38" s="172">
        <f t="shared" si="27"/>
        <v>1</v>
      </c>
      <c r="R38" s="172">
        <f t="shared" si="27"/>
        <v>1</v>
      </c>
      <c r="S38" s="172">
        <f t="shared" si="27"/>
        <v>1</v>
      </c>
      <c r="T38" s="172">
        <f t="shared" si="27"/>
        <v>1</v>
      </c>
      <c r="U38" s="172">
        <f t="shared" si="27"/>
        <v>1</v>
      </c>
      <c r="V38" s="172">
        <f t="shared" si="27"/>
        <v>1</v>
      </c>
      <c r="W38" s="172">
        <f t="shared" si="27"/>
        <v>1</v>
      </c>
      <c r="X38" s="172">
        <f t="shared" si="27"/>
        <v>1</v>
      </c>
      <c r="Y38" s="172">
        <f t="shared" si="27"/>
        <v>1</v>
      </c>
      <c r="Z38" s="172">
        <f t="shared" si="27"/>
        <v>1</v>
      </c>
      <c r="AA38" s="172">
        <f t="shared" si="27"/>
        <v>1</v>
      </c>
      <c r="AB38" s="172">
        <f t="shared" si="27"/>
        <v>1</v>
      </c>
      <c r="AC38" s="172">
        <f t="shared" si="27"/>
        <v>1</v>
      </c>
      <c r="AD38" s="172">
        <f t="shared" si="27"/>
        <v>1</v>
      </c>
      <c r="AE38" s="172">
        <f t="shared" si="27"/>
        <v>1</v>
      </c>
      <c r="AF38" s="172">
        <f t="shared" si="27"/>
        <v>1</v>
      </c>
      <c r="AG38" s="172">
        <f t="shared" si="27"/>
        <v>1</v>
      </c>
      <c r="AH38" s="172">
        <f t="shared" si="27"/>
        <v>1</v>
      </c>
      <c r="AI38" s="172">
        <f t="shared" si="27"/>
        <v>1</v>
      </c>
      <c r="AJ38" s="172">
        <f t="shared" si="27"/>
        <v>1</v>
      </c>
      <c r="AK38" s="172">
        <f t="shared" si="27"/>
        <v>1</v>
      </c>
      <c r="AL38" s="172">
        <f t="shared" si="27"/>
        <v>1</v>
      </c>
      <c r="AM38" s="172">
        <f t="shared" si="27"/>
        <v>1</v>
      </c>
      <c r="AN38" s="724">
        <f t="shared" si="27"/>
        <v>2</v>
      </c>
    </row>
    <row r="39" spans="1:40" ht="20" customHeight="1" x14ac:dyDescent="0.15">
      <c r="A39" s="9"/>
      <c r="B39" s="184"/>
      <c r="C39" s="750" t="str">
        <f>Dashboard!K60</f>
        <v>ADS</v>
      </c>
      <c r="D39" s="751">
        <f>Dashboard!U60</f>
        <v>40</v>
      </c>
      <c r="E39" s="752">
        <f>SUM(E40:E45)</f>
        <v>32</v>
      </c>
      <c r="F39" s="753">
        <f>E39-D39</f>
        <v>-8</v>
      </c>
      <c r="G39" s="1259">
        <f>_xlfn.IFS(F39&gt;0,1,F39&lt;=0,E39/D39)</f>
        <v>0.8</v>
      </c>
      <c r="H39" s="756">
        <f>D39/'Action Plan'!$C$6</f>
        <v>1.5384615384615385</v>
      </c>
      <c r="I39" s="757">
        <f ca="1">SUM(I40:I45)</f>
        <v>0</v>
      </c>
      <c r="J39" s="1069">
        <f>SUM(J40:J45)</f>
        <v>1</v>
      </c>
      <c r="K39" s="1069">
        <f>SUM(K40:K45)</f>
        <v>1</v>
      </c>
      <c r="L39" s="1069">
        <f t="shared" ref="L39:AN39" si="28">SUM(L40:L45)</f>
        <v>1</v>
      </c>
      <c r="M39" s="1069">
        <f t="shared" si="28"/>
        <v>1</v>
      </c>
      <c r="N39" s="1069">
        <f t="shared" si="28"/>
        <v>1</v>
      </c>
      <c r="O39" s="1069">
        <f t="shared" si="28"/>
        <v>1</v>
      </c>
      <c r="P39" s="1069">
        <f t="shared" si="28"/>
        <v>1</v>
      </c>
      <c r="Q39" s="1069">
        <f t="shared" si="28"/>
        <v>1</v>
      </c>
      <c r="R39" s="1069">
        <f t="shared" si="28"/>
        <v>1</v>
      </c>
      <c r="S39" s="1069">
        <f t="shared" si="28"/>
        <v>1</v>
      </c>
      <c r="T39" s="1069">
        <f t="shared" si="28"/>
        <v>1</v>
      </c>
      <c r="U39" s="1069">
        <f t="shared" si="28"/>
        <v>1</v>
      </c>
      <c r="V39" s="1069">
        <f t="shared" si="28"/>
        <v>1</v>
      </c>
      <c r="W39" s="1069">
        <f t="shared" si="28"/>
        <v>1</v>
      </c>
      <c r="X39" s="1069">
        <f t="shared" si="28"/>
        <v>1</v>
      </c>
      <c r="Y39" s="1069">
        <f t="shared" si="28"/>
        <v>1</v>
      </c>
      <c r="Z39" s="1069">
        <f t="shared" si="28"/>
        <v>1</v>
      </c>
      <c r="AA39" s="1069">
        <f t="shared" si="28"/>
        <v>1</v>
      </c>
      <c r="AB39" s="1069">
        <f t="shared" si="28"/>
        <v>1</v>
      </c>
      <c r="AC39" s="1069">
        <f t="shared" si="28"/>
        <v>1</v>
      </c>
      <c r="AD39" s="1069">
        <f t="shared" si="28"/>
        <v>1</v>
      </c>
      <c r="AE39" s="1069">
        <f t="shared" si="28"/>
        <v>1</v>
      </c>
      <c r="AF39" s="1069">
        <f t="shared" si="28"/>
        <v>1</v>
      </c>
      <c r="AG39" s="1069">
        <f t="shared" si="28"/>
        <v>1</v>
      </c>
      <c r="AH39" s="1069">
        <f t="shared" si="28"/>
        <v>1</v>
      </c>
      <c r="AI39" s="1069">
        <f t="shared" si="28"/>
        <v>1</v>
      </c>
      <c r="AJ39" s="1069">
        <f t="shared" si="28"/>
        <v>1</v>
      </c>
      <c r="AK39" s="1069">
        <f t="shared" si="28"/>
        <v>1</v>
      </c>
      <c r="AL39" s="1069">
        <f t="shared" si="28"/>
        <v>1</v>
      </c>
      <c r="AM39" s="1069">
        <f t="shared" si="28"/>
        <v>1</v>
      </c>
      <c r="AN39" s="1073">
        <f t="shared" si="28"/>
        <v>2</v>
      </c>
    </row>
    <row r="40" spans="1:40" ht="20" customHeight="1" x14ac:dyDescent="0.15">
      <c r="A40" s="10"/>
      <c r="B40" s="262"/>
      <c r="C40" s="693" t="str">
        <f>Dashboard!K61</f>
        <v>FACEBOOK</v>
      </c>
      <c r="D40" s="709">
        <f>Dashboard!U61</f>
        <v>0</v>
      </c>
      <c r="E40" s="1085">
        <f>SUM(J40:AN40)</f>
        <v>0</v>
      </c>
      <c r="F40" s="207">
        <f t="shared" ref="F40:F45" si="29">E40-D40</f>
        <v>0</v>
      </c>
      <c r="G40" s="208">
        <f>_xlfn.IFS(F40&gt;0,1,F40&lt;0,E40/D40,F40=0,0)</f>
        <v>0</v>
      </c>
      <c r="H40" s="705">
        <f>D40/'Action Plan'!$C$6</f>
        <v>0</v>
      </c>
      <c r="I40" s="706">
        <f ca="1">SUMIF($J$5:$AN$5,TODAY(),J40:AN40)</f>
        <v>0</v>
      </c>
      <c r="J40" s="1043">
        <v>0</v>
      </c>
      <c r="K40" s="1043">
        <v>0</v>
      </c>
      <c r="L40" s="1043">
        <v>0</v>
      </c>
      <c r="M40" s="1043">
        <v>0</v>
      </c>
      <c r="N40" s="1043">
        <v>0</v>
      </c>
      <c r="O40" s="1043">
        <v>0</v>
      </c>
      <c r="P40" s="1043">
        <v>0</v>
      </c>
      <c r="Q40" s="1043">
        <v>0</v>
      </c>
      <c r="R40" s="1043">
        <v>0</v>
      </c>
      <c r="S40" s="1043">
        <v>0</v>
      </c>
      <c r="T40" s="1043">
        <v>0</v>
      </c>
      <c r="U40" s="1043">
        <v>0</v>
      </c>
      <c r="V40" s="1043">
        <v>0</v>
      </c>
      <c r="W40" s="1043">
        <v>0</v>
      </c>
      <c r="X40" s="1043">
        <v>0</v>
      </c>
      <c r="Y40" s="1043">
        <v>0</v>
      </c>
      <c r="Z40" s="1043">
        <v>0</v>
      </c>
      <c r="AA40" s="1043">
        <v>0</v>
      </c>
      <c r="AB40" s="1043">
        <v>0</v>
      </c>
      <c r="AC40" s="1043">
        <v>0</v>
      </c>
      <c r="AD40" s="1043">
        <v>0</v>
      </c>
      <c r="AE40" s="1043">
        <v>0</v>
      </c>
      <c r="AF40" s="1043">
        <v>0</v>
      </c>
      <c r="AG40" s="1043">
        <v>0</v>
      </c>
      <c r="AH40" s="1043">
        <v>0</v>
      </c>
      <c r="AI40" s="1043">
        <v>0</v>
      </c>
      <c r="AJ40" s="1043">
        <v>0</v>
      </c>
      <c r="AK40" s="1043">
        <v>0</v>
      </c>
      <c r="AL40" s="1043">
        <v>0</v>
      </c>
      <c r="AM40" s="1043">
        <v>0</v>
      </c>
      <c r="AN40" s="1075">
        <v>0</v>
      </c>
    </row>
    <row r="41" spans="1:40" ht="20" customHeight="1" x14ac:dyDescent="0.15">
      <c r="A41" s="10"/>
      <c r="B41" s="262"/>
      <c r="C41" s="693" t="str">
        <f>Dashboard!K62</f>
        <v>LANDING PAGE</v>
      </c>
      <c r="D41" s="709">
        <f>Dashboard!U62</f>
        <v>0</v>
      </c>
      <c r="E41" s="1085">
        <f t="shared" ref="E41:E45" si="30">SUM(J41:AN41)</f>
        <v>0</v>
      </c>
      <c r="F41" s="207">
        <f t="shared" si="29"/>
        <v>0</v>
      </c>
      <c r="G41" s="208">
        <f t="shared" ref="G41:G42" si="31">_xlfn.IFS(F41&gt;0,1,F41&lt;0,E41/D41,F41=0,0)</f>
        <v>0</v>
      </c>
      <c r="H41" s="705">
        <f>D41/'Action Plan'!$C$6</f>
        <v>0</v>
      </c>
      <c r="I41" s="706">
        <f t="shared" ref="I41:I45" ca="1" si="32">SUMIF($J$5:$AN$5,TODAY(),J41:AN41)</f>
        <v>0</v>
      </c>
      <c r="J41" s="1043">
        <v>0</v>
      </c>
      <c r="K41" s="1043">
        <v>0</v>
      </c>
      <c r="L41" s="1043">
        <v>0</v>
      </c>
      <c r="M41" s="1043">
        <v>0</v>
      </c>
      <c r="N41" s="1043">
        <v>0</v>
      </c>
      <c r="O41" s="1043">
        <v>0</v>
      </c>
      <c r="P41" s="1043">
        <v>0</v>
      </c>
      <c r="Q41" s="1043">
        <v>0</v>
      </c>
      <c r="R41" s="1043">
        <v>0</v>
      </c>
      <c r="S41" s="1043">
        <v>0</v>
      </c>
      <c r="T41" s="1043">
        <v>0</v>
      </c>
      <c r="U41" s="1043">
        <v>0</v>
      </c>
      <c r="V41" s="1043">
        <v>0</v>
      </c>
      <c r="W41" s="1043">
        <v>0</v>
      </c>
      <c r="X41" s="1043">
        <v>0</v>
      </c>
      <c r="Y41" s="1043">
        <v>0</v>
      </c>
      <c r="Z41" s="1043">
        <v>0</v>
      </c>
      <c r="AA41" s="1043">
        <v>0</v>
      </c>
      <c r="AB41" s="1043">
        <v>0</v>
      </c>
      <c r="AC41" s="1043">
        <v>0</v>
      </c>
      <c r="AD41" s="1043">
        <v>0</v>
      </c>
      <c r="AE41" s="1043">
        <v>0</v>
      </c>
      <c r="AF41" s="1043">
        <v>0</v>
      </c>
      <c r="AG41" s="1043">
        <v>0</v>
      </c>
      <c r="AH41" s="1043">
        <v>0</v>
      </c>
      <c r="AI41" s="1043">
        <v>0</v>
      </c>
      <c r="AJ41" s="1043">
        <v>0</v>
      </c>
      <c r="AK41" s="1043">
        <v>0</v>
      </c>
      <c r="AL41" s="1043">
        <v>0</v>
      </c>
      <c r="AM41" s="1043">
        <v>0</v>
      </c>
      <c r="AN41" s="1075">
        <v>0</v>
      </c>
    </row>
    <row r="42" spans="1:40" ht="20" customHeight="1" x14ac:dyDescent="0.15">
      <c r="A42" s="10"/>
      <c r="B42" s="262"/>
      <c r="C42" s="694" t="str">
        <f>Dashboard!K63</f>
        <v>WEBSITE</v>
      </c>
      <c r="D42" s="709">
        <f>Dashboard!U63</f>
        <v>0</v>
      </c>
      <c r="E42" s="1085">
        <f t="shared" si="30"/>
        <v>0</v>
      </c>
      <c r="F42" s="207">
        <f t="shared" si="29"/>
        <v>0</v>
      </c>
      <c r="G42" s="208">
        <f t="shared" si="31"/>
        <v>0</v>
      </c>
      <c r="H42" s="705">
        <f>D42/'Action Plan'!$C$6</f>
        <v>0</v>
      </c>
      <c r="I42" s="706">
        <f t="shared" ca="1" si="32"/>
        <v>0</v>
      </c>
      <c r="J42" s="1043">
        <v>0</v>
      </c>
      <c r="K42" s="1043">
        <v>0</v>
      </c>
      <c r="L42" s="1043">
        <v>0</v>
      </c>
      <c r="M42" s="1043">
        <v>0</v>
      </c>
      <c r="N42" s="1043">
        <v>0</v>
      </c>
      <c r="O42" s="1043">
        <v>0</v>
      </c>
      <c r="P42" s="1043">
        <v>0</v>
      </c>
      <c r="Q42" s="1043">
        <v>0</v>
      </c>
      <c r="R42" s="1043">
        <v>0</v>
      </c>
      <c r="S42" s="1043">
        <v>0</v>
      </c>
      <c r="T42" s="1043">
        <v>0</v>
      </c>
      <c r="U42" s="1043">
        <v>0</v>
      </c>
      <c r="V42" s="1043">
        <v>0</v>
      </c>
      <c r="W42" s="1043">
        <v>0</v>
      </c>
      <c r="X42" s="1043">
        <v>0</v>
      </c>
      <c r="Y42" s="1043">
        <v>0</v>
      </c>
      <c r="Z42" s="1043">
        <v>0</v>
      </c>
      <c r="AA42" s="1043">
        <v>0</v>
      </c>
      <c r="AB42" s="1043">
        <v>0</v>
      </c>
      <c r="AC42" s="1043">
        <v>0</v>
      </c>
      <c r="AD42" s="1043">
        <v>0</v>
      </c>
      <c r="AE42" s="1043">
        <v>0</v>
      </c>
      <c r="AF42" s="1043">
        <v>0</v>
      </c>
      <c r="AG42" s="1043">
        <v>0</v>
      </c>
      <c r="AH42" s="1043">
        <v>0</v>
      </c>
      <c r="AI42" s="1043">
        <v>0</v>
      </c>
      <c r="AJ42" s="1043">
        <v>0</v>
      </c>
      <c r="AK42" s="1043">
        <v>0</v>
      </c>
      <c r="AL42" s="1043">
        <v>0</v>
      </c>
      <c r="AM42" s="1043">
        <v>0</v>
      </c>
      <c r="AN42" s="1075">
        <v>0</v>
      </c>
    </row>
    <row r="43" spans="1:40" ht="20" customHeight="1" x14ac:dyDescent="0.15">
      <c r="A43" s="10"/>
      <c r="B43" s="262"/>
      <c r="C43" s="694" t="str">
        <f>Dashboard!K64</f>
        <v>TIKTOKSHOP</v>
      </c>
      <c r="D43" s="709">
        <f>Dashboard!U64</f>
        <v>20</v>
      </c>
      <c r="E43" s="1085">
        <f t="shared" si="30"/>
        <v>1</v>
      </c>
      <c r="F43" s="207">
        <f t="shared" si="29"/>
        <v>-19</v>
      </c>
      <c r="G43" s="208">
        <f>_xlfn.IFS(F43&gt;0,1,F43&lt;0,E43/D43,F43=0,0)</f>
        <v>0.05</v>
      </c>
      <c r="H43" s="705">
        <f>D43/'Action Plan'!$C$6</f>
        <v>0.76923076923076927</v>
      </c>
      <c r="I43" s="706">
        <f t="shared" ca="1" si="32"/>
        <v>0</v>
      </c>
      <c r="J43" s="1043">
        <v>0</v>
      </c>
      <c r="K43" s="1043">
        <v>0</v>
      </c>
      <c r="L43" s="1043">
        <v>0</v>
      </c>
      <c r="M43" s="1043">
        <v>0</v>
      </c>
      <c r="N43" s="1043">
        <v>0</v>
      </c>
      <c r="O43" s="1043">
        <v>0</v>
      </c>
      <c r="P43" s="1043">
        <v>0</v>
      </c>
      <c r="Q43" s="1043">
        <v>0</v>
      </c>
      <c r="R43" s="1043">
        <v>0</v>
      </c>
      <c r="S43" s="1043">
        <v>0</v>
      </c>
      <c r="T43" s="1043">
        <v>0</v>
      </c>
      <c r="U43" s="1043">
        <v>0</v>
      </c>
      <c r="V43" s="1043">
        <v>0</v>
      </c>
      <c r="W43" s="1043">
        <v>0</v>
      </c>
      <c r="X43" s="1043">
        <v>0</v>
      </c>
      <c r="Y43" s="1043">
        <v>0</v>
      </c>
      <c r="Z43" s="1043">
        <v>0</v>
      </c>
      <c r="AA43" s="1043">
        <v>0</v>
      </c>
      <c r="AB43" s="1043">
        <v>0</v>
      </c>
      <c r="AC43" s="1043">
        <v>0</v>
      </c>
      <c r="AD43" s="1043">
        <v>0</v>
      </c>
      <c r="AE43" s="1043">
        <v>0</v>
      </c>
      <c r="AF43" s="1043">
        <v>0</v>
      </c>
      <c r="AG43" s="1043">
        <v>0</v>
      </c>
      <c r="AH43" s="1043">
        <v>0</v>
      </c>
      <c r="AI43" s="1043">
        <v>0</v>
      </c>
      <c r="AJ43" s="1043">
        <v>0</v>
      </c>
      <c r="AK43" s="1043">
        <v>0</v>
      </c>
      <c r="AL43" s="1043">
        <v>0</v>
      </c>
      <c r="AM43" s="1043">
        <v>0</v>
      </c>
      <c r="AN43" s="1075">
        <v>1</v>
      </c>
    </row>
    <row r="44" spans="1:40" ht="20" customHeight="1" x14ac:dyDescent="0.15">
      <c r="A44" s="10"/>
      <c r="B44" s="262"/>
      <c r="C44" s="694" t="str">
        <f>Dashboard!K65</f>
        <v>SHOPPEE</v>
      </c>
      <c r="D44" s="709">
        <f>Dashboard!U65</f>
        <v>20</v>
      </c>
      <c r="E44" s="1085">
        <f>SUM(J44:AN44)</f>
        <v>31</v>
      </c>
      <c r="F44" s="207">
        <f t="shared" si="29"/>
        <v>11</v>
      </c>
      <c r="G44" s="208">
        <f>_xlfn.IFS(F44&gt;0,1,F44&lt;0,E44/D44,F44=0,0)</f>
        <v>1</v>
      </c>
      <c r="H44" s="705">
        <f>D44/'Action Plan'!$C$6</f>
        <v>0.76923076923076927</v>
      </c>
      <c r="I44" s="706">
        <f t="shared" ca="1" si="32"/>
        <v>0</v>
      </c>
      <c r="J44" s="1043">
        <v>1</v>
      </c>
      <c r="K44" s="1043">
        <v>1</v>
      </c>
      <c r="L44" s="1043">
        <v>1</v>
      </c>
      <c r="M44" s="1043">
        <v>1</v>
      </c>
      <c r="N44" s="1043">
        <v>1</v>
      </c>
      <c r="O44" s="1043">
        <v>1</v>
      </c>
      <c r="P44" s="1043">
        <v>1</v>
      </c>
      <c r="Q44" s="1043">
        <v>1</v>
      </c>
      <c r="R44" s="1043">
        <v>1</v>
      </c>
      <c r="S44" s="1043">
        <v>1</v>
      </c>
      <c r="T44" s="1043">
        <v>1</v>
      </c>
      <c r="U44" s="1043">
        <v>1</v>
      </c>
      <c r="V44" s="1043">
        <v>1</v>
      </c>
      <c r="W44" s="1043">
        <v>1</v>
      </c>
      <c r="X44" s="1043">
        <v>1</v>
      </c>
      <c r="Y44" s="1043">
        <v>1</v>
      </c>
      <c r="Z44" s="1043">
        <v>1</v>
      </c>
      <c r="AA44" s="1043">
        <v>1</v>
      </c>
      <c r="AB44" s="1043">
        <v>1</v>
      </c>
      <c r="AC44" s="1043">
        <v>1</v>
      </c>
      <c r="AD44" s="1043">
        <v>1</v>
      </c>
      <c r="AE44" s="1043">
        <v>1</v>
      </c>
      <c r="AF44" s="1043">
        <v>1</v>
      </c>
      <c r="AG44" s="1043">
        <v>1</v>
      </c>
      <c r="AH44" s="1043">
        <v>1</v>
      </c>
      <c r="AI44" s="1043">
        <v>1</v>
      </c>
      <c r="AJ44" s="1043">
        <v>1</v>
      </c>
      <c r="AK44" s="1043">
        <v>1</v>
      </c>
      <c r="AL44" s="1043">
        <v>1</v>
      </c>
      <c r="AM44" s="1043">
        <v>1</v>
      </c>
      <c r="AN44" s="1075">
        <v>1</v>
      </c>
    </row>
    <row r="45" spans="1:40" ht="20" customHeight="1" thickBot="1" x14ac:dyDescent="0.2">
      <c r="A45" s="10"/>
      <c r="B45" s="262"/>
      <c r="C45" s="697" t="str">
        <f>Dashboard!K66</f>
        <v>ZALO</v>
      </c>
      <c r="D45" s="726">
        <f>Dashboard!U66</f>
        <v>0</v>
      </c>
      <c r="E45" s="1086">
        <f t="shared" si="30"/>
        <v>0</v>
      </c>
      <c r="F45" s="710">
        <f t="shared" si="29"/>
        <v>0</v>
      </c>
      <c r="G45" s="1263">
        <f>_xlfn.IFS(F45&gt;0,1,F45&lt;0,E45/D45,F45=0,0)</f>
        <v>0</v>
      </c>
      <c r="H45" s="707">
        <f>D45/'Action Plan'!$C$6</f>
        <v>0</v>
      </c>
      <c r="I45" s="708">
        <f t="shared" ca="1" si="32"/>
        <v>0</v>
      </c>
      <c r="J45" s="1081">
        <v>0</v>
      </c>
      <c r="K45" s="1081">
        <v>0</v>
      </c>
      <c r="L45" s="1081">
        <v>0</v>
      </c>
      <c r="M45" s="1081">
        <v>0</v>
      </c>
      <c r="N45" s="1081">
        <v>0</v>
      </c>
      <c r="O45" s="1081">
        <v>0</v>
      </c>
      <c r="P45" s="1081">
        <v>0</v>
      </c>
      <c r="Q45" s="1081">
        <v>0</v>
      </c>
      <c r="R45" s="1081">
        <v>0</v>
      </c>
      <c r="S45" s="1081">
        <v>0</v>
      </c>
      <c r="T45" s="1081">
        <v>0</v>
      </c>
      <c r="U45" s="1081">
        <v>0</v>
      </c>
      <c r="V45" s="1081">
        <v>0</v>
      </c>
      <c r="W45" s="1081">
        <v>0</v>
      </c>
      <c r="X45" s="1081">
        <v>0</v>
      </c>
      <c r="Y45" s="1081">
        <v>0</v>
      </c>
      <c r="Z45" s="1081">
        <v>0</v>
      </c>
      <c r="AA45" s="1081">
        <v>0</v>
      </c>
      <c r="AB45" s="1081">
        <v>0</v>
      </c>
      <c r="AC45" s="1081">
        <v>0</v>
      </c>
      <c r="AD45" s="1081">
        <v>0</v>
      </c>
      <c r="AE45" s="1081">
        <v>0</v>
      </c>
      <c r="AF45" s="1081">
        <v>0</v>
      </c>
      <c r="AG45" s="1081">
        <v>0</v>
      </c>
      <c r="AH45" s="1081">
        <v>0</v>
      </c>
      <c r="AI45" s="1081">
        <v>0</v>
      </c>
      <c r="AJ45" s="1081">
        <v>0</v>
      </c>
      <c r="AK45" s="1081">
        <v>0</v>
      </c>
      <c r="AL45" s="1081">
        <v>0</v>
      </c>
      <c r="AM45" s="1081">
        <v>0</v>
      </c>
      <c r="AN45" s="1248">
        <v>0</v>
      </c>
    </row>
    <row r="46" spans="1:40" ht="20" customHeight="1" x14ac:dyDescent="0.15">
      <c r="A46" s="10"/>
      <c r="B46" s="262"/>
      <c r="C46" s="728" t="str">
        <f>Dashboard!K67</f>
        <v>P3</v>
      </c>
      <c r="D46" s="764"/>
      <c r="E46" s="765"/>
      <c r="F46" s="766"/>
      <c r="G46" s="1294"/>
      <c r="H46" s="768"/>
      <c r="I46" s="769"/>
      <c r="J46" s="770"/>
      <c r="K46" s="770"/>
      <c r="L46" s="770"/>
      <c r="M46" s="770"/>
      <c r="N46" s="770"/>
      <c r="O46" s="770"/>
      <c r="P46" s="770"/>
      <c r="Q46" s="770"/>
      <c r="R46" s="770"/>
      <c r="S46" s="770"/>
      <c r="T46" s="770"/>
      <c r="U46" s="770"/>
      <c r="V46" s="770"/>
      <c r="W46" s="770"/>
      <c r="X46" s="770"/>
      <c r="Y46" s="770"/>
      <c r="Z46" s="770"/>
      <c r="AA46" s="770"/>
      <c r="AB46" s="770"/>
      <c r="AC46" s="770"/>
      <c r="AD46" s="770"/>
      <c r="AE46" s="770"/>
      <c r="AF46" s="770"/>
      <c r="AG46" s="770"/>
      <c r="AH46" s="770"/>
      <c r="AI46" s="770"/>
      <c r="AJ46" s="770"/>
      <c r="AK46" s="770"/>
      <c r="AL46" s="770"/>
      <c r="AM46" s="770"/>
      <c r="AN46" s="771"/>
    </row>
    <row r="47" spans="1:40" ht="20" customHeight="1" x14ac:dyDescent="0.15">
      <c r="A47" s="11"/>
      <c r="B47" s="384"/>
      <c r="C47" s="1055" t="s">
        <v>131</v>
      </c>
      <c r="D47" s="1056">
        <f>Dashboard!E68</f>
        <v>500000000</v>
      </c>
      <c r="E47" s="1057">
        <f>Dashboard!F68</f>
        <v>373050000</v>
      </c>
      <c r="F47" s="1058">
        <f>E47-D47</f>
        <v>-126950000</v>
      </c>
      <c r="G47" s="1257">
        <f>_xlfn.IFS(F47&gt;0,1,F47&lt;=0,E47/D47)</f>
        <v>0.74609999999999999</v>
      </c>
      <c r="H47" s="1059">
        <f>D47/'Action Plan'!$C$6</f>
        <v>19230769.230769232</v>
      </c>
      <c r="I47" s="1046">
        <f ca="1">SUMIF($J$5:$AN$5,TODAY(),J47:AN47)</f>
        <v>0</v>
      </c>
      <c r="J47" s="698">
        <f>J48</f>
        <v>24000000</v>
      </c>
      <c r="K47" s="698">
        <f>K48</f>
        <v>10000000</v>
      </c>
      <c r="L47" s="698">
        <f>L48</f>
        <v>10000000</v>
      </c>
      <c r="M47" s="698">
        <f t="shared" ref="M47:AN47" si="33">M48</f>
        <v>10000000</v>
      </c>
      <c r="N47" s="698">
        <f t="shared" si="33"/>
        <v>10000000</v>
      </c>
      <c r="O47" s="698">
        <f t="shared" si="33"/>
        <v>10000000</v>
      </c>
      <c r="P47" s="698">
        <f t="shared" si="33"/>
        <v>10000000</v>
      </c>
      <c r="Q47" s="698">
        <f t="shared" si="33"/>
        <v>10000000</v>
      </c>
      <c r="R47" s="698">
        <f t="shared" si="33"/>
        <v>10000000</v>
      </c>
      <c r="S47" s="698">
        <f t="shared" si="33"/>
        <v>10000000</v>
      </c>
      <c r="T47" s="698">
        <f t="shared" si="33"/>
        <v>10000000</v>
      </c>
      <c r="U47" s="698">
        <f t="shared" si="33"/>
        <v>10000000</v>
      </c>
      <c r="V47" s="698">
        <f t="shared" si="33"/>
        <v>10000000</v>
      </c>
      <c r="W47" s="698">
        <f t="shared" si="33"/>
        <v>10000000</v>
      </c>
      <c r="X47" s="698">
        <f t="shared" si="33"/>
        <v>10000000</v>
      </c>
      <c r="Y47" s="698">
        <f t="shared" si="33"/>
        <v>10000000</v>
      </c>
      <c r="Z47" s="698">
        <f t="shared" si="33"/>
        <v>10000000</v>
      </c>
      <c r="AA47" s="698">
        <f t="shared" si="33"/>
        <v>10000000</v>
      </c>
      <c r="AB47" s="698">
        <f t="shared" si="33"/>
        <v>10000000</v>
      </c>
      <c r="AC47" s="698">
        <f t="shared" si="33"/>
        <v>10000000</v>
      </c>
      <c r="AD47" s="698">
        <f t="shared" si="33"/>
        <v>10000000</v>
      </c>
      <c r="AE47" s="698">
        <f t="shared" si="33"/>
        <v>10000000</v>
      </c>
      <c r="AF47" s="698">
        <f t="shared" si="33"/>
        <v>10000000</v>
      </c>
      <c r="AG47" s="698">
        <f t="shared" si="33"/>
        <v>10000000</v>
      </c>
      <c r="AH47" s="698">
        <f t="shared" si="33"/>
        <v>10000000</v>
      </c>
      <c r="AI47" s="698">
        <f t="shared" si="33"/>
        <v>10000000</v>
      </c>
      <c r="AJ47" s="698">
        <f t="shared" si="33"/>
        <v>10000000</v>
      </c>
      <c r="AK47" s="698">
        <f t="shared" si="33"/>
        <v>10000000</v>
      </c>
      <c r="AL47" s="698">
        <f t="shared" si="33"/>
        <v>10000000</v>
      </c>
      <c r="AM47" s="698">
        <f t="shared" si="33"/>
        <v>10000000</v>
      </c>
      <c r="AN47" s="727">
        <f t="shared" si="33"/>
        <v>6000000</v>
      </c>
    </row>
    <row r="48" spans="1:40" ht="20" customHeight="1" x14ac:dyDescent="0.15">
      <c r="A48" s="9"/>
      <c r="B48" s="184"/>
      <c r="C48" s="729" t="str">
        <f>Dashboard!K68</f>
        <v>SALES REVENUE</v>
      </c>
      <c r="D48" s="730">
        <f>Dashboard!U68</f>
        <v>250000000</v>
      </c>
      <c r="E48" s="731">
        <f>SUM(E49:E54)</f>
        <v>320000000</v>
      </c>
      <c r="F48" s="732">
        <f>E48-D48</f>
        <v>70000000</v>
      </c>
      <c r="G48" s="1259">
        <f>_xlfn.IFS(F48&gt;0,1,F48&lt;=0,E48/D48)</f>
        <v>1</v>
      </c>
      <c r="H48" s="733">
        <f>D48/'Action Plan'!$C$6</f>
        <v>9615384.615384616</v>
      </c>
      <c r="I48" s="734">
        <f ca="1">SUM(I49:I54)</f>
        <v>0</v>
      </c>
      <c r="J48" s="1065">
        <f>SUM(J49:J54)</f>
        <v>24000000</v>
      </c>
      <c r="K48" s="1065">
        <f>SUM(K49:K54)</f>
        <v>10000000</v>
      </c>
      <c r="L48" s="1065">
        <f t="shared" ref="L48:AN48" si="34">SUM(L49:L54)</f>
        <v>10000000</v>
      </c>
      <c r="M48" s="1065">
        <f t="shared" si="34"/>
        <v>10000000</v>
      </c>
      <c r="N48" s="1065">
        <f t="shared" si="34"/>
        <v>10000000</v>
      </c>
      <c r="O48" s="1065">
        <f t="shared" si="34"/>
        <v>10000000</v>
      </c>
      <c r="P48" s="1065">
        <f t="shared" si="34"/>
        <v>10000000</v>
      </c>
      <c r="Q48" s="1065">
        <f t="shared" si="34"/>
        <v>10000000</v>
      </c>
      <c r="R48" s="1065">
        <f t="shared" si="34"/>
        <v>10000000</v>
      </c>
      <c r="S48" s="1065">
        <f t="shared" si="34"/>
        <v>10000000</v>
      </c>
      <c r="T48" s="1065">
        <f t="shared" si="34"/>
        <v>10000000</v>
      </c>
      <c r="U48" s="1065">
        <f t="shared" si="34"/>
        <v>10000000</v>
      </c>
      <c r="V48" s="1065">
        <f t="shared" si="34"/>
        <v>10000000</v>
      </c>
      <c r="W48" s="1065">
        <f t="shared" si="34"/>
        <v>10000000</v>
      </c>
      <c r="X48" s="1065">
        <f t="shared" si="34"/>
        <v>10000000</v>
      </c>
      <c r="Y48" s="1065">
        <f t="shared" si="34"/>
        <v>10000000</v>
      </c>
      <c r="Z48" s="1065">
        <f t="shared" si="34"/>
        <v>10000000</v>
      </c>
      <c r="AA48" s="1065">
        <f t="shared" si="34"/>
        <v>10000000</v>
      </c>
      <c r="AB48" s="1065">
        <f t="shared" si="34"/>
        <v>10000000</v>
      </c>
      <c r="AC48" s="1065">
        <f t="shared" si="34"/>
        <v>10000000</v>
      </c>
      <c r="AD48" s="1065">
        <f t="shared" si="34"/>
        <v>10000000</v>
      </c>
      <c r="AE48" s="1065">
        <f t="shared" si="34"/>
        <v>10000000</v>
      </c>
      <c r="AF48" s="1065">
        <f t="shared" si="34"/>
        <v>10000000</v>
      </c>
      <c r="AG48" s="1065">
        <f t="shared" si="34"/>
        <v>10000000</v>
      </c>
      <c r="AH48" s="1065">
        <f t="shared" si="34"/>
        <v>10000000</v>
      </c>
      <c r="AI48" s="1065">
        <f t="shared" si="34"/>
        <v>10000000</v>
      </c>
      <c r="AJ48" s="1065">
        <f t="shared" si="34"/>
        <v>10000000</v>
      </c>
      <c r="AK48" s="1065">
        <f t="shared" si="34"/>
        <v>10000000</v>
      </c>
      <c r="AL48" s="1065">
        <f t="shared" si="34"/>
        <v>10000000</v>
      </c>
      <c r="AM48" s="1065">
        <f t="shared" si="34"/>
        <v>10000000</v>
      </c>
      <c r="AN48" s="1066">
        <f t="shared" si="34"/>
        <v>6000000</v>
      </c>
    </row>
    <row r="49" spans="1:40" ht="20" customHeight="1" x14ac:dyDescent="0.15">
      <c r="A49" s="171"/>
      <c r="B49" s="183"/>
      <c r="C49" s="693" t="str">
        <f>Dashboard!K69</f>
        <v>FACEBOOK</v>
      </c>
      <c r="D49" s="605">
        <f>Dashboard!U69</f>
        <v>25000000</v>
      </c>
      <c r="E49" s="1082">
        <f>SUM(J49:AN49)</f>
        <v>36000000</v>
      </c>
      <c r="F49" s="610">
        <f>E49-D49</f>
        <v>11000000</v>
      </c>
      <c r="G49" s="208">
        <f>_xlfn.IFS(F49&gt;0,1,F49&lt;=0,E49/D49)</f>
        <v>1</v>
      </c>
      <c r="H49" s="610">
        <f>D49/'Action Plan'!$C$6</f>
        <v>961538.4615384615</v>
      </c>
      <c r="I49" s="605">
        <f ca="1">SUMIF($J$5:$AN$5,TODAY(),J49:AN49)</f>
        <v>0</v>
      </c>
      <c r="J49" s="1061">
        <v>6000000</v>
      </c>
      <c r="K49" s="1061">
        <v>1000000</v>
      </c>
      <c r="L49" s="1061">
        <v>1000000</v>
      </c>
      <c r="M49" s="1061">
        <v>1000000</v>
      </c>
      <c r="N49" s="1061">
        <v>1000000</v>
      </c>
      <c r="O49" s="1061">
        <v>1000000</v>
      </c>
      <c r="P49" s="1061">
        <v>1000000</v>
      </c>
      <c r="Q49" s="1061">
        <v>1000000</v>
      </c>
      <c r="R49" s="1061">
        <v>1000000</v>
      </c>
      <c r="S49" s="1061">
        <v>1000000</v>
      </c>
      <c r="T49" s="1061">
        <v>1000000</v>
      </c>
      <c r="U49" s="1061">
        <v>1000000</v>
      </c>
      <c r="V49" s="1061">
        <v>1000000</v>
      </c>
      <c r="W49" s="1061">
        <v>1000000</v>
      </c>
      <c r="X49" s="1061">
        <v>1000000</v>
      </c>
      <c r="Y49" s="1061">
        <v>1000000</v>
      </c>
      <c r="Z49" s="1061">
        <v>1000000</v>
      </c>
      <c r="AA49" s="1061">
        <v>1000000</v>
      </c>
      <c r="AB49" s="1061">
        <v>1000000</v>
      </c>
      <c r="AC49" s="1061">
        <v>1000000</v>
      </c>
      <c r="AD49" s="1061">
        <v>1000000</v>
      </c>
      <c r="AE49" s="1061">
        <v>1000000</v>
      </c>
      <c r="AF49" s="1061">
        <v>1000000</v>
      </c>
      <c r="AG49" s="1061">
        <v>1000000</v>
      </c>
      <c r="AH49" s="1061">
        <v>1000000</v>
      </c>
      <c r="AI49" s="1061">
        <v>1000000</v>
      </c>
      <c r="AJ49" s="1061">
        <v>1000000</v>
      </c>
      <c r="AK49" s="1061">
        <v>1000000</v>
      </c>
      <c r="AL49" s="1061">
        <v>1000000</v>
      </c>
      <c r="AM49" s="1061">
        <v>1000000</v>
      </c>
      <c r="AN49" s="1078">
        <v>1000000</v>
      </c>
    </row>
    <row r="50" spans="1:40" ht="20" customHeight="1" x14ac:dyDescent="0.15">
      <c r="A50" s="171"/>
      <c r="B50" s="183"/>
      <c r="C50" s="693" t="str">
        <f>Dashboard!K70</f>
        <v>LANDING PAGE</v>
      </c>
      <c r="D50" s="605">
        <f>Dashboard!U70</f>
        <v>125000000</v>
      </c>
      <c r="E50" s="1082">
        <f>SUM(J50:AN50)</f>
        <v>36000000</v>
      </c>
      <c r="F50" s="610">
        <f t="shared" ref="F50:F54" si="35">E50-D50</f>
        <v>-89000000</v>
      </c>
      <c r="G50" s="208">
        <f t="shared" ref="G50:G54" si="36">_xlfn.IFS(F50&gt;0,1,F50&lt;=0,E50/D50)</f>
        <v>0.28799999999999998</v>
      </c>
      <c r="H50" s="610">
        <f>D50/'Action Plan'!$C$6</f>
        <v>4807692.307692308</v>
      </c>
      <c r="I50" s="605">
        <f t="shared" ref="I50:I54" ca="1" si="37">SUMIF($J$5:$AN$5,TODAY(),J50:AN50)</f>
        <v>0</v>
      </c>
      <c r="J50" s="1061">
        <v>6000000</v>
      </c>
      <c r="K50" s="1061">
        <v>1000000</v>
      </c>
      <c r="L50" s="1061">
        <v>1000000</v>
      </c>
      <c r="M50" s="1061">
        <v>1000000</v>
      </c>
      <c r="N50" s="1061">
        <v>1000000</v>
      </c>
      <c r="O50" s="1061">
        <v>1000000</v>
      </c>
      <c r="P50" s="1061">
        <v>1000000</v>
      </c>
      <c r="Q50" s="1061">
        <v>1000000</v>
      </c>
      <c r="R50" s="1061">
        <v>1000000</v>
      </c>
      <c r="S50" s="1061">
        <v>1000000</v>
      </c>
      <c r="T50" s="1061">
        <v>1000000</v>
      </c>
      <c r="U50" s="1061">
        <v>1000000</v>
      </c>
      <c r="V50" s="1061">
        <v>1000000</v>
      </c>
      <c r="W50" s="1061">
        <v>1000000</v>
      </c>
      <c r="X50" s="1061">
        <v>1000000</v>
      </c>
      <c r="Y50" s="1061">
        <v>1000000</v>
      </c>
      <c r="Z50" s="1061">
        <v>1000000</v>
      </c>
      <c r="AA50" s="1061">
        <v>1000000</v>
      </c>
      <c r="AB50" s="1061">
        <v>1000000</v>
      </c>
      <c r="AC50" s="1061">
        <v>1000000</v>
      </c>
      <c r="AD50" s="1061">
        <v>1000000</v>
      </c>
      <c r="AE50" s="1061">
        <v>1000000</v>
      </c>
      <c r="AF50" s="1061">
        <v>1000000</v>
      </c>
      <c r="AG50" s="1061">
        <v>1000000</v>
      </c>
      <c r="AH50" s="1061">
        <v>1000000</v>
      </c>
      <c r="AI50" s="1061">
        <v>1000000</v>
      </c>
      <c r="AJ50" s="1061">
        <v>1000000</v>
      </c>
      <c r="AK50" s="1061">
        <v>1000000</v>
      </c>
      <c r="AL50" s="1061">
        <v>1000000</v>
      </c>
      <c r="AM50" s="1061">
        <v>1000000</v>
      </c>
      <c r="AN50" s="1078">
        <v>1000000</v>
      </c>
    </row>
    <row r="51" spans="1:40" ht="20" customHeight="1" x14ac:dyDescent="0.15">
      <c r="A51" s="171"/>
      <c r="B51" s="183"/>
      <c r="C51" s="693" t="str">
        <f>Dashboard!K71</f>
        <v>WEBSITE</v>
      </c>
      <c r="D51" s="605">
        <f>Dashboard!U71</f>
        <v>25000000</v>
      </c>
      <c r="E51" s="1082">
        <f t="shared" ref="E51:E54" si="38">SUM(J51:AN51)</f>
        <v>33000000</v>
      </c>
      <c r="F51" s="610">
        <f t="shared" si="35"/>
        <v>8000000</v>
      </c>
      <c r="G51" s="208">
        <f t="shared" si="36"/>
        <v>1</v>
      </c>
      <c r="H51" s="610">
        <f>D51/'Action Plan'!$C$6</f>
        <v>961538.4615384615</v>
      </c>
      <c r="I51" s="605">
        <f t="shared" ca="1" si="37"/>
        <v>0</v>
      </c>
      <c r="J51" s="1061">
        <v>3000000</v>
      </c>
      <c r="K51" s="1061">
        <v>1000000</v>
      </c>
      <c r="L51" s="1061">
        <v>1000000</v>
      </c>
      <c r="M51" s="1061">
        <v>1000000</v>
      </c>
      <c r="N51" s="1061">
        <v>1000000</v>
      </c>
      <c r="O51" s="1061">
        <v>1000000</v>
      </c>
      <c r="P51" s="1061">
        <v>1000000</v>
      </c>
      <c r="Q51" s="1061">
        <v>1000000</v>
      </c>
      <c r="R51" s="1061">
        <v>1000000</v>
      </c>
      <c r="S51" s="1061">
        <v>1000000</v>
      </c>
      <c r="T51" s="1061">
        <v>1000000</v>
      </c>
      <c r="U51" s="1061">
        <v>1000000</v>
      </c>
      <c r="V51" s="1061">
        <v>1000000</v>
      </c>
      <c r="W51" s="1061">
        <v>1000000</v>
      </c>
      <c r="X51" s="1061">
        <v>1000000</v>
      </c>
      <c r="Y51" s="1061">
        <v>1000000</v>
      </c>
      <c r="Z51" s="1061">
        <v>1000000</v>
      </c>
      <c r="AA51" s="1061">
        <v>1000000</v>
      </c>
      <c r="AB51" s="1061">
        <v>1000000</v>
      </c>
      <c r="AC51" s="1061">
        <v>1000000</v>
      </c>
      <c r="AD51" s="1061">
        <v>1000000</v>
      </c>
      <c r="AE51" s="1061">
        <v>1000000</v>
      </c>
      <c r="AF51" s="1061">
        <v>1000000</v>
      </c>
      <c r="AG51" s="1061">
        <v>1000000</v>
      </c>
      <c r="AH51" s="1061">
        <v>1000000</v>
      </c>
      <c r="AI51" s="1061">
        <v>1000000</v>
      </c>
      <c r="AJ51" s="1061">
        <v>1000000</v>
      </c>
      <c r="AK51" s="1061">
        <v>1000000</v>
      </c>
      <c r="AL51" s="1061">
        <v>1000000</v>
      </c>
      <c r="AM51" s="1061">
        <v>1000000</v>
      </c>
      <c r="AN51" s="1078">
        <v>1000000</v>
      </c>
    </row>
    <row r="52" spans="1:40" ht="20" customHeight="1" x14ac:dyDescent="0.15">
      <c r="A52" s="171"/>
      <c r="B52" s="183"/>
      <c r="C52" s="693" t="str">
        <f>Dashboard!K72</f>
        <v>TIKTOKSHOP</v>
      </c>
      <c r="D52" s="605">
        <f>Dashboard!U72</f>
        <v>25000000</v>
      </c>
      <c r="E52" s="1082">
        <f t="shared" si="38"/>
        <v>91000000</v>
      </c>
      <c r="F52" s="610">
        <f t="shared" si="35"/>
        <v>66000000</v>
      </c>
      <c r="G52" s="208">
        <f t="shared" si="36"/>
        <v>1</v>
      </c>
      <c r="H52" s="610">
        <f>D52/'Action Plan'!$C$6</f>
        <v>961538.4615384615</v>
      </c>
      <c r="I52" s="605">
        <f t="shared" ca="1" si="37"/>
        <v>0</v>
      </c>
      <c r="J52" s="1061">
        <v>3000000</v>
      </c>
      <c r="K52" s="1061">
        <v>3000000</v>
      </c>
      <c r="L52" s="1061">
        <v>3000000</v>
      </c>
      <c r="M52" s="1061">
        <v>3000000</v>
      </c>
      <c r="N52" s="1061">
        <v>3000000</v>
      </c>
      <c r="O52" s="1061">
        <v>3000000</v>
      </c>
      <c r="P52" s="1061">
        <v>3000000</v>
      </c>
      <c r="Q52" s="1061">
        <v>3000000</v>
      </c>
      <c r="R52" s="1061">
        <v>3000000</v>
      </c>
      <c r="S52" s="1061">
        <v>3000000</v>
      </c>
      <c r="T52" s="1061">
        <v>3000000</v>
      </c>
      <c r="U52" s="1061">
        <v>3000000</v>
      </c>
      <c r="V52" s="1061">
        <v>3000000</v>
      </c>
      <c r="W52" s="1061">
        <v>3000000</v>
      </c>
      <c r="X52" s="1061">
        <v>3000000</v>
      </c>
      <c r="Y52" s="1061">
        <v>3000000</v>
      </c>
      <c r="Z52" s="1061">
        <v>3000000</v>
      </c>
      <c r="AA52" s="1061">
        <v>3000000</v>
      </c>
      <c r="AB52" s="1061">
        <v>3000000</v>
      </c>
      <c r="AC52" s="1061">
        <v>3000000</v>
      </c>
      <c r="AD52" s="1061">
        <v>3000000</v>
      </c>
      <c r="AE52" s="1061">
        <v>3000000</v>
      </c>
      <c r="AF52" s="1061">
        <v>3000000</v>
      </c>
      <c r="AG52" s="1061">
        <v>3000000</v>
      </c>
      <c r="AH52" s="1061">
        <v>3000000</v>
      </c>
      <c r="AI52" s="1061">
        <v>3000000</v>
      </c>
      <c r="AJ52" s="1061">
        <v>3000000</v>
      </c>
      <c r="AK52" s="1061">
        <v>3000000</v>
      </c>
      <c r="AL52" s="1061">
        <v>3000000</v>
      </c>
      <c r="AM52" s="1061">
        <v>3000000</v>
      </c>
      <c r="AN52" s="1078">
        <v>1000000</v>
      </c>
    </row>
    <row r="53" spans="1:40" ht="20" customHeight="1" x14ac:dyDescent="0.15">
      <c r="A53" s="171"/>
      <c r="B53" s="183"/>
      <c r="C53" s="693" t="str">
        <f>Dashboard!K73</f>
        <v>SHOPPEE</v>
      </c>
      <c r="D53" s="605">
        <f>Dashboard!U73</f>
        <v>25000000</v>
      </c>
      <c r="E53" s="1082">
        <f t="shared" si="38"/>
        <v>91000000</v>
      </c>
      <c r="F53" s="610">
        <f t="shared" si="35"/>
        <v>66000000</v>
      </c>
      <c r="G53" s="208">
        <f t="shared" si="36"/>
        <v>1</v>
      </c>
      <c r="H53" s="610">
        <f>D53/'Action Plan'!$C$6</f>
        <v>961538.4615384615</v>
      </c>
      <c r="I53" s="605">
        <f t="shared" ca="1" si="37"/>
        <v>0</v>
      </c>
      <c r="J53" s="1061">
        <v>3000000</v>
      </c>
      <c r="K53" s="1061">
        <v>3000000</v>
      </c>
      <c r="L53" s="1061">
        <v>3000000</v>
      </c>
      <c r="M53" s="1061">
        <v>3000000</v>
      </c>
      <c r="N53" s="1061">
        <v>3000000</v>
      </c>
      <c r="O53" s="1061">
        <v>3000000</v>
      </c>
      <c r="P53" s="1061">
        <v>3000000</v>
      </c>
      <c r="Q53" s="1061">
        <v>3000000</v>
      </c>
      <c r="R53" s="1061">
        <v>3000000</v>
      </c>
      <c r="S53" s="1061">
        <v>3000000</v>
      </c>
      <c r="T53" s="1061">
        <v>3000000</v>
      </c>
      <c r="U53" s="1061">
        <v>3000000</v>
      </c>
      <c r="V53" s="1061">
        <v>3000000</v>
      </c>
      <c r="W53" s="1061">
        <v>3000000</v>
      </c>
      <c r="X53" s="1061">
        <v>3000000</v>
      </c>
      <c r="Y53" s="1061">
        <v>3000000</v>
      </c>
      <c r="Z53" s="1061">
        <v>3000000</v>
      </c>
      <c r="AA53" s="1061">
        <v>3000000</v>
      </c>
      <c r="AB53" s="1061">
        <v>3000000</v>
      </c>
      <c r="AC53" s="1061">
        <v>3000000</v>
      </c>
      <c r="AD53" s="1061">
        <v>3000000</v>
      </c>
      <c r="AE53" s="1061">
        <v>3000000</v>
      </c>
      <c r="AF53" s="1061">
        <v>3000000</v>
      </c>
      <c r="AG53" s="1061">
        <v>3000000</v>
      </c>
      <c r="AH53" s="1061">
        <v>3000000</v>
      </c>
      <c r="AI53" s="1061">
        <v>3000000</v>
      </c>
      <c r="AJ53" s="1061">
        <v>3000000</v>
      </c>
      <c r="AK53" s="1061">
        <v>3000000</v>
      </c>
      <c r="AL53" s="1061">
        <v>3000000</v>
      </c>
      <c r="AM53" s="1061">
        <v>3000000</v>
      </c>
      <c r="AN53" s="1078">
        <v>1000000</v>
      </c>
    </row>
    <row r="54" spans="1:40" ht="20" customHeight="1" x14ac:dyDescent="0.15">
      <c r="A54" s="171"/>
      <c r="B54" s="183"/>
      <c r="C54" s="700" t="str">
        <f>Dashboard!K74</f>
        <v>ZALO</v>
      </c>
      <c r="D54" s="605">
        <f>Dashboard!U74</f>
        <v>25000000</v>
      </c>
      <c r="E54" s="1087">
        <f t="shared" si="38"/>
        <v>33000000</v>
      </c>
      <c r="F54" s="702">
        <f t="shared" si="35"/>
        <v>8000000</v>
      </c>
      <c r="G54" s="701">
        <f t="shared" si="36"/>
        <v>1</v>
      </c>
      <c r="H54" s="702">
        <f>D54/'Action Plan'!$C$6</f>
        <v>961538.4615384615</v>
      </c>
      <c r="I54" s="702">
        <f t="shared" ca="1" si="37"/>
        <v>0</v>
      </c>
      <c r="J54" s="1062">
        <v>3000000</v>
      </c>
      <c r="K54" s="1062">
        <v>1000000</v>
      </c>
      <c r="L54" s="1062">
        <v>1000000</v>
      </c>
      <c r="M54" s="1062">
        <v>1000000</v>
      </c>
      <c r="N54" s="1062">
        <v>1000000</v>
      </c>
      <c r="O54" s="1062">
        <v>1000000</v>
      </c>
      <c r="P54" s="1062">
        <v>1000000</v>
      </c>
      <c r="Q54" s="1062">
        <v>1000000</v>
      </c>
      <c r="R54" s="1062">
        <v>1000000</v>
      </c>
      <c r="S54" s="1062">
        <v>1000000</v>
      </c>
      <c r="T54" s="1062">
        <v>1000000</v>
      </c>
      <c r="U54" s="1062">
        <v>1000000</v>
      </c>
      <c r="V54" s="1062">
        <v>1000000</v>
      </c>
      <c r="W54" s="1062">
        <v>1000000</v>
      </c>
      <c r="X54" s="1062">
        <v>1000000</v>
      </c>
      <c r="Y54" s="1062">
        <v>1000000</v>
      </c>
      <c r="Z54" s="1062">
        <v>1000000</v>
      </c>
      <c r="AA54" s="1062">
        <v>1000000</v>
      </c>
      <c r="AB54" s="1062">
        <v>1000000</v>
      </c>
      <c r="AC54" s="1062">
        <v>1000000</v>
      </c>
      <c r="AD54" s="1062">
        <v>1000000</v>
      </c>
      <c r="AE54" s="1062">
        <v>1000000</v>
      </c>
      <c r="AF54" s="1062">
        <v>1000000</v>
      </c>
      <c r="AG54" s="1062">
        <v>1000000</v>
      </c>
      <c r="AH54" s="1062">
        <v>1000000</v>
      </c>
      <c r="AI54" s="1062">
        <v>1000000</v>
      </c>
      <c r="AJ54" s="1062">
        <v>1000000</v>
      </c>
      <c r="AK54" s="1062">
        <v>1000000</v>
      </c>
      <c r="AL54" s="1062">
        <v>1000000</v>
      </c>
      <c r="AM54" s="1062">
        <v>1000000</v>
      </c>
      <c r="AN54" s="1102">
        <v>1000000</v>
      </c>
    </row>
    <row r="55" spans="1:40" ht="20" customHeight="1" x14ac:dyDescent="0.15">
      <c r="A55" s="171"/>
      <c r="B55" s="1246" t="s">
        <v>222</v>
      </c>
      <c r="C55" s="729" t="str">
        <f>Dashboard!K75</f>
        <v>A/S RATIO</v>
      </c>
      <c r="D55" s="1286">
        <f>Dashboard!U75</f>
        <v>0.18666666666666668</v>
      </c>
      <c r="E55" s="1242">
        <f>AVERAGE(E56:E61)</f>
        <v>0.71666666666666645</v>
      </c>
      <c r="F55" s="1241">
        <f>D55-E55</f>
        <v>-0.5299999999999998</v>
      </c>
      <c r="G55" s="1264">
        <f>_xlfn.IFS(F55&gt;0,1,F55&lt;=0,D55/E55)</f>
        <v>0.26046511627906987</v>
      </c>
      <c r="H55" s="1270">
        <f>D55/'Action Plan'!$C$6</f>
        <v>7.1794871794871795E-3</v>
      </c>
      <c r="I55" s="1242">
        <f ca="1">AVERAGE(I56:I61)</f>
        <v>0</v>
      </c>
      <c r="J55" s="1271">
        <f>SUM(J56:J61)</f>
        <v>0.13333333333333333</v>
      </c>
      <c r="K55" s="1271">
        <f>SUM(K56:K61)</f>
        <v>0.13333333333333333</v>
      </c>
      <c r="L55" s="1271">
        <f t="shared" ref="L55:AN55" si="39">SUM(L56:L61)</f>
        <v>0.13333333333333333</v>
      </c>
      <c r="M55" s="1271">
        <f t="shared" si="39"/>
        <v>0.13333333333333333</v>
      </c>
      <c r="N55" s="1271">
        <f t="shared" si="39"/>
        <v>0.13333333333333333</v>
      </c>
      <c r="O55" s="1271">
        <f t="shared" si="39"/>
        <v>0.13333333333333333</v>
      </c>
      <c r="P55" s="1271">
        <f t="shared" si="39"/>
        <v>0.13333333333333333</v>
      </c>
      <c r="Q55" s="1271">
        <f t="shared" si="39"/>
        <v>0.13333333333333333</v>
      </c>
      <c r="R55" s="1271">
        <f t="shared" si="39"/>
        <v>0.13333333333333333</v>
      </c>
      <c r="S55" s="1271">
        <f t="shared" si="39"/>
        <v>0.13333333333333333</v>
      </c>
      <c r="T55" s="1271">
        <f t="shared" si="39"/>
        <v>0.13333333333333333</v>
      </c>
      <c r="U55" s="1271">
        <f t="shared" si="39"/>
        <v>0.13333333333333333</v>
      </c>
      <c r="V55" s="1271">
        <f t="shared" si="39"/>
        <v>0.13333333333333333</v>
      </c>
      <c r="W55" s="1271">
        <f t="shared" si="39"/>
        <v>0.13333333333333333</v>
      </c>
      <c r="X55" s="1271">
        <f t="shared" si="39"/>
        <v>0.13333333333333333</v>
      </c>
      <c r="Y55" s="1271">
        <f t="shared" si="39"/>
        <v>0.13333333333333333</v>
      </c>
      <c r="Z55" s="1271">
        <f t="shared" si="39"/>
        <v>0.13333333333333333</v>
      </c>
      <c r="AA55" s="1271">
        <f t="shared" si="39"/>
        <v>0.13333333333333333</v>
      </c>
      <c r="AB55" s="1271">
        <f t="shared" si="39"/>
        <v>0.13333333333333333</v>
      </c>
      <c r="AC55" s="1271">
        <f t="shared" si="39"/>
        <v>0.13333333333333333</v>
      </c>
      <c r="AD55" s="1271">
        <f t="shared" si="39"/>
        <v>0.13333333333333333</v>
      </c>
      <c r="AE55" s="1271">
        <f t="shared" si="39"/>
        <v>0.13333333333333333</v>
      </c>
      <c r="AF55" s="1271">
        <f t="shared" si="39"/>
        <v>0.13333333333333333</v>
      </c>
      <c r="AG55" s="1271">
        <f t="shared" si="39"/>
        <v>0.13333333333333333</v>
      </c>
      <c r="AH55" s="1271">
        <f t="shared" si="39"/>
        <v>0.13333333333333333</v>
      </c>
      <c r="AI55" s="1271">
        <f t="shared" si="39"/>
        <v>0.13333333333333333</v>
      </c>
      <c r="AJ55" s="1271">
        <f t="shared" si="39"/>
        <v>0.13333333333333333</v>
      </c>
      <c r="AK55" s="1271">
        <f t="shared" si="39"/>
        <v>0.13333333333333333</v>
      </c>
      <c r="AL55" s="1271">
        <f t="shared" si="39"/>
        <v>0.13333333333333333</v>
      </c>
      <c r="AM55" s="1271">
        <f t="shared" si="39"/>
        <v>0.13333333333333333</v>
      </c>
      <c r="AN55" s="1295">
        <f t="shared" si="39"/>
        <v>0.30000000000000004</v>
      </c>
    </row>
    <row r="56" spans="1:40" ht="20" customHeight="1" x14ac:dyDescent="0.15">
      <c r="A56" s="171"/>
      <c r="B56" s="183"/>
      <c r="C56" s="693" t="str">
        <f>Dashboard!K76</f>
        <v>FACEBOOK</v>
      </c>
      <c r="D56" s="208">
        <f>Dashboard!U76</f>
        <v>0.1</v>
      </c>
      <c r="E56" s="1287">
        <f>SUM(J56:AN56)</f>
        <v>0</v>
      </c>
      <c r="F56" s="208">
        <f>D56-E56</f>
        <v>0.1</v>
      </c>
      <c r="G56" s="208">
        <f>_xlfn.IFS(F56&gt;0,1,F56&lt;=0,D56/E56)</f>
        <v>1</v>
      </c>
      <c r="H56" s="208">
        <f>D56/'Action Plan'!$C$6</f>
        <v>3.8461538461538464E-3</v>
      </c>
      <c r="I56" s="208">
        <f ca="1">SUMIF($J$5:$AN$5,TODAY(),J56:AN56)</f>
        <v>0</v>
      </c>
      <c r="J56" s="1273">
        <f>J9/J49</f>
        <v>0</v>
      </c>
      <c r="K56" s="1273">
        <f t="shared" ref="K56:AN56" si="40">K9/K49</f>
        <v>0</v>
      </c>
      <c r="L56" s="1273">
        <f t="shared" si="40"/>
        <v>0</v>
      </c>
      <c r="M56" s="1273">
        <f t="shared" si="40"/>
        <v>0</v>
      </c>
      <c r="N56" s="1273">
        <f t="shared" si="40"/>
        <v>0</v>
      </c>
      <c r="O56" s="1273">
        <f t="shared" si="40"/>
        <v>0</v>
      </c>
      <c r="P56" s="1273">
        <f t="shared" si="40"/>
        <v>0</v>
      </c>
      <c r="Q56" s="1273">
        <f t="shared" si="40"/>
        <v>0</v>
      </c>
      <c r="R56" s="1273">
        <f t="shared" si="40"/>
        <v>0</v>
      </c>
      <c r="S56" s="1273">
        <f t="shared" si="40"/>
        <v>0</v>
      </c>
      <c r="T56" s="1273">
        <f t="shared" si="40"/>
        <v>0</v>
      </c>
      <c r="U56" s="1273">
        <f t="shared" si="40"/>
        <v>0</v>
      </c>
      <c r="V56" s="1279">
        <f t="shared" si="40"/>
        <v>0</v>
      </c>
      <c r="W56" s="1273">
        <f t="shared" si="40"/>
        <v>0</v>
      </c>
      <c r="X56" s="1273">
        <f t="shared" si="40"/>
        <v>0</v>
      </c>
      <c r="Y56" s="1273">
        <f t="shared" si="40"/>
        <v>0</v>
      </c>
      <c r="Z56" s="1273">
        <f t="shared" si="40"/>
        <v>0</v>
      </c>
      <c r="AA56" s="1273">
        <f t="shared" si="40"/>
        <v>0</v>
      </c>
      <c r="AB56" s="1273">
        <f t="shared" si="40"/>
        <v>0</v>
      </c>
      <c r="AC56" s="1273">
        <f t="shared" si="40"/>
        <v>0</v>
      </c>
      <c r="AD56" s="1273">
        <f t="shared" si="40"/>
        <v>0</v>
      </c>
      <c r="AE56" s="1273">
        <f t="shared" si="40"/>
        <v>0</v>
      </c>
      <c r="AF56" s="1273">
        <f t="shared" si="40"/>
        <v>0</v>
      </c>
      <c r="AG56" s="1273">
        <f t="shared" si="40"/>
        <v>0</v>
      </c>
      <c r="AH56" s="1273">
        <f t="shared" si="40"/>
        <v>0</v>
      </c>
      <c r="AI56" s="1273">
        <f t="shared" si="40"/>
        <v>0</v>
      </c>
      <c r="AJ56" s="1273">
        <f t="shared" si="40"/>
        <v>0</v>
      </c>
      <c r="AK56" s="1273">
        <f t="shared" si="40"/>
        <v>0</v>
      </c>
      <c r="AL56" s="1273">
        <f t="shared" si="40"/>
        <v>0</v>
      </c>
      <c r="AM56" s="1273">
        <f t="shared" si="40"/>
        <v>0</v>
      </c>
      <c r="AN56" s="1274">
        <f t="shared" si="40"/>
        <v>0</v>
      </c>
    </row>
    <row r="57" spans="1:40" ht="20" customHeight="1" x14ac:dyDescent="0.15">
      <c r="A57" s="171"/>
      <c r="B57" s="183"/>
      <c r="C57" s="693" t="str">
        <f>Dashboard!K77</f>
        <v>LANDING PAGE</v>
      </c>
      <c r="D57" s="208">
        <f>Dashboard!U77</f>
        <v>0.12</v>
      </c>
      <c r="E57" s="1287">
        <f>SUM(J57:AN57)</f>
        <v>0</v>
      </c>
      <c r="F57" s="208">
        <f t="shared" ref="F57:F61" si="41">D57-E57</f>
        <v>0.12</v>
      </c>
      <c r="G57" s="208">
        <f t="shared" ref="G57:G60" si="42">_xlfn.IFS(F57&gt;0,1,F57&lt;=0,D57/E57)</f>
        <v>1</v>
      </c>
      <c r="H57" s="208">
        <f>D57/'Action Plan'!$C$6</f>
        <v>4.6153846153846149E-3</v>
      </c>
      <c r="I57" s="208">
        <f t="shared" ref="I57:I61" ca="1" si="43">SUMIF($J$5:$AN$5,TODAY(),J57:AN57)</f>
        <v>0</v>
      </c>
      <c r="J57" s="1273">
        <f>J15/J50</f>
        <v>0</v>
      </c>
      <c r="K57" s="1273">
        <f t="shared" ref="K57:AN57" si="44">K15/K50</f>
        <v>0</v>
      </c>
      <c r="L57" s="1273">
        <f t="shared" si="44"/>
        <v>0</v>
      </c>
      <c r="M57" s="1273">
        <f t="shared" si="44"/>
        <v>0</v>
      </c>
      <c r="N57" s="1273">
        <f t="shared" si="44"/>
        <v>0</v>
      </c>
      <c r="O57" s="1273">
        <f t="shared" si="44"/>
        <v>0</v>
      </c>
      <c r="P57" s="1273">
        <f t="shared" si="44"/>
        <v>0</v>
      </c>
      <c r="Q57" s="1273">
        <f t="shared" si="44"/>
        <v>0</v>
      </c>
      <c r="R57" s="1273">
        <f t="shared" si="44"/>
        <v>0</v>
      </c>
      <c r="S57" s="1273">
        <f t="shared" si="44"/>
        <v>0</v>
      </c>
      <c r="T57" s="1273">
        <f t="shared" si="44"/>
        <v>0</v>
      </c>
      <c r="U57" s="1273">
        <f t="shared" si="44"/>
        <v>0</v>
      </c>
      <c r="V57" s="1279">
        <f t="shared" si="44"/>
        <v>0</v>
      </c>
      <c r="W57" s="1273">
        <f t="shared" si="44"/>
        <v>0</v>
      </c>
      <c r="X57" s="1273">
        <f t="shared" si="44"/>
        <v>0</v>
      </c>
      <c r="Y57" s="1273">
        <f t="shared" si="44"/>
        <v>0</v>
      </c>
      <c r="Z57" s="1273">
        <f t="shared" si="44"/>
        <v>0</v>
      </c>
      <c r="AA57" s="1273">
        <f t="shared" si="44"/>
        <v>0</v>
      </c>
      <c r="AB57" s="1273">
        <f t="shared" si="44"/>
        <v>0</v>
      </c>
      <c r="AC57" s="1273">
        <f t="shared" si="44"/>
        <v>0</v>
      </c>
      <c r="AD57" s="1273">
        <f t="shared" si="44"/>
        <v>0</v>
      </c>
      <c r="AE57" s="1273">
        <f t="shared" si="44"/>
        <v>0</v>
      </c>
      <c r="AF57" s="1273">
        <f t="shared" si="44"/>
        <v>0</v>
      </c>
      <c r="AG57" s="1273">
        <f t="shared" si="44"/>
        <v>0</v>
      </c>
      <c r="AH57" s="1273">
        <f t="shared" si="44"/>
        <v>0</v>
      </c>
      <c r="AI57" s="1273">
        <f t="shared" si="44"/>
        <v>0</v>
      </c>
      <c r="AJ57" s="1273">
        <f t="shared" si="44"/>
        <v>0</v>
      </c>
      <c r="AK57" s="1273">
        <f t="shared" si="44"/>
        <v>0</v>
      </c>
      <c r="AL57" s="1273">
        <f t="shared" si="44"/>
        <v>0</v>
      </c>
      <c r="AM57" s="1273">
        <f t="shared" si="44"/>
        <v>0</v>
      </c>
      <c r="AN57" s="1274">
        <f t="shared" si="44"/>
        <v>0</v>
      </c>
    </row>
    <row r="58" spans="1:40" ht="20" customHeight="1" x14ac:dyDescent="0.15">
      <c r="A58" s="171"/>
      <c r="B58" s="183"/>
      <c r="C58" s="693" t="str">
        <f>Dashboard!K78</f>
        <v>WEBSITE</v>
      </c>
      <c r="D58" s="208">
        <f>Dashboard!U78</f>
        <v>0.1</v>
      </c>
      <c r="E58" s="1287">
        <f>SUM(J58:AN58)</f>
        <v>0</v>
      </c>
      <c r="F58" s="208">
        <f t="shared" si="41"/>
        <v>0.1</v>
      </c>
      <c r="G58" s="208">
        <f t="shared" si="42"/>
        <v>1</v>
      </c>
      <c r="H58" s="208">
        <f>D58/'Action Plan'!$C$6</f>
        <v>3.8461538461538464E-3</v>
      </c>
      <c r="I58" s="208">
        <f t="shared" ca="1" si="43"/>
        <v>0</v>
      </c>
      <c r="J58" s="1273">
        <f>J21/J51</f>
        <v>0</v>
      </c>
      <c r="K58" s="1273">
        <f>K21/K51</f>
        <v>0</v>
      </c>
      <c r="L58" s="1273">
        <f t="shared" ref="L58:AN58" si="45">L21/L51</f>
        <v>0</v>
      </c>
      <c r="M58" s="1273">
        <f t="shared" si="45"/>
        <v>0</v>
      </c>
      <c r="N58" s="1273">
        <f t="shared" si="45"/>
        <v>0</v>
      </c>
      <c r="O58" s="1273">
        <f t="shared" si="45"/>
        <v>0</v>
      </c>
      <c r="P58" s="1273">
        <f t="shared" si="45"/>
        <v>0</v>
      </c>
      <c r="Q58" s="1273">
        <f t="shared" si="45"/>
        <v>0</v>
      </c>
      <c r="R58" s="1273">
        <f t="shared" si="45"/>
        <v>0</v>
      </c>
      <c r="S58" s="1273">
        <f t="shared" si="45"/>
        <v>0</v>
      </c>
      <c r="T58" s="1273">
        <f t="shared" si="45"/>
        <v>0</v>
      </c>
      <c r="U58" s="1273">
        <f t="shared" si="45"/>
        <v>0</v>
      </c>
      <c r="V58" s="1279">
        <f t="shared" si="45"/>
        <v>0</v>
      </c>
      <c r="W58" s="1273">
        <f t="shared" si="45"/>
        <v>0</v>
      </c>
      <c r="X58" s="1273">
        <f t="shared" si="45"/>
        <v>0</v>
      </c>
      <c r="Y58" s="1273">
        <f t="shared" si="45"/>
        <v>0</v>
      </c>
      <c r="Z58" s="1273">
        <f t="shared" si="45"/>
        <v>0</v>
      </c>
      <c r="AA58" s="1273">
        <f t="shared" si="45"/>
        <v>0</v>
      </c>
      <c r="AB58" s="1273">
        <f t="shared" si="45"/>
        <v>0</v>
      </c>
      <c r="AC58" s="1273">
        <f t="shared" si="45"/>
        <v>0</v>
      </c>
      <c r="AD58" s="1273">
        <f t="shared" si="45"/>
        <v>0</v>
      </c>
      <c r="AE58" s="1273">
        <f t="shared" si="45"/>
        <v>0</v>
      </c>
      <c r="AF58" s="1273">
        <f t="shared" si="45"/>
        <v>0</v>
      </c>
      <c r="AG58" s="1273">
        <f t="shared" si="45"/>
        <v>0</v>
      </c>
      <c r="AH58" s="1273">
        <f t="shared" si="45"/>
        <v>0</v>
      </c>
      <c r="AI58" s="1273">
        <f t="shared" si="45"/>
        <v>0</v>
      </c>
      <c r="AJ58" s="1273">
        <f t="shared" si="45"/>
        <v>0</v>
      </c>
      <c r="AK58" s="1273">
        <f t="shared" si="45"/>
        <v>0</v>
      </c>
      <c r="AL58" s="1273">
        <f t="shared" si="45"/>
        <v>0</v>
      </c>
      <c r="AM58" s="1273">
        <f t="shared" si="45"/>
        <v>0</v>
      </c>
      <c r="AN58" s="1274">
        <f t="shared" si="45"/>
        <v>0</v>
      </c>
    </row>
    <row r="59" spans="1:40" ht="20" customHeight="1" x14ac:dyDescent="0.15">
      <c r="A59" s="171"/>
      <c r="B59" s="183"/>
      <c r="C59" s="693" t="str">
        <f>Dashboard!K79</f>
        <v>TIKTOKSHOP</v>
      </c>
      <c r="D59" s="208">
        <f>Dashboard!U79</f>
        <v>0.3</v>
      </c>
      <c r="E59" s="1287">
        <f t="shared" ref="E59:E61" si="46">SUM(J59:AN59)</f>
        <v>2.0999999999999996</v>
      </c>
      <c r="F59" s="208">
        <f t="shared" si="41"/>
        <v>-1.7999999999999996</v>
      </c>
      <c r="G59" s="208">
        <f t="shared" si="42"/>
        <v>0.14285714285714288</v>
      </c>
      <c r="H59" s="208">
        <f>D59/'Action Plan'!$C$6</f>
        <v>1.1538461538461537E-2</v>
      </c>
      <c r="I59" s="208">
        <f t="shared" ca="1" si="43"/>
        <v>0</v>
      </c>
      <c r="J59" s="1273">
        <f>J24/J52</f>
        <v>6.6666666666666666E-2</v>
      </c>
      <c r="K59" s="1273">
        <f t="shared" ref="K59:AN59" si="47">K24/K52</f>
        <v>6.6666666666666666E-2</v>
      </c>
      <c r="L59" s="1273">
        <f t="shared" si="47"/>
        <v>6.6666666666666666E-2</v>
      </c>
      <c r="M59" s="1273">
        <f t="shared" si="47"/>
        <v>6.6666666666666666E-2</v>
      </c>
      <c r="N59" s="1273">
        <f t="shared" si="47"/>
        <v>6.6666666666666666E-2</v>
      </c>
      <c r="O59" s="1273">
        <f t="shared" si="47"/>
        <v>6.6666666666666666E-2</v>
      </c>
      <c r="P59" s="1273">
        <f t="shared" si="47"/>
        <v>6.6666666666666666E-2</v>
      </c>
      <c r="Q59" s="1273">
        <f t="shared" si="47"/>
        <v>6.6666666666666666E-2</v>
      </c>
      <c r="R59" s="1273">
        <f t="shared" si="47"/>
        <v>6.6666666666666666E-2</v>
      </c>
      <c r="S59" s="1273">
        <f t="shared" si="47"/>
        <v>6.6666666666666666E-2</v>
      </c>
      <c r="T59" s="1273">
        <f t="shared" si="47"/>
        <v>6.6666666666666666E-2</v>
      </c>
      <c r="U59" s="1273">
        <f t="shared" si="47"/>
        <v>6.6666666666666666E-2</v>
      </c>
      <c r="V59" s="1279">
        <f t="shared" si="47"/>
        <v>6.6666666666666666E-2</v>
      </c>
      <c r="W59" s="1273">
        <f t="shared" si="47"/>
        <v>6.6666666666666666E-2</v>
      </c>
      <c r="X59" s="1273">
        <f t="shared" si="47"/>
        <v>6.6666666666666666E-2</v>
      </c>
      <c r="Y59" s="1273">
        <f t="shared" si="47"/>
        <v>6.6666666666666666E-2</v>
      </c>
      <c r="Z59" s="1273">
        <f t="shared" si="47"/>
        <v>6.6666666666666666E-2</v>
      </c>
      <c r="AA59" s="1273">
        <f t="shared" si="47"/>
        <v>6.6666666666666666E-2</v>
      </c>
      <c r="AB59" s="1273">
        <f t="shared" si="47"/>
        <v>6.6666666666666666E-2</v>
      </c>
      <c r="AC59" s="1273">
        <f t="shared" si="47"/>
        <v>6.6666666666666666E-2</v>
      </c>
      <c r="AD59" s="1273">
        <f t="shared" si="47"/>
        <v>6.6666666666666666E-2</v>
      </c>
      <c r="AE59" s="1273">
        <f t="shared" si="47"/>
        <v>6.6666666666666666E-2</v>
      </c>
      <c r="AF59" s="1273">
        <f t="shared" si="47"/>
        <v>6.6666666666666666E-2</v>
      </c>
      <c r="AG59" s="1273">
        <f t="shared" si="47"/>
        <v>6.6666666666666666E-2</v>
      </c>
      <c r="AH59" s="1273">
        <f t="shared" si="47"/>
        <v>6.6666666666666666E-2</v>
      </c>
      <c r="AI59" s="1273">
        <f t="shared" si="47"/>
        <v>6.6666666666666666E-2</v>
      </c>
      <c r="AJ59" s="1273">
        <f t="shared" si="47"/>
        <v>6.6666666666666666E-2</v>
      </c>
      <c r="AK59" s="1273">
        <f t="shared" si="47"/>
        <v>6.6666666666666666E-2</v>
      </c>
      <c r="AL59" s="1273">
        <f t="shared" si="47"/>
        <v>6.6666666666666666E-2</v>
      </c>
      <c r="AM59" s="1273">
        <f t="shared" si="47"/>
        <v>6.6666666666666666E-2</v>
      </c>
      <c r="AN59" s="1274">
        <f t="shared" si="47"/>
        <v>0.1</v>
      </c>
    </row>
    <row r="60" spans="1:40" ht="20" customHeight="1" x14ac:dyDescent="0.15">
      <c r="A60" s="171"/>
      <c r="B60" s="183"/>
      <c r="C60" s="693" t="str">
        <f>Dashboard!K80</f>
        <v>SHOPPEE</v>
      </c>
      <c r="D60" s="208">
        <f>Dashboard!U80</f>
        <v>0.1</v>
      </c>
      <c r="E60" s="1287">
        <f t="shared" si="46"/>
        <v>2.0999999999999996</v>
      </c>
      <c r="F60" s="208">
        <f t="shared" si="41"/>
        <v>-1.9999999999999996</v>
      </c>
      <c r="G60" s="208">
        <f t="shared" si="42"/>
        <v>4.761904761904763E-2</v>
      </c>
      <c r="H60" s="208">
        <f>D60/'Action Plan'!$C$6</f>
        <v>3.8461538461538464E-3</v>
      </c>
      <c r="I60" s="208">
        <f t="shared" ca="1" si="43"/>
        <v>0</v>
      </c>
      <c r="J60" s="1273">
        <f>J25/J53</f>
        <v>6.6666666666666666E-2</v>
      </c>
      <c r="K60" s="1273">
        <f t="shared" ref="K60:AN60" si="48">K25/K53</f>
        <v>6.6666666666666666E-2</v>
      </c>
      <c r="L60" s="1273">
        <f t="shared" si="48"/>
        <v>6.6666666666666666E-2</v>
      </c>
      <c r="M60" s="1273">
        <f t="shared" si="48"/>
        <v>6.6666666666666666E-2</v>
      </c>
      <c r="N60" s="1273">
        <f t="shared" si="48"/>
        <v>6.6666666666666666E-2</v>
      </c>
      <c r="O60" s="1273">
        <f t="shared" si="48"/>
        <v>6.6666666666666666E-2</v>
      </c>
      <c r="P60" s="1273">
        <f t="shared" si="48"/>
        <v>6.6666666666666666E-2</v>
      </c>
      <c r="Q60" s="1273">
        <f t="shared" si="48"/>
        <v>6.6666666666666666E-2</v>
      </c>
      <c r="R60" s="1273">
        <f t="shared" si="48"/>
        <v>6.6666666666666666E-2</v>
      </c>
      <c r="S60" s="1273">
        <f t="shared" si="48"/>
        <v>6.6666666666666666E-2</v>
      </c>
      <c r="T60" s="1273">
        <f t="shared" si="48"/>
        <v>6.6666666666666666E-2</v>
      </c>
      <c r="U60" s="1273">
        <f t="shared" si="48"/>
        <v>6.6666666666666666E-2</v>
      </c>
      <c r="V60" s="1279">
        <f t="shared" si="48"/>
        <v>6.6666666666666666E-2</v>
      </c>
      <c r="W60" s="1273">
        <f t="shared" si="48"/>
        <v>6.6666666666666666E-2</v>
      </c>
      <c r="X60" s="1273">
        <f t="shared" si="48"/>
        <v>6.6666666666666666E-2</v>
      </c>
      <c r="Y60" s="1273">
        <f t="shared" si="48"/>
        <v>6.6666666666666666E-2</v>
      </c>
      <c r="Z60" s="1273">
        <f t="shared" si="48"/>
        <v>6.6666666666666666E-2</v>
      </c>
      <c r="AA60" s="1273">
        <f t="shared" si="48"/>
        <v>6.6666666666666666E-2</v>
      </c>
      <c r="AB60" s="1273">
        <f t="shared" si="48"/>
        <v>6.6666666666666666E-2</v>
      </c>
      <c r="AC60" s="1273">
        <f t="shared" si="48"/>
        <v>6.6666666666666666E-2</v>
      </c>
      <c r="AD60" s="1273">
        <f t="shared" si="48"/>
        <v>6.6666666666666666E-2</v>
      </c>
      <c r="AE60" s="1273">
        <f t="shared" si="48"/>
        <v>6.6666666666666666E-2</v>
      </c>
      <c r="AF60" s="1273">
        <f t="shared" si="48"/>
        <v>6.6666666666666666E-2</v>
      </c>
      <c r="AG60" s="1273">
        <f t="shared" si="48"/>
        <v>6.6666666666666666E-2</v>
      </c>
      <c r="AH60" s="1273">
        <f t="shared" si="48"/>
        <v>6.6666666666666666E-2</v>
      </c>
      <c r="AI60" s="1273">
        <f t="shared" si="48"/>
        <v>6.6666666666666666E-2</v>
      </c>
      <c r="AJ60" s="1273">
        <f t="shared" si="48"/>
        <v>6.6666666666666666E-2</v>
      </c>
      <c r="AK60" s="1273">
        <f t="shared" si="48"/>
        <v>6.6666666666666666E-2</v>
      </c>
      <c r="AL60" s="1273">
        <f t="shared" si="48"/>
        <v>6.6666666666666666E-2</v>
      </c>
      <c r="AM60" s="1273">
        <f t="shared" si="48"/>
        <v>6.6666666666666666E-2</v>
      </c>
      <c r="AN60" s="1274">
        <f t="shared" si="48"/>
        <v>0.1</v>
      </c>
    </row>
    <row r="61" spans="1:40" ht="20" customHeight="1" x14ac:dyDescent="0.15">
      <c r="A61" s="171"/>
      <c r="B61" s="183"/>
      <c r="C61" s="700" t="str">
        <f>Dashboard!K81</f>
        <v>ZALO</v>
      </c>
      <c r="D61" s="701">
        <f>Dashboard!U81</f>
        <v>0.4</v>
      </c>
      <c r="E61" s="1288">
        <f t="shared" si="46"/>
        <v>0.1</v>
      </c>
      <c r="F61" s="1265">
        <f t="shared" si="41"/>
        <v>0.30000000000000004</v>
      </c>
      <c r="G61" s="1265">
        <f>_xlfn.IFS(F61&gt;0,1,F61&lt;=0,D61/E61)</f>
        <v>1</v>
      </c>
      <c r="H61" s="701">
        <f>D61/'Action Plan'!$C$6</f>
        <v>1.5384615384615385E-2</v>
      </c>
      <c r="I61" s="701">
        <f t="shared" ca="1" si="43"/>
        <v>0</v>
      </c>
      <c r="J61" s="1275">
        <f>J26/J54</f>
        <v>0</v>
      </c>
      <c r="K61" s="1275">
        <f t="shared" ref="K61:AN61" si="49">K26/K54</f>
        <v>0</v>
      </c>
      <c r="L61" s="1275">
        <f t="shared" si="49"/>
        <v>0</v>
      </c>
      <c r="M61" s="1275">
        <f t="shared" si="49"/>
        <v>0</v>
      </c>
      <c r="N61" s="1275">
        <f t="shared" si="49"/>
        <v>0</v>
      </c>
      <c r="O61" s="1275">
        <f t="shared" si="49"/>
        <v>0</v>
      </c>
      <c r="P61" s="1275">
        <f t="shared" si="49"/>
        <v>0</v>
      </c>
      <c r="Q61" s="1275">
        <f t="shared" si="49"/>
        <v>0</v>
      </c>
      <c r="R61" s="1275">
        <f t="shared" si="49"/>
        <v>0</v>
      </c>
      <c r="S61" s="1275">
        <f t="shared" si="49"/>
        <v>0</v>
      </c>
      <c r="T61" s="1275">
        <f t="shared" si="49"/>
        <v>0</v>
      </c>
      <c r="U61" s="1275">
        <f t="shared" si="49"/>
        <v>0</v>
      </c>
      <c r="V61" s="1296">
        <f t="shared" si="49"/>
        <v>0</v>
      </c>
      <c r="W61" s="1275">
        <f t="shared" si="49"/>
        <v>0</v>
      </c>
      <c r="X61" s="1275">
        <f t="shared" si="49"/>
        <v>0</v>
      </c>
      <c r="Y61" s="1275">
        <f t="shared" si="49"/>
        <v>0</v>
      </c>
      <c r="Z61" s="1275">
        <f t="shared" si="49"/>
        <v>0</v>
      </c>
      <c r="AA61" s="1275">
        <f t="shared" si="49"/>
        <v>0</v>
      </c>
      <c r="AB61" s="1275">
        <f t="shared" si="49"/>
        <v>0</v>
      </c>
      <c r="AC61" s="1275">
        <f t="shared" si="49"/>
        <v>0</v>
      </c>
      <c r="AD61" s="1275">
        <f t="shared" si="49"/>
        <v>0</v>
      </c>
      <c r="AE61" s="1275">
        <f t="shared" si="49"/>
        <v>0</v>
      </c>
      <c r="AF61" s="1275">
        <f t="shared" si="49"/>
        <v>0</v>
      </c>
      <c r="AG61" s="1275">
        <f t="shared" si="49"/>
        <v>0</v>
      </c>
      <c r="AH61" s="1275">
        <f t="shared" si="49"/>
        <v>0</v>
      </c>
      <c r="AI61" s="1275">
        <f t="shared" si="49"/>
        <v>0</v>
      </c>
      <c r="AJ61" s="1275">
        <f t="shared" si="49"/>
        <v>0</v>
      </c>
      <c r="AK61" s="1275">
        <f t="shared" si="49"/>
        <v>0</v>
      </c>
      <c r="AL61" s="1275">
        <f t="shared" si="49"/>
        <v>0</v>
      </c>
      <c r="AM61" s="1275">
        <f t="shared" si="49"/>
        <v>0</v>
      </c>
      <c r="AN61" s="1297">
        <f t="shared" si="49"/>
        <v>0.1</v>
      </c>
    </row>
    <row r="62" spans="1:40" ht="20" customHeight="1" x14ac:dyDescent="0.15">
      <c r="A62" s="9"/>
      <c r="B62" s="1246" t="s">
        <v>223</v>
      </c>
      <c r="C62" s="729" t="str">
        <f>Dashboard!K82</f>
        <v>CONVERSION RATE</v>
      </c>
      <c r="D62" s="1289">
        <f>Dashboard!U82</f>
        <v>0.19999999999999998</v>
      </c>
      <c r="E62" s="735">
        <f>AVERAGE(E63:E68)</f>
        <v>0.21833333333333346</v>
      </c>
      <c r="F62" s="1241">
        <f>E62-D62</f>
        <v>1.8333333333333479E-2</v>
      </c>
      <c r="G62" s="1266">
        <f>_xlfn.IFS(F62&gt;0,1,F62&lt;=0,E62/D62)</f>
        <v>1</v>
      </c>
      <c r="H62" s="1270">
        <f>D62/'Action Plan'!$C$6</f>
        <v>7.6923076923076919E-3</v>
      </c>
      <c r="I62" s="1268">
        <f ca="1">AVERAGE(I63:I68)</f>
        <v>0</v>
      </c>
      <c r="J62" s="1277">
        <f>SUM(J63:J69)</f>
        <v>0.04</v>
      </c>
      <c r="K62" s="1277">
        <f>SUM(K63:K69)</f>
        <v>0.04</v>
      </c>
      <c r="L62" s="1277">
        <f t="shared" ref="L62:AN62" si="50">SUM(L63:L69)</f>
        <v>0.04</v>
      </c>
      <c r="M62" s="1277">
        <f t="shared" si="50"/>
        <v>0.04</v>
      </c>
      <c r="N62" s="1277">
        <f t="shared" si="50"/>
        <v>0.04</v>
      </c>
      <c r="O62" s="1277">
        <f t="shared" si="50"/>
        <v>0.04</v>
      </c>
      <c r="P62" s="1277">
        <f t="shared" si="50"/>
        <v>0.04</v>
      </c>
      <c r="Q62" s="1277">
        <f t="shared" si="50"/>
        <v>0.04</v>
      </c>
      <c r="R62" s="1277">
        <f t="shared" si="50"/>
        <v>0.04</v>
      </c>
      <c r="S62" s="1277">
        <f t="shared" si="50"/>
        <v>0.04</v>
      </c>
      <c r="T62" s="1277">
        <f t="shared" si="50"/>
        <v>0.04</v>
      </c>
      <c r="U62" s="1277">
        <f t="shared" si="50"/>
        <v>0.04</v>
      </c>
      <c r="V62" s="1277">
        <f t="shared" si="50"/>
        <v>0.04</v>
      </c>
      <c r="W62" s="1277">
        <f t="shared" si="50"/>
        <v>0.04</v>
      </c>
      <c r="X62" s="1277">
        <f t="shared" si="50"/>
        <v>0.04</v>
      </c>
      <c r="Y62" s="1277">
        <f t="shared" si="50"/>
        <v>0.04</v>
      </c>
      <c r="Z62" s="1277">
        <f t="shared" si="50"/>
        <v>0.04</v>
      </c>
      <c r="AA62" s="1277">
        <f t="shared" si="50"/>
        <v>0.04</v>
      </c>
      <c r="AB62" s="1277">
        <f t="shared" si="50"/>
        <v>0.04</v>
      </c>
      <c r="AC62" s="1277">
        <f t="shared" si="50"/>
        <v>0.04</v>
      </c>
      <c r="AD62" s="1277">
        <f t="shared" si="50"/>
        <v>0.04</v>
      </c>
      <c r="AE62" s="1277">
        <f t="shared" si="50"/>
        <v>0.04</v>
      </c>
      <c r="AF62" s="1277">
        <f t="shared" si="50"/>
        <v>0.04</v>
      </c>
      <c r="AG62" s="1277">
        <f t="shared" si="50"/>
        <v>0.04</v>
      </c>
      <c r="AH62" s="1277">
        <f t="shared" si="50"/>
        <v>0.04</v>
      </c>
      <c r="AI62" s="1277">
        <f t="shared" si="50"/>
        <v>0.04</v>
      </c>
      <c r="AJ62" s="1277">
        <f t="shared" si="50"/>
        <v>0.04</v>
      </c>
      <c r="AK62" s="1277">
        <f t="shared" si="50"/>
        <v>0.04</v>
      </c>
      <c r="AL62" s="1277">
        <f t="shared" si="50"/>
        <v>0.04</v>
      </c>
      <c r="AM62" s="1277">
        <f t="shared" si="50"/>
        <v>0.04</v>
      </c>
      <c r="AN62" s="1295">
        <f t="shared" si="50"/>
        <v>0.10999999999999999</v>
      </c>
    </row>
    <row r="63" spans="1:40" ht="20" customHeight="1" x14ac:dyDescent="0.15">
      <c r="A63" s="171"/>
      <c r="B63" s="183"/>
      <c r="C63" s="693" t="str">
        <f>Dashboard!K83</f>
        <v>FACEBOOK</v>
      </c>
      <c r="D63" s="1290">
        <f>Dashboard!U83</f>
        <v>5.0000000000000017E-2</v>
      </c>
      <c r="E63" s="1088">
        <f>SUM(J63:AN63)</f>
        <v>0.03</v>
      </c>
      <c r="F63" s="208">
        <f>E63-D63</f>
        <v>-2.0000000000000018E-2</v>
      </c>
      <c r="G63" s="208">
        <f>_xlfn.IFS(F63&gt;0,1,F63&lt;=0,E63/D63)</f>
        <v>0.59999999999999976</v>
      </c>
      <c r="H63" s="208">
        <f>D63/'Action Plan'!$C$6</f>
        <v>1.9230769230769236E-3</v>
      </c>
      <c r="I63" s="1269">
        <f ca="1">SUMIF($J$5:$AN$5,TODAY(),J63:AN63)</f>
        <v>0</v>
      </c>
      <c r="J63" s="1278">
        <v>0</v>
      </c>
      <c r="K63" s="1278">
        <v>0</v>
      </c>
      <c r="L63" s="1278">
        <v>0</v>
      </c>
      <c r="M63" s="1278">
        <v>0</v>
      </c>
      <c r="N63" s="1278">
        <v>0</v>
      </c>
      <c r="O63" s="1278">
        <v>0</v>
      </c>
      <c r="P63" s="1278">
        <v>0</v>
      </c>
      <c r="Q63" s="1278">
        <v>0</v>
      </c>
      <c r="R63" s="1278">
        <v>0</v>
      </c>
      <c r="S63" s="1278">
        <v>0</v>
      </c>
      <c r="T63" s="1278">
        <v>0</v>
      </c>
      <c r="U63" s="1278">
        <v>0</v>
      </c>
      <c r="V63" s="1278">
        <v>0</v>
      </c>
      <c r="W63" s="1278">
        <v>0</v>
      </c>
      <c r="X63" s="1278">
        <v>0</v>
      </c>
      <c r="Y63" s="1278">
        <v>0</v>
      </c>
      <c r="Z63" s="1278">
        <v>0</v>
      </c>
      <c r="AA63" s="1278">
        <v>0</v>
      </c>
      <c r="AB63" s="1278">
        <v>0</v>
      </c>
      <c r="AC63" s="1278">
        <v>0</v>
      </c>
      <c r="AD63" s="1278">
        <v>0</v>
      </c>
      <c r="AE63" s="1278">
        <v>0</v>
      </c>
      <c r="AF63" s="1278">
        <v>0</v>
      </c>
      <c r="AG63" s="1278">
        <v>0</v>
      </c>
      <c r="AH63" s="1278">
        <v>0</v>
      </c>
      <c r="AI63" s="1278">
        <v>0</v>
      </c>
      <c r="AJ63" s="1278">
        <v>0</v>
      </c>
      <c r="AK63" s="1278">
        <v>0</v>
      </c>
      <c r="AL63" s="1278">
        <v>0</v>
      </c>
      <c r="AM63" s="1278">
        <v>0</v>
      </c>
      <c r="AN63" s="1281">
        <v>0.03</v>
      </c>
    </row>
    <row r="64" spans="1:40" ht="20" customHeight="1" x14ac:dyDescent="0.15">
      <c r="A64" s="171"/>
      <c r="B64" s="183"/>
      <c r="C64" s="693" t="str">
        <f>Dashboard!K84</f>
        <v>LANDING PAGE</v>
      </c>
      <c r="D64" s="1290">
        <f>Dashboard!U84</f>
        <v>9.9999999999999978E-2</v>
      </c>
      <c r="E64" s="1088">
        <f>SUM(J64:AN64)</f>
        <v>0.03</v>
      </c>
      <c r="F64" s="208">
        <f t="shared" ref="F64:F70" si="51">E64-D64</f>
        <v>-6.9999999999999979E-2</v>
      </c>
      <c r="G64" s="208">
        <f t="shared" ref="G64:G68" si="52">_xlfn.IFS(F64&gt;0,1,F64&lt;=0,E64/D64)</f>
        <v>0.30000000000000004</v>
      </c>
      <c r="H64" s="208">
        <f>D64/'Action Plan'!$C$6</f>
        <v>3.8461538461538455E-3</v>
      </c>
      <c r="I64" s="1269">
        <f t="shared" ref="I64:I70" ca="1" si="53">SUMIF($J$5:$AN$5,TODAY(),J64:AN64)</f>
        <v>0</v>
      </c>
      <c r="J64" s="1278">
        <v>0</v>
      </c>
      <c r="K64" s="1278">
        <v>0</v>
      </c>
      <c r="L64" s="1278">
        <v>0</v>
      </c>
      <c r="M64" s="1278">
        <v>0</v>
      </c>
      <c r="N64" s="1278">
        <v>0</v>
      </c>
      <c r="O64" s="1278">
        <v>0</v>
      </c>
      <c r="P64" s="1278">
        <v>0</v>
      </c>
      <c r="Q64" s="1278">
        <v>0</v>
      </c>
      <c r="R64" s="1278">
        <v>0</v>
      </c>
      <c r="S64" s="1278">
        <v>0</v>
      </c>
      <c r="T64" s="1278">
        <v>0</v>
      </c>
      <c r="U64" s="1278">
        <v>0</v>
      </c>
      <c r="V64" s="1278">
        <v>0</v>
      </c>
      <c r="W64" s="1278">
        <v>0</v>
      </c>
      <c r="X64" s="1278">
        <v>0</v>
      </c>
      <c r="Y64" s="1278">
        <v>0</v>
      </c>
      <c r="Z64" s="1278">
        <v>0</v>
      </c>
      <c r="AA64" s="1278">
        <v>0</v>
      </c>
      <c r="AB64" s="1278">
        <v>0</v>
      </c>
      <c r="AC64" s="1278">
        <v>0</v>
      </c>
      <c r="AD64" s="1278">
        <v>0</v>
      </c>
      <c r="AE64" s="1278">
        <v>0</v>
      </c>
      <c r="AF64" s="1278">
        <v>0</v>
      </c>
      <c r="AG64" s="1278">
        <v>0</v>
      </c>
      <c r="AH64" s="1278">
        <v>0</v>
      </c>
      <c r="AI64" s="1278">
        <v>0</v>
      </c>
      <c r="AJ64" s="1278">
        <v>0</v>
      </c>
      <c r="AK64" s="1278">
        <v>0</v>
      </c>
      <c r="AL64" s="1278">
        <v>0</v>
      </c>
      <c r="AM64" s="1278">
        <v>0</v>
      </c>
      <c r="AN64" s="1281">
        <v>0.03</v>
      </c>
    </row>
    <row r="65" spans="1:40" ht="20" customHeight="1" x14ac:dyDescent="0.15">
      <c r="A65" s="171"/>
      <c r="B65" s="183"/>
      <c r="C65" s="693" t="str">
        <f>Dashboard!K85</f>
        <v>WEBSITE</v>
      </c>
      <c r="D65" s="1290">
        <f>Dashboard!U85</f>
        <v>4.9999999999999989E-2</v>
      </c>
      <c r="E65" s="1088">
        <f t="shared" ref="E65:E69" si="54">SUM(J65:AN65)</f>
        <v>0.02</v>
      </c>
      <c r="F65" s="208">
        <f t="shared" si="51"/>
        <v>-2.9999999999999988E-2</v>
      </c>
      <c r="G65" s="208">
        <f t="shared" si="52"/>
        <v>0.40000000000000008</v>
      </c>
      <c r="H65" s="208">
        <f>D65/'Action Plan'!$C$6</f>
        <v>1.9230769230769227E-3</v>
      </c>
      <c r="I65" s="1269">
        <f t="shared" ca="1" si="53"/>
        <v>0</v>
      </c>
      <c r="J65" s="1278">
        <v>0</v>
      </c>
      <c r="K65" s="1278">
        <v>0</v>
      </c>
      <c r="L65" s="1278">
        <v>0</v>
      </c>
      <c r="M65" s="1278">
        <v>0</v>
      </c>
      <c r="N65" s="1278">
        <v>0</v>
      </c>
      <c r="O65" s="1278">
        <v>0</v>
      </c>
      <c r="P65" s="1278">
        <v>0</v>
      </c>
      <c r="Q65" s="1278">
        <v>0</v>
      </c>
      <c r="R65" s="1278">
        <v>0</v>
      </c>
      <c r="S65" s="1278">
        <v>0</v>
      </c>
      <c r="T65" s="1278">
        <v>0</v>
      </c>
      <c r="U65" s="1278">
        <v>0</v>
      </c>
      <c r="V65" s="1278">
        <v>0</v>
      </c>
      <c r="W65" s="1278">
        <v>0</v>
      </c>
      <c r="X65" s="1278">
        <v>0</v>
      </c>
      <c r="Y65" s="1278">
        <v>0</v>
      </c>
      <c r="Z65" s="1278">
        <v>0</v>
      </c>
      <c r="AA65" s="1278">
        <v>0</v>
      </c>
      <c r="AB65" s="1278">
        <v>0</v>
      </c>
      <c r="AC65" s="1278">
        <v>0</v>
      </c>
      <c r="AD65" s="1278">
        <v>0</v>
      </c>
      <c r="AE65" s="1278">
        <v>0</v>
      </c>
      <c r="AF65" s="1278">
        <v>0</v>
      </c>
      <c r="AG65" s="1278">
        <v>0</v>
      </c>
      <c r="AH65" s="1278">
        <v>0</v>
      </c>
      <c r="AI65" s="1278">
        <v>0</v>
      </c>
      <c r="AJ65" s="1278">
        <v>0</v>
      </c>
      <c r="AK65" s="1278">
        <v>0</v>
      </c>
      <c r="AL65" s="1278">
        <v>0</v>
      </c>
      <c r="AM65" s="1278">
        <v>0</v>
      </c>
      <c r="AN65" s="1281">
        <v>0.02</v>
      </c>
    </row>
    <row r="66" spans="1:40" ht="20" customHeight="1" x14ac:dyDescent="0.15">
      <c r="A66" s="171"/>
      <c r="B66" s="183"/>
      <c r="C66" s="693" t="str">
        <f>Dashboard!K86</f>
        <v>TIKTOKSHOP</v>
      </c>
      <c r="D66" s="1290">
        <f>Dashboard!U86</f>
        <v>0.64999999999999991</v>
      </c>
      <c r="E66" s="1088">
        <f t="shared" si="54"/>
        <v>0.91000000000000059</v>
      </c>
      <c r="F66" s="208">
        <f>E66-D66</f>
        <v>0.26000000000000068</v>
      </c>
      <c r="G66" s="208">
        <f t="shared" si="52"/>
        <v>1</v>
      </c>
      <c r="H66" s="208">
        <f>D66/'Action Plan'!$C$6</f>
        <v>2.4999999999999998E-2</v>
      </c>
      <c r="I66" s="1269">
        <f t="shared" ca="1" si="53"/>
        <v>0</v>
      </c>
      <c r="J66" s="1282">
        <v>0.03</v>
      </c>
      <c r="K66" s="1282">
        <v>0.03</v>
      </c>
      <c r="L66" s="1282">
        <v>0.03</v>
      </c>
      <c r="M66" s="1282">
        <v>0.03</v>
      </c>
      <c r="N66" s="1282">
        <v>0.03</v>
      </c>
      <c r="O66" s="1282">
        <v>0.03</v>
      </c>
      <c r="P66" s="1282">
        <v>0.03</v>
      </c>
      <c r="Q66" s="1282">
        <v>0.03</v>
      </c>
      <c r="R66" s="1282">
        <v>0.03</v>
      </c>
      <c r="S66" s="1282">
        <v>0.03</v>
      </c>
      <c r="T66" s="1282">
        <v>0.03</v>
      </c>
      <c r="U66" s="1282">
        <v>0.03</v>
      </c>
      <c r="V66" s="1282">
        <v>0.03</v>
      </c>
      <c r="W66" s="1282">
        <v>0.03</v>
      </c>
      <c r="X66" s="1282">
        <v>0.03</v>
      </c>
      <c r="Y66" s="1282">
        <v>0.03</v>
      </c>
      <c r="Z66" s="1282">
        <v>0.03</v>
      </c>
      <c r="AA66" s="1282">
        <v>0.03</v>
      </c>
      <c r="AB66" s="1282">
        <v>0.03</v>
      </c>
      <c r="AC66" s="1282">
        <v>0.03</v>
      </c>
      <c r="AD66" s="1282">
        <v>0.03</v>
      </c>
      <c r="AE66" s="1282">
        <v>0.03</v>
      </c>
      <c r="AF66" s="1282">
        <v>0.03</v>
      </c>
      <c r="AG66" s="1282">
        <v>0.03</v>
      </c>
      <c r="AH66" s="1282">
        <v>0.03</v>
      </c>
      <c r="AI66" s="1282">
        <v>0.03</v>
      </c>
      <c r="AJ66" s="1282">
        <v>0.03</v>
      </c>
      <c r="AK66" s="1282">
        <v>0.03</v>
      </c>
      <c r="AL66" s="1282">
        <v>0.03</v>
      </c>
      <c r="AM66" s="1282">
        <v>0.03</v>
      </c>
      <c r="AN66" s="1298">
        <v>0.01</v>
      </c>
    </row>
    <row r="67" spans="1:40" ht="20" customHeight="1" x14ac:dyDescent="0.15">
      <c r="A67" s="171"/>
      <c r="B67" s="183"/>
      <c r="C67" s="693" t="str">
        <f>Dashboard!K87</f>
        <v>SHOPPEE</v>
      </c>
      <c r="D67" s="1290">
        <f>Dashboard!U87</f>
        <v>0.3</v>
      </c>
      <c r="E67" s="1088">
        <f t="shared" si="54"/>
        <v>0.31000000000000011</v>
      </c>
      <c r="F67" s="208">
        <f t="shared" si="51"/>
        <v>1.000000000000012E-2</v>
      </c>
      <c r="G67" s="208">
        <f t="shared" si="52"/>
        <v>1</v>
      </c>
      <c r="H67" s="208">
        <f>D67/'Action Plan'!$C$6</f>
        <v>1.1538461538461537E-2</v>
      </c>
      <c r="I67" s="1269">
        <f t="shared" ca="1" si="53"/>
        <v>0</v>
      </c>
      <c r="J67" s="1282">
        <v>0.01</v>
      </c>
      <c r="K67" s="1282">
        <v>0.01</v>
      </c>
      <c r="L67" s="1282">
        <v>0.01</v>
      </c>
      <c r="M67" s="1282">
        <v>0.01</v>
      </c>
      <c r="N67" s="1282">
        <v>0.01</v>
      </c>
      <c r="O67" s="1282">
        <v>0.01</v>
      </c>
      <c r="P67" s="1282">
        <v>0.01</v>
      </c>
      <c r="Q67" s="1282">
        <v>0.01</v>
      </c>
      <c r="R67" s="1282">
        <v>0.01</v>
      </c>
      <c r="S67" s="1282">
        <v>0.01</v>
      </c>
      <c r="T67" s="1282">
        <v>0.01</v>
      </c>
      <c r="U67" s="1282">
        <v>0.01</v>
      </c>
      <c r="V67" s="1282">
        <v>0.01</v>
      </c>
      <c r="W67" s="1282">
        <v>0.01</v>
      </c>
      <c r="X67" s="1282">
        <v>0.01</v>
      </c>
      <c r="Y67" s="1282">
        <v>0.01</v>
      </c>
      <c r="Z67" s="1282">
        <v>0.01</v>
      </c>
      <c r="AA67" s="1282">
        <v>0.01</v>
      </c>
      <c r="AB67" s="1282">
        <v>0.01</v>
      </c>
      <c r="AC67" s="1282">
        <v>0.01</v>
      </c>
      <c r="AD67" s="1282">
        <v>0.01</v>
      </c>
      <c r="AE67" s="1282">
        <v>0.01</v>
      </c>
      <c r="AF67" s="1282">
        <v>0.01</v>
      </c>
      <c r="AG67" s="1282">
        <v>0.01</v>
      </c>
      <c r="AH67" s="1282">
        <v>0.01</v>
      </c>
      <c r="AI67" s="1282">
        <v>0.01</v>
      </c>
      <c r="AJ67" s="1282">
        <v>0.01</v>
      </c>
      <c r="AK67" s="1282">
        <v>0.01</v>
      </c>
      <c r="AL67" s="1282">
        <v>0.01</v>
      </c>
      <c r="AM67" s="1282">
        <v>0.01</v>
      </c>
      <c r="AN67" s="1298">
        <v>0.01</v>
      </c>
    </row>
    <row r="68" spans="1:40" ht="20" customHeight="1" thickBot="1" x14ac:dyDescent="0.2">
      <c r="A68" s="171"/>
      <c r="B68" s="183"/>
      <c r="C68" s="699" t="str">
        <f>Dashboard!K88</f>
        <v>ZALO</v>
      </c>
      <c r="D68" s="1291">
        <f>Dashboard!U88</f>
        <v>0.05</v>
      </c>
      <c r="E68" s="1089">
        <f t="shared" si="54"/>
        <v>0.01</v>
      </c>
      <c r="F68" s="1267">
        <f t="shared" si="51"/>
        <v>-0.04</v>
      </c>
      <c r="G68" s="1267">
        <f t="shared" si="52"/>
        <v>0.19999999999999998</v>
      </c>
      <c r="H68" s="1267">
        <f>D68/'Action Plan'!$C$6</f>
        <v>1.9230769230769232E-3</v>
      </c>
      <c r="I68" s="1267">
        <f t="shared" ca="1" si="53"/>
        <v>0</v>
      </c>
      <c r="J68" s="1284">
        <v>0</v>
      </c>
      <c r="K68" s="1284">
        <v>0</v>
      </c>
      <c r="L68" s="1284">
        <v>0</v>
      </c>
      <c r="M68" s="1284">
        <v>0</v>
      </c>
      <c r="N68" s="1284">
        <v>0</v>
      </c>
      <c r="O68" s="1284">
        <v>0</v>
      </c>
      <c r="P68" s="1284">
        <v>0</v>
      </c>
      <c r="Q68" s="1284">
        <v>0</v>
      </c>
      <c r="R68" s="1284">
        <v>0</v>
      </c>
      <c r="S68" s="1284">
        <v>0</v>
      </c>
      <c r="T68" s="1284">
        <v>0</v>
      </c>
      <c r="U68" s="1284">
        <v>0</v>
      </c>
      <c r="V68" s="1284">
        <v>0</v>
      </c>
      <c r="W68" s="1284">
        <v>0</v>
      </c>
      <c r="X68" s="1284">
        <v>0</v>
      </c>
      <c r="Y68" s="1284">
        <v>0</v>
      </c>
      <c r="Z68" s="1284">
        <v>0</v>
      </c>
      <c r="AA68" s="1284">
        <v>0</v>
      </c>
      <c r="AB68" s="1284">
        <v>0</v>
      </c>
      <c r="AC68" s="1284">
        <v>0</v>
      </c>
      <c r="AD68" s="1284">
        <v>0</v>
      </c>
      <c r="AE68" s="1284">
        <v>0</v>
      </c>
      <c r="AF68" s="1284">
        <v>0</v>
      </c>
      <c r="AG68" s="1284">
        <v>0</v>
      </c>
      <c r="AH68" s="1284">
        <v>0</v>
      </c>
      <c r="AI68" s="1284">
        <v>0</v>
      </c>
      <c r="AJ68" s="1284">
        <v>0</v>
      </c>
      <c r="AK68" s="1284">
        <v>0</v>
      </c>
      <c r="AL68" s="1284">
        <v>0</v>
      </c>
      <c r="AM68" s="1284">
        <v>0</v>
      </c>
      <c r="AN68" s="1299">
        <v>0.01</v>
      </c>
    </row>
    <row r="69" spans="1:40" ht="16" hidden="1" x14ac:dyDescent="0.15">
      <c r="A69" s="171"/>
      <c r="B69" s="171"/>
      <c r="C69" s="175" t="str">
        <f>Dashboard!K74</f>
        <v>ZALO</v>
      </c>
      <c r="D69" s="179">
        <f>Dashboard!M74</f>
        <v>25000000</v>
      </c>
      <c r="E69" s="72">
        <f t="shared" si="54"/>
        <v>0</v>
      </c>
      <c r="F69" s="72">
        <f t="shared" si="51"/>
        <v>-25000000</v>
      </c>
      <c r="G69" s="177" t="e">
        <f t="shared" ref="G69" ca="1" si="55">_xludf.IFS(F69&gt;0,1,F69&lt;=0,E69/D69)</f>
        <v>#NAME?</v>
      </c>
      <c r="H69" s="72">
        <f>D69/'Action Plan'!$C$6</f>
        <v>961538.4615384615</v>
      </c>
      <c r="I69" s="171">
        <f t="shared" ca="1" si="53"/>
        <v>0</v>
      </c>
      <c r="J69" s="171"/>
      <c r="K69" s="171"/>
      <c r="L69" s="171"/>
      <c r="M69" s="171"/>
      <c r="N69" s="171"/>
      <c r="O69" s="171"/>
      <c r="P69" s="171"/>
      <c r="Q69" s="171"/>
      <c r="R69" s="171"/>
      <c r="S69" s="171"/>
      <c r="T69" s="171"/>
      <c r="U69" s="171"/>
      <c r="V69" s="171"/>
      <c r="W69" s="171"/>
      <c r="X69" s="171"/>
      <c r="Y69" s="171"/>
      <c r="Z69" s="171"/>
      <c r="AA69" s="171"/>
      <c r="AB69" s="171"/>
      <c r="AC69" s="171"/>
      <c r="AD69" s="171"/>
      <c r="AE69" s="171"/>
      <c r="AF69" s="171"/>
      <c r="AG69" s="171"/>
      <c r="AH69" s="171"/>
      <c r="AI69" s="171"/>
      <c r="AJ69" s="171"/>
      <c r="AK69" s="171"/>
      <c r="AL69" s="171"/>
      <c r="AM69" s="171"/>
      <c r="AN69" s="171"/>
    </row>
    <row r="70" spans="1:40" ht="17" hidden="1" x14ac:dyDescent="0.15">
      <c r="A70" s="10"/>
      <c r="B70" s="10"/>
      <c r="C70" s="161" t="s">
        <v>27</v>
      </c>
      <c r="D70" s="165">
        <f>Dashboard!E75</f>
        <v>0.37333333333333335</v>
      </c>
      <c r="E70" s="163">
        <f>Dashboard!F75</f>
        <v>19.066666666666666</v>
      </c>
      <c r="F70" s="164">
        <f t="shared" si="51"/>
        <v>18.693333333333332</v>
      </c>
      <c r="G70" s="165" t="e">
        <f t="shared" ref="G70:G82" ca="1" si="56">_xludf.IFS(F70&gt;0,0,F70&lt;=0,E70/D70)</f>
        <v>#NAME?</v>
      </c>
      <c r="H70" s="162">
        <f>D70/'Action Plan'!$C$6</f>
        <v>1.4358974358974359E-2</v>
      </c>
      <c r="I70" s="166">
        <f t="shared" ca="1" si="53"/>
        <v>0</v>
      </c>
      <c r="J70" s="173" t="e">
        <f>(J71+#REF!)/2</f>
        <v>#REF!</v>
      </c>
      <c r="K70" s="173" t="e">
        <f>(K71+#REF!)/2</f>
        <v>#REF!</v>
      </c>
      <c r="L70" s="173" t="e">
        <f>(L71+#REF!)/2</f>
        <v>#REF!</v>
      </c>
      <c r="M70" s="173" t="e">
        <f>(M71+#REF!)/2</f>
        <v>#REF!</v>
      </c>
      <c r="N70" s="173" t="e">
        <f>(N71+#REF!)/2</f>
        <v>#REF!</v>
      </c>
      <c r="O70" s="173" t="e">
        <f>(O71+#REF!)/2</f>
        <v>#REF!</v>
      </c>
      <c r="P70" s="173" t="e">
        <f>(P71+#REF!)/2</f>
        <v>#REF!</v>
      </c>
      <c r="Q70" s="173" t="e">
        <f>(Q71+#REF!)/2</f>
        <v>#REF!</v>
      </c>
      <c r="R70" s="173" t="e">
        <f>(R71+#REF!)/2</f>
        <v>#REF!</v>
      </c>
      <c r="S70" s="173" t="e">
        <f>(S71+#REF!)/2</f>
        <v>#REF!</v>
      </c>
      <c r="T70" s="173" t="e">
        <f>(T71+#REF!)/2</f>
        <v>#REF!</v>
      </c>
      <c r="U70" s="173" t="e">
        <f>(U71+#REF!)/2</f>
        <v>#REF!</v>
      </c>
      <c r="V70" s="173" t="e">
        <f>(V71+#REF!)/2</f>
        <v>#REF!</v>
      </c>
      <c r="W70" s="173" t="e">
        <f>(W71+#REF!)/2</f>
        <v>#REF!</v>
      </c>
      <c r="X70" s="173" t="e">
        <f>(X71+#REF!)/2</f>
        <v>#REF!</v>
      </c>
      <c r="Y70" s="173" t="e">
        <f>(Y71+#REF!)/2</f>
        <v>#REF!</v>
      </c>
      <c r="Z70" s="173" t="e">
        <f>(Z71+#REF!)/2</f>
        <v>#REF!</v>
      </c>
      <c r="AA70" s="173" t="e">
        <f>(AA71+#REF!)/2</f>
        <v>#REF!</v>
      </c>
      <c r="AB70" s="173" t="e">
        <f>(AB71+#REF!)/2</f>
        <v>#REF!</v>
      </c>
      <c r="AC70" s="173" t="e">
        <f>(AC71+#REF!)/2</f>
        <v>#REF!</v>
      </c>
      <c r="AD70" s="173" t="e">
        <f>(AD71+#REF!)/2</f>
        <v>#REF!</v>
      </c>
      <c r="AE70" s="173" t="e">
        <f>(AE71+#REF!)/2</f>
        <v>#REF!</v>
      </c>
      <c r="AF70" s="173" t="e">
        <f>(AF71+#REF!)/2</f>
        <v>#REF!</v>
      </c>
      <c r="AG70" s="173" t="e">
        <f>(AG71+#REF!)/2</f>
        <v>#REF!</v>
      </c>
      <c r="AH70" s="173" t="e">
        <f>(AH71+#REF!)/2</f>
        <v>#REF!</v>
      </c>
      <c r="AI70" s="173" t="e">
        <f>(AI71+#REF!)/2</f>
        <v>#REF!</v>
      </c>
      <c r="AJ70" s="173" t="e">
        <f>(AJ71+#REF!)/2</f>
        <v>#REF!</v>
      </c>
      <c r="AK70" s="173" t="e">
        <f>(AK71+#REF!)/2</f>
        <v>#REF!</v>
      </c>
      <c r="AL70" s="173" t="e">
        <f>(AL71+#REF!)/2</f>
        <v>#REF!</v>
      </c>
      <c r="AM70" s="173" t="e">
        <f>(AM71+#REF!)/2</f>
        <v>#REF!</v>
      </c>
      <c r="AN70" s="173" t="e">
        <f>(AN71+#REF!)/2</f>
        <v>#REF!</v>
      </c>
    </row>
    <row r="71" spans="1:40" ht="13" hidden="1" x14ac:dyDescent="0.15">
      <c r="A71" s="9"/>
      <c r="B71" s="9"/>
      <c r="C71" s="178" t="str">
        <f>Dashboard!K75</f>
        <v>A/S RATIO</v>
      </c>
      <c r="D71" s="180">
        <f>Dashboard!M75</f>
        <v>0.18666666666666668</v>
      </c>
      <c r="E71" s="168">
        <f t="shared" ref="E71:F71" si="57">AVERAGE(E72:E77)</f>
        <v>45000000.000000022</v>
      </c>
      <c r="F71" s="169">
        <f t="shared" si="57"/>
        <v>44999999.813333355</v>
      </c>
      <c r="G71" s="170" t="e">
        <f t="shared" ca="1" si="56"/>
        <v>#NAME?</v>
      </c>
      <c r="H71" s="181">
        <f t="shared" ref="H71:AN71" si="58">AVERAGE(H72:H77)</f>
        <v>7.1794871794871795E-3</v>
      </c>
      <c r="I71" s="174">
        <f t="shared" ca="1" si="58"/>
        <v>0</v>
      </c>
      <c r="J71" s="20">
        <f t="shared" si="58"/>
        <v>1388888.888888889</v>
      </c>
      <c r="K71" s="20">
        <f t="shared" si="58"/>
        <v>1388888.888888889</v>
      </c>
      <c r="L71" s="20">
        <f t="shared" si="58"/>
        <v>1388888.888888889</v>
      </c>
      <c r="M71" s="20">
        <f t="shared" si="58"/>
        <v>1388888.888888889</v>
      </c>
      <c r="N71" s="20">
        <f t="shared" si="58"/>
        <v>1388888.888888889</v>
      </c>
      <c r="O71" s="20">
        <f t="shared" si="58"/>
        <v>1388888.888888889</v>
      </c>
      <c r="P71" s="20">
        <f t="shared" si="58"/>
        <v>1388888.888888889</v>
      </c>
      <c r="Q71" s="20">
        <f t="shared" si="58"/>
        <v>1388888.888888889</v>
      </c>
      <c r="R71" s="20">
        <f t="shared" si="58"/>
        <v>1388888.888888889</v>
      </c>
      <c r="S71" s="20">
        <f t="shared" si="58"/>
        <v>1388888.888888889</v>
      </c>
      <c r="T71" s="20">
        <f t="shared" si="58"/>
        <v>1388888.888888889</v>
      </c>
      <c r="U71" s="20">
        <f t="shared" si="58"/>
        <v>1388888.888888889</v>
      </c>
      <c r="V71" s="20">
        <f t="shared" si="58"/>
        <v>1388888.888888889</v>
      </c>
      <c r="W71" s="20">
        <f t="shared" si="58"/>
        <v>1388888.888888889</v>
      </c>
      <c r="X71" s="20">
        <f t="shared" si="58"/>
        <v>1388888.888888889</v>
      </c>
      <c r="Y71" s="20">
        <f t="shared" si="58"/>
        <v>1388888.888888889</v>
      </c>
      <c r="Z71" s="20">
        <f t="shared" si="58"/>
        <v>1388888.888888889</v>
      </c>
      <c r="AA71" s="20">
        <f t="shared" si="58"/>
        <v>1388888.888888889</v>
      </c>
      <c r="AB71" s="20">
        <f t="shared" si="58"/>
        <v>1388888.888888889</v>
      </c>
      <c r="AC71" s="20">
        <f t="shared" si="58"/>
        <v>1388888.888888889</v>
      </c>
      <c r="AD71" s="20">
        <f t="shared" si="58"/>
        <v>1388888.888888889</v>
      </c>
      <c r="AE71" s="20">
        <f t="shared" si="58"/>
        <v>1388888.888888889</v>
      </c>
      <c r="AF71" s="20">
        <f t="shared" si="58"/>
        <v>1388888.888888889</v>
      </c>
      <c r="AG71" s="20">
        <f t="shared" si="58"/>
        <v>1388888.888888889</v>
      </c>
      <c r="AH71" s="20">
        <f t="shared" si="58"/>
        <v>1388888.888888889</v>
      </c>
      <c r="AI71" s="20">
        <f t="shared" si="58"/>
        <v>1388888.888888889</v>
      </c>
      <c r="AJ71" s="20">
        <f t="shared" si="58"/>
        <v>1388888.888888889</v>
      </c>
      <c r="AK71" s="20">
        <f t="shared" si="58"/>
        <v>1388888.888888889</v>
      </c>
      <c r="AL71" s="20">
        <f t="shared" si="58"/>
        <v>1388888.888888889</v>
      </c>
      <c r="AM71" s="20">
        <f t="shared" si="58"/>
        <v>1388888.888888889</v>
      </c>
      <c r="AN71" s="20">
        <f t="shared" si="58"/>
        <v>3333333.3333333335</v>
      </c>
    </row>
    <row r="72" spans="1:40" ht="13" hidden="1" x14ac:dyDescent="0.15">
      <c r="A72" s="171"/>
      <c r="B72" s="171"/>
      <c r="C72" s="175" t="str">
        <f>Dashboard!K76</f>
        <v>FACEBOOK</v>
      </c>
      <c r="D72" s="74">
        <f>Dashboard!M76</f>
        <v>0.1</v>
      </c>
      <c r="E72" s="72">
        <f t="shared" ref="E72:E77" si="59">SUM(J72:AN72)</f>
        <v>0</v>
      </c>
      <c r="F72" s="72">
        <f t="shared" ref="F72:F78" si="60">E72-D72</f>
        <v>-0.1</v>
      </c>
      <c r="G72" s="177" t="e">
        <f t="shared" ca="1" si="56"/>
        <v>#NAME?</v>
      </c>
      <c r="H72" s="72">
        <f>D72/'Action Plan'!$C$6</f>
        <v>3.8461538461538464E-3</v>
      </c>
      <c r="I72" s="171">
        <f t="shared" ref="I72:I78" ca="1" si="61">SUMIF($J$5:$AN$5,TODAY(),J72:AN72)</f>
        <v>0</v>
      </c>
      <c r="J72" s="171">
        <f t="shared" ref="J72:AN72" si="62">IF(J63&lt;&gt;0,J$9/J63,0)</f>
        <v>0</v>
      </c>
      <c r="K72" s="171">
        <f t="shared" si="62"/>
        <v>0</v>
      </c>
      <c r="L72" s="171">
        <f t="shared" si="62"/>
        <v>0</v>
      </c>
      <c r="M72" s="171">
        <f t="shared" si="62"/>
        <v>0</v>
      </c>
      <c r="N72" s="171">
        <f t="shared" si="62"/>
        <v>0</v>
      </c>
      <c r="O72" s="171">
        <f t="shared" si="62"/>
        <v>0</v>
      </c>
      <c r="P72" s="171">
        <f t="shared" si="62"/>
        <v>0</v>
      </c>
      <c r="Q72" s="171">
        <f t="shared" si="62"/>
        <v>0</v>
      </c>
      <c r="R72" s="171">
        <f t="shared" si="62"/>
        <v>0</v>
      </c>
      <c r="S72" s="171">
        <f t="shared" si="62"/>
        <v>0</v>
      </c>
      <c r="T72" s="171">
        <f t="shared" si="62"/>
        <v>0</v>
      </c>
      <c r="U72" s="171">
        <f t="shared" si="62"/>
        <v>0</v>
      </c>
      <c r="V72" s="171">
        <f t="shared" si="62"/>
        <v>0</v>
      </c>
      <c r="W72" s="171">
        <f t="shared" si="62"/>
        <v>0</v>
      </c>
      <c r="X72" s="171">
        <f t="shared" si="62"/>
        <v>0</v>
      </c>
      <c r="Y72" s="171">
        <f t="shared" si="62"/>
        <v>0</v>
      </c>
      <c r="Z72" s="171">
        <f t="shared" si="62"/>
        <v>0</v>
      </c>
      <c r="AA72" s="171">
        <f t="shared" si="62"/>
        <v>0</v>
      </c>
      <c r="AB72" s="171">
        <f t="shared" si="62"/>
        <v>0</v>
      </c>
      <c r="AC72" s="171">
        <f t="shared" si="62"/>
        <v>0</v>
      </c>
      <c r="AD72" s="171">
        <f t="shared" si="62"/>
        <v>0</v>
      </c>
      <c r="AE72" s="171">
        <f t="shared" si="62"/>
        <v>0</v>
      </c>
      <c r="AF72" s="171">
        <f t="shared" si="62"/>
        <v>0</v>
      </c>
      <c r="AG72" s="171">
        <f t="shared" si="62"/>
        <v>0</v>
      </c>
      <c r="AH72" s="171">
        <f t="shared" si="62"/>
        <v>0</v>
      </c>
      <c r="AI72" s="171">
        <f t="shared" si="62"/>
        <v>0</v>
      </c>
      <c r="AJ72" s="171">
        <f t="shared" si="62"/>
        <v>0</v>
      </c>
      <c r="AK72" s="171">
        <f t="shared" si="62"/>
        <v>0</v>
      </c>
      <c r="AL72" s="171">
        <f t="shared" si="62"/>
        <v>0</v>
      </c>
      <c r="AM72" s="171">
        <f t="shared" si="62"/>
        <v>0</v>
      </c>
      <c r="AN72" s="171">
        <f t="shared" si="62"/>
        <v>0</v>
      </c>
    </row>
    <row r="73" spans="1:40" ht="13" hidden="1" x14ac:dyDescent="0.15">
      <c r="A73" s="171"/>
      <c r="B73" s="171"/>
      <c r="C73" s="175" t="str">
        <f>Dashboard!K77</f>
        <v>LANDING PAGE</v>
      </c>
      <c r="D73" s="74">
        <f>Dashboard!M77</f>
        <v>0.12</v>
      </c>
      <c r="E73" s="72">
        <f t="shared" si="59"/>
        <v>0</v>
      </c>
      <c r="F73" s="72">
        <f t="shared" si="60"/>
        <v>-0.12</v>
      </c>
      <c r="G73" s="177" t="e">
        <f t="shared" ca="1" si="56"/>
        <v>#NAME?</v>
      </c>
      <c r="H73" s="72">
        <f>D73/'Action Plan'!$C$6</f>
        <v>4.6153846153846149E-3</v>
      </c>
      <c r="I73" s="171">
        <f t="shared" ca="1" si="61"/>
        <v>0</v>
      </c>
      <c r="J73" s="171">
        <f t="shared" ref="J73:AN73" si="63">IF(J64&lt;&gt;0,J$15/J64,0)</f>
        <v>0</v>
      </c>
      <c r="K73" s="171">
        <f t="shared" si="63"/>
        <v>0</v>
      </c>
      <c r="L73" s="171">
        <f t="shared" si="63"/>
        <v>0</v>
      </c>
      <c r="M73" s="171">
        <f t="shared" si="63"/>
        <v>0</v>
      </c>
      <c r="N73" s="171">
        <f t="shared" si="63"/>
        <v>0</v>
      </c>
      <c r="O73" s="171">
        <f t="shared" si="63"/>
        <v>0</v>
      </c>
      <c r="P73" s="171">
        <f t="shared" si="63"/>
        <v>0</v>
      </c>
      <c r="Q73" s="171">
        <f t="shared" si="63"/>
        <v>0</v>
      </c>
      <c r="R73" s="171">
        <f t="shared" si="63"/>
        <v>0</v>
      </c>
      <c r="S73" s="171">
        <f t="shared" si="63"/>
        <v>0</v>
      </c>
      <c r="T73" s="171">
        <f t="shared" si="63"/>
        <v>0</v>
      </c>
      <c r="U73" s="171">
        <f t="shared" si="63"/>
        <v>0</v>
      </c>
      <c r="V73" s="171">
        <f t="shared" si="63"/>
        <v>0</v>
      </c>
      <c r="W73" s="171">
        <f t="shared" si="63"/>
        <v>0</v>
      </c>
      <c r="X73" s="171">
        <f t="shared" si="63"/>
        <v>0</v>
      </c>
      <c r="Y73" s="171">
        <f t="shared" si="63"/>
        <v>0</v>
      </c>
      <c r="Z73" s="171">
        <f t="shared" si="63"/>
        <v>0</v>
      </c>
      <c r="AA73" s="171">
        <f t="shared" si="63"/>
        <v>0</v>
      </c>
      <c r="AB73" s="171">
        <f t="shared" si="63"/>
        <v>0</v>
      </c>
      <c r="AC73" s="171">
        <f t="shared" si="63"/>
        <v>0</v>
      </c>
      <c r="AD73" s="171">
        <f t="shared" si="63"/>
        <v>0</v>
      </c>
      <c r="AE73" s="171">
        <f t="shared" si="63"/>
        <v>0</v>
      </c>
      <c r="AF73" s="171">
        <f t="shared" si="63"/>
        <v>0</v>
      </c>
      <c r="AG73" s="171">
        <f t="shared" si="63"/>
        <v>0</v>
      </c>
      <c r="AH73" s="171">
        <f t="shared" si="63"/>
        <v>0</v>
      </c>
      <c r="AI73" s="171">
        <f t="shared" si="63"/>
        <v>0</v>
      </c>
      <c r="AJ73" s="171">
        <f t="shared" si="63"/>
        <v>0</v>
      </c>
      <c r="AK73" s="171">
        <f t="shared" si="63"/>
        <v>0</v>
      </c>
      <c r="AL73" s="171">
        <f t="shared" si="63"/>
        <v>0</v>
      </c>
      <c r="AM73" s="171">
        <f t="shared" si="63"/>
        <v>0</v>
      </c>
      <c r="AN73" s="171">
        <f t="shared" si="63"/>
        <v>0</v>
      </c>
    </row>
    <row r="74" spans="1:40" ht="13" hidden="1" x14ac:dyDescent="0.15">
      <c r="A74" s="171"/>
      <c r="B74" s="171"/>
      <c r="C74" s="175" t="str">
        <f>Dashboard!K78</f>
        <v>WEBSITE</v>
      </c>
      <c r="D74" s="74">
        <f>Dashboard!M78</f>
        <v>0.1</v>
      </c>
      <c r="E74" s="72">
        <f t="shared" si="59"/>
        <v>0</v>
      </c>
      <c r="F74" s="72">
        <f t="shared" si="60"/>
        <v>-0.1</v>
      </c>
      <c r="G74" s="177" t="e">
        <f t="shared" ca="1" si="56"/>
        <v>#NAME?</v>
      </c>
      <c r="H74" s="72">
        <f>D74/'Action Plan'!$C$6</f>
        <v>3.8461538461538464E-3</v>
      </c>
      <c r="I74" s="171">
        <f t="shared" ca="1" si="61"/>
        <v>0</v>
      </c>
      <c r="J74" s="171">
        <f t="shared" ref="J74:AN74" si="64">IF(J65&lt;&gt;0,J$21/J65,0)</f>
        <v>0</v>
      </c>
      <c r="K74" s="171">
        <f t="shared" si="64"/>
        <v>0</v>
      </c>
      <c r="L74" s="171">
        <f t="shared" si="64"/>
        <v>0</v>
      </c>
      <c r="M74" s="171">
        <f t="shared" si="64"/>
        <v>0</v>
      </c>
      <c r="N74" s="171">
        <f t="shared" si="64"/>
        <v>0</v>
      </c>
      <c r="O74" s="171">
        <f t="shared" si="64"/>
        <v>0</v>
      </c>
      <c r="P74" s="171">
        <f t="shared" si="64"/>
        <v>0</v>
      </c>
      <c r="Q74" s="171">
        <f t="shared" si="64"/>
        <v>0</v>
      </c>
      <c r="R74" s="171">
        <f t="shared" si="64"/>
        <v>0</v>
      </c>
      <c r="S74" s="171">
        <f t="shared" si="64"/>
        <v>0</v>
      </c>
      <c r="T74" s="171">
        <f t="shared" si="64"/>
        <v>0</v>
      </c>
      <c r="U74" s="171">
        <f t="shared" si="64"/>
        <v>0</v>
      </c>
      <c r="V74" s="171">
        <f t="shared" si="64"/>
        <v>0</v>
      </c>
      <c r="W74" s="171">
        <f t="shared" si="64"/>
        <v>0</v>
      </c>
      <c r="X74" s="171">
        <f t="shared" si="64"/>
        <v>0</v>
      </c>
      <c r="Y74" s="171">
        <f t="shared" si="64"/>
        <v>0</v>
      </c>
      <c r="Z74" s="171">
        <f t="shared" si="64"/>
        <v>0</v>
      </c>
      <c r="AA74" s="171">
        <f t="shared" si="64"/>
        <v>0</v>
      </c>
      <c r="AB74" s="171">
        <f t="shared" si="64"/>
        <v>0</v>
      </c>
      <c r="AC74" s="171">
        <f t="shared" si="64"/>
        <v>0</v>
      </c>
      <c r="AD74" s="171">
        <f t="shared" si="64"/>
        <v>0</v>
      </c>
      <c r="AE74" s="171">
        <f t="shared" si="64"/>
        <v>0</v>
      </c>
      <c r="AF74" s="171">
        <f t="shared" si="64"/>
        <v>0</v>
      </c>
      <c r="AG74" s="171">
        <f t="shared" si="64"/>
        <v>0</v>
      </c>
      <c r="AH74" s="171">
        <f t="shared" si="64"/>
        <v>0</v>
      </c>
      <c r="AI74" s="171">
        <f t="shared" si="64"/>
        <v>0</v>
      </c>
      <c r="AJ74" s="171">
        <f t="shared" si="64"/>
        <v>0</v>
      </c>
      <c r="AK74" s="171">
        <f t="shared" si="64"/>
        <v>0</v>
      </c>
      <c r="AL74" s="171">
        <f t="shared" si="64"/>
        <v>0</v>
      </c>
      <c r="AM74" s="171">
        <f t="shared" si="64"/>
        <v>0</v>
      </c>
      <c r="AN74" s="171">
        <f t="shared" si="64"/>
        <v>0</v>
      </c>
    </row>
    <row r="75" spans="1:40" ht="13" hidden="1" x14ac:dyDescent="0.15">
      <c r="A75" s="171"/>
      <c r="B75" s="171"/>
      <c r="C75" s="175" t="str">
        <f>Dashboard!K79</f>
        <v>TIKTOKSHOP</v>
      </c>
      <c r="D75" s="74">
        <f>Dashboard!M79</f>
        <v>0.3</v>
      </c>
      <c r="E75" s="72">
        <f t="shared" si="59"/>
        <v>260000000.00000012</v>
      </c>
      <c r="F75" s="72">
        <f t="shared" si="60"/>
        <v>259999999.70000011</v>
      </c>
      <c r="G75" s="177" t="e">
        <f t="shared" ca="1" si="56"/>
        <v>#NAME?</v>
      </c>
      <c r="H75" s="72">
        <f>D75/'Action Plan'!$C$6</f>
        <v>1.1538461538461537E-2</v>
      </c>
      <c r="I75" s="171">
        <f t="shared" ca="1" si="61"/>
        <v>0</v>
      </c>
      <c r="J75" s="171">
        <f t="shared" ref="J75:AN75" si="65">IF(J66&lt;&gt;0,(J$24+J$28)/J66,0)</f>
        <v>8333333.333333334</v>
      </c>
      <c r="K75" s="171">
        <f t="shared" si="65"/>
        <v>8333333.333333334</v>
      </c>
      <c r="L75" s="171">
        <f t="shared" si="65"/>
        <v>8333333.333333334</v>
      </c>
      <c r="M75" s="171">
        <f t="shared" si="65"/>
        <v>8333333.333333334</v>
      </c>
      <c r="N75" s="171">
        <f t="shared" si="65"/>
        <v>8333333.333333334</v>
      </c>
      <c r="O75" s="171">
        <f t="shared" si="65"/>
        <v>8333333.333333334</v>
      </c>
      <c r="P75" s="171">
        <f t="shared" si="65"/>
        <v>8333333.333333334</v>
      </c>
      <c r="Q75" s="171">
        <f t="shared" si="65"/>
        <v>8333333.333333334</v>
      </c>
      <c r="R75" s="171">
        <f t="shared" si="65"/>
        <v>8333333.333333334</v>
      </c>
      <c r="S75" s="171">
        <f t="shared" si="65"/>
        <v>8333333.333333334</v>
      </c>
      <c r="T75" s="171">
        <f t="shared" si="65"/>
        <v>8333333.333333334</v>
      </c>
      <c r="U75" s="171">
        <f t="shared" si="65"/>
        <v>8333333.333333334</v>
      </c>
      <c r="V75" s="171">
        <f t="shared" si="65"/>
        <v>8333333.333333334</v>
      </c>
      <c r="W75" s="171">
        <f t="shared" si="65"/>
        <v>8333333.333333334</v>
      </c>
      <c r="X75" s="171">
        <f t="shared" si="65"/>
        <v>8333333.333333334</v>
      </c>
      <c r="Y75" s="171">
        <f t="shared" si="65"/>
        <v>8333333.333333334</v>
      </c>
      <c r="Z75" s="171">
        <f t="shared" si="65"/>
        <v>8333333.333333334</v>
      </c>
      <c r="AA75" s="171">
        <f t="shared" si="65"/>
        <v>8333333.333333334</v>
      </c>
      <c r="AB75" s="171">
        <f t="shared" si="65"/>
        <v>8333333.333333334</v>
      </c>
      <c r="AC75" s="171">
        <f t="shared" si="65"/>
        <v>8333333.333333334</v>
      </c>
      <c r="AD75" s="171">
        <f t="shared" si="65"/>
        <v>8333333.333333334</v>
      </c>
      <c r="AE75" s="171">
        <f t="shared" si="65"/>
        <v>8333333.333333334</v>
      </c>
      <c r="AF75" s="171">
        <f t="shared" si="65"/>
        <v>8333333.333333334</v>
      </c>
      <c r="AG75" s="171">
        <f t="shared" si="65"/>
        <v>8333333.333333334</v>
      </c>
      <c r="AH75" s="171">
        <f t="shared" si="65"/>
        <v>8333333.333333334</v>
      </c>
      <c r="AI75" s="171">
        <f t="shared" si="65"/>
        <v>8333333.333333334</v>
      </c>
      <c r="AJ75" s="171">
        <f t="shared" si="65"/>
        <v>8333333.333333334</v>
      </c>
      <c r="AK75" s="171">
        <f t="shared" si="65"/>
        <v>8333333.333333334</v>
      </c>
      <c r="AL75" s="171">
        <f t="shared" si="65"/>
        <v>8333333.333333334</v>
      </c>
      <c r="AM75" s="171">
        <f t="shared" si="65"/>
        <v>8333333.333333334</v>
      </c>
      <c r="AN75" s="171">
        <f t="shared" si="65"/>
        <v>10000000</v>
      </c>
    </row>
    <row r="76" spans="1:40" ht="13" hidden="1" x14ac:dyDescent="0.15">
      <c r="A76" s="171"/>
      <c r="B76" s="171"/>
      <c r="C76" s="175" t="str">
        <f>Dashboard!K80</f>
        <v>SHOPPEE</v>
      </c>
      <c r="D76" s="74">
        <f>Dashboard!M80</f>
        <v>0.1</v>
      </c>
      <c r="E76" s="72">
        <f t="shared" si="59"/>
        <v>10000000</v>
      </c>
      <c r="F76" s="72">
        <f t="shared" si="60"/>
        <v>9999999.9000000004</v>
      </c>
      <c r="G76" s="177" t="e">
        <f t="shared" ca="1" si="56"/>
        <v>#NAME?</v>
      </c>
      <c r="H76" s="72">
        <f>D76/'Action Plan'!$C$6</f>
        <v>3.8461538461538464E-3</v>
      </c>
      <c r="I76" s="171">
        <f t="shared" ca="1" si="61"/>
        <v>0</v>
      </c>
      <c r="J76" s="171">
        <f t="shared" ref="J76:AN76" si="66">IF(J68&lt;&gt;0,J$25/J68,0)</f>
        <v>0</v>
      </c>
      <c r="K76" s="171">
        <f t="shared" si="66"/>
        <v>0</v>
      </c>
      <c r="L76" s="171">
        <f t="shared" si="66"/>
        <v>0</v>
      </c>
      <c r="M76" s="171">
        <f t="shared" si="66"/>
        <v>0</v>
      </c>
      <c r="N76" s="171">
        <f t="shared" si="66"/>
        <v>0</v>
      </c>
      <c r="O76" s="171">
        <f t="shared" si="66"/>
        <v>0</v>
      </c>
      <c r="P76" s="171">
        <f t="shared" si="66"/>
        <v>0</v>
      </c>
      <c r="Q76" s="171">
        <f t="shared" si="66"/>
        <v>0</v>
      </c>
      <c r="R76" s="171">
        <f t="shared" si="66"/>
        <v>0</v>
      </c>
      <c r="S76" s="171">
        <f t="shared" si="66"/>
        <v>0</v>
      </c>
      <c r="T76" s="171">
        <f t="shared" si="66"/>
        <v>0</v>
      </c>
      <c r="U76" s="171">
        <f t="shared" si="66"/>
        <v>0</v>
      </c>
      <c r="V76" s="171">
        <f t="shared" si="66"/>
        <v>0</v>
      </c>
      <c r="W76" s="171">
        <f t="shared" si="66"/>
        <v>0</v>
      </c>
      <c r="X76" s="171">
        <f t="shared" si="66"/>
        <v>0</v>
      </c>
      <c r="Y76" s="171">
        <f t="shared" si="66"/>
        <v>0</v>
      </c>
      <c r="Z76" s="171">
        <f t="shared" si="66"/>
        <v>0</v>
      </c>
      <c r="AA76" s="171">
        <f t="shared" si="66"/>
        <v>0</v>
      </c>
      <c r="AB76" s="171">
        <f t="shared" si="66"/>
        <v>0</v>
      </c>
      <c r="AC76" s="171">
        <f t="shared" si="66"/>
        <v>0</v>
      </c>
      <c r="AD76" s="171">
        <f t="shared" si="66"/>
        <v>0</v>
      </c>
      <c r="AE76" s="171">
        <f t="shared" si="66"/>
        <v>0</v>
      </c>
      <c r="AF76" s="171">
        <f t="shared" si="66"/>
        <v>0</v>
      </c>
      <c r="AG76" s="171">
        <f t="shared" si="66"/>
        <v>0</v>
      </c>
      <c r="AH76" s="171">
        <f t="shared" si="66"/>
        <v>0</v>
      </c>
      <c r="AI76" s="171">
        <f t="shared" si="66"/>
        <v>0</v>
      </c>
      <c r="AJ76" s="171">
        <f t="shared" si="66"/>
        <v>0</v>
      </c>
      <c r="AK76" s="171">
        <f t="shared" si="66"/>
        <v>0</v>
      </c>
      <c r="AL76" s="171">
        <f t="shared" si="66"/>
        <v>0</v>
      </c>
      <c r="AM76" s="171">
        <f t="shared" si="66"/>
        <v>0</v>
      </c>
      <c r="AN76" s="171">
        <f t="shared" si="66"/>
        <v>10000000</v>
      </c>
    </row>
    <row r="77" spans="1:40" ht="13" hidden="1" x14ac:dyDescent="0.15">
      <c r="A77" s="171"/>
      <c r="B77" s="171"/>
      <c r="C77" s="175" t="str">
        <f>Dashboard!K81</f>
        <v>ZALO</v>
      </c>
      <c r="D77" s="74">
        <f>Dashboard!M81</f>
        <v>0.4</v>
      </c>
      <c r="E77" s="72">
        <f t="shared" si="59"/>
        <v>0</v>
      </c>
      <c r="F77" s="72">
        <f t="shared" si="60"/>
        <v>-0.4</v>
      </c>
      <c r="G77" s="177" t="e">
        <f t="shared" ca="1" si="56"/>
        <v>#NAME?</v>
      </c>
      <c r="H77" s="72">
        <f>D77/'Action Plan'!$C$6</f>
        <v>1.5384615384615385E-2</v>
      </c>
      <c r="I77" s="171">
        <f t="shared" ca="1" si="61"/>
        <v>0</v>
      </c>
      <c r="J77" s="171">
        <f t="shared" ref="J77:AN77" si="67">IF(J69&lt;&gt;0,J$28/J69,0)</f>
        <v>0</v>
      </c>
      <c r="K77" s="171">
        <f t="shared" si="67"/>
        <v>0</v>
      </c>
      <c r="L77" s="171">
        <f t="shared" si="67"/>
        <v>0</v>
      </c>
      <c r="M77" s="171">
        <f t="shared" si="67"/>
        <v>0</v>
      </c>
      <c r="N77" s="171">
        <f t="shared" si="67"/>
        <v>0</v>
      </c>
      <c r="O77" s="171">
        <f t="shared" si="67"/>
        <v>0</v>
      </c>
      <c r="P77" s="171">
        <f t="shared" si="67"/>
        <v>0</v>
      </c>
      <c r="Q77" s="171">
        <f t="shared" si="67"/>
        <v>0</v>
      </c>
      <c r="R77" s="171">
        <f t="shared" si="67"/>
        <v>0</v>
      </c>
      <c r="S77" s="171">
        <f t="shared" si="67"/>
        <v>0</v>
      </c>
      <c r="T77" s="171">
        <f t="shared" si="67"/>
        <v>0</v>
      </c>
      <c r="U77" s="171">
        <f t="shared" si="67"/>
        <v>0</v>
      </c>
      <c r="V77" s="171">
        <f t="shared" si="67"/>
        <v>0</v>
      </c>
      <c r="W77" s="171">
        <f t="shared" si="67"/>
        <v>0</v>
      </c>
      <c r="X77" s="171">
        <f t="shared" si="67"/>
        <v>0</v>
      </c>
      <c r="Y77" s="171">
        <f t="shared" si="67"/>
        <v>0</v>
      </c>
      <c r="Z77" s="171">
        <f t="shared" si="67"/>
        <v>0</v>
      </c>
      <c r="AA77" s="171">
        <f t="shared" si="67"/>
        <v>0</v>
      </c>
      <c r="AB77" s="171">
        <f t="shared" si="67"/>
        <v>0</v>
      </c>
      <c r="AC77" s="171">
        <f t="shared" si="67"/>
        <v>0</v>
      </c>
      <c r="AD77" s="171">
        <f t="shared" si="67"/>
        <v>0</v>
      </c>
      <c r="AE77" s="171">
        <f t="shared" si="67"/>
        <v>0</v>
      </c>
      <c r="AF77" s="171">
        <f t="shared" si="67"/>
        <v>0</v>
      </c>
      <c r="AG77" s="171">
        <f t="shared" si="67"/>
        <v>0</v>
      </c>
      <c r="AH77" s="171">
        <f t="shared" si="67"/>
        <v>0</v>
      </c>
      <c r="AI77" s="171">
        <f t="shared" si="67"/>
        <v>0</v>
      </c>
      <c r="AJ77" s="171">
        <f t="shared" si="67"/>
        <v>0</v>
      </c>
      <c r="AK77" s="171">
        <f t="shared" si="67"/>
        <v>0</v>
      </c>
      <c r="AL77" s="171">
        <f t="shared" si="67"/>
        <v>0</v>
      </c>
      <c r="AM77" s="171">
        <f t="shared" si="67"/>
        <v>0</v>
      </c>
      <c r="AN77" s="171">
        <f t="shared" si="67"/>
        <v>0</v>
      </c>
    </row>
    <row r="78" spans="1:40" ht="17" hidden="1" x14ac:dyDescent="0.15">
      <c r="A78" s="10"/>
      <c r="B78" s="10"/>
      <c r="C78" s="161" t="s">
        <v>28</v>
      </c>
      <c r="D78" s="165">
        <f>Dashboard!E82</f>
        <v>0.45833333333333331</v>
      </c>
      <c r="E78" s="163">
        <f>Dashboard!F82</f>
        <v>0.45000000000000018</v>
      </c>
      <c r="F78" s="164">
        <f t="shared" si="60"/>
        <v>-8.3333333333331372E-3</v>
      </c>
      <c r="G78" s="165" t="e">
        <f t="shared" ca="1" si="56"/>
        <v>#NAME?</v>
      </c>
      <c r="H78" s="162">
        <f>D78/'Action Plan'!$C$6</f>
        <v>1.7628205128205128E-2</v>
      </c>
      <c r="I78" s="166">
        <f t="shared" ca="1" si="61"/>
        <v>0</v>
      </c>
      <c r="J78" s="173" t="e">
        <f>(J79+#REF!)/2</f>
        <v>#DIV/0!</v>
      </c>
      <c r="K78" s="173" t="e">
        <f>(K79+#REF!)/2</f>
        <v>#DIV/0!</v>
      </c>
      <c r="L78" s="173" t="e">
        <f>(L79+#REF!)/2</f>
        <v>#DIV/0!</v>
      </c>
      <c r="M78" s="173" t="e">
        <f>(M79+#REF!)/2</f>
        <v>#DIV/0!</v>
      </c>
      <c r="N78" s="173" t="e">
        <f>(N79+#REF!)/2</f>
        <v>#DIV/0!</v>
      </c>
      <c r="O78" s="173" t="e">
        <f>(O79+#REF!)/2</f>
        <v>#DIV/0!</v>
      </c>
      <c r="P78" s="173" t="e">
        <f>(P79+#REF!)/2</f>
        <v>#DIV/0!</v>
      </c>
      <c r="Q78" s="173" t="e">
        <f>(Q79+#REF!)/2</f>
        <v>#DIV/0!</v>
      </c>
      <c r="R78" s="173" t="e">
        <f>(R79+#REF!)/2</f>
        <v>#DIV/0!</v>
      </c>
      <c r="S78" s="173" t="e">
        <f>(S79+#REF!)/2</f>
        <v>#DIV/0!</v>
      </c>
      <c r="T78" s="173" t="e">
        <f>(T79+#REF!)/2</f>
        <v>#DIV/0!</v>
      </c>
      <c r="U78" s="173" t="e">
        <f>(U79+#REF!)/2</f>
        <v>#DIV/0!</v>
      </c>
      <c r="V78" s="173" t="e">
        <f>(V79+#REF!)/2</f>
        <v>#DIV/0!</v>
      </c>
      <c r="W78" s="173" t="e">
        <f>(W79+#REF!)/2</f>
        <v>#DIV/0!</v>
      </c>
      <c r="X78" s="173" t="e">
        <f>(X79+#REF!)/2</f>
        <v>#DIV/0!</v>
      </c>
      <c r="Y78" s="173" t="e">
        <f>(Y79+#REF!)/2</f>
        <v>#DIV/0!</v>
      </c>
      <c r="Z78" s="173" t="e">
        <f>(Z79+#REF!)/2</f>
        <v>#DIV/0!</v>
      </c>
      <c r="AA78" s="173" t="e">
        <f>(AA79+#REF!)/2</f>
        <v>#DIV/0!</v>
      </c>
      <c r="AB78" s="173" t="e">
        <f>(AB79+#REF!)/2</f>
        <v>#DIV/0!</v>
      </c>
      <c r="AC78" s="173" t="e">
        <f>(AC79+#REF!)/2</f>
        <v>#DIV/0!</v>
      </c>
      <c r="AD78" s="173" t="e">
        <f>(AD79+#REF!)/2</f>
        <v>#DIV/0!</v>
      </c>
      <c r="AE78" s="173" t="e">
        <f>(AE79+#REF!)/2</f>
        <v>#DIV/0!</v>
      </c>
      <c r="AF78" s="173" t="e">
        <f>(AF79+#REF!)/2</f>
        <v>#DIV/0!</v>
      </c>
      <c r="AG78" s="173" t="e">
        <f>(AG79+#REF!)/2</f>
        <v>#DIV/0!</v>
      </c>
      <c r="AH78" s="173" t="e">
        <f>(AH79+#REF!)/2</f>
        <v>#DIV/0!</v>
      </c>
      <c r="AI78" s="173" t="e">
        <f>(AI79+#REF!)/2</f>
        <v>#DIV/0!</v>
      </c>
      <c r="AJ78" s="173" t="e">
        <f>(AJ79+#REF!)/2</f>
        <v>#DIV/0!</v>
      </c>
      <c r="AK78" s="173" t="e">
        <f>(AK79+#REF!)/2</f>
        <v>#DIV/0!</v>
      </c>
      <c r="AL78" s="173" t="e">
        <f>(AL79+#REF!)/2</f>
        <v>#DIV/0!</v>
      </c>
      <c r="AM78" s="173" t="e">
        <f>(AM79+#REF!)/2</f>
        <v>#DIV/0!</v>
      </c>
      <c r="AN78" s="173" t="e">
        <f>(AN79+#REF!)/2</f>
        <v>#DIV/0!</v>
      </c>
    </row>
    <row r="79" spans="1:40" ht="13" hidden="1" x14ac:dyDescent="0.15">
      <c r="A79" s="9"/>
      <c r="B79" s="9"/>
      <c r="C79" s="178" t="str">
        <f>Dashboard!K82</f>
        <v>CONVERSION RATE</v>
      </c>
      <c r="D79" s="180">
        <f>Dashboard!M82</f>
        <v>0.25833333333333336</v>
      </c>
      <c r="E79" s="168">
        <f t="shared" ref="E79:F79" si="68">AVERAGE(E80:E82)</f>
        <v>0</v>
      </c>
      <c r="F79" s="182">
        <f t="shared" si="68"/>
        <v>-5.000000000000001E-2</v>
      </c>
      <c r="G79" s="170" t="e">
        <f t="shared" ca="1" si="56"/>
        <v>#NAME?</v>
      </c>
      <c r="H79" s="181">
        <f t="shared" ref="H79:AN79" si="69">AVERAGE(H80:H82)</f>
        <v>1.9230769230769232E-3</v>
      </c>
      <c r="I79" s="174">
        <f t="shared" ca="1" si="69"/>
        <v>0</v>
      </c>
      <c r="J79" s="20" t="e">
        <f t="shared" si="69"/>
        <v>#DIV/0!</v>
      </c>
      <c r="K79" s="20" t="e">
        <f t="shared" si="69"/>
        <v>#DIV/0!</v>
      </c>
      <c r="L79" s="20" t="e">
        <f t="shared" si="69"/>
        <v>#DIV/0!</v>
      </c>
      <c r="M79" s="20" t="e">
        <f t="shared" si="69"/>
        <v>#DIV/0!</v>
      </c>
      <c r="N79" s="20" t="e">
        <f t="shared" si="69"/>
        <v>#DIV/0!</v>
      </c>
      <c r="O79" s="20" t="e">
        <f t="shared" si="69"/>
        <v>#DIV/0!</v>
      </c>
      <c r="P79" s="20" t="e">
        <f t="shared" si="69"/>
        <v>#DIV/0!</v>
      </c>
      <c r="Q79" s="20" t="e">
        <f t="shared" si="69"/>
        <v>#DIV/0!</v>
      </c>
      <c r="R79" s="20" t="e">
        <f t="shared" si="69"/>
        <v>#DIV/0!</v>
      </c>
      <c r="S79" s="20" t="e">
        <f t="shared" si="69"/>
        <v>#DIV/0!</v>
      </c>
      <c r="T79" s="20" t="e">
        <f t="shared" si="69"/>
        <v>#DIV/0!</v>
      </c>
      <c r="U79" s="20" t="e">
        <f t="shared" si="69"/>
        <v>#DIV/0!</v>
      </c>
      <c r="V79" s="20" t="e">
        <f t="shared" si="69"/>
        <v>#DIV/0!</v>
      </c>
      <c r="W79" s="20" t="e">
        <f t="shared" si="69"/>
        <v>#DIV/0!</v>
      </c>
      <c r="X79" s="20" t="e">
        <f t="shared" si="69"/>
        <v>#DIV/0!</v>
      </c>
      <c r="Y79" s="20" t="e">
        <f t="shared" si="69"/>
        <v>#DIV/0!</v>
      </c>
      <c r="Z79" s="20" t="e">
        <f t="shared" si="69"/>
        <v>#DIV/0!</v>
      </c>
      <c r="AA79" s="20" t="e">
        <f t="shared" si="69"/>
        <v>#DIV/0!</v>
      </c>
      <c r="AB79" s="20" t="e">
        <f t="shared" si="69"/>
        <v>#DIV/0!</v>
      </c>
      <c r="AC79" s="20" t="e">
        <f t="shared" si="69"/>
        <v>#DIV/0!</v>
      </c>
      <c r="AD79" s="20" t="e">
        <f t="shared" si="69"/>
        <v>#DIV/0!</v>
      </c>
      <c r="AE79" s="20" t="e">
        <f t="shared" si="69"/>
        <v>#DIV/0!</v>
      </c>
      <c r="AF79" s="20" t="e">
        <f t="shared" si="69"/>
        <v>#DIV/0!</v>
      </c>
      <c r="AG79" s="20" t="e">
        <f t="shared" si="69"/>
        <v>#DIV/0!</v>
      </c>
      <c r="AH79" s="20" t="e">
        <f t="shared" si="69"/>
        <v>#DIV/0!</v>
      </c>
      <c r="AI79" s="20" t="e">
        <f t="shared" si="69"/>
        <v>#DIV/0!</v>
      </c>
      <c r="AJ79" s="20" t="e">
        <f t="shared" si="69"/>
        <v>#DIV/0!</v>
      </c>
      <c r="AK79" s="20" t="e">
        <f t="shared" si="69"/>
        <v>#DIV/0!</v>
      </c>
      <c r="AL79" s="20" t="e">
        <f t="shared" si="69"/>
        <v>#DIV/0!</v>
      </c>
      <c r="AM79" s="20" t="e">
        <f t="shared" si="69"/>
        <v>#DIV/0!</v>
      </c>
      <c r="AN79" s="20" t="e">
        <f t="shared" si="69"/>
        <v>#DIV/0!</v>
      </c>
    </row>
    <row r="80" spans="1:40" ht="13" hidden="1" x14ac:dyDescent="0.15">
      <c r="A80" s="171"/>
      <c r="B80" s="171"/>
      <c r="C80" s="175" t="str">
        <f>Dashboard!K86</f>
        <v>TIKTOKSHOP</v>
      </c>
      <c r="D80" s="74">
        <f>Dashboard!M86</f>
        <v>0.05</v>
      </c>
      <c r="E80" s="72">
        <f t="shared" ref="E80:E82" si="70">SUM(J80:AN80)</f>
        <v>0</v>
      </c>
      <c r="F80" s="72">
        <f t="shared" ref="F80:F82" si="71">E80-D80</f>
        <v>-0.05</v>
      </c>
      <c r="G80" s="177" t="e">
        <f t="shared" ca="1" si="56"/>
        <v>#NAME?</v>
      </c>
      <c r="H80" s="72">
        <f>D80/'Action Plan'!$C$6</f>
        <v>1.9230769230769232E-3</v>
      </c>
      <c r="I80" s="171">
        <f t="shared" ref="I80:I82" ca="1" si="72">SUMIF($J$5:$AN$5,TODAY(),J80:AN80)</f>
        <v>0</v>
      </c>
      <c r="J80" s="171"/>
      <c r="K80" s="171"/>
      <c r="L80" s="171"/>
      <c r="M80" s="171"/>
      <c r="N80" s="171"/>
      <c r="O80" s="171"/>
      <c r="P80" s="171"/>
      <c r="Q80" s="171"/>
      <c r="R80" s="171"/>
      <c r="S80" s="171"/>
      <c r="T80" s="171"/>
      <c r="U80" s="171"/>
      <c r="V80" s="171"/>
      <c r="W80" s="171"/>
      <c r="X80" s="171"/>
      <c r="Y80" s="171"/>
      <c r="Z80" s="171"/>
      <c r="AA80" s="171"/>
      <c r="AB80" s="171"/>
      <c r="AC80" s="171"/>
      <c r="AD80" s="171"/>
      <c r="AE80" s="171"/>
      <c r="AF80" s="171"/>
      <c r="AG80" s="171"/>
      <c r="AH80" s="171"/>
      <c r="AI80" s="171"/>
      <c r="AJ80" s="171"/>
      <c r="AK80" s="171"/>
      <c r="AL80" s="171"/>
      <c r="AM80" s="171"/>
      <c r="AN80" s="171"/>
    </row>
    <row r="81" spans="1:40" ht="13" hidden="1" x14ac:dyDescent="0.15">
      <c r="A81" s="171"/>
      <c r="B81" s="171"/>
      <c r="C81" s="175" t="str">
        <f>Dashboard!K87</f>
        <v>SHOPPEE</v>
      </c>
      <c r="D81" s="74">
        <f>Dashboard!M87</f>
        <v>0.05</v>
      </c>
      <c r="E81" s="72">
        <f t="shared" si="70"/>
        <v>0</v>
      </c>
      <c r="F81" s="72">
        <f t="shared" si="71"/>
        <v>-0.05</v>
      </c>
      <c r="G81" s="177" t="e">
        <f t="shared" ca="1" si="56"/>
        <v>#NAME?</v>
      </c>
      <c r="H81" s="72">
        <f>D81/'Action Plan'!$C$6</f>
        <v>1.9230769230769232E-3</v>
      </c>
      <c r="I81" s="171">
        <f t="shared" ca="1" si="72"/>
        <v>0</v>
      </c>
      <c r="J81" s="171"/>
      <c r="K81" s="171"/>
      <c r="L81" s="171"/>
      <c r="M81" s="171"/>
      <c r="N81" s="171"/>
      <c r="O81" s="171"/>
      <c r="P81" s="171"/>
      <c r="Q81" s="171"/>
      <c r="R81" s="171"/>
      <c r="S81" s="171"/>
      <c r="T81" s="171"/>
      <c r="U81" s="171"/>
      <c r="V81" s="171"/>
      <c r="W81" s="171"/>
      <c r="X81" s="171"/>
      <c r="Y81" s="171"/>
      <c r="Z81" s="171"/>
      <c r="AA81" s="171"/>
      <c r="AB81" s="171"/>
      <c r="AC81" s="171"/>
      <c r="AD81" s="171"/>
      <c r="AE81" s="171"/>
      <c r="AF81" s="171"/>
      <c r="AG81" s="171"/>
      <c r="AH81" s="171"/>
      <c r="AI81" s="171"/>
      <c r="AJ81" s="171"/>
      <c r="AK81" s="171"/>
      <c r="AL81" s="171"/>
      <c r="AM81" s="171"/>
      <c r="AN81" s="171"/>
    </row>
    <row r="82" spans="1:40" ht="13" hidden="1" x14ac:dyDescent="0.15">
      <c r="A82" s="171"/>
      <c r="B82" s="171"/>
      <c r="C82" s="175" t="str">
        <f>Dashboard!K88</f>
        <v>ZALO</v>
      </c>
      <c r="D82" s="74">
        <f>Dashboard!M88</f>
        <v>0.05</v>
      </c>
      <c r="E82" s="72">
        <f t="shared" si="70"/>
        <v>0</v>
      </c>
      <c r="F82" s="72">
        <f t="shared" si="71"/>
        <v>-0.05</v>
      </c>
      <c r="G82" s="177" t="e">
        <f t="shared" ca="1" si="56"/>
        <v>#NAME?</v>
      </c>
      <c r="H82" s="72">
        <f>D82/'Action Plan'!$C$6</f>
        <v>1.9230769230769232E-3</v>
      </c>
      <c r="I82" s="171">
        <f t="shared" ca="1" si="72"/>
        <v>0</v>
      </c>
      <c r="J82" s="171"/>
      <c r="K82" s="171"/>
      <c r="L82" s="171"/>
      <c r="M82" s="171"/>
      <c r="N82" s="171"/>
      <c r="O82" s="171"/>
      <c r="P82" s="171"/>
      <c r="Q82" s="171"/>
      <c r="R82" s="171"/>
      <c r="S82" s="171"/>
      <c r="T82" s="171"/>
      <c r="U82" s="171"/>
      <c r="V82" s="171"/>
      <c r="W82" s="171"/>
      <c r="X82" s="171"/>
      <c r="Y82" s="171"/>
      <c r="Z82" s="171"/>
      <c r="AA82" s="171"/>
      <c r="AB82" s="171"/>
      <c r="AC82" s="171"/>
      <c r="AD82" s="171"/>
      <c r="AE82" s="171"/>
      <c r="AF82" s="171"/>
      <c r="AG82" s="171"/>
      <c r="AH82" s="171"/>
      <c r="AI82" s="171"/>
      <c r="AJ82" s="171"/>
      <c r="AK82" s="171"/>
      <c r="AL82" s="171"/>
      <c r="AM82" s="171"/>
      <c r="AN82" s="171"/>
    </row>
    <row r="83" spans="1:40" ht="20" customHeight="1" x14ac:dyDescent="0.15">
      <c r="C83" s="150"/>
      <c r="D83" s="3"/>
      <c r="E83" s="1"/>
      <c r="F83" s="7"/>
      <c r="G83" s="4"/>
      <c r="H83" s="6"/>
      <c r="I83" s="5"/>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row>
    <row r="84" spans="1:40" ht="20" customHeight="1" x14ac:dyDescent="0.15">
      <c r="C84" s="150"/>
      <c r="D84" s="3"/>
      <c r="E84" s="1"/>
      <c r="F84" s="7"/>
      <c r="G84" s="4"/>
      <c r="H84" s="6"/>
      <c r="I84" s="5"/>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row>
    <row r="85" spans="1:40" ht="20" customHeight="1" x14ac:dyDescent="0.15">
      <c r="C85" s="150"/>
      <c r="D85" s="3"/>
      <c r="E85" s="1"/>
      <c r="F85" s="7"/>
      <c r="G85" s="4"/>
      <c r="H85" s="6"/>
      <c r="I85" s="5"/>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row>
    <row r="86" spans="1:40" ht="20" customHeight="1" x14ac:dyDescent="0.15">
      <c r="C86" s="150"/>
      <c r="D86" s="3"/>
      <c r="E86" s="1"/>
      <c r="F86" s="7"/>
      <c r="G86" s="4"/>
      <c r="H86" s="6"/>
      <c r="I86" s="5"/>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row>
    <row r="87" spans="1:40" ht="13" x14ac:dyDescent="0.15">
      <c r="C87" s="150"/>
      <c r="D87" s="3"/>
      <c r="E87" s="1"/>
      <c r="F87" s="7"/>
      <c r="G87" s="4"/>
      <c r="H87" s="6"/>
      <c r="I87" s="5"/>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row>
    <row r="88" spans="1:40" ht="13" x14ac:dyDescent="0.15">
      <c r="C88" s="150"/>
      <c r="D88" s="3"/>
      <c r="E88" s="1"/>
      <c r="F88" s="7"/>
      <c r="G88" s="4"/>
      <c r="H88" s="6"/>
      <c r="I88" s="5"/>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row>
    <row r="89" spans="1:40" ht="13" x14ac:dyDescent="0.15">
      <c r="C89" s="150"/>
      <c r="D89" s="3"/>
      <c r="E89" s="1"/>
      <c r="F89" s="7"/>
      <c r="G89" s="4"/>
      <c r="H89" s="6"/>
      <c r="I89" s="5"/>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row>
    <row r="90" spans="1:40" ht="13" x14ac:dyDescent="0.15">
      <c r="C90" s="150"/>
      <c r="D90" s="3"/>
      <c r="E90" s="1"/>
      <c r="F90" s="7"/>
      <c r="G90" s="4"/>
      <c r="H90" s="6"/>
      <c r="I90" s="5"/>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row>
    <row r="91" spans="1:40" ht="13" x14ac:dyDescent="0.15">
      <c r="C91" s="150"/>
      <c r="D91" s="3"/>
      <c r="E91" s="1"/>
      <c r="F91" s="7"/>
      <c r="G91" s="4"/>
      <c r="H91" s="6"/>
      <c r="I91" s="5"/>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row>
    <row r="92" spans="1:40" ht="13" x14ac:dyDescent="0.15">
      <c r="C92" s="150"/>
      <c r="D92" s="3"/>
      <c r="E92" s="1"/>
      <c r="F92" s="7"/>
      <c r="G92" s="4"/>
      <c r="H92" s="6"/>
      <c r="I92" s="5"/>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row>
    <row r="93" spans="1:40" ht="13" x14ac:dyDescent="0.15">
      <c r="C93" s="150"/>
      <c r="D93" s="3"/>
      <c r="E93" s="1"/>
      <c r="F93" s="7"/>
      <c r="G93" s="4"/>
      <c r="H93" s="6"/>
      <c r="I93" s="5"/>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row>
    <row r="94" spans="1:40" ht="13" x14ac:dyDescent="0.15">
      <c r="C94" s="150"/>
      <c r="D94" s="3"/>
      <c r="E94" s="1"/>
      <c r="F94" s="7"/>
      <c r="G94" s="4"/>
      <c r="H94" s="6"/>
      <c r="I94" s="5"/>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row>
    <row r="95" spans="1:40" ht="13" x14ac:dyDescent="0.15">
      <c r="C95" s="150"/>
      <c r="D95" s="3"/>
      <c r="E95" s="1"/>
      <c r="F95" s="7"/>
      <c r="G95" s="4"/>
      <c r="H95" s="6"/>
      <c r="I95" s="5"/>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row>
    <row r="96" spans="1:40" ht="13" x14ac:dyDescent="0.15">
      <c r="C96" s="150"/>
      <c r="D96" s="3"/>
      <c r="E96" s="1"/>
      <c r="F96" s="7"/>
      <c r="G96" s="4"/>
      <c r="H96" s="6"/>
      <c r="I96" s="5"/>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row>
    <row r="97" spans="3:40" ht="13" x14ac:dyDescent="0.15">
      <c r="C97" s="150"/>
      <c r="D97" s="3"/>
      <c r="E97" s="1"/>
      <c r="F97" s="7"/>
      <c r="G97" s="4"/>
      <c r="H97" s="6"/>
      <c r="I97" s="5"/>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row>
    <row r="98" spans="3:40" ht="13" x14ac:dyDescent="0.15">
      <c r="C98" s="150"/>
      <c r="D98" s="3"/>
      <c r="E98" s="1"/>
      <c r="F98" s="7"/>
      <c r="G98" s="4"/>
      <c r="H98" s="6"/>
      <c r="I98" s="5"/>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row>
    <row r="99" spans="3:40" ht="13" x14ac:dyDescent="0.15">
      <c r="C99" s="150"/>
      <c r="D99" s="3"/>
      <c r="E99" s="1"/>
      <c r="F99" s="7"/>
      <c r="G99" s="4"/>
      <c r="H99" s="6"/>
      <c r="I99" s="5"/>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row>
    <row r="100" spans="3:40" ht="13" x14ac:dyDescent="0.15">
      <c r="C100" s="150"/>
      <c r="D100" s="3"/>
      <c r="E100" s="1"/>
      <c r="F100" s="7"/>
      <c r="G100" s="4"/>
      <c r="H100" s="6"/>
      <c r="I100" s="5"/>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row>
    <row r="101" spans="3:40" ht="13" x14ac:dyDescent="0.15">
      <c r="C101" s="150"/>
      <c r="D101" s="3"/>
      <c r="E101" s="1"/>
      <c r="F101" s="7"/>
      <c r="G101" s="4"/>
      <c r="H101" s="6"/>
      <c r="I101" s="5"/>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row>
    <row r="102" spans="3:40" ht="13" x14ac:dyDescent="0.15">
      <c r="C102" s="150"/>
      <c r="D102" s="3"/>
      <c r="E102" s="1"/>
      <c r="F102" s="7"/>
      <c r="G102" s="4"/>
      <c r="H102" s="6"/>
      <c r="I102" s="5"/>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row>
    <row r="103" spans="3:40" ht="13" x14ac:dyDescent="0.15">
      <c r="C103" s="150"/>
      <c r="D103" s="3"/>
      <c r="E103" s="1"/>
      <c r="F103" s="7"/>
      <c r="G103" s="4"/>
      <c r="H103" s="6"/>
      <c r="I103" s="5"/>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row>
    <row r="104" spans="3:40" ht="13" x14ac:dyDescent="0.15">
      <c r="C104" s="150"/>
      <c r="D104" s="3"/>
      <c r="E104" s="1"/>
      <c r="F104" s="7"/>
      <c r="G104" s="4"/>
      <c r="H104" s="6"/>
      <c r="I104" s="5"/>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row>
    <row r="105" spans="3:40" ht="13" x14ac:dyDescent="0.15">
      <c r="C105" s="150"/>
      <c r="D105" s="3"/>
      <c r="E105" s="1"/>
      <c r="F105" s="7"/>
      <c r="G105" s="4"/>
      <c r="H105" s="6"/>
      <c r="I105" s="5"/>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row>
    <row r="106" spans="3:40" ht="13" x14ac:dyDescent="0.15">
      <c r="C106" s="150"/>
      <c r="D106" s="3"/>
      <c r="E106" s="1"/>
      <c r="F106" s="7"/>
      <c r="G106" s="4"/>
      <c r="H106" s="6"/>
      <c r="I106" s="5"/>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row>
    <row r="107" spans="3:40" ht="13" x14ac:dyDescent="0.15">
      <c r="C107" s="150"/>
      <c r="D107" s="3"/>
      <c r="E107" s="1"/>
      <c r="F107" s="7"/>
      <c r="G107" s="4"/>
      <c r="H107" s="6"/>
      <c r="I107" s="5"/>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row>
    <row r="108" spans="3:40" ht="13" x14ac:dyDescent="0.15">
      <c r="C108" s="150"/>
      <c r="D108" s="3"/>
      <c r="E108" s="1"/>
      <c r="F108" s="7"/>
      <c r="G108" s="4"/>
      <c r="H108" s="6"/>
      <c r="I108" s="5"/>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row>
    <row r="109" spans="3:40" ht="13" x14ac:dyDescent="0.15">
      <c r="C109" s="150"/>
      <c r="D109" s="3"/>
      <c r="E109" s="1"/>
      <c r="F109" s="7"/>
      <c r="G109" s="4"/>
      <c r="H109" s="6"/>
      <c r="I109" s="5"/>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row>
    <row r="110" spans="3:40" ht="13" x14ac:dyDescent="0.15">
      <c r="C110" s="150"/>
      <c r="D110" s="3"/>
      <c r="E110" s="1"/>
      <c r="F110" s="7"/>
      <c r="G110" s="4"/>
      <c r="H110" s="6"/>
      <c r="I110" s="5"/>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row>
    <row r="111" spans="3:40" ht="13" x14ac:dyDescent="0.15">
      <c r="C111" s="150"/>
      <c r="D111" s="3"/>
      <c r="E111" s="1"/>
      <c r="F111" s="7"/>
      <c r="G111" s="4"/>
      <c r="H111" s="6"/>
      <c r="I111" s="5"/>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row>
    <row r="112" spans="3:40" ht="13" x14ac:dyDescent="0.15">
      <c r="C112" s="150"/>
      <c r="D112" s="3"/>
      <c r="E112" s="1"/>
      <c r="F112" s="7"/>
      <c r="G112" s="4"/>
      <c r="H112" s="6"/>
      <c r="I112" s="5"/>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row>
    <row r="113" spans="3:40" ht="13" x14ac:dyDescent="0.15">
      <c r="C113" s="150"/>
      <c r="D113" s="3"/>
      <c r="E113" s="1"/>
      <c r="F113" s="7"/>
      <c r="G113" s="4"/>
      <c r="H113" s="6"/>
      <c r="I113" s="5"/>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row>
    <row r="114" spans="3:40" ht="13" x14ac:dyDescent="0.15">
      <c r="C114" s="150"/>
      <c r="D114" s="3"/>
      <c r="E114" s="1"/>
      <c r="F114" s="7"/>
      <c r="G114" s="4"/>
      <c r="H114" s="6"/>
      <c r="I114" s="5"/>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row>
    <row r="115" spans="3:40" ht="13" x14ac:dyDescent="0.15">
      <c r="C115" s="150"/>
      <c r="D115" s="3"/>
      <c r="E115" s="1"/>
      <c r="F115" s="7"/>
      <c r="G115" s="4"/>
      <c r="H115" s="6"/>
      <c r="I115" s="5"/>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row>
    <row r="116" spans="3:40" ht="13" x14ac:dyDescent="0.15">
      <c r="C116" s="150"/>
      <c r="D116" s="3"/>
      <c r="E116" s="1"/>
      <c r="F116" s="7"/>
      <c r="G116" s="4"/>
      <c r="H116" s="6"/>
      <c r="I116" s="5"/>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row>
    <row r="117" spans="3:40" ht="13" x14ac:dyDescent="0.15">
      <c r="C117" s="150"/>
      <c r="D117" s="3"/>
      <c r="E117" s="1"/>
      <c r="F117" s="7"/>
      <c r="G117" s="4"/>
      <c r="H117" s="6"/>
      <c r="I117" s="5"/>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row>
    <row r="118" spans="3:40" ht="13" x14ac:dyDescent="0.15">
      <c r="C118" s="150"/>
      <c r="D118" s="3"/>
      <c r="E118" s="1"/>
      <c r="F118" s="7"/>
      <c r="G118" s="4"/>
      <c r="H118" s="6"/>
      <c r="I118" s="5"/>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row>
    <row r="119" spans="3:40" ht="13" x14ac:dyDescent="0.15">
      <c r="C119" s="150"/>
      <c r="D119" s="3"/>
      <c r="E119" s="1"/>
      <c r="F119" s="7"/>
      <c r="G119" s="4"/>
      <c r="H119" s="6"/>
      <c r="I119" s="5"/>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row>
    <row r="120" spans="3:40" ht="13" x14ac:dyDescent="0.15">
      <c r="C120" s="150"/>
      <c r="D120" s="3"/>
      <c r="E120" s="1"/>
      <c r="F120" s="7"/>
      <c r="G120" s="4"/>
      <c r="H120" s="6"/>
      <c r="I120" s="5"/>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row>
    <row r="121" spans="3:40" ht="13" x14ac:dyDescent="0.15">
      <c r="C121" s="150"/>
      <c r="D121" s="3"/>
      <c r="E121" s="1"/>
      <c r="F121" s="7"/>
      <c r="G121" s="4"/>
      <c r="H121" s="6"/>
      <c r="I121" s="5"/>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row>
    <row r="122" spans="3:40" ht="13" x14ac:dyDescent="0.15">
      <c r="C122" s="150"/>
      <c r="D122" s="3"/>
      <c r="E122" s="1"/>
      <c r="F122" s="7"/>
      <c r="G122" s="4"/>
      <c r="H122" s="6"/>
      <c r="I122" s="5"/>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row>
    <row r="123" spans="3:40" ht="13" x14ac:dyDescent="0.15">
      <c r="C123" s="150"/>
      <c r="D123" s="3"/>
      <c r="E123" s="1"/>
      <c r="F123" s="7"/>
      <c r="G123" s="4"/>
      <c r="H123" s="6"/>
      <c r="I123" s="5"/>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row>
    <row r="124" spans="3:40" ht="13" x14ac:dyDescent="0.15">
      <c r="C124" s="150"/>
      <c r="D124" s="3"/>
      <c r="E124" s="1"/>
      <c r="F124" s="7"/>
      <c r="G124" s="4"/>
      <c r="H124" s="6"/>
      <c r="I124" s="5"/>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row>
    <row r="125" spans="3:40" ht="13" x14ac:dyDescent="0.15">
      <c r="C125" s="150"/>
      <c r="D125" s="3"/>
      <c r="E125" s="1"/>
      <c r="F125" s="7"/>
      <c r="G125" s="4"/>
      <c r="H125" s="6"/>
      <c r="I125" s="5"/>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row>
    <row r="126" spans="3:40" ht="13" x14ac:dyDescent="0.15">
      <c r="C126" s="150"/>
      <c r="D126" s="3"/>
      <c r="E126" s="1"/>
      <c r="F126" s="7"/>
      <c r="G126" s="4"/>
      <c r="H126" s="6"/>
      <c r="I126" s="5"/>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row>
    <row r="127" spans="3:40" ht="13" x14ac:dyDescent="0.15">
      <c r="C127" s="150"/>
      <c r="D127" s="3"/>
      <c r="E127" s="1"/>
      <c r="F127" s="7"/>
      <c r="G127" s="4"/>
      <c r="H127" s="6"/>
      <c r="I127" s="5"/>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row>
    <row r="128" spans="3:40" ht="13" x14ac:dyDescent="0.15">
      <c r="C128" s="150"/>
      <c r="D128" s="3"/>
      <c r="E128" s="1"/>
      <c r="F128" s="7"/>
      <c r="G128" s="4"/>
      <c r="H128" s="6"/>
      <c r="I128" s="5"/>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row>
    <row r="129" spans="3:40" ht="13" x14ac:dyDescent="0.15">
      <c r="C129" s="150"/>
      <c r="D129" s="3"/>
      <c r="E129" s="1"/>
      <c r="F129" s="7"/>
      <c r="G129" s="4"/>
      <c r="H129" s="6"/>
      <c r="I129" s="5"/>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row>
    <row r="130" spans="3:40" ht="13" x14ac:dyDescent="0.15">
      <c r="C130" s="150"/>
      <c r="D130" s="3"/>
      <c r="E130" s="1"/>
      <c r="F130" s="7"/>
      <c r="G130" s="4"/>
      <c r="H130" s="6"/>
      <c r="I130" s="5"/>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row>
    <row r="131" spans="3:40" ht="13" x14ac:dyDescent="0.15">
      <c r="C131" s="150"/>
      <c r="D131" s="3"/>
      <c r="E131" s="1"/>
      <c r="F131" s="7"/>
      <c r="G131" s="4"/>
      <c r="H131" s="6"/>
      <c r="I131" s="5"/>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row>
    <row r="132" spans="3:40" ht="13" x14ac:dyDescent="0.15">
      <c r="C132" s="150"/>
      <c r="D132" s="3"/>
      <c r="E132" s="1"/>
      <c r="F132" s="7"/>
      <c r="G132" s="4"/>
      <c r="H132" s="6"/>
      <c r="I132" s="5"/>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row>
    <row r="133" spans="3:40" ht="13" x14ac:dyDescent="0.15">
      <c r="C133" s="150"/>
      <c r="D133" s="3"/>
      <c r="E133" s="1"/>
      <c r="F133" s="7"/>
      <c r="G133" s="4"/>
      <c r="H133" s="6"/>
      <c r="I133" s="5"/>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row>
    <row r="134" spans="3:40" ht="13" x14ac:dyDescent="0.15">
      <c r="C134" s="150"/>
      <c r="D134" s="3"/>
      <c r="E134" s="1"/>
      <c r="F134" s="7"/>
      <c r="G134" s="4"/>
      <c r="H134" s="6"/>
      <c r="I134" s="5"/>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row>
    <row r="135" spans="3:40" ht="13" x14ac:dyDescent="0.15">
      <c r="C135" s="150"/>
      <c r="D135" s="3"/>
      <c r="E135" s="1"/>
      <c r="F135" s="7"/>
      <c r="G135" s="4"/>
      <c r="H135" s="6"/>
      <c r="I135" s="5"/>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row>
    <row r="136" spans="3:40" ht="13" x14ac:dyDescent="0.15">
      <c r="C136" s="150"/>
      <c r="D136" s="3"/>
      <c r="E136" s="1"/>
      <c r="F136" s="7"/>
      <c r="G136" s="4"/>
      <c r="H136" s="6"/>
      <c r="I136" s="5"/>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row>
    <row r="137" spans="3:40" ht="13" x14ac:dyDescent="0.15">
      <c r="C137" s="150"/>
      <c r="D137" s="3"/>
      <c r="E137" s="1"/>
      <c r="F137" s="7"/>
      <c r="G137" s="4"/>
      <c r="H137" s="6"/>
      <c r="I137" s="5"/>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row>
    <row r="138" spans="3:40" ht="13" x14ac:dyDescent="0.15">
      <c r="C138" s="150"/>
      <c r="D138" s="3"/>
      <c r="E138" s="1"/>
      <c r="F138" s="7"/>
      <c r="G138" s="4"/>
      <c r="H138" s="6"/>
      <c r="I138" s="5"/>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row>
    <row r="139" spans="3:40" ht="13" x14ac:dyDescent="0.15">
      <c r="C139" s="150"/>
      <c r="D139" s="3"/>
      <c r="E139" s="1"/>
      <c r="F139" s="7"/>
      <c r="G139" s="4"/>
      <c r="H139" s="6"/>
      <c r="I139" s="5"/>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row>
    <row r="140" spans="3:40" ht="13" x14ac:dyDescent="0.15">
      <c r="C140" s="150"/>
      <c r="D140" s="3"/>
      <c r="E140" s="1"/>
      <c r="F140" s="7"/>
      <c r="G140" s="4"/>
      <c r="H140" s="6"/>
      <c r="I140" s="5"/>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row>
    <row r="141" spans="3:40" ht="13" x14ac:dyDescent="0.15">
      <c r="C141" s="150"/>
      <c r="D141" s="3"/>
      <c r="E141" s="1"/>
      <c r="F141" s="7"/>
      <c r="G141" s="4"/>
      <c r="H141" s="6"/>
      <c r="I141" s="5"/>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row>
    <row r="142" spans="3:40" ht="13" x14ac:dyDescent="0.15">
      <c r="C142" s="150"/>
      <c r="D142" s="3"/>
      <c r="E142" s="1"/>
      <c r="F142" s="7"/>
      <c r="G142" s="4"/>
      <c r="H142" s="6"/>
      <c r="I142" s="5"/>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row>
    <row r="143" spans="3:40" ht="13" x14ac:dyDescent="0.15">
      <c r="C143" s="150"/>
      <c r="D143" s="3"/>
      <c r="E143" s="1"/>
      <c r="F143" s="7"/>
      <c r="G143" s="4"/>
      <c r="H143" s="6"/>
      <c r="I143" s="5"/>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row>
    <row r="144" spans="3:40" ht="13" x14ac:dyDescent="0.15">
      <c r="C144" s="150"/>
      <c r="D144" s="3"/>
      <c r="E144" s="1"/>
      <c r="F144" s="7"/>
      <c r="G144" s="4"/>
      <c r="H144" s="6"/>
      <c r="I144" s="5"/>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row>
    <row r="145" spans="3:40" ht="13" x14ac:dyDescent="0.15">
      <c r="C145" s="150"/>
      <c r="D145" s="3"/>
      <c r="E145" s="1"/>
      <c r="F145" s="7"/>
      <c r="G145" s="4"/>
      <c r="H145" s="6"/>
      <c r="I145" s="5"/>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row>
    <row r="146" spans="3:40" ht="13" x14ac:dyDescent="0.15">
      <c r="C146" s="150"/>
      <c r="D146" s="3"/>
      <c r="E146" s="1"/>
      <c r="F146" s="7"/>
      <c r="G146" s="4"/>
      <c r="H146" s="6"/>
      <c r="I146" s="5"/>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row>
    <row r="147" spans="3:40" ht="13" x14ac:dyDescent="0.15">
      <c r="C147" s="150"/>
      <c r="D147" s="3"/>
      <c r="E147" s="1"/>
      <c r="F147" s="7"/>
      <c r="G147" s="4"/>
      <c r="H147" s="6"/>
      <c r="I147" s="5"/>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row>
    <row r="148" spans="3:40" ht="13" x14ac:dyDescent="0.15">
      <c r="C148" s="150"/>
      <c r="D148" s="3"/>
      <c r="E148" s="1"/>
      <c r="F148" s="7"/>
      <c r="G148" s="4"/>
      <c r="H148" s="6"/>
      <c r="I148" s="5"/>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row>
    <row r="149" spans="3:40" ht="13" x14ac:dyDescent="0.15">
      <c r="C149" s="150"/>
      <c r="D149" s="3"/>
      <c r="E149" s="1"/>
      <c r="F149" s="7"/>
      <c r="G149" s="4"/>
      <c r="H149" s="6"/>
      <c r="I149" s="5"/>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row>
    <row r="150" spans="3:40" ht="13" x14ac:dyDescent="0.15">
      <c r="C150" s="150"/>
      <c r="D150" s="3"/>
      <c r="E150" s="1"/>
      <c r="F150" s="7"/>
      <c r="G150" s="4"/>
      <c r="H150" s="6"/>
      <c r="I150" s="5"/>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row>
    <row r="151" spans="3:40" ht="13" x14ac:dyDescent="0.15">
      <c r="C151" s="150"/>
      <c r="D151" s="3"/>
      <c r="E151" s="1"/>
      <c r="F151" s="7"/>
      <c r="G151" s="4"/>
      <c r="H151" s="6"/>
      <c r="I151" s="5"/>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row>
    <row r="152" spans="3:40" ht="13" x14ac:dyDescent="0.15">
      <c r="C152" s="150"/>
      <c r="D152" s="3"/>
      <c r="E152" s="1"/>
      <c r="F152" s="7"/>
      <c r="G152" s="4"/>
      <c r="H152" s="6"/>
      <c r="I152" s="5"/>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row>
    <row r="153" spans="3:40" ht="13" x14ac:dyDescent="0.15">
      <c r="C153" s="150"/>
      <c r="D153" s="3"/>
      <c r="E153" s="1"/>
      <c r="F153" s="7"/>
      <c r="G153" s="4"/>
      <c r="H153" s="6"/>
      <c r="I153" s="5"/>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row>
    <row r="154" spans="3:40" ht="13" x14ac:dyDescent="0.15">
      <c r="C154" s="150"/>
      <c r="D154" s="3"/>
      <c r="E154" s="1"/>
      <c r="F154" s="7"/>
      <c r="G154" s="4"/>
      <c r="H154" s="6"/>
      <c r="I154" s="5"/>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row>
    <row r="155" spans="3:40" ht="13" x14ac:dyDescent="0.15">
      <c r="C155" s="150"/>
      <c r="D155" s="3"/>
      <c r="E155" s="1"/>
      <c r="F155" s="7"/>
      <c r="G155" s="4"/>
      <c r="H155" s="6"/>
      <c r="I155" s="5"/>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row>
    <row r="156" spans="3:40" ht="13" x14ac:dyDescent="0.15">
      <c r="C156" s="150"/>
      <c r="D156" s="3"/>
      <c r="E156" s="1"/>
      <c r="F156" s="7"/>
      <c r="G156" s="4"/>
      <c r="H156" s="6"/>
      <c r="I156" s="5"/>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row>
    <row r="157" spans="3:40" ht="13" x14ac:dyDescent="0.15">
      <c r="C157" s="150"/>
      <c r="D157" s="3"/>
      <c r="E157" s="1"/>
      <c r="F157" s="7"/>
      <c r="G157" s="4"/>
      <c r="H157" s="6"/>
      <c r="I157" s="5"/>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row>
    <row r="158" spans="3:40" ht="13" x14ac:dyDescent="0.15">
      <c r="C158" s="150"/>
      <c r="D158" s="3"/>
      <c r="E158" s="1"/>
      <c r="F158" s="7"/>
      <c r="G158" s="4"/>
      <c r="H158" s="6"/>
      <c r="I158" s="5"/>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row>
    <row r="159" spans="3:40" ht="13" x14ac:dyDescent="0.15">
      <c r="C159" s="150"/>
      <c r="D159" s="3"/>
      <c r="E159" s="1"/>
      <c r="F159" s="7"/>
      <c r="G159" s="4"/>
      <c r="H159" s="6"/>
      <c r="I159" s="5"/>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row>
    <row r="160" spans="3:40" ht="13" x14ac:dyDescent="0.15">
      <c r="C160" s="150"/>
      <c r="D160" s="3"/>
      <c r="E160" s="1"/>
      <c r="F160" s="7"/>
      <c r="G160" s="4"/>
      <c r="H160" s="6"/>
      <c r="I160" s="5"/>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row>
    <row r="161" spans="3:40" ht="13" x14ac:dyDescent="0.15">
      <c r="C161" s="150"/>
      <c r="D161" s="3"/>
      <c r="E161" s="1"/>
      <c r="F161" s="7"/>
      <c r="G161" s="4"/>
      <c r="H161" s="6"/>
      <c r="I161" s="5"/>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row>
    <row r="162" spans="3:40" ht="13" x14ac:dyDescent="0.15">
      <c r="C162" s="150"/>
      <c r="D162" s="3"/>
      <c r="E162" s="1"/>
      <c r="F162" s="7"/>
      <c r="G162" s="4"/>
      <c r="H162" s="6"/>
      <c r="I162" s="5"/>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row>
    <row r="163" spans="3:40" ht="13" x14ac:dyDescent="0.15">
      <c r="C163" s="150"/>
      <c r="D163" s="3"/>
      <c r="E163" s="1"/>
      <c r="F163" s="7"/>
      <c r="G163" s="4"/>
      <c r="H163" s="6"/>
      <c r="I163" s="5"/>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row>
    <row r="164" spans="3:40" ht="13" x14ac:dyDescent="0.15">
      <c r="C164" s="150"/>
      <c r="D164" s="3"/>
      <c r="E164" s="1"/>
      <c r="F164" s="7"/>
      <c r="G164" s="4"/>
      <c r="H164" s="6"/>
      <c r="I164" s="5"/>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row>
    <row r="165" spans="3:40" ht="13" x14ac:dyDescent="0.15">
      <c r="C165" s="150"/>
      <c r="D165" s="3"/>
      <c r="E165" s="1"/>
      <c r="F165" s="7"/>
      <c r="G165" s="4"/>
      <c r="H165" s="6"/>
      <c r="I165" s="5"/>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row>
    <row r="166" spans="3:40" ht="13" x14ac:dyDescent="0.15">
      <c r="C166" s="150"/>
      <c r="D166" s="3"/>
      <c r="E166" s="1"/>
      <c r="F166" s="7"/>
      <c r="G166" s="4"/>
      <c r="H166" s="6"/>
      <c r="I166" s="5"/>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row>
    <row r="167" spans="3:40" ht="13" x14ac:dyDescent="0.15">
      <c r="C167" s="150"/>
      <c r="D167" s="3"/>
      <c r="E167" s="1"/>
      <c r="F167" s="7"/>
      <c r="G167" s="4"/>
      <c r="H167" s="6"/>
      <c r="I167" s="5"/>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row>
    <row r="168" spans="3:40" ht="13" x14ac:dyDescent="0.15">
      <c r="C168" s="150"/>
      <c r="D168" s="3"/>
      <c r="E168" s="1"/>
      <c r="F168" s="7"/>
      <c r="G168" s="4"/>
      <c r="H168" s="6"/>
      <c r="I168" s="5"/>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row>
    <row r="169" spans="3:40" ht="13" x14ac:dyDescent="0.15">
      <c r="C169" s="150"/>
      <c r="D169" s="3"/>
      <c r="E169" s="1"/>
      <c r="F169" s="7"/>
      <c r="G169" s="4"/>
      <c r="H169" s="6"/>
      <c r="I169" s="5"/>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row>
    <row r="170" spans="3:40" ht="13" x14ac:dyDescent="0.15">
      <c r="C170" s="150"/>
      <c r="D170" s="3"/>
      <c r="E170" s="1"/>
      <c r="F170" s="7"/>
      <c r="G170" s="4"/>
      <c r="H170" s="6"/>
      <c r="I170" s="5"/>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row>
    <row r="171" spans="3:40" ht="13" x14ac:dyDescent="0.15">
      <c r="C171" s="150"/>
      <c r="D171" s="3"/>
      <c r="E171" s="1"/>
      <c r="F171" s="7"/>
      <c r="G171" s="4"/>
      <c r="H171" s="6"/>
      <c r="I171" s="5"/>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row>
    <row r="172" spans="3:40" ht="13" x14ac:dyDescent="0.15">
      <c r="C172" s="150"/>
      <c r="D172" s="3"/>
      <c r="E172" s="1"/>
      <c r="F172" s="7"/>
      <c r="G172" s="4"/>
      <c r="H172" s="6"/>
      <c r="I172" s="5"/>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row>
    <row r="173" spans="3:40" ht="13" x14ac:dyDescent="0.15">
      <c r="C173" s="150"/>
      <c r="D173" s="3"/>
      <c r="E173" s="1"/>
      <c r="F173" s="7"/>
      <c r="G173" s="4"/>
      <c r="H173" s="6"/>
      <c r="I173" s="5"/>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row>
    <row r="174" spans="3:40" ht="13" x14ac:dyDescent="0.15">
      <c r="C174" s="150"/>
      <c r="D174" s="3"/>
      <c r="E174" s="1"/>
      <c r="F174" s="7"/>
      <c r="G174" s="4"/>
      <c r="H174" s="6"/>
      <c r="I174" s="5"/>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row>
    <row r="175" spans="3:40" ht="13" x14ac:dyDescent="0.15">
      <c r="C175" s="150"/>
      <c r="D175" s="3"/>
      <c r="E175" s="1"/>
      <c r="F175" s="7"/>
      <c r="G175" s="4"/>
      <c r="H175" s="6"/>
      <c r="I175" s="5"/>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row>
    <row r="176" spans="3:40" ht="13" x14ac:dyDescent="0.15">
      <c r="C176" s="150"/>
      <c r="D176" s="3"/>
      <c r="E176" s="1"/>
      <c r="F176" s="7"/>
      <c r="G176" s="4"/>
      <c r="H176" s="6"/>
      <c r="I176" s="5"/>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row>
    <row r="177" spans="3:40" ht="13" x14ac:dyDescent="0.15">
      <c r="C177" s="150"/>
      <c r="D177" s="3"/>
      <c r="E177" s="1"/>
      <c r="F177" s="7"/>
      <c r="G177" s="4"/>
      <c r="H177" s="6"/>
      <c r="I177" s="5"/>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row>
    <row r="178" spans="3:40" ht="13" x14ac:dyDescent="0.15">
      <c r="C178" s="150"/>
      <c r="D178" s="3"/>
      <c r="E178" s="1"/>
      <c r="F178" s="7"/>
      <c r="G178" s="4"/>
      <c r="H178" s="6"/>
      <c r="I178" s="5"/>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row>
    <row r="179" spans="3:40" ht="13" x14ac:dyDescent="0.15">
      <c r="C179" s="150"/>
      <c r="D179" s="3"/>
      <c r="E179" s="1"/>
      <c r="F179" s="7"/>
      <c r="G179" s="4"/>
      <c r="H179" s="6"/>
      <c r="I179" s="5"/>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row>
    <row r="180" spans="3:40" ht="13" x14ac:dyDescent="0.15">
      <c r="C180" s="150"/>
      <c r="D180" s="3"/>
      <c r="E180" s="1"/>
      <c r="F180" s="7"/>
      <c r="G180" s="4"/>
      <c r="H180" s="6"/>
      <c r="I180" s="5"/>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row>
    <row r="181" spans="3:40" ht="13" x14ac:dyDescent="0.15">
      <c r="C181" s="150"/>
      <c r="D181" s="3"/>
      <c r="E181" s="1"/>
      <c r="F181" s="7"/>
      <c r="G181" s="4"/>
      <c r="H181" s="6"/>
      <c r="I181" s="5"/>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row>
    <row r="182" spans="3:40" ht="13" x14ac:dyDescent="0.15">
      <c r="C182" s="150"/>
      <c r="D182" s="3"/>
      <c r="E182" s="1"/>
      <c r="F182" s="7"/>
      <c r="G182" s="4"/>
      <c r="H182" s="6"/>
      <c r="I182" s="5"/>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row>
    <row r="183" spans="3:40" ht="13" x14ac:dyDescent="0.15">
      <c r="C183" s="150"/>
      <c r="D183" s="3"/>
      <c r="E183" s="1"/>
      <c r="F183" s="7"/>
      <c r="G183" s="4"/>
      <c r="H183" s="6"/>
      <c r="I183" s="5"/>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row>
    <row r="184" spans="3:40" ht="13" x14ac:dyDescent="0.15">
      <c r="C184" s="150"/>
      <c r="D184" s="3"/>
      <c r="E184" s="1"/>
      <c r="F184" s="7"/>
      <c r="G184" s="4"/>
      <c r="H184" s="6"/>
      <c r="I184" s="5"/>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row>
    <row r="185" spans="3:40" ht="13" x14ac:dyDescent="0.15">
      <c r="C185" s="150"/>
      <c r="D185" s="3"/>
      <c r="E185" s="1"/>
      <c r="F185" s="7"/>
      <c r="G185" s="4"/>
      <c r="H185" s="6"/>
      <c r="I185" s="5"/>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row>
    <row r="186" spans="3:40" ht="13" x14ac:dyDescent="0.15">
      <c r="C186" s="150"/>
      <c r="D186" s="3"/>
      <c r="E186" s="1"/>
      <c r="F186" s="7"/>
      <c r="G186" s="4"/>
      <c r="H186" s="6"/>
      <c r="I186" s="5"/>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row>
    <row r="187" spans="3:40" ht="13" x14ac:dyDescent="0.15">
      <c r="C187" s="150"/>
      <c r="D187" s="3"/>
      <c r="E187" s="1"/>
      <c r="F187" s="7"/>
      <c r="G187" s="4"/>
      <c r="H187" s="6"/>
      <c r="I187" s="5"/>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row>
    <row r="188" spans="3:40" ht="13" x14ac:dyDescent="0.15">
      <c r="C188" s="150"/>
      <c r="D188" s="3"/>
      <c r="E188" s="1"/>
      <c r="F188" s="7"/>
      <c r="G188" s="4"/>
      <c r="H188" s="6"/>
      <c r="I188" s="5"/>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row>
    <row r="189" spans="3:40" ht="13" x14ac:dyDescent="0.15">
      <c r="C189" s="150"/>
      <c r="D189" s="3"/>
      <c r="E189" s="1"/>
      <c r="F189" s="7"/>
      <c r="G189" s="4"/>
      <c r="H189" s="6"/>
      <c r="I189" s="5"/>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row>
    <row r="190" spans="3:40" ht="13" x14ac:dyDescent="0.15">
      <c r="C190" s="150"/>
      <c r="D190" s="3"/>
      <c r="E190" s="1"/>
      <c r="F190" s="7"/>
      <c r="G190" s="4"/>
      <c r="H190" s="6"/>
      <c r="I190" s="5"/>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row>
    <row r="191" spans="3:40" ht="13" x14ac:dyDescent="0.15">
      <c r="C191" s="150"/>
      <c r="D191" s="3"/>
      <c r="E191" s="1"/>
      <c r="F191" s="7"/>
      <c r="G191" s="4"/>
      <c r="H191" s="6"/>
      <c r="I191" s="5"/>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row>
    <row r="192" spans="3:40" ht="13" x14ac:dyDescent="0.15">
      <c r="C192" s="150"/>
      <c r="D192" s="3"/>
      <c r="E192" s="1"/>
      <c r="F192" s="7"/>
      <c r="G192" s="4"/>
      <c r="H192" s="6"/>
      <c r="I192" s="5"/>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row>
    <row r="193" spans="3:40" ht="13" x14ac:dyDescent="0.15">
      <c r="C193" s="150"/>
      <c r="D193" s="3"/>
      <c r="E193" s="1"/>
      <c r="F193" s="7"/>
      <c r="G193" s="4"/>
      <c r="H193" s="6"/>
      <c r="I193" s="5"/>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row>
    <row r="194" spans="3:40" ht="13" x14ac:dyDescent="0.15">
      <c r="C194" s="150"/>
      <c r="D194" s="3"/>
      <c r="E194" s="1"/>
      <c r="F194" s="7"/>
      <c r="G194" s="4"/>
      <c r="H194" s="6"/>
      <c r="I194" s="5"/>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row>
    <row r="195" spans="3:40" ht="13" x14ac:dyDescent="0.15">
      <c r="C195" s="150"/>
      <c r="D195" s="3"/>
      <c r="E195" s="1"/>
      <c r="F195" s="7"/>
      <c r="G195" s="4"/>
      <c r="H195" s="6"/>
      <c r="I195" s="5"/>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row>
    <row r="196" spans="3:40" ht="13" x14ac:dyDescent="0.15">
      <c r="C196" s="150"/>
      <c r="D196" s="3"/>
      <c r="E196" s="1"/>
      <c r="F196" s="7"/>
      <c r="G196" s="4"/>
      <c r="H196" s="6"/>
      <c r="I196" s="5"/>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row>
    <row r="197" spans="3:40" ht="13" x14ac:dyDescent="0.15">
      <c r="C197" s="150"/>
      <c r="D197" s="3"/>
      <c r="E197" s="1"/>
      <c r="F197" s="7"/>
      <c r="G197" s="4"/>
      <c r="H197" s="6"/>
      <c r="I197" s="5"/>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row>
    <row r="198" spans="3:40" ht="13" x14ac:dyDescent="0.15">
      <c r="C198" s="150"/>
      <c r="D198" s="3"/>
      <c r="E198" s="1"/>
      <c r="F198" s="7"/>
      <c r="G198" s="4"/>
      <c r="H198" s="6"/>
      <c r="I198" s="5"/>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row>
    <row r="199" spans="3:40" ht="13" x14ac:dyDescent="0.15">
      <c r="C199" s="150"/>
      <c r="D199" s="3"/>
      <c r="E199" s="1"/>
      <c r="F199" s="7"/>
      <c r="G199" s="4"/>
      <c r="H199" s="6"/>
      <c r="I199" s="5"/>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row>
    <row r="200" spans="3:40" ht="13" x14ac:dyDescent="0.15">
      <c r="C200" s="150"/>
      <c r="D200" s="3"/>
      <c r="E200" s="1"/>
      <c r="F200" s="7"/>
      <c r="G200" s="4"/>
      <c r="H200" s="6"/>
      <c r="I200" s="5"/>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row>
    <row r="201" spans="3:40" ht="13" x14ac:dyDescent="0.15">
      <c r="C201" s="150"/>
      <c r="D201" s="3"/>
      <c r="E201" s="1"/>
      <c r="F201" s="7"/>
      <c r="G201" s="4"/>
      <c r="H201" s="6"/>
      <c r="I201" s="5"/>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row>
    <row r="202" spans="3:40" ht="13" x14ac:dyDescent="0.15">
      <c r="C202" s="150"/>
      <c r="D202" s="3"/>
      <c r="E202" s="1"/>
      <c r="F202" s="7"/>
      <c r="G202" s="4"/>
      <c r="H202" s="6"/>
      <c r="I202" s="5"/>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row>
    <row r="203" spans="3:40" ht="13" x14ac:dyDescent="0.15">
      <c r="C203" s="150"/>
      <c r="D203" s="3"/>
      <c r="E203" s="1"/>
      <c r="F203" s="7"/>
      <c r="G203" s="4"/>
      <c r="H203" s="6"/>
      <c r="I203" s="5"/>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row>
    <row r="204" spans="3:40" ht="13" x14ac:dyDescent="0.15">
      <c r="C204" s="150"/>
      <c r="D204" s="3"/>
      <c r="E204" s="1"/>
      <c r="F204" s="7"/>
      <c r="G204" s="4"/>
      <c r="H204" s="6"/>
      <c r="I204" s="5"/>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row>
    <row r="205" spans="3:40" ht="13" x14ac:dyDescent="0.15">
      <c r="C205" s="150"/>
      <c r="D205" s="3"/>
      <c r="E205" s="1"/>
      <c r="F205" s="7"/>
      <c r="G205" s="4"/>
      <c r="H205" s="6"/>
      <c r="I205" s="5"/>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row>
    <row r="206" spans="3:40" ht="13" x14ac:dyDescent="0.15">
      <c r="C206" s="150"/>
      <c r="D206" s="3"/>
      <c r="E206" s="1"/>
      <c r="F206" s="7"/>
      <c r="G206" s="4"/>
      <c r="H206" s="6"/>
      <c r="I206" s="5"/>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row>
    <row r="207" spans="3:40" ht="13" x14ac:dyDescent="0.15">
      <c r="C207" s="150"/>
      <c r="D207" s="3"/>
      <c r="E207" s="1"/>
      <c r="F207" s="7"/>
      <c r="G207" s="4"/>
      <c r="H207" s="6"/>
      <c r="I207" s="5"/>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row>
    <row r="208" spans="3:40" ht="13" x14ac:dyDescent="0.15">
      <c r="C208" s="150"/>
      <c r="D208" s="3"/>
      <c r="E208" s="1"/>
      <c r="F208" s="7"/>
      <c r="G208" s="4"/>
      <c r="H208" s="6"/>
      <c r="I208" s="5"/>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row>
    <row r="209" spans="3:40" ht="13" x14ac:dyDescent="0.15">
      <c r="C209" s="150"/>
      <c r="D209" s="3"/>
      <c r="E209" s="1"/>
      <c r="F209" s="7"/>
      <c r="G209" s="4"/>
      <c r="H209" s="6"/>
      <c r="I209" s="5"/>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row>
    <row r="210" spans="3:40" ht="13" x14ac:dyDescent="0.15">
      <c r="C210" s="150"/>
      <c r="D210" s="3"/>
      <c r="E210" s="1"/>
      <c r="F210" s="7"/>
      <c r="G210" s="4"/>
      <c r="H210" s="6"/>
      <c r="I210" s="5"/>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row>
    <row r="211" spans="3:40" ht="13" x14ac:dyDescent="0.15">
      <c r="C211" s="150"/>
      <c r="D211" s="3"/>
      <c r="E211" s="1"/>
      <c r="F211" s="7"/>
      <c r="G211" s="4"/>
      <c r="H211" s="6"/>
      <c r="I211" s="5"/>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row>
    <row r="212" spans="3:40" ht="13" x14ac:dyDescent="0.15">
      <c r="C212" s="150"/>
      <c r="D212" s="3"/>
      <c r="E212" s="1"/>
      <c r="F212" s="7"/>
      <c r="G212" s="4"/>
      <c r="H212" s="6"/>
      <c r="I212" s="5"/>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row>
  </sheetData>
  <mergeCells count="2">
    <mergeCell ref="A1:B1"/>
    <mergeCell ref="D2:I4"/>
  </mergeCells>
  <conditionalFormatting sqref="S1:AN30 J85:AN212 K84:AN84 K7:AN7 K30:AN30 L8:AN28 J5:R30 K9:AN20 K27:AN28 J31:AN47 J62:AN66 J68:AN83 K22:AM28">
    <cfRule type="expression" dxfId="1454" priority="44">
      <formula>#REF!="CN"</formula>
    </cfRule>
  </conditionalFormatting>
  <conditionalFormatting sqref="S1:AN30 J85:AN212 K84:AN84 K7:AN7 K30:AN30 L8:AN28 J5:R30 K9:AN20 K27:AN28 J31:AN47 J62:AN66 J68:AN83 K22:AM28">
    <cfRule type="expression" dxfId="1453" priority="45">
      <formula>#REF!="CN"</formula>
    </cfRule>
  </conditionalFormatting>
  <conditionalFormatting sqref="S2:AN30 J85:AN212 L84:AN84 K7:AN7 K30:AN30 L8:AN28 J5:R30 K9:AN20 K27:AN28 J31:AN47 J62:AN66 J68:AN83 K22:AM28">
    <cfRule type="expression" dxfId="1452" priority="46">
      <formula>S$3="CN"</formula>
    </cfRule>
  </conditionalFormatting>
  <conditionalFormatting sqref="J68:AN82 J62:AN66 J1:AN47">
    <cfRule type="expression" dxfId="1451" priority="47">
      <formula>J$6="CN"</formula>
    </cfRule>
  </conditionalFormatting>
  <conditionalFormatting sqref="J68:AN82 J62:AN66 J1:AN47">
    <cfRule type="expression" dxfId="1450" priority="48">
      <formula>J$5=TODAY()</formula>
    </cfRule>
  </conditionalFormatting>
  <conditionalFormatting sqref="J67:AN67">
    <cfRule type="expression" dxfId="1449" priority="39">
      <formula>#REF!="CN"</formula>
    </cfRule>
  </conditionalFormatting>
  <conditionalFormatting sqref="J67:AN67">
    <cfRule type="expression" dxfId="1448" priority="40">
      <formula>#REF!="CN"</formula>
    </cfRule>
  </conditionalFormatting>
  <conditionalFormatting sqref="J67:AN67">
    <cfRule type="expression" dxfId="1447" priority="41">
      <formula>S$3="CN"</formula>
    </cfRule>
  </conditionalFormatting>
  <conditionalFormatting sqref="J67:AN67">
    <cfRule type="expression" dxfId="1446" priority="42">
      <formula>J$6="CN"</formula>
    </cfRule>
  </conditionalFormatting>
  <conditionalFormatting sqref="J67:AN67">
    <cfRule type="expression" dxfId="1445" priority="43">
      <formula>J$5=TODAY()</formula>
    </cfRule>
  </conditionalFormatting>
  <conditionalFormatting sqref="K84">
    <cfRule type="expression" dxfId="1444" priority="49">
      <formula>S$3="CN"</formula>
    </cfRule>
  </conditionalFormatting>
  <conditionalFormatting sqref="J48:AN54">
    <cfRule type="expression" dxfId="1443" priority="34">
      <formula>#REF!="CN"</formula>
    </cfRule>
  </conditionalFormatting>
  <conditionalFormatting sqref="J48:AN54">
    <cfRule type="expression" dxfId="1442" priority="35">
      <formula>#REF!="CN"</formula>
    </cfRule>
  </conditionalFormatting>
  <conditionalFormatting sqref="J48:AN54">
    <cfRule type="expression" dxfId="1441" priority="36">
      <formula>S$3="CN"</formula>
    </cfRule>
  </conditionalFormatting>
  <conditionalFormatting sqref="J48:AN54">
    <cfRule type="expression" dxfId="1440" priority="37">
      <formula>J$6="CN"</formula>
    </cfRule>
  </conditionalFormatting>
  <conditionalFormatting sqref="J48:AN54">
    <cfRule type="expression" dxfId="1439" priority="38">
      <formula>J$5=TODAY()</formula>
    </cfRule>
  </conditionalFormatting>
  <conditionalFormatting sqref="K55:AN55">
    <cfRule type="expression" dxfId="1438" priority="11">
      <formula>#REF!="CN"</formula>
    </cfRule>
  </conditionalFormatting>
  <conditionalFormatting sqref="K55:AN55">
    <cfRule type="expression" dxfId="1437" priority="12">
      <formula>#REF!="CN"</formula>
    </cfRule>
  </conditionalFormatting>
  <conditionalFormatting sqref="K55:AN55">
    <cfRule type="expression" dxfId="1436" priority="13">
      <formula>T$3="CN"</formula>
    </cfRule>
  </conditionalFormatting>
  <conditionalFormatting sqref="J55">
    <cfRule type="expression" dxfId="1435" priority="21">
      <formula>#REF!="CN"</formula>
    </cfRule>
  </conditionalFormatting>
  <conditionalFormatting sqref="J55">
    <cfRule type="expression" dxfId="1434" priority="22">
      <formula>#REF!="CN"</formula>
    </cfRule>
  </conditionalFormatting>
  <conditionalFormatting sqref="J55">
    <cfRule type="expression" dxfId="1433" priority="23">
      <formula>S$3="CN"</formula>
    </cfRule>
  </conditionalFormatting>
  <conditionalFormatting sqref="J55">
    <cfRule type="expression" dxfId="1432" priority="24">
      <formula>J$6="CN"</formula>
    </cfRule>
  </conditionalFormatting>
  <conditionalFormatting sqref="J55">
    <cfRule type="expression" dxfId="1431" priority="25">
      <formula>J$5=TODAY()</formula>
    </cfRule>
  </conditionalFormatting>
  <conditionalFormatting sqref="K55:AN55">
    <cfRule type="expression" dxfId="1430" priority="14">
      <formula>K$6="CN"</formula>
    </cfRule>
  </conditionalFormatting>
  <conditionalFormatting sqref="K55:AN55">
    <cfRule type="expression" dxfId="1429" priority="15">
      <formula>K$5=TODAY()</formula>
    </cfRule>
  </conditionalFormatting>
  <conditionalFormatting sqref="J56:AN61">
    <cfRule type="expression" dxfId="1428" priority="1">
      <formula>#REF!="CN"</formula>
    </cfRule>
  </conditionalFormatting>
  <conditionalFormatting sqref="J56:AN61">
    <cfRule type="expression" dxfId="1427" priority="2">
      <formula>#REF!="CN"</formula>
    </cfRule>
  </conditionalFormatting>
  <conditionalFormatting sqref="J56:AN61">
    <cfRule type="expression" dxfId="1426" priority="3">
      <formula>S$3="CN"</formula>
    </cfRule>
  </conditionalFormatting>
  <conditionalFormatting sqref="J56:AN61">
    <cfRule type="expression" dxfId="1425" priority="4">
      <formula>J$6="CN"</formula>
    </cfRule>
  </conditionalFormatting>
  <conditionalFormatting sqref="J56:AN61">
    <cfRule type="expression" dxfId="1424" priority="5">
      <formula>J$5=TODAY()</formula>
    </cfRule>
  </conditionalFormatting>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G166"/>
  <sheetViews>
    <sheetView zoomScaleNormal="100" workbookViewId="0">
      <pane xSplit="3" topLeftCell="D1" activePane="topRight" state="frozen"/>
      <selection pane="topRight" activeCell="P48" sqref="P48"/>
    </sheetView>
  </sheetViews>
  <sheetFormatPr baseColWidth="10" defaultColWidth="12.6640625" defaultRowHeight="15.75" customHeight="1" x14ac:dyDescent="0.15"/>
  <cols>
    <col min="1" max="1" width="26.33203125" style="815" customWidth="1"/>
    <col min="2" max="2" width="40.5" style="815" customWidth="1"/>
    <col min="3" max="4" width="29.33203125" style="815" customWidth="1"/>
    <col min="5" max="5" width="18.1640625" style="815" customWidth="1"/>
    <col min="6" max="6" width="17" style="815" customWidth="1"/>
    <col min="7" max="7" width="12.33203125" style="815" customWidth="1"/>
    <col min="8" max="8" width="19.33203125" style="815" customWidth="1"/>
    <col min="9" max="9" width="21.6640625" style="815" customWidth="1"/>
    <col min="10" max="10" width="24.1640625" style="815" customWidth="1"/>
    <col min="11" max="11" width="19.5" style="815" customWidth="1"/>
    <col min="12" max="12" width="21.33203125" style="815" customWidth="1"/>
    <col min="13" max="136" width="15.83203125" style="815" customWidth="1"/>
    <col min="137" max="16384" width="12.6640625" style="815"/>
  </cols>
  <sheetData>
    <row r="1" spans="1:136" ht="30" customHeight="1" x14ac:dyDescent="0.25">
      <c r="A1" s="1385" t="s">
        <v>190</v>
      </c>
      <c r="B1" s="1386"/>
      <c r="C1" s="1386"/>
      <c r="D1" s="16"/>
      <c r="E1" s="16"/>
      <c r="F1" s="80"/>
      <c r="G1" s="80"/>
      <c r="H1" s="80"/>
      <c r="I1" s="80"/>
      <c r="J1" s="80"/>
      <c r="K1" s="80"/>
      <c r="L1" s="874"/>
      <c r="M1" s="903">
        <f>M8-($D$15+$D$16)</f>
        <v>-489.46336664584624</v>
      </c>
      <c r="N1" s="877">
        <f>N8-(N2*$I$20+N3*$I$26+N4*$I$32+N5*I$35+N6*I$36+N7*I$39)</f>
        <v>25.1875</v>
      </c>
      <c r="O1" s="1099">
        <f>O8-$I$19</f>
        <v>0.46458333333333335</v>
      </c>
      <c r="P1" s="880">
        <f>P8-$K$19</f>
        <v>-3530769.230769231</v>
      </c>
      <c r="Q1" s="903">
        <f t="shared" ref="Q1" si="0">Q8-($D$15+$D$16)</f>
        <v>-491.46336664584624</v>
      </c>
      <c r="R1" s="877">
        <f t="shared" ref="R1" si="1">R8-(R2*$I$20+R3*$I$26+R4*$I$32+R5*M$35+R6*M$36+R7*M$39)</f>
        <v>5.1875</v>
      </c>
      <c r="S1" s="1099">
        <f t="shared" ref="S1" si="2">S8-$I$19</f>
        <v>0.6004528985507247</v>
      </c>
      <c r="T1" s="880">
        <f t="shared" ref="T1" si="3">T8-$K$19</f>
        <v>-3530769.230769231</v>
      </c>
      <c r="U1" s="903">
        <f t="shared" ref="U1" si="4">U8-($D$15+$D$16)</f>
        <v>-491.46336664584624</v>
      </c>
      <c r="V1" s="877">
        <f t="shared" ref="V1" si="5">V8-(V2*$I$20+V3*$I$26+V4*$I$32+V5*Q$35+V6*Q$36+V7*Q$39)</f>
        <v>9.1875</v>
      </c>
      <c r="W1" s="1099">
        <f t="shared" ref="W1" si="6">W8-$I$19</f>
        <v>0.6004528985507247</v>
      </c>
      <c r="X1" s="880">
        <f t="shared" ref="X1" si="7">X8-$K$19</f>
        <v>-3530769.230769231</v>
      </c>
      <c r="Y1" s="903">
        <f t="shared" ref="Y1" si="8">Y8-($D$15+$D$16)</f>
        <v>-491.46336664584624</v>
      </c>
      <c r="Z1" s="877">
        <f t="shared" ref="Z1" si="9">Z8-(Z2*$I$20+Z3*$I$26+Z4*$I$32+Z5*U$35+Z6*U$36+Z7*U$39)</f>
        <v>9.1875</v>
      </c>
      <c r="AA1" s="1099">
        <f t="shared" ref="AA1" si="10">AA8-$I$19</f>
        <v>0.6004528985507247</v>
      </c>
      <c r="AB1" s="880">
        <f t="shared" ref="AB1" si="11">AB8-$K$19</f>
        <v>-3530769.230769231</v>
      </c>
      <c r="AC1" s="903">
        <f t="shared" ref="AC1" si="12">AC8-($D$15+$D$16)</f>
        <v>-491.46336664584624</v>
      </c>
      <c r="AD1" s="877">
        <f t="shared" ref="AD1" si="13">AD8-(AD2*$I$20+AD3*$I$26+AD4*$I$32+AD5*Y$35+AD6*Y$36+AD7*Y$39)</f>
        <v>9.1875</v>
      </c>
      <c r="AE1" s="1099">
        <f t="shared" ref="AE1" si="14">AE8-$I$19</f>
        <v>0.6004528985507247</v>
      </c>
      <c r="AF1" s="880">
        <f t="shared" ref="AF1" si="15">AF8-$K$19</f>
        <v>-3530769.230769231</v>
      </c>
      <c r="AG1" s="903">
        <f t="shared" ref="AG1" si="16">AG8-($D$15+$D$16)</f>
        <v>-491.46336664584624</v>
      </c>
      <c r="AH1" s="877">
        <f t="shared" ref="AH1" si="17">AH8-(AH2*$I$20+AH3*$I$26+AH4*$I$32+AH5*AC$35+AH6*AC$36+AH7*AC$39)</f>
        <v>9.1875</v>
      </c>
      <c r="AI1" s="1099">
        <f t="shared" ref="AI1" si="18">AI8-$I$19</f>
        <v>0.6004528985507247</v>
      </c>
      <c r="AJ1" s="880">
        <f t="shared" ref="AJ1" si="19">AJ8-$K$19</f>
        <v>-3530769.230769231</v>
      </c>
      <c r="AK1" s="903">
        <f t="shared" ref="AK1" si="20">AK8-($D$15+$D$16)</f>
        <v>-491.46336664584624</v>
      </c>
      <c r="AL1" s="877">
        <f t="shared" ref="AL1" si="21">AL8-(AL2*$I$20+AL3*$I$26+AL4*$I$32+AL5*AG$35+AL6*AG$36+AL7*AG$39)</f>
        <v>9.1875</v>
      </c>
      <c r="AM1" s="1099">
        <f t="shared" ref="AM1" si="22">AM8-$I$19</f>
        <v>0.6004528985507247</v>
      </c>
      <c r="AN1" s="880">
        <f t="shared" ref="AN1" si="23">AN8-$K$19</f>
        <v>-3530769.230769231</v>
      </c>
      <c r="AO1" s="903">
        <f t="shared" ref="AO1" si="24">AO8-($D$15+$D$16)</f>
        <v>-491.46336664584624</v>
      </c>
      <c r="AP1" s="877">
        <f t="shared" ref="AP1" si="25">AP8-(AP2*$I$20+AP3*$I$26+AP4*$I$32+AP5*AK$35+AP6*AK$36+AP7*AK$39)</f>
        <v>9.1875</v>
      </c>
      <c r="AQ1" s="1099">
        <f t="shared" ref="AQ1" si="26">AQ8-$I$19</f>
        <v>0.6004528985507247</v>
      </c>
      <c r="AR1" s="880">
        <f t="shared" ref="AR1" si="27">AR8-$K$19</f>
        <v>-3530769.230769231</v>
      </c>
      <c r="AS1" s="903">
        <f t="shared" ref="AS1" si="28">AS8-($D$15+$D$16)</f>
        <v>-491.46336664584624</v>
      </c>
      <c r="AT1" s="877">
        <f t="shared" ref="AT1" si="29">AT8-(AT2*$I$20+AT3*$I$26+AT4*$I$32+AT5*AO$35+AT6*AO$36+AT7*AO$39)</f>
        <v>9.1875</v>
      </c>
      <c r="AU1" s="1099">
        <f t="shared" ref="AU1" si="30">AU8-$I$19</f>
        <v>0.6004528985507247</v>
      </c>
      <c r="AV1" s="880">
        <f t="shared" ref="AV1" si="31">AV8-$K$19</f>
        <v>-3530769.230769231</v>
      </c>
      <c r="AW1" s="903">
        <f t="shared" ref="AW1" si="32">AW8-($D$15+$D$16)</f>
        <v>-491.46336664584624</v>
      </c>
      <c r="AX1" s="877">
        <f t="shared" ref="AX1" si="33">AX8-(AX2*$I$20+AX3*$I$26+AX4*$I$32+AX5*AS$35+AX6*AS$36+AX7*AS$39)</f>
        <v>9.1875</v>
      </c>
      <c r="AY1" s="1099">
        <f t="shared" ref="AY1" si="34">AY8-$I$19</f>
        <v>0.6004528985507247</v>
      </c>
      <c r="AZ1" s="880">
        <f t="shared" ref="AZ1" si="35">AZ8-$K$19</f>
        <v>-3530769.230769231</v>
      </c>
      <c r="BA1" s="903">
        <f t="shared" ref="BA1" si="36">BA8-($D$15+$D$16)</f>
        <v>-491.46336664584624</v>
      </c>
      <c r="BB1" s="877">
        <f t="shared" ref="BB1" si="37">BB8-(BB2*$I$20+BB3*$I$26+BB4*$I$32+BB5*AW$35+BB6*AW$36+BB7*AW$39)</f>
        <v>9.1875</v>
      </c>
      <c r="BC1" s="1099">
        <f t="shared" ref="BC1" si="38">BC8-$I$19</f>
        <v>0.6004528985507247</v>
      </c>
      <c r="BD1" s="880">
        <f t="shared" ref="BD1" si="39">BD8-$K$19</f>
        <v>-3530769.230769231</v>
      </c>
      <c r="BE1" s="903">
        <f t="shared" ref="BE1" si="40">BE8-($D$15+$D$16)</f>
        <v>-491.46336664584624</v>
      </c>
      <c r="BF1" s="877">
        <f t="shared" ref="BF1" si="41">BF8-(BF2*$I$20+BF3*$I$26+BF4*$I$32+BF5*BA$35+BF6*BA$36+BF7*BA$39)</f>
        <v>9.1875</v>
      </c>
      <c r="BG1" s="1099">
        <f t="shared" ref="BG1" si="42">BG8-$I$19</f>
        <v>0.6004528985507247</v>
      </c>
      <c r="BH1" s="880">
        <f t="shared" ref="BH1" si="43">BH8-$K$19</f>
        <v>-3530769.230769231</v>
      </c>
      <c r="BI1" s="903">
        <f t="shared" ref="BI1" si="44">BI8-($D$15+$D$16)</f>
        <v>-491.46336664584624</v>
      </c>
      <c r="BJ1" s="877">
        <f t="shared" ref="BJ1" si="45">BJ8-(BJ2*$I$20+BJ3*$I$26+BJ4*$I$32+BJ5*BE$35+BJ6*BE$36+BJ7*BE$39)</f>
        <v>9.1875</v>
      </c>
      <c r="BK1" s="1099">
        <f t="shared" ref="BK1" si="46">BK8-$I$19</f>
        <v>0.6004528985507247</v>
      </c>
      <c r="BL1" s="880">
        <f t="shared" ref="BL1" si="47">BL8-$K$19</f>
        <v>-3530769.230769231</v>
      </c>
      <c r="BM1" s="903">
        <f t="shared" ref="BM1" si="48">BM8-($D$15+$D$16)</f>
        <v>-491.46336664584624</v>
      </c>
      <c r="BN1" s="877">
        <f t="shared" ref="BN1" si="49">BN8-(BN2*$I$20+BN3*$I$26+BN4*$I$32+BN5*BI$35+BN6*BI$36+BN7*BI$39)</f>
        <v>9.1875</v>
      </c>
      <c r="BO1" s="1099">
        <f t="shared" ref="BO1" si="50">BO8-$I$19</f>
        <v>0.6004528985507247</v>
      </c>
      <c r="BP1" s="880">
        <f t="shared" ref="BP1" si="51">BP8-$K$19</f>
        <v>-3530769.230769231</v>
      </c>
      <c r="BQ1" s="903">
        <f t="shared" ref="BQ1" si="52">BQ8-($D$15+$D$16)</f>
        <v>-491.46336664584624</v>
      </c>
      <c r="BR1" s="877">
        <f t="shared" ref="BR1" si="53">BR8-(BR2*$I$20+BR3*$I$26+BR4*$I$32+BR5*BM$35+BR6*BM$36+BR7*BM$39)</f>
        <v>9.1875</v>
      </c>
      <c r="BS1" s="1099">
        <f t="shared" ref="BS1" si="54">BS8-$I$19</f>
        <v>0.6004528985507247</v>
      </c>
      <c r="BT1" s="880">
        <f t="shared" ref="BT1" si="55">BT8-$K$19</f>
        <v>-3530769.230769231</v>
      </c>
      <c r="BU1" s="903">
        <f t="shared" ref="BU1" si="56">BU8-($D$15+$D$16)</f>
        <v>-491.46336664584624</v>
      </c>
      <c r="BV1" s="877">
        <f t="shared" ref="BV1" si="57">BV8-(BV2*$I$20+BV3*$I$26+BV4*$I$32+BV5*BQ$35+BV6*BQ$36+BV7*BQ$39)</f>
        <v>9.1875</v>
      </c>
      <c r="BW1" s="1099">
        <f t="shared" ref="BW1" si="58">BW8-$I$19</f>
        <v>0.6004528985507247</v>
      </c>
      <c r="BX1" s="880">
        <f t="shared" ref="BX1" si="59">BX8-$K$19</f>
        <v>-3530769.230769231</v>
      </c>
      <c r="BY1" s="903">
        <f t="shared" ref="BY1" si="60">BY8-($D$15+$D$16)</f>
        <v>-491.46336664584624</v>
      </c>
      <c r="BZ1" s="877">
        <f t="shared" ref="BZ1" si="61">BZ8-(BZ2*$I$20+BZ3*$I$26+BZ4*$I$32+BZ5*BU$35+BZ6*BU$36+BZ7*BU$39)</f>
        <v>9.1875</v>
      </c>
      <c r="CA1" s="1099">
        <f t="shared" ref="CA1" si="62">CA8-$I$19</f>
        <v>0.6004528985507247</v>
      </c>
      <c r="CB1" s="880">
        <f t="shared" ref="CB1" si="63">CB8-$K$19</f>
        <v>-3530769.230769231</v>
      </c>
      <c r="CC1" s="903">
        <f t="shared" ref="CC1" si="64">CC8-($D$15+$D$16)</f>
        <v>-491.46336664584624</v>
      </c>
      <c r="CD1" s="877">
        <f t="shared" ref="CD1" si="65">CD8-(CD2*$I$20+CD3*$I$26+CD4*$I$32+CD5*BY$35+CD6*BY$36+CD7*BY$39)</f>
        <v>9.1875</v>
      </c>
      <c r="CE1" s="1099">
        <f t="shared" ref="CE1" si="66">CE8-$I$19</f>
        <v>0.6004528985507247</v>
      </c>
      <c r="CF1" s="880">
        <f t="shared" ref="CF1" si="67">CF8-$K$19</f>
        <v>-3530769.230769231</v>
      </c>
      <c r="CG1" s="903">
        <f t="shared" ref="CG1" si="68">CG8-($D$15+$D$16)</f>
        <v>-491.46336664584624</v>
      </c>
      <c r="CH1" s="877">
        <f t="shared" ref="CH1" si="69">CH8-(CH2*$I$20+CH3*$I$26+CH4*$I$32+CH5*CC$35+CH6*CC$36+CH7*CC$39)</f>
        <v>9.1875</v>
      </c>
      <c r="CI1" s="1099">
        <f t="shared" ref="CI1" si="70">CI8-$I$19</f>
        <v>0.6004528985507247</v>
      </c>
      <c r="CJ1" s="880">
        <f t="shared" ref="CJ1" si="71">CJ8-$K$19</f>
        <v>-3530769.230769231</v>
      </c>
      <c r="CK1" s="903">
        <f t="shared" ref="CK1" si="72">CK8-($D$15+$D$16)</f>
        <v>-491.46336664584624</v>
      </c>
      <c r="CL1" s="877">
        <f t="shared" ref="CL1" si="73">CL8-(CL2*$I$20+CL3*$I$26+CL4*$I$32+CL5*CG$35+CL6*CG$36+CL7*CG$39)</f>
        <v>9.1875</v>
      </c>
      <c r="CM1" s="1099">
        <f t="shared" ref="CM1" si="74">CM8-$I$19</f>
        <v>0.6004528985507247</v>
      </c>
      <c r="CN1" s="880">
        <f t="shared" ref="CN1" si="75">CN8-$K$19</f>
        <v>-3530769.230769231</v>
      </c>
      <c r="CO1" s="903">
        <f t="shared" ref="CO1" si="76">CO8-($D$15+$D$16)</f>
        <v>-491.46336664584624</v>
      </c>
      <c r="CP1" s="877">
        <f t="shared" ref="CP1" si="77">CP8-(CP2*$I$20+CP3*$I$26+CP4*$I$32+CP5*CK$35+CP6*CK$36+CP7*CK$39)</f>
        <v>9.1875</v>
      </c>
      <c r="CQ1" s="1099">
        <f t="shared" ref="CQ1" si="78">CQ8-$I$19</f>
        <v>0.6004528985507247</v>
      </c>
      <c r="CR1" s="880">
        <f t="shared" ref="CR1" si="79">CR8-$K$19</f>
        <v>-3530769.230769231</v>
      </c>
      <c r="CS1" s="903">
        <f t="shared" ref="CS1" si="80">CS8-($D$15+$D$16)</f>
        <v>-491.46336664584624</v>
      </c>
      <c r="CT1" s="877">
        <f t="shared" ref="CT1" si="81">CT8-(CT2*$I$20+CT3*$I$26+CT4*$I$32+CT5*CO$35+CT6*CO$36+CT7*CO$39)</f>
        <v>9.1875</v>
      </c>
      <c r="CU1" s="1099">
        <f t="shared" ref="CU1" si="82">CU8-$I$19</f>
        <v>0.6004528985507247</v>
      </c>
      <c r="CV1" s="880">
        <f t="shared" ref="CV1" si="83">CV8-$K$19</f>
        <v>-3530769.230769231</v>
      </c>
      <c r="CW1" s="903">
        <f t="shared" ref="CW1" si="84">CW8-($D$15+$D$16)</f>
        <v>-491.46336664584624</v>
      </c>
      <c r="CX1" s="877">
        <f t="shared" ref="CX1" si="85">CX8-(CX2*$I$20+CX3*$I$26+CX4*$I$32+CX5*CS$35+CX6*CS$36+CX7*CS$39)</f>
        <v>9.1875</v>
      </c>
      <c r="CY1" s="1099">
        <f t="shared" ref="CY1" si="86">CY8-$I$19</f>
        <v>0.6004528985507247</v>
      </c>
      <c r="CZ1" s="880">
        <f t="shared" ref="CZ1" si="87">CZ8-$K$19</f>
        <v>-3530769.230769231</v>
      </c>
      <c r="DA1" s="903">
        <f t="shared" ref="DA1" si="88">DA8-($D$15+$D$16)</f>
        <v>-491.46336664584624</v>
      </c>
      <c r="DB1" s="877">
        <f t="shared" ref="DB1" si="89">DB8-(DB2*$I$20+DB3*$I$26+DB4*$I$32+DB5*CW$35+DB6*CW$36+DB7*CW$39)</f>
        <v>9.1875</v>
      </c>
      <c r="DC1" s="1099">
        <f t="shared" ref="DC1" si="90">DC8-$I$19</f>
        <v>0.6004528985507247</v>
      </c>
      <c r="DD1" s="880">
        <f t="shared" ref="DD1" si="91">DD8-$K$19</f>
        <v>-3530769.230769231</v>
      </c>
      <c r="DE1" s="903">
        <f t="shared" ref="DE1" si="92">DE8-($D$15+$D$16)</f>
        <v>-491.46336664584624</v>
      </c>
      <c r="DF1" s="877">
        <f t="shared" ref="DF1" si="93">DF8-(DF2*$I$20+DF3*$I$26+DF4*$I$32+DF5*DA$35+DF6*DA$36+DF7*DA$39)</f>
        <v>9.1875</v>
      </c>
      <c r="DG1" s="1099">
        <f t="shared" ref="DG1" si="94">DG8-$I$19</f>
        <v>0.6004528985507247</v>
      </c>
      <c r="DH1" s="880">
        <f t="shared" ref="DH1" si="95">DH8-$K$19</f>
        <v>-3530769.230769231</v>
      </c>
      <c r="DI1" s="903">
        <f t="shared" ref="DI1" si="96">DI8-($D$15+$D$16)</f>
        <v>-491.46336664584624</v>
      </c>
      <c r="DJ1" s="877">
        <f t="shared" ref="DJ1" si="97">DJ8-(DJ2*$I$20+DJ3*$I$26+DJ4*$I$32+DJ5*DE$35+DJ6*DE$36+DJ7*DE$39)</f>
        <v>9.1875</v>
      </c>
      <c r="DK1" s="1099">
        <f t="shared" ref="DK1" si="98">DK8-$I$19</f>
        <v>0.6004528985507247</v>
      </c>
      <c r="DL1" s="880">
        <f t="shared" ref="DL1" si="99">DL8-$K$19</f>
        <v>-3530769.230769231</v>
      </c>
      <c r="DM1" s="903">
        <f t="shared" ref="DM1" si="100">DM8-($D$15+$D$16)</f>
        <v>-491.46336664584624</v>
      </c>
      <c r="DN1" s="877">
        <f t="shared" ref="DN1" si="101">DN8-(DN2*$I$20+DN3*$I$26+DN4*$I$32+DN5*DI$35+DN6*DI$36+DN7*DI$39)</f>
        <v>9.1875</v>
      </c>
      <c r="DO1" s="1099">
        <f t="shared" ref="DO1" si="102">DO8-$I$19</f>
        <v>0.6004528985507247</v>
      </c>
      <c r="DP1" s="880">
        <f t="shared" ref="DP1" si="103">DP8-$K$19</f>
        <v>-3530769.230769231</v>
      </c>
      <c r="DQ1" s="903">
        <f t="shared" ref="DQ1" si="104">DQ8-($D$15+$D$16)</f>
        <v>-491.46336664584624</v>
      </c>
      <c r="DR1" s="877">
        <f t="shared" ref="DR1" si="105">DR8-(DR2*$I$20+DR3*$I$26+DR4*$I$32+DR5*DM$35+DR6*DM$36+DR7*DM$39)</f>
        <v>9.1875</v>
      </c>
      <c r="DS1" s="1099">
        <f t="shared" ref="DS1" si="106">DS8-$I$19</f>
        <v>0.6004528985507247</v>
      </c>
      <c r="DT1" s="880">
        <f t="shared" ref="DT1" si="107">DT8-$K$19</f>
        <v>-3530769.230769231</v>
      </c>
      <c r="DU1" s="903">
        <f t="shared" ref="DU1" si="108">DU8-($D$15+$D$16)</f>
        <v>-491.46336664584624</v>
      </c>
      <c r="DV1" s="877">
        <f t="shared" ref="DV1" si="109">DV8-(DV2*$I$20+DV3*$I$26+DV4*$I$32+DV5*DQ$35+DV6*DQ$36+DV7*DQ$39)</f>
        <v>9.1875</v>
      </c>
      <c r="DW1" s="1099">
        <f t="shared" ref="DW1" si="110">DW8-$I$19</f>
        <v>0.6004528985507247</v>
      </c>
      <c r="DX1" s="880">
        <f t="shared" ref="DX1" si="111">DX8-$K$19</f>
        <v>-3530769.230769231</v>
      </c>
      <c r="DY1" s="903">
        <f t="shared" ref="DY1" si="112">DY8-($D$15+$D$16)</f>
        <v>-491.46336664584624</v>
      </c>
      <c r="DZ1" s="877">
        <f t="shared" ref="DZ1" si="113">DZ8-(DZ2*$I$20+DZ3*$I$26+DZ4*$I$32+DZ5*DU$35+DZ6*DU$36+DZ7*DU$39)</f>
        <v>9.1875</v>
      </c>
      <c r="EA1" s="1099">
        <f t="shared" ref="EA1" si="114">EA8-$I$19</f>
        <v>0.6004528985507247</v>
      </c>
      <c r="EB1" s="880">
        <f t="shared" ref="EB1" si="115">EB8-$K$19</f>
        <v>-3530769.230769231</v>
      </c>
      <c r="EC1" s="903">
        <f t="shared" ref="EC1" si="116">EC8-($D$15+$D$16)</f>
        <v>-491.46336664584624</v>
      </c>
      <c r="ED1" s="877">
        <f t="shared" ref="ED1" si="117">ED8-(ED2*$I$20+ED3*$I$26+ED4*$I$32+ED5*DY$35+ED6*DY$36+ED7*DY$39)</f>
        <v>9.1875</v>
      </c>
      <c r="EE1" s="1099">
        <f t="shared" ref="EE1" si="118">EE8-$I$19</f>
        <v>0.6004528985507247</v>
      </c>
      <c r="EF1" s="880">
        <f t="shared" ref="EF1" si="119">EF8-$K$19</f>
        <v>-3530769.230769231</v>
      </c>
    </row>
    <row r="2" spans="1:136" ht="20" customHeight="1" x14ac:dyDescent="0.15">
      <c r="A2" s="95" t="s">
        <v>113</v>
      </c>
      <c r="B2" s="97">
        <v>2024</v>
      </c>
      <c r="C2" s="781" t="str">
        <f>E4</f>
        <v>Person #1</v>
      </c>
      <c r="D2" s="16"/>
      <c r="E2" s="1387" t="str">
        <f>'Action Plan'!L2</f>
        <v>Person in charge</v>
      </c>
      <c r="F2" s="1311"/>
      <c r="G2" s="1311"/>
      <c r="H2" s="1311"/>
      <c r="I2" s="782">
        <f>$H$20</f>
        <v>0.99529569892473113</v>
      </c>
      <c r="J2" s="1092">
        <f>IF($E$19=0,0,K2/$E$19)</f>
        <v>0.234375</v>
      </c>
      <c r="K2" s="871">
        <f>$E$20</f>
        <v>23250000</v>
      </c>
      <c r="L2" s="875" t="str">
        <f>C20</f>
        <v>FACEBOOK</v>
      </c>
      <c r="M2" s="901">
        <f t="shared" ref="M2:BX2" si="120">M$20</f>
        <v>14</v>
      </c>
      <c r="N2" s="878">
        <f t="shared" si="120"/>
        <v>11</v>
      </c>
      <c r="O2" s="1093">
        <f>O$20</f>
        <v>0.85416666666666663</v>
      </c>
      <c r="P2" s="881">
        <f>P$20</f>
        <v>750000</v>
      </c>
      <c r="Q2" s="901">
        <f t="shared" si="120"/>
        <v>15</v>
      </c>
      <c r="R2" s="878">
        <f t="shared" si="120"/>
        <v>15</v>
      </c>
      <c r="S2" s="1093">
        <f t="shared" si="120"/>
        <v>1</v>
      </c>
      <c r="T2" s="881">
        <f t="shared" si="120"/>
        <v>750000</v>
      </c>
      <c r="U2" s="901">
        <f t="shared" si="120"/>
        <v>15</v>
      </c>
      <c r="V2" s="878">
        <f t="shared" si="120"/>
        <v>15</v>
      </c>
      <c r="W2" s="1093">
        <f t="shared" si="120"/>
        <v>1</v>
      </c>
      <c r="X2" s="881">
        <f t="shared" si="120"/>
        <v>750000</v>
      </c>
      <c r="Y2" s="901">
        <f t="shared" si="120"/>
        <v>15</v>
      </c>
      <c r="Z2" s="878">
        <f t="shared" si="120"/>
        <v>15</v>
      </c>
      <c r="AA2" s="1093">
        <f t="shared" si="120"/>
        <v>1</v>
      </c>
      <c r="AB2" s="881">
        <f t="shared" si="120"/>
        <v>750000</v>
      </c>
      <c r="AC2" s="901">
        <f t="shared" si="120"/>
        <v>15</v>
      </c>
      <c r="AD2" s="878">
        <f t="shared" si="120"/>
        <v>15</v>
      </c>
      <c r="AE2" s="1093">
        <f t="shared" si="120"/>
        <v>1</v>
      </c>
      <c r="AF2" s="881">
        <f t="shared" si="120"/>
        <v>750000</v>
      </c>
      <c r="AG2" s="901">
        <f t="shared" si="120"/>
        <v>15</v>
      </c>
      <c r="AH2" s="878">
        <f t="shared" si="120"/>
        <v>15</v>
      </c>
      <c r="AI2" s="1093">
        <f t="shared" si="120"/>
        <v>1</v>
      </c>
      <c r="AJ2" s="881">
        <f t="shared" si="120"/>
        <v>750000</v>
      </c>
      <c r="AK2" s="901">
        <f t="shared" si="120"/>
        <v>15</v>
      </c>
      <c r="AL2" s="878">
        <f t="shared" si="120"/>
        <v>15</v>
      </c>
      <c r="AM2" s="1093">
        <f t="shared" si="120"/>
        <v>1</v>
      </c>
      <c r="AN2" s="881">
        <f t="shared" si="120"/>
        <v>750000</v>
      </c>
      <c r="AO2" s="901">
        <f t="shared" si="120"/>
        <v>15</v>
      </c>
      <c r="AP2" s="878">
        <f t="shared" si="120"/>
        <v>15</v>
      </c>
      <c r="AQ2" s="1093">
        <f t="shared" si="120"/>
        <v>1</v>
      </c>
      <c r="AR2" s="881">
        <f t="shared" si="120"/>
        <v>750000</v>
      </c>
      <c r="AS2" s="901">
        <f t="shared" si="120"/>
        <v>15</v>
      </c>
      <c r="AT2" s="878">
        <f t="shared" si="120"/>
        <v>15</v>
      </c>
      <c r="AU2" s="1093">
        <f t="shared" si="120"/>
        <v>1</v>
      </c>
      <c r="AV2" s="881">
        <f t="shared" si="120"/>
        <v>750000</v>
      </c>
      <c r="AW2" s="901">
        <f t="shared" si="120"/>
        <v>15</v>
      </c>
      <c r="AX2" s="878">
        <f t="shared" si="120"/>
        <v>15</v>
      </c>
      <c r="AY2" s="1093">
        <f t="shared" si="120"/>
        <v>1</v>
      </c>
      <c r="AZ2" s="881">
        <f t="shared" si="120"/>
        <v>750000</v>
      </c>
      <c r="BA2" s="901">
        <f t="shared" si="120"/>
        <v>15</v>
      </c>
      <c r="BB2" s="878">
        <f t="shared" si="120"/>
        <v>15</v>
      </c>
      <c r="BC2" s="1093">
        <f t="shared" si="120"/>
        <v>1</v>
      </c>
      <c r="BD2" s="881">
        <f t="shared" si="120"/>
        <v>750000</v>
      </c>
      <c r="BE2" s="901">
        <f t="shared" si="120"/>
        <v>15</v>
      </c>
      <c r="BF2" s="878">
        <f t="shared" si="120"/>
        <v>15</v>
      </c>
      <c r="BG2" s="1093">
        <f t="shared" si="120"/>
        <v>1</v>
      </c>
      <c r="BH2" s="881">
        <f t="shared" si="120"/>
        <v>750000</v>
      </c>
      <c r="BI2" s="901">
        <f t="shared" si="120"/>
        <v>15</v>
      </c>
      <c r="BJ2" s="878">
        <f t="shared" si="120"/>
        <v>15</v>
      </c>
      <c r="BK2" s="1093">
        <f t="shared" si="120"/>
        <v>1</v>
      </c>
      <c r="BL2" s="881">
        <f t="shared" si="120"/>
        <v>750000</v>
      </c>
      <c r="BM2" s="901">
        <f t="shared" si="120"/>
        <v>15</v>
      </c>
      <c r="BN2" s="878">
        <f t="shared" si="120"/>
        <v>15</v>
      </c>
      <c r="BO2" s="1093">
        <f t="shared" si="120"/>
        <v>1</v>
      </c>
      <c r="BP2" s="881">
        <f t="shared" si="120"/>
        <v>750000</v>
      </c>
      <c r="BQ2" s="901">
        <f t="shared" si="120"/>
        <v>15</v>
      </c>
      <c r="BR2" s="878">
        <f t="shared" si="120"/>
        <v>15</v>
      </c>
      <c r="BS2" s="1093">
        <f t="shared" si="120"/>
        <v>1</v>
      </c>
      <c r="BT2" s="881">
        <f t="shared" si="120"/>
        <v>750000</v>
      </c>
      <c r="BU2" s="901">
        <f t="shared" si="120"/>
        <v>15</v>
      </c>
      <c r="BV2" s="878">
        <f t="shared" si="120"/>
        <v>15</v>
      </c>
      <c r="BW2" s="1093">
        <f t="shared" si="120"/>
        <v>1</v>
      </c>
      <c r="BX2" s="881">
        <f t="shared" si="120"/>
        <v>750000</v>
      </c>
      <c r="BY2" s="901">
        <f t="shared" ref="BY2:EF2" si="121">BY$20</f>
        <v>15</v>
      </c>
      <c r="BZ2" s="878">
        <f t="shared" si="121"/>
        <v>15</v>
      </c>
      <c r="CA2" s="1093">
        <f t="shared" si="121"/>
        <v>1</v>
      </c>
      <c r="CB2" s="881">
        <f t="shared" si="121"/>
        <v>750000</v>
      </c>
      <c r="CC2" s="901">
        <f t="shared" si="121"/>
        <v>15</v>
      </c>
      <c r="CD2" s="878">
        <f t="shared" si="121"/>
        <v>15</v>
      </c>
      <c r="CE2" s="1093">
        <f t="shared" si="121"/>
        <v>1</v>
      </c>
      <c r="CF2" s="881">
        <f t="shared" si="121"/>
        <v>750000</v>
      </c>
      <c r="CG2" s="901">
        <f t="shared" si="121"/>
        <v>15</v>
      </c>
      <c r="CH2" s="878">
        <f t="shared" si="121"/>
        <v>15</v>
      </c>
      <c r="CI2" s="1093">
        <f t="shared" si="121"/>
        <v>1</v>
      </c>
      <c r="CJ2" s="881">
        <f t="shared" si="121"/>
        <v>750000</v>
      </c>
      <c r="CK2" s="901">
        <f t="shared" si="121"/>
        <v>15</v>
      </c>
      <c r="CL2" s="878">
        <f t="shared" si="121"/>
        <v>15</v>
      </c>
      <c r="CM2" s="1093">
        <f t="shared" si="121"/>
        <v>1</v>
      </c>
      <c r="CN2" s="881">
        <f t="shared" si="121"/>
        <v>750000</v>
      </c>
      <c r="CO2" s="901">
        <f t="shared" si="121"/>
        <v>15</v>
      </c>
      <c r="CP2" s="878">
        <f t="shared" si="121"/>
        <v>15</v>
      </c>
      <c r="CQ2" s="1093">
        <f t="shared" si="121"/>
        <v>1</v>
      </c>
      <c r="CR2" s="881">
        <f t="shared" si="121"/>
        <v>750000</v>
      </c>
      <c r="CS2" s="901">
        <f t="shared" si="121"/>
        <v>15</v>
      </c>
      <c r="CT2" s="878">
        <f t="shared" si="121"/>
        <v>15</v>
      </c>
      <c r="CU2" s="1093">
        <f t="shared" si="121"/>
        <v>1</v>
      </c>
      <c r="CV2" s="881">
        <f t="shared" si="121"/>
        <v>750000</v>
      </c>
      <c r="CW2" s="901">
        <f t="shared" si="121"/>
        <v>15</v>
      </c>
      <c r="CX2" s="878">
        <f t="shared" si="121"/>
        <v>15</v>
      </c>
      <c r="CY2" s="1093">
        <f t="shared" si="121"/>
        <v>1</v>
      </c>
      <c r="CZ2" s="881">
        <f t="shared" si="121"/>
        <v>750000</v>
      </c>
      <c r="DA2" s="901">
        <f t="shared" si="121"/>
        <v>15</v>
      </c>
      <c r="DB2" s="878">
        <f t="shared" si="121"/>
        <v>15</v>
      </c>
      <c r="DC2" s="1093">
        <f t="shared" si="121"/>
        <v>1</v>
      </c>
      <c r="DD2" s="881">
        <f t="shared" si="121"/>
        <v>750000</v>
      </c>
      <c r="DE2" s="901">
        <f t="shared" si="121"/>
        <v>15</v>
      </c>
      <c r="DF2" s="878">
        <f t="shared" si="121"/>
        <v>15</v>
      </c>
      <c r="DG2" s="1093">
        <f t="shared" si="121"/>
        <v>1</v>
      </c>
      <c r="DH2" s="881">
        <f t="shared" si="121"/>
        <v>750000</v>
      </c>
      <c r="DI2" s="901">
        <f t="shared" si="121"/>
        <v>15</v>
      </c>
      <c r="DJ2" s="878">
        <f t="shared" si="121"/>
        <v>15</v>
      </c>
      <c r="DK2" s="1093">
        <f t="shared" si="121"/>
        <v>1</v>
      </c>
      <c r="DL2" s="881">
        <f t="shared" si="121"/>
        <v>750000</v>
      </c>
      <c r="DM2" s="901">
        <f t="shared" si="121"/>
        <v>15</v>
      </c>
      <c r="DN2" s="878">
        <f t="shared" si="121"/>
        <v>15</v>
      </c>
      <c r="DO2" s="1093">
        <f t="shared" si="121"/>
        <v>1</v>
      </c>
      <c r="DP2" s="881">
        <f t="shared" si="121"/>
        <v>750000</v>
      </c>
      <c r="DQ2" s="901">
        <f t="shared" si="121"/>
        <v>15</v>
      </c>
      <c r="DR2" s="878">
        <f t="shared" si="121"/>
        <v>15</v>
      </c>
      <c r="DS2" s="1093">
        <f t="shared" si="121"/>
        <v>1</v>
      </c>
      <c r="DT2" s="881">
        <f t="shared" si="121"/>
        <v>750000</v>
      </c>
      <c r="DU2" s="901">
        <f t="shared" si="121"/>
        <v>15</v>
      </c>
      <c r="DV2" s="878">
        <f t="shared" si="121"/>
        <v>15</v>
      </c>
      <c r="DW2" s="1093">
        <f t="shared" si="121"/>
        <v>1</v>
      </c>
      <c r="DX2" s="881">
        <f t="shared" si="121"/>
        <v>750000</v>
      </c>
      <c r="DY2" s="901">
        <f t="shared" si="121"/>
        <v>15</v>
      </c>
      <c r="DZ2" s="878">
        <f t="shared" si="121"/>
        <v>15</v>
      </c>
      <c r="EA2" s="1093">
        <f t="shared" si="121"/>
        <v>1</v>
      </c>
      <c r="EB2" s="881">
        <f t="shared" si="121"/>
        <v>750000</v>
      </c>
      <c r="EC2" s="901">
        <f t="shared" si="121"/>
        <v>15</v>
      </c>
      <c r="ED2" s="878">
        <f t="shared" si="121"/>
        <v>15</v>
      </c>
      <c r="EE2" s="1093">
        <f t="shared" si="121"/>
        <v>1</v>
      </c>
      <c r="EF2" s="881">
        <f t="shared" si="121"/>
        <v>750000</v>
      </c>
    </row>
    <row r="3" spans="1:136" ht="20" customHeight="1" thickBot="1" x14ac:dyDescent="0.2">
      <c r="A3" s="95" t="s">
        <v>114</v>
      </c>
      <c r="B3" s="97">
        <v>12</v>
      </c>
      <c r="C3" s="799">
        <f>E6</f>
        <v>0.35</v>
      </c>
      <c r="D3" s="16"/>
      <c r="E3" s="808" t="b">
        <v>1</v>
      </c>
      <c r="F3" s="808" t="b">
        <v>1</v>
      </c>
      <c r="G3" s="808" t="b">
        <v>1</v>
      </c>
      <c r="H3" s="808" t="b">
        <v>1</v>
      </c>
      <c r="I3" s="782">
        <f>$H$26</f>
        <v>0.76344086021505309</v>
      </c>
      <c r="J3" s="1092">
        <f t="shared" ref="J3:J6" si="122">IF($E$19=0,0,K3/$E$19)</f>
        <v>0.15625</v>
      </c>
      <c r="K3" s="871">
        <f>$E$26</f>
        <v>15500000</v>
      </c>
      <c r="L3" s="876" t="str">
        <f>C26</f>
        <v>LANDING PAGE</v>
      </c>
      <c r="M3" s="901">
        <f t="shared" ref="M3:BX3" si="123">M$26</f>
        <v>14</v>
      </c>
      <c r="N3" s="878">
        <f t="shared" si="123"/>
        <v>9</v>
      </c>
      <c r="O3" s="1093">
        <f t="shared" si="123"/>
        <v>0.66666666666666663</v>
      </c>
      <c r="P3" s="881">
        <f t="shared" si="123"/>
        <v>500000</v>
      </c>
      <c r="Q3" s="901">
        <f t="shared" si="123"/>
        <v>15</v>
      </c>
      <c r="R3" s="878">
        <f t="shared" si="123"/>
        <v>12</v>
      </c>
      <c r="S3" s="1093">
        <f t="shared" si="123"/>
        <v>0.76666666666666661</v>
      </c>
      <c r="T3" s="881">
        <f t="shared" si="123"/>
        <v>500000</v>
      </c>
      <c r="U3" s="901">
        <f t="shared" si="123"/>
        <v>15</v>
      </c>
      <c r="V3" s="878">
        <f t="shared" si="123"/>
        <v>12</v>
      </c>
      <c r="W3" s="1093">
        <f t="shared" si="123"/>
        <v>0.76666666666666661</v>
      </c>
      <c r="X3" s="881">
        <f t="shared" si="123"/>
        <v>500000</v>
      </c>
      <c r="Y3" s="901">
        <f t="shared" si="123"/>
        <v>15</v>
      </c>
      <c r="Z3" s="878">
        <f t="shared" si="123"/>
        <v>12</v>
      </c>
      <c r="AA3" s="1093">
        <f t="shared" si="123"/>
        <v>0.76666666666666661</v>
      </c>
      <c r="AB3" s="881">
        <f t="shared" si="123"/>
        <v>500000</v>
      </c>
      <c r="AC3" s="901">
        <f t="shared" si="123"/>
        <v>15</v>
      </c>
      <c r="AD3" s="878">
        <f t="shared" si="123"/>
        <v>12</v>
      </c>
      <c r="AE3" s="1093">
        <f t="shared" si="123"/>
        <v>0.76666666666666661</v>
      </c>
      <c r="AF3" s="881">
        <f t="shared" si="123"/>
        <v>500000</v>
      </c>
      <c r="AG3" s="901">
        <f t="shared" si="123"/>
        <v>15</v>
      </c>
      <c r="AH3" s="878">
        <f t="shared" si="123"/>
        <v>12</v>
      </c>
      <c r="AI3" s="1093">
        <f t="shared" si="123"/>
        <v>0.76666666666666661</v>
      </c>
      <c r="AJ3" s="881">
        <f t="shared" si="123"/>
        <v>500000</v>
      </c>
      <c r="AK3" s="901">
        <f t="shared" si="123"/>
        <v>15</v>
      </c>
      <c r="AL3" s="878">
        <f t="shared" si="123"/>
        <v>12</v>
      </c>
      <c r="AM3" s="1093">
        <f t="shared" si="123"/>
        <v>0.76666666666666661</v>
      </c>
      <c r="AN3" s="881">
        <f t="shared" si="123"/>
        <v>500000</v>
      </c>
      <c r="AO3" s="901">
        <f t="shared" si="123"/>
        <v>15</v>
      </c>
      <c r="AP3" s="878">
        <f t="shared" si="123"/>
        <v>12</v>
      </c>
      <c r="AQ3" s="1093">
        <f t="shared" si="123"/>
        <v>0.76666666666666661</v>
      </c>
      <c r="AR3" s="881">
        <f t="shared" si="123"/>
        <v>500000</v>
      </c>
      <c r="AS3" s="901">
        <f t="shared" si="123"/>
        <v>15</v>
      </c>
      <c r="AT3" s="878">
        <f t="shared" si="123"/>
        <v>12</v>
      </c>
      <c r="AU3" s="1093">
        <f t="shared" si="123"/>
        <v>0.76666666666666661</v>
      </c>
      <c r="AV3" s="881">
        <f t="shared" si="123"/>
        <v>500000</v>
      </c>
      <c r="AW3" s="901">
        <f t="shared" si="123"/>
        <v>15</v>
      </c>
      <c r="AX3" s="878">
        <f t="shared" si="123"/>
        <v>12</v>
      </c>
      <c r="AY3" s="1093">
        <f t="shared" si="123"/>
        <v>0.76666666666666661</v>
      </c>
      <c r="AZ3" s="881">
        <f t="shared" si="123"/>
        <v>500000</v>
      </c>
      <c r="BA3" s="901">
        <f t="shared" si="123"/>
        <v>15</v>
      </c>
      <c r="BB3" s="878">
        <f t="shared" si="123"/>
        <v>12</v>
      </c>
      <c r="BC3" s="1093">
        <f t="shared" si="123"/>
        <v>0.76666666666666661</v>
      </c>
      <c r="BD3" s="881">
        <f t="shared" si="123"/>
        <v>500000</v>
      </c>
      <c r="BE3" s="901">
        <f t="shared" si="123"/>
        <v>15</v>
      </c>
      <c r="BF3" s="878">
        <f t="shared" si="123"/>
        <v>12</v>
      </c>
      <c r="BG3" s="1093">
        <f t="shared" si="123"/>
        <v>0.76666666666666661</v>
      </c>
      <c r="BH3" s="881">
        <f t="shared" si="123"/>
        <v>500000</v>
      </c>
      <c r="BI3" s="901">
        <f t="shared" si="123"/>
        <v>15</v>
      </c>
      <c r="BJ3" s="878">
        <f t="shared" si="123"/>
        <v>12</v>
      </c>
      <c r="BK3" s="1093">
        <f t="shared" si="123"/>
        <v>0.76666666666666661</v>
      </c>
      <c r="BL3" s="881">
        <f t="shared" si="123"/>
        <v>500000</v>
      </c>
      <c r="BM3" s="901">
        <f t="shared" si="123"/>
        <v>15</v>
      </c>
      <c r="BN3" s="878">
        <f t="shared" si="123"/>
        <v>12</v>
      </c>
      <c r="BO3" s="1093">
        <f t="shared" si="123"/>
        <v>0.76666666666666661</v>
      </c>
      <c r="BP3" s="881">
        <f t="shared" si="123"/>
        <v>500000</v>
      </c>
      <c r="BQ3" s="901">
        <f t="shared" si="123"/>
        <v>15</v>
      </c>
      <c r="BR3" s="878">
        <f t="shared" si="123"/>
        <v>12</v>
      </c>
      <c r="BS3" s="1093">
        <f t="shared" si="123"/>
        <v>0.76666666666666661</v>
      </c>
      <c r="BT3" s="881">
        <f t="shared" si="123"/>
        <v>500000</v>
      </c>
      <c r="BU3" s="901">
        <f t="shared" si="123"/>
        <v>15</v>
      </c>
      <c r="BV3" s="878">
        <f t="shared" si="123"/>
        <v>12</v>
      </c>
      <c r="BW3" s="1093">
        <f t="shared" si="123"/>
        <v>0.76666666666666661</v>
      </c>
      <c r="BX3" s="881">
        <f t="shared" si="123"/>
        <v>500000</v>
      </c>
      <c r="BY3" s="901">
        <f t="shared" ref="BY3:EF3" si="124">BY$26</f>
        <v>15</v>
      </c>
      <c r="BZ3" s="878">
        <f t="shared" si="124"/>
        <v>12</v>
      </c>
      <c r="CA3" s="1093">
        <f t="shared" si="124"/>
        <v>0.76666666666666661</v>
      </c>
      <c r="CB3" s="881">
        <f t="shared" si="124"/>
        <v>500000</v>
      </c>
      <c r="CC3" s="901">
        <f t="shared" si="124"/>
        <v>15</v>
      </c>
      <c r="CD3" s="878">
        <f t="shared" si="124"/>
        <v>12</v>
      </c>
      <c r="CE3" s="1093">
        <f t="shared" si="124"/>
        <v>0.76666666666666661</v>
      </c>
      <c r="CF3" s="881">
        <f t="shared" si="124"/>
        <v>500000</v>
      </c>
      <c r="CG3" s="901">
        <f t="shared" si="124"/>
        <v>15</v>
      </c>
      <c r="CH3" s="878">
        <f t="shared" si="124"/>
        <v>12</v>
      </c>
      <c r="CI3" s="1093">
        <f t="shared" si="124"/>
        <v>0.76666666666666661</v>
      </c>
      <c r="CJ3" s="881">
        <f t="shared" si="124"/>
        <v>500000</v>
      </c>
      <c r="CK3" s="901">
        <f t="shared" si="124"/>
        <v>15</v>
      </c>
      <c r="CL3" s="878">
        <f t="shared" si="124"/>
        <v>12</v>
      </c>
      <c r="CM3" s="1093">
        <f t="shared" si="124"/>
        <v>0.76666666666666661</v>
      </c>
      <c r="CN3" s="881">
        <f t="shared" si="124"/>
        <v>500000</v>
      </c>
      <c r="CO3" s="901">
        <f t="shared" si="124"/>
        <v>15</v>
      </c>
      <c r="CP3" s="878">
        <f t="shared" si="124"/>
        <v>12</v>
      </c>
      <c r="CQ3" s="1093">
        <f t="shared" si="124"/>
        <v>0.76666666666666661</v>
      </c>
      <c r="CR3" s="881">
        <f t="shared" si="124"/>
        <v>500000</v>
      </c>
      <c r="CS3" s="901">
        <f t="shared" si="124"/>
        <v>15</v>
      </c>
      <c r="CT3" s="878">
        <f t="shared" si="124"/>
        <v>12</v>
      </c>
      <c r="CU3" s="1093">
        <f t="shared" si="124"/>
        <v>0.76666666666666661</v>
      </c>
      <c r="CV3" s="881">
        <f t="shared" si="124"/>
        <v>500000</v>
      </c>
      <c r="CW3" s="901">
        <f t="shared" si="124"/>
        <v>15</v>
      </c>
      <c r="CX3" s="878">
        <f t="shared" si="124"/>
        <v>12</v>
      </c>
      <c r="CY3" s="1093">
        <f t="shared" si="124"/>
        <v>0.76666666666666661</v>
      </c>
      <c r="CZ3" s="881">
        <f t="shared" si="124"/>
        <v>500000</v>
      </c>
      <c r="DA3" s="901">
        <f t="shared" si="124"/>
        <v>15</v>
      </c>
      <c r="DB3" s="878">
        <f t="shared" si="124"/>
        <v>12</v>
      </c>
      <c r="DC3" s="1093">
        <f t="shared" si="124"/>
        <v>0.76666666666666661</v>
      </c>
      <c r="DD3" s="881">
        <f t="shared" si="124"/>
        <v>500000</v>
      </c>
      <c r="DE3" s="901">
        <f t="shared" si="124"/>
        <v>15</v>
      </c>
      <c r="DF3" s="878">
        <f t="shared" si="124"/>
        <v>12</v>
      </c>
      <c r="DG3" s="1093">
        <f t="shared" si="124"/>
        <v>0.76666666666666661</v>
      </c>
      <c r="DH3" s="881">
        <f t="shared" si="124"/>
        <v>500000</v>
      </c>
      <c r="DI3" s="901">
        <f t="shared" si="124"/>
        <v>15</v>
      </c>
      <c r="DJ3" s="878">
        <f t="shared" si="124"/>
        <v>12</v>
      </c>
      <c r="DK3" s="1093">
        <f t="shared" si="124"/>
        <v>0.76666666666666661</v>
      </c>
      <c r="DL3" s="881">
        <f t="shared" si="124"/>
        <v>500000</v>
      </c>
      <c r="DM3" s="901">
        <f t="shared" si="124"/>
        <v>15</v>
      </c>
      <c r="DN3" s="878">
        <f t="shared" si="124"/>
        <v>12</v>
      </c>
      <c r="DO3" s="1093">
        <f t="shared" si="124"/>
        <v>0.76666666666666661</v>
      </c>
      <c r="DP3" s="881">
        <f t="shared" si="124"/>
        <v>500000</v>
      </c>
      <c r="DQ3" s="901">
        <f t="shared" si="124"/>
        <v>15</v>
      </c>
      <c r="DR3" s="878">
        <f t="shared" si="124"/>
        <v>12</v>
      </c>
      <c r="DS3" s="1093">
        <f t="shared" si="124"/>
        <v>0.76666666666666661</v>
      </c>
      <c r="DT3" s="881">
        <f t="shared" si="124"/>
        <v>500000</v>
      </c>
      <c r="DU3" s="901">
        <f t="shared" si="124"/>
        <v>15</v>
      </c>
      <c r="DV3" s="878">
        <f t="shared" si="124"/>
        <v>12</v>
      </c>
      <c r="DW3" s="1093">
        <f t="shared" si="124"/>
        <v>0.76666666666666661</v>
      </c>
      <c r="DX3" s="881">
        <f t="shared" si="124"/>
        <v>500000</v>
      </c>
      <c r="DY3" s="901">
        <f t="shared" si="124"/>
        <v>15</v>
      </c>
      <c r="DZ3" s="878">
        <f t="shared" si="124"/>
        <v>12</v>
      </c>
      <c r="EA3" s="1093">
        <f t="shared" si="124"/>
        <v>0.76666666666666661</v>
      </c>
      <c r="EB3" s="881">
        <f t="shared" si="124"/>
        <v>500000</v>
      </c>
      <c r="EC3" s="901">
        <f t="shared" si="124"/>
        <v>15</v>
      </c>
      <c r="ED3" s="878">
        <f t="shared" si="124"/>
        <v>12</v>
      </c>
      <c r="EE3" s="1093">
        <f t="shared" si="124"/>
        <v>0.76666666666666661</v>
      </c>
      <c r="EF3" s="881">
        <f t="shared" si="124"/>
        <v>500000</v>
      </c>
    </row>
    <row r="4" spans="1:136" ht="20" customHeight="1" thickBot="1" x14ac:dyDescent="0.2">
      <c r="A4" s="95" t="s">
        <v>79</v>
      </c>
      <c r="B4" s="98">
        <v>1000000</v>
      </c>
      <c r="C4" s="800" t="s">
        <v>191</v>
      </c>
      <c r="D4" s="16"/>
      <c r="E4" s="848" t="str">
        <f>Dashboard!P5</f>
        <v>Person #1</v>
      </c>
      <c r="F4" s="849" t="str">
        <f>Dashboard!Q5</f>
        <v>Person #2</v>
      </c>
      <c r="G4" s="849" t="str">
        <f>Dashboard!R5</f>
        <v>Person #3</v>
      </c>
      <c r="H4" s="850" t="str">
        <f>Dashboard!S5</f>
        <v>Person #4</v>
      </c>
      <c r="I4" s="782">
        <f>$H$32</f>
        <v>0.41666666666666652</v>
      </c>
      <c r="J4" s="1092">
        <f t="shared" si="122"/>
        <v>0.171875</v>
      </c>
      <c r="K4" s="871">
        <f>$E$32</f>
        <v>17050000</v>
      </c>
      <c r="L4" s="875" t="str">
        <f>C32</f>
        <v>WEBSITE</v>
      </c>
      <c r="M4" s="901">
        <f t="shared" ref="M4:BX4" si="125">M$32</f>
        <v>7</v>
      </c>
      <c r="N4" s="878">
        <f t="shared" si="125"/>
        <v>3</v>
      </c>
      <c r="O4" s="1093">
        <f t="shared" si="125"/>
        <v>0.41666666666666663</v>
      </c>
      <c r="P4" s="881">
        <f t="shared" si="125"/>
        <v>550000</v>
      </c>
      <c r="Q4" s="901">
        <f t="shared" si="125"/>
        <v>7</v>
      </c>
      <c r="R4" s="878">
        <f t="shared" si="125"/>
        <v>3</v>
      </c>
      <c r="S4" s="1093">
        <f t="shared" si="125"/>
        <v>0.41666666666666663</v>
      </c>
      <c r="T4" s="881">
        <f t="shared" si="125"/>
        <v>550000</v>
      </c>
      <c r="U4" s="901">
        <f t="shared" si="125"/>
        <v>7</v>
      </c>
      <c r="V4" s="878">
        <f t="shared" si="125"/>
        <v>3</v>
      </c>
      <c r="W4" s="1093">
        <f t="shared" si="125"/>
        <v>0.41666666666666663</v>
      </c>
      <c r="X4" s="881">
        <f t="shared" si="125"/>
        <v>550000</v>
      </c>
      <c r="Y4" s="901">
        <f t="shared" si="125"/>
        <v>7</v>
      </c>
      <c r="Z4" s="878">
        <f t="shared" si="125"/>
        <v>3</v>
      </c>
      <c r="AA4" s="1093">
        <f t="shared" si="125"/>
        <v>0.41666666666666663</v>
      </c>
      <c r="AB4" s="881">
        <f t="shared" si="125"/>
        <v>550000</v>
      </c>
      <c r="AC4" s="901">
        <f t="shared" si="125"/>
        <v>7</v>
      </c>
      <c r="AD4" s="878">
        <f t="shared" si="125"/>
        <v>3</v>
      </c>
      <c r="AE4" s="1093">
        <f t="shared" si="125"/>
        <v>0.41666666666666663</v>
      </c>
      <c r="AF4" s="881">
        <f t="shared" si="125"/>
        <v>550000</v>
      </c>
      <c r="AG4" s="901">
        <f t="shared" si="125"/>
        <v>7</v>
      </c>
      <c r="AH4" s="878">
        <f t="shared" si="125"/>
        <v>3</v>
      </c>
      <c r="AI4" s="1093">
        <f t="shared" si="125"/>
        <v>0.41666666666666663</v>
      </c>
      <c r="AJ4" s="881">
        <f t="shared" si="125"/>
        <v>550000</v>
      </c>
      <c r="AK4" s="901">
        <f t="shared" si="125"/>
        <v>7</v>
      </c>
      <c r="AL4" s="878">
        <f t="shared" si="125"/>
        <v>3</v>
      </c>
      <c r="AM4" s="1093">
        <f t="shared" si="125"/>
        <v>0.41666666666666663</v>
      </c>
      <c r="AN4" s="881">
        <f t="shared" si="125"/>
        <v>550000</v>
      </c>
      <c r="AO4" s="901">
        <f t="shared" si="125"/>
        <v>7</v>
      </c>
      <c r="AP4" s="878">
        <f t="shared" si="125"/>
        <v>3</v>
      </c>
      <c r="AQ4" s="1093">
        <f t="shared" si="125"/>
        <v>0.41666666666666663</v>
      </c>
      <c r="AR4" s="881">
        <f t="shared" si="125"/>
        <v>550000</v>
      </c>
      <c r="AS4" s="901">
        <f t="shared" si="125"/>
        <v>7</v>
      </c>
      <c r="AT4" s="878">
        <f t="shared" si="125"/>
        <v>3</v>
      </c>
      <c r="AU4" s="1093">
        <f t="shared" si="125"/>
        <v>0.41666666666666663</v>
      </c>
      <c r="AV4" s="881">
        <f t="shared" si="125"/>
        <v>550000</v>
      </c>
      <c r="AW4" s="901">
        <f t="shared" si="125"/>
        <v>7</v>
      </c>
      <c r="AX4" s="878">
        <f t="shared" si="125"/>
        <v>3</v>
      </c>
      <c r="AY4" s="1093">
        <f t="shared" si="125"/>
        <v>0.41666666666666663</v>
      </c>
      <c r="AZ4" s="881">
        <f t="shared" si="125"/>
        <v>550000</v>
      </c>
      <c r="BA4" s="901">
        <f t="shared" si="125"/>
        <v>7</v>
      </c>
      <c r="BB4" s="878">
        <f t="shared" si="125"/>
        <v>3</v>
      </c>
      <c r="BC4" s="1093">
        <f t="shared" si="125"/>
        <v>0.41666666666666663</v>
      </c>
      <c r="BD4" s="881">
        <f t="shared" si="125"/>
        <v>550000</v>
      </c>
      <c r="BE4" s="901">
        <f t="shared" si="125"/>
        <v>7</v>
      </c>
      <c r="BF4" s="878">
        <f t="shared" si="125"/>
        <v>3</v>
      </c>
      <c r="BG4" s="1093">
        <f t="shared" si="125"/>
        <v>0.41666666666666663</v>
      </c>
      <c r="BH4" s="881">
        <f t="shared" si="125"/>
        <v>550000</v>
      </c>
      <c r="BI4" s="901">
        <f t="shared" si="125"/>
        <v>7</v>
      </c>
      <c r="BJ4" s="878">
        <f t="shared" si="125"/>
        <v>3</v>
      </c>
      <c r="BK4" s="1093">
        <f t="shared" si="125"/>
        <v>0.41666666666666663</v>
      </c>
      <c r="BL4" s="881">
        <f t="shared" si="125"/>
        <v>550000</v>
      </c>
      <c r="BM4" s="901">
        <f t="shared" si="125"/>
        <v>7</v>
      </c>
      <c r="BN4" s="878">
        <f t="shared" si="125"/>
        <v>3</v>
      </c>
      <c r="BO4" s="1093">
        <f t="shared" si="125"/>
        <v>0.41666666666666663</v>
      </c>
      <c r="BP4" s="881">
        <f t="shared" si="125"/>
        <v>550000</v>
      </c>
      <c r="BQ4" s="901">
        <f t="shared" si="125"/>
        <v>7</v>
      </c>
      <c r="BR4" s="878">
        <f t="shared" si="125"/>
        <v>3</v>
      </c>
      <c r="BS4" s="1093">
        <f t="shared" si="125"/>
        <v>0.41666666666666663</v>
      </c>
      <c r="BT4" s="881">
        <f t="shared" si="125"/>
        <v>550000</v>
      </c>
      <c r="BU4" s="901">
        <f t="shared" si="125"/>
        <v>7</v>
      </c>
      <c r="BV4" s="878">
        <f t="shared" si="125"/>
        <v>3</v>
      </c>
      <c r="BW4" s="1093">
        <f t="shared" si="125"/>
        <v>0.41666666666666663</v>
      </c>
      <c r="BX4" s="881">
        <f t="shared" si="125"/>
        <v>550000</v>
      </c>
      <c r="BY4" s="901">
        <f t="shared" ref="BY4:EF4" si="126">BY$32</f>
        <v>7</v>
      </c>
      <c r="BZ4" s="878">
        <f t="shared" si="126"/>
        <v>3</v>
      </c>
      <c r="CA4" s="1093">
        <f t="shared" si="126"/>
        <v>0.41666666666666663</v>
      </c>
      <c r="CB4" s="881">
        <f t="shared" si="126"/>
        <v>550000</v>
      </c>
      <c r="CC4" s="901">
        <f t="shared" si="126"/>
        <v>7</v>
      </c>
      <c r="CD4" s="878">
        <f t="shared" si="126"/>
        <v>3</v>
      </c>
      <c r="CE4" s="1093">
        <f t="shared" si="126"/>
        <v>0.41666666666666663</v>
      </c>
      <c r="CF4" s="881">
        <f t="shared" si="126"/>
        <v>550000</v>
      </c>
      <c r="CG4" s="901">
        <f t="shared" si="126"/>
        <v>7</v>
      </c>
      <c r="CH4" s="878">
        <f t="shared" si="126"/>
        <v>3</v>
      </c>
      <c r="CI4" s="1093">
        <f t="shared" si="126"/>
        <v>0.41666666666666663</v>
      </c>
      <c r="CJ4" s="881">
        <f t="shared" si="126"/>
        <v>550000</v>
      </c>
      <c r="CK4" s="901">
        <f t="shared" si="126"/>
        <v>7</v>
      </c>
      <c r="CL4" s="878">
        <f t="shared" si="126"/>
        <v>3</v>
      </c>
      <c r="CM4" s="1093">
        <f t="shared" si="126"/>
        <v>0.41666666666666663</v>
      </c>
      <c r="CN4" s="881">
        <f t="shared" si="126"/>
        <v>550000</v>
      </c>
      <c r="CO4" s="901">
        <f t="shared" si="126"/>
        <v>7</v>
      </c>
      <c r="CP4" s="878">
        <f t="shared" si="126"/>
        <v>3</v>
      </c>
      <c r="CQ4" s="1093">
        <f t="shared" si="126"/>
        <v>0.41666666666666663</v>
      </c>
      <c r="CR4" s="881">
        <f t="shared" si="126"/>
        <v>550000</v>
      </c>
      <c r="CS4" s="901">
        <f t="shared" si="126"/>
        <v>7</v>
      </c>
      <c r="CT4" s="878">
        <f t="shared" si="126"/>
        <v>3</v>
      </c>
      <c r="CU4" s="1093">
        <f t="shared" si="126"/>
        <v>0.41666666666666663</v>
      </c>
      <c r="CV4" s="881">
        <f t="shared" si="126"/>
        <v>550000</v>
      </c>
      <c r="CW4" s="901">
        <f t="shared" si="126"/>
        <v>7</v>
      </c>
      <c r="CX4" s="878">
        <f t="shared" si="126"/>
        <v>3</v>
      </c>
      <c r="CY4" s="1093">
        <f t="shared" si="126"/>
        <v>0.41666666666666663</v>
      </c>
      <c r="CZ4" s="881">
        <f t="shared" si="126"/>
        <v>550000</v>
      </c>
      <c r="DA4" s="901">
        <f t="shared" si="126"/>
        <v>7</v>
      </c>
      <c r="DB4" s="878">
        <f t="shared" si="126"/>
        <v>3</v>
      </c>
      <c r="DC4" s="1093">
        <f t="shared" si="126"/>
        <v>0.41666666666666663</v>
      </c>
      <c r="DD4" s="881">
        <f t="shared" si="126"/>
        <v>550000</v>
      </c>
      <c r="DE4" s="901">
        <f t="shared" si="126"/>
        <v>7</v>
      </c>
      <c r="DF4" s="878">
        <f t="shared" si="126"/>
        <v>3</v>
      </c>
      <c r="DG4" s="1093">
        <f t="shared" si="126"/>
        <v>0.41666666666666663</v>
      </c>
      <c r="DH4" s="881">
        <f t="shared" si="126"/>
        <v>550000</v>
      </c>
      <c r="DI4" s="901">
        <f t="shared" si="126"/>
        <v>7</v>
      </c>
      <c r="DJ4" s="878">
        <f t="shared" si="126"/>
        <v>3</v>
      </c>
      <c r="DK4" s="1093">
        <f t="shared" si="126"/>
        <v>0.41666666666666663</v>
      </c>
      <c r="DL4" s="881">
        <f t="shared" si="126"/>
        <v>550000</v>
      </c>
      <c r="DM4" s="901">
        <f t="shared" si="126"/>
        <v>7</v>
      </c>
      <c r="DN4" s="878">
        <f t="shared" si="126"/>
        <v>3</v>
      </c>
      <c r="DO4" s="1093">
        <f t="shared" si="126"/>
        <v>0.41666666666666663</v>
      </c>
      <c r="DP4" s="881">
        <f t="shared" si="126"/>
        <v>550000</v>
      </c>
      <c r="DQ4" s="901">
        <f t="shared" si="126"/>
        <v>7</v>
      </c>
      <c r="DR4" s="878">
        <f t="shared" si="126"/>
        <v>3</v>
      </c>
      <c r="DS4" s="1093">
        <f t="shared" si="126"/>
        <v>0.41666666666666663</v>
      </c>
      <c r="DT4" s="881">
        <f t="shared" si="126"/>
        <v>550000</v>
      </c>
      <c r="DU4" s="901">
        <f t="shared" si="126"/>
        <v>7</v>
      </c>
      <c r="DV4" s="878">
        <f t="shared" si="126"/>
        <v>3</v>
      </c>
      <c r="DW4" s="1093">
        <f t="shared" si="126"/>
        <v>0.41666666666666663</v>
      </c>
      <c r="DX4" s="881">
        <f t="shared" si="126"/>
        <v>550000</v>
      </c>
      <c r="DY4" s="901">
        <f t="shared" si="126"/>
        <v>7</v>
      </c>
      <c r="DZ4" s="878">
        <f t="shared" si="126"/>
        <v>3</v>
      </c>
      <c r="EA4" s="1093">
        <f t="shared" si="126"/>
        <v>0.41666666666666663</v>
      </c>
      <c r="EB4" s="881">
        <f t="shared" si="126"/>
        <v>550000</v>
      </c>
      <c r="EC4" s="901">
        <f t="shared" si="126"/>
        <v>7</v>
      </c>
      <c r="ED4" s="878">
        <f t="shared" si="126"/>
        <v>3</v>
      </c>
      <c r="EE4" s="1093">
        <f t="shared" si="126"/>
        <v>0.41666666666666663</v>
      </c>
      <c r="EF4" s="881">
        <f t="shared" si="126"/>
        <v>550000</v>
      </c>
    </row>
    <row r="5" spans="1:136" ht="20" customHeight="1" x14ac:dyDescent="0.15">
      <c r="A5" s="95"/>
      <c r="B5" s="98"/>
      <c r="C5" s="800"/>
      <c r="D5" s="16"/>
      <c r="E5" s="844"/>
      <c r="F5" s="845"/>
      <c r="G5" s="846"/>
      <c r="H5" s="847"/>
      <c r="I5" s="782">
        <f>$H$35</f>
        <v>0.50322580645161286</v>
      </c>
      <c r="J5" s="1092">
        <f t="shared" si="122"/>
        <v>0.15625</v>
      </c>
      <c r="K5" s="871">
        <f>$E$35</f>
        <v>15500000</v>
      </c>
      <c r="L5" s="875" t="str">
        <f>C35</f>
        <v>TIKTOKSHOP</v>
      </c>
      <c r="M5" s="901">
        <f t="shared" ref="M5:BX5" si="127">M$35</f>
        <v>5</v>
      </c>
      <c r="N5" s="878">
        <f t="shared" si="127"/>
        <v>3</v>
      </c>
      <c r="O5" s="1093">
        <f t="shared" si="127"/>
        <v>0.6</v>
      </c>
      <c r="P5" s="881">
        <f t="shared" si="127"/>
        <v>500000</v>
      </c>
      <c r="Q5" s="901">
        <f t="shared" si="127"/>
        <v>2</v>
      </c>
      <c r="R5" s="878">
        <f t="shared" si="127"/>
        <v>1</v>
      </c>
      <c r="S5" s="1093">
        <f t="shared" si="127"/>
        <v>0.5</v>
      </c>
      <c r="T5" s="881">
        <f t="shared" si="127"/>
        <v>500000</v>
      </c>
      <c r="U5" s="901">
        <f t="shared" si="127"/>
        <v>2</v>
      </c>
      <c r="V5" s="878">
        <f t="shared" si="127"/>
        <v>1</v>
      </c>
      <c r="W5" s="1093">
        <f t="shared" si="127"/>
        <v>0.5</v>
      </c>
      <c r="X5" s="881">
        <f t="shared" si="127"/>
        <v>500000</v>
      </c>
      <c r="Y5" s="901">
        <f t="shared" si="127"/>
        <v>2</v>
      </c>
      <c r="Z5" s="878">
        <f t="shared" si="127"/>
        <v>1</v>
      </c>
      <c r="AA5" s="1093">
        <f t="shared" si="127"/>
        <v>0.5</v>
      </c>
      <c r="AB5" s="881">
        <f t="shared" si="127"/>
        <v>500000</v>
      </c>
      <c r="AC5" s="901">
        <f t="shared" si="127"/>
        <v>2</v>
      </c>
      <c r="AD5" s="878">
        <f t="shared" si="127"/>
        <v>1</v>
      </c>
      <c r="AE5" s="1093">
        <f t="shared" si="127"/>
        <v>0.5</v>
      </c>
      <c r="AF5" s="881">
        <f t="shared" si="127"/>
        <v>500000</v>
      </c>
      <c r="AG5" s="901">
        <f t="shared" si="127"/>
        <v>2</v>
      </c>
      <c r="AH5" s="878">
        <f t="shared" si="127"/>
        <v>1</v>
      </c>
      <c r="AI5" s="1093">
        <f t="shared" si="127"/>
        <v>0.5</v>
      </c>
      <c r="AJ5" s="881">
        <f t="shared" si="127"/>
        <v>500000</v>
      </c>
      <c r="AK5" s="901">
        <f t="shared" si="127"/>
        <v>2</v>
      </c>
      <c r="AL5" s="878">
        <f t="shared" si="127"/>
        <v>1</v>
      </c>
      <c r="AM5" s="1093">
        <f t="shared" si="127"/>
        <v>0.5</v>
      </c>
      <c r="AN5" s="881">
        <f t="shared" si="127"/>
        <v>500000</v>
      </c>
      <c r="AO5" s="901">
        <f t="shared" si="127"/>
        <v>2</v>
      </c>
      <c r="AP5" s="878">
        <f t="shared" si="127"/>
        <v>1</v>
      </c>
      <c r="AQ5" s="1093">
        <f t="shared" si="127"/>
        <v>0.5</v>
      </c>
      <c r="AR5" s="881">
        <f t="shared" si="127"/>
        <v>500000</v>
      </c>
      <c r="AS5" s="901">
        <f t="shared" si="127"/>
        <v>2</v>
      </c>
      <c r="AT5" s="878">
        <f t="shared" si="127"/>
        <v>1</v>
      </c>
      <c r="AU5" s="1093">
        <f t="shared" si="127"/>
        <v>0.5</v>
      </c>
      <c r="AV5" s="881">
        <f t="shared" si="127"/>
        <v>500000</v>
      </c>
      <c r="AW5" s="901">
        <f t="shared" si="127"/>
        <v>2</v>
      </c>
      <c r="AX5" s="878">
        <f t="shared" si="127"/>
        <v>1</v>
      </c>
      <c r="AY5" s="1093">
        <f t="shared" si="127"/>
        <v>0.5</v>
      </c>
      <c r="AZ5" s="881">
        <f t="shared" si="127"/>
        <v>500000</v>
      </c>
      <c r="BA5" s="901">
        <f t="shared" si="127"/>
        <v>2</v>
      </c>
      <c r="BB5" s="878">
        <f t="shared" si="127"/>
        <v>1</v>
      </c>
      <c r="BC5" s="1093">
        <f t="shared" si="127"/>
        <v>0.5</v>
      </c>
      <c r="BD5" s="881">
        <f t="shared" si="127"/>
        <v>500000</v>
      </c>
      <c r="BE5" s="901">
        <f t="shared" si="127"/>
        <v>2</v>
      </c>
      <c r="BF5" s="878">
        <f t="shared" si="127"/>
        <v>1</v>
      </c>
      <c r="BG5" s="1093">
        <f t="shared" si="127"/>
        <v>0.5</v>
      </c>
      <c r="BH5" s="881">
        <f t="shared" si="127"/>
        <v>500000</v>
      </c>
      <c r="BI5" s="901">
        <f t="shared" si="127"/>
        <v>2</v>
      </c>
      <c r="BJ5" s="878">
        <f t="shared" si="127"/>
        <v>1</v>
      </c>
      <c r="BK5" s="1093">
        <f t="shared" si="127"/>
        <v>0.5</v>
      </c>
      <c r="BL5" s="881">
        <f t="shared" si="127"/>
        <v>500000</v>
      </c>
      <c r="BM5" s="901">
        <f t="shared" si="127"/>
        <v>2</v>
      </c>
      <c r="BN5" s="878">
        <f t="shared" si="127"/>
        <v>1</v>
      </c>
      <c r="BO5" s="1093">
        <f t="shared" si="127"/>
        <v>0.5</v>
      </c>
      <c r="BP5" s="881">
        <f t="shared" si="127"/>
        <v>500000</v>
      </c>
      <c r="BQ5" s="901">
        <f t="shared" si="127"/>
        <v>2</v>
      </c>
      <c r="BR5" s="878">
        <f t="shared" si="127"/>
        <v>1</v>
      </c>
      <c r="BS5" s="1093">
        <f t="shared" si="127"/>
        <v>0.5</v>
      </c>
      <c r="BT5" s="881">
        <f t="shared" si="127"/>
        <v>500000</v>
      </c>
      <c r="BU5" s="901">
        <f t="shared" si="127"/>
        <v>2</v>
      </c>
      <c r="BV5" s="878">
        <f t="shared" si="127"/>
        <v>1</v>
      </c>
      <c r="BW5" s="1093">
        <f t="shared" si="127"/>
        <v>0.5</v>
      </c>
      <c r="BX5" s="881">
        <f t="shared" si="127"/>
        <v>500000</v>
      </c>
      <c r="BY5" s="901">
        <f t="shared" ref="BY5:EF5" si="128">BY$35</f>
        <v>2</v>
      </c>
      <c r="BZ5" s="878">
        <f t="shared" si="128"/>
        <v>1</v>
      </c>
      <c r="CA5" s="1093">
        <f t="shared" si="128"/>
        <v>0.5</v>
      </c>
      <c r="CB5" s="881">
        <f t="shared" si="128"/>
        <v>500000</v>
      </c>
      <c r="CC5" s="901">
        <f t="shared" si="128"/>
        <v>2</v>
      </c>
      <c r="CD5" s="878">
        <f t="shared" si="128"/>
        <v>1</v>
      </c>
      <c r="CE5" s="1093">
        <f t="shared" si="128"/>
        <v>0.5</v>
      </c>
      <c r="CF5" s="881">
        <f t="shared" si="128"/>
        <v>500000</v>
      </c>
      <c r="CG5" s="901">
        <f t="shared" si="128"/>
        <v>2</v>
      </c>
      <c r="CH5" s="878">
        <f t="shared" si="128"/>
        <v>1</v>
      </c>
      <c r="CI5" s="1093">
        <f t="shared" si="128"/>
        <v>0.5</v>
      </c>
      <c r="CJ5" s="881">
        <f t="shared" si="128"/>
        <v>500000</v>
      </c>
      <c r="CK5" s="901">
        <f t="shared" si="128"/>
        <v>2</v>
      </c>
      <c r="CL5" s="878">
        <f t="shared" si="128"/>
        <v>1</v>
      </c>
      <c r="CM5" s="1093">
        <f t="shared" si="128"/>
        <v>0.5</v>
      </c>
      <c r="CN5" s="881">
        <f t="shared" si="128"/>
        <v>500000</v>
      </c>
      <c r="CO5" s="901">
        <f t="shared" si="128"/>
        <v>2</v>
      </c>
      <c r="CP5" s="878">
        <f t="shared" si="128"/>
        <v>1</v>
      </c>
      <c r="CQ5" s="1093">
        <f t="shared" si="128"/>
        <v>0.5</v>
      </c>
      <c r="CR5" s="881">
        <f t="shared" si="128"/>
        <v>500000</v>
      </c>
      <c r="CS5" s="901">
        <f t="shared" si="128"/>
        <v>2</v>
      </c>
      <c r="CT5" s="878">
        <f t="shared" si="128"/>
        <v>1</v>
      </c>
      <c r="CU5" s="1093">
        <f t="shared" si="128"/>
        <v>0.5</v>
      </c>
      <c r="CV5" s="881">
        <f t="shared" si="128"/>
        <v>500000</v>
      </c>
      <c r="CW5" s="901">
        <f t="shared" si="128"/>
        <v>2</v>
      </c>
      <c r="CX5" s="878">
        <f t="shared" si="128"/>
        <v>1</v>
      </c>
      <c r="CY5" s="1093">
        <f t="shared" si="128"/>
        <v>0.5</v>
      </c>
      <c r="CZ5" s="881">
        <f t="shared" si="128"/>
        <v>500000</v>
      </c>
      <c r="DA5" s="901">
        <f t="shared" si="128"/>
        <v>2</v>
      </c>
      <c r="DB5" s="878">
        <f t="shared" si="128"/>
        <v>1</v>
      </c>
      <c r="DC5" s="1093">
        <f t="shared" si="128"/>
        <v>0.5</v>
      </c>
      <c r="DD5" s="881">
        <f t="shared" si="128"/>
        <v>500000</v>
      </c>
      <c r="DE5" s="901">
        <f t="shared" si="128"/>
        <v>2</v>
      </c>
      <c r="DF5" s="878">
        <f t="shared" si="128"/>
        <v>1</v>
      </c>
      <c r="DG5" s="1093">
        <f t="shared" si="128"/>
        <v>0.5</v>
      </c>
      <c r="DH5" s="881">
        <f t="shared" si="128"/>
        <v>500000</v>
      </c>
      <c r="DI5" s="901">
        <f t="shared" si="128"/>
        <v>2</v>
      </c>
      <c r="DJ5" s="878">
        <f t="shared" si="128"/>
        <v>1</v>
      </c>
      <c r="DK5" s="1093">
        <f t="shared" si="128"/>
        <v>0.5</v>
      </c>
      <c r="DL5" s="881">
        <f t="shared" si="128"/>
        <v>500000</v>
      </c>
      <c r="DM5" s="901">
        <f t="shared" si="128"/>
        <v>2</v>
      </c>
      <c r="DN5" s="878">
        <f t="shared" si="128"/>
        <v>1</v>
      </c>
      <c r="DO5" s="1093">
        <f t="shared" si="128"/>
        <v>0.5</v>
      </c>
      <c r="DP5" s="881">
        <f t="shared" si="128"/>
        <v>500000</v>
      </c>
      <c r="DQ5" s="901">
        <f t="shared" si="128"/>
        <v>2</v>
      </c>
      <c r="DR5" s="878">
        <f t="shared" si="128"/>
        <v>1</v>
      </c>
      <c r="DS5" s="1093">
        <f t="shared" si="128"/>
        <v>0.5</v>
      </c>
      <c r="DT5" s="881">
        <f t="shared" si="128"/>
        <v>500000</v>
      </c>
      <c r="DU5" s="901">
        <f t="shared" si="128"/>
        <v>2</v>
      </c>
      <c r="DV5" s="878">
        <f t="shared" si="128"/>
        <v>1</v>
      </c>
      <c r="DW5" s="1093">
        <f t="shared" si="128"/>
        <v>0.5</v>
      </c>
      <c r="DX5" s="881">
        <f t="shared" si="128"/>
        <v>500000</v>
      </c>
      <c r="DY5" s="901">
        <f t="shared" si="128"/>
        <v>2</v>
      </c>
      <c r="DZ5" s="878">
        <f t="shared" si="128"/>
        <v>1</v>
      </c>
      <c r="EA5" s="1093">
        <f t="shared" si="128"/>
        <v>0.5</v>
      </c>
      <c r="EB5" s="881">
        <f t="shared" si="128"/>
        <v>500000</v>
      </c>
      <c r="EC5" s="901">
        <f t="shared" si="128"/>
        <v>2</v>
      </c>
      <c r="ED5" s="878">
        <f t="shared" si="128"/>
        <v>1</v>
      </c>
      <c r="EE5" s="1093">
        <f t="shared" si="128"/>
        <v>0.5</v>
      </c>
      <c r="EF5" s="881">
        <f t="shared" si="128"/>
        <v>500000</v>
      </c>
    </row>
    <row r="6" spans="1:136" ht="20" customHeight="1" thickBot="1" x14ac:dyDescent="0.2">
      <c r="A6" s="95"/>
      <c r="B6" s="98"/>
      <c r="C6" s="800"/>
      <c r="D6" s="16"/>
      <c r="E6" s="841">
        <f>Dashboard!P13</f>
        <v>0.35</v>
      </c>
      <c r="F6" s="842">
        <f>Dashboard!Q13</f>
        <v>0.3</v>
      </c>
      <c r="G6" s="842">
        <f>Dashboard!R13</f>
        <v>0.25</v>
      </c>
      <c r="H6" s="843">
        <f>Dashboard!S13</f>
        <v>0.2</v>
      </c>
      <c r="I6" s="782">
        <f>$H$36</f>
        <v>0.5</v>
      </c>
      <c r="J6" s="1092">
        <f t="shared" si="122"/>
        <v>0.1875</v>
      </c>
      <c r="K6" s="871">
        <f>$E$36</f>
        <v>18600000</v>
      </c>
      <c r="L6" s="875" t="str">
        <f>C36</f>
        <v>SHOPPEE</v>
      </c>
      <c r="M6" s="901">
        <f t="shared" ref="M6:BX6" si="129">M$36</f>
        <v>6</v>
      </c>
      <c r="N6" s="878">
        <f t="shared" si="129"/>
        <v>3</v>
      </c>
      <c r="O6" s="1093">
        <f t="shared" si="129"/>
        <v>0.5</v>
      </c>
      <c r="P6" s="881">
        <f t="shared" si="129"/>
        <v>600000</v>
      </c>
      <c r="Q6" s="901">
        <f t="shared" si="129"/>
        <v>6</v>
      </c>
      <c r="R6" s="878">
        <f t="shared" si="129"/>
        <v>3</v>
      </c>
      <c r="S6" s="1093">
        <f t="shared" si="129"/>
        <v>0.5</v>
      </c>
      <c r="T6" s="881">
        <f t="shared" si="129"/>
        <v>600000</v>
      </c>
      <c r="U6" s="901">
        <f t="shared" si="129"/>
        <v>6</v>
      </c>
      <c r="V6" s="878">
        <f t="shared" si="129"/>
        <v>3</v>
      </c>
      <c r="W6" s="1093">
        <f t="shared" si="129"/>
        <v>0.5</v>
      </c>
      <c r="X6" s="881">
        <f t="shared" si="129"/>
        <v>600000</v>
      </c>
      <c r="Y6" s="901">
        <f t="shared" si="129"/>
        <v>6</v>
      </c>
      <c r="Z6" s="878">
        <f t="shared" si="129"/>
        <v>3</v>
      </c>
      <c r="AA6" s="1093">
        <f t="shared" si="129"/>
        <v>0.5</v>
      </c>
      <c r="AB6" s="881">
        <f t="shared" si="129"/>
        <v>600000</v>
      </c>
      <c r="AC6" s="901">
        <f t="shared" si="129"/>
        <v>6</v>
      </c>
      <c r="AD6" s="878">
        <f t="shared" si="129"/>
        <v>3</v>
      </c>
      <c r="AE6" s="1093">
        <f t="shared" si="129"/>
        <v>0.5</v>
      </c>
      <c r="AF6" s="881">
        <f t="shared" si="129"/>
        <v>600000</v>
      </c>
      <c r="AG6" s="901">
        <f t="shared" si="129"/>
        <v>6</v>
      </c>
      <c r="AH6" s="878">
        <f t="shared" si="129"/>
        <v>3</v>
      </c>
      <c r="AI6" s="1093">
        <f t="shared" si="129"/>
        <v>0.5</v>
      </c>
      <c r="AJ6" s="881">
        <f t="shared" si="129"/>
        <v>600000</v>
      </c>
      <c r="AK6" s="901">
        <f t="shared" si="129"/>
        <v>6</v>
      </c>
      <c r="AL6" s="878">
        <f t="shared" si="129"/>
        <v>3</v>
      </c>
      <c r="AM6" s="1093">
        <f t="shared" si="129"/>
        <v>0.5</v>
      </c>
      <c r="AN6" s="881">
        <f t="shared" si="129"/>
        <v>600000</v>
      </c>
      <c r="AO6" s="901">
        <f t="shared" si="129"/>
        <v>6</v>
      </c>
      <c r="AP6" s="878">
        <f t="shared" si="129"/>
        <v>3</v>
      </c>
      <c r="AQ6" s="1093">
        <f t="shared" si="129"/>
        <v>0.5</v>
      </c>
      <c r="AR6" s="881">
        <f t="shared" si="129"/>
        <v>600000</v>
      </c>
      <c r="AS6" s="901">
        <f t="shared" si="129"/>
        <v>6</v>
      </c>
      <c r="AT6" s="878">
        <f t="shared" si="129"/>
        <v>3</v>
      </c>
      <c r="AU6" s="1093">
        <f t="shared" si="129"/>
        <v>0.5</v>
      </c>
      <c r="AV6" s="881">
        <f t="shared" si="129"/>
        <v>600000</v>
      </c>
      <c r="AW6" s="901">
        <f t="shared" si="129"/>
        <v>6</v>
      </c>
      <c r="AX6" s="878">
        <f t="shared" si="129"/>
        <v>3</v>
      </c>
      <c r="AY6" s="1093">
        <f t="shared" si="129"/>
        <v>0.5</v>
      </c>
      <c r="AZ6" s="881">
        <f t="shared" si="129"/>
        <v>600000</v>
      </c>
      <c r="BA6" s="901">
        <f t="shared" si="129"/>
        <v>6</v>
      </c>
      <c r="BB6" s="878">
        <f t="shared" si="129"/>
        <v>3</v>
      </c>
      <c r="BC6" s="1093">
        <f t="shared" si="129"/>
        <v>0.5</v>
      </c>
      <c r="BD6" s="881">
        <f t="shared" si="129"/>
        <v>600000</v>
      </c>
      <c r="BE6" s="901">
        <f t="shared" si="129"/>
        <v>6</v>
      </c>
      <c r="BF6" s="878">
        <f t="shared" si="129"/>
        <v>3</v>
      </c>
      <c r="BG6" s="1093">
        <f t="shared" si="129"/>
        <v>0.5</v>
      </c>
      <c r="BH6" s="881">
        <f t="shared" si="129"/>
        <v>600000</v>
      </c>
      <c r="BI6" s="901">
        <f t="shared" si="129"/>
        <v>6</v>
      </c>
      <c r="BJ6" s="878">
        <f t="shared" si="129"/>
        <v>3</v>
      </c>
      <c r="BK6" s="1093">
        <f t="shared" si="129"/>
        <v>0.5</v>
      </c>
      <c r="BL6" s="881">
        <f t="shared" si="129"/>
        <v>600000</v>
      </c>
      <c r="BM6" s="901">
        <f t="shared" si="129"/>
        <v>6</v>
      </c>
      <c r="BN6" s="878">
        <f t="shared" si="129"/>
        <v>3</v>
      </c>
      <c r="BO6" s="1093">
        <f t="shared" si="129"/>
        <v>0.5</v>
      </c>
      <c r="BP6" s="881">
        <f t="shared" si="129"/>
        <v>600000</v>
      </c>
      <c r="BQ6" s="901">
        <f t="shared" si="129"/>
        <v>6</v>
      </c>
      <c r="BR6" s="878">
        <f t="shared" si="129"/>
        <v>3</v>
      </c>
      <c r="BS6" s="1093">
        <f t="shared" si="129"/>
        <v>0.5</v>
      </c>
      <c r="BT6" s="881">
        <f t="shared" si="129"/>
        <v>600000</v>
      </c>
      <c r="BU6" s="901">
        <f t="shared" si="129"/>
        <v>6</v>
      </c>
      <c r="BV6" s="878">
        <f t="shared" si="129"/>
        <v>3</v>
      </c>
      <c r="BW6" s="1093">
        <f t="shared" si="129"/>
        <v>0.5</v>
      </c>
      <c r="BX6" s="881">
        <f t="shared" si="129"/>
        <v>600000</v>
      </c>
      <c r="BY6" s="901">
        <f t="shared" ref="BY6:EF6" si="130">BY$36</f>
        <v>6</v>
      </c>
      <c r="BZ6" s="878">
        <f t="shared" si="130"/>
        <v>3</v>
      </c>
      <c r="CA6" s="1093">
        <f t="shared" si="130"/>
        <v>0.5</v>
      </c>
      <c r="CB6" s="881">
        <f t="shared" si="130"/>
        <v>600000</v>
      </c>
      <c r="CC6" s="901">
        <f t="shared" si="130"/>
        <v>6</v>
      </c>
      <c r="CD6" s="878">
        <f t="shared" si="130"/>
        <v>3</v>
      </c>
      <c r="CE6" s="1093">
        <f t="shared" si="130"/>
        <v>0.5</v>
      </c>
      <c r="CF6" s="881">
        <f t="shared" si="130"/>
        <v>600000</v>
      </c>
      <c r="CG6" s="901">
        <f t="shared" si="130"/>
        <v>6</v>
      </c>
      <c r="CH6" s="878">
        <f t="shared" si="130"/>
        <v>3</v>
      </c>
      <c r="CI6" s="1093">
        <f t="shared" si="130"/>
        <v>0.5</v>
      </c>
      <c r="CJ6" s="881">
        <f t="shared" si="130"/>
        <v>600000</v>
      </c>
      <c r="CK6" s="901">
        <f t="shared" si="130"/>
        <v>6</v>
      </c>
      <c r="CL6" s="878">
        <f t="shared" si="130"/>
        <v>3</v>
      </c>
      <c r="CM6" s="1093">
        <f t="shared" si="130"/>
        <v>0.5</v>
      </c>
      <c r="CN6" s="881">
        <f t="shared" si="130"/>
        <v>600000</v>
      </c>
      <c r="CO6" s="901">
        <f t="shared" si="130"/>
        <v>6</v>
      </c>
      <c r="CP6" s="878">
        <f t="shared" si="130"/>
        <v>3</v>
      </c>
      <c r="CQ6" s="1093">
        <f t="shared" si="130"/>
        <v>0.5</v>
      </c>
      <c r="CR6" s="881">
        <f t="shared" si="130"/>
        <v>600000</v>
      </c>
      <c r="CS6" s="901">
        <f t="shared" si="130"/>
        <v>6</v>
      </c>
      <c r="CT6" s="878">
        <f t="shared" si="130"/>
        <v>3</v>
      </c>
      <c r="CU6" s="1093">
        <f t="shared" si="130"/>
        <v>0.5</v>
      </c>
      <c r="CV6" s="881">
        <f t="shared" si="130"/>
        <v>600000</v>
      </c>
      <c r="CW6" s="901">
        <f t="shared" si="130"/>
        <v>6</v>
      </c>
      <c r="CX6" s="878">
        <f t="shared" si="130"/>
        <v>3</v>
      </c>
      <c r="CY6" s="1093">
        <f t="shared" si="130"/>
        <v>0.5</v>
      </c>
      <c r="CZ6" s="881">
        <f t="shared" si="130"/>
        <v>600000</v>
      </c>
      <c r="DA6" s="901">
        <f t="shared" si="130"/>
        <v>6</v>
      </c>
      <c r="DB6" s="878">
        <f t="shared" si="130"/>
        <v>3</v>
      </c>
      <c r="DC6" s="1093">
        <f t="shared" si="130"/>
        <v>0.5</v>
      </c>
      <c r="DD6" s="881">
        <f t="shared" si="130"/>
        <v>600000</v>
      </c>
      <c r="DE6" s="901">
        <f t="shared" si="130"/>
        <v>6</v>
      </c>
      <c r="DF6" s="878">
        <f t="shared" si="130"/>
        <v>3</v>
      </c>
      <c r="DG6" s="1093">
        <f t="shared" si="130"/>
        <v>0.5</v>
      </c>
      <c r="DH6" s="881">
        <f t="shared" si="130"/>
        <v>600000</v>
      </c>
      <c r="DI6" s="901">
        <f t="shared" si="130"/>
        <v>6</v>
      </c>
      <c r="DJ6" s="878">
        <f t="shared" si="130"/>
        <v>3</v>
      </c>
      <c r="DK6" s="1093">
        <f t="shared" si="130"/>
        <v>0.5</v>
      </c>
      <c r="DL6" s="881">
        <f t="shared" si="130"/>
        <v>600000</v>
      </c>
      <c r="DM6" s="901">
        <f t="shared" si="130"/>
        <v>6</v>
      </c>
      <c r="DN6" s="878">
        <f t="shared" si="130"/>
        <v>3</v>
      </c>
      <c r="DO6" s="1093">
        <f t="shared" si="130"/>
        <v>0.5</v>
      </c>
      <c r="DP6" s="881">
        <f t="shared" si="130"/>
        <v>600000</v>
      </c>
      <c r="DQ6" s="901">
        <f t="shared" si="130"/>
        <v>6</v>
      </c>
      <c r="DR6" s="878">
        <f t="shared" si="130"/>
        <v>3</v>
      </c>
      <c r="DS6" s="1093">
        <f t="shared" si="130"/>
        <v>0.5</v>
      </c>
      <c r="DT6" s="881">
        <f t="shared" si="130"/>
        <v>600000</v>
      </c>
      <c r="DU6" s="901">
        <f t="shared" si="130"/>
        <v>6</v>
      </c>
      <c r="DV6" s="878">
        <f t="shared" si="130"/>
        <v>3</v>
      </c>
      <c r="DW6" s="1093">
        <f t="shared" si="130"/>
        <v>0.5</v>
      </c>
      <c r="DX6" s="881">
        <f t="shared" si="130"/>
        <v>600000</v>
      </c>
      <c r="DY6" s="901">
        <f t="shared" si="130"/>
        <v>6</v>
      </c>
      <c r="DZ6" s="878">
        <f t="shared" si="130"/>
        <v>3</v>
      </c>
      <c r="EA6" s="1093">
        <f t="shared" si="130"/>
        <v>0.5</v>
      </c>
      <c r="EB6" s="881">
        <f t="shared" si="130"/>
        <v>600000</v>
      </c>
      <c r="EC6" s="901">
        <f t="shared" si="130"/>
        <v>6</v>
      </c>
      <c r="ED6" s="878">
        <f t="shared" si="130"/>
        <v>3</v>
      </c>
      <c r="EE6" s="1093">
        <f t="shared" si="130"/>
        <v>0.5</v>
      </c>
      <c r="EF6" s="881">
        <f t="shared" si="130"/>
        <v>600000</v>
      </c>
    </row>
    <row r="7" spans="1:136" ht="20" customHeight="1" x14ac:dyDescent="0.15">
      <c r="A7" s="809" t="s">
        <v>193</v>
      </c>
      <c r="B7" s="810">
        <v>1</v>
      </c>
      <c r="C7" s="783">
        <f>COUNTIF(M12:EF12,"T7")</f>
        <v>4</v>
      </c>
      <c r="D7" s="16"/>
      <c r="I7" s="782">
        <f>IF(ISNUMBER($H$39), $H$39, 0)</f>
        <v>0.9838709677419355</v>
      </c>
      <c r="J7" s="1092">
        <f>IF($E$19=0,0,K7/$E$19)</f>
        <v>9.375E-2</v>
      </c>
      <c r="K7" s="871">
        <f>$E$39</f>
        <v>9300000</v>
      </c>
      <c r="L7" s="875" t="str">
        <f>C39</f>
        <v>ZALO</v>
      </c>
      <c r="M7" s="901">
        <f t="shared" ref="M7:BX7" si="131">M$39</f>
        <v>2</v>
      </c>
      <c r="N7" s="879">
        <f t="shared" si="131"/>
        <v>1</v>
      </c>
      <c r="O7" s="1093">
        <f t="shared" si="131"/>
        <v>0.5</v>
      </c>
      <c r="P7" s="881">
        <f t="shared" si="131"/>
        <v>300000</v>
      </c>
      <c r="Q7" s="901">
        <f t="shared" si="131"/>
        <v>1</v>
      </c>
      <c r="R7" s="879">
        <f t="shared" si="131"/>
        <v>1</v>
      </c>
      <c r="S7" s="1093">
        <f t="shared" si="131"/>
        <v>1</v>
      </c>
      <c r="T7" s="881">
        <f t="shared" si="131"/>
        <v>300000</v>
      </c>
      <c r="U7" s="901">
        <f t="shared" si="131"/>
        <v>1</v>
      </c>
      <c r="V7" s="879">
        <f t="shared" si="131"/>
        <v>1</v>
      </c>
      <c r="W7" s="1093">
        <f t="shared" si="131"/>
        <v>1</v>
      </c>
      <c r="X7" s="881">
        <f t="shared" si="131"/>
        <v>300000</v>
      </c>
      <c r="Y7" s="901">
        <f t="shared" si="131"/>
        <v>1</v>
      </c>
      <c r="Z7" s="879">
        <f t="shared" si="131"/>
        <v>1</v>
      </c>
      <c r="AA7" s="1093">
        <f t="shared" si="131"/>
        <v>1</v>
      </c>
      <c r="AB7" s="881">
        <f t="shared" si="131"/>
        <v>300000</v>
      </c>
      <c r="AC7" s="901">
        <f t="shared" si="131"/>
        <v>1</v>
      </c>
      <c r="AD7" s="879">
        <f t="shared" si="131"/>
        <v>1</v>
      </c>
      <c r="AE7" s="1093">
        <f t="shared" si="131"/>
        <v>1</v>
      </c>
      <c r="AF7" s="881">
        <f t="shared" si="131"/>
        <v>300000</v>
      </c>
      <c r="AG7" s="901">
        <f t="shared" si="131"/>
        <v>1</v>
      </c>
      <c r="AH7" s="879">
        <f t="shared" si="131"/>
        <v>1</v>
      </c>
      <c r="AI7" s="1093">
        <f t="shared" si="131"/>
        <v>1</v>
      </c>
      <c r="AJ7" s="881">
        <f t="shared" si="131"/>
        <v>300000</v>
      </c>
      <c r="AK7" s="901">
        <f t="shared" si="131"/>
        <v>1</v>
      </c>
      <c r="AL7" s="879">
        <f t="shared" si="131"/>
        <v>1</v>
      </c>
      <c r="AM7" s="1093">
        <f t="shared" si="131"/>
        <v>1</v>
      </c>
      <c r="AN7" s="881">
        <f t="shared" si="131"/>
        <v>300000</v>
      </c>
      <c r="AO7" s="901">
        <f t="shared" si="131"/>
        <v>1</v>
      </c>
      <c r="AP7" s="879">
        <f t="shared" si="131"/>
        <v>1</v>
      </c>
      <c r="AQ7" s="1093">
        <f t="shared" si="131"/>
        <v>1</v>
      </c>
      <c r="AR7" s="881">
        <f t="shared" si="131"/>
        <v>300000</v>
      </c>
      <c r="AS7" s="901">
        <f t="shared" si="131"/>
        <v>1</v>
      </c>
      <c r="AT7" s="879">
        <f t="shared" si="131"/>
        <v>1</v>
      </c>
      <c r="AU7" s="1093">
        <f t="shared" si="131"/>
        <v>1</v>
      </c>
      <c r="AV7" s="881">
        <f t="shared" si="131"/>
        <v>300000</v>
      </c>
      <c r="AW7" s="901">
        <f t="shared" si="131"/>
        <v>1</v>
      </c>
      <c r="AX7" s="879">
        <f t="shared" si="131"/>
        <v>1</v>
      </c>
      <c r="AY7" s="1093">
        <f t="shared" si="131"/>
        <v>1</v>
      </c>
      <c r="AZ7" s="881">
        <f t="shared" si="131"/>
        <v>300000</v>
      </c>
      <c r="BA7" s="901">
        <f t="shared" si="131"/>
        <v>1</v>
      </c>
      <c r="BB7" s="879">
        <f t="shared" si="131"/>
        <v>1</v>
      </c>
      <c r="BC7" s="1093">
        <f t="shared" si="131"/>
        <v>1</v>
      </c>
      <c r="BD7" s="881">
        <f t="shared" si="131"/>
        <v>300000</v>
      </c>
      <c r="BE7" s="901">
        <f t="shared" si="131"/>
        <v>1</v>
      </c>
      <c r="BF7" s="879">
        <f t="shared" si="131"/>
        <v>1</v>
      </c>
      <c r="BG7" s="1093">
        <f t="shared" si="131"/>
        <v>1</v>
      </c>
      <c r="BH7" s="881">
        <f t="shared" si="131"/>
        <v>300000</v>
      </c>
      <c r="BI7" s="901">
        <f t="shared" si="131"/>
        <v>1</v>
      </c>
      <c r="BJ7" s="879">
        <f t="shared" si="131"/>
        <v>1</v>
      </c>
      <c r="BK7" s="1093">
        <f t="shared" si="131"/>
        <v>1</v>
      </c>
      <c r="BL7" s="881">
        <f t="shared" si="131"/>
        <v>300000</v>
      </c>
      <c r="BM7" s="901">
        <f t="shared" si="131"/>
        <v>1</v>
      </c>
      <c r="BN7" s="879">
        <f t="shared" si="131"/>
        <v>1</v>
      </c>
      <c r="BO7" s="1093">
        <f t="shared" si="131"/>
        <v>1</v>
      </c>
      <c r="BP7" s="881">
        <f t="shared" si="131"/>
        <v>300000</v>
      </c>
      <c r="BQ7" s="901">
        <f t="shared" si="131"/>
        <v>1</v>
      </c>
      <c r="BR7" s="879">
        <f t="shared" si="131"/>
        <v>1</v>
      </c>
      <c r="BS7" s="1093">
        <f t="shared" si="131"/>
        <v>1</v>
      </c>
      <c r="BT7" s="881">
        <f t="shared" si="131"/>
        <v>300000</v>
      </c>
      <c r="BU7" s="901">
        <f t="shared" si="131"/>
        <v>1</v>
      </c>
      <c r="BV7" s="879">
        <f t="shared" si="131"/>
        <v>1</v>
      </c>
      <c r="BW7" s="1093">
        <f t="shared" si="131"/>
        <v>1</v>
      </c>
      <c r="BX7" s="881">
        <f t="shared" si="131"/>
        <v>300000</v>
      </c>
      <c r="BY7" s="901">
        <f t="shared" ref="BY7:EF7" si="132">BY$39</f>
        <v>1</v>
      </c>
      <c r="BZ7" s="879">
        <f t="shared" si="132"/>
        <v>1</v>
      </c>
      <c r="CA7" s="1093">
        <f t="shared" si="132"/>
        <v>1</v>
      </c>
      <c r="CB7" s="881">
        <f t="shared" si="132"/>
        <v>300000</v>
      </c>
      <c r="CC7" s="901">
        <f t="shared" si="132"/>
        <v>1</v>
      </c>
      <c r="CD7" s="879">
        <f t="shared" si="132"/>
        <v>1</v>
      </c>
      <c r="CE7" s="1093">
        <f t="shared" si="132"/>
        <v>1</v>
      </c>
      <c r="CF7" s="881">
        <f t="shared" si="132"/>
        <v>300000</v>
      </c>
      <c r="CG7" s="901">
        <f t="shared" si="132"/>
        <v>1</v>
      </c>
      <c r="CH7" s="879">
        <f t="shared" si="132"/>
        <v>1</v>
      </c>
      <c r="CI7" s="1093">
        <f t="shared" si="132"/>
        <v>1</v>
      </c>
      <c r="CJ7" s="881">
        <f t="shared" si="132"/>
        <v>300000</v>
      </c>
      <c r="CK7" s="901">
        <f t="shared" si="132"/>
        <v>1</v>
      </c>
      <c r="CL7" s="879">
        <f t="shared" si="132"/>
        <v>1</v>
      </c>
      <c r="CM7" s="1093">
        <f t="shared" si="132"/>
        <v>1</v>
      </c>
      <c r="CN7" s="881">
        <f t="shared" si="132"/>
        <v>300000</v>
      </c>
      <c r="CO7" s="901">
        <f t="shared" si="132"/>
        <v>1</v>
      </c>
      <c r="CP7" s="879">
        <f t="shared" si="132"/>
        <v>1</v>
      </c>
      <c r="CQ7" s="1093">
        <f t="shared" si="132"/>
        <v>1</v>
      </c>
      <c r="CR7" s="881">
        <f t="shared" si="132"/>
        <v>300000</v>
      </c>
      <c r="CS7" s="901">
        <f t="shared" si="132"/>
        <v>1</v>
      </c>
      <c r="CT7" s="879">
        <f t="shared" si="132"/>
        <v>1</v>
      </c>
      <c r="CU7" s="1093">
        <f t="shared" si="132"/>
        <v>1</v>
      </c>
      <c r="CV7" s="881">
        <f t="shared" si="132"/>
        <v>300000</v>
      </c>
      <c r="CW7" s="901">
        <f t="shared" si="132"/>
        <v>1</v>
      </c>
      <c r="CX7" s="879">
        <f t="shared" si="132"/>
        <v>1</v>
      </c>
      <c r="CY7" s="1093">
        <f t="shared" si="132"/>
        <v>1</v>
      </c>
      <c r="CZ7" s="881">
        <f t="shared" si="132"/>
        <v>300000</v>
      </c>
      <c r="DA7" s="901">
        <f t="shared" si="132"/>
        <v>1</v>
      </c>
      <c r="DB7" s="879">
        <f t="shared" si="132"/>
        <v>1</v>
      </c>
      <c r="DC7" s="1093">
        <f t="shared" si="132"/>
        <v>1</v>
      </c>
      <c r="DD7" s="881">
        <f t="shared" si="132"/>
        <v>300000</v>
      </c>
      <c r="DE7" s="901">
        <f t="shared" si="132"/>
        <v>1</v>
      </c>
      <c r="DF7" s="879">
        <f t="shared" si="132"/>
        <v>1</v>
      </c>
      <c r="DG7" s="1093">
        <f t="shared" si="132"/>
        <v>1</v>
      </c>
      <c r="DH7" s="881">
        <f t="shared" si="132"/>
        <v>300000</v>
      </c>
      <c r="DI7" s="901">
        <f t="shared" si="132"/>
        <v>1</v>
      </c>
      <c r="DJ7" s="879">
        <f t="shared" si="132"/>
        <v>1</v>
      </c>
      <c r="DK7" s="1093">
        <f t="shared" si="132"/>
        <v>1</v>
      </c>
      <c r="DL7" s="881">
        <f t="shared" si="132"/>
        <v>300000</v>
      </c>
      <c r="DM7" s="901">
        <f t="shared" si="132"/>
        <v>1</v>
      </c>
      <c r="DN7" s="879">
        <f t="shared" si="132"/>
        <v>1</v>
      </c>
      <c r="DO7" s="1093">
        <f t="shared" si="132"/>
        <v>1</v>
      </c>
      <c r="DP7" s="881">
        <f t="shared" si="132"/>
        <v>300000</v>
      </c>
      <c r="DQ7" s="901">
        <f t="shared" si="132"/>
        <v>1</v>
      </c>
      <c r="DR7" s="879">
        <f t="shared" si="132"/>
        <v>1</v>
      </c>
      <c r="DS7" s="1093">
        <f t="shared" si="132"/>
        <v>1</v>
      </c>
      <c r="DT7" s="881">
        <f t="shared" si="132"/>
        <v>300000</v>
      </c>
      <c r="DU7" s="901">
        <f t="shared" si="132"/>
        <v>1</v>
      </c>
      <c r="DV7" s="879">
        <f t="shared" si="132"/>
        <v>1</v>
      </c>
      <c r="DW7" s="1093">
        <f t="shared" si="132"/>
        <v>1</v>
      </c>
      <c r="DX7" s="881">
        <f t="shared" si="132"/>
        <v>300000</v>
      </c>
      <c r="DY7" s="901">
        <f t="shared" si="132"/>
        <v>1</v>
      </c>
      <c r="DZ7" s="879">
        <f t="shared" si="132"/>
        <v>1</v>
      </c>
      <c r="EA7" s="1093">
        <f t="shared" si="132"/>
        <v>1</v>
      </c>
      <c r="EB7" s="881">
        <f t="shared" si="132"/>
        <v>300000</v>
      </c>
      <c r="EC7" s="901">
        <f t="shared" si="132"/>
        <v>1</v>
      </c>
      <c r="ED7" s="879">
        <f t="shared" si="132"/>
        <v>1</v>
      </c>
      <c r="EE7" s="1093">
        <f t="shared" si="132"/>
        <v>1</v>
      </c>
      <c r="EF7" s="881">
        <f t="shared" si="132"/>
        <v>300000</v>
      </c>
    </row>
    <row r="8" spans="1:136" ht="20" customHeight="1" x14ac:dyDescent="0.15">
      <c r="A8" s="811" t="s">
        <v>192</v>
      </c>
      <c r="B8" s="151">
        <f>COUNTIF($L$9:$EE$9,"TRUE")</f>
        <v>31</v>
      </c>
      <c r="C8" s="784"/>
      <c r="D8" s="785"/>
      <c r="I8" s="1396" t="s">
        <v>209</v>
      </c>
      <c r="J8" s="1396" t="s">
        <v>210</v>
      </c>
      <c r="K8" s="1397" t="s">
        <v>211</v>
      </c>
      <c r="L8" s="893" t="s">
        <v>203</v>
      </c>
      <c r="M8" s="1095">
        <f>SUM(M2:M7)</f>
        <v>48</v>
      </c>
      <c r="N8" s="1096">
        <f>SUM(N2:N7)</f>
        <v>30</v>
      </c>
      <c r="O8" s="1097">
        <f>_xlfn.IFS(M8=0,0,N8&lt;=M8,N8/M8,N8&gt;M8,1)</f>
        <v>0.625</v>
      </c>
      <c r="P8" s="1098">
        <f>SUM(P2:P7)</f>
        <v>3200000</v>
      </c>
      <c r="Q8" s="1095">
        <f t="shared" ref="Q8:R8" si="133">SUM(Q2:Q7)</f>
        <v>46</v>
      </c>
      <c r="R8" s="1096">
        <f t="shared" si="133"/>
        <v>35</v>
      </c>
      <c r="S8" s="1097">
        <f t="shared" ref="S8" si="134">_xlfn.IFS(Q8=0,0,R8&lt;=Q8,R8/Q8,R8&gt;Q8,1)</f>
        <v>0.76086956521739135</v>
      </c>
      <c r="T8" s="1098">
        <f t="shared" ref="T8:V8" si="135">SUM(T2:T7)</f>
        <v>3200000</v>
      </c>
      <c r="U8" s="1095">
        <f t="shared" si="135"/>
        <v>46</v>
      </c>
      <c r="V8" s="1096">
        <f t="shared" si="135"/>
        <v>35</v>
      </c>
      <c r="W8" s="1097">
        <f t="shared" ref="W8" si="136">_xlfn.IFS(U8=0,0,V8&lt;=U8,V8/U8,V8&gt;U8,1)</f>
        <v>0.76086956521739135</v>
      </c>
      <c r="X8" s="1098">
        <f t="shared" ref="X8:Z8" si="137">SUM(X2:X7)</f>
        <v>3200000</v>
      </c>
      <c r="Y8" s="1095">
        <f t="shared" si="137"/>
        <v>46</v>
      </c>
      <c r="Z8" s="1096">
        <f t="shared" si="137"/>
        <v>35</v>
      </c>
      <c r="AA8" s="1097">
        <f t="shared" ref="AA8" si="138">_xlfn.IFS(Y8=0,0,Z8&lt;=Y8,Z8/Y8,Z8&gt;Y8,1)</f>
        <v>0.76086956521739135</v>
      </c>
      <c r="AB8" s="1098">
        <f t="shared" ref="AB8:AD8" si="139">SUM(AB2:AB7)</f>
        <v>3200000</v>
      </c>
      <c r="AC8" s="1095">
        <f t="shared" si="139"/>
        <v>46</v>
      </c>
      <c r="AD8" s="1096">
        <f t="shared" si="139"/>
        <v>35</v>
      </c>
      <c r="AE8" s="1097">
        <f t="shared" ref="AE8" si="140">_xlfn.IFS(AC8=0,0,AD8&lt;=AC8,AD8/AC8,AD8&gt;AC8,1)</f>
        <v>0.76086956521739135</v>
      </c>
      <c r="AF8" s="1098">
        <f t="shared" ref="AF8:AH8" si="141">SUM(AF2:AF7)</f>
        <v>3200000</v>
      </c>
      <c r="AG8" s="1095">
        <f t="shared" si="141"/>
        <v>46</v>
      </c>
      <c r="AH8" s="1096">
        <f t="shared" si="141"/>
        <v>35</v>
      </c>
      <c r="AI8" s="1097">
        <f t="shared" ref="AI8" si="142">_xlfn.IFS(AG8=0,0,AH8&lt;=AG8,AH8/AG8,AH8&gt;AG8,1)</f>
        <v>0.76086956521739135</v>
      </c>
      <c r="AJ8" s="1098">
        <f t="shared" ref="AJ8:AL8" si="143">SUM(AJ2:AJ7)</f>
        <v>3200000</v>
      </c>
      <c r="AK8" s="1095">
        <f t="shared" si="143"/>
        <v>46</v>
      </c>
      <c r="AL8" s="1096">
        <f t="shared" si="143"/>
        <v>35</v>
      </c>
      <c r="AM8" s="1097">
        <f t="shared" ref="AM8" si="144">_xlfn.IFS(AK8=0,0,AL8&lt;=AK8,AL8/AK8,AL8&gt;AK8,1)</f>
        <v>0.76086956521739135</v>
      </c>
      <c r="AN8" s="1098">
        <f t="shared" ref="AN8:AP8" si="145">SUM(AN2:AN7)</f>
        <v>3200000</v>
      </c>
      <c r="AO8" s="1095">
        <f t="shared" si="145"/>
        <v>46</v>
      </c>
      <c r="AP8" s="1096">
        <f t="shared" si="145"/>
        <v>35</v>
      </c>
      <c r="AQ8" s="1097">
        <f t="shared" ref="AQ8" si="146">_xlfn.IFS(AO8=0,0,AP8&lt;=AO8,AP8/AO8,AP8&gt;AO8,1)</f>
        <v>0.76086956521739135</v>
      </c>
      <c r="AR8" s="1098">
        <f t="shared" ref="AR8:AT8" si="147">SUM(AR2:AR7)</f>
        <v>3200000</v>
      </c>
      <c r="AS8" s="1095">
        <f t="shared" si="147"/>
        <v>46</v>
      </c>
      <c r="AT8" s="1096">
        <f t="shared" si="147"/>
        <v>35</v>
      </c>
      <c r="AU8" s="1097">
        <f t="shared" ref="AU8" si="148">_xlfn.IFS(AS8=0,0,AT8&lt;=AS8,AT8/AS8,AT8&gt;AS8,1)</f>
        <v>0.76086956521739135</v>
      </c>
      <c r="AV8" s="1098">
        <f t="shared" ref="AV8:AX8" si="149">SUM(AV2:AV7)</f>
        <v>3200000</v>
      </c>
      <c r="AW8" s="1095">
        <f t="shared" si="149"/>
        <v>46</v>
      </c>
      <c r="AX8" s="1096">
        <f t="shared" si="149"/>
        <v>35</v>
      </c>
      <c r="AY8" s="1097">
        <f t="shared" ref="AY8" si="150">_xlfn.IFS(AW8=0,0,AX8&lt;=AW8,AX8/AW8,AX8&gt;AW8,1)</f>
        <v>0.76086956521739135</v>
      </c>
      <c r="AZ8" s="1098">
        <f t="shared" ref="AZ8:BB8" si="151">SUM(AZ2:AZ7)</f>
        <v>3200000</v>
      </c>
      <c r="BA8" s="1095">
        <f t="shared" si="151"/>
        <v>46</v>
      </c>
      <c r="BB8" s="1096">
        <f t="shared" si="151"/>
        <v>35</v>
      </c>
      <c r="BC8" s="1097">
        <f t="shared" ref="BC8" si="152">_xlfn.IFS(BA8=0,0,BB8&lt;=BA8,BB8/BA8,BB8&gt;BA8,1)</f>
        <v>0.76086956521739135</v>
      </c>
      <c r="BD8" s="1098">
        <f t="shared" ref="BD8:BF8" si="153">SUM(BD2:BD7)</f>
        <v>3200000</v>
      </c>
      <c r="BE8" s="1095">
        <f t="shared" si="153"/>
        <v>46</v>
      </c>
      <c r="BF8" s="1096">
        <f t="shared" si="153"/>
        <v>35</v>
      </c>
      <c r="BG8" s="1097">
        <f t="shared" ref="BG8" si="154">_xlfn.IFS(BE8=0,0,BF8&lt;=BE8,BF8/BE8,BF8&gt;BE8,1)</f>
        <v>0.76086956521739135</v>
      </c>
      <c r="BH8" s="1098">
        <f t="shared" ref="BH8:BJ8" si="155">SUM(BH2:BH7)</f>
        <v>3200000</v>
      </c>
      <c r="BI8" s="1095">
        <f t="shared" si="155"/>
        <v>46</v>
      </c>
      <c r="BJ8" s="1096">
        <f t="shared" si="155"/>
        <v>35</v>
      </c>
      <c r="BK8" s="1097">
        <f t="shared" ref="BK8" si="156">_xlfn.IFS(BI8=0,0,BJ8&lt;=BI8,BJ8/BI8,BJ8&gt;BI8,1)</f>
        <v>0.76086956521739135</v>
      </c>
      <c r="BL8" s="1098">
        <f t="shared" ref="BL8:BN8" si="157">SUM(BL2:BL7)</f>
        <v>3200000</v>
      </c>
      <c r="BM8" s="1095">
        <f t="shared" si="157"/>
        <v>46</v>
      </c>
      <c r="BN8" s="1096">
        <f t="shared" si="157"/>
        <v>35</v>
      </c>
      <c r="BO8" s="1097">
        <f t="shared" ref="BO8" si="158">_xlfn.IFS(BM8=0,0,BN8&lt;=BM8,BN8/BM8,BN8&gt;BM8,1)</f>
        <v>0.76086956521739135</v>
      </c>
      <c r="BP8" s="1098">
        <f t="shared" ref="BP8:BR8" si="159">SUM(BP2:BP7)</f>
        <v>3200000</v>
      </c>
      <c r="BQ8" s="1095">
        <f t="shared" si="159"/>
        <v>46</v>
      </c>
      <c r="BR8" s="1096">
        <f t="shared" si="159"/>
        <v>35</v>
      </c>
      <c r="BS8" s="1097">
        <f t="shared" ref="BS8" si="160">_xlfn.IFS(BQ8=0,0,BR8&lt;=BQ8,BR8/BQ8,BR8&gt;BQ8,1)</f>
        <v>0.76086956521739135</v>
      </c>
      <c r="BT8" s="1098">
        <f t="shared" ref="BT8:BV8" si="161">SUM(BT2:BT7)</f>
        <v>3200000</v>
      </c>
      <c r="BU8" s="1095">
        <f t="shared" si="161"/>
        <v>46</v>
      </c>
      <c r="BV8" s="1096">
        <f t="shared" si="161"/>
        <v>35</v>
      </c>
      <c r="BW8" s="1097">
        <f t="shared" ref="BW8" si="162">_xlfn.IFS(BU8=0,0,BV8&lt;=BU8,BV8/BU8,BV8&gt;BU8,1)</f>
        <v>0.76086956521739135</v>
      </c>
      <c r="BX8" s="1098">
        <f t="shared" ref="BX8:BZ8" si="163">SUM(BX2:BX7)</f>
        <v>3200000</v>
      </c>
      <c r="BY8" s="1095">
        <f t="shared" si="163"/>
        <v>46</v>
      </c>
      <c r="BZ8" s="1096">
        <f t="shared" si="163"/>
        <v>35</v>
      </c>
      <c r="CA8" s="1097">
        <f t="shared" ref="CA8" si="164">_xlfn.IFS(BY8=0,0,BZ8&lt;=BY8,BZ8/BY8,BZ8&gt;BY8,1)</f>
        <v>0.76086956521739135</v>
      </c>
      <c r="CB8" s="1098">
        <f t="shared" ref="CB8:CD8" si="165">SUM(CB2:CB7)</f>
        <v>3200000</v>
      </c>
      <c r="CC8" s="1095">
        <f t="shared" si="165"/>
        <v>46</v>
      </c>
      <c r="CD8" s="1096">
        <f t="shared" si="165"/>
        <v>35</v>
      </c>
      <c r="CE8" s="1097">
        <f t="shared" ref="CE8" si="166">_xlfn.IFS(CC8=0,0,CD8&lt;=CC8,CD8/CC8,CD8&gt;CC8,1)</f>
        <v>0.76086956521739135</v>
      </c>
      <c r="CF8" s="1098">
        <f t="shared" ref="CF8:CH8" si="167">SUM(CF2:CF7)</f>
        <v>3200000</v>
      </c>
      <c r="CG8" s="1095">
        <f t="shared" si="167"/>
        <v>46</v>
      </c>
      <c r="CH8" s="1096">
        <f t="shared" si="167"/>
        <v>35</v>
      </c>
      <c r="CI8" s="1097">
        <f t="shared" ref="CI8" si="168">_xlfn.IFS(CG8=0,0,CH8&lt;=CG8,CH8/CG8,CH8&gt;CG8,1)</f>
        <v>0.76086956521739135</v>
      </c>
      <c r="CJ8" s="1098">
        <f t="shared" ref="CJ8:CL8" si="169">SUM(CJ2:CJ7)</f>
        <v>3200000</v>
      </c>
      <c r="CK8" s="1095">
        <f t="shared" si="169"/>
        <v>46</v>
      </c>
      <c r="CL8" s="1096">
        <f t="shared" si="169"/>
        <v>35</v>
      </c>
      <c r="CM8" s="1097">
        <f t="shared" ref="CM8" si="170">_xlfn.IFS(CK8=0,0,CL8&lt;=CK8,CL8/CK8,CL8&gt;CK8,1)</f>
        <v>0.76086956521739135</v>
      </c>
      <c r="CN8" s="1098">
        <f t="shared" ref="CN8:CP8" si="171">SUM(CN2:CN7)</f>
        <v>3200000</v>
      </c>
      <c r="CO8" s="1095">
        <f t="shared" si="171"/>
        <v>46</v>
      </c>
      <c r="CP8" s="1096">
        <f t="shared" si="171"/>
        <v>35</v>
      </c>
      <c r="CQ8" s="1097">
        <f t="shared" ref="CQ8" si="172">_xlfn.IFS(CO8=0,0,CP8&lt;=CO8,CP8/CO8,CP8&gt;CO8,1)</f>
        <v>0.76086956521739135</v>
      </c>
      <c r="CR8" s="1098">
        <f t="shared" ref="CR8:CT8" si="173">SUM(CR2:CR7)</f>
        <v>3200000</v>
      </c>
      <c r="CS8" s="1095">
        <f t="shared" si="173"/>
        <v>46</v>
      </c>
      <c r="CT8" s="1096">
        <f t="shared" si="173"/>
        <v>35</v>
      </c>
      <c r="CU8" s="1097">
        <f t="shared" ref="CU8" si="174">_xlfn.IFS(CS8=0,0,CT8&lt;=CS8,CT8/CS8,CT8&gt;CS8,1)</f>
        <v>0.76086956521739135</v>
      </c>
      <c r="CV8" s="1098">
        <f t="shared" ref="CV8:CX8" si="175">SUM(CV2:CV7)</f>
        <v>3200000</v>
      </c>
      <c r="CW8" s="1095">
        <f t="shared" si="175"/>
        <v>46</v>
      </c>
      <c r="CX8" s="1096">
        <f t="shared" si="175"/>
        <v>35</v>
      </c>
      <c r="CY8" s="1097">
        <f t="shared" ref="CY8" si="176">_xlfn.IFS(CW8=0,0,CX8&lt;=CW8,CX8/CW8,CX8&gt;CW8,1)</f>
        <v>0.76086956521739135</v>
      </c>
      <c r="CZ8" s="1098">
        <f t="shared" ref="CZ8:DB8" si="177">SUM(CZ2:CZ7)</f>
        <v>3200000</v>
      </c>
      <c r="DA8" s="1095">
        <f t="shared" si="177"/>
        <v>46</v>
      </c>
      <c r="DB8" s="1096">
        <f t="shared" si="177"/>
        <v>35</v>
      </c>
      <c r="DC8" s="1097">
        <f t="shared" ref="DC8" si="178">_xlfn.IFS(DA8=0,0,DB8&lt;=DA8,DB8/DA8,DB8&gt;DA8,1)</f>
        <v>0.76086956521739135</v>
      </c>
      <c r="DD8" s="1098">
        <f t="shared" ref="DD8:DF8" si="179">SUM(DD2:DD7)</f>
        <v>3200000</v>
      </c>
      <c r="DE8" s="1095">
        <f t="shared" si="179"/>
        <v>46</v>
      </c>
      <c r="DF8" s="1096">
        <f t="shared" si="179"/>
        <v>35</v>
      </c>
      <c r="DG8" s="1097">
        <f t="shared" ref="DG8" si="180">_xlfn.IFS(DE8=0,0,DF8&lt;=DE8,DF8/DE8,DF8&gt;DE8,1)</f>
        <v>0.76086956521739135</v>
      </c>
      <c r="DH8" s="1098">
        <f t="shared" ref="DH8:DJ8" si="181">SUM(DH2:DH7)</f>
        <v>3200000</v>
      </c>
      <c r="DI8" s="1095">
        <f t="shared" si="181"/>
        <v>46</v>
      </c>
      <c r="DJ8" s="1096">
        <f t="shared" si="181"/>
        <v>35</v>
      </c>
      <c r="DK8" s="1097">
        <f t="shared" ref="DK8" si="182">_xlfn.IFS(DI8=0,0,DJ8&lt;=DI8,DJ8/DI8,DJ8&gt;DI8,1)</f>
        <v>0.76086956521739135</v>
      </c>
      <c r="DL8" s="1098">
        <f t="shared" ref="DL8:DN8" si="183">SUM(DL2:DL7)</f>
        <v>3200000</v>
      </c>
      <c r="DM8" s="1095">
        <f t="shared" si="183"/>
        <v>46</v>
      </c>
      <c r="DN8" s="1096">
        <f t="shared" si="183"/>
        <v>35</v>
      </c>
      <c r="DO8" s="1097">
        <f t="shared" ref="DO8" si="184">_xlfn.IFS(DM8=0,0,DN8&lt;=DM8,DN8/DM8,DN8&gt;DM8,1)</f>
        <v>0.76086956521739135</v>
      </c>
      <c r="DP8" s="1098">
        <f t="shared" ref="DP8:DR8" si="185">SUM(DP2:DP7)</f>
        <v>3200000</v>
      </c>
      <c r="DQ8" s="1095">
        <f t="shared" si="185"/>
        <v>46</v>
      </c>
      <c r="DR8" s="1096">
        <f t="shared" si="185"/>
        <v>35</v>
      </c>
      <c r="DS8" s="1097">
        <f t="shared" ref="DS8" si="186">_xlfn.IFS(DQ8=0,0,DR8&lt;=DQ8,DR8/DQ8,DR8&gt;DQ8,1)</f>
        <v>0.76086956521739135</v>
      </c>
      <c r="DT8" s="1098">
        <f t="shared" ref="DT8:DV8" si="187">SUM(DT2:DT7)</f>
        <v>3200000</v>
      </c>
      <c r="DU8" s="1095">
        <f t="shared" si="187"/>
        <v>46</v>
      </c>
      <c r="DV8" s="1096">
        <f t="shared" si="187"/>
        <v>35</v>
      </c>
      <c r="DW8" s="1097">
        <f t="shared" ref="DW8" si="188">_xlfn.IFS(DU8=0,0,DV8&lt;=DU8,DV8/DU8,DV8&gt;DU8,1)</f>
        <v>0.76086956521739135</v>
      </c>
      <c r="DX8" s="1098">
        <f t="shared" ref="DX8:DZ8" si="189">SUM(DX2:DX7)</f>
        <v>3200000</v>
      </c>
      <c r="DY8" s="1095">
        <f t="shared" si="189"/>
        <v>46</v>
      </c>
      <c r="DZ8" s="1096">
        <f t="shared" si="189"/>
        <v>35</v>
      </c>
      <c r="EA8" s="1097">
        <f t="shared" ref="EA8" si="190">_xlfn.IFS(DY8=0,0,DZ8&lt;=DY8,DZ8/DY8,DZ8&gt;DY8,1)</f>
        <v>0.76086956521739135</v>
      </c>
      <c r="EB8" s="1098">
        <f t="shared" ref="EB8:ED8" si="191">SUM(EB2:EB7)</f>
        <v>3200000</v>
      </c>
      <c r="EC8" s="1095">
        <f t="shared" si="191"/>
        <v>46</v>
      </c>
      <c r="ED8" s="1096">
        <f t="shared" si="191"/>
        <v>35</v>
      </c>
      <c r="EE8" s="1097">
        <f t="shared" ref="EE8" si="192">_xlfn.IFS(EC8=0,0,ED8&lt;=EC8,ED8/EC8,ED8&gt;EC8,1)</f>
        <v>0.76086956521739135</v>
      </c>
      <c r="EF8" s="1098">
        <f t="shared" ref="EF8" si="193">SUM(EF2:EF7)</f>
        <v>3200000</v>
      </c>
    </row>
    <row r="9" spans="1:136" ht="20" customHeight="1" x14ac:dyDescent="0.15">
      <c r="A9" s="812" t="s">
        <v>194</v>
      </c>
      <c r="B9" s="939">
        <f>B8-B7/2-C7/2</f>
        <v>28.5</v>
      </c>
      <c r="C9" s="16"/>
      <c r="D9" s="786"/>
      <c r="I9" s="1396"/>
      <c r="J9" s="1396"/>
      <c r="K9" s="1397"/>
      <c r="L9" s="876" t="s">
        <v>212</v>
      </c>
      <c r="M9" s="1388" t="b">
        <v>1</v>
      </c>
      <c r="N9" s="1389"/>
      <c r="O9" s="1389"/>
      <c r="P9" s="1390"/>
      <c r="Q9" s="1388" t="b">
        <v>1</v>
      </c>
      <c r="R9" s="1389"/>
      <c r="S9" s="1389"/>
      <c r="T9" s="1390"/>
      <c r="U9" s="1388" t="b">
        <v>1</v>
      </c>
      <c r="V9" s="1389"/>
      <c r="W9" s="1389"/>
      <c r="X9" s="1390"/>
      <c r="Y9" s="1388" t="b">
        <v>1</v>
      </c>
      <c r="Z9" s="1389"/>
      <c r="AA9" s="1389"/>
      <c r="AB9" s="1390"/>
      <c r="AC9" s="1388" t="b">
        <v>1</v>
      </c>
      <c r="AD9" s="1389"/>
      <c r="AE9" s="1389"/>
      <c r="AF9" s="1390"/>
      <c r="AG9" s="1388" t="b">
        <v>1</v>
      </c>
      <c r="AH9" s="1389"/>
      <c r="AI9" s="1389"/>
      <c r="AJ9" s="1390"/>
      <c r="AK9" s="1388" t="b">
        <v>1</v>
      </c>
      <c r="AL9" s="1389"/>
      <c r="AM9" s="1389"/>
      <c r="AN9" s="1390"/>
      <c r="AO9" s="1388" t="b">
        <v>1</v>
      </c>
      <c r="AP9" s="1389"/>
      <c r="AQ9" s="1389"/>
      <c r="AR9" s="1390"/>
      <c r="AS9" s="1388" t="b">
        <v>1</v>
      </c>
      <c r="AT9" s="1389"/>
      <c r="AU9" s="1389"/>
      <c r="AV9" s="1390"/>
      <c r="AW9" s="1388" t="b">
        <v>1</v>
      </c>
      <c r="AX9" s="1389"/>
      <c r="AY9" s="1389"/>
      <c r="AZ9" s="1390"/>
      <c r="BA9" s="1388" t="b">
        <v>1</v>
      </c>
      <c r="BB9" s="1389"/>
      <c r="BC9" s="1389"/>
      <c r="BD9" s="1390"/>
      <c r="BE9" s="1388" t="b">
        <v>1</v>
      </c>
      <c r="BF9" s="1389"/>
      <c r="BG9" s="1389"/>
      <c r="BH9" s="1390"/>
      <c r="BI9" s="1388" t="b">
        <v>1</v>
      </c>
      <c r="BJ9" s="1389"/>
      <c r="BK9" s="1389"/>
      <c r="BL9" s="1390"/>
      <c r="BM9" s="1388" t="b">
        <v>1</v>
      </c>
      <c r="BN9" s="1389"/>
      <c r="BO9" s="1389"/>
      <c r="BP9" s="1390"/>
      <c r="BQ9" s="1388" t="b">
        <v>1</v>
      </c>
      <c r="BR9" s="1389"/>
      <c r="BS9" s="1389"/>
      <c r="BT9" s="1390"/>
      <c r="BU9" s="1388" t="b">
        <v>1</v>
      </c>
      <c r="BV9" s="1389"/>
      <c r="BW9" s="1389"/>
      <c r="BX9" s="1390"/>
      <c r="BY9" s="1388" t="b">
        <v>1</v>
      </c>
      <c r="BZ9" s="1389"/>
      <c r="CA9" s="1389"/>
      <c r="CB9" s="1390"/>
      <c r="CC9" s="1388" t="b">
        <v>1</v>
      </c>
      <c r="CD9" s="1389"/>
      <c r="CE9" s="1389"/>
      <c r="CF9" s="1390"/>
      <c r="CG9" s="1388" t="b">
        <v>1</v>
      </c>
      <c r="CH9" s="1389"/>
      <c r="CI9" s="1389"/>
      <c r="CJ9" s="1390"/>
      <c r="CK9" s="1388" t="b">
        <v>1</v>
      </c>
      <c r="CL9" s="1389"/>
      <c r="CM9" s="1389"/>
      <c r="CN9" s="1390"/>
      <c r="CO9" s="1388" t="b">
        <v>1</v>
      </c>
      <c r="CP9" s="1389"/>
      <c r="CQ9" s="1389"/>
      <c r="CR9" s="1390"/>
      <c r="CS9" s="1388" t="b">
        <v>1</v>
      </c>
      <c r="CT9" s="1389"/>
      <c r="CU9" s="1389"/>
      <c r="CV9" s="1390"/>
      <c r="CW9" s="1388" t="b">
        <v>1</v>
      </c>
      <c r="CX9" s="1389"/>
      <c r="CY9" s="1389"/>
      <c r="CZ9" s="1390"/>
      <c r="DA9" s="1388" t="b">
        <v>1</v>
      </c>
      <c r="DB9" s="1389"/>
      <c r="DC9" s="1389"/>
      <c r="DD9" s="1390"/>
      <c r="DE9" s="1388" t="b">
        <v>1</v>
      </c>
      <c r="DF9" s="1389"/>
      <c r="DG9" s="1389"/>
      <c r="DH9" s="1390"/>
      <c r="DI9" s="1388" t="b">
        <v>1</v>
      </c>
      <c r="DJ9" s="1389"/>
      <c r="DK9" s="1389"/>
      <c r="DL9" s="1390"/>
      <c r="DM9" s="1388" t="b">
        <v>1</v>
      </c>
      <c r="DN9" s="1389"/>
      <c r="DO9" s="1389"/>
      <c r="DP9" s="1390"/>
      <c r="DQ9" s="1388" t="b">
        <v>1</v>
      </c>
      <c r="DR9" s="1389"/>
      <c r="DS9" s="1389"/>
      <c r="DT9" s="1390"/>
      <c r="DU9" s="1388" t="b">
        <v>1</v>
      </c>
      <c r="DV9" s="1389"/>
      <c r="DW9" s="1389"/>
      <c r="DX9" s="1390"/>
      <c r="DY9" s="1388" t="b">
        <v>1</v>
      </c>
      <c r="DZ9" s="1389"/>
      <c r="EA9" s="1389"/>
      <c r="EB9" s="1390"/>
      <c r="EC9" s="1388" t="b">
        <v>1</v>
      </c>
      <c r="ED9" s="1389"/>
      <c r="EE9" s="1389"/>
      <c r="EF9" s="1390"/>
    </row>
    <row r="10" spans="1:136" ht="20" customHeight="1" x14ac:dyDescent="0.15">
      <c r="A10" s="1393" t="s">
        <v>195</v>
      </c>
      <c r="B10" s="1311"/>
      <c r="C10" s="1311"/>
      <c r="D10" s="786"/>
      <c r="E10" s="786"/>
      <c r="F10" s="80"/>
      <c r="G10" s="80"/>
      <c r="H10" s="80"/>
      <c r="I10" s="1396"/>
      <c r="J10" s="1396"/>
      <c r="K10" s="1397"/>
      <c r="L10" s="872"/>
      <c r="M10" s="1394">
        <v>45748</v>
      </c>
      <c r="N10" s="1394"/>
      <c r="O10" s="1394"/>
      <c r="P10" s="1394"/>
      <c r="Q10" s="1394">
        <f>M10+1</f>
        <v>45749</v>
      </c>
      <c r="R10" s="1394"/>
      <c r="S10" s="1394"/>
      <c r="T10" s="1394"/>
      <c r="U10" s="1394">
        <f>Q10+1</f>
        <v>45750</v>
      </c>
      <c r="V10" s="1395"/>
      <c r="W10" s="1395"/>
      <c r="X10" s="1395"/>
      <c r="Y10" s="1394">
        <f>U10+1</f>
        <v>45751</v>
      </c>
      <c r="Z10" s="1395"/>
      <c r="AA10" s="1395"/>
      <c r="AB10" s="1395"/>
      <c r="AC10" s="1394">
        <f>Y10+1</f>
        <v>45752</v>
      </c>
      <c r="AD10" s="1395"/>
      <c r="AE10" s="1395"/>
      <c r="AF10" s="1395"/>
      <c r="AG10" s="1394">
        <f>AC10+1</f>
        <v>45753</v>
      </c>
      <c r="AH10" s="1395"/>
      <c r="AI10" s="1395"/>
      <c r="AJ10" s="1395"/>
      <c r="AK10" s="1394">
        <f>AG10+1</f>
        <v>45754</v>
      </c>
      <c r="AL10" s="1395"/>
      <c r="AM10" s="1395"/>
      <c r="AN10" s="1395"/>
      <c r="AO10" s="1394">
        <f>AK10+1</f>
        <v>45755</v>
      </c>
      <c r="AP10" s="1395"/>
      <c r="AQ10" s="1395"/>
      <c r="AR10" s="1395"/>
      <c r="AS10" s="1394">
        <f>AO10+1</f>
        <v>45756</v>
      </c>
      <c r="AT10" s="1395"/>
      <c r="AU10" s="1395"/>
      <c r="AV10" s="1395"/>
      <c r="AW10" s="1394">
        <f>AS10+1</f>
        <v>45757</v>
      </c>
      <c r="AX10" s="1395"/>
      <c r="AY10" s="1395"/>
      <c r="AZ10" s="1395"/>
      <c r="BA10" s="1394">
        <f>AW10+1</f>
        <v>45758</v>
      </c>
      <c r="BB10" s="1395"/>
      <c r="BC10" s="1395"/>
      <c r="BD10" s="1395"/>
      <c r="BE10" s="1394">
        <f>BA10+1</f>
        <v>45759</v>
      </c>
      <c r="BF10" s="1395"/>
      <c r="BG10" s="1395"/>
      <c r="BH10" s="1395"/>
      <c r="BI10" s="1394">
        <f>BE10+1</f>
        <v>45760</v>
      </c>
      <c r="BJ10" s="1395"/>
      <c r="BK10" s="1395"/>
      <c r="BL10" s="1395"/>
      <c r="BM10" s="1394">
        <f>BI10+1</f>
        <v>45761</v>
      </c>
      <c r="BN10" s="1395"/>
      <c r="BO10" s="1395"/>
      <c r="BP10" s="1395"/>
      <c r="BQ10" s="1394">
        <f>BM10+1</f>
        <v>45762</v>
      </c>
      <c r="BR10" s="1395"/>
      <c r="BS10" s="1395"/>
      <c r="BT10" s="1395"/>
      <c r="BU10" s="1394">
        <f>BQ10+1</f>
        <v>45763</v>
      </c>
      <c r="BV10" s="1395"/>
      <c r="BW10" s="1395"/>
      <c r="BX10" s="1395"/>
      <c r="BY10" s="1394">
        <f>BU10+1</f>
        <v>45764</v>
      </c>
      <c r="BZ10" s="1395"/>
      <c r="CA10" s="1395"/>
      <c r="CB10" s="1395"/>
      <c r="CC10" s="1394">
        <f>BY10+1</f>
        <v>45765</v>
      </c>
      <c r="CD10" s="1395"/>
      <c r="CE10" s="1395"/>
      <c r="CF10" s="1395"/>
      <c r="CG10" s="1394">
        <f>CC10+1</f>
        <v>45766</v>
      </c>
      <c r="CH10" s="1395"/>
      <c r="CI10" s="1395"/>
      <c r="CJ10" s="1395"/>
      <c r="CK10" s="1394">
        <f>CG10+1</f>
        <v>45767</v>
      </c>
      <c r="CL10" s="1395"/>
      <c r="CM10" s="1395"/>
      <c r="CN10" s="1395"/>
      <c r="CO10" s="1394">
        <f>CK10+1</f>
        <v>45768</v>
      </c>
      <c r="CP10" s="1395"/>
      <c r="CQ10" s="1395"/>
      <c r="CR10" s="1395"/>
      <c r="CS10" s="1394">
        <f>CO10+1</f>
        <v>45769</v>
      </c>
      <c r="CT10" s="1395"/>
      <c r="CU10" s="1395"/>
      <c r="CV10" s="1395"/>
      <c r="CW10" s="1394">
        <f>CS10+1</f>
        <v>45770</v>
      </c>
      <c r="CX10" s="1395"/>
      <c r="CY10" s="1395"/>
      <c r="CZ10" s="1395"/>
      <c r="DA10" s="1394">
        <f>CW10+1</f>
        <v>45771</v>
      </c>
      <c r="DB10" s="1395"/>
      <c r="DC10" s="1395"/>
      <c r="DD10" s="1395"/>
      <c r="DE10" s="1394">
        <f>DA10+1</f>
        <v>45772</v>
      </c>
      <c r="DF10" s="1395"/>
      <c r="DG10" s="1395"/>
      <c r="DH10" s="1395"/>
      <c r="DI10" s="1394">
        <f>DE10+1</f>
        <v>45773</v>
      </c>
      <c r="DJ10" s="1395"/>
      <c r="DK10" s="1395"/>
      <c r="DL10" s="1395"/>
      <c r="DM10" s="1394">
        <f>DI10+1</f>
        <v>45774</v>
      </c>
      <c r="DN10" s="1395"/>
      <c r="DO10" s="1395"/>
      <c r="DP10" s="1395"/>
      <c r="DQ10" s="1394">
        <f>DM10+1</f>
        <v>45775</v>
      </c>
      <c r="DR10" s="1395"/>
      <c r="DS10" s="1395"/>
      <c r="DT10" s="1395"/>
      <c r="DU10" s="1394">
        <f>DQ10+1</f>
        <v>45776</v>
      </c>
      <c r="DV10" s="1395"/>
      <c r="DW10" s="1395"/>
      <c r="DX10" s="1395"/>
      <c r="DY10" s="1394">
        <f>DU10+1</f>
        <v>45777</v>
      </c>
      <c r="DZ10" s="1395"/>
      <c r="EA10" s="1395"/>
      <c r="EB10" s="1395"/>
      <c r="EC10" s="1394">
        <f>DY10+1</f>
        <v>45778</v>
      </c>
      <c r="ED10" s="1395"/>
      <c r="EE10" s="1395"/>
      <c r="EF10" s="1395"/>
    </row>
    <row r="11" spans="1:136" ht="20" customHeight="1" x14ac:dyDescent="0.15">
      <c r="A11" s="10" t="s">
        <v>196</v>
      </c>
      <c r="B11" s="10"/>
      <c r="C11" s="80"/>
      <c r="D11" s="786"/>
      <c r="E11" s="786"/>
      <c r="F11" s="786"/>
      <c r="G11" s="786"/>
      <c r="H11" s="786"/>
      <c r="I11" s="1396"/>
      <c r="J11" s="1396"/>
      <c r="K11" s="1397"/>
      <c r="L11" s="872"/>
      <c r="M11" s="932">
        <f>$M$10</f>
        <v>45748</v>
      </c>
      <c r="N11" s="932">
        <f>$M$10</f>
        <v>45748</v>
      </c>
      <c r="O11" s="932">
        <f>$M$10</f>
        <v>45748</v>
      </c>
      <c r="P11" s="932">
        <f t="shared" ref="P11" si="194">$M$10</f>
        <v>45748</v>
      </c>
      <c r="Q11" s="932">
        <f>Q$10</f>
        <v>45749</v>
      </c>
      <c r="R11" s="932">
        <f>Q$10</f>
        <v>45749</v>
      </c>
      <c r="S11" s="932">
        <f>Q$10</f>
        <v>45749</v>
      </c>
      <c r="T11" s="932">
        <f>Q$10</f>
        <v>45749</v>
      </c>
      <c r="U11" s="932">
        <f>U$10</f>
        <v>45750</v>
      </c>
      <c r="V11" s="932">
        <f>U$10</f>
        <v>45750</v>
      </c>
      <c r="W11" s="932">
        <f>U$10</f>
        <v>45750</v>
      </c>
      <c r="X11" s="932">
        <f>U$10</f>
        <v>45750</v>
      </c>
      <c r="Y11" s="932">
        <f>Y$10</f>
        <v>45751</v>
      </c>
      <c r="Z11" s="932">
        <f>Y$10</f>
        <v>45751</v>
      </c>
      <c r="AA11" s="932">
        <f>Y$10</f>
        <v>45751</v>
      </c>
      <c r="AB11" s="932">
        <f>Y$10</f>
        <v>45751</v>
      </c>
      <c r="AC11" s="932">
        <f>AC$10</f>
        <v>45752</v>
      </c>
      <c r="AD11" s="932">
        <f>AC$10</f>
        <v>45752</v>
      </c>
      <c r="AE11" s="932">
        <f>AC$10</f>
        <v>45752</v>
      </c>
      <c r="AF11" s="932">
        <f>AC$10</f>
        <v>45752</v>
      </c>
      <c r="AG11" s="932">
        <f>AG$10</f>
        <v>45753</v>
      </c>
      <c r="AH11" s="932">
        <f>AG$10</f>
        <v>45753</v>
      </c>
      <c r="AI11" s="932">
        <f>AG$10</f>
        <v>45753</v>
      </c>
      <c r="AJ11" s="932">
        <f>AG$10</f>
        <v>45753</v>
      </c>
      <c r="AK11" s="932">
        <f>AK$10</f>
        <v>45754</v>
      </c>
      <c r="AL11" s="932">
        <f>AK$10</f>
        <v>45754</v>
      </c>
      <c r="AM11" s="932">
        <f>AK$10</f>
        <v>45754</v>
      </c>
      <c r="AN11" s="932">
        <f>AK$10</f>
        <v>45754</v>
      </c>
      <c r="AO11" s="932">
        <f>AO$10</f>
        <v>45755</v>
      </c>
      <c r="AP11" s="932">
        <f>AO$10</f>
        <v>45755</v>
      </c>
      <c r="AQ11" s="932">
        <f>AO$10</f>
        <v>45755</v>
      </c>
      <c r="AR11" s="932">
        <f>AO$10</f>
        <v>45755</v>
      </c>
      <c r="AS11" s="932">
        <f>AS$10</f>
        <v>45756</v>
      </c>
      <c r="AT11" s="932">
        <f>AS$10</f>
        <v>45756</v>
      </c>
      <c r="AU11" s="932">
        <f>AS$10</f>
        <v>45756</v>
      </c>
      <c r="AV11" s="932">
        <f>AS$10</f>
        <v>45756</v>
      </c>
      <c r="AW11" s="932">
        <f>AW$10</f>
        <v>45757</v>
      </c>
      <c r="AX11" s="932">
        <f>AW$10</f>
        <v>45757</v>
      </c>
      <c r="AY11" s="932">
        <f>AW$10</f>
        <v>45757</v>
      </c>
      <c r="AZ11" s="932">
        <f>AW$10</f>
        <v>45757</v>
      </c>
      <c r="BA11" s="932">
        <f>BA$10</f>
        <v>45758</v>
      </c>
      <c r="BB11" s="932">
        <f>BA$10</f>
        <v>45758</v>
      </c>
      <c r="BC11" s="932">
        <f>BA$10</f>
        <v>45758</v>
      </c>
      <c r="BD11" s="932">
        <f>BA$10</f>
        <v>45758</v>
      </c>
      <c r="BE11" s="932">
        <f>BE$10</f>
        <v>45759</v>
      </c>
      <c r="BF11" s="932">
        <f>BE$10</f>
        <v>45759</v>
      </c>
      <c r="BG11" s="932">
        <f>BE$10</f>
        <v>45759</v>
      </c>
      <c r="BH11" s="932">
        <f>BE$10</f>
        <v>45759</v>
      </c>
      <c r="BI11" s="932">
        <f>BI$10</f>
        <v>45760</v>
      </c>
      <c r="BJ11" s="932">
        <f>BI$10</f>
        <v>45760</v>
      </c>
      <c r="BK11" s="932">
        <f>BI$10</f>
        <v>45760</v>
      </c>
      <c r="BL11" s="932">
        <f>BI$10</f>
        <v>45760</v>
      </c>
      <c r="BM11" s="932">
        <f>BM$10</f>
        <v>45761</v>
      </c>
      <c r="BN11" s="932">
        <f>BM$10</f>
        <v>45761</v>
      </c>
      <c r="BO11" s="932">
        <f>BM$10</f>
        <v>45761</v>
      </c>
      <c r="BP11" s="932">
        <f>BM$10</f>
        <v>45761</v>
      </c>
      <c r="BQ11" s="932">
        <f>BQ$10</f>
        <v>45762</v>
      </c>
      <c r="BR11" s="932">
        <f>BQ$10</f>
        <v>45762</v>
      </c>
      <c r="BS11" s="932">
        <f>BQ$10</f>
        <v>45762</v>
      </c>
      <c r="BT11" s="932">
        <f>BQ$10</f>
        <v>45762</v>
      </c>
      <c r="BU11" s="932">
        <f>BU$10</f>
        <v>45763</v>
      </c>
      <c r="BV11" s="932">
        <f>BU$10</f>
        <v>45763</v>
      </c>
      <c r="BW11" s="932">
        <f>BU$10</f>
        <v>45763</v>
      </c>
      <c r="BX11" s="932">
        <f>BU$10</f>
        <v>45763</v>
      </c>
      <c r="BY11" s="932">
        <f>BY$10</f>
        <v>45764</v>
      </c>
      <c r="BZ11" s="932">
        <f>BY$10</f>
        <v>45764</v>
      </c>
      <c r="CA11" s="932">
        <f>BY$10</f>
        <v>45764</v>
      </c>
      <c r="CB11" s="932">
        <f>BY$10</f>
        <v>45764</v>
      </c>
      <c r="CC11" s="932">
        <f>CC$10</f>
        <v>45765</v>
      </c>
      <c r="CD11" s="932">
        <f>CC$10</f>
        <v>45765</v>
      </c>
      <c r="CE11" s="932">
        <f>CC$10</f>
        <v>45765</v>
      </c>
      <c r="CF11" s="932">
        <f>CC$10</f>
        <v>45765</v>
      </c>
      <c r="CG11" s="932">
        <f>CG$10</f>
        <v>45766</v>
      </c>
      <c r="CH11" s="932">
        <f>CG$10</f>
        <v>45766</v>
      </c>
      <c r="CI11" s="932">
        <f>CG$10</f>
        <v>45766</v>
      </c>
      <c r="CJ11" s="932">
        <f>CG$10</f>
        <v>45766</v>
      </c>
      <c r="CK11" s="932">
        <f>CK$10</f>
        <v>45767</v>
      </c>
      <c r="CL11" s="932">
        <f>CK$10</f>
        <v>45767</v>
      </c>
      <c r="CM11" s="932">
        <f>CK$10</f>
        <v>45767</v>
      </c>
      <c r="CN11" s="932">
        <f>CK$10</f>
        <v>45767</v>
      </c>
      <c r="CO11" s="932">
        <f>CO$10</f>
        <v>45768</v>
      </c>
      <c r="CP11" s="932">
        <f>CO$10</f>
        <v>45768</v>
      </c>
      <c r="CQ11" s="932">
        <f>CO$10</f>
        <v>45768</v>
      </c>
      <c r="CR11" s="932">
        <f>CO$10</f>
        <v>45768</v>
      </c>
      <c r="CS11" s="932">
        <f>CS$10</f>
        <v>45769</v>
      </c>
      <c r="CT11" s="932">
        <f>CS$10</f>
        <v>45769</v>
      </c>
      <c r="CU11" s="932">
        <f>CS$10</f>
        <v>45769</v>
      </c>
      <c r="CV11" s="932">
        <f>CS$10</f>
        <v>45769</v>
      </c>
      <c r="CW11" s="932">
        <f>CW$10</f>
        <v>45770</v>
      </c>
      <c r="CX11" s="932">
        <f>CW$10</f>
        <v>45770</v>
      </c>
      <c r="CY11" s="932">
        <f>CW$10</f>
        <v>45770</v>
      </c>
      <c r="CZ11" s="932">
        <f>CW$10</f>
        <v>45770</v>
      </c>
      <c r="DA11" s="932">
        <f>DA$10</f>
        <v>45771</v>
      </c>
      <c r="DB11" s="932">
        <f>DA$10</f>
        <v>45771</v>
      </c>
      <c r="DC11" s="932">
        <f>DA$10</f>
        <v>45771</v>
      </c>
      <c r="DD11" s="932">
        <f>DA$10</f>
        <v>45771</v>
      </c>
      <c r="DE11" s="932">
        <f>DE$10</f>
        <v>45772</v>
      </c>
      <c r="DF11" s="932">
        <f>DE$10</f>
        <v>45772</v>
      </c>
      <c r="DG11" s="932">
        <f>DE$10</f>
        <v>45772</v>
      </c>
      <c r="DH11" s="932">
        <f>DE$10</f>
        <v>45772</v>
      </c>
      <c r="DI11" s="932">
        <f>DI$10</f>
        <v>45773</v>
      </c>
      <c r="DJ11" s="932">
        <f>DI$10</f>
        <v>45773</v>
      </c>
      <c r="DK11" s="932">
        <f>DI$10</f>
        <v>45773</v>
      </c>
      <c r="DL11" s="932">
        <f>DI$10</f>
        <v>45773</v>
      </c>
      <c r="DM11" s="932">
        <f>DM$10</f>
        <v>45774</v>
      </c>
      <c r="DN11" s="932">
        <f>DM$10</f>
        <v>45774</v>
      </c>
      <c r="DO11" s="932">
        <f>DM$10</f>
        <v>45774</v>
      </c>
      <c r="DP11" s="932">
        <f>DM$10</f>
        <v>45774</v>
      </c>
      <c r="DQ11" s="932">
        <f>DQ$10</f>
        <v>45775</v>
      </c>
      <c r="DR11" s="932">
        <f>DQ$10</f>
        <v>45775</v>
      </c>
      <c r="DS11" s="932">
        <f>DQ$10</f>
        <v>45775</v>
      </c>
      <c r="DT11" s="932">
        <f>DQ$10</f>
        <v>45775</v>
      </c>
      <c r="DU11" s="932">
        <f>DU$10</f>
        <v>45776</v>
      </c>
      <c r="DV11" s="932">
        <f>DU$10</f>
        <v>45776</v>
      </c>
      <c r="DW11" s="932">
        <f>DU$10</f>
        <v>45776</v>
      </c>
      <c r="DX11" s="932">
        <f>DU$10</f>
        <v>45776</v>
      </c>
      <c r="DY11" s="932">
        <f>DY$10</f>
        <v>45777</v>
      </c>
      <c r="DZ11" s="932">
        <f>DY$10</f>
        <v>45777</v>
      </c>
      <c r="EA11" s="932">
        <f>DY$10</f>
        <v>45777</v>
      </c>
      <c r="EB11" s="932">
        <f>DY$10</f>
        <v>45777</v>
      </c>
      <c r="EC11" s="932">
        <f>EC$10</f>
        <v>45778</v>
      </c>
      <c r="ED11" s="932">
        <f>EC$10</f>
        <v>45778</v>
      </c>
      <c r="EE11" s="932">
        <f>EC$10</f>
        <v>45778</v>
      </c>
      <c r="EF11" s="1169">
        <f>EC$10</f>
        <v>45778</v>
      </c>
    </row>
    <row r="12" spans="1:136" ht="20" customHeight="1" x14ac:dyDescent="0.15">
      <c r="A12" s="787"/>
      <c r="B12" s="1028"/>
      <c r="D12" s="1391" t="s">
        <v>113</v>
      </c>
      <c r="E12" s="1392"/>
      <c r="F12" s="1392"/>
      <c r="G12" s="1392"/>
      <c r="H12" s="1392"/>
      <c r="I12" s="941" t="s">
        <v>200</v>
      </c>
      <c r="J12" s="1383" t="s">
        <v>197</v>
      </c>
      <c r="K12" s="1384"/>
      <c r="L12" s="1384"/>
      <c r="M12" s="1380" t="str">
        <f>IF(WEEKDAY(M11)=1,"CN","T"&amp;WEEKDAY(M11))</f>
        <v>T3</v>
      </c>
      <c r="N12" s="1380"/>
      <c r="O12" s="1380"/>
      <c r="P12" s="1380"/>
      <c r="Q12" s="1380" t="str">
        <f>IF(WEEKDAY(Q11)=1,"CN","T"&amp;WEEKDAY(Q11))</f>
        <v>T4</v>
      </c>
      <c r="R12" s="1381"/>
      <c r="S12" s="1381"/>
      <c r="T12" s="1381"/>
      <c r="U12" s="1380" t="str">
        <f>IF(WEEKDAY(U11)=1,"CN","T"&amp;WEEKDAY(U11))</f>
        <v>T5</v>
      </c>
      <c r="V12" s="1381"/>
      <c r="W12" s="1381"/>
      <c r="X12" s="1381"/>
      <c r="Y12" s="1380" t="str">
        <f>IF(WEEKDAY(Y11)=1,"CN","T"&amp;WEEKDAY(Y11))</f>
        <v>T6</v>
      </c>
      <c r="Z12" s="1381"/>
      <c r="AA12" s="1381"/>
      <c r="AB12" s="1381"/>
      <c r="AC12" s="1380" t="str">
        <f>IF(WEEKDAY(AC11)=1,"CN","T"&amp;WEEKDAY(AC11))</f>
        <v>T7</v>
      </c>
      <c r="AD12" s="1381"/>
      <c r="AE12" s="1381"/>
      <c r="AF12" s="1381"/>
      <c r="AG12" s="1380" t="str">
        <f>IF(WEEKDAY(AG11)=1,"CN","T"&amp;WEEKDAY(AG11))</f>
        <v>CN</v>
      </c>
      <c r="AH12" s="1381"/>
      <c r="AI12" s="1381"/>
      <c r="AJ12" s="1381"/>
      <c r="AK12" s="1380" t="str">
        <f>IF(WEEKDAY(AK11)=1,"CN","T"&amp;WEEKDAY(AK11))</f>
        <v>T2</v>
      </c>
      <c r="AL12" s="1381"/>
      <c r="AM12" s="1381"/>
      <c r="AN12" s="1381"/>
      <c r="AO12" s="1380" t="str">
        <f>IF(WEEKDAY(AO11)=1,"CN","T"&amp;WEEKDAY(AO11))</f>
        <v>T3</v>
      </c>
      <c r="AP12" s="1381"/>
      <c r="AQ12" s="1381"/>
      <c r="AR12" s="1381"/>
      <c r="AS12" s="1380" t="str">
        <f>IF(WEEKDAY(AS11)=1,"CN","T"&amp;WEEKDAY(AS11))</f>
        <v>T4</v>
      </c>
      <c r="AT12" s="1381"/>
      <c r="AU12" s="1381"/>
      <c r="AV12" s="1381"/>
      <c r="AW12" s="1380" t="str">
        <f>IF(WEEKDAY(AW11)=1,"CN","T"&amp;WEEKDAY(AW11))</f>
        <v>T5</v>
      </c>
      <c r="AX12" s="1381"/>
      <c r="AY12" s="1381"/>
      <c r="AZ12" s="1381"/>
      <c r="BA12" s="1380" t="str">
        <f>IF(WEEKDAY(BA11)=1,"CN","T"&amp;WEEKDAY(BA11))</f>
        <v>T6</v>
      </c>
      <c r="BB12" s="1381"/>
      <c r="BC12" s="1381"/>
      <c r="BD12" s="1381"/>
      <c r="BE12" s="1380" t="str">
        <f>IF(WEEKDAY(BE11)=1,"CN","T"&amp;WEEKDAY(BE11))</f>
        <v>T7</v>
      </c>
      <c r="BF12" s="1381"/>
      <c r="BG12" s="1381"/>
      <c r="BH12" s="1381"/>
      <c r="BI12" s="1380" t="str">
        <f>IF(WEEKDAY(BI11)=1,"CN","T"&amp;WEEKDAY(BI11))</f>
        <v>CN</v>
      </c>
      <c r="BJ12" s="1381"/>
      <c r="BK12" s="1381"/>
      <c r="BL12" s="1381"/>
      <c r="BM12" s="1380" t="str">
        <f>IF(WEEKDAY(BM11)=1,"CN","T"&amp;WEEKDAY(BM11))</f>
        <v>T2</v>
      </c>
      <c r="BN12" s="1381"/>
      <c r="BO12" s="1381"/>
      <c r="BP12" s="1381"/>
      <c r="BQ12" s="1380" t="str">
        <f>IF(WEEKDAY(BQ11)=1,"CN","T"&amp;WEEKDAY(BQ11))</f>
        <v>T3</v>
      </c>
      <c r="BR12" s="1381"/>
      <c r="BS12" s="1381"/>
      <c r="BT12" s="1381"/>
      <c r="BU12" s="1380" t="str">
        <f>IF(WEEKDAY(BU11)=1,"CN","T"&amp;WEEKDAY(BU11))</f>
        <v>T4</v>
      </c>
      <c r="BV12" s="1381"/>
      <c r="BW12" s="1381"/>
      <c r="BX12" s="1381"/>
      <c r="BY12" s="1380" t="str">
        <f>IF(WEEKDAY(BY11)=1,"CN","T"&amp;WEEKDAY(BY11))</f>
        <v>T5</v>
      </c>
      <c r="BZ12" s="1381"/>
      <c r="CA12" s="1381"/>
      <c r="CB12" s="1381"/>
      <c r="CC12" s="1380" t="str">
        <f>IF(WEEKDAY(CC11)=1,"CN","T"&amp;WEEKDAY(CC11))</f>
        <v>T6</v>
      </c>
      <c r="CD12" s="1381"/>
      <c r="CE12" s="1381"/>
      <c r="CF12" s="1381"/>
      <c r="CG12" s="1380" t="str">
        <f>IF(WEEKDAY(CG11)=1,"CN","T"&amp;WEEKDAY(CG11))</f>
        <v>T7</v>
      </c>
      <c r="CH12" s="1381"/>
      <c r="CI12" s="1381"/>
      <c r="CJ12" s="1381"/>
      <c r="CK12" s="1380" t="str">
        <f>IF(WEEKDAY(CK11)=1,"CN","T"&amp;WEEKDAY(CK11))</f>
        <v>CN</v>
      </c>
      <c r="CL12" s="1381"/>
      <c r="CM12" s="1381"/>
      <c r="CN12" s="1381"/>
      <c r="CO12" s="1380" t="str">
        <f>IF(WEEKDAY(CO11)=1,"CN","T"&amp;WEEKDAY(CO11))</f>
        <v>T2</v>
      </c>
      <c r="CP12" s="1381"/>
      <c r="CQ12" s="1381"/>
      <c r="CR12" s="1381"/>
      <c r="CS12" s="1380" t="str">
        <f>IF(WEEKDAY(CS11)=1,"CN","T"&amp;WEEKDAY(CS11))</f>
        <v>T3</v>
      </c>
      <c r="CT12" s="1381"/>
      <c r="CU12" s="1381"/>
      <c r="CV12" s="1381"/>
      <c r="CW12" s="1380" t="str">
        <f>IF(WEEKDAY(CW11)=1,"CN","T"&amp;WEEKDAY(CW11))</f>
        <v>T4</v>
      </c>
      <c r="CX12" s="1381"/>
      <c r="CY12" s="1381"/>
      <c r="CZ12" s="1381"/>
      <c r="DA12" s="1380" t="str">
        <f>IF(WEEKDAY(DA11)=1,"CN","T"&amp;WEEKDAY(DA11))</f>
        <v>T5</v>
      </c>
      <c r="DB12" s="1381"/>
      <c r="DC12" s="1381"/>
      <c r="DD12" s="1381"/>
      <c r="DE12" s="1380" t="str">
        <f>IF(WEEKDAY(DE11)=1,"CN","T"&amp;WEEKDAY(DE11))</f>
        <v>T6</v>
      </c>
      <c r="DF12" s="1381"/>
      <c r="DG12" s="1381"/>
      <c r="DH12" s="1381"/>
      <c r="DI12" s="1380" t="str">
        <f>IF(WEEKDAY(DI11)=1,"CN","T"&amp;WEEKDAY(DI11))</f>
        <v>T7</v>
      </c>
      <c r="DJ12" s="1381"/>
      <c r="DK12" s="1381"/>
      <c r="DL12" s="1381"/>
      <c r="DM12" s="1380" t="str">
        <f>IF(WEEKDAY(DM11)=1,"CN","T"&amp;WEEKDAY(DM11))</f>
        <v>CN</v>
      </c>
      <c r="DN12" s="1381"/>
      <c r="DO12" s="1381"/>
      <c r="DP12" s="1381"/>
      <c r="DQ12" s="1380" t="str">
        <f>IF(WEEKDAY(DQ11)=1,"CN","T"&amp;WEEKDAY(DQ11))</f>
        <v>T2</v>
      </c>
      <c r="DR12" s="1381"/>
      <c r="DS12" s="1381"/>
      <c r="DT12" s="1381"/>
      <c r="DU12" s="1380" t="str">
        <f>IF(WEEKDAY(DU11)=1,"CN","T"&amp;WEEKDAY(DU11))</f>
        <v>T3</v>
      </c>
      <c r="DV12" s="1381"/>
      <c r="DW12" s="1381"/>
      <c r="DX12" s="1381"/>
      <c r="DY12" s="1380" t="str">
        <f>IF(WEEKDAY(DY11)=1,"CN","T"&amp;WEEKDAY(DY11))</f>
        <v>T4</v>
      </c>
      <c r="DZ12" s="1381"/>
      <c r="EA12" s="1381"/>
      <c r="EB12" s="1381"/>
      <c r="EC12" s="1380" t="str">
        <f>IF(WEEKDAY(EC11)=1,"CN","T"&amp;WEEKDAY(EC11))</f>
        <v>T5</v>
      </c>
      <c r="ED12" s="1381"/>
      <c r="EE12" s="1381"/>
      <c r="EF12" s="1382"/>
    </row>
    <row r="13" spans="1:136" ht="89" customHeight="1" thickBot="1" x14ac:dyDescent="0.2">
      <c r="A13" s="1378" t="s">
        <v>214</v>
      </c>
      <c r="B13" s="1379"/>
      <c r="C13" s="1379"/>
      <c r="D13" s="84" t="s">
        <v>107</v>
      </c>
      <c r="E13" s="85" t="s">
        <v>141</v>
      </c>
      <c r="F13" s="86" t="s">
        <v>108</v>
      </c>
      <c r="G13" s="87" t="s">
        <v>109</v>
      </c>
      <c r="H13" s="830" t="s">
        <v>198</v>
      </c>
      <c r="I13" s="830" t="s">
        <v>74</v>
      </c>
      <c r="J13" s="830" t="s">
        <v>199</v>
      </c>
      <c r="K13" s="88" t="s">
        <v>74</v>
      </c>
      <c r="L13" s="88" t="s">
        <v>110</v>
      </c>
      <c r="M13" s="955" t="s">
        <v>213</v>
      </c>
      <c r="N13" s="956" t="s">
        <v>202</v>
      </c>
      <c r="O13" s="956" t="s">
        <v>29</v>
      </c>
      <c r="P13" s="957" t="s">
        <v>201</v>
      </c>
      <c r="Q13" s="952" t="s">
        <v>213</v>
      </c>
      <c r="R13" s="911" t="s">
        <v>202</v>
      </c>
      <c r="S13" s="912" t="s">
        <v>29</v>
      </c>
      <c r="T13" s="912" t="s">
        <v>201</v>
      </c>
      <c r="U13" s="961" t="s">
        <v>213</v>
      </c>
      <c r="V13" s="962" t="s">
        <v>202</v>
      </c>
      <c r="W13" s="934" t="s">
        <v>29</v>
      </c>
      <c r="X13" s="963" t="s">
        <v>201</v>
      </c>
      <c r="Y13" s="952" t="s">
        <v>213</v>
      </c>
      <c r="Z13" s="911" t="s">
        <v>202</v>
      </c>
      <c r="AA13" s="912" t="s">
        <v>29</v>
      </c>
      <c r="AB13" s="913" t="s">
        <v>201</v>
      </c>
      <c r="AC13" s="952" t="s">
        <v>213</v>
      </c>
      <c r="AD13" s="911" t="s">
        <v>202</v>
      </c>
      <c r="AE13" s="912" t="s">
        <v>29</v>
      </c>
      <c r="AF13" s="965" t="s">
        <v>201</v>
      </c>
      <c r="AG13" s="964" t="s">
        <v>213</v>
      </c>
      <c r="AH13" s="911" t="s">
        <v>202</v>
      </c>
      <c r="AI13" s="912" t="s">
        <v>29</v>
      </c>
      <c r="AJ13" s="913" t="s">
        <v>201</v>
      </c>
      <c r="AK13" s="952" t="s">
        <v>213</v>
      </c>
      <c r="AL13" s="911" t="s">
        <v>202</v>
      </c>
      <c r="AM13" s="912" t="s">
        <v>29</v>
      </c>
      <c r="AN13" s="913" t="s">
        <v>201</v>
      </c>
      <c r="AO13" s="952" t="s">
        <v>213</v>
      </c>
      <c r="AP13" s="911" t="s">
        <v>202</v>
      </c>
      <c r="AQ13" s="912" t="s">
        <v>29</v>
      </c>
      <c r="AR13" s="913" t="s">
        <v>201</v>
      </c>
      <c r="AS13" s="952" t="s">
        <v>213</v>
      </c>
      <c r="AT13" s="911" t="s">
        <v>202</v>
      </c>
      <c r="AU13" s="912" t="s">
        <v>29</v>
      </c>
      <c r="AV13" s="913" t="s">
        <v>201</v>
      </c>
      <c r="AW13" s="952" t="s">
        <v>213</v>
      </c>
      <c r="AX13" s="911" t="s">
        <v>202</v>
      </c>
      <c r="AY13" s="912" t="s">
        <v>29</v>
      </c>
      <c r="AZ13" s="913" t="s">
        <v>201</v>
      </c>
      <c r="BA13" s="952" t="s">
        <v>213</v>
      </c>
      <c r="BB13" s="911" t="s">
        <v>202</v>
      </c>
      <c r="BC13" s="912" t="s">
        <v>29</v>
      </c>
      <c r="BD13" s="913" t="s">
        <v>201</v>
      </c>
      <c r="BE13" s="952" t="s">
        <v>213</v>
      </c>
      <c r="BF13" s="911" t="s">
        <v>202</v>
      </c>
      <c r="BG13" s="912" t="s">
        <v>29</v>
      </c>
      <c r="BH13" s="913" t="s">
        <v>201</v>
      </c>
      <c r="BI13" s="952" t="s">
        <v>213</v>
      </c>
      <c r="BJ13" s="911" t="s">
        <v>202</v>
      </c>
      <c r="BK13" s="912" t="s">
        <v>29</v>
      </c>
      <c r="BL13" s="913" t="s">
        <v>201</v>
      </c>
      <c r="BM13" s="952" t="s">
        <v>213</v>
      </c>
      <c r="BN13" s="911" t="s">
        <v>202</v>
      </c>
      <c r="BO13" s="912" t="s">
        <v>29</v>
      </c>
      <c r="BP13" s="913" t="s">
        <v>201</v>
      </c>
      <c r="BQ13" s="952" t="s">
        <v>213</v>
      </c>
      <c r="BR13" s="911" t="s">
        <v>202</v>
      </c>
      <c r="BS13" s="912" t="s">
        <v>29</v>
      </c>
      <c r="BT13" s="913" t="s">
        <v>201</v>
      </c>
      <c r="BU13" s="952" t="s">
        <v>213</v>
      </c>
      <c r="BV13" s="911" t="s">
        <v>202</v>
      </c>
      <c r="BW13" s="912" t="s">
        <v>29</v>
      </c>
      <c r="BX13" s="913" t="s">
        <v>201</v>
      </c>
      <c r="BY13" s="952" t="s">
        <v>213</v>
      </c>
      <c r="BZ13" s="911" t="s">
        <v>202</v>
      </c>
      <c r="CA13" s="912" t="s">
        <v>29</v>
      </c>
      <c r="CB13" s="913" t="s">
        <v>201</v>
      </c>
      <c r="CC13" s="952" t="s">
        <v>213</v>
      </c>
      <c r="CD13" s="911" t="s">
        <v>202</v>
      </c>
      <c r="CE13" s="912" t="s">
        <v>29</v>
      </c>
      <c r="CF13" s="913" t="s">
        <v>201</v>
      </c>
      <c r="CG13" s="952" t="s">
        <v>213</v>
      </c>
      <c r="CH13" s="911" t="s">
        <v>202</v>
      </c>
      <c r="CI13" s="912" t="s">
        <v>29</v>
      </c>
      <c r="CJ13" s="913" t="s">
        <v>201</v>
      </c>
      <c r="CK13" s="952" t="s">
        <v>213</v>
      </c>
      <c r="CL13" s="911" t="s">
        <v>202</v>
      </c>
      <c r="CM13" s="912" t="s">
        <v>29</v>
      </c>
      <c r="CN13" s="913" t="s">
        <v>201</v>
      </c>
      <c r="CO13" s="952" t="s">
        <v>213</v>
      </c>
      <c r="CP13" s="911" t="s">
        <v>202</v>
      </c>
      <c r="CQ13" s="912" t="s">
        <v>29</v>
      </c>
      <c r="CR13" s="913" t="s">
        <v>201</v>
      </c>
      <c r="CS13" s="952" t="s">
        <v>213</v>
      </c>
      <c r="CT13" s="911" t="s">
        <v>202</v>
      </c>
      <c r="CU13" s="912" t="s">
        <v>29</v>
      </c>
      <c r="CV13" s="913" t="s">
        <v>201</v>
      </c>
      <c r="CW13" s="952" t="s">
        <v>213</v>
      </c>
      <c r="CX13" s="911" t="s">
        <v>202</v>
      </c>
      <c r="CY13" s="912" t="s">
        <v>29</v>
      </c>
      <c r="CZ13" s="913" t="s">
        <v>201</v>
      </c>
      <c r="DA13" s="952" t="s">
        <v>213</v>
      </c>
      <c r="DB13" s="911" t="s">
        <v>202</v>
      </c>
      <c r="DC13" s="912" t="s">
        <v>29</v>
      </c>
      <c r="DD13" s="913" t="s">
        <v>201</v>
      </c>
      <c r="DE13" s="952" t="s">
        <v>213</v>
      </c>
      <c r="DF13" s="911" t="s">
        <v>202</v>
      </c>
      <c r="DG13" s="912" t="s">
        <v>29</v>
      </c>
      <c r="DH13" s="913" t="s">
        <v>201</v>
      </c>
      <c r="DI13" s="952" t="s">
        <v>213</v>
      </c>
      <c r="DJ13" s="911" t="s">
        <v>202</v>
      </c>
      <c r="DK13" s="912" t="s">
        <v>29</v>
      </c>
      <c r="DL13" s="913" t="s">
        <v>201</v>
      </c>
      <c r="DM13" s="952" t="s">
        <v>213</v>
      </c>
      <c r="DN13" s="911" t="s">
        <v>202</v>
      </c>
      <c r="DO13" s="912" t="s">
        <v>29</v>
      </c>
      <c r="DP13" s="913" t="s">
        <v>201</v>
      </c>
      <c r="DQ13" s="952" t="s">
        <v>213</v>
      </c>
      <c r="DR13" s="911" t="s">
        <v>202</v>
      </c>
      <c r="DS13" s="912" t="s">
        <v>29</v>
      </c>
      <c r="DT13" s="913" t="s">
        <v>201</v>
      </c>
      <c r="DU13" s="952" t="s">
        <v>213</v>
      </c>
      <c r="DV13" s="911" t="s">
        <v>202</v>
      </c>
      <c r="DW13" s="912" t="s">
        <v>29</v>
      </c>
      <c r="DX13" s="913" t="s">
        <v>201</v>
      </c>
      <c r="DY13" s="952" t="s">
        <v>213</v>
      </c>
      <c r="DZ13" s="911" t="s">
        <v>202</v>
      </c>
      <c r="EA13" s="912" t="s">
        <v>29</v>
      </c>
      <c r="EB13" s="913" t="s">
        <v>201</v>
      </c>
      <c r="EC13" s="952" t="s">
        <v>213</v>
      </c>
      <c r="ED13" s="911" t="s">
        <v>202</v>
      </c>
      <c r="EE13" s="912" t="s">
        <v>29</v>
      </c>
      <c r="EF13" s="1177" t="s">
        <v>201</v>
      </c>
    </row>
    <row r="14" spans="1:136" s="814" customFormat="1" ht="20" customHeight="1" x14ac:dyDescent="0.15">
      <c r="A14" s="9"/>
      <c r="B14" s="9"/>
      <c r="C14" s="813" t="str">
        <f>Dashboard!K90</f>
        <v>P2</v>
      </c>
      <c r="D14" s="1091">
        <f>Dashboard!M90</f>
        <v>0.34999999999999992</v>
      </c>
      <c r="E14" s="834"/>
      <c r="F14" s="834"/>
      <c r="G14" s="834"/>
      <c r="H14" s="909"/>
      <c r="I14" s="909"/>
      <c r="J14" s="909"/>
      <c r="K14" s="910"/>
      <c r="L14" s="816"/>
      <c r="M14" s="892"/>
      <c r="N14" s="930"/>
      <c r="O14" s="873"/>
      <c r="P14" s="873"/>
      <c r="Q14" s="892"/>
      <c r="R14" s="930"/>
      <c r="S14" s="873"/>
      <c r="T14" s="873"/>
      <c r="U14" s="892"/>
      <c r="V14" s="930"/>
      <c r="W14" s="873"/>
      <c r="X14" s="873"/>
      <c r="Y14" s="892"/>
      <c r="Z14" s="930"/>
      <c r="AA14" s="873"/>
      <c r="AB14" s="873"/>
      <c r="AC14" s="892"/>
      <c r="AD14" s="930"/>
      <c r="AE14" s="873"/>
      <c r="AF14" s="873"/>
      <c r="AG14" s="892"/>
      <c r="AH14" s="930"/>
      <c r="AI14" s="873"/>
      <c r="AJ14" s="873"/>
      <c r="AK14" s="892"/>
      <c r="AL14" s="930"/>
      <c r="AM14" s="873"/>
      <c r="AN14" s="873"/>
      <c r="AO14" s="892"/>
      <c r="AP14" s="930"/>
      <c r="AQ14" s="873"/>
      <c r="AR14" s="873"/>
      <c r="AS14" s="892"/>
      <c r="AT14" s="930"/>
      <c r="AU14" s="873"/>
      <c r="AV14" s="873"/>
      <c r="AW14" s="892"/>
      <c r="AX14" s="930"/>
      <c r="AY14" s="873"/>
      <c r="AZ14" s="873"/>
      <c r="BA14" s="892"/>
      <c r="BB14" s="930"/>
      <c r="BC14" s="873"/>
      <c r="BD14" s="873"/>
      <c r="BE14" s="892"/>
      <c r="BF14" s="930"/>
      <c r="BG14" s="873"/>
      <c r="BH14" s="873"/>
      <c r="BI14" s="892"/>
      <c r="BJ14" s="930"/>
      <c r="BK14" s="873"/>
      <c r="BL14" s="873"/>
      <c r="BM14" s="892"/>
      <c r="BN14" s="930"/>
      <c r="BO14" s="873"/>
      <c r="BP14" s="873"/>
      <c r="BQ14" s="892"/>
      <c r="BR14" s="930"/>
      <c r="BS14" s="873"/>
      <c r="BT14" s="873"/>
      <c r="BU14" s="892"/>
      <c r="BV14" s="930"/>
      <c r="BW14" s="873"/>
      <c r="BX14" s="873"/>
      <c r="BY14" s="892"/>
      <c r="BZ14" s="930"/>
      <c r="CA14" s="873"/>
      <c r="CB14" s="873"/>
      <c r="CC14" s="892"/>
      <c r="CD14" s="930"/>
      <c r="CE14" s="873"/>
      <c r="CF14" s="873"/>
      <c r="CG14" s="892"/>
      <c r="CH14" s="930"/>
      <c r="CI14" s="873"/>
      <c r="CJ14" s="873"/>
      <c r="CK14" s="892"/>
      <c r="CL14" s="930"/>
      <c r="CM14" s="873"/>
      <c r="CN14" s="873"/>
      <c r="CO14" s="892"/>
      <c r="CP14" s="930"/>
      <c r="CQ14" s="873"/>
      <c r="CR14" s="873"/>
      <c r="CS14" s="892"/>
      <c r="CT14" s="930"/>
      <c r="CU14" s="873"/>
      <c r="CV14" s="873"/>
      <c r="CW14" s="892"/>
      <c r="CX14" s="930"/>
      <c r="CY14" s="873"/>
      <c r="CZ14" s="873"/>
      <c r="DA14" s="892"/>
      <c r="DB14" s="930"/>
      <c r="DC14" s="873"/>
      <c r="DD14" s="873"/>
      <c r="DE14" s="892"/>
      <c r="DF14" s="930"/>
      <c r="DG14" s="873"/>
      <c r="DH14" s="873"/>
      <c r="DI14" s="892"/>
      <c r="DJ14" s="930"/>
      <c r="DK14" s="873"/>
      <c r="DL14" s="873"/>
      <c r="DM14" s="892"/>
      <c r="DN14" s="930"/>
      <c r="DO14" s="873"/>
      <c r="DP14" s="873"/>
      <c r="DQ14" s="892"/>
      <c r="DR14" s="930"/>
      <c r="DS14" s="873"/>
      <c r="DT14" s="873"/>
      <c r="DU14" s="892"/>
      <c r="DV14" s="930"/>
      <c r="DW14" s="873"/>
      <c r="DX14" s="873"/>
      <c r="DY14" s="892"/>
      <c r="DZ14" s="930"/>
      <c r="EA14" s="873"/>
      <c r="EB14" s="873"/>
      <c r="EC14" s="892"/>
      <c r="ED14" s="930"/>
      <c r="EE14" s="873"/>
      <c r="EF14" s="873"/>
    </row>
    <row r="15" spans="1:136" s="916" customFormat="1" ht="20" customHeight="1" x14ac:dyDescent="0.15">
      <c r="A15" s="870">
        <f>_xlfn.IFS(B15=0,0,E15&gt;B15,1,E15&lt;=B15,E15/B15)</f>
        <v>0</v>
      </c>
      <c r="B15" s="833"/>
      <c r="C15" s="832" t="str">
        <f>Dashboard!K91</f>
        <v>CALL</v>
      </c>
      <c r="D15" s="185">
        <f>Dashboard!M91</f>
        <v>427.91336664584628</v>
      </c>
      <c r="E15" s="1083">
        <f>SUMIF($M$13:$EF$13,$M$13,$M15:$EF15)</f>
        <v>681</v>
      </c>
      <c r="F15" s="185">
        <f>E15-D15</f>
        <v>253.08663335415372</v>
      </c>
      <c r="G15" s="789">
        <f>_xlfn.IFS(F15&gt;0,1,F15&lt;=0,E15/D15)</f>
        <v>1</v>
      </c>
      <c r="H15" s="814"/>
      <c r="I15" s="94"/>
      <c r="J15" s="814"/>
      <c r="K15" s="185">
        <f>D15/$B$9</f>
        <v>15.014504092836711</v>
      </c>
      <c r="L15" s="882">
        <f ca="1">SUMIFS($M15:$EF15,$M$11:$EF$11,TODAY()-1,$M$13:$EF$13,$M$13)</f>
        <v>0</v>
      </c>
      <c r="M15" s="897">
        <f>M26+M32</f>
        <v>21</v>
      </c>
      <c r="N15" s="931">
        <f>N26+N32</f>
        <v>12</v>
      </c>
      <c r="O15" s="857">
        <f>_xlfn.IFS(M15=0,0,N15&lt;=M15,N15/M15,N15&gt;M15,1)</f>
        <v>0.5714285714285714</v>
      </c>
      <c r="P15" s="889">
        <f>P26+P32</f>
        <v>1050000</v>
      </c>
      <c r="Q15" s="897">
        <f>Q26+Q32</f>
        <v>22</v>
      </c>
      <c r="R15" s="931">
        <f>R26+R32</f>
        <v>15</v>
      </c>
      <c r="S15" s="857">
        <f>_xlfn.IFS(Q15=0,0,R15&lt;=Q15,R15/Q15,R15&gt;Q15,1)</f>
        <v>0.68181818181818177</v>
      </c>
      <c r="T15" s="889">
        <f>T26+T32</f>
        <v>1050000</v>
      </c>
      <c r="U15" s="897">
        <f>U26+U32</f>
        <v>22</v>
      </c>
      <c r="V15" s="931">
        <f>V26+V32</f>
        <v>15</v>
      </c>
      <c r="W15" s="857">
        <f>_xlfn.IFS(U15=0,0,V15&lt;=U15,V15/U15,V15&gt;U15,1)</f>
        <v>0.68181818181818177</v>
      </c>
      <c r="X15" s="889">
        <f>X26+X32</f>
        <v>1050000</v>
      </c>
      <c r="Y15" s="897">
        <f>Y26+Y32</f>
        <v>22</v>
      </c>
      <c r="Z15" s="931">
        <f>Z26+Z32</f>
        <v>15</v>
      </c>
      <c r="AA15" s="857">
        <f>_xlfn.IFS(Y15=0,0,Z15&lt;=Y15,Z15/Y15,Z15&gt;Y15,1)</f>
        <v>0.68181818181818177</v>
      </c>
      <c r="AB15" s="889">
        <f>AB26+AB32</f>
        <v>1050000</v>
      </c>
      <c r="AC15" s="897">
        <f>AC26+AC32</f>
        <v>22</v>
      </c>
      <c r="AD15" s="931">
        <f>AD26+AD32</f>
        <v>15</v>
      </c>
      <c r="AE15" s="857">
        <f>_xlfn.IFS(AC15=0,0,AD15&lt;=AC15,AD15/AC15,AD15&gt;AC15,1)</f>
        <v>0.68181818181818177</v>
      </c>
      <c r="AF15" s="889">
        <f>AF26+AF32</f>
        <v>1050000</v>
      </c>
      <c r="AG15" s="897">
        <f>AG26+AG32</f>
        <v>22</v>
      </c>
      <c r="AH15" s="931">
        <f>AH26+AH32</f>
        <v>15</v>
      </c>
      <c r="AI15" s="857">
        <f>_xlfn.IFS(AG15=0,0,AH15&lt;=AG15,AH15/AG15,AH15&gt;AG15,1)</f>
        <v>0.68181818181818177</v>
      </c>
      <c r="AJ15" s="889">
        <f>AJ26+AJ32</f>
        <v>1050000</v>
      </c>
      <c r="AK15" s="897">
        <f>AK26+AK32</f>
        <v>22</v>
      </c>
      <c r="AL15" s="931">
        <f>AL26+AL32</f>
        <v>15</v>
      </c>
      <c r="AM15" s="857">
        <f>_xlfn.IFS(AK15=0,0,AL15&lt;=AK15,AL15/AK15,AL15&gt;AK15,1)</f>
        <v>0.68181818181818177</v>
      </c>
      <c r="AN15" s="889">
        <f>AN26+AN32</f>
        <v>1050000</v>
      </c>
      <c r="AO15" s="897">
        <f>AO26+AO32</f>
        <v>22</v>
      </c>
      <c r="AP15" s="931">
        <f>AP26+AP32</f>
        <v>15</v>
      </c>
      <c r="AQ15" s="857">
        <f>_xlfn.IFS(AO15=0,0,AP15&lt;=AO15,AP15/AO15,AP15&gt;AO15,1)</f>
        <v>0.68181818181818177</v>
      </c>
      <c r="AR15" s="889">
        <f>AR26+AR32</f>
        <v>1050000</v>
      </c>
      <c r="AS15" s="897">
        <f>AS26+AS32</f>
        <v>22</v>
      </c>
      <c r="AT15" s="931">
        <f>AT26+AT32</f>
        <v>15</v>
      </c>
      <c r="AU15" s="857">
        <f>_xlfn.IFS(AS15=0,0,AT15&lt;=AS15,AT15/AS15,AT15&gt;AS15,1)</f>
        <v>0.68181818181818177</v>
      </c>
      <c r="AV15" s="889">
        <f>AV26+AV32</f>
        <v>1050000</v>
      </c>
      <c r="AW15" s="897">
        <f>AW26+AW32</f>
        <v>22</v>
      </c>
      <c r="AX15" s="931">
        <f>AX26+AX32</f>
        <v>15</v>
      </c>
      <c r="AY15" s="857">
        <f>_xlfn.IFS(AW15=0,0,AX15&lt;=AW15,AX15/AW15,AX15&gt;AW15,1)</f>
        <v>0.68181818181818177</v>
      </c>
      <c r="AZ15" s="889">
        <f>AZ26+AZ32</f>
        <v>1050000</v>
      </c>
      <c r="BA15" s="897">
        <f>BA26+BA32</f>
        <v>22</v>
      </c>
      <c r="BB15" s="931">
        <f>BB26+BB32</f>
        <v>15</v>
      </c>
      <c r="BC15" s="857">
        <f>_xlfn.IFS(BA15=0,0,BB15&lt;=BA15,BB15/BA15,BB15&gt;BA15,1)</f>
        <v>0.68181818181818177</v>
      </c>
      <c r="BD15" s="889">
        <f>BD26+BD32</f>
        <v>1050000</v>
      </c>
      <c r="BE15" s="897">
        <f>BE26+BE32</f>
        <v>22</v>
      </c>
      <c r="BF15" s="931">
        <f>BF26+BF32</f>
        <v>15</v>
      </c>
      <c r="BG15" s="857">
        <f>_xlfn.IFS(BE15=0,0,BF15&lt;=BE15,BF15/BE15,BF15&gt;BE15,1)</f>
        <v>0.68181818181818177</v>
      </c>
      <c r="BH15" s="889">
        <f>BH26+BH32</f>
        <v>1050000</v>
      </c>
      <c r="BI15" s="897">
        <f>BI26+BI32</f>
        <v>22</v>
      </c>
      <c r="BJ15" s="931">
        <f>BJ26+BJ32</f>
        <v>15</v>
      </c>
      <c r="BK15" s="857">
        <f>_xlfn.IFS(BI15=0,0,BJ15&lt;=BI15,BJ15/BI15,BJ15&gt;BI15,1)</f>
        <v>0.68181818181818177</v>
      </c>
      <c r="BL15" s="889">
        <f>BL26+BL32</f>
        <v>1050000</v>
      </c>
      <c r="BM15" s="897">
        <f>BM26+BM32</f>
        <v>22</v>
      </c>
      <c r="BN15" s="931">
        <f>BN26+BN32</f>
        <v>15</v>
      </c>
      <c r="BO15" s="857">
        <f>_xlfn.IFS(BM15=0,0,BN15&lt;=BM15,BN15/BM15,BN15&gt;BM15,1)</f>
        <v>0.68181818181818177</v>
      </c>
      <c r="BP15" s="889">
        <f>BP26+BP32</f>
        <v>1050000</v>
      </c>
      <c r="BQ15" s="897">
        <f>BQ26+BQ32</f>
        <v>22</v>
      </c>
      <c r="BR15" s="931">
        <f>BR26+BR32</f>
        <v>15</v>
      </c>
      <c r="BS15" s="857">
        <f>_xlfn.IFS(BQ15=0,0,BR15&lt;=BQ15,BR15/BQ15,BR15&gt;BQ15,1)</f>
        <v>0.68181818181818177</v>
      </c>
      <c r="BT15" s="889">
        <f>BT26+BT32</f>
        <v>1050000</v>
      </c>
      <c r="BU15" s="897">
        <f>BU26+BU32</f>
        <v>22</v>
      </c>
      <c r="BV15" s="931">
        <f>BV26+BV32</f>
        <v>15</v>
      </c>
      <c r="BW15" s="857">
        <f>_xlfn.IFS(BU15=0,0,BV15&lt;=BU15,BV15/BU15,BV15&gt;BU15,1)</f>
        <v>0.68181818181818177</v>
      </c>
      <c r="BX15" s="889">
        <f>BX26+BX32</f>
        <v>1050000</v>
      </c>
      <c r="BY15" s="897">
        <f>BY26+BY32</f>
        <v>22</v>
      </c>
      <c r="BZ15" s="931">
        <f>BZ26+BZ32</f>
        <v>15</v>
      </c>
      <c r="CA15" s="857">
        <f>_xlfn.IFS(BY15=0,0,BZ15&lt;=BY15,BZ15/BY15,BZ15&gt;BY15,1)</f>
        <v>0.68181818181818177</v>
      </c>
      <c r="CB15" s="889">
        <f>CB26+CB32</f>
        <v>1050000</v>
      </c>
      <c r="CC15" s="897">
        <f>CC26+CC32</f>
        <v>22</v>
      </c>
      <c r="CD15" s="931">
        <f>CD26+CD32</f>
        <v>15</v>
      </c>
      <c r="CE15" s="857">
        <f>_xlfn.IFS(CC15=0,0,CD15&lt;=CC15,CD15/CC15,CD15&gt;CC15,1)</f>
        <v>0.68181818181818177</v>
      </c>
      <c r="CF15" s="889">
        <f>CF26+CF32</f>
        <v>1050000</v>
      </c>
      <c r="CG15" s="897">
        <f>CG26+CG32</f>
        <v>22</v>
      </c>
      <c r="CH15" s="931">
        <f>CH26+CH32</f>
        <v>15</v>
      </c>
      <c r="CI15" s="857">
        <f>_xlfn.IFS(CG15=0,0,CH15&lt;=CG15,CH15/CG15,CH15&gt;CG15,1)</f>
        <v>0.68181818181818177</v>
      </c>
      <c r="CJ15" s="889">
        <f>CJ26+CJ32</f>
        <v>1050000</v>
      </c>
      <c r="CK15" s="897">
        <f>CK26+CK32</f>
        <v>22</v>
      </c>
      <c r="CL15" s="931">
        <f>CL26+CL32</f>
        <v>15</v>
      </c>
      <c r="CM15" s="857">
        <f>_xlfn.IFS(CK15=0,0,CL15&lt;=CK15,CL15/CK15,CL15&gt;CK15,1)</f>
        <v>0.68181818181818177</v>
      </c>
      <c r="CN15" s="889">
        <f>CN26+CN32</f>
        <v>1050000</v>
      </c>
      <c r="CO15" s="897">
        <f>CO26+CO32</f>
        <v>22</v>
      </c>
      <c r="CP15" s="931">
        <f>CP26+CP32</f>
        <v>15</v>
      </c>
      <c r="CQ15" s="857">
        <f>_xlfn.IFS(CO15=0,0,CP15&lt;=CO15,CP15/CO15,CP15&gt;CO15,1)</f>
        <v>0.68181818181818177</v>
      </c>
      <c r="CR15" s="889">
        <f>CR26+CR32</f>
        <v>1050000</v>
      </c>
      <c r="CS15" s="897">
        <f>CS26+CS32</f>
        <v>22</v>
      </c>
      <c r="CT15" s="931">
        <f>CT26+CT32</f>
        <v>15</v>
      </c>
      <c r="CU15" s="857">
        <f>_xlfn.IFS(CS15=0,0,CT15&lt;=CS15,CT15/CS15,CT15&gt;CS15,1)</f>
        <v>0.68181818181818177</v>
      </c>
      <c r="CV15" s="889">
        <f>CV26+CV32</f>
        <v>1050000</v>
      </c>
      <c r="CW15" s="897">
        <f>CW26+CW32</f>
        <v>22</v>
      </c>
      <c r="CX15" s="931">
        <f>CX26+CX32</f>
        <v>15</v>
      </c>
      <c r="CY15" s="857">
        <f>_xlfn.IFS(CW15=0,0,CX15&lt;=CW15,CX15/CW15,CX15&gt;CW15,1)</f>
        <v>0.68181818181818177</v>
      </c>
      <c r="CZ15" s="889">
        <f>CZ26+CZ32</f>
        <v>1050000</v>
      </c>
      <c r="DA15" s="897">
        <f>DA26+DA32</f>
        <v>22</v>
      </c>
      <c r="DB15" s="931">
        <f>DB26+DB32</f>
        <v>15</v>
      </c>
      <c r="DC15" s="857">
        <f>_xlfn.IFS(DA15=0,0,DB15&lt;=DA15,DB15/DA15,DB15&gt;DA15,1)</f>
        <v>0.68181818181818177</v>
      </c>
      <c r="DD15" s="889">
        <f>DD26+DD32</f>
        <v>1050000</v>
      </c>
      <c r="DE15" s="897">
        <f>DE26+DE32</f>
        <v>22</v>
      </c>
      <c r="DF15" s="931">
        <f>DF26+DF32</f>
        <v>15</v>
      </c>
      <c r="DG15" s="857">
        <f>_xlfn.IFS(DE15=0,0,DF15&lt;=DE15,DF15/DE15,DF15&gt;DE15,1)</f>
        <v>0.68181818181818177</v>
      </c>
      <c r="DH15" s="889">
        <f>DH26+DH32</f>
        <v>1050000</v>
      </c>
      <c r="DI15" s="897">
        <f>DI26+DI32</f>
        <v>22</v>
      </c>
      <c r="DJ15" s="931">
        <f>DJ26+DJ32</f>
        <v>15</v>
      </c>
      <c r="DK15" s="857">
        <f>_xlfn.IFS(DI15=0,0,DJ15&lt;=DI15,DJ15/DI15,DJ15&gt;DI15,1)</f>
        <v>0.68181818181818177</v>
      </c>
      <c r="DL15" s="889">
        <f>DL26+DL32</f>
        <v>1050000</v>
      </c>
      <c r="DM15" s="897">
        <f>DM26+DM32</f>
        <v>22</v>
      </c>
      <c r="DN15" s="931">
        <f>DN26+DN32</f>
        <v>15</v>
      </c>
      <c r="DO15" s="857">
        <f>_xlfn.IFS(DM15=0,0,DN15&lt;=DM15,DN15/DM15,DN15&gt;DM15,1)</f>
        <v>0.68181818181818177</v>
      </c>
      <c r="DP15" s="889">
        <f>DP26+DP32</f>
        <v>1050000</v>
      </c>
      <c r="DQ15" s="897">
        <f>DQ26+DQ32</f>
        <v>22</v>
      </c>
      <c r="DR15" s="931">
        <f>DR26+DR32</f>
        <v>15</v>
      </c>
      <c r="DS15" s="857">
        <f>_xlfn.IFS(DQ15=0,0,DR15&lt;=DQ15,DR15/DQ15,DR15&gt;DQ15,1)</f>
        <v>0.68181818181818177</v>
      </c>
      <c r="DT15" s="889">
        <f>DT26+DT32</f>
        <v>1050000</v>
      </c>
      <c r="DU15" s="897">
        <f>DU26+DU32</f>
        <v>22</v>
      </c>
      <c r="DV15" s="931">
        <f>DV26+DV32</f>
        <v>15</v>
      </c>
      <c r="DW15" s="857">
        <f>_xlfn.IFS(DU15=0,0,DV15&lt;=DU15,DV15/DU15,DV15&gt;DU15,1)</f>
        <v>0.68181818181818177</v>
      </c>
      <c r="DX15" s="889">
        <f>DX26+DX32</f>
        <v>1050000</v>
      </c>
      <c r="DY15" s="897">
        <f>DY26+DY32</f>
        <v>22</v>
      </c>
      <c r="DZ15" s="931">
        <f>DZ26+DZ32</f>
        <v>15</v>
      </c>
      <c r="EA15" s="857">
        <f>_xlfn.IFS(DY15=0,0,DZ15&lt;=DY15,DZ15/DY15,DZ15&gt;DY15,1)</f>
        <v>0.68181818181818177</v>
      </c>
      <c r="EB15" s="889">
        <f>EB26+EB32</f>
        <v>1050000</v>
      </c>
      <c r="EC15" s="897">
        <f>EC26+EC32</f>
        <v>22</v>
      </c>
      <c r="ED15" s="931">
        <f>ED26+ED32</f>
        <v>15</v>
      </c>
      <c r="EE15" s="857">
        <f>_xlfn.IFS(EC15=0,0,ED15&lt;=EC15,ED15/EC15,ED15&gt;EC15,1)</f>
        <v>0.68181818181818177</v>
      </c>
      <c r="EF15" s="889">
        <f>EF26+EF32</f>
        <v>1050000</v>
      </c>
    </row>
    <row r="16" spans="1:136" s="916" customFormat="1" ht="20" customHeight="1" x14ac:dyDescent="0.15">
      <c r="A16" s="870">
        <f>_xlfn.IFS(B16=0,0,E16&gt;B16,1,E16&lt;=B16,E16/B16)</f>
        <v>0</v>
      </c>
      <c r="B16" s="833"/>
      <c r="C16" s="832" t="str">
        <f>Dashboard!K92</f>
        <v>SMS</v>
      </c>
      <c r="D16" s="185">
        <f>Dashboard!M92</f>
        <v>109.55</v>
      </c>
      <c r="E16" s="1083">
        <f>SUMIF($M$13:$EF$13,$M$13,$M16:$EF16)</f>
        <v>747</v>
      </c>
      <c r="F16" s="185">
        <f>E16-D16</f>
        <v>637.45000000000005</v>
      </c>
      <c r="G16" s="789">
        <f>_xlfn.IFS(F16&gt;0,1,F16&lt;=0,E16/D16)</f>
        <v>1</v>
      </c>
      <c r="H16" s="814"/>
      <c r="I16" s="951"/>
      <c r="J16" s="814"/>
      <c r="K16" s="185">
        <f>D16/$B$9</f>
        <v>3.8438596491228068</v>
      </c>
      <c r="L16" s="882">
        <f ca="1">SUMIFS($M16:$EF16,$M$11:$EF$11,TODAY()-1,$M$13:$EF$13,$M$13)</f>
        <v>0</v>
      </c>
      <c r="M16" s="897">
        <f>M20+M35+M36+M39</f>
        <v>27</v>
      </c>
      <c r="N16" s="931">
        <f>N20+N35+N36+N39</f>
        <v>18</v>
      </c>
      <c r="O16" s="857">
        <f>_xlfn.IFS(M16=0,0,N16&lt;=M16,N16/M16,N16&gt;M16,1)</f>
        <v>0.66666666666666663</v>
      </c>
      <c r="P16" s="889">
        <f>P20+P35+P36+P39</f>
        <v>2150000</v>
      </c>
      <c r="Q16" s="897">
        <f>Q20+Q35+Q36+Q39</f>
        <v>24</v>
      </c>
      <c r="R16" s="931">
        <f>R20+R35+R36+R39</f>
        <v>20</v>
      </c>
      <c r="S16" s="857">
        <f>_xlfn.IFS(Q16=0,0,R16&lt;=Q16,R16/Q16,R16&gt;Q16,1)</f>
        <v>0.83333333333333337</v>
      </c>
      <c r="T16" s="889">
        <f>T20+T35+T36+T39</f>
        <v>2150000</v>
      </c>
      <c r="U16" s="897">
        <f>U20+U35+U36+U39</f>
        <v>24</v>
      </c>
      <c r="V16" s="931">
        <f>V20+V35+V36+V39</f>
        <v>20</v>
      </c>
      <c r="W16" s="857">
        <f>_xlfn.IFS(U16=0,0,V16&lt;=U16,V16/U16,V16&gt;U16,1)</f>
        <v>0.83333333333333337</v>
      </c>
      <c r="X16" s="889">
        <f>X20+X35+X36+X39</f>
        <v>2150000</v>
      </c>
      <c r="Y16" s="897">
        <f>Y20+Y35+Y36+Y39</f>
        <v>24</v>
      </c>
      <c r="Z16" s="931">
        <f>Z20+Z35+Z36+Z39</f>
        <v>20</v>
      </c>
      <c r="AA16" s="857">
        <f>_xlfn.IFS(Y16=0,0,Z16&lt;=Y16,Z16/Y16,Z16&gt;Y16,1)</f>
        <v>0.83333333333333337</v>
      </c>
      <c r="AB16" s="889">
        <f>AB20+AB35+AB36+AB39</f>
        <v>2150000</v>
      </c>
      <c r="AC16" s="897">
        <f>AC20+AC35+AC36+AC39</f>
        <v>24</v>
      </c>
      <c r="AD16" s="931">
        <f>AD20+AD35+AD36+AD39</f>
        <v>20</v>
      </c>
      <c r="AE16" s="857">
        <f>_xlfn.IFS(AC16=0,0,AD16&lt;=AC16,AD16/AC16,AD16&gt;AC16,1)</f>
        <v>0.83333333333333337</v>
      </c>
      <c r="AF16" s="889">
        <f>AF20+AF35+AF36+AF39</f>
        <v>2150000</v>
      </c>
      <c r="AG16" s="897">
        <f>AG20+AG35+AG36+AG39</f>
        <v>24</v>
      </c>
      <c r="AH16" s="931">
        <f>AH20+AH35+AH36+AH39</f>
        <v>20</v>
      </c>
      <c r="AI16" s="857">
        <f>_xlfn.IFS(AG16=0,0,AH16&lt;=AG16,AH16/AG16,AH16&gt;AG16,1)</f>
        <v>0.83333333333333337</v>
      </c>
      <c r="AJ16" s="889">
        <f>AJ20+AJ35+AJ36+AJ39</f>
        <v>2150000</v>
      </c>
      <c r="AK16" s="897">
        <f>AK20+AK35+AK36+AK39</f>
        <v>24</v>
      </c>
      <c r="AL16" s="931">
        <f>AL20+AL35+AL36+AL39</f>
        <v>20</v>
      </c>
      <c r="AM16" s="857">
        <f>_xlfn.IFS(AK16=0,0,AL16&lt;=AK16,AL16/AK16,AL16&gt;AK16,1)</f>
        <v>0.83333333333333337</v>
      </c>
      <c r="AN16" s="889">
        <f>AN20+AN35+AN36+AN39</f>
        <v>2150000</v>
      </c>
      <c r="AO16" s="897">
        <f>AO20+AO35+AO36+AO39</f>
        <v>24</v>
      </c>
      <c r="AP16" s="931">
        <f>AP20+AP35+AP36+AP39</f>
        <v>20</v>
      </c>
      <c r="AQ16" s="857">
        <f>_xlfn.IFS(AO16=0,0,AP16&lt;=AO16,AP16/AO16,AP16&gt;AO16,1)</f>
        <v>0.83333333333333337</v>
      </c>
      <c r="AR16" s="889">
        <f>AR20+AR35+AR36+AR39</f>
        <v>2150000</v>
      </c>
      <c r="AS16" s="897">
        <f>AS20+AS35+AS36+AS39</f>
        <v>24</v>
      </c>
      <c r="AT16" s="931">
        <f>AT20+AT35+AT36+AT39</f>
        <v>20</v>
      </c>
      <c r="AU16" s="857">
        <f>_xlfn.IFS(AS16=0,0,AT16&lt;=AS16,AT16/AS16,AT16&gt;AS16,1)</f>
        <v>0.83333333333333337</v>
      </c>
      <c r="AV16" s="889">
        <f>AV20+AV35+AV36+AV39</f>
        <v>2150000</v>
      </c>
      <c r="AW16" s="897">
        <f>AW20+AW35+AW36+AW39</f>
        <v>24</v>
      </c>
      <c r="AX16" s="931">
        <f>AX20+AX35+AX36+AX39</f>
        <v>20</v>
      </c>
      <c r="AY16" s="857">
        <f>_xlfn.IFS(AW16=0,0,AX16&lt;=AW16,AX16/AW16,AX16&gt;AW16,1)</f>
        <v>0.83333333333333337</v>
      </c>
      <c r="AZ16" s="889">
        <f>AZ20+AZ35+AZ36+AZ39</f>
        <v>2150000</v>
      </c>
      <c r="BA16" s="897">
        <f>BA20+BA35+BA36+BA39</f>
        <v>24</v>
      </c>
      <c r="BB16" s="931">
        <f>BB20+BB35+BB36+BB39</f>
        <v>20</v>
      </c>
      <c r="BC16" s="857">
        <f>_xlfn.IFS(BA16=0,0,BB16&lt;=BA16,BB16/BA16,BB16&gt;BA16,1)</f>
        <v>0.83333333333333337</v>
      </c>
      <c r="BD16" s="889">
        <f>BD20+BD35+BD36+BD39</f>
        <v>2150000</v>
      </c>
      <c r="BE16" s="897">
        <f>BE20+BE35+BE36+BE39</f>
        <v>24</v>
      </c>
      <c r="BF16" s="931">
        <f>BF20+BF35+BF36+BF39</f>
        <v>20</v>
      </c>
      <c r="BG16" s="857">
        <f>_xlfn.IFS(BE16=0,0,BF16&lt;=BE16,BF16/BE16,BF16&gt;BE16,1)</f>
        <v>0.83333333333333337</v>
      </c>
      <c r="BH16" s="889">
        <f>BH20+BH35+BH36+BH39</f>
        <v>2150000</v>
      </c>
      <c r="BI16" s="897">
        <f>BI20+BI35+BI36+BI39</f>
        <v>24</v>
      </c>
      <c r="BJ16" s="931">
        <f>BJ20+BJ35+BJ36+BJ39</f>
        <v>20</v>
      </c>
      <c r="BK16" s="857">
        <f>_xlfn.IFS(BI16=0,0,BJ16&lt;=BI16,BJ16/BI16,BJ16&gt;BI16,1)</f>
        <v>0.83333333333333337</v>
      </c>
      <c r="BL16" s="889">
        <f>BL20+BL35+BL36+BL39</f>
        <v>2150000</v>
      </c>
      <c r="BM16" s="897">
        <f>BM20+BM35+BM36+BM39</f>
        <v>24</v>
      </c>
      <c r="BN16" s="931">
        <f>BN20+BN35+BN36+BN39</f>
        <v>20</v>
      </c>
      <c r="BO16" s="857">
        <f>_xlfn.IFS(BM16=0,0,BN16&lt;=BM16,BN16/BM16,BN16&gt;BM16,1)</f>
        <v>0.83333333333333337</v>
      </c>
      <c r="BP16" s="889">
        <f>BP20+BP35+BP36+BP39</f>
        <v>2150000</v>
      </c>
      <c r="BQ16" s="897">
        <f>BQ20+BQ35+BQ36+BQ39</f>
        <v>24</v>
      </c>
      <c r="BR16" s="931">
        <f>BR20+BR35+BR36+BR39</f>
        <v>20</v>
      </c>
      <c r="BS16" s="857">
        <f>_xlfn.IFS(BQ16=0,0,BR16&lt;=BQ16,BR16/BQ16,BR16&gt;BQ16,1)</f>
        <v>0.83333333333333337</v>
      </c>
      <c r="BT16" s="889">
        <f>BT20+BT35+BT36+BT39</f>
        <v>2150000</v>
      </c>
      <c r="BU16" s="897">
        <f>BU20+BU35+BU36+BU39</f>
        <v>24</v>
      </c>
      <c r="BV16" s="931">
        <f>BV20+BV35+BV36+BV39</f>
        <v>20</v>
      </c>
      <c r="BW16" s="857">
        <f>_xlfn.IFS(BU16=0,0,BV16&lt;=BU16,BV16/BU16,BV16&gt;BU16,1)</f>
        <v>0.83333333333333337</v>
      </c>
      <c r="BX16" s="889">
        <f>BX20+BX35+BX36+BX39</f>
        <v>2150000</v>
      </c>
      <c r="BY16" s="897">
        <f>BY20+BY35+BY36+BY39</f>
        <v>24</v>
      </c>
      <c r="BZ16" s="931">
        <f>BZ20+BZ35+BZ36+BZ39</f>
        <v>20</v>
      </c>
      <c r="CA16" s="857">
        <f>_xlfn.IFS(BY16=0,0,BZ16&lt;=BY16,BZ16/BY16,BZ16&gt;BY16,1)</f>
        <v>0.83333333333333337</v>
      </c>
      <c r="CB16" s="889">
        <f>CB20+CB35+CB36+CB39</f>
        <v>2150000</v>
      </c>
      <c r="CC16" s="897">
        <f>CC20+CC35+CC36+CC39</f>
        <v>24</v>
      </c>
      <c r="CD16" s="931">
        <f>CD20+CD35+CD36+CD39</f>
        <v>20</v>
      </c>
      <c r="CE16" s="857">
        <f>_xlfn.IFS(CC16=0,0,CD16&lt;=CC16,CD16/CC16,CD16&gt;CC16,1)</f>
        <v>0.83333333333333337</v>
      </c>
      <c r="CF16" s="889">
        <f>CF20+CF35+CF36+CF39</f>
        <v>2150000</v>
      </c>
      <c r="CG16" s="897">
        <f>CG20+CG35+CG36+CG39</f>
        <v>24</v>
      </c>
      <c r="CH16" s="931">
        <f>CH20+CH35+CH36+CH39</f>
        <v>20</v>
      </c>
      <c r="CI16" s="857">
        <f>_xlfn.IFS(CG16=0,0,CH16&lt;=CG16,CH16/CG16,CH16&gt;CG16,1)</f>
        <v>0.83333333333333337</v>
      </c>
      <c r="CJ16" s="889">
        <f>CJ20+CJ35+CJ36+CJ39</f>
        <v>2150000</v>
      </c>
      <c r="CK16" s="897">
        <f>CK20+CK35+CK36+CK39</f>
        <v>24</v>
      </c>
      <c r="CL16" s="931">
        <f>CL20+CL35+CL36+CL39</f>
        <v>20</v>
      </c>
      <c r="CM16" s="857">
        <f>_xlfn.IFS(CK16=0,0,CL16&lt;=CK16,CL16/CK16,CL16&gt;CK16,1)</f>
        <v>0.83333333333333337</v>
      </c>
      <c r="CN16" s="889">
        <f>CN20+CN35+CN36+CN39</f>
        <v>2150000</v>
      </c>
      <c r="CO16" s="897">
        <f>CO20+CO35+CO36+CO39</f>
        <v>24</v>
      </c>
      <c r="CP16" s="931">
        <f>CP20+CP35+CP36+CP39</f>
        <v>20</v>
      </c>
      <c r="CQ16" s="857">
        <f>_xlfn.IFS(CO16=0,0,CP16&lt;=CO16,CP16/CO16,CP16&gt;CO16,1)</f>
        <v>0.83333333333333337</v>
      </c>
      <c r="CR16" s="889">
        <f>CR20+CR35+CR36+CR39</f>
        <v>2150000</v>
      </c>
      <c r="CS16" s="897">
        <f>CS20+CS35+CS36+CS39</f>
        <v>24</v>
      </c>
      <c r="CT16" s="931">
        <f>CT20+CT35+CT36+CT39</f>
        <v>20</v>
      </c>
      <c r="CU16" s="857">
        <f>_xlfn.IFS(CS16=0,0,CT16&lt;=CS16,CT16/CS16,CT16&gt;CS16,1)</f>
        <v>0.83333333333333337</v>
      </c>
      <c r="CV16" s="889">
        <f>CV20+CV35+CV36+CV39</f>
        <v>2150000</v>
      </c>
      <c r="CW16" s="897">
        <f>CW20+CW35+CW36+CW39</f>
        <v>24</v>
      </c>
      <c r="CX16" s="931">
        <f>CX20+CX35+CX36+CX39</f>
        <v>20</v>
      </c>
      <c r="CY16" s="857">
        <f>_xlfn.IFS(CW16=0,0,CX16&lt;=CW16,CX16/CW16,CX16&gt;CW16,1)</f>
        <v>0.83333333333333337</v>
      </c>
      <c r="CZ16" s="889">
        <f>CZ20+CZ35+CZ36+CZ39</f>
        <v>2150000</v>
      </c>
      <c r="DA16" s="897">
        <f>DA20+DA35+DA36+DA39</f>
        <v>24</v>
      </c>
      <c r="DB16" s="931">
        <f>DB20+DB35+DB36+DB39</f>
        <v>20</v>
      </c>
      <c r="DC16" s="857">
        <f>_xlfn.IFS(DA16=0,0,DB16&lt;=DA16,DB16/DA16,DB16&gt;DA16,1)</f>
        <v>0.83333333333333337</v>
      </c>
      <c r="DD16" s="889">
        <f>DD20+DD35+DD36+DD39</f>
        <v>2150000</v>
      </c>
      <c r="DE16" s="897">
        <f>DE20+DE35+DE36+DE39</f>
        <v>24</v>
      </c>
      <c r="DF16" s="931">
        <f>DF20+DF35+DF36+DF39</f>
        <v>20</v>
      </c>
      <c r="DG16" s="857">
        <f>_xlfn.IFS(DE16=0,0,DF16&lt;=DE16,DF16/DE16,DF16&gt;DE16,1)</f>
        <v>0.83333333333333337</v>
      </c>
      <c r="DH16" s="889">
        <f>DH20+DH35+DH36+DH39</f>
        <v>2150000</v>
      </c>
      <c r="DI16" s="897">
        <f>DI20+DI35+DI36+DI39</f>
        <v>24</v>
      </c>
      <c r="DJ16" s="931">
        <f>DJ20+DJ35+DJ36+DJ39</f>
        <v>20</v>
      </c>
      <c r="DK16" s="857">
        <f>_xlfn.IFS(DI16=0,0,DJ16&lt;=DI16,DJ16/DI16,DJ16&gt;DI16,1)</f>
        <v>0.83333333333333337</v>
      </c>
      <c r="DL16" s="889">
        <f>DL20+DL35+DL36+DL39</f>
        <v>2150000</v>
      </c>
      <c r="DM16" s="897">
        <f>DM20+DM35+DM36+DM39</f>
        <v>24</v>
      </c>
      <c r="DN16" s="931">
        <f>DN20+DN35+DN36+DN39</f>
        <v>20</v>
      </c>
      <c r="DO16" s="857">
        <f>_xlfn.IFS(DM16=0,0,DN16&lt;=DM16,DN16/DM16,DN16&gt;DM16,1)</f>
        <v>0.83333333333333337</v>
      </c>
      <c r="DP16" s="889">
        <f>DP20+DP35+DP36+DP39</f>
        <v>2150000</v>
      </c>
      <c r="DQ16" s="897">
        <f>DQ20+DQ35+DQ36+DQ39</f>
        <v>24</v>
      </c>
      <c r="DR16" s="931">
        <f>DR20+DR35+DR36+DR39</f>
        <v>20</v>
      </c>
      <c r="DS16" s="857">
        <f>_xlfn.IFS(DQ16=0,0,DR16&lt;=DQ16,DR16/DQ16,DR16&gt;DQ16,1)</f>
        <v>0.83333333333333337</v>
      </c>
      <c r="DT16" s="889">
        <f>DT20+DT35+DT36+DT39</f>
        <v>2150000</v>
      </c>
      <c r="DU16" s="897">
        <f>DU20+DU35+DU36+DU39</f>
        <v>24</v>
      </c>
      <c r="DV16" s="931">
        <f>DV20+DV35+DV36+DV39</f>
        <v>20</v>
      </c>
      <c r="DW16" s="857">
        <f>_xlfn.IFS(DU16=0,0,DV16&lt;=DU16,DV16/DU16,DV16&gt;DU16,1)</f>
        <v>0.83333333333333337</v>
      </c>
      <c r="DX16" s="889">
        <f>DX20+DX35+DX36+DX39</f>
        <v>2150000</v>
      </c>
      <c r="DY16" s="897">
        <f>DY20+DY35+DY36+DY39</f>
        <v>24</v>
      </c>
      <c r="DZ16" s="931">
        <f>DZ20+DZ35+DZ36+DZ39</f>
        <v>20</v>
      </c>
      <c r="EA16" s="857">
        <f>_xlfn.IFS(DY16=0,0,DZ16&lt;=DY16,DZ16/DY16,DZ16&gt;DY16,1)</f>
        <v>0.83333333333333337</v>
      </c>
      <c r="EB16" s="889">
        <f>EB20+EB35+EB36+EB39</f>
        <v>2150000</v>
      </c>
      <c r="EC16" s="897">
        <f>EC20+EC35+EC36+EC39</f>
        <v>24</v>
      </c>
      <c r="ED16" s="931">
        <f>ED20+ED35+ED36+ED39</f>
        <v>20</v>
      </c>
      <c r="EE16" s="857">
        <f>_xlfn.IFS(EC16=0,0,ED16&lt;=EC16,ED16/EC16,ED16&gt;EC16,1)</f>
        <v>0.83333333333333337</v>
      </c>
      <c r="EF16" s="889">
        <f>EF20+EF35+EF36+EF39</f>
        <v>2150000</v>
      </c>
    </row>
    <row r="17" spans="1:136" s="916" customFormat="1" ht="20" customHeight="1" x14ac:dyDescent="0.15">
      <c r="A17" s="870">
        <f>_xlfn.IFS(B17=0,0,E17&gt;B17,1,E17&lt;=B17,E17/B17)</f>
        <v>0</v>
      </c>
      <c r="B17" s="833"/>
      <c r="C17" s="832" t="str">
        <f>Dashboard!K93</f>
        <v>Q&amp;A</v>
      </c>
      <c r="D17" s="185">
        <f>Dashboard!M93</f>
        <v>36.4</v>
      </c>
      <c r="E17" s="1083">
        <f>SUMIF($M$13:$EF$13,$M$13,$M17:$EF17)</f>
        <v>1428</v>
      </c>
      <c r="F17" s="185">
        <f>E17-D17</f>
        <v>1391.6</v>
      </c>
      <c r="G17" s="789">
        <f>_xlfn.IFS(F17&gt;0,1,F17&lt;=0,E17/D17)</f>
        <v>1</v>
      </c>
      <c r="H17" s="814"/>
      <c r="I17" s="814"/>
      <c r="J17" s="814"/>
      <c r="K17" s="185">
        <f>D17/$B$9</f>
        <v>1.2771929824561403</v>
      </c>
      <c r="L17" s="882">
        <f ca="1">SUMIFS($M17:$EF17,$M$11:$EF$11,TODAY()-1,$M$13:$EF$13,$N$13)</f>
        <v>0</v>
      </c>
      <c r="M17" s="897">
        <f>SUM(M15:M16)</f>
        <v>48</v>
      </c>
      <c r="N17" s="931">
        <f>SUM(N15:N16)</f>
        <v>30</v>
      </c>
      <c r="O17" s="857">
        <f>_xlfn.IFS(M17=0,0,N17&lt;=M17,N17/M17,N17&gt;M17,1)</f>
        <v>0.625</v>
      </c>
      <c r="P17" s="889">
        <f>SUM(P15:P16)</f>
        <v>3200000</v>
      </c>
      <c r="Q17" s="897">
        <f>SUM(Q15:Q16)</f>
        <v>46</v>
      </c>
      <c r="R17" s="931">
        <f>SUM(R15:R16)</f>
        <v>35</v>
      </c>
      <c r="S17" s="857">
        <f>_xlfn.IFS(Q17=0,0,R17&lt;=Q17,R17/Q17,R17&gt;Q17,1)</f>
        <v>0.76086956521739135</v>
      </c>
      <c r="T17" s="889">
        <f>SUM(T15:T16)</f>
        <v>3200000</v>
      </c>
      <c r="U17" s="897">
        <f>SUM(U15:U16)</f>
        <v>46</v>
      </c>
      <c r="V17" s="931">
        <f>SUM(V15:V16)</f>
        <v>35</v>
      </c>
      <c r="W17" s="857">
        <f>_xlfn.IFS(U17=0,0,V17&lt;=U17,V17/U17,V17&gt;U17,1)</f>
        <v>0.76086956521739135</v>
      </c>
      <c r="X17" s="889">
        <f>SUM(X15:X16)</f>
        <v>3200000</v>
      </c>
      <c r="Y17" s="897">
        <f>SUM(Y15:Y16)</f>
        <v>46</v>
      </c>
      <c r="Z17" s="931">
        <f>SUM(Z15:Z16)</f>
        <v>35</v>
      </c>
      <c r="AA17" s="857">
        <f>_xlfn.IFS(Y17=0,0,Z17&lt;=Y17,Z17/Y17,Z17&gt;Y17,1)</f>
        <v>0.76086956521739135</v>
      </c>
      <c r="AB17" s="889">
        <f>SUM(AB15:AB16)</f>
        <v>3200000</v>
      </c>
      <c r="AC17" s="897">
        <f>SUM(AC15:AC16)</f>
        <v>46</v>
      </c>
      <c r="AD17" s="931">
        <f>SUM(AD15:AD16)</f>
        <v>35</v>
      </c>
      <c r="AE17" s="857">
        <f>_xlfn.IFS(AC17=0,0,AD17&lt;=AC17,AD17/AC17,AD17&gt;AC17,1)</f>
        <v>0.76086956521739135</v>
      </c>
      <c r="AF17" s="889">
        <f>SUM(AF15:AF16)</f>
        <v>3200000</v>
      </c>
      <c r="AG17" s="897">
        <f>SUM(AG15:AG16)</f>
        <v>46</v>
      </c>
      <c r="AH17" s="931">
        <f>SUM(AH15:AH16)</f>
        <v>35</v>
      </c>
      <c r="AI17" s="857">
        <f>_xlfn.IFS(AG17=0,0,AH17&lt;=AG17,AH17/AG17,AH17&gt;AG17,1)</f>
        <v>0.76086956521739135</v>
      </c>
      <c r="AJ17" s="889">
        <f>SUM(AJ15:AJ16)</f>
        <v>3200000</v>
      </c>
      <c r="AK17" s="897">
        <f>SUM(AK15:AK16)</f>
        <v>46</v>
      </c>
      <c r="AL17" s="931">
        <f>SUM(AL15:AL16)</f>
        <v>35</v>
      </c>
      <c r="AM17" s="857">
        <f>_xlfn.IFS(AK17=0,0,AL17&lt;=AK17,AL17/AK17,AL17&gt;AK17,1)</f>
        <v>0.76086956521739135</v>
      </c>
      <c r="AN17" s="889">
        <f>SUM(AN15:AN16)</f>
        <v>3200000</v>
      </c>
      <c r="AO17" s="897">
        <f>SUM(AO15:AO16)</f>
        <v>46</v>
      </c>
      <c r="AP17" s="931">
        <f>SUM(AP15:AP16)</f>
        <v>35</v>
      </c>
      <c r="AQ17" s="857">
        <f>_xlfn.IFS(AO17=0,0,AP17&lt;=AO17,AP17/AO17,AP17&gt;AO17,1)</f>
        <v>0.76086956521739135</v>
      </c>
      <c r="AR17" s="889">
        <f>SUM(AR15:AR16)</f>
        <v>3200000</v>
      </c>
      <c r="AS17" s="897">
        <f>SUM(AS15:AS16)</f>
        <v>46</v>
      </c>
      <c r="AT17" s="931">
        <f>SUM(AT15:AT16)</f>
        <v>35</v>
      </c>
      <c r="AU17" s="857">
        <f>_xlfn.IFS(AS17=0,0,AT17&lt;=AS17,AT17/AS17,AT17&gt;AS17,1)</f>
        <v>0.76086956521739135</v>
      </c>
      <c r="AV17" s="889">
        <f>SUM(AV15:AV16)</f>
        <v>3200000</v>
      </c>
      <c r="AW17" s="897">
        <f>SUM(AW15:AW16)</f>
        <v>46</v>
      </c>
      <c r="AX17" s="931">
        <f>SUM(AX15:AX16)</f>
        <v>35</v>
      </c>
      <c r="AY17" s="857">
        <f>_xlfn.IFS(AW17=0,0,AX17&lt;=AW17,AX17/AW17,AX17&gt;AW17,1)</f>
        <v>0.76086956521739135</v>
      </c>
      <c r="AZ17" s="889">
        <f>SUM(AZ15:AZ16)</f>
        <v>3200000</v>
      </c>
      <c r="BA17" s="897">
        <f>SUM(BA15:BA16)</f>
        <v>46</v>
      </c>
      <c r="BB17" s="931">
        <f>SUM(BB15:BB16)</f>
        <v>35</v>
      </c>
      <c r="BC17" s="857">
        <f>_xlfn.IFS(BA17=0,0,BB17&lt;=BA17,BB17/BA17,BB17&gt;BA17,1)</f>
        <v>0.76086956521739135</v>
      </c>
      <c r="BD17" s="889">
        <f>SUM(BD15:BD16)</f>
        <v>3200000</v>
      </c>
      <c r="BE17" s="897">
        <f>SUM(BE15:BE16)</f>
        <v>46</v>
      </c>
      <c r="BF17" s="931">
        <f>SUM(BF15:BF16)</f>
        <v>35</v>
      </c>
      <c r="BG17" s="857">
        <f>_xlfn.IFS(BE17=0,0,BF17&lt;=BE17,BF17/BE17,BF17&gt;BE17,1)</f>
        <v>0.76086956521739135</v>
      </c>
      <c r="BH17" s="889">
        <f>SUM(BH15:BH16)</f>
        <v>3200000</v>
      </c>
      <c r="BI17" s="897">
        <f>SUM(BI15:BI16)</f>
        <v>46</v>
      </c>
      <c r="BJ17" s="931">
        <f>SUM(BJ15:BJ16)</f>
        <v>35</v>
      </c>
      <c r="BK17" s="857">
        <f>_xlfn.IFS(BI17=0,0,BJ17&lt;=BI17,BJ17/BI17,BJ17&gt;BI17,1)</f>
        <v>0.76086956521739135</v>
      </c>
      <c r="BL17" s="889">
        <f>SUM(BL15:BL16)</f>
        <v>3200000</v>
      </c>
      <c r="BM17" s="897">
        <f>SUM(BM15:BM16)</f>
        <v>46</v>
      </c>
      <c r="BN17" s="931">
        <f>SUM(BN15:BN16)</f>
        <v>35</v>
      </c>
      <c r="BO17" s="857">
        <f>_xlfn.IFS(BM17=0,0,BN17&lt;=BM17,BN17/BM17,BN17&gt;BM17,1)</f>
        <v>0.76086956521739135</v>
      </c>
      <c r="BP17" s="889">
        <f>SUM(BP15:BP16)</f>
        <v>3200000</v>
      </c>
      <c r="BQ17" s="897">
        <f>SUM(BQ15:BQ16)</f>
        <v>46</v>
      </c>
      <c r="BR17" s="931">
        <f>SUM(BR15:BR16)</f>
        <v>35</v>
      </c>
      <c r="BS17" s="857">
        <f>_xlfn.IFS(BQ17=0,0,BR17&lt;=BQ17,BR17/BQ17,BR17&gt;BQ17,1)</f>
        <v>0.76086956521739135</v>
      </c>
      <c r="BT17" s="889">
        <f>SUM(BT15:BT16)</f>
        <v>3200000</v>
      </c>
      <c r="BU17" s="897">
        <f>SUM(BU15:BU16)</f>
        <v>46</v>
      </c>
      <c r="BV17" s="931">
        <f>SUM(BV15:BV16)</f>
        <v>35</v>
      </c>
      <c r="BW17" s="857">
        <f>_xlfn.IFS(BU17=0,0,BV17&lt;=BU17,BV17/BU17,BV17&gt;BU17,1)</f>
        <v>0.76086956521739135</v>
      </c>
      <c r="BX17" s="889">
        <f>SUM(BX15:BX16)</f>
        <v>3200000</v>
      </c>
      <c r="BY17" s="897">
        <f>SUM(BY15:BY16)</f>
        <v>46</v>
      </c>
      <c r="BZ17" s="931">
        <f>SUM(BZ15:BZ16)</f>
        <v>35</v>
      </c>
      <c r="CA17" s="857">
        <f>_xlfn.IFS(BY17=0,0,BZ17&lt;=BY17,BZ17/BY17,BZ17&gt;BY17,1)</f>
        <v>0.76086956521739135</v>
      </c>
      <c r="CB17" s="889">
        <f>SUM(CB15:CB16)</f>
        <v>3200000</v>
      </c>
      <c r="CC17" s="897">
        <f>SUM(CC15:CC16)</f>
        <v>46</v>
      </c>
      <c r="CD17" s="931">
        <f>SUM(CD15:CD16)</f>
        <v>35</v>
      </c>
      <c r="CE17" s="857">
        <f>_xlfn.IFS(CC17=0,0,CD17&lt;=CC17,CD17/CC17,CD17&gt;CC17,1)</f>
        <v>0.76086956521739135</v>
      </c>
      <c r="CF17" s="889">
        <f>SUM(CF15:CF16)</f>
        <v>3200000</v>
      </c>
      <c r="CG17" s="897">
        <f>SUM(CG15:CG16)</f>
        <v>46</v>
      </c>
      <c r="CH17" s="931">
        <f>SUM(CH15:CH16)</f>
        <v>35</v>
      </c>
      <c r="CI17" s="857">
        <f>_xlfn.IFS(CG17=0,0,CH17&lt;=CG17,CH17/CG17,CH17&gt;CG17,1)</f>
        <v>0.76086956521739135</v>
      </c>
      <c r="CJ17" s="889">
        <f>SUM(CJ15:CJ16)</f>
        <v>3200000</v>
      </c>
      <c r="CK17" s="897">
        <f>SUM(CK15:CK16)</f>
        <v>46</v>
      </c>
      <c r="CL17" s="931">
        <f>SUM(CL15:CL16)</f>
        <v>35</v>
      </c>
      <c r="CM17" s="857">
        <f>_xlfn.IFS(CK17=0,0,CL17&lt;=CK17,CL17/CK17,CL17&gt;CK17,1)</f>
        <v>0.76086956521739135</v>
      </c>
      <c r="CN17" s="889">
        <f>SUM(CN15:CN16)</f>
        <v>3200000</v>
      </c>
      <c r="CO17" s="897">
        <f>SUM(CO15:CO16)</f>
        <v>46</v>
      </c>
      <c r="CP17" s="931">
        <f>SUM(CP15:CP16)</f>
        <v>35</v>
      </c>
      <c r="CQ17" s="857">
        <f>_xlfn.IFS(CO17=0,0,CP17&lt;=CO17,CP17/CO17,CP17&gt;CO17,1)</f>
        <v>0.76086956521739135</v>
      </c>
      <c r="CR17" s="889">
        <f>SUM(CR15:CR16)</f>
        <v>3200000</v>
      </c>
      <c r="CS17" s="897">
        <f>SUM(CS15:CS16)</f>
        <v>46</v>
      </c>
      <c r="CT17" s="931">
        <f>SUM(CT15:CT16)</f>
        <v>35</v>
      </c>
      <c r="CU17" s="857">
        <f>_xlfn.IFS(CS17=0,0,CT17&lt;=CS17,CT17/CS17,CT17&gt;CS17,1)</f>
        <v>0.76086956521739135</v>
      </c>
      <c r="CV17" s="889">
        <f>SUM(CV15:CV16)</f>
        <v>3200000</v>
      </c>
      <c r="CW17" s="897">
        <f>SUM(CW15:CW16)</f>
        <v>46</v>
      </c>
      <c r="CX17" s="931">
        <f>SUM(CX15:CX16)</f>
        <v>35</v>
      </c>
      <c r="CY17" s="857">
        <f>_xlfn.IFS(CW17=0,0,CX17&lt;=CW17,CX17/CW17,CX17&gt;CW17,1)</f>
        <v>0.76086956521739135</v>
      </c>
      <c r="CZ17" s="889">
        <f>SUM(CZ15:CZ16)</f>
        <v>3200000</v>
      </c>
      <c r="DA17" s="897">
        <f>SUM(DA15:DA16)</f>
        <v>46</v>
      </c>
      <c r="DB17" s="931">
        <f>SUM(DB15:DB16)</f>
        <v>35</v>
      </c>
      <c r="DC17" s="857">
        <f>_xlfn.IFS(DA17=0,0,DB17&lt;=DA17,DB17/DA17,DB17&gt;DA17,1)</f>
        <v>0.76086956521739135</v>
      </c>
      <c r="DD17" s="889">
        <f>SUM(DD15:DD16)</f>
        <v>3200000</v>
      </c>
      <c r="DE17" s="897">
        <f>SUM(DE15:DE16)</f>
        <v>46</v>
      </c>
      <c r="DF17" s="931">
        <f>SUM(DF15:DF16)</f>
        <v>35</v>
      </c>
      <c r="DG17" s="857">
        <f>_xlfn.IFS(DE17=0,0,DF17&lt;=DE17,DF17/DE17,DF17&gt;DE17,1)</f>
        <v>0.76086956521739135</v>
      </c>
      <c r="DH17" s="889">
        <f>SUM(DH15:DH16)</f>
        <v>3200000</v>
      </c>
      <c r="DI17" s="897">
        <f>SUM(DI15:DI16)</f>
        <v>46</v>
      </c>
      <c r="DJ17" s="931">
        <f>SUM(DJ15:DJ16)</f>
        <v>35</v>
      </c>
      <c r="DK17" s="857">
        <f>_xlfn.IFS(DI17=0,0,DJ17&lt;=DI17,DJ17/DI17,DJ17&gt;DI17,1)</f>
        <v>0.76086956521739135</v>
      </c>
      <c r="DL17" s="889">
        <f>SUM(DL15:DL16)</f>
        <v>3200000</v>
      </c>
      <c r="DM17" s="897">
        <f>SUM(DM15:DM16)</f>
        <v>46</v>
      </c>
      <c r="DN17" s="931">
        <f>SUM(DN15:DN16)</f>
        <v>35</v>
      </c>
      <c r="DO17" s="857">
        <f>_xlfn.IFS(DM17=0,0,DN17&lt;=DM17,DN17/DM17,DN17&gt;DM17,1)</f>
        <v>0.76086956521739135</v>
      </c>
      <c r="DP17" s="889">
        <f>SUM(DP15:DP16)</f>
        <v>3200000</v>
      </c>
      <c r="DQ17" s="897">
        <f>SUM(DQ15:DQ16)</f>
        <v>46</v>
      </c>
      <c r="DR17" s="931">
        <f>SUM(DR15:DR16)</f>
        <v>35</v>
      </c>
      <c r="DS17" s="857">
        <f>_xlfn.IFS(DQ17=0,0,DR17&lt;=DQ17,DR17/DQ17,DR17&gt;DQ17,1)</f>
        <v>0.76086956521739135</v>
      </c>
      <c r="DT17" s="889">
        <f>SUM(DT15:DT16)</f>
        <v>3200000</v>
      </c>
      <c r="DU17" s="897">
        <f>SUM(DU15:DU16)</f>
        <v>46</v>
      </c>
      <c r="DV17" s="931">
        <f>SUM(DV15:DV16)</f>
        <v>35</v>
      </c>
      <c r="DW17" s="857">
        <f>_xlfn.IFS(DU17=0,0,DV17&lt;=DU17,DV17/DU17,DV17&gt;DU17,1)</f>
        <v>0.76086956521739135</v>
      </c>
      <c r="DX17" s="889">
        <f>SUM(DX15:DX16)</f>
        <v>3200000</v>
      </c>
      <c r="DY17" s="897">
        <f>SUM(DY15:DY16)</f>
        <v>46</v>
      </c>
      <c r="DZ17" s="931">
        <f>SUM(DZ15:DZ16)</f>
        <v>35</v>
      </c>
      <c r="EA17" s="857">
        <f>_xlfn.IFS(DY17=0,0,DZ17&lt;=DY17,DZ17/DY17,DZ17&gt;DY17,1)</f>
        <v>0.76086956521739135</v>
      </c>
      <c r="EB17" s="889">
        <f>SUM(EB15:EB16)</f>
        <v>3200000</v>
      </c>
      <c r="EC17" s="897">
        <f>SUM(EC15:EC16)</f>
        <v>46</v>
      </c>
      <c r="ED17" s="931">
        <f>SUM(ED15:ED16)</f>
        <v>35</v>
      </c>
      <c r="EE17" s="857">
        <f>_xlfn.IFS(EC17=0,0,ED17&lt;=EC17,ED17/EC17,ED17&gt;EC17,1)</f>
        <v>0.76086956521739135</v>
      </c>
      <c r="EF17" s="889">
        <f>SUM(EF15:EF16)</f>
        <v>3200000</v>
      </c>
    </row>
    <row r="18" spans="1:136" s="814" customFormat="1" ht="20" customHeight="1" x14ac:dyDescent="0.15">
      <c r="A18" s="870"/>
      <c r="B18" s="9"/>
      <c r="C18" s="813" t="str">
        <f>Dashboard!K94</f>
        <v>P3</v>
      </c>
      <c r="D18" s="1091">
        <f>Dashboard!M94</f>
        <v>0.35</v>
      </c>
      <c r="E18" s="834"/>
      <c r="F18" s="834"/>
      <c r="G18" s="834"/>
      <c r="K18" s="854"/>
      <c r="L18" s="816"/>
      <c r="M18" s="898"/>
      <c r="N18" s="859"/>
      <c r="O18" s="860"/>
      <c r="P18" s="890"/>
      <c r="Q18" s="898"/>
      <c r="R18" s="859"/>
      <c r="S18" s="860"/>
      <c r="T18" s="890"/>
      <c r="U18" s="898"/>
      <c r="V18" s="859"/>
      <c r="W18" s="860"/>
      <c r="X18" s="890"/>
      <c r="Y18" s="898"/>
      <c r="Z18" s="859"/>
      <c r="AA18" s="860"/>
      <c r="AB18" s="890"/>
      <c r="AC18" s="898"/>
      <c r="AD18" s="859"/>
      <c r="AE18" s="860"/>
      <c r="AF18" s="890"/>
      <c r="AG18" s="898"/>
      <c r="AH18" s="859"/>
      <c r="AI18" s="860"/>
      <c r="AJ18" s="890"/>
      <c r="AK18" s="898"/>
      <c r="AL18" s="859"/>
      <c r="AM18" s="860"/>
      <c r="AN18" s="890"/>
      <c r="AO18" s="898"/>
      <c r="AP18" s="859"/>
      <c r="AQ18" s="860"/>
      <c r="AR18" s="890"/>
      <c r="AS18" s="898"/>
      <c r="AT18" s="859"/>
      <c r="AU18" s="860"/>
      <c r="AV18" s="890"/>
      <c r="AW18" s="898"/>
      <c r="AX18" s="859"/>
      <c r="AY18" s="860"/>
      <c r="AZ18" s="890"/>
      <c r="BA18" s="898"/>
      <c r="BB18" s="859"/>
      <c r="BC18" s="860"/>
      <c r="BD18" s="890"/>
      <c r="BE18" s="898"/>
      <c r="BF18" s="859"/>
      <c r="BG18" s="860"/>
      <c r="BH18" s="890"/>
      <c r="BI18" s="898"/>
      <c r="BJ18" s="859"/>
      <c r="BK18" s="860"/>
      <c r="BL18" s="890"/>
      <c r="BM18" s="898"/>
      <c r="BN18" s="859"/>
      <c r="BO18" s="860"/>
      <c r="BP18" s="890"/>
      <c r="BQ18" s="898"/>
      <c r="BR18" s="859"/>
      <c r="BS18" s="860"/>
      <c r="BT18" s="890"/>
      <c r="BU18" s="898"/>
      <c r="BV18" s="859"/>
      <c r="BW18" s="860"/>
      <c r="BX18" s="890"/>
      <c r="BY18" s="898"/>
      <c r="BZ18" s="859"/>
      <c r="CA18" s="860"/>
      <c r="CB18" s="890"/>
      <c r="CC18" s="898"/>
      <c r="CD18" s="859"/>
      <c r="CE18" s="860"/>
      <c r="CF18" s="890"/>
      <c r="CG18" s="898"/>
      <c r="CH18" s="859"/>
      <c r="CI18" s="860"/>
      <c r="CJ18" s="890"/>
      <c r="CK18" s="898"/>
      <c r="CL18" s="859"/>
      <c r="CM18" s="860"/>
      <c r="CN18" s="890"/>
      <c r="CO18" s="898"/>
      <c r="CP18" s="859"/>
      <c r="CQ18" s="860"/>
      <c r="CR18" s="890"/>
      <c r="CS18" s="898"/>
      <c r="CT18" s="859"/>
      <c r="CU18" s="860"/>
      <c r="CV18" s="890"/>
      <c r="CW18" s="898"/>
      <c r="CX18" s="859"/>
      <c r="CY18" s="860"/>
      <c r="CZ18" s="890"/>
      <c r="DA18" s="898"/>
      <c r="DB18" s="859"/>
      <c r="DC18" s="860"/>
      <c r="DD18" s="890"/>
      <c r="DE18" s="898"/>
      <c r="DF18" s="859"/>
      <c r="DG18" s="860"/>
      <c r="DH18" s="890"/>
      <c r="DI18" s="898"/>
      <c r="DJ18" s="859"/>
      <c r="DK18" s="860"/>
      <c r="DL18" s="890"/>
      <c r="DM18" s="898"/>
      <c r="DN18" s="859"/>
      <c r="DO18" s="860"/>
      <c r="DP18" s="890"/>
      <c r="DQ18" s="898"/>
      <c r="DR18" s="859"/>
      <c r="DS18" s="860"/>
      <c r="DT18" s="890"/>
      <c r="DU18" s="898"/>
      <c r="DV18" s="859"/>
      <c r="DW18" s="860"/>
      <c r="DX18" s="890"/>
      <c r="DY18" s="898"/>
      <c r="DZ18" s="859"/>
      <c r="EA18" s="860"/>
      <c r="EB18" s="890"/>
      <c r="EC18" s="898"/>
      <c r="ED18" s="859"/>
      <c r="EE18" s="860"/>
      <c r="EF18" s="890"/>
    </row>
    <row r="19" spans="1:136" s="916" customFormat="1" ht="20" customHeight="1" x14ac:dyDescent="0.15">
      <c r="A19" s="870">
        <f>_xlfn.IFS(B19=0,0,E19&gt;B19,1,E19&lt;=B19,E19/B19)</f>
        <v>0</v>
      </c>
      <c r="B19" s="833"/>
      <c r="C19" s="831" t="str">
        <f>Dashboard!K95</f>
        <v>SALES REVENUE</v>
      </c>
      <c r="D19" s="840">
        <f>Dashboard!M95</f>
        <v>175000000</v>
      </c>
      <c r="E19" s="1090">
        <f>SUMIF($M$13:$EF$13,$P$13,$M19:$EF19)</f>
        <v>99200000</v>
      </c>
      <c r="F19" s="840">
        <f t="shared" ref="F19" si="195">E19-D19</f>
        <v>-75800000</v>
      </c>
      <c r="G19" s="789">
        <f>_xlfn.IFS(F19&gt;0,1,F19&lt;=0,E19/D19)</f>
        <v>0.56685714285714284</v>
      </c>
      <c r="H19" s="789">
        <f>IF(SUMIF($M$13:$EF$13,$M$13,M19:EF19)&gt;0,SUMIF($M$13:$EF$13,$N$13,M19:EF19)/SUMIF($M$13:$EF$13,$M$13,M19:EF19),0)</f>
        <v>0.47478991596638653</v>
      </c>
      <c r="I19" s="789">
        <f>Dashboard!M116</f>
        <v>0.16041666666666665</v>
      </c>
      <c r="J19" s="789">
        <f ca="1">SUMIFS($M19:$EF19,$M$11:$EF$11,TODAY()-1,$M$13:$EF$13,O$13)</f>
        <v>0</v>
      </c>
      <c r="K19" s="840">
        <f>D19/'Action Plan'!$C$6</f>
        <v>6730769.230769231</v>
      </c>
      <c r="L19" s="940">
        <f ca="1">SUMIFS($M19:$EF19,$M$11:$EF$11,TODAY()-1,$M$13:$EF$13,P$13)</f>
        <v>0</v>
      </c>
      <c r="M19" s="897">
        <f>(M20+M32+M36+M39+M26+M35)</f>
        <v>48</v>
      </c>
      <c r="N19" s="858">
        <f>(N20+N32+N36+N39)</f>
        <v>18</v>
      </c>
      <c r="O19" s="857">
        <f>O$8</f>
        <v>0.625</v>
      </c>
      <c r="P19" s="889">
        <f>P20+P26+P32+P35+P36+P39</f>
        <v>3200000</v>
      </c>
      <c r="Q19" s="897">
        <f>(Q20+Q32+Q36+Q39+Q26+Q35)</f>
        <v>46</v>
      </c>
      <c r="R19" s="858">
        <f>(R20+R32+R36+R39)</f>
        <v>22</v>
      </c>
      <c r="S19" s="857">
        <f>S$8</f>
        <v>0.76086956521739135</v>
      </c>
      <c r="T19" s="889">
        <f>T20+T26+T32+T35+T36+T39</f>
        <v>3200000</v>
      </c>
      <c r="U19" s="897">
        <f>(U20+U32+U36+U39+U26+U35)</f>
        <v>46</v>
      </c>
      <c r="V19" s="858">
        <f>(V20+V32+V36+V39)</f>
        <v>22</v>
      </c>
      <c r="W19" s="857">
        <f>W$8</f>
        <v>0.76086956521739135</v>
      </c>
      <c r="X19" s="889">
        <f>X20+X26+X32+X35+X36+X39</f>
        <v>3200000</v>
      </c>
      <c r="Y19" s="897">
        <f>(Y20+Y32+Y36+Y39+Y26+Y35)</f>
        <v>46</v>
      </c>
      <c r="Z19" s="858">
        <f>(Z20+Z32+Z36+Z39)</f>
        <v>22</v>
      </c>
      <c r="AA19" s="857">
        <f>AA$8</f>
        <v>0.76086956521739135</v>
      </c>
      <c r="AB19" s="889">
        <f>AB20+AB26+AB32+AB35+AB36+AB39</f>
        <v>3200000</v>
      </c>
      <c r="AC19" s="897">
        <f>(AC20+AC32+AC36+AC39+AC26+AC35)</f>
        <v>46</v>
      </c>
      <c r="AD19" s="858">
        <f>(AD20+AD32+AD36+AD39)</f>
        <v>22</v>
      </c>
      <c r="AE19" s="857">
        <f>AE$8</f>
        <v>0.76086956521739135</v>
      </c>
      <c r="AF19" s="889">
        <f>AF20+AF26+AF32+AF35+AF36+AF39</f>
        <v>3200000</v>
      </c>
      <c r="AG19" s="897">
        <f>(AG20+AG32+AG36+AG39+AG26+AG35)</f>
        <v>46</v>
      </c>
      <c r="AH19" s="858">
        <f>(AH20+AH32+AH36+AH39)</f>
        <v>22</v>
      </c>
      <c r="AI19" s="857">
        <f>AI$8</f>
        <v>0.76086956521739135</v>
      </c>
      <c r="AJ19" s="889">
        <f>AJ20+AJ26+AJ32+AJ35+AJ36+AJ39</f>
        <v>3200000</v>
      </c>
      <c r="AK19" s="897">
        <f>(AK20+AK32+AK36+AK39+AK26+AK35)</f>
        <v>46</v>
      </c>
      <c r="AL19" s="858">
        <f>(AL20+AL32+AL36+AL39)</f>
        <v>22</v>
      </c>
      <c r="AM19" s="857">
        <f>AM$8</f>
        <v>0.76086956521739135</v>
      </c>
      <c r="AN19" s="889">
        <f>AN20+AN26+AN32+AN35+AN36+AN39</f>
        <v>3200000</v>
      </c>
      <c r="AO19" s="897">
        <f>(AO20+AO32+AO36+AO39+AO26+AO35)</f>
        <v>46</v>
      </c>
      <c r="AP19" s="858">
        <f>(AP20+AP32+AP36+AP39)</f>
        <v>22</v>
      </c>
      <c r="AQ19" s="857">
        <f>AQ$8</f>
        <v>0.76086956521739135</v>
      </c>
      <c r="AR19" s="889">
        <f>AR20+AR26+AR32+AR35+AR36+AR39</f>
        <v>3200000</v>
      </c>
      <c r="AS19" s="897">
        <f>(AS20+AS32+AS36+AS39+AS26+AS35)</f>
        <v>46</v>
      </c>
      <c r="AT19" s="858">
        <f>(AT20+AT32+AT36+AT39)</f>
        <v>22</v>
      </c>
      <c r="AU19" s="857">
        <f>AU$8</f>
        <v>0.76086956521739135</v>
      </c>
      <c r="AV19" s="889">
        <f>AV20+AV26+AV32+AV35+AV36+AV39</f>
        <v>3200000</v>
      </c>
      <c r="AW19" s="897">
        <f>(AW20+AW32+AW36+AW39+AW26+AW35)</f>
        <v>46</v>
      </c>
      <c r="AX19" s="858">
        <f>(AX20+AX32+AX36+AX39)</f>
        <v>22</v>
      </c>
      <c r="AY19" s="857">
        <f>AY$8</f>
        <v>0.76086956521739135</v>
      </c>
      <c r="AZ19" s="889">
        <f>AZ20+AZ26+AZ32+AZ35+AZ36+AZ39</f>
        <v>3200000</v>
      </c>
      <c r="BA19" s="897">
        <f>(BA20+BA32+BA36+BA39+BA26+BA35)</f>
        <v>46</v>
      </c>
      <c r="BB19" s="858">
        <f>(BB20+BB32+BB36+BB39)</f>
        <v>22</v>
      </c>
      <c r="BC19" s="857">
        <f>BC$8</f>
        <v>0.76086956521739135</v>
      </c>
      <c r="BD19" s="889">
        <f>BD20+BD26+BD32+BD35+BD36+BD39</f>
        <v>3200000</v>
      </c>
      <c r="BE19" s="897">
        <f>(BE20+BE32+BE36+BE39+BE26+BE35)</f>
        <v>46</v>
      </c>
      <c r="BF19" s="858">
        <f>(BF20+BF32+BF36+BF39)</f>
        <v>22</v>
      </c>
      <c r="BG19" s="857">
        <f>BG$8</f>
        <v>0.76086956521739135</v>
      </c>
      <c r="BH19" s="889">
        <f>BH20+BH26+BH32+BH35+BH36+BH39</f>
        <v>3200000</v>
      </c>
      <c r="BI19" s="897">
        <f>(BI20+BI32+BI36+BI39+BI26+BI35)</f>
        <v>46</v>
      </c>
      <c r="BJ19" s="858">
        <f>(BJ20+BJ32+BJ36+BJ39)</f>
        <v>22</v>
      </c>
      <c r="BK19" s="857">
        <f>BK$8</f>
        <v>0.76086956521739135</v>
      </c>
      <c r="BL19" s="889">
        <f>BL20+BL26+BL32+BL35+BL36+BL39</f>
        <v>3200000</v>
      </c>
      <c r="BM19" s="897">
        <f>(BM20+BM32+BM36+BM39+BM26+BM35)</f>
        <v>46</v>
      </c>
      <c r="BN19" s="858">
        <f>(BN20+BN32+BN36+BN39)</f>
        <v>22</v>
      </c>
      <c r="BO19" s="857">
        <f>BO$8</f>
        <v>0.76086956521739135</v>
      </c>
      <c r="BP19" s="889">
        <f>BP20+BP26+BP32+BP35+BP36+BP39</f>
        <v>3200000</v>
      </c>
      <c r="BQ19" s="897">
        <f>(BQ20+BQ32+BQ36+BQ39+BQ26+BQ35)</f>
        <v>46</v>
      </c>
      <c r="BR19" s="858">
        <f>(BR20+BR32+BR36+BR39)</f>
        <v>22</v>
      </c>
      <c r="BS19" s="857">
        <f>BS$8</f>
        <v>0.76086956521739135</v>
      </c>
      <c r="BT19" s="889">
        <f>BT20+BT26+BT32+BT35+BT36+BT39</f>
        <v>3200000</v>
      </c>
      <c r="BU19" s="897">
        <f>(BU20+BU32+BU36+BU39+BU26+BU35)</f>
        <v>46</v>
      </c>
      <c r="BV19" s="858">
        <f>(BV20+BV32+BV36+BV39)</f>
        <v>22</v>
      </c>
      <c r="BW19" s="857">
        <f>BW$8</f>
        <v>0.76086956521739135</v>
      </c>
      <c r="BX19" s="889">
        <f>BX20+BX26+BX32+BX35+BX36+BX39</f>
        <v>3200000</v>
      </c>
      <c r="BY19" s="897">
        <f>(BY20+BY32+BY36+BY39+BY26+BY35)</f>
        <v>46</v>
      </c>
      <c r="BZ19" s="858">
        <f>(BZ20+BZ32+BZ36+BZ39)</f>
        <v>22</v>
      </c>
      <c r="CA19" s="857">
        <f>CA$8</f>
        <v>0.76086956521739135</v>
      </c>
      <c r="CB19" s="889">
        <f>CB20+CB26+CB32+CB35+CB36+CB39</f>
        <v>3200000</v>
      </c>
      <c r="CC19" s="897">
        <f>(CC20+CC32+CC36+CC39+CC26+CC35)</f>
        <v>46</v>
      </c>
      <c r="CD19" s="858">
        <f>(CD20+CD32+CD36+CD39)</f>
        <v>22</v>
      </c>
      <c r="CE19" s="857">
        <f>CE$8</f>
        <v>0.76086956521739135</v>
      </c>
      <c r="CF19" s="889">
        <f>CF20+CF26+CF32+CF35+CF36+CF39</f>
        <v>3200000</v>
      </c>
      <c r="CG19" s="897">
        <f>(CG20+CG32+CG36+CG39+CG26+CG35)</f>
        <v>46</v>
      </c>
      <c r="CH19" s="858">
        <f>(CH20+CH32+CH36+CH39)</f>
        <v>22</v>
      </c>
      <c r="CI19" s="857">
        <f>CI$8</f>
        <v>0.76086956521739135</v>
      </c>
      <c r="CJ19" s="889">
        <f>CJ20+CJ26+CJ32+CJ35+CJ36+CJ39</f>
        <v>3200000</v>
      </c>
      <c r="CK19" s="897">
        <f>(CK20+CK32+CK36+CK39+CK26+CK35)</f>
        <v>46</v>
      </c>
      <c r="CL19" s="858">
        <f>(CL20+CL32+CL36+CL39)</f>
        <v>22</v>
      </c>
      <c r="CM19" s="857">
        <f>CM$8</f>
        <v>0.76086956521739135</v>
      </c>
      <c r="CN19" s="889">
        <f>CN20+CN26+CN32+CN35+CN36+CN39</f>
        <v>3200000</v>
      </c>
      <c r="CO19" s="897">
        <f>(CO20+CO32+CO36+CO39+CO26+CO35)</f>
        <v>46</v>
      </c>
      <c r="CP19" s="858">
        <f>(CP20+CP32+CP36+CP39)</f>
        <v>22</v>
      </c>
      <c r="CQ19" s="857">
        <f>CQ$8</f>
        <v>0.76086956521739135</v>
      </c>
      <c r="CR19" s="889">
        <f>CR20+CR26+CR32+CR35+CR36+CR39</f>
        <v>3200000</v>
      </c>
      <c r="CS19" s="897">
        <f>(CS20+CS32+CS36+CS39+CS26+CS35)</f>
        <v>46</v>
      </c>
      <c r="CT19" s="858">
        <f>(CT20+CT32+CT36+CT39)</f>
        <v>22</v>
      </c>
      <c r="CU19" s="857">
        <f>CU$8</f>
        <v>0.76086956521739135</v>
      </c>
      <c r="CV19" s="889">
        <f>CV20+CV26+CV32+CV35+CV36+CV39</f>
        <v>3200000</v>
      </c>
      <c r="CW19" s="897">
        <f>(CW20+CW32+CW36+CW39+CW26+CW35)</f>
        <v>46</v>
      </c>
      <c r="CX19" s="858">
        <f>(CX20+CX32+CX36+CX39)</f>
        <v>22</v>
      </c>
      <c r="CY19" s="857">
        <f>CY$8</f>
        <v>0.76086956521739135</v>
      </c>
      <c r="CZ19" s="889">
        <f>CZ20+CZ26+CZ32+CZ35+CZ36+CZ39</f>
        <v>3200000</v>
      </c>
      <c r="DA19" s="897">
        <f>(DA20+DA32+DA36+DA39+DA26+DA35)</f>
        <v>46</v>
      </c>
      <c r="DB19" s="858">
        <f>(DB20+DB32+DB36+DB39)</f>
        <v>22</v>
      </c>
      <c r="DC19" s="857">
        <f>DC$8</f>
        <v>0.76086956521739135</v>
      </c>
      <c r="DD19" s="889">
        <f>DD20+DD26+DD32+DD35+DD36+DD39</f>
        <v>3200000</v>
      </c>
      <c r="DE19" s="897">
        <f>(DE20+DE32+DE36+DE39+DE26+DE35)</f>
        <v>46</v>
      </c>
      <c r="DF19" s="858">
        <f>(DF20+DF32+DF36+DF39)</f>
        <v>22</v>
      </c>
      <c r="DG19" s="857">
        <f>DG$8</f>
        <v>0.76086956521739135</v>
      </c>
      <c r="DH19" s="889">
        <f>DH20+DH26+DH32+DH35+DH36+DH39</f>
        <v>3200000</v>
      </c>
      <c r="DI19" s="897">
        <f>(DI20+DI32+DI36+DI39+DI26+DI35)</f>
        <v>46</v>
      </c>
      <c r="DJ19" s="858">
        <f>(DJ20+DJ32+DJ36+DJ39)</f>
        <v>22</v>
      </c>
      <c r="DK19" s="857">
        <f>DK$8</f>
        <v>0.76086956521739135</v>
      </c>
      <c r="DL19" s="889">
        <f>DL20+DL26+DL32+DL35+DL36+DL39</f>
        <v>3200000</v>
      </c>
      <c r="DM19" s="897">
        <f>(DM20+DM32+DM36+DM39+DM26+DM35)</f>
        <v>46</v>
      </c>
      <c r="DN19" s="858">
        <f>(DN20+DN32+DN36+DN39)</f>
        <v>22</v>
      </c>
      <c r="DO19" s="857">
        <f>DO$8</f>
        <v>0.76086956521739135</v>
      </c>
      <c r="DP19" s="889">
        <f>DP20+DP26+DP32+DP35+DP36+DP39</f>
        <v>3200000</v>
      </c>
      <c r="DQ19" s="897">
        <f>(DQ20+DQ32+DQ36+DQ39+DQ26+DQ35)</f>
        <v>46</v>
      </c>
      <c r="DR19" s="858">
        <f>(DR20+DR32+DR36+DR39)</f>
        <v>22</v>
      </c>
      <c r="DS19" s="857">
        <f>DS$8</f>
        <v>0.76086956521739135</v>
      </c>
      <c r="DT19" s="889">
        <f>DT20+DT26+DT32+DT35+DT36+DT39</f>
        <v>3200000</v>
      </c>
      <c r="DU19" s="897">
        <f>(DU20+DU32+DU36+DU39+DU26+DU35)</f>
        <v>46</v>
      </c>
      <c r="DV19" s="858">
        <f>(DV20+DV32+DV36+DV39)</f>
        <v>22</v>
      </c>
      <c r="DW19" s="857">
        <f>DW$8</f>
        <v>0.76086956521739135</v>
      </c>
      <c r="DX19" s="889">
        <f>DX20+DX26+DX32+DX35+DX36+DX39</f>
        <v>3200000</v>
      </c>
      <c r="DY19" s="897">
        <f>(DY20+DY32+DY36+DY39+DY26+DY35)</f>
        <v>46</v>
      </c>
      <c r="DZ19" s="858">
        <f>(DZ20+DZ32+DZ36+DZ39)</f>
        <v>22</v>
      </c>
      <c r="EA19" s="857">
        <f>EA$8</f>
        <v>0.76086956521739135</v>
      </c>
      <c r="EB19" s="889">
        <f>EB20+EB26+EB32+EB35+EB36+EB39</f>
        <v>3200000</v>
      </c>
      <c r="EC19" s="897">
        <f>(EC20+EC32+EC36+EC39+EC26+EC35)</f>
        <v>46</v>
      </c>
      <c r="ED19" s="858">
        <f>(ED20+ED32+ED36+ED39)</f>
        <v>22</v>
      </c>
      <c r="EE19" s="857">
        <f>EE$8</f>
        <v>0.76086956521739135</v>
      </c>
      <c r="EF19" s="889">
        <f>EF20+EF26+EF32+EF35+EF36+EF39</f>
        <v>3200000</v>
      </c>
    </row>
    <row r="20" spans="1:136" ht="20" customHeight="1" x14ac:dyDescent="0.15">
      <c r="A20" s="870">
        <f>_xlfn.IFS(B20=0,0,E20&gt;B20,1,E20&lt;=B20,E20/B20)</f>
        <v>0</v>
      </c>
      <c r="B20" s="791"/>
      <c r="C20" s="883" t="str">
        <f>Dashboard!K96</f>
        <v>FACEBOOK</v>
      </c>
      <c r="D20" s="686">
        <f>Dashboard!M96</f>
        <v>17500000</v>
      </c>
      <c r="E20" s="1065">
        <f>SUMIF($M$13:$EF$13,$P$13,$M20:$EF20)</f>
        <v>23250000</v>
      </c>
      <c r="F20" s="686">
        <f>E20-D20</f>
        <v>5750000</v>
      </c>
      <c r="G20" s="788">
        <f>_xlfn.IFS(F20&gt;0,1,F20&lt;=0,E20/D20)</f>
        <v>1</v>
      </c>
      <c r="H20" s="788">
        <f>IF(SUMIF(M$13:EF$13,$O$13,M20:EF20)&gt;0,AVERAGEIFS(M20:EF20,M20:EF20,"&gt;0",M$13:EF$13,$O$13),"NO NEW ORDER")</f>
        <v>0.99529569892473113</v>
      </c>
      <c r="I20" s="788">
        <f>Dashboard!M117</f>
        <v>0.16041666666666665</v>
      </c>
      <c r="J20" s="788">
        <f ca="1">IF(SUM(J21:J25)&gt;0,AVERAGEIF(J21:J25,"&gt;0"),0)</f>
        <v>0</v>
      </c>
      <c r="K20" s="686">
        <f>D20/'Action Plan'!$C$6</f>
        <v>673076.92307692312</v>
      </c>
      <c r="L20" s="933">
        <f ca="1">SUMIFS($M20:$EF20,$M$11:$EF$11,TODAY()-1,$M$13:$EF$13,P$13)</f>
        <v>0</v>
      </c>
      <c r="M20" s="899">
        <f>SUM(M21:M25)</f>
        <v>14</v>
      </c>
      <c r="N20" s="904">
        <f>SUM(N21:N25)</f>
        <v>11</v>
      </c>
      <c r="O20" s="788">
        <f>IF(SUM(O21:O25)&gt;0,AVERAGEIF(O21:O25,"&gt;0"),0)</f>
        <v>0.85416666666666663</v>
      </c>
      <c r="P20" s="891">
        <f>SUM(P21:P25)</f>
        <v>750000</v>
      </c>
      <c r="Q20" s="899">
        <f>SUM(Q21:Q25)</f>
        <v>15</v>
      </c>
      <c r="R20" s="904">
        <f>SUM(R21:R25)</f>
        <v>15</v>
      </c>
      <c r="S20" s="788">
        <f>IF(SUM(S21:S25)&gt;0,AVERAGEIF(S21:S25,"&gt;0"),0)</f>
        <v>1</v>
      </c>
      <c r="T20" s="891">
        <f>SUM(T21:T25)</f>
        <v>750000</v>
      </c>
      <c r="U20" s="899">
        <f>SUM(U21:U25)</f>
        <v>15</v>
      </c>
      <c r="V20" s="904">
        <f>SUM(V21:V25)</f>
        <v>15</v>
      </c>
      <c r="W20" s="788">
        <f>IF(SUM(W21:W25)&gt;0,AVERAGEIF(W21:W25,"&gt;0"),0)</f>
        <v>1</v>
      </c>
      <c r="X20" s="891">
        <f>SUM(X21:X25)</f>
        <v>750000</v>
      </c>
      <c r="Y20" s="899">
        <f>SUM(Y21:Y25)</f>
        <v>15</v>
      </c>
      <c r="Z20" s="904">
        <f>SUM(Z21:Z25)</f>
        <v>15</v>
      </c>
      <c r="AA20" s="788">
        <f>IF(SUM(AA21:AA25)&gt;0,AVERAGEIF(AA21:AA25,"&gt;0"),0)</f>
        <v>1</v>
      </c>
      <c r="AB20" s="891">
        <f>SUM(AB21:AB25)</f>
        <v>750000</v>
      </c>
      <c r="AC20" s="899">
        <f>SUM(AC21:AC25)</f>
        <v>15</v>
      </c>
      <c r="AD20" s="904">
        <f>SUM(AD21:AD25)</f>
        <v>15</v>
      </c>
      <c r="AE20" s="788">
        <f>IF(SUM(AE21:AE25)&gt;0,AVERAGEIF(AE21:AE25,"&gt;0"),0)</f>
        <v>1</v>
      </c>
      <c r="AF20" s="891">
        <f>SUM(AF21:AF25)</f>
        <v>750000</v>
      </c>
      <c r="AG20" s="899">
        <f>SUM(AG21:AG25)</f>
        <v>15</v>
      </c>
      <c r="AH20" s="904">
        <f>SUM(AH21:AH25)</f>
        <v>15</v>
      </c>
      <c r="AI20" s="788">
        <f>IF(SUM(AI21:AI25)&gt;0,AVERAGEIF(AI21:AI25,"&gt;0"),0)</f>
        <v>1</v>
      </c>
      <c r="AJ20" s="891">
        <f>SUM(AJ21:AJ25)</f>
        <v>750000</v>
      </c>
      <c r="AK20" s="899">
        <f>SUM(AK21:AK25)</f>
        <v>15</v>
      </c>
      <c r="AL20" s="904">
        <f>SUM(AL21:AL25)</f>
        <v>15</v>
      </c>
      <c r="AM20" s="788">
        <f>IF(SUM(AM21:AM25)&gt;0,AVERAGEIF(AM21:AM25,"&gt;0"),0)</f>
        <v>1</v>
      </c>
      <c r="AN20" s="891">
        <f>SUM(AN21:AN25)</f>
        <v>750000</v>
      </c>
      <c r="AO20" s="899">
        <f>SUM(AO21:AO25)</f>
        <v>15</v>
      </c>
      <c r="AP20" s="904">
        <f>SUM(AP21:AP25)</f>
        <v>15</v>
      </c>
      <c r="AQ20" s="788">
        <f>IF(SUM(AQ21:AQ25)&gt;0,AVERAGEIF(AQ21:AQ25,"&gt;0"),0)</f>
        <v>1</v>
      </c>
      <c r="AR20" s="891">
        <f>SUM(AR21:AR25)</f>
        <v>750000</v>
      </c>
      <c r="AS20" s="899">
        <f>SUM(AS21:AS25)</f>
        <v>15</v>
      </c>
      <c r="AT20" s="904">
        <f>SUM(AT21:AT25)</f>
        <v>15</v>
      </c>
      <c r="AU20" s="788">
        <f>IF(SUM(AU21:AU25)&gt;0,AVERAGEIF(AU21:AU25,"&gt;0"),0)</f>
        <v>1</v>
      </c>
      <c r="AV20" s="891">
        <f>SUM(AV21:AV25)</f>
        <v>750000</v>
      </c>
      <c r="AW20" s="899">
        <f>SUM(AW21:AW25)</f>
        <v>15</v>
      </c>
      <c r="AX20" s="904">
        <f>SUM(AX21:AX25)</f>
        <v>15</v>
      </c>
      <c r="AY20" s="788">
        <f>IF(SUM(AY21:AY25)&gt;0,AVERAGEIF(AY21:AY25,"&gt;0"),0)</f>
        <v>1</v>
      </c>
      <c r="AZ20" s="891">
        <f>SUM(AZ21:AZ25)</f>
        <v>750000</v>
      </c>
      <c r="BA20" s="899">
        <f>SUM(BA21:BA25)</f>
        <v>15</v>
      </c>
      <c r="BB20" s="904">
        <f>SUM(BB21:BB25)</f>
        <v>15</v>
      </c>
      <c r="BC20" s="788">
        <f>IF(SUM(BC21:BC25)&gt;0,AVERAGEIF(BC21:BC25,"&gt;0"),0)</f>
        <v>1</v>
      </c>
      <c r="BD20" s="891">
        <f>SUM(BD21:BD25)</f>
        <v>750000</v>
      </c>
      <c r="BE20" s="899">
        <f>SUM(BE21:BE25)</f>
        <v>15</v>
      </c>
      <c r="BF20" s="904">
        <f>SUM(BF21:BF25)</f>
        <v>15</v>
      </c>
      <c r="BG20" s="788">
        <f>IF(SUM(BG21:BG25)&gt;0,AVERAGEIF(BG21:BG25,"&gt;0"),0)</f>
        <v>1</v>
      </c>
      <c r="BH20" s="891">
        <f>SUM(BH21:BH25)</f>
        <v>750000</v>
      </c>
      <c r="BI20" s="899">
        <f>SUM(BI21:BI25)</f>
        <v>15</v>
      </c>
      <c r="BJ20" s="904">
        <f>SUM(BJ21:BJ25)</f>
        <v>15</v>
      </c>
      <c r="BK20" s="788">
        <f>IF(SUM(BK21:BK25)&gt;0,AVERAGEIF(BK21:BK25,"&gt;0"),0)</f>
        <v>1</v>
      </c>
      <c r="BL20" s="891">
        <f>SUM(BL21:BL25)</f>
        <v>750000</v>
      </c>
      <c r="BM20" s="899">
        <f>SUM(BM21:BM25)</f>
        <v>15</v>
      </c>
      <c r="BN20" s="904">
        <f>SUM(BN21:BN25)</f>
        <v>15</v>
      </c>
      <c r="BO20" s="788">
        <f>IF(SUM(BO21:BO25)&gt;0,AVERAGEIF(BO21:BO25,"&gt;0"),0)</f>
        <v>1</v>
      </c>
      <c r="BP20" s="891">
        <f>SUM(BP21:BP25)</f>
        <v>750000</v>
      </c>
      <c r="BQ20" s="899">
        <f>SUM(BQ21:BQ25)</f>
        <v>15</v>
      </c>
      <c r="BR20" s="904">
        <f>SUM(BR21:BR25)</f>
        <v>15</v>
      </c>
      <c r="BS20" s="788">
        <f>IF(SUM(BS21:BS25)&gt;0,AVERAGEIF(BS21:BS25,"&gt;0"),0)</f>
        <v>1</v>
      </c>
      <c r="BT20" s="891">
        <f>SUM(BT21:BT25)</f>
        <v>750000</v>
      </c>
      <c r="BU20" s="899">
        <f>SUM(BU21:BU25)</f>
        <v>15</v>
      </c>
      <c r="BV20" s="904">
        <f>SUM(BV21:BV25)</f>
        <v>15</v>
      </c>
      <c r="BW20" s="788">
        <f>IF(SUM(BW21:BW25)&gt;0,AVERAGEIF(BW21:BW25,"&gt;0"),0)</f>
        <v>1</v>
      </c>
      <c r="BX20" s="891">
        <f>SUM(BX21:BX25)</f>
        <v>750000</v>
      </c>
      <c r="BY20" s="899">
        <f>SUM(BY21:BY25)</f>
        <v>15</v>
      </c>
      <c r="BZ20" s="904">
        <f>SUM(BZ21:BZ25)</f>
        <v>15</v>
      </c>
      <c r="CA20" s="788">
        <f>IF(SUM(CA21:CA25)&gt;0,AVERAGEIF(CA21:CA25,"&gt;0"),0)</f>
        <v>1</v>
      </c>
      <c r="CB20" s="891">
        <f>SUM(CB21:CB25)</f>
        <v>750000</v>
      </c>
      <c r="CC20" s="899">
        <f>SUM(CC21:CC25)</f>
        <v>15</v>
      </c>
      <c r="CD20" s="904">
        <f>SUM(CD21:CD25)</f>
        <v>15</v>
      </c>
      <c r="CE20" s="788">
        <f>IF(SUM(CE21:CE25)&gt;0,AVERAGEIF(CE21:CE25,"&gt;0"),0)</f>
        <v>1</v>
      </c>
      <c r="CF20" s="891">
        <f>SUM(CF21:CF25)</f>
        <v>750000</v>
      </c>
      <c r="CG20" s="899">
        <f>SUM(CG21:CG25)</f>
        <v>15</v>
      </c>
      <c r="CH20" s="904">
        <f>SUM(CH21:CH25)</f>
        <v>15</v>
      </c>
      <c r="CI20" s="788">
        <f>IF(SUM(CI21:CI25)&gt;0,AVERAGEIF(CI21:CI25,"&gt;0"),0)</f>
        <v>1</v>
      </c>
      <c r="CJ20" s="891">
        <f>SUM(CJ21:CJ25)</f>
        <v>750000</v>
      </c>
      <c r="CK20" s="899">
        <f>SUM(CK21:CK25)</f>
        <v>15</v>
      </c>
      <c r="CL20" s="904">
        <f>SUM(CL21:CL25)</f>
        <v>15</v>
      </c>
      <c r="CM20" s="788">
        <f>IF(SUM(CM21:CM25)&gt;0,AVERAGEIF(CM21:CM25,"&gt;0"),0)</f>
        <v>1</v>
      </c>
      <c r="CN20" s="891">
        <f>SUM(CN21:CN25)</f>
        <v>750000</v>
      </c>
      <c r="CO20" s="899">
        <f>SUM(CO21:CO25)</f>
        <v>15</v>
      </c>
      <c r="CP20" s="904">
        <f>SUM(CP21:CP25)</f>
        <v>15</v>
      </c>
      <c r="CQ20" s="788">
        <f>IF(SUM(CQ21:CQ25)&gt;0,AVERAGEIF(CQ21:CQ25,"&gt;0"),0)</f>
        <v>1</v>
      </c>
      <c r="CR20" s="891">
        <f>SUM(CR21:CR25)</f>
        <v>750000</v>
      </c>
      <c r="CS20" s="899">
        <f>SUM(CS21:CS25)</f>
        <v>15</v>
      </c>
      <c r="CT20" s="904">
        <f>SUM(CT21:CT25)</f>
        <v>15</v>
      </c>
      <c r="CU20" s="788">
        <f>IF(SUM(CU21:CU25)&gt;0,AVERAGEIF(CU21:CU25,"&gt;0"),0)</f>
        <v>1</v>
      </c>
      <c r="CV20" s="891">
        <f>SUM(CV21:CV25)</f>
        <v>750000</v>
      </c>
      <c r="CW20" s="899">
        <f>SUM(CW21:CW25)</f>
        <v>15</v>
      </c>
      <c r="CX20" s="904">
        <f>SUM(CX21:CX25)</f>
        <v>15</v>
      </c>
      <c r="CY20" s="788">
        <f>IF(SUM(CY21:CY25)&gt;0,AVERAGEIF(CY21:CY25,"&gt;0"),0)</f>
        <v>1</v>
      </c>
      <c r="CZ20" s="891">
        <f>SUM(CZ21:CZ25)</f>
        <v>750000</v>
      </c>
      <c r="DA20" s="899">
        <f>SUM(DA21:DA25)</f>
        <v>15</v>
      </c>
      <c r="DB20" s="904">
        <f>SUM(DB21:DB25)</f>
        <v>15</v>
      </c>
      <c r="DC20" s="788">
        <f>IF(SUM(DC21:DC25)&gt;0,AVERAGEIF(DC21:DC25,"&gt;0"),0)</f>
        <v>1</v>
      </c>
      <c r="DD20" s="891">
        <f>SUM(DD21:DD25)</f>
        <v>750000</v>
      </c>
      <c r="DE20" s="899">
        <f>SUM(DE21:DE25)</f>
        <v>15</v>
      </c>
      <c r="DF20" s="904">
        <f>SUM(DF21:DF25)</f>
        <v>15</v>
      </c>
      <c r="DG20" s="788">
        <f>IF(SUM(DG21:DG25)&gt;0,AVERAGEIF(DG21:DG25,"&gt;0"),0)</f>
        <v>1</v>
      </c>
      <c r="DH20" s="891">
        <f>SUM(DH21:DH25)</f>
        <v>750000</v>
      </c>
      <c r="DI20" s="899">
        <f>SUM(DI21:DI25)</f>
        <v>15</v>
      </c>
      <c r="DJ20" s="904">
        <f>SUM(DJ21:DJ25)</f>
        <v>15</v>
      </c>
      <c r="DK20" s="788">
        <f>IF(SUM(DK21:DK25)&gt;0,AVERAGEIF(DK21:DK25,"&gt;0"),0)</f>
        <v>1</v>
      </c>
      <c r="DL20" s="891">
        <f>SUM(DL21:DL25)</f>
        <v>750000</v>
      </c>
      <c r="DM20" s="899">
        <f>SUM(DM21:DM25)</f>
        <v>15</v>
      </c>
      <c r="DN20" s="904">
        <f>SUM(DN21:DN25)</f>
        <v>15</v>
      </c>
      <c r="DO20" s="788">
        <f>IF(SUM(DO21:DO25)&gt;0,AVERAGEIF(DO21:DO25,"&gt;0"),0)</f>
        <v>1</v>
      </c>
      <c r="DP20" s="891">
        <f>SUM(DP21:DP25)</f>
        <v>750000</v>
      </c>
      <c r="DQ20" s="899">
        <f>SUM(DQ21:DQ25)</f>
        <v>15</v>
      </c>
      <c r="DR20" s="904">
        <f>SUM(DR21:DR25)</f>
        <v>15</v>
      </c>
      <c r="DS20" s="788">
        <f>IF(SUM(DS21:DS25)&gt;0,AVERAGEIF(DS21:DS25,"&gt;0"),0)</f>
        <v>1</v>
      </c>
      <c r="DT20" s="891">
        <f>SUM(DT21:DT25)</f>
        <v>750000</v>
      </c>
      <c r="DU20" s="899">
        <f>SUM(DU21:DU25)</f>
        <v>15</v>
      </c>
      <c r="DV20" s="904">
        <f>SUM(DV21:DV25)</f>
        <v>15</v>
      </c>
      <c r="DW20" s="788">
        <f>IF(SUM(DW21:DW25)&gt;0,AVERAGEIF(DW21:DW25,"&gt;0"),0)</f>
        <v>1</v>
      </c>
      <c r="DX20" s="891">
        <f>SUM(DX21:DX25)</f>
        <v>750000</v>
      </c>
      <c r="DY20" s="899">
        <f>SUM(DY21:DY25)</f>
        <v>15</v>
      </c>
      <c r="DZ20" s="904">
        <f>SUM(DZ21:DZ25)</f>
        <v>15</v>
      </c>
      <c r="EA20" s="788">
        <f>IF(SUM(EA21:EA25)&gt;0,AVERAGEIF(EA21:EA25,"&gt;0"),0)</f>
        <v>1</v>
      </c>
      <c r="EB20" s="891">
        <f>SUM(EB21:EB25)</f>
        <v>750000</v>
      </c>
      <c r="EC20" s="899">
        <f>SUM(EC21:EC25)</f>
        <v>15</v>
      </c>
      <c r="ED20" s="904">
        <f>SUM(ED21:ED25)</f>
        <v>15</v>
      </c>
      <c r="EE20" s="788">
        <f>IF(SUM(EE21:EE25)&gt;0,AVERAGEIF(EE21:EE25,"&gt;0"),0)</f>
        <v>1</v>
      </c>
      <c r="EF20" s="891">
        <f>SUM(EF21:EF25)</f>
        <v>750000</v>
      </c>
    </row>
    <row r="21" spans="1:136" ht="20" customHeight="1" x14ac:dyDescent="0.15">
      <c r="A21" s="189">
        <f>_xlfn.IFS(B21=0,0,E21&gt;B21,1,E21&lt;=B21,E21/B21)</f>
        <v>0</v>
      </c>
      <c r="B21" s="946"/>
      <c r="C21" s="970" t="s">
        <v>134</v>
      </c>
      <c r="D21" s="610">
        <f>$D$20/5</f>
        <v>3500000</v>
      </c>
      <c r="E21" s="1082">
        <f>SUMIF($M$13:$EF$13,$P$13,$M21:$EF21)</f>
        <v>4650000</v>
      </c>
      <c r="F21" s="610">
        <f>E21-D21</f>
        <v>1150000</v>
      </c>
      <c r="G21" s="208">
        <f>_xlfn.IFS(F21&gt;0,1,F21&lt;=0,E21/D21)</f>
        <v>1</v>
      </c>
      <c r="H21" s="208">
        <f>IF(SUMIF(M$13:EF$13,$O$13,M21:EF21)&gt;0,AVERAGEIFS(M21:EF21,M21:EF21,"&gt;0",M$13:EF$13,$O$13),"NO NEW ORDER")</f>
        <v>0.99193548387096775</v>
      </c>
      <c r="J21" s="208">
        <f ca="1">SUMIFS($M21:$EF21,$M$11:$EF$11,TODAY()-1,$M$13:$EF$13,O$13)</f>
        <v>0</v>
      </c>
      <c r="K21" s="953"/>
      <c r="L21" s="605">
        <f ca="1">SUMIFS($M21:$EF21,$M$11:$EF$11,TODAY()-1,$M$13:$EF$13,P$13)</f>
        <v>0</v>
      </c>
      <c r="M21" s="1026">
        <v>4</v>
      </c>
      <c r="N21" s="1027">
        <v>3</v>
      </c>
      <c r="O21" s="208">
        <f>_xlfn.IFS(M21=0,0,N21&lt;=M21,N21/M21,N21&gt;M21,1)</f>
        <v>0.75</v>
      </c>
      <c r="P21" s="1029">
        <v>150000</v>
      </c>
      <c r="Q21" s="1026">
        <v>5</v>
      </c>
      <c r="R21" s="1027">
        <v>5</v>
      </c>
      <c r="S21" s="208">
        <f>_xlfn.IFS(Q21=0,0,R21&lt;=Q21,R21/Q21,R21&gt;Q21,1)</f>
        <v>1</v>
      </c>
      <c r="T21" s="1029">
        <v>150000</v>
      </c>
      <c r="U21" s="1026">
        <v>5</v>
      </c>
      <c r="V21" s="1027">
        <v>5</v>
      </c>
      <c r="W21" s="208">
        <f>_xlfn.IFS(U21=0,0,V21&lt;=U21,V21/U21,V21&gt;U21,1)</f>
        <v>1</v>
      </c>
      <c r="X21" s="1029">
        <v>150000</v>
      </c>
      <c r="Y21" s="1026">
        <v>5</v>
      </c>
      <c r="Z21" s="1027">
        <v>5</v>
      </c>
      <c r="AA21" s="208">
        <f>_xlfn.IFS(Y21=0,0,Z21&lt;=Y21,Z21/Y21,Z21&gt;Y21,1)</f>
        <v>1</v>
      </c>
      <c r="AB21" s="1029">
        <v>150000</v>
      </c>
      <c r="AC21" s="1026">
        <v>5</v>
      </c>
      <c r="AD21" s="1027">
        <v>5</v>
      </c>
      <c r="AE21" s="208">
        <f>_xlfn.IFS(AC21=0,0,AD21&lt;=AC21,AD21/AC21,AD21&gt;AC21,1)</f>
        <v>1</v>
      </c>
      <c r="AF21" s="1029">
        <v>150000</v>
      </c>
      <c r="AG21" s="1026">
        <v>5</v>
      </c>
      <c r="AH21" s="1027">
        <v>5</v>
      </c>
      <c r="AI21" s="208">
        <f>_xlfn.IFS(AG21=0,0,AH21&lt;=AG21,AH21/AG21,AH21&gt;AG21,1)</f>
        <v>1</v>
      </c>
      <c r="AJ21" s="1029">
        <v>150000</v>
      </c>
      <c r="AK21" s="1026">
        <v>5</v>
      </c>
      <c r="AL21" s="1027">
        <v>5</v>
      </c>
      <c r="AM21" s="208">
        <f>_xlfn.IFS(AK21=0,0,AL21&lt;=AK21,AL21/AK21,AL21&gt;AK21,1)</f>
        <v>1</v>
      </c>
      <c r="AN21" s="1029">
        <v>150000</v>
      </c>
      <c r="AO21" s="1026">
        <v>5</v>
      </c>
      <c r="AP21" s="1027">
        <v>5</v>
      </c>
      <c r="AQ21" s="208">
        <f>_xlfn.IFS(AO21=0,0,AP21&lt;=AO21,AP21/AO21,AP21&gt;AO21,1)</f>
        <v>1</v>
      </c>
      <c r="AR21" s="1029">
        <v>150000</v>
      </c>
      <c r="AS21" s="1026">
        <v>5</v>
      </c>
      <c r="AT21" s="1027">
        <v>5</v>
      </c>
      <c r="AU21" s="208">
        <f>_xlfn.IFS(AS21=0,0,AT21&lt;=AS21,AT21/AS21,AT21&gt;AS21,1)</f>
        <v>1</v>
      </c>
      <c r="AV21" s="1029">
        <v>150000</v>
      </c>
      <c r="AW21" s="1026">
        <v>5</v>
      </c>
      <c r="AX21" s="1027">
        <v>5</v>
      </c>
      <c r="AY21" s="208">
        <f>_xlfn.IFS(AW21=0,0,AX21&lt;=AW21,AX21/AW21,AX21&gt;AW21,1)</f>
        <v>1</v>
      </c>
      <c r="AZ21" s="1029">
        <v>150000</v>
      </c>
      <c r="BA21" s="1026">
        <v>5</v>
      </c>
      <c r="BB21" s="1027">
        <v>5</v>
      </c>
      <c r="BC21" s="208">
        <f>_xlfn.IFS(BA21=0,0,BB21&lt;=BA21,BB21/BA21,BB21&gt;BA21,1)</f>
        <v>1</v>
      </c>
      <c r="BD21" s="1029">
        <v>150000</v>
      </c>
      <c r="BE21" s="1026">
        <v>5</v>
      </c>
      <c r="BF21" s="1027">
        <v>5</v>
      </c>
      <c r="BG21" s="208">
        <f>_xlfn.IFS(BE21=0,0,BF21&lt;=BE21,BF21/BE21,BF21&gt;BE21,1)</f>
        <v>1</v>
      </c>
      <c r="BH21" s="1029">
        <v>150000</v>
      </c>
      <c r="BI21" s="1026">
        <v>5</v>
      </c>
      <c r="BJ21" s="1027">
        <v>5</v>
      </c>
      <c r="BK21" s="208">
        <f>_xlfn.IFS(BI21=0,0,BJ21&lt;=BI21,BJ21/BI21,BJ21&gt;BI21,1)</f>
        <v>1</v>
      </c>
      <c r="BL21" s="1029">
        <v>150000</v>
      </c>
      <c r="BM21" s="1026">
        <v>5</v>
      </c>
      <c r="BN21" s="1027">
        <v>5</v>
      </c>
      <c r="BO21" s="208">
        <f>_xlfn.IFS(BM21=0,0,BN21&lt;=BM21,BN21/BM21,BN21&gt;BM21,1)</f>
        <v>1</v>
      </c>
      <c r="BP21" s="1029">
        <v>150000</v>
      </c>
      <c r="BQ21" s="1026">
        <v>5</v>
      </c>
      <c r="BR21" s="1027">
        <v>5</v>
      </c>
      <c r="BS21" s="208">
        <f>_xlfn.IFS(BQ21=0,0,BR21&lt;=BQ21,BR21/BQ21,BR21&gt;BQ21,1)</f>
        <v>1</v>
      </c>
      <c r="BT21" s="1029">
        <v>150000</v>
      </c>
      <c r="BU21" s="1026">
        <v>5</v>
      </c>
      <c r="BV21" s="1027">
        <v>5</v>
      </c>
      <c r="BW21" s="208">
        <f>_xlfn.IFS(BU21=0,0,BV21&lt;=BU21,BV21/BU21,BV21&gt;BU21,1)</f>
        <v>1</v>
      </c>
      <c r="BX21" s="1029">
        <v>150000</v>
      </c>
      <c r="BY21" s="1026">
        <v>5</v>
      </c>
      <c r="BZ21" s="1027">
        <v>5</v>
      </c>
      <c r="CA21" s="208">
        <f>_xlfn.IFS(BY21=0,0,BZ21&lt;=BY21,BZ21/BY21,BZ21&gt;BY21,1)</f>
        <v>1</v>
      </c>
      <c r="CB21" s="1029">
        <v>150000</v>
      </c>
      <c r="CC21" s="1026">
        <v>5</v>
      </c>
      <c r="CD21" s="1027">
        <v>5</v>
      </c>
      <c r="CE21" s="208">
        <f>_xlfn.IFS(CC21=0,0,CD21&lt;=CC21,CD21/CC21,CD21&gt;CC21,1)</f>
        <v>1</v>
      </c>
      <c r="CF21" s="1029">
        <v>150000</v>
      </c>
      <c r="CG21" s="1026">
        <v>5</v>
      </c>
      <c r="CH21" s="1027">
        <v>5</v>
      </c>
      <c r="CI21" s="208">
        <f>_xlfn.IFS(CG21=0,0,CH21&lt;=CG21,CH21/CG21,CH21&gt;CG21,1)</f>
        <v>1</v>
      </c>
      <c r="CJ21" s="1029">
        <v>150000</v>
      </c>
      <c r="CK21" s="1026">
        <v>5</v>
      </c>
      <c r="CL21" s="1027">
        <v>5</v>
      </c>
      <c r="CM21" s="208">
        <f>_xlfn.IFS(CK21=0,0,CL21&lt;=CK21,CL21/CK21,CL21&gt;CK21,1)</f>
        <v>1</v>
      </c>
      <c r="CN21" s="1029">
        <v>150000</v>
      </c>
      <c r="CO21" s="1026">
        <v>5</v>
      </c>
      <c r="CP21" s="1027">
        <v>5</v>
      </c>
      <c r="CQ21" s="208">
        <f>_xlfn.IFS(CO21=0,0,CP21&lt;=CO21,CP21/CO21,CP21&gt;CO21,1)</f>
        <v>1</v>
      </c>
      <c r="CR21" s="1029">
        <v>150000</v>
      </c>
      <c r="CS21" s="1026">
        <v>5</v>
      </c>
      <c r="CT21" s="1027">
        <v>5</v>
      </c>
      <c r="CU21" s="208">
        <f>_xlfn.IFS(CS21=0,0,CT21&lt;=CS21,CT21/CS21,CT21&gt;CS21,1)</f>
        <v>1</v>
      </c>
      <c r="CV21" s="1029">
        <v>150000</v>
      </c>
      <c r="CW21" s="1026">
        <v>5</v>
      </c>
      <c r="CX21" s="1027">
        <v>5</v>
      </c>
      <c r="CY21" s="208">
        <f>_xlfn.IFS(CW21=0,0,CX21&lt;=CW21,CX21/CW21,CX21&gt;CW21,1)</f>
        <v>1</v>
      </c>
      <c r="CZ21" s="1029">
        <v>150000</v>
      </c>
      <c r="DA21" s="1026">
        <v>5</v>
      </c>
      <c r="DB21" s="1027">
        <v>5</v>
      </c>
      <c r="DC21" s="208">
        <f>_xlfn.IFS(DA21=0,0,DB21&lt;=DA21,DB21/DA21,DB21&gt;DA21,1)</f>
        <v>1</v>
      </c>
      <c r="DD21" s="1029">
        <v>150000</v>
      </c>
      <c r="DE21" s="1026">
        <v>5</v>
      </c>
      <c r="DF21" s="1027">
        <v>5</v>
      </c>
      <c r="DG21" s="208">
        <f>_xlfn.IFS(DE21=0,0,DF21&lt;=DE21,DF21/DE21,DF21&gt;DE21,1)</f>
        <v>1</v>
      </c>
      <c r="DH21" s="1029">
        <v>150000</v>
      </c>
      <c r="DI21" s="1026">
        <v>5</v>
      </c>
      <c r="DJ21" s="1027">
        <v>5</v>
      </c>
      <c r="DK21" s="208">
        <f>_xlfn.IFS(DI21=0,0,DJ21&lt;=DI21,DJ21/DI21,DJ21&gt;DI21,1)</f>
        <v>1</v>
      </c>
      <c r="DL21" s="1029">
        <v>150000</v>
      </c>
      <c r="DM21" s="1026">
        <v>5</v>
      </c>
      <c r="DN21" s="1027">
        <v>5</v>
      </c>
      <c r="DO21" s="208">
        <f>_xlfn.IFS(DM21=0,0,DN21&lt;=DM21,DN21/DM21,DN21&gt;DM21,1)</f>
        <v>1</v>
      </c>
      <c r="DP21" s="1029">
        <v>150000</v>
      </c>
      <c r="DQ21" s="1026">
        <v>5</v>
      </c>
      <c r="DR21" s="1027">
        <v>5</v>
      </c>
      <c r="DS21" s="208">
        <f>_xlfn.IFS(DQ21=0,0,DR21&lt;=DQ21,DR21/DQ21,DR21&gt;DQ21,1)</f>
        <v>1</v>
      </c>
      <c r="DT21" s="1029">
        <v>150000</v>
      </c>
      <c r="DU21" s="1026">
        <v>5</v>
      </c>
      <c r="DV21" s="1027">
        <v>5</v>
      </c>
      <c r="DW21" s="208">
        <f>_xlfn.IFS(DU21=0,0,DV21&lt;=DU21,DV21/DU21,DV21&gt;DU21,1)</f>
        <v>1</v>
      </c>
      <c r="DX21" s="1029">
        <v>150000</v>
      </c>
      <c r="DY21" s="1026">
        <v>5</v>
      </c>
      <c r="DZ21" s="1027">
        <v>5</v>
      </c>
      <c r="EA21" s="208">
        <f>_xlfn.IFS(DY21=0,0,DZ21&lt;=DY21,DZ21/DY21,DZ21&gt;DY21,1)</f>
        <v>1</v>
      </c>
      <c r="EB21" s="1029">
        <v>150000</v>
      </c>
      <c r="EC21" s="1026">
        <v>5</v>
      </c>
      <c r="ED21" s="1027">
        <v>5</v>
      </c>
      <c r="EE21" s="208">
        <f>_xlfn.IFS(EC21=0,0,ED21&lt;=EC21,ED21/EC21,ED21&gt;EC21,1)</f>
        <v>1</v>
      </c>
      <c r="EF21" s="1029">
        <v>150000</v>
      </c>
    </row>
    <row r="22" spans="1:136" ht="20" customHeight="1" x14ac:dyDescent="0.15">
      <c r="A22" s="189">
        <f t="shared" ref="A22:A31" si="196">_xlfn.IFS(B22=0,0,E22&gt;B22,1,E22&lt;=B22,E22/B22)</f>
        <v>0</v>
      </c>
      <c r="B22" s="946"/>
      <c r="C22" s="970" t="s">
        <v>135</v>
      </c>
      <c r="D22" s="610">
        <f t="shared" ref="D22:D25" si="197">$D$20/5</f>
        <v>3500000</v>
      </c>
      <c r="E22" s="1082">
        <f t="shared" ref="E22:E31" si="198">SUMIF($M$13:$EF$13,$P$13,$M22:$EF22)</f>
        <v>4650000</v>
      </c>
      <c r="F22" s="610">
        <f t="shared" ref="F22:F31" si="199">E22-D22</f>
        <v>1150000</v>
      </c>
      <c r="G22" s="208">
        <f t="shared" ref="G22:G31" si="200">_xlfn.IFS(F22&gt;0,1,F22&lt;=0,E22/D22)</f>
        <v>1</v>
      </c>
      <c r="H22" s="208">
        <f>IF(SUMIF(M$13:EF$13,$O$13,M22:EF22)&gt;0,AVERAGEIFS(M22:EF22,M22:EF22,"&gt;0",M$13:EF$13,$O$13),"NO NEW ORDER")</f>
        <v>1</v>
      </c>
      <c r="I22" s="954"/>
      <c r="J22" s="208">
        <f ca="1">SUMIFS($M22:$EF22,$M$11:$EF$11,TODAY()-1,$M$13:$EF$13,O$13)</f>
        <v>0</v>
      </c>
      <c r="K22" s="686"/>
      <c r="L22" s="605">
        <f t="shared" ref="L22:L31" ca="1" si="201">SUMIFS($M22:$EF22,$M$11:$EF$11,TODAY()-1,$M$13:$EF$13,P$13)</f>
        <v>0</v>
      </c>
      <c r="M22" s="1026">
        <v>1</v>
      </c>
      <c r="N22" s="1027">
        <v>0</v>
      </c>
      <c r="O22" s="208">
        <f>_xlfn.IFS(M22=0,0,N22&lt;=M22,N22/M22,N22&gt;M22,1)</f>
        <v>0</v>
      </c>
      <c r="P22" s="1029">
        <v>150000</v>
      </c>
      <c r="Q22" s="1026">
        <v>1</v>
      </c>
      <c r="R22" s="1027">
        <v>1</v>
      </c>
      <c r="S22" s="208">
        <f t="shared" ref="S22:S25" si="202">_xlfn.IFS(Q22=0,0,R22&lt;=Q22,R22/Q22,R22&gt;Q22,1)</f>
        <v>1</v>
      </c>
      <c r="T22" s="1029">
        <v>150000</v>
      </c>
      <c r="U22" s="1026">
        <v>1</v>
      </c>
      <c r="V22" s="1027">
        <v>1</v>
      </c>
      <c r="W22" s="208">
        <f t="shared" ref="W22:W25" si="203">_xlfn.IFS(U22=0,0,V22&lt;=U22,V22/U22,V22&gt;U22,1)</f>
        <v>1</v>
      </c>
      <c r="X22" s="1029">
        <v>150000</v>
      </c>
      <c r="Y22" s="1026">
        <v>1</v>
      </c>
      <c r="Z22" s="1027">
        <v>1</v>
      </c>
      <c r="AA22" s="208">
        <f t="shared" ref="AA22:AA25" si="204">_xlfn.IFS(Y22=0,0,Z22&lt;=Y22,Z22/Y22,Z22&gt;Y22,1)</f>
        <v>1</v>
      </c>
      <c r="AB22" s="1029">
        <v>150000</v>
      </c>
      <c r="AC22" s="1026">
        <v>1</v>
      </c>
      <c r="AD22" s="1027">
        <v>1</v>
      </c>
      <c r="AE22" s="208">
        <f t="shared" ref="AE22:AE25" si="205">_xlfn.IFS(AC22=0,0,AD22&lt;=AC22,AD22/AC22,AD22&gt;AC22,1)</f>
        <v>1</v>
      </c>
      <c r="AF22" s="1029">
        <v>150000</v>
      </c>
      <c r="AG22" s="1026">
        <v>1</v>
      </c>
      <c r="AH22" s="1027">
        <v>1</v>
      </c>
      <c r="AI22" s="208">
        <f t="shared" ref="AI22:AI25" si="206">_xlfn.IFS(AG22=0,0,AH22&lt;=AG22,AH22/AG22,AH22&gt;AG22,1)</f>
        <v>1</v>
      </c>
      <c r="AJ22" s="1029">
        <v>150000</v>
      </c>
      <c r="AK22" s="1026">
        <v>1</v>
      </c>
      <c r="AL22" s="1027">
        <v>1</v>
      </c>
      <c r="AM22" s="208">
        <f t="shared" ref="AM22:AM25" si="207">_xlfn.IFS(AK22=0,0,AL22&lt;=AK22,AL22/AK22,AL22&gt;AK22,1)</f>
        <v>1</v>
      </c>
      <c r="AN22" s="1029">
        <v>150000</v>
      </c>
      <c r="AO22" s="1026">
        <v>1</v>
      </c>
      <c r="AP22" s="1027">
        <v>1</v>
      </c>
      <c r="AQ22" s="208">
        <f t="shared" ref="AQ22:AQ25" si="208">_xlfn.IFS(AO22=0,0,AP22&lt;=AO22,AP22/AO22,AP22&gt;AO22,1)</f>
        <v>1</v>
      </c>
      <c r="AR22" s="1029">
        <v>150000</v>
      </c>
      <c r="AS22" s="1026">
        <v>1</v>
      </c>
      <c r="AT22" s="1027">
        <v>1</v>
      </c>
      <c r="AU22" s="208">
        <f t="shared" ref="AU22:AU25" si="209">_xlfn.IFS(AS22=0,0,AT22&lt;=AS22,AT22/AS22,AT22&gt;AS22,1)</f>
        <v>1</v>
      </c>
      <c r="AV22" s="1029">
        <v>150000</v>
      </c>
      <c r="AW22" s="1026">
        <v>1</v>
      </c>
      <c r="AX22" s="1027">
        <v>1</v>
      </c>
      <c r="AY22" s="208">
        <f t="shared" ref="AY22:AY25" si="210">_xlfn.IFS(AW22=0,0,AX22&lt;=AW22,AX22/AW22,AX22&gt;AW22,1)</f>
        <v>1</v>
      </c>
      <c r="AZ22" s="1029">
        <v>150000</v>
      </c>
      <c r="BA22" s="1026">
        <v>1</v>
      </c>
      <c r="BB22" s="1027">
        <v>1</v>
      </c>
      <c r="BC22" s="208">
        <f t="shared" ref="BC22:BC25" si="211">_xlfn.IFS(BA22=0,0,BB22&lt;=BA22,BB22/BA22,BB22&gt;BA22,1)</f>
        <v>1</v>
      </c>
      <c r="BD22" s="1029">
        <v>150000</v>
      </c>
      <c r="BE22" s="1026">
        <v>1</v>
      </c>
      <c r="BF22" s="1027">
        <v>1</v>
      </c>
      <c r="BG22" s="208">
        <f t="shared" ref="BG22:BG25" si="212">_xlfn.IFS(BE22=0,0,BF22&lt;=BE22,BF22/BE22,BF22&gt;BE22,1)</f>
        <v>1</v>
      </c>
      <c r="BH22" s="1029">
        <v>150000</v>
      </c>
      <c r="BI22" s="1026">
        <v>1</v>
      </c>
      <c r="BJ22" s="1027">
        <v>1</v>
      </c>
      <c r="BK22" s="208">
        <f t="shared" ref="BK22:BK25" si="213">_xlfn.IFS(BI22=0,0,BJ22&lt;=BI22,BJ22/BI22,BJ22&gt;BI22,1)</f>
        <v>1</v>
      </c>
      <c r="BL22" s="1029">
        <v>150000</v>
      </c>
      <c r="BM22" s="1026">
        <v>1</v>
      </c>
      <c r="BN22" s="1027">
        <v>1</v>
      </c>
      <c r="BO22" s="208">
        <f t="shared" ref="BO22:BO25" si="214">_xlfn.IFS(BM22=0,0,BN22&lt;=BM22,BN22/BM22,BN22&gt;BM22,1)</f>
        <v>1</v>
      </c>
      <c r="BP22" s="1029">
        <v>150000</v>
      </c>
      <c r="BQ22" s="1026">
        <v>1</v>
      </c>
      <c r="BR22" s="1027">
        <v>1</v>
      </c>
      <c r="BS22" s="208">
        <f t="shared" ref="BS22:BS25" si="215">_xlfn.IFS(BQ22=0,0,BR22&lt;=BQ22,BR22/BQ22,BR22&gt;BQ22,1)</f>
        <v>1</v>
      </c>
      <c r="BT22" s="1029">
        <v>150000</v>
      </c>
      <c r="BU22" s="1026">
        <v>1</v>
      </c>
      <c r="BV22" s="1027">
        <v>1</v>
      </c>
      <c r="BW22" s="208">
        <f t="shared" ref="BW22:BW25" si="216">_xlfn.IFS(BU22=0,0,BV22&lt;=BU22,BV22/BU22,BV22&gt;BU22,1)</f>
        <v>1</v>
      </c>
      <c r="BX22" s="1029">
        <v>150000</v>
      </c>
      <c r="BY22" s="1026">
        <v>1</v>
      </c>
      <c r="BZ22" s="1027">
        <v>1</v>
      </c>
      <c r="CA22" s="208">
        <f t="shared" ref="CA22:CA25" si="217">_xlfn.IFS(BY22=0,0,BZ22&lt;=BY22,BZ22/BY22,BZ22&gt;BY22,1)</f>
        <v>1</v>
      </c>
      <c r="CB22" s="1029">
        <v>150000</v>
      </c>
      <c r="CC22" s="1026">
        <v>1</v>
      </c>
      <c r="CD22" s="1027">
        <v>1</v>
      </c>
      <c r="CE22" s="208">
        <f t="shared" ref="CE22:CE25" si="218">_xlfn.IFS(CC22=0,0,CD22&lt;=CC22,CD22/CC22,CD22&gt;CC22,1)</f>
        <v>1</v>
      </c>
      <c r="CF22" s="1029">
        <v>150000</v>
      </c>
      <c r="CG22" s="1026">
        <v>1</v>
      </c>
      <c r="CH22" s="1027">
        <v>1</v>
      </c>
      <c r="CI22" s="208">
        <f t="shared" ref="CI22:CI25" si="219">_xlfn.IFS(CG22=0,0,CH22&lt;=CG22,CH22/CG22,CH22&gt;CG22,1)</f>
        <v>1</v>
      </c>
      <c r="CJ22" s="1029">
        <v>150000</v>
      </c>
      <c r="CK22" s="1026">
        <v>1</v>
      </c>
      <c r="CL22" s="1027">
        <v>1</v>
      </c>
      <c r="CM22" s="208">
        <f t="shared" ref="CM22:CM25" si="220">_xlfn.IFS(CK22=0,0,CL22&lt;=CK22,CL22/CK22,CL22&gt;CK22,1)</f>
        <v>1</v>
      </c>
      <c r="CN22" s="1029">
        <v>150000</v>
      </c>
      <c r="CO22" s="1026">
        <v>1</v>
      </c>
      <c r="CP22" s="1027">
        <v>1</v>
      </c>
      <c r="CQ22" s="208">
        <f t="shared" ref="CQ22:CQ25" si="221">_xlfn.IFS(CO22=0,0,CP22&lt;=CO22,CP22/CO22,CP22&gt;CO22,1)</f>
        <v>1</v>
      </c>
      <c r="CR22" s="1029">
        <v>150000</v>
      </c>
      <c r="CS22" s="1026">
        <v>1</v>
      </c>
      <c r="CT22" s="1027">
        <v>1</v>
      </c>
      <c r="CU22" s="208">
        <f t="shared" ref="CU22:CU25" si="222">_xlfn.IFS(CS22=0,0,CT22&lt;=CS22,CT22/CS22,CT22&gt;CS22,1)</f>
        <v>1</v>
      </c>
      <c r="CV22" s="1029">
        <v>150000</v>
      </c>
      <c r="CW22" s="1026">
        <v>1</v>
      </c>
      <c r="CX22" s="1027">
        <v>1</v>
      </c>
      <c r="CY22" s="208">
        <f t="shared" ref="CY22:CY25" si="223">_xlfn.IFS(CW22=0,0,CX22&lt;=CW22,CX22/CW22,CX22&gt;CW22,1)</f>
        <v>1</v>
      </c>
      <c r="CZ22" s="1029">
        <v>150000</v>
      </c>
      <c r="DA22" s="1026">
        <v>1</v>
      </c>
      <c r="DB22" s="1027">
        <v>1</v>
      </c>
      <c r="DC22" s="208">
        <f t="shared" ref="DC22:DC25" si="224">_xlfn.IFS(DA22=0,0,DB22&lt;=DA22,DB22/DA22,DB22&gt;DA22,1)</f>
        <v>1</v>
      </c>
      <c r="DD22" s="1029">
        <v>150000</v>
      </c>
      <c r="DE22" s="1026">
        <v>1</v>
      </c>
      <c r="DF22" s="1027">
        <v>1</v>
      </c>
      <c r="DG22" s="208">
        <f t="shared" ref="DG22:DG25" si="225">_xlfn.IFS(DE22=0,0,DF22&lt;=DE22,DF22/DE22,DF22&gt;DE22,1)</f>
        <v>1</v>
      </c>
      <c r="DH22" s="1029">
        <v>150000</v>
      </c>
      <c r="DI22" s="1026">
        <v>1</v>
      </c>
      <c r="DJ22" s="1027">
        <v>1</v>
      </c>
      <c r="DK22" s="208">
        <f t="shared" ref="DK22:DK25" si="226">_xlfn.IFS(DI22=0,0,DJ22&lt;=DI22,DJ22/DI22,DJ22&gt;DI22,1)</f>
        <v>1</v>
      </c>
      <c r="DL22" s="1029">
        <v>150000</v>
      </c>
      <c r="DM22" s="1026">
        <v>1</v>
      </c>
      <c r="DN22" s="1027">
        <v>1</v>
      </c>
      <c r="DO22" s="208">
        <f t="shared" ref="DO22:DO25" si="227">_xlfn.IFS(DM22=0,0,DN22&lt;=DM22,DN22/DM22,DN22&gt;DM22,1)</f>
        <v>1</v>
      </c>
      <c r="DP22" s="1029">
        <v>150000</v>
      </c>
      <c r="DQ22" s="1026">
        <v>1</v>
      </c>
      <c r="DR22" s="1027">
        <v>1</v>
      </c>
      <c r="DS22" s="208">
        <f t="shared" ref="DS22:DS25" si="228">_xlfn.IFS(DQ22=0,0,DR22&lt;=DQ22,DR22/DQ22,DR22&gt;DQ22,1)</f>
        <v>1</v>
      </c>
      <c r="DT22" s="1029">
        <v>150000</v>
      </c>
      <c r="DU22" s="1026">
        <v>1</v>
      </c>
      <c r="DV22" s="1027">
        <v>1</v>
      </c>
      <c r="DW22" s="208">
        <f t="shared" ref="DW22:DW25" si="229">_xlfn.IFS(DU22=0,0,DV22&lt;=DU22,DV22/DU22,DV22&gt;DU22,1)</f>
        <v>1</v>
      </c>
      <c r="DX22" s="1029">
        <v>150000</v>
      </c>
      <c r="DY22" s="1026">
        <v>1</v>
      </c>
      <c r="DZ22" s="1027">
        <v>1</v>
      </c>
      <c r="EA22" s="208">
        <f t="shared" ref="EA22:EA25" si="230">_xlfn.IFS(DY22=0,0,DZ22&lt;=DY22,DZ22/DY22,DZ22&gt;DY22,1)</f>
        <v>1</v>
      </c>
      <c r="EB22" s="1029">
        <v>150000</v>
      </c>
      <c r="EC22" s="1026">
        <v>1</v>
      </c>
      <c r="ED22" s="1027">
        <v>1</v>
      </c>
      <c r="EE22" s="208">
        <f t="shared" ref="EE22:EE25" si="231">_xlfn.IFS(EC22=0,0,ED22&lt;=EC22,ED22/EC22,ED22&gt;EC22,1)</f>
        <v>1</v>
      </c>
      <c r="EF22" s="1029">
        <v>150000</v>
      </c>
    </row>
    <row r="23" spans="1:136" ht="20" customHeight="1" x14ac:dyDescent="0.15">
      <c r="A23" s="189">
        <f t="shared" si="196"/>
        <v>0</v>
      </c>
      <c r="B23" s="946"/>
      <c r="C23" s="971" t="s">
        <v>136</v>
      </c>
      <c r="D23" s="610">
        <f t="shared" si="197"/>
        <v>3500000</v>
      </c>
      <c r="E23" s="1082">
        <f t="shared" si="198"/>
        <v>4650000</v>
      </c>
      <c r="F23" s="610">
        <f t="shared" si="199"/>
        <v>1150000</v>
      </c>
      <c r="G23" s="208">
        <f t="shared" si="200"/>
        <v>1</v>
      </c>
      <c r="H23" s="208">
        <f t="shared" ref="H23:H25" si="232">IF(SUMIF(M$13:EF$13,$O$13,M23:EF23)&gt;0,AVERAGEIFS(M23:EF23,M23:EF23,"&gt;0",M$13:EF$13,$O$13),"NO NEW ORDER")</f>
        <v>0.98924731182795689</v>
      </c>
      <c r="I23" s="954"/>
      <c r="J23" s="208">
        <f ca="1">SUMIFS($M23:$EF23,$M$11:$EF$11,TODAY()-1,$M$13:$EF$13,O$13)</f>
        <v>0</v>
      </c>
      <c r="K23" s="686"/>
      <c r="L23" s="605">
        <f t="shared" ca="1" si="201"/>
        <v>0</v>
      </c>
      <c r="M23" s="1026">
        <v>3</v>
      </c>
      <c r="N23" s="1027">
        <v>2</v>
      </c>
      <c r="O23" s="208">
        <f>_xlfn.IFS(M23=0,0,N23&lt;=M23,N23/M23,N23&gt;M23,1)</f>
        <v>0.66666666666666663</v>
      </c>
      <c r="P23" s="1029">
        <v>150000</v>
      </c>
      <c r="Q23" s="1026">
        <v>3</v>
      </c>
      <c r="R23" s="1027">
        <v>3</v>
      </c>
      <c r="S23" s="208">
        <f t="shared" si="202"/>
        <v>1</v>
      </c>
      <c r="T23" s="1029">
        <v>150000</v>
      </c>
      <c r="U23" s="1026">
        <v>3</v>
      </c>
      <c r="V23" s="1027">
        <v>3</v>
      </c>
      <c r="W23" s="208">
        <f t="shared" si="203"/>
        <v>1</v>
      </c>
      <c r="X23" s="1029">
        <v>150000</v>
      </c>
      <c r="Y23" s="1026">
        <v>3</v>
      </c>
      <c r="Z23" s="1027">
        <v>3</v>
      </c>
      <c r="AA23" s="208">
        <f t="shared" si="204"/>
        <v>1</v>
      </c>
      <c r="AB23" s="1029">
        <v>150000</v>
      </c>
      <c r="AC23" s="1026">
        <v>3</v>
      </c>
      <c r="AD23" s="1027">
        <v>3</v>
      </c>
      <c r="AE23" s="208">
        <f t="shared" si="205"/>
        <v>1</v>
      </c>
      <c r="AF23" s="1029">
        <v>150000</v>
      </c>
      <c r="AG23" s="1026">
        <v>3</v>
      </c>
      <c r="AH23" s="1027">
        <v>3</v>
      </c>
      <c r="AI23" s="208">
        <f t="shared" si="206"/>
        <v>1</v>
      </c>
      <c r="AJ23" s="1029">
        <v>150000</v>
      </c>
      <c r="AK23" s="1026">
        <v>3</v>
      </c>
      <c r="AL23" s="1027">
        <v>3</v>
      </c>
      <c r="AM23" s="208">
        <f t="shared" si="207"/>
        <v>1</v>
      </c>
      <c r="AN23" s="1029">
        <v>150000</v>
      </c>
      <c r="AO23" s="1026">
        <v>3</v>
      </c>
      <c r="AP23" s="1027">
        <v>3</v>
      </c>
      <c r="AQ23" s="208">
        <f t="shared" si="208"/>
        <v>1</v>
      </c>
      <c r="AR23" s="1029">
        <v>150000</v>
      </c>
      <c r="AS23" s="1026">
        <v>3</v>
      </c>
      <c r="AT23" s="1027">
        <v>3</v>
      </c>
      <c r="AU23" s="208">
        <f t="shared" si="209"/>
        <v>1</v>
      </c>
      <c r="AV23" s="1029">
        <v>150000</v>
      </c>
      <c r="AW23" s="1026">
        <v>3</v>
      </c>
      <c r="AX23" s="1027">
        <v>3</v>
      </c>
      <c r="AY23" s="208">
        <f t="shared" si="210"/>
        <v>1</v>
      </c>
      <c r="AZ23" s="1029">
        <v>150000</v>
      </c>
      <c r="BA23" s="1026">
        <v>3</v>
      </c>
      <c r="BB23" s="1027">
        <v>3</v>
      </c>
      <c r="BC23" s="208">
        <f t="shared" si="211"/>
        <v>1</v>
      </c>
      <c r="BD23" s="1029">
        <v>150000</v>
      </c>
      <c r="BE23" s="1026">
        <v>3</v>
      </c>
      <c r="BF23" s="1027">
        <v>3</v>
      </c>
      <c r="BG23" s="208">
        <f t="shared" si="212"/>
        <v>1</v>
      </c>
      <c r="BH23" s="1029">
        <v>150000</v>
      </c>
      <c r="BI23" s="1026">
        <v>3</v>
      </c>
      <c r="BJ23" s="1027">
        <v>3</v>
      </c>
      <c r="BK23" s="208">
        <f t="shared" si="213"/>
        <v>1</v>
      </c>
      <c r="BL23" s="1029">
        <v>150000</v>
      </c>
      <c r="BM23" s="1026">
        <v>3</v>
      </c>
      <c r="BN23" s="1027">
        <v>3</v>
      </c>
      <c r="BO23" s="208">
        <f t="shared" si="214"/>
        <v>1</v>
      </c>
      <c r="BP23" s="1029">
        <v>150000</v>
      </c>
      <c r="BQ23" s="1026">
        <v>3</v>
      </c>
      <c r="BR23" s="1027">
        <v>3</v>
      </c>
      <c r="BS23" s="208">
        <f t="shared" si="215"/>
        <v>1</v>
      </c>
      <c r="BT23" s="1029">
        <v>150000</v>
      </c>
      <c r="BU23" s="1026">
        <v>3</v>
      </c>
      <c r="BV23" s="1027">
        <v>3</v>
      </c>
      <c r="BW23" s="208">
        <f t="shared" si="216"/>
        <v>1</v>
      </c>
      <c r="BX23" s="1029">
        <v>150000</v>
      </c>
      <c r="BY23" s="1026">
        <v>3</v>
      </c>
      <c r="BZ23" s="1027">
        <v>3</v>
      </c>
      <c r="CA23" s="208">
        <f t="shared" si="217"/>
        <v>1</v>
      </c>
      <c r="CB23" s="1029">
        <v>150000</v>
      </c>
      <c r="CC23" s="1026">
        <v>3</v>
      </c>
      <c r="CD23" s="1027">
        <v>3</v>
      </c>
      <c r="CE23" s="208">
        <f t="shared" si="218"/>
        <v>1</v>
      </c>
      <c r="CF23" s="1029">
        <v>150000</v>
      </c>
      <c r="CG23" s="1026">
        <v>3</v>
      </c>
      <c r="CH23" s="1027">
        <v>3</v>
      </c>
      <c r="CI23" s="208">
        <f t="shared" si="219"/>
        <v>1</v>
      </c>
      <c r="CJ23" s="1029">
        <v>150000</v>
      </c>
      <c r="CK23" s="1026">
        <v>3</v>
      </c>
      <c r="CL23" s="1027">
        <v>3</v>
      </c>
      <c r="CM23" s="208">
        <f t="shared" si="220"/>
        <v>1</v>
      </c>
      <c r="CN23" s="1029">
        <v>150000</v>
      </c>
      <c r="CO23" s="1026">
        <v>3</v>
      </c>
      <c r="CP23" s="1027">
        <v>3</v>
      </c>
      <c r="CQ23" s="208">
        <f t="shared" si="221"/>
        <v>1</v>
      </c>
      <c r="CR23" s="1029">
        <v>150000</v>
      </c>
      <c r="CS23" s="1026">
        <v>3</v>
      </c>
      <c r="CT23" s="1027">
        <v>3</v>
      </c>
      <c r="CU23" s="208">
        <f t="shared" si="222"/>
        <v>1</v>
      </c>
      <c r="CV23" s="1029">
        <v>150000</v>
      </c>
      <c r="CW23" s="1026">
        <v>3</v>
      </c>
      <c r="CX23" s="1027">
        <v>3</v>
      </c>
      <c r="CY23" s="208">
        <f t="shared" si="223"/>
        <v>1</v>
      </c>
      <c r="CZ23" s="1029">
        <v>150000</v>
      </c>
      <c r="DA23" s="1026">
        <v>3</v>
      </c>
      <c r="DB23" s="1027">
        <v>3</v>
      </c>
      <c r="DC23" s="208">
        <f t="shared" si="224"/>
        <v>1</v>
      </c>
      <c r="DD23" s="1029">
        <v>150000</v>
      </c>
      <c r="DE23" s="1026">
        <v>3</v>
      </c>
      <c r="DF23" s="1027">
        <v>3</v>
      </c>
      <c r="DG23" s="208">
        <f t="shared" si="225"/>
        <v>1</v>
      </c>
      <c r="DH23" s="1029">
        <v>150000</v>
      </c>
      <c r="DI23" s="1026">
        <v>3</v>
      </c>
      <c r="DJ23" s="1027">
        <v>3</v>
      </c>
      <c r="DK23" s="208">
        <f t="shared" si="226"/>
        <v>1</v>
      </c>
      <c r="DL23" s="1029">
        <v>150000</v>
      </c>
      <c r="DM23" s="1026">
        <v>3</v>
      </c>
      <c r="DN23" s="1027">
        <v>3</v>
      </c>
      <c r="DO23" s="208">
        <f t="shared" si="227"/>
        <v>1</v>
      </c>
      <c r="DP23" s="1029">
        <v>150000</v>
      </c>
      <c r="DQ23" s="1026">
        <v>3</v>
      </c>
      <c r="DR23" s="1027">
        <v>3</v>
      </c>
      <c r="DS23" s="208">
        <f t="shared" si="228"/>
        <v>1</v>
      </c>
      <c r="DT23" s="1029">
        <v>150000</v>
      </c>
      <c r="DU23" s="1026">
        <v>3</v>
      </c>
      <c r="DV23" s="1027">
        <v>3</v>
      </c>
      <c r="DW23" s="208">
        <f t="shared" si="229"/>
        <v>1</v>
      </c>
      <c r="DX23" s="1029">
        <v>150000</v>
      </c>
      <c r="DY23" s="1026">
        <v>3</v>
      </c>
      <c r="DZ23" s="1027">
        <v>3</v>
      </c>
      <c r="EA23" s="208">
        <f t="shared" si="230"/>
        <v>1</v>
      </c>
      <c r="EB23" s="1029">
        <v>150000</v>
      </c>
      <c r="EC23" s="1026">
        <v>3</v>
      </c>
      <c r="ED23" s="1027">
        <v>3</v>
      </c>
      <c r="EE23" s="208">
        <f t="shared" si="231"/>
        <v>1</v>
      </c>
      <c r="EF23" s="1029">
        <v>150000</v>
      </c>
    </row>
    <row r="24" spans="1:136" ht="20" customHeight="1" x14ac:dyDescent="0.15">
      <c r="A24" s="189">
        <f t="shared" si="196"/>
        <v>0</v>
      </c>
      <c r="B24" s="946"/>
      <c r="C24" s="971" t="s">
        <v>137</v>
      </c>
      <c r="D24" s="610">
        <f t="shared" si="197"/>
        <v>3500000</v>
      </c>
      <c r="E24" s="1082">
        <f t="shared" si="198"/>
        <v>4650000</v>
      </c>
      <c r="F24" s="610">
        <f t="shared" si="199"/>
        <v>1150000</v>
      </c>
      <c r="G24" s="208">
        <f t="shared" si="200"/>
        <v>1</v>
      </c>
      <c r="H24" s="208">
        <f>IF(SUMIF(M$13:EF$13,$O$13,M24:EF24)&gt;0,AVERAGEIFS(M24:EF24,M24:EF24,"&gt;0",M$13:EF$13,$O$13),"NO NEW ORDER")</f>
        <v>1</v>
      </c>
      <c r="I24" s="954"/>
      <c r="J24" s="208">
        <f ca="1">SUMIFS($M24:$EF24,$M$11:$EF$11,TODAY()-1,$M$13:$EF$13,O$13)</f>
        <v>0</v>
      </c>
      <c r="K24" s="686"/>
      <c r="L24" s="605">
        <f t="shared" ca="1" si="201"/>
        <v>0</v>
      </c>
      <c r="M24" s="1026">
        <v>3</v>
      </c>
      <c r="N24" s="1027">
        <v>3</v>
      </c>
      <c r="O24" s="208">
        <f t="shared" ref="O24:O25" si="233">_xlfn.IFS(M24=0,0,N24&lt;=M24,N24/M24,N24&gt;M24,1)</f>
        <v>1</v>
      </c>
      <c r="P24" s="1029">
        <v>150000</v>
      </c>
      <c r="Q24" s="1026">
        <v>3</v>
      </c>
      <c r="R24" s="1027">
        <v>3</v>
      </c>
      <c r="S24" s="208">
        <f t="shared" si="202"/>
        <v>1</v>
      </c>
      <c r="T24" s="1029">
        <v>150000</v>
      </c>
      <c r="U24" s="1026">
        <v>3</v>
      </c>
      <c r="V24" s="1027">
        <v>3</v>
      </c>
      <c r="W24" s="208">
        <f t="shared" si="203"/>
        <v>1</v>
      </c>
      <c r="X24" s="1029">
        <v>150000</v>
      </c>
      <c r="Y24" s="1026">
        <v>3</v>
      </c>
      <c r="Z24" s="1027">
        <v>3</v>
      </c>
      <c r="AA24" s="208">
        <f t="shared" si="204"/>
        <v>1</v>
      </c>
      <c r="AB24" s="1029">
        <v>150000</v>
      </c>
      <c r="AC24" s="1026">
        <v>3</v>
      </c>
      <c r="AD24" s="1027">
        <v>3</v>
      </c>
      <c r="AE24" s="208">
        <f t="shared" si="205"/>
        <v>1</v>
      </c>
      <c r="AF24" s="1029">
        <v>150000</v>
      </c>
      <c r="AG24" s="1026">
        <v>3</v>
      </c>
      <c r="AH24" s="1027">
        <v>3</v>
      </c>
      <c r="AI24" s="208">
        <f t="shared" si="206"/>
        <v>1</v>
      </c>
      <c r="AJ24" s="1029">
        <v>150000</v>
      </c>
      <c r="AK24" s="1026">
        <v>3</v>
      </c>
      <c r="AL24" s="1027">
        <v>3</v>
      </c>
      <c r="AM24" s="208">
        <f t="shared" si="207"/>
        <v>1</v>
      </c>
      <c r="AN24" s="1029">
        <v>150000</v>
      </c>
      <c r="AO24" s="1026">
        <v>3</v>
      </c>
      <c r="AP24" s="1027">
        <v>3</v>
      </c>
      <c r="AQ24" s="208">
        <f t="shared" si="208"/>
        <v>1</v>
      </c>
      <c r="AR24" s="1029">
        <v>150000</v>
      </c>
      <c r="AS24" s="1026">
        <v>3</v>
      </c>
      <c r="AT24" s="1027">
        <v>3</v>
      </c>
      <c r="AU24" s="208">
        <f t="shared" si="209"/>
        <v>1</v>
      </c>
      <c r="AV24" s="1029">
        <v>150000</v>
      </c>
      <c r="AW24" s="1026">
        <v>3</v>
      </c>
      <c r="AX24" s="1027">
        <v>3</v>
      </c>
      <c r="AY24" s="208">
        <f t="shared" si="210"/>
        <v>1</v>
      </c>
      <c r="AZ24" s="1029">
        <v>150000</v>
      </c>
      <c r="BA24" s="1026">
        <v>3</v>
      </c>
      <c r="BB24" s="1027">
        <v>3</v>
      </c>
      <c r="BC24" s="208">
        <f t="shared" si="211"/>
        <v>1</v>
      </c>
      <c r="BD24" s="1029">
        <v>150000</v>
      </c>
      <c r="BE24" s="1026">
        <v>3</v>
      </c>
      <c r="BF24" s="1027">
        <v>3</v>
      </c>
      <c r="BG24" s="208">
        <f t="shared" si="212"/>
        <v>1</v>
      </c>
      <c r="BH24" s="1029">
        <v>150000</v>
      </c>
      <c r="BI24" s="1026">
        <v>3</v>
      </c>
      <c r="BJ24" s="1027">
        <v>3</v>
      </c>
      <c r="BK24" s="208">
        <f t="shared" si="213"/>
        <v>1</v>
      </c>
      <c r="BL24" s="1029">
        <v>150000</v>
      </c>
      <c r="BM24" s="1026">
        <v>3</v>
      </c>
      <c r="BN24" s="1027">
        <v>3</v>
      </c>
      <c r="BO24" s="208">
        <f t="shared" si="214"/>
        <v>1</v>
      </c>
      <c r="BP24" s="1029">
        <v>150000</v>
      </c>
      <c r="BQ24" s="1026">
        <v>3</v>
      </c>
      <c r="BR24" s="1027">
        <v>3</v>
      </c>
      <c r="BS24" s="208">
        <f t="shared" si="215"/>
        <v>1</v>
      </c>
      <c r="BT24" s="1029">
        <v>150000</v>
      </c>
      <c r="BU24" s="1026">
        <v>3</v>
      </c>
      <c r="BV24" s="1027">
        <v>3</v>
      </c>
      <c r="BW24" s="208">
        <f t="shared" si="216"/>
        <v>1</v>
      </c>
      <c r="BX24" s="1029">
        <v>150000</v>
      </c>
      <c r="BY24" s="1026">
        <v>3</v>
      </c>
      <c r="BZ24" s="1027">
        <v>3</v>
      </c>
      <c r="CA24" s="208">
        <f t="shared" si="217"/>
        <v>1</v>
      </c>
      <c r="CB24" s="1029">
        <v>150000</v>
      </c>
      <c r="CC24" s="1026">
        <v>3</v>
      </c>
      <c r="CD24" s="1027">
        <v>3</v>
      </c>
      <c r="CE24" s="208">
        <f t="shared" si="218"/>
        <v>1</v>
      </c>
      <c r="CF24" s="1029">
        <v>150000</v>
      </c>
      <c r="CG24" s="1026">
        <v>3</v>
      </c>
      <c r="CH24" s="1027">
        <v>3</v>
      </c>
      <c r="CI24" s="208">
        <f t="shared" si="219"/>
        <v>1</v>
      </c>
      <c r="CJ24" s="1029">
        <v>150000</v>
      </c>
      <c r="CK24" s="1026">
        <v>3</v>
      </c>
      <c r="CL24" s="1027">
        <v>3</v>
      </c>
      <c r="CM24" s="208">
        <f t="shared" si="220"/>
        <v>1</v>
      </c>
      <c r="CN24" s="1029">
        <v>150000</v>
      </c>
      <c r="CO24" s="1026">
        <v>3</v>
      </c>
      <c r="CP24" s="1027">
        <v>3</v>
      </c>
      <c r="CQ24" s="208">
        <f t="shared" si="221"/>
        <v>1</v>
      </c>
      <c r="CR24" s="1029">
        <v>150000</v>
      </c>
      <c r="CS24" s="1026">
        <v>3</v>
      </c>
      <c r="CT24" s="1027">
        <v>3</v>
      </c>
      <c r="CU24" s="208">
        <f t="shared" si="222"/>
        <v>1</v>
      </c>
      <c r="CV24" s="1029">
        <v>150000</v>
      </c>
      <c r="CW24" s="1026">
        <v>3</v>
      </c>
      <c r="CX24" s="1027">
        <v>3</v>
      </c>
      <c r="CY24" s="208">
        <f t="shared" si="223"/>
        <v>1</v>
      </c>
      <c r="CZ24" s="1029">
        <v>150000</v>
      </c>
      <c r="DA24" s="1026">
        <v>3</v>
      </c>
      <c r="DB24" s="1027">
        <v>3</v>
      </c>
      <c r="DC24" s="208">
        <f t="shared" si="224"/>
        <v>1</v>
      </c>
      <c r="DD24" s="1029">
        <v>150000</v>
      </c>
      <c r="DE24" s="1026">
        <v>3</v>
      </c>
      <c r="DF24" s="1027">
        <v>3</v>
      </c>
      <c r="DG24" s="208">
        <f t="shared" si="225"/>
        <v>1</v>
      </c>
      <c r="DH24" s="1029">
        <v>150000</v>
      </c>
      <c r="DI24" s="1026">
        <v>3</v>
      </c>
      <c r="DJ24" s="1027">
        <v>3</v>
      </c>
      <c r="DK24" s="208">
        <f t="shared" si="226"/>
        <v>1</v>
      </c>
      <c r="DL24" s="1029">
        <v>150000</v>
      </c>
      <c r="DM24" s="1026">
        <v>3</v>
      </c>
      <c r="DN24" s="1027">
        <v>3</v>
      </c>
      <c r="DO24" s="208">
        <f t="shared" si="227"/>
        <v>1</v>
      </c>
      <c r="DP24" s="1029">
        <v>150000</v>
      </c>
      <c r="DQ24" s="1026">
        <v>3</v>
      </c>
      <c r="DR24" s="1027">
        <v>3</v>
      </c>
      <c r="DS24" s="208">
        <f t="shared" si="228"/>
        <v>1</v>
      </c>
      <c r="DT24" s="1029">
        <v>150000</v>
      </c>
      <c r="DU24" s="1026">
        <v>3</v>
      </c>
      <c r="DV24" s="1027">
        <v>3</v>
      </c>
      <c r="DW24" s="208">
        <f t="shared" si="229"/>
        <v>1</v>
      </c>
      <c r="DX24" s="1029">
        <v>150000</v>
      </c>
      <c r="DY24" s="1026">
        <v>3</v>
      </c>
      <c r="DZ24" s="1027">
        <v>3</v>
      </c>
      <c r="EA24" s="208">
        <f t="shared" si="230"/>
        <v>1</v>
      </c>
      <c r="EB24" s="1029">
        <v>150000</v>
      </c>
      <c r="EC24" s="1026">
        <v>3</v>
      </c>
      <c r="ED24" s="1027">
        <v>3</v>
      </c>
      <c r="EE24" s="208">
        <f t="shared" si="231"/>
        <v>1</v>
      </c>
      <c r="EF24" s="1029">
        <v>150000</v>
      </c>
    </row>
    <row r="25" spans="1:136" ht="20" customHeight="1" x14ac:dyDescent="0.15">
      <c r="A25" s="189">
        <f t="shared" si="196"/>
        <v>0</v>
      </c>
      <c r="B25" s="946"/>
      <c r="C25" s="971" t="s">
        <v>138</v>
      </c>
      <c r="D25" s="610">
        <f t="shared" si="197"/>
        <v>3500000</v>
      </c>
      <c r="E25" s="1082">
        <f t="shared" si="198"/>
        <v>4650000</v>
      </c>
      <c r="F25" s="610">
        <f t="shared" si="199"/>
        <v>1150000</v>
      </c>
      <c r="G25" s="208">
        <f t="shared" si="200"/>
        <v>1</v>
      </c>
      <c r="H25" s="208">
        <f t="shared" si="232"/>
        <v>1</v>
      </c>
      <c r="I25" s="954"/>
      <c r="J25" s="208">
        <f ca="1">SUMIFS($M25:$EF25,$M$11:$EF$11,TODAY()-1,$M$13:$EF$13,O$13)</f>
        <v>0</v>
      </c>
      <c r="K25" s="686"/>
      <c r="L25" s="605">
        <f t="shared" ca="1" si="201"/>
        <v>0</v>
      </c>
      <c r="M25" s="1026">
        <v>3</v>
      </c>
      <c r="N25" s="1027">
        <v>3</v>
      </c>
      <c r="O25" s="208">
        <f t="shared" si="233"/>
        <v>1</v>
      </c>
      <c r="P25" s="1029">
        <v>150000</v>
      </c>
      <c r="Q25" s="1026">
        <v>3</v>
      </c>
      <c r="R25" s="1027">
        <v>3</v>
      </c>
      <c r="S25" s="208">
        <f t="shared" si="202"/>
        <v>1</v>
      </c>
      <c r="T25" s="1029">
        <v>150000</v>
      </c>
      <c r="U25" s="1026">
        <v>3</v>
      </c>
      <c r="V25" s="1027">
        <v>3</v>
      </c>
      <c r="W25" s="208">
        <f t="shared" si="203"/>
        <v>1</v>
      </c>
      <c r="X25" s="1029">
        <v>150000</v>
      </c>
      <c r="Y25" s="1026">
        <v>3</v>
      </c>
      <c r="Z25" s="1027">
        <v>3</v>
      </c>
      <c r="AA25" s="208">
        <f t="shared" si="204"/>
        <v>1</v>
      </c>
      <c r="AB25" s="1029">
        <v>150000</v>
      </c>
      <c r="AC25" s="1026">
        <v>3</v>
      </c>
      <c r="AD25" s="1027">
        <v>3</v>
      </c>
      <c r="AE25" s="208">
        <f t="shared" si="205"/>
        <v>1</v>
      </c>
      <c r="AF25" s="1029">
        <v>150000</v>
      </c>
      <c r="AG25" s="1026">
        <v>3</v>
      </c>
      <c r="AH25" s="1027">
        <v>3</v>
      </c>
      <c r="AI25" s="208">
        <f t="shared" si="206"/>
        <v>1</v>
      </c>
      <c r="AJ25" s="1029">
        <v>150000</v>
      </c>
      <c r="AK25" s="1026">
        <v>3</v>
      </c>
      <c r="AL25" s="1027">
        <v>3</v>
      </c>
      <c r="AM25" s="208">
        <f t="shared" si="207"/>
        <v>1</v>
      </c>
      <c r="AN25" s="1029">
        <v>150000</v>
      </c>
      <c r="AO25" s="1026">
        <v>3</v>
      </c>
      <c r="AP25" s="1027">
        <v>3</v>
      </c>
      <c r="AQ25" s="208">
        <f t="shared" si="208"/>
        <v>1</v>
      </c>
      <c r="AR25" s="1029">
        <v>150000</v>
      </c>
      <c r="AS25" s="1026">
        <v>3</v>
      </c>
      <c r="AT25" s="1027">
        <v>3</v>
      </c>
      <c r="AU25" s="208">
        <f t="shared" si="209"/>
        <v>1</v>
      </c>
      <c r="AV25" s="1029">
        <v>150000</v>
      </c>
      <c r="AW25" s="1026">
        <v>3</v>
      </c>
      <c r="AX25" s="1027">
        <v>3</v>
      </c>
      <c r="AY25" s="208">
        <f t="shared" si="210"/>
        <v>1</v>
      </c>
      <c r="AZ25" s="1029">
        <v>150000</v>
      </c>
      <c r="BA25" s="1026">
        <v>3</v>
      </c>
      <c r="BB25" s="1027">
        <v>3</v>
      </c>
      <c r="BC25" s="208">
        <f t="shared" si="211"/>
        <v>1</v>
      </c>
      <c r="BD25" s="1029">
        <v>150000</v>
      </c>
      <c r="BE25" s="1026">
        <v>3</v>
      </c>
      <c r="BF25" s="1027">
        <v>3</v>
      </c>
      <c r="BG25" s="208">
        <f t="shared" si="212"/>
        <v>1</v>
      </c>
      <c r="BH25" s="1029">
        <v>150000</v>
      </c>
      <c r="BI25" s="1026">
        <v>3</v>
      </c>
      <c r="BJ25" s="1027">
        <v>3</v>
      </c>
      <c r="BK25" s="208">
        <f t="shared" si="213"/>
        <v>1</v>
      </c>
      <c r="BL25" s="1029">
        <v>150000</v>
      </c>
      <c r="BM25" s="1026">
        <v>3</v>
      </c>
      <c r="BN25" s="1027">
        <v>3</v>
      </c>
      <c r="BO25" s="208">
        <f t="shared" si="214"/>
        <v>1</v>
      </c>
      <c r="BP25" s="1029">
        <v>150000</v>
      </c>
      <c r="BQ25" s="1026">
        <v>3</v>
      </c>
      <c r="BR25" s="1027">
        <v>3</v>
      </c>
      <c r="BS25" s="208">
        <f t="shared" si="215"/>
        <v>1</v>
      </c>
      <c r="BT25" s="1029">
        <v>150000</v>
      </c>
      <c r="BU25" s="1026">
        <v>3</v>
      </c>
      <c r="BV25" s="1027">
        <v>3</v>
      </c>
      <c r="BW25" s="208">
        <f t="shared" si="216"/>
        <v>1</v>
      </c>
      <c r="BX25" s="1029">
        <v>150000</v>
      </c>
      <c r="BY25" s="1026">
        <v>3</v>
      </c>
      <c r="BZ25" s="1027">
        <v>3</v>
      </c>
      <c r="CA25" s="208">
        <f t="shared" si="217"/>
        <v>1</v>
      </c>
      <c r="CB25" s="1029">
        <v>150000</v>
      </c>
      <c r="CC25" s="1026">
        <v>3</v>
      </c>
      <c r="CD25" s="1027">
        <v>3</v>
      </c>
      <c r="CE25" s="208">
        <f t="shared" si="218"/>
        <v>1</v>
      </c>
      <c r="CF25" s="1029">
        <v>150000</v>
      </c>
      <c r="CG25" s="1026">
        <v>3</v>
      </c>
      <c r="CH25" s="1027">
        <v>3</v>
      </c>
      <c r="CI25" s="208">
        <f t="shared" si="219"/>
        <v>1</v>
      </c>
      <c r="CJ25" s="1029">
        <v>150000</v>
      </c>
      <c r="CK25" s="1026">
        <v>3</v>
      </c>
      <c r="CL25" s="1027">
        <v>3</v>
      </c>
      <c r="CM25" s="208">
        <f t="shared" si="220"/>
        <v>1</v>
      </c>
      <c r="CN25" s="1029">
        <v>150000</v>
      </c>
      <c r="CO25" s="1026">
        <v>3</v>
      </c>
      <c r="CP25" s="1027">
        <v>3</v>
      </c>
      <c r="CQ25" s="208">
        <f t="shared" si="221"/>
        <v>1</v>
      </c>
      <c r="CR25" s="1029">
        <v>150000</v>
      </c>
      <c r="CS25" s="1026">
        <v>3</v>
      </c>
      <c r="CT25" s="1027">
        <v>3</v>
      </c>
      <c r="CU25" s="208">
        <f t="shared" si="222"/>
        <v>1</v>
      </c>
      <c r="CV25" s="1029">
        <v>150000</v>
      </c>
      <c r="CW25" s="1026">
        <v>3</v>
      </c>
      <c r="CX25" s="1027">
        <v>3</v>
      </c>
      <c r="CY25" s="208">
        <f t="shared" si="223"/>
        <v>1</v>
      </c>
      <c r="CZ25" s="1029">
        <v>150000</v>
      </c>
      <c r="DA25" s="1026">
        <v>3</v>
      </c>
      <c r="DB25" s="1027">
        <v>3</v>
      </c>
      <c r="DC25" s="208">
        <f t="shared" si="224"/>
        <v>1</v>
      </c>
      <c r="DD25" s="1029">
        <v>150000</v>
      </c>
      <c r="DE25" s="1026">
        <v>3</v>
      </c>
      <c r="DF25" s="1027">
        <v>3</v>
      </c>
      <c r="DG25" s="208">
        <f t="shared" si="225"/>
        <v>1</v>
      </c>
      <c r="DH25" s="1029">
        <v>150000</v>
      </c>
      <c r="DI25" s="1026">
        <v>3</v>
      </c>
      <c r="DJ25" s="1027">
        <v>3</v>
      </c>
      <c r="DK25" s="208">
        <f t="shared" si="226"/>
        <v>1</v>
      </c>
      <c r="DL25" s="1029">
        <v>150000</v>
      </c>
      <c r="DM25" s="1026">
        <v>3</v>
      </c>
      <c r="DN25" s="1027">
        <v>3</v>
      </c>
      <c r="DO25" s="208">
        <f t="shared" si="227"/>
        <v>1</v>
      </c>
      <c r="DP25" s="1029">
        <v>150000</v>
      </c>
      <c r="DQ25" s="1026">
        <v>3</v>
      </c>
      <c r="DR25" s="1027">
        <v>3</v>
      </c>
      <c r="DS25" s="208">
        <f t="shared" si="228"/>
        <v>1</v>
      </c>
      <c r="DT25" s="1029">
        <v>150000</v>
      </c>
      <c r="DU25" s="1026">
        <v>3</v>
      </c>
      <c r="DV25" s="1027">
        <v>3</v>
      </c>
      <c r="DW25" s="208">
        <f t="shared" si="229"/>
        <v>1</v>
      </c>
      <c r="DX25" s="1029">
        <v>150000</v>
      </c>
      <c r="DY25" s="1026">
        <v>3</v>
      </c>
      <c r="DZ25" s="1027">
        <v>3</v>
      </c>
      <c r="EA25" s="208">
        <f t="shared" si="230"/>
        <v>1</v>
      </c>
      <c r="EB25" s="1029">
        <v>150000</v>
      </c>
      <c r="EC25" s="1026">
        <v>3</v>
      </c>
      <c r="ED25" s="1027">
        <v>3</v>
      </c>
      <c r="EE25" s="208">
        <f t="shared" si="231"/>
        <v>1</v>
      </c>
      <c r="EF25" s="1029">
        <v>150000</v>
      </c>
    </row>
    <row r="26" spans="1:136" ht="20" customHeight="1" x14ac:dyDescent="0.15">
      <c r="A26" s="870">
        <f t="shared" si="196"/>
        <v>0</v>
      </c>
      <c r="B26" s="947"/>
      <c r="C26" s="942" t="str">
        <f>Dashboard!K97</f>
        <v>LANDING PAGE</v>
      </c>
      <c r="D26" s="686">
        <f>Dashboard!M97</f>
        <v>87500000</v>
      </c>
      <c r="E26" s="1065">
        <f>SUMIF($M$13:$EF$13,$P$13,$M26:$EF26)</f>
        <v>15500000</v>
      </c>
      <c r="F26" s="686">
        <f t="shared" si="199"/>
        <v>-72000000</v>
      </c>
      <c r="G26" s="788">
        <f>_xlfn.IFS(F26&gt;0,1,F26&lt;=0,E26/D26)</f>
        <v>0.17714285714285713</v>
      </c>
      <c r="H26" s="788">
        <f>IF(SUMIF(M$13:EF$13,$O$13,M26:EF26)&gt;0,AVERAGEIFS(M26:EF26,M26:EF26,"&gt;0",M$13:EF$13,$O$13),"NO NEW ORDER")</f>
        <v>0.76344086021505309</v>
      </c>
      <c r="I26" s="788">
        <f>Dashboard!M118</f>
        <v>0.16041666666666665</v>
      </c>
      <c r="J26" s="1109">
        <f ca="1">IF(SUM(J27:J31)&gt;0,AVERAGEIF(J27:J31,"&gt;0"),0)</f>
        <v>0</v>
      </c>
      <c r="K26" s="984">
        <f>D26/'Action Plan'!$C$6</f>
        <v>3365384.6153846155</v>
      </c>
      <c r="L26" s="933">
        <f t="shared" ca="1" si="201"/>
        <v>0</v>
      </c>
      <c r="M26" s="900">
        <f>SUM(M27:M31)</f>
        <v>14</v>
      </c>
      <c r="N26" s="905">
        <f>SUM(N27:N31)</f>
        <v>9</v>
      </c>
      <c r="O26" s="860">
        <f>IF(SUM(O27:O31)&gt;0,AVERAGEIF(O27:O31,"&gt;0"),0)</f>
        <v>0.66666666666666663</v>
      </c>
      <c r="P26" s="896">
        <f>SUM(P27:P31)</f>
        <v>500000</v>
      </c>
      <c r="Q26" s="900">
        <f>SUM(Q27:Q31)</f>
        <v>15</v>
      </c>
      <c r="R26" s="905">
        <f>SUM(R27:R31)</f>
        <v>12</v>
      </c>
      <c r="S26" s="860">
        <f>IF(SUM(S27:S31)&gt;0,AVERAGEIF(S27:S31,"&gt;0"),0)</f>
        <v>0.76666666666666661</v>
      </c>
      <c r="T26" s="896">
        <f>SUM(T27:T31)</f>
        <v>500000</v>
      </c>
      <c r="U26" s="900">
        <f>SUM(U27:U31)</f>
        <v>15</v>
      </c>
      <c r="V26" s="905">
        <f>SUM(V27:V31)</f>
        <v>12</v>
      </c>
      <c r="W26" s="860">
        <f>IF(SUM(W27:W31)&gt;0,AVERAGEIF(W27:W31,"&gt;0"),0)</f>
        <v>0.76666666666666661</v>
      </c>
      <c r="X26" s="896">
        <f>SUM(X27:X31)</f>
        <v>500000</v>
      </c>
      <c r="Y26" s="900">
        <f>SUM(Y27:Y31)</f>
        <v>15</v>
      </c>
      <c r="Z26" s="905">
        <f>SUM(Z27:Z31)</f>
        <v>12</v>
      </c>
      <c r="AA26" s="860">
        <f>IF(SUM(AA27:AA31)&gt;0,AVERAGEIF(AA27:AA31,"&gt;0"),0)</f>
        <v>0.76666666666666661</v>
      </c>
      <c r="AB26" s="896">
        <f>SUM(AB27:AB31)</f>
        <v>500000</v>
      </c>
      <c r="AC26" s="900">
        <f>SUM(AC27:AC31)</f>
        <v>15</v>
      </c>
      <c r="AD26" s="905">
        <f>SUM(AD27:AD31)</f>
        <v>12</v>
      </c>
      <c r="AE26" s="860">
        <f>IF(SUM(AE27:AE31)&gt;0,AVERAGEIF(AE27:AE31,"&gt;0"),0)</f>
        <v>0.76666666666666661</v>
      </c>
      <c r="AF26" s="896">
        <f>SUM(AF27:AF31)</f>
        <v>500000</v>
      </c>
      <c r="AG26" s="900">
        <f>SUM(AG27:AG31)</f>
        <v>15</v>
      </c>
      <c r="AH26" s="905">
        <f>SUM(AH27:AH31)</f>
        <v>12</v>
      </c>
      <c r="AI26" s="860">
        <f>IF(SUM(AI27:AI31)&gt;0,AVERAGEIF(AI27:AI31,"&gt;0"),0)</f>
        <v>0.76666666666666661</v>
      </c>
      <c r="AJ26" s="896">
        <f>SUM(AJ27:AJ31)</f>
        <v>500000</v>
      </c>
      <c r="AK26" s="900">
        <f>SUM(AK27:AK31)</f>
        <v>15</v>
      </c>
      <c r="AL26" s="905">
        <f>SUM(AL27:AL31)</f>
        <v>12</v>
      </c>
      <c r="AM26" s="860">
        <f>IF(SUM(AM27:AM31)&gt;0,AVERAGEIF(AM27:AM31,"&gt;0"),0)</f>
        <v>0.76666666666666661</v>
      </c>
      <c r="AN26" s="896">
        <f>SUM(AN27:AN31)</f>
        <v>500000</v>
      </c>
      <c r="AO26" s="900">
        <f>SUM(AO27:AO31)</f>
        <v>15</v>
      </c>
      <c r="AP26" s="905">
        <f>SUM(AP27:AP31)</f>
        <v>12</v>
      </c>
      <c r="AQ26" s="860">
        <f>IF(SUM(AQ27:AQ31)&gt;0,AVERAGEIF(AQ27:AQ31,"&gt;0"),0)</f>
        <v>0.76666666666666661</v>
      </c>
      <c r="AR26" s="896">
        <f>SUM(AR27:AR31)</f>
        <v>500000</v>
      </c>
      <c r="AS26" s="900">
        <f>SUM(AS27:AS31)</f>
        <v>15</v>
      </c>
      <c r="AT26" s="905">
        <f>SUM(AT27:AT31)</f>
        <v>12</v>
      </c>
      <c r="AU26" s="860">
        <f>IF(SUM(AU27:AU31)&gt;0,AVERAGEIF(AU27:AU31,"&gt;0"),0)</f>
        <v>0.76666666666666661</v>
      </c>
      <c r="AV26" s="896">
        <f>SUM(AV27:AV31)</f>
        <v>500000</v>
      </c>
      <c r="AW26" s="900">
        <f>SUM(AW27:AW31)</f>
        <v>15</v>
      </c>
      <c r="AX26" s="905">
        <f>SUM(AX27:AX31)</f>
        <v>12</v>
      </c>
      <c r="AY26" s="860">
        <f>IF(SUM(AY27:AY31)&gt;0,AVERAGEIF(AY27:AY31,"&gt;0"),0)</f>
        <v>0.76666666666666661</v>
      </c>
      <c r="AZ26" s="896">
        <f>SUM(AZ27:AZ31)</f>
        <v>500000</v>
      </c>
      <c r="BA26" s="900">
        <f>SUM(BA27:BA31)</f>
        <v>15</v>
      </c>
      <c r="BB26" s="905">
        <f>SUM(BB27:BB31)</f>
        <v>12</v>
      </c>
      <c r="BC26" s="860">
        <f>IF(SUM(BC27:BC31)&gt;0,AVERAGEIF(BC27:BC31,"&gt;0"),0)</f>
        <v>0.76666666666666661</v>
      </c>
      <c r="BD26" s="896">
        <f>SUM(BD27:BD31)</f>
        <v>500000</v>
      </c>
      <c r="BE26" s="900">
        <f>SUM(BE27:BE31)</f>
        <v>15</v>
      </c>
      <c r="BF26" s="905">
        <f>SUM(BF27:BF31)</f>
        <v>12</v>
      </c>
      <c r="BG26" s="860">
        <f>IF(SUM(BG27:BG31)&gt;0,AVERAGEIF(BG27:BG31,"&gt;0"),0)</f>
        <v>0.76666666666666661</v>
      </c>
      <c r="BH26" s="896">
        <f>SUM(BH27:BH31)</f>
        <v>500000</v>
      </c>
      <c r="BI26" s="900">
        <f>SUM(BI27:BI31)</f>
        <v>15</v>
      </c>
      <c r="BJ26" s="905">
        <f>SUM(BJ27:BJ31)</f>
        <v>12</v>
      </c>
      <c r="BK26" s="860">
        <f>IF(SUM(BK27:BK31)&gt;0,AVERAGEIF(BK27:BK31,"&gt;0"),0)</f>
        <v>0.76666666666666661</v>
      </c>
      <c r="BL26" s="896">
        <f>SUM(BL27:BL31)</f>
        <v>500000</v>
      </c>
      <c r="BM26" s="900">
        <f>SUM(BM27:BM31)</f>
        <v>15</v>
      </c>
      <c r="BN26" s="905">
        <f>SUM(BN27:BN31)</f>
        <v>12</v>
      </c>
      <c r="BO26" s="860">
        <f>IF(SUM(BO27:BO31)&gt;0,AVERAGEIF(BO27:BO31,"&gt;0"),0)</f>
        <v>0.76666666666666661</v>
      </c>
      <c r="BP26" s="896">
        <f>SUM(BP27:BP31)</f>
        <v>500000</v>
      </c>
      <c r="BQ26" s="900">
        <f>SUM(BQ27:BQ31)</f>
        <v>15</v>
      </c>
      <c r="BR26" s="905">
        <f>SUM(BR27:BR31)</f>
        <v>12</v>
      </c>
      <c r="BS26" s="860">
        <f>IF(SUM(BS27:BS31)&gt;0,AVERAGEIF(BS27:BS31,"&gt;0"),0)</f>
        <v>0.76666666666666661</v>
      </c>
      <c r="BT26" s="896">
        <f>SUM(BT27:BT31)</f>
        <v>500000</v>
      </c>
      <c r="BU26" s="900">
        <f>SUM(BU27:BU31)</f>
        <v>15</v>
      </c>
      <c r="BV26" s="905">
        <f>SUM(BV27:BV31)</f>
        <v>12</v>
      </c>
      <c r="BW26" s="860">
        <f>IF(SUM(BW27:BW31)&gt;0,AVERAGEIF(BW27:BW31,"&gt;0"),0)</f>
        <v>0.76666666666666661</v>
      </c>
      <c r="BX26" s="896">
        <f>SUM(BX27:BX31)</f>
        <v>500000</v>
      </c>
      <c r="BY26" s="900">
        <f>SUM(BY27:BY31)</f>
        <v>15</v>
      </c>
      <c r="BZ26" s="905">
        <f>SUM(BZ27:BZ31)</f>
        <v>12</v>
      </c>
      <c r="CA26" s="860">
        <f>IF(SUM(CA27:CA31)&gt;0,AVERAGEIF(CA27:CA31,"&gt;0"),0)</f>
        <v>0.76666666666666661</v>
      </c>
      <c r="CB26" s="896">
        <f>SUM(CB27:CB31)</f>
        <v>500000</v>
      </c>
      <c r="CC26" s="900">
        <f>SUM(CC27:CC31)</f>
        <v>15</v>
      </c>
      <c r="CD26" s="905">
        <f>SUM(CD27:CD31)</f>
        <v>12</v>
      </c>
      <c r="CE26" s="860">
        <f>IF(SUM(CE27:CE31)&gt;0,AVERAGEIF(CE27:CE31,"&gt;0"),0)</f>
        <v>0.76666666666666661</v>
      </c>
      <c r="CF26" s="896">
        <f>SUM(CF27:CF31)</f>
        <v>500000</v>
      </c>
      <c r="CG26" s="900">
        <f>SUM(CG27:CG31)</f>
        <v>15</v>
      </c>
      <c r="CH26" s="905">
        <f>SUM(CH27:CH31)</f>
        <v>12</v>
      </c>
      <c r="CI26" s="860">
        <f>IF(SUM(CI27:CI31)&gt;0,AVERAGEIF(CI27:CI31,"&gt;0"),0)</f>
        <v>0.76666666666666661</v>
      </c>
      <c r="CJ26" s="896">
        <f>SUM(CJ27:CJ31)</f>
        <v>500000</v>
      </c>
      <c r="CK26" s="900">
        <f>SUM(CK27:CK31)</f>
        <v>15</v>
      </c>
      <c r="CL26" s="905">
        <f>SUM(CL27:CL31)</f>
        <v>12</v>
      </c>
      <c r="CM26" s="860">
        <f>IF(SUM(CM27:CM31)&gt;0,AVERAGEIF(CM27:CM31,"&gt;0"),0)</f>
        <v>0.76666666666666661</v>
      </c>
      <c r="CN26" s="896">
        <f>SUM(CN27:CN31)</f>
        <v>500000</v>
      </c>
      <c r="CO26" s="900">
        <f>SUM(CO27:CO31)</f>
        <v>15</v>
      </c>
      <c r="CP26" s="905">
        <f>SUM(CP27:CP31)</f>
        <v>12</v>
      </c>
      <c r="CQ26" s="860">
        <f>IF(SUM(CQ27:CQ31)&gt;0,AVERAGEIF(CQ27:CQ31,"&gt;0"),0)</f>
        <v>0.76666666666666661</v>
      </c>
      <c r="CR26" s="896">
        <f>SUM(CR27:CR31)</f>
        <v>500000</v>
      </c>
      <c r="CS26" s="900">
        <f>SUM(CS27:CS31)</f>
        <v>15</v>
      </c>
      <c r="CT26" s="905">
        <f>SUM(CT27:CT31)</f>
        <v>12</v>
      </c>
      <c r="CU26" s="860">
        <f>IF(SUM(CU27:CU31)&gt;0,AVERAGEIF(CU27:CU31,"&gt;0"),0)</f>
        <v>0.76666666666666661</v>
      </c>
      <c r="CV26" s="896">
        <f>SUM(CV27:CV31)</f>
        <v>500000</v>
      </c>
      <c r="CW26" s="900">
        <f>SUM(CW27:CW31)</f>
        <v>15</v>
      </c>
      <c r="CX26" s="905">
        <f>SUM(CX27:CX31)</f>
        <v>12</v>
      </c>
      <c r="CY26" s="860">
        <f>IF(SUM(CY27:CY31)&gt;0,AVERAGEIF(CY27:CY31,"&gt;0"),0)</f>
        <v>0.76666666666666661</v>
      </c>
      <c r="CZ26" s="896">
        <f>SUM(CZ27:CZ31)</f>
        <v>500000</v>
      </c>
      <c r="DA26" s="900">
        <f>SUM(DA27:DA31)</f>
        <v>15</v>
      </c>
      <c r="DB26" s="905">
        <f>SUM(DB27:DB31)</f>
        <v>12</v>
      </c>
      <c r="DC26" s="860">
        <f>IF(SUM(DC27:DC31)&gt;0,AVERAGEIF(DC27:DC31,"&gt;0"),0)</f>
        <v>0.76666666666666661</v>
      </c>
      <c r="DD26" s="896">
        <f>SUM(DD27:DD31)</f>
        <v>500000</v>
      </c>
      <c r="DE26" s="900">
        <f>SUM(DE27:DE31)</f>
        <v>15</v>
      </c>
      <c r="DF26" s="905">
        <f>SUM(DF27:DF31)</f>
        <v>12</v>
      </c>
      <c r="DG26" s="860">
        <f>IF(SUM(DG27:DG31)&gt;0,AVERAGEIF(DG27:DG31,"&gt;0"),0)</f>
        <v>0.76666666666666661</v>
      </c>
      <c r="DH26" s="896">
        <f>SUM(DH27:DH31)</f>
        <v>500000</v>
      </c>
      <c r="DI26" s="900">
        <f>SUM(DI27:DI31)</f>
        <v>15</v>
      </c>
      <c r="DJ26" s="905">
        <f>SUM(DJ27:DJ31)</f>
        <v>12</v>
      </c>
      <c r="DK26" s="860">
        <f>IF(SUM(DK27:DK31)&gt;0,AVERAGEIF(DK27:DK31,"&gt;0"),0)</f>
        <v>0.76666666666666661</v>
      </c>
      <c r="DL26" s="896">
        <f>SUM(DL27:DL31)</f>
        <v>500000</v>
      </c>
      <c r="DM26" s="900">
        <f>SUM(DM27:DM31)</f>
        <v>15</v>
      </c>
      <c r="DN26" s="905">
        <f>SUM(DN27:DN31)</f>
        <v>12</v>
      </c>
      <c r="DO26" s="860">
        <f>IF(SUM(DO27:DO31)&gt;0,AVERAGEIF(DO27:DO31,"&gt;0"),0)</f>
        <v>0.76666666666666661</v>
      </c>
      <c r="DP26" s="896">
        <f>SUM(DP27:DP31)</f>
        <v>500000</v>
      </c>
      <c r="DQ26" s="900">
        <f>SUM(DQ27:DQ31)</f>
        <v>15</v>
      </c>
      <c r="DR26" s="905">
        <f>SUM(DR27:DR31)</f>
        <v>12</v>
      </c>
      <c r="DS26" s="860">
        <f>IF(SUM(DS27:DS31)&gt;0,AVERAGEIF(DS27:DS31,"&gt;0"),0)</f>
        <v>0.76666666666666661</v>
      </c>
      <c r="DT26" s="896">
        <f>SUM(DT27:DT31)</f>
        <v>500000</v>
      </c>
      <c r="DU26" s="900">
        <f>SUM(DU27:DU31)</f>
        <v>15</v>
      </c>
      <c r="DV26" s="905">
        <f>SUM(DV27:DV31)</f>
        <v>12</v>
      </c>
      <c r="DW26" s="860">
        <f>IF(SUM(DW27:DW31)&gt;0,AVERAGEIF(DW27:DW31,"&gt;0"),0)</f>
        <v>0.76666666666666661</v>
      </c>
      <c r="DX26" s="896">
        <f>SUM(DX27:DX31)</f>
        <v>500000</v>
      </c>
      <c r="DY26" s="900">
        <f>SUM(DY27:DY31)</f>
        <v>15</v>
      </c>
      <c r="DZ26" s="905">
        <f>SUM(DZ27:DZ31)</f>
        <v>12</v>
      </c>
      <c r="EA26" s="860">
        <f>IF(SUM(EA27:EA31)&gt;0,AVERAGEIF(EA27:EA31,"&gt;0"),0)</f>
        <v>0.76666666666666661</v>
      </c>
      <c r="EB26" s="896">
        <f>SUM(EB27:EB31)</f>
        <v>500000</v>
      </c>
      <c r="EC26" s="900">
        <f>SUM(EC27:EC31)</f>
        <v>15</v>
      </c>
      <c r="ED26" s="905">
        <f>SUM(ED27:ED31)</f>
        <v>12</v>
      </c>
      <c r="EE26" s="860">
        <f>IF(SUM(EE27:EE31)&gt;0,AVERAGEIF(EE27:EE31,"&gt;0"),0)</f>
        <v>0.76666666666666661</v>
      </c>
      <c r="EF26" s="896">
        <f>SUM(EF27:EF31)</f>
        <v>500000</v>
      </c>
    </row>
    <row r="27" spans="1:136" ht="20" customHeight="1" x14ac:dyDescent="0.15">
      <c r="A27" s="189">
        <f t="shared" si="196"/>
        <v>0</v>
      </c>
      <c r="B27" s="947"/>
      <c r="C27" s="970" t="s">
        <v>134</v>
      </c>
      <c r="D27" s="851">
        <f>$D$26/5</f>
        <v>17500000</v>
      </c>
      <c r="E27" s="1082">
        <f t="shared" si="198"/>
        <v>3100000</v>
      </c>
      <c r="F27" s="610">
        <f t="shared" si="199"/>
        <v>-14400000</v>
      </c>
      <c r="G27" s="208">
        <f>_xlfn.IFS(F27&gt;0,1,F27&lt;=0,E27/D27)</f>
        <v>0.17714285714285713</v>
      </c>
      <c r="H27" s="208">
        <f>IF(SUMIF(M$13:EF$13,$O$13,M27:EF27)&gt;0,AVERAGEIFS(M27:EF27,M27:EF27,"&gt;0",M$13:EF$13,$O$13),"NO NEW ORDER")</f>
        <v>0.66666666666666674</v>
      </c>
      <c r="I27" s="836"/>
      <c r="J27" s="1110">
        <f ca="1">SUMIFS($M27:$EF27,$M$11:$EF$11,TODAY()-1,$M$13:$EF$13,O$13)</f>
        <v>0</v>
      </c>
      <c r="K27" s="851"/>
      <c r="L27" s="605">
        <f t="shared" ca="1" si="201"/>
        <v>0</v>
      </c>
      <c r="M27" s="1026">
        <v>3</v>
      </c>
      <c r="N27" s="1027">
        <v>2</v>
      </c>
      <c r="O27" s="906">
        <f>_xlfn.IFS(M27=0,0,N27&lt;=M27,N27/M27,N27&gt;M27,1)</f>
        <v>0.66666666666666663</v>
      </c>
      <c r="P27" s="1029">
        <v>100000</v>
      </c>
      <c r="Q27" s="1026">
        <v>3</v>
      </c>
      <c r="R27" s="1027">
        <v>2</v>
      </c>
      <c r="S27" s="906">
        <f>_xlfn.IFS(Q27=0,0,R27&lt;=Q27,R27/Q27,R27&gt;Q27,1)</f>
        <v>0.66666666666666663</v>
      </c>
      <c r="T27" s="1029">
        <v>100000</v>
      </c>
      <c r="U27" s="1026">
        <v>3</v>
      </c>
      <c r="V27" s="1027">
        <v>2</v>
      </c>
      <c r="W27" s="906">
        <f>_xlfn.IFS(U27=0,0,V27&lt;=U27,V27/U27,V27&gt;U27,1)</f>
        <v>0.66666666666666663</v>
      </c>
      <c r="X27" s="1029">
        <v>100000</v>
      </c>
      <c r="Y27" s="1026">
        <v>3</v>
      </c>
      <c r="Z27" s="1027">
        <v>2</v>
      </c>
      <c r="AA27" s="906">
        <f>_xlfn.IFS(Y27=0,0,Z27&lt;=Y27,Z27/Y27,Z27&gt;Y27,1)</f>
        <v>0.66666666666666663</v>
      </c>
      <c r="AB27" s="1029">
        <v>100000</v>
      </c>
      <c r="AC27" s="1026">
        <v>3</v>
      </c>
      <c r="AD27" s="1027">
        <v>2</v>
      </c>
      <c r="AE27" s="906">
        <f>_xlfn.IFS(AC27=0,0,AD27&lt;=AC27,AD27/AC27,AD27&gt;AC27,1)</f>
        <v>0.66666666666666663</v>
      </c>
      <c r="AF27" s="1029">
        <v>100000</v>
      </c>
      <c r="AG27" s="1026">
        <v>3</v>
      </c>
      <c r="AH27" s="1027">
        <v>2</v>
      </c>
      <c r="AI27" s="906">
        <f>_xlfn.IFS(AG27=0,0,AH27&lt;=AG27,AH27/AG27,AH27&gt;AG27,1)</f>
        <v>0.66666666666666663</v>
      </c>
      <c r="AJ27" s="1029">
        <v>100000</v>
      </c>
      <c r="AK27" s="1026">
        <v>3</v>
      </c>
      <c r="AL27" s="1027">
        <v>2</v>
      </c>
      <c r="AM27" s="906">
        <f>_xlfn.IFS(AK27=0,0,AL27&lt;=AK27,AL27/AK27,AL27&gt;AK27,1)</f>
        <v>0.66666666666666663</v>
      </c>
      <c r="AN27" s="1029">
        <v>100000</v>
      </c>
      <c r="AO27" s="1026">
        <v>3</v>
      </c>
      <c r="AP27" s="1027">
        <v>2</v>
      </c>
      <c r="AQ27" s="906">
        <f>_xlfn.IFS(AO27=0,0,AP27&lt;=AO27,AP27/AO27,AP27&gt;AO27,1)</f>
        <v>0.66666666666666663</v>
      </c>
      <c r="AR27" s="1029">
        <v>100000</v>
      </c>
      <c r="AS27" s="1026">
        <v>3</v>
      </c>
      <c r="AT27" s="1027">
        <v>2</v>
      </c>
      <c r="AU27" s="906">
        <f>_xlfn.IFS(AS27=0,0,AT27&lt;=AS27,AT27/AS27,AT27&gt;AS27,1)</f>
        <v>0.66666666666666663</v>
      </c>
      <c r="AV27" s="1029">
        <v>100000</v>
      </c>
      <c r="AW27" s="1026">
        <v>3</v>
      </c>
      <c r="AX27" s="1027">
        <v>2</v>
      </c>
      <c r="AY27" s="906">
        <f>_xlfn.IFS(AW27=0,0,AX27&lt;=AW27,AX27/AW27,AX27&gt;AW27,1)</f>
        <v>0.66666666666666663</v>
      </c>
      <c r="AZ27" s="1029">
        <v>100000</v>
      </c>
      <c r="BA27" s="1026">
        <v>3</v>
      </c>
      <c r="BB27" s="1027">
        <v>2</v>
      </c>
      <c r="BC27" s="906">
        <f>_xlfn.IFS(BA27=0,0,BB27&lt;=BA27,BB27/BA27,BB27&gt;BA27,1)</f>
        <v>0.66666666666666663</v>
      </c>
      <c r="BD27" s="1029">
        <v>100000</v>
      </c>
      <c r="BE27" s="1026">
        <v>3</v>
      </c>
      <c r="BF27" s="1027">
        <v>2</v>
      </c>
      <c r="BG27" s="906">
        <f>_xlfn.IFS(BE27=0,0,BF27&lt;=BE27,BF27/BE27,BF27&gt;BE27,1)</f>
        <v>0.66666666666666663</v>
      </c>
      <c r="BH27" s="1029">
        <v>100000</v>
      </c>
      <c r="BI27" s="1026">
        <v>3</v>
      </c>
      <c r="BJ27" s="1027">
        <v>2</v>
      </c>
      <c r="BK27" s="906">
        <f>_xlfn.IFS(BI27=0,0,BJ27&lt;=BI27,BJ27/BI27,BJ27&gt;BI27,1)</f>
        <v>0.66666666666666663</v>
      </c>
      <c r="BL27" s="1029">
        <v>100000</v>
      </c>
      <c r="BM27" s="1026">
        <v>3</v>
      </c>
      <c r="BN27" s="1027">
        <v>2</v>
      </c>
      <c r="BO27" s="906">
        <f>_xlfn.IFS(BM27=0,0,BN27&lt;=BM27,BN27/BM27,BN27&gt;BM27,1)</f>
        <v>0.66666666666666663</v>
      </c>
      <c r="BP27" s="1029">
        <v>100000</v>
      </c>
      <c r="BQ27" s="1026">
        <v>3</v>
      </c>
      <c r="BR27" s="1027">
        <v>2</v>
      </c>
      <c r="BS27" s="906">
        <f>_xlfn.IFS(BQ27=0,0,BR27&lt;=BQ27,BR27/BQ27,BR27&gt;BQ27,1)</f>
        <v>0.66666666666666663</v>
      </c>
      <c r="BT27" s="1029">
        <v>100000</v>
      </c>
      <c r="BU27" s="1026">
        <v>3</v>
      </c>
      <c r="BV27" s="1027">
        <v>2</v>
      </c>
      <c r="BW27" s="906">
        <f>_xlfn.IFS(BU27=0,0,BV27&lt;=BU27,BV27/BU27,BV27&gt;BU27,1)</f>
        <v>0.66666666666666663</v>
      </c>
      <c r="BX27" s="1029">
        <v>100000</v>
      </c>
      <c r="BY27" s="1026">
        <v>3</v>
      </c>
      <c r="BZ27" s="1027">
        <v>2</v>
      </c>
      <c r="CA27" s="906">
        <f>_xlfn.IFS(BY27=0,0,BZ27&lt;=BY27,BZ27/BY27,BZ27&gt;BY27,1)</f>
        <v>0.66666666666666663</v>
      </c>
      <c r="CB27" s="1029">
        <v>100000</v>
      </c>
      <c r="CC27" s="1026">
        <v>3</v>
      </c>
      <c r="CD27" s="1027">
        <v>2</v>
      </c>
      <c r="CE27" s="906">
        <f>_xlfn.IFS(CC27=0,0,CD27&lt;=CC27,CD27/CC27,CD27&gt;CC27,1)</f>
        <v>0.66666666666666663</v>
      </c>
      <c r="CF27" s="1029">
        <v>100000</v>
      </c>
      <c r="CG27" s="1026">
        <v>3</v>
      </c>
      <c r="CH27" s="1027">
        <v>2</v>
      </c>
      <c r="CI27" s="906">
        <f>_xlfn.IFS(CG27=0,0,CH27&lt;=CG27,CH27/CG27,CH27&gt;CG27,1)</f>
        <v>0.66666666666666663</v>
      </c>
      <c r="CJ27" s="1029">
        <v>100000</v>
      </c>
      <c r="CK27" s="1026">
        <v>3</v>
      </c>
      <c r="CL27" s="1027">
        <v>2</v>
      </c>
      <c r="CM27" s="906">
        <f>_xlfn.IFS(CK27=0,0,CL27&lt;=CK27,CL27/CK27,CL27&gt;CK27,1)</f>
        <v>0.66666666666666663</v>
      </c>
      <c r="CN27" s="1029">
        <v>100000</v>
      </c>
      <c r="CO27" s="1026">
        <v>3</v>
      </c>
      <c r="CP27" s="1027">
        <v>2</v>
      </c>
      <c r="CQ27" s="906">
        <f>_xlfn.IFS(CO27=0,0,CP27&lt;=CO27,CP27/CO27,CP27&gt;CO27,1)</f>
        <v>0.66666666666666663</v>
      </c>
      <c r="CR27" s="1029">
        <v>100000</v>
      </c>
      <c r="CS27" s="1026">
        <v>3</v>
      </c>
      <c r="CT27" s="1027">
        <v>2</v>
      </c>
      <c r="CU27" s="906">
        <f>_xlfn.IFS(CS27=0,0,CT27&lt;=CS27,CT27/CS27,CT27&gt;CS27,1)</f>
        <v>0.66666666666666663</v>
      </c>
      <c r="CV27" s="1029">
        <v>100000</v>
      </c>
      <c r="CW27" s="1026">
        <v>3</v>
      </c>
      <c r="CX27" s="1027">
        <v>2</v>
      </c>
      <c r="CY27" s="906">
        <f>_xlfn.IFS(CW27=0,0,CX27&lt;=CW27,CX27/CW27,CX27&gt;CW27,1)</f>
        <v>0.66666666666666663</v>
      </c>
      <c r="CZ27" s="1029">
        <v>100000</v>
      </c>
      <c r="DA27" s="1026">
        <v>3</v>
      </c>
      <c r="DB27" s="1027">
        <v>2</v>
      </c>
      <c r="DC27" s="906">
        <f>_xlfn.IFS(DA27=0,0,DB27&lt;=DA27,DB27/DA27,DB27&gt;DA27,1)</f>
        <v>0.66666666666666663</v>
      </c>
      <c r="DD27" s="1029">
        <v>100000</v>
      </c>
      <c r="DE27" s="1026">
        <v>3</v>
      </c>
      <c r="DF27" s="1027">
        <v>2</v>
      </c>
      <c r="DG27" s="906">
        <f>_xlfn.IFS(DE27=0,0,DF27&lt;=DE27,DF27/DE27,DF27&gt;DE27,1)</f>
        <v>0.66666666666666663</v>
      </c>
      <c r="DH27" s="1029">
        <v>100000</v>
      </c>
      <c r="DI27" s="1026">
        <v>3</v>
      </c>
      <c r="DJ27" s="1027">
        <v>2</v>
      </c>
      <c r="DK27" s="906">
        <f>_xlfn.IFS(DI27=0,0,DJ27&lt;=DI27,DJ27/DI27,DJ27&gt;DI27,1)</f>
        <v>0.66666666666666663</v>
      </c>
      <c r="DL27" s="1029">
        <v>100000</v>
      </c>
      <c r="DM27" s="1026">
        <v>3</v>
      </c>
      <c r="DN27" s="1027">
        <v>2</v>
      </c>
      <c r="DO27" s="906">
        <f>_xlfn.IFS(DM27=0,0,DN27&lt;=DM27,DN27/DM27,DN27&gt;DM27,1)</f>
        <v>0.66666666666666663</v>
      </c>
      <c r="DP27" s="1029">
        <v>100000</v>
      </c>
      <c r="DQ27" s="1026">
        <v>3</v>
      </c>
      <c r="DR27" s="1027">
        <v>2</v>
      </c>
      <c r="DS27" s="906">
        <f>_xlfn.IFS(DQ27=0,0,DR27&lt;=DQ27,DR27/DQ27,DR27&gt;DQ27,1)</f>
        <v>0.66666666666666663</v>
      </c>
      <c r="DT27" s="1029">
        <v>100000</v>
      </c>
      <c r="DU27" s="1026">
        <v>3</v>
      </c>
      <c r="DV27" s="1027">
        <v>2</v>
      </c>
      <c r="DW27" s="906">
        <f>_xlfn.IFS(DU27=0,0,DV27&lt;=DU27,DV27/DU27,DV27&gt;DU27,1)</f>
        <v>0.66666666666666663</v>
      </c>
      <c r="DX27" s="1029">
        <v>100000</v>
      </c>
      <c r="DY27" s="1026">
        <v>3</v>
      </c>
      <c r="DZ27" s="1027">
        <v>2</v>
      </c>
      <c r="EA27" s="906">
        <f>_xlfn.IFS(DY27=0,0,DZ27&lt;=DY27,DZ27/DY27,DZ27&gt;DY27,1)</f>
        <v>0.66666666666666663</v>
      </c>
      <c r="EB27" s="1029">
        <v>100000</v>
      </c>
      <c r="EC27" s="1026">
        <v>3</v>
      </c>
      <c r="ED27" s="1027">
        <v>2</v>
      </c>
      <c r="EE27" s="906">
        <f>_xlfn.IFS(EC27=0,0,ED27&lt;=EC27,ED27/EC27,ED27&gt;EC27,1)</f>
        <v>0.66666666666666663</v>
      </c>
      <c r="EF27" s="1029">
        <v>100000</v>
      </c>
    </row>
    <row r="28" spans="1:136" ht="20" customHeight="1" x14ac:dyDescent="0.15">
      <c r="A28" s="189">
        <f t="shared" si="196"/>
        <v>0</v>
      </c>
      <c r="B28" s="947"/>
      <c r="C28" s="970" t="s">
        <v>135</v>
      </c>
      <c r="D28" s="851">
        <f>$D$26/5</f>
        <v>17500000</v>
      </c>
      <c r="E28" s="1082">
        <f t="shared" si="198"/>
        <v>3100000</v>
      </c>
      <c r="F28" s="610">
        <f t="shared" si="199"/>
        <v>-14400000</v>
      </c>
      <c r="G28" s="208">
        <f>_xlfn.IFS(F28&gt;0,1,F28&lt;=0,E28/D28)</f>
        <v>0.17714285714285713</v>
      </c>
      <c r="H28" s="208">
        <f t="shared" ref="H28:H30" si="234">IF(SUMIF(M$13:EF$13,$O$13,M28:EF28)&gt;0,AVERAGEIFS(M28:EF28,M28:EF28,"&gt;0",M$13:EF$13,$O$13),"NO NEW ORDER")</f>
        <v>0.5</v>
      </c>
      <c r="I28" s="836"/>
      <c r="J28" s="1110">
        <f ca="1">SUMIFS($M28:$EF28,$M$11:$EF$11,TODAY()-1,$M$13:$EF$13,O$13)</f>
        <v>0</v>
      </c>
      <c r="K28" s="851"/>
      <c r="L28" s="605">
        <f t="shared" ca="1" si="201"/>
        <v>0</v>
      </c>
      <c r="M28" s="1026">
        <v>2</v>
      </c>
      <c r="N28" s="1027">
        <v>1</v>
      </c>
      <c r="O28" s="906">
        <f>_xlfn.IFS(M28=0,0,N28&lt;=M28,N28/M28,N28&gt;M28,1)</f>
        <v>0.5</v>
      </c>
      <c r="P28" s="1029">
        <v>100000</v>
      </c>
      <c r="Q28" s="1026">
        <v>2</v>
      </c>
      <c r="R28" s="1027">
        <v>1</v>
      </c>
      <c r="S28" s="906">
        <f>_xlfn.IFS(Q28=0,0,R28&lt;=Q28,R28/Q28,R28&gt;Q28,1)</f>
        <v>0.5</v>
      </c>
      <c r="T28" s="1029">
        <v>100000</v>
      </c>
      <c r="U28" s="1026">
        <v>2</v>
      </c>
      <c r="V28" s="1027">
        <v>1</v>
      </c>
      <c r="W28" s="906">
        <f>_xlfn.IFS(U28=0,0,V28&lt;=U28,V28/U28,V28&gt;U28,1)</f>
        <v>0.5</v>
      </c>
      <c r="X28" s="1029">
        <v>100000</v>
      </c>
      <c r="Y28" s="1026">
        <v>2</v>
      </c>
      <c r="Z28" s="1027">
        <v>1</v>
      </c>
      <c r="AA28" s="906">
        <f>_xlfn.IFS(Y28=0,0,Z28&lt;=Y28,Z28/Y28,Z28&gt;Y28,1)</f>
        <v>0.5</v>
      </c>
      <c r="AB28" s="1029">
        <v>100000</v>
      </c>
      <c r="AC28" s="1026">
        <v>2</v>
      </c>
      <c r="AD28" s="1027">
        <v>1</v>
      </c>
      <c r="AE28" s="906">
        <f>_xlfn.IFS(AC28=0,0,AD28&lt;=AC28,AD28/AC28,AD28&gt;AC28,1)</f>
        <v>0.5</v>
      </c>
      <c r="AF28" s="1029">
        <v>100000</v>
      </c>
      <c r="AG28" s="1026">
        <v>2</v>
      </c>
      <c r="AH28" s="1027">
        <v>1</v>
      </c>
      <c r="AI28" s="906">
        <f>_xlfn.IFS(AG28=0,0,AH28&lt;=AG28,AH28/AG28,AH28&gt;AG28,1)</f>
        <v>0.5</v>
      </c>
      <c r="AJ28" s="1029">
        <v>100000</v>
      </c>
      <c r="AK28" s="1026">
        <v>2</v>
      </c>
      <c r="AL28" s="1027">
        <v>1</v>
      </c>
      <c r="AM28" s="906">
        <f>_xlfn.IFS(AK28=0,0,AL28&lt;=AK28,AL28/AK28,AL28&gt;AK28,1)</f>
        <v>0.5</v>
      </c>
      <c r="AN28" s="1029">
        <v>100000</v>
      </c>
      <c r="AO28" s="1026">
        <v>2</v>
      </c>
      <c r="AP28" s="1027">
        <v>1</v>
      </c>
      <c r="AQ28" s="906">
        <f>_xlfn.IFS(AO28=0,0,AP28&lt;=AO28,AP28/AO28,AP28&gt;AO28,1)</f>
        <v>0.5</v>
      </c>
      <c r="AR28" s="1029">
        <v>100000</v>
      </c>
      <c r="AS28" s="1026">
        <v>2</v>
      </c>
      <c r="AT28" s="1027">
        <v>1</v>
      </c>
      <c r="AU28" s="906">
        <f>_xlfn.IFS(AS28=0,0,AT28&lt;=AS28,AT28/AS28,AT28&gt;AS28,1)</f>
        <v>0.5</v>
      </c>
      <c r="AV28" s="1029">
        <v>100000</v>
      </c>
      <c r="AW28" s="1026">
        <v>2</v>
      </c>
      <c r="AX28" s="1027">
        <v>1</v>
      </c>
      <c r="AY28" s="906">
        <f>_xlfn.IFS(AW28=0,0,AX28&lt;=AW28,AX28/AW28,AX28&gt;AW28,1)</f>
        <v>0.5</v>
      </c>
      <c r="AZ28" s="1029">
        <v>100000</v>
      </c>
      <c r="BA28" s="1026">
        <v>2</v>
      </c>
      <c r="BB28" s="1027">
        <v>1</v>
      </c>
      <c r="BC28" s="906">
        <f>_xlfn.IFS(BA28=0,0,BB28&lt;=BA28,BB28/BA28,BB28&gt;BA28,1)</f>
        <v>0.5</v>
      </c>
      <c r="BD28" s="1029">
        <v>100000</v>
      </c>
      <c r="BE28" s="1026">
        <v>2</v>
      </c>
      <c r="BF28" s="1027">
        <v>1</v>
      </c>
      <c r="BG28" s="906">
        <f>_xlfn.IFS(BE28=0,0,BF28&lt;=BE28,BF28/BE28,BF28&gt;BE28,1)</f>
        <v>0.5</v>
      </c>
      <c r="BH28" s="1029">
        <v>100000</v>
      </c>
      <c r="BI28" s="1026">
        <v>2</v>
      </c>
      <c r="BJ28" s="1027">
        <v>1</v>
      </c>
      <c r="BK28" s="906">
        <f>_xlfn.IFS(BI28=0,0,BJ28&lt;=BI28,BJ28/BI28,BJ28&gt;BI28,1)</f>
        <v>0.5</v>
      </c>
      <c r="BL28" s="1029">
        <v>100000</v>
      </c>
      <c r="BM28" s="1026">
        <v>2</v>
      </c>
      <c r="BN28" s="1027">
        <v>1</v>
      </c>
      <c r="BO28" s="906">
        <f>_xlfn.IFS(BM28=0,0,BN28&lt;=BM28,BN28/BM28,BN28&gt;BM28,1)</f>
        <v>0.5</v>
      </c>
      <c r="BP28" s="1029">
        <v>100000</v>
      </c>
      <c r="BQ28" s="1026">
        <v>2</v>
      </c>
      <c r="BR28" s="1027">
        <v>1</v>
      </c>
      <c r="BS28" s="906">
        <f>_xlfn.IFS(BQ28=0,0,BR28&lt;=BQ28,BR28/BQ28,BR28&gt;BQ28,1)</f>
        <v>0.5</v>
      </c>
      <c r="BT28" s="1029">
        <v>100000</v>
      </c>
      <c r="BU28" s="1026">
        <v>2</v>
      </c>
      <c r="BV28" s="1027">
        <v>1</v>
      </c>
      <c r="BW28" s="906">
        <f>_xlfn.IFS(BU28=0,0,BV28&lt;=BU28,BV28/BU28,BV28&gt;BU28,1)</f>
        <v>0.5</v>
      </c>
      <c r="BX28" s="1029">
        <v>100000</v>
      </c>
      <c r="BY28" s="1026">
        <v>2</v>
      </c>
      <c r="BZ28" s="1027">
        <v>1</v>
      </c>
      <c r="CA28" s="906">
        <f>_xlfn.IFS(BY28=0,0,BZ28&lt;=BY28,BZ28/BY28,BZ28&gt;BY28,1)</f>
        <v>0.5</v>
      </c>
      <c r="CB28" s="1029">
        <v>100000</v>
      </c>
      <c r="CC28" s="1026">
        <v>2</v>
      </c>
      <c r="CD28" s="1027">
        <v>1</v>
      </c>
      <c r="CE28" s="906">
        <f>_xlfn.IFS(CC28=0,0,CD28&lt;=CC28,CD28/CC28,CD28&gt;CC28,1)</f>
        <v>0.5</v>
      </c>
      <c r="CF28" s="1029">
        <v>100000</v>
      </c>
      <c r="CG28" s="1026">
        <v>2</v>
      </c>
      <c r="CH28" s="1027">
        <v>1</v>
      </c>
      <c r="CI28" s="906">
        <f>_xlfn.IFS(CG28=0,0,CH28&lt;=CG28,CH28/CG28,CH28&gt;CG28,1)</f>
        <v>0.5</v>
      </c>
      <c r="CJ28" s="1029">
        <v>100000</v>
      </c>
      <c r="CK28" s="1026">
        <v>2</v>
      </c>
      <c r="CL28" s="1027">
        <v>1</v>
      </c>
      <c r="CM28" s="906">
        <f>_xlfn.IFS(CK28=0,0,CL28&lt;=CK28,CL28/CK28,CL28&gt;CK28,1)</f>
        <v>0.5</v>
      </c>
      <c r="CN28" s="1029">
        <v>100000</v>
      </c>
      <c r="CO28" s="1026">
        <v>2</v>
      </c>
      <c r="CP28" s="1027">
        <v>1</v>
      </c>
      <c r="CQ28" s="906">
        <f>_xlfn.IFS(CO28=0,0,CP28&lt;=CO28,CP28/CO28,CP28&gt;CO28,1)</f>
        <v>0.5</v>
      </c>
      <c r="CR28" s="1029">
        <v>100000</v>
      </c>
      <c r="CS28" s="1026">
        <v>2</v>
      </c>
      <c r="CT28" s="1027">
        <v>1</v>
      </c>
      <c r="CU28" s="906">
        <f>_xlfn.IFS(CS28=0,0,CT28&lt;=CS28,CT28/CS28,CT28&gt;CS28,1)</f>
        <v>0.5</v>
      </c>
      <c r="CV28" s="1029">
        <v>100000</v>
      </c>
      <c r="CW28" s="1026">
        <v>2</v>
      </c>
      <c r="CX28" s="1027">
        <v>1</v>
      </c>
      <c r="CY28" s="906">
        <f>_xlfn.IFS(CW28=0,0,CX28&lt;=CW28,CX28/CW28,CX28&gt;CW28,1)</f>
        <v>0.5</v>
      </c>
      <c r="CZ28" s="1029">
        <v>100000</v>
      </c>
      <c r="DA28" s="1026">
        <v>2</v>
      </c>
      <c r="DB28" s="1027">
        <v>1</v>
      </c>
      <c r="DC28" s="906">
        <f>_xlfn.IFS(DA28=0,0,DB28&lt;=DA28,DB28/DA28,DB28&gt;DA28,1)</f>
        <v>0.5</v>
      </c>
      <c r="DD28" s="1029">
        <v>100000</v>
      </c>
      <c r="DE28" s="1026">
        <v>2</v>
      </c>
      <c r="DF28" s="1027">
        <v>1</v>
      </c>
      <c r="DG28" s="906">
        <f>_xlfn.IFS(DE28=0,0,DF28&lt;=DE28,DF28/DE28,DF28&gt;DE28,1)</f>
        <v>0.5</v>
      </c>
      <c r="DH28" s="1029">
        <v>100000</v>
      </c>
      <c r="DI28" s="1026">
        <v>2</v>
      </c>
      <c r="DJ28" s="1027">
        <v>1</v>
      </c>
      <c r="DK28" s="906">
        <f>_xlfn.IFS(DI28=0,0,DJ28&lt;=DI28,DJ28/DI28,DJ28&gt;DI28,1)</f>
        <v>0.5</v>
      </c>
      <c r="DL28" s="1029">
        <v>100000</v>
      </c>
      <c r="DM28" s="1026">
        <v>2</v>
      </c>
      <c r="DN28" s="1027">
        <v>1</v>
      </c>
      <c r="DO28" s="906">
        <f>_xlfn.IFS(DM28=0,0,DN28&lt;=DM28,DN28/DM28,DN28&gt;DM28,1)</f>
        <v>0.5</v>
      </c>
      <c r="DP28" s="1029">
        <v>100000</v>
      </c>
      <c r="DQ28" s="1026">
        <v>2</v>
      </c>
      <c r="DR28" s="1027">
        <v>1</v>
      </c>
      <c r="DS28" s="906">
        <f>_xlfn.IFS(DQ28=0,0,DR28&lt;=DQ28,DR28/DQ28,DR28&gt;DQ28,1)</f>
        <v>0.5</v>
      </c>
      <c r="DT28" s="1029">
        <v>100000</v>
      </c>
      <c r="DU28" s="1026">
        <v>2</v>
      </c>
      <c r="DV28" s="1027">
        <v>1</v>
      </c>
      <c r="DW28" s="906">
        <f>_xlfn.IFS(DU28=0,0,DV28&lt;=DU28,DV28/DU28,DV28&gt;DU28,1)</f>
        <v>0.5</v>
      </c>
      <c r="DX28" s="1029">
        <v>100000</v>
      </c>
      <c r="DY28" s="1026">
        <v>2</v>
      </c>
      <c r="DZ28" s="1027">
        <v>1</v>
      </c>
      <c r="EA28" s="906">
        <f>_xlfn.IFS(DY28=0,0,DZ28&lt;=DY28,DZ28/DY28,DZ28&gt;DY28,1)</f>
        <v>0.5</v>
      </c>
      <c r="EB28" s="1029">
        <v>100000</v>
      </c>
      <c r="EC28" s="1026">
        <v>2</v>
      </c>
      <c r="ED28" s="1027">
        <v>1</v>
      </c>
      <c r="EE28" s="906">
        <f>_xlfn.IFS(EC28=0,0,ED28&lt;=EC28,ED28/EC28,ED28&gt;EC28,1)</f>
        <v>0.5</v>
      </c>
      <c r="EF28" s="1029">
        <v>100000</v>
      </c>
    </row>
    <row r="29" spans="1:136" ht="20" customHeight="1" x14ac:dyDescent="0.15">
      <c r="A29" s="189">
        <f t="shared" si="196"/>
        <v>0</v>
      </c>
      <c r="B29" s="947"/>
      <c r="C29" s="971" t="s">
        <v>136</v>
      </c>
      <c r="D29" s="851">
        <f>$D$26/5</f>
        <v>17500000</v>
      </c>
      <c r="E29" s="1082">
        <f t="shared" si="198"/>
        <v>3100000</v>
      </c>
      <c r="F29" s="610">
        <f t="shared" si="199"/>
        <v>-14400000</v>
      </c>
      <c r="G29" s="208">
        <f t="shared" si="200"/>
        <v>0.17714285714285713</v>
      </c>
      <c r="H29" s="208">
        <f t="shared" si="234"/>
        <v>0.66666666666666674</v>
      </c>
      <c r="I29" s="836"/>
      <c r="J29" s="1110">
        <f t="shared" ref="J29:J31" ca="1" si="235">SUMIFS($M29:$EF29,$M$11:$EF$11,TODAY()-1,$M$13:$EF$13,O$13)</f>
        <v>0</v>
      </c>
      <c r="K29" s="851"/>
      <c r="L29" s="605">
        <f t="shared" ca="1" si="201"/>
        <v>0</v>
      </c>
      <c r="M29" s="1026">
        <v>3</v>
      </c>
      <c r="N29" s="1027">
        <v>2</v>
      </c>
      <c r="O29" s="906">
        <f t="shared" ref="O29:O31" si="236">_xlfn.IFS(M29=0,0,N29&lt;=M29,N29/M29,N29&gt;M29,1)</f>
        <v>0.66666666666666663</v>
      </c>
      <c r="P29" s="1029">
        <v>100000</v>
      </c>
      <c r="Q29" s="1026">
        <v>3</v>
      </c>
      <c r="R29" s="1027">
        <v>2</v>
      </c>
      <c r="S29" s="906">
        <f t="shared" ref="S29:S31" si="237">_xlfn.IFS(Q29=0,0,R29&lt;=Q29,R29/Q29,R29&gt;Q29,1)</f>
        <v>0.66666666666666663</v>
      </c>
      <c r="T29" s="1029">
        <v>100000</v>
      </c>
      <c r="U29" s="1026">
        <v>3</v>
      </c>
      <c r="V29" s="1027">
        <v>2</v>
      </c>
      <c r="W29" s="906">
        <f t="shared" ref="W29:W31" si="238">_xlfn.IFS(U29=0,0,V29&lt;=U29,V29/U29,V29&gt;U29,1)</f>
        <v>0.66666666666666663</v>
      </c>
      <c r="X29" s="1029">
        <v>100000</v>
      </c>
      <c r="Y29" s="1026">
        <v>3</v>
      </c>
      <c r="Z29" s="1027">
        <v>2</v>
      </c>
      <c r="AA29" s="906">
        <f t="shared" ref="AA29:AA31" si="239">_xlfn.IFS(Y29=0,0,Z29&lt;=Y29,Z29/Y29,Z29&gt;Y29,1)</f>
        <v>0.66666666666666663</v>
      </c>
      <c r="AB29" s="1029">
        <v>100000</v>
      </c>
      <c r="AC29" s="1026">
        <v>3</v>
      </c>
      <c r="AD29" s="1027">
        <v>2</v>
      </c>
      <c r="AE29" s="906">
        <f t="shared" ref="AE29:AE31" si="240">_xlfn.IFS(AC29=0,0,AD29&lt;=AC29,AD29/AC29,AD29&gt;AC29,1)</f>
        <v>0.66666666666666663</v>
      </c>
      <c r="AF29" s="1029">
        <v>100000</v>
      </c>
      <c r="AG29" s="1026">
        <v>3</v>
      </c>
      <c r="AH29" s="1027">
        <v>2</v>
      </c>
      <c r="AI29" s="906">
        <f t="shared" ref="AI29:AI31" si="241">_xlfn.IFS(AG29=0,0,AH29&lt;=AG29,AH29/AG29,AH29&gt;AG29,1)</f>
        <v>0.66666666666666663</v>
      </c>
      <c r="AJ29" s="1029">
        <v>100000</v>
      </c>
      <c r="AK29" s="1026">
        <v>3</v>
      </c>
      <c r="AL29" s="1027">
        <v>2</v>
      </c>
      <c r="AM29" s="906">
        <f t="shared" ref="AM29:AM31" si="242">_xlfn.IFS(AK29=0,0,AL29&lt;=AK29,AL29/AK29,AL29&gt;AK29,1)</f>
        <v>0.66666666666666663</v>
      </c>
      <c r="AN29" s="1029">
        <v>100000</v>
      </c>
      <c r="AO29" s="1026">
        <v>3</v>
      </c>
      <c r="AP29" s="1027">
        <v>2</v>
      </c>
      <c r="AQ29" s="906">
        <f t="shared" ref="AQ29:AQ31" si="243">_xlfn.IFS(AO29=0,0,AP29&lt;=AO29,AP29/AO29,AP29&gt;AO29,1)</f>
        <v>0.66666666666666663</v>
      </c>
      <c r="AR29" s="1029">
        <v>100000</v>
      </c>
      <c r="AS29" s="1026">
        <v>3</v>
      </c>
      <c r="AT29" s="1027">
        <v>2</v>
      </c>
      <c r="AU29" s="906">
        <f t="shared" ref="AU29:AU31" si="244">_xlfn.IFS(AS29=0,0,AT29&lt;=AS29,AT29/AS29,AT29&gt;AS29,1)</f>
        <v>0.66666666666666663</v>
      </c>
      <c r="AV29" s="1029">
        <v>100000</v>
      </c>
      <c r="AW29" s="1026">
        <v>3</v>
      </c>
      <c r="AX29" s="1027">
        <v>2</v>
      </c>
      <c r="AY29" s="906">
        <f t="shared" ref="AY29:AY31" si="245">_xlfn.IFS(AW29=0,0,AX29&lt;=AW29,AX29/AW29,AX29&gt;AW29,1)</f>
        <v>0.66666666666666663</v>
      </c>
      <c r="AZ29" s="1029">
        <v>100000</v>
      </c>
      <c r="BA29" s="1026">
        <v>3</v>
      </c>
      <c r="BB29" s="1027">
        <v>2</v>
      </c>
      <c r="BC29" s="906">
        <f t="shared" ref="BC29:BC31" si="246">_xlfn.IFS(BA29=0,0,BB29&lt;=BA29,BB29/BA29,BB29&gt;BA29,1)</f>
        <v>0.66666666666666663</v>
      </c>
      <c r="BD29" s="1029">
        <v>100000</v>
      </c>
      <c r="BE29" s="1026">
        <v>3</v>
      </c>
      <c r="BF29" s="1027">
        <v>2</v>
      </c>
      <c r="BG29" s="906">
        <f t="shared" ref="BG29:BG31" si="247">_xlfn.IFS(BE29=0,0,BF29&lt;=BE29,BF29/BE29,BF29&gt;BE29,1)</f>
        <v>0.66666666666666663</v>
      </c>
      <c r="BH29" s="1029">
        <v>100000</v>
      </c>
      <c r="BI29" s="1026">
        <v>3</v>
      </c>
      <c r="BJ29" s="1027">
        <v>2</v>
      </c>
      <c r="BK29" s="906">
        <f t="shared" ref="BK29:BK31" si="248">_xlfn.IFS(BI29=0,0,BJ29&lt;=BI29,BJ29/BI29,BJ29&gt;BI29,1)</f>
        <v>0.66666666666666663</v>
      </c>
      <c r="BL29" s="1029">
        <v>100000</v>
      </c>
      <c r="BM29" s="1026">
        <v>3</v>
      </c>
      <c r="BN29" s="1027">
        <v>2</v>
      </c>
      <c r="BO29" s="906">
        <f t="shared" ref="BO29:BO31" si="249">_xlfn.IFS(BM29=0,0,BN29&lt;=BM29,BN29/BM29,BN29&gt;BM29,1)</f>
        <v>0.66666666666666663</v>
      </c>
      <c r="BP29" s="1029">
        <v>100000</v>
      </c>
      <c r="BQ29" s="1026">
        <v>3</v>
      </c>
      <c r="BR29" s="1027">
        <v>2</v>
      </c>
      <c r="BS29" s="906">
        <f t="shared" ref="BS29:BS31" si="250">_xlfn.IFS(BQ29=0,0,BR29&lt;=BQ29,BR29/BQ29,BR29&gt;BQ29,1)</f>
        <v>0.66666666666666663</v>
      </c>
      <c r="BT29" s="1029">
        <v>100000</v>
      </c>
      <c r="BU29" s="1026">
        <v>3</v>
      </c>
      <c r="BV29" s="1027">
        <v>2</v>
      </c>
      <c r="BW29" s="906">
        <f t="shared" ref="BW29:BW31" si="251">_xlfn.IFS(BU29=0,0,BV29&lt;=BU29,BV29/BU29,BV29&gt;BU29,1)</f>
        <v>0.66666666666666663</v>
      </c>
      <c r="BX29" s="1029">
        <v>100000</v>
      </c>
      <c r="BY29" s="1026">
        <v>3</v>
      </c>
      <c r="BZ29" s="1027">
        <v>2</v>
      </c>
      <c r="CA29" s="906">
        <f t="shared" ref="CA29:CA31" si="252">_xlfn.IFS(BY29=0,0,BZ29&lt;=BY29,BZ29/BY29,BZ29&gt;BY29,1)</f>
        <v>0.66666666666666663</v>
      </c>
      <c r="CB29" s="1029">
        <v>100000</v>
      </c>
      <c r="CC29" s="1026">
        <v>3</v>
      </c>
      <c r="CD29" s="1027">
        <v>2</v>
      </c>
      <c r="CE29" s="906">
        <f t="shared" ref="CE29:CE31" si="253">_xlfn.IFS(CC29=0,0,CD29&lt;=CC29,CD29/CC29,CD29&gt;CC29,1)</f>
        <v>0.66666666666666663</v>
      </c>
      <c r="CF29" s="1029">
        <v>100000</v>
      </c>
      <c r="CG29" s="1026">
        <v>3</v>
      </c>
      <c r="CH29" s="1027">
        <v>2</v>
      </c>
      <c r="CI29" s="906">
        <f t="shared" ref="CI29:CI31" si="254">_xlfn.IFS(CG29=0,0,CH29&lt;=CG29,CH29/CG29,CH29&gt;CG29,1)</f>
        <v>0.66666666666666663</v>
      </c>
      <c r="CJ29" s="1029">
        <v>100000</v>
      </c>
      <c r="CK29" s="1026">
        <v>3</v>
      </c>
      <c r="CL29" s="1027">
        <v>2</v>
      </c>
      <c r="CM29" s="906">
        <f t="shared" ref="CM29:CM31" si="255">_xlfn.IFS(CK29=0,0,CL29&lt;=CK29,CL29/CK29,CL29&gt;CK29,1)</f>
        <v>0.66666666666666663</v>
      </c>
      <c r="CN29" s="1029">
        <v>100000</v>
      </c>
      <c r="CO29" s="1026">
        <v>3</v>
      </c>
      <c r="CP29" s="1027">
        <v>2</v>
      </c>
      <c r="CQ29" s="906">
        <f t="shared" ref="CQ29:CQ31" si="256">_xlfn.IFS(CO29=0,0,CP29&lt;=CO29,CP29/CO29,CP29&gt;CO29,1)</f>
        <v>0.66666666666666663</v>
      </c>
      <c r="CR29" s="1029">
        <v>100000</v>
      </c>
      <c r="CS29" s="1026">
        <v>3</v>
      </c>
      <c r="CT29" s="1027">
        <v>2</v>
      </c>
      <c r="CU29" s="906">
        <f t="shared" ref="CU29:CU31" si="257">_xlfn.IFS(CS29=0,0,CT29&lt;=CS29,CT29/CS29,CT29&gt;CS29,1)</f>
        <v>0.66666666666666663</v>
      </c>
      <c r="CV29" s="1029">
        <v>100000</v>
      </c>
      <c r="CW29" s="1026">
        <v>3</v>
      </c>
      <c r="CX29" s="1027">
        <v>2</v>
      </c>
      <c r="CY29" s="906">
        <f t="shared" ref="CY29:CY31" si="258">_xlfn.IFS(CW29=0,0,CX29&lt;=CW29,CX29/CW29,CX29&gt;CW29,1)</f>
        <v>0.66666666666666663</v>
      </c>
      <c r="CZ29" s="1029">
        <v>100000</v>
      </c>
      <c r="DA29" s="1026">
        <v>3</v>
      </c>
      <c r="DB29" s="1027">
        <v>2</v>
      </c>
      <c r="DC29" s="906">
        <f t="shared" ref="DC29:DC31" si="259">_xlfn.IFS(DA29=0,0,DB29&lt;=DA29,DB29/DA29,DB29&gt;DA29,1)</f>
        <v>0.66666666666666663</v>
      </c>
      <c r="DD29" s="1029">
        <v>100000</v>
      </c>
      <c r="DE29" s="1026">
        <v>3</v>
      </c>
      <c r="DF29" s="1027">
        <v>2</v>
      </c>
      <c r="DG29" s="906">
        <f t="shared" ref="DG29:DG31" si="260">_xlfn.IFS(DE29=0,0,DF29&lt;=DE29,DF29/DE29,DF29&gt;DE29,1)</f>
        <v>0.66666666666666663</v>
      </c>
      <c r="DH29" s="1029">
        <v>100000</v>
      </c>
      <c r="DI29" s="1026">
        <v>3</v>
      </c>
      <c r="DJ29" s="1027">
        <v>2</v>
      </c>
      <c r="DK29" s="906">
        <f t="shared" ref="DK29:DK31" si="261">_xlfn.IFS(DI29=0,0,DJ29&lt;=DI29,DJ29/DI29,DJ29&gt;DI29,1)</f>
        <v>0.66666666666666663</v>
      </c>
      <c r="DL29" s="1029">
        <v>100000</v>
      </c>
      <c r="DM29" s="1026">
        <v>3</v>
      </c>
      <c r="DN29" s="1027">
        <v>2</v>
      </c>
      <c r="DO29" s="906">
        <f t="shared" ref="DO29:DO31" si="262">_xlfn.IFS(DM29=0,0,DN29&lt;=DM29,DN29/DM29,DN29&gt;DM29,1)</f>
        <v>0.66666666666666663</v>
      </c>
      <c r="DP29" s="1029">
        <v>100000</v>
      </c>
      <c r="DQ29" s="1026">
        <v>3</v>
      </c>
      <c r="DR29" s="1027">
        <v>2</v>
      </c>
      <c r="DS29" s="906">
        <f t="shared" ref="DS29:DS31" si="263">_xlfn.IFS(DQ29=0,0,DR29&lt;=DQ29,DR29/DQ29,DR29&gt;DQ29,1)</f>
        <v>0.66666666666666663</v>
      </c>
      <c r="DT29" s="1029">
        <v>100000</v>
      </c>
      <c r="DU29" s="1026">
        <v>3</v>
      </c>
      <c r="DV29" s="1027">
        <v>2</v>
      </c>
      <c r="DW29" s="906">
        <f t="shared" ref="DW29:DW31" si="264">_xlfn.IFS(DU29=0,0,DV29&lt;=DU29,DV29/DU29,DV29&gt;DU29,1)</f>
        <v>0.66666666666666663</v>
      </c>
      <c r="DX29" s="1029">
        <v>100000</v>
      </c>
      <c r="DY29" s="1026">
        <v>3</v>
      </c>
      <c r="DZ29" s="1027">
        <v>2</v>
      </c>
      <c r="EA29" s="906">
        <f t="shared" ref="EA29:EA31" si="265">_xlfn.IFS(DY29=0,0,DZ29&lt;=DY29,DZ29/DY29,DZ29&gt;DY29,1)</f>
        <v>0.66666666666666663</v>
      </c>
      <c r="EB29" s="1029">
        <v>100000</v>
      </c>
      <c r="EC29" s="1026">
        <v>3</v>
      </c>
      <c r="ED29" s="1027">
        <v>2</v>
      </c>
      <c r="EE29" s="906">
        <f t="shared" ref="EE29:EE31" si="266">_xlfn.IFS(EC29=0,0,ED29&lt;=EC29,ED29/EC29,ED29&gt;EC29,1)</f>
        <v>0.66666666666666663</v>
      </c>
      <c r="EF29" s="1029">
        <v>100000</v>
      </c>
    </row>
    <row r="30" spans="1:136" ht="20" customHeight="1" x14ac:dyDescent="0.15">
      <c r="A30" s="189">
        <f t="shared" si="196"/>
        <v>0</v>
      </c>
      <c r="B30" s="947"/>
      <c r="C30" s="971" t="s">
        <v>137</v>
      </c>
      <c r="D30" s="851">
        <f>$D$26/5</f>
        <v>17500000</v>
      </c>
      <c r="E30" s="1082">
        <f t="shared" si="198"/>
        <v>3100000</v>
      </c>
      <c r="F30" s="610">
        <f t="shared" si="199"/>
        <v>-14400000</v>
      </c>
      <c r="G30" s="208">
        <f t="shared" si="200"/>
        <v>0.17714285714285713</v>
      </c>
      <c r="H30" s="208">
        <f t="shared" si="234"/>
        <v>0.9838709677419355</v>
      </c>
      <c r="I30" s="836"/>
      <c r="J30" s="1110">
        <f t="shared" ca="1" si="235"/>
        <v>0</v>
      </c>
      <c r="K30" s="851"/>
      <c r="L30" s="605">
        <f t="shared" ca="1" si="201"/>
        <v>0</v>
      </c>
      <c r="M30" s="1026">
        <v>4</v>
      </c>
      <c r="N30" s="1027">
        <v>2</v>
      </c>
      <c r="O30" s="906">
        <f t="shared" si="236"/>
        <v>0.5</v>
      </c>
      <c r="P30" s="1029">
        <v>100000</v>
      </c>
      <c r="Q30" s="1026">
        <v>5</v>
      </c>
      <c r="R30" s="1027">
        <v>5</v>
      </c>
      <c r="S30" s="906">
        <f t="shared" si="237"/>
        <v>1</v>
      </c>
      <c r="T30" s="1029">
        <v>100000</v>
      </c>
      <c r="U30" s="1026">
        <v>5</v>
      </c>
      <c r="V30" s="1027">
        <v>5</v>
      </c>
      <c r="W30" s="906">
        <f t="shared" si="238"/>
        <v>1</v>
      </c>
      <c r="X30" s="1029">
        <v>100000</v>
      </c>
      <c r="Y30" s="1026">
        <v>5</v>
      </c>
      <c r="Z30" s="1027">
        <v>5</v>
      </c>
      <c r="AA30" s="906">
        <f t="shared" si="239"/>
        <v>1</v>
      </c>
      <c r="AB30" s="1029">
        <v>100000</v>
      </c>
      <c r="AC30" s="1026">
        <v>5</v>
      </c>
      <c r="AD30" s="1027">
        <v>5</v>
      </c>
      <c r="AE30" s="906">
        <f t="shared" si="240"/>
        <v>1</v>
      </c>
      <c r="AF30" s="1029">
        <v>100000</v>
      </c>
      <c r="AG30" s="1026">
        <v>5</v>
      </c>
      <c r="AH30" s="1027">
        <v>5</v>
      </c>
      <c r="AI30" s="906">
        <f t="shared" si="241"/>
        <v>1</v>
      </c>
      <c r="AJ30" s="1029">
        <v>100000</v>
      </c>
      <c r="AK30" s="1026">
        <v>5</v>
      </c>
      <c r="AL30" s="1027">
        <v>5</v>
      </c>
      <c r="AM30" s="906">
        <f t="shared" si="242"/>
        <v>1</v>
      </c>
      <c r="AN30" s="1029">
        <v>100000</v>
      </c>
      <c r="AO30" s="1026">
        <v>5</v>
      </c>
      <c r="AP30" s="1027">
        <v>5</v>
      </c>
      <c r="AQ30" s="906">
        <f t="shared" si="243"/>
        <v>1</v>
      </c>
      <c r="AR30" s="1029">
        <v>100000</v>
      </c>
      <c r="AS30" s="1026">
        <v>5</v>
      </c>
      <c r="AT30" s="1027">
        <v>5</v>
      </c>
      <c r="AU30" s="906">
        <f t="shared" si="244"/>
        <v>1</v>
      </c>
      <c r="AV30" s="1029">
        <v>100000</v>
      </c>
      <c r="AW30" s="1026">
        <v>5</v>
      </c>
      <c r="AX30" s="1027">
        <v>5</v>
      </c>
      <c r="AY30" s="906">
        <f t="shared" si="245"/>
        <v>1</v>
      </c>
      <c r="AZ30" s="1029">
        <v>100000</v>
      </c>
      <c r="BA30" s="1026">
        <v>5</v>
      </c>
      <c r="BB30" s="1027">
        <v>5</v>
      </c>
      <c r="BC30" s="906">
        <f t="shared" si="246"/>
        <v>1</v>
      </c>
      <c r="BD30" s="1029">
        <v>100000</v>
      </c>
      <c r="BE30" s="1026">
        <v>5</v>
      </c>
      <c r="BF30" s="1027">
        <v>5</v>
      </c>
      <c r="BG30" s="906">
        <f t="shared" si="247"/>
        <v>1</v>
      </c>
      <c r="BH30" s="1029">
        <v>100000</v>
      </c>
      <c r="BI30" s="1026">
        <v>5</v>
      </c>
      <c r="BJ30" s="1027">
        <v>5</v>
      </c>
      <c r="BK30" s="906">
        <f t="shared" si="248"/>
        <v>1</v>
      </c>
      <c r="BL30" s="1029">
        <v>100000</v>
      </c>
      <c r="BM30" s="1026">
        <v>5</v>
      </c>
      <c r="BN30" s="1027">
        <v>5</v>
      </c>
      <c r="BO30" s="906">
        <f t="shared" si="249"/>
        <v>1</v>
      </c>
      <c r="BP30" s="1029">
        <v>100000</v>
      </c>
      <c r="BQ30" s="1026">
        <v>5</v>
      </c>
      <c r="BR30" s="1027">
        <v>5</v>
      </c>
      <c r="BS30" s="906">
        <f t="shared" si="250"/>
        <v>1</v>
      </c>
      <c r="BT30" s="1029">
        <v>100000</v>
      </c>
      <c r="BU30" s="1026">
        <v>5</v>
      </c>
      <c r="BV30" s="1027">
        <v>5</v>
      </c>
      <c r="BW30" s="906">
        <f t="shared" si="251"/>
        <v>1</v>
      </c>
      <c r="BX30" s="1029">
        <v>100000</v>
      </c>
      <c r="BY30" s="1026">
        <v>5</v>
      </c>
      <c r="BZ30" s="1027">
        <v>5</v>
      </c>
      <c r="CA30" s="906">
        <f t="shared" si="252"/>
        <v>1</v>
      </c>
      <c r="CB30" s="1029">
        <v>100000</v>
      </c>
      <c r="CC30" s="1026">
        <v>5</v>
      </c>
      <c r="CD30" s="1027">
        <v>5</v>
      </c>
      <c r="CE30" s="906">
        <f t="shared" si="253"/>
        <v>1</v>
      </c>
      <c r="CF30" s="1029">
        <v>100000</v>
      </c>
      <c r="CG30" s="1026">
        <v>5</v>
      </c>
      <c r="CH30" s="1027">
        <v>5</v>
      </c>
      <c r="CI30" s="906">
        <f t="shared" si="254"/>
        <v>1</v>
      </c>
      <c r="CJ30" s="1029">
        <v>100000</v>
      </c>
      <c r="CK30" s="1026">
        <v>5</v>
      </c>
      <c r="CL30" s="1027">
        <v>5</v>
      </c>
      <c r="CM30" s="906">
        <f t="shared" si="255"/>
        <v>1</v>
      </c>
      <c r="CN30" s="1029">
        <v>100000</v>
      </c>
      <c r="CO30" s="1026">
        <v>5</v>
      </c>
      <c r="CP30" s="1027">
        <v>5</v>
      </c>
      <c r="CQ30" s="906">
        <f t="shared" si="256"/>
        <v>1</v>
      </c>
      <c r="CR30" s="1029">
        <v>100000</v>
      </c>
      <c r="CS30" s="1026">
        <v>5</v>
      </c>
      <c r="CT30" s="1027">
        <v>5</v>
      </c>
      <c r="CU30" s="906">
        <f t="shared" si="257"/>
        <v>1</v>
      </c>
      <c r="CV30" s="1029">
        <v>100000</v>
      </c>
      <c r="CW30" s="1026">
        <v>5</v>
      </c>
      <c r="CX30" s="1027">
        <v>5</v>
      </c>
      <c r="CY30" s="906">
        <f t="shared" si="258"/>
        <v>1</v>
      </c>
      <c r="CZ30" s="1029">
        <v>100000</v>
      </c>
      <c r="DA30" s="1026">
        <v>5</v>
      </c>
      <c r="DB30" s="1027">
        <v>5</v>
      </c>
      <c r="DC30" s="906">
        <f t="shared" si="259"/>
        <v>1</v>
      </c>
      <c r="DD30" s="1029">
        <v>100000</v>
      </c>
      <c r="DE30" s="1026">
        <v>5</v>
      </c>
      <c r="DF30" s="1027">
        <v>5</v>
      </c>
      <c r="DG30" s="906">
        <f t="shared" si="260"/>
        <v>1</v>
      </c>
      <c r="DH30" s="1029">
        <v>100000</v>
      </c>
      <c r="DI30" s="1026">
        <v>5</v>
      </c>
      <c r="DJ30" s="1027">
        <v>5</v>
      </c>
      <c r="DK30" s="906">
        <f t="shared" si="261"/>
        <v>1</v>
      </c>
      <c r="DL30" s="1029">
        <v>100000</v>
      </c>
      <c r="DM30" s="1026">
        <v>5</v>
      </c>
      <c r="DN30" s="1027">
        <v>5</v>
      </c>
      <c r="DO30" s="906">
        <f t="shared" si="262"/>
        <v>1</v>
      </c>
      <c r="DP30" s="1029">
        <v>100000</v>
      </c>
      <c r="DQ30" s="1026">
        <v>5</v>
      </c>
      <c r="DR30" s="1027">
        <v>5</v>
      </c>
      <c r="DS30" s="906">
        <f t="shared" si="263"/>
        <v>1</v>
      </c>
      <c r="DT30" s="1029">
        <v>100000</v>
      </c>
      <c r="DU30" s="1026">
        <v>5</v>
      </c>
      <c r="DV30" s="1027">
        <v>5</v>
      </c>
      <c r="DW30" s="906">
        <f t="shared" si="264"/>
        <v>1</v>
      </c>
      <c r="DX30" s="1029">
        <v>100000</v>
      </c>
      <c r="DY30" s="1026">
        <v>5</v>
      </c>
      <c r="DZ30" s="1027">
        <v>5</v>
      </c>
      <c r="EA30" s="906">
        <f t="shared" si="265"/>
        <v>1</v>
      </c>
      <c r="EB30" s="1029">
        <v>100000</v>
      </c>
      <c r="EC30" s="1026">
        <v>5</v>
      </c>
      <c r="ED30" s="1027">
        <v>5</v>
      </c>
      <c r="EE30" s="906">
        <f t="shared" si="266"/>
        <v>1</v>
      </c>
      <c r="EF30" s="1029">
        <v>100000</v>
      </c>
    </row>
    <row r="31" spans="1:136" ht="20" customHeight="1" x14ac:dyDescent="0.15">
      <c r="A31" s="189">
        <f t="shared" si="196"/>
        <v>0</v>
      </c>
      <c r="B31" s="947"/>
      <c r="C31" s="971" t="s">
        <v>138</v>
      </c>
      <c r="D31" s="851">
        <f>$D$26/5</f>
        <v>17500000</v>
      </c>
      <c r="E31" s="1082">
        <f t="shared" si="198"/>
        <v>3100000</v>
      </c>
      <c r="F31" s="610">
        <f t="shared" si="199"/>
        <v>-14400000</v>
      </c>
      <c r="G31" s="208">
        <f t="shared" si="200"/>
        <v>0.17714285714285713</v>
      </c>
      <c r="H31" s="208">
        <f>IF(SUMIF(M$13:EF$13,$O$13,M31:EF31)&gt;0,AVERAGEIFS(M31:EF31,M31:EF31,"&gt;0",M$13:EF$13,$O$13),"NO NEW ORDER")</f>
        <v>1</v>
      </c>
      <c r="I31" s="836"/>
      <c r="J31" s="1110">
        <f t="shared" ca="1" si="235"/>
        <v>0</v>
      </c>
      <c r="K31" s="851"/>
      <c r="L31" s="605">
        <f t="shared" ca="1" si="201"/>
        <v>0</v>
      </c>
      <c r="M31" s="1026">
        <v>2</v>
      </c>
      <c r="N31" s="1027">
        <v>2</v>
      </c>
      <c r="O31" s="906">
        <f t="shared" si="236"/>
        <v>1</v>
      </c>
      <c r="P31" s="1029">
        <v>100000</v>
      </c>
      <c r="Q31" s="1026">
        <v>2</v>
      </c>
      <c r="R31" s="1027">
        <v>2</v>
      </c>
      <c r="S31" s="906">
        <f t="shared" si="237"/>
        <v>1</v>
      </c>
      <c r="T31" s="1029">
        <v>100000</v>
      </c>
      <c r="U31" s="1026">
        <v>2</v>
      </c>
      <c r="V31" s="1027">
        <v>2</v>
      </c>
      <c r="W31" s="906">
        <f t="shared" si="238"/>
        <v>1</v>
      </c>
      <c r="X31" s="1029">
        <v>100000</v>
      </c>
      <c r="Y31" s="1026">
        <v>2</v>
      </c>
      <c r="Z31" s="1027">
        <v>2</v>
      </c>
      <c r="AA31" s="906">
        <f t="shared" si="239"/>
        <v>1</v>
      </c>
      <c r="AB31" s="1029">
        <v>100000</v>
      </c>
      <c r="AC31" s="1026">
        <v>2</v>
      </c>
      <c r="AD31" s="1027">
        <v>2</v>
      </c>
      <c r="AE31" s="906">
        <f t="shared" si="240"/>
        <v>1</v>
      </c>
      <c r="AF31" s="1029">
        <v>100000</v>
      </c>
      <c r="AG31" s="1026">
        <v>2</v>
      </c>
      <c r="AH31" s="1027">
        <v>2</v>
      </c>
      <c r="AI31" s="906">
        <f t="shared" si="241"/>
        <v>1</v>
      </c>
      <c r="AJ31" s="1029">
        <v>100000</v>
      </c>
      <c r="AK31" s="1026">
        <v>2</v>
      </c>
      <c r="AL31" s="1027">
        <v>2</v>
      </c>
      <c r="AM31" s="906">
        <f t="shared" si="242"/>
        <v>1</v>
      </c>
      <c r="AN31" s="1029">
        <v>100000</v>
      </c>
      <c r="AO31" s="1026">
        <v>2</v>
      </c>
      <c r="AP31" s="1027">
        <v>2</v>
      </c>
      <c r="AQ31" s="906">
        <f t="shared" si="243"/>
        <v>1</v>
      </c>
      <c r="AR31" s="1029">
        <v>100000</v>
      </c>
      <c r="AS31" s="1026">
        <v>2</v>
      </c>
      <c r="AT31" s="1027">
        <v>2</v>
      </c>
      <c r="AU31" s="906">
        <f t="shared" si="244"/>
        <v>1</v>
      </c>
      <c r="AV31" s="1029">
        <v>100000</v>
      </c>
      <c r="AW31" s="1026">
        <v>2</v>
      </c>
      <c r="AX31" s="1027">
        <v>2</v>
      </c>
      <c r="AY31" s="906">
        <f t="shared" si="245"/>
        <v>1</v>
      </c>
      <c r="AZ31" s="1029">
        <v>100000</v>
      </c>
      <c r="BA31" s="1026">
        <v>2</v>
      </c>
      <c r="BB31" s="1027">
        <v>2</v>
      </c>
      <c r="BC31" s="906">
        <f t="shared" si="246"/>
        <v>1</v>
      </c>
      <c r="BD31" s="1029">
        <v>100000</v>
      </c>
      <c r="BE31" s="1026">
        <v>2</v>
      </c>
      <c r="BF31" s="1027">
        <v>2</v>
      </c>
      <c r="BG31" s="906">
        <f t="shared" si="247"/>
        <v>1</v>
      </c>
      <c r="BH31" s="1029">
        <v>100000</v>
      </c>
      <c r="BI31" s="1026">
        <v>2</v>
      </c>
      <c r="BJ31" s="1027">
        <v>2</v>
      </c>
      <c r="BK31" s="906">
        <f t="shared" si="248"/>
        <v>1</v>
      </c>
      <c r="BL31" s="1029">
        <v>100000</v>
      </c>
      <c r="BM31" s="1026">
        <v>2</v>
      </c>
      <c r="BN31" s="1027">
        <v>2</v>
      </c>
      <c r="BO31" s="906">
        <f t="shared" si="249"/>
        <v>1</v>
      </c>
      <c r="BP31" s="1029">
        <v>100000</v>
      </c>
      <c r="BQ31" s="1026">
        <v>2</v>
      </c>
      <c r="BR31" s="1027">
        <v>2</v>
      </c>
      <c r="BS31" s="906">
        <f t="shared" si="250"/>
        <v>1</v>
      </c>
      <c r="BT31" s="1029">
        <v>100000</v>
      </c>
      <c r="BU31" s="1026">
        <v>2</v>
      </c>
      <c r="BV31" s="1027">
        <v>2</v>
      </c>
      <c r="BW31" s="906">
        <f t="shared" si="251"/>
        <v>1</v>
      </c>
      <c r="BX31" s="1029">
        <v>100000</v>
      </c>
      <c r="BY31" s="1026">
        <v>2</v>
      </c>
      <c r="BZ31" s="1027">
        <v>2</v>
      </c>
      <c r="CA31" s="906">
        <f t="shared" si="252"/>
        <v>1</v>
      </c>
      <c r="CB31" s="1029">
        <v>100000</v>
      </c>
      <c r="CC31" s="1026">
        <v>2</v>
      </c>
      <c r="CD31" s="1027">
        <v>2</v>
      </c>
      <c r="CE31" s="906">
        <f t="shared" si="253"/>
        <v>1</v>
      </c>
      <c r="CF31" s="1029">
        <v>100000</v>
      </c>
      <c r="CG31" s="1026">
        <v>2</v>
      </c>
      <c r="CH31" s="1027">
        <v>2</v>
      </c>
      <c r="CI31" s="906">
        <f t="shared" si="254"/>
        <v>1</v>
      </c>
      <c r="CJ31" s="1029">
        <v>100000</v>
      </c>
      <c r="CK31" s="1026">
        <v>2</v>
      </c>
      <c r="CL31" s="1027">
        <v>2</v>
      </c>
      <c r="CM31" s="906">
        <f t="shared" si="255"/>
        <v>1</v>
      </c>
      <c r="CN31" s="1029">
        <v>100000</v>
      </c>
      <c r="CO31" s="1026">
        <v>2</v>
      </c>
      <c r="CP31" s="1027">
        <v>2</v>
      </c>
      <c r="CQ31" s="906">
        <f t="shared" si="256"/>
        <v>1</v>
      </c>
      <c r="CR31" s="1029">
        <v>100000</v>
      </c>
      <c r="CS31" s="1026">
        <v>2</v>
      </c>
      <c r="CT31" s="1027">
        <v>2</v>
      </c>
      <c r="CU31" s="906">
        <f t="shared" si="257"/>
        <v>1</v>
      </c>
      <c r="CV31" s="1029">
        <v>100000</v>
      </c>
      <c r="CW31" s="1026">
        <v>2</v>
      </c>
      <c r="CX31" s="1027">
        <v>2</v>
      </c>
      <c r="CY31" s="906">
        <f t="shared" si="258"/>
        <v>1</v>
      </c>
      <c r="CZ31" s="1029">
        <v>100000</v>
      </c>
      <c r="DA31" s="1026">
        <v>2</v>
      </c>
      <c r="DB31" s="1027">
        <v>2</v>
      </c>
      <c r="DC31" s="906">
        <f t="shared" si="259"/>
        <v>1</v>
      </c>
      <c r="DD31" s="1029">
        <v>100000</v>
      </c>
      <c r="DE31" s="1026">
        <v>2</v>
      </c>
      <c r="DF31" s="1027">
        <v>2</v>
      </c>
      <c r="DG31" s="906">
        <f t="shared" si="260"/>
        <v>1</v>
      </c>
      <c r="DH31" s="1029">
        <v>100000</v>
      </c>
      <c r="DI31" s="1026">
        <v>2</v>
      </c>
      <c r="DJ31" s="1027">
        <v>2</v>
      </c>
      <c r="DK31" s="906">
        <f t="shared" si="261"/>
        <v>1</v>
      </c>
      <c r="DL31" s="1029">
        <v>100000</v>
      </c>
      <c r="DM31" s="1026">
        <v>2</v>
      </c>
      <c r="DN31" s="1027">
        <v>2</v>
      </c>
      <c r="DO31" s="906">
        <f t="shared" si="262"/>
        <v>1</v>
      </c>
      <c r="DP31" s="1029">
        <v>100000</v>
      </c>
      <c r="DQ31" s="1026">
        <v>2</v>
      </c>
      <c r="DR31" s="1027">
        <v>2</v>
      </c>
      <c r="DS31" s="906">
        <f t="shared" si="263"/>
        <v>1</v>
      </c>
      <c r="DT31" s="1029">
        <v>100000</v>
      </c>
      <c r="DU31" s="1026">
        <v>2</v>
      </c>
      <c r="DV31" s="1027">
        <v>2</v>
      </c>
      <c r="DW31" s="906">
        <f t="shared" si="264"/>
        <v>1</v>
      </c>
      <c r="DX31" s="1029">
        <v>100000</v>
      </c>
      <c r="DY31" s="1026">
        <v>2</v>
      </c>
      <c r="DZ31" s="1027">
        <v>2</v>
      </c>
      <c r="EA31" s="906">
        <f t="shared" si="265"/>
        <v>1</v>
      </c>
      <c r="EB31" s="1029">
        <v>100000</v>
      </c>
      <c r="EC31" s="1026">
        <v>2</v>
      </c>
      <c r="ED31" s="1027">
        <v>2</v>
      </c>
      <c r="EE31" s="906">
        <f t="shared" si="266"/>
        <v>1</v>
      </c>
      <c r="EF31" s="1029">
        <v>100000</v>
      </c>
    </row>
    <row r="32" spans="1:136" ht="20" customHeight="1" x14ac:dyDescent="0.15">
      <c r="A32" s="870">
        <f t="shared" ref="A32:A36" si="267">_xlfn.IFS(B32=0,0,E32&gt;B32,1,E32&lt;=B32,E32/B32)</f>
        <v>0</v>
      </c>
      <c r="B32" s="948"/>
      <c r="C32" s="883" t="str">
        <f>Dashboard!K98</f>
        <v>WEBSITE</v>
      </c>
      <c r="D32" s="686">
        <f>Dashboard!M98</f>
        <v>17500000</v>
      </c>
      <c r="E32" s="1065">
        <f>SUMIF($M$13:$EF$13,$P$13,$M32:$EF32)</f>
        <v>17050000</v>
      </c>
      <c r="F32" s="686">
        <f>E32-D32</f>
        <v>-450000</v>
      </c>
      <c r="G32" s="788">
        <f>_xlfn.IFS(F32&gt;0,1,F32&lt;=0,E32/D32)</f>
        <v>0.97428571428571431</v>
      </c>
      <c r="H32" s="788">
        <f>IF(SUMIF(M$13:EF$13,$O$13,M32:EF32)&gt;0,AVERAGEIFS(M32:EF32,M32:EF32,"&gt;0",M$13:EF$13,$O$13),"NO NEW ORDER")</f>
        <v>0.41666666666666652</v>
      </c>
      <c r="I32" s="788">
        <f>Dashboard!M119</f>
        <v>0.16041666666666665</v>
      </c>
      <c r="J32" s="788">
        <f ca="1">IF(SUM(J33:J34)&gt;0,AVERAGEIF(J33:J34,"&gt;0"),0)</f>
        <v>0</v>
      </c>
      <c r="K32" s="686">
        <f>D32/'Action Plan'!$C$6</f>
        <v>673076.92307692312</v>
      </c>
      <c r="L32" s="933">
        <f ca="1">SUMIFS($M32:$EF32,$M$11:$EF$11,TODAY()-1,$M$13:$EF$13,P$13)</f>
        <v>0</v>
      </c>
      <c r="M32" s="899">
        <f>SUM(M33:M34)</f>
        <v>7</v>
      </c>
      <c r="N32" s="904">
        <f>SUM(N33:N34)</f>
        <v>3</v>
      </c>
      <c r="O32" s="788">
        <f>IF(SUM(O33:O34)&gt;0,AVERAGEIF(O33:O34,"&gt;0"),0)</f>
        <v>0.41666666666666663</v>
      </c>
      <c r="P32" s="891">
        <f>SUM(P33:P34)</f>
        <v>550000</v>
      </c>
      <c r="Q32" s="899">
        <f>SUM(Q33:Q34)</f>
        <v>7</v>
      </c>
      <c r="R32" s="904">
        <f>SUM(R33:R34)</f>
        <v>3</v>
      </c>
      <c r="S32" s="788">
        <f>IF(SUM(S33:S34)&gt;0,AVERAGEIF(S33:S34,"&gt;0"),0)</f>
        <v>0.41666666666666663</v>
      </c>
      <c r="T32" s="891">
        <f>SUM(T33:T34)</f>
        <v>550000</v>
      </c>
      <c r="U32" s="899">
        <f>SUM(U33:U34)</f>
        <v>7</v>
      </c>
      <c r="V32" s="904">
        <f>SUM(V33:V34)</f>
        <v>3</v>
      </c>
      <c r="W32" s="788">
        <f>IF(SUM(W33:W34)&gt;0,AVERAGEIF(W33:W34,"&gt;0"),0)</f>
        <v>0.41666666666666663</v>
      </c>
      <c r="X32" s="891">
        <f>SUM(X33:X34)</f>
        <v>550000</v>
      </c>
      <c r="Y32" s="899">
        <f>SUM(Y33:Y34)</f>
        <v>7</v>
      </c>
      <c r="Z32" s="904">
        <f>SUM(Z33:Z34)</f>
        <v>3</v>
      </c>
      <c r="AA32" s="788">
        <f>IF(SUM(AA33:AA34)&gt;0,AVERAGEIF(AA33:AA34,"&gt;0"),0)</f>
        <v>0.41666666666666663</v>
      </c>
      <c r="AB32" s="891">
        <f>SUM(AB33:AB34)</f>
        <v>550000</v>
      </c>
      <c r="AC32" s="899">
        <f>SUM(AC33:AC34)</f>
        <v>7</v>
      </c>
      <c r="AD32" s="904">
        <f>SUM(AD33:AD34)</f>
        <v>3</v>
      </c>
      <c r="AE32" s="788">
        <f>IF(SUM(AE33:AE34)&gt;0,AVERAGEIF(AE33:AE34,"&gt;0"),0)</f>
        <v>0.41666666666666663</v>
      </c>
      <c r="AF32" s="891">
        <f>SUM(AF33:AF34)</f>
        <v>550000</v>
      </c>
      <c r="AG32" s="899">
        <f>SUM(AG33:AG34)</f>
        <v>7</v>
      </c>
      <c r="AH32" s="904">
        <f>SUM(AH33:AH34)</f>
        <v>3</v>
      </c>
      <c r="AI32" s="788">
        <f>IF(SUM(AI33:AI34)&gt;0,AVERAGEIF(AI33:AI34,"&gt;0"),0)</f>
        <v>0.41666666666666663</v>
      </c>
      <c r="AJ32" s="891">
        <f>SUM(AJ33:AJ34)</f>
        <v>550000</v>
      </c>
      <c r="AK32" s="899">
        <f>SUM(AK33:AK34)</f>
        <v>7</v>
      </c>
      <c r="AL32" s="904">
        <f>SUM(AL33:AL34)</f>
        <v>3</v>
      </c>
      <c r="AM32" s="788">
        <f>IF(SUM(AM33:AM34)&gt;0,AVERAGEIF(AM33:AM34,"&gt;0"),0)</f>
        <v>0.41666666666666663</v>
      </c>
      <c r="AN32" s="891">
        <f>SUM(AN33:AN34)</f>
        <v>550000</v>
      </c>
      <c r="AO32" s="899">
        <f>SUM(AO33:AO34)</f>
        <v>7</v>
      </c>
      <c r="AP32" s="904">
        <f>SUM(AP33:AP34)</f>
        <v>3</v>
      </c>
      <c r="AQ32" s="788">
        <f>IF(SUM(AQ33:AQ34)&gt;0,AVERAGEIF(AQ33:AQ34,"&gt;0"),0)</f>
        <v>0.41666666666666663</v>
      </c>
      <c r="AR32" s="891">
        <f>SUM(AR33:AR34)</f>
        <v>550000</v>
      </c>
      <c r="AS32" s="899">
        <f>SUM(AS33:AS34)</f>
        <v>7</v>
      </c>
      <c r="AT32" s="904">
        <f>SUM(AT33:AT34)</f>
        <v>3</v>
      </c>
      <c r="AU32" s="788">
        <f>IF(SUM(AU33:AU34)&gt;0,AVERAGEIF(AU33:AU34,"&gt;0"),0)</f>
        <v>0.41666666666666663</v>
      </c>
      <c r="AV32" s="891">
        <f>SUM(AV33:AV34)</f>
        <v>550000</v>
      </c>
      <c r="AW32" s="899">
        <f>SUM(AW33:AW34)</f>
        <v>7</v>
      </c>
      <c r="AX32" s="904">
        <f>SUM(AX33:AX34)</f>
        <v>3</v>
      </c>
      <c r="AY32" s="788">
        <f>IF(SUM(AY33:AY34)&gt;0,AVERAGEIF(AY33:AY34,"&gt;0"),0)</f>
        <v>0.41666666666666663</v>
      </c>
      <c r="AZ32" s="891">
        <f>SUM(AZ33:AZ34)</f>
        <v>550000</v>
      </c>
      <c r="BA32" s="899">
        <f>SUM(BA33:BA34)</f>
        <v>7</v>
      </c>
      <c r="BB32" s="904">
        <f>SUM(BB33:BB34)</f>
        <v>3</v>
      </c>
      <c r="BC32" s="788">
        <f>IF(SUM(BC33:BC34)&gt;0,AVERAGEIF(BC33:BC34,"&gt;0"),0)</f>
        <v>0.41666666666666663</v>
      </c>
      <c r="BD32" s="891">
        <f>SUM(BD33:BD34)</f>
        <v>550000</v>
      </c>
      <c r="BE32" s="899">
        <f>SUM(BE33:BE34)</f>
        <v>7</v>
      </c>
      <c r="BF32" s="904">
        <f>SUM(BF33:BF34)</f>
        <v>3</v>
      </c>
      <c r="BG32" s="788">
        <f>IF(SUM(BG33:BG34)&gt;0,AVERAGEIF(BG33:BG34,"&gt;0"),0)</f>
        <v>0.41666666666666663</v>
      </c>
      <c r="BH32" s="891">
        <f>SUM(BH33:BH34)</f>
        <v>550000</v>
      </c>
      <c r="BI32" s="899">
        <f>SUM(BI33:BI34)</f>
        <v>7</v>
      </c>
      <c r="BJ32" s="904">
        <f>SUM(BJ33:BJ34)</f>
        <v>3</v>
      </c>
      <c r="BK32" s="788">
        <f>IF(SUM(BK33:BK34)&gt;0,AVERAGEIF(BK33:BK34,"&gt;0"),0)</f>
        <v>0.41666666666666663</v>
      </c>
      <c r="BL32" s="891">
        <f>SUM(BL33:BL34)</f>
        <v>550000</v>
      </c>
      <c r="BM32" s="899">
        <f>SUM(BM33:BM34)</f>
        <v>7</v>
      </c>
      <c r="BN32" s="904">
        <f>SUM(BN33:BN34)</f>
        <v>3</v>
      </c>
      <c r="BO32" s="788">
        <f>IF(SUM(BO33:BO34)&gt;0,AVERAGEIF(BO33:BO34,"&gt;0"),0)</f>
        <v>0.41666666666666663</v>
      </c>
      <c r="BP32" s="891">
        <f>SUM(BP33:BP34)</f>
        <v>550000</v>
      </c>
      <c r="BQ32" s="899">
        <f>SUM(BQ33:BQ34)</f>
        <v>7</v>
      </c>
      <c r="BR32" s="904">
        <f>SUM(BR33:BR34)</f>
        <v>3</v>
      </c>
      <c r="BS32" s="788">
        <f>IF(SUM(BS33:BS34)&gt;0,AVERAGEIF(BS33:BS34,"&gt;0"),0)</f>
        <v>0.41666666666666663</v>
      </c>
      <c r="BT32" s="891">
        <f>SUM(BT33:BT34)</f>
        <v>550000</v>
      </c>
      <c r="BU32" s="899">
        <f>SUM(BU33:BU34)</f>
        <v>7</v>
      </c>
      <c r="BV32" s="904">
        <f>SUM(BV33:BV34)</f>
        <v>3</v>
      </c>
      <c r="BW32" s="788">
        <f>IF(SUM(BW33:BW34)&gt;0,AVERAGEIF(BW33:BW34,"&gt;0"),0)</f>
        <v>0.41666666666666663</v>
      </c>
      <c r="BX32" s="891">
        <f>SUM(BX33:BX34)</f>
        <v>550000</v>
      </c>
      <c r="BY32" s="899">
        <f>SUM(BY33:BY34)</f>
        <v>7</v>
      </c>
      <c r="BZ32" s="904">
        <f>SUM(BZ33:BZ34)</f>
        <v>3</v>
      </c>
      <c r="CA32" s="788">
        <f>IF(SUM(CA33:CA34)&gt;0,AVERAGEIF(CA33:CA34,"&gt;0"),0)</f>
        <v>0.41666666666666663</v>
      </c>
      <c r="CB32" s="891">
        <f>SUM(CB33:CB34)</f>
        <v>550000</v>
      </c>
      <c r="CC32" s="899">
        <f>SUM(CC33:CC34)</f>
        <v>7</v>
      </c>
      <c r="CD32" s="904">
        <f>SUM(CD33:CD34)</f>
        <v>3</v>
      </c>
      <c r="CE32" s="788">
        <f>IF(SUM(CE33:CE34)&gt;0,AVERAGEIF(CE33:CE34,"&gt;0"),0)</f>
        <v>0.41666666666666663</v>
      </c>
      <c r="CF32" s="891">
        <f>SUM(CF33:CF34)</f>
        <v>550000</v>
      </c>
      <c r="CG32" s="899">
        <f>SUM(CG33:CG34)</f>
        <v>7</v>
      </c>
      <c r="CH32" s="904">
        <f>SUM(CH33:CH34)</f>
        <v>3</v>
      </c>
      <c r="CI32" s="788">
        <f>IF(SUM(CI33:CI34)&gt;0,AVERAGEIF(CI33:CI34,"&gt;0"),0)</f>
        <v>0.41666666666666663</v>
      </c>
      <c r="CJ32" s="891">
        <f>SUM(CJ33:CJ34)</f>
        <v>550000</v>
      </c>
      <c r="CK32" s="899">
        <f>SUM(CK33:CK34)</f>
        <v>7</v>
      </c>
      <c r="CL32" s="904">
        <f>SUM(CL33:CL34)</f>
        <v>3</v>
      </c>
      <c r="CM32" s="788">
        <f>IF(SUM(CM33:CM34)&gt;0,AVERAGEIF(CM33:CM34,"&gt;0"),0)</f>
        <v>0.41666666666666663</v>
      </c>
      <c r="CN32" s="891">
        <f>SUM(CN33:CN34)</f>
        <v>550000</v>
      </c>
      <c r="CO32" s="899">
        <f>SUM(CO33:CO34)</f>
        <v>7</v>
      </c>
      <c r="CP32" s="904">
        <f>SUM(CP33:CP34)</f>
        <v>3</v>
      </c>
      <c r="CQ32" s="788">
        <f>IF(SUM(CQ33:CQ34)&gt;0,AVERAGEIF(CQ33:CQ34,"&gt;0"),0)</f>
        <v>0.41666666666666663</v>
      </c>
      <c r="CR32" s="891">
        <f>SUM(CR33:CR34)</f>
        <v>550000</v>
      </c>
      <c r="CS32" s="899">
        <f>SUM(CS33:CS34)</f>
        <v>7</v>
      </c>
      <c r="CT32" s="904">
        <f>SUM(CT33:CT34)</f>
        <v>3</v>
      </c>
      <c r="CU32" s="788">
        <f>IF(SUM(CU33:CU34)&gt;0,AVERAGEIF(CU33:CU34,"&gt;0"),0)</f>
        <v>0.41666666666666663</v>
      </c>
      <c r="CV32" s="891">
        <f>SUM(CV33:CV34)</f>
        <v>550000</v>
      </c>
      <c r="CW32" s="899">
        <f>SUM(CW33:CW34)</f>
        <v>7</v>
      </c>
      <c r="CX32" s="904">
        <f>SUM(CX33:CX34)</f>
        <v>3</v>
      </c>
      <c r="CY32" s="788">
        <f>IF(SUM(CY33:CY34)&gt;0,AVERAGEIF(CY33:CY34,"&gt;0"),0)</f>
        <v>0.41666666666666663</v>
      </c>
      <c r="CZ32" s="891">
        <f>SUM(CZ33:CZ34)</f>
        <v>550000</v>
      </c>
      <c r="DA32" s="899">
        <f>SUM(DA33:DA34)</f>
        <v>7</v>
      </c>
      <c r="DB32" s="904">
        <f>SUM(DB33:DB34)</f>
        <v>3</v>
      </c>
      <c r="DC32" s="788">
        <f>IF(SUM(DC33:DC34)&gt;0,AVERAGEIF(DC33:DC34,"&gt;0"),0)</f>
        <v>0.41666666666666663</v>
      </c>
      <c r="DD32" s="891">
        <f>SUM(DD33:DD34)</f>
        <v>550000</v>
      </c>
      <c r="DE32" s="899">
        <f>SUM(DE33:DE34)</f>
        <v>7</v>
      </c>
      <c r="DF32" s="904">
        <f>SUM(DF33:DF34)</f>
        <v>3</v>
      </c>
      <c r="DG32" s="788">
        <f>IF(SUM(DG33:DG34)&gt;0,AVERAGEIF(DG33:DG34,"&gt;0"),0)</f>
        <v>0.41666666666666663</v>
      </c>
      <c r="DH32" s="891">
        <f>SUM(DH33:DH34)</f>
        <v>550000</v>
      </c>
      <c r="DI32" s="899">
        <f>SUM(DI33:DI34)</f>
        <v>7</v>
      </c>
      <c r="DJ32" s="904">
        <f>SUM(DJ33:DJ34)</f>
        <v>3</v>
      </c>
      <c r="DK32" s="788">
        <f>IF(SUM(DK33:DK34)&gt;0,AVERAGEIF(DK33:DK34,"&gt;0"),0)</f>
        <v>0.41666666666666663</v>
      </c>
      <c r="DL32" s="891">
        <f>SUM(DL33:DL34)</f>
        <v>550000</v>
      </c>
      <c r="DM32" s="899">
        <f>SUM(DM33:DM34)</f>
        <v>7</v>
      </c>
      <c r="DN32" s="904">
        <f>SUM(DN33:DN34)</f>
        <v>3</v>
      </c>
      <c r="DO32" s="788">
        <f>IF(SUM(DO33:DO34)&gt;0,AVERAGEIF(DO33:DO34,"&gt;0"),0)</f>
        <v>0.41666666666666663</v>
      </c>
      <c r="DP32" s="891">
        <f>SUM(DP33:DP34)</f>
        <v>550000</v>
      </c>
      <c r="DQ32" s="899">
        <f>SUM(DQ33:DQ34)</f>
        <v>7</v>
      </c>
      <c r="DR32" s="904">
        <f>SUM(DR33:DR34)</f>
        <v>3</v>
      </c>
      <c r="DS32" s="788">
        <f>IF(SUM(DS33:DS34)&gt;0,AVERAGEIF(DS33:DS34,"&gt;0"),0)</f>
        <v>0.41666666666666663</v>
      </c>
      <c r="DT32" s="891">
        <f>SUM(DT33:DT34)</f>
        <v>550000</v>
      </c>
      <c r="DU32" s="899">
        <f>SUM(DU33:DU34)</f>
        <v>7</v>
      </c>
      <c r="DV32" s="904">
        <f>SUM(DV33:DV34)</f>
        <v>3</v>
      </c>
      <c r="DW32" s="788">
        <f>IF(SUM(DW33:DW34)&gt;0,AVERAGEIF(DW33:DW34,"&gt;0"),0)</f>
        <v>0.41666666666666663</v>
      </c>
      <c r="DX32" s="891">
        <f>SUM(DX33:DX34)</f>
        <v>550000</v>
      </c>
      <c r="DY32" s="899">
        <f>SUM(DY33:DY34)</f>
        <v>7</v>
      </c>
      <c r="DZ32" s="904">
        <f>SUM(DZ33:DZ34)</f>
        <v>3</v>
      </c>
      <c r="EA32" s="788">
        <f>IF(SUM(EA33:EA34)&gt;0,AVERAGEIF(EA33:EA34,"&gt;0"),0)</f>
        <v>0.41666666666666663</v>
      </c>
      <c r="EB32" s="891">
        <f>SUM(EB33:EB34)</f>
        <v>550000</v>
      </c>
      <c r="EC32" s="899">
        <f>SUM(EC33:EC34)</f>
        <v>7</v>
      </c>
      <c r="ED32" s="904">
        <f>SUM(ED33:ED34)</f>
        <v>3</v>
      </c>
      <c r="EE32" s="788">
        <f>IF(SUM(EE33:EE34)&gt;0,AVERAGEIF(EE33:EE34,"&gt;0"),0)</f>
        <v>0.41666666666666663</v>
      </c>
      <c r="EF32" s="891">
        <f>SUM(EF33:EF34)</f>
        <v>550000</v>
      </c>
    </row>
    <row r="33" spans="1:136" ht="20" customHeight="1" x14ac:dyDescent="0.15">
      <c r="A33" s="189">
        <f t="shared" si="267"/>
        <v>0</v>
      </c>
      <c r="B33" s="948"/>
      <c r="C33" s="970" t="s">
        <v>132</v>
      </c>
      <c r="D33" s="610">
        <f>$D$32/2</f>
        <v>8750000</v>
      </c>
      <c r="E33" s="1082">
        <f t="shared" ref="E33:E34" si="268">SUMIF($M$13:$EF$13,$P$13,$M33:$EF33)</f>
        <v>6200000</v>
      </c>
      <c r="F33" s="610">
        <f t="shared" ref="F33:F35" si="269">E33-D33</f>
        <v>-2550000</v>
      </c>
      <c r="G33" s="208">
        <f t="shared" ref="G33:G35" si="270">_xlfn.IFS(F33&gt;0,1,F33&lt;=0,E33/D33)</f>
        <v>0.70857142857142852</v>
      </c>
      <c r="H33" s="208">
        <f>IF(SUMIF(M$13:EF$13,$O$13,M33:EF33)&gt;0,AVERAGEIFS(M33:EF33,M33:EF33,"&gt;0",M$13:EF$13,$O$13),"NO NEW ORDER")</f>
        <v>0.33333333333333337</v>
      </c>
      <c r="I33" s="788"/>
      <c r="J33" s="208">
        <f ca="1">SUMIFS($M33:$EF33,$M$11:$EF$11,TODAY()-1,$M$13:$EF$13,O$13)</f>
        <v>0</v>
      </c>
      <c r="K33" s="686"/>
      <c r="L33" s="605">
        <f ca="1">SUMIFS($M33:$EF33,$M$11:$EF$11,TODAY()-1,$M$13:$EF$13,P$13)</f>
        <v>0</v>
      </c>
      <c r="M33" s="1026">
        <v>3</v>
      </c>
      <c r="N33" s="1027">
        <v>1</v>
      </c>
      <c r="O33" s="208">
        <f>_xlfn.IFS(M33=0,0,N33&lt;=M33,N33/M33,N33&gt;M33,1)</f>
        <v>0.33333333333333331</v>
      </c>
      <c r="P33" s="1029">
        <v>200000</v>
      </c>
      <c r="Q33" s="1026">
        <v>3</v>
      </c>
      <c r="R33" s="1027">
        <v>1</v>
      </c>
      <c r="S33" s="208">
        <f>_xlfn.IFS(Q33=0,0,R33&lt;=Q33,R33/Q33,R33&gt;Q33,1)</f>
        <v>0.33333333333333331</v>
      </c>
      <c r="T33" s="1029">
        <v>200000</v>
      </c>
      <c r="U33" s="1026">
        <v>3</v>
      </c>
      <c r="V33" s="1027">
        <v>1</v>
      </c>
      <c r="W33" s="208">
        <f>_xlfn.IFS(U33=0,0,V33&lt;=U33,V33/U33,V33&gt;U33,1)</f>
        <v>0.33333333333333331</v>
      </c>
      <c r="X33" s="1029">
        <v>200000</v>
      </c>
      <c r="Y33" s="1026">
        <v>3</v>
      </c>
      <c r="Z33" s="1027">
        <v>1</v>
      </c>
      <c r="AA33" s="208">
        <f>_xlfn.IFS(Y33=0,0,Z33&lt;=Y33,Z33/Y33,Z33&gt;Y33,1)</f>
        <v>0.33333333333333331</v>
      </c>
      <c r="AB33" s="1029">
        <v>200000</v>
      </c>
      <c r="AC33" s="1026">
        <v>3</v>
      </c>
      <c r="AD33" s="1027">
        <v>1</v>
      </c>
      <c r="AE33" s="208">
        <f>_xlfn.IFS(AC33=0,0,AD33&lt;=AC33,AD33/AC33,AD33&gt;AC33,1)</f>
        <v>0.33333333333333331</v>
      </c>
      <c r="AF33" s="1029">
        <v>200000</v>
      </c>
      <c r="AG33" s="1026">
        <v>3</v>
      </c>
      <c r="AH33" s="1027">
        <v>1</v>
      </c>
      <c r="AI33" s="208">
        <f>_xlfn.IFS(AG33=0,0,AH33&lt;=AG33,AH33/AG33,AH33&gt;AG33,1)</f>
        <v>0.33333333333333331</v>
      </c>
      <c r="AJ33" s="1029">
        <v>200000</v>
      </c>
      <c r="AK33" s="1026">
        <v>3</v>
      </c>
      <c r="AL33" s="1027">
        <v>1</v>
      </c>
      <c r="AM33" s="208">
        <f>_xlfn.IFS(AK33=0,0,AL33&lt;=AK33,AL33/AK33,AL33&gt;AK33,1)</f>
        <v>0.33333333333333331</v>
      </c>
      <c r="AN33" s="1029">
        <v>200000</v>
      </c>
      <c r="AO33" s="1026">
        <v>3</v>
      </c>
      <c r="AP33" s="1027">
        <v>1</v>
      </c>
      <c r="AQ33" s="208">
        <f>_xlfn.IFS(AO33=0,0,AP33&lt;=AO33,AP33/AO33,AP33&gt;AO33,1)</f>
        <v>0.33333333333333331</v>
      </c>
      <c r="AR33" s="1029">
        <v>200000</v>
      </c>
      <c r="AS33" s="1026">
        <v>3</v>
      </c>
      <c r="AT33" s="1027">
        <v>1</v>
      </c>
      <c r="AU33" s="208">
        <f>_xlfn.IFS(AS33=0,0,AT33&lt;=AS33,AT33/AS33,AT33&gt;AS33,1)</f>
        <v>0.33333333333333331</v>
      </c>
      <c r="AV33" s="1029">
        <v>200000</v>
      </c>
      <c r="AW33" s="1026">
        <v>3</v>
      </c>
      <c r="AX33" s="1027">
        <v>1</v>
      </c>
      <c r="AY33" s="208">
        <f>_xlfn.IFS(AW33=0,0,AX33&lt;=AW33,AX33/AW33,AX33&gt;AW33,1)</f>
        <v>0.33333333333333331</v>
      </c>
      <c r="AZ33" s="1029">
        <v>200000</v>
      </c>
      <c r="BA33" s="1026">
        <v>3</v>
      </c>
      <c r="BB33" s="1027">
        <v>1</v>
      </c>
      <c r="BC33" s="208">
        <f>_xlfn.IFS(BA33=0,0,BB33&lt;=BA33,BB33/BA33,BB33&gt;BA33,1)</f>
        <v>0.33333333333333331</v>
      </c>
      <c r="BD33" s="1029">
        <v>200000</v>
      </c>
      <c r="BE33" s="1026">
        <v>3</v>
      </c>
      <c r="BF33" s="1027">
        <v>1</v>
      </c>
      <c r="BG33" s="208">
        <f>_xlfn.IFS(BE33=0,0,BF33&lt;=BE33,BF33/BE33,BF33&gt;BE33,1)</f>
        <v>0.33333333333333331</v>
      </c>
      <c r="BH33" s="1029">
        <v>200000</v>
      </c>
      <c r="BI33" s="1026">
        <v>3</v>
      </c>
      <c r="BJ33" s="1027">
        <v>1</v>
      </c>
      <c r="BK33" s="208">
        <f>_xlfn.IFS(BI33=0,0,BJ33&lt;=BI33,BJ33/BI33,BJ33&gt;BI33,1)</f>
        <v>0.33333333333333331</v>
      </c>
      <c r="BL33" s="1029">
        <v>200000</v>
      </c>
      <c r="BM33" s="1026">
        <v>3</v>
      </c>
      <c r="BN33" s="1027">
        <v>1</v>
      </c>
      <c r="BO33" s="208">
        <f>_xlfn.IFS(BM33=0,0,BN33&lt;=BM33,BN33/BM33,BN33&gt;BM33,1)</f>
        <v>0.33333333333333331</v>
      </c>
      <c r="BP33" s="1029">
        <v>200000</v>
      </c>
      <c r="BQ33" s="1026">
        <v>3</v>
      </c>
      <c r="BR33" s="1027">
        <v>1</v>
      </c>
      <c r="BS33" s="208">
        <f>_xlfn.IFS(BQ33=0,0,BR33&lt;=BQ33,BR33/BQ33,BR33&gt;BQ33,1)</f>
        <v>0.33333333333333331</v>
      </c>
      <c r="BT33" s="1029">
        <v>200000</v>
      </c>
      <c r="BU33" s="1026">
        <v>3</v>
      </c>
      <c r="BV33" s="1027">
        <v>1</v>
      </c>
      <c r="BW33" s="208">
        <f>_xlfn.IFS(BU33=0,0,BV33&lt;=BU33,BV33/BU33,BV33&gt;BU33,1)</f>
        <v>0.33333333333333331</v>
      </c>
      <c r="BX33" s="1029">
        <v>200000</v>
      </c>
      <c r="BY33" s="1026">
        <v>3</v>
      </c>
      <c r="BZ33" s="1027">
        <v>1</v>
      </c>
      <c r="CA33" s="208">
        <f>_xlfn.IFS(BY33=0,0,BZ33&lt;=BY33,BZ33/BY33,BZ33&gt;BY33,1)</f>
        <v>0.33333333333333331</v>
      </c>
      <c r="CB33" s="1029">
        <v>200000</v>
      </c>
      <c r="CC33" s="1026">
        <v>3</v>
      </c>
      <c r="CD33" s="1027">
        <v>1</v>
      </c>
      <c r="CE33" s="208">
        <f>_xlfn.IFS(CC33=0,0,CD33&lt;=CC33,CD33/CC33,CD33&gt;CC33,1)</f>
        <v>0.33333333333333331</v>
      </c>
      <c r="CF33" s="1029">
        <v>200000</v>
      </c>
      <c r="CG33" s="1026">
        <v>3</v>
      </c>
      <c r="CH33" s="1027">
        <v>1</v>
      </c>
      <c r="CI33" s="208">
        <f>_xlfn.IFS(CG33=0,0,CH33&lt;=CG33,CH33/CG33,CH33&gt;CG33,1)</f>
        <v>0.33333333333333331</v>
      </c>
      <c r="CJ33" s="1029">
        <v>200000</v>
      </c>
      <c r="CK33" s="1026">
        <v>3</v>
      </c>
      <c r="CL33" s="1027">
        <v>1</v>
      </c>
      <c r="CM33" s="208">
        <f>_xlfn.IFS(CK33=0,0,CL33&lt;=CK33,CL33/CK33,CL33&gt;CK33,1)</f>
        <v>0.33333333333333331</v>
      </c>
      <c r="CN33" s="1029">
        <v>200000</v>
      </c>
      <c r="CO33" s="1026">
        <v>3</v>
      </c>
      <c r="CP33" s="1027">
        <v>1</v>
      </c>
      <c r="CQ33" s="208">
        <f>_xlfn.IFS(CO33=0,0,CP33&lt;=CO33,CP33/CO33,CP33&gt;CO33,1)</f>
        <v>0.33333333333333331</v>
      </c>
      <c r="CR33" s="1029">
        <v>200000</v>
      </c>
      <c r="CS33" s="1026">
        <v>3</v>
      </c>
      <c r="CT33" s="1027">
        <v>1</v>
      </c>
      <c r="CU33" s="208">
        <f>_xlfn.IFS(CS33=0,0,CT33&lt;=CS33,CT33/CS33,CT33&gt;CS33,1)</f>
        <v>0.33333333333333331</v>
      </c>
      <c r="CV33" s="1029">
        <v>200000</v>
      </c>
      <c r="CW33" s="1026">
        <v>3</v>
      </c>
      <c r="CX33" s="1027">
        <v>1</v>
      </c>
      <c r="CY33" s="208">
        <f>_xlfn.IFS(CW33=0,0,CX33&lt;=CW33,CX33/CW33,CX33&gt;CW33,1)</f>
        <v>0.33333333333333331</v>
      </c>
      <c r="CZ33" s="1029">
        <v>200000</v>
      </c>
      <c r="DA33" s="1026">
        <v>3</v>
      </c>
      <c r="DB33" s="1027">
        <v>1</v>
      </c>
      <c r="DC33" s="208">
        <f>_xlfn.IFS(DA33=0,0,DB33&lt;=DA33,DB33/DA33,DB33&gt;DA33,1)</f>
        <v>0.33333333333333331</v>
      </c>
      <c r="DD33" s="1029">
        <v>200000</v>
      </c>
      <c r="DE33" s="1026">
        <v>3</v>
      </c>
      <c r="DF33" s="1027">
        <v>1</v>
      </c>
      <c r="DG33" s="208">
        <f>_xlfn.IFS(DE33=0,0,DF33&lt;=DE33,DF33/DE33,DF33&gt;DE33,1)</f>
        <v>0.33333333333333331</v>
      </c>
      <c r="DH33" s="1029">
        <v>200000</v>
      </c>
      <c r="DI33" s="1026">
        <v>3</v>
      </c>
      <c r="DJ33" s="1027">
        <v>1</v>
      </c>
      <c r="DK33" s="208">
        <f>_xlfn.IFS(DI33=0,0,DJ33&lt;=DI33,DJ33/DI33,DJ33&gt;DI33,1)</f>
        <v>0.33333333333333331</v>
      </c>
      <c r="DL33" s="1029">
        <v>200000</v>
      </c>
      <c r="DM33" s="1026">
        <v>3</v>
      </c>
      <c r="DN33" s="1027">
        <v>1</v>
      </c>
      <c r="DO33" s="208">
        <f>_xlfn.IFS(DM33=0,0,DN33&lt;=DM33,DN33/DM33,DN33&gt;DM33,1)</f>
        <v>0.33333333333333331</v>
      </c>
      <c r="DP33" s="1029">
        <v>200000</v>
      </c>
      <c r="DQ33" s="1026">
        <v>3</v>
      </c>
      <c r="DR33" s="1027">
        <v>1</v>
      </c>
      <c r="DS33" s="208">
        <f>_xlfn.IFS(DQ33=0,0,DR33&lt;=DQ33,DR33/DQ33,DR33&gt;DQ33,1)</f>
        <v>0.33333333333333331</v>
      </c>
      <c r="DT33" s="1029">
        <v>200000</v>
      </c>
      <c r="DU33" s="1026">
        <v>3</v>
      </c>
      <c r="DV33" s="1027">
        <v>1</v>
      </c>
      <c r="DW33" s="208">
        <f>_xlfn.IFS(DU33=0,0,DV33&lt;=DU33,DV33/DU33,DV33&gt;DU33,1)</f>
        <v>0.33333333333333331</v>
      </c>
      <c r="DX33" s="1029">
        <v>200000</v>
      </c>
      <c r="DY33" s="1026">
        <v>3</v>
      </c>
      <c r="DZ33" s="1027">
        <v>1</v>
      </c>
      <c r="EA33" s="208">
        <f>_xlfn.IFS(DY33=0,0,DZ33&lt;=DY33,DZ33/DY33,DZ33&gt;DY33,1)</f>
        <v>0.33333333333333331</v>
      </c>
      <c r="EB33" s="1029">
        <v>200000</v>
      </c>
      <c r="EC33" s="1026">
        <v>3</v>
      </c>
      <c r="ED33" s="1027">
        <v>1</v>
      </c>
      <c r="EE33" s="208">
        <f>_xlfn.IFS(EC33=0,0,ED33&lt;=EC33,ED33/EC33,ED33&gt;EC33,1)</f>
        <v>0.33333333333333331</v>
      </c>
      <c r="EF33" s="1029">
        <v>200000</v>
      </c>
    </row>
    <row r="34" spans="1:136" ht="20" customHeight="1" x14ac:dyDescent="0.15">
      <c r="A34" s="189">
        <f t="shared" si="267"/>
        <v>0</v>
      </c>
      <c r="B34" s="948"/>
      <c r="C34" s="970" t="s">
        <v>133</v>
      </c>
      <c r="D34" s="610">
        <f>$D$32/2</f>
        <v>8750000</v>
      </c>
      <c r="E34" s="1082">
        <f t="shared" si="268"/>
        <v>10850000</v>
      </c>
      <c r="F34" s="610">
        <f t="shared" si="269"/>
        <v>2100000</v>
      </c>
      <c r="G34" s="208">
        <f t="shared" si="270"/>
        <v>1</v>
      </c>
      <c r="H34" s="208">
        <f t="shared" ref="H34" si="271">IF(SUMIF(M$13:EF$13,$O$13,M34:EF34)&gt;0,AVERAGEIFS(M34:EF34,M34:EF34,"&gt;0",M$13:EF$13,$O$13),"NO NEW ORDER")</f>
        <v>0.5</v>
      </c>
      <c r="I34" s="788"/>
      <c r="J34" s="208">
        <f ca="1">SUMIFS($M34:$EF34,$M$11:$EF$11,TODAY()-1,$M$13:$EF$13,O$13)</f>
        <v>0</v>
      </c>
      <c r="K34" s="958"/>
      <c r="L34" s="605">
        <f t="shared" ref="L34" ca="1" si="272">SUMIFS($M34:$EF34,$M$11:$EF$11,TODAY()-1,$M$13:$EF$13,P$13)</f>
        <v>0</v>
      </c>
      <c r="M34" s="1026">
        <v>4</v>
      </c>
      <c r="N34" s="1027">
        <v>2</v>
      </c>
      <c r="O34" s="208">
        <f t="shared" ref="O34" si="273">_xlfn.IFS(M34=0,0,N34&lt;=M34,N34/M34,N34&gt;M34,1)</f>
        <v>0.5</v>
      </c>
      <c r="P34" s="1029">
        <v>350000</v>
      </c>
      <c r="Q34" s="1026">
        <v>4</v>
      </c>
      <c r="R34" s="1027">
        <v>2</v>
      </c>
      <c r="S34" s="208">
        <f t="shared" ref="S34" si="274">_xlfn.IFS(Q34=0,0,R34&lt;=Q34,R34/Q34,R34&gt;Q34,1)</f>
        <v>0.5</v>
      </c>
      <c r="T34" s="1029">
        <v>350000</v>
      </c>
      <c r="U34" s="1026">
        <v>4</v>
      </c>
      <c r="V34" s="1027">
        <v>2</v>
      </c>
      <c r="W34" s="208">
        <f t="shared" ref="W34" si="275">_xlfn.IFS(U34=0,0,V34&lt;=U34,V34/U34,V34&gt;U34,1)</f>
        <v>0.5</v>
      </c>
      <c r="X34" s="1029">
        <v>350000</v>
      </c>
      <c r="Y34" s="1026">
        <v>4</v>
      </c>
      <c r="Z34" s="1027">
        <v>2</v>
      </c>
      <c r="AA34" s="208">
        <f t="shared" ref="AA34" si="276">_xlfn.IFS(Y34=0,0,Z34&lt;=Y34,Z34/Y34,Z34&gt;Y34,1)</f>
        <v>0.5</v>
      </c>
      <c r="AB34" s="1029">
        <v>350000</v>
      </c>
      <c r="AC34" s="1026">
        <v>4</v>
      </c>
      <c r="AD34" s="1027">
        <v>2</v>
      </c>
      <c r="AE34" s="208">
        <f t="shared" ref="AE34" si="277">_xlfn.IFS(AC34=0,0,AD34&lt;=AC34,AD34/AC34,AD34&gt;AC34,1)</f>
        <v>0.5</v>
      </c>
      <c r="AF34" s="1029">
        <v>350000</v>
      </c>
      <c r="AG34" s="1026">
        <v>4</v>
      </c>
      <c r="AH34" s="1027">
        <v>2</v>
      </c>
      <c r="AI34" s="208">
        <f t="shared" ref="AI34" si="278">_xlfn.IFS(AG34=0,0,AH34&lt;=AG34,AH34/AG34,AH34&gt;AG34,1)</f>
        <v>0.5</v>
      </c>
      <c r="AJ34" s="1029">
        <v>350000</v>
      </c>
      <c r="AK34" s="1026">
        <v>4</v>
      </c>
      <c r="AL34" s="1027">
        <v>2</v>
      </c>
      <c r="AM34" s="208">
        <f t="shared" ref="AM34" si="279">_xlfn.IFS(AK34=0,0,AL34&lt;=AK34,AL34/AK34,AL34&gt;AK34,1)</f>
        <v>0.5</v>
      </c>
      <c r="AN34" s="1029">
        <v>350000</v>
      </c>
      <c r="AO34" s="1026">
        <v>4</v>
      </c>
      <c r="AP34" s="1027">
        <v>2</v>
      </c>
      <c r="AQ34" s="208">
        <f t="shared" ref="AQ34" si="280">_xlfn.IFS(AO34=0,0,AP34&lt;=AO34,AP34/AO34,AP34&gt;AO34,1)</f>
        <v>0.5</v>
      </c>
      <c r="AR34" s="1029">
        <v>350000</v>
      </c>
      <c r="AS34" s="1026">
        <v>4</v>
      </c>
      <c r="AT34" s="1027">
        <v>2</v>
      </c>
      <c r="AU34" s="208">
        <f t="shared" ref="AU34" si="281">_xlfn.IFS(AS34=0,0,AT34&lt;=AS34,AT34/AS34,AT34&gt;AS34,1)</f>
        <v>0.5</v>
      </c>
      <c r="AV34" s="1029">
        <v>350000</v>
      </c>
      <c r="AW34" s="1026">
        <v>4</v>
      </c>
      <c r="AX34" s="1027">
        <v>2</v>
      </c>
      <c r="AY34" s="208">
        <f t="shared" ref="AY34" si="282">_xlfn.IFS(AW34=0,0,AX34&lt;=AW34,AX34/AW34,AX34&gt;AW34,1)</f>
        <v>0.5</v>
      </c>
      <c r="AZ34" s="1029">
        <v>350000</v>
      </c>
      <c r="BA34" s="1026">
        <v>4</v>
      </c>
      <c r="BB34" s="1027">
        <v>2</v>
      </c>
      <c r="BC34" s="208">
        <f t="shared" ref="BC34" si="283">_xlfn.IFS(BA34=0,0,BB34&lt;=BA34,BB34/BA34,BB34&gt;BA34,1)</f>
        <v>0.5</v>
      </c>
      <c r="BD34" s="1029">
        <v>350000</v>
      </c>
      <c r="BE34" s="1026">
        <v>4</v>
      </c>
      <c r="BF34" s="1027">
        <v>2</v>
      </c>
      <c r="BG34" s="208">
        <f t="shared" ref="BG34" si="284">_xlfn.IFS(BE34=0,0,BF34&lt;=BE34,BF34/BE34,BF34&gt;BE34,1)</f>
        <v>0.5</v>
      </c>
      <c r="BH34" s="1029">
        <v>350000</v>
      </c>
      <c r="BI34" s="1026">
        <v>4</v>
      </c>
      <c r="BJ34" s="1027">
        <v>2</v>
      </c>
      <c r="BK34" s="208">
        <f t="shared" ref="BK34" si="285">_xlfn.IFS(BI34=0,0,BJ34&lt;=BI34,BJ34/BI34,BJ34&gt;BI34,1)</f>
        <v>0.5</v>
      </c>
      <c r="BL34" s="1029">
        <v>350000</v>
      </c>
      <c r="BM34" s="1026">
        <v>4</v>
      </c>
      <c r="BN34" s="1027">
        <v>2</v>
      </c>
      <c r="BO34" s="208">
        <f t="shared" ref="BO34" si="286">_xlfn.IFS(BM34=0,0,BN34&lt;=BM34,BN34/BM34,BN34&gt;BM34,1)</f>
        <v>0.5</v>
      </c>
      <c r="BP34" s="1029">
        <v>350000</v>
      </c>
      <c r="BQ34" s="1026">
        <v>4</v>
      </c>
      <c r="BR34" s="1027">
        <v>2</v>
      </c>
      <c r="BS34" s="208">
        <f t="shared" ref="BS34" si="287">_xlfn.IFS(BQ34=0,0,BR34&lt;=BQ34,BR34/BQ34,BR34&gt;BQ34,1)</f>
        <v>0.5</v>
      </c>
      <c r="BT34" s="1029">
        <v>350000</v>
      </c>
      <c r="BU34" s="1026">
        <v>4</v>
      </c>
      <c r="BV34" s="1027">
        <v>2</v>
      </c>
      <c r="BW34" s="208">
        <f t="shared" ref="BW34" si="288">_xlfn.IFS(BU34=0,0,BV34&lt;=BU34,BV34/BU34,BV34&gt;BU34,1)</f>
        <v>0.5</v>
      </c>
      <c r="BX34" s="1029">
        <v>350000</v>
      </c>
      <c r="BY34" s="1026">
        <v>4</v>
      </c>
      <c r="BZ34" s="1027">
        <v>2</v>
      </c>
      <c r="CA34" s="208">
        <f t="shared" ref="CA34" si="289">_xlfn.IFS(BY34=0,0,BZ34&lt;=BY34,BZ34/BY34,BZ34&gt;BY34,1)</f>
        <v>0.5</v>
      </c>
      <c r="CB34" s="1029">
        <v>350000</v>
      </c>
      <c r="CC34" s="1026">
        <v>4</v>
      </c>
      <c r="CD34" s="1027">
        <v>2</v>
      </c>
      <c r="CE34" s="208">
        <f t="shared" ref="CE34" si="290">_xlfn.IFS(CC34=0,0,CD34&lt;=CC34,CD34/CC34,CD34&gt;CC34,1)</f>
        <v>0.5</v>
      </c>
      <c r="CF34" s="1029">
        <v>350000</v>
      </c>
      <c r="CG34" s="1026">
        <v>4</v>
      </c>
      <c r="CH34" s="1027">
        <v>2</v>
      </c>
      <c r="CI34" s="208">
        <f t="shared" ref="CI34" si="291">_xlfn.IFS(CG34=0,0,CH34&lt;=CG34,CH34/CG34,CH34&gt;CG34,1)</f>
        <v>0.5</v>
      </c>
      <c r="CJ34" s="1029">
        <v>350000</v>
      </c>
      <c r="CK34" s="1026">
        <v>4</v>
      </c>
      <c r="CL34" s="1027">
        <v>2</v>
      </c>
      <c r="CM34" s="208">
        <f t="shared" ref="CM34" si="292">_xlfn.IFS(CK34=0,0,CL34&lt;=CK34,CL34/CK34,CL34&gt;CK34,1)</f>
        <v>0.5</v>
      </c>
      <c r="CN34" s="1029">
        <v>350000</v>
      </c>
      <c r="CO34" s="1026">
        <v>4</v>
      </c>
      <c r="CP34" s="1027">
        <v>2</v>
      </c>
      <c r="CQ34" s="208">
        <f t="shared" ref="CQ34" si="293">_xlfn.IFS(CO34=0,0,CP34&lt;=CO34,CP34/CO34,CP34&gt;CO34,1)</f>
        <v>0.5</v>
      </c>
      <c r="CR34" s="1029">
        <v>350000</v>
      </c>
      <c r="CS34" s="1026">
        <v>4</v>
      </c>
      <c r="CT34" s="1027">
        <v>2</v>
      </c>
      <c r="CU34" s="208">
        <f t="shared" ref="CU34" si="294">_xlfn.IFS(CS34=0,0,CT34&lt;=CS34,CT34/CS34,CT34&gt;CS34,1)</f>
        <v>0.5</v>
      </c>
      <c r="CV34" s="1029">
        <v>350000</v>
      </c>
      <c r="CW34" s="1026">
        <v>4</v>
      </c>
      <c r="CX34" s="1027">
        <v>2</v>
      </c>
      <c r="CY34" s="208">
        <f t="shared" ref="CY34" si="295">_xlfn.IFS(CW34=0,0,CX34&lt;=CW34,CX34/CW34,CX34&gt;CW34,1)</f>
        <v>0.5</v>
      </c>
      <c r="CZ34" s="1029">
        <v>350000</v>
      </c>
      <c r="DA34" s="1026">
        <v>4</v>
      </c>
      <c r="DB34" s="1027">
        <v>2</v>
      </c>
      <c r="DC34" s="208">
        <f t="shared" ref="DC34" si="296">_xlfn.IFS(DA34=0,0,DB34&lt;=DA34,DB34/DA34,DB34&gt;DA34,1)</f>
        <v>0.5</v>
      </c>
      <c r="DD34" s="1029">
        <v>350000</v>
      </c>
      <c r="DE34" s="1026">
        <v>4</v>
      </c>
      <c r="DF34" s="1027">
        <v>2</v>
      </c>
      <c r="DG34" s="208">
        <f t="shared" ref="DG34" si="297">_xlfn.IFS(DE34=0,0,DF34&lt;=DE34,DF34/DE34,DF34&gt;DE34,1)</f>
        <v>0.5</v>
      </c>
      <c r="DH34" s="1029">
        <v>350000</v>
      </c>
      <c r="DI34" s="1026">
        <v>4</v>
      </c>
      <c r="DJ34" s="1027">
        <v>2</v>
      </c>
      <c r="DK34" s="208">
        <f t="shared" ref="DK34" si="298">_xlfn.IFS(DI34=0,0,DJ34&lt;=DI34,DJ34/DI34,DJ34&gt;DI34,1)</f>
        <v>0.5</v>
      </c>
      <c r="DL34" s="1029">
        <v>350000</v>
      </c>
      <c r="DM34" s="1026">
        <v>4</v>
      </c>
      <c r="DN34" s="1027">
        <v>2</v>
      </c>
      <c r="DO34" s="208">
        <f t="shared" ref="DO34" si="299">_xlfn.IFS(DM34=0,0,DN34&lt;=DM34,DN34/DM34,DN34&gt;DM34,1)</f>
        <v>0.5</v>
      </c>
      <c r="DP34" s="1029">
        <v>350000</v>
      </c>
      <c r="DQ34" s="1026">
        <v>4</v>
      </c>
      <c r="DR34" s="1027">
        <v>2</v>
      </c>
      <c r="DS34" s="208">
        <f t="shared" ref="DS34" si="300">_xlfn.IFS(DQ34=0,0,DR34&lt;=DQ34,DR34/DQ34,DR34&gt;DQ34,1)</f>
        <v>0.5</v>
      </c>
      <c r="DT34" s="1029">
        <v>350000</v>
      </c>
      <c r="DU34" s="1026">
        <v>4</v>
      </c>
      <c r="DV34" s="1027">
        <v>2</v>
      </c>
      <c r="DW34" s="208">
        <f t="shared" ref="DW34" si="301">_xlfn.IFS(DU34=0,0,DV34&lt;=DU34,DV34/DU34,DV34&gt;DU34,1)</f>
        <v>0.5</v>
      </c>
      <c r="DX34" s="1029">
        <v>350000</v>
      </c>
      <c r="DY34" s="1026">
        <v>4</v>
      </c>
      <c r="DZ34" s="1027">
        <v>2</v>
      </c>
      <c r="EA34" s="208">
        <f t="shared" ref="EA34" si="302">_xlfn.IFS(DY34=0,0,DZ34&lt;=DY34,DZ34/DY34,DZ34&gt;DY34,1)</f>
        <v>0.5</v>
      </c>
      <c r="EB34" s="1029">
        <v>350000</v>
      </c>
      <c r="EC34" s="1026">
        <v>4</v>
      </c>
      <c r="ED34" s="1027">
        <v>2</v>
      </c>
      <c r="EE34" s="208">
        <f t="shared" ref="EE34" si="303">_xlfn.IFS(EC34=0,0,ED34&lt;=EC34,ED34/EC34,ED34&gt;EC34,1)</f>
        <v>0.5</v>
      </c>
      <c r="EF34" s="1029">
        <v>350000</v>
      </c>
    </row>
    <row r="35" spans="1:136" ht="20" customHeight="1" x14ac:dyDescent="0.15">
      <c r="A35" s="870">
        <f t="shared" si="267"/>
        <v>0</v>
      </c>
      <c r="B35" s="948"/>
      <c r="C35" s="883" t="str">
        <f>Dashboard!K99</f>
        <v>TIKTOKSHOP</v>
      </c>
      <c r="D35" s="686">
        <f>Dashboard!M99</f>
        <v>17500000</v>
      </c>
      <c r="E35" s="1065">
        <f>SUMIF($M$13:$EF$13,$P$13,$M35:$EF35)</f>
        <v>15500000</v>
      </c>
      <c r="F35" s="610">
        <f t="shared" si="269"/>
        <v>-2000000</v>
      </c>
      <c r="G35" s="208">
        <f t="shared" si="270"/>
        <v>0.88571428571428568</v>
      </c>
      <c r="H35" s="788">
        <f>IF(SUMIF(M$13:EF$13,$O$13,M35:EF35)&gt;0,AVERAGEIFS(M35:EF35,M35:EF35,"&gt;0",M$13:EF$13,$O$13),"NO NEW ORDER")</f>
        <v>0.50322580645161286</v>
      </c>
      <c r="I35" s="788">
        <f>Dashboard!M120</f>
        <v>0.16041666666666665</v>
      </c>
      <c r="J35" s="788">
        <f ca="1">SUMIFS($M35:$EF35,$M$11:$EF$11,TODAY()-1,$M$13:$EF$13,O$13)</f>
        <v>0</v>
      </c>
      <c r="K35" s="686">
        <f>D35/'Action Plan'!$C$6</f>
        <v>673076.92307692312</v>
      </c>
      <c r="L35" s="933">
        <f ca="1">SUMIFS($M35:$EF35,$M$11:$EF$11,TODAY()-1,$M$13:$EF$13,P$13)</f>
        <v>0</v>
      </c>
      <c r="M35" s="899">
        <v>5</v>
      </c>
      <c r="N35" s="904">
        <v>3</v>
      </c>
      <c r="O35" s="788">
        <f>_xlfn.IFS(M35=0,0,N35&lt;=M35,N35/M35,N35&gt;M35,1)</f>
        <v>0.6</v>
      </c>
      <c r="P35" s="891">
        <v>500000</v>
      </c>
      <c r="Q35" s="899">
        <v>2</v>
      </c>
      <c r="R35" s="904">
        <v>1</v>
      </c>
      <c r="S35" s="788">
        <f>_xlfn.IFS(Q35=0,0,R35&lt;=Q35,R35/Q35,R35&gt;Q35,1)</f>
        <v>0.5</v>
      </c>
      <c r="T35" s="891">
        <v>500000</v>
      </c>
      <c r="U35" s="899">
        <v>2</v>
      </c>
      <c r="V35" s="904">
        <v>1</v>
      </c>
      <c r="W35" s="788">
        <f>_xlfn.IFS(U35=0,0,V35&lt;=U35,V35/U35,V35&gt;U35,1)</f>
        <v>0.5</v>
      </c>
      <c r="X35" s="891">
        <v>500000</v>
      </c>
      <c r="Y35" s="899">
        <v>2</v>
      </c>
      <c r="Z35" s="904">
        <v>1</v>
      </c>
      <c r="AA35" s="788">
        <f>_xlfn.IFS(Y35=0,0,Z35&lt;=Y35,Z35/Y35,Z35&gt;Y35,1)</f>
        <v>0.5</v>
      </c>
      <c r="AB35" s="891">
        <v>500000</v>
      </c>
      <c r="AC35" s="899">
        <v>2</v>
      </c>
      <c r="AD35" s="904">
        <v>1</v>
      </c>
      <c r="AE35" s="788">
        <f>_xlfn.IFS(AC35=0,0,AD35&lt;=AC35,AD35/AC35,AD35&gt;AC35,1)</f>
        <v>0.5</v>
      </c>
      <c r="AF35" s="891">
        <v>500000</v>
      </c>
      <c r="AG35" s="899">
        <v>2</v>
      </c>
      <c r="AH35" s="904">
        <v>1</v>
      </c>
      <c r="AI35" s="788">
        <f>_xlfn.IFS(AG35=0,0,AH35&lt;=AG35,AH35/AG35,AH35&gt;AG35,1)</f>
        <v>0.5</v>
      </c>
      <c r="AJ35" s="891">
        <v>500000</v>
      </c>
      <c r="AK35" s="899">
        <v>2</v>
      </c>
      <c r="AL35" s="904">
        <v>1</v>
      </c>
      <c r="AM35" s="788">
        <f>_xlfn.IFS(AK35=0,0,AL35&lt;=AK35,AL35/AK35,AL35&gt;AK35,1)</f>
        <v>0.5</v>
      </c>
      <c r="AN35" s="891">
        <v>500000</v>
      </c>
      <c r="AO35" s="899">
        <v>2</v>
      </c>
      <c r="AP35" s="904">
        <v>1</v>
      </c>
      <c r="AQ35" s="788">
        <f>_xlfn.IFS(AO35=0,0,AP35&lt;=AO35,AP35/AO35,AP35&gt;AO35,1)</f>
        <v>0.5</v>
      </c>
      <c r="AR35" s="891">
        <v>500000</v>
      </c>
      <c r="AS35" s="899">
        <v>2</v>
      </c>
      <c r="AT35" s="904">
        <v>1</v>
      </c>
      <c r="AU35" s="788">
        <f>_xlfn.IFS(AS35=0,0,AT35&lt;=AS35,AT35/AS35,AT35&gt;AS35,1)</f>
        <v>0.5</v>
      </c>
      <c r="AV35" s="891">
        <v>500000</v>
      </c>
      <c r="AW35" s="899">
        <v>2</v>
      </c>
      <c r="AX35" s="904">
        <v>1</v>
      </c>
      <c r="AY35" s="788">
        <f>_xlfn.IFS(AW35=0,0,AX35&lt;=AW35,AX35/AW35,AX35&gt;AW35,1)</f>
        <v>0.5</v>
      </c>
      <c r="AZ35" s="891">
        <v>500000</v>
      </c>
      <c r="BA35" s="899">
        <v>2</v>
      </c>
      <c r="BB35" s="904">
        <v>1</v>
      </c>
      <c r="BC35" s="788">
        <f>_xlfn.IFS(BA35=0,0,BB35&lt;=BA35,BB35/BA35,BB35&gt;BA35,1)</f>
        <v>0.5</v>
      </c>
      <c r="BD35" s="891">
        <v>500000</v>
      </c>
      <c r="BE35" s="899">
        <v>2</v>
      </c>
      <c r="BF35" s="904">
        <v>1</v>
      </c>
      <c r="BG35" s="788">
        <f>_xlfn.IFS(BE35=0,0,BF35&lt;=BE35,BF35/BE35,BF35&gt;BE35,1)</f>
        <v>0.5</v>
      </c>
      <c r="BH35" s="891">
        <v>500000</v>
      </c>
      <c r="BI35" s="899">
        <v>2</v>
      </c>
      <c r="BJ35" s="904">
        <v>1</v>
      </c>
      <c r="BK35" s="788">
        <f>_xlfn.IFS(BI35=0,0,BJ35&lt;=BI35,BJ35/BI35,BJ35&gt;BI35,1)</f>
        <v>0.5</v>
      </c>
      <c r="BL35" s="891">
        <v>500000</v>
      </c>
      <c r="BM35" s="899">
        <v>2</v>
      </c>
      <c r="BN35" s="904">
        <v>1</v>
      </c>
      <c r="BO35" s="788">
        <f>_xlfn.IFS(BM35=0,0,BN35&lt;=BM35,BN35/BM35,BN35&gt;BM35,1)</f>
        <v>0.5</v>
      </c>
      <c r="BP35" s="891">
        <v>500000</v>
      </c>
      <c r="BQ35" s="899">
        <v>2</v>
      </c>
      <c r="BR35" s="904">
        <v>1</v>
      </c>
      <c r="BS35" s="788">
        <f>_xlfn.IFS(BQ35=0,0,BR35&lt;=BQ35,BR35/BQ35,BR35&gt;BQ35,1)</f>
        <v>0.5</v>
      </c>
      <c r="BT35" s="891">
        <v>500000</v>
      </c>
      <c r="BU35" s="899">
        <v>2</v>
      </c>
      <c r="BV35" s="904">
        <v>1</v>
      </c>
      <c r="BW35" s="788">
        <f>_xlfn.IFS(BU35=0,0,BV35&lt;=BU35,BV35/BU35,BV35&gt;BU35,1)</f>
        <v>0.5</v>
      </c>
      <c r="BX35" s="891">
        <v>500000</v>
      </c>
      <c r="BY35" s="899">
        <v>2</v>
      </c>
      <c r="BZ35" s="904">
        <v>1</v>
      </c>
      <c r="CA35" s="788">
        <f>_xlfn.IFS(BY35=0,0,BZ35&lt;=BY35,BZ35/BY35,BZ35&gt;BY35,1)</f>
        <v>0.5</v>
      </c>
      <c r="CB35" s="891">
        <v>500000</v>
      </c>
      <c r="CC35" s="899">
        <v>2</v>
      </c>
      <c r="CD35" s="904">
        <v>1</v>
      </c>
      <c r="CE35" s="788">
        <f>_xlfn.IFS(CC35=0,0,CD35&lt;=CC35,CD35/CC35,CD35&gt;CC35,1)</f>
        <v>0.5</v>
      </c>
      <c r="CF35" s="891">
        <v>500000</v>
      </c>
      <c r="CG35" s="899">
        <v>2</v>
      </c>
      <c r="CH35" s="904">
        <v>1</v>
      </c>
      <c r="CI35" s="788">
        <f>_xlfn.IFS(CG35=0,0,CH35&lt;=CG35,CH35/CG35,CH35&gt;CG35,1)</f>
        <v>0.5</v>
      </c>
      <c r="CJ35" s="891">
        <v>500000</v>
      </c>
      <c r="CK35" s="899">
        <v>2</v>
      </c>
      <c r="CL35" s="904">
        <v>1</v>
      </c>
      <c r="CM35" s="788">
        <f>_xlfn.IFS(CK35=0,0,CL35&lt;=CK35,CL35/CK35,CL35&gt;CK35,1)</f>
        <v>0.5</v>
      </c>
      <c r="CN35" s="891">
        <v>500000</v>
      </c>
      <c r="CO35" s="899">
        <v>2</v>
      </c>
      <c r="CP35" s="904">
        <v>1</v>
      </c>
      <c r="CQ35" s="788">
        <f>_xlfn.IFS(CO35=0,0,CP35&lt;=CO35,CP35/CO35,CP35&gt;CO35,1)</f>
        <v>0.5</v>
      </c>
      <c r="CR35" s="891">
        <v>500000</v>
      </c>
      <c r="CS35" s="899">
        <v>2</v>
      </c>
      <c r="CT35" s="904">
        <v>1</v>
      </c>
      <c r="CU35" s="788">
        <f>_xlfn.IFS(CS35=0,0,CT35&lt;=CS35,CT35/CS35,CT35&gt;CS35,1)</f>
        <v>0.5</v>
      </c>
      <c r="CV35" s="891">
        <v>500000</v>
      </c>
      <c r="CW35" s="899">
        <v>2</v>
      </c>
      <c r="CX35" s="904">
        <v>1</v>
      </c>
      <c r="CY35" s="788">
        <f>_xlfn.IFS(CW35=0,0,CX35&lt;=CW35,CX35/CW35,CX35&gt;CW35,1)</f>
        <v>0.5</v>
      </c>
      <c r="CZ35" s="891">
        <v>500000</v>
      </c>
      <c r="DA35" s="899">
        <v>2</v>
      </c>
      <c r="DB35" s="904">
        <v>1</v>
      </c>
      <c r="DC35" s="788">
        <f>_xlfn.IFS(DA35=0,0,DB35&lt;=DA35,DB35/DA35,DB35&gt;DA35,1)</f>
        <v>0.5</v>
      </c>
      <c r="DD35" s="891">
        <v>500000</v>
      </c>
      <c r="DE35" s="899">
        <v>2</v>
      </c>
      <c r="DF35" s="904">
        <v>1</v>
      </c>
      <c r="DG35" s="788">
        <f>_xlfn.IFS(DE35=0,0,DF35&lt;=DE35,DF35/DE35,DF35&gt;DE35,1)</f>
        <v>0.5</v>
      </c>
      <c r="DH35" s="891">
        <v>500000</v>
      </c>
      <c r="DI35" s="899">
        <v>2</v>
      </c>
      <c r="DJ35" s="904">
        <v>1</v>
      </c>
      <c r="DK35" s="788">
        <f>_xlfn.IFS(DI35=0,0,DJ35&lt;=DI35,DJ35/DI35,DJ35&gt;DI35,1)</f>
        <v>0.5</v>
      </c>
      <c r="DL35" s="891">
        <v>500000</v>
      </c>
      <c r="DM35" s="899">
        <v>2</v>
      </c>
      <c r="DN35" s="904">
        <v>1</v>
      </c>
      <c r="DO35" s="788">
        <f>_xlfn.IFS(DM35=0,0,DN35&lt;=DM35,DN35/DM35,DN35&gt;DM35,1)</f>
        <v>0.5</v>
      </c>
      <c r="DP35" s="891">
        <v>500000</v>
      </c>
      <c r="DQ35" s="899">
        <v>2</v>
      </c>
      <c r="DR35" s="904">
        <v>1</v>
      </c>
      <c r="DS35" s="788">
        <f>_xlfn.IFS(DQ35=0,0,DR35&lt;=DQ35,DR35/DQ35,DR35&gt;DQ35,1)</f>
        <v>0.5</v>
      </c>
      <c r="DT35" s="891">
        <v>500000</v>
      </c>
      <c r="DU35" s="899">
        <v>2</v>
      </c>
      <c r="DV35" s="904">
        <v>1</v>
      </c>
      <c r="DW35" s="788">
        <f>_xlfn.IFS(DU35=0,0,DV35&lt;=DU35,DV35/DU35,DV35&gt;DU35,1)</f>
        <v>0.5</v>
      </c>
      <c r="DX35" s="891">
        <v>500000</v>
      </c>
      <c r="DY35" s="899">
        <v>2</v>
      </c>
      <c r="DZ35" s="904">
        <v>1</v>
      </c>
      <c r="EA35" s="788">
        <f>_xlfn.IFS(DY35=0,0,DZ35&lt;=DY35,DZ35/DY35,DZ35&gt;DY35,1)</f>
        <v>0.5</v>
      </c>
      <c r="EB35" s="891">
        <v>500000</v>
      </c>
      <c r="EC35" s="899">
        <v>2</v>
      </c>
      <c r="ED35" s="904">
        <v>1</v>
      </c>
      <c r="EE35" s="788">
        <f>_xlfn.IFS(EC35=0,0,ED35&lt;=EC35,ED35/EC35,ED35&gt;EC35,1)</f>
        <v>0.5</v>
      </c>
      <c r="EF35" s="891">
        <v>500000</v>
      </c>
    </row>
    <row r="36" spans="1:136" ht="20" customHeight="1" x14ac:dyDescent="0.15">
      <c r="A36" s="870">
        <f t="shared" si="267"/>
        <v>0</v>
      </c>
      <c r="B36" s="949"/>
      <c r="C36" s="883" t="str">
        <f>Dashboard!K100</f>
        <v>SHOPPEE</v>
      </c>
      <c r="D36" s="686">
        <f>Dashboard!M100</f>
        <v>17500000</v>
      </c>
      <c r="E36" s="1065">
        <f t="shared" ref="E36:E38" si="304">SUMIF($M$13:$EF$13,$P$13,$M36:$EF36)</f>
        <v>18600000</v>
      </c>
      <c r="F36" s="686">
        <f>E36-D36</f>
        <v>1100000</v>
      </c>
      <c r="G36" s="788">
        <f>_xlfn.IFS(F36&gt;0,1,F36&lt;=0,E36/D36)</f>
        <v>1</v>
      </c>
      <c r="H36" s="788">
        <f>IF(SUMIF(M$13:EF$13,$O$13,M36:EF36)&gt;0,AVERAGEIFS(M36:EF36,M36:EF36,"&gt;0",M$13:EF$13,$O$13),"NO NEW ORDER")</f>
        <v>0.5</v>
      </c>
      <c r="I36" s="788">
        <f>Dashboard!M121</f>
        <v>0.16041666666666665</v>
      </c>
      <c r="J36" s="788">
        <f ca="1">IF(SUM(J37:J38)&gt;0,AVERAGEIF(J37:J38,"&gt;0"),0)</f>
        <v>0</v>
      </c>
      <c r="K36" s="686">
        <f>D36/'Action Plan'!$C$6</f>
        <v>673076.92307692312</v>
      </c>
      <c r="L36" s="933">
        <f ca="1">SUMIFS($M36:$EF36,$M$11:$EF$11,TODAY()-1,$M$13:$EF$13,P$13)</f>
        <v>0</v>
      </c>
      <c r="M36" s="899">
        <f>SUM(M37:M38)</f>
        <v>6</v>
      </c>
      <c r="N36" s="904">
        <f>SUM(N37:N38)</f>
        <v>3</v>
      </c>
      <c r="O36" s="788">
        <f>IF(SUM(O37:O38)&gt;0,AVERAGEIF(O37:O38,"&gt;0"),0)</f>
        <v>0.5</v>
      </c>
      <c r="P36" s="891">
        <f>SUM(P37:P38)</f>
        <v>600000</v>
      </c>
      <c r="Q36" s="899">
        <f>SUM(Q37:Q38)</f>
        <v>6</v>
      </c>
      <c r="R36" s="904">
        <f>SUM(R37:R38)</f>
        <v>3</v>
      </c>
      <c r="S36" s="788">
        <f>IF(SUM(S37:S38)&gt;0,AVERAGEIF(S37:S38,"&gt;0"),0)</f>
        <v>0.5</v>
      </c>
      <c r="T36" s="891">
        <f>SUM(T37:T38)</f>
        <v>600000</v>
      </c>
      <c r="U36" s="899">
        <f>SUM(U37:U38)</f>
        <v>6</v>
      </c>
      <c r="V36" s="904">
        <f>SUM(V37:V38)</f>
        <v>3</v>
      </c>
      <c r="W36" s="788">
        <f>IF(SUM(W37:W38)&gt;0,AVERAGEIF(W37:W38,"&gt;0"),0)</f>
        <v>0.5</v>
      </c>
      <c r="X36" s="891">
        <f>SUM(X37:X38)</f>
        <v>600000</v>
      </c>
      <c r="Y36" s="899">
        <f>SUM(Y37:Y38)</f>
        <v>6</v>
      </c>
      <c r="Z36" s="904">
        <f>SUM(Z37:Z38)</f>
        <v>3</v>
      </c>
      <c r="AA36" s="788">
        <f>IF(SUM(AA37:AA38)&gt;0,AVERAGEIF(AA37:AA38,"&gt;0"),0)</f>
        <v>0.5</v>
      </c>
      <c r="AB36" s="891">
        <f>SUM(AB37:AB38)</f>
        <v>600000</v>
      </c>
      <c r="AC36" s="899">
        <f>SUM(AC37:AC38)</f>
        <v>6</v>
      </c>
      <c r="AD36" s="904">
        <f>SUM(AD37:AD38)</f>
        <v>3</v>
      </c>
      <c r="AE36" s="788">
        <f>IF(SUM(AE37:AE38)&gt;0,AVERAGEIF(AE37:AE38,"&gt;0"),0)</f>
        <v>0.5</v>
      </c>
      <c r="AF36" s="891">
        <f>SUM(AF37:AF38)</f>
        <v>600000</v>
      </c>
      <c r="AG36" s="899">
        <f>SUM(AG37:AG38)</f>
        <v>6</v>
      </c>
      <c r="AH36" s="904">
        <f>SUM(AH37:AH38)</f>
        <v>3</v>
      </c>
      <c r="AI36" s="788">
        <f>IF(SUM(AI37:AI38)&gt;0,AVERAGEIF(AI37:AI38,"&gt;0"),0)</f>
        <v>0.5</v>
      </c>
      <c r="AJ36" s="891">
        <f>SUM(AJ37:AJ38)</f>
        <v>600000</v>
      </c>
      <c r="AK36" s="899">
        <f>SUM(AK37:AK38)</f>
        <v>6</v>
      </c>
      <c r="AL36" s="904">
        <f>SUM(AL37:AL38)</f>
        <v>3</v>
      </c>
      <c r="AM36" s="788">
        <f>IF(SUM(AM37:AM38)&gt;0,AVERAGEIF(AM37:AM38,"&gt;0"),0)</f>
        <v>0.5</v>
      </c>
      <c r="AN36" s="891">
        <f>SUM(AN37:AN38)</f>
        <v>600000</v>
      </c>
      <c r="AO36" s="899">
        <f>SUM(AO37:AO38)</f>
        <v>6</v>
      </c>
      <c r="AP36" s="904">
        <f>SUM(AP37:AP38)</f>
        <v>3</v>
      </c>
      <c r="AQ36" s="788">
        <f>IF(SUM(AQ37:AQ38)&gt;0,AVERAGEIF(AQ37:AQ38,"&gt;0"),0)</f>
        <v>0.5</v>
      </c>
      <c r="AR36" s="891">
        <f>SUM(AR37:AR38)</f>
        <v>600000</v>
      </c>
      <c r="AS36" s="899">
        <f>SUM(AS37:AS38)</f>
        <v>6</v>
      </c>
      <c r="AT36" s="904">
        <f>SUM(AT37:AT38)</f>
        <v>3</v>
      </c>
      <c r="AU36" s="788">
        <f>IF(SUM(AU37:AU38)&gt;0,AVERAGEIF(AU37:AU38,"&gt;0"),0)</f>
        <v>0.5</v>
      </c>
      <c r="AV36" s="891">
        <f>SUM(AV37:AV38)</f>
        <v>600000</v>
      </c>
      <c r="AW36" s="899">
        <f>SUM(AW37:AW38)</f>
        <v>6</v>
      </c>
      <c r="AX36" s="904">
        <f>SUM(AX37:AX38)</f>
        <v>3</v>
      </c>
      <c r="AY36" s="788">
        <f>IF(SUM(AY37:AY38)&gt;0,AVERAGEIF(AY37:AY38,"&gt;0"),0)</f>
        <v>0.5</v>
      </c>
      <c r="AZ36" s="891">
        <f>SUM(AZ37:AZ38)</f>
        <v>600000</v>
      </c>
      <c r="BA36" s="899">
        <f>SUM(BA37:BA38)</f>
        <v>6</v>
      </c>
      <c r="BB36" s="904">
        <f>SUM(BB37:BB38)</f>
        <v>3</v>
      </c>
      <c r="BC36" s="788">
        <f>IF(SUM(BC37:BC38)&gt;0,AVERAGEIF(BC37:BC38,"&gt;0"),0)</f>
        <v>0.5</v>
      </c>
      <c r="BD36" s="891">
        <f>SUM(BD37:BD38)</f>
        <v>600000</v>
      </c>
      <c r="BE36" s="899">
        <f>SUM(BE37:BE38)</f>
        <v>6</v>
      </c>
      <c r="BF36" s="904">
        <f>SUM(BF37:BF38)</f>
        <v>3</v>
      </c>
      <c r="BG36" s="788">
        <f>IF(SUM(BG37:BG38)&gt;0,AVERAGEIF(BG37:BG38,"&gt;0"),0)</f>
        <v>0.5</v>
      </c>
      <c r="BH36" s="891">
        <f>SUM(BH37:BH38)</f>
        <v>600000</v>
      </c>
      <c r="BI36" s="899">
        <f>SUM(BI37:BI38)</f>
        <v>6</v>
      </c>
      <c r="BJ36" s="904">
        <f>SUM(BJ37:BJ38)</f>
        <v>3</v>
      </c>
      <c r="BK36" s="788">
        <f>IF(SUM(BK37:BK38)&gt;0,AVERAGEIF(BK37:BK38,"&gt;0"),0)</f>
        <v>0.5</v>
      </c>
      <c r="BL36" s="891">
        <f>SUM(BL37:BL38)</f>
        <v>600000</v>
      </c>
      <c r="BM36" s="899">
        <f>SUM(BM37:BM38)</f>
        <v>6</v>
      </c>
      <c r="BN36" s="904">
        <f>SUM(BN37:BN38)</f>
        <v>3</v>
      </c>
      <c r="BO36" s="788">
        <f>IF(SUM(BO37:BO38)&gt;0,AVERAGEIF(BO37:BO38,"&gt;0"),0)</f>
        <v>0.5</v>
      </c>
      <c r="BP36" s="891">
        <f>SUM(BP37:BP38)</f>
        <v>600000</v>
      </c>
      <c r="BQ36" s="899">
        <f>SUM(BQ37:BQ38)</f>
        <v>6</v>
      </c>
      <c r="BR36" s="904">
        <f>SUM(BR37:BR38)</f>
        <v>3</v>
      </c>
      <c r="BS36" s="788">
        <f>IF(SUM(BS37:BS38)&gt;0,AVERAGEIF(BS37:BS38,"&gt;0"),0)</f>
        <v>0.5</v>
      </c>
      <c r="BT36" s="891">
        <f>SUM(BT37:BT38)</f>
        <v>600000</v>
      </c>
      <c r="BU36" s="899">
        <f>SUM(BU37:BU38)</f>
        <v>6</v>
      </c>
      <c r="BV36" s="904">
        <f>SUM(BV37:BV38)</f>
        <v>3</v>
      </c>
      <c r="BW36" s="788">
        <f>IF(SUM(BW37:BW38)&gt;0,AVERAGEIF(BW37:BW38,"&gt;0"),0)</f>
        <v>0.5</v>
      </c>
      <c r="BX36" s="891">
        <f>SUM(BX37:BX38)</f>
        <v>600000</v>
      </c>
      <c r="BY36" s="899">
        <f>SUM(BY37:BY38)</f>
        <v>6</v>
      </c>
      <c r="BZ36" s="904">
        <f>SUM(BZ37:BZ38)</f>
        <v>3</v>
      </c>
      <c r="CA36" s="788">
        <f>IF(SUM(CA37:CA38)&gt;0,AVERAGEIF(CA37:CA38,"&gt;0"),0)</f>
        <v>0.5</v>
      </c>
      <c r="CB36" s="891">
        <f>SUM(CB37:CB38)</f>
        <v>600000</v>
      </c>
      <c r="CC36" s="899">
        <f>SUM(CC37:CC38)</f>
        <v>6</v>
      </c>
      <c r="CD36" s="904">
        <f>SUM(CD37:CD38)</f>
        <v>3</v>
      </c>
      <c r="CE36" s="788">
        <f>IF(SUM(CE37:CE38)&gt;0,AVERAGEIF(CE37:CE38,"&gt;0"),0)</f>
        <v>0.5</v>
      </c>
      <c r="CF36" s="891">
        <f>SUM(CF37:CF38)</f>
        <v>600000</v>
      </c>
      <c r="CG36" s="899">
        <f>SUM(CG37:CG38)</f>
        <v>6</v>
      </c>
      <c r="CH36" s="904">
        <f>SUM(CH37:CH38)</f>
        <v>3</v>
      </c>
      <c r="CI36" s="788">
        <f>IF(SUM(CI37:CI38)&gt;0,AVERAGEIF(CI37:CI38,"&gt;0"),0)</f>
        <v>0.5</v>
      </c>
      <c r="CJ36" s="891">
        <f>SUM(CJ37:CJ38)</f>
        <v>600000</v>
      </c>
      <c r="CK36" s="899">
        <f>SUM(CK37:CK38)</f>
        <v>6</v>
      </c>
      <c r="CL36" s="904">
        <f>SUM(CL37:CL38)</f>
        <v>3</v>
      </c>
      <c r="CM36" s="788">
        <f>IF(SUM(CM37:CM38)&gt;0,AVERAGEIF(CM37:CM38,"&gt;0"),0)</f>
        <v>0.5</v>
      </c>
      <c r="CN36" s="891">
        <f>SUM(CN37:CN38)</f>
        <v>600000</v>
      </c>
      <c r="CO36" s="899">
        <f>SUM(CO37:CO38)</f>
        <v>6</v>
      </c>
      <c r="CP36" s="904">
        <f>SUM(CP37:CP38)</f>
        <v>3</v>
      </c>
      <c r="CQ36" s="788">
        <f>IF(SUM(CQ37:CQ38)&gt;0,AVERAGEIF(CQ37:CQ38,"&gt;0"),0)</f>
        <v>0.5</v>
      </c>
      <c r="CR36" s="891">
        <f>SUM(CR37:CR38)</f>
        <v>600000</v>
      </c>
      <c r="CS36" s="899">
        <f>SUM(CS37:CS38)</f>
        <v>6</v>
      </c>
      <c r="CT36" s="904">
        <f>SUM(CT37:CT38)</f>
        <v>3</v>
      </c>
      <c r="CU36" s="788">
        <f>IF(SUM(CU37:CU38)&gt;0,AVERAGEIF(CU37:CU38,"&gt;0"),0)</f>
        <v>0.5</v>
      </c>
      <c r="CV36" s="891">
        <f>SUM(CV37:CV38)</f>
        <v>600000</v>
      </c>
      <c r="CW36" s="899">
        <f>SUM(CW37:CW38)</f>
        <v>6</v>
      </c>
      <c r="CX36" s="904">
        <f>SUM(CX37:CX38)</f>
        <v>3</v>
      </c>
      <c r="CY36" s="788">
        <f>IF(SUM(CY37:CY38)&gt;0,AVERAGEIF(CY37:CY38,"&gt;0"),0)</f>
        <v>0.5</v>
      </c>
      <c r="CZ36" s="891">
        <f>SUM(CZ37:CZ38)</f>
        <v>600000</v>
      </c>
      <c r="DA36" s="899">
        <f>SUM(DA37:DA38)</f>
        <v>6</v>
      </c>
      <c r="DB36" s="904">
        <f>SUM(DB37:DB38)</f>
        <v>3</v>
      </c>
      <c r="DC36" s="788">
        <f>IF(SUM(DC37:DC38)&gt;0,AVERAGEIF(DC37:DC38,"&gt;0"),0)</f>
        <v>0.5</v>
      </c>
      <c r="DD36" s="891">
        <f>SUM(DD37:DD38)</f>
        <v>600000</v>
      </c>
      <c r="DE36" s="899">
        <f>SUM(DE37:DE38)</f>
        <v>6</v>
      </c>
      <c r="DF36" s="904">
        <f>SUM(DF37:DF38)</f>
        <v>3</v>
      </c>
      <c r="DG36" s="788">
        <f>IF(SUM(DG37:DG38)&gt;0,AVERAGEIF(DG37:DG38,"&gt;0"),0)</f>
        <v>0.5</v>
      </c>
      <c r="DH36" s="891">
        <f>SUM(DH37:DH38)</f>
        <v>600000</v>
      </c>
      <c r="DI36" s="899">
        <f>SUM(DI37:DI38)</f>
        <v>6</v>
      </c>
      <c r="DJ36" s="904">
        <f>SUM(DJ37:DJ38)</f>
        <v>3</v>
      </c>
      <c r="DK36" s="788">
        <f>IF(SUM(DK37:DK38)&gt;0,AVERAGEIF(DK37:DK38,"&gt;0"),0)</f>
        <v>0.5</v>
      </c>
      <c r="DL36" s="891">
        <f>SUM(DL37:DL38)</f>
        <v>600000</v>
      </c>
      <c r="DM36" s="899">
        <f>SUM(DM37:DM38)</f>
        <v>6</v>
      </c>
      <c r="DN36" s="904">
        <f>SUM(DN37:DN38)</f>
        <v>3</v>
      </c>
      <c r="DO36" s="788">
        <f>IF(SUM(DO37:DO38)&gt;0,AVERAGEIF(DO37:DO38,"&gt;0"),0)</f>
        <v>0.5</v>
      </c>
      <c r="DP36" s="891">
        <f>SUM(DP37:DP38)</f>
        <v>600000</v>
      </c>
      <c r="DQ36" s="899">
        <f>SUM(DQ37:DQ38)</f>
        <v>6</v>
      </c>
      <c r="DR36" s="904">
        <f>SUM(DR37:DR38)</f>
        <v>3</v>
      </c>
      <c r="DS36" s="788">
        <f>IF(SUM(DS37:DS38)&gt;0,AVERAGEIF(DS37:DS38,"&gt;0"),0)</f>
        <v>0.5</v>
      </c>
      <c r="DT36" s="891">
        <f>SUM(DT37:DT38)</f>
        <v>600000</v>
      </c>
      <c r="DU36" s="899">
        <f>SUM(DU37:DU38)</f>
        <v>6</v>
      </c>
      <c r="DV36" s="904">
        <f>SUM(DV37:DV38)</f>
        <v>3</v>
      </c>
      <c r="DW36" s="788">
        <f>IF(SUM(DW37:DW38)&gt;0,AVERAGEIF(DW37:DW38,"&gt;0"),0)</f>
        <v>0.5</v>
      </c>
      <c r="DX36" s="891">
        <f>SUM(DX37:DX38)</f>
        <v>600000</v>
      </c>
      <c r="DY36" s="899">
        <f>SUM(DY37:DY38)</f>
        <v>6</v>
      </c>
      <c r="DZ36" s="904">
        <f>SUM(DZ37:DZ38)</f>
        <v>3</v>
      </c>
      <c r="EA36" s="788">
        <f>IF(SUM(EA37:EA38)&gt;0,AVERAGEIF(EA37:EA38,"&gt;0"),0)</f>
        <v>0.5</v>
      </c>
      <c r="EB36" s="891">
        <f>SUM(EB37:EB38)</f>
        <v>600000</v>
      </c>
      <c r="EC36" s="899">
        <f>SUM(EC37:EC38)</f>
        <v>6</v>
      </c>
      <c r="ED36" s="904">
        <f>SUM(ED37:ED38)</f>
        <v>3</v>
      </c>
      <c r="EE36" s="788">
        <f>IF(SUM(EE37:EE38)&gt;0,AVERAGEIF(EE37:EE38,"&gt;0"),0)</f>
        <v>0.5</v>
      </c>
      <c r="EF36" s="891">
        <f>SUM(EF37:EF38)</f>
        <v>600000</v>
      </c>
    </row>
    <row r="37" spans="1:136" ht="20" customHeight="1" x14ac:dyDescent="0.15">
      <c r="A37" s="189">
        <f>_xlfn.IFS(B37=0,0,E37&gt;B37,1,E37&lt;=B37,E37/B37)</f>
        <v>0</v>
      </c>
      <c r="B37" s="183"/>
      <c r="C37" s="943" t="str">
        <f>Dashboard!K100</f>
        <v>SHOPPEE</v>
      </c>
      <c r="D37" s="610">
        <f>$D$36/2</f>
        <v>8750000</v>
      </c>
      <c r="E37" s="1082">
        <f t="shared" si="304"/>
        <v>9300000</v>
      </c>
      <c r="F37" s="610">
        <f>E37-D37</f>
        <v>550000</v>
      </c>
      <c r="G37" s="208">
        <f t="shared" ref="G37:G38" si="305">_xlfn.IFS(F37&gt;0,1,F37&lt;=0,E37/D37)</f>
        <v>1</v>
      </c>
      <c r="H37" s="208">
        <f>IF(SUMIF(M$13:EF$13,$O$13,M37:EF37)&gt;0,AVERAGEIFS(M37:EF37,M37:EF37,"&gt;0",M$13:EF$13,$O$13),"NO NEW ORDER")</f>
        <v>0.33333333333333337</v>
      </c>
      <c r="I37" s="17"/>
      <c r="J37" s="208">
        <f ca="1">SUMIFS($M37:$EF37,$M$11:$EF$11,TODAY()-1,$M$13:$EF$13,O$13)</f>
        <v>0</v>
      </c>
      <c r="K37" s="852"/>
      <c r="L37" s="605">
        <f ca="1">SUMIFS($M37:$EF37,$M$11:$EF$11,TODAY()-1,$M$13:$EF$13,P$13)</f>
        <v>0</v>
      </c>
      <c r="M37" s="1026">
        <v>3</v>
      </c>
      <c r="N37" s="1027">
        <v>1</v>
      </c>
      <c r="O37" s="906">
        <f>_xlfn.IFS(M37=0,0,N37&lt;=M37,N37/M37,N37&gt;M37,1)</f>
        <v>0.33333333333333331</v>
      </c>
      <c r="P37" s="1029">
        <v>300000</v>
      </c>
      <c r="Q37" s="1026">
        <v>3</v>
      </c>
      <c r="R37" s="1027">
        <v>1</v>
      </c>
      <c r="S37" s="906">
        <f>_xlfn.IFS(Q37=0,0,R37&lt;=Q37,R37/Q37,R37&gt;Q37,1)</f>
        <v>0.33333333333333331</v>
      </c>
      <c r="T37" s="1029">
        <v>300000</v>
      </c>
      <c r="U37" s="1026">
        <v>3</v>
      </c>
      <c r="V37" s="1027">
        <v>1</v>
      </c>
      <c r="W37" s="906">
        <f>_xlfn.IFS(U37=0,0,V37&lt;=U37,V37/U37,V37&gt;U37,1)</f>
        <v>0.33333333333333331</v>
      </c>
      <c r="X37" s="1029">
        <v>300000</v>
      </c>
      <c r="Y37" s="1026">
        <v>3</v>
      </c>
      <c r="Z37" s="1027">
        <v>1</v>
      </c>
      <c r="AA37" s="906">
        <f>_xlfn.IFS(Y37=0,0,Z37&lt;=Y37,Z37/Y37,Z37&gt;Y37,1)</f>
        <v>0.33333333333333331</v>
      </c>
      <c r="AB37" s="1029">
        <v>300000</v>
      </c>
      <c r="AC37" s="1026">
        <v>3</v>
      </c>
      <c r="AD37" s="1027">
        <v>1</v>
      </c>
      <c r="AE37" s="906">
        <f>_xlfn.IFS(AC37=0,0,AD37&lt;=AC37,AD37/AC37,AD37&gt;AC37,1)</f>
        <v>0.33333333333333331</v>
      </c>
      <c r="AF37" s="1029">
        <v>300000</v>
      </c>
      <c r="AG37" s="1026">
        <v>3</v>
      </c>
      <c r="AH37" s="1027">
        <v>1</v>
      </c>
      <c r="AI37" s="906">
        <f>_xlfn.IFS(AG37=0,0,AH37&lt;=AG37,AH37/AG37,AH37&gt;AG37,1)</f>
        <v>0.33333333333333331</v>
      </c>
      <c r="AJ37" s="1029">
        <v>300000</v>
      </c>
      <c r="AK37" s="1026">
        <v>3</v>
      </c>
      <c r="AL37" s="1027">
        <v>1</v>
      </c>
      <c r="AM37" s="906">
        <f>_xlfn.IFS(AK37=0,0,AL37&lt;=AK37,AL37/AK37,AL37&gt;AK37,1)</f>
        <v>0.33333333333333331</v>
      </c>
      <c r="AN37" s="1029">
        <v>300000</v>
      </c>
      <c r="AO37" s="1026">
        <v>3</v>
      </c>
      <c r="AP37" s="1027">
        <v>1</v>
      </c>
      <c r="AQ37" s="906">
        <f>_xlfn.IFS(AO37=0,0,AP37&lt;=AO37,AP37/AO37,AP37&gt;AO37,1)</f>
        <v>0.33333333333333331</v>
      </c>
      <c r="AR37" s="1029">
        <v>300000</v>
      </c>
      <c r="AS37" s="1026">
        <v>3</v>
      </c>
      <c r="AT37" s="1027">
        <v>1</v>
      </c>
      <c r="AU37" s="906">
        <f>_xlfn.IFS(AS37=0,0,AT37&lt;=AS37,AT37/AS37,AT37&gt;AS37,1)</f>
        <v>0.33333333333333331</v>
      </c>
      <c r="AV37" s="1029">
        <v>300000</v>
      </c>
      <c r="AW37" s="1026">
        <v>3</v>
      </c>
      <c r="AX37" s="1027">
        <v>1</v>
      </c>
      <c r="AY37" s="906">
        <f>_xlfn.IFS(AW37=0,0,AX37&lt;=AW37,AX37/AW37,AX37&gt;AW37,1)</f>
        <v>0.33333333333333331</v>
      </c>
      <c r="AZ37" s="1029">
        <v>300000</v>
      </c>
      <c r="BA37" s="1026">
        <v>3</v>
      </c>
      <c r="BB37" s="1027">
        <v>1</v>
      </c>
      <c r="BC37" s="906">
        <f>_xlfn.IFS(BA37=0,0,BB37&lt;=BA37,BB37/BA37,BB37&gt;BA37,1)</f>
        <v>0.33333333333333331</v>
      </c>
      <c r="BD37" s="1029">
        <v>300000</v>
      </c>
      <c r="BE37" s="1026">
        <v>3</v>
      </c>
      <c r="BF37" s="1027">
        <v>1</v>
      </c>
      <c r="BG37" s="906">
        <f>_xlfn.IFS(BE37=0,0,BF37&lt;=BE37,BF37/BE37,BF37&gt;BE37,1)</f>
        <v>0.33333333333333331</v>
      </c>
      <c r="BH37" s="1029">
        <v>300000</v>
      </c>
      <c r="BI37" s="1026">
        <v>3</v>
      </c>
      <c r="BJ37" s="1027">
        <v>1</v>
      </c>
      <c r="BK37" s="906">
        <f>_xlfn.IFS(BI37=0,0,BJ37&lt;=BI37,BJ37/BI37,BJ37&gt;BI37,1)</f>
        <v>0.33333333333333331</v>
      </c>
      <c r="BL37" s="1029">
        <v>300000</v>
      </c>
      <c r="BM37" s="1026">
        <v>3</v>
      </c>
      <c r="BN37" s="1027">
        <v>1</v>
      </c>
      <c r="BO37" s="906">
        <f>_xlfn.IFS(BM37=0,0,BN37&lt;=BM37,BN37/BM37,BN37&gt;BM37,1)</f>
        <v>0.33333333333333331</v>
      </c>
      <c r="BP37" s="1029">
        <v>300000</v>
      </c>
      <c r="BQ37" s="1026">
        <v>3</v>
      </c>
      <c r="BR37" s="1027">
        <v>1</v>
      </c>
      <c r="BS37" s="906">
        <f>_xlfn.IFS(BQ37=0,0,BR37&lt;=BQ37,BR37/BQ37,BR37&gt;BQ37,1)</f>
        <v>0.33333333333333331</v>
      </c>
      <c r="BT37" s="1029">
        <v>300000</v>
      </c>
      <c r="BU37" s="1026">
        <v>3</v>
      </c>
      <c r="BV37" s="1027">
        <v>1</v>
      </c>
      <c r="BW37" s="906">
        <f>_xlfn.IFS(BU37=0,0,BV37&lt;=BU37,BV37/BU37,BV37&gt;BU37,1)</f>
        <v>0.33333333333333331</v>
      </c>
      <c r="BX37" s="1029">
        <v>300000</v>
      </c>
      <c r="BY37" s="1026">
        <v>3</v>
      </c>
      <c r="BZ37" s="1027">
        <v>1</v>
      </c>
      <c r="CA37" s="906">
        <f>_xlfn.IFS(BY37=0,0,BZ37&lt;=BY37,BZ37/BY37,BZ37&gt;BY37,1)</f>
        <v>0.33333333333333331</v>
      </c>
      <c r="CB37" s="1029">
        <v>300000</v>
      </c>
      <c r="CC37" s="1026">
        <v>3</v>
      </c>
      <c r="CD37" s="1027">
        <v>1</v>
      </c>
      <c r="CE37" s="906">
        <f>_xlfn.IFS(CC37=0,0,CD37&lt;=CC37,CD37/CC37,CD37&gt;CC37,1)</f>
        <v>0.33333333333333331</v>
      </c>
      <c r="CF37" s="1029">
        <v>300000</v>
      </c>
      <c r="CG37" s="1026">
        <v>3</v>
      </c>
      <c r="CH37" s="1027">
        <v>1</v>
      </c>
      <c r="CI37" s="906">
        <f>_xlfn.IFS(CG37=0,0,CH37&lt;=CG37,CH37/CG37,CH37&gt;CG37,1)</f>
        <v>0.33333333333333331</v>
      </c>
      <c r="CJ37" s="1029">
        <v>300000</v>
      </c>
      <c r="CK37" s="1026">
        <v>3</v>
      </c>
      <c r="CL37" s="1027">
        <v>1</v>
      </c>
      <c r="CM37" s="906">
        <f>_xlfn.IFS(CK37=0,0,CL37&lt;=CK37,CL37/CK37,CL37&gt;CK37,1)</f>
        <v>0.33333333333333331</v>
      </c>
      <c r="CN37" s="1029">
        <v>300000</v>
      </c>
      <c r="CO37" s="1026">
        <v>3</v>
      </c>
      <c r="CP37" s="1027">
        <v>1</v>
      </c>
      <c r="CQ37" s="906">
        <f>_xlfn.IFS(CO37=0,0,CP37&lt;=CO37,CP37/CO37,CP37&gt;CO37,1)</f>
        <v>0.33333333333333331</v>
      </c>
      <c r="CR37" s="1029">
        <v>300000</v>
      </c>
      <c r="CS37" s="1026">
        <v>3</v>
      </c>
      <c r="CT37" s="1027">
        <v>1</v>
      </c>
      <c r="CU37" s="906">
        <f>_xlfn.IFS(CS37=0,0,CT37&lt;=CS37,CT37/CS37,CT37&gt;CS37,1)</f>
        <v>0.33333333333333331</v>
      </c>
      <c r="CV37" s="1029">
        <v>300000</v>
      </c>
      <c r="CW37" s="1026">
        <v>3</v>
      </c>
      <c r="CX37" s="1027">
        <v>1</v>
      </c>
      <c r="CY37" s="906">
        <f>_xlfn.IFS(CW37=0,0,CX37&lt;=CW37,CX37/CW37,CX37&gt;CW37,1)</f>
        <v>0.33333333333333331</v>
      </c>
      <c r="CZ37" s="1029">
        <v>300000</v>
      </c>
      <c r="DA37" s="1026">
        <v>3</v>
      </c>
      <c r="DB37" s="1027">
        <v>1</v>
      </c>
      <c r="DC37" s="906">
        <f>_xlfn.IFS(DA37=0,0,DB37&lt;=DA37,DB37/DA37,DB37&gt;DA37,1)</f>
        <v>0.33333333333333331</v>
      </c>
      <c r="DD37" s="1029">
        <v>300000</v>
      </c>
      <c r="DE37" s="1026">
        <v>3</v>
      </c>
      <c r="DF37" s="1027">
        <v>1</v>
      </c>
      <c r="DG37" s="906">
        <f>_xlfn.IFS(DE37=0,0,DF37&lt;=DE37,DF37/DE37,DF37&gt;DE37,1)</f>
        <v>0.33333333333333331</v>
      </c>
      <c r="DH37" s="1029">
        <v>300000</v>
      </c>
      <c r="DI37" s="1026">
        <v>3</v>
      </c>
      <c r="DJ37" s="1027">
        <v>1</v>
      </c>
      <c r="DK37" s="906">
        <f>_xlfn.IFS(DI37=0,0,DJ37&lt;=DI37,DJ37/DI37,DJ37&gt;DI37,1)</f>
        <v>0.33333333333333331</v>
      </c>
      <c r="DL37" s="1029">
        <v>300000</v>
      </c>
      <c r="DM37" s="1026">
        <v>3</v>
      </c>
      <c r="DN37" s="1027">
        <v>1</v>
      </c>
      <c r="DO37" s="906">
        <f>_xlfn.IFS(DM37=0,0,DN37&lt;=DM37,DN37/DM37,DN37&gt;DM37,1)</f>
        <v>0.33333333333333331</v>
      </c>
      <c r="DP37" s="1029">
        <v>300000</v>
      </c>
      <c r="DQ37" s="1026">
        <v>3</v>
      </c>
      <c r="DR37" s="1027">
        <v>1</v>
      </c>
      <c r="DS37" s="906">
        <f>_xlfn.IFS(DQ37=0,0,DR37&lt;=DQ37,DR37/DQ37,DR37&gt;DQ37,1)</f>
        <v>0.33333333333333331</v>
      </c>
      <c r="DT37" s="1029">
        <v>300000</v>
      </c>
      <c r="DU37" s="1026">
        <v>3</v>
      </c>
      <c r="DV37" s="1027">
        <v>1</v>
      </c>
      <c r="DW37" s="906">
        <f>_xlfn.IFS(DU37=0,0,DV37&lt;=DU37,DV37/DU37,DV37&gt;DU37,1)</f>
        <v>0.33333333333333331</v>
      </c>
      <c r="DX37" s="1029">
        <v>300000</v>
      </c>
      <c r="DY37" s="1026">
        <v>3</v>
      </c>
      <c r="DZ37" s="1027">
        <v>1</v>
      </c>
      <c r="EA37" s="906">
        <f>_xlfn.IFS(DY37=0,0,DZ37&lt;=DY37,DZ37/DY37,DZ37&gt;DY37,1)</f>
        <v>0.33333333333333331</v>
      </c>
      <c r="EB37" s="1029">
        <v>300000</v>
      </c>
      <c r="EC37" s="1026">
        <v>3</v>
      </c>
      <c r="ED37" s="1027">
        <v>1</v>
      </c>
      <c r="EE37" s="906">
        <f>_xlfn.IFS(EC37=0,0,ED37&lt;=EC37,ED37/EC37,ED37&gt;EC37,1)</f>
        <v>0.33333333333333331</v>
      </c>
      <c r="EF37" s="1029">
        <v>300000</v>
      </c>
    </row>
    <row r="38" spans="1:136" ht="20" customHeight="1" x14ac:dyDescent="0.15">
      <c r="A38" s="189">
        <f>_xlfn.IFS(B38=0,0,E38&gt;B38,1,E38&lt;=B38,E38/B38)</f>
        <v>0</v>
      </c>
      <c r="B38" s="262"/>
      <c r="C38" s="944" t="s">
        <v>133</v>
      </c>
      <c r="D38" s="610">
        <f>$D$36/2</f>
        <v>8750000</v>
      </c>
      <c r="E38" s="1082">
        <f t="shared" si="304"/>
        <v>9300000</v>
      </c>
      <c r="F38" s="610">
        <f t="shared" ref="F38" si="306">E38-D38</f>
        <v>550000</v>
      </c>
      <c r="G38" s="208">
        <f t="shared" si="305"/>
        <v>1</v>
      </c>
      <c r="H38" s="208">
        <f>IF(SUMIF(M$13:EF$13,$O$13,M38:EF38)&gt;0,AVERAGEIFS(M38:EF38,M38:EF38,"&gt;0",M$13:EF$13,$O$13),"NO NEW ORDER")</f>
        <v>0.66666666666666674</v>
      </c>
      <c r="I38" s="814"/>
      <c r="J38" s="208">
        <f ca="1">SUMIFS($M38:$EF38,$M$11:$EF$11,TODAY()-1,$M$13:$EF$13,O$13)</f>
        <v>0</v>
      </c>
      <c r="K38" s="853"/>
      <c r="L38" s="605">
        <f ca="1">SUMIFS($M38:$EF38,$M$11:$EF$11,TODAY()-1,$M$13:$EF$13,P$13)</f>
        <v>0</v>
      </c>
      <c r="M38" s="1026">
        <v>3</v>
      </c>
      <c r="N38" s="1027">
        <v>2</v>
      </c>
      <c r="O38" s="906">
        <f>_xlfn.IFS(M38=0,0,N38&lt;=M38,N38/M38,N38&gt;M38,1)</f>
        <v>0.66666666666666663</v>
      </c>
      <c r="P38" s="1029">
        <v>300000</v>
      </c>
      <c r="Q38" s="1026">
        <v>3</v>
      </c>
      <c r="R38" s="1027">
        <v>2</v>
      </c>
      <c r="S38" s="906">
        <f>_xlfn.IFS(Q38=0,0,R38&lt;=Q38,R38/Q38,R38&gt;Q38,1)</f>
        <v>0.66666666666666663</v>
      </c>
      <c r="T38" s="1029">
        <v>300000</v>
      </c>
      <c r="U38" s="1026">
        <v>3</v>
      </c>
      <c r="V38" s="1027">
        <v>2</v>
      </c>
      <c r="W38" s="906">
        <f>_xlfn.IFS(U38=0,0,V38&lt;=U38,V38/U38,V38&gt;U38,1)</f>
        <v>0.66666666666666663</v>
      </c>
      <c r="X38" s="1029">
        <v>300000</v>
      </c>
      <c r="Y38" s="1026">
        <v>3</v>
      </c>
      <c r="Z38" s="1027">
        <v>2</v>
      </c>
      <c r="AA38" s="906">
        <f>_xlfn.IFS(Y38=0,0,Z38&lt;=Y38,Z38/Y38,Z38&gt;Y38,1)</f>
        <v>0.66666666666666663</v>
      </c>
      <c r="AB38" s="1029">
        <v>300000</v>
      </c>
      <c r="AC38" s="1026">
        <v>3</v>
      </c>
      <c r="AD38" s="1027">
        <v>2</v>
      </c>
      <c r="AE38" s="906">
        <f>_xlfn.IFS(AC38=0,0,AD38&lt;=AC38,AD38/AC38,AD38&gt;AC38,1)</f>
        <v>0.66666666666666663</v>
      </c>
      <c r="AF38" s="1029">
        <v>300000</v>
      </c>
      <c r="AG38" s="1026">
        <v>3</v>
      </c>
      <c r="AH38" s="1027">
        <v>2</v>
      </c>
      <c r="AI38" s="906">
        <f>_xlfn.IFS(AG38=0,0,AH38&lt;=AG38,AH38/AG38,AH38&gt;AG38,1)</f>
        <v>0.66666666666666663</v>
      </c>
      <c r="AJ38" s="1029">
        <v>300000</v>
      </c>
      <c r="AK38" s="1026">
        <v>3</v>
      </c>
      <c r="AL38" s="1027">
        <v>2</v>
      </c>
      <c r="AM38" s="906">
        <f>_xlfn.IFS(AK38=0,0,AL38&lt;=AK38,AL38/AK38,AL38&gt;AK38,1)</f>
        <v>0.66666666666666663</v>
      </c>
      <c r="AN38" s="1029">
        <v>300000</v>
      </c>
      <c r="AO38" s="1026">
        <v>3</v>
      </c>
      <c r="AP38" s="1027">
        <v>2</v>
      </c>
      <c r="AQ38" s="906">
        <f>_xlfn.IFS(AO38=0,0,AP38&lt;=AO38,AP38/AO38,AP38&gt;AO38,1)</f>
        <v>0.66666666666666663</v>
      </c>
      <c r="AR38" s="1029">
        <v>300000</v>
      </c>
      <c r="AS38" s="1026">
        <v>3</v>
      </c>
      <c r="AT38" s="1027">
        <v>2</v>
      </c>
      <c r="AU38" s="906">
        <f>_xlfn.IFS(AS38=0,0,AT38&lt;=AS38,AT38/AS38,AT38&gt;AS38,1)</f>
        <v>0.66666666666666663</v>
      </c>
      <c r="AV38" s="1029">
        <v>300000</v>
      </c>
      <c r="AW38" s="1026">
        <v>3</v>
      </c>
      <c r="AX38" s="1027">
        <v>2</v>
      </c>
      <c r="AY38" s="906">
        <f>_xlfn.IFS(AW38=0,0,AX38&lt;=AW38,AX38/AW38,AX38&gt;AW38,1)</f>
        <v>0.66666666666666663</v>
      </c>
      <c r="AZ38" s="1029">
        <v>300000</v>
      </c>
      <c r="BA38" s="1026">
        <v>3</v>
      </c>
      <c r="BB38" s="1027">
        <v>2</v>
      </c>
      <c r="BC38" s="906">
        <f>_xlfn.IFS(BA38=0,0,BB38&lt;=BA38,BB38/BA38,BB38&gt;BA38,1)</f>
        <v>0.66666666666666663</v>
      </c>
      <c r="BD38" s="1029">
        <v>300000</v>
      </c>
      <c r="BE38" s="1026">
        <v>3</v>
      </c>
      <c r="BF38" s="1027">
        <v>2</v>
      </c>
      <c r="BG38" s="906">
        <f>_xlfn.IFS(BE38=0,0,BF38&lt;=BE38,BF38/BE38,BF38&gt;BE38,1)</f>
        <v>0.66666666666666663</v>
      </c>
      <c r="BH38" s="1029">
        <v>300000</v>
      </c>
      <c r="BI38" s="1026">
        <v>3</v>
      </c>
      <c r="BJ38" s="1027">
        <v>2</v>
      </c>
      <c r="BK38" s="906">
        <f>_xlfn.IFS(BI38=0,0,BJ38&lt;=BI38,BJ38/BI38,BJ38&gt;BI38,1)</f>
        <v>0.66666666666666663</v>
      </c>
      <c r="BL38" s="1029">
        <v>300000</v>
      </c>
      <c r="BM38" s="1026">
        <v>3</v>
      </c>
      <c r="BN38" s="1027">
        <v>2</v>
      </c>
      <c r="BO38" s="906">
        <f>_xlfn.IFS(BM38=0,0,BN38&lt;=BM38,BN38/BM38,BN38&gt;BM38,1)</f>
        <v>0.66666666666666663</v>
      </c>
      <c r="BP38" s="1029">
        <v>300000</v>
      </c>
      <c r="BQ38" s="1026">
        <v>3</v>
      </c>
      <c r="BR38" s="1027">
        <v>2</v>
      </c>
      <c r="BS38" s="906">
        <f>_xlfn.IFS(BQ38=0,0,BR38&lt;=BQ38,BR38/BQ38,BR38&gt;BQ38,1)</f>
        <v>0.66666666666666663</v>
      </c>
      <c r="BT38" s="1029">
        <v>300000</v>
      </c>
      <c r="BU38" s="1026">
        <v>3</v>
      </c>
      <c r="BV38" s="1027">
        <v>2</v>
      </c>
      <c r="BW38" s="906">
        <f>_xlfn.IFS(BU38=0,0,BV38&lt;=BU38,BV38/BU38,BV38&gt;BU38,1)</f>
        <v>0.66666666666666663</v>
      </c>
      <c r="BX38" s="1029">
        <v>300000</v>
      </c>
      <c r="BY38" s="1026">
        <v>3</v>
      </c>
      <c r="BZ38" s="1027">
        <v>2</v>
      </c>
      <c r="CA38" s="906">
        <f>_xlfn.IFS(BY38=0,0,BZ38&lt;=BY38,BZ38/BY38,BZ38&gt;BY38,1)</f>
        <v>0.66666666666666663</v>
      </c>
      <c r="CB38" s="1029">
        <v>300000</v>
      </c>
      <c r="CC38" s="1026">
        <v>3</v>
      </c>
      <c r="CD38" s="1027">
        <v>2</v>
      </c>
      <c r="CE38" s="906">
        <f>_xlfn.IFS(CC38=0,0,CD38&lt;=CC38,CD38/CC38,CD38&gt;CC38,1)</f>
        <v>0.66666666666666663</v>
      </c>
      <c r="CF38" s="1029">
        <v>300000</v>
      </c>
      <c r="CG38" s="1026">
        <v>3</v>
      </c>
      <c r="CH38" s="1027">
        <v>2</v>
      </c>
      <c r="CI38" s="906">
        <f>_xlfn.IFS(CG38=0,0,CH38&lt;=CG38,CH38/CG38,CH38&gt;CG38,1)</f>
        <v>0.66666666666666663</v>
      </c>
      <c r="CJ38" s="1029">
        <v>300000</v>
      </c>
      <c r="CK38" s="1026">
        <v>3</v>
      </c>
      <c r="CL38" s="1027">
        <v>2</v>
      </c>
      <c r="CM38" s="906">
        <f>_xlfn.IFS(CK38=0,0,CL38&lt;=CK38,CL38/CK38,CL38&gt;CK38,1)</f>
        <v>0.66666666666666663</v>
      </c>
      <c r="CN38" s="1029">
        <v>300000</v>
      </c>
      <c r="CO38" s="1026">
        <v>3</v>
      </c>
      <c r="CP38" s="1027">
        <v>2</v>
      </c>
      <c r="CQ38" s="906">
        <f>_xlfn.IFS(CO38=0,0,CP38&lt;=CO38,CP38/CO38,CP38&gt;CO38,1)</f>
        <v>0.66666666666666663</v>
      </c>
      <c r="CR38" s="1029">
        <v>300000</v>
      </c>
      <c r="CS38" s="1026">
        <v>3</v>
      </c>
      <c r="CT38" s="1027">
        <v>2</v>
      </c>
      <c r="CU38" s="906">
        <f>_xlfn.IFS(CS38=0,0,CT38&lt;=CS38,CT38/CS38,CT38&gt;CS38,1)</f>
        <v>0.66666666666666663</v>
      </c>
      <c r="CV38" s="1029">
        <v>300000</v>
      </c>
      <c r="CW38" s="1026">
        <v>3</v>
      </c>
      <c r="CX38" s="1027">
        <v>2</v>
      </c>
      <c r="CY38" s="906">
        <f>_xlfn.IFS(CW38=0,0,CX38&lt;=CW38,CX38/CW38,CX38&gt;CW38,1)</f>
        <v>0.66666666666666663</v>
      </c>
      <c r="CZ38" s="1029">
        <v>300000</v>
      </c>
      <c r="DA38" s="1026">
        <v>3</v>
      </c>
      <c r="DB38" s="1027">
        <v>2</v>
      </c>
      <c r="DC38" s="906">
        <f>_xlfn.IFS(DA38=0,0,DB38&lt;=DA38,DB38/DA38,DB38&gt;DA38,1)</f>
        <v>0.66666666666666663</v>
      </c>
      <c r="DD38" s="1029">
        <v>300000</v>
      </c>
      <c r="DE38" s="1026">
        <v>3</v>
      </c>
      <c r="DF38" s="1027">
        <v>2</v>
      </c>
      <c r="DG38" s="906">
        <f>_xlfn.IFS(DE38=0,0,DF38&lt;=DE38,DF38/DE38,DF38&gt;DE38,1)</f>
        <v>0.66666666666666663</v>
      </c>
      <c r="DH38" s="1029">
        <v>300000</v>
      </c>
      <c r="DI38" s="1026">
        <v>3</v>
      </c>
      <c r="DJ38" s="1027">
        <v>2</v>
      </c>
      <c r="DK38" s="906">
        <f>_xlfn.IFS(DI38=0,0,DJ38&lt;=DI38,DJ38/DI38,DJ38&gt;DI38,1)</f>
        <v>0.66666666666666663</v>
      </c>
      <c r="DL38" s="1029">
        <v>300000</v>
      </c>
      <c r="DM38" s="1026">
        <v>3</v>
      </c>
      <c r="DN38" s="1027">
        <v>2</v>
      </c>
      <c r="DO38" s="906">
        <f>_xlfn.IFS(DM38=0,0,DN38&lt;=DM38,DN38/DM38,DN38&gt;DM38,1)</f>
        <v>0.66666666666666663</v>
      </c>
      <c r="DP38" s="1029">
        <v>300000</v>
      </c>
      <c r="DQ38" s="1026">
        <v>3</v>
      </c>
      <c r="DR38" s="1027">
        <v>2</v>
      </c>
      <c r="DS38" s="906">
        <f>_xlfn.IFS(DQ38=0,0,DR38&lt;=DQ38,DR38/DQ38,DR38&gt;DQ38,1)</f>
        <v>0.66666666666666663</v>
      </c>
      <c r="DT38" s="1029">
        <v>300000</v>
      </c>
      <c r="DU38" s="1026">
        <v>3</v>
      </c>
      <c r="DV38" s="1027">
        <v>2</v>
      </c>
      <c r="DW38" s="906">
        <f>_xlfn.IFS(DU38=0,0,DV38&lt;=DU38,DV38/DU38,DV38&gt;DU38,1)</f>
        <v>0.66666666666666663</v>
      </c>
      <c r="DX38" s="1029">
        <v>300000</v>
      </c>
      <c r="DY38" s="1026">
        <v>3</v>
      </c>
      <c r="DZ38" s="1027">
        <v>2</v>
      </c>
      <c r="EA38" s="906">
        <f>_xlfn.IFS(DY38=0,0,DZ38&lt;=DY38,DZ38/DY38,DZ38&gt;DY38,1)</f>
        <v>0.66666666666666663</v>
      </c>
      <c r="EB38" s="1029">
        <v>300000</v>
      </c>
      <c r="EC38" s="1026">
        <v>3</v>
      </c>
      <c r="ED38" s="1027">
        <v>2</v>
      </c>
      <c r="EE38" s="906">
        <f>_xlfn.IFS(EC38=0,0,ED38&lt;=EC38,ED38/EC38,ED38&gt;EC38,1)</f>
        <v>0.66666666666666663</v>
      </c>
      <c r="EF38" s="1029">
        <v>300000</v>
      </c>
    </row>
    <row r="39" spans="1:136" ht="20" customHeight="1" x14ac:dyDescent="0.15">
      <c r="A39" s="870">
        <f>_xlfn.IFS(B39=0,0,E39&gt;B39,1,E39&lt;=B39,E39/B39)</f>
        <v>0</v>
      </c>
      <c r="B39" s="949"/>
      <c r="C39" s="883" t="str">
        <f>Dashboard!K101</f>
        <v>ZALO</v>
      </c>
      <c r="D39" s="686">
        <f>Dashboard!M101</f>
        <v>17500000</v>
      </c>
      <c r="E39" s="1065">
        <f>SUMIF($M$13:$EF$13,$P$13,$M39:$EF39)</f>
        <v>9300000</v>
      </c>
      <c r="F39" s="686">
        <f>E39-D39</f>
        <v>-8200000</v>
      </c>
      <c r="G39" s="788">
        <f>_xlfn.IFS(F39&gt;0,1,F39&lt;=0,E39/D39)</f>
        <v>0.53142857142857147</v>
      </c>
      <c r="H39" s="788">
        <f>IF(SUMIF(M$13:EF$13,$O$13,M39:EF39)&gt;0,AVERAGEIFS(M39:EF39,M39:EF39,"&gt;0",M$13:EF$13,$O$13),"NO NEW ORDER")</f>
        <v>0.9838709677419355</v>
      </c>
      <c r="I39" s="855">
        <f>Dashboard!M122</f>
        <v>0.16041666666666665</v>
      </c>
      <c r="J39" s="788">
        <f ca="1">SUMIFS($M39:$EF39,$M$11:$EF$11,TODAY()-1,$M$13:$EF$13,O$13)</f>
        <v>0</v>
      </c>
      <c r="K39" s="686">
        <f>D39/'Action Plan'!$C$6</f>
        <v>673076.92307692312</v>
      </c>
      <c r="L39" s="933">
        <f ca="1">SUMIFS($M39:$EF39,$M$11:$EF$11,TODAY()-1,$M$13:$EF$13,P$13)</f>
        <v>0</v>
      </c>
      <c r="M39" s="1111">
        <v>2</v>
      </c>
      <c r="N39" s="1112">
        <v>1</v>
      </c>
      <c r="O39" s="788">
        <f>_xlfn.IFS(M39=0,0,N39&lt;=M39,N39/M39,N39&gt;M39,1)</f>
        <v>0.5</v>
      </c>
      <c r="P39" s="1113">
        <v>300000</v>
      </c>
      <c r="Q39" s="1111">
        <v>1</v>
      </c>
      <c r="R39" s="1112">
        <v>1</v>
      </c>
      <c r="S39" s="788">
        <f>_xlfn.IFS(Q39=0,0,R39&lt;=Q39,R39/Q39,R39&gt;Q39,1)</f>
        <v>1</v>
      </c>
      <c r="T39" s="1113">
        <v>300000</v>
      </c>
      <c r="U39" s="1111">
        <v>1</v>
      </c>
      <c r="V39" s="1112">
        <v>1</v>
      </c>
      <c r="W39" s="788">
        <f>_xlfn.IFS(U39=0,0,V39&lt;=U39,V39/U39,V39&gt;U39,1)</f>
        <v>1</v>
      </c>
      <c r="X39" s="1113">
        <v>300000</v>
      </c>
      <c r="Y39" s="1111">
        <v>1</v>
      </c>
      <c r="Z39" s="1112">
        <v>1</v>
      </c>
      <c r="AA39" s="788">
        <f>_xlfn.IFS(Y39=0,0,Z39&lt;=Y39,Z39/Y39,Z39&gt;Y39,1)</f>
        <v>1</v>
      </c>
      <c r="AB39" s="1113">
        <v>300000</v>
      </c>
      <c r="AC39" s="1111">
        <v>1</v>
      </c>
      <c r="AD39" s="1112">
        <v>1</v>
      </c>
      <c r="AE39" s="788">
        <f>_xlfn.IFS(AC39=0,0,AD39&lt;=AC39,AD39/AC39,AD39&gt;AC39,1)</f>
        <v>1</v>
      </c>
      <c r="AF39" s="1113">
        <v>300000</v>
      </c>
      <c r="AG39" s="1111">
        <v>1</v>
      </c>
      <c r="AH39" s="1112">
        <v>1</v>
      </c>
      <c r="AI39" s="788">
        <f>_xlfn.IFS(AG39=0,0,AH39&lt;=AG39,AH39/AG39,AH39&gt;AG39,1)</f>
        <v>1</v>
      </c>
      <c r="AJ39" s="1113">
        <v>300000</v>
      </c>
      <c r="AK39" s="1111">
        <v>1</v>
      </c>
      <c r="AL39" s="1112">
        <v>1</v>
      </c>
      <c r="AM39" s="788">
        <f>_xlfn.IFS(AK39=0,0,AL39&lt;=AK39,AL39/AK39,AL39&gt;AK39,1)</f>
        <v>1</v>
      </c>
      <c r="AN39" s="1113">
        <v>300000</v>
      </c>
      <c r="AO39" s="1111">
        <v>1</v>
      </c>
      <c r="AP39" s="1112">
        <v>1</v>
      </c>
      <c r="AQ39" s="788">
        <f>_xlfn.IFS(AO39=0,0,AP39&lt;=AO39,AP39/AO39,AP39&gt;AO39,1)</f>
        <v>1</v>
      </c>
      <c r="AR39" s="1113">
        <v>300000</v>
      </c>
      <c r="AS39" s="1111">
        <v>1</v>
      </c>
      <c r="AT39" s="1112">
        <v>1</v>
      </c>
      <c r="AU39" s="788">
        <f>_xlfn.IFS(AS39=0,0,AT39&lt;=AS39,AT39/AS39,AT39&gt;AS39,1)</f>
        <v>1</v>
      </c>
      <c r="AV39" s="1113">
        <v>300000</v>
      </c>
      <c r="AW39" s="1111">
        <v>1</v>
      </c>
      <c r="AX39" s="1112">
        <v>1</v>
      </c>
      <c r="AY39" s="788">
        <f>_xlfn.IFS(AW39=0,0,AX39&lt;=AW39,AX39/AW39,AX39&gt;AW39,1)</f>
        <v>1</v>
      </c>
      <c r="AZ39" s="1113">
        <v>300000</v>
      </c>
      <c r="BA39" s="1111">
        <v>1</v>
      </c>
      <c r="BB39" s="1112">
        <v>1</v>
      </c>
      <c r="BC39" s="788">
        <f>_xlfn.IFS(BA39=0,0,BB39&lt;=BA39,BB39/BA39,BB39&gt;BA39,1)</f>
        <v>1</v>
      </c>
      <c r="BD39" s="1113">
        <v>300000</v>
      </c>
      <c r="BE39" s="1111">
        <v>1</v>
      </c>
      <c r="BF39" s="1112">
        <v>1</v>
      </c>
      <c r="BG39" s="788">
        <f>_xlfn.IFS(BE39=0,0,BF39&lt;=BE39,BF39/BE39,BF39&gt;BE39,1)</f>
        <v>1</v>
      </c>
      <c r="BH39" s="1113">
        <v>300000</v>
      </c>
      <c r="BI39" s="1111">
        <v>1</v>
      </c>
      <c r="BJ39" s="1112">
        <v>1</v>
      </c>
      <c r="BK39" s="788">
        <f>_xlfn.IFS(BI39=0,0,BJ39&lt;=BI39,BJ39/BI39,BJ39&gt;BI39,1)</f>
        <v>1</v>
      </c>
      <c r="BL39" s="1113">
        <v>300000</v>
      </c>
      <c r="BM39" s="1111">
        <v>1</v>
      </c>
      <c r="BN39" s="1112">
        <v>1</v>
      </c>
      <c r="BO39" s="788">
        <f>_xlfn.IFS(BM39=0,0,BN39&lt;=BM39,BN39/BM39,BN39&gt;BM39,1)</f>
        <v>1</v>
      </c>
      <c r="BP39" s="1113">
        <v>300000</v>
      </c>
      <c r="BQ39" s="1111">
        <v>1</v>
      </c>
      <c r="BR39" s="1112">
        <v>1</v>
      </c>
      <c r="BS39" s="788">
        <f>_xlfn.IFS(BQ39=0,0,BR39&lt;=BQ39,BR39/BQ39,BR39&gt;BQ39,1)</f>
        <v>1</v>
      </c>
      <c r="BT39" s="1113">
        <v>300000</v>
      </c>
      <c r="BU39" s="1111">
        <v>1</v>
      </c>
      <c r="BV39" s="1112">
        <v>1</v>
      </c>
      <c r="BW39" s="788">
        <f>_xlfn.IFS(BU39=0,0,BV39&lt;=BU39,BV39/BU39,BV39&gt;BU39,1)</f>
        <v>1</v>
      </c>
      <c r="BX39" s="1113">
        <v>300000</v>
      </c>
      <c r="BY39" s="1111">
        <v>1</v>
      </c>
      <c r="BZ39" s="1112">
        <v>1</v>
      </c>
      <c r="CA39" s="788">
        <f>_xlfn.IFS(BY39=0,0,BZ39&lt;=BY39,BZ39/BY39,BZ39&gt;BY39,1)</f>
        <v>1</v>
      </c>
      <c r="CB39" s="1113">
        <v>300000</v>
      </c>
      <c r="CC39" s="1111">
        <v>1</v>
      </c>
      <c r="CD39" s="1112">
        <v>1</v>
      </c>
      <c r="CE39" s="788">
        <f>_xlfn.IFS(CC39=0,0,CD39&lt;=CC39,CD39/CC39,CD39&gt;CC39,1)</f>
        <v>1</v>
      </c>
      <c r="CF39" s="1113">
        <v>300000</v>
      </c>
      <c r="CG39" s="1111">
        <v>1</v>
      </c>
      <c r="CH39" s="1112">
        <v>1</v>
      </c>
      <c r="CI39" s="788">
        <f>_xlfn.IFS(CG39=0,0,CH39&lt;=CG39,CH39/CG39,CH39&gt;CG39,1)</f>
        <v>1</v>
      </c>
      <c r="CJ39" s="1113">
        <v>300000</v>
      </c>
      <c r="CK39" s="1111">
        <v>1</v>
      </c>
      <c r="CL39" s="1112">
        <v>1</v>
      </c>
      <c r="CM39" s="788">
        <f>_xlfn.IFS(CK39=0,0,CL39&lt;=CK39,CL39/CK39,CL39&gt;CK39,1)</f>
        <v>1</v>
      </c>
      <c r="CN39" s="1113">
        <v>300000</v>
      </c>
      <c r="CO39" s="1111">
        <v>1</v>
      </c>
      <c r="CP39" s="1112">
        <v>1</v>
      </c>
      <c r="CQ39" s="788">
        <f>_xlfn.IFS(CO39=0,0,CP39&lt;=CO39,CP39/CO39,CP39&gt;CO39,1)</f>
        <v>1</v>
      </c>
      <c r="CR39" s="1113">
        <v>300000</v>
      </c>
      <c r="CS39" s="1111">
        <v>1</v>
      </c>
      <c r="CT39" s="1112">
        <v>1</v>
      </c>
      <c r="CU39" s="788">
        <f>_xlfn.IFS(CS39=0,0,CT39&lt;=CS39,CT39/CS39,CT39&gt;CS39,1)</f>
        <v>1</v>
      </c>
      <c r="CV39" s="1113">
        <v>300000</v>
      </c>
      <c r="CW39" s="1111">
        <v>1</v>
      </c>
      <c r="CX39" s="1112">
        <v>1</v>
      </c>
      <c r="CY39" s="788">
        <f>_xlfn.IFS(CW39=0,0,CX39&lt;=CW39,CX39/CW39,CX39&gt;CW39,1)</f>
        <v>1</v>
      </c>
      <c r="CZ39" s="1113">
        <v>300000</v>
      </c>
      <c r="DA39" s="1111">
        <v>1</v>
      </c>
      <c r="DB39" s="1112">
        <v>1</v>
      </c>
      <c r="DC39" s="788">
        <f>_xlfn.IFS(DA39=0,0,DB39&lt;=DA39,DB39/DA39,DB39&gt;DA39,1)</f>
        <v>1</v>
      </c>
      <c r="DD39" s="1113">
        <v>300000</v>
      </c>
      <c r="DE39" s="1111">
        <v>1</v>
      </c>
      <c r="DF39" s="1112">
        <v>1</v>
      </c>
      <c r="DG39" s="788">
        <f>_xlfn.IFS(DE39=0,0,DF39&lt;=DE39,DF39/DE39,DF39&gt;DE39,1)</f>
        <v>1</v>
      </c>
      <c r="DH39" s="1113">
        <v>300000</v>
      </c>
      <c r="DI39" s="1111">
        <v>1</v>
      </c>
      <c r="DJ39" s="1112">
        <v>1</v>
      </c>
      <c r="DK39" s="788">
        <f>_xlfn.IFS(DI39=0,0,DJ39&lt;=DI39,DJ39/DI39,DJ39&gt;DI39,1)</f>
        <v>1</v>
      </c>
      <c r="DL39" s="1113">
        <v>300000</v>
      </c>
      <c r="DM39" s="1111">
        <v>1</v>
      </c>
      <c r="DN39" s="1112">
        <v>1</v>
      </c>
      <c r="DO39" s="788">
        <f>_xlfn.IFS(DM39=0,0,DN39&lt;=DM39,DN39/DM39,DN39&gt;DM39,1)</f>
        <v>1</v>
      </c>
      <c r="DP39" s="1113">
        <v>300000</v>
      </c>
      <c r="DQ39" s="1111">
        <v>1</v>
      </c>
      <c r="DR39" s="1112">
        <v>1</v>
      </c>
      <c r="DS39" s="788">
        <f>_xlfn.IFS(DQ39=0,0,DR39&lt;=DQ39,DR39/DQ39,DR39&gt;DQ39,1)</f>
        <v>1</v>
      </c>
      <c r="DT39" s="1113">
        <v>300000</v>
      </c>
      <c r="DU39" s="1111">
        <v>1</v>
      </c>
      <c r="DV39" s="1112">
        <v>1</v>
      </c>
      <c r="DW39" s="788">
        <f>_xlfn.IFS(DU39=0,0,DV39&lt;=DU39,DV39/DU39,DV39&gt;DU39,1)</f>
        <v>1</v>
      </c>
      <c r="DX39" s="1113">
        <v>300000</v>
      </c>
      <c r="DY39" s="1111">
        <v>1</v>
      </c>
      <c r="DZ39" s="1112">
        <v>1</v>
      </c>
      <c r="EA39" s="788">
        <f>_xlfn.IFS(DY39=0,0,DZ39&lt;=DY39,DZ39/DY39,DZ39&gt;DY39,1)</f>
        <v>1</v>
      </c>
      <c r="EB39" s="1113">
        <v>300000</v>
      </c>
      <c r="EC39" s="1111">
        <v>1</v>
      </c>
      <c r="ED39" s="1112">
        <v>1</v>
      </c>
      <c r="EE39" s="788">
        <f>_xlfn.IFS(EC39=0,0,ED39&lt;=EC39,ED39/EC39,ED39&gt;EC39,1)</f>
        <v>1</v>
      </c>
      <c r="EF39" s="1113">
        <v>300000</v>
      </c>
    </row>
    <row r="40" spans="1:136" ht="20" customHeight="1" x14ac:dyDescent="0.15">
      <c r="A40" s="870">
        <f>_xlfn.IFS(B40=0,0,E40&gt;B40,1,E40&lt;=B40,E40/B40)</f>
        <v>0</v>
      </c>
      <c r="B40" s="950"/>
      <c r="C40" s="945" t="str">
        <f>Dashboard!K109</f>
        <v>NON-FULFILLMENT RATE</v>
      </c>
      <c r="D40" s="789">
        <f>Dashboard!M109</f>
        <v>3.4999999999999996E-2</v>
      </c>
      <c r="E40" s="857">
        <f>IF(SUM(E41:E46)&gt;0,AVERAGEIF(E41:E46,"&gt;0"),0)</f>
        <v>0.16161616161616163</v>
      </c>
      <c r="F40" s="789">
        <f>D40-E40</f>
        <v>-0.12661616161616163</v>
      </c>
      <c r="G40" s="789">
        <f>_xlfn.IFS(F40&gt;=0,1,F40&lt;0,D40/E40)</f>
        <v>0.21656249999999996</v>
      </c>
      <c r="H40" s="935"/>
      <c r="I40" s="936"/>
      <c r="J40" s="935"/>
      <c r="K40" s="831">
        <f t="shared" ref="K40:K46" si="307">D40</f>
        <v>3.4999999999999996E-2</v>
      </c>
      <c r="L40" s="945">
        <f ca="1">IF(SUM(L44:L46)&gt;0,AVERAGEIF(L44:L46,"&gt;0"),0)</f>
        <v>0</v>
      </c>
      <c r="M40" s="929"/>
      <c r="N40" s="928">
        <f>SUM(N41:N46)</f>
        <v>2</v>
      </c>
      <c r="O40" s="857">
        <f>IF(SUM(O41:O46)&gt;0,AVERAGEIF(O41:O46,"&gt;0"),0)</f>
        <v>0.18181818181818182</v>
      </c>
      <c r="P40" s="1024">
        <f>AVERAGE(P41:P46)</f>
        <v>1.5151515151515152E-2</v>
      </c>
      <c r="Q40" s="929"/>
      <c r="R40" s="928">
        <f>SUM(R41:R46)</f>
        <v>4</v>
      </c>
      <c r="S40" s="857">
        <f>IF(SUM(S41:S46)&gt;0,AVERAGEIF(S41:S46,"&gt;0"),0)</f>
        <v>0.15</v>
      </c>
      <c r="T40" s="1300">
        <f>AVERAGE(T41:T46)</f>
        <v>2.4999999999999998E-2</v>
      </c>
      <c r="U40" s="929"/>
      <c r="V40" s="928">
        <f>SUM(V41:V46)</f>
        <v>4</v>
      </c>
      <c r="W40" s="857">
        <f>IF(SUM(W41:W46)&gt;0,AVERAGEIF(W41:W46,"&gt;0"),0)</f>
        <v>0.15</v>
      </c>
      <c r="X40" s="1300">
        <f>AVERAGE(X41:X46)</f>
        <v>2.4999999999999998E-2</v>
      </c>
      <c r="Y40" s="929"/>
      <c r="Z40" s="928">
        <f>SUM(Z41:Z46)</f>
        <v>2</v>
      </c>
      <c r="AA40" s="857">
        <f>IF(SUM(AA41:AA46)&gt;0,AVERAGEIF(AA41:AA46,"&gt;0"),0)</f>
        <v>0.20833333333333331</v>
      </c>
      <c r="AB40" s="1300">
        <f>AVERAGE(AB41:AB46)</f>
        <v>6.9444444444444434E-2</v>
      </c>
      <c r="AC40" s="929"/>
      <c r="AD40" s="928">
        <f>SUM(AD41:AD46)</f>
        <v>4</v>
      </c>
      <c r="AE40" s="857">
        <f>IF(SUM(AE41:AE46)&gt;0,AVERAGEIF(AE41:AE46,"&gt;0"),0)</f>
        <v>0.29166666666666663</v>
      </c>
      <c r="AF40" s="1300">
        <f>AVERAGE(AF41:AF46)</f>
        <v>6.9444444444444434E-2</v>
      </c>
      <c r="AG40" s="929"/>
      <c r="AH40" s="928">
        <f>SUM(AH41:AH46)</f>
        <v>5</v>
      </c>
      <c r="AI40" s="857">
        <f>IF(SUM(AI41:AI46)&gt;0,AVERAGEIF(AI41:AI46,"&gt;0"),0)</f>
        <v>0.21666666666666665</v>
      </c>
      <c r="AJ40" s="1300">
        <f>AVERAGE(AJ41:AJ46)</f>
        <v>8.0555555555555547E-2</v>
      </c>
      <c r="AK40" s="929"/>
      <c r="AL40" s="928">
        <f>SUM(AL41:AL46)</f>
        <v>5</v>
      </c>
      <c r="AM40" s="857">
        <f>IF(SUM(AM41:AM46)&gt;0,AVERAGEIF(AM41:AM46,"&gt;0"),0)</f>
        <v>0.21666666666666665</v>
      </c>
      <c r="AN40" s="1300">
        <f>AVERAGE(AN41:AN46)</f>
        <v>8.0555555555555547E-2</v>
      </c>
      <c r="AO40" s="929"/>
      <c r="AP40" s="928">
        <f>SUM(AP41:AP46)</f>
        <v>5</v>
      </c>
      <c r="AQ40" s="857">
        <f>IF(SUM(AQ41:AQ46)&gt;0,AVERAGEIF(AQ41:AQ46,"&gt;0"),0)</f>
        <v>0.21666666666666665</v>
      </c>
      <c r="AR40" s="1300">
        <f>AVERAGE(AR41:AR46)</f>
        <v>8.0555555555555547E-2</v>
      </c>
      <c r="AS40" s="929"/>
      <c r="AT40" s="928">
        <f>SUM(AT41:AT46)</f>
        <v>5</v>
      </c>
      <c r="AU40" s="857">
        <f>IF(SUM(AU41:AU46)&gt;0,AVERAGEIF(AU41:AU46,"&gt;0"),0)</f>
        <v>0.21666666666666665</v>
      </c>
      <c r="AV40" s="1300">
        <f>AVERAGE(AV41:AV46)</f>
        <v>8.0555555555555547E-2</v>
      </c>
      <c r="AW40" s="929"/>
      <c r="AX40" s="928">
        <f>SUM(AX41:AX46)</f>
        <v>5</v>
      </c>
      <c r="AY40" s="857">
        <f>IF(SUM(AY41:AY46)&gt;0,AVERAGEIF(AY41:AY46,"&gt;0"),0)</f>
        <v>0.21666666666666665</v>
      </c>
      <c r="AZ40" s="1300">
        <f>AVERAGE(AZ41:AZ46)</f>
        <v>8.0555555555555547E-2</v>
      </c>
      <c r="BA40" s="929"/>
      <c r="BB40" s="928">
        <f>SUM(BB41:BB46)</f>
        <v>5</v>
      </c>
      <c r="BC40" s="857">
        <f>IF(SUM(BC41:BC46)&gt;0,AVERAGEIF(BC41:BC46,"&gt;0"),0)</f>
        <v>0.21666666666666665</v>
      </c>
      <c r="BD40" s="1300">
        <f>AVERAGE(BD41:BD46)</f>
        <v>8.0555555555555547E-2</v>
      </c>
      <c r="BE40" s="929"/>
      <c r="BF40" s="928">
        <f>SUM(BF41:BF46)</f>
        <v>5</v>
      </c>
      <c r="BG40" s="857">
        <f>IF(SUM(BG41:BG46)&gt;0,AVERAGEIF(BG41:BG46,"&gt;0"),0)</f>
        <v>0.21666666666666665</v>
      </c>
      <c r="BH40" s="1300">
        <f>AVERAGE(BH41:BH46)</f>
        <v>8.0555555555555547E-2</v>
      </c>
      <c r="BI40" s="929"/>
      <c r="BJ40" s="928">
        <f>SUM(BJ41:BJ46)</f>
        <v>5</v>
      </c>
      <c r="BK40" s="857">
        <f>IF(SUM(BK41:BK46)&gt;0,AVERAGEIF(BK41:BK46,"&gt;0"),0)</f>
        <v>0.21666666666666665</v>
      </c>
      <c r="BL40" s="1300">
        <f>AVERAGE(BL41:BL46)</f>
        <v>8.0555555555555547E-2</v>
      </c>
      <c r="BM40" s="929"/>
      <c r="BN40" s="928">
        <f>SUM(BN41:BN46)</f>
        <v>5</v>
      </c>
      <c r="BO40" s="857">
        <f>IF(SUM(BO41:BO46)&gt;0,AVERAGEIF(BO41:BO46,"&gt;0"),0)</f>
        <v>0.21666666666666665</v>
      </c>
      <c r="BP40" s="1300">
        <f>AVERAGE(BP41:BP46)</f>
        <v>8.0555555555555547E-2</v>
      </c>
      <c r="BQ40" s="929"/>
      <c r="BR40" s="928">
        <f>SUM(BR41:BR46)</f>
        <v>5</v>
      </c>
      <c r="BS40" s="857">
        <f>IF(SUM(BS41:BS46)&gt;0,AVERAGEIF(BS41:BS46,"&gt;0"),0)</f>
        <v>0.21666666666666665</v>
      </c>
      <c r="BT40" s="1300">
        <f>AVERAGE(BT41:BT46)</f>
        <v>8.0555555555555547E-2</v>
      </c>
      <c r="BU40" s="929"/>
      <c r="BV40" s="928">
        <f>SUM(BV41:BV46)</f>
        <v>5</v>
      </c>
      <c r="BW40" s="857">
        <f>IF(SUM(BW41:BW46)&gt;0,AVERAGEIF(BW41:BW46,"&gt;0"),0)</f>
        <v>0.21666666666666665</v>
      </c>
      <c r="BX40" s="1300">
        <f>AVERAGE(BX41:BX46)</f>
        <v>8.0555555555555547E-2</v>
      </c>
      <c r="BY40" s="929"/>
      <c r="BZ40" s="928">
        <f>SUM(BZ41:BZ46)</f>
        <v>5</v>
      </c>
      <c r="CA40" s="857">
        <f>IF(SUM(CA41:CA46)&gt;0,AVERAGEIF(CA41:CA46,"&gt;0"),0)</f>
        <v>0.21666666666666665</v>
      </c>
      <c r="CB40" s="1300">
        <f>AVERAGE(CB41:CB46)</f>
        <v>8.0555555555555547E-2</v>
      </c>
      <c r="CC40" s="929"/>
      <c r="CD40" s="928">
        <f>SUM(CD41:CD46)</f>
        <v>5</v>
      </c>
      <c r="CE40" s="857">
        <f>IF(SUM(CE41:CE46)&gt;0,AVERAGEIF(CE41:CE46,"&gt;0"),0)</f>
        <v>0.21666666666666665</v>
      </c>
      <c r="CF40" s="1300">
        <f>AVERAGE(CF41:CF46)</f>
        <v>8.0555555555555547E-2</v>
      </c>
      <c r="CG40" s="929"/>
      <c r="CH40" s="928">
        <f>SUM(CH41:CH46)</f>
        <v>5</v>
      </c>
      <c r="CI40" s="857">
        <f>IF(SUM(CI41:CI46)&gt;0,AVERAGEIF(CI41:CI46,"&gt;0"),0)</f>
        <v>0.21666666666666665</v>
      </c>
      <c r="CJ40" s="1300">
        <f>AVERAGE(CJ41:CJ46)</f>
        <v>8.0555555555555547E-2</v>
      </c>
      <c r="CK40" s="929"/>
      <c r="CL40" s="928">
        <f>SUM(CL41:CL46)</f>
        <v>5</v>
      </c>
      <c r="CM40" s="857">
        <f>IF(SUM(CM41:CM46)&gt;0,AVERAGEIF(CM41:CM46,"&gt;0"),0)</f>
        <v>0.21666666666666665</v>
      </c>
      <c r="CN40" s="1300">
        <f>AVERAGE(CN41:CN46)</f>
        <v>8.0555555555555547E-2</v>
      </c>
      <c r="CO40" s="929"/>
      <c r="CP40" s="928">
        <f>SUM(CP41:CP46)</f>
        <v>5</v>
      </c>
      <c r="CQ40" s="857">
        <f>IF(SUM(CQ41:CQ46)&gt;0,AVERAGEIF(CQ41:CQ46,"&gt;0"),0)</f>
        <v>0.21666666666666665</v>
      </c>
      <c r="CR40" s="1300">
        <f>AVERAGE(CR41:CR46)</f>
        <v>8.0555555555555547E-2</v>
      </c>
      <c r="CS40" s="929"/>
      <c r="CT40" s="928">
        <f>SUM(CT41:CT46)</f>
        <v>5</v>
      </c>
      <c r="CU40" s="857">
        <f>IF(SUM(CU41:CU46)&gt;0,AVERAGEIF(CU41:CU46,"&gt;0"),0)</f>
        <v>0.21666666666666665</v>
      </c>
      <c r="CV40" s="1300">
        <f>AVERAGE(CV41:CV46)</f>
        <v>8.0555555555555547E-2</v>
      </c>
      <c r="CW40" s="929"/>
      <c r="CX40" s="928">
        <f>SUM(CX41:CX46)</f>
        <v>5</v>
      </c>
      <c r="CY40" s="857">
        <f>IF(SUM(CY41:CY46)&gt;0,AVERAGEIF(CY41:CY46,"&gt;0"),0)</f>
        <v>0.21666666666666665</v>
      </c>
      <c r="CZ40" s="1300">
        <f>AVERAGE(CZ41:CZ46)</f>
        <v>8.0555555555555547E-2</v>
      </c>
      <c r="DA40" s="929"/>
      <c r="DB40" s="928">
        <f>SUM(DB41:DB46)</f>
        <v>5</v>
      </c>
      <c r="DC40" s="857">
        <f>IF(SUM(DC41:DC46)&gt;0,AVERAGEIF(DC41:DC46,"&gt;0"),0)</f>
        <v>0.21666666666666665</v>
      </c>
      <c r="DD40" s="1300">
        <f>AVERAGE(DD41:DD46)</f>
        <v>8.0555555555555547E-2</v>
      </c>
      <c r="DE40" s="929"/>
      <c r="DF40" s="928">
        <f>SUM(DF41:DF46)</f>
        <v>5</v>
      </c>
      <c r="DG40" s="857">
        <f>IF(SUM(DG41:DG46)&gt;0,AVERAGEIF(DG41:DG46,"&gt;0"),0)</f>
        <v>0.21666666666666665</v>
      </c>
      <c r="DH40" s="1300">
        <f>AVERAGE(DH41:DH46)</f>
        <v>8.0555555555555547E-2</v>
      </c>
      <c r="DI40" s="929"/>
      <c r="DJ40" s="928">
        <f>SUM(DJ41:DJ46)</f>
        <v>5</v>
      </c>
      <c r="DK40" s="857">
        <f>IF(SUM(DK41:DK46)&gt;0,AVERAGEIF(DK41:DK46,"&gt;0"),0)</f>
        <v>0.21666666666666665</v>
      </c>
      <c r="DL40" s="1300">
        <f>AVERAGE(DL41:DL46)</f>
        <v>8.0555555555555547E-2</v>
      </c>
      <c r="DM40" s="929"/>
      <c r="DN40" s="928">
        <f>SUM(DN41:DN46)</f>
        <v>5</v>
      </c>
      <c r="DO40" s="857">
        <f>IF(SUM(DO41:DO46)&gt;0,AVERAGEIF(DO41:DO46,"&gt;0"),0)</f>
        <v>0.21666666666666665</v>
      </c>
      <c r="DP40" s="1300">
        <f>AVERAGE(DP41:DP46)</f>
        <v>8.0555555555555547E-2</v>
      </c>
      <c r="DQ40" s="929"/>
      <c r="DR40" s="928">
        <f>SUM(DR41:DR46)</f>
        <v>5</v>
      </c>
      <c r="DS40" s="857">
        <f>IF(SUM(DS41:DS46)&gt;0,AVERAGEIF(DS41:DS46,"&gt;0"),0)</f>
        <v>0.21666666666666665</v>
      </c>
      <c r="DT40" s="1300">
        <f>AVERAGE(DT41:DT46)</f>
        <v>8.0555555555555547E-2</v>
      </c>
      <c r="DU40" s="929"/>
      <c r="DV40" s="928">
        <f>SUM(DV41:DV46)</f>
        <v>5</v>
      </c>
      <c r="DW40" s="857">
        <f>IF(SUM(DW41:DW46)&gt;0,AVERAGEIF(DW41:DW46,"&gt;0"),0)</f>
        <v>0.21666666666666665</v>
      </c>
      <c r="DX40" s="1300">
        <f>AVERAGE(DX41:DX46)</f>
        <v>8.0555555555555547E-2</v>
      </c>
      <c r="DY40" s="929"/>
      <c r="DZ40" s="928">
        <f>SUM(DZ41:DZ46)</f>
        <v>5</v>
      </c>
      <c r="EA40" s="857">
        <f>IF(SUM(EA41:EA46)&gt;0,AVERAGEIF(EA41:EA46,"&gt;0"),0)</f>
        <v>0.21666666666666665</v>
      </c>
      <c r="EB40" s="1300">
        <f>AVERAGE(EB41:EB46)</f>
        <v>8.0555555555555547E-2</v>
      </c>
      <c r="EC40" s="929"/>
      <c r="ED40" s="928">
        <f>SUM(ED41:ED46)</f>
        <v>5</v>
      </c>
      <c r="EE40" s="857">
        <f>IF(SUM(EE41:EE46)&gt;0,AVERAGEIF(EE41:EE46,"&gt;0"),0)</f>
        <v>0.21666666666666665</v>
      </c>
      <c r="EF40" s="1300">
        <f>AVERAGE(EF41:EF46)</f>
        <v>8.0555555555555547E-2</v>
      </c>
    </row>
    <row r="41" spans="1:136" ht="20" customHeight="1" x14ac:dyDescent="0.15">
      <c r="A41" s="189">
        <f t="shared" ref="A41:A43" si="308">_xlfn.IFS(B41=0,0,E41&gt;B41,1,E41&lt;=B41,E41/B41)</f>
        <v>0</v>
      </c>
      <c r="B41" s="950"/>
      <c r="C41" s="391" t="str">
        <f>Dashboard!K110</f>
        <v>FACEBOOK</v>
      </c>
      <c r="D41" s="208">
        <f>Dashboard!M110</f>
        <v>3.4999999999999996E-2</v>
      </c>
      <c r="E41" s="1088">
        <f>IF(SUMIF($M$13:$EF$13,$N$13,M41:EF41)&gt;0,SUMIF($M$13:$EF$13,$O$13,M41:EF41)/SUMIF($M$13:$EF$13,$N$13,M41:EF41),0)</f>
        <v>6.8181818181818191E-2</v>
      </c>
      <c r="F41" s="208">
        <f>D41-E41</f>
        <v>-3.3181818181818194E-2</v>
      </c>
      <c r="G41" s="208">
        <f>_xlfn.IFS(F41&gt;=0,1,F41&lt;0,D41/E41)</f>
        <v>0.5133333333333332</v>
      </c>
      <c r="H41" s="935"/>
      <c r="I41" s="935"/>
      <c r="J41" s="935"/>
      <c r="K41" s="831"/>
      <c r="L41" s="945"/>
      <c r="M41" s="929"/>
      <c r="N41" s="1226">
        <v>2</v>
      </c>
      <c r="O41" s="906">
        <f>N41/N20</f>
        <v>0.18181818181818182</v>
      </c>
      <c r="P41" s="1227">
        <f>_xlfn.IFS(N41=0,0,O41&lt;=N41,O41/N41,O41&gt;N41,1)</f>
        <v>9.0909090909090912E-2</v>
      </c>
      <c r="Q41" s="929"/>
      <c r="R41" s="1226">
        <v>2</v>
      </c>
      <c r="S41" s="906">
        <f>R41/R20</f>
        <v>0.13333333333333333</v>
      </c>
      <c r="T41" s="1301">
        <f>_xlfn.IFS(R41=0,0,S41&lt;=R41,S41/R41,S41&gt;R41,1)</f>
        <v>6.6666666666666666E-2</v>
      </c>
      <c r="U41" s="929"/>
      <c r="V41" s="1226">
        <v>2</v>
      </c>
      <c r="W41" s="906">
        <f>V41/V20</f>
        <v>0.13333333333333333</v>
      </c>
      <c r="X41" s="1301">
        <f>_xlfn.IFS(V41=0,0,W41&lt;=V41,W41/V41,W41&gt;V41,1)</f>
        <v>6.6666666666666666E-2</v>
      </c>
      <c r="Y41" s="929"/>
      <c r="Z41" s="1226">
        <v>0</v>
      </c>
      <c r="AA41" s="906">
        <f>Z41/Z20</f>
        <v>0</v>
      </c>
      <c r="AB41" s="1301">
        <f>_xlfn.IFS(Z41=0,0,AA41&lt;=Z41,AA41/Z41,AA41&gt;Z41,1)</f>
        <v>0</v>
      </c>
      <c r="AC41" s="929"/>
      <c r="AD41" s="1226">
        <v>0</v>
      </c>
      <c r="AE41" s="906">
        <f>AD41/AD20</f>
        <v>0</v>
      </c>
      <c r="AF41" s="1301">
        <f>_xlfn.IFS(AD41=0,0,AE41&lt;=AD41,AE41/AD41,AE41&gt;AD41,1)</f>
        <v>0</v>
      </c>
      <c r="AG41" s="929"/>
      <c r="AH41" s="1226">
        <v>1</v>
      </c>
      <c r="AI41" s="906">
        <f>AH41/AH20</f>
        <v>6.6666666666666666E-2</v>
      </c>
      <c r="AJ41" s="1301">
        <f>_xlfn.IFS(AH41=0,0,AI41&lt;=AH41,AI41/AH41,AI41&gt;AH41,1)</f>
        <v>6.6666666666666666E-2</v>
      </c>
      <c r="AK41" s="929"/>
      <c r="AL41" s="1226">
        <v>1</v>
      </c>
      <c r="AM41" s="906">
        <f>AL41/AL20</f>
        <v>6.6666666666666666E-2</v>
      </c>
      <c r="AN41" s="1301">
        <f>_xlfn.IFS(AL41=0,0,AM41&lt;=AL41,AM41/AL41,AM41&gt;AL41,1)</f>
        <v>6.6666666666666666E-2</v>
      </c>
      <c r="AO41" s="929"/>
      <c r="AP41" s="1226">
        <v>1</v>
      </c>
      <c r="AQ41" s="906">
        <f>AP41/AP20</f>
        <v>6.6666666666666666E-2</v>
      </c>
      <c r="AR41" s="1301">
        <f>_xlfn.IFS(AP41=0,0,AQ41&lt;=AP41,AQ41/AP41,AQ41&gt;AP41,1)</f>
        <v>6.6666666666666666E-2</v>
      </c>
      <c r="AS41" s="929"/>
      <c r="AT41" s="1226">
        <v>1</v>
      </c>
      <c r="AU41" s="906">
        <f>AT41/AT20</f>
        <v>6.6666666666666666E-2</v>
      </c>
      <c r="AV41" s="1301">
        <f>_xlfn.IFS(AT41=0,0,AU41&lt;=AT41,AU41/AT41,AU41&gt;AT41,1)</f>
        <v>6.6666666666666666E-2</v>
      </c>
      <c r="AW41" s="929"/>
      <c r="AX41" s="1226">
        <v>1</v>
      </c>
      <c r="AY41" s="906">
        <f>AX41/AX20</f>
        <v>6.6666666666666666E-2</v>
      </c>
      <c r="AZ41" s="1301">
        <f>_xlfn.IFS(AX41=0,0,AY41&lt;=AX41,AY41/AX41,AY41&gt;AX41,1)</f>
        <v>6.6666666666666666E-2</v>
      </c>
      <c r="BA41" s="929"/>
      <c r="BB41" s="1226">
        <v>1</v>
      </c>
      <c r="BC41" s="906">
        <f>BB41/BB20</f>
        <v>6.6666666666666666E-2</v>
      </c>
      <c r="BD41" s="1301">
        <f>_xlfn.IFS(BB41=0,0,BC41&lt;=BB41,BC41/BB41,BC41&gt;BB41,1)</f>
        <v>6.6666666666666666E-2</v>
      </c>
      <c r="BE41" s="929"/>
      <c r="BF41" s="1226">
        <v>1</v>
      </c>
      <c r="BG41" s="906">
        <f>BF41/BF20</f>
        <v>6.6666666666666666E-2</v>
      </c>
      <c r="BH41" s="1301">
        <f>_xlfn.IFS(BF41=0,0,BG41&lt;=BF41,BG41/BF41,BG41&gt;BF41,1)</f>
        <v>6.6666666666666666E-2</v>
      </c>
      <c r="BI41" s="929"/>
      <c r="BJ41" s="1226">
        <v>1</v>
      </c>
      <c r="BK41" s="906">
        <f>BJ41/BJ20</f>
        <v>6.6666666666666666E-2</v>
      </c>
      <c r="BL41" s="1301">
        <f>_xlfn.IFS(BJ41=0,0,BK41&lt;=BJ41,BK41/BJ41,BK41&gt;BJ41,1)</f>
        <v>6.6666666666666666E-2</v>
      </c>
      <c r="BM41" s="929"/>
      <c r="BN41" s="1226">
        <v>1</v>
      </c>
      <c r="BO41" s="906">
        <f>BN41/BN20</f>
        <v>6.6666666666666666E-2</v>
      </c>
      <c r="BP41" s="1301">
        <f>_xlfn.IFS(BN41=0,0,BO41&lt;=BN41,BO41/BN41,BO41&gt;BN41,1)</f>
        <v>6.6666666666666666E-2</v>
      </c>
      <c r="BQ41" s="929"/>
      <c r="BR41" s="1226">
        <v>1</v>
      </c>
      <c r="BS41" s="906">
        <f>BR41/BR20</f>
        <v>6.6666666666666666E-2</v>
      </c>
      <c r="BT41" s="1301">
        <f>_xlfn.IFS(BR41=0,0,BS41&lt;=BR41,BS41/BR41,BS41&gt;BR41,1)</f>
        <v>6.6666666666666666E-2</v>
      </c>
      <c r="BU41" s="929"/>
      <c r="BV41" s="1226">
        <v>1</v>
      </c>
      <c r="BW41" s="906">
        <f>BV41/BV20</f>
        <v>6.6666666666666666E-2</v>
      </c>
      <c r="BX41" s="1301">
        <f>_xlfn.IFS(BV41=0,0,BW41&lt;=BV41,BW41/BV41,BW41&gt;BV41,1)</f>
        <v>6.6666666666666666E-2</v>
      </c>
      <c r="BY41" s="929"/>
      <c r="BZ41" s="1226">
        <v>1</v>
      </c>
      <c r="CA41" s="906">
        <f>BZ41/BZ20</f>
        <v>6.6666666666666666E-2</v>
      </c>
      <c r="CB41" s="1301">
        <f>_xlfn.IFS(BZ41=0,0,CA41&lt;=BZ41,CA41/BZ41,CA41&gt;BZ41,1)</f>
        <v>6.6666666666666666E-2</v>
      </c>
      <c r="CC41" s="929"/>
      <c r="CD41" s="1226">
        <v>1</v>
      </c>
      <c r="CE41" s="906">
        <f>CD41/CD20</f>
        <v>6.6666666666666666E-2</v>
      </c>
      <c r="CF41" s="1301">
        <f>_xlfn.IFS(CD41=0,0,CE41&lt;=CD41,CE41/CD41,CE41&gt;CD41,1)</f>
        <v>6.6666666666666666E-2</v>
      </c>
      <c r="CG41" s="929"/>
      <c r="CH41" s="1226">
        <v>1</v>
      </c>
      <c r="CI41" s="906">
        <f>CH41/CH20</f>
        <v>6.6666666666666666E-2</v>
      </c>
      <c r="CJ41" s="1301">
        <f>_xlfn.IFS(CH41=0,0,CI41&lt;=CH41,CI41/CH41,CI41&gt;CH41,1)</f>
        <v>6.6666666666666666E-2</v>
      </c>
      <c r="CK41" s="929"/>
      <c r="CL41" s="1226">
        <v>1</v>
      </c>
      <c r="CM41" s="906">
        <f>CL41/CL20</f>
        <v>6.6666666666666666E-2</v>
      </c>
      <c r="CN41" s="1301">
        <f>_xlfn.IFS(CL41=0,0,CM41&lt;=CL41,CM41/CL41,CM41&gt;CL41,1)</f>
        <v>6.6666666666666666E-2</v>
      </c>
      <c r="CO41" s="929"/>
      <c r="CP41" s="1226">
        <v>1</v>
      </c>
      <c r="CQ41" s="906">
        <f>CP41/CP20</f>
        <v>6.6666666666666666E-2</v>
      </c>
      <c r="CR41" s="1301">
        <f>_xlfn.IFS(CP41=0,0,CQ41&lt;=CP41,CQ41/CP41,CQ41&gt;CP41,1)</f>
        <v>6.6666666666666666E-2</v>
      </c>
      <c r="CS41" s="929"/>
      <c r="CT41" s="1226">
        <v>1</v>
      </c>
      <c r="CU41" s="906">
        <f>CT41/CT20</f>
        <v>6.6666666666666666E-2</v>
      </c>
      <c r="CV41" s="1301">
        <f>_xlfn.IFS(CT41=0,0,CU41&lt;=CT41,CU41/CT41,CU41&gt;CT41,1)</f>
        <v>6.6666666666666666E-2</v>
      </c>
      <c r="CW41" s="929"/>
      <c r="CX41" s="1226">
        <v>1</v>
      </c>
      <c r="CY41" s="906">
        <f>CX41/CX20</f>
        <v>6.6666666666666666E-2</v>
      </c>
      <c r="CZ41" s="1301">
        <f>_xlfn.IFS(CX41=0,0,CY41&lt;=CX41,CY41/CX41,CY41&gt;CX41,1)</f>
        <v>6.6666666666666666E-2</v>
      </c>
      <c r="DA41" s="929"/>
      <c r="DB41" s="1226">
        <v>1</v>
      </c>
      <c r="DC41" s="906">
        <f>DB41/DB20</f>
        <v>6.6666666666666666E-2</v>
      </c>
      <c r="DD41" s="1301">
        <f>_xlfn.IFS(DB41=0,0,DC41&lt;=DB41,DC41/DB41,DC41&gt;DB41,1)</f>
        <v>6.6666666666666666E-2</v>
      </c>
      <c r="DE41" s="929"/>
      <c r="DF41" s="1226">
        <v>1</v>
      </c>
      <c r="DG41" s="906">
        <f>DF41/DF20</f>
        <v>6.6666666666666666E-2</v>
      </c>
      <c r="DH41" s="1301">
        <f>_xlfn.IFS(DF41=0,0,DG41&lt;=DF41,DG41/DF41,DG41&gt;DF41,1)</f>
        <v>6.6666666666666666E-2</v>
      </c>
      <c r="DI41" s="929"/>
      <c r="DJ41" s="1226">
        <v>1</v>
      </c>
      <c r="DK41" s="906">
        <f>DJ41/DJ20</f>
        <v>6.6666666666666666E-2</v>
      </c>
      <c r="DL41" s="1301">
        <f>_xlfn.IFS(DJ41=0,0,DK41&lt;=DJ41,DK41/DJ41,DK41&gt;DJ41,1)</f>
        <v>6.6666666666666666E-2</v>
      </c>
      <c r="DM41" s="929"/>
      <c r="DN41" s="1226">
        <v>1</v>
      </c>
      <c r="DO41" s="906">
        <f>DN41/DN20</f>
        <v>6.6666666666666666E-2</v>
      </c>
      <c r="DP41" s="1301">
        <f>_xlfn.IFS(DN41=0,0,DO41&lt;=DN41,DO41/DN41,DO41&gt;DN41,1)</f>
        <v>6.6666666666666666E-2</v>
      </c>
      <c r="DQ41" s="929"/>
      <c r="DR41" s="1226">
        <v>1</v>
      </c>
      <c r="DS41" s="906">
        <f>DR41/DR20</f>
        <v>6.6666666666666666E-2</v>
      </c>
      <c r="DT41" s="1301">
        <f>_xlfn.IFS(DR41=0,0,DS41&lt;=DR41,DS41/DR41,DS41&gt;DR41,1)</f>
        <v>6.6666666666666666E-2</v>
      </c>
      <c r="DU41" s="929"/>
      <c r="DV41" s="1226">
        <v>1</v>
      </c>
      <c r="DW41" s="906">
        <f>DV41/DV20</f>
        <v>6.6666666666666666E-2</v>
      </c>
      <c r="DX41" s="1301">
        <f>_xlfn.IFS(DV41=0,0,DW41&lt;=DV41,DW41/DV41,DW41&gt;DV41,1)</f>
        <v>6.6666666666666666E-2</v>
      </c>
      <c r="DY41" s="929"/>
      <c r="DZ41" s="1226">
        <v>1</v>
      </c>
      <c r="EA41" s="906">
        <f>DZ41/DZ20</f>
        <v>6.6666666666666666E-2</v>
      </c>
      <c r="EB41" s="1301">
        <f>_xlfn.IFS(DZ41=0,0,EA41&lt;=DZ41,EA41/DZ41,EA41&gt;DZ41,1)</f>
        <v>6.6666666666666666E-2</v>
      </c>
      <c r="EC41" s="929"/>
      <c r="ED41" s="1226">
        <v>1</v>
      </c>
      <c r="EE41" s="906">
        <f>ED41/ED20</f>
        <v>6.6666666666666666E-2</v>
      </c>
      <c r="EF41" s="1301">
        <f>_xlfn.IFS(ED41=0,0,EE41&lt;=ED41,EE41/ED41,EE41&gt;ED41,1)</f>
        <v>6.6666666666666666E-2</v>
      </c>
    </row>
    <row r="42" spans="1:136" ht="20" customHeight="1" x14ac:dyDescent="0.15">
      <c r="A42" s="189">
        <f t="shared" si="308"/>
        <v>0</v>
      </c>
      <c r="B42" s="950"/>
      <c r="C42" s="391" t="str">
        <f>Dashboard!K111</f>
        <v>LANDING PAGE</v>
      </c>
      <c r="D42" s="208">
        <f>Dashboard!M111</f>
        <v>3.4999999999999996E-2</v>
      </c>
      <c r="E42" s="1088">
        <f>IF(SUMIF($M$13:$EF$13,$N$13,M42:EF42)&gt;0,SUMIF($M$13:$EF$13,$O$13,M42:EF42)/SUMIF($M$13:$EF$13,$N$13,M42:EF42),0)</f>
        <v>8.3333333333333329E-2</v>
      </c>
      <c r="F42" s="208">
        <f t="shared" ref="F42:F46" si="309">D42-E42</f>
        <v>-4.8333333333333332E-2</v>
      </c>
      <c r="G42" s="208">
        <f t="shared" ref="G42:G46" si="310">_xlfn.IFS(F42&gt;=0,1,F42&lt;0,D42/E42)</f>
        <v>0.42</v>
      </c>
      <c r="H42" s="935"/>
      <c r="I42" s="935"/>
      <c r="J42" s="935"/>
      <c r="K42" s="831"/>
      <c r="L42" s="945"/>
      <c r="M42" s="929"/>
      <c r="N42" s="1226">
        <v>0</v>
      </c>
      <c r="O42" s="906">
        <f>N42/N26</f>
        <v>0</v>
      </c>
      <c r="P42" s="1227">
        <f>_xlfn.IFS(N42=0,0,O42&lt;=N42,O42/N42,O42&gt;N42,1)</f>
        <v>0</v>
      </c>
      <c r="Q42" s="929"/>
      <c r="R42" s="1226">
        <v>2</v>
      </c>
      <c r="S42" s="906">
        <f>R42/R26</f>
        <v>0.16666666666666666</v>
      </c>
      <c r="T42" s="1301">
        <f>_xlfn.IFS(R42=0,0,S42&lt;=R42,S42/R42,S42&gt;R42,1)</f>
        <v>8.3333333333333329E-2</v>
      </c>
      <c r="U42" s="929"/>
      <c r="V42" s="1226">
        <v>2</v>
      </c>
      <c r="W42" s="906">
        <f>V42/V26</f>
        <v>0.16666666666666666</v>
      </c>
      <c r="X42" s="1301">
        <f>_xlfn.IFS(V42=0,0,W42&lt;=V42,W42/V42,W42&gt;V42,1)</f>
        <v>8.3333333333333329E-2</v>
      </c>
      <c r="Y42" s="929"/>
      <c r="Z42" s="1226">
        <v>1</v>
      </c>
      <c r="AA42" s="906">
        <f>Z42/Z26</f>
        <v>8.3333333333333329E-2</v>
      </c>
      <c r="AB42" s="1301">
        <f>_xlfn.IFS(Z42=0,0,AA42&lt;=Z42,AA42/Z42,AA42&gt;Z42,1)</f>
        <v>8.3333333333333329E-2</v>
      </c>
      <c r="AC42" s="929"/>
      <c r="AD42" s="1226">
        <v>3</v>
      </c>
      <c r="AE42" s="906">
        <f>AD42/AD26</f>
        <v>0.25</v>
      </c>
      <c r="AF42" s="1301">
        <f>_xlfn.IFS(AD42=0,0,AE42&lt;=AD42,AE42/AD42,AE42&gt;AD42,1)</f>
        <v>8.3333333333333329E-2</v>
      </c>
      <c r="AG42" s="929"/>
      <c r="AH42" s="1226">
        <v>3</v>
      </c>
      <c r="AI42" s="906">
        <f>AH42/AH26</f>
        <v>0.25</v>
      </c>
      <c r="AJ42" s="1301">
        <f>_xlfn.IFS(AH42=0,0,AI42&lt;=AH42,AI42/AH42,AI42&gt;AH42,1)</f>
        <v>8.3333333333333329E-2</v>
      </c>
      <c r="AK42" s="929"/>
      <c r="AL42" s="1226">
        <v>3</v>
      </c>
      <c r="AM42" s="906">
        <f>AL42/AL26</f>
        <v>0.25</v>
      </c>
      <c r="AN42" s="1301">
        <f>_xlfn.IFS(AL42=0,0,AM42&lt;=AL42,AM42/AL42,AM42&gt;AL42,1)</f>
        <v>8.3333333333333329E-2</v>
      </c>
      <c r="AO42" s="929"/>
      <c r="AP42" s="1226">
        <v>3</v>
      </c>
      <c r="AQ42" s="906">
        <f>AP42/AP26</f>
        <v>0.25</v>
      </c>
      <c r="AR42" s="1301">
        <f>_xlfn.IFS(AP42=0,0,AQ42&lt;=AP42,AQ42/AP42,AQ42&gt;AP42,1)</f>
        <v>8.3333333333333329E-2</v>
      </c>
      <c r="AS42" s="929"/>
      <c r="AT42" s="1226">
        <v>3</v>
      </c>
      <c r="AU42" s="906">
        <f>AT42/AT26</f>
        <v>0.25</v>
      </c>
      <c r="AV42" s="1301">
        <f>_xlfn.IFS(AT42=0,0,AU42&lt;=AT42,AU42/AT42,AU42&gt;AT42,1)</f>
        <v>8.3333333333333329E-2</v>
      </c>
      <c r="AW42" s="929"/>
      <c r="AX42" s="1226">
        <v>3</v>
      </c>
      <c r="AY42" s="906">
        <f>AX42/AX26</f>
        <v>0.25</v>
      </c>
      <c r="AZ42" s="1301">
        <f>_xlfn.IFS(AX42=0,0,AY42&lt;=AX42,AY42/AX42,AY42&gt;AX42,1)</f>
        <v>8.3333333333333329E-2</v>
      </c>
      <c r="BA42" s="929"/>
      <c r="BB42" s="1226">
        <v>3</v>
      </c>
      <c r="BC42" s="906">
        <f>BB42/BB26</f>
        <v>0.25</v>
      </c>
      <c r="BD42" s="1301">
        <f>_xlfn.IFS(BB42=0,0,BC42&lt;=BB42,BC42/BB42,BC42&gt;BB42,1)</f>
        <v>8.3333333333333329E-2</v>
      </c>
      <c r="BE42" s="929"/>
      <c r="BF42" s="1226">
        <v>3</v>
      </c>
      <c r="BG42" s="906">
        <f>BF42/BF26</f>
        <v>0.25</v>
      </c>
      <c r="BH42" s="1301">
        <f>_xlfn.IFS(BF42=0,0,BG42&lt;=BF42,BG42/BF42,BG42&gt;BF42,1)</f>
        <v>8.3333333333333329E-2</v>
      </c>
      <c r="BI42" s="929"/>
      <c r="BJ42" s="1226">
        <v>3</v>
      </c>
      <c r="BK42" s="906">
        <f>BJ42/BJ26</f>
        <v>0.25</v>
      </c>
      <c r="BL42" s="1301">
        <f>_xlfn.IFS(BJ42=0,0,BK42&lt;=BJ42,BK42/BJ42,BK42&gt;BJ42,1)</f>
        <v>8.3333333333333329E-2</v>
      </c>
      <c r="BM42" s="929"/>
      <c r="BN42" s="1226">
        <v>3</v>
      </c>
      <c r="BO42" s="906">
        <f>BN42/BN26</f>
        <v>0.25</v>
      </c>
      <c r="BP42" s="1301">
        <f>_xlfn.IFS(BN42=0,0,BO42&lt;=BN42,BO42/BN42,BO42&gt;BN42,1)</f>
        <v>8.3333333333333329E-2</v>
      </c>
      <c r="BQ42" s="929"/>
      <c r="BR42" s="1226">
        <v>3</v>
      </c>
      <c r="BS42" s="906">
        <f>BR42/BR26</f>
        <v>0.25</v>
      </c>
      <c r="BT42" s="1301">
        <f>_xlfn.IFS(BR42=0,0,BS42&lt;=BR42,BS42/BR42,BS42&gt;BR42,1)</f>
        <v>8.3333333333333329E-2</v>
      </c>
      <c r="BU42" s="929"/>
      <c r="BV42" s="1226">
        <v>3</v>
      </c>
      <c r="BW42" s="906">
        <f>BV42/BV26</f>
        <v>0.25</v>
      </c>
      <c r="BX42" s="1301">
        <f>_xlfn.IFS(BV42=0,0,BW42&lt;=BV42,BW42/BV42,BW42&gt;BV42,1)</f>
        <v>8.3333333333333329E-2</v>
      </c>
      <c r="BY42" s="929"/>
      <c r="BZ42" s="1226">
        <v>3</v>
      </c>
      <c r="CA42" s="906">
        <f>BZ42/BZ26</f>
        <v>0.25</v>
      </c>
      <c r="CB42" s="1301">
        <f>_xlfn.IFS(BZ42=0,0,CA42&lt;=BZ42,CA42/BZ42,CA42&gt;BZ42,1)</f>
        <v>8.3333333333333329E-2</v>
      </c>
      <c r="CC42" s="929"/>
      <c r="CD42" s="1226">
        <v>3</v>
      </c>
      <c r="CE42" s="906">
        <f>CD42/CD26</f>
        <v>0.25</v>
      </c>
      <c r="CF42" s="1301">
        <f>_xlfn.IFS(CD42=0,0,CE42&lt;=CD42,CE42/CD42,CE42&gt;CD42,1)</f>
        <v>8.3333333333333329E-2</v>
      </c>
      <c r="CG42" s="929"/>
      <c r="CH42" s="1226">
        <v>3</v>
      </c>
      <c r="CI42" s="906">
        <f>CH42/CH26</f>
        <v>0.25</v>
      </c>
      <c r="CJ42" s="1301">
        <f>_xlfn.IFS(CH42=0,0,CI42&lt;=CH42,CI42/CH42,CI42&gt;CH42,1)</f>
        <v>8.3333333333333329E-2</v>
      </c>
      <c r="CK42" s="929"/>
      <c r="CL42" s="1226">
        <v>3</v>
      </c>
      <c r="CM42" s="906">
        <f>CL42/CL26</f>
        <v>0.25</v>
      </c>
      <c r="CN42" s="1301">
        <f>_xlfn.IFS(CL42=0,0,CM42&lt;=CL42,CM42/CL42,CM42&gt;CL42,1)</f>
        <v>8.3333333333333329E-2</v>
      </c>
      <c r="CO42" s="929"/>
      <c r="CP42" s="1226">
        <v>3</v>
      </c>
      <c r="CQ42" s="906">
        <f>CP42/CP26</f>
        <v>0.25</v>
      </c>
      <c r="CR42" s="1301">
        <f>_xlfn.IFS(CP42=0,0,CQ42&lt;=CP42,CQ42/CP42,CQ42&gt;CP42,1)</f>
        <v>8.3333333333333329E-2</v>
      </c>
      <c r="CS42" s="929"/>
      <c r="CT42" s="1226">
        <v>3</v>
      </c>
      <c r="CU42" s="906">
        <f>CT42/CT26</f>
        <v>0.25</v>
      </c>
      <c r="CV42" s="1301">
        <f>_xlfn.IFS(CT42=0,0,CU42&lt;=CT42,CU42/CT42,CU42&gt;CT42,1)</f>
        <v>8.3333333333333329E-2</v>
      </c>
      <c r="CW42" s="929"/>
      <c r="CX42" s="1226">
        <v>3</v>
      </c>
      <c r="CY42" s="906">
        <f>CX42/CX26</f>
        <v>0.25</v>
      </c>
      <c r="CZ42" s="1301">
        <f>_xlfn.IFS(CX42=0,0,CY42&lt;=CX42,CY42/CX42,CY42&gt;CX42,1)</f>
        <v>8.3333333333333329E-2</v>
      </c>
      <c r="DA42" s="929"/>
      <c r="DB42" s="1226">
        <v>3</v>
      </c>
      <c r="DC42" s="906">
        <f>DB42/DB26</f>
        <v>0.25</v>
      </c>
      <c r="DD42" s="1301">
        <f>_xlfn.IFS(DB42=0,0,DC42&lt;=DB42,DC42/DB42,DC42&gt;DB42,1)</f>
        <v>8.3333333333333329E-2</v>
      </c>
      <c r="DE42" s="929"/>
      <c r="DF42" s="1226">
        <v>3</v>
      </c>
      <c r="DG42" s="906">
        <f>DF42/DF26</f>
        <v>0.25</v>
      </c>
      <c r="DH42" s="1301">
        <f>_xlfn.IFS(DF42=0,0,DG42&lt;=DF42,DG42/DF42,DG42&gt;DF42,1)</f>
        <v>8.3333333333333329E-2</v>
      </c>
      <c r="DI42" s="929"/>
      <c r="DJ42" s="1226">
        <v>3</v>
      </c>
      <c r="DK42" s="906">
        <f>DJ42/DJ26</f>
        <v>0.25</v>
      </c>
      <c r="DL42" s="1301">
        <f>_xlfn.IFS(DJ42=0,0,DK42&lt;=DJ42,DK42/DJ42,DK42&gt;DJ42,1)</f>
        <v>8.3333333333333329E-2</v>
      </c>
      <c r="DM42" s="929"/>
      <c r="DN42" s="1226">
        <v>3</v>
      </c>
      <c r="DO42" s="906">
        <f>DN42/DN26</f>
        <v>0.25</v>
      </c>
      <c r="DP42" s="1301">
        <f>_xlfn.IFS(DN42=0,0,DO42&lt;=DN42,DO42/DN42,DO42&gt;DN42,1)</f>
        <v>8.3333333333333329E-2</v>
      </c>
      <c r="DQ42" s="929"/>
      <c r="DR42" s="1226">
        <v>3</v>
      </c>
      <c r="DS42" s="906">
        <f>DR42/DR26</f>
        <v>0.25</v>
      </c>
      <c r="DT42" s="1301">
        <f>_xlfn.IFS(DR42=0,0,DS42&lt;=DR42,DS42/DR42,DS42&gt;DR42,1)</f>
        <v>8.3333333333333329E-2</v>
      </c>
      <c r="DU42" s="929"/>
      <c r="DV42" s="1226">
        <v>3</v>
      </c>
      <c r="DW42" s="906">
        <f>DV42/DV26</f>
        <v>0.25</v>
      </c>
      <c r="DX42" s="1301">
        <f>_xlfn.IFS(DV42=0,0,DW42&lt;=DV42,DW42/DV42,DW42&gt;DV42,1)</f>
        <v>8.3333333333333329E-2</v>
      </c>
      <c r="DY42" s="929"/>
      <c r="DZ42" s="1226">
        <v>3</v>
      </c>
      <c r="EA42" s="906">
        <f>DZ42/DZ26</f>
        <v>0.25</v>
      </c>
      <c r="EB42" s="1301">
        <f>_xlfn.IFS(DZ42=0,0,EA42&lt;=DZ42,EA42/DZ42,EA42&gt;DZ42,1)</f>
        <v>8.3333333333333329E-2</v>
      </c>
      <c r="EC42" s="929"/>
      <c r="ED42" s="1226">
        <v>3</v>
      </c>
      <c r="EE42" s="906">
        <f>ED42/ED26</f>
        <v>0.25</v>
      </c>
      <c r="EF42" s="1301">
        <f>_xlfn.IFS(ED42=0,0,EE42&lt;=ED42,EE42/ED42,EE42&gt;ED42,1)</f>
        <v>8.3333333333333329E-2</v>
      </c>
    </row>
    <row r="43" spans="1:136" ht="20" customHeight="1" x14ac:dyDescent="0.15">
      <c r="A43" s="189">
        <f t="shared" si="308"/>
        <v>0</v>
      </c>
      <c r="B43" s="950"/>
      <c r="C43" s="391" t="str">
        <f>Dashboard!K112</f>
        <v>WEBSITE</v>
      </c>
      <c r="D43" s="208">
        <f>Dashboard!M112</f>
        <v>3.4999999999999996E-2</v>
      </c>
      <c r="E43" s="1088">
        <f>IF(SUMIF($M$13:$EF$13,$N$13,M43:EF43)&gt;0,SUMIF($M$13:$EF$13,$O$13,M43:EF43)/SUMIF($M$13:$EF$13,$N$13,M43:EF43),0)</f>
        <v>0.33333333333333331</v>
      </c>
      <c r="F43" s="208">
        <f t="shared" si="309"/>
        <v>-0.29833333333333334</v>
      </c>
      <c r="G43" s="208">
        <f t="shared" si="310"/>
        <v>0.105</v>
      </c>
      <c r="H43" s="935"/>
      <c r="I43" s="935"/>
      <c r="J43" s="935"/>
      <c r="K43" s="831"/>
      <c r="L43" s="945"/>
      <c r="M43" s="929"/>
      <c r="N43" s="1226">
        <v>0</v>
      </c>
      <c r="O43" s="906">
        <f>N43/N32</f>
        <v>0</v>
      </c>
      <c r="P43" s="1227">
        <f t="shared" ref="P43" si="311">_xlfn.IFS(N43=0,0,O43&lt;=N43,O43/N43,O43&gt;N43,1)</f>
        <v>0</v>
      </c>
      <c r="Q43" s="929"/>
      <c r="R43" s="1226">
        <v>0</v>
      </c>
      <c r="S43" s="906">
        <f>R43/R32</f>
        <v>0</v>
      </c>
      <c r="T43" s="1301">
        <f t="shared" ref="T43" si="312">_xlfn.IFS(R43=0,0,S43&lt;=R43,S43/R43,S43&gt;R43,1)</f>
        <v>0</v>
      </c>
      <c r="U43" s="929"/>
      <c r="V43" s="1226">
        <v>0</v>
      </c>
      <c r="W43" s="906">
        <f>V43/V32</f>
        <v>0</v>
      </c>
      <c r="X43" s="1301">
        <f t="shared" ref="X43" si="313">_xlfn.IFS(V43=0,0,W43&lt;=V43,W43/V43,W43&gt;V43,1)</f>
        <v>0</v>
      </c>
      <c r="Y43" s="929"/>
      <c r="Z43" s="1226">
        <v>1</v>
      </c>
      <c r="AA43" s="906">
        <f>Z43/Z32</f>
        <v>0.33333333333333331</v>
      </c>
      <c r="AB43" s="1301">
        <f t="shared" ref="AB43" si="314">_xlfn.IFS(Z43=0,0,AA43&lt;=Z43,AA43/Z43,AA43&gt;Z43,1)</f>
        <v>0.33333333333333331</v>
      </c>
      <c r="AC43" s="929"/>
      <c r="AD43" s="1226">
        <v>1</v>
      </c>
      <c r="AE43" s="906">
        <f>AD43/AD32</f>
        <v>0.33333333333333331</v>
      </c>
      <c r="AF43" s="1301">
        <f t="shared" ref="AF43" si="315">_xlfn.IFS(AD43=0,0,AE43&lt;=AD43,AE43/AD43,AE43&gt;AD43,1)</f>
        <v>0.33333333333333331</v>
      </c>
      <c r="AG43" s="929"/>
      <c r="AH43" s="1226">
        <v>1</v>
      </c>
      <c r="AI43" s="906">
        <f>AH43/AH32</f>
        <v>0.33333333333333331</v>
      </c>
      <c r="AJ43" s="1301">
        <f t="shared" ref="AJ43" si="316">_xlfn.IFS(AH43=0,0,AI43&lt;=AH43,AI43/AH43,AI43&gt;AH43,1)</f>
        <v>0.33333333333333331</v>
      </c>
      <c r="AK43" s="929"/>
      <c r="AL43" s="1226">
        <v>1</v>
      </c>
      <c r="AM43" s="906">
        <f>AL43/AL32</f>
        <v>0.33333333333333331</v>
      </c>
      <c r="AN43" s="1301">
        <f t="shared" ref="AN43" si="317">_xlfn.IFS(AL43=0,0,AM43&lt;=AL43,AM43/AL43,AM43&gt;AL43,1)</f>
        <v>0.33333333333333331</v>
      </c>
      <c r="AO43" s="929"/>
      <c r="AP43" s="1226">
        <v>1</v>
      </c>
      <c r="AQ43" s="906">
        <f>AP43/AP32</f>
        <v>0.33333333333333331</v>
      </c>
      <c r="AR43" s="1301">
        <f t="shared" ref="AR43" si="318">_xlfn.IFS(AP43=0,0,AQ43&lt;=AP43,AQ43/AP43,AQ43&gt;AP43,1)</f>
        <v>0.33333333333333331</v>
      </c>
      <c r="AS43" s="929"/>
      <c r="AT43" s="1226">
        <v>1</v>
      </c>
      <c r="AU43" s="906">
        <f>AT43/AT32</f>
        <v>0.33333333333333331</v>
      </c>
      <c r="AV43" s="1301">
        <f t="shared" ref="AV43" si="319">_xlfn.IFS(AT43=0,0,AU43&lt;=AT43,AU43/AT43,AU43&gt;AT43,1)</f>
        <v>0.33333333333333331</v>
      </c>
      <c r="AW43" s="929"/>
      <c r="AX43" s="1226">
        <v>1</v>
      </c>
      <c r="AY43" s="906">
        <f>AX43/AX32</f>
        <v>0.33333333333333331</v>
      </c>
      <c r="AZ43" s="1301">
        <f t="shared" ref="AZ43" si="320">_xlfn.IFS(AX43=0,0,AY43&lt;=AX43,AY43/AX43,AY43&gt;AX43,1)</f>
        <v>0.33333333333333331</v>
      </c>
      <c r="BA43" s="929"/>
      <c r="BB43" s="1226">
        <v>1</v>
      </c>
      <c r="BC43" s="906">
        <f>BB43/BB32</f>
        <v>0.33333333333333331</v>
      </c>
      <c r="BD43" s="1301">
        <f t="shared" ref="BD43" si="321">_xlfn.IFS(BB43=0,0,BC43&lt;=BB43,BC43/BB43,BC43&gt;BB43,1)</f>
        <v>0.33333333333333331</v>
      </c>
      <c r="BE43" s="929"/>
      <c r="BF43" s="1226">
        <v>1</v>
      </c>
      <c r="BG43" s="906">
        <f>BF43/BF32</f>
        <v>0.33333333333333331</v>
      </c>
      <c r="BH43" s="1301">
        <f t="shared" ref="BH43" si="322">_xlfn.IFS(BF43=0,0,BG43&lt;=BF43,BG43/BF43,BG43&gt;BF43,1)</f>
        <v>0.33333333333333331</v>
      </c>
      <c r="BI43" s="929"/>
      <c r="BJ43" s="1226">
        <v>1</v>
      </c>
      <c r="BK43" s="906">
        <f>BJ43/BJ32</f>
        <v>0.33333333333333331</v>
      </c>
      <c r="BL43" s="1301">
        <f t="shared" ref="BL43" si="323">_xlfn.IFS(BJ43=0,0,BK43&lt;=BJ43,BK43/BJ43,BK43&gt;BJ43,1)</f>
        <v>0.33333333333333331</v>
      </c>
      <c r="BM43" s="929"/>
      <c r="BN43" s="1226">
        <v>1</v>
      </c>
      <c r="BO43" s="906">
        <f>BN43/BN32</f>
        <v>0.33333333333333331</v>
      </c>
      <c r="BP43" s="1301">
        <f t="shared" ref="BP43" si="324">_xlfn.IFS(BN43=0,0,BO43&lt;=BN43,BO43/BN43,BO43&gt;BN43,1)</f>
        <v>0.33333333333333331</v>
      </c>
      <c r="BQ43" s="929"/>
      <c r="BR43" s="1226">
        <v>1</v>
      </c>
      <c r="BS43" s="906">
        <f>BR43/BR32</f>
        <v>0.33333333333333331</v>
      </c>
      <c r="BT43" s="1301">
        <f t="shared" ref="BT43" si="325">_xlfn.IFS(BR43=0,0,BS43&lt;=BR43,BS43/BR43,BS43&gt;BR43,1)</f>
        <v>0.33333333333333331</v>
      </c>
      <c r="BU43" s="929"/>
      <c r="BV43" s="1226">
        <v>1</v>
      </c>
      <c r="BW43" s="906">
        <f>BV43/BV32</f>
        <v>0.33333333333333331</v>
      </c>
      <c r="BX43" s="1301">
        <f t="shared" ref="BX43" si="326">_xlfn.IFS(BV43=0,0,BW43&lt;=BV43,BW43/BV43,BW43&gt;BV43,1)</f>
        <v>0.33333333333333331</v>
      </c>
      <c r="BY43" s="929"/>
      <c r="BZ43" s="1226">
        <v>1</v>
      </c>
      <c r="CA43" s="906">
        <f>BZ43/BZ32</f>
        <v>0.33333333333333331</v>
      </c>
      <c r="CB43" s="1301">
        <f t="shared" ref="CB43" si="327">_xlfn.IFS(BZ43=0,0,CA43&lt;=BZ43,CA43/BZ43,CA43&gt;BZ43,1)</f>
        <v>0.33333333333333331</v>
      </c>
      <c r="CC43" s="929"/>
      <c r="CD43" s="1226">
        <v>1</v>
      </c>
      <c r="CE43" s="906">
        <f>CD43/CD32</f>
        <v>0.33333333333333331</v>
      </c>
      <c r="CF43" s="1301">
        <f t="shared" ref="CF43" si="328">_xlfn.IFS(CD43=0,0,CE43&lt;=CD43,CE43/CD43,CE43&gt;CD43,1)</f>
        <v>0.33333333333333331</v>
      </c>
      <c r="CG43" s="929"/>
      <c r="CH43" s="1226">
        <v>1</v>
      </c>
      <c r="CI43" s="906">
        <f>CH43/CH32</f>
        <v>0.33333333333333331</v>
      </c>
      <c r="CJ43" s="1301">
        <f t="shared" ref="CJ43" si="329">_xlfn.IFS(CH43=0,0,CI43&lt;=CH43,CI43/CH43,CI43&gt;CH43,1)</f>
        <v>0.33333333333333331</v>
      </c>
      <c r="CK43" s="929"/>
      <c r="CL43" s="1226">
        <v>1</v>
      </c>
      <c r="CM43" s="906">
        <f>CL43/CL32</f>
        <v>0.33333333333333331</v>
      </c>
      <c r="CN43" s="1301">
        <f t="shared" ref="CN43" si="330">_xlfn.IFS(CL43=0,0,CM43&lt;=CL43,CM43/CL43,CM43&gt;CL43,1)</f>
        <v>0.33333333333333331</v>
      </c>
      <c r="CO43" s="929"/>
      <c r="CP43" s="1226">
        <v>1</v>
      </c>
      <c r="CQ43" s="906">
        <f>CP43/CP32</f>
        <v>0.33333333333333331</v>
      </c>
      <c r="CR43" s="1301">
        <f t="shared" ref="CR43" si="331">_xlfn.IFS(CP43=0,0,CQ43&lt;=CP43,CQ43/CP43,CQ43&gt;CP43,1)</f>
        <v>0.33333333333333331</v>
      </c>
      <c r="CS43" s="929"/>
      <c r="CT43" s="1226">
        <v>1</v>
      </c>
      <c r="CU43" s="906">
        <f>CT43/CT32</f>
        <v>0.33333333333333331</v>
      </c>
      <c r="CV43" s="1301">
        <f t="shared" ref="CV43" si="332">_xlfn.IFS(CT43=0,0,CU43&lt;=CT43,CU43/CT43,CU43&gt;CT43,1)</f>
        <v>0.33333333333333331</v>
      </c>
      <c r="CW43" s="929"/>
      <c r="CX43" s="1226">
        <v>1</v>
      </c>
      <c r="CY43" s="906">
        <f>CX43/CX32</f>
        <v>0.33333333333333331</v>
      </c>
      <c r="CZ43" s="1301">
        <f t="shared" ref="CZ43" si="333">_xlfn.IFS(CX43=0,0,CY43&lt;=CX43,CY43/CX43,CY43&gt;CX43,1)</f>
        <v>0.33333333333333331</v>
      </c>
      <c r="DA43" s="929"/>
      <c r="DB43" s="1226">
        <v>1</v>
      </c>
      <c r="DC43" s="906">
        <f>DB43/DB32</f>
        <v>0.33333333333333331</v>
      </c>
      <c r="DD43" s="1301">
        <f t="shared" ref="DD43" si="334">_xlfn.IFS(DB43=0,0,DC43&lt;=DB43,DC43/DB43,DC43&gt;DB43,1)</f>
        <v>0.33333333333333331</v>
      </c>
      <c r="DE43" s="929"/>
      <c r="DF43" s="1226">
        <v>1</v>
      </c>
      <c r="DG43" s="906">
        <f>DF43/DF32</f>
        <v>0.33333333333333331</v>
      </c>
      <c r="DH43" s="1301">
        <f t="shared" ref="DH43" si="335">_xlfn.IFS(DF43=0,0,DG43&lt;=DF43,DG43/DF43,DG43&gt;DF43,1)</f>
        <v>0.33333333333333331</v>
      </c>
      <c r="DI43" s="929"/>
      <c r="DJ43" s="1226">
        <v>1</v>
      </c>
      <c r="DK43" s="906">
        <f>DJ43/DJ32</f>
        <v>0.33333333333333331</v>
      </c>
      <c r="DL43" s="1301">
        <f t="shared" ref="DL43" si="336">_xlfn.IFS(DJ43=0,0,DK43&lt;=DJ43,DK43/DJ43,DK43&gt;DJ43,1)</f>
        <v>0.33333333333333331</v>
      </c>
      <c r="DM43" s="929"/>
      <c r="DN43" s="1226">
        <v>1</v>
      </c>
      <c r="DO43" s="906">
        <f>DN43/DN32</f>
        <v>0.33333333333333331</v>
      </c>
      <c r="DP43" s="1301">
        <f t="shared" ref="DP43" si="337">_xlfn.IFS(DN43=0,0,DO43&lt;=DN43,DO43/DN43,DO43&gt;DN43,1)</f>
        <v>0.33333333333333331</v>
      </c>
      <c r="DQ43" s="929"/>
      <c r="DR43" s="1226">
        <v>1</v>
      </c>
      <c r="DS43" s="906">
        <f>DR43/DR32</f>
        <v>0.33333333333333331</v>
      </c>
      <c r="DT43" s="1301">
        <f t="shared" ref="DT43" si="338">_xlfn.IFS(DR43=0,0,DS43&lt;=DR43,DS43/DR43,DS43&gt;DR43,1)</f>
        <v>0.33333333333333331</v>
      </c>
      <c r="DU43" s="929"/>
      <c r="DV43" s="1226">
        <v>1</v>
      </c>
      <c r="DW43" s="906">
        <f>DV43/DV32</f>
        <v>0.33333333333333331</v>
      </c>
      <c r="DX43" s="1301">
        <f t="shared" ref="DX43" si="339">_xlfn.IFS(DV43=0,0,DW43&lt;=DV43,DW43/DV43,DW43&gt;DV43,1)</f>
        <v>0.33333333333333331</v>
      </c>
      <c r="DY43" s="929"/>
      <c r="DZ43" s="1226">
        <v>1</v>
      </c>
      <c r="EA43" s="906">
        <f>DZ43/DZ32</f>
        <v>0.33333333333333331</v>
      </c>
      <c r="EB43" s="1301">
        <f t="shared" ref="EB43" si="340">_xlfn.IFS(DZ43=0,0,EA43&lt;=DZ43,EA43/DZ43,EA43&gt;DZ43,1)</f>
        <v>0.33333333333333331</v>
      </c>
      <c r="EC43" s="929"/>
      <c r="ED43" s="1226">
        <v>1</v>
      </c>
      <c r="EE43" s="906">
        <f>ED43/ED32</f>
        <v>0.33333333333333331</v>
      </c>
      <c r="EF43" s="1301">
        <f t="shared" ref="EF43" si="341">_xlfn.IFS(ED43=0,0,EE43&lt;=ED43,EE43/ED43,EE43&gt;ED43,1)</f>
        <v>0.33333333333333331</v>
      </c>
    </row>
    <row r="44" spans="1:136" ht="20" customHeight="1" x14ac:dyDescent="0.15">
      <c r="A44" s="189">
        <f>_xlfn.IFS(B44=0,0,E44&gt;B44,1,E44&lt;=B44,E44/B44)</f>
        <v>0</v>
      </c>
      <c r="B44" s="948"/>
      <c r="C44" s="391" t="str">
        <f>Dashboard!K113</f>
        <v>TIKTOKSHOP</v>
      </c>
      <c r="D44" s="208">
        <f>Dashboard!M113</f>
        <v>3.4999999999999996E-2</v>
      </c>
      <c r="E44" s="1088">
        <f>IF(SUMIF($M$13:$EF$13,$N$13,M44:EF44)&gt;0,SUMIF($M$13:$EF$13,$O$13,M44:EF44)/SUMIF($M$13:$EF$13,$N$13,M44:EF44),0)</f>
        <v>0</v>
      </c>
      <c r="F44" s="208">
        <f t="shared" si="309"/>
        <v>3.4999999999999996E-2</v>
      </c>
      <c r="G44" s="208">
        <f t="shared" si="310"/>
        <v>1</v>
      </c>
      <c r="H44" s="935"/>
      <c r="I44" s="935"/>
      <c r="J44" s="935"/>
      <c r="K44" s="837">
        <f t="shared" si="307"/>
        <v>3.4999999999999996E-2</v>
      </c>
      <c r="L44" s="883">
        <f t="shared" ref="L44:L46" ca="1" si="342">SUMIFS($M44:$EF44,$M$11:$EF$11,TODAY()-1,$M$13:$EF$13,P$13)</f>
        <v>0</v>
      </c>
      <c r="M44" s="937"/>
      <c r="N44" s="1042">
        <v>0</v>
      </c>
      <c r="O44" s="906">
        <f>N44/N35</f>
        <v>0</v>
      </c>
      <c r="P44" s="1227">
        <f>_xlfn.IFS(N44=0,0,O44&lt;=N44,O44/N44,O44&gt;N44,1)</f>
        <v>0</v>
      </c>
      <c r="Q44" s="937"/>
      <c r="R44" s="1042">
        <v>0</v>
      </c>
      <c r="S44" s="906">
        <f>R44/R35</f>
        <v>0</v>
      </c>
      <c r="T44" s="1301">
        <f>_xlfn.IFS(R44=0,0,S44&lt;=R44,S44/R44,S44&gt;R44,1)</f>
        <v>0</v>
      </c>
      <c r="U44" s="937"/>
      <c r="V44" s="1042">
        <v>0</v>
      </c>
      <c r="W44" s="906">
        <f>V44/V35</f>
        <v>0</v>
      </c>
      <c r="X44" s="1301">
        <f>_xlfn.IFS(V44=0,0,W44&lt;=V44,W44/V44,W44&gt;V44,1)</f>
        <v>0</v>
      </c>
      <c r="Y44" s="937"/>
      <c r="Z44" s="1042">
        <v>0</v>
      </c>
      <c r="AA44" s="906">
        <f>Z44/Z35</f>
        <v>0</v>
      </c>
      <c r="AB44" s="1301">
        <f>_xlfn.IFS(Z44=0,0,AA44&lt;=Z44,AA44/Z44,AA44&gt;Z44,1)</f>
        <v>0</v>
      </c>
      <c r="AC44" s="937"/>
      <c r="AD44" s="1042">
        <v>0</v>
      </c>
      <c r="AE44" s="906">
        <f>AD44/AD35</f>
        <v>0</v>
      </c>
      <c r="AF44" s="1301">
        <f>_xlfn.IFS(AD44=0,0,AE44&lt;=AD44,AE44/AD44,AE44&gt;AD44,1)</f>
        <v>0</v>
      </c>
      <c r="AG44" s="937"/>
      <c r="AH44" s="1042">
        <v>0</v>
      </c>
      <c r="AI44" s="906">
        <f>AH44/AH35</f>
        <v>0</v>
      </c>
      <c r="AJ44" s="1301">
        <f>_xlfn.IFS(AH44=0,0,AI44&lt;=AH44,AI44/AH44,AI44&gt;AH44,1)</f>
        <v>0</v>
      </c>
      <c r="AK44" s="937"/>
      <c r="AL44" s="1042">
        <v>0</v>
      </c>
      <c r="AM44" s="906">
        <f>AL44/AL35</f>
        <v>0</v>
      </c>
      <c r="AN44" s="1301">
        <f>_xlfn.IFS(AL44=0,0,AM44&lt;=AL44,AM44/AL44,AM44&gt;AL44,1)</f>
        <v>0</v>
      </c>
      <c r="AO44" s="937"/>
      <c r="AP44" s="1042">
        <v>0</v>
      </c>
      <c r="AQ44" s="906">
        <f>AP44/AP35</f>
        <v>0</v>
      </c>
      <c r="AR44" s="1301">
        <f>_xlfn.IFS(AP44=0,0,AQ44&lt;=AP44,AQ44/AP44,AQ44&gt;AP44,1)</f>
        <v>0</v>
      </c>
      <c r="AS44" s="937"/>
      <c r="AT44" s="1042">
        <v>0</v>
      </c>
      <c r="AU44" s="906">
        <f>AT44/AT35</f>
        <v>0</v>
      </c>
      <c r="AV44" s="1301">
        <f>_xlfn.IFS(AT44=0,0,AU44&lt;=AT44,AU44/AT44,AU44&gt;AT44,1)</f>
        <v>0</v>
      </c>
      <c r="AW44" s="937"/>
      <c r="AX44" s="1042">
        <v>0</v>
      </c>
      <c r="AY44" s="906">
        <f>AX44/AX35</f>
        <v>0</v>
      </c>
      <c r="AZ44" s="1301">
        <f>_xlfn.IFS(AX44=0,0,AY44&lt;=AX44,AY44/AX44,AY44&gt;AX44,1)</f>
        <v>0</v>
      </c>
      <c r="BA44" s="937"/>
      <c r="BB44" s="1042">
        <v>0</v>
      </c>
      <c r="BC44" s="906">
        <f>BB44/BB35</f>
        <v>0</v>
      </c>
      <c r="BD44" s="1301">
        <f>_xlfn.IFS(BB44=0,0,BC44&lt;=BB44,BC44/BB44,BC44&gt;BB44,1)</f>
        <v>0</v>
      </c>
      <c r="BE44" s="937"/>
      <c r="BF44" s="1042">
        <v>0</v>
      </c>
      <c r="BG44" s="906">
        <f>BF44/BF35</f>
        <v>0</v>
      </c>
      <c r="BH44" s="1301">
        <f>_xlfn.IFS(BF44=0,0,BG44&lt;=BF44,BG44/BF44,BG44&gt;BF44,1)</f>
        <v>0</v>
      </c>
      <c r="BI44" s="937"/>
      <c r="BJ44" s="1042">
        <v>0</v>
      </c>
      <c r="BK44" s="906">
        <f>BJ44/BJ35</f>
        <v>0</v>
      </c>
      <c r="BL44" s="1301">
        <f>_xlfn.IFS(BJ44=0,0,BK44&lt;=BJ44,BK44/BJ44,BK44&gt;BJ44,1)</f>
        <v>0</v>
      </c>
      <c r="BM44" s="937"/>
      <c r="BN44" s="1042">
        <v>0</v>
      </c>
      <c r="BO44" s="906">
        <f>BN44/BN35</f>
        <v>0</v>
      </c>
      <c r="BP44" s="1301">
        <f>_xlfn.IFS(BN44=0,0,BO44&lt;=BN44,BO44/BN44,BO44&gt;BN44,1)</f>
        <v>0</v>
      </c>
      <c r="BQ44" s="937"/>
      <c r="BR44" s="1042">
        <v>0</v>
      </c>
      <c r="BS44" s="906">
        <f>BR44/BR35</f>
        <v>0</v>
      </c>
      <c r="BT44" s="1301">
        <f>_xlfn.IFS(BR44=0,0,BS44&lt;=BR44,BS44/BR44,BS44&gt;BR44,1)</f>
        <v>0</v>
      </c>
      <c r="BU44" s="937"/>
      <c r="BV44" s="1042">
        <v>0</v>
      </c>
      <c r="BW44" s="906">
        <f>BV44/BV35</f>
        <v>0</v>
      </c>
      <c r="BX44" s="1301">
        <f>_xlfn.IFS(BV44=0,0,BW44&lt;=BV44,BW44/BV44,BW44&gt;BV44,1)</f>
        <v>0</v>
      </c>
      <c r="BY44" s="937"/>
      <c r="BZ44" s="1042">
        <v>0</v>
      </c>
      <c r="CA44" s="906">
        <f>BZ44/BZ35</f>
        <v>0</v>
      </c>
      <c r="CB44" s="1301">
        <f>_xlfn.IFS(BZ44=0,0,CA44&lt;=BZ44,CA44/BZ44,CA44&gt;BZ44,1)</f>
        <v>0</v>
      </c>
      <c r="CC44" s="937"/>
      <c r="CD44" s="1042">
        <v>0</v>
      </c>
      <c r="CE44" s="906">
        <f>CD44/CD35</f>
        <v>0</v>
      </c>
      <c r="CF44" s="1301">
        <f>_xlfn.IFS(CD44=0,0,CE44&lt;=CD44,CE44/CD44,CE44&gt;CD44,1)</f>
        <v>0</v>
      </c>
      <c r="CG44" s="937"/>
      <c r="CH44" s="1042">
        <v>0</v>
      </c>
      <c r="CI44" s="906">
        <f>CH44/CH35</f>
        <v>0</v>
      </c>
      <c r="CJ44" s="1301">
        <f>_xlfn.IFS(CH44=0,0,CI44&lt;=CH44,CI44/CH44,CI44&gt;CH44,1)</f>
        <v>0</v>
      </c>
      <c r="CK44" s="937"/>
      <c r="CL44" s="1042">
        <v>0</v>
      </c>
      <c r="CM44" s="906">
        <f>CL44/CL35</f>
        <v>0</v>
      </c>
      <c r="CN44" s="1301">
        <f>_xlfn.IFS(CL44=0,0,CM44&lt;=CL44,CM44/CL44,CM44&gt;CL44,1)</f>
        <v>0</v>
      </c>
      <c r="CO44" s="937"/>
      <c r="CP44" s="1042">
        <v>0</v>
      </c>
      <c r="CQ44" s="906">
        <f>CP44/CP35</f>
        <v>0</v>
      </c>
      <c r="CR44" s="1301">
        <f>_xlfn.IFS(CP44=0,0,CQ44&lt;=CP44,CQ44/CP44,CQ44&gt;CP44,1)</f>
        <v>0</v>
      </c>
      <c r="CS44" s="937"/>
      <c r="CT44" s="1042">
        <v>0</v>
      </c>
      <c r="CU44" s="906">
        <f>CT44/CT35</f>
        <v>0</v>
      </c>
      <c r="CV44" s="1301">
        <f>_xlfn.IFS(CT44=0,0,CU44&lt;=CT44,CU44/CT44,CU44&gt;CT44,1)</f>
        <v>0</v>
      </c>
      <c r="CW44" s="937"/>
      <c r="CX44" s="1042">
        <v>0</v>
      </c>
      <c r="CY44" s="906">
        <f>CX44/CX35</f>
        <v>0</v>
      </c>
      <c r="CZ44" s="1301">
        <f>_xlfn.IFS(CX44=0,0,CY44&lt;=CX44,CY44/CX44,CY44&gt;CX44,1)</f>
        <v>0</v>
      </c>
      <c r="DA44" s="937"/>
      <c r="DB44" s="1042">
        <v>0</v>
      </c>
      <c r="DC44" s="906">
        <f>DB44/DB35</f>
        <v>0</v>
      </c>
      <c r="DD44" s="1301">
        <f>_xlfn.IFS(DB44=0,0,DC44&lt;=DB44,DC44/DB44,DC44&gt;DB44,1)</f>
        <v>0</v>
      </c>
      <c r="DE44" s="937"/>
      <c r="DF44" s="1042">
        <v>0</v>
      </c>
      <c r="DG44" s="906">
        <f>DF44/DF35</f>
        <v>0</v>
      </c>
      <c r="DH44" s="1301">
        <f>_xlfn.IFS(DF44=0,0,DG44&lt;=DF44,DG44/DF44,DG44&gt;DF44,1)</f>
        <v>0</v>
      </c>
      <c r="DI44" s="937"/>
      <c r="DJ44" s="1042">
        <v>0</v>
      </c>
      <c r="DK44" s="906">
        <f>DJ44/DJ35</f>
        <v>0</v>
      </c>
      <c r="DL44" s="1301">
        <f>_xlfn.IFS(DJ44=0,0,DK44&lt;=DJ44,DK44/DJ44,DK44&gt;DJ44,1)</f>
        <v>0</v>
      </c>
      <c r="DM44" s="937"/>
      <c r="DN44" s="1042">
        <v>0</v>
      </c>
      <c r="DO44" s="906">
        <f>DN44/DN35</f>
        <v>0</v>
      </c>
      <c r="DP44" s="1301">
        <f>_xlfn.IFS(DN44=0,0,DO44&lt;=DN44,DO44/DN44,DO44&gt;DN44,1)</f>
        <v>0</v>
      </c>
      <c r="DQ44" s="937"/>
      <c r="DR44" s="1042">
        <v>0</v>
      </c>
      <c r="DS44" s="906">
        <f>DR44/DR35</f>
        <v>0</v>
      </c>
      <c r="DT44" s="1301">
        <f>_xlfn.IFS(DR44=0,0,DS44&lt;=DR44,DS44/DR44,DS44&gt;DR44,1)</f>
        <v>0</v>
      </c>
      <c r="DU44" s="937"/>
      <c r="DV44" s="1042">
        <v>0</v>
      </c>
      <c r="DW44" s="906">
        <f>DV44/DV35</f>
        <v>0</v>
      </c>
      <c r="DX44" s="1301">
        <f>_xlfn.IFS(DV44=0,0,DW44&lt;=DV44,DW44/DV44,DW44&gt;DV44,1)</f>
        <v>0</v>
      </c>
      <c r="DY44" s="937"/>
      <c r="DZ44" s="1042">
        <v>0</v>
      </c>
      <c r="EA44" s="906">
        <f>DZ44/DZ35</f>
        <v>0</v>
      </c>
      <c r="EB44" s="1301">
        <f>_xlfn.IFS(DZ44=0,0,EA44&lt;=DZ44,EA44/DZ44,EA44&gt;DZ44,1)</f>
        <v>0</v>
      </c>
      <c r="EC44" s="937"/>
      <c r="ED44" s="1042">
        <v>0</v>
      </c>
      <c r="EE44" s="906">
        <f>ED44/ED35</f>
        <v>0</v>
      </c>
      <c r="EF44" s="1301">
        <f>_xlfn.IFS(ED44=0,0,EE44&lt;=ED44,EE44/ED44,EE44&gt;ED44,1)</f>
        <v>0</v>
      </c>
    </row>
    <row r="45" spans="1:136" ht="20" customHeight="1" x14ac:dyDescent="0.15">
      <c r="A45" s="189">
        <f>_xlfn.IFS(B45=0,0,E45&gt;B45,1,E45&lt;=B45,E45/B45)</f>
        <v>0</v>
      </c>
      <c r="B45" s="948"/>
      <c r="C45" s="391" t="str">
        <f>Dashboard!K114</f>
        <v>SHOPPEE</v>
      </c>
      <c r="D45" s="208">
        <f>Dashboard!M114</f>
        <v>3.4999999999999996E-2</v>
      </c>
      <c r="E45" s="1088">
        <f>IF(SUMIF($M$13:$EF$13,$N$13,M45:EF45)&gt;0,SUMIF($M$13:$EF$13,$O$13,M45:EF45)/SUMIF($M$13:$EF$13,$N$13,M45:EF45),0)</f>
        <v>0</v>
      </c>
      <c r="F45" s="208">
        <f t="shared" si="309"/>
        <v>3.4999999999999996E-2</v>
      </c>
      <c r="G45" s="208">
        <f t="shared" si="310"/>
        <v>1</v>
      </c>
      <c r="H45" s="935"/>
      <c r="I45" s="935"/>
      <c r="J45" s="935"/>
      <c r="K45" s="837">
        <f t="shared" si="307"/>
        <v>3.4999999999999996E-2</v>
      </c>
      <c r="L45" s="883">
        <f t="shared" ca="1" si="342"/>
        <v>0</v>
      </c>
      <c r="M45" s="937"/>
      <c r="N45" s="1042">
        <v>0</v>
      </c>
      <c r="O45" s="906">
        <f>N45/N36</f>
        <v>0</v>
      </c>
      <c r="P45" s="1227">
        <f>_xlfn.IFS(N45=0,0,O45&lt;=N45,O45/N45,O45&gt;N45,1)</f>
        <v>0</v>
      </c>
      <c r="Q45" s="937"/>
      <c r="R45" s="1042">
        <v>0</v>
      </c>
      <c r="S45" s="906">
        <f>R45/R36</f>
        <v>0</v>
      </c>
      <c r="T45" s="1301">
        <f>_xlfn.IFS(R45=0,0,S45&lt;=R45,S45/R45,S45&gt;R45,1)</f>
        <v>0</v>
      </c>
      <c r="U45" s="937"/>
      <c r="V45" s="1042">
        <v>0</v>
      </c>
      <c r="W45" s="906">
        <f>V45/V36</f>
        <v>0</v>
      </c>
      <c r="X45" s="1301">
        <f>_xlfn.IFS(V45=0,0,W45&lt;=V45,W45/V45,W45&gt;V45,1)</f>
        <v>0</v>
      </c>
      <c r="Y45" s="937"/>
      <c r="Z45" s="1042">
        <v>0</v>
      </c>
      <c r="AA45" s="906">
        <f>Z45/Z36</f>
        <v>0</v>
      </c>
      <c r="AB45" s="1301">
        <f>_xlfn.IFS(Z45=0,0,AA45&lt;=Z45,AA45/Z45,AA45&gt;Z45,1)</f>
        <v>0</v>
      </c>
      <c r="AC45" s="937"/>
      <c r="AD45" s="1042">
        <v>0</v>
      </c>
      <c r="AE45" s="906">
        <f>AD45/AD36</f>
        <v>0</v>
      </c>
      <c r="AF45" s="1301">
        <f>_xlfn.IFS(AD45=0,0,AE45&lt;=AD45,AE45/AD45,AE45&gt;AD45,1)</f>
        <v>0</v>
      </c>
      <c r="AG45" s="937"/>
      <c r="AH45" s="1042">
        <v>0</v>
      </c>
      <c r="AI45" s="906">
        <f>AH45/AH36</f>
        <v>0</v>
      </c>
      <c r="AJ45" s="1301">
        <f>_xlfn.IFS(AH45=0,0,AI45&lt;=AH45,AI45/AH45,AI45&gt;AH45,1)</f>
        <v>0</v>
      </c>
      <c r="AK45" s="937"/>
      <c r="AL45" s="1042">
        <v>0</v>
      </c>
      <c r="AM45" s="906">
        <f>AL45/AL36</f>
        <v>0</v>
      </c>
      <c r="AN45" s="1301">
        <f>_xlfn.IFS(AL45=0,0,AM45&lt;=AL45,AM45/AL45,AM45&gt;AL45,1)</f>
        <v>0</v>
      </c>
      <c r="AO45" s="937"/>
      <c r="AP45" s="1042">
        <v>0</v>
      </c>
      <c r="AQ45" s="906">
        <f>AP45/AP36</f>
        <v>0</v>
      </c>
      <c r="AR45" s="1301">
        <f>_xlfn.IFS(AP45=0,0,AQ45&lt;=AP45,AQ45/AP45,AQ45&gt;AP45,1)</f>
        <v>0</v>
      </c>
      <c r="AS45" s="937"/>
      <c r="AT45" s="1042">
        <v>0</v>
      </c>
      <c r="AU45" s="906">
        <f>AT45/AT36</f>
        <v>0</v>
      </c>
      <c r="AV45" s="1301">
        <f>_xlfn.IFS(AT45=0,0,AU45&lt;=AT45,AU45/AT45,AU45&gt;AT45,1)</f>
        <v>0</v>
      </c>
      <c r="AW45" s="937"/>
      <c r="AX45" s="1042">
        <v>0</v>
      </c>
      <c r="AY45" s="906">
        <f>AX45/AX36</f>
        <v>0</v>
      </c>
      <c r="AZ45" s="1301">
        <f>_xlfn.IFS(AX45=0,0,AY45&lt;=AX45,AY45/AX45,AY45&gt;AX45,1)</f>
        <v>0</v>
      </c>
      <c r="BA45" s="937"/>
      <c r="BB45" s="1042">
        <v>0</v>
      </c>
      <c r="BC45" s="906">
        <f>BB45/BB36</f>
        <v>0</v>
      </c>
      <c r="BD45" s="1301">
        <f>_xlfn.IFS(BB45=0,0,BC45&lt;=BB45,BC45/BB45,BC45&gt;BB45,1)</f>
        <v>0</v>
      </c>
      <c r="BE45" s="937"/>
      <c r="BF45" s="1042">
        <v>0</v>
      </c>
      <c r="BG45" s="906">
        <f>BF45/BF36</f>
        <v>0</v>
      </c>
      <c r="BH45" s="1301">
        <f>_xlfn.IFS(BF45=0,0,BG45&lt;=BF45,BG45/BF45,BG45&gt;BF45,1)</f>
        <v>0</v>
      </c>
      <c r="BI45" s="937"/>
      <c r="BJ45" s="1042">
        <v>0</v>
      </c>
      <c r="BK45" s="906">
        <f>BJ45/BJ36</f>
        <v>0</v>
      </c>
      <c r="BL45" s="1301">
        <f>_xlfn.IFS(BJ45=0,0,BK45&lt;=BJ45,BK45/BJ45,BK45&gt;BJ45,1)</f>
        <v>0</v>
      </c>
      <c r="BM45" s="937"/>
      <c r="BN45" s="1042">
        <v>0</v>
      </c>
      <c r="BO45" s="906">
        <f>BN45/BN36</f>
        <v>0</v>
      </c>
      <c r="BP45" s="1301">
        <f>_xlfn.IFS(BN45=0,0,BO45&lt;=BN45,BO45/BN45,BO45&gt;BN45,1)</f>
        <v>0</v>
      </c>
      <c r="BQ45" s="937"/>
      <c r="BR45" s="1042">
        <v>0</v>
      </c>
      <c r="BS45" s="906">
        <f>BR45/BR36</f>
        <v>0</v>
      </c>
      <c r="BT45" s="1301">
        <f>_xlfn.IFS(BR45=0,0,BS45&lt;=BR45,BS45/BR45,BS45&gt;BR45,1)</f>
        <v>0</v>
      </c>
      <c r="BU45" s="937"/>
      <c r="BV45" s="1042">
        <v>0</v>
      </c>
      <c r="BW45" s="906">
        <f>BV45/BV36</f>
        <v>0</v>
      </c>
      <c r="BX45" s="1301">
        <f>_xlfn.IFS(BV45=0,0,BW45&lt;=BV45,BW45/BV45,BW45&gt;BV45,1)</f>
        <v>0</v>
      </c>
      <c r="BY45" s="937"/>
      <c r="BZ45" s="1042">
        <v>0</v>
      </c>
      <c r="CA45" s="906">
        <f>BZ45/BZ36</f>
        <v>0</v>
      </c>
      <c r="CB45" s="1301">
        <f>_xlfn.IFS(BZ45=0,0,CA45&lt;=BZ45,CA45/BZ45,CA45&gt;BZ45,1)</f>
        <v>0</v>
      </c>
      <c r="CC45" s="937"/>
      <c r="CD45" s="1042">
        <v>0</v>
      </c>
      <c r="CE45" s="906">
        <f>CD45/CD36</f>
        <v>0</v>
      </c>
      <c r="CF45" s="1301">
        <f>_xlfn.IFS(CD45=0,0,CE45&lt;=CD45,CE45/CD45,CE45&gt;CD45,1)</f>
        <v>0</v>
      </c>
      <c r="CG45" s="937"/>
      <c r="CH45" s="1042">
        <v>0</v>
      </c>
      <c r="CI45" s="906">
        <f>CH45/CH36</f>
        <v>0</v>
      </c>
      <c r="CJ45" s="1301">
        <f>_xlfn.IFS(CH45=0,0,CI45&lt;=CH45,CI45/CH45,CI45&gt;CH45,1)</f>
        <v>0</v>
      </c>
      <c r="CK45" s="937"/>
      <c r="CL45" s="1042">
        <v>0</v>
      </c>
      <c r="CM45" s="906">
        <f>CL45/CL36</f>
        <v>0</v>
      </c>
      <c r="CN45" s="1301">
        <f>_xlfn.IFS(CL45=0,0,CM45&lt;=CL45,CM45/CL45,CM45&gt;CL45,1)</f>
        <v>0</v>
      </c>
      <c r="CO45" s="937"/>
      <c r="CP45" s="1042">
        <v>0</v>
      </c>
      <c r="CQ45" s="906">
        <f>CP45/CP36</f>
        <v>0</v>
      </c>
      <c r="CR45" s="1301">
        <f>_xlfn.IFS(CP45=0,0,CQ45&lt;=CP45,CQ45/CP45,CQ45&gt;CP45,1)</f>
        <v>0</v>
      </c>
      <c r="CS45" s="937"/>
      <c r="CT45" s="1042">
        <v>0</v>
      </c>
      <c r="CU45" s="906">
        <f>CT45/CT36</f>
        <v>0</v>
      </c>
      <c r="CV45" s="1301">
        <f>_xlfn.IFS(CT45=0,0,CU45&lt;=CT45,CU45/CT45,CU45&gt;CT45,1)</f>
        <v>0</v>
      </c>
      <c r="CW45" s="937"/>
      <c r="CX45" s="1042">
        <v>0</v>
      </c>
      <c r="CY45" s="906">
        <f>CX45/CX36</f>
        <v>0</v>
      </c>
      <c r="CZ45" s="1301">
        <f>_xlfn.IFS(CX45=0,0,CY45&lt;=CX45,CY45/CX45,CY45&gt;CX45,1)</f>
        <v>0</v>
      </c>
      <c r="DA45" s="937"/>
      <c r="DB45" s="1042">
        <v>0</v>
      </c>
      <c r="DC45" s="906">
        <f>DB45/DB36</f>
        <v>0</v>
      </c>
      <c r="DD45" s="1301">
        <f>_xlfn.IFS(DB45=0,0,DC45&lt;=DB45,DC45/DB45,DC45&gt;DB45,1)</f>
        <v>0</v>
      </c>
      <c r="DE45" s="937"/>
      <c r="DF45" s="1042">
        <v>0</v>
      </c>
      <c r="DG45" s="906">
        <f>DF45/DF36</f>
        <v>0</v>
      </c>
      <c r="DH45" s="1301">
        <f>_xlfn.IFS(DF45=0,0,DG45&lt;=DF45,DG45/DF45,DG45&gt;DF45,1)</f>
        <v>0</v>
      </c>
      <c r="DI45" s="937"/>
      <c r="DJ45" s="1042">
        <v>0</v>
      </c>
      <c r="DK45" s="906">
        <f>DJ45/DJ36</f>
        <v>0</v>
      </c>
      <c r="DL45" s="1301">
        <f>_xlfn.IFS(DJ45=0,0,DK45&lt;=DJ45,DK45/DJ45,DK45&gt;DJ45,1)</f>
        <v>0</v>
      </c>
      <c r="DM45" s="937"/>
      <c r="DN45" s="1042">
        <v>0</v>
      </c>
      <c r="DO45" s="906">
        <f>DN45/DN36</f>
        <v>0</v>
      </c>
      <c r="DP45" s="1301">
        <f>_xlfn.IFS(DN45=0,0,DO45&lt;=DN45,DO45/DN45,DO45&gt;DN45,1)</f>
        <v>0</v>
      </c>
      <c r="DQ45" s="937"/>
      <c r="DR45" s="1042">
        <v>0</v>
      </c>
      <c r="DS45" s="906">
        <f>DR45/DR36</f>
        <v>0</v>
      </c>
      <c r="DT45" s="1301">
        <f>_xlfn.IFS(DR45=0,0,DS45&lt;=DR45,DS45/DR45,DS45&gt;DR45,1)</f>
        <v>0</v>
      </c>
      <c r="DU45" s="937"/>
      <c r="DV45" s="1042">
        <v>0</v>
      </c>
      <c r="DW45" s="906">
        <f>DV45/DV36</f>
        <v>0</v>
      </c>
      <c r="DX45" s="1301">
        <f>_xlfn.IFS(DV45=0,0,DW45&lt;=DV45,DW45/DV45,DW45&gt;DV45,1)</f>
        <v>0</v>
      </c>
      <c r="DY45" s="937"/>
      <c r="DZ45" s="1042">
        <v>0</v>
      </c>
      <c r="EA45" s="906">
        <f>DZ45/DZ36</f>
        <v>0</v>
      </c>
      <c r="EB45" s="1301">
        <f>_xlfn.IFS(DZ45=0,0,EA45&lt;=DZ45,EA45/DZ45,EA45&gt;DZ45,1)</f>
        <v>0</v>
      </c>
      <c r="EC45" s="937"/>
      <c r="ED45" s="1042">
        <v>0</v>
      </c>
      <c r="EE45" s="906">
        <f>ED45/ED36</f>
        <v>0</v>
      </c>
      <c r="EF45" s="1301">
        <f>_xlfn.IFS(ED45=0,0,EE45&lt;=ED45,EE45/ED45,EE45&gt;ED45,1)</f>
        <v>0</v>
      </c>
    </row>
    <row r="46" spans="1:136" ht="20" customHeight="1" x14ac:dyDescent="0.15">
      <c r="A46" s="189">
        <f>_xlfn.IFS(B46=0,0,E46&gt;B46,1,E46&lt;=B46,E46/B46)</f>
        <v>0</v>
      </c>
      <c r="B46" s="948"/>
      <c r="C46" s="391" t="str">
        <f>Dashboard!K115</f>
        <v>ZALO</v>
      </c>
      <c r="D46" s="208">
        <f>Dashboard!M115</f>
        <v>3.4999999999999996E-2</v>
      </c>
      <c r="E46" s="1088">
        <f>IF(SUMIF($M$13:$EF$13,$N$13,M46:EF46)&gt;0,SUMIF($M$13:$EF$13,$O$13,M46:EF46)/SUMIF($M$13:$EF$13,$N$13,M46:EF46),0)</f>
        <v>0</v>
      </c>
      <c r="F46" s="208">
        <f t="shared" si="309"/>
        <v>3.4999999999999996E-2</v>
      </c>
      <c r="G46" s="208">
        <f t="shared" si="310"/>
        <v>1</v>
      </c>
      <c r="H46" s="935"/>
      <c r="I46" s="935"/>
      <c r="J46" s="935"/>
      <c r="K46" s="837">
        <f t="shared" si="307"/>
        <v>3.4999999999999996E-2</v>
      </c>
      <c r="L46" s="883">
        <f t="shared" ca="1" si="342"/>
        <v>0</v>
      </c>
      <c r="M46" s="937"/>
      <c r="N46" s="1042">
        <v>0</v>
      </c>
      <c r="O46" s="906">
        <f>N46/N39</f>
        <v>0</v>
      </c>
      <c r="P46" s="1227">
        <f>_xlfn.IFS(N46=0,0,O46&lt;=N46,O46/N46,O46&gt;N46,1)</f>
        <v>0</v>
      </c>
      <c r="Q46" s="937"/>
      <c r="R46" s="1042">
        <v>0</v>
      </c>
      <c r="S46" s="906">
        <f>R46/R39</f>
        <v>0</v>
      </c>
      <c r="T46" s="1301">
        <f>_xlfn.IFS(R46=0,0,S46&lt;=R46,S46/R46,S46&gt;R46,1)</f>
        <v>0</v>
      </c>
      <c r="U46" s="937"/>
      <c r="V46" s="1042">
        <v>0</v>
      </c>
      <c r="W46" s="906">
        <f>V46/V39</f>
        <v>0</v>
      </c>
      <c r="X46" s="1301">
        <f>_xlfn.IFS(V46=0,0,W46&lt;=V46,W46/V46,W46&gt;V46,1)</f>
        <v>0</v>
      </c>
      <c r="Y46" s="937"/>
      <c r="Z46" s="1042">
        <v>0</v>
      </c>
      <c r="AA46" s="906">
        <f>Z46/Z39</f>
        <v>0</v>
      </c>
      <c r="AB46" s="1301">
        <f>_xlfn.IFS(Z46=0,0,AA46&lt;=Z46,AA46/Z46,AA46&gt;Z46,1)</f>
        <v>0</v>
      </c>
      <c r="AC46" s="937"/>
      <c r="AD46" s="1042">
        <v>0</v>
      </c>
      <c r="AE46" s="906">
        <f>AD46/AD39</f>
        <v>0</v>
      </c>
      <c r="AF46" s="1301">
        <f>_xlfn.IFS(AD46=0,0,AE46&lt;=AD46,AE46/AD46,AE46&gt;AD46,1)</f>
        <v>0</v>
      </c>
      <c r="AG46" s="937"/>
      <c r="AH46" s="1042">
        <v>0</v>
      </c>
      <c r="AI46" s="906">
        <f>AH46/AH39</f>
        <v>0</v>
      </c>
      <c r="AJ46" s="1301">
        <f>_xlfn.IFS(AH46=0,0,AI46&lt;=AH46,AI46/AH46,AI46&gt;AH46,1)</f>
        <v>0</v>
      </c>
      <c r="AK46" s="937"/>
      <c r="AL46" s="1042">
        <v>0</v>
      </c>
      <c r="AM46" s="906">
        <f>AL46/AL39</f>
        <v>0</v>
      </c>
      <c r="AN46" s="1301">
        <f>_xlfn.IFS(AL46=0,0,AM46&lt;=AL46,AM46/AL46,AM46&gt;AL46,1)</f>
        <v>0</v>
      </c>
      <c r="AO46" s="937"/>
      <c r="AP46" s="1042">
        <v>0</v>
      </c>
      <c r="AQ46" s="906">
        <f>AP46/AP39</f>
        <v>0</v>
      </c>
      <c r="AR46" s="1301">
        <f>_xlfn.IFS(AP46=0,0,AQ46&lt;=AP46,AQ46/AP46,AQ46&gt;AP46,1)</f>
        <v>0</v>
      </c>
      <c r="AS46" s="937"/>
      <c r="AT46" s="1042">
        <v>0</v>
      </c>
      <c r="AU46" s="906">
        <f>AT46/AT39</f>
        <v>0</v>
      </c>
      <c r="AV46" s="1301">
        <f>_xlfn.IFS(AT46=0,0,AU46&lt;=AT46,AU46/AT46,AU46&gt;AT46,1)</f>
        <v>0</v>
      </c>
      <c r="AW46" s="937"/>
      <c r="AX46" s="1042">
        <v>0</v>
      </c>
      <c r="AY46" s="906">
        <f>AX46/AX39</f>
        <v>0</v>
      </c>
      <c r="AZ46" s="1301">
        <f>_xlfn.IFS(AX46=0,0,AY46&lt;=AX46,AY46/AX46,AY46&gt;AX46,1)</f>
        <v>0</v>
      </c>
      <c r="BA46" s="937"/>
      <c r="BB46" s="1042">
        <v>0</v>
      </c>
      <c r="BC46" s="906">
        <f>BB46/BB39</f>
        <v>0</v>
      </c>
      <c r="BD46" s="1301">
        <f>_xlfn.IFS(BB46=0,0,BC46&lt;=BB46,BC46/BB46,BC46&gt;BB46,1)</f>
        <v>0</v>
      </c>
      <c r="BE46" s="937"/>
      <c r="BF46" s="1042">
        <v>0</v>
      </c>
      <c r="BG46" s="906">
        <f>BF46/BF39</f>
        <v>0</v>
      </c>
      <c r="BH46" s="1301">
        <f>_xlfn.IFS(BF46=0,0,BG46&lt;=BF46,BG46/BF46,BG46&gt;BF46,1)</f>
        <v>0</v>
      </c>
      <c r="BI46" s="937"/>
      <c r="BJ46" s="1042">
        <v>0</v>
      </c>
      <c r="BK46" s="906">
        <f>BJ46/BJ39</f>
        <v>0</v>
      </c>
      <c r="BL46" s="1301">
        <f>_xlfn.IFS(BJ46=0,0,BK46&lt;=BJ46,BK46/BJ46,BK46&gt;BJ46,1)</f>
        <v>0</v>
      </c>
      <c r="BM46" s="937"/>
      <c r="BN46" s="1042">
        <v>0</v>
      </c>
      <c r="BO46" s="906">
        <f>BN46/BN39</f>
        <v>0</v>
      </c>
      <c r="BP46" s="1301">
        <f>_xlfn.IFS(BN46=0,0,BO46&lt;=BN46,BO46/BN46,BO46&gt;BN46,1)</f>
        <v>0</v>
      </c>
      <c r="BQ46" s="937"/>
      <c r="BR46" s="1042">
        <v>0</v>
      </c>
      <c r="BS46" s="906">
        <f>BR46/BR39</f>
        <v>0</v>
      </c>
      <c r="BT46" s="1301">
        <f>_xlfn.IFS(BR46=0,0,BS46&lt;=BR46,BS46/BR46,BS46&gt;BR46,1)</f>
        <v>0</v>
      </c>
      <c r="BU46" s="937"/>
      <c r="BV46" s="1042">
        <v>0</v>
      </c>
      <c r="BW46" s="906">
        <f>BV46/BV39</f>
        <v>0</v>
      </c>
      <c r="BX46" s="1301">
        <f>_xlfn.IFS(BV46=0,0,BW46&lt;=BV46,BW46/BV46,BW46&gt;BV46,1)</f>
        <v>0</v>
      </c>
      <c r="BY46" s="937"/>
      <c r="BZ46" s="1042">
        <v>0</v>
      </c>
      <c r="CA46" s="906">
        <f>BZ46/BZ39</f>
        <v>0</v>
      </c>
      <c r="CB46" s="1301">
        <f>_xlfn.IFS(BZ46=0,0,CA46&lt;=BZ46,CA46/BZ46,CA46&gt;BZ46,1)</f>
        <v>0</v>
      </c>
      <c r="CC46" s="937"/>
      <c r="CD46" s="1042">
        <v>0</v>
      </c>
      <c r="CE46" s="906">
        <f>CD46/CD39</f>
        <v>0</v>
      </c>
      <c r="CF46" s="1301">
        <f>_xlfn.IFS(CD46=0,0,CE46&lt;=CD46,CE46/CD46,CE46&gt;CD46,1)</f>
        <v>0</v>
      </c>
      <c r="CG46" s="937"/>
      <c r="CH46" s="1042">
        <v>0</v>
      </c>
      <c r="CI46" s="906">
        <f>CH46/CH39</f>
        <v>0</v>
      </c>
      <c r="CJ46" s="1301">
        <f>_xlfn.IFS(CH46=0,0,CI46&lt;=CH46,CI46/CH46,CI46&gt;CH46,1)</f>
        <v>0</v>
      </c>
      <c r="CK46" s="937"/>
      <c r="CL46" s="1042">
        <v>0</v>
      </c>
      <c r="CM46" s="906">
        <f>CL46/CL39</f>
        <v>0</v>
      </c>
      <c r="CN46" s="1301">
        <f>_xlfn.IFS(CL46=0,0,CM46&lt;=CL46,CM46/CL46,CM46&gt;CL46,1)</f>
        <v>0</v>
      </c>
      <c r="CO46" s="937"/>
      <c r="CP46" s="1042">
        <v>0</v>
      </c>
      <c r="CQ46" s="906">
        <f>CP46/CP39</f>
        <v>0</v>
      </c>
      <c r="CR46" s="1301">
        <f>_xlfn.IFS(CP46=0,0,CQ46&lt;=CP46,CQ46/CP46,CQ46&gt;CP46,1)</f>
        <v>0</v>
      </c>
      <c r="CS46" s="937"/>
      <c r="CT46" s="1042">
        <v>0</v>
      </c>
      <c r="CU46" s="906">
        <f>CT46/CT39</f>
        <v>0</v>
      </c>
      <c r="CV46" s="1301">
        <f>_xlfn.IFS(CT46=0,0,CU46&lt;=CT46,CU46/CT46,CU46&gt;CT46,1)</f>
        <v>0</v>
      </c>
      <c r="CW46" s="937"/>
      <c r="CX46" s="1042">
        <v>0</v>
      </c>
      <c r="CY46" s="906">
        <f>CX46/CX39</f>
        <v>0</v>
      </c>
      <c r="CZ46" s="1301">
        <f>_xlfn.IFS(CX46=0,0,CY46&lt;=CX46,CY46/CX46,CY46&gt;CX46,1)</f>
        <v>0</v>
      </c>
      <c r="DA46" s="937"/>
      <c r="DB46" s="1042">
        <v>0</v>
      </c>
      <c r="DC46" s="906">
        <f>DB46/DB39</f>
        <v>0</v>
      </c>
      <c r="DD46" s="1301">
        <f>_xlfn.IFS(DB46=0,0,DC46&lt;=DB46,DC46/DB46,DC46&gt;DB46,1)</f>
        <v>0</v>
      </c>
      <c r="DE46" s="937"/>
      <c r="DF46" s="1042">
        <v>0</v>
      </c>
      <c r="DG46" s="906">
        <f>DF46/DF39</f>
        <v>0</v>
      </c>
      <c r="DH46" s="1301">
        <f>_xlfn.IFS(DF46=0,0,DG46&lt;=DF46,DG46/DF46,DG46&gt;DF46,1)</f>
        <v>0</v>
      </c>
      <c r="DI46" s="937"/>
      <c r="DJ46" s="1042">
        <v>0</v>
      </c>
      <c r="DK46" s="906">
        <f>DJ46/DJ39</f>
        <v>0</v>
      </c>
      <c r="DL46" s="1301">
        <f>_xlfn.IFS(DJ46=0,0,DK46&lt;=DJ46,DK46/DJ46,DK46&gt;DJ46,1)</f>
        <v>0</v>
      </c>
      <c r="DM46" s="937"/>
      <c r="DN46" s="1042">
        <v>0</v>
      </c>
      <c r="DO46" s="906">
        <f>DN46/DN39</f>
        <v>0</v>
      </c>
      <c r="DP46" s="1301">
        <f>_xlfn.IFS(DN46=0,0,DO46&lt;=DN46,DO46/DN46,DO46&gt;DN46,1)</f>
        <v>0</v>
      </c>
      <c r="DQ46" s="937"/>
      <c r="DR46" s="1042">
        <v>0</v>
      </c>
      <c r="DS46" s="906">
        <f>DR46/DR39</f>
        <v>0</v>
      </c>
      <c r="DT46" s="1301">
        <f>_xlfn.IFS(DR46=0,0,DS46&lt;=DR46,DS46/DR46,DS46&gt;DR46,1)</f>
        <v>0</v>
      </c>
      <c r="DU46" s="937"/>
      <c r="DV46" s="1042">
        <v>0</v>
      </c>
      <c r="DW46" s="906">
        <f>DV46/DV39</f>
        <v>0</v>
      </c>
      <c r="DX46" s="1301">
        <f>_xlfn.IFS(DV46=0,0,DW46&lt;=DV46,DW46/DV46,DW46&gt;DV46,1)</f>
        <v>0</v>
      </c>
      <c r="DY46" s="937"/>
      <c r="DZ46" s="1042">
        <v>0</v>
      </c>
      <c r="EA46" s="906">
        <f>DZ46/DZ39</f>
        <v>0</v>
      </c>
      <c r="EB46" s="1301">
        <f>_xlfn.IFS(DZ46=0,0,EA46&lt;=DZ46,EA46/DZ46,EA46&gt;DZ46,1)</f>
        <v>0</v>
      </c>
      <c r="EC46" s="937"/>
      <c r="ED46" s="1042">
        <v>0</v>
      </c>
      <c r="EE46" s="906">
        <f>ED46/ED39</f>
        <v>0</v>
      </c>
      <c r="EF46" s="1301">
        <f>_xlfn.IFS(ED46=0,0,EE46&lt;=ED46,EE46/ED46,EE46&gt;ED46,1)</f>
        <v>0</v>
      </c>
    </row>
    <row r="47" spans="1:136" ht="20" customHeight="1" x14ac:dyDescent="0.15">
      <c r="A47" s="870">
        <f>_xlfn.IFS(B47=0,0,E47&gt;B47,1,E47&lt;=B47,E47/B47)</f>
        <v>0</v>
      </c>
      <c r="B47" s="790"/>
      <c r="C47" s="831" t="str">
        <f>Dashboard!K123</f>
        <v>REPEAT PURCHASE RATE</v>
      </c>
      <c r="D47" s="789">
        <f>Dashboard!M123</f>
        <v>3.4999999999999996E-2</v>
      </c>
      <c r="E47" s="857">
        <f>AVERAGE(SUMIF($M$13:$EF$13,$M$13,$M47:$EF47))/100</f>
        <v>0.54</v>
      </c>
      <c r="F47" s="789">
        <f>E47-D47</f>
        <v>0.505</v>
      </c>
      <c r="G47" s="1228">
        <f>_xlfn.IFS(F47&gt;0,1,F47&lt;=0,E47/D47)</f>
        <v>1</v>
      </c>
      <c r="H47" s="935"/>
      <c r="I47" s="935"/>
      <c r="J47" s="935"/>
      <c r="K47" s="831">
        <f>D47</f>
        <v>3.4999999999999996E-2</v>
      </c>
      <c r="L47" s="945">
        <f ca="1">SUMIFS($M47:$EF47,$M$11:$EF$11,TODAY(),$M$13:$EF$13,$M$13)</f>
        <v>0</v>
      </c>
      <c r="M47" s="1111">
        <v>1</v>
      </c>
      <c r="N47" s="856"/>
      <c r="O47" s="857"/>
      <c r="P47" s="938">
        <f>_xlfn.IFS(P19=0,0,P39&lt;=P19,P39/P19,P39&gt;P19,1)</f>
        <v>9.375E-2</v>
      </c>
      <c r="Q47" s="1111">
        <v>1</v>
      </c>
      <c r="R47" s="856"/>
      <c r="S47" s="857"/>
      <c r="T47" s="1300">
        <f>_xlfn.IFS(T19=0,0,T39&lt;=T19,T39/T19,T39&gt;T19,1)</f>
        <v>9.375E-2</v>
      </c>
      <c r="U47" s="1111">
        <v>1</v>
      </c>
      <c r="V47" s="856"/>
      <c r="W47" s="857"/>
      <c r="X47" s="1300">
        <f>_xlfn.IFS(X19=0,0,X39&lt;=X19,X39/X19,X39&gt;X19,1)</f>
        <v>9.375E-2</v>
      </c>
      <c r="Y47" s="1111">
        <v>1</v>
      </c>
      <c r="Z47" s="856"/>
      <c r="AA47" s="857"/>
      <c r="AB47" s="1300">
        <f>_xlfn.IFS(AB19=0,0,AB39&lt;=AB19,AB39/AB19,AB39&gt;AB19,1)</f>
        <v>9.375E-2</v>
      </c>
      <c r="AC47" s="1111">
        <v>2</v>
      </c>
      <c r="AD47" s="856"/>
      <c r="AE47" s="857"/>
      <c r="AF47" s="1300">
        <f>_xlfn.IFS(AF19=0,0,AF39&lt;=AF19,AF39/AF19,AF39&gt;AF19,1)</f>
        <v>9.375E-2</v>
      </c>
      <c r="AG47" s="1111">
        <v>1</v>
      </c>
      <c r="AH47" s="856"/>
      <c r="AI47" s="857"/>
      <c r="AJ47" s="1300">
        <f>_xlfn.IFS(AJ19=0,0,AJ39&lt;=AJ19,AJ39/AJ19,AJ39&gt;AJ19,1)</f>
        <v>9.375E-2</v>
      </c>
      <c r="AK47" s="1111">
        <v>1</v>
      </c>
      <c r="AL47" s="856"/>
      <c r="AM47" s="857"/>
      <c r="AN47" s="1300">
        <f>_xlfn.IFS(AN19=0,0,AN39&lt;=AN19,AN39/AN19,AN39&gt;AN19,1)</f>
        <v>9.375E-2</v>
      </c>
      <c r="AO47" s="1111">
        <v>1</v>
      </c>
      <c r="AP47" s="856"/>
      <c r="AQ47" s="857"/>
      <c r="AR47" s="1300">
        <f>_xlfn.IFS(AR19=0,0,AR39&lt;=AR19,AR39/AR19,AR39&gt;AR19,1)</f>
        <v>9.375E-2</v>
      </c>
      <c r="AS47" s="1111">
        <v>2</v>
      </c>
      <c r="AT47" s="856"/>
      <c r="AU47" s="857"/>
      <c r="AV47" s="1300">
        <f>_xlfn.IFS(AV19=0,0,AV39&lt;=AV19,AV39/AV19,AV39&gt;AV19,1)</f>
        <v>9.375E-2</v>
      </c>
      <c r="AW47" s="1111">
        <v>1</v>
      </c>
      <c r="AX47" s="856"/>
      <c r="AY47" s="857"/>
      <c r="AZ47" s="1300">
        <f>_xlfn.IFS(AZ19=0,0,AZ39&lt;=AZ19,AZ39/AZ19,AZ39&gt;AZ19,1)</f>
        <v>9.375E-2</v>
      </c>
      <c r="BA47" s="1111">
        <v>2</v>
      </c>
      <c r="BB47" s="856"/>
      <c r="BC47" s="857"/>
      <c r="BD47" s="1300">
        <f>_xlfn.IFS(BD19=0,0,BD39&lt;=BD19,BD39/BD19,BD39&gt;BD19,1)</f>
        <v>9.375E-2</v>
      </c>
      <c r="BE47" s="1111">
        <v>2</v>
      </c>
      <c r="BF47" s="856"/>
      <c r="BG47" s="857"/>
      <c r="BH47" s="1300">
        <f>_xlfn.IFS(BH19=0,0,BH39&lt;=BH19,BH39/BH19,BH39&gt;BH19,1)</f>
        <v>9.375E-2</v>
      </c>
      <c r="BI47" s="1111">
        <v>2</v>
      </c>
      <c r="BJ47" s="856"/>
      <c r="BK47" s="857"/>
      <c r="BL47" s="1300">
        <f>_xlfn.IFS(BL19=0,0,BL39&lt;=BL19,BL39/BL19,BL39&gt;BL19,1)</f>
        <v>9.375E-2</v>
      </c>
      <c r="BM47" s="1111">
        <v>2</v>
      </c>
      <c r="BN47" s="856"/>
      <c r="BO47" s="857"/>
      <c r="BP47" s="1300">
        <f>_xlfn.IFS(BP19=0,0,BP39&lt;=BP19,BP39/BP19,BP39&gt;BP19,1)</f>
        <v>9.375E-2</v>
      </c>
      <c r="BQ47" s="1111">
        <v>2</v>
      </c>
      <c r="BR47" s="856"/>
      <c r="BS47" s="857"/>
      <c r="BT47" s="1300">
        <f>_xlfn.IFS(BT19=0,0,BT39&lt;=BT19,BT39/BT19,BT39&gt;BT19,1)</f>
        <v>9.375E-2</v>
      </c>
      <c r="BU47" s="1111">
        <v>2</v>
      </c>
      <c r="BV47" s="856"/>
      <c r="BW47" s="857"/>
      <c r="BX47" s="1300">
        <f>_xlfn.IFS(BX19=0,0,BX39&lt;=BX19,BX39/BX19,BX39&gt;BX19,1)</f>
        <v>9.375E-2</v>
      </c>
      <c r="BY47" s="1111">
        <v>2</v>
      </c>
      <c r="BZ47" s="856"/>
      <c r="CA47" s="857"/>
      <c r="CB47" s="1300">
        <f>_xlfn.IFS(CB19=0,0,CB39&lt;=CB19,CB39/CB19,CB39&gt;CB19,1)</f>
        <v>9.375E-2</v>
      </c>
      <c r="CC47" s="1111">
        <v>2</v>
      </c>
      <c r="CD47" s="856"/>
      <c r="CE47" s="857"/>
      <c r="CF47" s="1300">
        <f>_xlfn.IFS(CF19=0,0,CF39&lt;=CF19,CF39/CF19,CF39&gt;CF19,1)</f>
        <v>9.375E-2</v>
      </c>
      <c r="CG47" s="1111">
        <v>2</v>
      </c>
      <c r="CH47" s="856"/>
      <c r="CI47" s="857"/>
      <c r="CJ47" s="1300">
        <f>_xlfn.IFS(CJ19=0,0,CJ39&lt;=CJ19,CJ39/CJ19,CJ39&gt;CJ19,1)</f>
        <v>9.375E-2</v>
      </c>
      <c r="CK47" s="1111">
        <v>2</v>
      </c>
      <c r="CL47" s="856"/>
      <c r="CM47" s="857"/>
      <c r="CN47" s="1300">
        <f>_xlfn.IFS(CN19=0,0,CN39&lt;=CN19,CN39/CN19,CN39&gt;CN19,1)</f>
        <v>9.375E-2</v>
      </c>
      <c r="CO47" s="1111">
        <v>2</v>
      </c>
      <c r="CP47" s="856"/>
      <c r="CQ47" s="857"/>
      <c r="CR47" s="1300">
        <f>_xlfn.IFS(CR19=0,0,CR39&lt;=CR19,CR39/CR19,CR39&gt;CR19,1)</f>
        <v>9.375E-2</v>
      </c>
      <c r="CS47" s="1111">
        <v>2</v>
      </c>
      <c r="CT47" s="856"/>
      <c r="CU47" s="857"/>
      <c r="CV47" s="1300">
        <f>_xlfn.IFS(CV19=0,0,CV39&lt;=CV19,CV39/CV19,CV39&gt;CV19,1)</f>
        <v>9.375E-2</v>
      </c>
      <c r="CW47" s="1111">
        <v>2</v>
      </c>
      <c r="CX47" s="856"/>
      <c r="CY47" s="857"/>
      <c r="CZ47" s="1300">
        <f>_xlfn.IFS(CZ19=0,0,CZ39&lt;=CZ19,CZ39/CZ19,CZ39&gt;CZ19,1)</f>
        <v>9.375E-2</v>
      </c>
      <c r="DA47" s="1111">
        <v>2</v>
      </c>
      <c r="DB47" s="856"/>
      <c r="DC47" s="857"/>
      <c r="DD47" s="1300">
        <f>_xlfn.IFS(DD19=0,0,DD39&lt;=DD19,DD39/DD19,DD39&gt;DD19,1)</f>
        <v>9.375E-2</v>
      </c>
      <c r="DE47" s="1111">
        <v>2</v>
      </c>
      <c r="DF47" s="856"/>
      <c r="DG47" s="857"/>
      <c r="DH47" s="1300">
        <f>_xlfn.IFS(DH19=0,0,DH39&lt;=DH19,DH39/DH19,DH39&gt;DH19,1)</f>
        <v>9.375E-2</v>
      </c>
      <c r="DI47" s="1111">
        <v>2</v>
      </c>
      <c r="DJ47" s="856"/>
      <c r="DK47" s="857"/>
      <c r="DL47" s="1300">
        <f>_xlfn.IFS(DL19=0,0,DL39&lt;=DL19,DL39/DL19,DL39&gt;DL19,1)</f>
        <v>9.375E-2</v>
      </c>
      <c r="DM47" s="1111">
        <v>2</v>
      </c>
      <c r="DN47" s="856"/>
      <c r="DO47" s="857"/>
      <c r="DP47" s="1300">
        <f>_xlfn.IFS(DP19=0,0,DP39&lt;=DP19,DP39/DP19,DP39&gt;DP19,1)</f>
        <v>9.375E-2</v>
      </c>
      <c r="DQ47" s="1111">
        <v>2</v>
      </c>
      <c r="DR47" s="856"/>
      <c r="DS47" s="857"/>
      <c r="DT47" s="1300">
        <f>_xlfn.IFS(DT19=0,0,DT39&lt;=DT19,DT39/DT19,DT39&gt;DT19,1)</f>
        <v>9.375E-2</v>
      </c>
      <c r="DU47" s="1111">
        <v>2</v>
      </c>
      <c r="DV47" s="856"/>
      <c r="DW47" s="857"/>
      <c r="DX47" s="1300">
        <f>_xlfn.IFS(DX19=0,0,DX39&lt;=DX19,DX39/DX19,DX39&gt;DX19,1)</f>
        <v>9.375E-2</v>
      </c>
      <c r="DY47" s="1111">
        <v>2</v>
      </c>
      <c r="DZ47" s="856"/>
      <c r="EA47" s="857"/>
      <c r="EB47" s="1300">
        <f>_xlfn.IFS(EB19=0,0,EB39&lt;=EB19,EB39/EB19,EB39&gt;EB19,1)</f>
        <v>9.375E-2</v>
      </c>
      <c r="EC47" s="1111">
        <v>2</v>
      </c>
      <c r="ED47" s="856"/>
      <c r="EE47" s="857"/>
      <c r="EF47" s="1300">
        <f>_xlfn.IFS(EF19=0,0,EF39&lt;=EF19,EF39/EF19,EF39&gt;EF19,1)</f>
        <v>9.375E-2</v>
      </c>
    </row>
    <row r="48" spans="1:136" ht="20" customHeight="1" x14ac:dyDescent="0.15">
      <c r="A48" s="861" t="s">
        <v>205</v>
      </c>
      <c r="B48" s="862" t="s">
        <v>204</v>
      </c>
      <c r="C48" s="23"/>
      <c r="D48" s="838"/>
      <c r="E48" s="838"/>
      <c r="F48" s="838"/>
      <c r="G48" s="838"/>
      <c r="H48" s="814"/>
      <c r="I48" s="814"/>
      <c r="J48" s="814"/>
      <c r="K48" s="839"/>
      <c r="L48" s="884"/>
      <c r="M48" s="888"/>
      <c r="N48" s="835"/>
      <c r="O48" s="907" t="s">
        <v>30</v>
      </c>
      <c r="P48" s="908">
        <f>P50-$K$19</f>
        <v>-2730769.230769231</v>
      </c>
      <c r="Q48" s="888"/>
      <c r="R48" s="835"/>
      <c r="S48" s="907" t="s">
        <v>30</v>
      </c>
      <c r="T48" s="908">
        <f>T50-$K$19</f>
        <v>-2730769.230769231</v>
      </c>
      <c r="U48" s="888"/>
      <c r="V48" s="835"/>
      <c r="W48" s="907" t="s">
        <v>30</v>
      </c>
      <c r="X48" s="908">
        <f>X50-$K$19</f>
        <v>-2730769.230769231</v>
      </c>
      <c r="Y48" s="888"/>
      <c r="Z48" s="835"/>
      <c r="AA48" s="907" t="s">
        <v>30</v>
      </c>
      <c r="AB48" s="908">
        <f>AB50-$K$19</f>
        <v>-2730769.230769231</v>
      </c>
      <c r="AC48" s="888"/>
      <c r="AD48" s="835"/>
      <c r="AE48" s="907" t="s">
        <v>30</v>
      </c>
      <c r="AF48" s="908">
        <f>AF50-$K$19</f>
        <v>-2730769.230769231</v>
      </c>
      <c r="AG48" s="888"/>
      <c r="AH48" s="835"/>
      <c r="AI48" s="907" t="s">
        <v>30</v>
      </c>
      <c r="AJ48" s="908">
        <f>AJ50-$K$19</f>
        <v>-2730769.230769231</v>
      </c>
      <c r="AK48" s="888"/>
      <c r="AL48" s="835"/>
      <c r="AM48" s="907" t="s">
        <v>30</v>
      </c>
      <c r="AN48" s="908">
        <f>AN50-$K$19</f>
        <v>-2730769.230769231</v>
      </c>
      <c r="AO48" s="888"/>
      <c r="AP48" s="835"/>
      <c r="AQ48" s="907" t="s">
        <v>30</v>
      </c>
      <c r="AR48" s="908">
        <f>AR50-$K$19</f>
        <v>-2730769.230769231</v>
      </c>
      <c r="AS48" s="888"/>
      <c r="AT48" s="835"/>
      <c r="AU48" s="907" t="s">
        <v>30</v>
      </c>
      <c r="AV48" s="908">
        <f>AV50-$K$19</f>
        <v>-2730769.230769231</v>
      </c>
      <c r="AW48" s="888"/>
      <c r="AX48" s="835"/>
      <c r="AY48" s="907" t="s">
        <v>30</v>
      </c>
      <c r="AZ48" s="908">
        <f>AZ50-$K$19</f>
        <v>-2730769.230769231</v>
      </c>
      <c r="BA48" s="888"/>
      <c r="BB48" s="835"/>
      <c r="BC48" s="907" t="s">
        <v>30</v>
      </c>
      <c r="BD48" s="908">
        <f>BD50-$K$19</f>
        <v>-2730769.230769231</v>
      </c>
      <c r="BE48" s="888"/>
      <c r="BF48" s="835"/>
      <c r="BG48" s="907" t="s">
        <v>30</v>
      </c>
      <c r="BH48" s="908">
        <f>BH50-$K$19</f>
        <v>-2730769.230769231</v>
      </c>
      <c r="BI48" s="888"/>
      <c r="BJ48" s="835"/>
      <c r="BK48" s="907" t="s">
        <v>30</v>
      </c>
      <c r="BL48" s="908">
        <f>BL50-$K$19</f>
        <v>-2730769.230769231</v>
      </c>
      <c r="BM48" s="888"/>
      <c r="BN48" s="835"/>
      <c r="BO48" s="907" t="s">
        <v>30</v>
      </c>
      <c r="BP48" s="908">
        <f>BP50-$K$19</f>
        <v>-2730769.230769231</v>
      </c>
      <c r="BQ48" s="888"/>
      <c r="BR48" s="835"/>
      <c r="BS48" s="907" t="s">
        <v>30</v>
      </c>
      <c r="BT48" s="908">
        <f>BT50-$K$19</f>
        <v>-2730769.230769231</v>
      </c>
      <c r="BU48" s="888"/>
      <c r="BV48" s="835"/>
      <c r="BW48" s="907" t="s">
        <v>30</v>
      </c>
      <c r="BX48" s="908">
        <f>BX50-$K$19</f>
        <v>-2730769.230769231</v>
      </c>
      <c r="BY48" s="888"/>
      <c r="BZ48" s="835"/>
      <c r="CA48" s="907" t="s">
        <v>30</v>
      </c>
      <c r="CB48" s="908">
        <f>CB50-$K$19</f>
        <v>-2730769.230769231</v>
      </c>
      <c r="CC48" s="888"/>
      <c r="CD48" s="835"/>
      <c r="CE48" s="907" t="s">
        <v>30</v>
      </c>
      <c r="CF48" s="908">
        <f>CF50-$K$19</f>
        <v>-2730769.230769231</v>
      </c>
      <c r="CG48" s="888"/>
      <c r="CH48" s="835"/>
      <c r="CI48" s="907" t="s">
        <v>30</v>
      </c>
      <c r="CJ48" s="908">
        <f>CJ50-$K$19</f>
        <v>-2730769.230769231</v>
      </c>
      <c r="CK48" s="888"/>
      <c r="CL48" s="835"/>
      <c r="CM48" s="907" t="s">
        <v>30</v>
      </c>
      <c r="CN48" s="908">
        <f>CN50-$K$19</f>
        <v>-2730769.230769231</v>
      </c>
      <c r="CO48" s="888"/>
      <c r="CP48" s="835"/>
      <c r="CQ48" s="907" t="s">
        <v>30</v>
      </c>
      <c r="CR48" s="908">
        <f>CR50-$K$19</f>
        <v>-2730769.230769231</v>
      </c>
      <c r="CS48" s="888"/>
      <c r="CT48" s="835"/>
      <c r="CU48" s="907" t="s">
        <v>30</v>
      </c>
      <c r="CV48" s="908">
        <f>CV50-$K$19</f>
        <v>-2730769.230769231</v>
      </c>
      <c r="CW48" s="888"/>
      <c r="CX48" s="835"/>
      <c r="CY48" s="907" t="s">
        <v>30</v>
      </c>
      <c r="CZ48" s="908">
        <f>CZ50-$K$19</f>
        <v>-2730769.230769231</v>
      </c>
      <c r="DA48" s="888"/>
      <c r="DB48" s="835"/>
      <c r="DC48" s="907" t="s">
        <v>30</v>
      </c>
      <c r="DD48" s="908">
        <f>DD50-$K$19</f>
        <v>-2730769.230769231</v>
      </c>
      <c r="DE48" s="888"/>
      <c r="DF48" s="835"/>
      <c r="DG48" s="907" t="s">
        <v>30</v>
      </c>
      <c r="DH48" s="908">
        <f>DH50-$K$19</f>
        <v>-2730769.230769231</v>
      </c>
      <c r="DI48" s="888"/>
      <c r="DJ48" s="835"/>
      <c r="DK48" s="907" t="s">
        <v>30</v>
      </c>
      <c r="DL48" s="908">
        <f>DL50-$K$19</f>
        <v>-2730769.230769231</v>
      </c>
      <c r="DM48" s="888"/>
      <c r="DN48" s="835"/>
      <c r="DO48" s="907" t="s">
        <v>30</v>
      </c>
      <c r="DP48" s="908">
        <f>DP50-$K$19</f>
        <v>-2730769.230769231</v>
      </c>
      <c r="DQ48" s="888"/>
      <c r="DR48" s="835"/>
      <c r="DS48" s="907" t="s">
        <v>30</v>
      </c>
      <c r="DT48" s="908">
        <f>DT50-$K$19</f>
        <v>-2730769.230769231</v>
      </c>
      <c r="DU48" s="888"/>
      <c r="DV48" s="835"/>
      <c r="DW48" s="907" t="s">
        <v>30</v>
      </c>
      <c r="DX48" s="908">
        <f>DX50-$K$19</f>
        <v>-2730769.230769231</v>
      </c>
      <c r="DY48" s="888"/>
      <c r="DZ48" s="835"/>
      <c r="EA48" s="907" t="s">
        <v>30</v>
      </c>
      <c r="EB48" s="908">
        <f>EB50-$K$19</f>
        <v>-2730769.230769231</v>
      </c>
      <c r="EC48" s="888"/>
      <c r="ED48" s="835"/>
      <c r="EE48" s="907" t="s">
        <v>30</v>
      </c>
      <c r="EF48" s="908">
        <f>EF50-$K$19</f>
        <v>-2730769.230769231</v>
      </c>
    </row>
    <row r="49" spans="1:137" ht="20" customHeight="1" x14ac:dyDescent="0.15">
      <c r="A49" s="792" t="s">
        <v>206</v>
      </c>
      <c r="B49" s="792" t="s">
        <v>207</v>
      </c>
      <c r="C49" s="793" t="s">
        <v>208</v>
      </c>
      <c r="D49" s="794" t="s">
        <v>64</v>
      </c>
      <c r="E49" s="794" t="s">
        <v>13</v>
      </c>
      <c r="F49" s="794" t="s">
        <v>201</v>
      </c>
      <c r="G49" s="794" t="s">
        <v>109</v>
      </c>
      <c r="H49" s="792" t="s">
        <v>207</v>
      </c>
      <c r="I49" s="793" t="s">
        <v>208</v>
      </c>
      <c r="J49" s="794" t="s">
        <v>64</v>
      </c>
      <c r="K49" s="794" t="s">
        <v>13</v>
      </c>
      <c r="L49" s="885" t="s">
        <v>201</v>
      </c>
      <c r="M49" s="914" t="s">
        <v>207</v>
      </c>
      <c r="N49" s="794" t="s">
        <v>64</v>
      </c>
      <c r="O49" s="794" t="s">
        <v>13</v>
      </c>
      <c r="P49" s="885" t="s">
        <v>201</v>
      </c>
      <c r="Q49" s="914" t="s">
        <v>207</v>
      </c>
      <c r="R49" s="794" t="s">
        <v>64</v>
      </c>
      <c r="S49" s="794" t="s">
        <v>13</v>
      </c>
      <c r="T49" s="885" t="s">
        <v>201</v>
      </c>
      <c r="U49" s="914" t="s">
        <v>207</v>
      </c>
      <c r="V49" s="794" t="s">
        <v>64</v>
      </c>
      <c r="W49" s="794" t="s">
        <v>13</v>
      </c>
      <c r="X49" s="885" t="s">
        <v>201</v>
      </c>
      <c r="Y49" s="914" t="s">
        <v>207</v>
      </c>
      <c r="Z49" s="794" t="s">
        <v>64</v>
      </c>
      <c r="AA49" s="794" t="s">
        <v>13</v>
      </c>
      <c r="AB49" s="885" t="s">
        <v>201</v>
      </c>
      <c r="AC49" s="914" t="s">
        <v>207</v>
      </c>
      <c r="AD49" s="794" t="s">
        <v>64</v>
      </c>
      <c r="AE49" s="794" t="s">
        <v>13</v>
      </c>
      <c r="AF49" s="885" t="s">
        <v>201</v>
      </c>
      <c r="AG49" s="914" t="s">
        <v>207</v>
      </c>
      <c r="AH49" s="794" t="s">
        <v>64</v>
      </c>
      <c r="AI49" s="794" t="s">
        <v>13</v>
      </c>
      <c r="AJ49" s="885" t="s">
        <v>201</v>
      </c>
      <c r="AK49" s="914" t="s">
        <v>207</v>
      </c>
      <c r="AL49" s="794" t="s">
        <v>64</v>
      </c>
      <c r="AM49" s="794" t="s">
        <v>13</v>
      </c>
      <c r="AN49" s="885" t="s">
        <v>201</v>
      </c>
      <c r="AO49" s="914" t="s">
        <v>207</v>
      </c>
      <c r="AP49" s="794" t="s">
        <v>64</v>
      </c>
      <c r="AQ49" s="794" t="s">
        <v>13</v>
      </c>
      <c r="AR49" s="885" t="s">
        <v>201</v>
      </c>
      <c r="AS49" s="914" t="s">
        <v>207</v>
      </c>
      <c r="AT49" s="794" t="s">
        <v>64</v>
      </c>
      <c r="AU49" s="794" t="s">
        <v>13</v>
      </c>
      <c r="AV49" s="885" t="s">
        <v>201</v>
      </c>
      <c r="AW49" s="914" t="s">
        <v>207</v>
      </c>
      <c r="AX49" s="794" t="s">
        <v>64</v>
      </c>
      <c r="AY49" s="794" t="s">
        <v>13</v>
      </c>
      <c r="AZ49" s="885" t="s">
        <v>201</v>
      </c>
      <c r="BA49" s="914" t="s">
        <v>207</v>
      </c>
      <c r="BB49" s="794" t="s">
        <v>64</v>
      </c>
      <c r="BC49" s="794" t="s">
        <v>13</v>
      </c>
      <c r="BD49" s="885" t="s">
        <v>201</v>
      </c>
      <c r="BE49" s="914" t="s">
        <v>207</v>
      </c>
      <c r="BF49" s="794" t="s">
        <v>64</v>
      </c>
      <c r="BG49" s="794" t="s">
        <v>13</v>
      </c>
      <c r="BH49" s="885" t="s">
        <v>201</v>
      </c>
      <c r="BI49" s="914" t="s">
        <v>207</v>
      </c>
      <c r="BJ49" s="794" t="s">
        <v>64</v>
      </c>
      <c r="BK49" s="794" t="s">
        <v>13</v>
      </c>
      <c r="BL49" s="885" t="s">
        <v>201</v>
      </c>
      <c r="BM49" s="914" t="s">
        <v>207</v>
      </c>
      <c r="BN49" s="794" t="s">
        <v>64</v>
      </c>
      <c r="BO49" s="794" t="s">
        <v>13</v>
      </c>
      <c r="BP49" s="885" t="s">
        <v>201</v>
      </c>
      <c r="BQ49" s="914" t="s">
        <v>207</v>
      </c>
      <c r="BR49" s="794" t="s">
        <v>64</v>
      </c>
      <c r="BS49" s="794" t="s">
        <v>13</v>
      </c>
      <c r="BT49" s="885" t="s">
        <v>201</v>
      </c>
      <c r="BU49" s="914" t="s">
        <v>207</v>
      </c>
      <c r="BV49" s="794" t="s">
        <v>64</v>
      </c>
      <c r="BW49" s="794" t="s">
        <v>13</v>
      </c>
      <c r="BX49" s="885" t="s">
        <v>201</v>
      </c>
      <c r="BY49" s="914" t="s">
        <v>207</v>
      </c>
      <c r="BZ49" s="794" t="s">
        <v>64</v>
      </c>
      <c r="CA49" s="794" t="s">
        <v>13</v>
      </c>
      <c r="CB49" s="885" t="s">
        <v>201</v>
      </c>
      <c r="CC49" s="914" t="s">
        <v>207</v>
      </c>
      <c r="CD49" s="794" t="s">
        <v>64</v>
      </c>
      <c r="CE49" s="794" t="s">
        <v>13</v>
      </c>
      <c r="CF49" s="885" t="s">
        <v>201</v>
      </c>
      <c r="CG49" s="914" t="s">
        <v>207</v>
      </c>
      <c r="CH49" s="794" t="s">
        <v>64</v>
      </c>
      <c r="CI49" s="794" t="s">
        <v>13</v>
      </c>
      <c r="CJ49" s="885" t="s">
        <v>201</v>
      </c>
      <c r="CK49" s="914" t="s">
        <v>207</v>
      </c>
      <c r="CL49" s="794" t="s">
        <v>64</v>
      </c>
      <c r="CM49" s="794" t="s">
        <v>13</v>
      </c>
      <c r="CN49" s="885" t="s">
        <v>201</v>
      </c>
      <c r="CO49" s="914" t="s">
        <v>207</v>
      </c>
      <c r="CP49" s="794" t="s">
        <v>64</v>
      </c>
      <c r="CQ49" s="794" t="s">
        <v>13</v>
      </c>
      <c r="CR49" s="885" t="s">
        <v>201</v>
      </c>
      <c r="CS49" s="914" t="s">
        <v>207</v>
      </c>
      <c r="CT49" s="794" t="s">
        <v>64</v>
      </c>
      <c r="CU49" s="794" t="s">
        <v>13</v>
      </c>
      <c r="CV49" s="885" t="s">
        <v>201</v>
      </c>
      <c r="CW49" s="914" t="s">
        <v>207</v>
      </c>
      <c r="CX49" s="794" t="s">
        <v>64</v>
      </c>
      <c r="CY49" s="794" t="s">
        <v>13</v>
      </c>
      <c r="CZ49" s="885" t="s">
        <v>201</v>
      </c>
      <c r="DA49" s="914" t="s">
        <v>207</v>
      </c>
      <c r="DB49" s="794" t="s">
        <v>64</v>
      </c>
      <c r="DC49" s="794" t="s">
        <v>13</v>
      </c>
      <c r="DD49" s="885" t="s">
        <v>201</v>
      </c>
      <c r="DE49" s="914" t="s">
        <v>207</v>
      </c>
      <c r="DF49" s="794" t="s">
        <v>64</v>
      </c>
      <c r="DG49" s="794" t="s">
        <v>13</v>
      </c>
      <c r="DH49" s="885" t="s">
        <v>201</v>
      </c>
      <c r="DI49" s="914" t="s">
        <v>207</v>
      </c>
      <c r="DJ49" s="794" t="s">
        <v>64</v>
      </c>
      <c r="DK49" s="794" t="s">
        <v>13</v>
      </c>
      <c r="DL49" s="885" t="s">
        <v>201</v>
      </c>
      <c r="DM49" s="914" t="s">
        <v>207</v>
      </c>
      <c r="DN49" s="794" t="s">
        <v>64</v>
      </c>
      <c r="DO49" s="794" t="s">
        <v>13</v>
      </c>
      <c r="DP49" s="885" t="s">
        <v>201</v>
      </c>
      <c r="DQ49" s="914" t="s">
        <v>207</v>
      </c>
      <c r="DR49" s="794" t="s">
        <v>64</v>
      </c>
      <c r="DS49" s="794" t="s">
        <v>13</v>
      </c>
      <c r="DT49" s="885" t="s">
        <v>201</v>
      </c>
      <c r="DU49" s="914" t="s">
        <v>207</v>
      </c>
      <c r="DV49" s="794" t="s">
        <v>64</v>
      </c>
      <c r="DW49" s="794" t="s">
        <v>13</v>
      </c>
      <c r="DX49" s="885" t="s">
        <v>201</v>
      </c>
      <c r="DY49" s="914" t="s">
        <v>207</v>
      </c>
      <c r="DZ49" s="794" t="s">
        <v>64</v>
      </c>
      <c r="EA49" s="794" t="s">
        <v>13</v>
      </c>
      <c r="EB49" s="885" t="s">
        <v>201</v>
      </c>
      <c r="EC49" s="914" t="s">
        <v>207</v>
      </c>
      <c r="ED49" s="794" t="s">
        <v>64</v>
      </c>
      <c r="EE49" s="794" t="s">
        <v>13</v>
      </c>
      <c r="EF49" s="885" t="s">
        <v>201</v>
      </c>
    </row>
    <row r="50" spans="1:137" ht="20" customHeight="1" x14ac:dyDescent="0.15">
      <c r="A50" s="868">
        <f>Dashboard!F36</f>
        <v>331700000</v>
      </c>
      <c r="B50" s="863" t="str">
        <f>Dashboard!$B36</f>
        <v>TOTAL</v>
      </c>
      <c r="C50" s="866" t="s">
        <v>79</v>
      </c>
      <c r="D50" s="795">
        <f>SUM(D51:D58)</f>
        <v>713</v>
      </c>
      <c r="E50" s="795">
        <f>SUM(E51:E58)</f>
        <v>868</v>
      </c>
      <c r="F50" s="868">
        <f>SUM(F51:F58)</f>
        <v>124000000</v>
      </c>
      <c r="G50" s="1171">
        <f>SUM(G51:G58)</f>
        <v>1</v>
      </c>
      <c r="H50" s="865" t="str">
        <f>Dashboard!$B36</f>
        <v>TOTAL</v>
      </c>
      <c r="I50" s="866" t="s">
        <v>79</v>
      </c>
      <c r="J50" s="795">
        <f ca="1">SUM(J51:J58)</f>
        <v>0</v>
      </c>
      <c r="K50" s="795">
        <f ca="1">SUM(K51:K58)</f>
        <v>0</v>
      </c>
      <c r="L50" s="886">
        <f ca="1">SUM(L51:L58)</f>
        <v>0</v>
      </c>
      <c r="M50" s="915" t="str">
        <f>Dashboard!$B36</f>
        <v>TOTAL</v>
      </c>
      <c r="N50" s="959">
        <f>SUM(N51:N58)</f>
        <v>23</v>
      </c>
      <c r="O50" s="959">
        <f t="shared" ref="O50" si="343">SUM(O51:O58)</f>
        <v>28</v>
      </c>
      <c r="P50" s="960">
        <f>SUM(P51:P58)</f>
        <v>4000000</v>
      </c>
      <c r="Q50" s="915" t="str">
        <f>Dashboard!$B36</f>
        <v>TOTAL</v>
      </c>
      <c r="R50" s="959">
        <f>SUM(R51:R58)</f>
        <v>23</v>
      </c>
      <c r="S50" s="959">
        <f t="shared" ref="S50" si="344">SUM(S51:S58)</f>
        <v>28</v>
      </c>
      <c r="T50" s="960">
        <f>SUM(T51:T58)</f>
        <v>4000000</v>
      </c>
      <c r="U50" s="915" t="str">
        <f>Dashboard!$B36</f>
        <v>TOTAL</v>
      </c>
      <c r="V50" s="959">
        <f>SUM(V51:V58)</f>
        <v>23</v>
      </c>
      <c r="W50" s="959">
        <f t="shared" ref="W50" si="345">SUM(W51:W58)</f>
        <v>28</v>
      </c>
      <c r="X50" s="960">
        <f>SUM(X51:X58)</f>
        <v>4000000</v>
      </c>
      <c r="Y50" s="915" t="str">
        <f>Dashboard!$B36</f>
        <v>TOTAL</v>
      </c>
      <c r="Z50" s="959">
        <f>SUM(Z51:Z58)</f>
        <v>23</v>
      </c>
      <c r="AA50" s="959">
        <f t="shared" ref="AA50" si="346">SUM(AA51:AA58)</f>
        <v>28</v>
      </c>
      <c r="AB50" s="960">
        <f>SUM(AB51:AB58)</f>
        <v>4000000</v>
      </c>
      <c r="AC50" s="915" t="str">
        <f>Dashboard!$B36</f>
        <v>TOTAL</v>
      </c>
      <c r="AD50" s="959">
        <f>SUM(AD51:AD58)</f>
        <v>23</v>
      </c>
      <c r="AE50" s="959">
        <f t="shared" ref="AE50" si="347">SUM(AE51:AE58)</f>
        <v>28</v>
      </c>
      <c r="AF50" s="960">
        <f>SUM(AF51:AF58)</f>
        <v>4000000</v>
      </c>
      <c r="AG50" s="915" t="str">
        <f>Dashboard!$B36</f>
        <v>TOTAL</v>
      </c>
      <c r="AH50" s="959">
        <f>SUM(AH51:AH58)</f>
        <v>23</v>
      </c>
      <c r="AI50" s="959">
        <f t="shared" ref="AI50" si="348">SUM(AI51:AI58)</f>
        <v>28</v>
      </c>
      <c r="AJ50" s="960">
        <f>SUM(AJ51:AJ58)</f>
        <v>4000000</v>
      </c>
      <c r="AK50" s="915" t="str">
        <f>Dashboard!$B36</f>
        <v>TOTAL</v>
      </c>
      <c r="AL50" s="959">
        <f>SUM(AL51:AL58)</f>
        <v>23</v>
      </c>
      <c r="AM50" s="959">
        <f t="shared" ref="AM50" si="349">SUM(AM51:AM58)</f>
        <v>28</v>
      </c>
      <c r="AN50" s="960">
        <f>SUM(AN51:AN58)</f>
        <v>4000000</v>
      </c>
      <c r="AO50" s="915" t="str">
        <f>Dashboard!$B36</f>
        <v>TOTAL</v>
      </c>
      <c r="AP50" s="959">
        <f>SUM(AP51:AP58)</f>
        <v>23</v>
      </c>
      <c r="AQ50" s="959">
        <f t="shared" ref="AQ50" si="350">SUM(AQ51:AQ58)</f>
        <v>28</v>
      </c>
      <c r="AR50" s="960">
        <f>SUM(AR51:AR58)</f>
        <v>4000000</v>
      </c>
      <c r="AS50" s="915" t="str">
        <f>Dashboard!$B36</f>
        <v>TOTAL</v>
      </c>
      <c r="AT50" s="959">
        <f>SUM(AT51:AT58)</f>
        <v>23</v>
      </c>
      <c r="AU50" s="959">
        <f t="shared" ref="AU50" si="351">SUM(AU51:AU58)</f>
        <v>28</v>
      </c>
      <c r="AV50" s="960">
        <f>SUM(AV51:AV58)</f>
        <v>4000000</v>
      </c>
      <c r="AW50" s="915" t="str">
        <f>Dashboard!$B36</f>
        <v>TOTAL</v>
      </c>
      <c r="AX50" s="959">
        <f>SUM(AX51:AX58)</f>
        <v>23</v>
      </c>
      <c r="AY50" s="959">
        <f t="shared" ref="AY50" si="352">SUM(AY51:AY58)</f>
        <v>28</v>
      </c>
      <c r="AZ50" s="960">
        <f>SUM(AZ51:AZ58)</f>
        <v>4000000</v>
      </c>
      <c r="BA50" s="915" t="str">
        <f>Dashboard!$B36</f>
        <v>TOTAL</v>
      </c>
      <c r="BB50" s="959">
        <f>SUM(BB51:BB58)</f>
        <v>23</v>
      </c>
      <c r="BC50" s="959">
        <f t="shared" ref="BC50" si="353">SUM(BC51:BC58)</f>
        <v>28</v>
      </c>
      <c r="BD50" s="960">
        <f>SUM(BD51:BD58)</f>
        <v>4000000</v>
      </c>
      <c r="BE50" s="915" t="str">
        <f>Dashboard!$B36</f>
        <v>TOTAL</v>
      </c>
      <c r="BF50" s="959">
        <f>SUM(BF51:BF58)</f>
        <v>23</v>
      </c>
      <c r="BG50" s="959">
        <f t="shared" ref="BG50" si="354">SUM(BG51:BG58)</f>
        <v>28</v>
      </c>
      <c r="BH50" s="960">
        <f>SUM(BH51:BH58)</f>
        <v>4000000</v>
      </c>
      <c r="BI50" s="915" t="str">
        <f>Dashboard!$B36</f>
        <v>TOTAL</v>
      </c>
      <c r="BJ50" s="959">
        <f>SUM(BJ51:BJ58)</f>
        <v>23</v>
      </c>
      <c r="BK50" s="959">
        <f t="shared" ref="BK50" si="355">SUM(BK51:BK58)</f>
        <v>28</v>
      </c>
      <c r="BL50" s="960">
        <f>SUM(BL51:BL58)</f>
        <v>4000000</v>
      </c>
      <c r="BM50" s="915" t="str">
        <f>Dashboard!$B36</f>
        <v>TOTAL</v>
      </c>
      <c r="BN50" s="959">
        <f>SUM(BN51:BN58)</f>
        <v>23</v>
      </c>
      <c r="BO50" s="959">
        <f t="shared" ref="BO50" si="356">SUM(BO51:BO58)</f>
        <v>28</v>
      </c>
      <c r="BP50" s="960">
        <f>SUM(BP51:BP58)</f>
        <v>4000000</v>
      </c>
      <c r="BQ50" s="915" t="str">
        <f>Dashboard!$B36</f>
        <v>TOTAL</v>
      </c>
      <c r="BR50" s="959">
        <f>SUM(BR51:BR58)</f>
        <v>23</v>
      </c>
      <c r="BS50" s="959">
        <f t="shared" ref="BS50" si="357">SUM(BS51:BS58)</f>
        <v>28</v>
      </c>
      <c r="BT50" s="960">
        <f>SUM(BT51:BT58)</f>
        <v>4000000</v>
      </c>
      <c r="BU50" s="915" t="str">
        <f>Dashboard!$B36</f>
        <v>TOTAL</v>
      </c>
      <c r="BV50" s="959">
        <f>SUM(BV51:BV58)</f>
        <v>23</v>
      </c>
      <c r="BW50" s="959">
        <f t="shared" ref="BW50" si="358">SUM(BW51:BW58)</f>
        <v>28</v>
      </c>
      <c r="BX50" s="960">
        <f>SUM(BX51:BX58)</f>
        <v>4000000</v>
      </c>
      <c r="BY50" s="915" t="str">
        <f>Dashboard!$B36</f>
        <v>TOTAL</v>
      </c>
      <c r="BZ50" s="959">
        <f>SUM(BZ51:BZ58)</f>
        <v>23</v>
      </c>
      <c r="CA50" s="959">
        <f t="shared" ref="CA50" si="359">SUM(CA51:CA58)</f>
        <v>28</v>
      </c>
      <c r="CB50" s="960">
        <f>SUM(CB51:CB58)</f>
        <v>4000000</v>
      </c>
      <c r="CC50" s="915" t="str">
        <f>Dashboard!$B36</f>
        <v>TOTAL</v>
      </c>
      <c r="CD50" s="959">
        <f>SUM(CD51:CD58)</f>
        <v>23</v>
      </c>
      <c r="CE50" s="959">
        <f t="shared" ref="CE50" si="360">SUM(CE51:CE58)</f>
        <v>28</v>
      </c>
      <c r="CF50" s="960">
        <f>SUM(CF51:CF58)</f>
        <v>4000000</v>
      </c>
      <c r="CG50" s="915" t="str">
        <f>Dashboard!$B36</f>
        <v>TOTAL</v>
      </c>
      <c r="CH50" s="959">
        <f>SUM(CH51:CH58)</f>
        <v>23</v>
      </c>
      <c r="CI50" s="959">
        <f t="shared" ref="CI50" si="361">SUM(CI51:CI58)</f>
        <v>28</v>
      </c>
      <c r="CJ50" s="960">
        <f>SUM(CJ51:CJ58)</f>
        <v>4000000</v>
      </c>
      <c r="CK50" s="915" t="str">
        <f>Dashboard!$B36</f>
        <v>TOTAL</v>
      </c>
      <c r="CL50" s="959">
        <f>SUM(CL51:CL58)</f>
        <v>23</v>
      </c>
      <c r="CM50" s="959">
        <f t="shared" ref="CM50" si="362">SUM(CM51:CM58)</f>
        <v>28</v>
      </c>
      <c r="CN50" s="960">
        <f>SUM(CN51:CN58)</f>
        <v>4000000</v>
      </c>
      <c r="CO50" s="915" t="str">
        <f>Dashboard!$B36</f>
        <v>TOTAL</v>
      </c>
      <c r="CP50" s="959">
        <f>SUM(CP51:CP58)</f>
        <v>23</v>
      </c>
      <c r="CQ50" s="959">
        <f t="shared" ref="CQ50" si="363">SUM(CQ51:CQ58)</f>
        <v>28</v>
      </c>
      <c r="CR50" s="960">
        <f>SUM(CR51:CR58)</f>
        <v>4000000</v>
      </c>
      <c r="CS50" s="915" t="str">
        <f>Dashboard!$B36</f>
        <v>TOTAL</v>
      </c>
      <c r="CT50" s="959">
        <f>SUM(CT51:CT58)</f>
        <v>23</v>
      </c>
      <c r="CU50" s="959">
        <f t="shared" ref="CU50" si="364">SUM(CU51:CU58)</f>
        <v>28</v>
      </c>
      <c r="CV50" s="960">
        <f>SUM(CV51:CV58)</f>
        <v>4000000</v>
      </c>
      <c r="CW50" s="915" t="str">
        <f>Dashboard!$B36</f>
        <v>TOTAL</v>
      </c>
      <c r="CX50" s="959">
        <f>SUM(CX51:CX58)</f>
        <v>23</v>
      </c>
      <c r="CY50" s="959">
        <f t="shared" ref="CY50" si="365">SUM(CY51:CY58)</f>
        <v>28</v>
      </c>
      <c r="CZ50" s="960">
        <f>SUM(CZ51:CZ58)</f>
        <v>4000000</v>
      </c>
      <c r="DA50" s="915" t="str">
        <f>Dashboard!$B36</f>
        <v>TOTAL</v>
      </c>
      <c r="DB50" s="959">
        <f>SUM(DB51:DB58)</f>
        <v>23</v>
      </c>
      <c r="DC50" s="959">
        <f t="shared" ref="DC50" si="366">SUM(DC51:DC58)</f>
        <v>28</v>
      </c>
      <c r="DD50" s="960">
        <f>SUM(DD51:DD58)</f>
        <v>4000000</v>
      </c>
      <c r="DE50" s="915" t="str">
        <f>Dashboard!$B36</f>
        <v>TOTAL</v>
      </c>
      <c r="DF50" s="959">
        <f>SUM(DF51:DF58)</f>
        <v>23</v>
      </c>
      <c r="DG50" s="959">
        <f t="shared" ref="DG50" si="367">SUM(DG51:DG58)</f>
        <v>28</v>
      </c>
      <c r="DH50" s="960">
        <f>SUM(DH51:DH58)</f>
        <v>4000000</v>
      </c>
      <c r="DI50" s="915" t="str">
        <f>Dashboard!$B36</f>
        <v>TOTAL</v>
      </c>
      <c r="DJ50" s="959">
        <f>SUM(DJ51:DJ58)</f>
        <v>23</v>
      </c>
      <c r="DK50" s="959">
        <f t="shared" ref="DK50" si="368">SUM(DK51:DK58)</f>
        <v>28</v>
      </c>
      <c r="DL50" s="960">
        <f>SUM(DL51:DL58)</f>
        <v>4000000</v>
      </c>
      <c r="DM50" s="915" t="str">
        <f>Dashboard!$B36</f>
        <v>TOTAL</v>
      </c>
      <c r="DN50" s="959">
        <f>SUM(DN51:DN58)</f>
        <v>23</v>
      </c>
      <c r="DO50" s="959">
        <f t="shared" ref="DO50" si="369">SUM(DO51:DO58)</f>
        <v>28</v>
      </c>
      <c r="DP50" s="960">
        <f>SUM(DP51:DP58)</f>
        <v>4000000</v>
      </c>
      <c r="DQ50" s="915" t="str">
        <f>Dashboard!$B36</f>
        <v>TOTAL</v>
      </c>
      <c r="DR50" s="959">
        <f>SUM(DR51:DR58)</f>
        <v>23</v>
      </c>
      <c r="DS50" s="959">
        <f t="shared" ref="DS50" si="370">SUM(DS51:DS58)</f>
        <v>28</v>
      </c>
      <c r="DT50" s="960">
        <f>SUM(DT51:DT58)</f>
        <v>4000000</v>
      </c>
      <c r="DU50" s="915" t="str">
        <f>Dashboard!$B36</f>
        <v>TOTAL</v>
      </c>
      <c r="DV50" s="959">
        <f>SUM(DV51:DV58)</f>
        <v>23</v>
      </c>
      <c r="DW50" s="959">
        <f t="shared" ref="DW50" si="371">SUM(DW51:DW58)</f>
        <v>28</v>
      </c>
      <c r="DX50" s="960">
        <f>SUM(DX51:DX58)</f>
        <v>4000000</v>
      </c>
      <c r="DY50" s="915" t="str">
        <f>Dashboard!$B36</f>
        <v>TOTAL</v>
      </c>
      <c r="DZ50" s="959">
        <f>SUM(DZ51:DZ58)</f>
        <v>23</v>
      </c>
      <c r="EA50" s="959">
        <f t="shared" ref="EA50" si="372">SUM(EA51:EA58)</f>
        <v>28</v>
      </c>
      <c r="EB50" s="960">
        <f>SUM(EB51:EB58)</f>
        <v>4000000</v>
      </c>
      <c r="EC50" s="915" t="str">
        <f>Dashboard!$B36</f>
        <v>TOTAL</v>
      </c>
      <c r="ED50" s="959">
        <f>SUM(ED51:ED58)</f>
        <v>23</v>
      </c>
      <c r="EE50" s="959">
        <f t="shared" ref="EE50" si="373">SUM(EE51:EE58)</f>
        <v>28</v>
      </c>
      <c r="EF50" s="960">
        <f>SUM(EF51:EF58)</f>
        <v>4000000</v>
      </c>
    </row>
    <row r="51" spans="1:137" ht="20" customHeight="1" x14ac:dyDescent="0.15">
      <c r="A51" s="869">
        <f>Dashboard!F37</f>
        <v>40300000</v>
      </c>
      <c r="B51" s="864" t="str">
        <f>Dashboard!$B37</f>
        <v>BONE &amp; JOINT HEALTH</v>
      </c>
      <c r="C51" s="867" t="s">
        <v>79</v>
      </c>
      <c r="D51" s="797">
        <f>SUMIF($M$49:$EF$49,$D$49,$M51:$EF51)</f>
        <v>31</v>
      </c>
      <c r="E51" s="797">
        <f>SUMIF($M$49:$EF$49,$E$49,$M51:$EF51)</f>
        <v>62</v>
      </c>
      <c r="F51" s="869">
        <f>SUMIF($M$49:$EF$49,$F$49,$M51:$EF51)</f>
        <v>15500000</v>
      </c>
      <c r="G51" s="1172">
        <f>_xlfn.IFS($F$50=0,0,F51&lt;=$F$50,F51/$F$50,F51&gt;$F$50,1)</f>
        <v>0.125</v>
      </c>
      <c r="H51" s="864" t="str">
        <f>Dashboard!$B37</f>
        <v>BONE &amp; JOINT HEALTH</v>
      </c>
      <c r="I51" s="867" t="s">
        <v>79</v>
      </c>
      <c r="J51" s="797">
        <f ca="1">SUMIFS($M51:$EF51,$M$11:$EF$11,TODAY(),$M$49:$EF$49,J$49)</f>
        <v>0</v>
      </c>
      <c r="K51" s="797">
        <f t="shared" ref="J51:L54" ca="1" si="374">SUMIFS($M51:$EF51,$M$11:$EF$11,TODAY(),$M$49:$EF$49,K$49)</f>
        <v>0</v>
      </c>
      <c r="L51" s="887">
        <f ca="1">SUMIFS($M51:$EF51,$M$11:$EF$11,TODAY(),$M$49:$EF$49,L$49)</f>
        <v>0</v>
      </c>
      <c r="M51" s="1175" t="str">
        <f>Dashboard!$B37</f>
        <v>BONE &amp; JOINT HEALTH</v>
      </c>
      <c r="N51" s="1030">
        <v>1</v>
      </c>
      <c r="O51" s="1030">
        <v>2</v>
      </c>
      <c r="P51" s="1029">
        <v>500000</v>
      </c>
      <c r="Q51" s="1175" t="str">
        <f>Dashboard!$B37</f>
        <v>BONE &amp; JOINT HEALTH</v>
      </c>
      <c r="R51" s="1030">
        <v>1</v>
      </c>
      <c r="S51" s="1030">
        <v>2</v>
      </c>
      <c r="T51" s="1029">
        <v>500000</v>
      </c>
      <c r="U51" s="1175" t="str">
        <f>Dashboard!$B37</f>
        <v>BONE &amp; JOINT HEALTH</v>
      </c>
      <c r="V51" s="1030">
        <v>1</v>
      </c>
      <c r="W51" s="1030">
        <v>2</v>
      </c>
      <c r="X51" s="1029">
        <v>500000</v>
      </c>
      <c r="Y51" s="1175" t="str">
        <f>Dashboard!$B37</f>
        <v>BONE &amp; JOINT HEALTH</v>
      </c>
      <c r="Z51" s="1030">
        <v>1</v>
      </c>
      <c r="AA51" s="1030">
        <v>2</v>
      </c>
      <c r="AB51" s="1029">
        <v>500000</v>
      </c>
      <c r="AC51" s="1175" t="str">
        <f>Dashboard!$B37</f>
        <v>BONE &amp; JOINT HEALTH</v>
      </c>
      <c r="AD51" s="1030">
        <v>1</v>
      </c>
      <c r="AE51" s="1030">
        <v>2</v>
      </c>
      <c r="AF51" s="1029">
        <v>500000</v>
      </c>
      <c r="AG51" s="1175" t="str">
        <f>Dashboard!$B37</f>
        <v>BONE &amp; JOINT HEALTH</v>
      </c>
      <c r="AH51" s="1030">
        <v>1</v>
      </c>
      <c r="AI51" s="1030">
        <v>2</v>
      </c>
      <c r="AJ51" s="1029">
        <v>500000</v>
      </c>
      <c r="AK51" s="1175" t="str">
        <f>Dashboard!$B37</f>
        <v>BONE &amp; JOINT HEALTH</v>
      </c>
      <c r="AL51" s="1030">
        <v>1</v>
      </c>
      <c r="AM51" s="1030">
        <v>2</v>
      </c>
      <c r="AN51" s="1029">
        <v>500000</v>
      </c>
      <c r="AO51" s="1175" t="str">
        <f>Dashboard!$B37</f>
        <v>BONE &amp; JOINT HEALTH</v>
      </c>
      <c r="AP51" s="1030">
        <v>1</v>
      </c>
      <c r="AQ51" s="1030">
        <v>2</v>
      </c>
      <c r="AR51" s="1029">
        <v>500000</v>
      </c>
      <c r="AS51" s="1175" t="str">
        <f>Dashboard!$B37</f>
        <v>BONE &amp; JOINT HEALTH</v>
      </c>
      <c r="AT51" s="1030">
        <v>1</v>
      </c>
      <c r="AU51" s="1030">
        <v>2</v>
      </c>
      <c r="AV51" s="1029">
        <v>500000</v>
      </c>
      <c r="AW51" s="1175" t="str">
        <f>Dashboard!$B37</f>
        <v>BONE &amp; JOINT HEALTH</v>
      </c>
      <c r="AX51" s="1030">
        <v>1</v>
      </c>
      <c r="AY51" s="1030">
        <v>2</v>
      </c>
      <c r="AZ51" s="1029">
        <v>500000</v>
      </c>
      <c r="BA51" s="1175" t="str">
        <f>Dashboard!$B37</f>
        <v>BONE &amp; JOINT HEALTH</v>
      </c>
      <c r="BB51" s="1030">
        <v>1</v>
      </c>
      <c r="BC51" s="1030">
        <v>2</v>
      </c>
      <c r="BD51" s="1029">
        <v>500000</v>
      </c>
      <c r="BE51" s="1175" t="str">
        <f>Dashboard!$B37</f>
        <v>BONE &amp; JOINT HEALTH</v>
      </c>
      <c r="BF51" s="1030">
        <v>1</v>
      </c>
      <c r="BG51" s="1030">
        <v>2</v>
      </c>
      <c r="BH51" s="1029">
        <v>500000</v>
      </c>
      <c r="BI51" s="1175" t="str">
        <f>Dashboard!$B37</f>
        <v>BONE &amp; JOINT HEALTH</v>
      </c>
      <c r="BJ51" s="1030">
        <v>1</v>
      </c>
      <c r="BK51" s="1030">
        <v>2</v>
      </c>
      <c r="BL51" s="1029">
        <v>500000</v>
      </c>
      <c r="BM51" s="1175" t="str">
        <f>Dashboard!$B37</f>
        <v>BONE &amp; JOINT HEALTH</v>
      </c>
      <c r="BN51" s="1030">
        <v>1</v>
      </c>
      <c r="BO51" s="1030">
        <v>2</v>
      </c>
      <c r="BP51" s="1029">
        <v>500000</v>
      </c>
      <c r="BQ51" s="1175" t="str">
        <f>Dashboard!$B37</f>
        <v>BONE &amp; JOINT HEALTH</v>
      </c>
      <c r="BR51" s="1030">
        <v>1</v>
      </c>
      <c r="BS51" s="1030">
        <v>2</v>
      </c>
      <c r="BT51" s="1029">
        <v>500000</v>
      </c>
      <c r="BU51" s="1175" t="str">
        <f>Dashboard!$B37</f>
        <v>BONE &amp; JOINT HEALTH</v>
      </c>
      <c r="BV51" s="1030">
        <v>1</v>
      </c>
      <c r="BW51" s="1030">
        <v>2</v>
      </c>
      <c r="BX51" s="1029">
        <v>500000</v>
      </c>
      <c r="BY51" s="1175" t="str">
        <f>Dashboard!$B37</f>
        <v>BONE &amp; JOINT HEALTH</v>
      </c>
      <c r="BZ51" s="1030">
        <v>1</v>
      </c>
      <c r="CA51" s="1030">
        <v>2</v>
      </c>
      <c r="CB51" s="1029">
        <v>500000</v>
      </c>
      <c r="CC51" s="1175" t="str">
        <f>Dashboard!$B37</f>
        <v>BONE &amp; JOINT HEALTH</v>
      </c>
      <c r="CD51" s="1030">
        <v>1</v>
      </c>
      <c r="CE51" s="1030">
        <v>2</v>
      </c>
      <c r="CF51" s="1029">
        <v>500000</v>
      </c>
      <c r="CG51" s="1175" t="str">
        <f>Dashboard!$B37</f>
        <v>BONE &amp; JOINT HEALTH</v>
      </c>
      <c r="CH51" s="1030">
        <v>1</v>
      </c>
      <c r="CI51" s="1030">
        <v>2</v>
      </c>
      <c r="CJ51" s="1029">
        <v>500000</v>
      </c>
      <c r="CK51" s="1175" t="str">
        <f>Dashboard!$B37</f>
        <v>BONE &amp; JOINT HEALTH</v>
      </c>
      <c r="CL51" s="1030">
        <v>1</v>
      </c>
      <c r="CM51" s="1030">
        <v>2</v>
      </c>
      <c r="CN51" s="1029">
        <v>500000</v>
      </c>
      <c r="CO51" s="1175" t="str">
        <f>Dashboard!$B37</f>
        <v>BONE &amp; JOINT HEALTH</v>
      </c>
      <c r="CP51" s="1030">
        <v>1</v>
      </c>
      <c r="CQ51" s="1030">
        <v>2</v>
      </c>
      <c r="CR51" s="1029">
        <v>500000</v>
      </c>
      <c r="CS51" s="1175" t="str">
        <f>Dashboard!$B37</f>
        <v>BONE &amp; JOINT HEALTH</v>
      </c>
      <c r="CT51" s="1030">
        <v>1</v>
      </c>
      <c r="CU51" s="1030">
        <v>2</v>
      </c>
      <c r="CV51" s="1029">
        <v>500000</v>
      </c>
      <c r="CW51" s="1175" t="str">
        <f>Dashboard!$B37</f>
        <v>BONE &amp; JOINT HEALTH</v>
      </c>
      <c r="CX51" s="1030">
        <v>1</v>
      </c>
      <c r="CY51" s="1030">
        <v>2</v>
      </c>
      <c r="CZ51" s="1029">
        <v>500000</v>
      </c>
      <c r="DA51" s="1175" t="str">
        <f>Dashboard!$B37</f>
        <v>BONE &amp; JOINT HEALTH</v>
      </c>
      <c r="DB51" s="1030">
        <v>1</v>
      </c>
      <c r="DC51" s="1030">
        <v>2</v>
      </c>
      <c r="DD51" s="1029">
        <v>500000</v>
      </c>
      <c r="DE51" s="1175" t="str">
        <f>Dashboard!$B37</f>
        <v>BONE &amp; JOINT HEALTH</v>
      </c>
      <c r="DF51" s="1030">
        <v>1</v>
      </c>
      <c r="DG51" s="1030">
        <v>2</v>
      </c>
      <c r="DH51" s="1029">
        <v>500000</v>
      </c>
      <c r="DI51" s="1175" t="str">
        <f>Dashboard!$B37</f>
        <v>BONE &amp; JOINT HEALTH</v>
      </c>
      <c r="DJ51" s="1030">
        <v>1</v>
      </c>
      <c r="DK51" s="1030">
        <v>2</v>
      </c>
      <c r="DL51" s="1029">
        <v>500000</v>
      </c>
      <c r="DM51" s="1175" t="str">
        <f>Dashboard!$B37</f>
        <v>BONE &amp; JOINT HEALTH</v>
      </c>
      <c r="DN51" s="1030">
        <v>1</v>
      </c>
      <c r="DO51" s="1030">
        <v>2</v>
      </c>
      <c r="DP51" s="1029">
        <v>500000</v>
      </c>
      <c r="DQ51" s="1175" t="str">
        <f>Dashboard!$B37</f>
        <v>BONE &amp; JOINT HEALTH</v>
      </c>
      <c r="DR51" s="1030">
        <v>1</v>
      </c>
      <c r="DS51" s="1030">
        <v>2</v>
      </c>
      <c r="DT51" s="1029">
        <v>500000</v>
      </c>
      <c r="DU51" s="1175" t="str">
        <f>Dashboard!$B37</f>
        <v>BONE &amp; JOINT HEALTH</v>
      </c>
      <c r="DV51" s="1030">
        <v>1</v>
      </c>
      <c r="DW51" s="1030">
        <v>2</v>
      </c>
      <c r="DX51" s="1029">
        <v>500000</v>
      </c>
      <c r="DY51" s="1175" t="str">
        <f>Dashboard!$B37</f>
        <v>BONE &amp; JOINT HEALTH</v>
      </c>
      <c r="DZ51" s="1030">
        <v>1</v>
      </c>
      <c r="EA51" s="1030">
        <v>2</v>
      </c>
      <c r="EB51" s="1029">
        <v>500000</v>
      </c>
      <c r="EC51" s="1175" t="str">
        <f>Dashboard!$B37</f>
        <v>BONE &amp; JOINT HEALTH</v>
      </c>
      <c r="ED51" s="1030">
        <v>1</v>
      </c>
      <c r="EE51" s="1030">
        <v>2</v>
      </c>
      <c r="EF51" s="1029">
        <v>500000</v>
      </c>
    </row>
    <row r="52" spans="1:137" ht="20" customHeight="1" x14ac:dyDescent="0.15">
      <c r="A52" s="869">
        <f>Dashboard!F38</f>
        <v>40300000</v>
      </c>
      <c r="B52" s="864" t="str">
        <f>Dashboard!$B38</f>
        <v>LIVER, DIGESTION, ALLERGIES</v>
      </c>
      <c r="C52" s="867" t="s">
        <v>79</v>
      </c>
      <c r="D52" s="797">
        <f>SUMIF($M$49:$EF$49,$D$49,$M52:$EF52)</f>
        <v>93</v>
      </c>
      <c r="E52" s="797">
        <f t="shared" ref="E52:E58" si="375">SUMIF($M$49:$EF$49,$E$49,$M52:$EF52)</f>
        <v>93</v>
      </c>
      <c r="F52" s="869">
        <f>SUMIF($M$49:$EF$49,$F$49,$M52:$EF52)</f>
        <v>15500000</v>
      </c>
      <c r="G52" s="1172">
        <f>_xlfn.IFS($F$50=0,0,F52&lt;=$F$50,F52/$F$50,F52&gt;$F$50,1)</f>
        <v>0.125</v>
      </c>
      <c r="H52" s="864" t="str">
        <f>Dashboard!$B38</f>
        <v>LIVER, DIGESTION, ALLERGIES</v>
      </c>
      <c r="I52" s="867" t="s">
        <v>79</v>
      </c>
      <c r="J52" s="797">
        <f t="shared" ca="1" si="374"/>
        <v>0</v>
      </c>
      <c r="K52" s="797">
        <f t="shared" ca="1" si="374"/>
        <v>0</v>
      </c>
      <c r="L52" s="887">
        <f t="shared" ca="1" si="374"/>
        <v>0</v>
      </c>
      <c r="M52" s="1175" t="str">
        <f>Dashboard!$B38</f>
        <v>LIVER, DIGESTION, ALLERGIES</v>
      </c>
      <c r="N52" s="1031">
        <v>3</v>
      </c>
      <c r="O52" s="1031">
        <v>3</v>
      </c>
      <c r="P52" s="1029">
        <v>500000</v>
      </c>
      <c r="Q52" s="1175" t="str">
        <f>Dashboard!$B38</f>
        <v>LIVER, DIGESTION, ALLERGIES</v>
      </c>
      <c r="R52" s="1031">
        <v>3</v>
      </c>
      <c r="S52" s="1031">
        <v>3</v>
      </c>
      <c r="T52" s="1029">
        <v>500000</v>
      </c>
      <c r="U52" s="1175" t="str">
        <f>Dashboard!$B38</f>
        <v>LIVER, DIGESTION, ALLERGIES</v>
      </c>
      <c r="V52" s="1031">
        <v>3</v>
      </c>
      <c r="W52" s="1031">
        <v>3</v>
      </c>
      <c r="X52" s="1029">
        <v>500000</v>
      </c>
      <c r="Y52" s="1175" t="str">
        <f>Dashboard!$B38</f>
        <v>LIVER, DIGESTION, ALLERGIES</v>
      </c>
      <c r="Z52" s="1031">
        <v>3</v>
      </c>
      <c r="AA52" s="1031">
        <v>3</v>
      </c>
      <c r="AB52" s="1029">
        <v>500000</v>
      </c>
      <c r="AC52" s="1175" t="str">
        <f>Dashboard!$B38</f>
        <v>LIVER, DIGESTION, ALLERGIES</v>
      </c>
      <c r="AD52" s="1031">
        <v>3</v>
      </c>
      <c r="AE52" s="1031">
        <v>3</v>
      </c>
      <c r="AF52" s="1029">
        <v>500000</v>
      </c>
      <c r="AG52" s="1175" t="str">
        <f>Dashboard!$B38</f>
        <v>LIVER, DIGESTION, ALLERGIES</v>
      </c>
      <c r="AH52" s="1031">
        <v>3</v>
      </c>
      <c r="AI52" s="1031">
        <v>3</v>
      </c>
      <c r="AJ52" s="1029">
        <v>500000</v>
      </c>
      <c r="AK52" s="1175" t="str">
        <f>Dashboard!$B38</f>
        <v>LIVER, DIGESTION, ALLERGIES</v>
      </c>
      <c r="AL52" s="1031">
        <v>3</v>
      </c>
      <c r="AM52" s="1031">
        <v>3</v>
      </c>
      <c r="AN52" s="1029">
        <v>500000</v>
      </c>
      <c r="AO52" s="1175" t="str">
        <f>Dashboard!$B38</f>
        <v>LIVER, DIGESTION, ALLERGIES</v>
      </c>
      <c r="AP52" s="1031">
        <v>3</v>
      </c>
      <c r="AQ52" s="1031">
        <v>3</v>
      </c>
      <c r="AR52" s="1029">
        <v>500000</v>
      </c>
      <c r="AS52" s="1175" t="str">
        <f>Dashboard!$B38</f>
        <v>LIVER, DIGESTION, ALLERGIES</v>
      </c>
      <c r="AT52" s="1031">
        <v>3</v>
      </c>
      <c r="AU52" s="1031">
        <v>3</v>
      </c>
      <c r="AV52" s="1029">
        <v>500000</v>
      </c>
      <c r="AW52" s="1175" t="str">
        <f>Dashboard!$B38</f>
        <v>LIVER, DIGESTION, ALLERGIES</v>
      </c>
      <c r="AX52" s="1031">
        <v>3</v>
      </c>
      <c r="AY52" s="1031">
        <v>3</v>
      </c>
      <c r="AZ52" s="1029">
        <v>500000</v>
      </c>
      <c r="BA52" s="1175" t="str">
        <f>Dashboard!$B38</f>
        <v>LIVER, DIGESTION, ALLERGIES</v>
      </c>
      <c r="BB52" s="1031">
        <v>3</v>
      </c>
      <c r="BC52" s="1031">
        <v>3</v>
      </c>
      <c r="BD52" s="1029">
        <v>500000</v>
      </c>
      <c r="BE52" s="1175" t="str">
        <f>Dashboard!$B38</f>
        <v>LIVER, DIGESTION, ALLERGIES</v>
      </c>
      <c r="BF52" s="1031">
        <v>3</v>
      </c>
      <c r="BG52" s="1031">
        <v>3</v>
      </c>
      <c r="BH52" s="1029">
        <v>500000</v>
      </c>
      <c r="BI52" s="1175" t="str">
        <f>Dashboard!$B38</f>
        <v>LIVER, DIGESTION, ALLERGIES</v>
      </c>
      <c r="BJ52" s="1031">
        <v>3</v>
      </c>
      <c r="BK52" s="1031">
        <v>3</v>
      </c>
      <c r="BL52" s="1029">
        <v>500000</v>
      </c>
      <c r="BM52" s="1175" t="str">
        <f>Dashboard!$B38</f>
        <v>LIVER, DIGESTION, ALLERGIES</v>
      </c>
      <c r="BN52" s="1031">
        <v>3</v>
      </c>
      <c r="BO52" s="1031">
        <v>3</v>
      </c>
      <c r="BP52" s="1029">
        <v>500000</v>
      </c>
      <c r="BQ52" s="1175" t="str">
        <f>Dashboard!$B38</f>
        <v>LIVER, DIGESTION, ALLERGIES</v>
      </c>
      <c r="BR52" s="1031">
        <v>3</v>
      </c>
      <c r="BS52" s="1031">
        <v>3</v>
      </c>
      <c r="BT52" s="1029">
        <v>500000</v>
      </c>
      <c r="BU52" s="1175" t="str">
        <f>Dashboard!$B38</f>
        <v>LIVER, DIGESTION, ALLERGIES</v>
      </c>
      <c r="BV52" s="1031">
        <v>3</v>
      </c>
      <c r="BW52" s="1031">
        <v>3</v>
      </c>
      <c r="BX52" s="1029">
        <v>500000</v>
      </c>
      <c r="BY52" s="1175" t="str">
        <f>Dashboard!$B38</f>
        <v>LIVER, DIGESTION, ALLERGIES</v>
      </c>
      <c r="BZ52" s="1031">
        <v>3</v>
      </c>
      <c r="CA52" s="1031">
        <v>3</v>
      </c>
      <c r="CB52" s="1029">
        <v>500000</v>
      </c>
      <c r="CC52" s="1175" t="str">
        <f>Dashboard!$B38</f>
        <v>LIVER, DIGESTION, ALLERGIES</v>
      </c>
      <c r="CD52" s="1031">
        <v>3</v>
      </c>
      <c r="CE52" s="1031">
        <v>3</v>
      </c>
      <c r="CF52" s="1029">
        <v>500000</v>
      </c>
      <c r="CG52" s="1175" t="str">
        <f>Dashboard!$B38</f>
        <v>LIVER, DIGESTION, ALLERGIES</v>
      </c>
      <c r="CH52" s="1031">
        <v>3</v>
      </c>
      <c r="CI52" s="1031">
        <v>3</v>
      </c>
      <c r="CJ52" s="1029">
        <v>500000</v>
      </c>
      <c r="CK52" s="1175" t="str">
        <f>Dashboard!$B38</f>
        <v>LIVER, DIGESTION, ALLERGIES</v>
      </c>
      <c r="CL52" s="1031">
        <v>3</v>
      </c>
      <c r="CM52" s="1031">
        <v>3</v>
      </c>
      <c r="CN52" s="1029">
        <v>500000</v>
      </c>
      <c r="CO52" s="1175" t="str">
        <f>Dashboard!$B38</f>
        <v>LIVER, DIGESTION, ALLERGIES</v>
      </c>
      <c r="CP52" s="1031">
        <v>3</v>
      </c>
      <c r="CQ52" s="1031">
        <v>3</v>
      </c>
      <c r="CR52" s="1029">
        <v>500000</v>
      </c>
      <c r="CS52" s="1175" t="str">
        <f>Dashboard!$B38</f>
        <v>LIVER, DIGESTION, ALLERGIES</v>
      </c>
      <c r="CT52" s="1031">
        <v>3</v>
      </c>
      <c r="CU52" s="1031">
        <v>3</v>
      </c>
      <c r="CV52" s="1029">
        <v>500000</v>
      </c>
      <c r="CW52" s="1175" t="str">
        <f>Dashboard!$B38</f>
        <v>LIVER, DIGESTION, ALLERGIES</v>
      </c>
      <c r="CX52" s="1031">
        <v>3</v>
      </c>
      <c r="CY52" s="1031">
        <v>3</v>
      </c>
      <c r="CZ52" s="1029">
        <v>500000</v>
      </c>
      <c r="DA52" s="1175" t="str">
        <f>Dashboard!$B38</f>
        <v>LIVER, DIGESTION, ALLERGIES</v>
      </c>
      <c r="DB52" s="1031">
        <v>3</v>
      </c>
      <c r="DC52" s="1031">
        <v>3</v>
      </c>
      <c r="DD52" s="1029">
        <v>500000</v>
      </c>
      <c r="DE52" s="1175" t="str">
        <f>Dashboard!$B38</f>
        <v>LIVER, DIGESTION, ALLERGIES</v>
      </c>
      <c r="DF52" s="1031">
        <v>3</v>
      </c>
      <c r="DG52" s="1031">
        <v>3</v>
      </c>
      <c r="DH52" s="1029">
        <v>500000</v>
      </c>
      <c r="DI52" s="1175" t="str">
        <f>Dashboard!$B38</f>
        <v>LIVER, DIGESTION, ALLERGIES</v>
      </c>
      <c r="DJ52" s="1031">
        <v>3</v>
      </c>
      <c r="DK52" s="1031">
        <v>3</v>
      </c>
      <c r="DL52" s="1029">
        <v>500000</v>
      </c>
      <c r="DM52" s="1175" t="str">
        <f>Dashboard!$B38</f>
        <v>LIVER, DIGESTION, ALLERGIES</v>
      </c>
      <c r="DN52" s="1031">
        <v>3</v>
      </c>
      <c r="DO52" s="1031">
        <v>3</v>
      </c>
      <c r="DP52" s="1029">
        <v>500000</v>
      </c>
      <c r="DQ52" s="1175" t="str">
        <f>Dashboard!$B38</f>
        <v>LIVER, DIGESTION, ALLERGIES</v>
      </c>
      <c r="DR52" s="1031">
        <v>3</v>
      </c>
      <c r="DS52" s="1031">
        <v>3</v>
      </c>
      <c r="DT52" s="1029">
        <v>500000</v>
      </c>
      <c r="DU52" s="1175" t="str">
        <f>Dashboard!$B38</f>
        <v>LIVER, DIGESTION, ALLERGIES</v>
      </c>
      <c r="DV52" s="1031">
        <v>3</v>
      </c>
      <c r="DW52" s="1031">
        <v>3</v>
      </c>
      <c r="DX52" s="1029">
        <v>500000</v>
      </c>
      <c r="DY52" s="1175" t="str">
        <f>Dashboard!$B38</f>
        <v>LIVER, DIGESTION, ALLERGIES</v>
      </c>
      <c r="DZ52" s="1031">
        <v>3</v>
      </c>
      <c r="EA52" s="1031">
        <v>3</v>
      </c>
      <c r="EB52" s="1029">
        <v>500000</v>
      </c>
      <c r="EC52" s="1175" t="str">
        <f>Dashboard!$B38</f>
        <v>LIVER, DIGESTION, ALLERGIES</v>
      </c>
      <c r="ED52" s="1031">
        <v>3</v>
      </c>
      <c r="EE52" s="1031">
        <v>3</v>
      </c>
      <c r="EF52" s="1029">
        <v>500000</v>
      </c>
    </row>
    <row r="53" spans="1:137" ht="20" customHeight="1" x14ac:dyDescent="0.15">
      <c r="A53" s="869">
        <f>Dashboard!F39</f>
        <v>40300000</v>
      </c>
      <c r="B53" s="864" t="str">
        <f>Dashboard!$B39</f>
        <v>BRAIN &amp; EYE HEALTH</v>
      </c>
      <c r="C53" s="867" t="s">
        <v>79</v>
      </c>
      <c r="D53" s="797">
        <f>SUMIF($M$49:$EF$49,$D$49,$M53:$EF53)</f>
        <v>62</v>
      </c>
      <c r="E53" s="797">
        <f>SUMIF($M$49:$EF$49,$E$49,$M53:$EF53)</f>
        <v>93</v>
      </c>
      <c r="F53" s="869">
        <f t="shared" ref="F53:F56" si="376">SUMIF($M$49:$EF$49,$F$49,$M53:$EF53)</f>
        <v>15500000</v>
      </c>
      <c r="G53" s="1172">
        <f>_xlfn.IFS($F$50=0,0,F53&lt;=$F$50,F53/$F$50,F53&gt;$F$50,1)</f>
        <v>0.125</v>
      </c>
      <c r="H53" s="864" t="str">
        <f>Dashboard!$B39</f>
        <v>BRAIN &amp; EYE HEALTH</v>
      </c>
      <c r="I53" s="867" t="s">
        <v>79</v>
      </c>
      <c r="J53" s="797">
        <f t="shared" ca="1" si="374"/>
        <v>0</v>
      </c>
      <c r="K53" s="797">
        <f t="shared" ca="1" si="374"/>
        <v>0</v>
      </c>
      <c r="L53" s="887">
        <f t="shared" ca="1" si="374"/>
        <v>0</v>
      </c>
      <c r="M53" s="1175" t="str">
        <f>Dashboard!$B39</f>
        <v>BRAIN &amp; EYE HEALTH</v>
      </c>
      <c r="N53" s="1031">
        <v>2</v>
      </c>
      <c r="O53" s="1031">
        <v>3</v>
      </c>
      <c r="P53" s="1029">
        <v>500000</v>
      </c>
      <c r="Q53" s="1175" t="str">
        <f>Dashboard!$B39</f>
        <v>BRAIN &amp; EYE HEALTH</v>
      </c>
      <c r="R53" s="1031">
        <v>2</v>
      </c>
      <c r="S53" s="1031">
        <v>3</v>
      </c>
      <c r="T53" s="1029">
        <v>500000</v>
      </c>
      <c r="U53" s="1175" t="str">
        <f>Dashboard!$B39</f>
        <v>BRAIN &amp; EYE HEALTH</v>
      </c>
      <c r="V53" s="1031">
        <v>2</v>
      </c>
      <c r="W53" s="1031">
        <v>3</v>
      </c>
      <c r="X53" s="1029">
        <v>500000</v>
      </c>
      <c r="Y53" s="1175" t="str">
        <f>Dashboard!$B39</f>
        <v>BRAIN &amp; EYE HEALTH</v>
      </c>
      <c r="Z53" s="1031">
        <v>2</v>
      </c>
      <c r="AA53" s="1031">
        <v>3</v>
      </c>
      <c r="AB53" s="1029">
        <v>500000</v>
      </c>
      <c r="AC53" s="1175" t="str">
        <f>Dashboard!$B39</f>
        <v>BRAIN &amp; EYE HEALTH</v>
      </c>
      <c r="AD53" s="1031">
        <v>2</v>
      </c>
      <c r="AE53" s="1031">
        <v>3</v>
      </c>
      <c r="AF53" s="1029">
        <v>500000</v>
      </c>
      <c r="AG53" s="1175" t="str">
        <f>Dashboard!$B39</f>
        <v>BRAIN &amp; EYE HEALTH</v>
      </c>
      <c r="AH53" s="1031">
        <v>2</v>
      </c>
      <c r="AI53" s="1031">
        <v>3</v>
      </c>
      <c r="AJ53" s="1029">
        <v>500000</v>
      </c>
      <c r="AK53" s="1175" t="str">
        <f>Dashboard!$B39</f>
        <v>BRAIN &amp; EYE HEALTH</v>
      </c>
      <c r="AL53" s="1031">
        <v>2</v>
      </c>
      <c r="AM53" s="1031">
        <v>3</v>
      </c>
      <c r="AN53" s="1029">
        <v>500000</v>
      </c>
      <c r="AO53" s="1175" t="str">
        <f>Dashboard!$B39</f>
        <v>BRAIN &amp; EYE HEALTH</v>
      </c>
      <c r="AP53" s="1031">
        <v>2</v>
      </c>
      <c r="AQ53" s="1031">
        <v>3</v>
      </c>
      <c r="AR53" s="1029">
        <v>500000</v>
      </c>
      <c r="AS53" s="1175" t="str">
        <f>Dashboard!$B39</f>
        <v>BRAIN &amp; EYE HEALTH</v>
      </c>
      <c r="AT53" s="1031">
        <v>2</v>
      </c>
      <c r="AU53" s="1031">
        <v>3</v>
      </c>
      <c r="AV53" s="1029">
        <v>500000</v>
      </c>
      <c r="AW53" s="1175" t="str">
        <f>Dashboard!$B39</f>
        <v>BRAIN &amp; EYE HEALTH</v>
      </c>
      <c r="AX53" s="1031">
        <v>2</v>
      </c>
      <c r="AY53" s="1031">
        <v>3</v>
      </c>
      <c r="AZ53" s="1029">
        <v>500000</v>
      </c>
      <c r="BA53" s="1175" t="str">
        <f>Dashboard!$B39</f>
        <v>BRAIN &amp; EYE HEALTH</v>
      </c>
      <c r="BB53" s="1031">
        <v>2</v>
      </c>
      <c r="BC53" s="1031">
        <v>3</v>
      </c>
      <c r="BD53" s="1029">
        <v>500000</v>
      </c>
      <c r="BE53" s="1175" t="str">
        <f>Dashboard!$B39</f>
        <v>BRAIN &amp; EYE HEALTH</v>
      </c>
      <c r="BF53" s="1031">
        <v>2</v>
      </c>
      <c r="BG53" s="1031">
        <v>3</v>
      </c>
      <c r="BH53" s="1029">
        <v>500000</v>
      </c>
      <c r="BI53" s="1175" t="str">
        <f>Dashboard!$B39</f>
        <v>BRAIN &amp; EYE HEALTH</v>
      </c>
      <c r="BJ53" s="1031">
        <v>2</v>
      </c>
      <c r="BK53" s="1031">
        <v>3</v>
      </c>
      <c r="BL53" s="1029">
        <v>500000</v>
      </c>
      <c r="BM53" s="1175" t="str">
        <f>Dashboard!$B39</f>
        <v>BRAIN &amp; EYE HEALTH</v>
      </c>
      <c r="BN53" s="1031">
        <v>2</v>
      </c>
      <c r="BO53" s="1031">
        <v>3</v>
      </c>
      <c r="BP53" s="1029">
        <v>500000</v>
      </c>
      <c r="BQ53" s="1175" t="str">
        <f>Dashboard!$B39</f>
        <v>BRAIN &amp; EYE HEALTH</v>
      </c>
      <c r="BR53" s="1031">
        <v>2</v>
      </c>
      <c r="BS53" s="1031">
        <v>3</v>
      </c>
      <c r="BT53" s="1029">
        <v>500000</v>
      </c>
      <c r="BU53" s="1175" t="str">
        <f>Dashboard!$B39</f>
        <v>BRAIN &amp; EYE HEALTH</v>
      </c>
      <c r="BV53" s="1031">
        <v>2</v>
      </c>
      <c r="BW53" s="1031">
        <v>3</v>
      </c>
      <c r="BX53" s="1029">
        <v>500000</v>
      </c>
      <c r="BY53" s="1175" t="str">
        <f>Dashboard!$B39</f>
        <v>BRAIN &amp; EYE HEALTH</v>
      </c>
      <c r="BZ53" s="1031">
        <v>2</v>
      </c>
      <c r="CA53" s="1031">
        <v>3</v>
      </c>
      <c r="CB53" s="1029">
        <v>500000</v>
      </c>
      <c r="CC53" s="1175" t="str">
        <f>Dashboard!$B39</f>
        <v>BRAIN &amp; EYE HEALTH</v>
      </c>
      <c r="CD53" s="1031">
        <v>2</v>
      </c>
      <c r="CE53" s="1031">
        <v>3</v>
      </c>
      <c r="CF53" s="1029">
        <v>500000</v>
      </c>
      <c r="CG53" s="1175" t="str">
        <f>Dashboard!$B39</f>
        <v>BRAIN &amp; EYE HEALTH</v>
      </c>
      <c r="CH53" s="1031">
        <v>2</v>
      </c>
      <c r="CI53" s="1031">
        <v>3</v>
      </c>
      <c r="CJ53" s="1029">
        <v>500000</v>
      </c>
      <c r="CK53" s="1175" t="str">
        <f>Dashboard!$B39</f>
        <v>BRAIN &amp; EYE HEALTH</v>
      </c>
      <c r="CL53" s="1031">
        <v>2</v>
      </c>
      <c r="CM53" s="1031">
        <v>3</v>
      </c>
      <c r="CN53" s="1029">
        <v>500000</v>
      </c>
      <c r="CO53" s="1175" t="str">
        <f>Dashboard!$B39</f>
        <v>BRAIN &amp; EYE HEALTH</v>
      </c>
      <c r="CP53" s="1031">
        <v>2</v>
      </c>
      <c r="CQ53" s="1031">
        <v>3</v>
      </c>
      <c r="CR53" s="1029">
        <v>500000</v>
      </c>
      <c r="CS53" s="1175" t="str">
        <f>Dashboard!$B39</f>
        <v>BRAIN &amp; EYE HEALTH</v>
      </c>
      <c r="CT53" s="1031">
        <v>2</v>
      </c>
      <c r="CU53" s="1031">
        <v>3</v>
      </c>
      <c r="CV53" s="1029">
        <v>500000</v>
      </c>
      <c r="CW53" s="1175" t="str">
        <f>Dashboard!$B39</f>
        <v>BRAIN &amp; EYE HEALTH</v>
      </c>
      <c r="CX53" s="1031">
        <v>2</v>
      </c>
      <c r="CY53" s="1031">
        <v>3</v>
      </c>
      <c r="CZ53" s="1029">
        <v>500000</v>
      </c>
      <c r="DA53" s="1175" t="str">
        <f>Dashboard!$B39</f>
        <v>BRAIN &amp; EYE HEALTH</v>
      </c>
      <c r="DB53" s="1031">
        <v>2</v>
      </c>
      <c r="DC53" s="1031">
        <v>3</v>
      </c>
      <c r="DD53" s="1029">
        <v>500000</v>
      </c>
      <c r="DE53" s="1175" t="str">
        <f>Dashboard!$B39</f>
        <v>BRAIN &amp; EYE HEALTH</v>
      </c>
      <c r="DF53" s="1031">
        <v>2</v>
      </c>
      <c r="DG53" s="1031">
        <v>3</v>
      </c>
      <c r="DH53" s="1029">
        <v>500000</v>
      </c>
      <c r="DI53" s="1175" t="str">
        <f>Dashboard!$B39</f>
        <v>BRAIN &amp; EYE HEALTH</v>
      </c>
      <c r="DJ53" s="1031">
        <v>2</v>
      </c>
      <c r="DK53" s="1031">
        <v>3</v>
      </c>
      <c r="DL53" s="1029">
        <v>500000</v>
      </c>
      <c r="DM53" s="1175" t="str">
        <f>Dashboard!$B39</f>
        <v>BRAIN &amp; EYE HEALTH</v>
      </c>
      <c r="DN53" s="1031">
        <v>2</v>
      </c>
      <c r="DO53" s="1031">
        <v>3</v>
      </c>
      <c r="DP53" s="1029">
        <v>500000</v>
      </c>
      <c r="DQ53" s="1175" t="str">
        <f>Dashboard!$B39</f>
        <v>BRAIN &amp; EYE HEALTH</v>
      </c>
      <c r="DR53" s="1031">
        <v>2</v>
      </c>
      <c r="DS53" s="1031">
        <v>3</v>
      </c>
      <c r="DT53" s="1029">
        <v>500000</v>
      </c>
      <c r="DU53" s="1175" t="str">
        <f>Dashboard!$B39</f>
        <v>BRAIN &amp; EYE HEALTH</v>
      </c>
      <c r="DV53" s="1031">
        <v>2</v>
      </c>
      <c r="DW53" s="1031">
        <v>3</v>
      </c>
      <c r="DX53" s="1029">
        <v>500000</v>
      </c>
      <c r="DY53" s="1175" t="str">
        <f>Dashboard!$B39</f>
        <v>BRAIN &amp; EYE HEALTH</v>
      </c>
      <c r="DZ53" s="1031">
        <v>2</v>
      </c>
      <c r="EA53" s="1031">
        <v>3</v>
      </c>
      <c r="EB53" s="1029">
        <v>500000</v>
      </c>
      <c r="EC53" s="1175" t="str">
        <f>Dashboard!$B39</f>
        <v>BRAIN &amp; EYE HEALTH</v>
      </c>
      <c r="ED53" s="1031">
        <v>2</v>
      </c>
      <c r="EE53" s="1031">
        <v>3</v>
      </c>
      <c r="EF53" s="1029">
        <v>500000</v>
      </c>
    </row>
    <row r="54" spans="1:137" ht="20" customHeight="1" x14ac:dyDescent="0.15">
      <c r="A54" s="869">
        <f>Dashboard!F40</f>
        <v>40300000</v>
      </c>
      <c r="B54" s="864" t="str">
        <f>Dashboard!$B40</f>
        <v>CARDIOVASCULAR HEALTH</v>
      </c>
      <c r="C54" s="867" t="s">
        <v>79</v>
      </c>
      <c r="D54" s="797">
        <f>SUMIF($M$49:$EF$49,$D$49,$M54:$EF54)</f>
        <v>93</v>
      </c>
      <c r="E54" s="797">
        <f t="shared" si="375"/>
        <v>155</v>
      </c>
      <c r="F54" s="869">
        <f t="shared" si="376"/>
        <v>15500000</v>
      </c>
      <c r="G54" s="1172">
        <f>_xlfn.IFS($F$50=0,0,F54&lt;=$F$50,F54/$F$50,F54&gt;$F$50,1)</f>
        <v>0.125</v>
      </c>
      <c r="H54" s="864" t="str">
        <f>Dashboard!$B40</f>
        <v>CARDIOVASCULAR HEALTH</v>
      </c>
      <c r="I54" s="867" t="s">
        <v>79</v>
      </c>
      <c r="J54" s="797">
        <f t="shared" ca="1" si="374"/>
        <v>0</v>
      </c>
      <c r="K54" s="797">
        <f t="shared" ca="1" si="374"/>
        <v>0</v>
      </c>
      <c r="L54" s="887">
        <f t="shared" ca="1" si="374"/>
        <v>0</v>
      </c>
      <c r="M54" s="1175" t="str">
        <f>Dashboard!$B40</f>
        <v>CARDIOVASCULAR HEALTH</v>
      </c>
      <c r="N54" s="1031">
        <v>3</v>
      </c>
      <c r="O54" s="1031">
        <v>5</v>
      </c>
      <c r="P54" s="1029">
        <v>500000</v>
      </c>
      <c r="Q54" s="1175" t="str">
        <f>Dashboard!$B40</f>
        <v>CARDIOVASCULAR HEALTH</v>
      </c>
      <c r="R54" s="1031">
        <v>3</v>
      </c>
      <c r="S54" s="1031">
        <v>5</v>
      </c>
      <c r="T54" s="1029">
        <v>500000</v>
      </c>
      <c r="U54" s="1175" t="str">
        <f>Dashboard!$B40</f>
        <v>CARDIOVASCULAR HEALTH</v>
      </c>
      <c r="V54" s="1031">
        <v>3</v>
      </c>
      <c r="W54" s="1031">
        <v>5</v>
      </c>
      <c r="X54" s="1029">
        <v>500000</v>
      </c>
      <c r="Y54" s="1175" t="str">
        <f>Dashboard!$B40</f>
        <v>CARDIOVASCULAR HEALTH</v>
      </c>
      <c r="Z54" s="1031">
        <v>3</v>
      </c>
      <c r="AA54" s="1031">
        <v>5</v>
      </c>
      <c r="AB54" s="1029">
        <v>500000</v>
      </c>
      <c r="AC54" s="1175" t="str">
        <f>Dashboard!$B40</f>
        <v>CARDIOVASCULAR HEALTH</v>
      </c>
      <c r="AD54" s="1031">
        <v>3</v>
      </c>
      <c r="AE54" s="1031">
        <v>5</v>
      </c>
      <c r="AF54" s="1029">
        <v>500000</v>
      </c>
      <c r="AG54" s="1175" t="str">
        <f>Dashboard!$B40</f>
        <v>CARDIOVASCULAR HEALTH</v>
      </c>
      <c r="AH54" s="1031">
        <v>3</v>
      </c>
      <c r="AI54" s="1031">
        <v>5</v>
      </c>
      <c r="AJ54" s="1029">
        <v>500000</v>
      </c>
      <c r="AK54" s="1175" t="str">
        <f>Dashboard!$B40</f>
        <v>CARDIOVASCULAR HEALTH</v>
      </c>
      <c r="AL54" s="1031">
        <v>3</v>
      </c>
      <c r="AM54" s="1031">
        <v>5</v>
      </c>
      <c r="AN54" s="1029">
        <v>500000</v>
      </c>
      <c r="AO54" s="1175" t="str">
        <f>Dashboard!$B40</f>
        <v>CARDIOVASCULAR HEALTH</v>
      </c>
      <c r="AP54" s="1031">
        <v>3</v>
      </c>
      <c r="AQ54" s="1031">
        <v>5</v>
      </c>
      <c r="AR54" s="1029">
        <v>500000</v>
      </c>
      <c r="AS54" s="1175" t="str">
        <f>Dashboard!$B40</f>
        <v>CARDIOVASCULAR HEALTH</v>
      </c>
      <c r="AT54" s="1031">
        <v>3</v>
      </c>
      <c r="AU54" s="1031">
        <v>5</v>
      </c>
      <c r="AV54" s="1029">
        <v>500000</v>
      </c>
      <c r="AW54" s="1175" t="str">
        <f>Dashboard!$B40</f>
        <v>CARDIOVASCULAR HEALTH</v>
      </c>
      <c r="AX54" s="1031">
        <v>3</v>
      </c>
      <c r="AY54" s="1031">
        <v>5</v>
      </c>
      <c r="AZ54" s="1029">
        <v>500000</v>
      </c>
      <c r="BA54" s="1175" t="str">
        <f>Dashboard!$B40</f>
        <v>CARDIOVASCULAR HEALTH</v>
      </c>
      <c r="BB54" s="1031">
        <v>3</v>
      </c>
      <c r="BC54" s="1031">
        <v>5</v>
      </c>
      <c r="BD54" s="1029">
        <v>500000</v>
      </c>
      <c r="BE54" s="1175" t="str">
        <f>Dashboard!$B40</f>
        <v>CARDIOVASCULAR HEALTH</v>
      </c>
      <c r="BF54" s="1031">
        <v>3</v>
      </c>
      <c r="BG54" s="1031">
        <v>5</v>
      </c>
      <c r="BH54" s="1029">
        <v>500000</v>
      </c>
      <c r="BI54" s="1175" t="str">
        <f>Dashboard!$B40</f>
        <v>CARDIOVASCULAR HEALTH</v>
      </c>
      <c r="BJ54" s="1031">
        <v>3</v>
      </c>
      <c r="BK54" s="1031">
        <v>5</v>
      </c>
      <c r="BL54" s="1029">
        <v>500000</v>
      </c>
      <c r="BM54" s="1175" t="str">
        <f>Dashboard!$B40</f>
        <v>CARDIOVASCULAR HEALTH</v>
      </c>
      <c r="BN54" s="1031">
        <v>3</v>
      </c>
      <c r="BO54" s="1031">
        <v>5</v>
      </c>
      <c r="BP54" s="1029">
        <v>500000</v>
      </c>
      <c r="BQ54" s="1175" t="str">
        <f>Dashboard!$B40</f>
        <v>CARDIOVASCULAR HEALTH</v>
      </c>
      <c r="BR54" s="1031">
        <v>3</v>
      </c>
      <c r="BS54" s="1031">
        <v>5</v>
      </c>
      <c r="BT54" s="1029">
        <v>500000</v>
      </c>
      <c r="BU54" s="1175" t="str">
        <f>Dashboard!$B40</f>
        <v>CARDIOVASCULAR HEALTH</v>
      </c>
      <c r="BV54" s="1031">
        <v>3</v>
      </c>
      <c r="BW54" s="1031">
        <v>5</v>
      </c>
      <c r="BX54" s="1029">
        <v>500000</v>
      </c>
      <c r="BY54" s="1175" t="str">
        <f>Dashboard!$B40</f>
        <v>CARDIOVASCULAR HEALTH</v>
      </c>
      <c r="BZ54" s="1031">
        <v>3</v>
      </c>
      <c r="CA54" s="1031">
        <v>5</v>
      </c>
      <c r="CB54" s="1029">
        <v>500000</v>
      </c>
      <c r="CC54" s="1175" t="str">
        <f>Dashboard!$B40</f>
        <v>CARDIOVASCULAR HEALTH</v>
      </c>
      <c r="CD54" s="1031">
        <v>3</v>
      </c>
      <c r="CE54" s="1031">
        <v>5</v>
      </c>
      <c r="CF54" s="1029">
        <v>500000</v>
      </c>
      <c r="CG54" s="1175" t="str">
        <f>Dashboard!$B40</f>
        <v>CARDIOVASCULAR HEALTH</v>
      </c>
      <c r="CH54" s="1031">
        <v>3</v>
      </c>
      <c r="CI54" s="1031">
        <v>5</v>
      </c>
      <c r="CJ54" s="1029">
        <v>500000</v>
      </c>
      <c r="CK54" s="1175" t="str">
        <f>Dashboard!$B40</f>
        <v>CARDIOVASCULAR HEALTH</v>
      </c>
      <c r="CL54" s="1031">
        <v>3</v>
      </c>
      <c r="CM54" s="1031">
        <v>5</v>
      </c>
      <c r="CN54" s="1029">
        <v>500000</v>
      </c>
      <c r="CO54" s="1175" t="str">
        <f>Dashboard!$B40</f>
        <v>CARDIOVASCULAR HEALTH</v>
      </c>
      <c r="CP54" s="1031">
        <v>3</v>
      </c>
      <c r="CQ54" s="1031">
        <v>5</v>
      </c>
      <c r="CR54" s="1029">
        <v>500000</v>
      </c>
      <c r="CS54" s="1175" t="str">
        <f>Dashboard!$B40</f>
        <v>CARDIOVASCULAR HEALTH</v>
      </c>
      <c r="CT54" s="1031">
        <v>3</v>
      </c>
      <c r="CU54" s="1031">
        <v>5</v>
      </c>
      <c r="CV54" s="1029">
        <v>500000</v>
      </c>
      <c r="CW54" s="1175" t="str">
        <f>Dashboard!$B40</f>
        <v>CARDIOVASCULAR HEALTH</v>
      </c>
      <c r="CX54" s="1031">
        <v>3</v>
      </c>
      <c r="CY54" s="1031">
        <v>5</v>
      </c>
      <c r="CZ54" s="1029">
        <v>500000</v>
      </c>
      <c r="DA54" s="1175" t="str">
        <f>Dashboard!$B40</f>
        <v>CARDIOVASCULAR HEALTH</v>
      </c>
      <c r="DB54" s="1031">
        <v>3</v>
      </c>
      <c r="DC54" s="1031">
        <v>5</v>
      </c>
      <c r="DD54" s="1029">
        <v>500000</v>
      </c>
      <c r="DE54" s="1175" t="str">
        <f>Dashboard!$B40</f>
        <v>CARDIOVASCULAR HEALTH</v>
      </c>
      <c r="DF54" s="1031">
        <v>3</v>
      </c>
      <c r="DG54" s="1031">
        <v>5</v>
      </c>
      <c r="DH54" s="1029">
        <v>500000</v>
      </c>
      <c r="DI54" s="1175" t="str">
        <f>Dashboard!$B40</f>
        <v>CARDIOVASCULAR HEALTH</v>
      </c>
      <c r="DJ54" s="1031">
        <v>3</v>
      </c>
      <c r="DK54" s="1031">
        <v>5</v>
      </c>
      <c r="DL54" s="1029">
        <v>500000</v>
      </c>
      <c r="DM54" s="1175" t="str">
        <f>Dashboard!$B40</f>
        <v>CARDIOVASCULAR HEALTH</v>
      </c>
      <c r="DN54" s="1031">
        <v>3</v>
      </c>
      <c r="DO54" s="1031">
        <v>5</v>
      </c>
      <c r="DP54" s="1029">
        <v>500000</v>
      </c>
      <c r="DQ54" s="1175" t="str">
        <f>Dashboard!$B40</f>
        <v>CARDIOVASCULAR HEALTH</v>
      </c>
      <c r="DR54" s="1031">
        <v>3</v>
      </c>
      <c r="DS54" s="1031">
        <v>5</v>
      </c>
      <c r="DT54" s="1029">
        <v>500000</v>
      </c>
      <c r="DU54" s="1175" t="str">
        <f>Dashboard!$B40</f>
        <v>CARDIOVASCULAR HEALTH</v>
      </c>
      <c r="DV54" s="1031">
        <v>3</v>
      </c>
      <c r="DW54" s="1031">
        <v>5</v>
      </c>
      <c r="DX54" s="1029">
        <v>500000</v>
      </c>
      <c r="DY54" s="1175" t="str">
        <f>Dashboard!$B40</f>
        <v>CARDIOVASCULAR HEALTH</v>
      </c>
      <c r="DZ54" s="1031">
        <v>3</v>
      </c>
      <c r="EA54" s="1031">
        <v>5</v>
      </c>
      <c r="EB54" s="1029">
        <v>500000</v>
      </c>
      <c r="EC54" s="1175" t="str">
        <f>Dashboard!$B40</f>
        <v>CARDIOVASCULAR HEALTH</v>
      </c>
      <c r="ED54" s="1031">
        <v>3</v>
      </c>
      <c r="EE54" s="1031">
        <v>5</v>
      </c>
      <c r="EF54" s="1029">
        <v>500000</v>
      </c>
    </row>
    <row r="55" spans="1:137" ht="20" customHeight="1" x14ac:dyDescent="0.15">
      <c r="A55" s="869">
        <f>Dashboard!F41</f>
        <v>40300000</v>
      </c>
      <c r="B55" s="864" t="str">
        <f>Dashboard!$B41</f>
        <v>SKIN, HAIR, AND WEIGHT MANAGEMENT</v>
      </c>
      <c r="C55" s="867" t="s">
        <v>79</v>
      </c>
      <c r="D55" s="797">
        <f>SUMIF($M$49:$EF$49,$D$49,$M55:$EF55)</f>
        <v>62</v>
      </c>
      <c r="E55" s="797">
        <f>SUMIF($M$49:$EF$49,$E$49,$M55:$EF55)</f>
        <v>124</v>
      </c>
      <c r="F55" s="869">
        <f t="shared" si="376"/>
        <v>15500000</v>
      </c>
      <c r="G55" s="1172">
        <f t="shared" ref="G55:G56" si="377">_xlfn.IFS($F$50=0,0,F55&lt;=$F$50,F55/$F$50,F55&gt;$F$50,1)</f>
        <v>0.125</v>
      </c>
      <c r="H55" s="864" t="str">
        <f>Dashboard!$B41</f>
        <v>SKIN, HAIR, AND WEIGHT MANAGEMENT</v>
      </c>
      <c r="I55" s="867" t="s">
        <v>79</v>
      </c>
      <c r="J55" s="797">
        <f t="shared" ref="J55:L58" ca="1" si="378">SUMIFS($M55:$EF55,$M$11:$EF$11,TODAY(),$M$49:$EF$49,J$49)</f>
        <v>0</v>
      </c>
      <c r="K55" s="797">
        <f t="shared" ca="1" si="378"/>
        <v>0</v>
      </c>
      <c r="L55" s="887">
        <f t="shared" ca="1" si="378"/>
        <v>0</v>
      </c>
      <c r="M55" s="1175" t="str">
        <f>Dashboard!$B41</f>
        <v>SKIN, HAIR, AND WEIGHT MANAGEMENT</v>
      </c>
      <c r="N55" s="1031">
        <v>2</v>
      </c>
      <c r="O55" s="1031">
        <v>4</v>
      </c>
      <c r="P55" s="1029">
        <v>500000</v>
      </c>
      <c r="Q55" s="1175" t="str">
        <f>Dashboard!$B41</f>
        <v>SKIN, HAIR, AND WEIGHT MANAGEMENT</v>
      </c>
      <c r="R55" s="1031">
        <v>2</v>
      </c>
      <c r="S55" s="1031">
        <v>4</v>
      </c>
      <c r="T55" s="1029">
        <v>500000</v>
      </c>
      <c r="U55" s="1175" t="str">
        <f>Dashboard!$B41</f>
        <v>SKIN, HAIR, AND WEIGHT MANAGEMENT</v>
      </c>
      <c r="V55" s="1031">
        <v>2</v>
      </c>
      <c r="W55" s="1031">
        <v>4</v>
      </c>
      <c r="X55" s="1029">
        <v>500000</v>
      </c>
      <c r="Y55" s="1175" t="str">
        <f>Dashboard!$B41</f>
        <v>SKIN, HAIR, AND WEIGHT MANAGEMENT</v>
      </c>
      <c r="Z55" s="1031">
        <v>2</v>
      </c>
      <c r="AA55" s="1031">
        <v>4</v>
      </c>
      <c r="AB55" s="1029">
        <v>500000</v>
      </c>
      <c r="AC55" s="1175" t="str">
        <f>Dashboard!$B41</f>
        <v>SKIN, HAIR, AND WEIGHT MANAGEMENT</v>
      </c>
      <c r="AD55" s="1031">
        <v>2</v>
      </c>
      <c r="AE55" s="1031">
        <v>4</v>
      </c>
      <c r="AF55" s="1029">
        <v>500000</v>
      </c>
      <c r="AG55" s="1175" t="str">
        <f>Dashboard!$B41</f>
        <v>SKIN, HAIR, AND WEIGHT MANAGEMENT</v>
      </c>
      <c r="AH55" s="1031">
        <v>2</v>
      </c>
      <c r="AI55" s="1031">
        <v>4</v>
      </c>
      <c r="AJ55" s="1029">
        <v>500000</v>
      </c>
      <c r="AK55" s="1175" t="str">
        <f>Dashboard!$B41</f>
        <v>SKIN, HAIR, AND WEIGHT MANAGEMENT</v>
      </c>
      <c r="AL55" s="1031">
        <v>2</v>
      </c>
      <c r="AM55" s="1031">
        <v>4</v>
      </c>
      <c r="AN55" s="1029">
        <v>500000</v>
      </c>
      <c r="AO55" s="1175" t="str">
        <f>Dashboard!$B41</f>
        <v>SKIN, HAIR, AND WEIGHT MANAGEMENT</v>
      </c>
      <c r="AP55" s="1031">
        <v>2</v>
      </c>
      <c r="AQ55" s="1031">
        <v>4</v>
      </c>
      <c r="AR55" s="1029">
        <v>500000</v>
      </c>
      <c r="AS55" s="1175" t="str">
        <f>Dashboard!$B41</f>
        <v>SKIN, HAIR, AND WEIGHT MANAGEMENT</v>
      </c>
      <c r="AT55" s="1031">
        <v>2</v>
      </c>
      <c r="AU55" s="1031">
        <v>4</v>
      </c>
      <c r="AV55" s="1029">
        <v>500000</v>
      </c>
      <c r="AW55" s="1175" t="str">
        <f>Dashboard!$B41</f>
        <v>SKIN, HAIR, AND WEIGHT MANAGEMENT</v>
      </c>
      <c r="AX55" s="1031">
        <v>2</v>
      </c>
      <c r="AY55" s="1031">
        <v>4</v>
      </c>
      <c r="AZ55" s="1029">
        <v>500000</v>
      </c>
      <c r="BA55" s="1175" t="str">
        <f>Dashboard!$B41</f>
        <v>SKIN, HAIR, AND WEIGHT MANAGEMENT</v>
      </c>
      <c r="BB55" s="1031">
        <v>2</v>
      </c>
      <c r="BC55" s="1031">
        <v>4</v>
      </c>
      <c r="BD55" s="1029">
        <v>500000</v>
      </c>
      <c r="BE55" s="1175" t="str">
        <f>Dashboard!$B41</f>
        <v>SKIN, HAIR, AND WEIGHT MANAGEMENT</v>
      </c>
      <c r="BF55" s="1031">
        <v>2</v>
      </c>
      <c r="BG55" s="1031">
        <v>4</v>
      </c>
      <c r="BH55" s="1029">
        <v>500000</v>
      </c>
      <c r="BI55" s="1175" t="str">
        <f>Dashboard!$B41</f>
        <v>SKIN, HAIR, AND WEIGHT MANAGEMENT</v>
      </c>
      <c r="BJ55" s="1031">
        <v>2</v>
      </c>
      <c r="BK55" s="1031">
        <v>4</v>
      </c>
      <c r="BL55" s="1029">
        <v>500000</v>
      </c>
      <c r="BM55" s="1175" t="str">
        <f>Dashboard!$B41</f>
        <v>SKIN, HAIR, AND WEIGHT MANAGEMENT</v>
      </c>
      <c r="BN55" s="1031">
        <v>2</v>
      </c>
      <c r="BO55" s="1031">
        <v>4</v>
      </c>
      <c r="BP55" s="1029">
        <v>500000</v>
      </c>
      <c r="BQ55" s="1175" t="str">
        <f>Dashboard!$B41</f>
        <v>SKIN, HAIR, AND WEIGHT MANAGEMENT</v>
      </c>
      <c r="BR55" s="1031">
        <v>2</v>
      </c>
      <c r="BS55" s="1031">
        <v>4</v>
      </c>
      <c r="BT55" s="1029">
        <v>500000</v>
      </c>
      <c r="BU55" s="1175" t="str">
        <f>Dashboard!$B41</f>
        <v>SKIN, HAIR, AND WEIGHT MANAGEMENT</v>
      </c>
      <c r="BV55" s="1031">
        <v>2</v>
      </c>
      <c r="BW55" s="1031">
        <v>4</v>
      </c>
      <c r="BX55" s="1029">
        <v>500000</v>
      </c>
      <c r="BY55" s="1175" t="str">
        <f>Dashboard!$B41</f>
        <v>SKIN, HAIR, AND WEIGHT MANAGEMENT</v>
      </c>
      <c r="BZ55" s="1031">
        <v>2</v>
      </c>
      <c r="CA55" s="1031">
        <v>4</v>
      </c>
      <c r="CB55" s="1029">
        <v>500000</v>
      </c>
      <c r="CC55" s="1175" t="str">
        <f>Dashboard!$B41</f>
        <v>SKIN, HAIR, AND WEIGHT MANAGEMENT</v>
      </c>
      <c r="CD55" s="1031">
        <v>2</v>
      </c>
      <c r="CE55" s="1031">
        <v>4</v>
      </c>
      <c r="CF55" s="1029">
        <v>500000</v>
      </c>
      <c r="CG55" s="1175" t="str">
        <f>Dashboard!$B41</f>
        <v>SKIN, HAIR, AND WEIGHT MANAGEMENT</v>
      </c>
      <c r="CH55" s="1031">
        <v>2</v>
      </c>
      <c r="CI55" s="1031">
        <v>4</v>
      </c>
      <c r="CJ55" s="1029">
        <v>500000</v>
      </c>
      <c r="CK55" s="1175" t="str">
        <f>Dashboard!$B41</f>
        <v>SKIN, HAIR, AND WEIGHT MANAGEMENT</v>
      </c>
      <c r="CL55" s="1031">
        <v>2</v>
      </c>
      <c r="CM55" s="1031">
        <v>4</v>
      </c>
      <c r="CN55" s="1029">
        <v>500000</v>
      </c>
      <c r="CO55" s="1175" t="str">
        <f>Dashboard!$B41</f>
        <v>SKIN, HAIR, AND WEIGHT MANAGEMENT</v>
      </c>
      <c r="CP55" s="1031">
        <v>2</v>
      </c>
      <c r="CQ55" s="1031">
        <v>4</v>
      </c>
      <c r="CR55" s="1029">
        <v>500000</v>
      </c>
      <c r="CS55" s="1175" t="str">
        <f>Dashboard!$B41</f>
        <v>SKIN, HAIR, AND WEIGHT MANAGEMENT</v>
      </c>
      <c r="CT55" s="1031">
        <v>2</v>
      </c>
      <c r="CU55" s="1031">
        <v>4</v>
      </c>
      <c r="CV55" s="1029">
        <v>500000</v>
      </c>
      <c r="CW55" s="1175" t="str">
        <f>Dashboard!$B41</f>
        <v>SKIN, HAIR, AND WEIGHT MANAGEMENT</v>
      </c>
      <c r="CX55" s="1031">
        <v>2</v>
      </c>
      <c r="CY55" s="1031">
        <v>4</v>
      </c>
      <c r="CZ55" s="1029">
        <v>500000</v>
      </c>
      <c r="DA55" s="1175" t="str">
        <f>Dashboard!$B41</f>
        <v>SKIN, HAIR, AND WEIGHT MANAGEMENT</v>
      </c>
      <c r="DB55" s="1031">
        <v>2</v>
      </c>
      <c r="DC55" s="1031">
        <v>4</v>
      </c>
      <c r="DD55" s="1029">
        <v>500000</v>
      </c>
      <c r="DE55" s="1175" t="str">
        <f>Dashboard!$B41</f>
        <v>SKIN, HAIR, AND WEIGHT MANAGEMENT</v>
      </c>
      <c r="DF55" s="1031">
        <v>2</v>
      </c>
      <c r="DG55" s="1031">
        <v>4</v>
      </c>
      <c r="DH55" s="1029">
        <v>500000</v>
      </c>
      <c r="DI55" s="1175" t="str">
        <f>Dashboard!$B41</f>
        <v>SKIN, HAIR, AND WEIGHT MANAGEMENT</v>
      </c>
      <c r="DJ55" s="1031">
        <v>2</v>
      </c>
      <c r="DK55" s="1031">
        <v>4</v>
      </c>
      <c r="DL55" s="1029">
        <v>500000</v>
      </c>
      <c r="DM55" s="1175" t="str">
        <f>Dashboard!$B41</f>
        <v>SKIN, HAIR, AND WEIGHT MANAGEMENT</v>
      </c>
      <c r="DN55" s="1031">
        <v>2</v>
      </c>
      <c r="DO55" s="1031">
        <v>4</v>
      </c>
      <c r="DP55" s="1029">
        <v>500000</v>
      </c>
      <c r="DQ55" s="1175" t="str">
        <f>Dashboard!$B41</f>
        <v>SKIN, HAIR, AND WEIGHT MANAGEMENT</v>
      </c>
      <c r="DR55" s="1031">
        <v>2</v>
      </c>
      <c r="DS55" s="1031">
        <v>4</v>
      </c>
      <c r="DT55" s="1029">
        <v>500000</v>
      </c>
      <c r="DU55" s="1175" t="str">
        <f>Dashboard!$B41</f>
        <v>SKIN, HAIR, AND WEIGHT MANAGEMENT</v>
      </c>
      <c r="DV55" s="1031">
        <v>2</v>
      </c>
      <c r="DW55" s="1031">
        <v>4</v>
      </c>
      <c r="DX55" s="1029">
        <v>500000</v>
      </c>
      <c r="DY55" s="1175" t="str">
        <f>Dashboard!$B41</f>
        <v>SKIN, HAIR, AND WEIGHT MANAGEMENT</v>
      </c>
      <c r="DZ55" s="1031">
        <v>2</v>
      </c>
      <c r="EA55" s="1031">
        <v>4</v>
      </c>
      <c r="EB55" s="1029">
        <v>500000</v>
      </c>
      <c r="EC55" s="1175" t="str">
        <f>Dashboard!$B41</f>
        <v>SKIN, HAIR, AND WEIGHT MANAGEMENT</v>
      </c>
      <c r="ED55" s="1031">
        <v>2</v>
      </c>
      <c r="EE55" s="1031">
        <v>4</v>
      </c>
      <c r="EF55" s="1029">
        <v>500000</v>
      </c>
    </row>
    <row r="56" spans="1:137" ht="20" customHeight="1" x14ac:dyDescent="0.15">
      <c r="A56" s="869">
        <f>Dashboard!F42</f>
        <v>40300000</v>
      </c>
      <c r="B56" s="864" t="str">
        <f>Dashboard!$B42</f>
        <v>HORMONAL HEALTH</v>
      </c>
      <c r="C56" s="867" t="s">
        <v>79</v>
      </c>
      <c r="D56" s="797">
        <f t="shared" ref="D56:D58" si="379">SUMIF($M$49:$EF$49,$D$49,$M56:$EF56)</f>
        <v>124</v>
      </c>
      <c r="E56" s="797">
        <f t="shared" si="375"/>
        <v>93</v>
      </c>
      <c r="F56" s="869">
        <f t="shared" si="376"/>
        <v>15500000</v>
      </c>
      <c r="G56" s="1172">
        <f t="shared" si="377"/>
        <v>0.125</v>
      </c>
      <c r="H56" s="864" t="str">
        <f>Dashboard!$B42</f>
        <v>HORMONAL HEALTH</v>
      </c>
      <c r="I56" s="867" t="s">
        <v>79</v>
      </c>
      <c r="J56" s="797">
        <f t="shared" ca="1" si="378"/>
        <v>0</v>
      </c>
      <c r="K56" s="797">
        <f t="shared" ca="1" si="378"/>
        <v>0</v>
      </c>
      <c r="L56" s="887">
        <f t="shared" ca="1" si="378"/>
        <v>0</v>
      </c>
      <c r="M56" s="1175" t="str">
        <f>Dashboard!$B42</f>
        <v>HORMONAL HEALTH</v>
      </c>
      <c r="N56" s="1031">
        <v>4</v>
      </c>
      <c r="O56" s="1031">
        <v>3</v>
      </c>
      <c r="P56" s="1029">
        <v>500000</v>
      </c>
      <c r="Q56" s="1175" t="str">
        <f>Dashboard!$B42</f>
        <v>HORMONAL HEALTH</v>
      </c>
      <c r="R56" s="1031">
        <v>4</v>
      </c>
      <c r="S56" s="1031">
        <v>3</v>
      </c>
      <c r="T56" s="1029">
        <v>500000</v>
      </c>
      <c r="U56" s="1175" t="str">
        <f>Dashboard!$B42</f>
        <v>HORMONAL HEALTH</v>
      </c>
      <c r="V56" s="1031">
        <v>4</v>
      </c>
      <c r="W56" s="1031">
        <v>3</v>
      </c>
      <c r="X56" s="1029">
        <v>500000</v>
      </c>
      <c r="Y56" s="1175" t="str">
        <f>Dashboard!$B42</f>
        <v>HORMONAL HEALTH</v>
      </c>
      <c r="Z56" s="1031">
        <v>4</v>
      </c>
      <c r="AA56" s="1031">
        <v>3</v>
      </c>
      <c r="AB56" s="1029">
        <v>500000</v>
      </c>
      <c r="AC56" s="1175" t="str">
        <f>Dashboard!$B42</f>
        <v>HORMONAL HEALTH</v>
      </c>
      <c r="AD56" s="1031">
        <v>4</v>
      </c>
      <c r="AE56" s="1031">
        <v>3</v>
      </c>
      <c r="AF56" s="1029">
        <v>500000</v>
      </c>
      <c r="AG56" s="1175" t="str">
        <f>Dashboard!$B42</f>
        <v>HORMONAL HEALTH</v>
      </c>
      <c r="AH56" s="1031">
        <v>4</v>
      </c>
      <c r="AI56" s="1031">
        <v>3</v>
      </c>
      <c r="AJ56" s="1029">
        <v>500000</v>
      </c>
      <c r="AK56" s="1175" t="str">
        <f>Dashboard!$B42</f>
        <v>HORMONAL HEALTH</v>
      </c>
      <c r="AL56" s="1031">
        <v>4</v>
      </c>
      <c r="AM56" s="1031">
        <v>3</v>
      </c>
      <c r="AN56" s="1029">
        <v>500000</v>
      </c>
      <c r="AO56" s="1175" t="str">
        <f>Dashboard!$B42</f>
        <v>HORMONAL HEALTH</v>
      </c>
      <c r="AP56" s="1031">
        <v>4</v>
      </c>
      <c r="AQ56" s="1031">
        <v>3</v>
      </c>
      <c r="AR56" s="1029">
        <v>500000</v>
      </c>
      <c r="AS56" s="1175" t="str">
        <f>Dashboard!$B42</f>
        <v>HORMONAL HEALTH</v>
      </c>
      <c r="AT56" s="1031">
        <v>4</v>
      </c>
      <c r="AU56" s="1031">
        <v>3</v>
      </c>
      <c r="AV56" s="1029">
        <v>500000</v>
      </c>
      <c r="AW56" s="1175" t="str">
        <f>Dashboard!$B42</f>
        <v>HORMONAL HEALTH</v>
      </c>
      <c r="AX56" s="1031">
        <v>4</v>
      </c>
      <c r="AY56" s="1031">
        <v>3</v>
      </c>
      <c r="AZ56" s="1029">
        <v>500000</v>
      </c>
      <c r="BA56" s="1175" t="str">
        <f>Dashboard!$B42</f>
        <v>HORMONAL HEALTH</v>
      </c>
      <c r="BB56" s="1031">
        <v>4</v>
      </c>
      <c r="BC56" s="1031">
        <v>3</v>
      </c>
      <c r="BD56" s="1029">
        <v>500000</v>
      </c>
      <c r="BE56" s="1175" t="str">
        <f>Dashboard!$B42</f>
        <v>HORMONAL HEALTH</v>
      </c>
      <c r="BF56" s="1031">
        <v>4</v>
      </c>
      <c r="BG56" s="1031">
        <v>3</v>
      </c>
      <c r="BH56" s="1029">
        <v>500000</v>
      </c>
      <c r="BI56" s="1175" t="str">
        <f>Dashboard!$B42</f>
        <v>HORMONAL HEALTH</v>
      </c>
      <c r="BJ56" s="1031">
        <v>4</v>
      </c>
      <c r="BK56" s="1031">
        <v>3</v>
      </c>
      <c r="BL56" s="1029">
        <v>500000</v>
      </c>
      <c r="BM56" s="1175" t="str">
        <f>Dashboard!$B42</f>
        <v>HORMONAL HEALTH</v>
      </c>
      <c r="BN56" s="1031">
        <v>4</v>
      </c>
      <c r="BO56" s="1031">
        <v>3</v>
      </c>
      <c r="BP56" s="1029">
        <v>500000</v>
      </c>
      <c r="BQ56" s="1175" t="str">
        <f>Dashboard!$B42</f>
        <v>HORMONAL HEALTH</v>
      </c>
      <c r="BR56" s="1031">
        <v>4</v>
      </c>
      <c r="BS56" s="1031">
        <v>3</v>
      </c>
      <c r="BT56" s="1029">
        <v>500000</v>
      </c>
      <c r="BU56" s="1175" t="str">
        <f>Dashboard!$B42</f>
        <v>HORMONAL HEALTH</v>
      </c>
      <c r="BV56" s="1031">
        <v>4</v>
      </c>
      <c r="BW56" s="1031">
        <v>3</v>
      </c>
      <c r="BX56" s="1029">
        <v>500000</v>
      </c>
      <c r="BY56" s="1175" t="str">
        <f>Dashboard!$B42</f>
        <v>HORMONAL HEALTH</v>
      </c>
      <c r="BZ56" s="1031">
        <v>4</v>
      </c>
      <c r="CA56" s="1031">
        <v>3</v>
      </c>
      <c r="CB56" s="1029">
        <v>500000</v>
      </c>
      <c r="CC56" s="1175" t="str">
        <f>Dashboard!$B42</f>
        <v>HORMONAL HEALTH</v>
      </c>
      <c r="CD56" s="1031">
        <v>4</v>
      </c>
      <c r="CE56" s="1031">
        <v>3</v>
      </c>
      <c r="CF56" s="1029">
        <v>500000</v>
      </c>
      <c r="CG56" s="1175" t="str">
        <f>Dashboard!$B42</f>
        <v>HORMONAL HEALTH</v>
      </c>
      <c r="CH56" s="1031">
        <v>4</v>
      </c>
      <c r="CI56" s="1031">
        <v>3</v>
      </c>
      <c r="CJ56" s="1029">
        <v>500000</v>
      </c>
      <c r="CK56" s="1175" t="str">
        <f>Dashboard!$B42</f>
        <v>HORMONAL HEALTH</v>
      </c>
      <c r="CL56" s="1031">
        <v>4</v>
      </c>
      <c r="CM56" s="1031">
        <v>3</v>
      </c>
      <c r="CN56" s="1029">
        <v>500000</v>
      </c>
      <c r="CO56" s="1175" t="str">
        <f>Dashboard!$B42</f>
        <v>HORMONAL HEALTH</v>
      </c>
      <c r="CP56" s="1031">
        <v>4</v>
      </c>
      <c r="CQ56" s="1031">
        <v>3</v>
      </c>
      <c r="CR56" s="1029">
        <v>500000</v>
      </c>
      <c r="CS56" s="1175" t="str">
        <f>Dashboard!$B42</f>
        <v>HORMONAL HEALTH</v>
      </c>
      <c r="CT56" s="1031">
        <v>4</v>
      </c>
      <c r="CU56" s="1031">
        <v>3</v>
      </c>
      <c r="CV56" s="1029">
        <v>500000</v>
      </c>
      <c r="CW56" s="1175" t="str">
        <f>Dashboard!$B42</f>
        <v>HORMONAL HEALTH</v>
      </c>
      <c r="CX56" s="1031">
        <v>4</v>
      </c>
      <c r="CY56" s="1031">
        <v>3</v>
      </c>
      <c r="CZ56" s="1029">
        <v>500000</v>
      </c>
      <c r="DA56" s="1175" t="str">
        <f>Dashboard!$B42</f>
        <v>HORMONAL HEALTH</v>
      </c>
      <c r="DB56" s="1031">
        <v>4</v>
      </c>
      <c r="DC56" s="1031">
        <v>3</v>
      </c>
      <c r="DD56" s="1029">
        <v>500000</v>
      </c>
      <c r="DE56" s="1175" t="str">
        <f>Dashboard!$B42</f>
        <v>HORMONAL HEALTH</v>
      </c>
      <c r="DF56" s="1031">
        <v>4</v>
      </c>
      <c r="DG56" s="1031">
        <v>3</v>
      </c>
      <c r="DH56" s="1029">
        <v>500000</v>
      </c>
      <c r="DI56" s="1175" t="str">
        <f>Dashboard!$B42</f>
        <v>HORMONAL HEALTH</v>
      </c>
      <c r="DJ56" s="1031">
        <v>4</v>
      </c>
      <c r="DK56" s="1031">
        <v>3</v>
      </c>
      <c r="DL56" s="1029">
        <v>500000</v>
      </c>
      <c r="DM56" s="1175" t="str">
        <f>Dashboard!$B42</f>
        <v>HORMONAL HEALTH</v>
      </c>
      <c r="DN56" s="1031">
        <v>4</v>
      </c>
      <c r="DO56" s="1031">
        <v>3</v>
      </c>
      <c r="DP56" s="1029">
        <v>500000</v>
      </c>
      <c r="DQ56" s="1175" t="str">
        <f>Dashboard!$B42</f>
        <v>HORMONAL HEALTH</v>
      </c>
      <c r="DR56" s="1031">
        <v>4</v>
      </c>
      <c r="DS56" s="1031">
        <v>3</v>
      </c>
      <c r="DT56" s="1029">
        <v>500000</v>
      </c>
      <c r="DU56" s="1175" t="str">
        <f>Dashboard!$B42</f>
        <v>HORMONAL HEALTH</v>
      </c>
      <c r="DV56" s="1031">
        <v>4</v>
      </c>
      <c r="DW56" s="1031">
        <v>3</v>
      </c>
      <c r="DX56" s="1029">
        <v>500000</v>
      </c>
      <c r="DY56" s="1175" t="str">
        <f>Dashboard!$B42</f>
        <v>HORMONAL HEALTH</v>
      </c>
      <c r="DZ56" s="1031">
        <v>4</v>
      </c>
      <c r="EA56" s="1031">
        <v>3</v>
      </c>
      <c r="EB56" s="1029">
        <v>500000</v>
      </c>
      <c r="EC56" s="1175" t="str">
        <f>Dashboard!$B42</f>
        <v>HORMONAL HEALTH</v>
      </c>
      <c r="ED56" s="1031">
        <v>4</v>
      </c>
      <c r="EE56" s="1031">
        <v>3</v>
      </c>
      <c r="EF56" s="1029">
        <v>500000</v>
      </c>
    </row>
    <row r="57" spans="1:137" ht="20" customHeight="1" x14ac:dyDescent="0.15">
      <c r="A57" s="869">
        <f>Dashboard!F43</f>
        <v>40300000</v>
      </c>
      <c r="B57" s="864" t="str">
        <f>Dashboard!$B43</f>
        <v>IMMUNE SUPPORT</v>
      </c>
      <c r="C57" s="867" t="s">
        <v>79</v>
      </c>
      <c r="D57" s="797">
        <f t="shared" si="379"/>
        <v>93</v>
      </c>
      <c r="E57" s="797">
        <f t="shared" si="375"/>
        <v>155</v>
      </c>
      <c r="F57" s="869">
        <f>SUMIF($M$49:$EF$49,$F$49,$M57:$EF57)</f>
        <v>15500000</v>
      </c>
      <c r="G57" s="1172">
        <f>_xlfn.IFS($F$50=0,0,F57&lt;=$F$50,F57/$F$50,F57&gt;$F$50,1)</f>
        <v>0.125</v>
      </c>
      <c r="H57" s="864" t="str">
        <f>Dashboard!$B43</f>
        <v>IMMUNE SUPPORT</v>
      </c>
      <c r="I57" s="867" t="s">
        <v>79</v>
      </c>
      <c r="J57" s="797">
        <f t="shared" ca="1" si="378"/>
        <v>0</v>
      </c>
      <c r="K57" s="797">
        <f t="shared" ca="1" si="378"/>
        <v>0</v>
      </c>
      <c r="L57" s="887">
        <f t="shared" ca="1" si="378"/>
        <v>0</v>
      </c>
      <c r="M57" s="1175" t="str">
        <f>Dashboard!$B43</f>
        <v>IMMUNE SUPPORT</v>
      </c>
      <c r="N57" s="1031">
        <v>3</v>
      </c>
      <c r="O57" s="1031">
        <v>5</v>
      </c>
      <c r="P57" s="1029">
        <v>500000</v>
      </c>
      <c r="Q57" s="1175" t="str">
        <f>Dashboard!$B43</f>
        <v>IMMUNE SUPPORT</v>
      </c>
      <c r="R57" s="1031">
        <v>3</v>
      </c>
      <c r="S57" s="1031">
        <v>5</v>
      </c>
      <c r="T57" s="1029">
        <v>500000</v>
      </c>
      <c r="U57" s="1175" t="str">
        <f>Dashboard!$B43</f>
        <v>IMMUNE SUPPORT</v>
      </c>
      <c r="V57" s="1031">
        <v>3</v>
      </c>
      <c r="W57" s="1031">
        <v>5</v>
      </c>
      <c r="X57" s="1029">
        <v>500000</v>
      </c>
      <c r="Y57" s="1175" t="str">
        <f>Dashboard!$B43</f>
        <v>IMMUNE SUPPORT</v>
      </c>
      <c r="Z57" s="1031">
        <v>3</v>
      </c>
      <c r="AA57" s="1031">
        <v>5</v>
      </c>
      <c r="AB57" s="1029">
        <v>500000</v>
      </c>
      <c r="AC57" s="1175" t="str">
        <f>Dashboard!$B43</f>
        <v>IMMUNE SUPPORT</v>
      </c>
      <c r="AD57" s="1031">
        <v>3</v>
      </c>
      <c r="AE57" s="1031">
        <v>5</v>
      </c>
      <c r="AF57" s="1029">
        <v>500000</v>
      </c>
      <c r="AG57" s="1175" t="str">
        <f>Dashboard!$B43</f>
        <v>IMMUNE SUPPORT</v>
      </c>
      <c r="AH57" s="1031">
        <v>3</v>
      </c>
      <c r="AI57" s="1031">
        <v>5</v>
      </c>
      <c r="AJ57" s="1029">
        <v>500000</v>
      </c>
      <c r="AK57" s="1175" t="str">
        <f>Dashboard!$B43</f>
        <v>IMMUNE SUPPORT</v>
      </c>
      <c r="AL57" s="1031">
        <v>3</v>
      </c>
      <c r="AM57" s="1031">
        <v>5</v>
      </c>
      <c r="AN57" s="1029">
        <v>500000</v>
      </c>
      <c r="AO57" s="1175" t="str">
        <f>Dashboard!$B43</f>
        <v>IMMUNE SUPPORT</v>
      </c>
      <c r="AP57" s="1031">
        <v>3</v>
      </c>
      <c r="AQ57" s="1031">
        <v>5</v>
      </c>
      <c r="AR57" s="1029">
        <v>500000</v>
      </c>
      <c r="AS57" s="1175" t="str">
        <f>Dashboard!$B43</f>
        <v>IMMUNE SUPPORT</v>
      </c>
      <c r="AT57" s="1031">
        <v>3</v>
      </c>
      <c r="AU57" s="1031">
        <v>5</v>
      </c>
      <c r="AV57" s="1029">
        <v>500000</v>
      </c>
      <c r="AW57" s="1175" t="str">
        <f>Dashboard!$B43</f>
        <v>IMMUNE SUPPORT</v>
      </c>
      <c r="AX57" s="1031">
        <v>3</v>
      </c>
      <c r="AY57" s="1031">
        <v>5</v>
      </c>
      <c r="AZ57" s="1029">
        <v>500000</v>
      </c>
      <c r="BA57" s="1175" t="str">
        <f>Dashboard!$B43</f>
        <v>IMMUNE SUPPORT</v>
      </c>
      <c r="BB57" s="1031">
        <v>3</v>
      </c>
      <c r="BC57" s="1031">
        <v>5</v>
      </c>
      <c r="BD57" s="1029">
        <v>500000</v>
      </c>
      <c r="BE57" s="1175" t="str">
        <f>Dashboard!$B43</f>
        <v>IMMUNE SUPPORT</v>
      </c>
      <c r="BF57" s="1031">
        <v>3</v>
      </c>
      <c r="BG57" s="1031">
        <v>5</v>
      </c>
      <c r="BH57" s="1029">
        <v>500000</v>
      </c>
      <c r="BI57" s="1175" t="str">
        <f>Dashboard!$B43</f>
        <v>IMMUNE SUPPORT</v>
      </c>
      <c r="BJ57" s="1031">
        <v>3</v>
      </c>
      <c r="BK57" s="1031">
        <v>5</v>
      </c>
      <c r="BL57" s="1029">
        <v>500000</v>
      </c>
      <c r="BM57" s="1175" t="str">
        <f>Dashboard!$B43</f>
        <v>IMMUNE SUPPORT</v>
      </c>
      <c r="BN57" s="1031">
        <v>3</v>
      </c>
      <c r="BO57" s="1031">
        <v>5</v>
      </c>
      <c r="BP57" s="1029">
        <v>500000</v>
      </c>
      <c r="BQ57" s="1175" t="str">
        <f>Dashboard!$B43</f>
        <v>IMMUNE SUPPORT</v>
      </c>
      <c r="BR57" s="1031">
        <v>3</v>
      </c>
      <c r="BS57" s="1031">
        <v>5</v>
      </c>
      <c r="BT57" s="1029">
        <v>500000</v>
      </c>
      <c r="BU57" s="1175" t="str">
        <f>Dashboard!$B43</f>
        <v>IMMUNE SUPPORT</v>
      </c>
      <c r="BV57" s="1031">
        <v>3</v>
      </c>
      <c r="BW57" s="1031">
        <v>5</v>
      </c>
      <c r="BX57" s="1029">
        <v>500000</v>
      </c>
      <c r="BY57" s="1175" t="str">
        <f>Dashboard!$B43</f>
        <v>IMMUNE SUPPORT</v>
      </c>
      <c r="BZ57" s="1031">
        <v>3</v>
      </c>
      <c r="CA57" s="1031">
        <v>5</v>
      </c>
      <c r="CB57" s="1029">
        <v>500000</v>
      </c>
      <c r="CC57" s="1175" t="str">
        <f>Dashboard!$B43</f>
        <v>IMMUNE SUPPORT</v>
      </c>
      <c r="CD57" s="1031">
        <v>3</v>
      </c>
      <c r="CE57" s="1031">
        <v>5</v>
      </c>
      <c r="CF57" s="1029">
        <v>500000</v>
      </c>
      <c r="CG57" s="1175" t="str">
        <f>Dashboard!$B43</f>
        <v>IMMUNE SUPPORT</v>
      </c>
      <c r="CH57" s="1031">
        <v>3</v>
      </c>
      <c r="CI57" s="1031">
        <v>5</v>
      </c>
      <c r="CJ57" s="1029">
        <v>500000</v>
      </c>
      <c r="CK57" s="1175" t="str">
        <f>Dashboard!$B43</f>
        <v>IMMUNE SUPPORT</v>
      </c>
      <c r="CL57" s="1031">
        <v>3</v>
      </c>
      <c r="CM57" s="1031">
        <v>5</v>
      </c>
      <c r="CN57" s="1029">
        <v>500000</v>
      </c>
      <c r="CO57" s="1175" t="str">
        <f>Dashboard!$B43</f>
        <v>IMMUNE SUPPORT</v>
      </c>
      <c r="CP57" s="1031">
        <v>3</v>
      </c>
      <c r="CQ57" s="1031">
        <v>5</v>
      </c>
      <c r="CR57" s="1029">
        <v>500000</v>
      </c>
      <c r="CS57" s="1175" t="str">
        <f>Dashboard!$B43</f>
        <v>IMMUNE SUPPORT</v>
      </c>
      <c r="CT57" s="1031">
        <v>3</v>
      </c>
      <c r="CU57" s="1031">
        <v>5</v>
      </c>
      <c r="CV57" s="1029">
        <v>500000</v>
      </c>
      <c r="CW57" s="1175" t="str">
        <f>Dashboard!$B43</f>
        <v>IMMUNE SUPPORT</v>
      </c>
      <c r="CX57" s="1031">
        <v>3</v>
      </c>
      <c r="CY57" s="1031">
        <v>5</v>
      </c>
      <c r="CZ57" s="1029">
        <v>500000</v>
      </c>
      <c r="DA57" s="1175" t="str">
        <f>Dashboard!$B43</f>
        <v>IMMUNE SUPPORT</v>
      </c>
      <c r="DB57" s="1031">
        <v>3</v>
      </c>
      <c r="DC57" s="1031">
        <v>5</v>
      </c>
      <c r="DD57" s="1029">
        <v>500000</v>
      </c>
      <c r="DE57" s="1175" t="str">
        <f>Dashboard!$B43</f>
        <v>IMMUNE SUPPORT</v>
      </c>
      <c r="DF57" s="1031">
        <v>3</v>
      </c>
      <c r="DG57" s="1031">
        <v>5</v>
      </c>
      <c r="DH57" s="1029">
        <v>500000</v>
      </c>
      <c r="DI57" s="1175" t="str">
        <f>Dashboard!$B43</f>
        <v>IMMUNE SUPPORT</v>
      </c>
      <c r="DJ57" s="1031">
        <v>3</v>
      </c>
      <c r="DK57" s="1031">
        <v>5</v>
      </c>
      <c r="DL57" s="1029">
        <v>500000</v>
      </c>
      <c r="DM57" s="1175" t="str">
        <f>Dashboard!$B43</f>
        <v>IMMUNE SUPPORT</v>
      </c>
      <c r="DN57" s="1031">
        <v>3</v>
      </c>
      <c r="DO57" s="1031">
        <v>5</v>
      </c>
      <c r="DP57" s="1029">
        <v>500000</v>
      </c>
      <c r="DQ57" s="1175" t="str">
        <f>Dashboard!$B43</f>
        <v>IMMUNE SUPPORT</v>
      </c>
      <c r="DR57" s="1031">
        <v>3</v>
      </c>
      <c r="DS57" s="1031">
        <v>5</v>
      </c>
      <c r="DT57" s="1029">
        <v>500000</v>
      </c>
      <c r="DU57" s="1175" t="str">
        <f>Dashboard!$B43</f>
        <v>IMMUNE SUPPORT</v>
      </c>
      <c r="DV57" s="1031">
        <v>3</v>
      </c>
      <c r="DW57" s="1031">
        <v>5</v>
      </c>
      <c r="DX57" s="1029">
        <v>500000</v>
      </c>
      <c r="DY57" s="1175" t="str">
        <f>Dashboard!$B43</f>
        <v>IMMUNE SUPPORT</v>
      </c>
      <c r="DZ57" s="1031">
        <v>3</v>
      </c>
      <c r="EA57" s="1031">
        <v>5</v>
      </c>
      <c r="EB57" s="1029">
        <v>500000</v>
      </c>
      <c r="EC57" s="1175" t="str">
        <f>Dashboard!$B43</f>
        <v>IMMUNE SUPPORT</v>
      </c>
      <c r="ED57" s="1031">
        <v>3</v>
      </c>
      <c r="EE57" s="1031">
        <v>5</v>
      </c>
      <c r="EF57" s="1029">
        <v>500000</v>
      </c>
    </row>
    <row r="58" spans="1:137" ht="20" customHeight="1" thickBot="1" x14ac:dyDescent="0.2">
      <c r="A58" s="1020">
        <f>Dashboard!F44</f>
        <v>49600000</v>
      </c>
      <c r="B58" s="1021" t="str">
        <f>Dashboard!$B44</f>
        <v>MATERNITY &amp; CHILDREN’S HEALTH</v>
      </c>
      <c r="C58" s="1022" t="s">
        <v>79</v>
      </c>
      <c r="D58" s="1023">
        <f t="shared" si="379"/>
        <v>155</v>
      </c>
      <c r="E58" s="1023">
        <f t="shared" si="375"/>
        <v>93</v>
      </c>
      <c r="F58" s="1020">
        <f>SUMIF($M$49:$EF$49,$F$49,$M58:$EF58)</f>
        <v>15500000</v>
      </c>
      <c r="G58" s="1173">
        <f>_xlfn.IFS($F$50=0,0,F58&lt;=$F$50,F58/$F$50,F58&gt;$F$50,1)</f>
        <v>0.125</v>
      </c>
      <c r="H58" s="1021" t="str">
        <f>Dashboard!$B44</f>
        <v>MATERNITY &amp; CHILDREN’S HEALTH</v>
      </c>
      <c r="I58" s="1022" t="s">
        <v>79</v>
      </c>
      <c r="J58" s="1023">
        <f t="shared" ca="1" si="378"/>
        <v>0</v>
      </c>
      <c r="K58" s="1023">
        <f t="shared" ca="1" si="378"/>
        <v>0</v>
      </c>
      <c r="L58" s="1020">
        <f t="shared" ca="1" si="378"/>
        <v>0</v>
      </c>
      <c r="M58" s="1176" t="str">
        <f>Dashboard!$B44</f>
        <v>MATERNITY &amp; CHILDREN’S HEALTH</v>
      </c>
      <c r="N58" s="1032">
        <v>5</v>
      </c>
      <c r="O58" s="1032">
        <v>3</v>
      </c>
      <c r="P58" s="1114">
        <v>500000</v>
      </c>
      <c r="Q58" s="1176" t="str">
        <f>Dashboard!$B44</f>
        <v>MATERNITY &amp; CHILDREN’S HEALTH</v>
      </c>
      <c r="R58" s="1032">
        <v>5</v>
      </c>
      <c r="S58" s="1032">
        <v>3</v>
      </c>
      <c r="T58" s="1114">
        <v>500000</v>
      </c>
      <c r="U58" s="1176" t="str">
        <f>Dashboard!$B44</f>
        <v>MATERNITY &amp; CHILDREN’S HEALTH</v>
      </c>
      <c r="V58" s="1032">
        <v>5</v>
      </c>
      <c r="W58" s="1032">
        <v>3</v>
      </c>
      <c r="X58" s="1114">
        <v>500000</v>
      </c>
      <c r="Y58" s="1176" t="str">
        <f>Dashboard!$B44</f>
        <v>MATERNITY &amp; CHILDREN’S HEALTH</v>
      </c>
      <c r="Z58" s="1032">
        <v>5</v>
      </c>
      <c r="AA58" s="1032">
        <v>3</v>
      </c>
      <c r="AB58" s="1114">
        <v>500000</v>
      </c>
      <c r="AC58" s="1176" t="str">
        <f>Dashboard!$B44</f>
        <v>MATERNITY &amp; CHILDREN’S HEALTH</v>
      </c>
      <c r="AD58" s="1032">
        <v>5</v>
      </c>
      <c r="AE58" s="1032">
        <v>3</v>
      </c>
      <c r="AF58" s="1114">
        <v>500000</v>
      </c>
      <c r="AG58" s="1176" t="str">
        <f>Dashboard!$B44</f>
        <v>MATERNITY &amp; CHILDREN’S HEALTH</v>
      </c>
      <c r="AH58" s="1032">
        <v>5</v>
      </c>
      <c r="AI58" s="1032">
        <v>3</v>
      </c>
      <c r="AJ58" s="1114">
        <v>500000</v>
      </c>
      <c r="AK58" s="1176" t="str">
        <f>Dashboard!$B44</f>
        <v>MATERNITY &amp; CHILDREN’S HEALTH</v>
      </c>
      <c r="AL58" s="1032">
        <v>5</v>
      </c>
      <c r="AM58" s="1032">
        <v>3</v>
      </c>
      <c r="AN58" s="1114">
        <v>500000</v>
      </c>
      <c r="AO58" s="1176" t="str">
        <f>Dashboard!$B44</f>
        <v>MATERNITY &amp; CHILDREN’S HEALTH</v>
      </c>
      <c r="AP58" s="1032">
        <v>5</v>
      </c>
      <c r="AQ58" s="1032">
        <v>3</v>
      </c>
      <c r="AR58" s="1114">
        <v>500000</v>
      </c>
      <c r="AS58" s="1176" t="str">
        <f>Dashboard!$B44</f>
        <v>MATERNITY &amp; CHILDREN’S HEALTH</v>
      </c>
      <c r="AT58" s="1032">
        <v>5</v>
      </c>
      <c r="AU58" s="1032">
        <v>3</v>
      </c>
      <c r="AV58" s="1114">
        <v>500000</v>
      </c>
      <c r="AW58" s="1176" t="str">
        <f>Dashboard!$B44</f>
        <v>MATERNITY &amp; CHILDREN’S HEALTH</v>
      </c>
      <c r="AX58" s="1032">
        <v>5</v>
      </c>
      <c r="AY58" s="1032">
        <v>3</v>
      </c>
      <c r="AZ58" s="1114">
        <v>500000</v>
      </c>
      <c r="BA58" s="1176" t="str">
        <f>Dashboard!$B44</f>
        <v>MATERNITY &amp; CHILDREN’S HEALTH</v>
      </c>
      <c r="BB58" s="1032">
        <v>5</v>
      </c>
      <c r="BC58" s="1032">
        <v>3</v>
      </c>
      <c r="BD58" s="1114">
        <v>500000</v>
      </c>
      <c r="BE58" s="1176" t="str">
        <f>Dashboard!$B44</f>
        <v>MATERNITY &amp; CHILDREN’S HEALTH</v>
      </c>
      <c r="BF58" s="1032">
        <v>5</v>
      </c>
      <c r="BG58" s="1032">
        <v>3</v>
      </c>
      <c r="BH58" s="1114">
        <v>500000</v>
      </c>
      <c r="BI58" s="1176" t="str">
        <f>Dashboard!$B44</f>
        <v>MATERNITY &amp; CHILDREN’S HEALTH</v>
      </c>
      <c r="BJ58" s="1032">
        <v>5</v>
      </c>
      <c r="BK58" s="1032">
        <v>3</v>
      </c>
      <c r="BL58" s="1114">
        <v>500000</v>
      </c>
      <c r="BM58" s="1176" t="str">
        <f>Dashboard!$B44</f>
        <v>MATERNITY &amp; CHILDREN’S HEALTH</v>
      </c>
      <c r="BN58" s="1032">
        <v>5</v>
      </c>
      <c r="BO58" s="1032">
        <v>3</v>
      </c>
      <c r="BP58" s="1114">
        <v>500000</v>
      </c>
      <c r="BQ58" s="1176" t="str">
        <f>Dashboard!$B44</f>
        <v>MATERNITY &amp; CHILDREN’S HEALTH</v>
      </c>
      <c r="BR58" s="1032">
        <v>5</v>
      </c>
      <c r="BS58" s="1032">
        <v>3</v>
      </c>
      <c r="BT58" s="1114">
        <v>500000</v>
      </c>
      <c r="BU58" s="1176" t="str">
        <f>Dashboard!$B44</f>
        <v>MATERNITY &amp; CHILDREN’S HEALTH</v>
      </c>
      <c r="BV58" s="1032">
        <v>5</v>
      </c>
      <c r="BW58" s="1032">
        <v>3</v>
      </c>
      <c r="BX58" s="1114">
        <v>500000</v>
      </c>
      <c r="BY58" s="1176" t="str">
        <f>Dashboard!$B44</f>
        <v>MATERNITY &amp; CHILDREN’S HEALTH</v>
      </c>
      <c r="BZ58" s="1032">
        <v>5</v>
      </c>
      <c r="CA58" s="1032">
        <v>3</v>
      </c>
      <c r="CB58" s="1114">
        <v>500000</v>
      </c>
      <c r="CC58" s="1176" t="str">
        <f>Dashboard!$B44</f>
        <v>MATERNITY &amp; CHILDREN’S HEALTH</v>
      </c>
      <c r="CD58" s="1032">
        <v>5</v>
      </c>
      <c r="CE58" s="1032">
        <v>3</v>
      </c>
      <c r="CF58" s="1114">
        <v>500000</v>
      </c>
      <c r="CG58" s="1176" t="str">
        <f>Dashboard!$B44</f>
        <v>MATERNITY &amp; CHILDREN’S HEALTH</v>
      </c>
      <c r="CH58" s="1032">
        <v>5</v>
      </c>
      <c r="CI58" s="1032">
        <v>3</v>
      </c>
      <c r="CJ58" s="1114">
        <v>500000</v>
      </c>
      <c r="CK58" s="1176" t="str">
        <f>Dashboard!$B44</f>
        <v>MATERNITY &amp; CHILDREN’S HEALTH</v>
      </c>
      <c r="CL58" s="1032">
        <v>5</v>
      </c>
      <c r="CM58" s="1032">
        <v>3</v>
      </c>
      <c r="CN58" s="1114">
        <v>500000</v>
      </c>
      <c r="CO58" s="1176" t="str">
        <f>Dashboard!$B44</f>
        <v>MATERNITY &amp; CHILDREN’S HEALTH</v>
      </c>
      <c r="CP58" s="1032">
        <v>5</v>
      </c>
      <c r="CQ58" s="1032">
        <v>3</v>
      </c>
      <c r="CR58" s="1114">
        <v>500000</v>
      </c>
      <c r="CS58" s="1176" t="str">
        <f>Dashboard!$B44</f>
        <v>MATERNITY &amp; CHILDREN’S HEALTH</v>
      </c>
      <c r="CT58" s="1032">
        <v>5</v>
      </c>
      <c r="CU58" s="1032">
        <v>3</v>
      </c>
      <c r="CV58" s="1114">
        <v>500000</v>
      </c>
      <c r="CW58" s="1176" t="str">
        <f>Dashboard!$B44</f>
        <v>MATERNITY &amp; CHILDREN’S HEALTH</v>
      </c>
      <c r="CX58" s="1032">
        <v>5</v>
      </c>
      <c r="CY58" s="1032">
        <v>3</v>
      </c>
      <c r="CZ58" s="1114">
        <v>500000</v>
      </c>
      <c r="DA58" s="1176" t="str">
        <f>Dashboard!$B44</f>
        <v>MATERNITY &amp; CHILDREN’S HEALTH</v>
      </c>
      <c r="DB58" s="1032">
        <v>5</v>
      </c>
      <c r="DC58" s="1032">
        <v>3</v>
      </c>
      <c r="DD58" s="1114">
        <v>500000</v>
      </c>
      <c r="DE58" s="1176" t="str">
        <f>Dashboard!$B44</f>
        <v>MATERNITY &amp; CHILDREN’S HEALTH</v>
      </c>
      <c r="DF58" s="1032">
        <v>5</v>
      </c>
      <c r="DG58" s="1032">
        <v>3</v>
      </c>
      <c r="DH58" s="1114">
        <v>500000</v>
      </c>
      <c r="DI58" s="1176" t="str">
        <f>Dashboard!$B44</f>
        <v>MATERNITY &amp; CHILDREN’S HEALTH</v>
      </c>
      <c r="DJ58" s="1032">
        <v>5</v>
      </c>
      <c r="DK58" s="1032">
        <v>3</v>
      </c>
      <c r="DL58" s="1114">
        <v>500000</v>
      </c>
      <c r="DM58" s="1176" t="str">
        <f>Dashboard!$B44</f>
        <v>MATERNITY &amp; CHILDREN’S HEALTH</v>
      </c>
      <c r="DN58" s="1032">
        <v>5</v>
      </c>
      <c r="DO58" s="1032">
        <v>3</v>
      </c>
      <c r="DP58" s="1114">
        <v>500000</v>
      </c>
      <c r="DQ58" s="1176" t="str">
        <f>Dashboard!$B44</f>
        <v>MATERNITY &amp; CHILDREN’S HEALTH</v>
      </c>
      <c r="DR58" s="1032">
        <v>5</v>
      </c>
      <c r="DS58" s="1032">
        <v>3</v>
      </c>
      <c r="DT58" s="1114">
        <v>500000</v>
      </c>
      <c r="DU58" s="1176" t="str">
        <f>Dashboard!$B44</f>
        <v>MATERNITY &amp; CHILDREN’S HEALTH</v>
      </c>
      <c r="DV58" s="1032">
        <v>5</v>
      </c>
      <c r="DW58" s="1032">
        <v>3</v>
      </c>
      <c r="DX58" s="1114">
        <v>500000</v>
      </c>
      <c r="DY58" s="1176" t="str">
        <f>Dashboard!$B44</f>
        <v>MATERNITY &amp; CHILDREN’S HEALTH</v>
      </c>
      <c r="DZ58" s="1032">
        <v>5</v>
      </c>
      <c r="EA58" s="1032">
        <v>3</v>
      </c>
      <c r="EB58" s="1114">
        <v>500000</v>
      </c>
      <c r="EC58" s="1176" t="str">
        <f>Dashboard!$B44</f>
        <v>MATERNITY &amp; CHILDREN’S HEALTH</v>
      </c>
      <c r="ED58" s="1032">
        <v>5</v>
      </c>
      <c r="EE58" s="1032">
        <v>3</v>
      </c>
      <c r="EF58" s="1114">
        <v>500000</v>
      </c>
      <c r="EG58" s="446"/>
    </row>
    <row r="59" spans="1:137" ht="13" x14ac:dyDescent="0.15">
      <c r="A59" s="917"/>
      <c r="B59" s="917"/>
      <c r="C59" s="918"/>
      <c r="D59" s="919"/>
      <c r="E59" s="920"/>
      <c r="F59" s="921"/>
      <c r="G59" s="922"/>
      <c r="H59" s="917"/>
      <c r="I59" s="922"/>
      <c r="J59" s="923"/>
      <c r="K59" s="923"/>
      <c r="L59" s="924"/>
      <c r="M59" s="925"/>
      <c r="N59" s="925"/>
      <c r="O59" s="925"/>
      <c r="P59" s="1033"/>
      <c r="Q59" s="1040"/>
      <c r="R59" s="1034"/>
      <c r="S59" s="926"/>
      <c r="T59" s="925"/>
      <c r="U59" s="925"/>
      <c r="V59" s="925"/>
      <c r="W59" s="925"/>
      <c r="X59" s="925"/>
      <c r="Y59" s="925"/>
      <c r="Z59" s="925"/>
      <c r="AA59" s="925"/>
      <c r="AB59" s="925"/>
      <c r="AC59" s="925"/>
      <c r="AD59" s="925"/>
      <c r="AE59" s="925"/>
      <c r="AF59" s="925"/>
      <c r="AG59" s="925"/>
      <c r="AH59" s="925"/>
      <c r="AI59" s="925"/>
      <c r="AJ59" s="925"/>
      <c r="AK59" s="925"/>
      <c r="AL59" s="925"/>
      <c r="AM59" s="925"/>
      <c r="AN59" s="925"/>
      <c r="AO59" s="925"/>
      <c r="AP59" s="925"/>
      <c r="AQ59" s="925"/>
      <c r="AR59" s="925"/>
      <c r="AS59" s="925"/>
      <c r="AT59" s="925"/>
      <c r="AU59" s="925"/>
      <c r="AV59" s="925"/>
      <c r="AW59" s="925"/>
      <c r="AX59" s="925"/>
      <c r="AY59" s="925"/>
      <c r="AZ59" s="925"/>
      <c r="BA59" s="925"/>
      <c r="BB59" s="925"/>
      <c r="BC59" s="925"/>
      <c r="BD59" s="925"/>
      <c r="BE59" s="925"/>
      <c r="BF59" s="925"/>
      <c r="BG59" s="925"/>
      <c r="BH59" s="925"/>
      <c r="BI59" s="925"/>
      <c r="BJ59" s="925"/>
      <c r="BK59" s="925"/>
      <c r="BL59" s="925"/>
      <c r="BM59" s="925"/>
      <c r="BN59" s="925"/>
      <c r="BO59" s="925"/>
      <c r="BP59" s="925"/>
      <c r="BQ59" s="925"/>
      <c r="BR59" s="925"/>
      <c r="BS59" s="925"/>
      <c r="BT59" s="925"/>
      <c r="BU59" s="925"/>
      <c r="BV59" s="925"/>
      <c r="BW59" s="925"/>
      <c r="BX59" s="925"/>
      <c r="BY59" s="925"/>
      <c r="BZ59" s="925"/>
      <c r="CA59" s="925"/>
      <c r="CB59" s="925"/>
      <c r="CC59" s="925"/>
      <c r="CD59" s="925"/>
      <c r="CE59" s="925"/>
      <c r="CF59" s="925"/>
      <c r="CG59" s="925"/>
      <c r="CH59" s="925"/>
      <c r="CI59" s="925"/>
      <c r="CJ59" s="925"/>
      <c r="CK59" s="925"/>
      <c r="CL59" s="925"/>
      <c r="CM59" s="925"/>
      <c r="CN59" s="925"/>
      <c r="CO59" s="925"/>
      <c r="CP59" s="925"/>
      <c r="CQ59" s="925"/>
      <c r="CR59" s="925"/>
      <c r="CS59" s="925"/>
      <c r="CT59" s="925"/>
      <c r="CU59" s="925"/>
      <c r="CV59" s="925"/>
      <c r="CW59" s="925"/>
      <c r="CX59" s="925"/>
      <c r="CY59" s="925"/>
      <c r="CZ59" s="925"/>
      <c r="DA59" s="925"/>
      <c r="DB59" s="925"/>
      <c r="DC59" s="925"/>
      <c r="DD59" s="925"/>
      <c r="DE59" s="925"/>
      <c r="DF59" s="925"/>
      <c r="DG59" s="925"/>
      <c r="DH59" s="925"/>
      <c r="DI59" s="925"/>
      <c r="DJ59" s="925"/>
      <c r="DK59" s="925"/>
      <c r="DL59" s="925"/>
      <c r="DM59" s="925"/>
      <c r="DN59" s="925"/>
      <c r="DO59" s="925"/>
      <c r="DP59" s="925"/>
      <c r="DQ59" s="925"/>
      <c r="DR59" s="925"/>
      <c r="DS59" s="925"/>
      <c r="DT59" s="925"/>
      <c r="DU59" s="925"/>
      <c r="DV59" s="925"/>
      <c r="DW59" s="925"/>
      <c r="DX59" s="925"/>
      <c r="DY59" s="925"/>
      <c r="DZ59" s="925"/>
      <c r="EA59" s="925"/>
      <c r="EB59" s="925"/>
      <c r="EC59" s="925"/>
      <c r="ED59" s="925"/>
      <c r="EE59" s="925"/>
      <c r="EF59" s="925"/>
      <c r="EG59" s="446"/>
    </row>
    <row r="60" spans="1:137" ht="13" x14ac:dyDescent="0.15">
      <c r="A60" s="917"/>
      <c r="B60" s="917"/>
      <c r="C60" s="918"/>
      <c r="D60" s="919"/>
      <c r="E60" s="920"/>
      <c r="F60" s="921"/>
      <c r="G60" s="922"/>
      <c r="H60" s="922"/>
      <c r="I60" s="922"/>
      <c r="J60" s="923"/>
      <c r="K60" s="923"/>
      <c r="L60" s="924"/>
      <c r="M60" s="925"/>
      <c r="N60" s="925"/>
      <c r="O60" s="925"/>
      <c r="P60" s="1035"/>
      <c r="Q60" s="1036"/>
      <c r="R60" s="1034"/>
      <c r="S60" s="926"/>
      <c r="T60" s="925"/>
      <c r="U60" s="925"/>
      <c r="V60" s="925"/>
      <c r="W60" s="925"/>
      <c r="X60" s="925"/>
      <c r="Y60" s="925"/>
      <c r="Z60" s="925"/>
      <c r="AA60" s="925"/>
      <c r="AB60" s="925"/>
      <c r="AC60" s="925"/>
      <c r="AD60" s="925"/>
      <c r="AE60" s="925"/>
      <c r="AF60" s="925"/>
      <c r="AG60" s="925"/>
      <c r="AH60" s="925"/>
      <c r="AI60" s="925"/>
      <c r="AJ60" s="925"/>
      <c r="AK60" s="925"/>
      <c r="AL60" s="925"/>
      <c r="AM60" s="925"/>
      <c r="AN60" s="925"/>
      <c r="AO60" s="925"/>
      <c r="AP60" s="925"/>
      <c r="AQ60" s="925"/>
      <c r="AR60" s="925"/>
      <c r="AS60" s="925"/>
      <c r="AT60" s="925"/>
      <c r="AU60" s="925"/>
      <c r="AV60" s="925"/>
      <c r="AW60" s="925"/>
      <c r="AX60" s="925"/>
      <c r="AY60" s="925"/>
      <c r="AZ60" s="925"/>
      <c r="BA60" s="925"/>
      <c r="BB60" s="925"/>
      <c r="BC60" s="925"/>
      <c r="BD60" s="925"/>
      <c r="BE60" s="925"/>
      <c r="BF60" s="925"/>
      <c r="BG60" s="925"/>
      <c r="BH60" s="925"/>
      <c r="BI60" s="925"/>
      <c r="BJ60" s="925"/>
      <c r="BK60" s="925"/>
      <c r="BL60" s="925"/>
      <c r="BM60" s="925"/>
      <c r="BN60" s="925"/>
      <c r="BO60" s="925"/>
      <c r="BP60" s="925"/>
      <c r="BQ60" s="925"/>
      <c r="BR60" s="925"/>
      <c r="BS60" s="925"/>
      <c r="BT60" s="925"/>
      <c r="BU60" s="925"/>
      <c r="BV60" s="925"/>
      <c r="BW60" s="925"/>
      <c r="BX60" s="925"/>
      <c r="BY60" s="925"/>
      <c r="BZ60" s="925"/>
      <c r="CA60" s="925"/>
      <c r="CB60" s="925"/>
      <c r="CC60" s="925"/>
      <c r="CD60" s="925"/>
      <c r="CE60" s="925"/>
      <c r="CF60" s="925"/>
      <c r="CG60" s="925"/>
      <c r="CH60" s="925"/>
      <c r="CI60" s="925"/>
      <c r="CJ60" s="925"/>
      <c r="CK60" s="925"/>
      <c r="CL60" s="925"/>
      <c r="CM60" s="925"/>
      <c r="CN60" s="925"/>
      <c r="CO60" s="925"/>
      <c r="CP60" s="925"/>
      <c r="CQ60" s="925"/>
      <c r="CR60" s="925"/>
      <c r="CS60" s="925"/>
      <c r="CT60" s="925"/>
      <c r="CU60" s="925"/>
      <c r="CV60" s="925"/>
      <c r="CW60" s="925"/>
      <c r="CX60" s="925"/>
      <c r="CY60" s="925"/>
      <c r="CZ60" s="925"/>
      <c r="DA60" s="925"/>
      <c r="DB60" s="925"/>
      <c r="DC60" s="925"/>
      <c r="DD60" s="925"/>
      <c r="DE60" s="925"/>
      <c r="DF60" s="925"/>
      <c r="DG60" s="925"/>
      <c r="DH60" s="925"/>
      <c r="DI60" s="925"/>
      <c r="DJ60" s="925"/>
      <c r="DK60" s="925"/>
      <c r="DL60" s="925"/>
      <c r="DM60" s="925"/>
      <c r="DN60" s="925"/>
      <c r="DO60" s="925"/>
      <c r="DP60" s="925"/>
      <c r="DQ60" s="925"/>
      <c r="DR60" s="925"/>
      <c r="DS60" s="925"/>
      <c r="DT60" s="925"/>
      <c r="DU60" s="925"/>
      <c r="DV60" s="925"/>
      <c r="DW60" s="925"/>
      <c r="DX60" s="925"/>
      <c r="DY60" s="925"/>
      <c r="DZ60" s="925"/>
      <c r="EA60" s="925"/>
      <c r="EB60" s="925"/>
      <c r="EC60" s="925"/>
      <c r="ED60" s="925"/>
      <c r="EE60" s="925"/>
      <c r="EF60" s="925"/>
      <c r="EG60" s="446"/>
    </row>
    <row r="61" spans="1:137" ht="13" x14ac:dyDescent="0.15">
      <c r="A61" s="917"/>
      <c r="B61" s="917"/>
      <c r="C61" s="918"/>
      <c r="D61" s="919"/>
      <c r="E61" s="920"/>
      <c r="F61" s="921"/>
      <c r="G61" s="922"/>
      <c r="H61" s="922"/>
      <c r="I61" s="922"/>
      <c r="J61" s="923"/>
      <c r="K61" s="923"/>
      <c r="L61" s="924"/>
      <c r="M61" s="925"/>
      <c r="N61" s="925"/>
      <c r="O61" s="925"/>
      <c r="P61" s="1033"/>
      <c r="Q61" s="1037"/>
      <c r="R61" s="1034"/>
      <c r="S61" s="926"/>
      <c r="T61" s="925"/>
      <c r="U61" s="925"/>
      <c r="V61" s="925"/>
      <c r="W61" s="925"/>
      <c r="X61" s="925"/>
      <c r="Y61" s="925"/>
      <c r="Z61" s="925"/>
      <c r="AA61" s="925"/>
      <c r="AB61" s="925"/>
      <c r="AC61" s="925"/>
      <c r="AD61" s="925"/>
      <c r="AE61" s="925"/>
      <c r="AF61" s="925"/>
      <c r="AG61" s="925"/>
      <c r="AH61" s="925"/>
      <c r="AI61" s="925"/>
      <c r="AJ61" s="925"/>
      <c r="AK61" s="925"/>
      <c r="AL61" s="925"/>
      <c r="AM61" s="925"/>
      <c r="AN61" s="925"/>
      <c r="AO61" s="925"/>
      <c r="AP61" s="925"/>
      <c r="AQ61" s="925"/>
      <c r="AR61" s="925"/>
      <c r="AS61" s="925"/>
      <c r="AT61" s="925"/>
      <c r="AU61" s="925"/>
      <c r="AV61" s="925"/>
      <c r="AW61" s="925"/>
      <c r="AX61" s="925"/>
      <c r="AY61" s="925"/>
      <c r="AZ61" s="925"/>
      <c r="BA61" s="925"/>
      <c r="BB61" s="925"/>
      <c r="BC61" s="925"/>
      <c r="BD61" s="925"/>
      <c r="BE61" s="925"/>
      <c r="BF61" s="925"/>
      <c r="BG61" s="925"/>
      <c r="BH61" s="925"/>
      <c r="BI61" s="925"/>
      <c r="BJ61" s="925"/>
      <c r="BK61" s="925"/>
      <c r="BL61" s="925"/>
      <c r="BM61" s="925"/>
      <c r="BN61" s="925"/>
      <c r="BO61" s="925"/>
      <c r="BP61" s="925"/>
      <c r="BQ61" s="925"/>
      <c r="BR61" s="925"/>
      <c r="BS61" s="925"/>
      <c r="BT61" s="925"/>
      <c r="BU61" s="925"/>
      <c r="BV61" s="925"/>
      <c r="BW61" s="925"/>
      <c r="BX61" s="925"/>
      <c r="BY61" s="925"/>
      <c r="BZ61" s="925"/>
      <c r="CA61" s="925"/>
      <c r="CB61" s="925"/>
      <c r="CC61" s="925"/>
      <c r="CD61" s="925"/>
      <c r="CE61" s="925"/>
      <c r="CF61" s="925"/>
      <c r="CG61" s="925"/>
      <c r="CH61" s="925"/>
      <c r="CI61" s="925"/>
      <c r="CJ61" s="925"/>
      <c r="CK61" s="925"/>
      <c r="CL61" s="925"/>
      <c r="CM61" s="925"/>
      <c r="CN61" s="925"/>
      <c r="CO61" s="925"/>
      <c r="CP61" s="925"/>
      <c r="CQ61" s="925"/>
      <c r="CR61" s="925"/>
      <c r="CS61" s="925"/>
      <c r="CT61" s="925"/>
      <c r="CU61" s="925"/>
      <c r="CV61" s="925"/>
      <c r="CW61" s="925"/>
      <c r="CX61" s="925"/>
      <c r="CY61" s="925"/>
      <c r="CZ61" s="925"/>
      <c r="DA61" s="925"/>
      <c r="DB61" s="925"/>
      <c r="DC61" s="925"/>
      <c r="DD61" s="925"/>
      <c r="DE61" s="925"/>
      <c r="DF61" s="925"/>
      <c r="DG61" s="925"/>
      <c r="DH61" s="925"/>
      <c r="DI61" s="925"/>
      <c r="DJ61" s="925"/>
      <c r="DK61" s="925"/>
      <c r="DL61" s="925"/>
      <c r="DM61" s="925"/>
      <c r="DN61" s="925"/>
      <c r="DO61" s="925"/>
      <c r="DP61" s="925"/>
      <c r="DQ61" s="925"/>
      <c r="DR61" s="925"/>
      <c r="DS61" s="925"/>
      <c r="DT61" s="925"/>
      <c r="DU61" s="925"/>
      <c r="DV61" s="925"/>
      <c r="DW61" s="925"/>
      <c r="DX61" s="925"/>
      <c r="DY61" s="925"/>
      <c r="DZ61" s="925"/>
      <c r="EA61" s="925"/>
      <c r="EB61" s="925"/>
      <c r="EC61" s="925"/>
      <c r="ED61" s="925"/>
      <c r="EE61" s="925"/>
      <c r="EF61" s="925"/>
      <c r="EG61" s="446"/>
    </row>
    <row r="62" spans="1:137" ht="13" x14ac:dyDescent="0.15">
      <c r="A62" s="917"/>
      <c r="B62" s="917"/>
      <c r="C62" s="918"/>
      <c r="D62" s="919"/>
      <c r="E62" s="920"/>
      <c r="F62" s="921"/>
      <c r="G62" s="922"/>
      <c r="H62" s="922"/>
      <c r="I62" s="922"/>
      <c r="J62" s="923"/>
      <c r="K62" s="923"/>
      <c r="L62" s="924"/>
      <c r="M62" s="925"/>
      <c r="N62" s="925"/>
      <c r="O62" s="925"/>
      <c r="P62" s="1033"/>
      <c r="Q62" s="1037"/>
      <c r="R62" s="1034"/>
      <c r="S62" s="926"/>
      <c r="T62" s="925"/>
      <c r="U62" s="925"/>
      <c r="V62" s="925"/>
      <c r="W62" s="925"/>
      <c r="X62" s="925"/>
      <c r="Y62" s="925"/>
      <c r="Z62" s="925"/>
      <c r="AA62" s="925"/>
      <c r="AB62" s="925"/>
      <c r="AC62" s="925"/>
      <c r="AD62" s="925"/>
      <c r="AE62" s="925"/>
      <c r="AF62" s="925"/>
      <c r="AG62" s="925"/>
      <c r="AH62" s="925"/>
      <c r="AI62" s="925"/>
      <c r="AJ62" s="925"/>
      <c r="AK62" s="925"/>
      <c r="AL62" s="925"/>
      <c r="AM62" s="925"/>
      <c r="AN62" s="925"/>
      <c r="AO62" s="925"/>
      <c r="AP62" s="925"/>
      <c r="AQ62" s="925"/>
      <c r="AR62" s="925"/>
      <c r="AS62" s="925"/>
      <c r="AT62" s="925"/>
      <c r="AU62" s="925"/>
      <c r="AV62" s="925"/>
      <c r="AW62" s="925"/>
      <c r="AX62" s="925"/>
      <c r="AY62" s="925"/>
      <c r="AZ62" s="925"/>
      <c r="BA62" s="925"/>
      <c r="BB62" s="925"/>
      <c r="BC62" s="925"/>
      <c r="BD62" s="925"/>
      <c r="BE62" s="925"/>
      <c r="BF62" s="925"/>
      <c r="BG62" s="925"/>
      <c r="BH62" s="925"/>
      <c r="BI62" s="925"/>
      <c r="BJ62" s="925"/>
      <c r="BK62" s="925"/>
      <c r="BL62" s="925"/>
      <c r="BM62" s="925"/>
      <c r="BN62" s="925"/>
      <c r="BO62" s="925"/>
      <c r="BP62" s="925"/>
      <c r="BQ62" s="925"/>
      <c r="BR62" s="925"/>
      <c r="BS62" s="925"/>
      <c r="BT62" s="925"/>
      <c r="BU62" s="925"/>
      <c r="BV62" s="925"/>
      <c r="BW62" s="925"/>
      <c r="BX62" s="925"/>
      <c r="BY62" s="925"/>
      <c r="BZ62" s="925"/>
      <c r="CA62" s="925"/>
      <c r="CB62" s="925"/>
      <c r="CC62" s="925"/>
      <c r="CD62" s="925"/>
      <c r="CE62" s="925"/>
      <c r="CF62" s="925"/>
      <c r="CG62" s="925"/>
      <c r="CH62" s="925"/>
      <c r="CI62" s="925"/>
      <c r="CJ62" s="925"/>
      <c r="CK62" s="925"/>
      <c r="CL62" s="925"/>
      <c r="CM62" s="925"/>
      <c r="CN62" s="925"/>
      <c r="CO62" s="925"/>
      <c r="CP62" s="925"/>
      <c r="CQ62" s="925"/>
      <c r="CR62" s="925"/>
      <c r="CS62" s="925"/>
      <c r="CT62" s="925"/>
      <c r="CU62" s="925"/>
      <c r="CV62" s="925"/>
      <c r="CW62" s="925"/>
      <c r="CX62" s="925"/>
      <c r="CY62" s="925"/>
      <c r="CZ62" s="925"/>
      <c r="DA62" s="925"/>
      <c r="DB62" s="925"/>
      <c r="DC62" s="925"/>
      <c r="DD62" s="925"/>
      <c r="DE62" s="925"/>
      <c r="DF62" s="925"/>
      <c r="DG62" s="925"/>
      <c r="DH62" s="925"/>
      <c r="DI62" s="925"/>
      <c r="DJ62" s="925"/>
      <c r="DK62" s="925"/>
      <c r="DL62" s="925"/>
      <c r="DM62" s="925"/>
      <c r="DN62" s="925"/>
      <c r="DO62" s="925"/>
      <c r="DP62" s="925"/>
      <c r="DQ62" s="925"/>
      <c r="DR62" s="925"/>
      <c r="DS62" s="925"/>
      <c r="DT62" s="925"/>
      <c r="DU62" s="925"/>
      <c r="DV62" s="925"/>
      <c r="DW62" s="925"/>
      <c r="DX62" s="925"/>
      <c r="DY62" s="925"/>
      <c r="DZ62" s="925"/>
      <c r="EA62" s="925"/>
      <c r="EB62" s="925"/>
      <c r="EC62" s="925"/>
      <c r="ED62" s="925"/>
      <c r="EE62" s="925"/>
      <c r="EF62" s="925"/>
      <c r="EG62" s="446"/>
    </row>
    <row r="63" spans="1:137" ht="13" x14ac:dyDescent="0.15">
      <c r="A63" s="917"/>
      <c r="B63" s="917"/>
      <c r="C63" s="918"/>
      <c r="D63" s="919"/>
      <c r="E63" s="920"/>
      <c r="F63" s="921"/>
      <c r="G63" s="922"/>
      <c r="H63" s="922"/>
      <c r="I63" s="922"/>
      <c r="J63" s="923"/>
      <c r="K63" s="923"/>
      <c r="L63" s="924"/>
      <c r="M63" s="925"/>
      <c r="N63" s="925"/>
      <c r="O63" s="925"/>
      <c r="P63" s="1033"/>
      <c r="Q63" s="1037"/>
      <c r="R63" s="1034"/>
      <c r="S63" s="926"/>
      <c r="T63" s="925"/>
      <c r="U63" s="925"/>
      <c r="V63" s="925"/>
      <c r="W63" s="925"/>
      <c r="X63" s="925"/>
      <c r="Y63" s="925"/>
      <c r="Z63" s="925"/>
      <c r="AA63" s="925"/>
      <c r="AB63" s="925"/>
      <c r="AC63" s="925"/>
      <c r="AD63" s="925"/>
      <c r="AE63" s="925"/>
      <c r="AF63" s="925"/>
      <c r="AG63" s="925"/>
      <c r="AH63" s="925"/>
      <c r="AI63" s="925"/>
      <c r="AJ63" s="925"/>
      <c r="AK63" s="925"/>
      <c r="AL63" s="925"/>
      <c r="AM63" s="925"/>
      <c r="AN63" s="925"/>
      <c r="AO63" s="925"/>
      <c r="AP63" s="925"/>
      <c r="AQ63" s="925"/>
      <c r="AR63" s="925"/>
      <c r="AS63" s="925"/>
      <c r="AT63" s="925"/>
      <c r="AU63" s="925"/>
      <c r="AV63" s="925"/>
      <c r="AW63" s="925"/>
      <c r="AX63" s="925"/>
      <c r="AY63" s="925"/>
      <c r="AZ63" s="925"/>
      <c r="BA63" s="925"/>
      <c r="BB63" s="925"/>
      <c r="BC63" s="925"/>
      <c r="BD63" s="925"/>
      <c r="BE63" s="925"/>
      <c r="BF63" s="925"/>
      <c r="BG63" s="925"/>
      <c r="BH63" s="925"/>
      <c r="BI63" s="925"/>
      <c r="BJ63" s="925"/>
      <c r="BK63" s="925"/>
      <c r="BL63" s="925"/>
      <c r="BM63" s="925"/>
      <c r="BN63" s="925"/>
      <c r="BO63" s="925"/>
      <c r="BP63" s="925"/>
      <c r="BQ63" s="925"/>
      <c r="BR63" s="925"/>
      <c r="BS63" s="925"/>
      <c r="BT63" s="925"/>
      <c r="BU63" s="925"/>
      <c r="BV63" s="925"/>
      <c r="BW63" s="925"/>
      <c r="BX63" s="925"/>
      <c r="BY63" s="925"/>
      <c r="BZ63" s="925"/>
      <c r="CA63" s="925"/>
      <c r="CB63" s="925"/>
      <c r="CC63" s="925"/>
      <c r="CD63" s="925"/>
      <c r="CE63" s="925"/>
      <c r="CF63" s="925"/>
      <c r="CG63" s="925"/>
      <c r="CH63" s="925"/>
      <c r="CI63" s="925"/>
      <c r="CJ63" s="925"/>
      <c r="CK63" s="925"/>
      <c r="CL63" s="925"/>
      <c r="CM63" s="925"/>
      <c r="CN63" s="925"/>
      <c r="CO63" s="925"/>
      <c r="CP63" s="925"/>
      <c r="CQ63" s="925"/>
      <c r="CR63" s="925"/>
      <c r="CS63" s="925"/>
      <c r="CT63" s="925"/>
      <c r="CU63" s="925"/>
      <c r="CV63" s="925"/>
      <c r="CW63" s="925"/>
      <c r="CX63" s="925"/>
      <c r="CY63" s="925"/>
      <c r="CZ63" s="925"/>
      <c r="DA63" s="925"/>
      <c r="DB63" s="925"/>
      <c r="DC63" s="925"/>
      <c r="DD63" s="925"/>
      <c r="DE63" s="925"/>
      <c r="DF63" s="925"/>
      <c r="DG63" s="925"/>
      <c r="DH63" s="925"/>
      <c r="DI63" s="925"/>
      <c r="DJ63" s="925"/>
      <c r="DK63" s="925"/>
      <c r="DL63" s="925"/>
      <c r="DM63" s="925"/>
      <c r="DN63" s="925"/>
      <c r="DO63" s="925"/>
      <c r="DP63" s="925"/>
      <c r="DQ63" s="925"/>
      <c r="DR63" s="925"/>
      <c r="DS63" s="925"/>
      <c r="DT63" s="925"/>
      <c r="DU63" s="925"/>
      <c r="DV63" s="925"/>
      <c r="DW63" s="925"/>
      <c r="DX63" s="925"/>
      <c r="DY63" s="925"/>
      <c r="DZ63" s="925"/>
      <c r="EA63" s="925"/>
      <c r="EB63" s="925"/>
      <c r="EC63" s="925"/>
      <c r="ED63" s="925"/>
      <c r="EE63" s="925"/>
      <c r="EF63" s="925"/>
      <c r="EG63" s="446"/>
    </row>
    <row r="64" spans="1:137" ht="13" x14ac:dyDescent="0.15">
      <c r="A64" s="917"/>
      <c r="B64" s="917"/>
      <c r="C64" s="918"/>
      <c r="D64" s="919"/>
      <c r="E64" s="920"/>
      <c r="F64" s="921"/>
      <c r="G64" s="922"/>
      <c r="H64" s="922"/>
      <c r="I64" s="922"/>
      <c r="J64" s="923"/>
      <c r="K64" s="923"/>
      <c r="L64" s="924"/>
      <c r="M64" s="925"/>
      <c r="N64" s="925"/>
      <c r="O64" s="925"/>
      <c r="P64" s="1035"/>
      <c r="Q64" s="1037"/>
      <c r="R64" s="1034"/>
      <c r="S64" s="926"/>
      <c r="T64" s="925"/>
      <c r="U64" s="925"/>
      <c r="V64" s="925"/>
      <c r="W64" s="925"/>
      <c r="X64" s="925"/>
      <c r="Y64" s="925"/>
      <c r="Z64" s="925"/>
      <c r="AA64" s="925"/>
      <c r="AB64" s="925"/>
      <c r="AC64" s="925"/>
      <c r="AD64" s="925"/>
      <c r="AE64" s="925"/>
      <c r="AF64" s="925"/>
      <c r="AG64" s="925"/>
      <c r="AH64" s="925"/>
      <c r="AI64" s="925"/>
      <c r="AJ64" s="925"/>
      <c r="AK64" s="925"/>
      <c r="AL64" s="925"/>
      <c r="AM64" s="925"/>
      <c r="AN64" s="925"/>
      <c r="AO64" s="925"/>
      <c r="AP64" s="925"/>
      <c r="AQ64" s="925"/>
      <c r="AR64" s="925"/>
      <c r="AS64" s="925"/>
      <c r="AT64" s="925"/>
      <c r="AU64" s="925"/>
      <c r="AV64" s="925"/>
      <c r="AW64" s="925"/>
      <c r="AX64" s="925"/>
      <c r="AY64" s="925"/>
      <c r="AZ64" s="925"/>
      <c r="BA64" s="925"/>
      <c r="BB64" s="925"/>
      <c r="BC64" s="925"/>
      <c r="BD64" s="925"/>
      <c r="BE64" s="925"/>
      <c r="BF64" s="925"/>
      <c r="BG64" s="925"/>
      <c r="BH64" s="925"/>
      <c r="BI64" s="925"/>
      <c r="BJ64" s="925"/>
      <c r="BK64" s="925"/>
      <c r="BL64" s="925"/>
      <c r="BM64" s="925"/>
      <c r="BN64" s="925"/>
      <c r="BO64" s="925"/>
      <c r="BP64" s="925"/>
      <c r="BQ64" s="925"/>
      <c r="BR64" s="925"/>
      <c r="BS64" s="925"/>
      <c r="BT64" s="925"/>
      <c r="BU64" s="925"/>
      <c r="BV64" s="925"/>
      <c r="BW64" s="925"/>
      <c r="BX64" s="925"/>
      <c r="BY64" s="925"/>
      <c r="BZ64" s="925"/>
      <c r="CA64" s="925"/>
      <c r="CB64" s="925"/>
      <c r="CC64" s="925"/>
      <c r="CD64" s="925"/>
      <c r="CE64" s="925"/>
      <c r="CF64" s="925"/>
      <c r="CG64" s="925"/>
      <c r="CH64" s="925"/>
      <c r="CI64" s="925"/>
      <c r="CJ64" s="925"/>
      <c r="CK64" s="925"/>
      <c r="CL64" s="925"/>
      <c r="CM64" s="925"/>
      <c r="CN64" s="925"/>
      <c r="CO64" s="925"/>
      <c r="CP64" s="925"/>
      <c r="CQ64" s="925"/>
      <c r="CR64" s="925"/>
      <c r="CS64" s="925"/>
      <c r="CT64" s="925"/>
      <c r="CU64" s="925"/>
      <c r="CV64" s="925"/>
      <c r="CW64" s="925"/>
      <c r="CX64" s="925"/>
      <c r="CY64" s="925"/>
      <c r="CZ64" s="925"/>
      <c r="DA64" s="925"/>
      <c r="DB64" s="925"/>
      <c r="DC64" s="925"/>
      <c r="DD64" s="925"/>
      <c r="DE64" s="925"/>
      <c r="DF64" s="925"/>
      <c r="DG64" s="925"/>
      <c r="DH64" s="925"/>
      <c r="DI64" s="925"/>
      <c r="DJ64" s="925"/>
      <c r="DK64" s="925"/>
      <c r="DL64" s="925"/>
      <c r="DM64" s="925"/>
      <c r="DN64" s="925"/>
      <c r="DO64" s="925"/>
      <c r="DP64" s="925"/>
      <c r="DQ64" s="925"/>
      <c r="DR64" s="925"/>
      <c r="DS64" s="925"/>
      <c r="DT64" s="925"/>
      <c r="DU64" s="925"/>
      <c r="DV64" s="925"/>
      <c r="DW64" s="925"/>
      <c r="DX64" s="925"/>
      <c r="DY64" s="925"/>
      <c r="DZ64" s="925"/>
      <c r="EA64" s="925"/>
      <c r="EB64" s="925"/>
      <c r="EC64" s="925"/>
      <c r="ED64" s="925"/>
      <c r="EE64" s="925"/>
      <c r="EF64" s="925"/>
      <c r="EG64" s="446"/>
    </row>
    <row r="65" spans="1:137" ht="13" x14ac:dyDescent="0.15">
      <c r="A65" s="917"/>
      <c r="B65" s="917"/>
      <c r="C65" s="918"/>
      <c r="D65" s="919"/>
      <c r="E65" s="920"/>
      <c r="F65" s="921"/>
      <c r="G65" s="922"/>
      <c r="H65" s="922"/>
      <c r="I65" s="922"/>
      <c r="J65" s="923"/>
      <c r="K65" s="923"/>
      <c r="L65" s="924"/>
      <c r="M65" s="925"/>
      <c r="N65" s="925"/>
      <c r="O65" s="925"/>
      <c r="P65" s="1033"/>
      <c r="Q65" s="1037"/>
      <c r="R65" s="1034"/>
      <c r="S65" s="926"/>
      <c r="T65" s="925"/>
      <c r="U65" s="925"/>
      <c r="V65" s="925"/>
      <c r="W65" s="925"/>
      <c r="X65" s="925"/>
      <c r="Y65" s="925"/>
      <c r="Z65" s="925"/>
      <c r="AA65" s="925"/>
      <c r="AB65" s="925"/>
      <c r="AC65" s="925"/>
      <c r="AD65" s="925"/>
      <c r="AE65" s="925"/>
      <c r="AF65" s="925"/>
      <c r="AG65" s="925"/>
      <c r="AH65" s="925"/>
      <c r="AI65" s="925"/>
      <c r="AJ65" s="925"/>
      <c r="AK65" s="925"/>
      <c r="AL65" s="925"/>
      <c r="AM65" s="925"/>
      <c r="AN65" s="925"/>
      <c r="AO65" s="925"/>
      <c r="AP65" s="925"/>
      <c r="AQ65" s="925"/>
      <c r="AR65" s="925"/>
      <c r="AS65" s="925"/>
      <c r="AT65" s="925"/>
      <c r="AU65" s="925"/>
      <c r="AV65" s="925"/>
      <c r="AW65" s="925"/>
      <c r="AX65" s="925"/>
      <c r="AY65" s="925"/>
      <c r="AZ65" s="925"/>
      <c r="BA65" s="925"/>
      <c r="BB65" s="925"/>
      <c r="BC65" s="925"/>
      <c r="BD65" s="925"/>
      <c r="BE65" s="925"/>
      <c r="BF65" s="925"/>
      <c r="BG65" s="925"/>
      <c r="BH65" s="925"/>
      <c r="BI65" s="925"/>
      <c r="BJ65" s="925"/>
      <c r="BK65" s="925"/>
      <c r="BL65" s="925"/>
      <c r="BM65" s="925"/>
      <c r="BN65" s="925"/>
      <c r="BO65" s="925"/>
      <c r="BP65" s="925"/>
      <c r="BQ65" s="925"/>
      <c r="BR65" s="925"/>
      <c r="BS65" s="925"/>
      <c r="BT65" s="925"/>
      <c r="BU65" s="925"/>
      <c r="BV65" s="925"/>
      <c r="BW65" s="925"/>
      <c r="BX65" s="925"/>
      <c r="BY65" s="925"/>
      <c r="BZ65" s="925"/>
      <c r="CA65" s="925"/>
      <c r="CB65" s="925"/>
      <c r="CC65" s="925"/>
      <c r="CD65" s="925"/>
      <c r="CE65" s="925"/>
      <c r="CF65" s="925"/>
      <c r="CG65" s="925"/>
      <c r="CH65" s="925"/>
      <c r="CI65" s="925"/>
      <c r="CJ65" s="925"/>
      <c r="CK65" s="925"/>
      <c r="CL65" s="925"/>
      <c r="CM65" s="925"/>
      <c r="CN65" s="925"/>
      <c r="CO65" s="925"/>
      <c r="CP65" s="925"/>
      <c r="CQ65" s="925"/>
      <c r="CR65" s="925"/>
      <c r="CS65" s="925"/>
      <c r="CT65" s="925"/>
      <c r="CU65" s="925"/>
      <c r="CV65" s="925"/>
      <c r="CW65" s="925"/>
      <c r="CX65" s="925"/>
      <c r="CY65" s="925"/>
      <c r="CZ65" s="925"/>
      <c r="DA65" s="925"/>
      <c r="DB65" s="925"/>
      <c r="DC65" s="925"/>
      <c r="DD65" s="925"/>
      <c r="DE65" s="925"/>
      <c r="DF65" s="925"/>
      <c r="DG65" s="925"/>
      <c r="DH65" s="925"/>
      <c r="DI65" s="925"/>
      <c r="DJ65" s="925"/>
      <c r="DK65" s="925"/>
      <c r="DL65" s="925"/>
      <c r="DM65" s="925"/>
      <c r="DN65" s="925"/>
      <c r="DO65" s="925"/>
      <c r="DP65" s="925"/>
      <c r="DQ65" s="925"/>
      <c r="DR65" s="925"/>
      <c r="DS65" s="925"/>
      <c r="DT65" s="925"/>
      <c r="DU65" s="925"/>
      <c r="DV65" s="925"/>
      <c r="DW65" s="925"/>
      <c r="DX65" s="925"/>
      <c r="DY65" s="925"/>
      <c r="DZ65" s="925"/>
      <c r="EA65" s="925"/>
      <c r="EB65" s="925"/>
      <c r="EC65" s="925"/>
      <c r="ED65" s="446"/>
      <c r="EE65" s="925"/>
      <c r="EF65" s="925"/>
      <c r="EG65" s="446"/>
    </row>
    <row r="66" spans="1:137" ht="13" x14ac:dyDescent="0.15">
      <c r="A66" s="917"/>
      <c r="B66" s="917"/>
      <c r="C66" s="918"/>
      <c r="D66" s="919"/>
      <c r="E66" s="920"/>
      <c r="F66" s="921"/>
      <c r="G66" s="922"/>
      <c r="H66" s="922"/>
      <c r="I66" s="922"/>
      <c r="J66" s="923"/>
      <c r="K66" s="923"/>
      <c r="L66" s="924"/>
      <c r="M66" s="925"/>
      <c r="N66" s="925"/>
      <c r="O66" s="925"/>
      <c r="P66" s="1033"/>
      <c r="Q66" s="1037"/>
      <c r="R66" s="1034"/>
      <c r="S66" s="926"/>
      <c r="T66" s="925"/>
      <c r="U66" s="925"/>
      <c r="V66" s="925"/>
      <c r="W66" s="925"/>
      <c r="X66" s="925"/>
      <c r="Y66" s="925"/>
      <c r="Z66" s="925"/>
      <c r="AA66" s="925"/>
      <c r="AB66" s="925"/>
      <c r="AC66" s="925"/>
      <c r="AD66" s="925"/>
      <c r="AE66" s="925"/>
      <c r="AF66" s="925"/>
      <c r="AG66" s="925"/>
      <c r="AH66" s="925"/>
      <c r="AI66" s="925"/>
      <c r="AJ66" s="925"/>
      <c r="AK66" s="925"/>
      <c r="AL66" s="925"/>
      <c r="AM66" s="925"/>
      <c r="AN66" s="925"/>
      <c r="AO66" s="925"/>
      <c r="AP66" s="925"/>
      <c r="AQ66" s="925"/>
      <c r="AR66" s="925"/>
      <c r="AS66" s="925"/>
      <c r="AT66" s="925"/>
      <c r="AU66" s="925"/>
      <c r="AV66" s="925"/>
      <c r="AW66" s="925"/>
      <c r="AX66" s="925"/>
      <c r="AY66" s="925"/>
      <c r="AZ66" s="925"/>
      <c r="BA66" s="925"/>
      <c r="BB66" s="925"/>
      <c r="BC66" s="925"/>
      <c r="BD66" s="925"/>
      <c r="BE66" s="925"/>
      <c r="BF66" s="925"/>
      <c r="BG66" s="925"/>
      <c r="BH66" s="925"/>
      <c r="BI66" s="925"/>
      <c r="BJ66" s="925"/>
      <c r="BK66" s="925"/>
      <c r="BL66" s="925"/>
      <c r="BM66" s="925"/>
      <c r="BN66" s="925"/>
      <c r="BO66" s="925"/>
      <c r="BP66" s="925"/>
      <c r="BQ66" s="925"/>
      <c r="BR66" s="925"/>
      <c r="BS66" s="925"/>
      <c r="BT66" s="925"/>
      <c r="BU66" s="925"/>
      <c r="BV66" s="925"/>
      <c r="BW66" s="925"/>
      <c r="BX66" s="925"/>
      <c r="BY66" s="925"/>
      <c r="BZ66" s="925"/>
      <c r="CA66" s="925"/>
      <c r="CB66" s="925"/>
      <c r="CC66" s="925"/>
      <c r="CD66" s="925"/>
      <c r="CE66" s="925"/>
      <c r="CF66" s="925"/>
      <c r="CG66" s="925"/>
      <c r="CH66" s="925"/>
      <c r="CI66" s="925"/>
      <c r="CJ66" s="925"/>
      <c r="CK66" s="925"/>
      <c r="CL66" s="925"/>
      <c r="CM66" s="925"/>
      <c r="CN66" s="925"/>
      <c r="CO66" s="925"/>
      <c r="CP66" s="925"/>
      <c r="CQ66" s="925"/>
      <c r="CR66" s="925"/>
      <c r="CS66" s="925"/>
      <c r="CT66" s="925"/>
      <c r="CU66" s="925"/>
      <c r="CV66" s="925"/>
      <c r="CW66" s="925"/>
      <c r="CX66" s="925"/>
      <c r="CY66" s="925"/>
      <c r="CZ66" s="925"/>
      <c r="DA66" s="925"/>
      <c r="DB66" s="925"/>
      <c r="DC66" s="925"/>
      <c r="DD66" s="925"/>
      <c r="DE66" s="925"/>
      <c r="DF66" s="925"/>
      <c r="DG66" s="925"/>
      <c r="DH66" s="925"/>
      <c r="DI66" s="925"/>
      <c r="DJ66" s="925"/>
      <c r="DK66" s="925"/>
      <c r="DL66" s="925"/>
      <c r="DM66" s="925"/>
      <c r="DN66" s="925"/>
      <c r="DO66" s="925"/>
      <c r="DP66" s="925"/>
      <c r="DQ66" s="925"/>
      <c r="DR66" s="925"/>
      <c r="DS66" s="925"/>
      <c r="DT66" s="925"/>
      <c r="DU66" s="925"/>
      <c r="DV66" s="925"/>
      <c r="DW66" s="925"/>
      <c r="DX66" s="925"/>
      <c r="DY66" s="925"/>
      <c r="DZ66" s="925"/>
      <c r="EA66" s="925"/>
      <c r="EB66" s="925"/>
      <c r="EC66" s="925"/>
      <c r="ED66" s="925"/>
      <c r="EE66" s="925"/>
      <c r="EF66" s="925"/>
      <c r="EG66" s="446"/>
    </row>
    <row r="67" spans="1:137" ht="13" x14ac:dyDescent="0.15">
      <c r="A67" s="917"/>
      <c r="B67" s="917"/>
      <c r="C67" s="918"/>
      <c r="D67" s="919"/>
      <c r="E67" s="920"/>
      <c r="F67" s="921"/>
      <c r="G67" s="922"/>
      <c r="H67" s="922"/>
      <c r="I67" s="922"/>
      <c r="J67" s="923"/>
      <c r="K67" s="923"/>
      <c r="L67" s="924"/>
      <c r="M67" s="925"/>
      <c r="N67" s="925"/>
      <c r="O67" s="925"/>
      <c r="P67" s="1033"/>
      <c r="Q67" s="1038"/>
      <c r="R67" s="1034"/>
      <c r="S67" s="926"/>
      <c r="T67" s="925"/>
      <c r="U67" s="925"/>
      <c r="V67" s="925"/>
      <c r="W67" s="925"/>
      <c r="X67" s="925"/>
      <c r="Y67" s="925"/>
      <c r="Z67" s="925"/>
      <c r="AA67" s="925"/>
      <c r="AB67" s="925"/>
      <c r="AC67" s="925"/>
      <c r="AD67" s="925"/>
      <c r="AE67" s="925"/>
      <c r="AF67" s="925"/>
      <c r="AG67" s="925"/>
      <c r="AH67" s="925"/>
      <c r="AI67" s="925"/>
      <c r="AJ67" s="925"/>
      <c r="AK67" s="925"/>
      <c r="AL67" s="925"/>
      <c r="AM67" s="925"/>
      <c r="AN67" s="925"/>
      <c r="AO67" s="925"/>
      <c r="AP67" s="925"/>
      <c r="AQ67" s="925"/>
      <c r="AR67" s="925"/>
      <c r="AS67" s="925"/>
      <c r="AT67" s="925"/>
      <c r="AU67" s="925"/>
      <c r="AV67" s="925"/>
      <c r="AW67" s="925"/>
      <c r="AX67" s="925"/>
      <c r="AY67" s="925"/>
      <c r="AZ67" s="925"/>
      <c r="BA67" s="925"/>
      <c r="BB67" s="925"/>
      <c r="BC67" s="925"/>
      <c r="BD67" s="925"/>
      <c r="BE67" s="925"/>
      <c r="BF67" s="925"/>
      <c r="BG67" s="925"/>
      <c r="BH67" s="925"/>
      <c r="BI67" s="925"/>
      <c r="BJ67" s="925"/>
      <c r="BK67" s="925"/>
      <c r="BL67" s="925"/>
      <c r="BM67" s="925"/>
      <c r="BN67" s="925"/>
      <c r="BO67" s="925"/>
      <c r="BP67" s="925"/>
      <c r="BQ67" s="925"/>
      <c r="BR67" s="925"/>
      <c r="BS67" s="925"/>
      <c r="BT67" s="925"/>
      <c r="BU67" s="925"/>
      <c r="BV67" s="925"/>
      <c r="BW67" s="925"/>
      <c r="BX67" s="925"/>
      <c r="BY67" s="925"/>
      <c r="BZ67" s="925"/>
      <c r="CA67" s="925"/>
      <c r="CB67" s="925"/>
      <c r="CC67" s="925"/>
      <c r="CD67" s="925"/>
      <c r="CE67" s="925"/>
      <c r="CF67" s="925"/>
      <c r="CG67" s="925"/>
      <c r="CH67" s="925"/>
      <c r="CI67" s="925"/>
      <c r="CJ67" s="925"/>
      <c r="CK67" s="925"/>
      <c r="CL67" s="925"/>
      <c r="CM67" s="925"/>
      <c r="CN67" s="925"/>
      <c r="CO67" s="925"/>
      <c r="CP67" s="925"/>
      <c r="CQ67" s="925"/>
      <c r="CR67" s="925"/>
      <c r="CS67" s="925"/>
      <c r="CT67" s="925"/>
      <c r="CU67" s="925"/>
      <c r="CV67" s="925"/>
      <c r="CW67" s="925"/>
      <c r="CX67" s="925"/>
      <c r="CY67" s="925"/>
      <c r="CZ67" s="925"/>
      <c r="DA67" s="925"/>
      <c r="DB67" s="925"/>
      <c r="DC67" s="925"/>
      <c r="DD67" s="925"/>
      <c r="DE67" s="925"/>
      <c r="DF67" s="925"/>
      <c r="DG67" s="925"/>
      <c r="DH67" s="925"/>
      <c r="DI67" s="925"/>
      <c r="DJ67" s="925"/>
      <c r="DK67" s="925"/>
      <c r="DL67" s="925"/>
      <c r="DM67" s="925"/>
      <c r="DN67" s="925"/>
      <c r="DO67" s="925"/>
      <c r="DP67" s="925"/>
      <c r="DQ67" s="925"/>
      <c r="DR67" s="925"/>
      <c r="DS67" s="925"/>
      <c r="DT67" s="925"/>
      <c r="DU67" s="925"/>
      <c r="DV67" s="925"/>
      <c r="DW67" s="925"/>
      <c r="DX67" s="925"/>
      <c r="DY67" s="925"/>
      <c r="DZ67" s="925"/>
      <c r="EA67" s="925"/>
      <c r="EB67" s="925"/>
      <c r="EC67" s="925"/>
      <c r="ED67" s="925"/>
      <c r="EE67" s="925"/>
      <c r="EF67" s="925"/>
      <c r="EG67" s="446"/>
    </row>
    <row r="68" spans="1:137" ht="13" x14ac:dyDescent="0.15">
      <c r="A68" s="917"/>
      <c r="B68" s="917"/>
      <c r="C68" s="918"/>
      <c r="D68" s="919"/>
      <c r="E68" s="920"/>
      <c r="F68" s="921"/>
      <c r="G68" s="922"/>
      <c r="H68" s="922"/>
      <c r="I68" s="922"/>
      <c r="J68" s="923"/>
      <c r="K68" s="923"/>
      <c r="L68" s="924"/>
      <c r="M68" s="925"/>
      <c r="N68" s="925"/>
      <c r="O68" s="925"/>
      <c r="P68" s="1033"/>
      <c r="Q68" s="1039"/>
      <c r="R68" s="1034"/>
      <c r="S68" s="926"/>
      <c r="T68" s="925"/>
      <c r="U68" s="925"/>
      <c r="V68" s="925"/>
      <c r="W68" s="925"/>
      <c r="X68" s="925"/>
      <c r="Y68" s="925"/>
      <c r="Z68" s="925"/>
      <c r="AA68" s="925"/>
      <c r="AB68" s="925"/>
      <c r="AC68" s="925"/>
      <c r="AD68" s="925"/>
      <c r="AE68" s="925"/>
      <c r="AF68" s="925"/>
      <c r="AG68" s="925"/>
      <c r="AH68" s="925"/>
      <c r="AI68" s="925"/>
      <c r="AJ68" s="925"/>
      <c r="AK68" s="925"/>
      <c r="AL68" s="925"/>
      <c r="AM68" s="925"/>
      <c r="AN68" s="925"/>
      <c r="AO68" s="925"/>
      <c r="AP68" s="925"/>
      <c r="AQ68" s="925"/>
      <c r="AR68" s="925"/>
      <c r="AS68" s="925"/>
      <c r="AT68" s="925"/>
      <c r="AU68" s="925"/>
      <c r="AV68" s="925"/>
      <c r="AW68" s="925"/>
      <c r="AX68" s="925"/>
      <c r="AY68" s="925"/>
      <c r="AZ68" s="925"/>
      <c r="BA68" s="925"/>
      <c r="BB68" s="925"/>
      <c r="BC68" s="925"/>
      <c r="BD68" s="925"/>
      <c r="BE68" s="925"/>
      <c r="BF68" s="925"/>
      <c r="BG68" s="925"/>
      <c r="BH68" s="925"/>
      <c r="BI68" s="925"/>
      <c r="BJ68" s="925"/>
      <c r="BK68" s="925"/>
      <c r="BL68" s="925"/>
      <c r="BM68" s="925"/>
      <c r="BN68" s="925"/>
      <c r="BO68" s="925"/>
      <c r="BP68" s="925"/>
      <c r="BQ68" s="925"/>
      <c r="BR68" s="925"/>
      <c r="BS68" s="925"/>
      <c r="BT68" s="925"/>
      <c r="BU68" s="925"/>
      <c r="BV68" s="925"/>
      <c r="BW68" s="925"/>
      <c r="BX68" s="925"/>
      <c r="BY68" s="925"/>
      <c r="BZ68" s="925"/>
      <c r="CA68" s="925"/>
      <c r="CB68" s="925"/>
      <c r="CC68" s="925"/>
      <c r="CD68" s="925"/>
      <c r="CE68" s="925"/>
      <c r="CF68" s="925"/>
      <c r="CG68" s="925"/>
      <c r="CH68" s="925"/>
      <c r="CI68" s="925"/>
      <c r="CJ68" s="925"/>
      <c r="CK68" s="925"/>
      <c r="CL68" s="925"/>
      <c r="CM68" s="925"/>
      <c r="CN68" s="925"/>
      <c r="CO68" s="925"/>
      <c r="CP68" s="925"/>
      <c r="CQ68" s="925"/>
      <c r="CR68" s="925"/>
      <c r="CS68" s="925"/>
      <c r="CT68" s="925"/>
      <c r="CU68" s="925"/>
      <c r="CV68" s="925"/>
      <c r="CW68" s="925"/>
      <c r="CX68" s="925"/>
      <c r="CY68" s="925"/>
      <c r="CZ68" s="925"/>
      <c r="DA68" s="925"/>
      <c r="DB68" s="925"/>
      <c r="DC68" s="925"/>
      <c r="DD68" s="925"/>
      <c r="DE68" s="925"/>
      <c r="DF68" s="925"/>
      <c r="DG68" s="925"/>
      <c r="DH68" s="925"/>
      <c r="DI68" s="925"/>
      <c r="DJ68" s="925"/>
      <c r="DK68" s="925"/>
      <c r="DL68" s="925"/>
      <c r="DM68" s="925"/>
      <c r="DN68" s="925"/>
      <c r="DO68" s="925"/>
      <c r="DP68" s="925"/>
      <c r="DQ68" s="925"/>
      <c r="DR68" s="925"/>
      <c r="DS68" s="925"/>
      <c r="DT68" s="925"/>
      <c r="DU68" s="925"/>
      <c r="DV68" s="925"/>
      <c r="DW68" s="925"/>
      <c r="DX68" s="925"/>
      <c r="DY68" s="925"/>
      <c r="DZ68" s="925"/>
      <c r="EA68" s="925"/>
      <c r="EB68" s="925"/>
      <c r="EC68" s="925"/>
      <c r="ED68" s="925"/>
      <c r="EE68" s="925"/>
      <c r="EF68" s="925"/>
      <c r="EG68" s="446"/>
    </row>
    <row r="69" spans="1:137" ht="13" x14ac:dyDescent="0.15">
      <c r="A69" s="917"/>
      <c r="B69" s="917"/>
      <c r="C69" s="918"/>
      <c r="D69" s="919"/>
      <c r="E69" s="920"/>
      <c r="F69" s="921"/>
      <c r="G69" s="922"/>
      <c r="H69" s="922"/>
      <c r="I69" s="922"/>
      <c r="J69" s="923"/>
      <c r="K69" s="923"/>
      <c r="L69" s="924"/>
      <c r="M69" s="925"/>
      <c r="N69" s="925"/>
      <c r="O69" s="925"/>
      <c r="P69" s="1033"/>
      <c r="Q69" s="1033"/>
      <c r="R69" s="1034"/>
      <c r="S69" s="926"/>
      <c r="T69" s="925"/>
      <c r="U69" s="925"/>
      <c r="V69" s="925"/>
      <c r="W69" s="925"/>
      <c r="X69" s="925"/>
      <c r="Y69" s="925"/>
      <c r="Z69" s="925"/>
      <c r="AA69" s="925"/>
      <c r="AB69" s="925"/>
      <c r="AC69" s="925"/>
      <c r="AD69" s="925"/>
      <c r="AE69" s="925"/>
      <c r="AF69" s="925"/>
      <c r="AG69" s="925"/>
      <c r="AH69" s="925"/>
      <c r="AI69" s="925"/>
      <c r="AJ69" s="925"/>
      <c r="AK69" s="925"/>
      <c r="AL69" s="925"/>
      <c r="AM69" s="925"/>
      <c r="AN69" s="925"/>
      <c r="AO69" s="925"/>
      <c r="AP69" s="925"/>
      <c r="AQ69" s="925"/>
      <c r="AR69" s="925"/>
      <c r="AS69" s="925"/>
      <c r="AT69" s="925"/>
      <c r="AU69" s="925"/>
      <c r="AV69" s="925"/>
      <c r="AW69" s="925"/>
      <c r="AX69" s="925"/>
      <c r="AY69" s="925"/>
      <c r="AZ69" s="925"/>
      <c r="BA69" s="925"/>
      <c r="BB69" s="925"/>
      <c r="BC69" s="925"/>
      <c r="BD69" s="925"/>
      <c r="BE69" s="925"/>
      <c r="BF69" s="925"/>
      <c r="BG69" s="925"/>
      <c r="BH69" s="925"/>
      <c r="BI69" s="925"/>
      <c r="BJ69" s="925"/>
      <c r="BK69" s="925"/>
      <c r="BL69" s="925"/>
      <c r="BM69" s="925"/>
      <c r="BN69" s="925"/>
      <c r="BO69" s="925"/>
      <c r="BP69" s="925"/>
      <c r="BQ69" s="925"/>
      <c r="BR69" s="925"/>
      <c r="BS69" s="925"/>
      <c r="BT69" s="925"/>
      <c r="BU69" s="925"/>
      <c r="BV69" s="925"/>
      <c r="BW69" s="925"/>
      <c r="BX69" s="925"/>
      <c r="BY69" s="925"/>
      <c r="BZ69" s="925"/>
      <c r="CA69" s="925"/>
      <c r="CB69" s="925"/>
      <c r="CC69" s="925"/>
      <c r="CD69" s="925"/>
      <c r="CE69" s="925"/>
      <c r="CF69" s="925"/>
      <c r="CG69" s="925"/>
      <c r="CH69" s="925"/>
      <c r="CI69" s="925"/>
      <c r="CJ69" s="925"/>
      <c r="CK69" s="925"/>
      <c r="CL69" s="925"/>
      <c r="CM69" s="925"/>
      <c r="CN69" s="925"/>
      <c r="CO69" s="925"/>
      <c r="CP69" s="925"/>
      <c r="CQ69" s="925"/>
      <c r="CR69" s="925"/>
      <c r="CS69" s="925"/>
      <c r="CT69" s="925"/>
      <c r="CU69" s="925"/>
      <c r="CV69" s="925"/>
      <c r="CW69" s="925"/>
      <c r="CX69" s="925"/>
      <c r="CY69" s="925"/>
      <c r="CZ69" s="925"/>
      <c r="DA69" s="925"/>
      <c r="DB69" s="925"/>
      <c r="DC69" s="925"/>
      <c r="DD69" s="925"/>
      <c r="DE69" s="925"/>
      <c r="DF69" s="925"/>
      <c r="DG69" s="925"/>
      <c r="DH69" s="925"/>
      <c r="DI69" s="925"/>
      <c r="DJ69" s="925"/>
      <c r="DK69" s="925"/>
      <c r="DL69" s="925"/>
      <c r="DM69" s="925"/>
      <c r="DN69" s="925"/>
      <c r="DO69" s="925"/>
      <c r="DP69" s="925"/>
      <c r="DQ69" s="925"/>
      <c r="DR69" s="925"/>
      <c r="DS69" s="925"/>
      <c r="DT69" s="925"/>
      <c r="DU69" s="925"/>
      <c r="DV69" s="925"/>
      <c r="DW69" s="925"/>
      <c r="DX69" s="925"/>
      <c r="DY69" s="925"/>
      <c r="DZ69" s="925"/>
      <c r="EA69" s="925"/>
      <c r="EB69" s="925"/>
      <c r="EC69" s="925"/>
      <c r="ED69" s="925"/>
      <c r="EE69" s="925"/>
      <c r="EF69" s="925"/>
      <c r="EG69" s="446"/>
    </row>
    <row r="70" spans="1:137" ht="13" x14ac:dyDescent="0.15">
      <c r="A70" s="917"/>
      <c r="B70" s="917"/>
      <c r="C70" s="918"/>
      <c r="D70" s="919"/>
      <c r="E70" s="920"/>
      <c r="F70" s="921"/>
      <c r="G70" s="922"/>
      <c r="H70" s="922"/>
      <c r="I70" s="922"/>
      <c r="J70" s="923"/>
      <c r="K70" s="923"/>
      <c r="L70" s="924"/>
      <c r="M70" s="925"/>
      <c r="N70" s="925"/>
      <c r="O70" s="925"/>
      <c r="P70" s="925"/>
      <c r="Q70" s="925"/>
      <c r="R70" s="926"/>
      <c r="S70" s="926"/>
      <c r="T70" s="925"/>
      <c r="U70" s="925"/>
      <c r="V70" s="925"/>
      <c r="W70" s="925"/>
      <c r="X70" s="925"/>
      <c r="Y70" s="925"/>
      <c r="Z70" s="925"/>
      <c r="AA70" s="925"/>
      <c r="AB70" s="925"/>
      <c r="AC70" s="925"/>
      <c r="AD70" s="925"/>
      <c r="AE70" s="925"/>
      <c r="AF70" s="925"/>
      <c r="AG70" s="925"/>
      <c r="AH70" s="925"/>
      <c r="AI70" s="925"/>
      <c r="AJ70" s="925"/>
      <c r="AK70" s="925"/>
      <c r="AL70" s="925"/>
      <c r="AM70" s="925"/>
      <c r="AN70" s="925"/>
      <c r="AO70" s="925"/>
      <c r="AP70" s="925"/>
      <c r="AQ70" s="925"/>
      <c r="AR70" s="925"/>
      <c r="AS70" s="925"/>
      <c r="AT70" s="925"/>
      <c r="AU70" s="925"/>
      <c r="AV70" s="925"/>
      <c r="AW70" s="925"/>
      <c r="AX70" s="925"/>
      <c r="AY70" s="925"/>
      <c r="AZ70" s="925"/>
      <c r="BA70" s="925"/>
      <c r="BB70" s="925"/>
      <c r="BC70" s="925"/>
      <c r="BD70" s="925"/>
      <c r="BE70" s="925"/>
      <c r="BF70" s="925"/>
      <c r="BG70" s="925"/>
      <c r="BH70" s="925"/>
      <c r="BI70" s="925"/>
      <c r="BJ70" s="925"/>
      <c r="BK70" s="925"/>
      <c r="BL70" s="925"/>
      <c r="BM70" s="925"/>
      <c r="BN70" s="925"/>
      <c r="BO70" s="925"/>
      <c r="BP70" s="925"/>
      <c r="BQ70" s="925"/>
      <c r="BR70" s="925"/>
      <c r="BS70" s="925"/>
      <c r="BT70" s="925"/>
      <c r="BU70" s="925"/>
      <c r="BV70" s="925"/>
      <c r="BW70" s="925"/>
      <c r="BX70" s="925"/>
      <c r="BY70" s="925"/>
      <c r="BZ70" s="925"/>
      <c r="CA70" s="925"/>
      <c r="CB70" s="925"/>
      <c r="CC70" s="925"/>
      <c r="CD70" s="925"/>
      <c r="CE70" s="925"/>
      <c r="CF70" s="925"/>
      <c r="CG70" s="925"/>
      <c r="CH70" s="925"/>
      <c r="CI70" s="925"/>
      <c r="CJ70" s="925"/>
      <c r="CK70" s="925"/>
      <c r="CL70" s="925"/>
      <c r="CM70" s="925"/>
      <c r="CN70" s="925"/>
      <c r="CO70" s="925"/>
      <c r="CP70" s="925"/>
      <c r="CQ70" s="925"/>
      <c r="CR70" s="925"/>
      <c r="CS70" s="925"/>
      <c r="CT70" s="925"/>
      <c r="CU70" s="925"/>
      <c r="CV70" s="925"/>
      <c r="CW70" s="925"/>
      <c r="CX70" s="925"/>
      <c r="CY70" s="925"/>
      <c r="CZ70" s="925"/>
      <c r="DA70" s="925"/>
      <c r="DB70" s="925"/>
      <c r="DC70" s="925"/>
      <c r="DD70" s="925"/>
      <c r="DE70" s="925"/>
      <c r="DF70" s="925"/>
      <c r="DG70" s="925"/>
      <c r="DH70" s="925"/>
      <c r="DI70" s="925"/>
      <c r="DJ70" s="925"/>
      <c r="DK70" s="925"/>
      <c r="DL70" s="925"/>
      <c r="DM70" s="925"/>
      <c r="DN70" s="925"/>
      <c r="DO70" s="925"/>
      <c r="DP70" s="925"/>
      <c r="DQ70" s="925"/>
      <c r="DR70" s="925"/>
      <c r="DS70" s="925"/>
      <c r="DT70" s="925"/>
      <c r="DU70" s="925"/>
      <c r="DV70" s="925"/>
      <c r="DW70" s="925"/>
      <c r="DX70" s="925"/>
      <c r="DY70" s="925"/>
      <c r="DZ70" s="925"/>
      <c r="EA70" s="925"/>
      <c r="EB70" s="925"/>
      <c r="EC70" s="925"/>
      <c r="ED70" s="925"/>
      <c r="EE70" s="925"/>
      <c r="EF70" s="925"/>
      <c r="EG70" s="446"/>
    </row>
    <row r="71" spans="1:137" ht="13" x14ac:dyDescent="0.15">
      <c r="A71" s="917"/>
      <c r="B71" s="917"/>
      <c r="C71" s="918"/>
      <c r="D71" s="919"/>
      <c r="E71" s="920"/>
      <c r="F71" s="921"/>
      <c r="G71" s="922"/>
      <c r="H71" s="922"/>
      <c r="I71" s="922"/>
      <c r="J71" s="923"/>
      <c r="K71" s="923"/>
      <c r="L71" s="924"/>
      <c r="M71" s="925"/>
      <c r="N71" s="925"/>
      <c r="O71" s="925"/>
      <c r="P71" s="925"/>
      <c r="Q71" s="925"/>
      <c r="R71" s="926"/>
      <c r="S71" s="926"/>
      <c r="T71" s="925"/>
      <c r="U71" s="925"/>
      <c r="V71" s="925"/>
      <c r="W71" s="925"/>
      <c r="X71" s="925"/>
      <c r="Y71" s="925"/>
      <c r="Z71" s="925"/>
      <c r="AA71" s="925"/>
      <c r="AB71" s="925"/>
      <c r="AC71" s="925"/>
      <c r="AD71" s="925"/>
      <c r="AE71" s="925"/>
      <c r="AF71" s="925"/>
      <c r="AG71" s="925"/>
      <c r="AH71" s="925"/>
      <c r="AI71" s="925"/>
      <c r="AJ71" s="925"/>
      <c r="AK71" s="925"/>
      <c r="AL71" s="925"/>
      <c r="AM71" s="925"/>
      <c r="AN71" s="925"/>
      <c r="AO71" s="925"/>
      <c r="AP71" s="925"/>
      <c r="AQ71" s="925"/>
      <c r="AR71" s="925"/>
      <c r="AS71" s="925"/>
      <c r="AT71" s="925"/>
      <c r="AU71" s="925"/>
      <c r="AV71" s="925"/>
      <c r="AW71" s="925"/>
      <c r="AX71" s="925"/>
      <c r="AY71" s="925"/>
      <c r="AZ71" s="925"/>
      <c r="BA71" s="925"/>
      <c r="BB71" s="925"/>
      <c r="BC71" s="925"/>
      <c r="BD71" s="925"/>
      <c r="BE71" s="925"/>
      <c r="BF71" s="925"/>
      <c r="BG71" s="925"/>
      <c r="BH71" s="925"/>
      <c r="BI71" s="925"/>
      <c r="BJ71" s="925"/>
      <c r="BK71" s="925"/>
      <c r="BL71" s="925"/>
      <c r="BM71" s="925"/>
      <c r="BN71" s="925"/>
      <c r="BO71" s="925"/>
      <c r="BP71" s="925"/>
      <c r="BQ71" s="925"/>
      <c r="BR71" s="925"/>
      <c r="BS71" s="925"/>
      <c r="BT71" s="925"/>
      <c r="BU71" s="925"/>
      <c r="BV71" s="925"/>
      <c r="BW71" s="925"/>
      <c r="BX71" s="925"/>
      <c r="BY71" s="925"/>
      <c r="BZ71" s="925"/>
      <c r="CA71" s="925"/>
      <c r="CB71" s="925"/>
      <c r="CC71" s="925"/>
      <c r="CD71" s="925"/>
      <c r="CE71" s="925"/>
      <c r="CF71" s="925"/>
      <c r="CG71" s="925"/>
      <c r="CH71" s="925"/>
      <c r="CI71" s="925"/>
      <c r="CJ71" s="925"/>
      <c r="CK71" s="925"/>
      <c r="CL71" s="925"/>
      <c r="CM71" s="925"/>
      <c r="CN71" s="925"/>
      <c r="CO71" s="925"/>
      <c r="CP71" s="925"/>
      <c r="CQ71" s="925"/>
      <c r="CR71" s="925"/>
      <c r="CS71" s="925"/>
      <c r="CT71" s="925"/>
      <c r="CU71" s="925"/>
      <c r="CV71" s="925"/>
      <c r="CW71" s="925"/>
      <c r="CX71" s="925"/>
      <c r="CY71" s="925"/>
      <c r="CZ71" s="925"/>
      <c r="DA71" s="925"/>
      <c r="DB71" s="925"/>
      <c r="DC71" s="925"/>
      <c r="DD71" s="925"/>
      <c r="DE71" s="925"/>
      <c r="DF71" s="925"/>
      <c r="DG71" s="925"/>
      <c r="DH71" s="925"/>
      <c r="DI71" s="925"/>
      <c r="DJ71" s="925"/>
      <c r="DK71" s="925"/>
      <c r="DL71" s="925"/>
      <c r="DM71" s="925"/>
      <c r="DN71" s="925"/>
      <c r="DO71" s="925"/>
      <c r="DP71" s="925"/>
      <c r="DQ71" s="925"/>
      <c r="DR71" s="925"/>
      <c r="DS71" s="925"/>
      <c r="DT71" s="925"/>
      <c r="DU71" s="925"/>
      <c r="DV71" s="925"/>
      <c r="DW71" s="925"/>
      <c r="DX71" s="925"/>
      <c r="DY71" s="925"/>
      <c r="DZ71" s="925"/>
      <c r="EA71" s="925"/>
      <c r="EB71" s="925"/>
      <c r="EC71" s="925"/>
      <c r="ED71" s="925"/>
      <c r="EE71" s="925"/>
      <c r="EF71" s="925"/>
      <c r="EG71" s="446"/>
    </row>
    <row r="72" spans="1:137" ht="13" x14ac:dyDescent="0.15">
      <c r="A72" s="917"/>
      <c r="B72" s="917"/>
      <c r="C72" s="918"/>
      <c r="D72" s="919"/>
      <c r="E72" s="920"/>
      <c r="F72" s="921"/>
      <c r="G72" s="922"/>
      <c r="H72" s="922"/>
      <c r="I72" s="922"/>
      <c r="J72" s="923"/>
      <c r="K72" s="923"/>
      <c r="L72" s="924"/>
      <c r="M72" s="925"/>
      <c r="N72" s="925"/>
      <c r="O72" s="925"/>
      <c r="P72" s="925"/>
      <c r="Q72" s="925"/>
      <c r="R72" s="926"/>
      <c r="S72" s="926"/>
      <c r="T72" s="925"/>
      <c r="U72" s="925"/>
      <c r="V72" s="925"/>
      <c r="W72" s="925"/>
      <c r="X72" s="925"/>
      <c r="Y72" s="925"/>
      <c r="Z72" s="925"/>
      <c r="AA72" s="925"/>
      <c r="AB72" s="925"/>
      <c r="AC72" s="925"/>
      <c r="AD72" s="925"/>
      <c r="AE72" s="925"/>
      <c r="AF72" s="925"/>
      <c r="AG72" s="925"/>
      <c r="AH72" s="925"/>
      <c r="AI72" s="925"/>
      <c r="AJ72" s="925"/>
      <c r="AK72" s="925"/>
      <c r="AL72" s="925"/>
      <c r="AM72" s="925"/>
      <c r="AN72" s="925"/>
      <c r="AO72" s="925"/>
      <c r="AP72" s="925"/>
      <c r="AQ72" s="925"/>
      <c r="AR72" s="925"/>
      <c r="AS72" s="925"/>
      <c r="AT72" s="925"/>
      <c r="AU72" s="925"/>
      <c r="AV72" s="925"/>
      <c r="AW72" s="925"/>
      <c r="AX72" s="925"/>
      <c r="AY72" s="925"/>
      <c r="AZ72" s="925"/>
      <c r="BA72" s="925"/>
      <c r="BB72" s="925"/>
      <c r="BC72" s="925"/>
      <c r="BD72" s="925"/>
      <c r="BE72" s="925"/>
      <c r="BF72" s="925"/>
      <c r="BG72" s="925"/>
      <c r="BH72" s="925"/>
      <c r="BI72" s="925"/>
      <c r="BJ72" s="925"/>
      <c r="BK72" s="925"/>
      <c r="BL72" s="925"/>
      <c r="BM72" s="925"/>
      <c r="BN72" s="925"/>
      <c r="BO72" s="925"/>
      <c r="BP72" s="925"/>
      <c r="BQ72" s="925"/>
      <c r="BR72" s="925"/>
      <c r="BS72" s="925"/>
      <c r="BT72" s="925"/>
      <c r="BU72" s="925"/>
      <c r="BV72" s="925"/>
      <c r="BW72" s="925"/>
      <c r="BX72" s="925"/>
      <c r="BY72" s="925"/>
      <c r="BZ72" s="925"/>
      <c r="CA72" s="925"/>
      <c r="CB72" s="925"/>
      <c r="CC72" s="925"/>
      <c r="CD72" s="925"/>
      <c r="CE72" s="925"/>
      <c r="CF72" s="925"/>
      <c r="CG72" s="925"/>
      <c r="CH72" s="925"/>
      <c r="CI72" s="925"/>
      <c r="CJ72" s="925"/>
      <c r="CK72" s="925"/>
      <c r="CL72" s="925"/>
      <c r="CM72" s="925"/>
      <c r="CN72" s="925"/>
      <c r="CO72" s="925"/>
      <c r="CP72" s="925"/>
      <c r="CQ72" s="925"/>
      <c r="CR72" s="925"/>
      <c r="CS72" s="925"/>
      <c r="CT72" s="925"/>
      <c r="CU72" s="925"/>
      <c r="CV72" s="925"/>
      <c r="CW72" s="925"/>
      <c r="CX72" s="925"/>
      <c r="CY72" s="925"/>
      <c r="CZ72" s="925"/>
      <c r="DA72" s="925"/>
      <c r="DB72" s="925"/>
      <c r="DC72" s="925"/>
      <c r="DD72" s="925"/>
      <c r="DE72" s="925"/>
      <c r="DF72" s="925"/>
      <c r="DG72" s="925"/>
      <c r="DH72" s="925"/>
      <c r="DI72" s="925"/>
      <c r="DJ72" s="925"/>
      <c r="DK72" s="925"/>
      <c r="DL72" s="925"/>
      <c r="DM72" s="925"/>
      <c r="DN72" s="925"/>
      <c r="DO72" s="925"/>
      <c r="DP72" s="925"/>
      <c r="DQ72" s="925"/>
      <c r="DR72" s="925"/>
      <c r="DS72" s="925"/>
      <c r="DT72" s="925"/>
      <c r="DU72" s="925"/>
      <c r="DV72" s="925"/>
      <c r="DW72" s="925"/>
      <c r="DX72" s="925"/>
      <c r="DY72" s="925"/>
      <c r="DZ72" s="925"/>
      <c r="EA72" s="925"/>
      <c r="EB72" s="925"/>
      <c r="EC72" s="925"/>
      <c r="ED72" s="925"/>
      <c r="EE72" s="925"/>
      <c r="EF72" s="925"/>
      <c r="EG72" s="446"/>
    </row>
    <row r="73" spans="1:137" ht="13" x14ac:dyDescent="0.15">
      <c r="A73" s="917"/>
      <c r="B73" s="917"/>
      <c r="C73" s="918"/>
      <c r="D73" s="919"/>
      <c r="E73" s="920"/>
      <c r="F73" s="921"/>
      <c r="G73" s="922"/>
      <c r="H73" s="922"/>
      <c r="I73" s="922"/>
      <c r="J73" s="923"/>
      <c r="K73" s="923"/>
      <c r="L73" s="924"/>
      <c r="M73" s="925"/>
      <c r="N73" s="925"/>
      <c r="O73" s="925"/>
      <c r="P73" s="925"/>
      <c r="Q73" s="925"/>
      <c r="R73" s="926"/>
      <c r="S73" s="926"/>
      <c r="T73" s="925"/>
      <c r="U73" s="925"/>
      <c r="V73" s="925"/>
      <c r="W73" s="925"/>
      <c r="X73" s="925"/>
      <c r="Y73" s="925"/>
      <c r="Z73" s="925"/>
      <c r="AA73" s="925"/>
      <c r="AB73" s="925"/>
      <c r="AC73" s="925"/>
      <c r="AD73" s="925"/>
      <c r="AE73" s="925"/>
      <c r="AF73" s="925"/>
      <c r="AG73" s="925"/>
      <c r="AH73" s="925"/>
      <c r="AI73" s="925"/>
      <c r="AJ73" s="925"/>
      <c r="AK73" s="925"/>
      <c r="AL73" s="925"/>
      <c r="AM73" s="925"/>
      <c r="AN73" s="925"/>
      <c r="AO73" s="925"/>
      <c r="AP73" s="925"/>
      <c r="AQ73" s="925"/>
      <c r="AR73" s="925"/>
      <c r="AS73" s="925"/>
      <c r="AT73" s="925"/>
      <c r="AU73" s="925"/>
      <c r="AV73" s="925"/>
      <c r="AW73" s="925"/>
      <c r="AX73" s="925"/>
      <c r="AY73" s="925"/>
      <c r="AZ73" s="925"/>
      <c r="BA73" s="925"/>
      <c r="BB73" s="925"/>
      <c r="BC73" s="925"/>
      <c r="BD73" s="925"/>
      <c r="BE73" s="925"/>
      <c r="BF73" s="925"/>
      <c r="BG73" s="925"/>
      <c r="BH73" s="925"/>
      <c r="BI73" s="925"/>
      <c r="BJ73" s="925"/>
      <c r="BK73" s="925"/>
      <c r="BL73" s="925"/>
      <c r="BM73" s="925"/>
      <c r="BN73" s="925"/>
      <c r="BO73" s="925"/>
      <c r="BP73" s="925"/>
      <c r="BQ73" s="925"/>
      <c r="BR73" s="925"/>
      <c r="BS73" s="925"/>
      <c r="BT73" s="925"/>
      <c r="BU73" s="925"/>
      <c r="BV73" s="925"/>
      <c r="BW73" s="925"/>
      <c r="BX73" s="925"/>
      <c r="BY73" s="925"/>
      <c r="BZ73" s="925"/>
      <c r="CA73" s="925"/>
      <c r="CB73" s="925"/>
      <c r="CC73" s="925"/>
      <c r="CD73" s="925"/>
      <c r="CE73" s="925"/>
      <c r="CF73" s="925"/>
      <c r="CG73" s="925"/>
      <c r="CH73" s="925"/>
      <c r="CI73" s="925"/>
      <c r="CJ73" s="925"/>
      <c r="CK73" s="925"/>
      <c r="CL73" s="925"/>
      <c r="CM73" s="925"/>
      <c r="CN73" s="925"/>
      <c r="CO73" s="925"/>
      <c r="CP73" s="925"/>
      <c r="CQ73" s="925"/>
      <c r="CR73" s="925"/>
      <c r="CS73" s="925"/>
      <c r="CT73" s="925"/>
      <c r="CU73" s="925"/>
      <c r="CV73" s="925"/>
      <c r="CW73" s="925"/>
      <c r="CX73" s="925"/>
      <c r="CY73" s="925"/>
      <c r="CZ73" s="925"/>
      <c r="DA73" s="925"/>
      <c r="DB73" s="925"/>
      <c r="DC73" s="925"/>
      <c r="DD73" s="925"/>
      <c r="DE73" s="925"/>
      <c r="DF73" s="925"/>
      <c r="DG73" s="925"/>
      <c r="DH73" s="925"/>
      <c r="DI73" s="925"/>
      <c r="DJ73" s="925"/>
      <c r="DK73" s="925"/>
      <c r="DL73" s="925"/>
      <c r="DM73" s="925"/>
      <c r="DN73" s="925"/>
      <c r="DO73" s="925"/>
      <c r="DP73" s="925"/>
      <c r="DQ73" s="925"/>
      <c r="DR73" s="925"/>
      <c r="DS73" s="925"/>
      <c r="DT73" s="925"/>
      <c r="DU73" s="925"/>
      <c r="DV73" s="925"/>
      <c r="DW73" s="925"/>
      <c r="DX73" s="925"/>
      <c r="DY73" s="925"/>
      <c r="DZ73" s="925"/>
      <c r="EA73" s="925"/>
      <c r="EB73" s="925"/>
      <c r="EC73" s="925"/>
      <c r="ED73" s="925"/>
      <c r="EE73" s="925"/>
      <c r="EF73" s="925"/>
      <c r="EG73" s="446"/>
    </row>
    <row r="74" spans="1:137" ht="13" x14ac:dyDescent="0.15">
      <c r="A74" s="917"/>
      <c r="B74" s="917"/>
      <c r="C74" s="918"/>
      <c r="D74" s="919"/>
      <c r="E74" s="920"/>
      <c r="F74" s="921"/>
      <c r="G74" s="922"/>
      <c r="H74" s="922"/>
      <c r="I74" s="922"/>
      <c r="J74" s="923"/>
      <c r="K74" s="923"/>
      <c r="L74" s="924"/>
      <c r="M74" s="925"/>
      <c r="N74" s="925"/>
      <c r="O74" s="925"/>
      <c r="P74" s="925"/>
      <c r="Q74" s="925"/>
      <c r="R74" s="926"/>
      <c r="S74" s="926"/>
      <c r="T74" s="925"/>
      <c r="U74" s="925"/>
      <c r="V74" s="925"/>
      <c r="W74" s="925"/>
      <c r="X74" s="925"/>
      <c r="Y74" s="925"/>
      <c r="Z74" s="925"/>
      <c r="AA74" s="925"/>
      <c r="AB74" s="925"/>
      <c r="AC74" s="925"/>
      <c r="AD74" s="925"/>
      <c r="AE74" s="925"/>
      <c r="AF74" s="925"/>
      <c r="AG74" s="925"/>
      <c r="AH74" s="925"/>
      <c r="AI74" s="925"/>
      <c r="AJ74" s="925"/>
      <c r="AK74" s="925"/>
      <c r="AL74" s="925"/>
      <c r="AM74" s="925"/>
      <c r="AN74" s="925"/>
      <c r="AO74" s="925"/>
      <c r="AP74" s="925"/>
      <c r="AQ74" s="925"/>
      <c r="AR74" s="925"/>
      <c r="AS74" s="925"/>
      <c r="AT74" s="925"/>
      <c r="AU74" s="925"/>
      <c r="AV74" s="925"/>
      <c r="AW74" s="925"/>
      <c r="AX74" s="925"/>
      <c r="AY74" s="925"/>
      <c r="AZ74" s="925"/>
      <c r="BA74" s="925"/>
      <c r="BB74" s="925"/>
      <c r="BC74" s="925"/>
      <c r="BD74" s="925"/>
      <c r="BE74" s="925"/>
      <c r="BF74" s="925"/>
      <c r="BG74" s="925"/>
      <c r="BH74" s="925"/>
      <c r="BI74" s="925"/>
      <c r="BJ74" s="925"/>
      <c r="BK74" s="925"/>
      <c r="BL74" s="925"/>
      <c r="BM74" s="925"/>
      <c r="BN74" s="925"/>
      <c r="BO74" s="925"/>
      <c r="BP74" s="925"/>
      <c r="BQ74" s="925"/>
      <c r="BR74" s="925"/>
      <c r="BS74" s="925"/>
      <c r="BT74" s="925"/>
      <c r="BU74" s="925"/>
      <c r="BV74" s="925"/>
      <c r="BW74" s="925"/>
      <c r="BX74" s="925"/>
      <c r="BY74" s="925"/>
      <c r="BZ74" s="925"/>
      <c r="CA74" s="925"/>
      <c r="CB74" s="925"/>
      <c r="CC74" s="925"/>
      <c r="CD74" s="925"/>
      <c r="CE74" s="925"/>
      <c r="CF74" s="925"/>
      <c r="CG74" s="925"/>
      <c r="CH74" s="925"/>
      <c r="CI74" s="925"/>
      <c r="CJ74" s="925"/>
      <c r="CK74" s="925"/>
      <c r="CL74" s="925"/>
      <c r="CM74" s="925"/>
      <c r="CN74" s="925"/>
      <c r="CO74" s="925"/>
      <c r="CP74" s="925"/>
      <c r="CQ74" s="925"/>
      <c r="CR74" s="925"/>
      <c r="CS74" s="925"/>
      <c r="CT74" s="925"/>
      <c r="CU74" s="925"/>
      <c r="CV74" s="925"/>
      <c r="CW74" s="925"/>
      <c r="CX74" s="925"/>
      <c r="CY74" s="925"/>
      <c r="CZ74" s="925"/>
      <c r="DA74" s="925"/>
      <c r="DB74" s="925"/>
      <c r="DC74" s="925"/>
      <c r="DD74" s="925"/>
      <c r="DE74" s="925"/>
      <c r="DF74" s="925"/>
      <c r="DG74" s="925"/>
      <c r="DH74" s="925"/>
      <c r="DI74" s="925"/>
      <c r="DJ74" s="925"/>
      <c r="DK74" s="925"/>
      <c r="DL74" s="925"/>
      <c r="DM74" s="925"/>
      <c r="DN74" s="925"/>
      <c r="DO74" s="925"/>
      <c r="DP74" s="925"/>
      <c r="DQ74" s="925"/>
      <c r="DR74" s="925"/>
      <c r="DS74" s="925"/>
      <c r="DT74" s="925"/>
      <c r="DU74" s="925"/>
      <c r="DV74" s="925"/>
      <c r="DW74" s="925"/>
      <c r="DX74" s="925"/>
      <c r="DY74" s="925"/>
      <c r="DZ74" s="925"/>
      <c r="EA74" s="925"/>
      <c r="EB74" s="925"/>
      <c r="EC74" s="925"/>
      <c r="ED74" s="925"/>
      <c r="EE74" s="925"/>
      <c r="EF74" s="925"/>
      <c r="EG74" s="446"/>
    </row>
    <row r="75" spans="1:137" ht="13" x14ac:dyDescent="0.15">
      <c r="A75" s="917"/>
      <c r="B75" s="917"/>
      <c r="C75" s="918"/>
      <c r="D75" s="919"/>
      <c r="E75" s="920"/>
      <c r="F75" s="921"/>
      <c r="G75" s="922"/>
      <c r="H75" s="922"/>
      <c r="I75" s="922"/>
      <c r="J75" s="923"/>
      <c r="K75" s="923"/>
      <c r="L75" s="924"/>
      <c r="M75" s="925"/>
      <c r="N75" s="925"/>
      <c r="O75" s="925"/>
      <c r="P75" s="925"/>
      <c r="Q75" s="925"/>
      <c r="R75" s="926"/>
      <c r="S75" s="926"/>
      <c r="T75" s="925"/>
      <c r="U75" s="925"/>
      <c r="V75" s="925"/>
      <c r="W75" s="925"/>
      <c r="X75" s="925"/>
      <c r="Y75" s="925"/>
      <c r="Z75" s="925"/>
      <c r="AA75" s="925"/>
      <c r="AB75" s="925"/>
      <c r="AC75" s="925"/>
      <c r="AD75" s="925"/>
      <c r="AE75" s="925"/>
      <c r="AF75" s="925"/>
      <c r="AG75" s="925"/>
      <c r="AH75" s="925"/>
      <c r="AI75" s="925"/>
      <c r="AJ75" s="925"/>
      <c r="AK75" s="925"/>
      <c r="AL75" s="925"/>
      <c r="AM75" s="925"/>
      <c r="AN75" s="925"/>
      <c r="AO75" s="925"/>
      <c r="AP75" s="925"/>
      <c r="AQ75" s="925"/>
      <c r="AR75" s="925"/>
      <c r="AS75" s="925"/>
      <c r="AT75" s="925"/>
      <c r="AU75" s="925"/>
      <c r="AV75" s="925"/>
      <c r="AW75" s="925"/>
      <c r="AX75" s="925"/>
      <c r="AY75" s="925"/>
      <c r="AZ75" s="925"/>
      <c r="BA75" s="925"/>
      <c r="BB75" s="925"/>
      <c r="BC75" s="925"/>
      <c r="BD75" s="925"/>
      <c r="BE75" s="925"/>
      <c r="BF75" s="925"/>
      <c r="BG75" s="925"/>
      <c r="BH75" s="925"/>
      <c r="BI75" s="925"/>
      <c r="BJ75" s="925"/>
      <c r="BK75" s="925"/>
      <c r="BL75" s="925"/>
      <c r="BM75" s="925"/>
      <c r="BN75" s="925"/>
      <c r="BO75" s="925"/>
      <c r="BP75" s="925"/>
      <c r="BQ75" s="925"/>
      <c r="BR75" s="925"/>
      <c r="BS75" s="925"/>
      <c r="BT75" s="925"/>
      <c r="BU75" s="925"/>
      <c r="BV75" s="925"/>
      <c r="BW75" s="925"/>
      <c r="BX75" s="925"/>
      <c r="BY75" s="925"/>
      <c r="BZ75" s="925"/>
      <c r="CA75" s="925"/>
      <c r="CB75" s="925"/>
      <c r="CC75" s="925"/>
      <c r="CD75" s="925"/>
      <c r="CE75" s="925"/>
      <c r="CF75" s="925"/>
      <c r="CG75" s="925"/>
      <c r="CH75" s="925"/>
      <c r="CI75" s="925"/>
      <c r="CJ75" s="925"/>
      <c r="CK75" s="925"/>
      <c r="CL75" s="925"/>
      <c r="CM75" s="925"/>
      <c r="CN75" s="925"/>
      <c r="CO75" s="925"/>
      <c r="CP75" s="925"/>
      <c r="CQ75" s="925"/>
      <c r="CR75" s="925"/>
      <c r="CS75" s="925"/>
      <c r="CT75" s="925"/>
      <c r="CU75" s="925"/>
      <c r="CV75" s="925"/>
      <c r="CW75" s="925"/>
      <c r="CX75" s="925"/>
      <c r="CY75" s="925"/>
      <c r="CZ75" s="925"/>
      <c r="DA75" s="925"/>
      <c r="DB75" s="925"/>
      <c r="DC75" s="925"/>
      <c r="DD75" s="925"/>
      <c r="DE75" s="925"/>
      <c r="DF75" s="925"/>
      <c r="DG75" s="925"/>
      <c r="DH75" s="925"/>
      <c r="DI75" s="925"/>
      <c r="DJ75" s="925"/>
      <c r="DK75" s="925"/>
      <c r="DL75" s="925"/>
      <c r="DM75" s="925"/>
      <c r="DN75" s="925"/>
      <c r="DO75" s="925"/>
      <c r="DP75" s="925"/>
      <c r="DQ75" s="925"/>
      <c r="DR75" s="925"/>
      <c r="DS75" s="925"/>
      <c r="DT75" s="925"/>
      <c r="DU75" s="925"/>
      <c r="DV75" s="925"/>
      <c r="DW75" s="925"/>
      <c r="DX75" s="925"/>
      <c r="DY75" s="925"/>
      <c r="DZ75" s="925"/>
      <c r="EA75" s="925"/>
      <c r="EB75" s="925"/>
      <c r="EC75" s="925"/>
      <c r="ED75" s="925"/>
      <c r="EE75" s="925"/>
      <c r="EF75" s="925"/>
      <c r="EG75" s="446"/>
    </row>
    <row r="76" spans="1:137" ht="13" x14ac:dyDescent="0.15">
      <c r="A76" s="917"/>
      <c r="B76" s="917"/>
      <c r="C76" s="918"/>
      <c r="D76" s="919"/>
      <c r="E76" s="920"/>
      <c r="F76" s="921"/>
      <c r="G76" s="922"/>
      <c r="H76" s="922"/>
      <c r="I76" s="922"/>
      <c r="J76" s="923"/>
      <c r="K76" s="923"/>
      <c r="L76" s="924"/>
      <c r="M76" s="925"/>
      <c r="N76" s="925"/>
      <c r="O76" s="925"/>
      <c r="P76" s="925"/>
      <c r="Q76" s="925"/>
      <c r="R76" s="926"/>
      <c r="S76" s="926"/>
      <c r="T76" s="925"/>
      <c r="U76" s="925"/>
      <c r="V76" s="925"/>
      <c r="W76" s="925"/>
      <c r="X76" s="925"/>
      <c r="Y76" s="925"/>
      <c r="Z76" s="925"/>
      <c r="AA76" s="925"/>
      <c r="AB76" s="925"/>
      <c r="AC76" s="925"/>
      <c r="AD76" s="925"/>
      <c r="AE76" s="925"/>
      <c r="AF76" s="925"/>
      <c r="AG76" s="925"/>
      <c r="AH76" s="925"/>
      <c r="AI76" s="925"/>
      <c r="AJ76" s="925"/>
      <c r="AK76" s="925"/>
      <c r="AL76" s="925"/>
      <c r="AM76" s="925"/>
      <c r="AN76" s="925"/>
      <c r="AO76" s="925"/>
      <c r="AP76" s="925"/>
      <c r="AQ76" s="925"/>
      <c r="AR76" s="925"/>
      <c r="AS76" s="925"/>
      <c r="AT76" s="925"/>
      <c r="AU76" s="925"/>
      <c r="AV76" s="925"/>
      <c r="AW76" s="925"/>
      <c r="AX76" s="925"/>
      <c r="AY76" s="925"/>
      <c r="AZ76" s="925"/>
      <c r="BA76" s="925"/>
      <c r="BB76" s="925"/>
      <c r="BC76" s="925"/>
      <c r="BD76" s="925"/>
      <c r="BE76" s="925"/>
      <c r="BF76" s="925"/>
      <c r="BG76" s="925"/>
      <c r="BH76" s="925"/>
      <c r="BI76" s="925"/>
      <c r="BJ76" s="925"/>
      <c r="BK76" s="925"/>
      <c r="BL76" s="925"/>
      <c r="BM76" s="925"/>
      <c r="BN76" s="925"/>
      <c r="BO76" s="925"/>
      <c r="BP76" s="925"/>
      <c r="BQ76" s="925"/>
      <c r="BR76" s="925"/>
      <c r="BS76" s="925"/>
      <c r="BT76" s="925"/>
      <c r="BU76" s="925"/>
      <c r="BV76" s="925"/>
      <c r="BW76" s="925"/>
      <c r="BX76" s="925"/>
      <c r="BY76" s="925"/>
      <c r="BZ76" s="925"/>
      <c r="CA76" s="925"/>
      <c r="CB76" s="925"/>
      <c r="CC76" s="925"/>
      <c r="CD76" s="925"/>
      <c r="CE76" s="925"/>
      <c r="CF76" s="925"/>
      <c r="CG76" s="925"/>
      <c r="CH76" s="925"/>
      <c r="CI76" s="925"/>
      <c r="CJ76" s="925"/>
      <c r="CK76" s="925"/>
      <c r="CL76" s="925"/>
      <c r="CM76" s="925"/>
      <c r="CN76" s="925"/>
      <c r="CO76" s="925"/>
      <c r="CP76" s="925"/>
      <c r="CQ76" s="925"/>
      <c r="CR76" s="925"/>
      <c r="CS76" s="925"/>
      <c r="CT76" s="925"/>
      <c r="CU76" s="925"/>
      <c r="CV76" s="925"/>
      <c r="CW76" s="925"/>
      <c r="CX76" s="925"/>
      <c r="CY76" s="925"/>
      <c r="CZ76" s="925"/>
      <c r="DA76" s="925"/>
      <c r="DB76" s="925"/>
      <c r="DC76" s="925"/>
      <c r="DD76" s="925"/>
      <c r="DE76" s="925"/>
      <c r="DF76" s="925"/>
      <c r="DG76" s="925"/>
      <c r="DH76" s="925"/>
      <c r="DI76" s="925"/>
      <c r="DJ76" s="925"/>
      <c r="DK76" s="925"/>
      <c r="DL76" s="925"/>
      <c r="DM76" s="925"/>
      <c r="DN76" s="925"/>
      <c r="DO76" s="925"/>
      <c r="DP76" s="925"/>
      <c r="DQ76" s="925"/>
      <c r="DR76" s="925"/>
      <c r="DS76" s="925"/>
      <c r="DT76" s="925"/>
      <c r="DU76" s="925"/>
      <c r="DV76" s="925"/>
      <c r="DW76" s="925"/>
      <c r="DX76" s="925"/>
      <c r="DY76" s="925"/>
      <c r="DZ76" s="925"/>
      <c r="EA76" s="925"/>
      <c r="EB76" s="925"/>
      <c r="EC76" s="925"/>
      <c r="ED76" s="925"/>
      <c r="EE76" s="925"/>
      <c r="EF76" s="925"/>
      <c r="EG76" s="446"/>
    </row>
    <row r="77" spans="1:137" ht="13" x14ac:dyDescent="0.15">
      <c r="A77" s="917"/>
      <c r="B77" s="917"/>
      <c r="C77" s="918"/>
      <c r="D77" s="919"/>
      <c r="E77" s="920"/>
      <c r="F77" s="921"/>
      <c r="G77" s="922"/>
      <c r="H77" s="922"/>
      <c r="I77" s="922"/>
      <c r="J77" s="923"/>
      <c r="K77" s="923"/>
      <c r="L77" s="924"/>
      <c r="M77" s="925"/>
      <c r="N77" s="925"/>
      <c r="O77" s="925"/>
      <c r="P77" s="925"/>
      <c r="Q77" s="925"/>
      <c r="R77" s="926"/>
      <c r="S77" s="926"/>
      <c r="T77" s="925"/>
      <c r="U77" s="925"/>
      <c r="V77" s="925"/>
      <c r="W77" s="925"/>
      <c r="X77" s="925"/>
      <c r="Y77" s="925"/>
      <c r="Z77" s="925"/>
      <c r="AA77" s="925"/>
      <c r="AB77" s="925"/>
      <c r="AC77" s="925"/>
      <c r="AD77" s="925"/>
      <c r="AE77" s="925"/>
      <c r="AF77" s="925"/>
      <c r="AG77" s="925"/>
      <c r="AH77" s="925"/>
      <c r="AI77" s="925"/>
      <c r="AJ77" s="925"/>
      <c r="AK77" s="925"/>
      <c r="AL77" s="925"/>
      <c r="AM77" s="925"/>
      <c r="AN77" s="925"/>
      <c r="AO77" s="925"/>
      <c r="AP77" s="925"/>
      <c r="AQ77" s="925"/>
      <c r="AR77" s="925"/>
      <c r="AS77" s="925"/>
      <c r="AT77" s="925"/>
      <c r="AU77" s="925"/>
      <c r="AV77" s="925"/>
      <c r="AW77" s="925"/>
      <c r="AX77" s="925"/>
      <c r="AY77" s="925"/>
      <c r="AZ77" s="925"/>
      <c r="BA77" s="925"/>
      <c r="BB77" s="925"/>
      <c r="BC77" s="925"/>
      <c r="BD77" s="925"/>
      <c r="BE77" s="925"/>
      <c r="BF77" s="925"/>
      <c r="BG77" s="925"/>
      <c r="BH77" s="925"/>
      <c r="BI77" s="925"/>
      <c r="BJ77" s="925"/>
      <c r="BK77" s="925"/>
      <c r="BL77" s="925"/>
      <c r="BM77" s="925"/>
      <c r="BN77" s="925"/>
      <c r="BO77" s="925"/>
      <c r="BP77" s="925"/>
      <c r="BQ77" s="925"/>
      <c r="BR77" s="925"/>
      <c r="BS77" s="925"/>
      <c r="BT77" s="925"/>
      <c r="BU77" s="925"/>
      <c r="BV77" s="925"/>
      <c r="BW77" s="925"/>
      <c r="BX77" s="925"/>
      <c r="BY77" s="925"/>
      <c r="BZ77" s="925"/>
      <c r="CA77" s="925"/>
      <c r="CB77" s="925"/>
      <c r="CC77" s="925"/>
      <c r="CD77" s="925"/>
      <c r="CE77" s="925"/>
      <c r="CF77" s="925"/>
      <c r="CG77" s="925"/>
      <c r="CH77" s="925"/>
      <c r="CI77" s="925"/>
      <c r="CJ77" s="925"/>
      <c r="CK77" s="925"/>
      <c r="CL77" s="925"/>
      <c r="CM77" s="925"/>
      <c r="CN77" s="925"/>
      <c r="CO77" s="925"/>
      <c r="CP77" s="925"/>
      <c r="CQ77" s="925"/>
      <c r="CR77" s="925"/>
      <c r="CS77" s="925"/>
      <c r="CT77" s="925"/>
      <c r="CU77" s="925"/>
      <c r="CV77" s="925"/>
      <c r="CW77" s="925"/>
      <c r="CX77" s="925"/>
      <c r="CY77" s="925"/>
      <c r="CZ77" s="925"/>
      <c r="DA77" s="925"/>
      <c r="DB77" s="925"/>
      <c r="DC77" s="925"/>
      <c r="DD77" s="925"/>
      <c r="DE77" s="925"/>
      <c r="DF77" s="925"/>
      <c r="DG77" s="925"/>
      <c r="DH77" s="925"/>
      <c r="DI77" s="925"/>
      <c r="DJ77" s="925"/>
      <c r="DK77" s="925"/>
      <c r="DL77" s="925"/>
      <c r="DM77" s="925"/>
      <c r="DN77" s="925"/>
      <c r="DO77" s="925"/>
      <c r="DP77" s="925"/>
      <c r="DQ77" s="925"/>
      <c r="DR77" s="925"/>
      <c r="DS77" s="925"/>
      <c r="DT77" s="925"/>
      <c r="DU77" s="925"/>
      <c r="DV77" s="925"/>
      <c r="DW77" s="925"/>
      <c r="DX77" s="925"/>
      <c r="DY77" s="925"/>
      <c r="DZ77" s="925"/>
      <c r="EA77" s="925"/>
      <c r="EB77" s="925"/>
      <c r="EC77" s="925"/>
      <c r="ED77" s="925"/>
      <c r="EE77" s="925"/>
      <c r="EF77" s="925"/>
      <c r="EG77" s="446"/>
    </row>
    <row r="78" spans="1:137" ht="13" x14ac:dyDescent="0.15">
      <c r="A78" s="917"/>
      <c r="B78" s="917"/>
      <c r="C78" s="918"/>
      <c r="D78" s="919"/>
      <c r="E78" s="920"/>
      <c r="F78" s="921"/>
      <c r="G78" s="922"/>
      <c r="H78" s="922"/>
      <c r="I78" s="922"/>
      <c r="J78" s="923"/>
      <c r="K78" s="923"/>
      <c r="L78" s="924"/>
      <c r="M78" s="925"/>
      <c r="N78" s="925"/>
      <c r="O78" s="925"/>
      <c r="P78" s="925"/>
      <c r="Q78" s="925"/>
      <c r="R78" s="926"/>
      <c r="S78" s="926"/>
      <c r="T78" s="925"/>
      <c r="U78" s="925"/>
      <c r="V78" s="925"/>
      <c r="W78" s="925"/>
      <c r="X78" s="925"/>
      <c r="Y78" s="925"/>
      <c r="Z78" s="925"/>
      <c r="AA78" s="925"/>
      <c r="AB78" s="925"/>
      <c r="AC78" s="925"/>
      <c r="AD78" s="925"/>
      <c r="AE78" s="925"/>
      <c r="AF78" s="925"/>
      <c r="AG78" s="925"/>
      <c r="AH78" s="925"/>
      <c r="AI78" s="925"/>
      <c r="AJ78" s="925"/>
      <c r="AK78" s="925"/>
      <c r="AL78" s="925"/>
      <c r="AM78" s="925"/>
      <c r="AN78" s="925"/>
      <c r="AO78" s="925"/>
      <c r="AP78" s="925"/>
      <c r="AQ78" s="925"/>
      <c r="AR78" s="925"/>
      <c r="AS78" s="925"/>
      <c r="AT78" s="925"/>
      <c r="AU78" s="925"/>
      <c r="AV78" s="925"/>
      <c r="AW78" s="925"/>
      <c r="AX78" s="925"/>
      <c r="AY78" s="925"/>
      <c r="AZ78" s="925"/>
      <c r="BA78" s="925"/>
      <c r="BB78" s="925"/>
      <c r="BC78" s="925"/>
      <c r="BD78" s="925"/>
      <c r="BE78" s="925"/>
      <c r="BF78" s="925"/>
      <c r="BG78" s="925"/>
      <c r="BH78" s="925"/>
      <c r="BI78" s="925"/>
      <c r="BJ78" s="925"/>
      <c r="BK78" s="925"/>
      <c r="BL78" s="925"/>
      <c r="BM78" s="925"/>
      <c r="BN78" s="925"/>
      <c r="BO78" s="925"/>
      <c r="BP78" s="925"/>
      <c r="BQ78" s="925"/>
      <c r="BR78" s="925"/>
      <c r="BS78" s="925"/>
      <c r="BT78" s="925"/>
      <c r="BU78" s="925"/>
      <c r="BV78" s="925"/>
      <c r="BW78" s="925"/>
      <c r="BX78" s="925"/>
      <c r="BY78" s="925"/>
      <c r="BZ78" s="925"/>
      <c r="CA78" s="925"/>
      <c r="CB78" s="925"/>
      <c r="CC78" s="925"/>
      <c r="CD78" s="925"/>
      <c r="CE78" s="925"/>
      <c r="CF78" s="925"/>
      <c r="CG78" s="925"/>
      <c r="CH78" s="925"/>
      <c r="CI78" s="925"/>
      <c r="CJ78" s="925"/>
      <c r="CK78" s="925"/>
      <c r="CL78" s="925"/>
      <c r="CM78" s="925"/>
      <c r="CN78" s="925"/>
      <c r="CO78" s="925"/>
      <c r="CP78" s="925"/>
      <c r="CQ78" s="925"/>
      <c r="CR78" s="925"/>
      <c r="CS78" s="925"/>
      <c r="CT78" s="925"/>
      <c r="CU78" s="925"/>
      <c r="CV78" s="925"/>
      <c r="CW78" s="925"/>
      <c r="CX78" s="925"/>
      <c r="CY78" s="925"/>
      <c r="CZ78" s="925"/>
      <c r="DA78" s="925"/>
      <c r="DB78" s="925"/>
      <c r="DC78" s="925"/>
      <c r="DD78" s="925"/>
      <c r="DE78" s="925"/>
      <c r="DF78" s="925"/>
      <c r="DG78" s="925"/>
      <c r="DH78" s="925"/>
      <c r="DI78" s="925"/>
      <c r="DJ78" s="925"/>
      <c r="DK78" s="925"/>
      <c r="DL78" s="925"/>
      <c r="DM78" s="925"/>
      <c r="DN78" s="925"/>
      <c r="DO78" s="925"/>
      <c r="DP78" s="925"/>
      <c r="DQ78" s="925"/>
      <c r="DR78" s="925"/>
      <c r="DS78" s="925"/>
      <c r="DT78" s="925"/>
      <c r="DU78" s="925"/>
      <c r="DV78" s="925"/>
      <c r="DW78" s="925"/>
      <c r="DX78" s="925"/>
      <c r="DY78" s="925"/>
      <c r="DZ78" s="925"/>
      <c r="EA78" s="925"/>
      <c r="EB78" s="925"/>
      <c r="EC78" s="925"/>
      <c r="ED78" s="925"/>
      <c r="EE78" s="925"/>
      <c r="EF78" s="925"/>
      <c r="EG78" s="446"/>
    </row>
    <row r="79" spans="1:137" ht="13" x14ac:dyDescent="0.15">
      <c r="A79" s="917"/>
      <c r="B79" s="917"/>
      <c r="C79" s="918"/>
      <c r="D79" s="919"/>
      <c r="E79" s="920"/>
      <c r="F79" s="921"/>
      <c r="G79" s="922"/>
      <c r="H79" s="922"/>
      <c r="I79" s="922"/>
      <c r="J79" s="923"/>
      <c r="K79" s="923"/>
      <c r="L79" s="924"/>
      <c r="M79" s="925"/>
      <c r="N79" s="925"/>
      <c r="O79" s="925"/>
      <c r="P79" s="925"/>
      <c r="Q79" s="925"/>
      <c r="R79" s="926"/>
      <c r="S79" s="926"/>
      <c r="T79" s="925"/>
      <c r="U79" s="925"/>
      <c r="V79" s="925"/>
      <c r="W79" s="925"/>
      <c r="X79" s="925"/>
      <c r="Y79" s="925"/>
      <c r="Z79" s="925"/>
      <c r="AA79" s="925"/>
      <c r="AB79" s="925"/>
      <c r="AC79" s="925"/>
      <c r="AD79" s="925"/>
      <c r="AE79" s="925"/>
      <c r="AF79" s="925"/>
      <c r="AG79" s="925"/>
      <c r="AH79" s="925"/>
      <c r="AI79" s="925"/>
      <c r="AJ79" s="925"/>
      <c r="AK79" s="925"/>
      <c r="AL79" s="925"/>
      <c r="AM79" s="925"/>
      <c r="AN79" s="925"/>
      <c r="AO79" s="925"/>
      <c r="AP79" s="925"/>
      <c r="AQ79" s="925"/>
      <c r="AR79" s="925"/>
      <c r="AS79" s="925"/>
      <c r="AT79" s="925"/>
      <c r="AU79" s="925"/>
      <c r="AV79" s="925"/>
      <c r="AW79" s="925"/>
      <c r="AX79" s="925"/>
      <c r="AY79" s="925"/>
      <c r="AZ79" s="925"/>
      <c r="BA79" s="925"/>
      <c r="BB79" s="925"/>
      <c r="BC79" s="925"/>
      <c r="BD79" s="925"/>
      <c r="BE79" s="925"/>
      <c r="BF79" s="925"/>
      <c r="BG79" s="925"/>
      <c r="BH79" s="925"/>
      <c r="BI79" s="925"/>
      <c r="BJ79" s="925"/>
      <c r="BK79" s="925"/>
      <c r="BL79" s="925"/>
      <c r="BM79" s="925"/>
      <c r="BN79" s="925"/>
      <c r="BO79" s="925"/>
      <c r="BP79" s="925"/>
      <c r="BQ79" s="925"/>
      <c r="BR79" s="925"/>
      <c r="BS79" s="925"/>
      <c r="BT79" s="925"/>
      <c r="BU79" s="925"/>
      <c r="BV79" s="925"/>
      <c r="BW79" s="925"/>
      <c r="BX79" s="925"/>
      <c r="BY79" s="925"/>
      <c r="BZ79" s="925"/>
      <c r="CA79" s="925"/>
      <c r="CB79" s="925"/>
      <c r="CC79" s="925"/>
      <c r="CD79" s="925"/>
      <c r="CE79" s="925"/>
      <c r="CF79" s="925"/>
      <c r="CG79" s="925"/>
      <c r="CH79" s="925"/>
      <c r="CI79" s="925"/>
      <c r="CJ79" s="925"/>
      <c r="CK79" s="925"/>
      <c r="CL79" s="925"/>
      <c r="CM79" s="925"/>
      <c r="CN79" s="925"/>
      <c r="CO79" s="925"/>
      <c r="CP79" s="925"/>
      <c r="CQ79" s="925"/>
      <c r="CR79" s="925"/>
      <c r="CS79" s="925"/>
      <c r="CT79" s="925"/>
      <c r="CU79" s="925"/>
      <c r="CV79" s="925"/>
      <c r="CW79" s="925"/>
      <c r="CX79" s="925"/>
      <c r="CY79" s="925"/>
      <c r="CZ79" s="925"/>
      <c r="DA79" s="925"/>
      <c r="DB79" s="925"/>
      <c r="DC79" s="925"/>
      <c r="DD79" s="925"/>
      <c r="DE79" s="925"/>
      <c r="DF79" s="925"/>
      <c r="DG79" s="925"/>
      <c r="DH79" s="925"/>
      <c r="DI79" s="925"/>
      <c r="DJ79" s="925"/>
      <c r="DK79" s="925"/>
      <c r="DL79" s="925"/>
      <c r="DM79" s="925"/>
      <c r="DN79" s="925"/>
      <c r="DO79" s="925"/>
      <c r="DP79" s="925"/>
      <c r="DQ79" s="925"/>
      <c r="DR79" s="925"/>
      <c r="DS79" s="925"/>
      <c r="DT79" s="925"/>
      <c r="DU79" s="925"/>
      <c r="DV79" s="925"/>
      <c r="DW79" s="925"/>
      <c r="DX79" s="925"/>
      <c r="DY79" s="925"/>
      <c r="DZ79" s="925"/>
      <c r="EA79" s="925"/>
      <c r="EB79" s="925"/>
      <c r="EC79" s="925"/>
      <c r="ED79" s="925"/>
      <c r="EE79" s="925"/>
      <c r="EF79" s="925"/>
      <c r="EG79" s="446"/>
    </row>
    <row r="80" spans="1:137" ht="13" x14ac:dyDescent="0.15">
      <c r="A80" s="917"/>
      <c r="B80" s="917"/>
      <c r="C80" s="918"/>
      <c r="D80" s="919"/>
      <c r="E80" s="920"/>
      <c r="F80" s="921"/>
      <c r="G80" s="922"/>
      <c r="H80" s="922"/>
      <c r="I80" s="922"/>
      <c r="J80" s="923"/>
      <c r="K80" s="923"/>
      <c r="L80" s="924"/>
      <c r="M80" s="925"/>
      <c r="N80" s="925"/>
      <c r="O80" s="925"/>
      <c r="P80" s="925"/>
      <c r="Q80" s="925"/>
      <c r="R80" s="926"/>
      <c r="S80" s="926"/>
      <c r="T80" s="925"/>
      <c r="U80" s="925"/>
      <c r="V80" s="925"/>
      <c r="W80" s="925"/>
      <c r="X80" s="925"/>
      <c r="Y80" s="925"/>
      <c r="Z80" s="925"/>
      <c r="AA80" s="925"/>
      <c r="AB80" s="925"/>
      <c r="AC80" s="925"/>
      <c r="AD80" s="925"/>
      <c r="AE80" s="925"/>
      <c r="AF80" s="925"/>
      <c r="AG80" s="925"/>
      <c r="AH80" s="925"/>
      <c r="AI80" s="925"/>
      <c r="AJ80" s="925"/>
      <c r="AK80" s="925"/>
      <c r="AL80" s="925"/>
      <c r="AM80" s="925"/>
      <c r="AN80" s="925"/>
      <c r="AO80" s="925"/>
      <c r="AP80" s="925"/>
      <c r="AQ80" s="925"/>
      <c r="AR80" s="925"/>
      <c r="AS80" s="925"/>
      <c r="AT80" s="925"/>
      <c r="AU80" s="925"/>
      <c r="AV80" s="925"/>
      <c r="AW80" s="925"/>
      <c r="AX80" s="925"/>
      <c r="AY80" s="925"/>
      <c r="AZ80" s="925"/>
      <c r="BA80" s="925"/>
      <c r="BB80" s="925"/>
      <c r="BC80" s="925"/>
      <c r="BD80" s="925"/>
      <c r="BE80" s="925"/>
      <c r="BF80" s="925"/>
      <c r="BG80" s="925"/>
      <c r="BH80" s="925"/>
      <c r="BI80" s="925"/>
      <c r="BJ80" s="925"/>
      <c r="BK80" s="925"/>
      <c r="BL80" s="925"/>
      <c r="BM80" s="925"/>
      <c r="BN80" s="925"/>
      <c r="BO80" s="925"/>
      <c r="BP80" s="925"/>
      <c r="BQ80" s="925"/>
      <c r="BR80" s="925"/>
      <c r="BS80" s="925"/>
      <c r="BT80" s="925"/>
      <c r="BU80" s="925"/>
      <c r="BV80" s="925"/>
      <c r="BW80" s="925"/>
      <c r="BX80" s="925"/>
      <c r="BY80" s="925"/>
      <c r="BZ80" s="925"/>
      <c r="CA80" s="925"/>
      <c r="CB80" s="925"/>
      <c r="CC80" s="925"/>
      <c r="CD80" s="925"/>
      <c r="CE80" s="925"/>
      <c r="CF80" s="925"/>
      <c r="CG80" s="925"/>
      <c r="CH80" s="925"/>
      <c r="CI80" s="925"/>
      <c r="CJ80" s="925"/>
      <c r="CK80" s="925"/>
      <c r="CL80" s="925"/>
      <c r="CM80" s="925"/>
      <c r="CN80" s="925"/>
      <c r="CO80" s="925"/>
      <c r="CP80" s="925"/>
      <c r="CQ80" s="925"/>
      <c r="CR80" s="925"/>
      <c r="CS80" s="925"/>
      <c r="CT80" s="925"/>
      <c r="CU80" s="925"/>
      <c r="CV80" s="925"/>
      <c r="CW80" s="925"/>
      <c r="CX80" s="925"/>
      <c r="CY80" s="925"/>
      <c r="CZ80" s="925"/>
      <c r="DA80" s="925"/>
      <c r="DB80" s="925"/>
      <c r="DC80" s="925"/>
      <c r="DD80" s="925"/>
      <c r="DE80" s="925"/>
      <c r="DF80" s="925"/>
      <c r="DG80" s="925"/>
      <c r="DH80" s="925"/>
      <c r="DI80" s="925"/>
      <c r="DJ80" s="925"/>
      <c r="DK80" s="925"/>
      <c r="DL80" s="925"/>
      <c r="DM80" s="925"/>
      <c r="DN80" s="925"/>
      <c r="DO80" s="925"/>
      <c r="DP80" s="925"/>
      <c r="DQ80" s="925"/>
      <c r="DR80" s="925"/>
      <c r="DS80" s="925"/>
      <c r="DT80" s="925"/>
      <c r="DU80" s="925"/>
      <c r="DV80" s="925"/>
      <c r="DW80" s="925"/>
      <c r="DX80" s="925"/>
      <c r="DY80" s="925"/>
      <c r="DZ80" s="925"/>
      <c r="EA80" s="925"/>
      <c r="EB80" s="925"/>
      <c r="EC80" s="925"/>
      <c r="ED80" s="925"/>
      <c r="EE80" s="925"/>
      <c r="EF80" s="925"/>
      <c r="EG80" s="446"/>
    </row>
    <row r="81" spans="1:137" ht="13" x14ac:dyDescent="0.15">
      <c r="A81" s="917"/>
      <c r="B81" s="917"/>
      <c r="C81" s="918"/>
      <c r="D81" s="919"/>
      <c r="E81" s="920"/>
      <c r="F81" s="921"/>
      <c r="G81" s="922"/>
      <c r="H81" s="922"/>
      <c r="I81" s="922"/>
      <c r="J81" s="923"/>
      <c r="K81" s="923"/>
      <c r="L81" s="924"/>
      <c r="M81" s="925"/>
      <c r="N81" s="925"/>
      <c r="O81" s="925"/>
      <c r="P81" s="925"/>
      <c r="Q81" s="925"/>
      <c r="R81" s="926"/>
      <c r="S81" s="926"/>
      <c r="T81" s="925"/>
      <c r="U81" s="925"/>
      <c r="V81" s="925"/>
      <c r="W81" s="925"/>
      <c r="X81" s="925"/>
      <c r="Y81" s="925"/>
      <c r="Z81" s="925"/>
      <c r="AA81" s="925"/>
      <c r="AB81" s="925"/>
      <c r="AC81" s="925"/>
      <c r="AD81" s="925"/>
      <c r="AE81" s="925"/>
      <c r="AF81" s="925"/>
      <c r="AG81" s="925"/>
      <c r="AH81" s="925"/>
      <c r="AI81" s="925"/>
      <c r="AJ81" s="925"/>
      <c r="AK81" s="925"/>
      <c r="AL81" s="925"/>
      <c r="AM81" s="925"/>
      <c r="AN81" s="925"/>
      <c r="AO81" s="925"/>
      <c r="AP81" s="925"/>
      <c r="AQ81" s="925"/>
      <c r="AR81" s="925"/>
      <c r="AS81" s="925"/>
      <c r="AT81" s="925"/>
      <c r="AU81" s="925"/>
      <c r="AV81" s="925"/>
      <c r="AW81" s="925"/>
      <c r="AX81" s="925"/>
      <c r="AY81" s="925"/>
      <c r="AZ81" s="925"/>
      <c r="BA81" s="925"/>
      <c r="BB81" s="925"/>
      <c r="BC81" s="925"/>
      <c r="BD81" s="925"/>
      <c r="BE81" s="925"/>
      <c r="BF81" s="925"/>
      <c r="BG81" s="925"/>
      <c r="BH81" s="925"/>
      <c r="BI81" s="925"/>
      <c r="BJ81" s="925"/>
      <c r="BK81" s="925"/>
      <c r="BL81" s="925"/>
      <c r="BM81" s="925"/>
      <c r="BN81" s="925"/>
      <c r="BO81" s="925"/>
      <c r="BP81" s="925"/>
      <c r="BQ81" s="925"/>
      <c r="BR81" s="925"/>
      <c r="BS81" s="925"/>
      <c r="BT81" s="925"/>
      <c r="BU81" s="925"/>
      <c r="BV81" s="925"/>
      <c r="BW81" s="925"/>
      <c r="BX81" s="925"/>
      <c r="BY81" s="925"/>
      <c r="BZ81" s="925"/>
      <c r="CA81" s="925"/>
      <c r="CB81" s="925"/>
      <c r="CC81" s="925"/>
      <c r="CD81" s="925"/>
      <c r="CE81" s="925"/>
      <c r="CF81" s="925"/>
      <c r="CG81" s="925"/>
      <c r="CH81" s="925"/>
      <c r="CI81" s="925"/>
      <c r="CJ81" s="925"/>
      <c r="CK81" s="925"/>
      <c r="CL81" s="925"/>
      <c r="CM81" s="925"/>
      <c r="CN81" s="925"/>
      <c r="CO81" s="925"/>
      <c r="CP81" s="925"/>
      <c r="CQ81" s="925"/>
      <c r="CR81" s="925"/>
      <c r="CS81" s="925"/>
      <c r="CT81" s="925"/>
      <c r="CU81" s="925"/>
      <c r="CV81" s="925"/>
      <c r="CW81" s="925"/>
      <c r="CX81" s="925"/>
      <c r="CY81" s="925"/>
      <c r="CZ81" s="925"/>
      <c r="DA81" s="925"/>
      <c r="DB81" s="925"/>
      <c r="DC81" s="925"/>
      <c r="DD81" s="925"/>
      <c r="DE81" s="925"/>
      <c r="DF81" s="925"/>
      <c r="DG81" s="925"/>
      <c r="DH81" s="925"/>
      <c r="DI81" s="925"/>
      <c r="DJ81" s="925"/>
      <c r="DK81" s="925"/>
      <c r="DL81" s="925"/>
      <c r="DM81" s="925"/>
      <c r="DN81" s="925"/>
      <c r="DO81" s="925"/>
      <c r="DP81" s="925"/>
      <c r="DQ81" s="925"/>
      <c r="DR81" s="925"/>
      <c r="DS81" s="925"/>
      <c r="DT81" s="925"/>
      <c r="DU81" s="925"/>
      <c r="DV81" s="925"/>
      <c r="DW81" s="925"/>
      <c r="DX81" s="925"/>
      <c r="DY81" s="925"/>
      <c r="DZ81" s="925"/>
      <c r="EA81" s="925"/>
      <c r="EB81" s="925"/>
      <c r="EC81" s="925"/>
      <c r="ED81" s="925"/>
      <c r="EE81" s="925"/>
      <c r="EF81" s="925"/>
      <c r="EG81" s="446"/>
    </row>
    <row r="82" spans="1:137" ht="13" x14ac:dyDescent="0.15">
      <c r="A82" s="917"/>
      <c r="B82" s="917"/>
      <c r="C82" s="918"/>
      <c r="D82" s="919"/>
      <c r="E82" s="920"/>
      <c r="F82" s="921"/>
      <c r="G82" s="922"/>
      <c r="H82" s="922"/>
      <c r="I82" s="922"/>
      <c r="J82" s="923"/>
      <c r="K82" s="923"/>
      <c r="L82" s="924"/>
      <c r="M82" s="925"/>
      <c r="N82" s="925"/>
      <c r="O82" s="925"/>
      <c r="P82" s="925"/>
      <c r="Q82" s="925"/>
      <c r="R82" s="926"/>
      <c r="S82" s="926"/>
      <c r="T82" s="925"/>
      <c r="U82" s="925"/>
      <c r="V82" s="925"/>
      <c r="W82" s="925"/>
      <c r="X82" s="925"/>
      <c r="Y82" s="925"/>
      <c r="Z82" s="925"/>
      <c r="AA82" s="925"/>
      <c r="AB82" s="925"/>
      <c r="AC82" s="925"/>
      <c r="AD82" s="925"/>
      <c r="AE82" s="925"/>
      <c r="AF82" s="925"/>
      <c r="AG82" s="925"/>
      <c r="AH82" s="925"/>
      <c r="AI82" s="925"/>
      <c r="AJ82" s="925"/>
      <c r="AK82" s="925"/>
      <c r="AL82" s="925"/>
      <c r="AM82" s="925"/>
      <c r="AN82" s="925"/>
      <c r="AO82" s="925"/>
      <c r="AP82" s="925"/>
      <c r="AQ82" s="925"/>
      <c r="AR82" s="925"/>
      <c r="AS82" s="925"/>
      <c r="AT82" s="925"/>
      <c r="AU82" s="925"/>
      <c r="AV82" s="925"/>
      <c r="AW82" s="925"/>
      <c r="AX82" s="925"/>
      <c r="AY82" s="925"/>
      <c r="AZ82" s="925"/>
      <c r="BA82" s="925"/>
      <c r="BB82" s="925"/>
      <c r="BC82" s="925"/>
      <c r="BD82" s="925"/>
      <c r="BE82" s="925"/>
      <c r="BF82" s="925"/>
      <c r="BG82" s="925"/>
      <c r="BH82" s="925"/>
      <c r="BI82" s="925"/>
      <c r="BJ82" s="925"/>
      <c r="BK82" s="925"/>
      <c r="BL82" s="925"/>
      <c r="BM82" s="925"/>
      <c r="BN82" s="925"/>
      <c r="BO82" s="925"/>
      <c r="BP82" s="925"/>
      <c r="BQ82" s="925"/>
      <c r="BR82" s="925"/>
      <c r="BS82" s="925"/>
      <c r="BT82" s="925"/>
      <c r="BU82" s="925"/>
      <c r="BV82" s="925"/>
      <c r="BW82" s="925"/>
      <c r="BX82" s="925"/>
      <c r="BY82" s="925"/>
      <c r="BZ82" s="925"/>
      <c r="CA82" s="925"/>
      <c r="CB82" s="925"/>
      <c r="CC82" s="925"/>
      <c r="CD82" s="925"/>
      <c r="CE82" s="925"/>
      <c r="CF82" s="925"/>
      <c r="CG82" s="925"/>
      <c r="CH82" s="925"/>
      <c r="CI82" s="925"/>
      <c r="CJ82" s="925"/>
      <c r="CK82" s="925"/>
      <c r="CL82" s="925"/>
      <c r="CM82" s="925"/>
      <c r="CN82" s="925"/>
      <c r="CO82" s="925"/>
      <c r="CP82" s="925"/>
      <c r="CQ82" s="925"/>
      <c r="CR82" s="925"/>
      <c r="CS82" s="925"/>
      <c r="CT82" s="925"/>
      <c r="CU82" s="925"/>
      <c r="CV82" s="925"/>
      <c r="CW82" s="925"/>
      <c r="CX82" s="925"/>
      <c r="CY82" s="925"/>
      <c r="CZ82" s="925"/>
      <c r="DA82" s="925"/>
      <c r="DB82" s="925"/>
      <c r="DC82" s="925"/>
      <c r="DD82" s="925"/>
      <c r="DE82" s="925"/>
      <c r="DF82" s="925"/>
      <c r="DG82" s="925"/>
      <c r="DH82" s="925"/>
      <c r="DI82" s="925"/>
      <c r="DJ82" s="925"/>
      <c r="DK82" s="925"/>
      <c r="DL82" s="925"/>
      <c r="DM82" s="925"/>
      <c r="DN82" s="925"/>
      <c r="DO82" s="925"/>
      <c r="DP82" s="925"/>
      <c r="DQ82" s="925"/>
      <c r="DR82" s="925"/>
      <c r="DS82" s="925"/>
      <c r="DT82" s="925"/>
      <c r="DU82" s="925"/>
      <c r="DV82" s="925"/>
      <c r="DW82" s="925"/>
      <c r="DX82" s="925"/>
      <c r="DY82" s="925"/>
      <c r="DZ82" s="925"/>
      <c r="EA82" s="925"/>
      <c r="EB82" s="925"/>
      <c r="EC82" s="925"/>
      <c r="ED82" s="925"/>
      <c r="EE82" s="925"/>
      <c r="EF82" s="925"/>
      <c r="EG82" s="446"/>
    </row>
    <row r="83" spans="1:137" ht="13" x14ac:dyDescent="0.15">
      <c r="A83" s="917"/>
      <c r="B83" s="917"/>
      <c r="C83" s="918"/>
      <c r="D83" s="919"/>
      <c r="E83" s="920"/>
      <c r="F83" s="921"/>
      <c r="G83" s="922"/>
      <c r="H83" s="922"/>
      <c r="I83" s="922"/>
      <c r="J83" s="923"/>
      <c r="K83" s="923"/>
      <c r="L83" s="924"/>
      <c r="M83" s="925"/>
      <c r="N83" s="925"/>
      <c r="O83" s="925"/>
      <c r="P83" s="925"/>
      <c r="Q83" s="925"/>
      <c r="R83" s="926"/>
      <c r="S83" s="926"/>
      <c r="T83" s="925"/>
      <c r="U83" s="925"/>
      <c r="V83" s="925"/>
      <c r="W83" s="925"/>
      <c r="X83" s="925"/>
      <c r="Y83" s="925"/>
      <c r="Z83" s="925"/>
      <c r="AA83" s="925"/>
      <c r="AB83" s="925"/>
      <c r="AC83" s="925"/>
      <c r="AD83" s="925"/>
      <c r="AE83" s="925"/>
      <c r="AF83" s="925"/>
      <c r="AG83" s="925"/>
      <c r="AH83" s="925"/>
      <c r="AI83" s="925"/>
      <c r="AJ83" s="925"/>
      <c r="AK83" s="925"/>
      <c r="AL83" s="925"/>
      <c r="AM83" s="925"/>
      <c r="AN83" s="925"/>
      <c r="AO83" s="925"/>
      <c r="AP83" s="925"/>
      <c r="AQ83" s="925"/>
      <c r="AR83" s="925"/>
      <c r="AS83" s="925"/>
      <c r="AT83" s="925"/>
      <c r="AU83" s="925"/>
      <c r="AV83" s="925"/>
      <c r="AW83" s="925"/>
      <c r="AX83" s="925"/>
      <c r="AY83" s="925"/>
      <c r="AZ83" s="925"/>
      <c r="BA83" s="925"/>
      <c r="BB83" s="925"/>
      <c r="BC83" s="925"/>
      <c r="BD83" s="925"/>
      <c r="BE83" s="925"/>
      <c r="BF83" s="925"/>
      <c r="BG83" s="925"/>
      <c r="BH83" s="925"/>
      <c r="BI83" s="925"/>
      <c r="BJ83" s="925"/>
      <c r="BK83" s="925"/>
      <c r="BL83" s="925"/>
      <c r="BM83" s="925"/>
      <c r="BN83" s="925"/>
      <c r="BO83" s="925"/>
      <c r="BP83" s="925"/>
      <c r="BQ83" s="925"/>
      <c r="BR83" s="925"/>
      <c r="BS83" s="925"/>
      <c r="BT83" s="925"/>
      <c r="BU83" s="925"/>
      <c r="BV83" s="925"/>
      <c r="BW83" s="925"/>
      <c r="BX83" s="925"/>
      <c r="BY83" s="925"/>
      <c r="BZ83" s="925"/>
      <c r="CA83" s="925"/>
      <c r="CB83" s="925"/>
      <c r="CC83" s="925"/>
      <c r="CD83" s="925"/>
      <c r="CE83" s="925"/>
      <c r="CF83" s="925"/>
      <c r="CG83" s="925"/>
      <c r="CH83" s="925"/>
      <c r="CI83" s="925"/>
      <c r="CJ83" s="925"/>
      <c r="CK83" s="925"/>
      <c r="CL83" s="925"/>
      <c r="CM83" s="925"/>
      <c r="CN83" s="925"/>
      <c r="CO83" s="925"/>
      <c r="CP83" s="925"/>
      <c r="CQ83" s="925"/>
      <c r="CR83" s="925"/>
      <c r="CS83" s="925"/>
      <c r="CT83" s="925"/>
      <c r="CU83" s="925"/>
      <c r="CV83" s="925"/>
      <c r="CW83" s="925"/>
      <c r="CX83" s="925"/>
      <c r="CY83" s="925"/>
      <c r="CZ83" s="925"/>
      <c r="DA83" s="925"/>
      <c r="DB83" s="925"/>
      <c r="DC83" s="925"/>
      <c r="DD83" s="925"/>
      <c r="DE83" s="925"/>
      <c r="DF83" s="925"/>
      <c r="DG83" s="925"/>
      <c r="DH83" s="925"/>
      <c r="DI83" s="925"/>
      <c r="DJ83" s="925"/>
      <c r="DK83" s="925"/>
      <c r="DL83" s="925"/>
      <c r="DM83" s="925"/>
      <c r="DN83" s="925"/>
      <c r="DO83" s="925"/>
      <c r="DP83" s="925"/>
      <c r="DQ83" s="925"/>
      <c r="DR83" s="925"/>
      <c r="DS83" s="925"/>
      <c r="DT83" s="925"/>
      <c r="DU83" s="925"/>
      <c r="DV83" s="925"/>
      <c r="DW83" s="925"/>
      <c r="DX83" s="925"/>
      <c r="DY83" s="925"/>
      <c r="DZ83" s="925"/>
      <c r="EA83" s="925"/>
      <c r="EB83" s="925"/>
      <c r="EC83" s="925"/>
      <c r="ED83" s="925"/>
      <c r="EE83" s="925"/>
      <c r="EF83" s="925"/>
      <c r="EG83" s="446"/>
    </row>
    <row r="84" spans="1:137" ht="13" x14ac:dyDescent="0.15">
      <c r="A84" s="917"/>
      <c r="B84" s="917"/>
      <c r="C84" s="918"/>
      <c r="D84" s="919"/>
      <c r="E84" s="920"/>
      <c r="F84" s="921"/>
      <c r="G84" s="922"/>
      <c r="H84" s="922"/>
      <c r="I84" s="922"/>
      <c r="J84" s="923"/>
      <c r="K84" s="923"/>
      <c r="L84" s="924"/>
      <c r="M84" s="925"/>
      <c r="N84" s="925"/>
      <c r="O84" s="925"/>
      <c r="P84" s="925"/>
      <c r="Q84" s="925"/>
      <c r="R84" s="926"/>
      <c r="S84" s="926"/>
      <c r="T84" s="925"/>
      <c r="U84" s="925"/>
      <c r="V84" s="925"/>
      <c r="W84" s="925"/>
      <c r="X84" s="925"/>
      <c r="Y84" s="925"/>
      <c r="Z84" s="925"/>
      <c r="AA84" s="925"/>
      <c r="AB84" s="925"/>
      <c r="AC84" s="925"/>
      <c r="AD84" s="925"/>
      <c r="AE84" s="925"/>
      <c r="AF84" s="925"/>
      <c r="AG84" s="925"/>
      <c r="AH84" s="925"/>
      <c r="AI84" s="925"/>
      <c r="AJ84" s="925"/>
      <c r="AK84" s="925"/>
      <c r="AL84" s="925"/>
      <c r="AM84" s="925"/>
      <c r="AN84" s="925"/>
      <c r="AO84" s="925"/>
      <c r="AP84" s="925"/>
      <c r="AQ84" s="925"/>
      <c r="AR84" s="925"/>
      <c r="AS84" s="925"/>
      <c r="AT84" s="925"/>
      <c r="AU84" s="925"/>
      <c r="AV84" s="925"/>
      <c r="AW84" s="925"/>
      <c r="AX84" s="925"/>
      <c r="AY84" s="925"/>
      <c r="AZ84" s="925"/>
      <c r="BA84" s="925"/>
      <c r="BB84" s="925"/>
      <c r="BC84" s="925"/>
      <c r="BD84" s="925"/>
      <c r="BE84" s="925"/>
      <c r="BF84" s="925"/>
      <c r="BG84" s="925"/>
      <c r="BH84" s="925"/>
      <c r="BI84" s="925"/>
      <c r="BJ84" s="925"/>
      <c r="BK84" s="925"/>
      <c r="BL84" s="925"/>
      <c r="BM84" s="925"/>
      <c r="BN84" s="925"/>
      <c r="BO84" s="925"/>
      <c r="BP84" s="925"/>
      <c r="BQ84" s="925"/>
      <c r="BR84" s="925"/>
      <c r="BS84" s="925"/>
      <c r="BT84" s="925"/>
      <c r="BU84" s="925"/>
      <c r="BV84" s="925"/>
      <c r="BW84" s="925"/>
      <c r="BX84" s="925"/>
      <c r="BY84" s="925"/>
      <c r="BZ84" s="925"/>
      <c r="CA84" s="925"/>
      <c r="CB84" s="925"/>
      <c r="CC84" s="925"/>
      <c r="CD84" s="925"/>
      <c r="CE84" s="925"/>
      <c r="CF84" s="925"/>
      <c r="CG84" s="925"/>
      <c r="CH84" s="925"/>
      <c r="CI84" s="925"/>
      <c r="CJ84" s="925"/>
      <c r="CK84" s="925"/>
      <c r="CL84" s="925"/>
      <c r="CM84" s="925"/>
      <c r="CN84" s="925"/>
      <c r="CO84" s="925"/>
      <c r="CP84" s="925"/>
      <c r="CQ84" s="925"/>
      <c r="CR84" s="925"/>
      <c r="CS84" s="925"/>
      <c r="CT84" s="925"/>
      <c r="CU84" s="925"/>
      <c r="CV84" s="925"/>
      <c r="CW84" s="925"/>
      <c r="CX84" s="925"/>
      <c r="CY84" s="925"/>
      <c r="CZ84" s="925"/>
      <c r="DA84" s="925"/>
      <c r="DB84" s="925"/>
      <c r="DC84" s="925"/>
      <c r="DD84" s="925"/>
      <c r="DE84" s="925"/>
      <c r="DF84" s="925"/>
      <c r="DG84" s="925"/>
      <c r="DH84" s="925"/>
      <c r="DI84" s="925"/>
      <c r="DJ84" s="925"/>
      <c r="DK84" s="925"/>
      <c r="DL84" s="925"/>
      <c r="DM84" s="925"/>
      <c r="DN84" s="925"/>
      <c r="DO84" s="925"/>
      <c r="DP84" s="925"/>
      <c r="DQ84" s="925"/>
      <c r="DR84" s="925"/>
      <c r="DS84" s="925"/>
      <c r="DT84" s="925"/>
      <c r="DU84" s="925"/>
      <c r="DV84" s="925"/>
      <c r="DW84" s="925"/>
      <c r="DX84" s="925"/>
      <c r="DY84" s="925"/>
      <c r="DZ84" s="925"/>
      <c r="EA84" s="925"/>
      <c r="EB84" s="925"/>
      <c r="EC84" s="925"/>
      <c r="ED84" s="925"/>
      <c r="EE84" s="925"/>
      <c r="EF84" s="925"/>
      <c r="EG84" s="446"/>
    </row>
    <row r="85" spans="1:137" ht="13" x14ac:dyDescent="0.15">
      <c r="A85" s="917"/>
      <c r="B85" s="917"/>
      <c r="C85" s="918"/>
      <c r="D85" s="919"/>
      <c r="E85" s="920"/>
      <c r="F85" s="921"/>
      <c r="G85" s="922"/>
      <c r="H85" s="922"/>
      <c r="I85" s="922"/>
      <c r="J85" s="923"/>
      <c r="K85" s="923"/>
      <c r="L85" s="924"/>
      <c r="M85" s="925"/>
      <c r="N85" s="925"/>
      <c r="O85" s="925"/>
      <c r="P85" s="925"/>
      <c r="Q85" s="925"/>
      <c r="R85" s="926"/>
      <c r="S85" s="926"/>
      <c r="T85" s="925"/>
      <c r="U85" s="925"/>
      <c r="V85" s="925"/>
      <c r="W85" s="925"/>
      <c r="X85" s="925"/>
      <c r="Y85" s="925"/>
      <c r="Z85" s="925"/>
      <c r="AA85" s="925"/>
      <c r="AB85" s="925"/>
      <c r="AC85" s="925"/>
      <c r="AD85" s="925"/>
      <c r="AE85" s="925"/>
      <c r="AF85" s="925"/>
      <c r="AG85" s="925"/>
      <c r="AH85" s="925"/>
      <c r="AI85" s="925"/>
      <c r="AJ85" s="925"/>
      <c r="AK85" s="925"/>
      <c r="AL85" s="925"/>
      <c r="AM85" s="925"/>
      <c r="AN85" s="925"/>
      <c r="AO85" s="925"/>
      <c r="AP85" s="925"/>
      <c r="AQ85" s="925"/>
      <c r="AR85" s="925"/>
      <c r="AS85" s="925"/>
      <c r="AT85" s="925"/>
      <c r="AU85" s="925"/>
      <c r="AV85" s="925"/>
      <c r="AW85" s="925"/>
      <c r="AX85" s="925"/>
      <c r="AY85" s="925"/>
      <c r="AZ85" s="925"/>
      <c r="BA85" s="925"/>
      <c r="BB85" s="925"/>
      <c r="BC85" s="925"/>
      <c r="BD85" s="925"/>
      <c r="BE85" s="925"/>
      <c r="BF85" s="925"/>
      <c r="BG85" s="925"/>
      <c r="BH85" s="925"/>
      <c r="BI85" s="925"/>
      <c r="BJ85" s="925"/>
      <c r="BK85" s="925"/>
      <c r="BL85" s="925"/>
      <c r="BM85" s="925"/>
      <c r="BN85" s="925"/>
      <c r="BO85" s="925"/>
      <c r="BP85" s="925"/>
      <c r="BQ85" s="925"/>
      <c r="BR85" s="925"/>
      <c r="BS85" s="925"/>
      <c r="BT85" s="925"/>
      <c r="BU85" s="925"/>
      <c r="BV85" s="925"/>
      <c r="BW85" s="925"/>
      <c r="BX85" s="925"/>
      <c r="BY85" s="925"/>
      <c r="BZ85" s="925"/>
      <c r="CA85" s="925"/>
      <c r="CB85" s="925"/>
      <c r="CC85" s="925"/>
      <c r="CD85" s="925"/>
      <c r="CE85" s="925"/>
      <c r="CF85" s="925"/>
      <c r="CG85" s="925"/>
      <c r="CH85" s="925"/>
      <c r="CI85" s="925"/>
      <c r="CJ85" s="925"/>
      <c r="CK85" s="925"/>
      <c r="CL85" s="925"/>
      <c r="CM85" s="925"/>
      <c r="CN85" s="925"/>
      <c r="CO85" s="925"/>
      <c r="CP85" s="925"/>
      <c r="CQ85" s="925"/>
      <c r="CR85" s="925"/>
      <c r="CS85" s="925"/>
      <c r="CT85" s="925"/>
      <c r="CU85" s="925"/>
      <c r="CV85" s="925"/>
      <c r="CW85" s="925"/>
      <c r="CX85" s="925"/>
      <c r="CY85" s="925"/>
      <c r="CZ85" s="925"/>
      <c r="DA85" s="925"/>
      <c r="DB85" s="925"/>
      <c r="DC85" s="925"/>
      <c r="DD85" s="925"/>
      <c r="DE85" s="925"/>
      <c r="DF85" s="925"/>
      <c r="DG85" s="925"/>
      <c r="DH85" s="925"/>
      <c r="DI85" s="925"/>
      <c r="DJ85" s="925"/>
      <c r="DK85" s="925"/>
      <c r="DL85" s="925"/>
      <c r="DM85" s="925"/>
      <c r="DN85" s="925"/>
      <c r="DO85" s="925"/>
      <c r="DP85" s="925"/>
      <c r="DQ85" s="925"/>
      <c r="DR85" s="925"/>
      <c r="DS85" s="925"/>
      <c r="DT85" s="925"/>
      <c r="DU85" s="925"/>
      <c r="DV85" s="925"/>
      <c r="DW85" s="925"/>
      <c r="DX85" s="925"/>
      <c r="DY85" s="925"/>
      <c r="DZ85" s="925"/>
      <c r="EA85" s="925"/>
      <c r="EB85" s="925"/>
      <c r="EC85" s="925"/>
      <c r="ED85" s="925"/>
      <c r="EE85" s="925"/>
      <c r="EF85" s="925"/>
      <c r="EG85" s="446"/>
    </row>
    <row r="86" spans="1:137" ht="13" x14ac:dyDescent="0.15">
      <c r="A86" s="917"/>
      <c r="B86" s="917"/>
      <c r="C86" s="918"/>
      <c r="D86" s="919"/>
      <c r="E86" s="920"/>
      <c r="F86" s="921"/>
      <c r="G86" s="922"/>
      <c r="H86" s="922"/>
      <c r="I86" s="922"/>
      <c r="J86" s="923"/>
      <c r="K86" s="923"/>
      <c r="L86" s="924"/>
      <c r="M86" s="925"/>
      <c r="N86" s="925"/>
      <c r="O86" s="925"/>
      <c r="P86" s="925"/>
      <c r="Q86" s="925"/>
      <c r="R86" s="926"/>
      <c r="S86" s="926"/>
      <c r="T86" s="925"/>
      <c r="U86" s="925"/>
      <c r="V86" s="925"/>
      <c r="W86" s="925"/>
      <c r="X86" s="925"/>
      <c r="Y86" s="925"/>
      <c r="Z86" s="925"/>
      <c r="AA86" s="925"/>
      <c r="AB86" s="925"/>
      <c r="AC86" s="925"/>
      <c r="AD86" s="925"/>
      <c r="AE86" s="925"/>
      <c r="AF86" s="925"/>
      <c r="AG86" s="925"/>
      <c r="AH86" s="925"/>
      <c r="AI86" s="925"/>
      <c r="AJ86" s="925"/>
      <c r="AK86" s="925"/>
      <c r="AL86" s="925"/>
      <c r="AM86" s="925"/>
      <c r="AN86" s="925"/>
      <c r="AO86" s="925"/>
      <c r="AP86" s="925"/>
      <c r="AQ86" s="925"/>
      <c r="AR86" s="925"/>
      <c r="AS86" s="925"/>
      <c r="AT86" s="925"/>
      <c r="AU86" s="925"/>
      <c r="AV86" s="925"/>
      <c r="AW86" s="925"/>
      <c r="AX86" s="925"/>
      <c r="AY86" s="925"/>
      <c r="AZ86" s="925"/>
      <c r="BA86" s="925"/>
      <c r="BB86" s="925"/>
      <c r="BC86" s="925"/>
      <c r="BD86" s="925"/>
      <c r="BE86" s="925"/>
      <c r="BF86" s="925"/>
      <c r="BG86" s="925"/>
      <c r="BH86" s="925"/>
      <c r="BI86" s="925"/>
      <c r="BJ86" s="925"/>
      <c r="BK86" s="925"/>
      <c r="BL86" s="925"/>
      <c r="BM86" s="925"/>
      <c r="BN86" s="925"/>
      <c r="BO86" s="925"/>
      <c r="BP86" s="925"/>
      <c r="BQ86" s="925"/>
      <c r="BR86" s="925"/>
      <c r="BS86" s="925"/>
      <c r="BT86" s="925"/>
      <c r="BU86" s="925"/>
      <c r="BV86" s="925"/>
      <c r="BW86" s="925"/>
      <c r="BX86" s="925"/>
      <c r="BY86" s="925"/>
      <c r="BZ86" s="925"/>
      <c r="CA86" s="925"/>
      <c r="CB86" s="925"/>
      <c r="CC86" s="925"/>
      <c r="CD86" s="925"/>
      <c r="CE86" s="925"/>
      <c r="CF86" s="925"/>
      <c r="CG86" s="925"/>
      <c r="CH86" s="925"/>
      <c r="CI86" s="925"/>
      <c r="CJ86" s="925"/>
      <c r="CK86" s="925"/>
      <c r="CL86" s="925"/>
      <c r="CM86" s="925"/>
      <c r="CN86" s="925"/>
      <c r="CO86" s="925"/>
      <c r="CP86" s="925"/>
      <c r="CQ86" s="925"/>
      <c r="CR86" s="925"/>
      <c r="CS86" s="925"/>
      <c r="CT86" s="925"/>
      <c r="CU86" s="925"/>
      <c r="CV86" s="925"/>
      <c r="CW86" s="925"/>
      <c r="CX86" s="925"/>
      <c r="CY86" s="925"/>
      <c r="CZ86" s="925"/>
      <c r="DA86" s="925"/>
      <c r="DB86" s="925"/>
      <c r="DC86" s="925"/>
      <c r="DD86" s="925"/>
      <c r="DE86" s="925"/>
      <c r="DF86" s="925"/>
      <c r="DG86" s="925"/>
      <c r="DH86" s="925"/>
      <c r="DI86" s="925"/>
      <c r="DJ86" s="925"/>
      <c r="DK86" s="925"/>
      <c r="DL86" s="925"/>
      <c r="DM86" s="925"/>
      <c r="DN86" s="925"/>
      <c r="DO86" s="925"/>
      <c r="DP86" s="925"/>
      <c r="DQ86" s="925"/>
      <c r="DR86" s="925"/>
      <c r="DS86" s="925"/>
      <c r="DT86" s="925"/>
      <c r="DU86" s="925"/>
      <c r="DV86" s="925"/>
      <c r="DW86" s="925"/>
      <c r="DX86" s="925"/>
      <c r="DY86" s="925"/>
      <c r="DZ86" s="925"/>
      <c r="EA86" s="925"/>
      <c r="EB86" s="925"/>
      <c r="EC86" s="925"/>
      <c r="ED86" s="925"/>
      <c r="EE86" s="925"/>
      <c r="EF86" s="925"/>
      <c r="EG86" s="446"/>
    </row>
    <row r="87" spans="1:137" ht="13" x14ac:dyDescent="0.15">
      <c r="A87" s="917"/>
      <c r="B87" s="917"/>
      <c r="C87" s="918"/>
      <c r="D87" s="919"/>
      <c r="E87" s="920"/>
      <c r="F87" s="921"/>
      <c r="G87" s="922"/>
      <c r="H87" s="922"/>
      <c r="I87" s="922"/>
      <c r="J87" s="923"/>
      <c r="K87" s="923"/>
      <c r="L87" s="924"/>
      <c r="M87" s="925"/>
      <c r="N87" s="925"/>
      <c r="O87" s="925"/>
      <c r="P87" s="925"/>
      <c r="Q87" s="925"/>
      <c r="R87" s="926"/>
      <c r="S87" s="926"/>
      <c r="T87" s="925"/>
      <c r="U87" s="925"/>
      <c r="V87" s="925"/>
      <c r="W87" s="925"/>
      <c r="X87" s="925"/>
      <c r="Y87" s="925"/>
      <c r="Z87" s="925"/>
      <c r="AA87" s="925"/>
      <c r="AB87" s="925"/>
      <c r="AC87" s="925"/>
      <c r="AD87" s="925"/>
      <c r="AE87" s="925"/>
      <c r="AF87" s="925"/>
      <c r="AG87" s="925"/>
      <c r="AH87" s="925"/>
      <c r="AI87" s="925"/>
      <c r="AJ87" s="925"/>
      <c r="AK87" s="925"/>
      <c r="AL87" s="925"/>
      <c r="AM87" s="925"/>
      <c r="AN87" s="925"/>
      <c r="AO87" s="925"/>
      <c r="AP87" s="925"/>
      <c r="AQ87" s="925"/>
      <c r="AR87" s="925"/>
      <c r="AS87" s="925"/>
      <c r="AT87" s="925"/>
      <c r="AU87" s="925"/>
      <c r="AV87" s="925"/>
      <c r="AW87" s="925"/>
      <c r="AX87" s="925"/>
      <c r="AY87" s="925"/>
      <c r="AZ87" s="925"/>
      <c r="BA87" s="925"/>
      <c r="BB87" s="925"/>
      <c r="BC87" s="925"/>
      <c r="BD87" s="925"/>
      <c r="BE87" s="925"/>
      <c r="BF87" s="925"/>
      <c r="BG87" s="925"/>
      <c r="BH87" s="925"/>
      <c r="BI87" s="925"/>
      <c r="BJ87" s="925"/>
      <c r="BK87" s="925"/>
      <c r="BL87" s="925"/>
      <c r="BM87" s="925"/>
      <c r="BN87" s="925"/>
      <c r="BO87" s="925"/>
      <c r="BP87" s="925"/>
      <c r="BQ87" s="925"/>
      <c r="BR87" s="925"/>
      <c r="BS87" s="925"/>
      <c r="BT87" s="925"/>
      <c r="BU87" s="925"/>
      <c r="BV87" s="925"/>
      <c r="BW87" s="925"/>
      <c r="BX87" s="925"/>
      <c r="BY87" s="925"/>
      <c r="BZ87" s="925"/>
      <c r="CA87" s="925"/>
      <c r="CB87" s="925"/>
      <c r="CC87" s="925"/>
      <c r="CD87" s="925"/>
      <c r="CE87" s="925"/>
      <c r="CF87" s="925"/>
      <c r="CG87" s="925"/>
      <c r="CH87" s="925"/>
      <c r="CI87" s="925"/>
      <c r="CJ87" s="925"/>
      <c r="CK87" s="925"/>
      <c r="CL87" s="925"/>
      <c r="CM87" s="925"/>
      <c r="CN87" s="925"/>
      <c r="CO87" s="925"/>
      <c r="CP87" s="925"/>
      <c r="CQ87" s="925"/>
      <c r="CR87" s="925"/>
      <c r="CS87" s="925"/>
      <c r="CT87" s="925"/>
      <c r="CU87" s="925"/>
      <c r="CV87" s="925"/>
      <c r="CW87" s="925"/>
      <c r="CX87" s="925"/>
      <c r="CY87" s="925"/>
      <c r="CZ87" s="925"/>
      <c r="DA87" s="925"/>
      <c r="DB87" s="925"/>
      <c r="DC87" s="925"/>
      <c r="DD87" s="925"/>
      <c r="DE87" s="925"/>
      <c r="DF87" s="925"/>
      <c r="DG87" s="925"/>
      <c r="DH87" s="925"/>
      <c r="DI87" s="925"/>
      <c r="DJ87" s="925"/>
      <c r="DK87" s="925"/>
      <c r="DL87" s="925"/>
      <c r="DM87" s="925"/>
      <c r="DN87" s="925"/>
      <c r="DO87" s="925"/>
      <c r="DP87" s="925"/>
      <c r="DQ87" s="925"/>
      <c r="DR87" s="925"/>
      <c r="DS87" s="925"/>
      <c r="DT87" s="925"/>
      <c r="DU87" s="925"/>
      <c r="DV87" s="925"/>
      <c r="DW87" s="925"/>
      <c r="DX87" s="925"/>
      <c r="DY87" s="925"/>
      <c r="DZ87" s="925"/>
      <c r="EA87" s="925"/>
      <c r="EB87" s="925"/>
      <c r="EC87" s="925"/>
      <c r="ED87" s="925"/>
      <c r="EE87" s="925"/>
      <c r="EF87" s="925"/>
      <c r="EG87" s="446"/>
    </row>
    <row r="88" spans="1:137" ht="13" x14ac:dyDescent="0.15">
      <c r="A88" s="917"/>
      <c r="B88" s="917"/>
      <c r="C88" s="918"/>
      <c r="D88" s="919"/>
      <c r="E88" s="920"/>
      <c r="F88" s="921"/>
      <c r="G88" s="922"/>
      <c r="H88" s="922"/>
      <c r="I88" s="922"/>
      <c r="J88" s="923"/>
      <c r="K88" s="923"/>
      <c r="L88" s="924"/>
      <c r="M88" s="925"/>
      <c r="N88" s="925"/>
      <c r="O88" s="925"/>
      <c r="P88" s="925"/>
      <c r="Q88" s="925"/>
      <c r="R88" s="926"/>
      <c r="S88" s="926"/>
      <c r="T88" s="925"/>
      <c r="U88" s="925"/>
      <c r="V88" s="925"/>
      <c r="W88" s="925"/>
      <c r="X88" s="925"/>
      <c r="Y88" s="925"/>
      <c r="Z88" s="925"/>
      <c r="AA88" s="925"/>
      <c r="AB88" s="925"/>
      <c r="AC88" s="925"/>
      <c r="AD88" s="925"/>
      <c r="AE88" s="925"/>
      <c r="AF88" s="925"/>
      <c r="AG88" s="925"/>
      <c r="AH88" s="925"/>
      <c r="AI88" s="925"/>
      <c r="AJ88" s="925"/>
      <c r="AK88" s="925"/>
      <c r="AL88" s="925"/>
      <c r="AM88" s="925"/>
      <c r="AN88" s="925"/>
      <c r="AO88" s="925"/>
      <c r="AP88" s="925"/>
      <c r="AQ88" s="925"/>
      <c r="AR88" s="925"/>
      <c r="AS88" s="925"/>
      <c r="AT88" s="925"/>
      <c r="AU88" s="925"/>
      <c r="AV88" s="925"/>
      <c r="AW88" s="925"/>
      <c r="AX88" s="925"/>
      <c r="AY88" s="925"/>
      <c r="AZ88" s="925"/>
      <c r="BA88" s="925"/>
      <c r="BB88" s="925"/>
      <c r="BC88" s="925"/>
      <c r="BD88" s="925"/>
      <c r="BE88" s="925"/>
      <c r="BF88" s="925"/>
      <c r="BG88" s="925"/>
      <c r="BH88" s="925"/>
      <c r="BI88" s="925"/>
      <c r="BJ88" s="925"/>
      <c r="BK88" s="925"/>
      <c r="BL88" s="925"/>
      <c r="BM88" s="925"/>
      <c r="BN88" s="925"/>
      <c r="BO88" s="925"/>
      <c r="BP88" s="925"/>
      <c r="BQ88" s="925"/>
      <c r="BR88" s="925"/>
      <c r="BS88" s="925"/>
      <c r="BT88" s="925"/>
      <c r="BU88" s="925"/>
      <c r="BV88" s="925"/>
      <c r="BW88" s="925"/>
      <c r="BX88" s="925"/>
      <c r="BY88" s="925"/>
      <c r="BZ88" s="925"/>
      <c r="CA88" s="925"/>
      <c r="CB88" s="925"/>
      <c r="CC88" s="925"/>
      <c r="CD88" s="925"/>
      <c r="CE88" s="925"/>
      <c r="CF88" s="925"/>
      <c r="CG88" s="925"/>
      <c r="CH88" s="925"/>
      <c r="CI88" s="925"/>
      <c r="CJ88" s="925"/>
      <c r="CK88" s="925"/>
      <c r="CL88" s="925"/>
      <c r="CM88" s="925"/>
      <c r="CN88" s="925"/>
      <c r="CO88" s="925"/>
      <c r="CP88" s="925"/>
      <c r="CQ88" s="925"/>
      <c r="CR88" s="925"/>
      <c r="CS88" s="925"/>
      <c r="CT88" s="925"/>
      <c r="CU88" s="925"/>
      <c r="CV88" s="925"/>
      <c r="CW88" s="925"/>
      <c r="CX88" s="925"/>
      <c r="CY88" s="925"/>
      <c r="CZ88" s="925"/>
      <c r="DA88" s="925"/>
      <c r="DB88" s="925"/>
      <c r="DC88" s="925"/>
      <c r="DD88" s="925"/>
      <c r="DE88" s="925"/>
      <c r="DF88" s="925"/>
      <c r="DG88" s="925"/>
      <c r="DH88" s="925"/>
      <c r="DI88" s="925"/>
      <c r="DJ88" s="925"/>
      <c r="DK88" s="925"/>
      <c r="DL88" s="925"/>
      <c r="DM88" s="925"/>
      <c r="DN88" s="925"/>
      <c r="DO88" s="925"/>
      <c r="DP88" s="925"/>
      <c r="DQ88" s="925"/>
      <c r="DR88" s="925"/>
      <c r="DS88" s="925"/>
      <c r="DT88" s="925"/>
      <c r="DU88" s="925"/>
      <c r="DV88" s="925"/>
      <c r="DW88" s="925"/>
      <c r="DX88" s="925"/>
      <c r="DY88" s="925"/>
      <c r="DZ88" s="925"/>
      <c r="EA88" s="925"/>
      <c r="EB88" s="925"/>
      <c r="EC88" s="925"/>
      <c r="ED88" s="925"/>
      <c r="EE88" s="925"/>
      <c r="EF88" s="925"/>
      <c r="EG88" s="446"/>
    </row>
    <row r="89" spans="1:137" ht="13" x14ac:dyDescent="0.15">
      <c r="A89" s="917"/>
      <c r="B89" s="917"/>
      <c r="C89" s="918"/>
      <c r="D89" s="919"/>
      <c r="E89" s="920"/>
      <c r="F89" s="921"/>
      <c r="G89" s="922"/>
      <c r="H89" s="922"/>
      <c r="I89" s="922"/>
      <c r="J89" s="923"/>
      <c r="K89" s="923"/>
      <c r="L89" s="924"/>
      <c r="M89" s="925"/>
      <c r="N89" s="925"/>
      <c r="O89" s="925"/>
      <c r="P89" s="925"/>
      <c r="Q89" s="925"/>
      <c r="R89" s="926"/>
      <c r="S89" s="926"/>
      <c r="T89" s="925"/>
      <c r="U89" s="925"/>
      <c r="V89" s="925"/>
      <c r="W89" s="925"/>
      <c r="X89" s="925"/>
      <c r="Y89" s="925"/>
      <c r="Z89" s="925"/>
      <c r="AA89" s="925"/>
      <c r="AB89" s="925"/>
      <c r="AC89" s="925"/>
      <c r="AD89" s="925"/>
      <c r="AE89" s="925"/>
      <c r="AF89" s="925"/>
      <c r="AG89" s="925"/>
      <c r="AH89" s="925"/>
      <c r="AI89" s="925"/>
      <c r="AJ89" s="925"/>
      <c r="AK89" s="925"/>
      <c r="AL89" s="925"/>
      <c r="AM89" s="925"/>
      <c r="AN89" s="925"/>
      <c r="AO89" s="925"/>
      <c r="AP89" s="925"/>
      <c r="AQ89" s="925"/>
      <c r="AR89" s="925"/>
      <c r="AS89" s="925"/>
      <c r="AT89" s="925"/>
      <c r="AU89" s="925"/>
      <c r="AV89" s="925"/>
      <c r="AW89" s="925"/>
      <c r="AX89" s="925"/>
      <c r="AY89" s="925"/>
      <c r="AZ89" s="925"/>
      <c r="BA89" s="925"/>
      <c r="BB89" s="925"/>
      <c r="BC89" s="925"/>
      <c r="BD89" s="925"/>
      <c r="BE89" s="925"/>
      <c r="BF89" s="925"/>
      <c r="BG89" s="925"/>
      <c r="BH89" s="925"/>
      <c r="BI89" s="925"/>
      <c r="BJ89" s="925"/>
      <c r="BK89" s="925"/>
      <c r="BL89" s="925"/>
      <c r="BM89" s="925"/>
      <c r="BN89" s="925"/>
      <c r="BO89" s="925"/>
      <c r="BP89" s="925"/>
      <c r="BQ89" s="925"/>
      <c r="BR89" s="925"/>
      <c r="BS89" s="925"/>
      <c r="BT89" s="925"/>
      <c r="BU89" s="925"/>
      <c r="BV89" s="925"/>
      <c r="BW89" s="925"/>
      <c r="BX89" s="925"/>
      <c r="BY89" s="925"/>
      <c r="BZ89" s="925"/>
      <c r="CA89" s="925"/>
      <c r="CB89" s="925"/>
      <c r="CC89" s="925"/>
      <c r="CD89" s="925"/>
      <c r="CE89" s="925"/>
      <c r="CF89" s="925"/>
      <c r="CG89" s="925"/>
      <c r="CH89" s="925"/>
      <c r="CI89" s="925"/>
      <c r="CJ89" s="925"/>
      <c r="CK89" s="925"/>
      <c r="CL89" s="925"/>
      <c r="CM89" s="925"/>
      <c r="CN89" s="925"/>
      <c r="CO89" s="925"/>
      <c r="CP89" s="925"/>
      <c r="CQ89" s="925"/>
      <c r="CR89" s="925"/>
      <c r="CS89" s="925"/>
      <c r="CT89" s="925"/>
      <c r="CU89" s="925"/>
      <c r="CV89" s="925"/>
      <c r="CW89" s="925"/>
      <c r="CX89" s="925"/>
      <c r="CY89" s="925"/>
      <c r="CZ89" s="925"/>
      <c r="DA89" s="925"/>
      <c r="DB89" s="925"/>
      <c r="DC89" s="925"/>
      <c r="DD89" s="925"/>
      <c r="DE89" s="925"/>
      <c r="DF89" s="925"/>
      <c r="DG89" s="925"/>
      <c r="DH89" s="925"/>
      <c r="DI89" s="925"/>
      <c r="DJ89" s="925"/>
      <c r="DK89" s="925"/>
      <c r="DL89" s="925"/>
      <c r="DM89" s="925"/>
      <c r="DN89" s="925"/>
      <c r="DO89" s="925"/>
      <c r="DP89" s="925"/>
      <c r="DQ89" s="925"/>
      <c r="DR89" s="925"/>
      <c r="DS89" s="925"/>
      <c r="DT89" s="925"/>
      <c r="DU89" s="925"/>
      <c r="DV89" s="925"/>
      <c r="DW89" s="925"/>
      <c r="DX89" s="925"/>
      <c r="DY89" s="925"/>
      <c r="DZ89" s="925"/>
      <c r="EA89" s="925"/>
      <c r="EB89" s="925"/>
      <c r="EC89" s="925"/>
      <c r="ED89" s="925"/>
      <c r="EE89" s="925"/>
      <c r="EF89" s="925"/>
      <c r="EG89" s="446"/>
    </row>
    <row r="90" spans="1:137" ht="13" x14ac:dyDescent="0.15">
      <c r="A90" s="917"/>
      <c r="B90" s="917"/>
      <c r="C90" s="918"/>
      <c r="D90" s="919"/>
      <c r="E90" s="920"/>
      <c r="F90" s="921"/>
      <c r="G90" s="922"/>
      <c r="H90" s="922"/>
      <c r="I90" s="922"/>
      <c r="J90" s="923"/>
      <c r="K90" s="923"/>
      <c r="L90" s="924"/>
      <c r="M90" s="925"/>
      <c r="N90" s="925"/>
      <c r="O90" s="925"/>
      <c r="P90" s="925"/>
      <c r="Q90" s="925"/>
      <c r="R90" s="926"/>
      <c r="S90" s="926"/>
      <c r="T90" s="925"/>
      <c r="U90" s="925"/>
      <c r="V90" s="925"/>
      <c r="W90" s="925"/>
      <c r="X90" s="925"/>
      <c r="Y90" s="925"/>
      <c r="Z90" s="925"/>
      <c r="AA90" s="925"/>
      <c r="AB90" s="925"/>
      <c r="AC90" s="925"/>
      <c r="AD90" s="925"/>
      <c r="AE90" s="925"/>
      <c r="AF90" s="925"/>
      <c r="AG90" s="925"/>
      <c r="AH90" s="925"/>
      <c r="AI90" s="925"/>
      <c r="AJ90" s="925"/>
      <c r="AK90" s="925"/>
      <c r="AL90" s="925"/>
      <c r="AM90" s="925"/>
      <c r="AN90" s="925"/>
      <c r="AO90" s="925"/>
      <c r="AP90" s="925"/>
      <c r="AQ90" s="925"/>
      <c r="AR90" s="925"/>
      <c r="AS90" s="925"/>
      <c r="AT90" s="925"/>
      <c r="AU90" s="925"/>
      <c r="AV90" s="925"/>
      <c r="AW90" s="925"/>
      <c r="AX90" s="925"/>
      <c r="AY90" s="925"/>
      <c r="AZ90" s="925"/>
      <c r="BA90" s="925"/>
      <c r="BB90" s="925"/>
      <c r="BC90" s="925"/>
      <c r="BD90" s="925"/>
      <c r="BE90" s="925"/>
      <c r="BF90" s="925"/>
      <c r="BG90" s="925"/>
      <c r="BH90" s="925"/>
      <c r="BI90" s="925"/>
      <c r="BJ90" s="925"/>
      <c r="BK90" s="925"/>
      <c r="BL90" s="925"/>
      <c r="BM90" s="925"/>
      <c r="BN90" s="925"/>
      <c r="BO90" s="925"/>
      <c r="BP90" s="925"/>
      <c r="BQ90" s="925"/>
      <c r="BR90" s="925"/>
      <c r="BS90" s="925"/>
      <c r="BT90" s="925"/>
      <c r="BU90" s="925"/>
      <c r="BV90" s="925"/>
      <c r="BW90" s="925"/>
      <c r="BX90" s="925"/>
      <c r="BY90" s="925"/>
      <c r="BZ90" s="925"/>
      <c r="CA90" s="925"/>
      <c r="CB90" s="925"/>
      <c r="CC90" s="925"/>
      <c r="CD90" s="925"/>
      <c r="CE90" s="925"/>
      <c r="CF90" s="925"/>
      <c r="CG90" s="925"/>
      <c r="CH90" s="925"/>
      <c r="CI90" s="925"/>
      <c r="CJ90" s="925"/>
      <c r="CK90" s="925"/>
      <c r="CL90" s="925"/>
      <c r="CM90" s="925"/>
      <c r="CN90" s="925"/>
      <c r="CO90" s="925"/>
      <c r="CP90" s="925"/>
      <c r="CQ90" s="925"/>
      <c r="CR90" s="925"/>
      <c r="CS90" s="925"/>
      <c r="CT90" s="925"/>
      <c r="CU90" s="925"/>
      <c r="CV90" s="925"/>
      <c r="CW90" s="925"/>
      <c r="CX90" s="925"/>
      <c r="CY90" s="925"/>
      <c r="CZ90" s="925"/>
      <c r="DA90" s="925"/>
      <c r="DB90" s="925"/>
      <c r="DC90" s="925"/>
      <c r="DD90" s="925"/>
      <c r="DE90" s="925"/>
      <c r="DF90" s="925"/>
      <c r="DG90" s="925"/>
      <c r="DH90" s="925"/>
      <c r="DI90" s="925"/>
      <c r="DJ90" s="925"/>
      <c r="DK90" s="925"/>
      <c r="DL90" s="925"/>
      <c r="DM90" s="925"/>
      <c r="DN90" s="925"/>
      <c r="DO90" s="925"/>
      <c r="DP90" s="925"/>
      <c r="DQ90" s="925"/>
      <c r="DR90" s="925"/>
      <c r="DS90" s="925"/>
      <c r="DT90" s="925"/>
      <c r="DU90" s="925"/>
      <c r="DV90" s="925"/>
      <c r="DW90" s="925"/>
      <c r="DX90" s="925"/>
      <c r="DY90" s="925"/>
      <c r="DZ90" s="925"/>
      <c r="EA90" s="925"/>
      <c r="EB90" s="925"/>
      <c r="EC90" s="925"/>
      <c r="ED90" s="925"/>
      <c r="EE90" s="925"/>
      <c r="EF90" s="925"/>
      <c r="EG90" s="446"/>
    </row>
    <row r="91" spans="1:137" ht="13" x14ac:dyDescent="0.15">
      <c r="A91" s="917"/>
      <c r="B91" s="917"/>
      <c r="C91" s="918"/>
      <c r="D91" s="919"/>
      <c r="E91" s="920"/>
      <c r="F91" s="921"/>
      <c r="G91" s="922"/>
      <c r="H91" s="922"/>
      <c r="I91" s="922"/>
      <c r="J91" s="923"/>
      <c r="K91" s="923"/>
      <c r="L91" s="924"/>
      <c r="M91" s="925"/>
      <c r="N91" s="925"/>
      <c r="O91" s="925"/>
      <c r="P91" s="925"/>
      <c r="Q91" s="925"/>
      <c r="R91" s="926"/>
      <c r="S91" s="926"/>
      <c r="T91" s="925"/>
      <c r="U91" s="925"/>
      <c r="V91" s="925"/>
      <c r="W91" s="925"/>
      <c r="X91" s="925"/>
      <c r="Y91" s="925"/>
      <c r="Z91" s="925"/>
      <c r="AA91" s="925"/>
      <c r="AB91" s="925"/>
      <c r="AC91" s="925"/>
      <c r="AD91" s="925"/>
      <c r="AE91" s="925"/>
      <c r="AF91" s="925"/>
      <c r="AG91" s="925"/>
      <c r="AH91" s="925"/>
      <c r="AI91" s="925"/>
      <c r="AJ91" s="925"/>
      <c r="AK91" s="925"/>
      <c r="AL91" s="925"/>
      <c r="AM91" s="925"/>
      <c r="AN91" s="925"/>
      <c r="AO91" s="925"/>
      <c r="AP91" s="925"/>
      <c r="AQ91" s="925"/>
      <c r="AR91" s="925"/>
      <c r="AS91" s="925"/>
      <c r="AT91" s="925"/>
      <c r="AU91" s="925"/>
      <c r="AV91" s="925"/>
      <c r="AW91" s="925"/>
      <c r="AX91" s="925"/>
      <c r="AY91" s="925"/>
      <c r="AZ91" s="925"/>
      <c r="BA91" s="925"/>
      <c r="BB91" s="925"/>
      <c r="BC91" s="925"/>
      <c r="BD91" s="925"/>
      <c r="BE91" s="925"/>
      <c r="BF91" s="925"/>
      <c r="BG91" s="925"/>
      <c r="BH91" s="925"/>
      <c r="BI91" s="925"/>
      <c r="BJ91" s="925"/>
      <c r="BK91" s="925"/>
      <c r="BL91" s="925"/>
      <c r="BM91" s="925"/>
      <c r="BN91" s="925"/>
      <c r="BO91" s="925"/>
      <c r="BP91" s="925"/>
      <c r="BQ91" s="925"/>
      <c r="BR91" s="925"/>
      <c r="BS91" s="925"/>
      <c r="BT91" s="925"/>
      <c r="BU91" s="925"/>
      <c r="BV91" s="925"/>
      <c r="BW91" s="925"/>
      <c r="BX91" s="925"/>
      <c r="BY91" s="925"/>
      <c r="BZ91" s="925"/>
      <c r="CA91" s="925"/>
      <c r="CB91" s="925"/>
      <c r="CC91" s="925"/>
      <c r="CD91" s="925"/>
      <c r="CE91" s="925"/>
      <c r="CF91" s="925"/>
      <c r="CG91" s="925"/>
      <c r="CH91" s="925"/>
      <c r="CI91" s="925"/>
      <c r="CJ91" s="925"/>
      <c r="CK91" s="925"/>
      <c r="CL91" s="925"/>
      <c r="CM91" s="925"/>
      <c r="CN91" s="925"/>
      <c r="CO91" s="925"/>
      <c r="CP91" s="925"/>
      <c r="CQ91" s="925"/>
      <c r="CR91" s="925"/>
      <c r="CS91" s="925"/>
      <c r="CT91" s="925"/>
      <c r="CU91" s="925"/>
      <c r="CV91" s="925"/>
      <c r="CW91" s="925"/>
      <c r="CX91" s="925"/>
      <c r="CY91" s="925"/>
      <c r="CZ91" s="925"/>
      <c r="DA91" s="925"/>
      <c r="DB91" s="925"/>
      <c r="DC91" s="925"/>
      <c r="DD91" s="925"/>
      <c r="DE91" s="925"/>
      <c r="DF91" s="925"/>
      <c r="DG91" s="925"/>
      <c r="DH91" s="925"/>
      <c r="DI91" s="925"/>
      <c r="DJ91" s="925"/>
      <c r="DK91" s="925"/>
      <c r="DL91" s="925"/>
      <c r="DM91" s="925"/>
      <c r="DN91" s="925"/>
      <c r="DO91" s="925"/>
      <c r="DP91" s="925"/>
      <c r="DQ91" s="925"/>
      <c r="DR91" s="925"/>
      <c r="DS91" s="925"/>
      <c r="DT91" s="925"/>
      <c r="DU91" s="925"/>
      <c r="DV91" s="925"/>
      <c r="DW91" s="925"/>
      <c r="DX91" s="925"/>
      <c r="DY91" s="925"/>
      <c r="DZ91" s="925"/>
      <c r="EA91" s="925"/>
      <c r="EB91" s="925"/>
      <c r="EC91" s="925"/>
      <c r="ED91" s="925"/>
      <c r="EE91" s="925"/>
      <c r="EF91" s="925"/>
      <c r="EG91" s="446"/>
    </row>
    <row r="92" spans="1:137" ht="13" x14ac:dyDescent="0.15">
      <c r="A92" s="917"/>
      <c r="B92" s="917"/>
      <c r="C92" s="918"/>
      <c r="D92" s="919"/>
      <c r="E92" s="920"/>
      <c r="F92" s="921"/>
      <c r="G92" s="922"/>
      <c r="H92" s="922"/>
      <c r="I92" s="922"/>
      <c r="J92" s="923"/>
      <c r="K92" s="923"/>
      <c r="L92" s="924"/>
      <c r="M92" s="925"/>
      <c r="N92" s="925"/>
      <c r="O92" s="925"/>
      <c r="P92" s="925"/>
      <c r="Q92" s="925"/>
      <c r="R92" s="926"/>
      <c r="S92" s="926"/>
      <c r="T92" s="925"/>
      <c r="U92" s="925"/>
      <c r="V92" s="925"/>
      <c r="W92" s="925"/>
      <c r="X92" s="925"/>
      <c r="Y92" s="925"/>
      <c r="Z92" s="925"/>
      <c r="AA92" s="925"/>
      <c r="AB92" s="925"/>
      <c r="AC92" s="925"/>
      <c r="AD92" s="925"/>
      <c r="AE92" s="925"/>
      <c r="AF92" s="925"/>
      <c r="AG92" s="925"/>
      <c r="AH92" s="925"/>
      <c r="AI92" s="925"/>
      <c r="AJ92" s="925"/>
      <c r="AK92" s="925"/>
      <c r="AL92" s="925"/>
      <c r="AM92" s="925"/>
      <c r="AN92" s="925"/>
      <c r="AO92" s="925"/>
      <c r="AP92" s="925"/>
      <c r="AQ92" s="925"/>
      <c r="AR92" s="925"/>
      <c r="AS92" s="925"/>
      <c r="AT92" s="925"/>
      <c r="AU92" s="925"/>
      <c r="AV92" s="925"/>
      <c r="AW92" s="925"/>
      <c r="AX92" s="925"/>
      <c r="AY92" s="925"/>
      <c r="AZ92" s="925"/>
      <c r="BA92" s="925"/>
      <c r="BB92" s="925"/>
      <c r="BC92" s="925"/>
      <c r="BD92" s="925"/>
      <c r="BE92" s="925"/>
      <c r="BF92" s="925"/>
      <c r="BG92" s="925"/>
      <c r="BH92" s="925"/>
      <c r="BI92" s="925"/>
      <c r="BJ92" s="925"/>
      <c r="BK92" s="925"/>
      <c r="BL92" s="925"/>
      <c r="BM92" s="925"/>
      <c r="BN92" s="925"/>
      <c r="BO92" s="925"/>
      <c r="BP92" s="925"/>
      <c r="BQ92" s="925"/>
      <c r="BR92" s="925"/>
      <c r="BS92" s="925"/>
      <c r="BT92" s="925"/>
      <c r="BU92" s="925"/>
      <c r="BV92" s="925"/>
      <c r="BW92" s="925"/>
      <c r="BX92" s="925"/>
      <c r="BY92" s="925"/>
      <c r="BZ92" s="925"/>
      <c r="CA92" s="925"/>
      <c r="CB92" s="925"/>
      <c r="CC92" s="925"/>
      <c r="CD92" s="925"/>
      <c r="CE92" s="925"/>
      <c r="CF92" s="925"/>
      <c r="CG92" s="925"/>
      <c r="CH92" s="925"/>
      <c r="CI92" s="925"/>
      <c r="CJ92" s="925"/>
      <c r="CK92" s="925"/>
      <c r="CL92" s="925"/>
      <c r="CM92" s="925"/>
      <c r="CN92" s="925"/>
      <c r="CO92" s="925"/>
      <c r="CP92" s="925"/>
      <c r="CQ92" s="925"/>
      <c r="CR92" s="925"/>
      <c r="CS92" s="925"/>
      <c r="CT92" s="925"/>
      <c r="CU92" s="925"/>
      <c r="CV92" s="925"/>
      <c r="CW92" s="925"/>
      <c r="CX92" s="925"/>
      <c r="CY92" s="925"/>
      <c r="CZ92" s="925"/>
      <c r="DA92" s="925"/>
      <c r="DB92" s="925"/>
      <c r="DC92" s="925"/>
      <c r="DD92" s="925"/>
      <c r="DE92" s="925"/>
      <c r="DF92" s="925"/>
      <c r="DG92" s="925"/>
      <c r="DH92" s="925"/>
      <c r="DI92" s="925"/>
      <c r="DJ92" s="925"/>
      <c r="DK92" s="925"/>
      <c r="DL92" s="925"/>
      <c r="DM92" s="925"/>
      <c r="DN92" s="925"/>
      <c r="DO92" s="925"/>
      <c r="DP92" s="925"/>
      <c r="DQ92" s="925"/>
      <c r="DR92" s="925"/>
      <c r="DS92" s="925"/>
      <c r="DT92" s="925"/>
      <c r="DU92" s="925"/>
      <c r="DV92" s="925"/>
      <c r="DW92" s="925"/>
      <c r="DX92" s="925"/>
      <c r="DY92" s="925"/>
      <c r="DZ92" s="925"/>
      <c r="EA92" s="925"/>
      <c r="EB92" s="925"/>
      <c r="EC92" s="925"/>
      <c r="ED92" s="925"/>
      <c r="EE92" s="925"/>
      <c r="EF92" s="925"/>
      <c r="EG92" s="446"/>
    </row>
    <row r="93" spans="1:137" ht="13" x14ac:dyDescent="0.15">
      <c r="A93" s="917"/>
      <c r="B93" s="917"/>
      <c r="C93" s="918"/>
      <c r="D93" s="919"/>
      <c r="E93" s="920"/>
      <c r="F93" s="921"/>
      <c r="G93" s="922"/>
      <c r="H93" s="922"/>
      <c r="I93" s="922"/>
      <c r="J93" s="923"/>
      <c r="K93" s="923"/>
      <c r="L93" s="924"/>
      <c r="M93" s="925"/>
      <c r="N93" s="925"/>
      <c r="O93" s="925"/>
      <c r="P93" s="925"/>
      <c r="Q93" s="925"/>
      <c r="R93" s="926"/>
      <c r="S93" s="926"/>
      <c r="T93" s="925"/>
      <c r="U93" s="925"/>
      <c r="V93" s="925"/>
      <c r="W93" s="925"/>
      <c r="X93" s="925"/>
      <c r="Y93" s="925"/>
      <c r="Z93" s="925"/>
      <c r="AA93" s="925"/>
      <c r="AB93" s="925"/>
      <c r="AC93" s="925"/>
      <c r="AD93" s="925"/>
      <c r="AE93" s="925"/>
      <c r="AF93" s="925"/>
      <c r="AG93" s="925"/>
      <c r="AH93" s="925"/>
      <c r="AI93" s="925"/>
      <c r="AJ93" s="925"/>
      <c r="AK93" s="925"/>
      <c r="AL93" s="925"/>
      <c r="AM93" s="925"/>
      <c r="AN93" s="925"/>
      <c r="AO93" s="925"/>
      <c r="AP93" s="925"/>
      <c r="AQ93" s="925"/>
      <c r="AR93" s="925"/>
      <c r="AS93" s="925"/>
      <c r="AT93" s="925"/>
      <c r="AU93" s="925"/>
      <c r="AV93" s="925"/>
      <c r="AW93" s="925"/>
      <c r="AX93" s="925"/>
      <c r="AY93" s="925"/>
      <c r="AZ93" s="925"/>
      <c r="BA93" s="925"/>
      <c r="BB93" s="925"/>
      <c r="BC93" s="925"/>
      <c r="BD93" s="925"/>
      <c r="BE93" s="925"/>
      <c r="BF93" s="925"/>
      <c r="BG93" s="925"/>
      <c r="BH93" s="925"/>
      <c r="BI93" s="925"/>
      <c r="BJ93" s="925"/>
      <c r="BK93" s="925"/>
      <c r="BL93" s="925"/>
      <c r="BM93" s="925"/>
      <c r="BN93" s="925"/>
      <c r="BO93" s="925"/>
      <c r="BP93" s="925"/>
      <c r="BQ93" s="925"/>
      <c r="BR93" s="925"/>
      <c r="BS93" s="925"/>
      <c r="BT93" s="925"/>
      <c r="BU93" s="925"/>
      <c r="BV93" s="925"/>
      <c r="BW93" s="925"/>
      <c r="BX93" s="925"/>
      <c r="BY93" s="925"/>
      <c r="BZ93" s="925"/>
      <c r="CA93" s="925"/>
      <c r="CB93" s="925"/>
      <c r="CC93" s="925"/>
      <c r="CD93" s="925"/>
      <c r="CE93" s="925"/>
      <c r="CF93" s="925"/>
      <c r="CG93" s="925"/>
      <c r="CH93" s="925"/>
      <c r="CI93" s="925"/>
      <c r="CJ93" s="925"/>
      <c r="CK93" s="925"/>
      <c r="CL93" s="925"/>
      <c r="CM93" s="925"/>
      <c r="CN93" s="925"/>
      <c r="CO93" s="925"/>
      <c r="CP93" s="925"/>
      <c r="CQ93" s="925"/>
      <c r="CR93" s="925"/>
      <c r="CS93" s="925"/>
      <c r="CT93" s="925"/>
      <c r="CU93" s="925"/>
      <c r="CV93" s="925"/>
      <c r="CW93" s="925"/>
      <c r="CX93" s="925"/>
      <c r="CY93" s="925"/>
      <c r="CZ93" s="925"/>
      <c r="DA93" s="925"/>
      <c r="DB93" s="925"/>
      <c r="DC93" s="925"/>
      <c r="DD93" s="925"/>
      <c r="DE93" s="925"/>
      <c r="DF93" s="925"/>
      <c r="DG93" s="925"/>
      <c r="DH93" s="925"/>
      <c r="DI93" s="925"/>
      <c r="DJ93" s="925"/>
      <c r="DK93" s="925"/>
      <c r="DL93" s="925"/>
      <c r="DM93" s="925"/>
      <c r="DN93" s="925"/>
      <c r="DO93" s="925"/>
      <c r="DP93" s="925"/>
      <c r="DQ93" s="925"/>
      <c r="DR93" s="925"/>
      <c r="DS93" s="925"/>
      <c r="DT93" s="925"/>
      <c r="DU93" s="925"/>
      <c r="DV93" s="925"/>
      <c r="DW93" s="925"/>
      <c r="DX93" s="925"/>
      <c r="DY93" s="925"/>
      <c r="DZ93" s="925"/>
      <c r="EA93" s="925"/>
      <c r="EB93" s="925"/>
      <c r="EC93" s="925"/>
      <c r="ED93" s="925"/>
      <c r="EE93" s="925"/>
      <c r="EF93" s="925"/>
      <c r="EG93" s="446"/>
    </row>
    <row r="94" spans="1:137" ht="13" x14ac:dyDescent="0.15">
      <c r="A94" s="917"/>
      <c r="B94" s="917"/>
      <c r="C94" s="918"/>
      <c r="D94" s="919"/>
      <c r="E94" s="920"/>
      <c r="F94" s="921"/>
      <c r="G94" s="922"/>
      <c r="H94" s="922"/>
      <c r="I94" s="922"/>
      <c r="J94" s="923"/>
      <c r="K94" s="923"/>
      <c r="L94" s="924"/>
      <c r="M94" s="925"/>
      <c r="N94" s="925"/>
      <c r="O94" s="925"/>
      <c r="P94" s="925"/>
      <c r="Q94" s="925"/>
      <c r="R94" s="926"/>
      <c r="S94" s="926"/>
      <c r="T94" s="925"/>
      <c r="U94" s="925"/>
      <c r="V94" s="925"/>
      <c r="W94" s="925"/>
      <c r="X94" s="925"/>
      <c r="Y94" s="925"/>
      <c r="Z94" s="925"/>
      <c r="AA94" s="925"/>
      <c r="AB94" s="925"/>
      <c r="AC94" s="925"/>
      <c r="AD94" s="925"/>
      <c r="AE94" s="925"/>
      <c r="AF94" s="925"/>
      <c r="AG94" s="925"/>
      <c r="AH94" s="925"/>
      <c r="AI94" s="925"/>
      <c r="AJ94" s="925"/>
      <c r="AK94" s="925"/>
      <c r="AL94" s="925"/>
      <c r="AM94" s="925"/>
      <c r="AN94" s="925"/>
      <c r="AO94" s="925"/>
      <c r="AP94" s="925"/>
      <c r="AQ94" s="925"/>
      <c r="AR94" s="925"/>
      <c r="AS94" s="925"/>
      <c r="AT94" s="925"/>
      <c r="AU94" s="925"/>
      <c r="AV94" s="925"/>
      <c r="AW94" s="925"/>
      <c r="AX94" s="925"/>
      <c r="AY94" s="925"/>
      <c r="AZ94" s="925"/>
      <c r="BA94" s="925"/>
      <c r="BB94" s="925"/>
      <c r="BC94" s="925"/>
      <c r="BD94" s="925"/>
      <c r="BE94" s="925"/>
      <c r="BF94" s="925"/>
      <c r="BG94" s="925"/>
      <c r="BH94" s="925"/>
      <c r="BI94" s="925"/>
      <c r="BJ94" s="925"/>
      <c r="BK94" s="925"/>
      <c r="BL94" s="925"/>
      <c r="BM94" s="925"/>
      <c r="BN94" s="925"/>
      <c r="BO94" s="925"/>
      <c r="BP94" s="925"/>
      <c r="BQ94" s="925"/>
      <c r="BR94" s="925"/>
      <c r="BS94" s="925"/>
      <c r="BT94" s="925"/>
      <c r="BU94" s="925"/>
      <c r="BV94" s="925"/>
      <c r="BW94" s="925"/>
      <c r="BX94" s="925"/>
      <c r="BY94" s="925"/>
      <c r="BZ94" s="925"/>
      <c r="CA94" s="925"/>
      <c r="CB94" s="925"/>
      <c r="CC94" s="925"/>
      <c r="CD94" s="925"/>
      <c r="CE94" s="925"/>
      <c r="CF94" s="925"/>
      <c r="CG94" s="925"/>
      <c r="CH94" s="925"/>
      <c r="CI94" s="925"/>
      <c r="CJ94" s="925"/>
      <c r="CK94" s="925"/>
      <c r="CL94" s="925"/>
      <c r="CM94" s="925"/>
      <c r="CN94" s="925"/>
      <c r="CO94" s="925"/>
      <c r="CP94" s="925"/>
      <c r="CQ94" s="925"/>
      <c r="CR94" s="925"/>
      <c r="CS94" s="925"/>
      <c r="CT94" s="925"/>
      <c r="CU94" s="925"/>
      <c r="CV94" s="925"/>
      <c r="CW94" s="925"/>
      <c r="CX94" s="925"/>
      <c r="CY94" s="925"/>
      <c r="CZ94" s="925"/>
      <c r="DA94" s="925"/>
      <c r="DB94" s="925"/>
      <c r="DC94" s="925"/>
      <c r="DD94" s="925"/>
      <c r="DE94" s="925"/>
      <c r="DF94" s="925"/>
      <c r="DG94" s="925"/>
      <c r="DH94" s="925"/>
      <c r="DI94" s="925"/>
      <c r="DJ94" s="925"/>
      <c r="DK94" s="925"/>
      <c r="DL94" s="925"/>
      <c r="DM94" s="925"/>
      <c r="DN94" s="925"/>
      <c r="DO94" s="925"/>
      <c r="DP94" s="925"/>
      <c r="DQ94" s="925"/>
      <c r="DR94" s="925"/>
      <c r="DS94" s="925"/>
      <c r="DT94" s="925"/>
      <c r="DU94" s="925"/>
      <c r="DV94" s="925"/>
      <c r="DW94" s="925"/>
      <c r="DX94" s="925"/>
      <c r="DY94" s="925"/>
      <c r="DZ94" s="925"/>
      <c r="EA94" s="925"/>
      <c r="EB94" s="925"/>
      <c r="EC94" s="925"/>
      <c r="ED94" s="925"/>
      <c r="EE94" s="925"/>
      <c r="EF94" s="925"/>
      <c r="EG94" s="446"/>
    </row>
    <row r="95" spans="1:137" ht="13" x14ac:dyDescent="0.15">
      <c r="A95" s="917"/>
      <c r="B95" s="917"/>
      <c r="C95" s="918"/>
      <c r="D95" s="919"/>
      <c r="E95" s="920"/>
      <c r="F95" s="921"/>
      <c r="G95" s="922"/>
      <c r="H95" s="922"/>
      <c r="I95" s="922"/>
      <c r="J95" s="923"/>
      <c r="K95" s="923"/>
      <c r="L95" s="924"/>
      <c r="M95" s="925"/>
      <c r="N95" s="925"/>
      <c r="O95" s="925"/>
      <c r="P95" s="925"/>
      <c r="Q95" s="925"/>
      <c r="R95" s="926"/>
      <c r="S95" s="926"/>
      <c r="T95" s="925"/>
      <c r="U95" s="925"/>
      <c r="V95" s="925"/>
      <c r="W95" s="925"/>
      <c r="X95" s="925"/>
      <c r="Y95" s="925"/>
      <c r="Z95" s="925"/>
      <c r="AA95" s="925"/>
      <c r="AB95" s="925"/>
      <c r="AC95" s="925"/>
      <c r="AD95" s="925"/>
      <c r="AE95" s="925"/>
      <c r="AF95" s="925"/>
      <c r="AG95" s="925"/>
      <c r="AH95" s="925"/>
      <c r="AI95" s="925"/>
      <c r="AJ95" s="925"/>
      <c r="AK95" s="925"/>
      <c r="AL95" s="925"/>
      <c r="AM95" s="925"/>
      <c r="AN95" s="925"/>
      <c r="AO95" s="925"/>
      <c r="AP95" s="925"/>
      <c r="AQ95" s="925"/>
      <c r="AR95" s="925"/>
      <c r="AS95" s="925"/>
      <c r="AT95" s="925"/>
      <c r="AU95" s="925"/>
      <c r="AV95" s="925"/>
      <c r="AW95" s="925"/>
      <c r="AX95" s="925"/>
      <c r="AY95" s="925"/>
      <c r="AZ95" s="925"/>
      <c r="BA95" s="925"/>
      <c r="BB95" s="925"/>
      <c r="BC95" s="925"/>
      <c r="BD95" s="925"/>
      <c r="BE95" s="925"/>
      <c r="BF95" s="925"/>
      <c r="BG95" s="925"/>
      <c r="BH95" s="925"/>
      <c r="BI95" s="925"/>
      <c r="BJ95" s="925"/>
      <c r="BK95" s="925"/>
      <c r="BL95" s="925"/>
      <c r="BM95" s="925"/>
      <c r="BN95" s="925"/>
      <c r="BO95" s="925"/>
      <c r="BP95" s="925"/>
      <c r="BQ95" s="925"/>
      <c r="BR95" s="925"/>
      <c r="BS95" s="925"/>
      <c r="BT95" s="925"/>
      <c r="BU95" s="925"/>
      <c r="BV95" s="925"/>
      <c r="BW95" s="925"/>
      <c r="BX95" s="925"/>
      <c r="BY95" s="925"/>
      <c r="BZ95" s="925"/>
      <c r="CA95" s="925"/>
      <c r="CB95" s="925"/>
      <c r="CC95" s="925"/>
      <c r="CD95" s="925"/>
      <c r="CE95" s="925"/>
      <c r="CF95" s="925"/>
      <c r="CG95" s="925"/>
      <c r="CH95" s="925"/>
      <c r="CI95" s="925"/>
      <c r="CJ95" s="925"/>
      <c r="CK95" s="925"/>
      <c r="CL95" s="925"/>
      <c r="CM95" s="925"/>
      <c r="CN95" s="925"/>
      <c r="CO95" s="925"/>
      <c r="CP95" s="925"/>
      <c r="CQ95" s="925"/>
      <c r="CR95" s="925"/>
      <c r="CS95" s="925"/>
      <c r="CT95" s="925"/>
      <c r="CU95" s="925"/>
      <c r="CV95" s="925"/>
      <c r="CW95" s="925"/>
      <c r="CX95" s="925"/>
      <c r="CY95" s="925"/>
      <c r="CZ95" s="925"/>
      <c r="DA95" s="925"/>
      <c r="DB95" s="925"/>
      <c r="DC95" s="925"/>
      <c r="DD95" s="925"/>
      <c r="DE95" s="925"/>
      <c r="DF95" s="925"/>
      <c r="DG95" s="925"/>
      <c r="DH95" s="925"/>
      <c r="DI95" s="925"/>
      <c r="DJ95" s="925"/>
      <c r="DK95" s="925"/>
      <c r="DL95" s="925"/>
      <c r="DM95" s="925"/>
      <c r="DN95" s="925"/>
      <c r="DO95" s="925"/>
      <c r="DP95" s="925"/>
      <c r="DQ95" s="925"/>
      <c r="DR95" s="925"/>
      <c r="DS95" s="925"/>
      <c r="DT95" s="925"/>
      <c r="DU95" s="925"/>
      <c r="DV95" s="925"/>
      <c r="DW95" s="925"/>
      <c r="DX95" s="925"/>
      <c r="DY95" s="925"/>
      <c r="DZ95" s="925"/>
      <c r="EA95" s="925"/>
      <c r="EB95" s="925"/>
      <c r="EC95" s="925"/>
      <c r="ED95" s="925"/>
      <c r="EE95" s="925"/>
      <c r="EF95" s="925"/>
      <c r="EG95" s="446"/>
    </row>
    <row r="96" spans="1:137" ht="13" x14ac:dyDescent="0.15">
      <c r="A96" s="917"/>
      <c r="B96" s="917"/>
      <c r="C96" s="918"/>
      <c r="D96" s="919"/>
      <c r="E96" s="920"/>
      <c r="F96" s="921"/>
      <c r="G96" s="922"/>
      <c r="H96" s="922"/>
      <c r="I96" s="922"/>
      <c r="J96" s="923"/>
      <c r="K96" s="923"/>
      <c r="L96" s="924"/>
      <c r="M96" s="925"/>
      <c r="N96" s="925"/>
      <c r="O96" s="925"/>
      <c r="P96" s="925"/>
      <c r="Q96" s="925"/>
      <c r="R96" s="926"/>
      <c r="S96" s="926"/>
      <c r="T96" s="925"/>
      <c r="U96" s="925"/>
      <c r="V96" s="925"/>
      <c r="W96" s="925"/>
      <c r="X96" s="925"/>
      <c r="Y96" s="925"/>
      <c r="Z96" s="925"/>
      <c r="AA96" s="925"/>
      <c r="AB96" s="925"/>
      <c r="AC96" s="925"/>
      <c r="AD96" s="925"/>
      <c r="AE96" s="925"/>
      <c r="AF96" s="925"/>
      <c r="AG96" s="925"/>
      <c r="AH96" s="925"/>
      <c r="AI96" s="925"/>
      <c r="AJ96" s="925"/>
      <c r="AK96" s="925"/>
      <c r="AL96" s="925"/>
      <c r="AM96" s="925"/>
      <c r="AN96" s="925"/>
      <c r="AO96" s="925"/>
      <c r="AP96" s="925"/>
      <c r="AQ96" s="925"/>
      <c r="AR96" s="925"/>
      <c r="AS96" s="925"/>
      <c r="AT96" s="925"/>
      <c r="AU96" s="925"/>
      <c r="AV96" s="925"/>
      <c r="AW96" s="925"/>
      <c r="AX96" s="925"/>
      <c r="AY96" s="925"/>
      <c r="AZ96" s="925"/>
      <c r="BA96" s="925"/>
      <c r="BB96" s="925"/>
      <c r="BC96" s="925"/>
      <c r="BD96" s="925"/>
      <c r="BE96" s="925"/>
      <c r="BF96" s="925"/>
      <c r="BG96" s="925"/>
      <c r="BH96" s="925"/>
      <c r="BI96" s="925"/>
      <c r="BJ96" s="925"/>
      <c r="BK96" s="925"/>
      <c r="BL96" s="925"/>
      <c r="BM96" s="925"/>
      <c r="BN96" s="925"/>
      <c r="BO96" s="925"/>
      <c r="BP96" s="925"/>
      <c r="BQ96" s="925"/>
      <c r="BR96" s="925"/>
      <c r="BS96" s="925"/>
      <c r="BT96" s="925"/>
      <c r="BU96" s="925"/>
      <c r="BV96" s="925"/>
      <c r="BW96" s="925"/>
      <c r="BX96" s="925"/>
      <c r="BY96" s="925"/>
      <c r="BZ96" s="925"/>
      <c r="CA96" s="925"/>
      <c r="CB96" s="925"/>
      <c r="CC96" s="925"/>
      <c r="CD96" s="925"/>
      <c r="CE96" s="925"/>
      <c r="CF96" s="925"/>
      <c r="CG96" s="925"/>
      <c r="CH96" s="925"/>
      <c r="CI96" s="925"/>
      <c r="CJ96" s="925"/>
      <c r="CK96" s="925"/>
      <c r="CL96" s="925"/>
      <c r="CM96" s="925"/>
      <c r="CN96" s="925"/>
      <c r="CO96" s="925"/>
      <c r="CP96" s="925"/>
      <c r="CQ96" s="925"/>
      <c r="CR96" s="925"/>
      <c r="CS96" s="925"/>
      <c r="CT96" s="925"/>
      <c r="CU96" s="925"/>
      <c r="CV96" s="925"/>
      <c r="CW96" s="925"/>
      <c r="CX96" s="925"/>
      <c r="CY96" s="925"/>
      <c r="CZ96" s="925"/>
      <c r="DA96" s="925"/>
      <c r="DB96" s="925"/>
      <c r="DC96" s="925"/>
      <c r="DD96" s="925"/>
      <c r="DE96" s="925"/>
      <c r="DF96" s="925"/>
      <c r="DG96" s="925"/>
      <c r="DH96" s="925"/>
      <c r="DI96" s="925"/>
      <c r="DJ96" s="925"/>
      <c r="DK96" s="925"/>
      <c r="DL96" s="925"/>
      <c r="DM96" s="925"/>
      <c r="DN96" s="925"/>
      <c r="DO96" s="925"/>
      <c r="DP96" s="925"/>
      <c r="DQ96" s="925"/>
      <c r="DR96" s="925"/>
      <c r="DS96" s="925"/>
      <c r="DT96" s="925"/>
      <c r="DU96" s="925"/>
      <c r="DV96" s="925"/>
      <c r="DW96" s="925"/>
      <c r="DX96" s="925"/>
      <c r="DY96" s="925"/>
      <c r="DZ96" s="925"/>
      <c r="EA96" s="925"/>
      <c r="EB96" s="925"/>
      <c r="EC96" s="925"/>
      <c r="ED96" s="925"/>
      <c r="EE96" s="925"/>
      <c r="EF96" s="925"/>
      <c r="EG96" s="446"/>
    </row>
    <row r="97" spans="1:137" ht="13" x14ac:dyDescent="0.15">
      <c r="A97" s="917"/>
      <c r="B97" s="917"/>
      <c r="C97" s="918"/>
      <c r="D97" s="919"/>
      <c r="E97" s="920"/>
      <c r="F97" s="921"/>
      <c r="G97" s="922"/>
      <c r="H97" s="922"/>
      <c r="I97" s="922"/>
      <c r="J97" s="923"/>
      <c r="K97" s="923"/>
      <c r="L97" s="924"/>
      <c r="M97" s="925"/>
      <c r="N97" s="925"/>
      <c r="O97" s="925"/>
      <c r="P97" s="925"/>
      <c r="Q97" s="925"/>
      <c r="R97" s="926"/>
      <c r="S97" s="926"/>
      <c r="T97" s="925"/>
      <c r="U97" s="925"/>
      <c r="V97" s="925"/>
      <c r="W97" s="925"/>
      <c r="X97" s="925"/>
      <c r="Y97" s="925"/>
      <c r="Z97" s="925"/>
      <c r="AA97" s="925"/>
      <c r="AB97" s="925"/>
      <c r="AC97" s="925"/>
      <c r="AD97" s="925"/>
      <c r="AE97" s="925"/>
      <c r="AF97" s="925"/>
      <c r="AG97" s="925"/>
      <c r="AH97" s="925"/>
      <c r="AI97" s="925"/>
      <c r="AJ97" s="925"/>
      <c r="AK97" s="925"/>
      <c r="AL97" s="925"/>
      <c r="AM97" s="925"/>
      <c r="AN97" s="925"/>
      <c r="AO97" s="925"/>
      <c r="AP97" s="925"/>
      <c r="AQ97" s="925"/>
      <c r="AR97" s="925"/>
      <c r="AS97" s="925"/>
      <c r="AT97" s="925"/>
      <c r="AU97" s="925"/>
      <c r="AV97" s="925"/>
      <c r="AW97" s="925"/>
      <c r="AX97" s="925"/>
      <c r="AY97" s="925"/>
      <c r="AZ97" s="925"/>
      <c r="BA97" s="925"/>
      <c r="BB97" s="925"/>
      <c r="BC97" s="925"/>
      <c r="BD97" s="925"/>
      <c r="BE97" s="925"/>
      <c r="BF97" s="925"/>
      <c r="BG97" s="925"/>
      <c r="BH97" s="925"/>
      <c r="BI97" s="925"/>
      <c r="BJ97" s="925"/>
      <c r="BK97" s="925"/>
      <c r="BL97" s="925"/>
      <c r="BM97" s="925"/>
      <c r="BN97" s="925"/>
      <c r="BO97" s="925"/>
      <c r="BP97" s="925"/>
      <c r="BQ97" s="925"/>
      <c r="BR97" s="925"/>
      <c r="BS97" s="925"/>
      <c r="BT97" s="925"/>
      <c r="BU97" s="925"/>
      <c r="BV97" s="925"/>
      <c r="BW97" s="925"/>
      <c r="BX97" s="925"/>
      <c r="BY97" s="925"/>
      <c r="BZ97" s="925"/>
      <c r="CA97" s="925"/>
      <c r="CB97" s="925"/>
      <c r="CC97" s="925"/>
      <c r="CD97" s="925"/>
      <c r="CE97" s="925"/>
      <c r="CF97" s="925"/>
      <c r="CG97" s="925"/>
      <c r="CH97" s="925"/>
      <c r="CI97" s="925"/>
      <c r="CJ97" s="925"/>
      <c r="CK97" s="925"/>
      <c r="CL97" s="925"/>
      <c r="CM97" s="925"/>
      <c r="CN97" s="925"/>
      <c r="CO97" s="925"/>
      <c r="CP97" s="925"/>
      <c r="CQ97" s="925"/>
      <c r="CR97" s="925"/>
      <c r="CS97" s="925"/>
      <c r="CT97" s="925"/>
      <c r="CU97" s="925"/>
      <c r="CV97" s="925"/>
      <c r="CW97" s="925"/>
      <c r="CX97" s="925"/>
      <c r="CY97" s="925"/>
      <c r="CZ97" s="925"/>
      <c r="DA97" s="925"/>
      <c r="DB97" s="925"/>
      <c r="DC97" s="925"/>
      <c r="DD97" s="925"/>
      <c r="DE97" s="925"/>
      <c r="DF97" s="925"/>
      <c r="DG97" s="925"/>
      <c r="DH97" s="925"/>
      <c r="DI97" s="925"/>
      <c r="DJ97" s="925"/>
      <c r="DK97" s="925"/>
      <c r="DL97" s="925"/>
      <c r="DM97" s="925"/>
      <c r="DN97" s="925"/>
      <c r="DO97" s="925"/>
      <c r="DP97" s="925"/>
      <c r="DQ97" s="925"/>
      <c r="DR97" s="925"/>
      <c r="DS97" s="925"/>
      <c r="DT97" s="925"/>
      <c r="DU97" s="925"/>
      <c r="DV97" s="925"/>
      <c r="DW97" s="925"/>
      <c r="DX97" s="925"/>
      <c r="DY97" s="925"/>
      <c r="DZ97" s="925"/>
      <c r="EA97" s="925"/>
      <c r="EB97" s="925"/>
      <c r="EC97" s="925"/>
      <c r="ED97" s="925"/>
      <c r="EE97" s="925"/>
      <c r="EF97" s="925"/>
      <c r="EG97" s="446"/>
    </row>
    <row r="98" spans="1:137" ht="13" x14ac:dyDescent="0.15">
      <c r="A98" s="917"/>
      <c r="B98" s="917"/>
      <c r="C98" s="918"/>
      <c r="D98" s="919"/>
      <c r="E98" s="920"/>
      <c r="F98" s="921"/>
      <c r="G98" s="922"/>
      <c r="H98" s="922"/>
      <c r="I98" s="922"/>
      <c r="J98" s="923"/>
      <c r="K98" s="923"/>
      <c r="L98" s="924"/>
      <c r="M98" s="925"/>
      <c r="N98" s="925"/>
      <c r="O98" s="925"/>
      <c r="P98" s="925"/>
      <c r="Q98" s="925"/>
      <c r="R98" s="926"/>
      <c r="S98" s="926"/>
      <c r="T98" s="925"/>
      <c r="U98" s="925"/>
      <c r="V98" s="925"/>
      <c r="W98" s="925"/>
      <c r="X98" s="925"/>
      <c r="Y98" s="925"/>
      <c r="Z98" s="925"/>
      <c r="AA98" s="925"/>
      <c r="AB98" s="925"/>
      <c r="AC98" s="925"/>
      <c r="AD98" s="925"/>
      <c r="AE98" s="925"/>
      <c r="AF98" s="925"/>
      <c r="AG98" s="925"/>
      <c r="AH98" s="925"/>
      <c r="AI98" s="925"/>
      <c r="AJ98" s="925"/>
      <c r="AK98" s="925"/>
      <c r="AL98" s="925"/>
      <c r="AM98" s="925"/>
      <c r="AN98" s="925"/>
      <c r="AO98" s="925"/>
      <c r="AP98" s="925"/>
      <c r="AQ98" s="925"/>
      <c r="AR98" s="925"/>
      <c r="AS98" s="925"/>
      <c r="AT98" s="925"/>
      <c r="AU98" s="925"/>
      <c r="AV98" s="925"/>
      <c r="AW98" s="925"/>
      <c r="AX98" s="925"/>
      <c r="AY98" s="925"/>
      <c r="AZ98" s="925"/>
      <c r="BA98" s="925"/>
      <c r="BB98" s="925"/>
      <c r="BC98" s="925"/>
      <c r="BD98" s="925"/>
      <c r="BE98" s="925"/>
      <c r="BF98" s="925"/>
      <c r="BG98" s="925"/>
      <c r="BH98" s="925"/>
      <c r="BI98" s="925"/>
      <c r="BJ98" s="925"/>
      <c r="BK98" s="925"/>
      <c r="BL98" s="925"/>
      <c r="BM98" s="925"/>
      <c r="BN98" s="925"/>
      <c r="BO98" s="925"/>
      <c r="BP98" s="925"/>
      <c r="BQ98" s="925"/>
      <c r="BR98" s="925"/>
      <c r="BS98" s="925"/>
      <c r="BT98" s="925"/>
      <c r="BU98" s="925"/>
      <c r="BV98" s="925"/>
      <c r="BW98" s="925"/>
      <c r="BX98" s="925"/>
      <c r="BY98" s="925"/>
      <c r="BZ98" s="925"/>
      <c r="CA98" s="925"/>
      <c r="CB98" s="925"/>
      <c r="CC98" s="925"/>
      <c r="CD98" s="925"/>
      <c r="CE98" s="925"/>
      <c r="CF98" s="925"/>
      <c r="CG98" s="925"/>
      <c r="CH98" s="925"/>
      <c r="CI98" s="925"/>
      <c r="CJ98" s="925"/>
      <c r="CK98" s="925"/>
      <c r="CL98" s="925"/>
      <c r="CM98" s="925"/>
      <c r="CN98" s="925"/>
      <c r="CO98" s="925"/>
      <c r="CP98" s="925"/>
      <c r="CQ98" s="925"/>
      <c r="CR98" s="925"/>
      <c r="CS98" s="925"/>
      <c r="CT98" s="925"/>
      <c r="CU98" s="925"/>
      <c r="CV98" s="925"/>
      <c r="CW98" s="925"/>
      <c r="CX98" s="925"/>
      <c r="CY98" s="925"/>
      <c r="CZ98" s="925"/>
      <c r="DA98" s="925"/>
      <c r="DB98" s="925"/>
      <c r="DC98" s="925"/>
      <c r="DD98" s="925"/>
      <c r="DE98" s="925"/>
      <c r="DF98" s="925"/>
      <c r="DG98" s="925"/>
      <c r="DH98" s="925"/>
      <c r="DI98" s="925"/>
      <c r="DJ98" s="925"/>
      <c r="DK98" s="925"/>
      <c r="DL98" s="925"/>
      <c r="DM98" s="925"/>
      <c r="DN98" s="925"/>
      <c r="DO98" s="925"/>
      <c r="DP98" s="925"/>
      <c r="DQ98" s="925"/>
      <c r="DR98" s="925"/>
      <c r="DS98" s="925"/>
      <c r="DT98" s="925"/>
      <c r="DU98" s="925"/>
      <c r="DV98" s="925"/>
      <c r="DW98" s="925"/>
      <c r="DX98" s="925"/>
      <c r="DY98" s="925"/>
      <c r="DZ98" s="925"/>
      <c r="EA98" s="925"/>
      <c r="EB98" s="925"/>
      <c r="EC98" s="925"/>
      <c r="ED98" s="925"/>
      <c r="EE98" s="925"/>
      <c r="EF98" s="925"/>
      <c r="EG98" s="446"/>
    </row>
    <row r="99" spans="1:137" ht="13" x14ac:dyDescent="0.15">
      <c r="A99" s="917"/>
      <c r="B99" s="917"/>
      <c r="C99" s="918"/>
      <c r="D99" s="919"/>
      <c r="E99" s="920"/>
      <c r="F99" s="921"/>
      <c r="G99" s="922"/>
      <c r="H99" s="922"/>
      <c r="I99" s="922"/>
      <c r="J99" s="923"/>
      <c r="K99" s="923"/>
      <c r="L99" s="924"/>
      <c r="M99" s="925"/>
      <c r="N99" s="925"/>
      <c r="O99" s="925"/>
      <c r="P99" s="925"/>
      <c r="Q99" s="925"/>
      <c r="R99" s="926"/>
      <c r="S99" s="926"/>
      <c r="T99" s="925"/>
      <c r="U99" s="925"/>
      <c r="V99" s="925"/>
      <c r="W99" s="925"/>
      <c r="X99" s="925"/>
      <c r="Y99" s="925"/>
      <c r="Z99" s="925"/>
      <c r="AA99" s="925"/>
      <c r="AB99" s="925"/>
      <c r="AC99" s="925"/>
      <c r="AD99" s="925"/>
      <c r="AE99" s="925"/>
      <c r="AF99" s="925"/>
      <c r="AG99" s="925"/>
      <c r="AH99" s="925"/>
      <c r="AI99" s="925"/>
      <c r="AJ99" s="925"/>
      <c r="AK99" s="925"/>
      <c r="AL99" s="925"/>
      <c r="AM99" s="925"/>
      <c r="AN99" s="925"/>
      <c r="AO99" s="925"/>
      <c r="AP99" s="925"/>
      <c r="AQ99" s="925"/>
      <c r="AR99" s="925"/>
      <c r="AS99" s="925"/>
      <c r="AT99" s="925"/>
      <c r="AU99" s="925"/>
      <c r="AV99" s="925"/>
      <c r="AW99" s="925"/>
      <c r="AX99" s="925"/>
      <c r="AY99" s="925"/>
      <c r="AZ99" s="925"/>
      <c r="BA99" s="925"/>
      <c r="BB99" s="925"/>
      <c r="BC99" s="925"/>
      <c r="BD99" s="925"/>
      <c r="BE99" s="925"/>
      <c r="BF99" s="925"/>
      <c r="BG99" s="925"/>
      <c r="BH99" s="925"/>
      <c r="BI99" s="925"/>
      <c r="BJ99" s="925"/>
      <c r="BK99" s="925"/>
      <c r="BL99" s="925"/>
      <c r="BM99" s="925"/>
      <c r="BN99" s="925"/>
      <c r="BO99" s="925"/>
      <c r="BP99" s="925"/>
      <c r="BQ99" s="925"/>
      <c r="BR99" s="925"/>
      <c r="BS99" s="925"/>
      <c r="BT99" s="925"/>
      <c r="BU99" s="925"/>
      <c r="BV99" s="925"/>
      <c r="BW99" s="925"/>
      <c r="BX99" s="925"/>
      <c r="BY99" s="925"/>
      <c r="BZ99" s="925"/>
      <c r="CA99" s="925"/>
      <c r="CB99" s="925"/>
      <c r="CC99" s="925"/>
      <c r="CD99" s="925"/>
      <c r="CE99" s="925"/>
      <c r="CF99" s="925"/>
      <c r="CG99" s="925"/>
      <c r="CH99" s="925"/>
      <c r="CI99" s="925"/>
      <c r="CJ99" s="925"/>
      <c r="CK99" s="925"/>
      <c r="CL99" s="925"/>
      <c r="CM99" s="925"/>
      <c r="CN99" s="925"/>
      <c r="CO99" s="925"/>
      <c r="CP99" s="925"/>
      <c r="CQ99" s="925"/>
      <c r="CR99" s="925"/>
      <c r="CS99" s="925"/>
      <c r="CT99" s="925"/>
      <c r="CU99" s="925"/>
      <c r="CV99" s="925"/>
      <c r="CW99" s="925"/>
      <c r="CX99" s="925"/>
      <c r="CY99" s="925"/>
      <c r="CZ99" s="925"/>
      <c r="DA99" s="925"/>
      <c r="DB99" s="925"/>
      <c r="DC99" s="925"/>
      <c r="DD99" s="925"/>
      <c r="DE99" s="925"/>
      <c r="DF99" s="925"/>
      <c r="DG99" s="925"/>
      <c r="DH99" s="925"/>
      <c r="DI99" s="925"/>
      <c r="DJ99" s="925"/>
      <c r="DK99" s="925"/>
      <c r="DL99" s="925"/>
      <c r="DM99" s="925"/>
      <c r="DN99" s="925"/>
      <c r="DO99" s="925"/>
      <c r="DP99" s="925"/>
      <c r="DQ99" s="925"/>
      <c r="DR99" s="925"/>
      <c r="DS99" s="925"/>
      <c r="DT99" s="925"/>
      <c r="DU99" s="925"/>
      <c r="DV99" s="925"/>
      <c r="DW99" s="925"/>
      <c r="DX99" s="925"/>
      <c r="DY99" s="925"/>
      <c r="DZ99" s="925"/>
      <c r="EA99" s="925"/>
      <c r="EB99" s="925"/>
      <c r="EC99" s="925"/>
      <c r="ED99" s="925"/>
      <c r="EE99" s="925"/>
      <c r="EF99" s="925"/>
      <c r="EG99" s="446"/>
    </row>
    <row r="100" spans="1:137" ht="13" x14ac:dyDescent="0.15">
      <c r="A100" s="917"/>
      <c r="B100" s="917"/>
      <c r="C100" s="918"/>
      <c r="D100" s="919"/>
      <c r="E100" s="920"/>
      <c r="F100" s="921"/>
      <c r="G100" s="922"/>
      <c r="H100" s="922"/>
      <c r="I100" s="922"/>
      <c r="J100" s="923"/>
      <c r="K100" s="923"/>
      <c r="L100" s="924"/>
      <c r="M100" s="925"/>
      <c r="N100" s="925"/>
      <c r="O100" s="925"/>
      <c r="P100" s="925"/>
      <c r="Q100" s="925"/>
      <c r="R100" s="926"/>
      <c r="S100" s="926"/>
      <c r="T100" s="925"/>
      <c r="U100" s="925"/>
      <c r="V100" s="925"/>
      <c r="W100" s="925"/>
      <c r="X100" s="925"/>
      <c r="Y100" s="925"/>
      <c r="Z100" s="925"/>
      <c r="AA100" s="925"/>
      <c r="AB100" s="925"/>
      <c r="AC100" s="925"/>
      <c r="AD100" s="925"/>
      <c r="AE100" s="925"/>
      <c r="AF100" s="925"/>
      <c r="AG100" s="925"/>
      <c r="AH100" s="925"/>
      <c r="AI100" s="925"/>
      <c r="AJ100" s="925"/>
      <c r="AK100" s="925"/>
      <c r="AL100" s="925"/>
      <c r="AM100" s="925"/>
      <c r="AN100" s="925"/>
      <c r="AO100" s="925"/>
      <c r="AP100" s="925"/>
      <c r="AQ100" s="925"/>
      <c r="AR100" s="925"/>
      <c r="AS100" s="925"/>
      <c r="AT100" s="925"/>
      <c r="AU100" s="925"/>
      <c r="AV100" s="925"/>
      <c r="AW100" s="925"/>
      <c r="AX100" s="925"/>
      <c r="AY100" s="925"/>
      <c r="AZ100" s="925"/>
      <c r="BA100" s="925"/>
      <c r="BB100" s="925"/>
      <c r="BC100" s="925"/>
      <c r="BD100" s="925"/>
      <c r="BE100" s="925"/>
      <c r="BF100" s="925"/>
      <c r="BG100" s="925"/>
      <c r="BH100" s="925"/>
      <c r="BI100" s="925"/>
      <c r="BJ100" s="925"/>
      <c r="BK100" s="925"/>
      <c r="BL100" s="925"/>
      <c r="BM100" s="925"/>
      <c r="BN100" s="925"/>
      <c r="BO100" s="925"/>
      <c r="BP100" s="925"/>
      <c r="BQ100" s="925"/>
      <c r="BR100" s="925"/>
      <c r="BS100" s="925"/>
      <c r="BT100" s="925"/>
      <c r="BU100" s="925"/>
      <c r="BV100" s="925"/>
      <c r="BW100" s="925"/>
      <c r="BX100" s="925"/>
      <c r="BY100" s="925"/>
      <c r="BZ100" s="925"/>
      <c r="CA100" s="925"/>
      <c r="CB100" s="925"/>
      <c r="CC100" s="925"/>
      <c r="CD100" s="925"/>
      <c r="CE100" s="925"/>
      <c r="CF100" s="925"/>
      <c r="CG100" s="925"/>
      <c r="CH100" s="925"/>
      <c r="CI100" s="925"/>
      <c r="CJ100" s="925"/>
      <c r="CK100" s="925"/>
      <c r="CL100" s="925"/>
      <c r="CM100" s="925"/>
      <c r="CN100" s="925"/>
      <c r="CO100" s="925"/>
      <c r="CP100" s="925"/>
      <c r="CQ100" s="925"/>
      <c r="CR100" s="925"/>
      <c r="CS100" s="925"/>
      <c r="CT100" s="925"/>
      <c r="CU100" s="925"/>
      <c r="CV100" s="925"/>
      <c r="CW100" s="925"/>
      <c r="CX100" s="925"/>
      <c r="CY100" s="925"/>
      <c r="CZ100" s="925"/>
      <c r="DA100" s="925"/>
      <c r="DB100" s="925"/>
      <c r="DC100" s="925"/>
      <c r="DD100" s="925"/>
      <c r="DE100" s="925"/>
      <c r="DF100" s="925"/>
      <c r="DG100" s="925"/>
      <c r="DH100" s="925"/>
      <c r="DI100" s="925"/>
      <c r="DJ100" s="925"/>
      <c r="DK100" s="925"/>
      <c r="DL100" s="925"/>
      <c r="DM100" s="925"/>
      <c r="DN100" s="925"/>
      <c r="DO100" s="925"/>
      <c r="DP100" s="925"/>
      <c r="DQ100" s="925"/>
      <c r="DR100" s="925"/>
      <c r="DS100" s="925"/>
      <c r="DT100" s="925"/>
      <c r="DU100" s="925"/>
      <c r="DV100" s="925"/>
      <c r="DW100" s="925"/>
      <c r="DX100" s="925"/>
      <c r="DY100" s="925"/>
      <c r="DZ100" s="925"/>
      <c r="EA100" s="925"/>
      <c r="EB100" s="925"/>
      <c r="EC100" s="925"/>
      <c r="ED100" s="925"/>
      <c r="EE100" s="925"/>
      <c r="EF100" s="925"/>
      <c r="EG100" s="446"/>
    </row>
    <row r="101" spans="1:137" ht="13" x14ac:dyDescent="0.15">
      <c r="A101" s="917"/>
      <c r="B101" s="917"/>
      <c r="C101" s="918"/>
      <c r="D101" s="919"/>
      <c r="E101" s="920"/>
      <c r="F101" s="921"/>
      <c r="G101" s="922"/>
      <c r="H101" s="922"/>
      <c r="I101" s="922"/>
      <c r="J101" s="923"/>
      <c r="K101" s="923"/>
      <c r="L101" s="924"/>
      <c r="M101" s="925"/>
      <c r="N101" s="925"/>
      <c r="O101" s="925"/>
      <c r="P101" s="925"/>
      <c r="Q101" s="925"/>
      <c r="R101" s="926"/>
      <c r="S101" s="926"/>
      <c r="T101" s="925"/>
      <c r="U101" s="925"/>
      <c r="V101" s="925"/>
      <c r="W101" s="925"/>
      <c r="X101" s="925"/>
      <c r="Y101" s="925"/>
      <c r="Z101" s="925"/>
      <c r="AA101" s="925"/>
      <c r="AB101" s="925"/>
      <c r="AC101" s="925"/>
      <c r="AD101" s="925"/>
      <c r="AE101" s="925"/>
      <c r="AF101" s="925"/>
      <c r="AG101" s="925"/>
      <c r="AH101" s="925"/>
      <c r="AI101" s="925"/>
      <c r="AJ101" s="925"/>
      <c r="AK101" s="925"/>
      <c r="AL101" s="925"/>
      <c r="AM101" s="925"/>
      <c r="AN101" s="925"/>
      <c r="AO101" s="925"/>
      <c r="AP101" s="925"/>
      <c r="AQ101" s="925"/>
      <c r="AR101" s="925"/>
      <c r="AS101" s="925"/>
      <c r="AT101" s="925"/>
      <c r="AU101" s="925"/>
      <c r="AV101" s="925"/>
      <c r="AW101" s="925"/>
      <c r="AX101" s="925"/>
      <c r="AY101" s="925"/>
      <c r="AZ101" s="925"/>
      <c r="BA101" s="925"/>
      <c r="BB101" s="925"/>
      <c r="BC101" s="925"/>
      <c r="BD101" s="925"/>
      <c r="BE101" s="925"/>
      <c r="BF101" s="925"/>
      <c r="BG101" s="925"/>
      <c r="BH101" s="925"/>
      <c r="BI101" s="925"/>
      <c r="BJ101" s="925"/>
      <c r="BK101" s="925"/>
      <c r="BL101" s="925"/>
      <c r="BM101" s="925"/>
      <c r="BN101" s="925"/>
      <c r="BO101" s="925"/>
      <c r="BP101" s="925"/>
      <c r="BQ101" s="925"/>
      <c r="BR101" s="925"/>
      <c r="BS101" s="925"/>
      <c r="BT101" s="925"/>
      <c r="BU101" s="925"/>
      <c r="BV101" s="925"/>
      <c r="BW101" s="925"/>
      <c r="BX101" s="925"/>
      <c r="BY101" s="925"/>
      <c r="BZ101" s="925"/>
      <c r="CA101" s="925"/>
      <c r="CB101" s="925"/>
      <c r="CC101" s="925"/>
      <c r="CD101" s="925"/>
      <c r="CE101" s="925"/>
      <c r="CF101" s="925"/>
      <c r="CG101" s="925"/>
      <c r="CH101" s="925"/>
      <c r="CI101" s="925"/>
      <c r="CJ101" s="925"/>
      <c r="CK101" s="925"/>
      <c r="CL101" s="925"/>
      <c r="CM101" s="925"/>
      <c r="CN101" s="925"/>
      <c r="CO101" s="925"/>
      <c r="CP101" s="925"/>
      <c r="CQ101" s="925"/>
      <c r="CR101" s="925"/>
      <c r="CS101" s="925"/>
      <c r="CT101" s="925"/>
      <c r="CU101" s="925"/>
      <c r="CV101" s="925"/>
      <c r="CW101" s="925"/>
      <c r="CX101" s="925"/>
      <c r="CY101" s="925"/>
      <c r="CZ101" s="925"/>
      <c r="DA101" s="925"/>
      <c r="DB101" s="925"/>
      <c r="DC101" s="925"/>
      <c r="DD101" s="925"/>
      <c r="DE101" s="925"/>
      <c r="DF101" s="925"/>
      <c r="DG101" s="925"/>
      <c r="DH101" s="925"/>
      <c r="DI101" s="925"/>
      <c r="DJ101" s="925"/>
      <c r="DK101" s="925"/>
      <c r="DL101" s="925"/>
      <c r="DM101" s="925"/>
      <c r="DN101" s="925"/>
      <c r="DO101" s="925"/>
      <c r="DP101" s="925"/>
      <c r="DQ101" s="925"/>
      <c r="DR101" s="925"/>
      <c r="DS101" s="925"/>
      <c r="DT101" s="925"/>
      <c r="DU101" s="925"/>
      <c r="DV101" s="925"/>
      <c r="DW101" s="925"/>
      <c r="DX101" s="925"/>
      <c r="DY101" s="925"/>
      <c r="DZ101" s="925"/>
      <c r="EA101" s="925"/>
      <c r="EB101" s="925"/>
      <c r="EC101" s="925"/>
      <c r="ED101" s="925"/>
      <c r="EE101" s="925"/>
      <c r="EF101" s="925"/>
      <c r="EG101" s="446"/>
    </row>
    <row r="102" spans="1:137" ht="13" x14ac:dyDescent="0.15">
      <c r="A102" s="917"/>
      <c r="B102" s="917"/>
      <c r="C102" s="918"/>
      <c r="D102" s="919"/>
      <c r="E102" s="920"/>
      <c r="F102" s="921"/>
      <c r="G102" s="922"/>
      <c r="H102" s="922"/>
      <c r="I102" s="922"/>
      <c r="J102" s="923"/>
      <c r="K102" s="923"/>
      <c r="L102" s="924"/>
      <c r="M102" s="925"/>
      <c r="N102" s="925"/>
      <c r="O102" s="925"/>
      <c r="P102" s="925"/>
      <c r="Q102" s="925"/>
      <c r="R102" s="926"/>
      <c r="S102" s="926"/>
      <c r="T102" s="925"/>
      <c r="U102" s="925"/>
      <c r="V102" s="925"/>
      <c r="W102" s="925"/>
      <c r="X102" s="925"/>
      <c r="Y102" s="925"/>
      <c r="Z102" s="925"/>
      <c r="AA102" s="925"/>
      <c r="AB102" s="925"/>
      <c r="AC102" s="925"/>
      <c r="AD102" s="925"/>
      <c r="AE102" s="925"/>
      <c r="AF102" s="925"/>
      <c r="AG102" s="925"/>
      <c r="AH102" s="925"/>
      <c r="AI102" s="925"/>
      <c r="AJ102" s="925"/>
      <c r="AK102" s="925"/>
      <c r="AL102" s="925"/>
      <c r="AM102" s="925"/>
      <c r="AN102" s="925"/>
      <c r="AO102" s="925"/>
      <c r="AP102" s="925"/>
      <c r="AQ102" s="925"/>
      <c r="AR102" s="925"/>
      <c r="AS102" s="925"/>
      <c r="AT102" s="925"/>
      <c r="AU102" s="925"/>
      <c r="AV102" s="925"/>
      <c r="AW102" s="925"/>
      <c r="AX102" s="925"/>
      <c r="AY102" s="925"/>
      <c r="AZ102" s="925"/>
      <c r="BA102" s="925"/>
      <c r="BB102" s="925"/>
      <c r="BC102" s="925"/>
      <c r="BD102" s="925"/>
      <c r="BE102" s="925"/>
      <c r="BF102" s="925"/>
      <c r="BG102" s="925"/>
      <c r="BH102" s="925"/>
      <c r="BI102" s="925"/>
      <c r="BJ102" s="925"/>
      <c r="BK102" s="925"/>
      <c r="BL102" s="925"/>
      <c r="BM102" s="925"/>
      <c r="BN102" s="925"/>
      <c r="BO102" s="925"/>
      <c r="BP102" s="925"/>
      <c r="BQ102" s="925"/>
      <c r="BR102" s="925"/>
      <c r="BS102" s="925"/>
      <c r="BT102" s="925"/>
      <c r="BU102" s="925"/>
      <c r="BV102" s="925"/>
      <c r="BW102" s="925"/>
      <c r="BX102" s="925"/>
      <c r="BY102" s="925"/>
      <c r="BZ102" s="925"/>
      <c r="CA102" s="925"/>
      <c r="CB102" s="925"/>
      <c r="CC102" s="925"/>
      <c r="CD102" s="925"/>
      <c r="CE102" s="925"/>
      <c r="CF102" s="925"/>
      <c r="CG102" s="925"/>
      <c r="CH102" s="925"/>
      <c r="CI102" s="925"/>
      <c r="CJ102" s="925"/>
      <c r="CK102" s="925"/>
      <c r="CL102" s="925"/>
      <c r="CM102" s="925"/>
      <c r="CN102" s="925"/>
      <c r="CO102" s="925"/>
      <c r="CP102" s="925"/>
      <c r="CQ102" s="925"/>
      <c r="CR102" s="925"/>
      <c r="CS102" s="925"/>
      <c r="CT102" s="925"/>
      <c r="CU102" s="925"/>
      <c r="CV102" s="925"/>
      <c r="CW102" s="925"/>
      <c r="CX102" s="925"/>
      <c r="CY102" s="925"/>
      <c r="CZ102" s="925"/>
      <c r="DA102" s="925"/>
      <c r="DB102" s="925"/>
      <c r="DC102" s="925"/>
      <c r="DD102" s="925"/>
      <c r="DE102" s="925"/>
      <c r="DF102" s="925"/>
      <c r="DG102" s="925"/>
      <c r="DH102" s="925"/>
      <c r="DI102" s="925"/>
      <c r="DJ102" s="925"/>
      <c r="DK102" s="925"/>
      <c r="DL102" s="925"/>
      <c r="DM102" s="925"/>
      <c r="DN102" s="925"/>
      <c r="DO102" s="925"/>
      <c r="DP102" s="925"/>
      <c r="DQ102" s="925"/>
      <c r="DR102" s="925"/>
      <c r="DS102" s="925"/>
      <c r="DT102" s="925"/>
      <c r="DU102" s="925"/>
      <c r="DV102" s="925"/>
      <c r="DW102" s="925"/>
      <c r="DX102" s="925"/>
      <c r="DY102" s="925"/>
      <c r="DZ102" s="925"/>
      <c r="EA102" s="925"/>
      <c r="EB102" s="925"/>
      <c r="EC102" s="925"/>
      <c r="ED102" s="925"/>
      <c r="EE102" s="925"/>
      <c r="EF102" s="925"/>
      <c r="EG102" s="446"/>
    </row>
    <row r="103" spans="1:137" ht="13" x14ac:dyDescent="0.15">
      <c r="A103" s="917"/>
      <c r="B103" s="917"/>
      <c r="C103" s="918"/>
      <c r="D103" s="919"/>
      <c r="E103" s="920"/>
      <c r="F103" s="921"/>
      <c r="G103" s="922"/>
      <c r="H103" s="922"/>
      <c r="I103" s="922"/>
      <c r="J103" s="923"/>
      <c r="K103" s="923"/>
      <c r="L103" s="924"/>
      <c r="M103" s="925"/>
      <c r="N103" s="925"/>
      <c r="O103" s="925"/>
      <c r="P103" s="925"/>
      <c r="Q103" s="925"/>
      <c r="R103" s="926"/>
      <c r="S103" s="926"/>
      <c r="T103" s="925"/>
      <c r="U103" s="925"/>
      <c r="V103" s="925"/>
      <c r="W103" s="925"/>
      <c r="X103" s="925"/>
      <c r="Y103" s="925"/>
      <c r="Z103" s="925"/>
      <c r="AA103" s="925"/>
      <c r="AB103" s="925"/>
      <c r="AC103" s="925"/>
      <c r="AD103" s="925"/>
      <c r="AE103" s="925"/>
      <c r="AF103" s="925"/>
      <c r="AG103" s="925"/>
      <c r="AH103" s="925"/>
      <c r="AI103" s="925"/>
      <c r="AJ103" s="925"/>
      <c r="AK103" s="925"/>
      <c r="AL103" s="925"/>
      <c r="AM103" s="925"/>
      <c r="AN103" s="925"/>
      <c r="AO103" s="925"/>
      <c r="AP103" s="925"/>
      <c r="AQ103" s="925"/>
      <c r="AR103" s="925"/>
      <c r="AS103" s="925"/>
      <c r="AT103" s="925"/>
      <c r="AU103" s="925"/>
      <c r="AV103" s="925"/>
      <c r="AW103" s="925"/>
      <c r="AX103" s="925"/>
      <c r="AY103" s="925"/>
      <c r="AZ103" s="925"/>
      <c r="BA103" s="925"/>
      <c r="BB103" s="925"/>
      <c r="BC103" s="925"/>
      <c r="BD103" s="925"/>
      <c r="BE103" s="925"/>
      <c r="BF103" s="925"/>
      <c r="BG103" s="925"/>
      <c r="BH103" s="925"/>
      <c r="BI103" s="925"/>
      <c r="BJ103" s="925"/>
      <c r="BK103" s="925"/>
      <c r="BL103" s="925"/>
      <c r="BM103" s="925"/>
      <c r="BN103" s="925"/>
      <c r="BO103" s="925"/>
      <c r="BP103" s="925"/>
      <c r="BQ103" s="925"/>
      <c r="BR103" s="925"/>
      <c r="BS103" s="925"/>
      <c r="BT103" s="925"/>
      <c r="BU103" s="925"/>
      <c r="BV103" s="925"/>
      <c r="BW103" s="925"/>
      <c r="BX103" s="925"/>
      <c r="BY103" s="925"/>
      <c r="BZ103" s="925"/>
      <c r="CA103" s="925"/>
      <c r="CB103" s="925"/>
      <c r="CC103" s="925"/>
      <c r="CD103" s="925"/>
      <c r="CE103" s="925"/>
      <c r="CF103" s="925"/>
      <c r="CG103" s="925"/>
      <c r="CH103" s="925"/>
      <c r="CI103" s="925"/>
      <c r="CJ103" s="925"/>
      <c r="CK103" s="925"/>
      <c r="CL103" s="925"/>
      <c r="CM103" s="925"/>
      <c r="CN103" s="925"/>
      <c r="CO103" s="925"/>
      <c r="CP103" s="925"/>
      <c r="CQ103" s="925"/>
      <c r="CR103" s="925"/>
      <c r="CS103" s="925"/>
      <c r="CT103" s="925"/>
      <c r="CU103" s="925"/>
      <c r="CV103" s="925"/>
      <c r="CW103" s="925"/>
      <c r="CX103" s="925"/>
      <c r="CY103" s="925"/>
      <c r="CZ103" s="925"/>
      <c r="DA103" s="925"/>
      <c r="DB103" s="925"/>
      <c r="DC103" s="925"/>
      <c r="DD103" s="925"/>
      <c r="DE103" s="925"/>
      <c r="DF103" s="925"/>
      <c r="DG103" s="925"/>
      <c r="DH103" s="925"/>
      <c r="DI103" s="925"/>
      <c r="DJ103" s="925"/>
      <c r="DK103" s="925"/>
      <c r="DL103" s="925"/>
      <c r="DM103" s="925"/>
      <c r="DN103" s="925"/>
      <c r="DO103" s="925"/>
      <c r="DP103" s="925"/>
      <c r="DQ103" s="925"/>
      <c r="DR103" s="925"/>
      <c r="DS103" s="925"/>
      <c r="DT103" s="925"/>
      <c r="DU103" s="925"/>
      <c r="DV103" s="925"/>
      <c r="DW103" s="925"/>
      <c r="DX103" s="925"/>
      <c r="DY103" s="925"/>
      <c r="DZ103" s="925"/>
      <c r="EA103" s="925"/>
      <c r="EB103" s="925"/>
      <c r="EC103" s="925"/>
      <c r="ED103" s="925"/>
      <c r="EE103" s="925"/>
      <c r="EF103" s="925"/>
      <c r="EG103" s="446"/>
    </row>
    <row r="104" spans="1:137" ht="13" x14ac:dyDescent="0.15">
      <c r="A104" s="917"/>
      <c r="B104" s="917"/>
      <c r="C104" s="918"/>
      <c r="D104" s="919"/>
      <c r="E104" s="920"/>
      <c r="F104" s="921"/>
      <c r="G104" s="922"/>
      <c r="H104" s="922"/>
      <c r="I104" s="922"/>
      <c r="J104" s="923"/>
      <c r="K104" s="923"/>
      <c r="L104" s="924"/>
      <c r="M104" s="925"/>
      <c r="N104" s="925"/>
      <c r="O104" s="925"/>
      <c r="P104" s="925"/>
      <c r="Q104" s="925"/>
      <c r="R104" s="926"/>
      <c r="S104" s="926"/>
      <c r="T104" s="925"/>
      <c r="U104" s="925"/>
      <c r="V104" s="925"/>
      <c r="W104" s="925"/>
      <c r="X104" s="925"/>
      <c r="Y104" s="925"/>
      <c r="Z104" s="925"/>
      <c r="AA104" s="925"/>
      <c r="AB104" s="925"/>
      <c r="AC104" s="925"/>
      <c r="AD104" s="925"/>
      <c r="AE104" s="925"/>
      <c r="AF104" s="925"/>
      <c r="AG104" s="925"/>
      <c r="AH104" s="925"/>
      <c r="AI104" s="925"/>
      <c r="AJ104" s="925"/>
      <c r="AK104" s="925"/>
      <c r="AL104" s="925"/>
      <c r="AM104" s="925"/>
      <c r="AN104" s="925"/>
      <c r="AO104" s="925"/>
      <c r="AP104" s="925"/>
      <c r="AQ104" s="925"/>
      <c r="AR104" s="925"/>
      <c r="AS104" s="925"/>
      <c r="AT104" s="925"/>
      <c r="AU104" s="925"/>
      <c r="AV104" s="925"/>
      <c r="AW104" s="925"/>
      <c r="AX104" s="925"/>
      <c r="AY104" s="925"/>
      <c r="AZ104" s="925"/>
      <c r="BA104" s="925"/>
      <c r="BB104" s="925"/>
      <c r="BC104" s="925"/>
      <c r="BD104" s="925"/>
      <c r="BE104" s="925"/>
      <c r="BF104" s="925"/>
      <c r="BG104" s="925"/>
      <c r="BH104" s="925"/>
      <c r="BI104" s="925"/>
      <c r="BJ104" s="925"/>
      <c r="BK104" s="925"/>
      <c r="BL104" s="925"/>
      <c r="BM104" s="925"/>
      <c r="BN104" s="925"/>
      <c r="BO104" s="925"/>
      <c r="BP104" s="925"/>
      <c r="BQ104" s="925"/>
      <c r="BR104" s="925"/>
      <c r="BS104" s="925"/>
      <c r="BT104" s="925"/>
      <c r="BU104" s="925"/>
      <c r="BV104" s="925"/>
      <c r="BW104" s="925"/>
      <c r="BX104" s="925"/>
      <c r="BY104" s="925"/>
      <c r="BZ104" s="925"/>
      <c r="CA104" s="925"/>
      <c r="CB104" s="925"/>
      <c r="CC104" s="925"/>
      <c r="CD104" s="925"/>
      <c r="CE104" s="925"/>
      <c r="CF104" s="925"/>
      <c r="CG104" s="925"/>
      <c r="CH104" s="925"/>
      <c r="CI104" s="925"/>
      <c r="CJ104" s="925"/>
      <c r="CK104" s="925"/>
      <c r="CL104" s="925"/>
      <c r="CM104" s="925"/>
      <c r="CN104" s="925"/>
      <c r="CO104" s="925"/>
      <c r="CP104" s="925"/>
      <c r="CQ104" s="925"/>
      <c r="CR104" s="925"/>
      <c r="CS104" s="925"/>
      <c r="CT104" s="925"/>
      <c r="CU104" s="925"/>
      <c r="CV104" s="925"/>
      <c r="CW104" s="925"/>
      <c r="CX104" s="925"/>
      <c r="CY104" s="925"/>
      <c r="CZ104" s="925"/>
      <c r="DA104" s="925"/>
      <c r="DB104" s="925"/>
      <c r="DC104" s="925"/>
      <c r="DD104" s="925"/>
      <c r="DE104" s="925"/>
      <c r="DF104" s="925"/>
      <c r="DG104" s="925"/>
      <c r="DH104" s="925"/>
      <c r="DI104" s="925"/>
      <c r="DJ104" s="925"/>
      <c r="DK104" s="925"/>
      <c r="DL104" s="925"/>
      <c r="DM104" s="925"/>
      <c r="DN104" s="925"/>
      <c r="DO104" s="925"/>
      <c r="DP104" s="925"/>
      <c r="DQ104" s="925"/>
      <c r="DR104" s="925"/>
      <c r="DS104" s="925"/>
      <c r="DT104" s="925"/>
      <c r="DU104" s="925"/>
      <c r="DV104" s="925"/>
      <c r="DW104" s="925"/>
      <c r="DX104" s="925"/>
      <c r="DY104" s="925"/>
      <c r="DZ104" s="925"/>
      <c r="EA104" s="925"/>
      <c r="EB104" s="925"/>
      <c r="EC104" s="925"/>
      <c r="ED104" s="925"/>
      <c r="EE104" s="925"/>
      <c r="EF104" s="925"/>
      <c r="EG104" s="446"/>
    </row>
    <row r="105" spans="1:137" ht="13" x14ac:dyDescent="0.15">
      <c r="A105" s="917"/>
      <c r="B105" s="917"/>
      <c r="C105" s="918"/>
      <c r="D105" s="919"/>
      <c r="E105" s="920"/>
      <c r="F105" s="921"/>
      <c r="G105" s="922"/>
      <c r="H105" s="922"/>
      <c r="I105" s="922"/>
      <c r="J105" s="923"/>
      <c r="K105" s="923"/>
      <c r="L105" s="924"/>
      <c r="M105" s="925"/>
      <c r="N105" s="925"/>
      <c r="O105" s="925"/>
      <c r="P105" s="925"/>
      <c r="Q105" s="925"/>
      <c r="R105" s="926"/>
      <c r="S105" s="926"/>
      <c r="T105" s="925"/>
      <c r="U105" s="925"/>
      <c r="V105" s="925"/>
      <c r="W105" s="925"/>
      <c r="X105" s="925"/>
      <c r="Y105" s="925"/>
      <c r="Z105" s="925"/>
      <c r="AA105" s="925"/>
      <c r="AB105" s="925"/>
      <c r="AC105" s="925"/>
      <c r="AD105" s="925"/>
      <c r="AE105" s="925"/>
      <c r="AF105" s="925"/>
      <c r="AG105" s="925"/>
      <c r="AH105" s="925"/>
      <c r="AI105" s="925"/>
      <c r="AJ105" s="925"/>
      <c r="AK105" s="925"/>
      <c r="AL105" s="925"/>
      <c r="AM105" s="925"/>
      <c r="AN105" s="925"/>
      <c r="AO105" s="925"/>
      <c r="AP105" s="925"/>
      <c r="AQ105" s="925"/>
      <c r="AR105" s="925"/>
      <c r="AS105" s="925"/>
      <c r="AT105" s="925"/>
      <c r="AU105" s="925"/>
      <c r="AV105" s="925"/>
      <c r="AW105" s="925"/>
      <c r="AX105" s="925"/>
      <c r="AY105" s="925"/>
      <c r="AZ105" s="925"/>
      <c r="BA105" s="925"/>
      <c r="BB105" s="925"/>
      <c r="BC105" s="925"/>
      <c r="BD105" s="925"/>
      <c r="BE105" s="925"/>
      <c r="BF105" s="925"/>
      <c r="BG105" s="925"/>
      <c r="BH105" s="925"/>
      <c r="BI105" s="925"/>
      <c r="BJ105" s="925"/>
      <c r="BK105" s="925"/>
      <c r="BL105" s="925"/>
      <c r="BM105" s="925"/>
      <c r="BN105" s="925"/>
      <c r="BO105" s="925"/>
      <c r="BP105" s="925"/>
      <c r="BQ105" s="925"/>
      <c r="BR105" s="925"/>
      <c r="BS105" s="925"/>
      <c r="BT105" s="925"/>
      <c r="BU105" s="925"/>
      <c r="BV105" s="925"/>
      <c r="BW105" s="925"/>
      <c r="BX105" s="925"/>
      <c r="BY105" s="925"/>
      <c r="BZ105" s="925"/>
      <c r="CA105" s="925"/>
      <c r="CB105" s="925"/>
      <c r="CC105" s="925"/>
      <c r="CD105" s="925"/>
      <c r="CE105" s="925"/>
      <c r="CF105" s="925"/>
      <c r="CG105" s="925"/>
      <c r="CH105" s="925"/>
      <c r="CI105" s="925"/>
      <c r="CJ105" s="925"/>
      <c r="CK105" s="925"/>
      <c r="CL105" s="925"/>
      <c r="CM105" s="925"/>
      <c r="CN105" s="925"/>
      <c r="CO105" s="925"/>
      <c r="CP105" s="925"/>
      <c r="CQ105" s="925"/>
      <c r="CR105" s="925"/>
      <c r="CS105" s="925"/>
      <c r="CT105" s="925"/>
      <c r="CU105" s="925"/>
      <c r="CV105" s="925"/>
      <c r="CW105" s="925"/>
      <c r="CX105" s="925"/>
      <c r="CY105" s="925"/>
      <c r="CZ105" s="925"/>
      <c r="DA105" s="925"/>
      <c r="DB105" s="925"/>
      <c r="DC105" s="925"/>
      <c r="DD105" s="925"/>
      <c r="DE105" s="925"/>
      <c r="DF105" s="925"/>
      <c r="DG105" s="925"/>
      <c r="DH105" s="925"/>
      <c r="DI105" s="925"/>
      <c r="DJ105" s="925"/>
      <c r="DK105" s="925"/>
      <c r="DL105" s="925"/>
      <c r="DM105" s="925"/>
      <c r="DN105" s="925"/>
      <c r="DO105" s="925"/>
      <c r="DP105" s="925"/>
      <c r="DQ105" s="925"/>
      <c r="DR105" s="925"/>
      <c r="DS105" s="925"/>
      <c r="DT105" s="925"/>
      <c r="DU105" s="925"/>
      <c r="DV105" s="925"/>
      <c r="DW105" s="925"/>
      <c r="DX105" s="925"/>
      <c r="DY105" s="925"/>
      <c r="DZ105" s="925"/>
      <c r="EA105" s="925"/>
      <c r="EB105" s="925"/>
      <c r="EC105" s="925"/>
      <c r="ED105" s="925"/>
      <c r="EE105" s="925"/>
      <c r="EF105" s="925"/>
      <c r="EG105" s="446"/>
    </row>
    <row r="106" spans="1:137" ht="13" x14ac:dyDescent="0.15">
      <c r="A106" s="917"/>
      <c r="B106" s="917"/>
      <c r="C106" s="918"/>
      <c r="D106" s="919"/>
      <c r="E106" s="920"/>
      <c r="F106" s="921"/>
      <c r="G106" s="922"/>
      <c r="H106" s="922"/>
      <c r="I106" s="922"/>
      <c r="J106" s="923"/>
      <c r="K106" s="923"/>
      <c r="L106" s="924"/>
      <c r="M106" s="925"/>
      <c r="N106" s="925"/>
      <c r="O106" s="925"/>
      <c r="P106" s="925"/>
      <c r="Q106" s="925"/>
      <c r="R106" s="926"/>
      <c r="S106" s="926"/>
      <c r="T106" s="925"/>
      <c r="U106" s="925"/>
      <c r="V106" s="925"/>
      <c r="W106" s="925"/>
      <c r="X106" s="925"/>
      <c r="Y106" s="925"/>
      <c r="Z106" s="925"/>
      <c r="AA106" s="925"/>
      <c r="AB106" s="925"/>
      <c r="AC106" s="925"/>
      <c r="AD106" s="925"/>
      <c r="AE106" s="925"/>
      <c r="AF106" s="925"/>
      <c r="AG106" s="925"/>
      <c r="AH106" s="925"/>
      <c r="AI106" s="925"/>
      <c r="AJ106" s="925"/>
      <c r="AK106" s="925"/>
      <c r="AL106" s="925"/>
      <c r="AM106" s="925"/>
      <c r="AN106" s="925"/>
      <c r="AO106" s="925"/>
      <c r="AP106" s="925"/>
      <c r="AQ106" s="925"/>
      <c r="AR106" s="925"/>
      <c r="AS106" s="925"/>
      <c r="AT106" s="925"/>
      <c r="AU106" s="925"/>
      <c r="AV106" s="925"/>
      <c r="AW106" s="925"/>
      <c r="AX106" s="925"/>
      <c r="AY106" s="925"/>
      <c r="AZ106" s="925"/>
      <c r="BA106" s="925"/>
      <c r="BB106" s="925"/>
      <c r="BC106" s="925"/>
      <c r="BD106" s="925"/>
      <c r="BE106" s="925"/>
      <c r="BF106" s="925"/>
      <c r="BG106" s="925"/>
      <c r="BH106" s="925"/>
      <c r="BI106" s="925"/>
      <c r="BJ106" s="925"/>
      <c r="BK106" s="925"/>
      <c r="BL106" s="925"/>
      <c r="BM106" s="925"/>
      <c r="BN106" s="925"/>
      <c r="BO106" s="925"/>
      <c r="BP106" s="925"/>
      <c r="BQ106" s="925"/>
      <c r="BR106" s="925"/>
      <c r="BS106" s="925"/>
      <c r="BT106" s="925"/>
      <c r="BU106" s="925"/>
      <c r="BV106" s="925"/>
      <c r="BW106" s="925"/>
      <c r="BX106" s="925"/>
      <c r="BY106" s="925"/>
      <c r="BZ106" s="925"/>
      <c r="CA106" s="925"/>
      <c r="CB106" s="925"/>
      <c r="CC106" s="925"/>
      <c r="CD106" s="925"/>
      <c r="CE106" s="925"/>
      <c r="CF106" s="925"/>
      <c r="CG106" s="925"/>
      <c r="CH106" s="925"/>
      <c r="CI106" s="925"/>
      <c r="CJ106" s="925"/>
      <c r="CK106" s="925"/>
      <c r="CL106" s="925"/>
      <c r="CM106" s="925"/>
      <c r="CN106" s="925"/>
      <c r="CO106" s="925"/>
      <c r="CP106" s="925"/>
      <c r="CQ106" s="925"/>
      <c r="CR106" s="925"/>
      <c r="CS106" s="925"/>
      <c r="CT106" s="925"/>
      <c r="CU106" s="925"/>
      <c r="CV106" s="925"/>
      <c r="CW106" s="925"/>
      <c r="CX106" s="925"/>
      <c r="CY106" s="925"/>
      <c r="CZ106" s="925"/>
      <c r="DA106" s="925"/>
      <c r="DB106" s="925"/>
      <c r="DC106" s="925"/>
      <c r="DD106" s="925"/>
      <c r="DE106" s="925"/>
      <c r="DF106" s="925"/>
      <c r="DG106" s="925"/>
      <c r="DH106" s="925"/>
      <c r="DI106" s="925"/>
      <c r="DJ106" s="925"/>
      <c r="DK106" s="925"/>
      <c r="DL106" s="925"/>
      <c r="DM106" s="925"/>
      <c r="DN106" s="925"/>
      <c r="DO106" s="925"/>
      <c r="DP106" s="925"/>
      <c r="DQ106" s="925"/>
      <c r="DR106" s="925"/>
      <c r="DS106" s="925"/>
      <c r="DT106" s="925"/>
      <c r="DU106" s="925"/>
      <c r="DV106" s="925"/>
      <c r="DW106" s="925"/>
      <c r="DX106" s="925"/>
      <c r="DY106" s="925"/>
      <c r="DZ106" s="925"/>
      <c r="EA106" s="925"/>
      <c r="EB106" s="925"/>
      <c r="EC106" s="925"/>
      <c r="ED106" s="925"/>
      <c r="EE106" s="925"/>
      <c r="EF106" s="925"/>
      <c r="EG106" s="446"/>
    </row>
    <row r="107" spans="1:137" ht="13" x14ac:dyDescent="0.15">
      <c r="A107" s="917"/>
      <c r="B107" s="917"/>
      <c r="C107" s="918"/>
      <c r="D107" s="919"/>
      <c r="E107" s="920"/>
      <c r="F107" s="921"/>
      <c r="G107" s="922"/>
      <c r="H107" s="922"/>
      <c r="I107" s="922"/>
      <c r="J107" s="923"/>
      <c r="K107" s="923"/>
      <c r="L107" s="924"/>
      <c r="M107" s="925"/>
      <c r="N107" s="925"/>
      <c r="O107" s="925"/>
      <c r="P107" s="925"/>
      <c r="Q107" s="925"/>
      <c r="R107" s="926"/>
      <c r="S107" s="926"/>
      <c r="T107" s="925"/>
      <c r="U107" s="925"/>
      <c r="V107" s="925"/>
      <c r="W107" s="925"/>
      <c r="X107" s="925"/>
      <c r="Y107" s="925"/>
      <c r="Z107" s="925"/>
      <c r="AA107" s="925"/>
      <c r="AB107" s="925"/>
      <c r="AC107" s="925"/>
      <c r="AD107" s="925"/>
      <c r="AE107" s="925"/>
      <c r="AF107" s="925"/>
      <c r="AG107" s="925"/>
      <c r="AH107" s="925"/>
      <c r="AI107" s="925"/>
      <c r="AJ107" s="925"/>
      <c r="AK107" s="925"/>
      <c r="AL107" s="925"/>
      <c r="AM107" s="925"/>
      <c r="AN107" s="925"/>
      <c r="AO107" s="925"/>
      <c r="AP107" s="925"/>
      <c r="AQ107" s="925"/>
      <c r="AR107" s="925"/>
      <c r="AS107" s="925"/>
      <c r="AT107" s="925"/>
      <c r="AU107" s="925"/>
      <c r="AV107" s="925"/>
      <c r="AW107" s="925"/>
      <c r="AX107" s="925"/>
      <c r="AY107" s="925"/>
      <c r="AZ107" s="925"/>
      <c r="BA107" s="925"/>
      <c r="BB107" s="925"/>
      <c r="BC107" s="925"/>
      <c r="BD107" s="925"/>
      <c r="BE107" s="925"/>
      <c r="BF107" s="925"/>
      <c r="BG107" s="925"/>
      <c r="BH107" s="925"/>
      <c r="BI107" s="925"/>
      <c r="BJ107" s="925"/>
      <c r="BK107" s="925"/>
      <c r="BL107" s="925"/>
      <c r="BM107" s="925"/>
      <c r="BN107" s="925"/>
      <c r="BO107" s="925"/>
      <c r="BP107" s="925"/>
      <c r="BQ107" s="925"/>
      <c r="BR107" s="925"/>
      <c r="BS107" s="925"/>
      <c r="BT107" s="925"/>
      <c r="BU107" s="925"/>
      <c r="BV107" s="925"/>
      <c r="BW107" s="925"/>
      <c r="BX107" s="925"/>
      <c r="BY107" s="925"/>
      <c r="BZ107" s="925"/>
      <c r="CA107" s="925"/>
      <c r="CB107" s="925"/>
      <c r="CC107" s="925"/>
      <c r="CD107" s="925"/>
      <c r="CE107" s="925"/>
      <c r="CF107" s="925"/>
      <c r="CG107" s="925"/>
      <c r="CH107" s="925"/>
      <c r="CI107" s="925"/>
      <c r="CJ107" s="925"/>
      <c r="CK107" s="925"/>
      <c r="CL107" s="925"/>
      <c r="CM107" s="925"/>
      <c r="CN107" s="925"/>
      <c r="CO107" s="925"/>
      <c r="CP107" s="925"/>
      <c r="CQ107" s="925"/>
      <c r="CR107" s="925"/>
      <c r="CS107" s="925"/>
      <c r="CT107" s="925"/>
      <c r="CU107" s="925"/>
      <c r="CV107" s="925"/>
      <c r="CW107" s="925"/>
      <c r="CX107" s="925"/>
      <c r="CY107" s="925"/>
      <c r="CZ107" s="925"/>
      <c r="DA107" s="925"/>
      <c r="DB107" s="925"/>
      <c r="DC107" s="925"/>
      <c r="DD107" s="925"/>
      <c r="DE107" s="925"/>
      <c r="DF107" s="925"/>
      <c r="DG107" s="925"/>
      <c r="DH107" s="925"/>
      <c r="DI107" s="925"/>
      <c r="DJ107" s="925"/>
      <c r="DK107" s="925"/>
      <c r="DL107" s="925"/>
      <c r="DM107" s="925"/>
      <c r="DN107" s="925"/>
      <c r="DO107" s="925"/>
      <c r="DP107" s="925"/>
      <c r="DQ107" s="925"/>
      <c r="DR107" s="925"/>
      <c r="DS107" s="925"/>
      <c r="DT107" s="925"/>
      <c r="DU107" s="925"/>
      <c r="DV107" s="925"/>
      <c r="DW107" s="925"/>
      <c r="DX107" s="925"/>
      <c r="DY107" s="925"/>
      <c r="DZ107" s="925"/>
      <c r="EA107" s="925"/>
      <c r="EB107" s="925"/>
      <c r="EC107" s="925"/>
      <c r="ED107" s="925"/>
      <c r="EE107" s="925"/>
      <c r="EF107" s="925"/>
      <c r="EG107" s="446"/>
    </row>
    <row r="108" spans="1:137" ht="13" x14ac:dyDescent="0.15">
      <c r="A108" s="917"/>
      <c r="B108" s="917"/>
      <c r="C108" s="918"/>
      <c r="D108" s="919"/>
      <c r="E108" s="920"/>
      <c r="F108" s="921"/>
      <c r="G108" s="922"/>
      <c r="H108" s="922"/>
      <c r="I108" s="922"/>
      <c r="J108" s="923"/>
      <c r="K108" s="923"/>
      <c r="L108" s="924"/>
      <c r="M108" s="925"/>
      <c r="N108" s="925"/>
      <c r="O108" s="925"/>
      <c r="P108" s="925"/>
      <c r="Q108" s="925"/>
      <c r="R108" s="926"/>
      <c r="S108" s="926"/>
      <c r="T108" s="925"/>
      <c r="U108" s="925"/>
      <c r="V108" s="925"/>
      <c r="W108" s="925"/>
      <c r="X108" s="925"/>
      <c r="Y108" s="925"/>
      <c r="Z108" s="925"/>
      <c r="AA108" s="925"/>
      <c r="AB108" s="925"/>
      <c r="AC108" s="925"/>
      <c r="AD108" s="925"/>
      <c r="AE108" s="925"/>
      <c r="AF108" s="925"/>
      <c r="AG108" s="925"/>
      <c r="AH108" s="925"/>
      <c r="AI108" s="925"/>
      <c r="AJ108" s="925"/>
      <c r="AK108" s="925"/>
      <c r="AL108" s="925"/>
      <c r="AM108" s="925"/>
      <c r="AN108" s="925"/>
      <c r="AO108" s="925"/>
      <c r="AP108" s="925"/>
      <c r="AQ108" s="925"/>
      <c r="AR108" s="925"/>
      <c r="AS108" s="925"/>
      <c r="AT108" s="925"/>
      <c r="AU108" s="925"/>
      <c r="AV108" s="925"/>
      <c r="AW108" s="925"/>
      <c r="AX108" s="925"/>
      <c r="AY108" s="925"/>
      <c r="AZ108" s="925"/>
      <c r="BA108" s="925"/>
      <c r="BB108" s="925"/>
      <c r="BC108" s="925"/>
      <c r="BD108" s="925"/>
      <c r="BE108" s="925"/>
      <c r="BF108" s="925"/>
      <c r="BG108" s="925"/>
      <c r="BH108" s="925"/>
      <c r="BI108" s="925"/>
      <c r="BJ108" s="925"/>
      <c r="BK108" s="925"/>
      <c r="BL108" s="925"/>
      <c r="BM108" s="925"/>
      <c r="BN108" s="925"/>
      <c r="BO108" s="925"/>
      <c r="BP108" s="925"/>
      <c r="BQ108" s="925"/>
      <c r="BR108" s="925"/>
      <c r="BS108" s="925"/>
      <c r="BT108" s="925"/>
      <c r="BU108" s="925"/>
      <c r="BV108" s="925"/>
      <c r="BW108" s="925"/>
      <c r="BX108" s="925"/>
      <c r="BY108" s="925"/>
      <c r="BZ108" s="925"/>
      <c r="CA108" s="925"/>
      <c r="CB108" s="925"/>
      <c r="CC108" s="925"/>
      <c r="CD108" s="925"/>
      <c r="CE108" s="925"/>
      <c r="CF108" s="925"/>
      <c r="CG108" s="925"/>
      <c r="CH108" s="925"/>
      <c r="CI108" s="925"/>
      <c r="CJ108" s="925"/>
      <c r="CK108" s="925"/>
      <c r="CL108" s="925"/>
      <c r="CM108" s="925"/>
      <c r="CN108" s="925"/>
      <c r="CO108" s="925"/>
      <c r="CP108" s="925"/>
      <c r="CQ108" s="925"/>
      <c r="CR108" s="925"/>
      <c r="CS108" s="925"/>
      <c r="CT108" s="925"/>
      <c r="CU108" s="925"/>
      <c r="CV108" s="925"/>
      <c r="CW108" s="925"/>
      <c r="CX108" s="925"/>
      <c r="CY108" s="925"/>
      <c r="CZ108" s="925"/>
      <c r="DA108" s="925"/>
      <c r="DB108" s="925"/>
      <c r="DC108" s="925"/>
      <c r="DD108" s="925"/>
      <c r="DE108" s="925"/>
      <c r="DF108" s="925"/>
      <c r="DG108" s="925"/>
      <c r="DH108" s="925"/>
      <c r="DI108" s="925"/>
      <c r="DJ108" s="925"/>
      <c r="DK108" s="925"/>
      <c r="DL108" s="925"/>
      <c r="DM108" s="925"/>
      <c r="DN108" s="925"/>
      <c r="DO108" s="925"/>
      <c r="DP108" s="925"/>
      <c r="DQ108" s="925"/>
      <c r="DR108" s="925"/>
      <c r="DS108" s="925"/>
      <c r="DT108" s="925"/>
      <c r="DU108" s="925"/>
      <c r="DV108" s="925"/>
      <c r="DW108" s="925"/>
      <c r="DX108" s="925"/>
      <c r="DY108" s="925"/>
      <c r="DZ108" s="925"/>
      <c r="EA108" s="925"/>
      <c r="EB108" s="925"/>
      <c r="EC108" s="925"/>
      <c r="ED108" s="925"/>
      <c r="EE108" s="925"/>
      <c r="EF108" s="925"/>
      <c r="EG108" s="446"/>
    </row>
    <row r="109" spans="1:137" ht="13" x14ac:dyDescent="0.15">
      <c r="A109" s="917"/>
      <c r="B109" s="917"/>
      <c r="C109" s="918"/>
      <c r="D109" s="919"/>
      <c r="E109" s="920"/>
      <c r="F109" s="921"/>
      <c r="G109" s="922"/>
      <c r="H109" s="922"/>
      <c r="I109" s="922"/>
      <c r="J109" s="923"/>
      <c r="K109" s="923"/>
      <c r="L109" s="924"/>
      <c r="M109" s="925"/>
      <c r="N109" s="925"/>
      <c r="O109" s="925"/>
      <c r="P109" s="925"/>
      <c r="Q109" s="925"/>
      <c r="R109" s="926"/>
      <c r="S109" s="926"/>
      <c r="T109" s="925"/>
      <c r="U109" s="925"/>
      <c r="V109" s="925"/>
      <c r="W109" s="925"/>
      <c r="X109" s="925"/>
      <c r="Y109" s="925"/>
      <c r="Z109" s="925"/>
      <c r="AA109" s="925"/>
      <c r="AB109" s="925"/>
      <c r="AC109" s="925"/>
      <c r="AD109" s="925"/>
      <c r="AE109" s="925"/>
      <c r="AF109" s="925"/>
      <c r="AG109" s="925"/>
      <c r="AH109" s="925"/>
      <c r="AI109" s="925"/>
      <c r="AJ109" s="925"/>
      <c r="AK109" s="925"/>
      <c r="AL109" s="925"/>
      <c r="AM109" s="925"/>
      <c r="AN109" s="925"/>
      <c r="AO109" s="925"/>
      <c r="AP109" s="925"/>
      <c r="AQ109" s="925"/>
      <c r="AR109" s="925"/>
      <c r="AS109" s="925"/>
      <c r="AT109" s="925"/>
      <c r="AU109" s="925"/>
      <c r="AV109" s="925"/>
      <c r="AW109" s="925"/>
      <c r="AX109" s="925"/>
      <c r="AY109" s="925"/>
      <c r="AZ109" s="925"/>
      <c r="BA109" s="925"/>
      <c r="BB109" s="925"/>
      <c r="BC109" s="925"/>
      <c r="BD109" s="925"/>
      <c r="BE109" s="925"/>
      <c r="BF109" s="925"/>
      <c r="BG109" s="925"/>
      <c r="BH109" s="925"/>
      <c r="BI109" s="925"/>
      <c r="BJ109" s="925"/>
      <c r="BK109" s="925"/>
      <c r="BL109" s="925"/>
      <c r="BM109" s="925"/>
      <c r="BN109" s="925"/>
      <c r="BO109" s="925"/>
      <c r="BP109" s="925"/>
      <c r="BQ109" s="925"/>
      <c r="BR109" s="925"/>
      <c r="BS109" s="925"/>
      <c r="BT109" s="925"/>
      <c r="BU109" s="925"/>
      <c r="BV109" s="925"/>
      <c r="BW109" s="925"/>
      <c r="BX109" s="925"/>
      <c r="BY109" s="925"/>
      <c r="BZ109" s="925"/>
      <c r="CA109" s="925"/>
      <c r="CB109" s="925"/>
      <c r="CC109" s="925"/>
      <c r="CD109" s="925"/>
      <c r="CE109" s="925"/>
      <c r="CF109" s="925"/>
      <c r="CG109" s="925"/>
      <c r="CH109" s="925"/>
      <c r="CI109" s="925"/>
      <c r="CJ109" s="925"/>
      <c r="CK109" s="925"/>
      <c r="CL109" s="925"/>
      <c r="CM109" s="925"/>
      <c r="CN109" s="925"/>
      <c r="CO109" s="925"/>
      <c r="CP109" s="925"/>
      <c r="CQ109" s="925"/>
      <c r="CR109" s="925"/>
      <c r="CS109" s="925"/>
      <c r="CT109" s="925"/>
      <c r="CU109" s="925"/>
      <c r="CV109" s="925"/>
      <c r="CW109" s="925"/>
      <c r="CX109" s="925"/>
      <c r="CY109" s="925"/>
      <c r="CZ109" s="925"/>
      <c r="DA109" s="925"/>
      <c r="DB109" s="925"/>
      <c r="DC109" s="925"/>
      <c r="DD109" s="925"/>
      <c r="DE109" s="925"/>
      <c r="DF109" s="925"/>
      <c r="DG109" s="925"/>
      <c r="DH109" s="925"/>
      <c r="DI109" s="925"/>
      <c r="DJ109" s="925"/>
      <c r="DK109" s="925"/>
      <c r="DL109" s="925"/>
      <c r="DM109" s="925"/>
      <c r="DN109" s="925"/>
      <c r="DO109" s="925"/>
      <c r="DP109" s="925"/>
      <c r="DQ109" s="925"/>
      <c r="DR109" s="925"/>
      <c r="DS109" s="925"/>
      <c r="DT109" s="925"/>
      <c r="DU109" s="925"/>
      <c r="DV109" s="925"/>
      <c r="DW109" s="925"/>
      <c r="DX109" s="925"/>
      <c r="DY109" s="925"/>
      <c r="DZ109" s="925"/>
      <c r="EA109" s="925"/>
      <c r="EB109" s="925"/>
      <c r="EC109" s="925"/>
      <c r="ED109" s="925"/>
      <c r="EE109" s="925"/>
      <c r="EF109" s="925"/>
      <c r="EG109" s="446"/>
    </row>
    <row r="110" spans="1:137" ht="13" x14ac:dyDescent="0.15">
      <c r="A110" s="917"/>
      <c r="B110" s="917"/>
      <c r="C110" s="918"/>
      <c r="D110" s="919"/>
      <c r="E110" s="920"/>
      <c r="F110" s="921"/>
      <c r="G110" s="922"/>
      <c r="H110" s="922"/>
      <c r="I110" s="922"/>
      <c r="J110" s="923"/>
      <c r="K110" s="923"/>
      <c r="L110" s="924"/>
      <c r="M110" s="925"/>
      <c r="N110" s="925"/>
      <c r="O110" s="925"/>
      <c r="P110" s="925"/>
      <c r="Q110" s="925"/>
      <c r="R110" s="926"/>
      <c r="S110" s="926"/>
      <c r="T110" s="925"/>
      <c r="U110" s="925"/>
      <c r="V110" s="925"/>
      <c r="W110" s="925"/>
      <c r="X110" s="925"/>
      <c r="Y110" s="925"/>
      <c r="Z110" s="925"/>
      <c r="AA110" s="925"/>
      <c r="AB110" s="925"/>
      <c r="AC110" s="925"/>
      <c r="AD110" s="925"/>
      <c r="AE110" s="925"/>
      <c r="AF110" s="925"/>
      <c r="AG110" s="925"/>
      <c r="AH110" s="925"/>
      <c r="AI110" s="925"/>
      <c r="AJ110" s="925"/>
      <c r="AK110" s="925"/>
      <c r="AL110" s="925"/>
      <c r="AM110" s="925"/>
      <c r="AN110" s="925"/>
      <c r="AO110" s="925"/>
      <c r="AP110" s="925"/>
      <c r="AQ110" s="925"/>
      <c r="AR110" s="925"/>
      <c r="AS110" s="925"/>
      <c r="AT110" s="925"/>
      <c r="AU110" s="925"/>
      <c r="AV110" s="925"/>
      <c r="AW110" s="925"/>
      <c r="AX110" s="925"/>
      <c r="AY110" s="925"/>
      <c r="AZ110" s="925"/>
      <c r="BA110" s="925"/>
      <c r="BB110" s="925"/>
      <c r="BC110" s="925"/>
      <c r="BD110" s="925"/>
      <c r="BE110" s="925"/>
      <c r="BF110" s="925"/>
      <c r="BG110" s="925"/>
      <c r="BH110" s="925"/>
      <c r="BI110" s="925"/>
      <c r="BJ110" s="925"/>
      <c r="BK110" s="925"/>
      <c r="BL110" s="925"/>
      <c r="BM110" s="925"/>
      <c r="BN110" s="925"/>
      <c r="BO110" s="925"/>
      <c r="BP110" s="925"/>
      <c r="BQ110" s="925"/>
      <c r="BR110" s="925"/>
      <c r="BS110" s="925"/>
      <c r="BT110" s="925"/>
      <c r="BU110" s="925"/>
      <c r="BV110" s="925"/>
      <c r="BW110" s="925"/>
      <c r="BX110" s="925"/>
      <c r="BY110" s="925"/>
      <c r="BZ110" s="925"/>
      <c r="CA110" s="925"/>
      <c r="CB110" s="925"/>
      <c r="CC110" s="925"/>
      <c r="CD110" s="925"/>
      <c r="CE110" s="925"/>
      <c r="CF110" s="925"/>
      <c r="CG110" s="925"/>
      <c r="CH110" s="925"/>
      <c r="CI110" s="925"/>
      <c r="CJ110" s="925"/>
      <c r="CK110" s="925"/>
      <c r="CL110" s="925"/>
      <c r="CM110" s="925"/>
      <c r="CN110" s="925"/>
      <c r="CO110" s="925"/>
      <c r="CP110" s="925"/>
      <c r="CQ110" s="925"/>
      <c r="CR110" s="925"/>
      <c r="CS110" s="925"/>
      <c r="CT110" s="925"/>
      <c r="CU110" s="925"/>
      <c r="CV110" s="925"/>
      <c r="CW110" s="925"/>
      <c r="CX110" s="925"/>
      <c r="CY110" s="925"/>
      <c r="CZ110" s="925"/>
      <c r="DA110" s="925"/>
      <c r="DB110" s="925"/>
      <c r="DC110" s="925"/>
      <c r="DD110" s="925"/>
      <c r="DE110" s="925"/>
      <c r="DF110" s="925"/>
      <c r="DG110" s="925"/>
      <c r="DH110" s="925"/>
      <c r="DI110" s="925"/>
      <c r="DJ110" s="925"/>
      <c r="DK110" s="925"/>
      <c r="DL110" s="925"/>
      <c r="DM110" s="925"/>
      <c r="DN110" s="925"/>
      <c r="DO110" s="925"/>
      <c r="DP110" s="925"/>
      <c r="DQ110" s="925"/>
      <c r="DR110" s="925"/>
      <c r="DS110" s="925"/>
      <c r="DT110" s="925"/>
      <c r="DU110" s="925"/>
      <c r="DV110" s="925"/>
      <c r="DW110" s="925"/>
      <c r="DX110" s="925"/>
      <c r="DY110" s="925"/>
      <c r="DZ110" s="925"/>
      <c r="EA110" s="925"/>
      <c r="EB110" s="925"/>
      <c r="EC110" s="925"/>
      <c r="ED110" s="925"/>
      <c r="EE110" s="925"/>
      <c r="EF110" s="925"/>
      <c r="EG110" s="446"/>
    </row>
    <row r="111" spans="1:137" ht="13" x14ac:dyDescent="0.15">
      <c r="A111" s="917"/>
      <c r="B111" s="917"/>
      <c r="C111" s="918"/>
      <c r="D111" s="919"/>
      <c r="E111" s="920"/>
      <c r="F111" s="921"/>
      <c r="G111" s="922"/>
      <c r="H111" s="922"/>
      <c r="I111" s="922"/>
      <c r="J111" s="923"/>
      <c r="K111" s="923"/>
      <c r="L111" s="924"/>
      <c r="M111" s="925"/>
      <c r="N111" s="925"/>
      <c r="O111" s="925"/>
      <c r="P111" s="925"/>
      <c r="Q111" s="925"/>
      <c r="R111" s="926"/>
      <c r="S111" s="926"/>
      <c r="T111" s="925"/>
      <c r="U111" s="925"/>
      <c r="V111" s="925"/>
      <c r="W111" s="925"/>
      <c r="X111" s="925"/>
      <c r="Y111" s="925"/>
      <c r="Z111" s="925"/>
      <c r="AA111" s="925"/>
      <c r="AB111" s="925"/>
      <c r="AC111" s="925"/>
      <c r="AD111" s="925"/>
      <c r="AE111" s="925"/>
      <c r="AF111" s="925"/>
      <c r="AG111" s="925"/>
      <c r="AH111" s="925"/>
      <c r="AI111" s="925"/>
      <c r="AJ111" s="925"/>
      <c r="AK111" s="925"/>
      <c r="AL111" s="925"/>
      <c r="AM111" s="925"/>
      <c r="AN111" s="925"/>
      <c r="AO111" s="925"/>
      <c r="AP111" s="925"/>
      <c r="AQ111" s="925"/>
      <c r="AR111" s="925"/>
      <c r="AS111" s="925"/>
      <c r="AT111" s="925"/>
      <c r="AU111" s="925"/>
      <c r="AV111" s="925"/>
      <c r="AW111" s="925"/>
      <c r="AX111" s="925"/>
      <c r="AY111" s="925"/>
      <c r="AZ111" s="925"/>
      <c r="BA111" s="925"/>
      <c r="BB111" s="925"/>
      <c r="BC111" s="925"/>
      <c r="BD111" s="925"/>
      <c r="BE111" s="925"/>
      <c r="BF111" s="925"/>
      <c r="BG111" s="925"/>
      <c r="BH111" s="925"/>
      <c r="BI111" s="925"/>
      <c r="BJ111" s="925"/>
      <c r="BK111" s="925"/>
      <c r="BL111" s="925"/>
      <c r="BM111" s="925"/>
      <c r="BN111" s="925"/>
      <c r="BO111" s="925"/>
      <c r="BP111" s="925"/>
      <c r="BQ111" s="925"/>
      <c r="BR111" s="925"/>
      <c r="BS111" s="925"/>
      <c r="BT111" s="925"/>
      <c r="BU111" s="925"/>
      <c r="BV111" s="925"/>
      <c r="BW111" s="925"/>
      <c r="BX111" s="925"/>
      <c r="BY111" s="925"/>
      <c r="BZ111" s="925"/>
      <c r="CA111" s="925"/>
      <c r="CB111" s="925"/>
      <c r="CC111" s="925"/>
      <c r="CD111" s="925"/>
      <c r="CE111" s="925"/>
      <c r="CF111" s="925"/>
      <c r="CG111" s="925"/>
      <c r="CH111" s="925"/>
      <c r="CI111" s="925"/>
      <c r="CJ111" s="925"/>
      <c r="CK111" s="925"/>
      <c r="CL111" s="925"/>
      <c r="CM111" s="925"/>
      <c r="CN111" s="925"/>
      <c r="CO111" s="925"/>
      <c r="CP111" s="925"/>
      <c r="CQ111" s="925"/>
      <c r="CR111" s="925"/>
      <c r="CS111" s="925"/>
      <c r="CT111" s="925"/>
      <c r="CU111" s="925"/>
      <c r="CV111" s="925"/>
      <c r="CW111" s="925"/>
      <c r="CX111" s="925"/>
      <c r="CY111" s="925"/>
      <c r="CZ111" s="925"/>
      <c r="DA111" s="925"/>
      <c r="DB111" s="925"/>
      <c r="DC111" s="925"/>
      <c r="DD111" s="925"/>
      <c r="DE111" s="925"/>
      <c r="DF111" s="925"/>
      <c r="DG111" s="925"/>
      <c r="DH111" s="925"/>
      <c r="DI111" s="925"/>
      <c r="DJ111" s="925"/>
      <c r="DK111" s="925"/>
      <c r="DL111" s="925"/>
      <c r="DM111" s="925"/>
      <c r="DN111" s="925"/>
      <c r="DO111" s="925"/>
      <c r="DP111" s="925"/>
      <c r="DQ111" s="925"/>
      <c r="DR111" s="925"/>
      <c r="DS111" s="925"/>
      <c r="DT111" s="925"/>
      <c r="DU111" s="925"/>
      <c r="DV111" s="925"/>
      <c r="DW111" s="925"/>
      <c r="DX111" s="925"/>
      <c r="DY111" s="925"/>
      <c r="DZ111" s="925"/>
      <c r="EA111" s="925"/>
      <c r="EB111" s="925"/>
      <c r="EC111" s="925"/>
      <c r="ED111" s="925"/>
      <c r="EE111" s="925"/>
      <c r="EF111" s="925"/>
      <c r="EG111" s="446"/>
    </row>
    <row r="112" spans="1:137" ht="13" x14ac:dyDescent="0.15">
      <c r="A112" s="917"/>
      <c r="B112" s="917"/>
      <c r="C112" s="918"/>
      <c r="D112" s="919"/>
      <c r="E112" s="920"/>
      <c r="F112" s="921"/>
      <c r="G112" s="922"/>
      <c r="H112" s="922"/>
      <c r="I112" s="922"/>
      <c r="J112" s="923"/>
      <c r="K112" s="923"/>
      <c r="L112" s="924"/>
      <c r="M112" s="925"/>
      <c r="N112" s="925"/>
      <c r="O112" s="925"/>
      <c r="P112" s="925"/>
      <c r="Q112" s="925"/>
      <c r="R112" s="926"/>
      <c r="S112" s="926"/>
      <c r="T112" s="925"/>
      <c r="U112" s="925"/>
      <c r="V112" s="925"/>
      <c r="W112" s="925"/>
      <c r="X112" s="925"/>
      <c r="Y112" s="925"/>
      <c r="Z112" s="925"/>
      <c r="AA112" s="925"/>
      <c r="AB112" s="925"/>
      <c r="AC112" s="925"/>
      <c r="AD112" s="925"/>
      <c r="AE112" s="925"/>
      <c r="AF112" s="925"/>
      <c r="AG112" s="925"/>
      <c r="AH112" s="925"/>
      <c r="AI112" s="925"/>
      <c r="AJ112" s="925"/>
      <c r="AK112" s="925"/>
      <c r="AL112" s="925"/>
      <c r="AM112" s="925"/>
      <c r="AN112" s="925"/>
      <c r="AO112" s="925"/>
      <c r="AP112" s="925"/>
      <c r="AQ112" s="925"/>
      <c r="AR112" s="925"/>
      <c r="AS112" s="925"/>
      <c r="AT112" s="925"/>
      <c r="AU112" s="925"/>
      <c r="AV112" s="925"/>
      <c r="AW112" s="925"/>
      <c r="AX112" s="925"/>
      <c r="AY112" s="925"/>
      <c r="AZ112" s="925"/>
      <c r="BA112" s="925"/>
      <c r="BB112" s="925"/>
      <c r="BC112" s="925"/>
      <c r="BD112" s="925"/>
      <c r="BE112" s="925"/>
      <c r="BF112" s="925"/>
      <c r="BG112" s="925"/>
      <c r="BH112" s="925"/>
      <c r="BI112" s="925"/>
      <c r="BJ112" s="925"/>
      <c r="BK112" s="925"/>
      <c r="BL112" s="925"/>
      <c r="BM112" s="925"/>
      <c r="BN112" s="925"/>
      <c r="BO112" s="925"/>
      <c r="BP112" s="925"/>
      <c r="BQ112" s="925"/>
      <c r="BR112" s="925"/>
      <c r="BS112" s="925"/>
      <c r="BT112" s="925"/>
      <c r="BU112" s="925"/>
      <c r="BV112" s="925"/>
      <c r="BW112" s="925"/>
      <c r="BX112" s="925"/>
      <c r="BY112" s="925"/>
      <c r="BZ112" s="925"/>
      <c r="CA112" s="925"/>
      <c r="CB112" s="925"/>
      <c r="CC112" s="925"/>
      <c r="CD112" s="925"/>
      <c r="CE112" s="925"/>
      <c r="CF112" s="925"/>
      <c r="CG112" s="925"/>
      <c r="CH112" s="925"/>
      <c r="CI112" s="925"/>
      <c r="CJ112" s="925"/>
      <c r="CK112" s="925"/>
      <c r="CL112" s="925"/>
      <c r="CM112" s="925"/>
      <c r="CN112" s="925"/>
      <c r="CO112" s="925"/>
      <c r="CP112" s="925"/>
      <c r="CQ112" s="925"/>
      <c r="CR112" s="925"/>
      <c r="CS112" s="925"/>
      <c r="CT112" s="925"/>
      <c r="CU112" s="925"/>
      <c r="CV112" s="925"/>
      <c r="CW112" s="925"/>
      <c r="CX112" s="925"/>
      <c r="CY112" s="925"/>
      <c r="CZ112" s="925"/>
      <c r="DA112" s="925"/>
      <c r="DB112" s="925"/>
      <c r="DC112" s="925"/>
      <c r="DD112" s="925"/>
      <c r="DE112" s="925"/>
      <c r="DF112" s="925"/>
      <c r="DG112" s="925"/>
      <c r="DH112" s="925"/>
      <c r="DI112" s="925"/>
      <c r="DJ112" s="925"/>
      <c r="DK112" s="925"/>
      <c r="DL112" s="925"/>
      <c r="DM112" s="925"/>
      <c r="DN112" s="925"/>
      <c r="DO112" s="925"/>
      <c r="DP112" s="925"/>
      <c r="DQ112" s="925"/>
      <c r="DR112" s="925"/>
      <c r="DS112" s="925"/>
      <c r="DT112" s="925"/>
      <c r="DU112" s="925"/>
      <c r="DV112" s="925"/>
      <c r="DW112" s="925"/>
      <c r="DX112" s="925"/>
      <c r="DY112" s="925"/>
      <c r="DZ112" s="925"/>
      <c r="EA112" s="925"/>
      <c r="EB112" s="925"/>
      <c r="EC112" s="925"/>
      <c r="ED112" s="925"/>
      <c r="EE112" s="925"/>
      <c r="EF112" s="925"/>
      <c r="EG112" s="446"/>
    </row>
    <row r="113" spans="1:137" ht="13" x14ac:dyDescent="0.15">
      <c r="A113" s="917"/>
      <c r="B113" s="917"/>
      <c r="C113" s="918"/>
      <c r="D113" s="919"/>
      <c r="E113" s="920"/>
      <c r="F113" s="921"/>
      <c r="G113" s="922"/>
      <c r="H113" s="922"/>
      <c r="I113" s="922"/>
      <c r="J113" s="923"/>
      <c r="K113" s="923"/>
      <c r="L113" s="924"/>
      <c r="M113" s="925"/>
      <c r="N113" s="925"/>
      <c r="O113" s="925"/>
      <c r="P113" s="925"/>
      <c r="Q113" s="925"/>
      <c r="R113" s="926"/>
      <c r="S113" s="926"/>
      <c r="T113" s="925"/>
      <c r="U113" s="925"/>
      <c r="V113" s="925"/>
      <c r="W113" s="925"/>
      <c r="X113" s="925"/>
      <c r="Y113" s="925"/>
      <c r="Z113" s="925"/>
      <c r="AA113" s="925"/>
      <c r="AB113" s="925"/>
      <c r="AC113" s="925"/>
      <c r="AD113" s="925"/>
      <c r="AE113" s="925"/>
      <c r="AF113" s="925"/>
      <c r="AG113" s="925"/>
      <c r="AH113" s="925"/>
      <c r="AI113" s="925"/>
      <c r="AJ113" s="925"/>
      <c r="AK113" s="925"/>
      <c r="AL113" s="925"/>
      <c r="AM113" s="925"/>
      <c r="AN113" s="925"/>
      <c r="AO113" s="925"/>
      <c r="AP113" s="925"/>
      <c r="AQ113" s="925"/>
      <c r="AR113" s="925"/>
      <c r="AS113" s="925"/>
      <c r="AT113" s="925"/>
      <c r="AU113" s="925"/>
      <c r="AV113" s="925"/>
      <c r="AW113" s="925"/>
      <c r="AX113" s="925"/>
      <c r="AY113" s="925"/>
      <c r="AZ113" s="925"/>
      <c r="BA113" s="925"/>
      <c r="BB113" s="925"/>
      <c r="BC113" s="925"/>
      <c r="BD113" s="925"/>
      <c r="BE113" s="925"/>
      <c r="BF113" s="925"/>
      <c r="BG113" s="925"/>
      <c r="BH113" s="925"/>
      <c r="BI113" s="925"/>
      <c r="BJ113" s="925"/>
      <c r="BK113" s="925"/>
      <c r="BL113" s="925"/>
      <c r="BM113" s="925"/>
      <c r="BN113" s="925"/>
      <c r="BO113" s="925"/>
      <c r="BP113" s="925"/>
      <c r="BQ113" s="925"/>
      <c r="BR113" s="925"/>
      <c r="BS113" s="925"/>
      <c r="BT113" s="925"/>
      <c r="BU113" s="925"/>
      <c r="BV113" s="925"/>
      <c r="BW113" s="925"/>
      <c r="BX113" s="925"/>
      <c r="BY113" s="925"/>
      <c r="BZ113" s="925"/>
      <c r="CA113" s="925"/>
      <c r="CB113" s="925"/>
      <c r="CC113" s="925"/>
      <c r="CD113" s="925"/>
      <c r="CE113" s="925"/>
      <c r="CF113" s="925"/>
      <c r="CG113" s="925"/>
      <c r="CH113" s="925"/>
      <c r="CI113" s="925"/>
      <c r="CJ113" s="925"/>
      <c r="CK113" s="925"/>
      <c r="CL113" s="925"/>
      <c r="CM113" s="925"/>
      <c r="CN113" s="925"/>
      <c r="CO113" s="925"/>
      <c r="CP113" s="925"/>
      <c r="CQ113" s="925"/>
      <c r="CR113" s="925"/>
      <c r="CS113" s="925"/>
      <c r="CT113" s="925"/>
      <c r="CU113" s="925"/>
      <c r="CV113" s="925"/>
      <c r="CW113" s="925"/>
      <c r="CX113" s="925"/>
      <c r="CY113" s="925"/>
      <c r="CZ113" s="925"/>
      <c r="DA113" s="925"/>
      <c r="DB113" s="925"/>
      <c r="DC113" s="925"/>
      <c r="DD113" s="925"/>
      <c r="DE113" s="925"/>
      <c r="DF113" s="925"/>
      <c r="DG113" s="925"/>
      <c r="DH113" s="925"/>
      <c r="DI113" s="925"/>
      <c r="DJ113" s="925"/>
      <c r="DK113" s="925"/>
      <c r="DL113" s="925"/>
      <c r="DM113" s="925"/>
      <c r="DN113" s="925"/>
      <c r="DO113" s="925"/>
      <c r="DP113" s="925"/>
      <c r="DQ113" s="925"/>
      <c r="DR113" s="925"/>
      <c r="DS113" s="925"/>
      <c r="DT113" s="925"/>
      <c r="DU113" s="925"/>
      <c r="DV113" s="925"/>
      <c r="DW113" s="925"/>
      <c r="DX113" s="925"/>
      <c r="DY113" s="925"/>
      <c r="DZ113" s="925"/>
      <c r="EA113" s="925"/>
      <c r="EB113" s="925"/>
      <c r="EC113" s="925"/>
      <c r="ED113" s="925"/>
      <c r="EE113" s="925"/>
      <c r="EF113" s="925"/>
      <c r="EG113" s="446"/>
    </row>
    <row r="114" spans="1:137" ht="13" x14ac:dyDescent="0.15">
      <c r="A114" s="917"/>
      <c r="B114" s="917"/>
      <c r="C114" s="918"/>
      <c r="D114" s="919"/>
      <c r="E114" s="920"/>
      <c r="F114" s="921"/>
      <c r="G114" s="922"/>
      <c r="H114" s="922"/>
      <c r="I114" s="922"/>
      <c r="J114" s="923"/>
      <c r="K114" s="923"/>
      <c r="L114" s="924"/>
      <c r="M114" s="925"/>
      <c r="N114" s="925"/>
      <c r="O114" s="925"/>
      <c r="P114" s="925"/>
      <c r="Q114" s="925"/>
      <c r="R114" s="926"/>
      <c r="S114" s="926"/>
      <c r="T114" s="925"/>
      <c r="U114" s="925"/>
      <c r="V114" s="925"/>
      <c r="W114" s="925"/>
      <c r="X114" s="925"/>
      <c r="Y114" s="925"/>
      <c r="Z114" s="925"/>
      <c r="AA114" s="925"/>
      <c r="AB114" s="925"/>
      <c r="AC114" s="925"/>
      <c r="AD114" s="925"/>
      <c r="AE114" s="925"/>
      <c r="AF114" s="925"/>
      <c r="AG114" s="925"/>
      <c r="AH114" s="925"/>
      <c r="AI114" s="925"/>
      <c r="AJ114" s="925"/>
      <c r="AK114" s="925"/>
      <c r="AL114" s="925"/>
      <c r="AM114" s="925"/>
      <c r="AN114" s="925"/>
      <c r="AO114" s="925"/>
      <c r="AP114" s="925"/>
      <c r="AQ114" s="925"/>
      <c r="AR114" s="925"/>
      <c r="AS114" s="925"/>
      <c r="AT114" s="925"/>
      <c r="AU114" s="925"/>
      <c r="AV114" s="925"/>
      <c r="AW114" s="925"/>
      <c r="AX114" s="925"/>
      <c r="AY114" s="925"/>
      <c r="AZ114" s="925"/>
      <c r="BA114" s="925"/>
      <c r="BB114" s="925"/>
      <c r="BC114" s="925"/>
      <c r="BD114" s="925"/>
      <c r="BE114" s="925"/>
      <c r="BF114" s="925"/>
      <c r="BG114" s="925"/>
      <c r="BH114" s="925"/>
      <c r="BI114" s="925"/>
      <c r="BJ114" s="925"/>
      <c r="BK114" s="925"/>
      <c r="BL114" s="925"/>
      <c r="BM114" s="925"/>
      <c r="BN114" s="925"/>
      <c r="BO114" s="925"/>
      <c r="BP114" s="925"/>
      <c r="BQ114" s="925"/>
      <c r="BR114" s="925"/>
      <c r="BS114" s="925"/>
      <c r="BT114" s="925"/>
      <c r="BU114" s="925"/>
      <c r="BV114" s="925"/>
      <c r="BW114" s="925"/>
      <c r="BX114" s="925"/>
      <c r="BY114" s="925"/>
      <c r="BZ114" s="925"/>
      <c r="CA114" s="925"/>
      <c r="CB114" s="925"/>
      <c r="CC114" s="925"/>
      <c r="CD114" s="925"/>
      <c r="CE114" s="925"/>
      <c r="CF114" s="925"/>
      <c r="CG114" s="925"/>
      <c r="CH114" s="925"/>
      <c r="CI114" s="925"/>
      <c r="CJ114" s="925"/>
      <c r="CK114" s="925"/>
      <c r="CL114" s="925"/>
      <c r="CM114" s="925"/>
      <c r="CN114" s="925"/>
      <c r="CO114" s="925"/>
      <c r="CP114" s="925"/>
      <c r="CQ114" s="925"/>
      <c r="CR114" s="925"/>
      <c r="CS114" s="925"/>
      <c r="CT114" s="925"/>
      <c r="CU114" s="925"/>
      <c r="CV114" s="925"/>
      <c r="CW114" s="925"/>
      <c r="CX114" s="925"/>
      <c r="CY114" s="925"/>
      <c r="CZ114" s="925"/>
      <c r="DA114" s="925"/>
      <c r="DB114" s="925"/>
      <c r="DC114" s="925"/>
      <c r="DD114" s="925"/>
      <c r="DE114" s="925"/>
      <c r="DF114" s="925"/>
      <c r="DG114" s="925"/>
      <c r="DH114" s="925"/>
      <c r="DI114" s="925"/>
      <c r="DJ114" s="925"/>
      <c r="DK114" s="925"/>
      <c r="DL114" s="925"/>
      <c r="DM114" s="925"/>
      <c r="DN114" s="925"/>
      <c r="DO114" s="925"/>
      <c r="DP114" s="925"/>
      <c r="DQ114" s="925"/>
      <c r="DR114" s="925"/>
      <c r="DS114" s="925"/>
      <c r="DT114" s="925"/>
      <c r="DU114" s="925"/>
      <c r="DV114" s="925"/>
      <c r="DW114" s="925"/>
      <c r="DX114" s="925"/>
      <c r="DY114" s="925"/>
      <c r="DZ114" s="925"/>
      <c r="EA114" s="925"/>
      <c r="EB114" s="925"/>
      <c r="EC114" s="925"/>
      <c r="ED114" s="925"/>
      <c r="EE114" s="925"/>
      <c r="EF114" s="925"/>
      <c r="EG114" s="446"/>
    </row>
    <row r="115" spans="1:137" ht="13" x14ac:dyDescent="0.15">
      <c r="A115" s="917"/>
      <c r="B115" s="917"/>
      <c r="C115" s="918"/>
      <c r="D115" s="919"/>
      <c r="E115" s="920"/>
      <c r="F115" s="921"/>
      <c r="G115" s="922"/>
      <c r="H115" s="922"/>
      <c r="I115" s="922"/>
      <c r="J115" s="923"/>
      <c r="K115" s="923"/>
      <c r="L115" s="924"/>
      <c r="M115" s="925"/>
      <c r="N115" s="925"/>
      <c r="O115" s="925"/>
      <c r="P115" s="925"/>
      <c r="Q115" s="925"/>
      <c r="R115" s="926"/>
      <c r="S115" s="926"/>
      <c r="T115" s="925"/>
      <c r="U115" s="925"/>
      <c r="V115" s="925"/>
      <c r="W115" s="925"/>
      <c r="X115" s="925"/>
      <c r="Y115" s="925"/>
      <c r="Z115" s="925"/>
      <c r="AA115" s="925"/>
      <c r="AB115" s="925"/>
      <c r="AC115" s="925"/>
      <c r="AD115" s="925"/>
      <c r="AE115" s="925"/>
      <c r="AF115" s="925"/>
      <c r="AG115" s="925"/>
      <c r="AH115" s="925"/>
      <c r="AI115" s="925"/>
      <c r="AJ115" s="925"/>
      <c r="AK115" s="925"/>
      <c r="AL115" s="925"/>
      <c r="AM115" s="925"/>
      <c r="AN115" s="925"/>
      <c r="AO115" s="925"/>
      <c r="AP115" s="925"/>
      <c r="AQ115" s="925"/>
      <c r="AR115" s="925"/>
      <c r="AS115" s="925"/>
      <c r="AT115" s="925"/>
      <c r="AU115" s="925"/>
      <c r="AV115" s="925"/>
      <c r="AW115" s="925"/>
      <c r="AX115" s="925"/>
      <c r="AY115" s="925"/>
      <c r="AZ115" s="925"/>
      <c r="BA115" s="925"/>
      <c r="BB115" s="925"/>
      <c r="BC115" s="925"/>
      <c r="BD115" s="925"/>
      <c r="BE115" s="925"/>
      <c r="BF115" s="925"/>
      <c r="BG115" s="925"/>
      <c r="BH115" s="925"/>
      <c r="BI115" s="925"/>
      <c r="BJ115" s="925"/>
      <c r="BK115" s="925"/>
      <c r="BL115" s="925"/>
      <c r="BM115" s="925"/>
      <c r="BN115" s="925"/>
      <c r="BO115" s="925"/>
      <c r="BP115" s="925"/>
      <c r="BQ115" s="925"/>
      <c r="BR115" s="925"/>
      <c r="BS115" s="925"/>
      <c r="BT115" s="925"/>
      <c r="BU115" s="925"/>
      <c r="BV115" s="925"/>
      <c r="BW115" s="925"/>
      <c r="BX115" s="925"/>
      <c r="BY115" s="925"/>
      <c r="BZ115" s="925"/>
      <c r="CA115" s="925"/>
      <c r="CB115" s="925"/>
      <c r="CC115" s="925"/>
      <c r="CD115" s="925"/>
      <c r="CE115" s="925"/>
      <c r="CF115" s="925"/>
      <c r="CG115" s="925"/>
      <c r="CH115" s="925"/>
      <c r="CI115" s="925"/>
      <c r="CJ115" s="925"/>
      <c r="CK115" s="925"/>
      <c r="CL115" s="925"/>
      <c r="CM115" s="925"/>
      <c r="CN115" s="925"/>
      <c r="CO115" s="925"/>
      <c r="CP115" s="925"/>
      <c r="CQ115" s="925"/>
      <c r="CR115" s="925"/>
      <c r="CS115" s="925"/>
      <c r="CT115" s="925"/>
      <c r="CU115" s="925"/>
      <c r="CV115" s="925"/>
      <c r="CW115" s="925"/>
      <c r="CX115" s="925"/>
      <c r="CY115" s="925"/>
      <c r="CZ115" s="925"/>
      <c r="DA115" s="925"/>
      <c r="DB115" s="925"/>
      <c r="DC115" s="925"/>
      <c r="DD115" s="925"/>
      <c r="DE115" s="925"/>
      <c r="DF115" s="925"/>
      <c r="DG115" s="925"/>
      <c r="DH115" s="925"/>
      <c r="DI115" s="925"/>
      <c r="DJ115" s="925"/>
      <c r="DK115" s="925"/>
      <c r="DL115" s="925"/>
      <c r="DM115" s="925"/>
      <c r="DN115" s="925"/>
      <c r="DO115" s="925"/>
      <c r="DP115" s="925"/>
      <c r="DQ115" s="925"/>
      <c r="DR115" s="925"/>
      <c r="DS115" s="925"/>
      <c r="DT115" s="925"/>
      <c r="DU115" s="925"/>
      <c r="DV115" s="925"/>
      <c r="DW115" s="925"/>
      <c r="DX115" s="925"/>
      <c r="DY115" s="925"/>
      <c r="DZ115" s="925"/>
      <c r="EA115" s="925"/>
      <c r="EB115" s="925"/>
      <c r="EC115" s="925"/>
      <c r="ED115" s="925"/>
      <c r="EE115" s="925"/>
      <c r="EF115" s="925"/>
      <c r="EG115" s="446"/>
    </row>
    <row r="116" spans="1:137" ht="13" x14ac:dyDescent="0.15">
      <c r="A116" s="917"/>
      <c r="B116" s="917"/>
      <c r="C116" s="918"/>
      <c r="D116" s="919"/>
      <c r="E116" s="920"/>
      <c r="F116" s="921"/>
      <c r="G116" s="922"/>
      <c r="H116" s="922"/>
      <c r="I116" s="922"/>
      <c r="J116" s="923"/>
      <c r="K116" s="923"/>
      <c r="L116" s="924"/>
      <c r="M116" s="925"/>
      <c r="N116" s="925"/>
      <c r="O116" s="925"/>
      <c r="P116" s="925"/>
      <c r="Q116" s="925"/>
      <c r="R116" s="926"/>
      <c r="S116" s="926"/>
      <c r="T116" s="925"/>
      <c r="U116" s="925"/>
      <c r="V116" s="925"/>
      <c r="W116" s="925"/>
      <c r="X116" s="925"/>
      <c r="Y116" s="925"/>
      <c r="Z116" s="925"/>
      <c r="AA116" s="925"/>
      <c r="AB116" s="925"/>
      <c r="AC116" s="925"/>
      <c r="AD116" s="925"/>
      <c r="AE116" s="925"/>
      <c r="AF116" s="925"/>
      <c r="AG116" s="925"/>
      <c r="AH116" s="925"/>
      <c r="AI116" s="925"/>
      <c r="AJ116" s="925"/>
      <c r="AK116" s="925"/>
      <c r="AL116" s="925"/>
      <c r="AM116" s="925"/>
      <c r="AN116" s="925"/>
      <c r="AO116" s="925"/>
      <c r="AP116" s="925"/>
      <c r="AQ116" s="925"/>
      <c r="AR116" s="925"/>
      <c r="AS116" s="925"/>
      <c r="AT116" s="925"/>
      <c r="AU116" s="925"/>
      <c r="AV116" s="925"/>
      <c r="AW116" s="925"/>
      <c r="AX116" s="925"/>
      <c r="AY116" s="925"/>
      <c r="AZ116" s="925"/>
      <c r="BA116" s="925"/>
      <c r="BB116" s="925"/>
      <c r="BC116" s="925"/>
      <c r="BD116" s="925"/>
      <c r="BE116" s="925"/>
      <c r="BF116" s="925"/>
      <c r="BG116" s="925"/>
      <c r="BH116" s="925"/>
      <c r="BI116" s="925"/>
      <c r="BJ116" s="925"/>
      <c r="BK116" s="925"/>
      <c r="BL116" s="925"/>
      <c r="BM116" s="925"/>
      <c r="BN116" s="925"/>
      <c r="BO116" s="925"/>
      <c r="BP116" s="925"/>
      <c r="BQ116" s="925"/>
      <c r="BR116" s="925"/>
      <c r="BS116" s="925"/>
      <c r="BT116" s="925"/>
      <c r="BU116" s="925"/>
      <c r="BV116" s="925"/>
      <c r="BW116" s="925"/>
      <c r="BX116" s="925"/>
      <c r="BY116" s="925"/>
      <c r="BZ116" s="925"/>
      <c r="CA116" s="925"/>
      <c r="CB116" s="925"/>
      <c r="CC116" s="925"/>
      <c r="CD116" s="925"/>
      <c r="CE116" s="925"/>
      <c r="CF116" s="925"/>
      <c r="CG116" s="925"/>
      <c r="CH116" s="925"/>
      <c r="CI116" s="925"/>
      <c r="CJ116" s="925"/>
      <c r="CK116" s="925"/>
      <c r="CL116" s="925"/>
      <c r="CM116" s="925"/>
      <c r="CN116" s="925"/>
      <c r="CO116" s="925"/>
      <c r="CP116" s="925"/>
      <c r="CQ116" s="925"/>
      <c r="CR116" s="925"/>
      <c r="CS116" s="925"/>
      <c r="CT116" s="925"/>
      <c r="CU116" s="925"/>
      <c r="CV116" s="925"/>
      <c r="CW116" s="925"/>
      <c r="CX116" s="925"/>
      <c r="CY116" s="925"/>
      <c r="CZ116" s="925"/>
      <c r="DA116" s="925"/>
      <c r="DB116" s="925"/>
      <c r="DC116" s="925"/>
      <c r="DD116" s="925"/>
      <c r="DE116" s="925"/>
      <c r="DF116" s="925"/>
      <c r="DG116" s="925"/>
      <c r="DH116" s="925"/>
      <c r="DI116" s="925"/>
      <c r="DJ116" s="925"/>
      <c r="DK116" s="925"/>
      <c r="DL116" s="925"/>
      <c r="DM116" s="925"/>
      <c r="DN116" s="925"/>
      <c r="DO116" s="925"/>
      <c r="DP116" s="925"/>
      <c r="DQ116" s="925"/>
      <c r="DR116" s="925"/>
      <c r="DS116" s="925"/>
      <c r="DT116" s="925"/>
      <c r="DU116" s="925"/>
      <c r="DV116" s="925"/>
      <c r="DW116" s="925"/>
      <c r="DX116" s="925"/>
      <c r="DY116" s="925"/>
      <c r="DZ116" s="925"/>
      <c r="EA116" s="925"/>
      <c r="EB116" s="925"/>
      <c r="EC116" s="925"/>
      <c r="ED116" s="925"/>
      <c r="EE116" s="925"/>
      <c r="EF116" s="925"/>
      <c r="EG116" s="446"/>
    </row>
    <row r="117" spans="1:137" ht="13" x14ac:dyDescent="0.15">
      <c r="A117" s="917"/>
      <c r="B117" s="917"/>
      <c r="C117" s="918"/>
      <c r="D117" s="919"/>
      <c r="E117" s="920"/>
      <c r="F117" s="921"/>
      <c r="G117" s="922"/>
      <c r="H117" s="922"/>
      <c r="I117" s="922"/>
      <c r="J117" s="923"/>
      <c r="K117" s="923"/>
      <c r="L117" s="924"/>
      <c r="M117" s="925"/>
      <c r="N117" s="925"/>
      <c r="O117" s="925"/>
      <c r="P117" s="925"/>
      <c r="Q117" s="925"/>
      <c r="R117" s="926"/>
      <c r="S117" s="926"/>
      <c r="T117" s="925"/>
      <c r="U117" s="925"/>
      <c r="V117" s="925"/>
      <c r="W117" s="925"/>
      <c r="X117" s="925"/>
      <c r="Y117" s="925"/>
      <c r="Z117" s="925"/>
      <c r="AA117" s="925"/>
      <c r="AB117" s="925"/>
      <c r="AC117" s="925"/>
      <c r="AD117" s="925"/>
      <c r="AE117" s="925"/>
      <c r="AF117" s="925"/>
      <c r="AG117" s="925"/>
      <c r="AH117" s="925"/>
      <c r="AI117" s="925"/>
      <c r="AJ117" s="925"/>
      <c r="AK117" s="925"/>
      <c r="AL117" s="925"/>
      <c r="AM117" s="925"/>
      <c r="AN117" s="925"/>
      <c r="AO117" s="925"/>
      <c r="AP117" s="925"/>
      <c r="AQ117" s="925"/>
      <c r="AR117" s="925"/>
      <c r="AS117" s="925"/>
      <c r="AT117" s="925"/>
      <c r="AU117" s="925"/>
      <c r="AV117" s="925"/>
      <c r="AW117" s="925"/>
      <c r="AX117" s="925"/>
      <c r="AY117" s="925"/>
      <c r="AZ117" s="925"/>
      <c r="BA117" s="925"/>
      <c r="BB117" s="925"/>
      <c r="BC117" s="925"/>
      <c r="BD117" s="925"/>
      <c r="BE117" s="925"/>
      <c r="BF117" s="925"/>
      <c r="BG117" s="925"/>
      <c r="BH117" s="925"/>
      <c r="BI117" s="925"/>
      <c r="BJ117" s="925"/>
      <c r="BK117" s="925"/>
      <c r="BL117" s="925"/>
      <c r="BM117" s="925"/>
      <c r="BN117" s="925"/>
      <c r="BO117" s="925"/>
      <c r="BP117" s="925"/>
      <c r="BQ117" s="925"/>
      <c r="BR117" s="925"/>
      <c r="BS117" s="925"/>
      <c r="BT117" s="925"/>
      <c r="BU117" s="925"/>
      <c r="BV117" s="925"/>
      <c r="BW117" s="925"/>
      <c r="BX117" s="925"/>
      <c r="BY117" s="925"/>
      <c r="BZ117" s="925"/>
      <c r="CA117" s="925"/>
      <c r="CB117" s="925"/>
      <c r="CC117" s="925"/>
      <c r="CD117" s="925"/>
      <c r="CE117" s="925"/>
      <c r="CF117" s="925"/>
      <c r="CG117" s="925"/>
      <c r="CH117" s="925"/>
      <c r="CI117" s="925"/>
      <c r="CJ117" s="925"/>
      <c r="CK117" s="925"/>
      <c r="CL117" s="925"/>
      <c r="CM117" s="925"/>
      <c r="CN117" s="925"/>
      <c r="CO117" s="925"/>
      <c r="CP117" s="925"/>
      <c r="CQ117" s="925"/>
      <c r="CR117" s="925"/>
      <c r="CS117" s="925"/>
      <c r="CT117" s="925"/>
      <c r="CU117" s="925"/>
      <c r="CV117" s="925"/>
      <c r="CW117" s="925"/>
      <c r="CX117" s="925"/>
      <c r="CY117" s="925"/>
      <c r="CZ117" s="925"/>
      <c r="DA117" s="925"/>
      <c r="DB117" s="925"/>
      <c r="DC117" s="925"/>
      <c r="DD117" s="925"/>
      <c r="DE117" s="925"/>
      <c r="DF117" s="925"/>
      <c r="DG117" s="925"/>
      <c r="DH117" s="925"/>
      <c r="DI117" s="925"/>
      <c r="DJ117" s="925"/>
      <c r="DK117" s="925"/>
      <c r="DL117" s="925"/>
      <c r="DM117" s="925"/>
      <c r="DN117" s="925"/>
      <c r="DO117" s="925"/>
      <c r="DP117" s="925"/>
      <c r="DQ117" s="925"/>
      <c r="DR117" s="925"/>
      <c r="DS117" s="925"/>
      <c r="DT117" s="925"/>
      <c r="DU117" s="925"/>
      <c r="DV117" s="925"/>
      <c r="DW117" s="925"/>
      <c r="DX117" s="925"/>
      <c r="DY117" s="925"/>
      <c r="DZ117" s="925"/>
      <c r="EA117" s="925"/>
      <c r="EB117" s="925"/>
      <c r="EC117" s="925"/>
      <c r="ED117" s="925"/>
      <c r="EE117" s="925"/>
      <c r="EF117" s="925"/>
      <c r="EG117" s="446"/>
    </row>
    <row r="118" spans="1:137" ht="13" x14ac:dyDescent="0.15">
      <c r="A118" s="917"/>
      <c r="B118" s="917"/>
      <c r="C118" s="918"/>
      <c r="D118" s="919"/>
      <c r="E118" s="920"/>
      <c r="F118" s="921"/>
      <c r="G118" s="922"/>
      <c r="H118" s="922"/>
      <c r="I118" s="922"/>
      <c r="J118" s="923"/>
      <c r="K118" s="923"/>
      <c r="L118" s="924"/>
      <c r="M118" s="925"/>
      <c r="N118" s="925"/>
      <c r="O118" s="925"/>
      <c r="P118" s="925"/>
      <c r="Q118" s="925"/>
      <c r="R118" s="926"/>
      <c r="S118" s="926"/>
      <c r="T118" s="925"/>
      <c r="U118" s="925"/>
      <c r="V118" s="925"/>
      <c r="W118" s="925"/>
      <c r="X118" s="925"/>
      <c r="Y118" s="925"/>
      <c r="Z118" s="925"/>
      <c r="AA118" s="925"/>
      <c r="AB118" s="925"/>
      <c r="AC118" s="925"/>
      <c r="AD118" s="925"/>
      <c r="AE118" s="925"/>
      <c r="AF118" s="925"/>
      <c r="AG118" s="925"/>
      <c r="AH118" s="925"/>
      <c r="AI118" s="925"/>
      <c r="AJ118" s="925"/>
      <c r="AK118" s="925"/>
      <c r="AL118" s="925"/>
      <c r="AM118" s="925"/>
      <c r="AN118" s="925"/>
      <c r="AO118" s="925"/>
      <c r="AP118" s="925"/>
      <c r="AQ118" s="925"/>
      <c r="AR118" s="925"/>
      <c r="AS118" s="925"/>
      <c r="AT118" s="925"/>
      <c r="AU118" s="925"/>
      <c r="AV118" s="925"/>
      <c r="AW118" s="925"/>
      <c r="AX118" s="925"/>
      <c r="AY118" s="925"/>
      <c r="AZ118" s="925"/>
      <c r="BA118" s="925"/>
      <c r="BB118" s="925"/>
      <c r="BC118" s="925"/>
      <c r="BD118" s="925"/>
      <c r="BE118" s="925"/>
      <c r="BF118" s="925"/>
      <c r="BG118" s="925"/>
      <c r="BH118" s="925"/>
      <c r="BI118" s="925"/>
      <c r="BJ118" s="925"/>
      <c r="BK118" s="925"/>
      <c r="BL118" s="925"/>
      <c r="BM118" s="925"/>
      <c r="BN118" s="925"/>
      <c r="BO118" s="925"/>
      <c r="BP118" s="925"/>
      <c r="BQ118" s="925"/>
      <c r="BR118" s="925"/>
      <c r="BS118" s="925"/>
      <c r="BT118" s="925"/>
      <c r="BU118" s="925"/>
      <c r="BV118" s="925"/>
      <c r="BW118" s="925"/>
      <c r="BX118" s="925"/>
      <c r="BY118" s="925"/>
      <c r="BZ118" s="925"/>
      <c r="CA118" s="925"/>
      <c r="CB118" s="925"/>
      <c r="CC118" s="925"/>
      <c r="CD118" s="925"/>
      <c r="CE118" s="925"/>
      <c r="CF118" s="925"/>
      <c r="CG118" s="925"/>
      <c r="CH118" s="925"/>
      <c r="CI118" s="925"/>
      <c r="CJ118" s="925"/>
      <c r="CK118" s="925"/>
      <c r="CL118" s="925"/>
      <c r="CM118" s="925"/>
      <c r="CN118" s="925"/>
      <c r="CO118" s="925"/>
      <c r="CP118" s="925"/>
      <c r="CQ118" s="925"/>
      <c r="CR118" s="925"/>
      <c r="CS118" s="925"/>
      <c r="CT118" s="925"/>
      <c r="CU118" s="925"/>
      <c r="CV118" s="925"/>
      <c r="CW118" s="925"/>
      <c r="CX118" s="925"/>
      <c r="CY118" s="925"/>
      <c r="CZ118" s="925"/>
      <c r="DA118" s="925"/>
      <c r="DB118" s="925"/>
      <c r="DC118" s="925"/>
      <c r="DD118" s="925"/>
      <c r="DE118" s="925"/>
      <c r="DF118" s="925"/>
      <c r="DG118" s="925"/>
      <c r="DH118" s="925"/>
      <c r="DI118" s="925"/>
      <c r="DJ118" s="925"/>
      <c r="DK118" s="925"/>
      <c r="DL118" s="925"/>
      <c r="DM118" s="925"/>
      <c r="DN118" s="925"/>
      <c r="DO118" s="925"/>
      <c r="DP118" s="925"/>
      <c r="DQ118" s="925"/>
      <c r="DR118" s="925"/>
      <c r="DS118" s="925"/>
      <c r="DT118" s="925"/>
      <c r="DU118" s="925"/>
      <c r="DV118" s="925"/>
      <c r="DW118" s="925"/>
      <c r="DX118" s="925"/>
      <c r="DY118" s="925"/>
      <c r="DZ118" s="925"/>
      <c r="EA118" s="925"/>
      <c r="EB118" s="925"/>
      <c r="EC118" s="925"/>
      <c r="ED118" s="925"/>
      <c r="EE118" s="925"/>
      <c r="EF118" s="925"/>
      <c r="EG118" s="446"/>
    </row>
    <row r="119" spans="1:137" ht="13" x14ac:dyDescent="0.15">
      <c r="A119" s="917"/>
      <c r="B119" s="917"/>
      <c r="C119" s="918"/>
      <c r="D119" s="919"/>
      <c r="E119" s="920"/>
      <c r="F119" s="921"/>
      <c r="G119" s="922"/>
      <c r="H119" s="922"/>
      <c r="I119" s="922"/>
      <c r="J119" s="923"/>
      <c r="K119" s="923"/>
      <c r="L119" s="924"/>
      <c r="M119" s="925"/>
      <c r="N119" s="925"/>
      <c r="O119" s="925"/>
      <c r="P119" s="925"/>
      <c r="Q119" s="925"/>
      <c r="R119" s="926"/>
      <c r="S119" s="926"/>
      <c r="T119" s="925"/>
      <c r="U119" s="925"/>
      <c r="V119" s="925"/>
      <c r="W119" s="925"/>
      <c r="X119" s="925"/>
      <c r="Y119" s="925"/>
      <c r="Z119" s="925"/>
      <c r="AA119" s="925"/>
      <c r="AB119" s="925"/>
      <c r="AC119" s="925"/>
      <c r="AD119" s="925"/>
      <c r="AE119" s="925"/>
      <c r="AF119" s="925"/>
      <c r="AG119" s="925"/>
      <c r="AH119" s="925"/>
      <c r="AI119" s="925"/>
      <c r="AJ119" s="925"/>
      <c r="AK119" s="925"/>
      <c r="AL119" s="925"/>
      <c r="AM119" s="925"/>
      <c r="AN119" s="925"/>
      <c r="AO119" s="925"/>
      <c r="AP119" s="925"/>
      <c r="AQ119" s="925"/>
      <c r="AR119" s="925"/>
      <c r="AS119" s="925"/>
      <c r="AT119" s="925"/>
      <c r="AU119" s="925"/>
      <c r="AV119" s="925"/>
      <c r="AW119" s="925"/>
      <c r="AX119" s="925"/>
      <c r="AY119" s="925"/>
      <c r="AZ119" s="925"/>
      <c r="BA119" s="925"/>
      <c r="BB119" s="925"/>
      <c r="BC119" s="925"/>
      <c r="BD119" s="925"/>
      <c r="BE119" s="925"/>
      <c r="BF119" s="925"/>
      <c r="BG119" s="925"/>
      <c r="BH119" s="925"/>
      <c r="BI119" s="925"/>
      <c r="BJ119" s="925"/>
      <c r="BK119" s="925"/>
      <c r="BL119" s="925"/>
      <c r="BM119" s="925"/>
      <c r="BN119" s="925"/>
      <c r="BO119" s="925"/>
      <c r="BP119" s="925"/>
      <c r="BQ119" s="925"/>
      <c r="BR119" s="925"/>
      <c r="BS119" s="925"/>
      <c r="BT119" s="925"/>
      <c r="BU119" s="925"/>
      <c r="BV119" s="925"/>
      <c r="BW119" s="925"/>
      <c r="BX119" s="925"/>
      <c r="BY119" s="925"/>
      <c r="BZ119" s="925"/>
      <c r="CA119" s="925"/>
      <c r="CB119" s="925"/>
      <c r="CC119" s="925"/>
      <c r="CD119" s="925"/>
      <c r="CE119" s="925"/>
      <c r="CF119" s="925"/>
      <c r="CG119" s="925"/>
      <c r="CH119" s="925"/>
      <c r="CI119" s="925"/>
      <c r="CJ119" s="925"/>
      <c r="CK119" s="925"/>
      <c r="CL119" s="925"/>
      <c r="CM119" s="925"/>
      <c r="CN119" s="925"/>
      <c r="CO119" s="925"/>
      <c r="CP119" s="925"/>
      <c r="CQ119" s="925"/>
      <c r="CR119" s="925"/>
      <c r="CS119" s="925"/>
      <c r="CT119" s="925"/>
      <c r="CU119" s="925"/>
      <c r="CV119" s="925"/>
      <c r="CW119" s="925"/>
      <c r="CX119" s="925"/>
      <c r="CY119" s="925"/>
      <c r="CZ119" s="925"/>
      <c r="DA119" s="925"/>
      <c r="DB119" s="925"/>
      <c r="DC119" s="925"/>
      <c r="DD119" s="925"/>
      <c r="DE119" s="925"/>
      <c r="DF119" s="925"/>
      <c r="DG119" s="925"/>
      <c r="DH119" s="925"/>
      <c r="DI119" s="925"/>
      <c r="DJ119" s="925"/>
      <c r="DK119" s="925"/>
      <c r="DL119" s="925"/>
      <c r="DM119" s="925"/>
      <c r="DN119" s="925"/>
      <c r="DO119" s="925"/>
      <c r="DP119" s="925"/>
      <c r="DQ119" s="925"/>
      <c r="DR119" s="925"/>
      <c r="DS119" s="925"/>
      <c r="DT119" s="925"/>
      <c r="DU119" s="925"/>
      <c r="DV119" s="925"/>
      <c r="DW119" s="925"/>
      <c r="DX119" s="925"/>
      <c r="DY119" s="925"/>
      <c r="DZ119" s="925"/>
      <c r="EA119" s="925"/>
      <c r="EB119" s="925"/>
      <c r="EC119" s="925"/>
      <c r="ED119" s="925"/>
      <c r="EE119" s="925"/>
      <c r="EF119" s="925"/>
      <c r="EG119" s="446"/>
    </row>
    <row r="120" spans="1:137" ht="13" x14ac:dyDescent="0.15">
      <c r="A120" s="917"/>
      <c r="B120" s="917"/>
      <c r="C120" s="918"/>
      <c r="D120" s="919"/>
      <c r="E120" s="920"/>
      <c r="F120" s="921"/>
      <c r="G120" s="922"/>
      <c r="H120" s="922"/>
      <c r="I120" s="922"/>
      <c r="J120" s="923"/>
      <c r="K120" s="923"/>
      <c r="L120" s="924"/>
      <c r="M120" s="925"/>
      <c r="N120" s="925"/>
      <c r="O120" s="925"/>
      <c r="P120" s="925"/>
      <c r="Q120" s="925"/>
      <c r="R120" s="926"/>
      <c r="S120" s="926"/>
      <c r="T120" s="925"/>
      <c r="U120" s="925"/>
      <c r="V120" s="925"/>
      <c r="W120" s="925"/>
      <c r="X120" s="925"/>
      <c r="Y120" s="925"/>
      <c r="Z120" s="925"/>
      <c r="AA120" s="925"/>
      <c r="AB120" s="925"/>
      <c r="AC120" s="925"/>
      <c r="AD120" s="925"/>
      <c r="AE120" s="925"/>
      <c r="AF120" s="925"/>
      <c r="AG120" s="925"/>
      <c r="AH120" s="925"/>
      <c r="AI120" s="925"/>
      <c r="AJ120" s="925"/>
      <c r="AK120" s="925"/>
      <c r="AL120" s="925"/>
      <c r="AM120" s="925"/>
      <c r="AN120" s="925"/>
      <c r="AO120" s="925"/>
      <c r="AP120" s="925"/>
      <c r="AQ120" s="925"/>
      <c r="AR120" s="925"/>
      <c r="AS120" s="925"/>
      <c r="AT120" s="925"/>
      <c r="AU120" s="925"/>
      <c r="AV120" s="925"/>
      <c r="AW120" s="925"/>
      <c r="AX120" s="925"/>
      <c r="AY120" s="925"/>
      <c r="AZ120" s="925"/>
      <c r="BA120" s="925"/>
      <c r="BB120" s="925"/>
      <c r="BC120" s="925"/>
      <c r="BD120" s="925"/>
      <c r="BE120" s="925"/>
      <c r="BF120" s="925"/>
      <c r="BG120" s="925"/>
      <c r="BH120" s="925"/>
      <c r="BI120" s="925"/>
      <c r="BJ120" s="925"/>
      <c r="BK120" s="925"/>
      <c r="BL120" s="925"/>
      <c r="BM120" s="925"/>
      <c r="BN120" s="925"/>
      <c r="BO120" s="925"/>
      <c r="BP120" s="925"/>
      <c r="BQ120" s="925"/>
      <c r="BR120" s="925"/>
      <c r="BS120" s="925"/>
      <c r="BT120" s="925"/>
      <c r="BU120" s="925"/>
      <c r="BV120" s="925"/>
      <c r="BW120" s="925"/>
      <c r="BX120" s="925"/>
      <c r="BY120" s="925"/>
      <c r="BZ120" s="925"/>
      <c r="CA120" s="925"/>
      <c r="CB120" s="925"/>
      <c r="CC120" s="925"/>
      <c r="CD120" s="925"/>
      <c r="CE120" s="925"/>
      <c r="CF120" s="925"/>
      <c r="CG120" s="925"/>
      <c r="CH120" s="925"/>
      <c r="CI120" s="925"/>
      <c r="CJ120" s="925"/>
      <c r="CK120" s="925"/>
      <c r="CL120" s="925"/>
      <c r="CM120" s="925"/>
      <c r="CN120" s="925"/>
      <c r="CO120" s="925"/>
      <c r="CP120" s="925"/>
      <c r="CQ120" s="925"/>
      <c r="CR120" s="925"/>
      <c r="CS120" s="925"/>
      <c r="CT120" s="925"/>
      <c r="CU120" s="925"/>
      <c r="CV120" s="925"/>
      <c r="CW120" s="925"/>
      <c r="CX120" s="925"/>
      <c r="CY120" s="925"/>
      <c r="CZ120" s="925"/>
      <c r="DA120" s="925"/>
      <c r="DB120" s="925"/>
      <c r="DC120" s="925"/>
      <c r="DD120" s="925"/>
      <c r="DE120" s="925"/>
      <c r="DF120" s="925"/>
      <c r="DG120" s="925"/>
      <c r="DH120" s="925"/>
      <c r="DI120" s="925"/>
      <c r="DJ120" s="925"/>
      <c r="DK120" s="925"/>
      <c r="DL120" s="925"/>
      <c r="DM120" s="925"/>
      <c r="DN120" s="925"/>
      <c r="DO120" s="925"/>
      <c r="DP120" s="925"/>
      <c r="DQ120" s="925"/>
      <c r="DR120" s="925"/>
      <c r="DS120" s="925"/>
      <c r="DT120" s="925"/>
      <c r="DU120" s="925"/>
      <c r="DV120" s="925"/>
      <c r="DW120" s="925"/>
      <c r="DX120" s="925"/>
      <c r="DY120" s="925"/>
      <c r="DZ120" s="925"/>
      <c r="EA120" s="925"/>
      <c r="EB120" s="925"/>
      <c r="EC120" s="925"/>
      <c r="ED120" s="925"/>
      <c r="EE120" s="925"/>
      <c r="EF120" s="925"/>
      <c r="EG120" s="446"/>
    </row>
    <row r="121" spans="1:137" ht="13" x14ac:dyDescent="0.15">
      <c r="A121" s="917"/>
      <c r="B121" s="917"/>
      <c r="C121" s="918"/>
      <c r="D121" s="919"/>
      <c r="E121" s="920"/>
      <c r="F121" s="921"/>
      <c r="G121" s="922"/>
      <c r="H121" s="922"/>
      <c r="I121" s="922"/>
      <c r="J121" s="923"/>
      <c r="K121" s="923"/>
      <c r="L121" s="924"/>
      <c r="M121" s="925"/>
      <c r="N121" s="925"/>
      <c r="O121" s="925"/>
      <c r="P121" s="925"/>
      <c r="Q121" s="925"/>
      <c r="R121" s="926"/>
      <c r="S121" s="926"/>
      <c r="T121" s="925"/>
      <c r="U121" s="925"/>
      <c r="V121" s="925"/>
      <c r="W121" s="925"/>
      <c r="X121" s="925"/>
      <c r="Y121" s="925"/>
      <c r="Z121" s="925"/>
      <c r="AA121" s="925"/>
      <c r="AB121" s="925"/>
      <c r="AC121" s="925"/>
      <c r="AD121" s="925"/>
      <c r="AE121" s="925"/>
      <c r="AF121" s="925"/>
      <c r="AG121" s="925"/>
      <c r="AH121" s="925"/>
      <c r="AI121" s="925"/>
      <c r="AJ121" s="925"/>
      <c r="AK121" s="925"/>
      <c r="AL121" s="925"/>
      <c r="AM121" s="925"/>
      <c r="AN121" s="925"/>
      <c r="AO121" s="925"/>
      <c r="AP121" s="925"/>
      <c r="AQ121" s="925"/>
      <c r="AR121" s="925"/>
      <c r="AS121" s="925"/>
      <c r="AT121" s="925"/>
      <c r="AU121" s="925"/>
      <c r="AV121" s="925"/>
      <c r="AW121" s="925"/>
      <c r="AX121" s="925"/>
      <c r="AY121" s="925"/>
      <c r="AZ121" s="925"/>
      <c r="BA121" s="925"/>
      <c r="BB121" s="925"/>
      <c r="BC121" s="925"/>
      <c r="BD121" s="925"/>
      <c r="BE121" s="925"/>
      <c r="BF121" s="925"/>
      <c r="BG121" s="925"/>
      <c r="BH121" s="925"/>
      <c r="BI121" s="925"/>
      <c r="BJ121" s="925"/>
      <c r="BK121" s="925"/>
      <c r="BL121" s="925"/>
      <c r="BM121" s="925"/>
      <c r="BN121" s="925"/>
      <c r="BO121" s="925"/>
      <c r="BP121" s="925"/>
      <c r="BQ121" s="925"/>
      <c r="BR121" s="925"/>
      <c r="BS121" s="925"/>
      <c r="BT121" s="925"/>
      <c r="BU121" s="925"/>
      <c r="BV121" s="925"/>
      <c r="BW121" s="925"/>
      <c r="BX121" s="925"/>
      <c r="BY121" s="925"/>
      <c r="BZ121" s="925"/>
      <c r="CA121" s="925"/>
      <c r="CB121" s="925"/>
      <c r="CC121" s="925"/>
      <c r="CD121" s="925"/>
      <c r="CE121" s="925"/>
      <c r="CF121" s="925"/>
      <c r="CG121" s="925"/>
      <c r="CH121" s="925"/>
      <c r="CI121" s="925"/>
      <c r="CJ121" s="925"/>
      <c r="CK121" s="925"/>
      <c r="CL121" s="925"/>
      <c r="CM121" s="925"/>
      <c r="CN121" s="925"/>
      <c r="CO121" s="925"/>
      <c r="CP121" s="925"/>
      <c r="CQ121" s="925"/>
      <c r="CR121" s="925"/>
      <c r="CS121" s="925"/>
      <c r="CT121" s="925"/>
      <c r="CU121" s="925"/>
      <c r="CV121" s="925"/>
      <c r="CW121" s="925"/>
      <c r="CX121" s="925"/>
      <c r="CY121" s="925"/>
      <c r="CZ121" s="925"/>
      <c r="DA121" s="925"/>
      <c r="DB121" s="925"/>
      <c r="DC121" s="925"/>
      <c r="DD121" s="925"/>
      <c r="DE121" s="925"/>
      <c r="DF121" s="925"/>
      <c r="DG121" s="925"/>
      <c r="DH121" s="925"/>
      <c r="DI121" s="925"/>
      <c r="DJ121" s="925"/>
      <c r="DK121" s="925"/>
      <c r="DL121" s="925"/>
      <c r="DM121" s="925"/>
      <c r="DN121" s="925"/>
      <c r="DO121" s="925"/>
      <c r="DP121" s="925"/>
      <c r="DQ121" s="925"/>
      <c r="DR121" s="925"/>
      <c r="DS121" s="925"/>
      <c r="DT121" s="925"/>
      <c r="DU121" s="925"/>
      <c r="DV121" s="925"/>
      <c r="DW121" s="925"/>
      <c r="DX121" s="925"/>
      <c r="DY121" s="925"/>
      <c r="DZ121" s="925"/>
      <c r="EA121" s="925"/>
      <c r="EB121" s="925"/>
      <c r="EC121" s="925"/>
      <c r="ED121" s="925"/>
      <c r="EE121" s="925"/>
      <c r="EF121" s="925"/>
      <c r="EG121" s="446"/>
    </row>
    <row r="122" spans="1:137" ht="13" x14ac:dyDescent="0.15">
      <c r="A122" s="917"/>
      <c r="B122" s="917"/>
      <c r="C122" s="918"/>
      <c r="D122" s="919"/>
      <c r="E122" s="920"/>
      <c r="F122" s="921"/>
      <c r="G122" s="922"/>
      <c r="H122" s="922"/>
      <c r="I122" s="922"/>
      <c r="J122" s="923"/>
      <c r="K122" s="923"/>
      <c r="L122" s="924"/>
      <c r="M122" s="925"/>
      <c r="N122" s="925"/>
      <c r="O122" s="925"/>
      <c r="P122" s="925"/>
      <c r="Q122" s="925"/>
      <c r="R122" s="926"/>
      <c r="S122" s="926"/>
      <c r="T122" s="925"/>
      <c r="U122" s="925"/>
      <c r="V122" s="925"/>
      <c r="W122" s="925"/>
      <c r="X122" s="925"/>
      <c r="Y122" s="925"/>
      <c r="Z122" s="925"/>
      <c r="AA122" s="925"/>
      <c r="AB122" s="925"/>
      <c r="AC122" s="925"/>
      <c r="AD122" s="925"/>
      <c r="AE122" s="925"/>
      <c r="AF122" s="925"/>
      <c r="AG122" s="925"/>
      <c r="AH122" s="925"/>
      <c r="AI122" s="925"/>
      <c r="AJ122" s="925"/>
      <c r="AK122" s="925"/>
      <c r="AL122" s="925"/>
      <c r="AM122" s="925"/>
      <c r="AN122" s="925"/>
      <c r="AO122" s="925"/>
      <c r="AP122" s="925"/>
      <c r="AQ122" s="925"/>
      <c r="AR122" s="925"/>
      <c r="AS122" s="925"/>
      <c r="AT122" s="925"/>
      <c r="AU122" s="925"/>
      <c r="AV122" s="925"/>
      <c r="AW122" s="925"/>
      <c r="AX122" s="925"/>
      <c r="AY122" s="925"/>
      <c r="AZ122" s="925"/>
      <c r="BA122" s="925"/>
      <c r="BB122" s="925"/>
      <c r="BC122" s="925"/>
      <c r="BD122" s="925"/>
      <c r="BE122" s="925"/>
      <c r="BF122" s="925"/>
      <c r="BG122" s="925"/>
      <c r="BH122" s="925"/>
      <c r="BI122" s="925"/>
      <c r="BJ122" s="925"/>
      <c r="BK122" s="925"/>
      <c r="BL122" s="925"/>
      <c r="BM122" s="925"/>
      <c r="BN122" s="925"/>
      <c r="BO122" s="925"/>
      <c r="BP122" s="925"/>
      <c r="BQ122" s="925"/>
      <c r="BR122" s="925"/>
      <c r="BS122" s="925"/>
      <c r="BT122" s="925"/>
      <c r="BU122" s="925"/>
      <c r="BV122" s="925"/>
      <c r="BW122" s="925"/>
      <c r="BX122" s="925"/>
      <c r="BY122" s="925"/>
      <c r="BZ122" s="925"/>
      <c r="CA122" s="925"/>
      <c r="CB122" s="925"/>
      <c r="CC122" s="925"/>
      <c r="CD122" s="925"/>
      <c r="CE122" s="925"/>
      <c r="CF122" s="925"/>
      <c r="CG122" s="925"/>
      <c r="CH122" s="925"/>
      <c r="CI122" s="925"/>
      <c r="CJ122" s="925"/>
      <c r="CK122" s="925"/>
      <c r="CL122" s="925"/>
      <c r="CM122" s="925"/>
      <c r="CN122" s="925"/>
      <c r="CO122" s="925"/>
      <c r="CP122" s="925"/>
      <c r="CQ122" s="925"/>
      <c r="CR122" s="925"/>
      <c r="CS122" s="925"/>
      <c r="CT122" s="925"/>
      <c r="CU122" s="925"/>
      <c r="CV122" s="925"/>
      <c r="CW122" s="925"/>
      <c r="CX122" s="925"/>
      <c r="CY122" s="925"/>
      <c r="CZ122" s="925"/>
      <c r="DA122" s="925"/>
      <c r="DB122" s="925"/>
      <c r="DC122" s="925"/>
      <c r="DD122" s="925"/>
      <c r="DE122" s="925"/>
      <c r="DF122" s="925"/>
      <c r="DG122" s="925"/>
      <c r="DH122" s="925"/>
      <c r="DI122" s="925"/>
      <c r="DJ122" s="925"/>
      <c r="DK122" s="925"/>
      <c r="DL122" s="925"/>
      <c r="DM122" s="925"/>
      <c r="DN122" s="925"/>
      <c r="DO122" s="925"/>
      <c r="DP122" s="925"/>
      <c r="DQ122" s="925"/>
      <c r="DR122" s="925"/>
      <c r="DS122" s="925"/>
      <c r="DT122" s="925"/>
      <c r="DU122" s="925"/>
      <c r="DV122" s="925"/>
      <c r="DW122" s="925"/>
      <c r="DX122" s="925"/>
      <c r="DY122" s="925"/>
      <c r="DZ122" s="925"/>
      <c r="EA122" s="925"/>
      <c r="EB122" s="925"/>
      <c r="EC122" s="925"/>
      <c r="ED122" s="925"/>
      <c r="EE122" s="925"/>
      <c r="EF122" s="925"/>
      <c r="EG122" s="446"/>
    </row>
    <row r="123" spans="1:137" ht="13" x14ac:dyDescent="0.15">
      <c r="A123" s="917"/>
      <c r="B123" s="917"/>
      <c r="C123" s="918"/>
      <c r="D123" s="919"/>
      <c r="E123" s="920"/>
      <c r="F123" s="921"/>
      <c r="G123" s="922"/>
      <c r="H123" s="922"/>
      <c r="I123" s="922"/>
      <c r="J123" s="923"/>
      <c r="K123" s="923"/>
      <c r="L123" s="924"/>
      <c r="M123" s="925"/>
      <c r="N123" s="925"/>
      <c r="O123" s="925"/>
      <c r="P123" s="925"/>
      <c r="Q123" s="925"/>
      <c r="R123" s="926"/>
      <c r="S123" s="926"/>
      <c r="T123" s="925"/>
      <c r="U123" s="925"/>
      <c r="V123" s="925"/>
      <c r="W123" s="925"/>
      <c r="X123" s="925"/>
      <c r="Y123" s="925"/>
      <c r="Z123" s="925"/>
      <c r="AA123" s="925"/>
      <c r="AB123" s="925"/>
      <c r="AC123" s="925"/>
      <c r="AD123" s="925"/>
      <c r="AE123" s="925"/>
      <c r="AF123" s="925"/>
      <c r="AG123" s="925"/>
      <c r="AH123" s="925"/>
      <c r="AI123" s="925"/>
      <c r="AJ123" s="925"/>
      <c r="AK123" s="925"/>
      <c r="AL123" s="925"/>
      <c r="AM123" s="925"/>
      <c r="AN123" s="925"/>
      <c r="AO123" s="925"/>
      <c r="AP123" s="925"/>
      <c r="AQ123" s="925"/>
      <c r="AR123" s="925"/>
      <c r="AS123" s="925"/>
      <c r="AT123" s="925"/>
      <c r="AU123" s="925"/>
      <c r="AV123" s="925"/>
      <c r="AW123" s="925"/>
      <c r="AX123" s="925"/>
      <c r="AY123" s="925"/>
      <c r="AZ123" s="925"/>
      <c r="BA123" s="925"/>
      <c r="BB123" s="925"/>
      <c r="BC123" s="925"/>
      <c r="BD123" s="925"/>
      <c r="BE123" s="925"/>
      <c r="BF123" s="925"/>
      <c r="BG123" s="925"/>
      <c r="BH123" s="925"/>
      <c r="BI123" s="925"/>
      <c r="BJ123" s="925"/>
      <c r="BK123" s="925"/>
      <c r="BL123" s="925"/>
      <c r="BM123" s="925"/>
      <c r="BN123" s="925"/>
      <c r="BO123" s="925"/>
      <c r="BP123" s="925"/>
      <c r="BQ123" s="925"/>
      <c r="BR123" s="925"/>
      <c r="BS123" s="925"/>
      <c r="BT123" s="925"/>
      <c r="BU123" s="925"/>
      <c r="BV123" s="925"/>
      <c r="BW123" s="925"/>
      <c r="BX123" s="925"/>
      <c r="BY123" s="925"/>
      <c r="BZ123" s="925"/>
      <c r="CA123" s="925"/>
      <c r="CB123" s="925"/>
      <c r="CC123" s="925"/>
      <c r="CD123" s="925"/>
      <c r="CE123" s="925"/>
      <c r="CF123" s="925"/>
      <c r="CG123" s="925"/>
      <c r="CH123" s="925"/>
      <c r="CI123" s="925"/>
      <c r="CJ123" s="925"/>
      <c r="CK123" s="925"/>
      <c r="CL123" s="925"/>
      <c r="CM123" s="925"/>
      <c r="CN123" s="925"/>
      <c r="CO123" s="925"/>
      <c r="CP123" s="925"/>
      <c r="CQ123" s="925"/>
      <c r="CR123" s="925"/>
      <c r="CS123" s="925"/>
      <c r="CT123" s="925"/>
      <c r="CU123" s="925"/>
      <c r="CV123" s="925"/>
      <c r="CW123" s="925"/>
      <c r="CX123" s="925"/>
      <c r="CY123" s="925"/>
      <c r="CZ123" s="925"/>
      <c r="DA123" s="925"/>
      <c r="DB123" s="925"/>
      <c r="DC123" s="925"/>
      <c r="DD123" s="925"/>
      <c r="DE123" s="925"/>
      <c r="DF123" s="925"/>
      <c r="DG123" s="925"/>
      <c r="DH123" s="925"/>
      <c r="DI123" s="925"/>
      <c r="DJ123" s="925"/>
      <c r="DK123" s="925"/>
      <c r="DL123" s="925"/>
      <c r="DM123" s="925"/>
      <c r="DN123" s="925"/>
      <c r="DO123" s="925"/>
      <c r="DP123" s="925"/>
      <c r="DQ123" s="925"/>
      <c r="DR123" s="925"/>
      <c r="DS123" s="925"/>
      <c r="DT123" s="925"/>
      <c r="DU123" s="925"/>
      <c r="DV123" s="925"/>
      <c r="DW123" s="925"/>
      <c r="DX123" s="925"/>
      <c r="DY123" s="925"/>
      <c r="DZ123" s="925"/>
      <c r="EA123" s="925"/>
      <c r="EB123" s="925"/>
      <c r="EC123" s="925"/>
      <c r="ED123" s="925"/>
      <c r="EE123" s="925"/>
      <c r="EF123" s="925"/>
      <c r="EG123" s="446"/>
    </row>
    <row r="124" spans="1:137" ht="13" x14ac:dyDescent="0.15">
      <c r="A124" s="917"/>
      <c r="B124" s="917"/>
      <c r="C124" s="918"/>
      <c r="D124" s="919"/>
      <c r="E124" s="920"/>
      <c r="F124" s="921"/>
      <c r="G124" s="922"/>
      <c r="H124" s="922"/>
      <c r="I124" s="922"/>
      <c r="J124" s="923"/>
      <c r="K124" s="923"/>
      <c r="L124" s="924"/>
      <c r="M124" s="925"/>
      <c r="N124" s="925"/>
      <c r="O124" s="925"/>
      <c r="P124" s="925"/>
      <c r="Q124" s="925"/>
      <c r="R124" s="926"/>
      <c r="S124" s="926"/>
      <c r="T124" s="925"/>
      <c r="U124" s="925"/>
      <c r="V124" s="925"/>
      <c r="W124" s="925"/>
      <c r="X124" s="925"/>
      <c r="Y124" s="925"/>
      <c r="Z124" s="925"/>
      <c r="AA124" s="925"/>
      <c r="AB124" s="925"/>
      <c r="AC124" s="925"/>
      <c r="AD124" s="925"/>
      <c r="AE124" s="925"/>
      <c r="AF124" s="925"/>
      <c r="AG124" s="925"/>
      <c r="AH124" s="925"/>
      <c r="AI124" s="925"/>
      <c r="AJ124" s="925"/>
      <c r="AK124" s="925"/>
      <c r="AL124" s="925"/>
      <c r="AM124" s="925"/>
      <c r="AN124" s="925"/>
      <c r="AO124" s="925"/>
      <c r="AP124" s="925"/>
      <c r="AQ124" s="925"/>
      <c r="AR124" s="925"/>
      <c r="AS124" s="925"/>
      <c r="AT124" s="925"/>
      <c r="AU124" s="925"/>
      <c r="AV124" s="925"/>
      <c r="AW124" s="925"/>
      <c r="AX124" s="925"/>
      <c r="AY124" s="925"/>
      <c r="AZ124" s="925"/>
      <c r="BA124" s="925"/>
      <c r="BB124" s="925"/>
      <c r="BC124" s="925"/>
      <c r="BD124" s="925"/>
      <c r="BE124" s="925"/>
      <c r="BF124" s="925"/>
      <c r="BG124" s="925"/>
      <c r="BH124" s="925"/>
      <c r="BI124" s="925"/>
      <c r="BJ124" s="925"/>
      <c r="BK124" s="925"/>
      <c r="BL124" s="925"/>
      <c r="BM124" s="925"/>
      <c r="BN124" s="925"/>
      <c r="BO124" s="925"/>
      <c r="BP124" s="925"/>
      <c r="BQ124" s="925"/>
      <c r="BR124" s="925"/>
      <c r="BS124" s="925"/>
      <c r="BT124" s="925"/>
      <c r="BU124" s="925"/>
      <c r="BV124" s="925"/>
      <c r="BW124" s="925"/>
      <c r="BX124" s="925"/>
      <c r="BY124" s="925"/>
      <c r="BZ124" s="925"/>
      <c r="CA124" s="925"/>
      <c r="CB124" s="925"/>
      <c r="CC124" s="925"/>
      <c r="CD124" s="925"/>
      <c r="CE124" s="925"/>
      <c r="CF124" s="925"/>
      <c r="CG124" s="925"/>
      <c r="CH124" s="925"/>
      <c r="CI124" s="925"/>
      <c r="CJ124" s="925"/>
      <c r="CK124" s="925"/>
      <c r="CL124" s="925"/>
      <c r="CM124" s="925"/>
      <c r="CN124" s="925"/>
      <c r="CO124" s="925"/>
      <c r="CP124" s="925"/>
      <c r="CQ124" s="925"/>
      <c r="CR124" s="925"/>
      <c r="CS124" s="925"/>
      <c r="CT124" s="925"/>
      <c r="CU124" s="925"/>
      <c r="CV124" s="925"/>
      <c r="CW124" s="925"/>
      <c r="CX124" s="925"/>
      <c r="CY124" s="925"/>
      <c r="CZ124" s="925"/>
      <c r="DA124" s="925"/>
      <c r="DB124" s="925"/>
      <c r="DC124" s="925"/>
      <c r="DD124" s="925"/>
      <c r="DE124" s="925"/>
      <c r="DF124" s="925"/>
      <c r="DG124" s="925"/>
      <c r="DH124" s="925"/>
      <c r="DI124" s="925"/>
      <c r="DJ124" s="925"/>
      <c r="DK124" s="925"/>
      <c r="DL124" s="925"/>
      <c r="DM124" s="925"/>
      <c r="DN124" s="925"/>
      <c r="DO124" s="925"/>
      <c r="DP124" s="925"/>
      <c r="DQ124" s="925"/>
      <c r="DR124" s="925"/>
      <c r="DS124" s="925"/>
      <c r="DT124" s="925"/>
      <c r="DU124" s="925"/>
      <c r="DV124" s="925"/>
      <c r="DW124" s="925"/>
      <c r="DX124" s="925"/>
      <c r="DY124" s="925"/>
      <c r="DZ124" s="925"/>
      <c r="EA124" s="925"/>
      <c r="EB124" s="925"/>
      <c r="EC124" s="925"/>
      <c r="ED124" s="925"/>
      <c r="EE124" s="925"/>
      <c r="EF124" s="925"/>
      <c r="EG124" s="446"/>
    </row>
    <row r="125" spans="1:137" ht="13" x14ac:dyDescent="0.15">
      <c r="A125" s="917"/>
      <c r="B125" s="917"/>
      <c r="C125" s="918"/>
      <c r="D125" s="919"/>
      <c r="E125" s="920"/>
      <c r="F125" s="921"/>
      <c r="G125" s="922"/>
      <c r="H125" s="922"/>
      <c r="I125" s="922"/>
      <c r="J125" s="923"/>
      <c r="K125" s="923"/>
      <c r="L125" s="924"/>
      <c r="M125" s="925"/>
      <c r="N125" s="925"/>
      <c r="O125" s="925"/>
      <c r="P125" s="925"/>
      <c r="Q125" s="925"/>
      <c r="R125" s="926"/>
      <c r="S125" s="926"/>
      <c r="T125" s="925"/>
      <c r="U125" s="925"/>
      <c r="V125" s="925"/>
      <c r="W125" s="925"/>
      <c r="X125" s="925"/>
      <c r="Y125" s="925"/>
      <c r="Z125" s="925"/>
      <c r="AA125" s="925"/>
      <c r="AB125" s="925"/>
      <c r="AC125" s="925"/>
      <c r="AD125" s="925"/>
      <c r="AE125" s="925"/>
      <c r="AF125" s="925"/>
      <c r="AG125" s="925"/>
      <c r="AH125" s="925"/>
      <c r="AI125" s="925"/>
      <c r="AJ125" s="925"/>
      <c r="AK125" s="925"/>
      <c r="AL125" s="925"/>
      <c r="AM125" s="925"/>
      <c r="AN125" s="925"/>
      <c r="AO125" s="925"/>
      <c r="AP125" s="925"/>
      <c r="AQ125" s="925"/>
      <c r="AR125" s="925"/>
      <c r="AS125" s="925"/>
      <c r="AT125" s="925"/>
      <c r="AU125" s="925"/>
      <c r="AV125" s="925"/>
      <c r="AW125" s="925"/>
      <c r="AX125" s="925"/>
      <c r="AY125" s="925"/>
      <c r="AZ125" s="925"/>
      <c r="BA125" s="925"/>
      <c r="BB125" s="925"/>
      <c r="BC125" s="925"/>
      <c r="BD125" s="925"/>
      <c r="BE125" s="925"/>
      <c r="BF125" s="925"/>
      <c r="BG125" s="925"/>
      <c r="BH125" s="925"/>
      <c r="BI125" s="925"/>
      <c r="BJ125" s="925"/>
      <c r="BK125" s="925"/>
      <c r="BL125" s="925"/>
      <c r="BM125" s="925"/>
      <c r="BN125" s="925"/>
      <c r="BO125" s="925"/>
      <c r="BP125" s="925"/>
      <c r="BQ125" s="925"/>
      <c r="BR125" s="925"/>
      <c r="BS125" s="925"/>
      <c r="BT125" s="925"/>
      <c r="BU125" s="925"/>
      <c r="BV125" s="925"/>
      <c r="BW125" s="925"/>
      <c r="BX125" s="925"/>
      <c r="BY125" s="925"/>
      <c r="BZ125" s="925"/>
      <c r="CA125" s="925"/>
      <c r="CB125" s="925"/>
      <c r="CC125" s="925"/>
      <c r="CD125" s="925"/>
      <c r="CE125" s="925"/>
      <c r="CF125" s="925"/>
      <c r="CG125" s="925"/>
      <c r="CH125" s="925"/>
      <c r="CI125" s="925"/>
      <c r="CJ125" s="925"/>
      <c r="CK125" s="925"/>
      <c r="CL125" s="925"/>
      <c r="CM125" s="925"/>
      <c r="CN125" s="925"/>
      <c r="CO125" s="925"/>
      <c r="CP125" s="925"/>
      <c r="CQ125" s="925"/>
      <c r="CR125" s="925"/>
      <c r="CS125" s="925"/>
      <c r="CT125" s="925"/>
      <c r="CU125" s="925"/>
      <c r="CV125" s="925"/>
      <c r="CW125" s="925"/>
      <c r="CX125" s="925"/>
      <c r="CY125" s="925"/>
      <c r="CZ125" s="925"/>
      <c r="DA125" s="925"/>
      <c r="DB125" s="925"/>
      <c r="DC125" s="925"/>
      <c r="DD125" s="925"/>
      <c r="DE125" s="925"/>
      <c r="DF125" s="925"/>
      <c r="DG125" s="925"/>
      <c r="DH125" s="925"/>
      <c r="DI125" s="925"/>
      <c r="DJ125" s="925"/>
      <c r="DK125" s="925"/>
      <c r="DL125" s="925"/>
      <c r="DM125" s="925"/>
      <c r="DN125" s="925"/>
      <c r="DO125" s="925"/>
      <c r="DP125" s="925"/>
      <c r="DQ125" s="925"/>
      <c r="DR125" s="925"/>
      <c r="DS125" s="925"/>
      <c r="DT125" s="925"/>
      <c r="DU125" s="925"/>
      <c r="DV125" s="925"/>
      <c r="DW125" s="925"/>
      <c r="DX125" s="925"/>
      <c r="DY125" s="925"/>
      <c r="DZ125" s="925"/>
      <c r="EA125" s="925"/>
      <c r="EB125" s="925"/>
      <c r="EC125" s="925"/>
      <c r="ED125" s="925"/>
      <c r="EE125" s="925"/>
      <c r="EF125" s="925"/>
      <c r="EG125" s="446"/>
    </row>
    <row r="126" spans="1:137" ht="13" x14ac:dyDescent="0.15">
      <c r="A126" s="917"/>
      <c r="B126" s="917"/>
      <c r="C126" s="918"/>
      <c r="D126" s="919"/>
      <c r="E126" s="920"/>
      <c r="F126" s="921"/>
      <c r="G126" s="922"/>
      <c r="H126" s="922"/>
      <c r="I126" s="922"/>
      <c r="J126" s="923"/>
      <c r="K126" s="923"/>
      <c r="L126" s="924"/>
      <c r="M126" s="925"/>
      <c r="N126" s="925"/>
      <c r="O126" s="925"/>
      <c r="P126" s="925"/>
      <c r="Q126" s="925"/>
      <c r="R126" s="926"/>
      <c r="S126" s="926"/>
      <c r="T126" s="925"/>
      <c r="U126" s="925"/>
      <c r="V126" s="925"/>
      <c r="W126" s="925"/>
      <c r="X126" s="925"/>
      <c r="Y126" s="925"/>
      <c r="Z126" s="925"/>
      <c r="AA126" s="925"/>
      <c r="AB126" s="925"/>
      <c r="AC126" s="925"/>
      <c r="AD126" s="925"/>
      <c r="AE126" s="925"/>
      <c r="AF126" s="925"/>
      <c r="AG126" s="925"/>
      <c r="AH126" s="925"/>
      <c r="AI126" s="925"/>
      <c r="AJ126" s="925"/>
      <c r="AK126" s="925"/>
      <c r="AL126" s="925"/>
      <c r="AM126" s="925"/>
      <c r="AN126" s="925"/>
      <c r="AO126" s="925"/>
      <c r="AP126" s="925"/>
      <c r="AQ126" s="925"/>
      <c r="AR126" s="925"/>
      <c r="AS126" s="925"/>
      <c r="AT126" s="925"/>
      <c r="AU126" s="925"/>
      <c r="AV126" s="925"/>
      <c r="AW126" s="925"/>
      <c r="AX126" s="925"/>
      <c r="AY126" s="925"/>
      <c r="AZ126" s="925"/>
      <c r="BA126" s="925"/>
      <c r="BB126" s="925"/>
      <c r="BC126" s="925"/>
      <c r="BD126" s="925"/>
      <c r="BE126" s="925"/>
      <c r="BF126" s="925"/>
      <c r="BG126" s="925"/>
      <c r="BH126" s="925"/>
      <c r="BI126" s="925"/>
      <c r="BJ126" s="925"/>
      <c r="BK126" s="925"/>
      <c r="BL126" s="925"/>
      <c r="BM126" s="925"/>
      <c r="BN126" s="925"/>
      <c r="BO126" s="925"/>
      <c r="BP126" s="925"/>
      <c r="BQ126" s="925"/>
      <c r="BR126" s="925"/>
      <c r="BS126" s="925"/>
      <c r="BT126" s="925"/>
      <c r="BU126" s="925"/>
      <c r="BV126" s="925"/>
      <c r="BW126" s="925"/>
      <c r="BX126" s="925"/>
      <c r="BY126" s="925"/>
      <c r="BZ126" s="925"/>
      <c r="CA126" s="925"/>
      <c r="CB126" s="925"/>
      <c r="CC126" s="925"/>
      <c r="CD126" s="925"/>
      <c r="CE126" s="925"/>
      <c r="CF126" s="925"/>
      <c r="CG126" s="925"/>
      <c r="CH126" s="925"/>
      <c r="CI126" s="925"/>
      <c r="CJ126" s="925"/>
      <c r="CK126" s="925"/>
      <c r="CL126" s="925"/>
      <c r="CM126" s="925"/>
      <c r="CN126" s="925"/>
      <c r="CO126" s="925"/>
      <c r="CP126" s="925"/>
      <c r="CQ126" s="925"/>
      <c r="CR126" s="925"/>
      <c r="CS126" s="925"/>
      <c r="CT126" s="925"/>
      <c r="CU126" s="925"/>
      <c r="CV126" s="925"/>
      <c r="CW126" s="925"/>
      <c r="CX126" s="925"/>
      <c r="CY126" s="925"/>
      <c r="CZ126" s="925"/>
      <c r="DA126" s="925"/>
      <c r="DB126" s="925"/>
      <c r="DC126" s="925"/>
      <c r="DD126" s="925"/>
      <c r="DE126" s="925"/>
      <c r="DF126" s="925"/>
      <c r="DG126" s="925"/>
      <c r="DH126" s="925"/>
      <c r="DI126" s="925"/>
      <c r="DJ126" s="925"/>
      <c r="DK126" s="925"/>
      <c r="DL126" s="925"/>
      <c r="DM126" s="925"/>
      <c r="DN126" s="925"/>
      <c r="DO126" s="925"/>
      <c r="DP126" s="925"/>
      <c r="DQ126" s="925"/>
      <c r="DR126" s="925"/>
      <c r="DS126" s="925"/>
      <c r="DT126" s="925"/>
      <c r="DU126" s="925"/>
      <c r="DV126" s="925"/>
      <c r="DW126" s="925"/>
      <c r="DX126" s="925"/>
      <c r="DY126" s="925"/>
      <c r="DZ126" s="925"/>
      <c r="EA126" s="925"/>
      <c r="EB126" s="925"/>
      <c r="EC126" s="925"/>
      <c r="ED126" s="925"/>
      <c r="EE126" s="925"/>
      <c r="EF126" s="925"/>
      <c r="EG126" s="446"/>
    </row>
    <row r="127" spans="1:137" ht="13" x14ac:dyDescent="0.15">
      <c r="A127" s="917"/>
      <c r="B127" s="917"/>
      <c r="C127" s="918"/>
      <c r="D127" s="919"/>
      <c r="E127" s="920"/>
      <c r="F127" s="921"/>
      <c r="G127" s="922"/>
      <c r="H127" s="922"/>
      <c r="I127" s="922"/>
      <c r="J127" s="923"/>
      <c r="K127" s="923"/>
      <c r="L127" s="924"/>
      <c r="M127" s="925"/>
      <c r="N127" s="925"/>
      <c r="O127" s="925"/>
      <c r="P127" s="925"/>
      <c r="Q127" s="925"/>
      <c r="R127" s="926"/>
      <c r="S127" s="926"/>
      <c r="T127" s="925"/>
      <c r="U127" s="925"/>
      <c r="V127" s="925"/>
      <c r="W127" s="925"/>
      <c r="X127" s="925"/>
      <c r="Y127" s="925"/>
      <c r="Z127" s="925"/>
      <c r="AA127" s="925"/>
      <c r="AB127" s="925"/>
      <c r="AC127" s="925"/>
      <c r="AD127" s="925"/>
      <c r="AE127" s="925"/>
      <c r="AF127" s="925"/>
      <c r="AG127" s="925"/>
      <c r="AH127" s="925"/>
      <c r="AI127" s="925"/>
      <c r="AJ127" s="925"/>
      <c r="AK127" s="925"/>
      <c r="AL127" s="925"/>
      <c r="AM127" s="925"/>
      <c r="AN127" s="925"/>
      <c r="AO127" s="925"/>
      <c r="AP127" s="925"/>
      <c r="AQ127" s="925"/>
      <c r="AR127" s="925"/>
      <c r="AS127" s="925"/>
      <c r="AT127" s="925"/>
      <c r="AU127" s="925"/>
      <c r="AV127" s="925"/>
      <c r="AW127" s="925"/>
      <c r="AX127" s="925"/>
      <c r="AY127" s="925"/>
      <c r="AZ127" s="925"/>
      <c r="BA127" s="925"/>
      <c r="BB127" s="925"/>
      <c r="BC127" s="925"/>
      <c r="BD127" s="925"/>
      <c r="BE127" s="925"/>
      <c r="BF127" s="925"/>
      <c r="BG127" s="925"/>
      <c r="BH127" s="925"/>
      <c r="BI127" s="925"/>
      <c r="BJ127" s="925"/>
      <c r="BK127" s="925"/>
      <c r="BL127" s="925"/>
      <c r="BM127" s="925"/>
      <c r="BN127" s="925"/>
      <c r="BO127" s="925"/>
      <c r="BP127" s="925"/>
      <c r="BQ127" s="925"/>
      <c r="BR127" s="925"/>
      <c r="BS127" s="925"/>
      <c r="BT127" s="925"/>
      <c r="BU127" s="925"/>
      <c r="BV127" s="925"/>
      <c r="BW127" s="925"/>
      <c r="BX127" s="925"/>
      <c r="BY127" s="925"/>
      <c r="BZ127" s="925"/>
      <c r="CA127" s="925"/>
      <c r="CB127" s="925"/>
      <c r="CC127" s="925"/>
      <c r="CD127" s="925"/>
      <c r="CE127" s="925"/>
      <c r="CF127" s="925"/>
      <c r="CG127" s="925"/>
      <c r="CH127" s="925"/>
      <c r="CI127" s="925"/>
      <c r="CJ127" s="925"/>
      <c r="CK127" s="925"/>
      <c r="CL127" s="925"/>
      <c r="CM127" s="925"/>
      <c r="CN127" s="925"/>
      <c r="CO127" s="925"/>
      <c r="CP127" s="925"/>
      <c r="CQ127" s="925"/>
      <c r="CR127" s="925"/>
      <c r="CS127" s="925"/>
      <c r="CT127" s="925"/>
      <c r="CU127" s="925"/>
      <c r="CV127" s="925"/>
      <c r="CW127" s="925"/>
      <c r="CX127" s="925"/>
      <c r="CY127" s="925"/>
      <c r="CZ127" s="925"/>
      <c r="DA127" s="925"/>
      <c r="DB127" s="925"/>
      <c r="DC127" s="925"/>
      <c r="DD127" s="925"/>
      <c r="DE127" s="925"/>
      <c r="DF127" s="925"/>
      <c r="DG127" s="925"/>
      <c r="DH127" s="925"/>
      <c r="DI127" s="925"/>
      <c r="DJ127" s="925"/>
      <c r="DK127" s="925"/>
      <c r="DL127" s="925"/>
      <c r="DM127" s="925"/>
      <c r="DN127" s="925"/>
      <c r="DO127" s="925"/>
      <c r="DP127" s="925"/>
      <c r="DQ127" s="925"/>
      <c r="DR127" s="925"/>
      <c r="DS127" s="925"/>
      <c r="DT127" s="925"/>
      <c r="DU127" s="925"/>
      <c r="DV127" s="925"/>
      <c r="DW127" s="925"/>
      <c r="DX127" s="925"/>
      <c r="DY127" s="925"/>
      <c r="DZ127" s="925"/>
      <c r="EA127" s="925"/>
      <c r="EB127" s="925"/>
      <c r="EC127" s="925"/>
      <c r="ED127" s="925"/>
      <c r="EE127" s="925"/>
      <c r="EF127" s="925"/>
      <c r="EG127" s="446"/>
    </row>
    <row r="128" spans="1:137" ht="13" x14ac:dyDescent="0.15">
      <c r="A128" s="917"/>
      <c r="B128" s="917"/>
      <c r="C128" s="918"/>
      <c r="D128" s="919"/>
      <c r="E128" s="920"/>
      <c r="F128" s="921"/>
      <c r="G128" s="922"/>
      <c r="H128" s="922"/>
      <c r="I128" s="922"/>
      <c r="J128" s="923"/>
      <c r="K128" s="923"/>
      <c r="L128" s="924"/>
      <c r="M128" s="925"/>
      <c r="N128" s="925"/>
      <c r="O128" s="925"/>
      <c r="P128" s="925"/>
      <c r="Q128" s="925"/>
      <c r="R128" s="926"/>
      <c r="S128" s="926"/>
      <c r="T128" s="925"/>
      <c r="U128" s="925"/>
      <c r="V128" s="925"/>
      <c r="W128" s="925"/>
      <c r="X128" s="925"/>
      <c r="Y128" s="925"/>
      <c r="Z128" s="925"/>
      <c r="AA128" s="925"/>
      <c r="AB128" s="925"/>
      <c r="AC128" s="925"/>
      <c r="AD128" s="925"/>
      <c r="AE128" s="925"/>
      <c r="AF128" s="925"/>
      <c r="AG128" s="925"/>
      <c r="AH128" s="925"/>
      <c r="AI128" s="925"/>
      <c r="AJ128" s="925"/>
      <c r="AK128" s="925"/>
      <c r="AL128" s="925"/>
      <c r="AM128" s="925"/>
      <c r="AN128" s="925"/>
      <c r="AO128" s="925"/>
      <c r="AP128" s="925"/>
      <c r="AQ128" s="925"/>
      <c r="AR128" s="925"/>
      <c r="AS128" s="925"/>
      <c r="AT128" s="925"/>
      <c r="AU128" s="925"/>
      <c r="AV128" s="925"/>
      <c r="AW128" s="925"/>
      <c r="AX128" s="925"/>
      <c r="AY128" s="925"/>
      <c r="AZ128" s="925"/>
      <c r="BA128" s="925"/>
      <c r="BB128" s="925"/>
      <c r="BC128" s="925"/>
      <c r="BD128" s="925"/>
      <c r="BE128" s="925"/>
      <c r="BF128" s="925"/>
      <c r="BG128" s="925"/>
      <c r="BH128" s="925"/>
      <c r="BI128" s="925"/>
      <c r="BJ128" s="925"/>
      <c r="BK128" s="925"/>
      <c r="BL128" s="925"/>
      <c r="BM128" s="925"/>
      <c r="BN128" s="925"/>
      <c r="BO128" s="925"/>
      <c r="BP128" s="925"/>
      <c r="BQ128" s="925"/>
      <c r="BR128" s="925"/>
      <c r="BS128" s="925"/>
      <c r="BT128" s="925"/>
      <c r="BU128" s="925"/>
      <c r="BV128" s="925"/>
      <c r="BW128" s="925"/>
      <c r="BX128" s="925"/>
      <c r="BY128" s="925"/>
      <c r="BZ128" s="925"/>
      <c r="CA128" s="925"/>
      <c r="CB128" s="925"/>
      <c r="CC128" s="925"/>
      <c r="CD128" s="925"/>
      <c r="CE128" s="925"/>
      <c r="CF128" s="925"/>
      <c r="CG128" s="925"/>
      <c r="CH128" s="925"/>
      <c r="CI128" s="925"/>
      <c r="CJ128" s="925"/>
      <c r="CK128" s="925"/>
      <c r="CL128" s="925"/>
      <c r="CM128" s="925"/>
      <c r="CN128" s="925"/>
      <c r="CO128" s="925"/>
      <c r="CP128" s="925"/>
      <c r="CQ128" s="925"/>
      <c r="CR128" s="925"/>
      <c r="CS128" s="925"/>
      <c r="CT128" s="925"/>
      <c r="CU128" s="925"/>
      <c r="CV128" s="925"/>
      <c r="CW128" s="925"/>
      <c r="CX128" s="925"/>
      <c r="CY128" s="925"/>
      <c r="CZ128" s="925"/>
      <c r="DA128" s="925"/>
      <c r="DB128" s="925"/>
      <c r="DC128" s="925"/>
      <c r="DD128" s="925"/>
      <c r="DE128" s="925"/>
      <c r="DF128" s="925"/>
      <c r="DG128" s="925"/>
      <c r="DH128" s="925"/>
      <c r="DI128" s="925"/>
      <c r="DJ128" s="925"/>
      <c r="DK128" s="925"/>
      <c r="DL128" s="925"/>
      <c r="DM128" s="925"/>
      <c r="DN128" s="925"/>
      <c r="DO128" s="925"/>
      <c r="DP128" s="925"/>
      <c r="DQ128" s="925"/>
      <c r="DR128" s="925"/>
      <c r="DS128" s="925"/>
      <c r="DT128" s="925"/>
      <c r="DU128" s="925"/>
      <c r="DV128" s="925"/>
      <c r="DW128" s="925"/>
      <c r="DX128" s="925"/>
      <c r="DY128" s="925"/>
      <c r="DZ128" s="925"/>
      <c r="EA128" s="925"/>
      <c r="EB128" s="925"/>
      <c r="EC128" s="925"/>
      <c r="ED128" s="925"/>
      <c r="EE128" s="925"/>
      <c r="EF128" s="925"/>
      <c r="EG128" s="446"/>
    </row>
    <row r="129" spans="1:137" ht="13" x14ac:dyDescent="0.15">
      <c r="A129" s="917"/>
      <c r="B129" s="917"/>
      <c r="C129" s="918"/>
      <c r="D129" s="919"/>
      <c r="E129" s="920"/>
      <c r="F129" s="921"/>
      <c r="G129" s="922"/>
      <c r="H129" s="922"/>
      <c r="I129" s="922"/>
      <c r="J129" s="923"/>
      <c r="K129" s="923"/>
      <c r="L129" s="924"/>
      <c r="M129" s="925"/>
      <c r="N129" s="925"/>
      <c r="O129" s="925"/>
      <c r="P129" s="925"/>
      <c r="Q129" s="925"/>
      <c r="R129" s="926"/>
      <c r="S129" s="926"/>
      <c r="T129" s="925"/>
      <c r="U129" s="925"/>
      <c r="V129" s="925"/>
      <c r="W129" s="925"/>
      <c r="X129" s="925"/>
      <c r="Y129" s="925"/>
      <c r="Z129" s="925"/>
      <c r="AA129" s="925"/>
      <c r="AB129" s="925"/>
      <c r="AC129" s="925"/>
      <c r="AD129" s="925"/>
      <c r="AE129" s="925"/>
      <c r="AF129" s="925"/>
      <c r="AG129" s="925"/>
      <c r="AH129" s="925"/>
      <c r="AI129" s="925"/>
      <c r="AJ129" s="925"/>
      <c r="AK129" s="925"/>
      <c r="AL129" s="925"/>
      <c r="AM129" s="925"/>
      <c r="AN129" s="925"/>
      <c r="AO129" s="925"/>
      <c r="AP129" s="925"/>
      <c r="AQ129" s="925"/>
      <c r="AR129" s="925"/>
      <c r="AS129" s="925"/>
      <c r="AT129" s="925"/>
      <c r="AU129" s="925"/>
      <c r="AV129" s="925"/>
      <c r="AW129" s="925"/>
      <c r="AX129" s="925"/>
      <c r="AY129" s="925"/>
      <c r="AZ129" s="925"/>
      <c r="BA129" s="925"/>
      <c r="BB129" s="925"/>
      <c r="BC129" s="925"/>
      <c r="BD129" s="925"/>
      <c r="BE129" s="925"/>
      <c r="BF129" s="925"/>
      <c r="BG129" s="925"/>
      <c r="BH129" s="925"/>
      <c r="BI129" s="925"/>
      <c r="BJ129" s="925"/>
      <c r="BK129" s="925"/>
      <c r="BL129" s="925"/>
      <c r="BM129" s="925"/>
      <c r="BN129" s="925"/>
      <c r="BO129" s="925"/>
      <c r="BP129" s="925"/>
      <c r="BQ129" s="925"/>
      <c r="BR129" s="925"/>
      <c r="BS129" s="925"/>
      <c r="BT129" s="925"/>
      <c r="BU129" s="925"/>
      <c r="BV129" s="925"/>
      <c r="BW129" s="925"/>
      <c r="BX129" s="925"/>
      <c r="BY129" s="925"/>
      <c r="BZ129" s="925"/>
      <c r="CA129" s="925"/>
      <c r="CB129" s="925"/>
      <c r="CC129" s="925"/>
      <c r="CD129" s="925"/>
      <c r="CE129" s="925"/>
      <c r="CF129" s="925"/>
      <c r="CG129" s="925"/>
      <c r="CH129" s="925"/>
      <c r="CI129" s="925"/>
      <c r="CJ129" s="925"/>
      <c r="CK129" s="925"/>
      <c r="CL129" s="925"/>
      <c r="CM129" s="925"/>
      <c r="CN129" s="925"/>
      <c r="CO129" s="925"/>
      <c r="CP129" s="925"/>
      <c r="CQ129" s="925"/>
      <c r="CR129" s="925"/>
      <c r="CS129" s="925"/>
      <c r="CT129" s="925"/>
      <c r="CU129" s="925"/>
      <c r="CV129" s="925"/>
      <c r="CW129" s="925"/>
      <c r="CX129" s="925"/>
      <c r="CY129" s="925"/>
      <c r="CZ129" s="925"/>
      <c r="DA129" s="925"/>
      <c r="DB129" s="925"/>
      <c r="DC129" s="925"/>
      <c r="DD129" s="925"/>
      <c r="DE129" s="925"/>
      <c r="DF129" s="925"/>
      <c r="DG129" s="925"/>
      <c r="DH129" s="925"/>
      <c r="DI129" s="925"/>
      <c r="DJ129" s="925"/>
      <c r="DK129" s="925"/>
      <c r="DL129" s="925"/>
      <c r="DM129" s="925"/>
      <c r="DN129" s="925"/>
      <c r="DO129" s="925"/>
      <c r="DP129" s="925"/>
      <c r="DQ129" s="925"/>
      <c r="DR129" s="925"/>
      <c r="DS129" s="925"/>
      <c r="DT129" s="925"/>
      <c r="DU129" s="925"/>
      <c r="DV129" s="925"/>
      <c r="DW129" s="925"/>
      <c r="DX129" s="925"/>
      <c r="DY129" s="925"/>
      <c r="DZ129" s="925"/>
      <c r="EA129" s="925"/>
      <c r="EB129" s="925"/>
      <c r="EC129" s="925"/>
      <c r="ED129" s="925"/>
      <c r="EE129" s="925"/>
      <c r="EF129" s="925"/>
      <c r="EG129" s="446"/>
    </row>
    <row r="130" spans="1:137" ht="13" x14ac:dyDescent="0.15">
      <c r="A130" s="917"/>
      <c r="B130" s="917"/>
      <c r="C130" s="918"/>
      <c r="D130" s="919"/>
      <c r="E130" s="920"/>
      <c r="F130" s="921"/>
      <c r="G130" s="922"/>
      <c r="H130" s="922"/>
      <c r="I130" s="922"/>
      <c r="J130" s="923"/>
      <c r="K130" s="923"/>
      <c r="L130" s="924"/>
      <c r="M130" s="925"/>
      <c r="N130" s="925"/>
      <c r="O130" s="925"/>
      <c r="P130" s="925"/>
      <c r="Q130" s="925"/>
      <c r="R130" s="926"/>
      <c r="S130" s="926"/>
      <c r="T130" s="925"/>
      <c r="U130" s="925"/>
      <c r="V130" s="925"/>
      <c r="W130" s="925"/>
      <c r="X130" s="925"/>
      <c r="Y130" s="925"/>
      <c r="Z130" s="925"/>
      <c r="AA130" s="925"/>
      <c r="AB130" s="925"/>
      <c r="AC130" s="925"/>
      <c r="AD130" s="925"/>
      <c r="AE130" s="925"/>
      <c r="AF130" s="925"/>
      <c r="AG130" s="925"/>
      <c r="AH130" s="925"/>
      <c r="AI130" s="925"/>
      <c r="AJ130" s="925"/>
      <c r="AK130" s="925"/>
      <c r="AL130" s="925"/>
      <c r="AM130" s="925"/>
      <c r="AN130" s="925"/>
      <c r="AO130" s="925"/>
      <c r="AP130" s="925"/>
      <c r="AQ130" s="925"/>
      <c r="AR130" s="925"/>
      <c r="AS130" s="925"/>
      <c r="AT130" s="925"/>
      <c r="AU130" s="925"/>
      <c r="AV130" s="925"/>
      <c r="AW130" s="925"/>
      <c r="AX130" s="925"/>
      <c r="AY130" s="925"/>
      <c r="AZ130" s="925"/>
      <c r="BA130" s="925"/>
      <c r="BB130" s="925"/>
      <c r="BC130" s="925"/>
      <c r="BD130" s="925"/>
      <c r="BE130" s="925"/>
      <c r="BF130" s="925"/>
      <c r="BG130" s="925"/>
      <c r="BH130" s="925"/>
      <c r="BI130" s="925"/>
      <c r="BJ130" s="925"/>
      <c r="BK130" s="925"/>
      <c r="BL130" s="925"/>
      <c r="BM130" s="925"/>
      <c r="BN130" s="925"/>
      <c r="BO130" s="925"/>
      <c r="BP130" s="925"/>
      <c r="BQ130" s="925"/>
      <c r="BR130" s="925"/>
      <c r="BS130" s="925"/>
      <c r="BT130" s="925"/>
      <c r="BU130" s="925"/>
      <c r="BV130" s="925"/>
      <c r="BW130" s="925"/>
      <c r="BX130" s="925"/>
      <c r="BY130" s="925"/>
      <c r="BZ130" s="925"/>
      <c r="CA130" s="925"/>
      <c r="CB130" s="925"/>
      <c r="CC130" s="925"/>
      <c r="CD130" s="925"/>
      <c r="CE130" s="925"/>
      <c r="CF130" s="925"/>
      <c r="CG130" s="925"/>
      <c r="CH130" s="925"/>
      <c r="CI130" s="925"/>
      <c r="CJ130" s="925"/>
      <c r="CK130" s="925"/>
      <c r="CL130" s="925"/>
      <c r="CM130" s="925"/>
      <c r="CN130" s="925"/>
      <c r="CO130" s="925"/>
      <c r="CP130" s="925"/>
      <c r="CQ130" s="925"/>
      <c r="CR130" s="925"/>
      <c r="CS130" s="925"/>
      <c r="CT130" s="925"/>
      <c r="CU130" s="925"/>
      <c r="CV130" s="925"/>
      <c r="CW130" s="925"/>
      <c r="CX130" s="925"/>
      <c r="CY130" s="925"/>
      <c r="CZ130" s="925"/>
      <c r="DA130" s="925"/>
      <c r="DB130" s="925"/>
      <c r="DC130" s="925"/>
      <c r="DD130" s="925"/>
      <c r="DE130" s="925"/>
      <c r="DF130" s="925"/>
      <c r="DG130" s="925"/>
      <c r="DH130" s="925"/>
      <c r="DI130" s="925"/>
      <c r="DJ130" s="925"/>
      <c r="DK130" s="925"/>
      <c r="DL130" s="925"/>
      <c r="DM130" s="925"/>
      <c r="DN130" s="925"/>
      <c r="DO130" s="925"/>
      <c r="DP130" s="925"/>
      <c r="DQ130" s="925"/>
      <c r="DR130" s="925"/>
      <c r="DS130" s="925"/>
      <c r="DT130" s="925"/>
      <c r="DU130" s="925"/>
      <c r="DV130" s="925"/>
      <c r="DW130" s="925"/>
      <c r="DX130" s="925"/>
      <c r="DY130" s="925"/>
      <c r="DZ130" s="925"/>
      <c r="EA130" s="925"/>
      <c r="EB130" s="925"/>
      <c r="EC130" s="925"/>
      <c r="ED130" s="925"/>
      <c r="EE130" s="925"/>
      <c r="EF130" s="925"/>
      <c r="EG130" s="446"/>
    </row>
    <row r="131" spans="1:137" ht="13" x14ac:dyDescent="0.15">
      <c r="A131" s="917"/>
      <c r="B131" s="917"/>
      <c r="C131" s="918"/>
      <c r="D131" s="919"/>
      <c r="E131" s="920"/>
      <c r="F131" s="921"/>
      <c r="G131" s="922"/>
      <c r="H131" s="922"/>
      <c r="I131" s="922"/>
      <c r="J131" s="923"/>
      <c r="K131" s="923"/>
      <c r="L131" s="924"/>
      <c r="M131" s="925"/>
      <c r="N131" s="925"/>
      <c r="O131" s="925"/>
      <c r="P131" s="925"/>
      <c r="Q131" s="925"/>
      <c r="R131" s="926"/>
      <c r="S131" s="926"/>
      <c r="T131" s="925"/>
      <c r="U131" s="925"/>
      <c r="V131" s="925"/>
      <c r="W131" s="925"/>
      <c r="X131" s="925"/>
      <c r="Y131" s="925"/>
      <c r="Z131" s="925"/>
      <c r="AA131" s="925"/>
      <c r="AB131" s="925"/>
      <c r="AC131" s="925"/>
      <c r="AD131" s="925"/>
      <c r="AE131" s="925"/>
      <c r="AF131" s="925"/>
      <c r="AG131" s="925"/>
      <c r="AH131" s="925"/>
      <c r="AI131" s="925"/>
      <c r="AJ131" s="925"/>
      <c r="AK131" s="925"/>
      <c r="AL131" s="925"/>
      <c r="AM131" s="925"/>
      <c r="AN131" s="925"/>
      <c r="AO131" s="925"/>
      <c r="AP131" s="925"/>
      <c r="AQ131" s="925"/>
      <c r="AR131" s="925"/>
      <c r="AS131" s="925"/>
      <c r="AT131" s="925"/>
      <c r="AU131" s="925"/>
      <c r="AV131" s="925"/>
      <c r="AW131" s="925"/>
      <c r="AX131" s="925"/>
      <c r="AY131" s="925"/>
      <c r="AZ131" s="925"/>
      <c r="BA131" s="925"/>
      <c r="BB131" s="925"/>
      <c r="BC131" s="925"/>
      <c r="BD131" s="925"/>
      <c r="BE131" s="925"/>
      <c r="BF131" s="925"/>
      <c r="BG131" s="925"/>
      <c r="BH131" s="925"/>
      <c r="BI131" s="925"/>
      <c r="BJ131" s="925"/>
      <c r="BK131" s="925"/>
      <c r="BL131" s="925"/>
      <c r="BM131" s="925"/>
      <c r="BN131" s="925"/>
      <c r="BO131" s="925"/>
      <c r="BP131" s="925"/>
      <c r="BQ131" s="925"/>
      <c r="BR131" s="925"/>
      <c r="BS131" s="925"/>
      <c r="BT131" s="925"/>
      <c r="BU131" s="925"/>
      <c r="BV131" s="925"/>
      <c r="BW131" s="925"/>
      <c r="BX131" s="925"/>
      <c r="BY131" s="925"/>
      <c r="BZ131" s="925"/>
      <c r="CA131" s="925"/>
      <c r="CB131" s="925"/>
      <c r="CC131" s="925"/>
      <c r="CD131" s="925"/>
      <c r="CE131" s="925"/>
      <c r="CF131" s="925"/>
      <c r="CG131" s="925"/>
      <c r="CH131" s="925"/>
      <c r="CI131" s="925"/>
      <c r="CJ131" s="925"/>
      <c r="CK131" s="925"/>
      <c r="CL131" s="925"/>
      <c r="CM131" s="925"/>
      <c r="CN131" s="925"/>
      <c r="CO131" s="925"/>
      <c r="CP131" s="925"/>
      <c r="CQ131" s="925"/>
      <c r="CR131" s="925"/>
      <c r="CS131" s="925"/>
      <c r="CT131" s="925"/>
      <c r="CU131" s="925"/>
      <c r="CV131" s="925"/>
      <c r="CW131" s="925"/>
      <c r="CX131" s="925"/>
      <c r="CY131" s="925"/>
      <c r="CZ131" s="925"/>
      <c r="DA131" s="925"/>
      <c r="DB131" s="925"/>
      <c r="DC131" s="925"/>
      <c r="DD131" s="925"/>
      <c r="DE131" s="925"/>
      <c r="DF131" s="925"/>
      <c r="DG131" s="925"/>
      <c r="DH131" s="925"/>
      <c r="DI131" s="925"/>
      <c r="DJ131" s="925"/>
      <c r="DK131" s="925"/>
      <c r="DL131" s="925"/>
      <c r="DM131" s="925"/>
      <c r="DN131" s="925"/>
      <c r="DO131" s="925"/>
      <c r="DP131" s="925"/>
      <c r="DQ131" s="925"/>
      <c r="DR131" s="925"/>
      <c r="DS131" s="925"/>
      <c r="DT131" s="925"/>
      <c r="DU131" s="925"/>
      <c r="DV131" s="925"/>
      <c r="DW131" s="925"/>
      <c r="DX131" s="925"/>
      <c r="DY131" s="925"/>
      <c r="DZ131" s="925"/>
      <c r="EA131" s="925"/>
      <c r="EB131" s="925"/>
      <c r="EC131" s="925"/>
      <c r="ED131" s="925"/>
      <c r="EE131" s="925"/>
      <c r="EF131" s="925"/>
      <c r="EG131" s="446"/>
    </row>
    <row r="132" spans="1:137" ht="13" x14ac:dyDescent="0.15">
      <c r="A132" s="917"/>
      <c r="B132" s="917"/>
      <c r="C132" s="918"/>
      <c r="D132" s="919"/>
      <c r="E132" s="920"/>
      <c r="F132" s="921"/>
      <c r="G132" s="922"/>
      <c r="H132" s="922"/>
      <c r="I132" s="922"/>
      <c r="J132" s="923"/>
      <c r="K132" s="923"/>
      <c r="L132" s="924"/>
      <c r="M132" s="925"/>
      <c r="N132" s="925"/>
      <c r="O132" s="925"/>
      <c r="P132" s="925"/>
      <c r="Q132" s="925"/>
      <c r="R132" s="926"/>
      <c r="S132" s="926"/>
      <c r="T132" s="925"/>
      <c r="U132" s="925"/>
      <c r="V132" s="925"/>
      <c r="W132" s="925"/>
      <c r="X132" s="925"/>
      <c r="Y132" s="925"/>
      <c r="Z132" s="925"/>
      <c r="AA132" s="925"/>
      <c r="AB132" s="925"/>
      <c r="AC132" s="925"/>
      <c r="AD132" s="925"/>
      <c r="AE132" s="925"/>
      <c r="AF132" s="925"/>
      <c r="AG132" s="925"/>
      <c r="AH132" s="925"/>
      <c r="AI132" s="925"/>
      <c r="AJ132" s="925"/>
      <c r="AK132" s="925"/>
      <c r="AL132" s="925"/>
      <c r="AM132" s="925"/>
      <c r="AN132" s="925"/>
      <c r="AO132" s="925"/>
      <c r="AP132" s="925"/>
      <c r="AQ132" s="925"/>
      <c r="AR132" s="925"/>
      <c r="AS132" s="925"/>
      <c r="AT132" s="925"/>
      <c r="AU132" s="925"/>
      <c r="AV132" s="925"/>
      <c r="AW132" s="925"/>
      <c r="AX132" s="925"/>
      <c r="AY132" s="925"/>
      <c r="AZ132" s="925"/>
      <c r="BA132" s="925"/>
      <c r="BB132" s="925"/>
      <c r="BC132" s="925"/>
      <c r="BD132" s="925"/>
      <c r="BE132" s="925"/>
      <c r="BF132" s="925"/>
      <c r="BG132" s="925"/>
      <c r="BH132" s="925"/>
      <c r="BI132" s="925"/>
      <c r="BJ132" s="925"/>
      <c r="BK132" s="925"/>
      <c r="BL132" s="925"/>
      <c r="BM132" s="925"/>
      <c r="BN132" s="925"/>
      <c r="BO132" s="925"/>
      <c r="BP132" s="925"/>
      <c r="BQ132" s="925"/>
      <c r="BR132" s="925"/>
      <c r="BS132" s="925"/>
      <c r="BT132" s="925"/>
      <c r="BU132" s="925"/>
      <c r="BV132" s="925"/>
      <c r="BW132" s="925"/>
      <c r="BX132" s="925"/>
      <c r="BY132" s="925"/>
      <c r="BZ132" s="925"/>
      <c r="CA132" s="925"/>
      <c r="CB132" s="925"/>
      <c r="CC132" s="925"/>
      <c r="CD132" s="925"/>
      <c r="CE132" s="925"/>
      <c r="CF132" s="925"/>
      <c r="CG132" s="925"/>
      <c r="CH132" s="925"/>
      <c r="CI132" s="925"/>
      <c r="CJ132" s="925"/>
      <c r="CK132" s="925"/>
      <c r="CL132" s="925"/>
      <c r="CM132" s="925"/>
      <c r="CN132" s="925"/>
      <c r="CO132" s="925"/>
      <c r="CP132" s="925"/>
      <c r="CQ132" s="925"/>
      <c r="CR132" s="925"/>
      <c r="CS132" s="925"/>
      <c r="CT132" s="925"/>
      <c r="CU132" s="925"/>
      <c r="CV132" s="925"/>
      <c r="CW132" s="925"/>
      <c r="CX132" s="925"/>
      <c r="CY132" s="925"/>
      <c r="CZ132" s="925"/>
      <c r="DA132" s="925"/>
      <c r="DB132" s="925"/>
      <c r="DC132" s="925"/>
      <c r="DD132" s="925"/>
      <c r="DE132" s="925"/>
      <c r="DF132" s="925"/>
      <c r="DG132" s="925"/>
      <c r="DH132" s="925"/>
      <c r="DI132" s="925"/>
      <c r="DJ132" s="925"/>
      <c r="DK132" s="925"/>
      <c r="DL132" s="925"/>
      <c r="DM132" s="925"/>
      <c r="DN132" s="925"/>
      <c r="DO132" s="925"/>
      <c r="DP132" s="925"/>
      <c r="DQ132" s="925"/>
      <c r="DR132" s="925"/>
      <c r="DS132" s="925"/>
      <c r="DT132" s="925"/>
      <c r="DU132" s="925"/>
      <c r="DV132" s="925"/>
      <c r="DW132" s="925"/>
      <c r="DX132" s="925"/>
      <c r="DY132" s="925"/>
      <c r="DZ132" s="925"/>
      <c r="EA132" s="925"/>
      <c r="EB132" s="925"/>
      <c r="EC132" s="925"/>
      <c r="ED132" s="925"/>
      <c r="EE132" s="925"/>
      <c r="EF132" s="925"/>
      <c r="EG132" s="446"/>
    </row>
    <row r="133" spans="1:137" ht="13" x14ac:dyDescent="0.15">
      <c r="A133" s="917"/>
      <c r="B133" s="917"/>
      <c r="C133" s="918"/>
      <c r="D133" s="919"/>
      <c r="E133" s="920"/>
      <c r="F133" s="921"/>
      <c r="G133" s="922"/>
      <c r="H133" s="922"/>
      <c r="I133" s="922"/>
      <c r="J133" s="923"/>
      <c r="K133" s="923"/>
      <c r="L133" s="924"/>
      <c r="M133" s="925"/>
      <c r="N133" s="925"/>
      <c r="O133" s="925"/>
      <c r="P133" s="925"/>
      <c r="Q133" s="925"/>
      <c r="R133" s="926"/>
      <c r="S133" s="926"/>
      <c r="T133" s="925"/>
      <c r="U133" s="925"/>
      <c r="V133" s="925"/>
      <c r="W133" s="925"/>
      <c r="X133" s="925"/>
      <c r="Y133" s="925"/>
      <c r="Z133" s="925"/>
      <c r="AA133" s="925"/>
      <c r="AB133" s="925"/>
      <c r="AC133" s="925"/>
      <c r="AD133" s="925"/>
      <c r="AE133" s="925"/>
      <c r="AF133" s="925"/>
      <c r="AG133" s="925"/>
      <c r="AH133" s="925"/>
      <c r="AI133" s="925"/>
      <c r="AJ133" s="925"/>
      <c r="AK133" s="925"/>
      <c r="AL133" s="925"/>
      <c r="AM133" s="925"/>
      <c r="AN133" s="925"/>
      <c r="AO133" s="925"/>
      <c r="AP133" s="925"/>
      <c r="AQ133" s="925"/>
      <c r="AR133" s="925"/>
      <c r="AS133" s="925"/>
      <c r="AT133" s="925"/>
      <c r="AU133" s="925"/>
      <c r="AV133" s="925"/>
      <c r="AW133" s="925"/>
      <c r="AX133" s="925"/>
      <c r="AY133" s="925"/>
      <c r="AZ133" s="925"/>
      <c r="BA133" s="925"/>
      <c r="BB133" s="925"/>
      <c r="BC133" s="925"/>
      <c r="BD133" s="925"/>
      <c r="BE133" s="925"/>
      <c r="BF133" s="925"/>
      <c r="BG133" s="925"/>
      <c r="BH133" s="925"/>
      <c r="BI133" s="925"/>
      <c r="BJ133" s="925"/>
      <c r="BK133" s="925"/>
      <c r="BL133" s="925"/>
      <c r="BM133" s="925"/>
      <c r="BN133" s="925"/>
      <c r="BO133" s="925"/>
      <c r="BP133" s="925"/>
      <c r="BQ133" s="925"/>
      <c r="BR133" s="925"/>
      <c r="BS133" s="925"/>
      <c r="BT133" s="925"/>
      <c r="BU133" s="925"/>
      <c r="BV133" s="925"/>
      <c r="BW133" s="925"/>
      <c r="BX133" s="925"/>
      <c r="BY133" s="925"/>
      <c r="BZ133" s="925"/>
      <c r="CA133" s="925"/>
      <c r="CB133" s="925"/>
      <c r="CC133" s="925"/>
      <c r="CD133" s="925"/>
      <c r="CE133" s="925"/>
      <c r="CF133" s="925"/>
      <c r="CG133" s="925"/>
      <c r="CH133" s="925"/>
      <c r="CI133" s="925"/>
      <c r="CJ133" s="925"/>
      <c r="CK133" s="925"/>
      <c r="CL133" s="925"/>
      <c r="CM133" s="925"/>
      <c r="CN133" s="925"/>
      <c r="CO133" s="925"/>
      <c r="CP133" s="925"/>
      <c r="CQ133" s="925"/>
      <c r="CR133" s="925"/>
      <c r="CS133" s="925"/>
      <c r="CT133" s="925"/>
      <c r="CU133" s="925"/>
      <c r="CV133" s="925"/>
      <c r="CW133" s="925"/>
      <c r="CX133" s="925"/>
      <c r="CY133" s="925"/>
      <c r="CZ133" s="925"/>
      <c r="DA133" s="925"/>
      <c r="DB133" s="925"/>
      <c r="DC133" s="925"/>
      <c r="DD133" s="925"/>
      <c r="DE133" s="925"/>
      <c r="DF133" s="925"/>
      <c r="DG133" s="925"/>
      <c r="DH133" s="925"/>
      <c r="DI133" s="925"/>
      <c r="DJ133" s="925"/>
      <c r="DK133" s="925"/>
      <c r="DL133" s="925"/>
      <c r="DM133" s="925"/>
      <c r="DN133" s="925"/>
      <c r="DO133" s="925"/>
      <c r="DP133" s="925"/>
      <c r="DQ133" s="925"/>
      <c r="DR133" s="925"/>
      <c r="DS133" s="925"/>
      <c r="DT133" s="925"/>
      <c r="DU133" s="925"/>
      <c r="DV133" s="925"/>
      <c r="DW133" s="925"/>
      <c r="DX133" s="925"/>
      <c r="DY133" s="925"/>
      <c r="DZ133" s="925"/>
      <c r="EA133" s="925"/>
      <c r="EB133" s="925"/>
      <c r="EC133" s="925"/>
      <c r="ED133" s="925"/>
      <c r="EE133" s="925"/>
      <c r="EF133" s="925"/>
      <c r="EG133" s="446"/>
    </row>
    <row r="134" spans="1:137" ht="13" x14ac:dyDescent="0.15">
      <c r="A134" s="917"/>
      <c r="B134" s="917"/>
      <c r="C134" s="918"/>
      <c r="D134" s="919"/>
      <c r="E134" s="920"/>
      <c r="F134" s="921"/>
      <c r="G134" s="922"/>
      <c r="H134" s="922"/>
      <c r="I134" s="922"/>
      <c r="J134" s="923"/>
      <c r="K134" s="923"/>
      <c r="L134" s="924"/>
      <c r="M134" s="925"/>
      <c r="N134" s="925"/>
      <c r="O134" s="925"/>
      <c r="P134" s="925"/>
      <c r="Q134" s="925"/>
      <c r="R134" s="926"/>
      <c r="S134" s="926"/>
      <c r="T134" s="925"/>
      <c r="U134" s="925"/>
      <c r="V134" s="925"/>
      <c r="W134" s="925"/>
      <c r="X134" s="925"/>
      <c r="Y134" s="925"/>
      <c r="Z134" s="925"/>
      <c r="AA134" s="925"/>
      <c r="AB134" s="925"/>
      <c r="AC134" s="925"/>
      <c r="AD134" s="925"/>
      <c r="AE134" s="925"/>
      <c r="AF134" s="925"/>
      <c r="AG134" s="925"/>
      <c r="AH134" s="925"/>
      <c r="AI134" s="925"/>
      <c r="AJ134" s="925"/>
      <c r="AK134" s="925"/>
      <c r="AL134" s="925"/>
      <c r="AM134" s="925"/>
      <c r="AN134" s="925"/>
      <c r="AO134" s="925"/>
      <c r="AP134" s="925"/>
      <c r="AQ134" s="925"/>
      <c r="AR134" s="925"/>
      <c r="AS134" s="925"/>
      <c r="AT134" s="925"/>
      <c r="AU134" s="925"/>
      <c r="AV134" s="925"/>
      <c r="AW134" s="925"/>
      <c r="AX134" s="925"/>
      <c r="AY134" s="925"/>
      <c r="AZ134" s="925"/>
      <c r="BA134" s="925"/>
      <c r="BB134" s="925"/>
      <c r="BC134" s="925"/>
      <c r="BD134" s="925"/>
      <c r="BE134" s="925"/>
      <c r="BF134" s="925"/>
      <c r="BG134" s="925"/>
      <c r="BH134" s="925"/>
      <c r="BI134" s="925"/>
      <c r="BJ134" s="925"/>
      <c r="BK134" s="925"/>
      <c r="BL134" s="925"/>
      <c r="BM134" s="925"/>
      <c r="BN134" s="925"/>
      <c r="BO134" s="925"/>
      <c r="BP134" s="925"/>
      <c r="BQ134" s="925"/>
      <c r="BR134" s="925"/>
      <c r="BS134" s="925"/>
      <c r="BT134" s="925"/>
      <c r="BU134" s="925"/>
      <c r="BV134" s="925"/>
      <c r="BW134" s="925"/>
      <c r="BX134" s="925"/>
      <c r="BY134" s="925"/>
      <c r="BZ134" s="925"/>
      <c r="CA134" s="925"/>
      <c r="CB134" s="925"/>
      <c r="CC134" s="925"/>
      <c r="CD134" s="925"/>
      <c r="CE134" s="925"/>
      <c r="CF134" s="925"/>
      <c r="CG134" s="925"/>
      <c r="CH134" s="925"/>
      <c r="CI134" s="925"/>
      <c r="CJ134" s="925"/>
      <c r="CK134" s="925"/>
      <c r="CL134" s="925"/>
      <c r="CM134" s="925"/>
      <c r="CN134" s="925"/>
      <c r="CO134" s="925"/>
      <c r="CP134" s="925"/>
      <c r="CQ134" s="925"/>
      <c r="CR134" s="925"/>
      <c r="CS134" s="925"/>
      <c r="CT134" s="925"/>
      <c r="CU134" s="925"/>
      <c r="CV134" s="925"/>
      <c r="CW134" s="925"/>
      <c r="CX134" s="925"/>
      <c r="CY134" s="925"/>
      <c r="CZ134" s="925"/>
      <c r="DA134" s="925"/>
      <c r="DB134" s="925"/>
      <c r="DC134" s="925"/>
      <c r="DD134" s="925"/>
      <c r="DE134" s="925"/>
      <c r="DF134" s="925"/>
      <c r="DG134" s="925"/>
      <c r="DH134" s="925"/>
      <c r="DI134" s="925"/>
      <c r="DJ134" s="925"/>
      <c r="DK134" s="925"/>
      <c r="DL134" s="925"/>
      <c r="DM134" s="925"/>
      <c r="DN134" s="925"/>
      <c r="DO134" s="925"/>
      <c r="DP134" s="925"/>
      <c r="DQ134" s="925"/>
      <c r="DR134" s="925"/>
      <c r="DS134" s="925"/>
      <c r="DT134" s="925"/>
      <c r="DU134" s="925"/>
      <c r="DV134" s="925"/>
      <c r="DW134" s="925"/>
      <c r="DX134" s="925"/>
      <c r="DY134" s="925"/>
      <c r="DZ134" s="925"/>
      <c r="EA134" s="925"/>
      <c r="EB134" s="925"/>
      <c r="EC134" s="925"/>
      <c r="ED134" s="925"/>
      <c r="EE134" s="925"/>
      <c r="EF134" s="925"/>
      <c r="EG134" s="446"/>
    </row>
    <row r="135" spans="1:137" ht="13" x14ac:dyDescent="0.15">
      <c r="A135" s="917"/>
      <c r="B135" s="917"/>
      <c r="C135" s="918"/>
      <c r="D135" s="919"/>
      <c r="E135" s="920"/>
      <c r="F135" s="921"/>
      <c r="G135" s="922"/>
      <c r="H135" s="922"/>
      <c r="I135" s="922"/>
      <c r="J135" s="923"/>
      <c r="K135" s="923"/>
      <c r="L135" s="924"/>
      <c r="M135" s="925"/>
      <c r="N135" s="925"/>
      <c r="O135" s="925"/>
      <c r="P135" s="925"/>
      <c r="Q135" s="925"/>
      <c r="R135" s="926"/>
      <c r="S135" s="926"/>
      <c r="T135" s="925"/>
      <c r="U135" s="925"/>
      <c r="V135" s="925"/>
      <c r="W135" s="925"/>
      <c r="X135" s="925"/>
      <c r="Y135" s="925"/>
      <c r="Z135" s="925"/>
      <c r="AA135" s="925"/>
      <c r="AB135" s="925"/>
      <c r="AC135" s="925"/>
      <c r="AD135" s="925"/>
      <c r="AE135" s="925"/>
      <c r="AF135" s="925"/>
      <c r="AG135" s="925"/>
      <c r="AH135" s="925"/>
      <c r="AI135" s="925"/>
      <c r="AJ135" s="925"/>
      <c r="AK135" s="925"/>
      <c r="AL135" s="925"/>
      <c r="AM135" s="925"/>
      <c r="AN135" s="925"/>
      <c r="AO135" s="925"/>
      <c r="AP135" s="925"/>
      <c r="AQ135" s="925"/>
      <c r="AR135" s="925"/>
      <c r="AS135" s="925"/>
      <c r="AT135" s="925"/>
      <c r="AU135" s="925"/>
      <c r="AV135" s="925"/>
      <c r="AW135" s="925"/>
      <c r="AX135" s="925"/>
      <c r="AY135" s="925"/>
      <c r="AZ135" s="925"/>
      <c r="BA135" s="925"/>
      <c r="BB135" s="925"/>
      <c r="BC135" s="925"/>
      <c r="BD135" s="925"/>
      <c r="BE135" s="925"/>
      <c r="BF135" s="925"/>
      <c r="BG135" s="925"/>
      <c r="BH135" s="925"/>
      <c r="BI135" s="925"/>
      <c r="BJ135" s="925"/>
      <c r="BK135" s="925"/>
      <c r="BL135" s="925"/>
      <c r="BM135" s="925"/>
      <c r="BN135" s="925"/>
      <c r="BO135" s="925"/>
      <c r="BP135" s="925"/>
      <c r="BQ135" s="925"/>
      <c r="BR135" s="925"/>
      <c r="BS135" s="925"/>
      <c r="BT135" s="925"/>
      <c r="BU135" s="925"/>
      <c r="BV135" s="925"/>
      <c r="BW135" s="925"/>
      <c r="BX135" s="925"/>
      <c r="BY135" s="925"/>
      <c r="BZ135" s="925"/>
      <c r="CA135" s="925"/>
      <c r="CB135" s="925"/>
      <c r="CC135" s="925"/>
      <c r="CD135" s="925"/>
      <c r="CE135" s="925"/>
      <c r="CF135" s="925"/>
      <c r="CG135" s="925"/>
      <c r="CH135" s="925"/>
      <c r="CI135" s="925"/>
      <c r="CJ135" s="925"/>
      <c r="CK135" s="925"/>
      <c r="CL135" s="925"/>
      <c r="CM135" s="925"/>
      <c r="CN135" s="925"/>
      <c r="CO135" s="925"/>
      <c r="CP135" s="925"/>
      <c r="CQ135" s="925"/>
      <c r="CR135" s="925"/>
      <c r="CS135" s="925"/>
      <c r="CT135" s="925"/>
      <c r="CU135" s="925"/>
      <c r="CV135" s="925"/>
      <c r="CW135" s="925"/>
      <c r="CX135" s="925"/>
      <c r="CY135" s="925"/>
      <c r="CZ135" s="925"/>
      <c r="DA135" s="925"/>
      <c r="DB135" s="925"/>
      <c r="DC135" s="925"/>
      <c r="DD135" s="925"/>
      <c r="DE135" s="925"/>
      <c r="DF135" s="925"/>
      <c r="DG135" s="925"/>
      <c r="DH135" s="925"/>
      <c r="DI135" s="925"/>
      <c r="DJ135" s="925"/>
      <c r="DK135" s="925"/>
      <c r="DL135" s="925"/>
      <c r="DM135" s="925"/>
      <c r="DN135" s="925"/>
      <c r="DO135" s="925"/>
      <c r="DP135" s="925"/>
      <c r="DQ135" s="925"/>
      <c r="DR135" s="925"/>
      <c r="DS135" s="925"/>
      <c r="DT135" s="925"/>
      <c r="DU135" s="925"/>
      <c r="DV135" s="925"/>
      <c r="DW135" s="925"/>
      <c r="DX135" s="925"/>
      <c r="DY135" s="925"/>
      <c r="DZ135" s="925"/>
      <c r="EA135" s="925"/>
      <c r="EB135" s="925"/>
      <c r="EC135" s="925"/>
      <c r="ED135" s="925"/>
      <c r="EE135" s="925"/>
      <c r="EF135" s="925"/>
      <c r="EG135" s="446"/>
    </row>
    <row r="136" spans="1:137" ht="13" x14ac:dyDescent="0.15">
      <c r="A136" s="917"/>
      <c r="B136" s="917"/>
      <c r="C136" s="918"/>
      <c r="D136" s="919"/>
      <c r="E136" s="920"/>
      <c r="F136" s="921"/>
      <c r="G136" s="922"/>
      <c r="H136" s="922"/>
      <c r="I136" s="922"/>
      <c r="J136" s="923"/>
      <c r="K136" s="923"/>
      <c r="L136" s="924"/>
      <c r="M136" s="925"/>
      <c r="N136" s="925"/>
      <c r="O136" s="925"/>
      <c r="P136" s="925"/>
      <c r="Q136" s="925"/>
      <c r="R136" s="926"/>
      <c r="S136" s="926"/>
      <c r="T136" s="925"/>
      <c r="U136" s="925"/>
      <c r="V136" s="925"/>
      <c r="W136" s="925"/>
      <c r="X136" s="925"/>
      <c r="Y136" s="925"/>
      <c r="Z136" s="925"/>
      <c r="AA136" s="925"/>
      <c r="AB136" s="925"/>
      <c r="AC136" s="925"/>
      <c r="AD136" s="925"/>
      <c r="AE136" s="925"/>
      <c r="AF136" s="925"/>
      <c r="AG136" s="925"/>
      <c r="AH136" s="925"/>
      <c r="AI136" s="925"/>
      <c r="AJ136" s="925"/>
      <c r="AK136" s="925"/>
      <c r="AL136" s="925"/>
      <c r="AM136" s="925"/>
      <c r="AN136" s="925"/>
      <c r="AO136" s="925"/>
      <c r="AP136" s="925"/>
      <c r="AQ136" s="925"/>
      <c r="AR136" s="925"/>
      <c r="AS136" s="925"/>
      <c r="AT136" s="925"/>
      <c r="AU136" s="925"/>
      <c r="AV136" s="925"/>
      <c r="AW136" s="925"/>
      <c r="AX136" s="925"/>
      <c r="AY136" s="925"/>
      <c r="AZ136" s="925"/>
      <c r="BA136" s="925"/>
      <c r="BB136" s="925"/>
      <c r="BC136" s="925"/>
      <c r="BD136" s="925"/>
      <c r="BE136" s="925"/>
      <c r="BF136" s="925"/>
      <c r="BG136" s="925"/>
      <c r="BH136" s="925"/>
      <c r="BI136" s="925"/>
      <c r="BJ136" s="925"/>
      <c r="BK136" s="925"/>
      <c r="BL136" s="925"/>
      <c r="BM136" s="925"/>
      <c r="BN136" s="925"/>
      <c r="BO136" s="925"/>
      <c r="BP136" s="925"/>
      <c r="BQ136" s="925"/>
      <c r="BR136" s="925"/>
      <c r="BS136" s="925"/>
      <c r="BT136" s="925"/>
      <c r="BU136" s="925"/>
      <c r="BV136" s="925"/>
      <c r="BW136" s="925"/>
      <c r="BX136" s="925"/>
      <c r="BY136" s="925"/>
      <c r="BZ136" s="925"/>
      <c r="CA136" s="925"/>
      <c r="CB136" s="925"/>
      <c r="CC136" s="925"/>
      <c r="CD136" s="925"/>
      <c r="CE136" s="925"/>
      <c r="CF136" s="925"/>
      <c r="CG136" s="925"/>
      <c r="CH136" s="925"/>
      <c r="CI136" s="925"/>
      <c r="CJ136" s="925"/>
      <c r="CK136" s="925"/>
      <c r="CL136" s="925"/>
      <c r="CM136" s="925"/>
      <c r="CN136" s="925"/>
      <c r="CO136" s="925"/>
      <c r="CP136" s="925"/>
      <c r="CQ136" s="925"/>
      <c r="CR136" s="925"/>
      <c r="CS136" s="925"/>
      <c r="CT136" s="925"/>
      <c r="CU136" s="925"/>
      <c r="CV136" s="925"/>
      <c r="CW136" s="925"/>
      <c r="CX136" s="925"/>
      <c r="CY136" s="925"/>
      <c r="CZ136" s="925"/>
      <c r="DA136" s="925"/>
      <c r="DB136" s="925"/>
      <c r="DC136" s="925"/>
      <c r="DD136" s="925"/>
      <c r="DE136" s="925"/>
      <c r="DF136" s="925"/>
      <c r="DG136" s="925"/>
      <c r="DH136" s="925"/>
      <c r="DI136" s="925"/>
      <c r="DJ136" s="925"/>
      <c r="DK136" s="925"/>
      <c r="DL136" s="925"/>
      <c r="DM136" s="925"/>
      <c r="DN136" s="925"/>
      <c r="DO136" s="925"/>
      <c r="DP136" s="925"/>
      <c r="DQ136" s="925"/>
      <c r="DR136" s="925"/>
      <c r="DS136" s="925"/>
      <c r="DT136" s="925"/>
      <c r="DU136" s="925"/>
      <c r="DV136" s="925"/>
      <c r="DW136" s="925"/>
      <c r="DX136" s="925"/>
      <c r="DY136" s="925"/>
      <c r="DZ136" s="925"/>
      <c r="EA136" s="925"/>
      <c r="EB136" s="925"/>
      <c r="EC136" s="925"/>
      <c r="ED136" s="925"/>
      <c r="EE136" s="925"/>
      <c r="EF136" s="925"/>
      <c r="EG136" s="446"/>
    </row>
    <row r="137" spans="1:137" ht="13" x14ac:dyDescent="0.15">
      <c r="A137" s="917"/>
      <c r="B137" s="917"/>
      <c r="C137" s="918"/>
      <c r="D137" s="919"/>
      <c r="E137" s="920"/>
      <c r="F137" s="921"/>
      <c r="G137" s="922"/>
      <c r="H137" s="922"/>
      <c r="I137" s="922"/>
      <c r="J137" s="923"/>
      <c r="K137" s="923"/>
      <c r="L137" s="924"/>
      <c r="M137" s="925"/>
      <c r="N137" s="925"/>
      <c r="O137" s="925"/>
      <c r="P137" s="925"/>
      <c r="Q137" s="925"/>
      <c r="R137" s="926"/>
      <c r="S137" s="926"/>
      <c r="T137" s="925"/>
      <c r="U137" s="925"/>
      <c r="V137" s="925"/>
      <c r="W137" s="925"/>
      <c r="X137" s="925"/>
      <c r="Y137" s="925"/>
      <c r="Z137" s="925"/>
      <c r="AA137" s="925"/>
      <c r="AB137" s="925"/>
      <c r="AC137" s="925"/>
      <c r="AD137" s="925"/>
      <c r="AE137" s="925"/>
      <c r="AF137" s="925"/>
      <c r="AG137" s="925"/>
      <c r="AH137" s="925"/>
      <c r="AI137" s="925"/>
      <c r="AJ137" s="925"/>
      <c r="AK137" s="925"/>
      <c r="AL137" s="925"/>
      <c r="AM137" s="925"/>
      <c r="AN137" s="925"/>
      <c r="AO137" s="925"/>
      <c r="AP137" s="925"/>
      <c r="AQ137" s="925"/>
      <c r="AR137" s="925"/>
      <c r="AS137" s="925"/>
      <c r="AT137" s="925"/>
      <c r="AU137" s="925"/>
      <c r="AV137" s="925"/>
      <c r="AW137" s="925"/>
      <c r="AX137" s="925"/>
      <c r="AY137" s="925"/>
      <c r="AZ137" s="925"/>
      <c r="BA137" s="925"/>
      <c r="BB137" s="925"/>
      <c r="BC137" s="925"/>
      <c r="BD137" s="925"/>
      <c r="BE137" s="925"/>
      <c r="BF137" s="925"/>
      <c r="BG137" s="925"/>
      <c r="BH137" s="925"/>
      <c r="BI137" s="925"/>
      <c r="BJ137" s="925"/>
      <c r="BK137" s="925"/>
      <c r="BL137" s="925"/>
      <c r="BM137" s="925"/>
      <c r="BN137" s="925"/>
      <c r="BO137" s="925"/>
      <c r="BP137" s="925"/>
      <c r="BQ137" s="925"/>
      <c r="BR137" s="925"/>
      <c r="BS137" s="925"/>
      <c r="BT137" s="925"/>
      <c r="BU137" s="925"/>
      <c r="BV137" s="925"/>
      <c r="BW137" s="925"/>
      <c r="BX137" s="925"/>
      <c r="BY137" s="925"/>
      <c r="BZ137" s="925"/>
      <c r="CA137" s="925"/>
      <c r="CB137" s="925"/>
      <c r="CC137" s="925"/>
      <c r="CD137" s="925"/>
      <c r="CE137" s="925"/>
      <c r="CF137" s="925"/>
      <c r="CG137" s="925"/>
      <c r="CH137" s="925"/>
      <c r="CI137" s="925"/>
      <c r="CJ137" s="925"/>
      <c r="CK137" s="925"/>
      <c r="CL137" s="925"/>
      <c r="CM137" s="925"/>
      <c r="CN137" s="925"/>
      <c r="CO137" s="925"/>
      <c r="CP137" s="925"/>
      <c r="CQ137" s="925"/>
      <c r="CR137" s="925"/>
      <c r="CS137" s="925"/>
      <c r="CT137" s="925"/>
      <c r="CU137" s="925"/>
      <c r="CV137" s="925"/>
      <c r="CW137" s="925"/>
      <c r="CX137" s="925"/>
      <c r="CY137" s="925"/>
      <c r="CZ137" s="925"/>
      <c r="DA137" s="925"/>
      <c r="DB137" s="925"/>
      <c r="DC137" s="925"/>
      <c r="DD137" s="925"/>
      <c r="DE137" s="925"/>
      <c r="DF137" s="925"/>
      <c r="DG137" s="925"/>
      <c r="DH137" s="925"/>
      <c r="DI137" s="925"/>
      <c r="DJ137" s="925"/>
      <c r="DK137" s="925"/>
      <c r="DL137" s="925"/>
      <c r="DM137" s="925"/>
      <c r="DN137" s="925"/>
      <c r="DO137" s="925"/>
      <c r="DP137" s="925"/>
      <c r="DQ137" s="925"/>
      <c r="DR137" s="925"/>
      <c r="DS137" s="925"/>
      <c r="DT137" s="925"/>
      <c r="DU137" s="925"/>
      <c r="DV137" s="925"/>
      <c r="DW137" s="925"/>
      <c r="DX137" s="925"/>
      <c r="DY137" s="925"/>
      <c r="DZ137" s="925"/>
      <c r="EA137" s="925"/>
      <c r="EB137" s="925"/>
      <c r="EC137" s="925"/>
      <c r="ED137" s="925"/>
      <c r="EE137" s="925"/>
      <c r="EF137" s="925"/>
      <c r="EG137" s="446"/>
    </row>
    <row r="138" spans="1:137" ht="13" x14ac:dyDescent="0.15">
      <c r="A138" s="917"/>
      <c r="B138" s="917"/>
      <c r="C138" s="918"/>
      <c r="D138" s="919"/>
      <c r="E138" s="920"/>
      <c r="F138" s="921"/>
      <c r="G138" s="922"/>
      <c r="H138" s="922"/>
      <c r="I138" s="922"/>
      <c r="J138" s="923"/>
      <c r="K138" s="923"/>
      <c r="L138" s="924"/>
      <c r="M138" s="925"/>
      <c r="N138" s="925"/>
      <c r="O138" s="925"/>
      <c r="P138" s="925"/>
      <c r="Q138" s="925"/>
      <c r="R138" s="926"/>
      <c r="S138" s="926"/>
      <c r="T138" s="925"/>
      <c r="U138" s="925"/>
      <c r="V138" s="925"/>
      <c r="W138" s="925"/>
      <c r="X138" s="925"/>
      <c r="Y138" s="925"/>
      <c r="Z138" s="925"/>
      <c r="AA138" s="925"/>
      <c r="AB138" s="925"/>
      <c r="AC138" s="925"/>
      <c r="AD138" s="925"/>
      <c r="AE138" s="925"/>
      <c r="AF138" s="925"/>
      <c r="AG138" s="925"/>
      <c r="AH138" s="925"/>
      <c r="AI138" s="925"/>
      <c r="AJ138" s="925"/>
      <c r="AK138" s="925"/>
      <c r="AL138" s="925"/>
      <c r="AM138" s="925"/>
      <c r="AN138" s="925"/>
      <c r="AO138" s="925"/>
      <c r="AP138" s="925"/>
      <c r="AQ138" s="925"/>
      <c r="AR138" s="925"/>
      <c r="AS138" s="925"/>
      <c r="AT138" s="925"/>
      <c r="AU138" s="925"/>
      <c r="AV138" s="925"/>
      <c r="AW138" s="925"/>
      <c r="AX138" s="925"/>
      <c r="AY138" s="925"/>
      <c r="AZ138" s="925"/>
      <c r="BA138" s="925"/>
      <c r="BB138" s="925"/>
      <c r="BC138" s="925"/>
      <c r="BD138" s="925"/>
      <c r="BE138" s="925"/>
      <c r="BF138" s="925"/>
      <c r="BG138" s="925"/>
      <c r="BH138" s="925"/>
      <c r="BI138" s="925"/>
      <c r="BJ138" s="925"/>
      <c r="BK138" s="925"/>
      <c r="BL138" s="925"/>
      <c r="BM138" s="925"/>
      <c r="BN138" s="925"/>
      <c r="BO138" s="925"/>
      <c r="BP138" s="925"/>
      <c r="BQ138" s="925"/>
      <c r="BR138" s="925"/>
      <c r="BS138" s="925"/>
      <c r="BT138" s="925"/>
      <c r="BU138" s="925"/>
      <c r="BV138" s="925"/>
      <c r="BW138" s="925"/>
      <c r="BX138" s="925"/>
      <c r="BY138" s="925"/>
      <c r="BZ138" s="925"/>
      <c r="CA138" s="925"/>
      <c r="CB138" s="925"/>
      <c r="CC138" s="925"/>
      <c r="CD138" s="925"/>
      <c r="CE138" s="925"/>
      <c r="CF138" s="925"/>
      <c r="CG138" s="925"/>
      <c r="CH138" s="925"/>
      <c r="CI138" s="925"/>
      <c r="CJ138" s="925"/>
      <c r="CK138" s="925"/>
      <c r="CL138" s="925"/>
      <c r="CM138" s="925"/>
      <c r="CN138" s="925"/>
      <c r="CO138" s="925"/>
      <c r="CP138" s="925"/>
      <c r="CQ138" s="925"/>
      <c r="CR138" s="925"/>
      <c r="CS138" s="925"/>
      <c r="CT138" s="925"/>
      <c r="CU138" s="925"/>
      <c r="CV138" s="925"/>
      <c r="CW138" s="925"/>
      <c r="CX138" s="925"/>
      <c r="CY138" s="925"/>
      <c r="CZ138" s="925"/>
      <c r="DA138" s="925"/>
      <c r="DB138" s="925"/>
      <c r="DC138" s="925"/>
      <c r="DD138" s="925"/>
      <c r="DE138" s="925"/>
      <c r="DF138" s="925"/>
      <c r="DG138" s="925"/>
      <c r="DH138" s="925"/>
      <c r="DI138" s="925"/>
      <c r="DJ138" s="925"/>
      <c r="DK138" s="925"/>
      <c r="DL138" s="925"/>
      <c r="DM138" s="925"/>
      <c r="DN138" s="925"/>
      <c r="DO138" s="925"/>
      <c r="DP138" s="925"/>
      <c r="DQ138" s="925"/>
      <c r="DR138" s="925"/>
      <c r="DS138" s="925"/>
      <c r="DT138" s="925"/>
      <c r="DU138" s="925"/>
      <c r="DV138" s="925"/>
      <c r="DW138" s="925"/>
      <c r="DX138" s="925"/>
      <c r="DY138" s="925"/>
      <c r="DZ138" s="925"/>
      <c r="EA138" s="925"/>
      <c r="EB138" s="925"/>
      <c r="EC138" s="925"/>
      <c r="ED138" s="925"/>
      <c r="EE138" s="925"/>
      <c r="EF138" s="925"/>
      <c r="EG138" s="446"/>
    </row>
    <row r="139" spans="1:137" ht="13" x14ac:dyDescent="0.15">
      <c r="A139" s="917"/>
      <c r="B139" s="917"/>
      <c r="C139" s="918"/>
      <c r="D139" s="919"/>
      <c r="E139" s="920"/>
      <c r="F139" s="921"/>
      <c r="G139" s="922"/>
      <c r="H139" s="922"/>
      <c r="I139" s="922"/>
      <c r="J139" s="923"/>
      <c r="K139" s="923"/>
      <c r="L139" s="924"/>
      <c r="M139" s="925"/>
      <c r="N139" s="925"/>
      <c r="O139" s="925"/>
      <c r="P139" s="925"/>
      <c r="Q139" s="925"/>
      <c r="R139" s="926"/>
      <c r="S139" s="926"/>
      <c r="T139" s="925"/>
      <c r="U139" s="925"/>
      <c r="V139" s="925"/>
      <c r="W139" s="925"/>
      <c r="X139" s="925"/>
      <c r="Y139" s="925"/>
      <c r="Z139" s="925"/>
      <c r="AA139" s="925"/>
      <c r="AB139" s="925"/>
      <c r="AC139" s="925"/>
      <c r="AD139" s="925"/>
      <c r="AE139" s="925"/>
      <c r="AF139" s="925"/>
      <c r="AG139" s="925"/>
      <c r="AH139" s="925"/>
      <c r="AI139" s="925"/>
      <c r="AJ139" s="925"/>
      <c r="AK139" s="925"/>
      <c r="AL139" s="925"/>
      <c r="AM139" s="925"/>
      <c r="AN139" s="925"/>
      <c r="AO139" s="925"/>
      <c r="AP139" s="925"/>
      <c r="AQ139" s="925"/>
      <c r="AR139" s="925"/>
      <c r="AS139" s="925"/>
      <c r="AT139" s="925"/>
      <c r="AU139" s="925"/>
      <c r="AV139" s="925"/>
      <c r="AW139" s="925"/>
      <c r="AX139" s="925"/>
      <c r="AY139" s="925"/>
      <c r="AZ139" s="925"/>
      <c r="BA139" s="925"/>
      <c r="BB139" s="925"/>
      <c r="BC139" s="925"/>
      <c r="BD139" s="925"/>
      <c r="BE139" s="925"/>
      <c r="BF139" s="925"/>
      <c r="BG139" s="925"/>
      <c r="BH139" s="925"/>
      <c r="BI139" s="925"/>
      <c r="BJ139" s="925"/>
      <c r="BK139" s="925"/>
      <c r="BL139" s="925"/>
      <c r="BM139" s="925"/>
      <c r="BN139" s="925"/>
      <c r="BO139" s="925"/>
      <c r="BP139" s="925"/>
      <c r="BQ139" s="925"/>
      <c r="BR139" s="925"/>
      <c r="BS139" s="925"/>
      <c r="BT139" s="925"/>
      <c r="BU139" s="925"/>
      <c r="BV139" s="925"/>
      <c r="BW139" s="925"/>
      <c r="BX139" s="925"/>
      <c r="BY139" s="925"/>
      <c r="BZ139" s="925"/>
      <c r="CA139" s="925"/>
      <c r="CB139" s="925"/>
      <c r="CC139" s="925"/>
      <c r="CD139" s="925"/>
      <c r="CE139" s="925"/>
      <c r="CF139" s="925"/>
      <c r="CG139" s="925"/>
      <c r="CH139" s="925"/>
      <c r="CI139" s="925"/>
      <c r="CJ139" s="925"/>
      <c r="CK139" s="925"/>
      <c r="CL139" s="925"/>
      <c r="CM139" s="925"/>
      <c r="CN139" s="925"/>
      <c r="CO139" s="925"/>
      <c r="CP139" s="925"/>
      <c r="CQ139" s="925"/>
      <c r="CR139" s="925"/>
      <c r="CS139" s="925"/>
      <c r="CT139" s="925"/>
      <c r="CU139" s="925"/>
      <c r="CV139" s="925"/>
      <c r="CW139" s="925"/>
      <c r="CX139" s="925"/>
      <c r="CY139" s="925"/>
      <c r="CZ139" s="925"/>
      <c r="DA139" s="925"/>
      <c r="DB139" s="925"/>
      <c r="DC139" s="925"/>
      <c r="DD139" s="925"/>
      <c r="DE139" s="925"/>
      <c r="DF139" s="925"/>
      <c r="DG139" s="925"/>
      <c r="DH139" s="925"/>
      <c r="DI139" s="925"/>
      <c r="DJ139" s="925"/>
      <c r="DK139" s="925"/>
      <c r="DL139" s="925"/>
      <c r="DM139" s="925"/>
      <c r="DN139" s="925"/>
      <c r="DO139" s="925"/>
      <c r="DP139" s="925"/>
      <c r="DQ139" s="925"/>
      <c r="DR139" s="925"/>
      <c r="DS139" s="925"/>
      <c r="DT139" s="925"/>
      <c r="DU139" s="925"/>
      <c r="DV139" s="925"/>
      <c r="DW139" s="925"/>
      <c r="DX139" s="925"/>
      <c r="DY139" s="925"/>
      <c r="DZ139" s="925"/>
      <c r="EA139" s="925"/>
      <c r="EB139" s="925"/>
      <c r="EC139" s="925"/>
      <c r="ED139" s="925"/>
      <c r="EE139" s="925"/>
      <c r="EF139" s="925"/>
      <c r="EG139" s="446"/>
    </row>
    <row r="140" spans="1:137" ht="13" x14ac:dyDescent="0.15">
      <c r="A140" s="917"/>
      <c r="B140" s="917"/>
      <c r="C140" s="918"/>
      <c r="D140" s="919"/>
      <c r="E140" s="920"/>
      <c r="F140" s="921"/>
      <c r="G140" s="922"/>
      <c r="H140" s="922"/>
      <c r="I140" s="922"/>
      <c r="J140" s="923"/>
      <c r="K140" s="923"/>
      <c r="L140" s="924"/>
      <c r="M140" s="925"/>
      <c r="N140" s="925"/>
      <c r="O140" s="925"/>
      <c r="P140" s="925"/>
      <c r="Q140" s="925"/>
      <c r="R140" s="926"/>
      <c r="S140" s="926"/>
      <c r="T140" s="925"/>
      <c r="U140" s="925"/>
      <c r="V140" s="925"/>
      <c r="W140" s="925"/>
      <c r="X140" s="925"/>
      <c r="Y140" s="925"/>
      <c r="Z140" s="925"/>
      <c r="AA140" s="925"/>
      <c r="AB140" s="925"/>
      <c r="AC140" s="925"/>
      <c r="AD140" s="925"/>
      <c r="AE140" s="925"/>
      <c r="AF140" s="925"/>
      <c r="AG140" s="925"/>
      <c r="AH140" s="925"/>
      <c r="AI140" s="925"/>
      <c r="AJ140" s="925"/>
      <c r="AK140" s="925"/>
      <c r="AL140" s="925"/>
      <c r="AM140" s="925"/>
      <c r="AN140" s="925"/>
      <c r="AO140" s="925"/>
      <c r="AP140" s="925"/>
      <c r="AQ140" s="925"/>
      <c r="AR140" s="925"/>
      <c r="AS140" s="925"/>
      <c r="AT140" s="925"/>
      <c r="AU140" s="925"/>
      <c r="AV140" s="925"/>
      <c r="AW140" s="925"/>
      <c r="AX140" s="925"/>
      <c r="AY140" s="925"/>
      <c r="AZ140" s="925"/>
      <c r="BA140" s="925"/>
      <c r="BB140" s="925"/>
      <c r="BC140" s="925"/>
      <c r="BD140" s="925"/>
      <c r="BE140" s="925"/>
      <c r="BF140" s="925"/>
      <c r="BG140" s="925"/>
      <c r="BH140" s="925"/>
      <c r="BI140" s="925"/>
      <c r="BJ140" s="925"/>
      <c r="BK140" s="925"/>
      <c r="BL140" s="925"/>
      <c r="BM140" s="925"/>
      <c r="BN140" s="925"/>
      <c r="BO140" s="925"/>
      <c r="BP140" s="925"/>
      <c r="BQ140" s="925"/>
      <c r="BR140" s="925"/>
      <c r="BS140" s="925"/>
      <c r="BT140" s="925"/>
      <c r="BU140" s="925"/>
      <c r="BV140" s="925"/>
      <c r="BW140" s="925"/>
      <c r="BX140" s="925"/>
      <c r="BY140" s="925"/>
      <c r="BZ140" s="925"/>
      <c r="CA140" s="925"/>
      <c r="CB140" s="925"/>
      <c r="CC140" s="925"/>
      <c r="CD140" s="925"/>
      <c r="CE140" s="925"/>
      <c r="CF140" s="925"/>
      <c r="CG140" s="925"/>
      <c r="CH140" s="925"/>
      <c r="CI140" s="925"/>
      <c r="CJ140" s="925"/>
      <c r="CK140" s="925"/>
      <c r="CL140" s="925"/>
      <c r="CM140" s="925"/>
      <c r="CN140" s="925"/>
      <c r="CO140" s="925"/>
      <c r="CP140" s="925"/>
      <c r="CQ140" s="925"/>
      <c r="CR140" s="925"/>
      <c r="CS140" s="925"/>
      <c r="CT140" s="925"/>
      <c r="CU140" s="925"/>
      <c r="CV140" s="925"/>
      <c r="CW140" s="925"/>
      <c r="CX140" s="925"/>
      <c r="CY140" s="925"/>
      <c r="CZ140" s="925"/>
      <c r="DA140" s="925"/>
      <c r="DB140" s="925"/>
      <c r="DC140" s="925"/>
      <c r="DD140" s="925"/>
      <c r="DE140" s="925"/>
      <c r="DF140" s="925"/>
      <c r="DG140" s="925"/>
      <c r="DH140" s="925"/>
      <c r="DI140" s="925"/>
      <c r="DJ140" s="925"/>
      <c r="DK140" s="925"/>
      <c r="DL140" s="925"/>
      <c r="DM140" s="925"/>
      <c r="DN140" s="925"/>
      <c r="DO140" s="925"/>
      <c r="DP140" s="925"/>
      <c r="DQ140" s="925"/>
      <c r="DR140" s="925"/>
      <c r="DS140" s="925"/>
      <c r="DT140" s="925"/>
      <c r="DU140" s="925"/>
      <c r="DV140" s="925"/>
      <c r="DW140" s="925"/>
      <c r="DX140" s="925"/>
      <c r="DY140" s="925"/>
      <c r="DZ140" s="925"/>
      <c r="EA140" s="925"/>
      <c r="EB140" s="925"/>
      <c r="EC140" s="925"/>
      <c r="ED140" s="925"/>
      <c r="EE140" s="925"/>
      <c r="EF140" s="925"/>
      <c r="EG140" s="446"/>
    </row>
    <row r="141" spans="1:137" ht="13" x14ac:dyDescent="0.15">
      <c r="A141" s="917"/>
      <c r="B141" s="917"/>
      <c r="C141" s="918"/>
      <c r="D141" s="919"/>
      <c r="E141" s="920"/>
      <c r="F141" s="921"/>
      <c r="G141" s="922"/>
      <c r="H141" s="922"/>
      <c r="I141" s="922"/>
      <c r="J141" s="923"/>
      <c r="K141" s="923"/>
      <c r="L141" s="924"/>
      <c r="M141" s="925"/>
      <c r="N141" s="925"/>
      <c r="O141" s="925"/>
      <c r="P141" s="925"/>
      <c r="Q141" s="925"/>
      <c r="R141" s="926"/>
      <c r="S141" s="926"/>
      <c r="T141" s="925"/>
      <c r="U141" s="925"/>
      <c r="V141" s="925"/>
      <c r="W141" s="925"/>
      <c r="X141" s="925"/>
      <c r="Y141" s="925"/>
      <c r="Z141" s="925"/>
      <c r="AA141" s="925"/>
      <c r="AB141" s="925"/>
      <c r="AC141" s="925"/>
      <c r="AD141" s="925"/>
      <c r="AE141" s="925"/>
      <c r="AF141" s="925"/>
      <c r="AG141" s="925"/>
      <c r="AH141" s="925"/>
      <c r="AI141" s="925"/>
      <c r="AJ141" s="925"/>
      <c r="AK141" s="925"/>
      <c r="AL141" s="925"/>
      <c r="AM141" s="925"/>
      <c r="AN141" s="925"/>
      <c r="AO141" s="925"/>
      <c r="AP141" s="925"/>
      <c r="AQ141" s="925"/>
      <c r="AR141" s="925"/>
      <c r="AS141" s="925"/>
      <c r="AT141" s="925"/>
      <c r="AU141" s="925"/>
      <c r="AV141" s="925"/>
      <c r="AW141" s="925"/>
      <c r="AX141" s="925"/>
      <c r="AY141" s="925"/>
      <c r="AZ141" s="925"/>
      <c r="BA141" s="925"/>
      <c r="BB141" s="925"/>
      <c r="BC141" s="925"/>
      <c r="BD141" s="925"/>
      <c r="BE141" s="925"/>
      <c r="BF141" s="925"/>
      <c r="BG141" s="925"/>
      <c r="BH141" s="925"/>
      <c r="BI141" s="925"/>
      <c r="BJ141" s="925"/>
      <c r="BK141" s="925"/>
      <c r="BL141" s="925"/>
      <c r="BM141" s="925"/>
      <c r="BN141" s="925"/>
      <c r="BO141" s="925"/>
      <c r="BP141" s="925"/>
      <c r="BQ141" s="925"/>
      <c r="BR141" s="925"/>
      <c r="BS141" s="925"/>
      <c r="BT141" s="925"/>
      <c r="BU141" s="925"/>
      <c r="BV141" s="925"/>
      <c r="BW141" s="925"/>
      <c r="BX141" s="925"/>
      <c r="BY141" s="925"/>
      <c r="BZ141" s="925"/>
      <c r="CA141" s="925"/>
      <c r="CB141" s="925"/>
      <c r="CC141" s="925"/>
      <c r="CD141" s="925"/>
      <c r="CE141" s="925"/>
      <c r="CF141" s="925"/>
      <c r="CG141" s="925"/>
      <c r="CH141" s="925"/>
      <c r="CI141" s="925"/>
      <c r="CJ141" s="925"/>
      <c r="CK141" s="925"/>
      <c r="CL141" s="925"/>
      <c r="CM141" s="925"/>
      <c r="CN141" s="925"/>
      <c r="CO141" s="925"/>
      <c r="CP141" s="925"/>
      <c r="CQ141" s="925"/>
      <c r="CR141" s="925"/>
      <c r="CS141" s="925"/>
      <c r="CT141" s="925"/>
      <c r="CU141" s="925"/>
      <c r="CV141" s="925"/>
      <c r="CW141" s="925"/>
      <c r="CX141" s="925"/>
      <c r="CY141" s="925"/>
      <c r="CZ141" s="925"/>
      <c r="DA141" s="925"/>
      <c r="DB141" s="925"/>
      <c r="DC141" s="925"/>
      <c r="DD141" s="925"/>
      <c r="DE141" s="925"/>
      <c r="DF141" s="925"/>
      <c r="DG141" s="925"/>
      <c r="DH141" s="925"/>
      <c r="DI141" s="925"/>
      <c r="DJ141" s="925"/>
      <c r="DK141" s="925"/>
      <c r="DL141" s="925"/>
      <c r="DM141" s="925"/>
      <c r="DN141" s="925"/>
      <c r="DO141" s="925"/>
      <c r="DP141" s="925"/>
      <c r="DQ141" s="925"/>
      <c r="DR141" s="925"/>
      <c r="DS141" s="925"/>
      <c r="DT141" s="925"/>
      <c r="DU141" s="925"/>
      <c r="DV141" s="925"/>
      <c r="DW141" s="925"/>
      <c r="DX141" s="925"/>
      <c r="DY141" s="925"/>
      <c r="DZ141" s="925"/>
      <c r="EA141" s="925"/>
      <c r="EB141" s="925"/>
      <c r="EC141" s="925"/>
      <c r="ED141" s="925"/>
      <c r="EE141" s="925"/>
      <c r="EF141" s="925"/>
      <c r="EG141" s="446"/>
    </row>
    <row r="142" spans="1:137" ht="13" x14ac:dyDescent="0.15">
      <c r="A142" s="917"/>
      <c r="B142" s="917"/>
      <c r="C142" s="918"/>
      <c r="D142" s="919"/>
      <c r="E142" s="920"/>
      <c r="F142" s="921"/>
      <c r="G142" s="922"/>
      <c r="H142" s="922"/>
      <c r="I142" s="922"/>
      <c r="J142" s="923"/>
      <c r="K142" s="923"/>
      <c r="L142" s="924"/>
      <c r="M142" s="925"/>
      <c r="N142" s="925"/>
      <c r="O142" s="925"/>
      <c r="P142" s="925"/>
      <c r="Q142" s="925"/>
      <c r="R142" s="926"/>
      <c r="S142" s="926"/>
      <c r="T142" s="925"/>
      <c r="U142" s="925"/>
      <c r="V142" s="925"/>
      <c r="W142" s="925"/>
      <c r="X142" s="925"/>
      <c r="Y142" s="925"/>
      <c r="Z142" s="925"/>
      <c r="AA142" s="925"/>
      <c r="AB142" s="925"/>
      <c r="AC142" s="925"/>
      <c r="AD142" s="925"/>
      <c r="AE142" s="925"/>
      <c r="AF142" s="925"/>
      <c r="AG142" s="925"/>
      <c r="AH142" s="925"/>
      <c r="AI142" s="925"/>
      <c r="AJ142" s="925"/>
      <c r="AK142" s="925"/>
      <c r="AL142" s="925"/>
      <c r="AM142" s="925"/>
      <c r="AN142" s="925"/>
      <c r="AO142" s="925"/>
      <c r="AP142" s="925"/>
      <c r="AQ142" s="925"/>
      <c r="AR142" s="925"/>
      <c r="AS142" s="925"/>
      <c r="AT142" s="925"/>
      <c r="AU142" s="925"/>
      <c r="AV142" s="925"/>
      <c r="AW142" s="925"/>
      <c r="AX142" s="925"/>
      <c r="AY142" s="925"/>
      <c r="AZ142" s="925"/>
      <c r="BA142" s="925"/>
      <c r="BB142" s="925"/>
      <c r="BC142" s="925"/>
      <c r="BD142" s="925"/>
      <c r="BE142" s="925"/>
      <c r="BF142" s="925"/>
      <c r="BG142" s="925"/>
      <c r="BH142" s="925"/>
      <c r="BI142" s="925"/>
      <c r="BJ142" s="925"/>
      <c r="BK142" s="925"/>
      <c r="BL142" s="925"/>
      <c r="BM142" s="925"/>
      <c r="BN142" s="925"/>
      <c r="BO142" s="925"/>
      <c r="BP142" s="925"/>
      <c r="BQ142" s="925"/>
      <c r="BR142" s="925"/>
      <c r="BS142" s="925"/>
      <c r="BT142" s="925"/>
      <c r="BU142" s="925"/>
      <c r="BV142" s="925"/>
      <c r="BW142" s="925"/>
      <c r="BX142" s="925"/>
      <c r="BY142" s="925"/>
      <c r="BZ142" s="925"/>
      <c r="CA142" s="925"/>
      <c r="CB142" s="925"/>
      <c r="CC142" s="925"/>
      <c r="CD142" s="925"/>
      <c r="CE142" s="925"/>
      <c r="CF142" s="925"/>
      <c r="CG142" s="925"/>
      <c r="CH142" s="925"/>
      <c r="CI142" s="925"/>
      <c r="CJ142" s="925"/>
      <c r="CK142" s="925"/>
      <c r="CL142" s="925"/>
      <c r="CM142" s="925"/>
      <c r="CN142" s="925"/>
      <c r="CO142" s="925"/>
      <c r="CP142" s="925"/>
      <c r="CQ142" s="925"/>
      <c r="CR142" s="925"/>
      <c r="CS142" s="925"/>
      <c r="CT142" s="925"/>
      <c r="CU142" s="925"/>
      <c r="CV142" s="925"/>
      <c r="CW142" s="925"/>
      <c r="CX142" s="925"/>
      <c r="CY142" s="925"/>
      <c r="CZ142" s="925"/>
      <c r="DA142" s="925"/>
      <c r="DB142" s="925"/>
      <c r="DC142" s="925"/>
      <c r="DD142" s="925"/>
      <c r="DE142" s="925"/>
      <c r="DF142" s="925"/>
      <c r="DG142" s="925"/>
      <c r="DH142" s="925"/>
      <c r="DI142" s="925"/>
      <c r="DJ142" s="925"/>
      <c r="DK142" s="925"/>
      <c r="DL142" s="925"/>
      <c r="DM142" s="925"/>
      <c r="DN142" s="925"/>
      <c r="DO142" s="925"/>
      <c r="DP142" s="925"/>
      <c r="DQ142" s="925"/>
      <c r="DR142" s="925"/>
      <c r="DS142" s="925"/>
      <c r="DT142" s="925"/>
      <c r="DU142" s="925"/>
      <c r="DV142" s="925"/>
      <c r="DW142" s="925"/>
      <c r="DX142" s="925"/>
      <c r="DY142" s="925"/>
      <c r="DZ142" s="925"/>
      <c r="EA142" s="925"/>
      <c r="EB142" s="925"/>
      <c r="EC142" s="925"/>
      <c r="ED142" s="925"/>
      <c r="EE142" s="925"/>
      <c r="EF142" s="925"/>
      <c r="EG142" s="446"/>
    </row>
    <row r="143" spans="1:137" ht="13" x14ac:dyDescent="0.15">
      <c r="A143" s="917"/>
      <c r="B143" s="917"/>
      <c r="C143" s="918"/>
      <c r="D143" s="919"/>
      <c r="E143" s="920"/>
      <c r="F143" s="921"/>
      <c r="G143" s="922"/>
      <c r="H143" s="922"/>
      <c r="I143" s="922"/>
      <c r="J143" s="923"/>
      <c r="K143" s="923"/>
      <c r="L143" s="924"/>
      <c r="M143" s="925"/>
      <c r="N143" s="925"/>
      <c r="O143" s="925"/>
      <c r="P143" s="925"/>
      <c r="Q143" s="925"/>
      <c r="R143" s="926"/>
      <c r="S143" s="926"/>
      <c r="T143" s="925"/>
      <c r="U143" s="925"/>
      <c r="V143" s="925"/>
      <c r="W143" s="925"/>
      <c r="X143" s="925"/>
      <c r="Y143" s="925"/>
      <c r="Z143" s="925"/>
      <c r="AA143" s="925"/>
      <c r="AB143" s="925"/>
      <c r="AC143" s="925"/>
      <c r="AD143" s="925"/>
      <c r="AE143" s="925"/>
      <c r="AF143" s="925"/>
      <c r="AG143" s="925"/>
      <c r="AH143" s="925"/>
      <c r="AI143" s="925"/>
      <c r="AJ143" s="925"/>
      <c r="AK143" s="925"/>
      <c r="AL143" s="925"/>
      <c r="AM143" s="925"/>
      <c r="AN143" s="925"/>
      <c r="AO143" s="925"/>
      <c r="AP143" s="925"/>
      <c r="AQ143" s="925"/>
      <c r="AR143" s="925"/>
      <c r="AS143" s="925"/>
      <c r="AT143" s="925"/>
      <c r="AU143" s="925"/>
      <c r="AV143" s="925"/>
      <c r="AW143" s="925"/>
      <c r="AX143" s="925"/>
      <c r="AY143" s="925"/>
      <c r="AZ143" s="925"/>
      <c r="BA143" s="925"/>
      <c r="BB143" s="925"/>
      <c r="BC143" s="925"/>
      <c r="BD143" s="925"/>
      <c r="BE143" s="925"/>
      <c r="BF143" s="925"/>
      <c r="BG143" s="925"/>
      <c r="BH143" s="925"/>
      <c r="BI143" s="925"/>
      <c r="BJ143" s="925"/>
      <c r="BK143" s="925"/>
      <c r="BL143" s="925"/>
      <c r="BM143" s="925"/>
      <c r="BN143" s="925"/>
      <c r="BO143" s="925"/>
      <c r="BP143" s="925"/>
      <c r="BQ143" s="925"/>
      <c r="BR143" s="925"/>
      <c r="BS143" s="925"/>
      <c r="BT143" s="925"/>
      <c r="BU143" s="925"/>
      <c r="BV143" s="925"/>
      <c r="BW143" s="925"/>
      <c r="BX143" s="925"/>
      <c r="BY143" s="925"/>
      <c r="BZ143" s="925"/>
      <c r="CA143" s="925"/>
      <c r="CB143" s="925"/>
      <c r="CC143" s="925"/>
      <c r="CD143" s="925"/>
      <c r="CE143" s="925"/>
      <c r="CF143" s="925"/>
      <c r="CG143" s="925"/>
      <c r="CH143" s="925"/>
      <c r="CI143" s="925"/>
      <c r="CJ143" s="925"/>
      <c r="CK143" s="925"/>
      <c r="CL143" s="925"/>
      <c r="CM143" s="925"/>
      <c r="CN143" s="925"/>
      <c r="CO143" s="925"/>
      <c r="CP143" s="925"/>
      <c r="CQ143" s="925"/>
      <c r="CR143" s="925"/>
      <c r="CS143" s="925"/>
      <c r="CT143" s="925"/>
      <c r="CU143" s="925"/>
      <c r="CV143" s="925"/>
      <c r="CW143" s="925"/>
      <c r="CX143" s="925"/>
      <c r="CY143" s="925"/>
      <c r="CZ143" s="925"/>
      <c r="DA143" s="925"/>
      <c r="DB143" s="925"/>
      <c r="DC143" s="925"/>
      <c r="DD143" s="925"/>
      <c r="DE143" s="925"/>
      <c r="DF143" s="925"/>
      <c r="DG143" s="925"/>
      <c r="DH143" s="925"/>
      <c r="DI143" s="925"/>
      <c r="DJ143" s="925"/>
      <c r="DK143" s="925"/>
      <c r="DL143" s="925"/>
      <c r="DM143" s="925"/>
      <c r="DN143" s="925"/>
      <c r="DO143" s="925"/>
      <c r="DP143" s="925"/>
      <c r="DQ143" s="925"/>
      <c r="DR143" s="925"/>
      <c r="DS143" s="925"/>
      <c r="DT143" s="925"/>
      <c r="DU143" s="925"/>
      <c r="DV143" s="925"/>
      <c r="DW143" s="925"/>
      <c r="DX143" s="925"/>
      <c r="DY143" s="925"/>
      <c r="DZ143" s="925"/>
      <c r="EA143" s="925"/>
      <c r="EB143" s="925"/>
      <c r="EC143" s="925"/>
      <c r="ED143" s="925"/>
      <c r="EE143" s="925"/>
      <c r="EF143" s="925"/>
      <c r="EG143" s="446"/>
    </row>
    <row r="144" spans="1:137" ht="13" x14ac:dyDescent="0.15">
      <c r="A144" s="917"/>
      <c r="B144" s="917"/>
      <c r="C144" s="918"/>
      <c r="D144" s="919"/>
      <c r="E144" s="920"/>
      <c r="F144" s="921"/>
      <c r="G144" s="922"/>
      <c r="H144" s="922"/>
      <c r="I144" s="922"/>
      <c r="J144" s="923"/>
      <c r="K144" s="923"/>
      <c r="L144" s="924"/>
      <c r="M144" s="925"/>
      <c r="N144" s="925"/>
      <c r="O144" s="925"/>
      <c r="P144" s="925"/>
      <c r="Q144" s="925"/>
      <c r="R144" s="926"/>
      <c r="S144" s="926"/>
      <c r="T144" s="925"/>
      <c r="U144" s="925"/>
      <c r="V144" s="925"/>
      <c r="W144" s="925"/>
      <c r="X144" s="925"/>
      <c r="Y144" s="925"/>
      <c r="Z144" s="925"/>
      <c r="AA144" s="925"/>
      <c r="AB144" s="925"/>
      <c r="AC144" s="925"/>
      <c r="AD144" s="925"/>
      <c r="AE144" s="925"/>
      <c r="AF144" s="925"/>
      <c r="AG144" s="925"/>
      <c r="AH144" s="925"/>
      <c r="AI144" s="925"/>
      <c r="AJ144" s="925"/>
      <c r="AK144" s="925"/>
      <c r="AL144" s="925"/>
      <c r="AM144" s="925"/>
      <c r="AN144" s="925"/>
      <c r="AO144" s="925"/>
      <c r="AP144" s="925"/>
      <c r="AQ144" s="925"/>
      <c r="AR144" s="925"/>
      <c r="AS144" s="925"/>
      <c r="AT144" s="925"/>
      <c r="AU144" s="925"/>
      <c r="AV144" s="925"/>
      <c r="AW144" s="925"/>
      <c r="AX144" s="925"/>
      <c r="AY144" s="925"/>
      <c r="AZ144" s="925"/>
      <c r="BA144" s="925"/>
      <c r="BB144" s="925"/>
      <c r="BC144" s="925"/>
      <c r="BD144" s="925"/>
      <c r="BE144" s="925"/>
      <c r="BF144" s="925"/>
      <c r="BG144" s="925"/>
      <c r="BH144" s="925"/>
      <c r="BI144" s="925"/>
      <c r="BJ144" s="925"/>
      <c r="BK144" s="925"/>
      <c r="BL144" s="925"/>
      <c r="BM144" s="925"/>
      <c r="BN144" s="925"/>
      <c r="BO144" s="925"/>
      <c r="BP144" s="925"/>
      <c r="BQ144" s="925"/>
      <c r="BR144" s="925"/>
      <c r="BS144" s="925"/>
      <c r="BT144" s="925"/>
      <c r="BU144" s="925"/>
      <c r="BV144" s="925"/>
      <c r="BW144" s="925"/>
      <c r="BX144" s="925"/>
      <c r="BY144" s="925"/>
      <c r="BZ144" s="925"/>
      <c r="CA144" s="925"/>
      <c r="CB144" s="925"/>
      <c r="CC144" s="925"/>
      <c r="CD144" s="925"/>
      <c r="CE144" s="925"/>
      <c r="CF144" s="925"/>
      <c r="CG144" s="925"/>
      <c r="CH144" s="925"/>
      <c r="CI144" s="925"/>
      <c r="CJ144" s="925"/>
      <c r="CK144" s="925"/>
      <c r="CL144" s="925"/>
      <c r="CM144" s="925"/>
      <c r="CN144" s="925"/>
      <c r="CO144" s="925"/>
      <c r="CP144" s="925"/>
      <c r="CQ144" s="925"/>
      <c r="CR144" s="925"/>
      <c r="CS144" s="925"/>
      <c r="CT144" s="925"/>
      <c r="CU144" s="925"/>
      <c r="CV144" s="925"/>
      <c r="CW144" s="925"/>
      <c r="CX144" s="925"/>
      <c r="CY144" s="925"/>
      <c r="CZ144" s="925"/>
      <c r="DA144" s="925"/>
      <c r="DB144" s="925"/>
      <c r="DC144" s="925"/>
      <c r="DD144" s="925"/>
      <c r="DE144" s="925"/>
      <c r="DF144" s="925"/>
      <c r="DG144" s="925"/>
      <c r="DH144" s="925"/>
      <c r="DI144" s="925"/>
      <c r="DJ144" s="925"/>
      <c r="DK144" s="925"/>
      <c r="DL144" s="925"/>
      <c r="DM144" s="925"/>
      <c r="DN144" s="925"/>
      <c r="DO144" s="925"/>
      <c r="DP144" s="925"/>
      <c r="DQ144" s="925"/>
      <c r="DR144" s="925"/>
      <c r="DS144" s="925"/>
      <c r="DT144" s="925"/>
      <c r="DU144" s="925"/>
      <c r="DV144" s="925"/>
      <c r="DW144" s="925"/>
      <c r="DX144" s="925"/>
      <c r="DY144" s="925"/>
      <c r="DZ144" s="925"/>
      <c r="EA144" s="925"/>
      <c r="EB144" s="925"/>
      <c r="EC144" s="925"/>
      <c r="ED144" s="925"/>
      <c r="EE144" s="925"/>
      <c r="EF144" s="925"/>
      <c r="EG144" s="446"/>
    </row>
    <row r="145" spans="1:137" ht="13" x14ac:dyDescent="0.15">
      <c r="A145" s="917"/>
      <c r="B145" s="917"/>
      <c r="C145" s="918"/>
      <c r="D145" s="919"/>
      <c r="E145" s="920"/>
      <c r="F145" s="921"/>
      <c r="G145" s="922"/>
      <c r="H145" s="922"/>
      <c r="I145" s="922"/>
      <c r="J145" s="923"/>
      <c r="K145" s="923"/>
      <c r="L145" s="924"/>
      <c r="M145" s="925"/>
      <c r="N145" s="925"/>
      <c r="O145" s="925"/>
      <c r="P145" s="925"/>
      <c r="Q145" s="925"/>
      <c r="R145" s="926"/>
      <c r="S145" s="926"/>
      <c r="T145" s="925"/>
      <c r="U145" s="925"/>
      <c r="V145" s="925"/>
      <c r="W145" s="925"/>
      <c r="X145" s="925"/>
      <c r="Y145" s="925"/>
      <c r="Z145" s="925"/>
      <c r="AA145" s="925"/>
      <c r="AB145" s="925"/>
      <c r="AC145" s="925"/>
      <c r="AD145" s="925"/>
      <c r="AE145" s="925"/>
      <c r="AF145" s="925"/>
      <c r="AG145" s="925"/>
      <c r="AH145" s="925"/>
      <c r="AI145" s="925"/>
      <c r="AJ145" s="925"/>
      <c r="AK145" s="925"/>
      <c r="AL145" s="925"/>
      <c r="AM145" s="925"/>
      <c r="AN145" s="925"/>
      <c r="AO145" s="925"/>
      <c r="AP145" s="925"/>
      <c r="AQ145" s="925"/>
      <c r="AR145" s="925"/>
      <c r="AS145" s="925"/>
      <c r="AT145" s="925"/>
      <c r="AU145" s="925"/>
      <c r="AV145" s="925"/>
      <c r="AW145" s="925"/>
      <c r="AX145" s="925"/>
      <c r="AY145" s="925"/>
      <c r="AZ145" s="925"/>
      <c r="BA145" s="925"/>
      <c r="BB145" s="925"/>
      <c r="BC145" s="925"/>
      <c r="BD145" s="925"/>
      <c r="BE145" s="925"/>
      <c r="BF145" s="925"/>
      <c r="BG145" s="925"/>
      <c r="BH145" s="925"/>
      <c r="BI145" s="925"/>
      <c r="BJ145" s="925"/>
      <c r="BK145" s="925"/>
      <c r="BL145" s="925"/>
      <c r="BM145" s="925"/>
      <c r="BN145" s="925"/>
      <c r="BO145" s="925"/>
      <c r="BP145" s="925"/>
      <c r="BQ145" s="925"/>
      <c r="BR145" s="925"/>
      <c r="BS145" s="925"/>
      <c r="BT145" s="925"/>
      <c r="BU145" s="925"/>
      <c r="BV145" s="925"/>
      <c r="BW145" s="925"/>
      <c r="BX145" s="925"/>
      <c r="BY145" s="925"/>
      <c r="BZ145" s="925"/>
      <c r="CA145" s="925"/>
      <c r="CB145" s="925"/>
      <c r="CC145" s="925"/>
      <c r="CD145" s="925"/>
      <c r="CE145" s="925"/>
      <c r="CF145" s="925"/>
      <c r="CG145" s="925"/>
      <c r="CH145" s="925"/>
      <c r="CI145" s="925"/>
      <c r="CJ145" s="925"/>
      <c r="CK145" s="925"/>
      <c r="CL145" s="925"/>
      <c r="CM145" s="925"/>
      <c r="CN145" s="925"/>
      <c r="CO145" s="925"/>
      <c r="CP145" s="925"/>
      <c r="CQ145" s="925"/>
      <c r="CR145" s="925"/>
      <c r="CS145" s="925"/>
      <c r="CT145" s="925"/>
      <c r="CU145" s="925"/>
      <c r="CV145" s="925"/>
      <c r="CW145" s="925"/>
      <c r="CX145" s="925"/>
      <c r="CY145" s="925"/>
      <c r="CZ145" s="925"/>
      <c r="DA145" s="925"/>
      <c r="DB145" s="925"/>
      <c r="DC145" s="925"/>
      <c r="DD145" s="925"/>
      <c r="DE145" s="925"/>
      <c r="DF145" s="925"/>
      <c r="DG145" s="925"/>
      <c r="DH145" s="925"/>
      <c r="DI145" s="925"/>
      <c r="DJ145" s="925"/>
      <c r="DK145" s="925"/>
      <c r="DL145" s="925"/>
      <c r="DM145" s="925"/>
      <c r="DN145" s="925"/>
      <c r="DO145" s="925"/>
      <c r="DP145" s="925"/>
      <c r="DQ145" s="925"/>
      <c r="DR145" s="925"/>
      <c r="DS145" s="925"/>
      <c r="DT145" s="925"/>
      <c r="DU145" s="925"/>
      <c r="DV145" s="925"/>
      <c r="DW145" s="925"/>
      <c r="DX145" s="925"/>
      <c r="DY145" s="925"/>
      <c r="DZ145" s="925"/>
      <c r="EA145" s="925"/>
      <c r="EB145" s="925"/>
      <c r="EC145" s="925"/>
      <c r="ED145" s="925"/>
      <c r="EE145" s="925"/>
      <c r="EF145" s="925"/>
      <c r="EG145" s="446"/>
    </row>
    <row r="146" spans="1:137" ht="13" x14ac:dyDescent="0.15">
      <c r="A146" s="917"/>
      <c r="B146" s="917"/>
      <c r="C146" s="918"/>
      <c r="D146" s="919"/>
      <c r="E146" s="920"/>
      <c r="F146" s="921"/>
      <c r="G146" s="922"/>
      <c r="H146" s="922"/>
      <c r="I146" s="922"/>
      <c r="J146" s="923"/>
      <c r="K146" s="923"/>
      <c r="L146" s="924"/>
      <c r="M146" s="925"/>
      <c r="N146" s="925"/>
      <c r="O146" s="925"/>
      <c r="P146" s="925"/>
      <c r="Q146" s="925"/>
      <c r="R146" s="926"/>
      <c r="S146" s="926"/>
      <c r="T146" s="925"/>
      <c r="U146" s="925"/>
      <c r="V146" s="925"/>
      <c r="W146" s="925"/>
      <c r="X146" s="925"/>
      <c r="Y146" s="925"/>
      <c r="Z146" s="925"/>
      <c r="AA146" s="925"/>
      <c r="AB146" s="925"/>
      <c r="AC146" s="925"/>
      <c r="AD146" s="925"/>
      <c r="AE146" s="925"/>
      <c r="AF146" s="925"/>
      <c r="AG146" s="925"/>
      <c r="AH146" s="925"/>
      <c r="AI146" s="925"/>
      <c r="AJ146" s="925"/>
      <c r="AK146" s="925"/>
      <c r="AL146" s="925"/>
      <c r="AM146" s="925"/>
      <c r="AN146" s="925"/>
      <c r="AO146" s="925"/>
      <c r="AP146" s="925"/>
      <c r="AQ146" s="925"/>
      <c r="AR146" s="925"/>
      <c r="AS146" s="925"/>
      <c r="AT146" s="925"/>
      <c r="AU146" s="925"/>
      <c r="AV146" s="925"/>
      <c r="AW146" s="925"/>
      <c r="AX146" s="925"/>
      <c r="AY146" s="925"/>
      <c r="AZ146" s="925"/>
      <c r="BA146" s="925"/>
      <c r="BB146" s="925"/>
      <c r="BC146" s="925"/>
      <c r="BD146" s="925"/>
      <c r="BE146" s="925"/>
      <c r="BF146" s="925"/>
      <c r="BG146" s="925"/>
      <c r="BH146" s="925"/>
      <c r="BI146" s="925"/>
      <c r="BJ146" s="925"/>
      <c r="BK146" s="925"/>
      <c r="BL146" s="925"/>
      <c r="BM146" s="925"/>
      <c r="BN146" s="925"/>
      <c r="BO146" s="925"/>
      <c r="BP146" s="925"/>
      <c r="BQ146" s="925"/>
      <c r="BR146" s="925"/>
      <c r="BS146" s="925"/>
      <c r="BT146" s="925"/>
      <c r="BU146" s="925"/>
      <c r="BV146" s="925"/>
      <c r="BW146" s="925"/>
      <c r="BX146" s="925"/>
      <c r="BY146" s="925"/>
      <c r="BZ146" s="925"/>
      <c r="CA146" s="925"/>
      <c r="CB146" s="925"/>
      <c r="CC146" s="925"/>
      <c r="CD146" s="925"/>
      <c r="CE146" s="925"/>
      <c r="CF146" s="925"/>
      <c r="CG146" s="925"/>
      <c r="CH146" s="925"/>
      <c r="CI146" s="925"/>
      <c r="CJ146" s="925"/>
      <c r="CK146" s="925"/>
      <c r="CL146" s="925"/>
      <c r="CM146" s="925"/>
      <c r="CN146" s="925"/>
      <c r="CO146" s="925"/>
      <c r="CP146" s="925"/>
      <c r="CQ146" s="925"/>
      <c r="CR146" s="925"/>
      <c r="CS146" s="925"/>
      <c r="CT146" s="925"/>
      <c r="CU146" s="925"/>
      <c r="CV146" s="925"/>
      <c r="CW146" s="925"/>
      <c r="CX146" s="925"/>
      <c r="CY146" s="925"/>
      <c r="CZ146" s="925"/>
      <c r="DA146" s="925"/>
      <c r="DB146" s="925"/>
      <c r="DC146" s="925"/>
      <c r="DD146" s="925"/>
      <c r="DE146" s="925"/>
      <c r="DF146" s="925"/>
      <c r="DG146" s="925"/>
      <c r="DH146" s="925"/>
      <c r="DI146" s="925"/>
      <c r="DJ146" s="925"/>
      <c r="DK146" s="925"/>
      <c r="DL146" s="925"/>
      <c r="DM146" s="925"/>
      <c r="DN146" s="925"/>
      <c r="DO146" s="925"/>
      <c r="DP146" s="925"/>
      <c r="DQ146" s="925"/>
      <c r="DR146" s="925"/>
      <c r="DS146" s="925"/>
      <c r="DT146" s="925"/>
      <c r="DU146" s="925"/>
      <c r="DV146" s="925"/>
      <c r="DW146" s="925"/>
      <c r="DX146" s="925"/>
      <c r="DY146" s="925"/>
      <c r="DZ146" s="925"/>
      <c r="EA146" s="925"/>
      <c r="EB146" s="925"/>
      <c r="EC146" s="925"/>
      <c r="ED146" s="925"/>
      <c r="EE146" s="925"/>
      <c r="EF146" s="925"/>
      <c r="EG146" s="446"/>
    </row>
    <row r="147" spans="1:137" ht="13" x14ac:dyDescent="0.15">
      <c r="A147" s="917"/>
      <c r="B147" s="917"/>
      <c r="C147" s="918"/>
      <c r="D147" s="919"/>
      <c r="E147" s="920"/>
      <c r="F147" s="921"/>
      <c r="G147" s="922"/>
      <c r="H147" s="922"/>
      <c r="I147" s="922"/>
      <c r="J147" s="923"/>
      <c r="K147" s="923"/>
      <c r="L147" s="924"/>
      <c r="M147" s="925"/>
      <c r="N147" s="925"/>
      <c r="O147" s="925"/>
      <c r="P147" s="925"/>
      <c r="Q147" s="925"/>
      <c r="R147" s="926"/>
      <c r="S147" s="926"/>
      <c r="T147" s="925"/>
      <c r="U147" s="925"/>
      <c r="V147" s="925"/>
      <c r="W147" s="925"/>
      <c r="X147" s="925"/>
      <c r="Y147" s="925"/>
      <c r="Z147" s="925"/>
      <c r="AA147" s="925"/>
      <c r="AB147" s="925"/>
      <c r="AC147" s="925"/>
      <c r="AD147" s="925"/>
      <c r="AE147" s="925"/>
      <c r="AF147" s="925"/>
      <c r="AG147" s="925"/>
      <c r="AH147" s="925"/>
      <c r="AI147" s="925"/>
      <c r="AJ147" s="925"/>
      <c r="AK147" s="925"/>
      <c r="AL147" s="925"/>
      <c r="AM147" s="925"/>
      <c r="AN147" s="925"/>
      <c r="AO147" s="925"/>
      <c r="AP147" s="925"/>
      <c r="AQ147" s="925"/>
      <c r="AR147" s="925"/>
      <c r="AS147" s="925"/>
      <c r="AT147" s="925"/>
      <c r="AU147" s="925"/>
      <c r="AV147" s="925"/>
      <c r="AW147" s="925"/>
      <c r="AX147" s="925"/>
      <c r="AY147" s="925"/>
      <c r="AZ147" s="925"/>
      <c r="BA147" s="925"/>
      <c r="BB147" s="925"/>
      <c r="BC147" s="925"/>
      <c r="BD147" s="925"/>
      <c r="BE147" s="925"/>
      <c r="BF147" s="925"/>
      <c r="BG147" s="925"/>
      <c r="BH147" s="925"/>
      <c r="BI147" s="925"/>
      <c r="BJ147" s="925"/>
      <c r="BK147" s="925"/>
      <c r="BL147" s="925"/>
      <c r="BM147" s="925"/>
      <c r="BN147" s="925"/>
      <c r="BO147" s="925"/>
      <c r="BP147" s="925"/>
      <c r="BQ147" s="925"/>
      <c r="BR147" s="925"/>
      <c r="BS147" s="925"/>
      <c r="BT147" s="925"/>
      <c r="BU147" s="925"/>
      <c r="BV147" s="925"/>
      <c r="BW147" s="925"/>
      <c r="BX147" s="925"/>
      <c r="BY147" s="925"/>
      <c r="BZ147" s="925"/>
      <c r="CA147" s="925"/>
      <c r="CB147" s="925"/>
      <c r="CC147" s="925"/>
      <c r="CD147" s="925"/>
      <c r="CE147" s="925"/>
      <c r="CF147" s="925"/>
      <c r="CG147" s="925"/>
      <c r="CH147" s="925"/>
      <c r="CI147" s="925"/>
      <c r="CJ147" s="925"/>
      <c r="CK147" s="925"/>
      <c r="CL147" s="925"/>
      <c r="CM147" s="925"/>
      <c r="CN147" s="925"/>
      <c r="CO147" s="925"/>
      <c r="CP147" s="925"/>
      <c r="CQ147" s="925"/>
      <c r="CR147" s="925"/>
      <c r="CS147" s="925"/>
      <c r="CT147" s="925"/>
      <c r="CU147" s="925"/>
      <c r="CV147" s="925"/>
      <c r="CW147" s="925"/>
      <c r="CX147" s="925"/>
      <c r="CY147" s="925"/>
      <c r="CZ147" s="925"/>
      <c r="DA147" s="925"/>
      <c r="DB147" s="925"/>
      <c r="DC147" s="925"/>
      <c r="DD147" s="925"/>
      <c r="DE147" s="925"/>
      <c r="DF147" s="925"/>
      <c r="DG147" s="925"/>
      <c r="DH147" s="925"/>
      <c r="DI147" s="925"/>
      <c r="DJ147" s="925"/>
      <c r="DK147" s="925"/>
      <c r="DL147" s="925"/>
      <c r="DM147" s="925"/>
      <c r="DN147" s="925"/>
      <c r="DO147" s="925"/>
      <c r="DP147" s="925"/>
      <c r="DQ147" s="925"/>
      <c r="DR147" s="925"/>
      <c r="DS147" s="925"/>
      <c r="DT147" s="925"/>
      <c r="DU147" s="925"/>
      <c r="DV147" s="925"/>
      <c r="DW147" s="925"/>
      <c r="DX147" s="925"/>
      <c r="DY147" s="925"/>
      <c r="DZ147" s="925"/>
      <c r="EA147" s="925"/>
      <c r="EB147" s="925"/>
      <c r="EC147" s="925"/>
      <c r="ED147" s="925"/>
      <c r="EE147" s="925"/>
      <c r="EF147" s="925"/>
      <c r="EG147" s="446"/>
    </row>
    <row r="148" spans="1:137" ht="13" x14ac:dyDescent="0.15">
      <c r="A148" s="917"/>
      <c r="B148" s="917"/>
      <c r="C148" s="918"/>
      <c r="D148" s="919"/>
      <c r="E148" s="920"/>
      <c r="F148" s="921"/>
      <c r="G148" s="922"/>
      <c r="H148" s="922"/>
      <c r="I148" s="922"/>
      <c r="J148" s="923"/>
      <c r="K148" s="923"/>
      <c r="L148" s="924"/>
      <c r="M148" s="925"/>
      <c r="N148" s="925"/>
      <c r="O148" s="925"/>
      <c r="P148" s="925"/>
      <c r="Q148" s="925"/>
      <c r="R148" s="926"/>
      <c r="S148" s="926"/>
      <c r="T148" s="925"/>
      <c r="U148" s="925"/>
      <c r="V148" s="925"/>
      <c r="W148" s="925"/>
      <c r="X148" s="925"/>
      <c r="Y148" s="925"/>
      <c r="Z148" s="925"/>
      <c r="AA148" s="925"/>
      <c r="AB148" s="925"/>
      <c r="AC148" s="925"/>
      <c r="AD148" s="925"/>
      <c r="AE148" s="925"/>
      <c r="AF148" s="925"/>
      <c r="AG148" s="925"/>
      <c r="AH148" s="925"/>
      <c r="AI148" s="925"/>
      <c r="AJ148" s="925"/>
      <c r="AK148" s="925"/>
      <c r="AL148" s="925"/>
      <c r="AM148" s="925"/>
      <c r="AN148" s="925"/>
      <c r="AO148" s="925"/>
      <c r="AP148" s="925"/>
      <c r="AQ148" s="925"/>
      <c r="AR148" s="925"/>
      <c r="AS148" s="925"/>
      <c r="AT148" s="925"/>
      <c r="AU148" s="925"/>
      <c r="AV148" s="925"/>
      <c r="AW148" s="925"/>
      <c r="AX148" s="925"/>
      <c r="AY148" s="925"/>
      <c r="AZ148" s="925"/>
      <c r="BA148" s="925"/>
      <c r="BB148" s="925"/>
      <c r="BC148" s="925"/>
      <c r="BD148" s="925"/>
      <c r="BE148" s="925"/>
      <c r="BF148" s="925"/>
      <c r="BG148" s="925"/>
      <c r="BH148" s="925"/>
      <c r="BI148" s="925"/>
      <c r="BJ148" s="925"/>
      <c r="BK148" s="925"/>
      <c r="BL148" s="925"/>
      <c r="BM148" s="925"/>
      <c r="BN148" s="925"/>
      <c r="BO148" s="925"/>
      <c r="BP148" s="925"/>
      <c r="BQ148" s="925"/>
      <c r="BR148" s="925"/>
      <c r="BS148" s="925"/>
      <c r="BT148" s="925"/>
      <c r="BU148" s="925"/>
      <c r="BV148" s="925"/>
      <c r="BW148" s="925"/>
      <c r="BX148" s="925"/>
      <c r="BY148" s="925"/>
      <c r="BZ148" s="925"/>
      <c r="CA148" s="925"/>
      <c r="CB148" s="925"/>
      <c r="CC148" s="925"/>
      <c r="CD148" s="925"/>
      <c r="CE148" s="925"/>
      <c r="CF148" s="925"/>
      <c r="CG148" s="925"/>
      <c r="CH148" s="925"/>
      <c r="CI148" s="925"/>
      <c r="CJ148" s="925"/>
      <c r="CK148" s="925"/>
      <c r="CL148" s="925"/>
      <c r="CM148" s="925"/>
      <c r="CN148" s="925"/>
      <c r="CO148" s="925"/>
      <c r="CP148" s="925"/>
      <c r="CQ148" s="925"/>
      <c r="CR148" s="925"/>
      <c r="CS148" s="925"/>
      <c r="CT148" s="925"/>
      <c r="CU148" s="925"/>
      <c r="CV148" s="925"/>
      <c r="CW148" s="925"/>
      <c r="CX148" s="925"/>
      <c r="CY148" s="925"/>
      <c r="CZ148" s="925"/>
      <c r="DA148" s="925"/>
      <c r="DB148" s="925"/>
      <c r="DC148" s="925"/>
      <c r="DD148" s="925"/>
      <c r="DE148" s="925"/>
      <c r="DF148" s="925"/>
      <c r="DG148" s="925"/>
      <c r="DH148" s="925"/>
      <c r="DI148" s="925"/>
      <c r="DJ148" s="925"/>
      <c r="DK148" s="925"/>
      <c r="DL148" s="925"/>
      <c r="DM148" s="925"/>
      <c r="DN148" s="925"/>
      <c r="DO148" s="925"/>
      <c r="DP148" s="925"/>
      <c r="DQ148" s="925"/>
      <c r="DR148" s="925"/>
      <c r="DS148" s="925"/>
      <c r="DT148" s="925"/>
      <c r="DU148" s="925"/>
      <c r="DV148" s="925"/>
      <c r="DW148" s="925"/>
      <c r="DX148" s="925"/>
      <c r="DY148" s="925"/>
      <c r="DZ148" s="925"/>
      <c r="EA148" s="925"/>
      <c r="EB148" s="925"/>
      <c r="EC148" s="925"/>
      <c r="ED148" s="925"/>
      <c r="EE148" s="925"/>
      <c r="EF148" s="925"/>
      <c r="EG148" s="446"/>
    </row>
    <row r="149" spans="1:137" ht="13" x14ac:dyDescent="0.15">
      <c r="A149" s="917"/>
      <c r="B149" s="917"/>
      <c r="C149" s="918"/>
      <c r="D149" s="919"/>
      <c r="E149" s="920"/>
      <c r="F149" s="921"/>
      <c r="G149" s="922"/>
      <c r="H149" s="922"/>
      <c r="I149" s="922"/>
      <c r="J149" s="923"/>
      <c r="K149" s="923"/>
      <c r="L149" s="924"/>
      <c r="M149" s="925"/>
      <c r="N149" s="925"/>
      <c r="O149" s="925"/>
      <c r="P149" s="925"/>
      <c r="Q149" s="925"/>
      <c r="R149" s="926"/>
      <c r="S149" s="926"/>
      <c r="T149" s="925"/>
      <c r="U149" s="925"/>
      <c r="V149" s="925"/>
      <c r="W149" s="925"/>
      <c r="X149" s="925"/>
      <c r="Y149" s="925"/>
      <c r="Z149" s="925"/>
      <c r="AA149" s="925"/>
      <c r="AB149" s="925"/>
      <c r="AC149" s="925"/>
      <c r="AD149" s="925"/>
      <c r="AE149" s="925"/>
      <c r="AF149" s="925"/>
      <c r="AG149" s="925"/>
      <c r="AH149" s="925"/>
      <c r="AI149" s="925"/>
      <c r="AJ149" s="925"/>
      <c r="AK149" s="925"/>
      <c r="AL149" s="925"/>
      <c r="AM149" s="925"/>
      <c r="AN149" s="925"/>
      <c r="AO149" s="925"/>
      <c r="AP149" s="925"/>
      <c r="AQ149" s="925"/>
      <c r="AR149" s="925"/>
      <c r="AS149" s="925"/>
      <c r="AT149" s="925"/>
      <c r="AU149" s="925"/>
      <c r="AV149" s="925"/>
      <c r="AW149" s="925"/>
      <c r="AX149" s="925"/>
      <c r="AY149" s="925"/>
      <c r="AZ149" s="925"/>
      <c r="BA149" s="925"/>
      <c r="BB149" s="925"/>
      <c r="BC149" s="925"/>
      <c r="BD149" s="925"/>
      <c r="BE149" s="925"/>
      <c r="BF149" s="925"/>
      <c r="BG149" s="925"/>
      <c r="BH149" s="925"/>
      <c r="BI149" s="925"/>
      <c r="BJ149" s="925"/>
      <c r="BK149" s="925"/>
      <c r="BL149" s="925"/>
      <c r="BM149" s="925"/>
      <c r="BN149" s="925"/>
      <c r="BO149" s="925"/>
      <c r="BP149" s="925"/>
      <c r="BQ149" s="925"/>
      <c r="BR149" s="925"/>
      <c r="BS149" s="925"/>
      <c r="BT149" s="925"/>
      <c r="BU149" s="925"/>
      <c r="BV149" s="925"/>
      <c r="BW149" s="925"/>
      <c r="BX149" s="925"/>
      <c r="BY149" s="925"/>
      <c r="BZ149" s="925"/>
      <c r="CA149" s="925"/>
      <c r="CB149" s="925"/>
      <c r="CC149" s="925"/>
      <c r="CD149" s="925"/>
      <c r="CE149" s="925"/>
      <c r="CF149" s="925"/>
      <c r="CG149" s="925"/>
      <c r="CH149" s="925"/>
      <c r="CI149" s="925"/>
      <c r="CJ149" s="925"/>
      <c r="CK149" s="925"/>
      <c r="CL149" s="925"/>
      <c r="CM149" s="925"/>
      <c r="CN149" s="925"/>
      <c r="CO149" s="925"/>
      <c r="CP149" s="925"/>
      <c r="CQ149" s="925"/>
      <c r="CR149" s="925"/>
      <c r="CS149" s="925"/>
      <c r="CT149" s="925"/>
      <c r="CU149" s="925"/>
      <c r="CV149" s="925"/>
      <c r="CW149" s="925"/>
      <c r="CX149" s="925"/>
      <c r="CY149" s="925"/>
      <c r="CZ149" s="925"/>
      <c r="DA149" s="925"/>
      <c r="DB149" s="925"/>
      <c r="DC149" s="925"/>
      <c r="DD149" s="925"/>
      <c r="DE149" s="925"/>
      <c r="DF149" s="925"/>
      <c r="DG149" s="925"/>
      <c r="DH149" s="925"/>
      <c r="DI149" s="925"/>
      <c r="DJ149" s="925"/>
      <c r="DK149" s="925"/>
      <c r="DL149" s="925"/>
      <c r="DM149" s="925"/>
      <c r="DN149" s="925"/>
      <c r="DO149" s="925"/>
      <c r="DP149" s="925"/>
      <c r="DQ149" s="925"/>
      <c r="DR149" s="925"/>
      <c r="DS149" s="925"/>
      <c r="DT149" s="925"/>
      <c r="DU149" s="925"/>
      <c r="DV149" s="925"/>
      <c r="DW149" s="925"/>
      <c r="DX149" s="925"/>
      <c r="DY149" s="925"/>
      <c r="DZ149" s="925"/>
      <c r="EA149" s="925"/>
      <c r="EB149" s="925"/>
      <c r="EC149" s="925"/>
      <c r="ED149" s="925"/>
      <c r="EE149" s="925"/>
      <c r="EF149" s="925"/>
      <c r="EG149" s="446"/>
    </row>
    <row r="150" spans="1:137" ht="13" x14ac:dyDescent="0.15">
      <c r="A150" s="917"/>
      <c r="B150" s="917"/>
      <c r="C150" s="918"/>
      <c r="D150" s="919"/>
      <c r="E150" s="920"/>
      <c r="F150" s="921"/>
      <c r="G150" s="922"/>
      <c r="H150" s="922"/>
      <c r="I150" s="922"/>
      <c r="J150" s="923"/>
      <c r="K150" s="923"/>
      <c r="L150" s="924"/>
      <c r="M150" s="925"/>
      <c r="N150" s="925"/>
      <c r="O150" s="925"/>
      <c r="P150" s="925"/>
      <c r="Q150" s="925"/>
      <c r="R150" s="926"/>
      <c r="S150" s="926"/>
      <c r="T150" s="925"/>
      <c r="U150" s="925"/>
      <c r="V150" s="925"/>
      <c r="W150" s="925"/>
      <c r="X150" s="925"/>
      <c r="Y150" s="925"/>
      <c r="Z150" s="925"/>
      <c r="AA150" s="925"/>
      <c r="AB150" s="925"/>
      <c r="AC150" s="925"/>
      <c r="AD150" s="925"/>
      <c r="AE150" s="925"/>
      <c r="AF150" s="925"/>
      <c r="AG150" s="925"/>
      <c r="AH150" s="925"/>
      <c r="AI150" s="925"/>
      <c r="AJ150" s="925"/>
      <c r="AK150" s="925"/>
      <c r="AL150" s="925"/>
      <c r="AM150" s="925"/>
      <c r="AN150" s="925"/>
      <c r="AO150" s="925"/>
      <c r="AP150" s="925"/>
      <c r="AQ150" s="925"/>
      <c r="AR150" s="925"/>
      <c r="AS150" s="925"/>
      <c r="AT150" s="925"/>
      <c r="AU150" s="925"/>
      <c r="AV150" s="925"/>
      <c r="AW150" s="925"/>
      <c r="AX150" s="925"/>
      <c r="AY150" s="925"/>
      <c r="AZ150" s="925"/>
      <c r="BA150" s="925"/>
      <c r="BB150" s="925"/>
      <c r="BC150" s="925"/>
      <c r="BD150" s="925"/>
      <c r="BE150" s="925"/>
      <c r="BF150" s="925"/>
      <c r="BG150" s="925"/>
      <c r="BH150" s="925"/>
      <c r="BI150" s="925"/>
      <c r="BJ150" s="925"/>
      <c r="BK150" s="925"/>
      <c r="BL150" s="925"/>
      <c r="BM150" s="925"/>
      <c r="BN150" s="925"/>
      <c r="BO150" s="925"/>
      <c r="BP150" s="925"/>
      <c r="BQ150" s="925"/>
      <c r="BR150" s="925"/>
      <c r="BS150" s="925"/>
      <c r="BT150" s="925"/>
      <c r="BU150" s="925"/>
      <c r="BV150" s="925"/>
      <c r="BW150" s="925"/>
      <c r="BX150" s="925"/>
      <c r="BY150" s="925"/>
      <c r="BZ150" s="925"/>
      <c r="CA150" s="925"/>
      <c r="CB150" s="925"/>
      <c r="CC150" s="925"/>
      <c r="CD150" s="925"/>
      <c r="CE150" s="925"/>
      <c r="CF150" s="925"/>
      <c r="CG150" s="925"/>
      <c r="CH150" s="925"/>
      <c r="CI150" s="925"/>
      <c r="CJ150" s="925"/>
      <c r="CK150" s="925"/>
      <c r="CL150" s="925"/>
      <c r="CM150" s="925"/>
      <c r="CN150" s="925"/>
      <c r="CO150" s="925"/>
      <c r="CP150" s="925"/>
      <c r="CQ150" s="925"/>
      <c r="CR150" s="925"/>
      <c r="CS150" s="925"/>
      <c r="CT150" s="925"/>
      <c r="CU150" s="925"/>
      <c r="CV150" s="925"/>
      <c r="CW150" s="925"/>
      <c r="CX150" s="925"/>
      <c r="CY150" s="925"/>
      <c r="CZ150" s="925"/>
      <c r="DA150" s="925"/>
      <c r="DB150" s="925"/>
      <c r="DC150" s="925"/>
      <c r="DD150" s="925"/>
      <c r="DE150" s="925"/>
      <c r="DF150" s="925"/>
      <c r="DG150" s="925"/>
      <c r="DH150" s="925"/>
      <c r="DI150" s="925"/>
      <c r="DJ150" s="925"/>
      <c r="DK150" s="925"/>
      <c r="DL150" s="925"/>
      <c r="DM150" s="925"/>
      <c r="DN150" s="925"/>
      <c r="DO150" s="925"/>
      <c r="DP150" s="925"/>
      <c r="DQ150" s="925"/>
      <c r="DR150" s="925"/>
      <c r="DS150" s="925"/>
      <c r="DT150" s="925"/>
      <c r="DU150" s="925"/>
      <c r="DV150" s="925"/>
      <c r="DW150" s="925"/>
      <c r="DX150" s="925"/>
      <c r="DY150" s="925"/>
      <c r="DZ150" s="925"/>
      <c r="EA150" s="925"/>
      <c r="EB150" s="925"/>
      <c r="EC150" s="925"/>
      <c r="ED150" s="925"/>
      <c r="EE150" s="925"/>
      <c r="EF150" s="925"/>
      <c r="EG150" s="446"/>
    </row>
    <row r="151" spans="1:137" ht="13" x14ac:dyDescent="0.15">
      <c r="A151" s="917"/>
      <c r="B151" s="917"/>
      <c r="C151" s="918"/>
      <c r="D151" s="919"/>
      <c r="E151" s="920"/>
      <c r="F151" s="921"/>
      <c r="G151" s="922"/>
      <c r="H151" s="922"/>
      <c r="I151" s="922"/>
      <c r="J151" s="923"/>
      <c r="K151" s="923"/>
      <c r="L151" s="924"/>
      <c r="M151" s="925"/>
      <c r="N151" s="925"/>
      <c r="O151" s="925"/>
      <c r="P151" s="925"/>
      <c r="Q151" s="925"/>
      <c r="R151" s="926"/>
      <c r="S151" s="926"/>
      <c r="T151" s="925"/>
      <c r="U151" s="925"/>
      <c r="V151" s="925"/>
      <c r="W151" s="925"/>
      <c r="X151" s="925"/>
      <c r="Y151" s="925"/>
      <c r="Z151" s="925"/>
      <c r="AA151" s="925"/>
      <c r="AB151" s="925"/>
      <c r="AC151" s="925"/>
      <c r="AD151" s="925"/>
      <c r="AE151" s="925"/>
      <c r="AF151" s="925"/>
      <c r="AG151" s="925"/>
      <c r="AH151" s="925"/>
      <c r="AI151" s="925"/>
      <c r="AJ151" s="925"/>
      <c r="AK151" s="925"/>
      <c r="AL151" s="925"/>
      <c r="AM151" s="925"/>
      <c r="AN151" s="925"/>
      <c r="AO151" s="925"/>
      <c r="AP151" s="925"/>
      <c r="AQ151" s="925"/>
      <c r="AR151" s="925"/>
      <c r="AS151" s="925"/>
      <c r="AT151" s="925"/>
      <c r="AU151" s="925"/>
      <c r="AV151" s="925"/>
      <c r="AW151" s="925"/>
      <c r="AX151" s="925"/>
      <c r="AY151" s="925"/>
      <c r="AZ151" s="925"/>
      <c r="BA151" s="925"/>
      <c r="BB151" s="925"/>
      <c r="BC151" s="925"/>
      <c r="BD151" s="925"/>
      <c r="BE151" s="925"/>
      <c r="BF151" s="925"/>
      <c r="BG151" s="925"/>
      <c r="BH151" s="925"/>
      <c r="BI151" s="925"/>
      <c r="BJ151" s="925"/>
      <c r="BK151" s="925"/>
      <c r="BL151" s="925"/>
      <c r="BM151" s="925"/>
      <c r="BN151" s="925"/>
      <c r="BO151" s="925"/>
      <c r="BP151" s="925"/>
      <c r="BQ151" s="925"/>
      <c r="BR151" s="925"/>
      <c r="BS151" s="925"/>
      <c r="BT151" s="925"/>
      <c r="BU151" s="925"/>
      <c r="BV151" s="925"/>
      <c r="BW151" s="925"/>
      <c r="BX151" s="925"/>
      <c r="BY151" s="925"/>
      <c r="BZ151" s="925"/>
      <c r="CA151" s="925"/>
      <c r="CB151" s="925"/>
      <c r="CC151" s="925"/>
      <c r="CD151" s="925"/>
      <c r="CE151" s="925"/>
      <c r="CF151" s="925"/>
      <c r="CG151" s="925"/>
      <c r="CH151" s="925"/>
      <c r="CI151" s="925"/>
      <c r="CJ151" s="925"/>
      <c r="CK151" s="925"/>
      <c r="CL151" s="925"/>
      <c r="CM151" s="925"/>
      <c r="CN151" s="925"/>
      <c r="CO151" s="925"/>
      <c r="CP151" s="925"/>
      <c r="CQ151" s="925"/>
      <c r="CR151" s="925"/>
      <c r="CS151" s="925"/>
      <c r="CT151" s="925"/>
      <c r="CU151" s="925"/>
      <c r="CV151" s="925"/>
      <c r="CW151" s="925"/>
      <c r="CX151" s="925"/>
      <c r="CY151" s="925"/>
      <c r="CZ151" s="925"/>
      <c r="DA151" s="925"/>
      <c r="DB151" s="925"/>
      <c r="DC151" s="925"/>
      <c r="DD151" s="925"/>
      <c r="DE151" s="925"/>
      <c r="DF151" s="925"/>
      <c r="DG151" s="925"/>
      <c r="DH151" s="925"/>
      <c r="DI151" s="925"/>
      <c r="DJ151" s="925"/>
      <c r="DK151" s="925"/>
      <c r="DL151" s="925"/>
      <c r="DM151" s="925"/>
      <c r="DN151" s="925"/>
      <c r="DO151" s="925"/>
      <c r="DP151" s="925"/>
      <c r="DQ151" s="925"/>
      <c r="DR151" s="925"/>
      <c r="DS151" s="925"/>
      <c r="DT151" s="925"/>
      <c r="DU151" s="925"/>
      <c r="DV151" s="925"/>
      <c r="DW151" s="925"/>
      <c r="DX151" s="925"/>
      <c r="DY151" s="925"/>
      <c r="DZ151" s="925"/>
      <c r="EA151" s="925"/>
      <c r="EB151" s="925"/>
      <c r="EC151" s="925"/>
      <c r="ED151" s="925"/>
      <c r="EE151" s="925"/>
      <c r="EF151" s="925"/>
      <c r="EG151" s="446"/>
    </row>
    <row r="152" spans="1:137" ht="13" x14ac:dyDescent="0.15">
      <c r="A152" s="917"/>
      <c r="B152" s="917"/>
      <c r="C152" s="918"/>
      <c r="D152" s="919"/>
      <c r="E152" s="920"/>
      <c r="F152" s="921"/>
      <c r="G152" s="922"/>
      <c r="H152" s="922"/>
      <c r="I152" s="922"/>
      <c r="J152" s="923"/>
      <c r="K152" s="923"/>
      <c r="L152" s="924"/>
      <c r="M152" s="925"/>
      <c r="N152" s="925"/>
      <c r="O152" s="925"/>
      <c r="P152" s="925"/>
      <c r="Q152" s="925"/>
      <c r="R152" s="926"/>
      <c r="S152" s="926"/>
      <c r="T152" s="925"/>
      <c r="U152" s="925"/>
      <c r="V152" s="925"/>
      <c r="W152" s="925"/>
      <c r="X152" s="925"/>
      <c r="Y152" s="925"/>
      <c r="Z152" s="925"/>
      <c r="AA152" s="925"/>
      <c r="AB152" s="925"/>
      <c r="AC152" s="925"/>
      <c r="AD152" s="925"/>
      <c r="AE152" s="925"/>
      <c r="AF152" s="925"/>
      <c r="AG152" s="925"/>
      <c r="AH152" s="925"/>
      <c r="AI152" s="925"/>
      <c r="AJ152" s="925"/>
      <c r="AK152" s="925"/>
      <c r="AL152" s="925"/>
      <c r="AM152" s="925"/>
      <c r="AN152" s="925"/>
      <c r="AO152" s="925"/>
      <c r="AP152" s="925"/>
      <c r="AQ152" s="925"/>
      <c r="AR152" s="925"/>
      <c r="AS152" s="925"/>
      <c r="AT152" s="925"/>
      <c r="AU152" s="925"/>
      <c r="AV152" s="925"/>
      <c r="AW152" s="925"/>
      <c r="AX152" s="925"/>
      <c r="AY152" s="925"/>
      <c r="AZ152" s="925"/>
      <c r="BA152" s="925"/>
      <c r="BB152" s="925"/>
      <c r="BC152" s="925"/>
      <c r="BD152" s="925"/>
      <c r="BE152" s="925"/>
      <c r="BF152" s="925"/>
      <c r="BG152" s="925"/>
      <c r="BH152" s="925"/>
      <c r="BI152" s="925"/>
      <c r="BJ152" s="925"/>
      <c r="BK152" s="925"/>
      <c r="BL152" s="925"/>
      <c r="BM152" s="925"/>
      <c r="BN152" s="925"/>
      <c r="BO152" s="925"/>
      <c r="BP152" s="925"/>
      <c r="BQ152" s="925"/>
      <c r="BR152" s="925"/>
      <c r="BS152" s="925"/>
      <c r="BT152" s="925"/>
      <c r="BU152" s="925"/>
      <c r="BV152" s="925"/>
      <c r="BW152" s="925"/>
      <c r="BX152" s="925"/>
      <c r="BY152" s="925"/>
      <c r="BZ152" s="925"/>
      <c r="CA152" s="925"/>
      <c r="CB152" s="925"/>
      <c r="CC152" s="925"/>
      <c r="CD152" s="925"/>
      <c r="CE152" s="925"/>
      <c r="CF152" s="925"/>
      <c r="CG152" s="925"/>
      <c r="CH152" s="925"/>
      <c r="CI152" s="925"/>
      <c r="CJ152" s="925"/>
      <c r="CK152" s="925"/>
      <c r="CL152" s="925"/>
      <c r="CM152" s="925"/>
      <c r="CN152" s="925"/>
      <c r="CO152" s="925"/>
      <c r="CP152" s="925"/>
      <c r="CQ152" s="925"/>
      <c r="CR152" s="925"/>
      <c r="CS152" s="925"/>
      <c r="CT152" s="925"/>
      <c r="CU152" s="925"/>
      <c r="CV152" s="925"/>
      <c r="CW152" s="925"/>
      <c r="CX152" s="925"/>
      <c r="CY152" s="925"/>
      <c r="CZ152" s="925"/>
      <c r="DA152" s="925"/>
      <c r="DB152" s="925"/>
      <c r="DC152" s="925"/>
      <c r="DD152" s="925"/>
      <c r="DE152" s="925"/>
      <c r="DF152" s="925"/>
      <c r="DG152" s="925"/>
      <c r="DH152" s="925"/>
      <c r="DI152" s="925"/>
      <c r="DJ152" s="925"/>
      <c r="DK152" s="925"/>
      <c r="DL152" s="925"/>
      <c r="DM152" s="925"/>
      <c r="DN152" s="925"/>
      <c r="DO152" s="925"/>
      <c r="DP152" s="925"/>
      <c r="DQ152" s="925"/>
      <c r="DR152" s="925"/>
      <c r="DS152" s="925"/>
      <c r="DT152" s="925"/>
      <c r="DU152" s="925"/>
      <c r="DV152" s="925"/>
      <c r="DW152" s="925"/>
      <c r="DX152" s="925"/>
      <c r="DY152" s="925"/>
      <c r="DZ152" s="925"/>
      <c r="EA152" s="925"/>
      <c r="EB152" s="925"/>
      <c r="EC152" s="925"/>
      <c r="ED152" s="925"/>
      <c r="EE152" s="925"/>
      <c r="EF152" s="925"/>
      <c r="EG152" s="446"/>
    </row>
    <row r="153" spans="1:137" ht="13" x14ac:dyDescent="0.15">
      <c r="A153" s="917"/>
      <c r="B153" s="917"/>
      <c r="C153" s="918"/>
      <c r="D153" s="919"/>
      <c r="E153" s="920"/>
      <c r="F153" s="921"/>
      <c r="G153" s="922"/>
      <c r="H153" s="922"/>
      <c r="I153" s="922"/>
      <c r="J153" s="923"/>
      <c r="K153" s="923"/>
      <c r="L153" s="924"/>
      <c r="M153" s="925"/>
      <c r="N153" s="925"/>
      <c r="O153" s="925"/>
      <c r="P153" s="925"/>
      <c r="Q153" s="925"/>
      <c r="R153" s="926"/>
      <c r="S153" s="926"/>
      <c r="T153" s="925"/>
      <c r="U153" s="925"/>
      <c r="V153" s="925"/>
      <c r="W153" s="925"/>
      <c r="X153" s="925"/>
      <c r="Y153" s="925"/>
      <c r="Z153" s="925"/>
      <c r="AA153" s="925"/>
      <c r="AB153" s="925"/>
      <c r="AC153" s="925"/>
      <c r="AD153" s="925"/>
      <c r="AE153" s="925"/>
      <c r="AF153" s="925"/>
      <c r="AG153" s="925"/>
      <c r="AH153" s="925"/>
      <c r="AI153" s="925"/>
      <c r="AJ153" s="925"/>
      <c r="AK153" s="925"/>
      <c r="AL153" s="925"/>
      <c r="AM153" s="925"/>
      <c r="AN153" s="925"/>
      <c r="AO153" s="925"/>
      <c r="AP153" s="925"/>
      <c r="AQ153" s="925"/>
      <c r="AR153" s="925"/>
      <c r="AS153" s="925"/>
      <c r="AT153" s="925"/>
      <c r="AU153" s="925"/>
      <c r="AV153" s="925"/>
      <c r="AW153" s="925"/>
      <c r="AX153" s="925"/>
      <c r="AY153" s="925"/>
      <c r="AZ153" s="925"/>
      <c r="BA153" s="925"/>
      <c r="BB153" s="925"/>
      <c r="BC153" s="925"/>
      <c r="BD153" s="925"/>
      <c r="BE153" s="925"/>
      <c r="BF153" s="925"/>
      <c r="BG153" s="925"/>
      <c r="BH153" s="925"/>
      <c r="BI153" s="925"/>
      <c r="BJ153" s="925"/>
      <c r="BK153" s="925"/>
      <c r="BL153" s="925"/>
      <c r="BM153" s="925"/>
      <c r="BN153" s="925"/>
      <c r="BO153" s="925"/>
      <c r="BP153" s="925"/>
      <c r="BQ153" s="925"/>
      <c r="BR153" s="925"/>
      <c r="BS153" s="925"/>
      <c r="BT153" s="925"/>
      <c r="BU153" s="925"/>
      <c r="BV153" s="925"/>
      <c r="BW153" s="925"/>
      <c r="BX153" s="925"/>
      <c r="BY153" s="925"/>
      <c r="BZ153" s="925"/>
      <c r="CA153" s="925"/>
      <c r="CB153" s="925"/>
      <c r="CC153" s="925"/>
      <c r="CD153" s="925"/>
      <c r="CE153" s="925"/>
      <c r="CF153" s="925"/>
      <c r="CG153" s="925"/>
      <c r="CH153" s="925"/>
      <c r="CI153" s="925"/>
      <c r="CJ153" s="925"/>
      <c r="CK153" s="925"/>
      <c r="CL153" s="925"/>
      <c r="CM153" s="925"/>
      <c r="CN153" s="925"/>
      <c r="CO153" s="925"/>
      <c r="CP153" s="925"/>
      <c r="CQ153" s="925"/>
      <c r="CR153" s="925"/>
      <c r="CS153" s="925"/>
      <c r="CT153" s="925"/>
      <c r="CU153" s="925"/>
      <c r="CV153" s="925"/>
      <c r="CW153" s="925"/>
      <c r="CX153" s="925"/>
      <c r="CY153" s="925"/>
      <c r="CZ153" s="925"/>
      <c r="DA153" s="925"/>
      <c r="DB153" s="925"/>
      <c r="DC153" s="925"/>
      <c r="DD153" s="925"/>
      <c r="DE153" s="925"/>
      <c r="DF153" s="925"/>
      <c r="DG153" s="925"/>
      <c r="DH153" s="925"/>
      <c r="DI153" s="925"/>
      <c r="DJ153" s="925"/>
      <c r="DK153" s="925"/>
      <c r="DL153" s="925"/>
      <c r="DM153" s="925"/>
      <c r="DN153" s="925"/>
      <c r="DO153" s="925"/>
      <c r="DP153" s="925"/>
      <c r="DQ153" s="925"/>
      <c r="DR153" s="925"/>
      <c r="DS153" s="925"/>
      <c r="DT153" s="925"/>
      <c r="DU153" s="925"/>
      <c r="DV153" s="925"/>
      <c r="DW153" s="925"/>
      <c r="DX153" s="925"/>
      <c r="DY153" s="925"/>
      <c r="DZ153" s="925"/>
      <c r="EA153" s="925"/>
      <c r="EB153" s="925"/>
      <c r="EC153" s="925"/>
      <c r="ED153" s="925"/>
      <c r="EE153" s="925"/>
      <c r="EF153" s="925"/>
      <c r="EG153" s="446"/>
    </row>
    <row r="154" spans="1:137" ht="13" x14ac:dyDescent="0.15">
      <c r="A154" s="917"/>
      <c r="B154" s="917"/>
      <c r="C154" s="918"/>
      <c r="D154" s="919"/>
      <c r="E154" s="920"/>
      <c r="F154" s="921"/>
      <c r="G154" s="922"/>
      <c r="H154" s="922"/>
      <c r="I154" s="922"/>
      <c r="J154" s="923"/>
      <c r="K154" s="923"/>
      <c r="L154" s="924"/>
      <c r="M154" s="925"/>
      <c r="N154" s="925"/>
      <c r="O154" s="925"/>
      <c r="P154" s="925"/>
      <c r="Q154" s="925"/>
      <c r="R154" s="926"/>
      <c r="S154" s="926"/>
      <c r="T154" s="925"/>
      <c r="U154" s="925"/>
      <c r="V154" s="925"/>
      <c r="W154" s="925"/>
      <c r="X154" s="925"/>
      <c r="Y154" s="925"/>
      <c r="Z154" s="925"/>
      <c r="AA154" s="925"/>
      <c r="AB154" s="925"/>
      <c r="AC154" s="925"/>
      <c r="AD154" s="925"/>
      <c r="AE154" s="925"/>
      <c r="AF154" s="925"/>
      <c r="AG154" s="925"/>
      <c r="AH154" s="925"/>
      <c r="AI154" s="925"/>
      <c r="AJ154" s="925"/>
      <c r="AK154" s="925"/>
      <c r="AL154" s="925"/>
      <c r="AM154" s="925"/>
      <c r="AN154" s="925"/>
      <c r="AO154" s="925"/>
      <c r="AP154" s="925"/>
      <c r="AQ154" s="925"/>
      <c r="AR154" s="925"/>
      <c r="AS154" s="925"/>
      <c r="AT154" s="925"/>
      <c r="AU154" s="925"/>
      <c r="AV154" s="925"/>
      <c r="AW154" s="925"/>
      <c r="AX154" s="925"/>
      <c r="AY154" s="925"/>
      <c r="AZ154" s="925"/>
      <c r="BA154" s="925"/>
      <c r="BB154" s="925"/>
      <c r="BC154" s="925"/>
      <c r="BD154" s="925"/>
      <c r="BE154" s="925"/>
      <c r="BF154" s="925"/>
      <c r="BG154" s="925"/>
      <c r="BH154" s="925"/>
      <c r="BI154" s="925"/>
      <c r="BJ154" s="925"/>
      <c r="BK154" s="925"/>
      <c r="BL154" s="925"/>
      <c r="BM154" s="925"/>
      <c r="BN154" s="925"/>
      <c r="BO154" s="925"/>
      <c r="BP154" s="925"/>
      <c r="BQ154" s="925"/>
      <c r="BR154" s="925"/>
      <c r="BS154" s="925"/>
      <c r="BT154" s="925"/>
      <c r="BU154" s="925"/>
      <c r="BV154" s="925"/>
      <c r="BW154" s="925"/>
      <c r="BX154" s="925"/>
      <c r="BY154" s="925"/>
      <c r="BZ154" s="925"/>
      <c r="CA154" s="925"/>
      <c r="CB154" s="925"/>
      <c r="CC154" s="925"/>
      <c r="CD154" s="925"/>
      <c r="CE154" s="925"/>
      <c r="CF154" s="925"/>
      <c r="CG154" s="925"/>
      <c r="CH154" s="925"/>
      <c r="CI154" s="925"/>
      <c r="CJ154" s="925"/>
      <c r="CK154" s="925"/>
      <c r="CL154" s="925"/>
      <c r="CM154" s="925"/>
      <c r="CN154" s="925"/>
      <c r="CO154" s="925"/>
      <c r="CP154" s="925"/>
      <c r="CQ154" s="925"/>
      <c r="CR154" s="925"/>
      <c r="CS154" s="925"/>
      <c r="CT154" s="925"/>
      <c r="CU154" s="925"/>
      <c r="CV154" s="925"/>
      <c r="CW154" s="925"/>
      <c r="CX154" s="925"/>
      <c r="CY154" s="925"/>
      <c r="CZ154" s="925"/>
      <c r="DA154" s="925"/>
      <c r="DB154" s="925"/>
      <c r="DC154" s="925"/>
      <c r="DD154" s="925"/>
      <c r="DE154" s="925"/>
      <c r="DF154" s="925"/>
      <c r="DG154" s="925"/>
      <c r="DH154" s="925"/>
      <c r="DI154" s="925"/>
      <c r="DJ154" s="925"/>
      <c r="DK154" s="925"/>
      <c r="DL154" s="925"/>
      <c r="DM154" s="925"/>
      <c r="DN154" s="925"/>
      <c r="DO154" s="925"/>
      <c r="DP154" s="925"/>
      <c r="DQ154" s="925"/>
      <c r="DR154" s="925"/>
      <c r="DS154" s="925"/>
      <c r="DT154" s="925"/>
      <c r="DU154" s="925"/>
      <c r="DV154" s="925"/>
      <c r="DW154" s="925"/>
      <c r="DX154" s="925"/>
      <c r="DY154" s="925"/>
      <c r="DZ154" s="925"/>
      <c r="EA154" s="925"/>
      <c r="EB154" s="925"/>
      <c r="EC154" s="925"/>
      <c r="ED154" s="925"/>
      <c r="EE154" s="925"/>
      <c r="EF154" s="925"/>
      <c r="EG154" s="446"/>
    </row>
    <row r="155" spans="1:137" ht="13" x14ac:dyDescent="0.15">
      <c r="A155" s="917"/>
      <c r="B155" s="917"/>
      <c r="C155" s="918"/>
      <c r="D155" s="919"/>
      <c r="E155" s="920"/>
      <c r="F155" s="921"/>
      <c r="G155" s="922"/>
      <c r="H155" s="922"/>
      <c r="I155" s="922"/>
      <c r="J155" s="923"/>
      <c r="K155" s="923"/>
      <c r="L155" s="924"/>
      <c r="M155" s="925"/>
      <c r="N155" s="925"/>
      <c r="O155" s="925"/>
      <c r="P155" s="925"/>
      <c r="Q155" s="925"/>
      <c r="R155" s="926"/>
      <c r="S155" s="926"/>
      <c r="T155" s="925"/>
      <c r="U155" s="925"/>
      <c r="V155" s="925"/>
      <c r="W155" s="925"/>
      <c r="X155" s="925"/>
      <c r="Y155" s="925"/>
      <c r="Z155" s="925"/>
      <c r="AA155" s="925"/>
      <c r="AB155" s="925"/>
      <c r="AC155" s="925"/>
      <c r="AD155" s="925"/>
      <c r="AE155" s="925"/>
      <c r="AF155" s="925"/>
      <c r="AG155" s="925"/>
      <c r="AH155" s="925"/>
      <c r="AI155" s="925"/>
      <c r="AJ155" s="925"/>
      <c r="AK155" s="925"/>
      <c r="AL155" s="925"/>
      <c r="AM155" s="925"/>
      <c r="AN155" s="925"/>
      <c r="AO155" s="925"/>
      <c r="AP155" s="925"/>
      <c r="AQ155" s="925"/>
      <c r="AR155" s="925"/>
      <c r="AS155" s="925"/>
      <c r="AT155" s="925"/>
      <c r="AU155" s="925"/>
      <c r="AV155" s="925"/>
      <c r="AW155" s="925"/>
      <c r="AX155" s="925"/>
      <c r="AY155" s="925"/>
      <c r="AZ155" s="925"/>
      <c r="BA155" s="925"/>
      <c r="BB155" s="925"/>
      <c r="BC155" s="925"/>
      <c r="BD155" s="925"/>
      <c r="BE155" s="925"/>
      <c r="BF155" s="925"/>
      <c r="BG155" s="925"/>
      <c r="BH155" s="925"/>
      <c r="BI155" s="925"/>
      <c r="BJ155" s="925"/>
      <c r="BK155" s="925"/>
      <c r="BL155" s="925"/>
      <c r="BM155" s="925"/>
      <c r="BN155" s="925"/>
      <c r="BO155" s="925"/>
      <c r="BP155" s="925"/>
      <c r="BQ155" s="925"/>
      <c r="BR155" s="925"/>
      <c r="BS155" s="925"/>
      <c r="BT155" s="925"/>
      <c r="BU155" s="925"/>
      <c r="BV155" s="925"/>
      <c r="BW155" s="925"/>
      <c r="BX155" s="925"/>
      <c r="BY155" s="925"/>
      <c r="BZ155" s="925"/>
      <c r="CA155" s="925"/>
      <c r="CB155" s="925"/>
      <c r="CC155" s="925"/>
      <c r="CD155" s="925"/>
      <c r="CE155" s="925"/>
      <c r="CF155" s="925"/>
      <c r="CG155" s="925"/>
      <c r="CH155" s="925"/>
      <c r="CI155" s="925"/>
      <c r="CJ155" s="925"/>
      <c r="CK155" s="925"/>
      <c r="CL155" s="925"/>
      <c r="CM155" s="925"/>
      <c r="CN155" s="925"/>
      <c r="CO155" s="925"/>
      <c r="CP155" s="925"/>
      <c r="CQ155" s="925"/>
      <c r="CR155" s="925"/>
      <c r="CS155" s="925"/>
      <c r="CT155" s="925"/>
      <c r="CU155" s="925"/>
      <c r="CV155" s="925"/>
      <c r="CW155" s="925"/>
      <c r="CX155" s="925"/>
      <c r="CY155" s="925"/>
      <c r="CZ155" s="925"/>
      <c r="DA155" s="925"/>
      <c r="DB155" s="925"/>
      <c r="DC155" s="925"/>
      <c r="DD155" s="925"/>
      <c r="DE155" s="925"/>
      <c r="DF155" s="925"/>
      <c r="DG155" s="925"/>
      <c r="DH155" s="925"/>
      <c r="DI155" s="925"/>
      <c r="DJ155" s="925"/>
      <c r="DK155" s="925"/>
      <c r="DL155" s="925"/>
      <c r="DM155" s="925"/>
      <c r="DN155" s="925"/>
      <c r="DO155" s="925"/>
      <c r="DP155" s="925"/>
      <c r="DQ155" s="925"/>
      <c r="DR155" s="925"/>
      <c r="DS155" s="925"/>
      <c r="DT155" s="925"/>
      <c r="DU155" s="925"/>
      <c r="DV155" s="925"/>
      <c r="DW155" s="925"/>
      <c r="DX155" s="925"/>
      <c r="DY155" s="925"/>
      <c r="DZ155" s="925"/>
      <c r="EA155" s="925"/>
      <c r="EB155" s="925"/>
      <c r="EC155" s="925"/>
      <c r="ED155" s="925"/>
      <c r="EE155" s="925"/>
      <c r="EF155" s="925"/>
      <c r="EG155" s="446"/>
    </row>
    <row r="156" spans="1:137" ht="15.75" customHeight="1" x14ac:dyDescent="0.15">
      <c r="L156" s="446"/>
      <c r="M156" s="446"/>
      <c r="N156" s="446"/>
      <c r="O156" s="446"/>
      <c r="P156" s="446"/>
      <c r="Q156" s="925"/>
      <c r="T156" s="446"/>
      <c r="U156" s="446"/>
      <c r="V156" s="446"/>
      <c r="W156" s="446"/>
      <c r="X156" s="446"/>
      <c r="Y156" s="446"/>
      <c r="Z156" s="446"/>
      <c r="AA156" s="446"/>
      <c r="AB156" s="446"/>
      <c r="AC156" s="446"/>
      <c r="AD156" s="446"/>
      <c r="AE156" s="446"/>
      <c r="AF156" s="446"/>
      <c r="AG156" s="446"/>
      <c r="AH156" s="446"/>
      <c r="AI156" s="446"/>
      <c r="AJ156" s="446"/>
      <c r="AK156" s="446"/>
      <c r="AL156" s="446"/>
      <c r="AM156" s="446"/>
      <c r="AN156" s="446"/>
      <c r="AO156" s="446"/>
      <c r="AP156" s="446"/>
      <c r="AQ156" s="446"/>
      <c r="AR156" s="446"/>
      <c r="AS156" s="446"/>
      <c r="AT156" s="446"/>
      <c r="AU156" s="446"/>
      <c r="AV156" s="446"/>
      <c r="AW156" s="446"/>
      <c r="AX156" s="446"/>
      <c r="AY156" s="446"/>
      <c r="AZ156" s="446"/>
      <c r="BA156" s="446"/>
      <c r="BB156" s="446"/>
      <c r="BC156" s="446"/>
      <c r="BD156" s="446"/>
      <c r="BE156" s="446"/>
      <c r="BF156" s="446"/>
      <c r="BG156" s="446"/>
      <c r="BH156" s="446"/>
      <c r="BI156" s="446"/>
      <c r="BJ156" s="446"/>
      <c r="BK156" s="446"/>
      <c r="BL156" s="446"/>
      <c r="BM156" s="446"/>
      <c r="BN156" s="446"/>
      <c r="BO156" s="446"/>
      <c r="BP156" s="446"/>
      <c r="BQ156" s="446"/>
      <c r="BR156" s="446"/>
      <c r="BS156" s="446"/>
      <c r="BT156" s="446"/>
      <c r="BU156" s="446"/>
      <c r="BV156" s="446"/>
      <c r="BW156" s="446"/>
      <c r="BX156" s="446"/>
      <c r="BY156" s="446"/>
      <c r="BZ156" s="446"/>
      <c r="CA156" s="446"/>
      <c r="CB156" s="446"/>
      <c r="CC156" s="446"/>
      <c r="CD156" s="446"/>
      <c r="CE156" s="446"/>
      <c r="CF156" s="446"/>
      <c r="CG156" s="446"/>
      <c r="CH156" s="446"/>
      <c r="CI156" s="446"/>
      <c r="CJ156" s="446"/>
      <c r="CK156" s="446"/>
      <c r="CL156" s="446"/>
      <c r="CM156" s="446"/>
      <c r="CN156" s="446"/>
      <c r="CO156" s="446"/>
      <c r="CP156" s="446"/>
      <c r="CQ156" s="446"/>
      <c r="CR156" s="446"/>
      <c r="CS156" s="446"/>
      <c r="CT156" s="446"/>
      <c r="CU156" s="446"/>
      <c r="CV156" s="446"/>
      <c r="CW156" s="446"/>
      <c r="CX156" s="446"/>
      <c r="CY156" s="446"/>
      <c r="CZ156" s="446"/>
      <c r="DA156" s="446"/>
      <c r="DB156" s="446"/>
      <c r="DC156" s="446"/>
      <c r="DD156" s="446"/>
      <c r="DE156" s="446"/>
      <c r="DF156" s="446"/>
      <c r="DG156" s="446"/>
      <c r="DH156" s="446"/>
      <c r="DI156" s="446"/>
      <c r="DJ156" s="446"/>
      <c r="DK156" s="446"/>
      <c r="DL156" s="446"/>
      <c r="DM156" s="446"/>
      <c r="DN156" s="446"/>
      <c r="DO156" s="446"/>
      <c r="DP156" s="446"/>
      <c r="DQ156" s="446"/>
      <c r="DR156" s="446"/>
      <c r="DS156" s="446"/>
      <c r="DT156" s="446"/>
      <c r="DU156" s="446"/>
      <c r="DV156" s="446"/>
      <c r="DW156" s="446"/>
      <c r="DX156" s="446"/>
      <c r="DY156" s="446"/>
      <c r="DZ156" s="446"/>
      <c r="EA156" s="446"/>
      <c r="EB156" s="446"/>
      <c r="EC156" s="446"/>
      <c r="ED156" s="446"/>
      <c r="EE156" s="446"/>
      <c r="EF156" s="446"/>
      <c r="EG156" s="446"/>
    </row>
    <row r="157" spans="1:137" ht="15.75" customHeight="1" x14ac:dyDescent="0.15">
      <c r="Q157" s="925"/>
    </row>
    <row r="158" spans="1:137" ht="15.75" customHeight="1" x14ac:dyDescent="0.15">
      <c r="Q158" s="925"/>
    </row>
    <row r="159" spans="1:137" ht="15.75" customHeight="1" x14ac:dyDescent="0.15">
      <c r="Q159" s="925"/>
    </row>
    <row r="160" spans="1:137" ht="15.75" customHeight="1" x14ac:dyDescent="0.15">
      <c r="Q160" s="925"/>
    </row>
    <row r="161" spans="17:17" ht="15.75" customHeight="1" x14ac:dyDescent="0.15">
      <c r="Q161" s="925"/>
    </row>
    <row r="162" spans="17:17" ht="15.75" customHeight="1" x14ac:dyDescent="0.15">
      <c r="Q162" s="925"/>
    </row>
    <row r="163" spans="17:17" ht="15.75" customHeight="1" x14ac:dyDescent="0.15">
      <c r="Q163" s="925"/>
    </row>
    <row r="164" spans="17:17" ht="15.75" customHeight="1" x14ac:dyDescent="0.15">
      <c r="Q164" s="925"/>
    </row>
    <row r="165" spans="17:17" ht="15.75" customHeight="1" x14ac:dyDescent="0.15">
      <c r="Q165" s="925"/>
    </row>
    <row r="166" spans="17:17" ht="15.75" customHeight="1" x14ac:dyDescent="0.15">
      <c r="Q166" s="446"/>
    </row>
  </sheetData>
  <mergeCells count="102">
    <mergeCell ref="CG12:CJ12"/>
    <mergeCell ref="AS10:AV10"/>
    <mergeCell ref="AW10:AZ10"/>
    <mergeCell ref="AO12:AR12"/>
    <mergeCell ref="AS12:AV12"/>
    <mergeCell ref="I8:I11"/>
    <mergeCell ref="J8:J11"/>
    <mergeCell ref="K8:K11"/>
    <mergeCell ref="CK10:CN10"/>
    <mergeCell ref="AW12:AZ12"/>
    <mergeCell ref="BA12:BD12"/>
    <mergeCell ref="BE12:BH12"/>
    <mergeCell ref="BI12:BL12"/>
    <mergeCell ref="BM12:BP12"/>
    <mergeCell ref="AW9:AZ9"/>
    <mergeCell ref="BA9:BD9"/>
    <mergeCell ref="BE9:BH9"/>
    <mergeCell ref="CO10:CR10"/>
    <mergeCell ref="BI10:BL10"/>
    <mergeCell ref="BM10:BP10"/>
    <mergeCell ref="BQ10:BT10"/>
    <mergeCell ref="BU10:BX10"/>
    <mergeCell ref="BY10:CB10"/>
    <mergeCell ref="CC10:CF10"/>
    <mergeCell ref="CG10:CJ10"/>
    <mergeCell ref="CW10:CZ10"/>
    <mergeCell ref="DA10:DD10"/>
    <mergeCell ref="DE10:DH10"/>
    <mergeCell ref="DI10:DL10"/>
    <mergeCell ref="DM10:DP10"/>
    <mergeCell ref="DQ10:DT10"/>
    <mergeCell ref="DU9:DX9"/>
    <mergeCell ref="DY9:EB9"/>
    <mergeCell ref="CW9:CZ9"/>
    <mergeCell ref="DA9:DD9"/>
    <mergeCell ref="DE9:DH9"/>
    <mergeCell ref="DI9:DL9"/>
    <mergeCell ref="DU10:DX10"/>
    <mergeCell ref="EC9:EF9"/>
    <mergeCell ref="EC10:EF10"/>
    <mergeCell ref="Q10:T10"/>
    <mergeCell ref="U10:X10"/>
    <mergeCell ref="AC9:AF9"/>
    <mergeCell ref="BY9:CB9"/>
    <mergeCell ref="CC9:CF9"/>
    <mergeCell ref="CG9:CJ9"/>
    <mergeCell ref="CK9:CN9"/>
    <mergeCell ref="CO9:CR9"/>
    <mergeCell ref="DM9:DP9"/>
    <mergeCell ref="DQ9:DT9"/>
    <mergeCell ref="CS9:CV9"/>
    <mergeCell ref="BA10:BD10"/>
    <mergeCell ref="BE10:BH10"/>
    <mergeCell ref="Y10:AB10"/>
    <mergeCell ref="BI9:BL9"/>
    <mergeCell ref="BM9:BP9"/>
    <mergeCell ref="BQ9:BT9"/>
    <mergeCell ref="BU9:BX9"/>
    <mergeCell ref="AG9:AJ9"/>
    <mergeCell ref="AK9:AN9"/>
    <mergeCell ref="DY10:EB10"/>
    <mergeCell ref="CS10:CV10"/>
    <mergeCell ref="A1:C1"/>
    <mergeCell ref="E2:H2"/>
    <mergeCell ref="Q9:T9"/>
    <mergeCell ref="U9:X9"/>
    <mergeCell ref="Y9:AB9"/>
    <mergeCell ref="D12:H12"/>
    <mergeCell ref="A10:C10"/>
    <mergeCell ref="AO9:AR9"/>
    <mergeCell ref="AS9:AV9"/>
    <mergeCell ref="M10:P10"/>
    <mergeCell ref="AC10:AF10"/>
    <mergeCell ref="AG10:AJ10"/>
    <mergeCell ref="AK10:AN10"/>
    <mergeCell ref="AO10:AR10"/>
    <mergeCell ref="M12:P12"/>
    <mergeCell ref="M9:P9"/>
    <mergeCell ref="A13:C13"/>
    <mergeCell ref="EC12:EF12"/>
    <mergeCell ref="CK12:CN12"/>
    <mergeCell ref="CO12:CR12"/>
    <mergeCell ref="CS12:CV12"/>
    <mergeCell ref="CW12:CZ12"/>
    <mergeCell ref="DA12:DD12"/>
    <mergeCell ref="DE12:DH12"/>
    <mergeCell ref="DI12:DL12"/>
    <mergeCell ref="J12:L12"/>
    <mergeCell ref="Q12:T12"/>
    <mergeCell ref="U12:X12"/>
    <mergeCell ref="Y12:AB12"/>
    <mergeCell ref="DM12:DP12"/>
    <mergeCell ref="DQ12:DT12"/>
    <mergeCell ref="DU12:DX12"/>
    <mergeCell ref="DY12:EB12"/>
    <mergeCell ref="AC12:AF12"/>
    <mergeCell ref="BQ12:BT12"/>
    <mergeCell ref="BU12:BX12"/>
    <mergeCell ref="BY12:CB12"/>
    <mergeCell ref="CC12:CF12"/>
    <mergeCell ref="AG12:AJ12"/>
    <mergeCell ref="AK12:AN12"/>
  </mergeCells>
  <conditionalFormatting sqref="M12 Q12:EF12 M13:EF13">
    <cfRule type="expression" dxfId="1423" priority="575">
      <formula>$T13="CN"</formula>
    </cfRule>
  </conditionalFormatting>
  <conditionalFormatting sqref="M49 M11:EF11 M12 Q12:EF12 M9:M10 Q10:EF10 M50:P50 M13:EF13 Q9 U9 Y9 AC9 AG9 AK9 AO9 AS9 AW9 BA9 BE9 BI9 BM9 BQ9 BU9 BY9 CC9 CG9 CK9 CO9 CS9 CW9 DA9 DE9 DI9 DM9 DQ9 DU9 DY9 EC9 Q59 N51:P58 M1:EF8 M14:P48">
    <cfRule type="expression" dxfId="1422" priority="576">
      <formula>M$11=TODAY()</formula>
    </cfRule>
  </conditionalFormatting>
  <conditionalFormatting sqref="M49 M11:EF11 M12 Q12:EF12 M9:M10 Q10:EF10 M50:P50 M13:EF13 Q9 U9 Y9 AC9 AG9 AK9 AO9 AS9 AW9 BA9 BE9 BI9 BM9 BQ9 BU9 BY9 CC9 CG9 CK9 CO9 CS9 CW9 DA9 DE9 DI9 DM9 DQ9 DU9 DY9 EC9 Q59 N51:P58 M1:EF8 M14:P48">
    <cfRule type="expression" dxfId="1421" priority="577">
      <formula>M$12="CN"</formula>
    </cfRule>
  </conditionalFormatting>
  <conditionalFormatting sqref="Q49 Q50:T50 Q14:T40 R51:T58 Q48:T48 R47:T47 Q41:Q46 S41:T46">
    <cfRule type="expression" dxfId="1420" priority="293">
      <formula>Q$11=TODAY()</formula>
    </cfRule>
  </conditionalFormatting>
  <conditionalFormatting sqref="Q49 Q50:T50 Q14:T40 R51:T58 Q48:T48 R47:T47 Q41:Q46 S41:T46">
    <cfRule type="expression" dxfId="1419" priority="294">
      <formula>Q$12="CN"</formula>
    </cfRule>
  </conditionalFormatting>
  <conditionalFormatting sqref="EC49 EC50:EF50 ED51:EF58">
    <cfRule type="expression" dxfId="1418" priority="235">
      <formula>EC$11=TODAY()</formula>
    </cfRule>
  </conditionalFormatting>
  <conditionalFormatting sqref="U49 U50:X50 U48:X48 V51:X58">
    <cfRule type="expression" dxfId="1417" priority="291">
      <formula>U$11=TODAY()</formula>
    </cfRule>
  </conditionalFormatting>
  <conditionalFormatting sqref="U49 U50:X50 U48:X48 V51:X58">
    <cfRule type="expression" dxfId="1416" priority="292">
      <formula>U$12="CN"</formula>
    </cfRule>
  </conditionalFormatting>
  <conditionalFormatting sqref="Y49 Y50:AB50 Z51:AB58">
    <cfRule type="expression" dxfId="1415" priority="289">
      <formula>Y$11=TODAY()</formula>
    </cfRule>
  </conditionalFormatting>
  <conditionalFormatting sqref="Y49 Y50:AB50 Z51:AB58">
    <cfRule type="expression" dxfId="1414" priority="290">
      <formula>Y$12="CN"</formula>
    </cfRule>
  </conditionalFormatting>
  <conditionalFormatting sqref="AC49 AC50:AF50 AD51:AF58">
    <cfRule type="expression" dxfId="1413" priority="287">
      <formula>AC$11=TODAY()</formula>
    </cfRule>
  </conditionalFormatting>
  <conditionalFormatting sqref="AC49 AC50:AF50 AD51:AF58">
    <cfRule type="expression" dxfId="1412" priority="288">
      <formula>AC$12="CN"</formula>
    </cfRule>
  </conditionalFormatting>
  <conditionalFormatting sqref="AG49 AG50:AJ50 AH51:AJ58">
    <cfRule type="expression" dxfId="1411" priority="285">
      <formula>AG$11=TODAY()</formula>
    </cfRule>
  </conditionalFormatting>
  <conditionalFormatting sqref="AG49 AG50:AJ50 AH51:AJ58">
    <cfRule type="expression" dxfId="1410" priority="286">
      <formula>AG$12="CN"</formula>
    </cfRule>
  </conditionalFormatting>
  <conditionalFormatting sqref="AK49 AK50:AN50 AL51:AN58">
    <cfRule type="expression" dxfId="1409" priority="283">
      <formula>AK$11=TODAY()</formula>
    </cfRule>
  </conditionalFormatting>
  <conditionalFormatting sqref="AK49 AK50:AN50 AL51:AN58">
    <cfRule type="expression" dxfId="1408" priority="284">
      <formula>AK$12="CN"</formula>
    </cfRule>
  </conditionalFormatting>
  <conditionalFormatting sqref="AO49 AO50:AR50 AP51:AR58">
    <cfRule type="expression" dxfId="1407" priority="281">
      <formula>AO$11=TODAY()</formula>
    </cfRule>
  </conditionalFormatting>
  <conditionalFormatting sqref="AO49 AO50:AR50 AP51:AR58">
    <cfRule type="expression" dxfId="1406" priority="282">
      <formula>AO$12="CN"</formula>
    </cfRule>
  </conditionalFormatting>
  <conditionalFormatting sqref="AS49 AS50:AV50 AT51:AV58">
    <cfRule type="expression" dxfId="1405" priority="279">
      <formula>AS$11=TODAY()</formula>
    </cfRule>
  </conditionalFormatting>
  <conditionalFormatting sqref="AS49 AS50:AV50 AT51:AV58">
    <cfRule type="expression" dxfId="1404" priority="280">
      <formula>AS$12="CN"</formula>
    </cfRule>
  </conditionalFormatting>
  <conditionalFormatting sqref="AW49 AW50:AZ50 AX51:AZ58">
    <cfRule type="expression" dxfId="1403" priority="277">
      <formula>AW$11=TODAY()</formula>
    </cfRule>
  </conditionalFormatting>
  <conditionalFormatting sqref="AW49 AW50:AZ50 AX51:AZ58">
    <cfRule type="expression" dxfId="1402" priority="278">
      <formula>AW$12="CN"</formula>
    </cfRule>
  </conditionalFormatting>
  <conditionalFormatting sqref="BA49 BA50:BD50 BB51:BD58">
    <cfRule type="expression" dxfId="1401" priority="275">
      <formula>BA$11=TODAY()</formula>
    </cfRule>
  </conditionalFormatting>
  <conditionalFormatting sqref="BA49 BA50:BD50 BB51:BD58">
    <cfRule type="expression" dxfId="1400" priority="276">
      <formula>BA$12="CN"</formula>
    </cfRule>
  </conditionalFormatting>
  <conditionalFormatting sqref="BE49 BE50:BH50 BF51:BH58">
    <cfRule type="expression" dxfId="1399" priority="273">
      <formula>BE$11=TODAY()</formula>
    </cfRule>
  </conditionalFormatting>
  <conditionalFormatting sqref="BE49 BE50:BH50 BF51:BH58">
    <cfRule type="expression" dxfId="1398" priority="274">
      <formula>BE$12="CN"</formula>
    </cfRule>
  </conditionalFormatting>
  <conditionalFormatting sqref="BI49 BI50:BL50 BJ51:BL58">
    <cfRule type="expression" dxfId="1397" priority="271">
      <formula>BI$11=TODAY()</formula>
    </cfRule>
  </conditionalFormatting>
  <conditionalFormatting sqref="BI49 BI50:BL50 BJ51:BL58">
    <cfRule type="expression" dxfId="1396" priority="272">
      <formula>BI$12="CN"</formula>
    </cfRule>
  </conditionalFormatting>
  <conditionalFormatting sqref="BM49 BM50:BP50 BN51:BP58">
    <cfRule type="expression" dxfId="1395" priority="269">
      <formula>BM$11=TODAY()</formula>
    </cfRule>
  </conditionalFormatting>
  <conditionalFormatting sqref="BM49 BM50:BP50 BN51:BP58">
    <cfRule type="expression" dxfId="1394" priority="270">
      <formula>BM$12="CN"</formula>
    </cfRule>
  </conditionalFormatting>
  <conditionalFormatting sqref="BQ49 BQ50:BT50 BR51:BT58">
    <cfRule type="expression" dxfId="1393" priority="267">
      <formula>BQ$11=TODAY()</formula>
    </cfRule>
  </conditionalFormatting>
  <conditionalFormatting sqref="BQ49 BQ50:BT50 BR51:BT58">
    <cfRule type="expression" dxfId="1392" priority="268">
      <formula>BQ$12="CN"</formula>
    </cfRule>
  </conditionalFormatting>
  <conditionalFormatting sqref="BU49 BU50:BX50 BV51:BX58">
    <cfRule type="expression" dxfId="1391" priority="265">
      <formula>BU$11=TODAY()</formula>
    </cfRule>
  </conditionalFormatting>
  <conditionalFormatting sqref="BU49 BU50:BX50 BV51:BX58">
    <cfRule type="expression" dxfId="1390" priority="266">
      <formula>BU$12="CN"</formula>
    </cfRule>
  </conditionalFormatting>
  <conditionalFormatting sqref="BY49 BY50:CB50 BZ51:CB58">
    <cfRule type="expression" dxfId="1389" priority="263">
      <formula>BY$11=TODAY()</formula>
    </cfRule>
  </conditionalFormatting>
  <conditionalFormatting sqref="BY49 BY50:CB50 BZ51:CB58">
    <cfRule type="expression" dxfId="1388" priority="264">
      <formula>BY$12="CN"</formula>
    </cfRule>
  </conditionalFormatting>
  <conditionalFormatting sqref="CC49 CC50:CF50 CD51:CF58">
    <cfRule type="expression" dxfId="1387" priority="261">
      <formula>CC$11=TODAY()</formula>
    </cfRule>
  </conditionalFormatting>
  <conditionalFormatting sqref="CC49 CC50:CF50 CD51:CF58">
    <cfRule type="expression" dxfId="1386" priority="262">
      <formula>CC$12="CN"</formula>
    </cfRule>
  </conditionalFormatting>
  <conditionalFormatting sqref="CG49 CG50:CJ50 CH51:CJ58">
    <cfRule type="expression" dxfId="1385" priority="259">
      <formula>CG$11=TODAY()</formula>
    </cfRule>
  </conditionalFormatting>
  <conditionalFormatting sqref="CG49 CG50:CJ50 CH51:CJ58">
    <cfRule type="expression" dxfId="1384" priority="260">
      <formula>CG$12="CN"</formula>
    </cfRule>
  </conditionalFormatting>
  <conditionalFormatting sqref="CK49 CK50:CN50 CL51:CN58">
    <cfRule type="expression" dxfId="1383" priority="257">
      <formula>CK$11=TODAY()</formula>
    </cfRule>
  </conditionalFormatting>
  <conditionalFormatting sqref="CK49 CK50:CN50 CL51:CN58">
    <cfRule type="expression" dxfId="1382" priority="258">
      <formula>CK$12="CN"</formula>
    </cfRule>
  </conditionalFormatting>
  <conditionalFormatting sqref="CO49 CO50:CR50 CP51:CR58">
    <cfRule type="expression" dxfId="1381" priority="255">
      <formula>CO$11=TODAY()</formula>
    </cfRule>
  </conditionalFormatting>
  <conditionalFormatting sqref="CO49 CO50:CR50 CP51:CR58">
    <cfRule type="expression" dxfId="1380" priority="256">
      <formula>CO$12="CN"</formula>
    </cfRule>
  </conditionalFormatting>
  <conditionalFormatting sqref="CS49 CS50:CV50 CT51:CV58">
    <cfRule type="expression" dxfId="1379" priority="253">
      <formula>CS$11=TODAY()</formula>
    </cfRule>
  </conditionalFormatting>
  <conditionalFormatting sqref="CS49 CS50:CV50 CT51:CV58">
    <cfRule type="expression" dxfId="1378" priority="254">
      <formula>CS$12="CN"</formula>
    </cfRule>
  </conditionalFormatting>
  <conditionalFormatting sqref="CW49 CW50:CZ50 CX51:CZ58">
    <cfRule type="expression" dxfId="1377" priority="251">
      <formula>CW$11=TODAY()</formula>
    </cfRule>
  </conditionalFormatting>
  <conditionalFormatting sqref="CW49 CW50:CZ50 CX51:CZ58">
    <cfRule type="expression" dxfId="1376" priority="252">
      <formula>CW$12="CN"</formula>
    </cfRule>
  </conditionalFormatting>
  <conditionalFormatting sqref="DA49 DA50:DD50 DB51:DD58">
    <cfRule type="expression" dxfId="1375" priority="249">
      <formula>DA$11=TODAY()</formula>
    </cfRule>
  </conditionalFormatting>
  <conditionalFormatting sqref="DA49 DA50:DD50 DB51:DD58">
    <cfRule type="expression" dxfId="1374" priority="250">
      <formula>DA$12="CN"</formula>
    </cfRule>
  </conditionalFormatting>
  <conditionalFormatting sqref="DE49 DE50:DH50 DF51:DH58">
    <cfRule type="expression" dxfId="1373" priority="247">
      <formula>DE$11=TODAY()</formula>
    </cfRule>
  </conditionalFormatting>
  <conditionalFormatting sqref="DE49 DE50:DH50 DF51:DH58">
    <cfRule type="expression" dxfId="1372" priority="248">
      <formula>DE$12="CN"</formula>
    </cfRule>
  </conditionalFormatting>
  <conditionalFormatting sqref="DI49 DI50:DL50 DJ51:DL58">
    <cfRule type="expression" dxfId="1371" priority="245">
      <formula>DI$11=TODAY()</formula>
    </cfRule>
  </conditionalFormatting>
  <conditionalFormatting sqref="DI49 DI50:DL50 DJ51:DL58">
    <cfRule type="expression" dxfId="1370" priority="246">
      <formula>DI$12="CN"</formula>
    </cfRule>
  </conditionalFormatting>
  <conditionalFormatting sqref="DM49 DM50:DP50 DN51:DP58">
    <cfRule type="expression" dxfId="1369" priority="243">
      <formula>DM$11=TODAY()</formula>
    </cfRule>
  </conditionalFormatting>
  <conditionalFormatting sqref="DM49 DM50:DP50 DN51:DP58">
    <cfRule type="expression" dxfId="1368" priority="244">
      <formula>DM$12="CN"</formula>
    </cfRule>
  </conditionalFormatting>
  <conditionalFormatting sqref="DQ49 DQ50:DT50 DR51:DT58">
    <cfRule type="expression" dxfId="1367" priority="241">
      <formula>DQ$11=TODAY()</formula>
    </cfRule>
  </conditionalFormatting>
  <conditionalFormatting sqref="DQ49 DQ50:DT50 DR51:DT58">
    <cfRule type="expression" dxfId="1366" priority="242">
      <formula>DQ$12="CN"</formula>
    </cfRule>
  </conditionalFormatting>
  <conditionalFormatting sqref="DU49 DU50:DX50 DV51:DX58">
    <cfRule type="expression" dxfId="1365" priority="239">
      <formula>DU$11=TODAY()</formula>
    </cfRule>
  </conditionalFormatting>
  <conditionalFormatting sqref="DU49 DU50:DX50 DV51:DX58">
    <cfRule type="expression" dxfId="1364" priority="240">
      <formula>DU$12="CN"</formula>
    </cfRule>
  </conditionalFormatting>
  <conditionalFormatting sqref="DY49 DY50:EB50 DZ51:EB58">
    <cfRule type="expression" dxfId="1363" priority="237">
      <formula>DY$11=TODAY()</formula>
    </cfRule>
  </conditionalFormatting>
  <conditionalFormatting sqref="DY49 DY50:EB50 DZ51:EB58">
    <cfRule type="expression" dxfId="1362" priority="238">
      <formula>DY$12="CN"</formula>
    </cfRule>
  </conditionalFormatting>
  <conditionalFormatting sqref="EC49 EC50:EF50 ED51:EF58">
    <cfRule type="expression" dxfId="1361" priority="236">
      <formula>EC$12="CN"</formula>
    </cfRule>
  </conditionalFormatting>
  <conditionalFormatting sqref="Q47">
    <cfRule type="expression" dxfId="1360" priority="233">
      <formula>Q$11=TODAY()</formula>
    </cfRule>
  </conditionalFormatting>
  <conditionalFormatting sqref="Q47">
    <cfRule type="expression" dxfId="1359" priority="234">
      <formula>Q$12="CN"</formula>
    </cfRule>
  </conditionalFormatting>
  <conditionalFormatting sqref="R41:R46">
    <cfRule type="expression" dxfId="1358" priority="231">
      <formula>R$11=TODAY()</formula>
    </cfRule>
  </conditionalFormatting>
  <conditionalFormatting sqref="R41:R46">
    <cfRule type="expression" dxfId="1357" priority="232">
      <formula>R$12="CN"</formula>
    </cfRule>
  </conditionalFormatting>
  <conditionalFormatting sqref="U14:X40 V47:X47 U41:U46 W41:X46">
    <cfRule type="expression" dxfId="1356" priority="229">
      <formula>U$11=TODAY()</formula>
    </cfRule>
  </conditionalFormatting>
  <conditionalFormatting sqref="U14:X40 V47:X47 U41:U46 W41:X46">
    <cfRule type="expression" dxfId="1355" priority="230">
      <formula>U$12="CN"</formula>
    </cfRule>
  </conditionalFormatting>
  <conditionalFormatting sqref="U47">
    <cfRule type="expression" dxfId="1354" priority="227">
      <formula>U$11=TODAY()</formula>
    </cfRule>
  </conditionalFormatting>
  <conditionalFormatting sqref="U47">
    <cfRule type="expression" dxfId="1353" priority="228">
      <formula>U$12="CN"</formula>
    </cfRule>
  </conditionalFormatting>
  <conditionalFormatting sqref="V41:V46">
    <cfRule type="expression" dxfId="1352" priority="225">
      <formula>V$11=TODAY()</formula>
    </cfRule>
  </conditionalFormatting>
  <conditionalFormatting sqref="V41:V46">
    <cfRule type="expression" dxfId="1351" priority="226">
      <formula>V$12="CN"</formula>
    </cfRule>
  </conditionalFormatting>
  <conditionalFormatting sqref="Y48:AB48">
    <cfRule type="expression" dxfId="1350" priority="223">
      <formula>Y$11=TODAY()</formula>
    </cfRule>
  </conditionalFormatting>
  <conditionalFormatting sqref="Y48:AB48">
    <cfRule type="expression" dxfId="1349" priority="224">
      <formula>Y$12="CN"</formula>
    </cfRule>
  </conditionalFormatting>
  <conditionalFormatting sqref="Y14:AB40 Z47:AB47 Y41:Y46 AA41:AB46">
    <cfRule type="expression" dxfId="1348" priority="221">
      <formula>Y$11=TODAY()</formula>
    </cfRule>
  </conditionalFormatting>
  <conditionalFormatting sqref="Y14:AB40 Z47:AB47 Y41:Y46 AA41:AB46">
    <cfRule type="expression" dxfId="1347" priority="222">
      <formula>Y$12="CN"</formula>
    </cfRule>
  </conditionalFormatting>
  <conditionalFormatting sqref="Y47">
    <cfRule type="expression" dxfId="1346" priority="219">
      <formula>Y$11=TODAY()</formula>
    </cfRule>
  </conditionalFormatting>
  <conditionalFormatting sqref="Y47">
    <cfRule type="expression" dxfId="1345" priority="220">
      <formula>Y$12="CN"</formula>
    </cfRule>
  </conditionalFormatting>
  <conditionalFormatting sqref="Z41:Z46">
    <cfRule type="expression" dxfId="1344" priority="217">
      <formula>Z$11=TODAY()</formula>
    </cfRule>
  </conditionalFormatting>
  <conditionalFormatting sqref="Z41:Z46">
    <cfRule type="expression" dxfId="1343" priority="218">
      <formula>Z$12="CN"</formula>
    </cfRule>
  </conditionalFormatting>
  <conditionalFormatting sqref="AC48:AF48">
    <cfRule type="expression" dxfId="1342" priority="215">
      <formula>AC$11=TODAY()</formula>
    </cfRule>
  </conditionalFormatting>
  <conditionalFormatting sqref="AC48:AF48">
    <cfRule type="expression" dxfId="1341" priority="216">
      <formula>AC$12="CN"</formula>
    </cfRule>
  </conditionalFormatting>
  <conditionalFormatting sqref="AC14:AF40 AD47:AF47 AC41:AC46 AE41:AF46">
    <cfRule type="expression" dxfId="1340" priority="213">
      <formula>AC$11=TODAY()</formula>
    </cfRule>
  </conditionalFormatting>
  <conditionalFormatting sqref="AC14:AF40 AD47:AF47 AC41:AC46 AE41:AF46">
    <cfRule type="expression" dxfId="1339" priority="214">
      <formula>AC$12="CN"</formula>
    </cfRule>
  </conditionalFormatting>
  <conditionalFormatting sqref="AC47">
    <cfRule type="expression" dxfId="1338" priority="211">
      <formula>AC$11=TODAY()</formula>
    </cfRule>
  </conditionalFormatting>
  <conditionalFormatting sqref="AC47">
    <cfRule type="expression" dxfId="1337" priority="212">
      <formula>AC$12="CN"</formula>
    </cfRule>
  </conditionalFormatting>
  <conditionalFormatting sqref="AD41:AD46">
    <cfRule type="expression" dxfId="1336" priority="209">
      <formula>AD$11=TODAY()</formula>
    </cfRule>
  </conditionalFormatting>
  <conditionalFormatting sqref="AD41:AD46">
    <cfRule type="expression" dxfId="1335" priority="210">
      <formula>AD$12="CN"</formula>
    </cfRule>
  </conditionalFormatting>
  <conditionalFormatting sqref="AG48:AJ48">
    <cfRule type="expression" dxfId="1334" priority="207">
      <formula>AG$11=TODAY()</formula>
    </cfRule>
  </conditionalFormatting>
  <conditionalFormatting sqref="AG48:AJ48">
    <cfRule type="expression" dxfId="1333" priority="208">
      <formula>AG$12="CN"</formula>
    </cfRule>
  </conditionalFormatting>
  <conditionalFormatting sqref="AG14:AJ40 AH47:AJ47 AG41:AG46 AI41:AJ46">
    <cfRule type="expression" dxfId="1332" priority="205">
      <formula>AG$11=TODAY()</formula>
    </cfRule>
  </conditionalFormatting>
  <conditionalFormatting sqref="AG14:AJ40 AH47:AJ47 AG41:AG46 AI41:AJ46">
    <cfRule type="expression" dxfId="1331" priority="206">
      <formula>AG$12="CN"</formula>
    </cfRule>
  </conditionalFormatting>
  <conditionalFormatting sqref="AG47">
    <cfRule type="expression" dxfId="1330" priority="203">
      <formula>AG$11=TODAY()</formula>
    </cfRule>
  </conditionalFormatting>
  <conditionalFormatting sqref="AG47">
    <cfRule type="expression" dxfId="1329" priority="204">
      <formula>AG$12="CN"</formula>
    </cfRule>
  </conditionalFormatting>
  <conditionalFormatting sqref="AH41:AH46">
    <cfRule type="expression" dxfId="1328" priority="201">
      <formula>AH$11=TODAY()</formula>
    </cfRule>
  </conditionalFormatting>
  <conditionalFormatting sqref="AH41:AH46">
    <cfRule type="expression" dxfId="1327" priority="202">
      <formula>AH$12="CN"</formula>
    </cfRule>
  </conditionalFormatting>
  <conditionalFormatting sqref="AK48:AN48">
    <cfRule type="expression" dxfId="1326" priority="199">
      <formula>AK$11=TODAY()</formula>
    </cfRule>
  </conditionalFormatting>
  <conditionalFormatting sqref="AK48:AN48">
    <cfRule type="expression" dxfId="1325" priority="200">
      <formula>AK$12="CN"</formula>
    </cfRule>
  </conditionalFormatting>
  <conditionalFormatting sqref="AK14:AN40 AL47:AN47 AK41:AK46 AM41:AN46">
    <cfRule type="expression" dxfId="1324" priority="197">
      <formula>AK$11=TODAY()</formula>
    </cfRule>
  </conditionalFormatting>
  <conditionalFormatting sqref="AK14:AN40 AL47:AN47 AK41:AK46 AM41:AN46">
    <cfRule type="expression" dxfId="1323" priority="198">
      <formula>AK$12="CN"</formula>
    </cfRule>
  </conditionalFormatting>
  <conditionalFormatting sqref="AK47">
    <cfRule type="expression" dxfId="1322" priority="195">
      <formula>AK$11=TODAY()</formula>
    </cfRule>
  </conditionalFormatting>
  <conditionalFormatting sqref="AK47">
    <cfRule type="expression" dxfId="1321" priority="196">
      <formula>AK$12="CN"</formula>
    </cfRule>
  </conditionalFormatting>
  <conditionalFormatting sqref="AL41:AL46">
    <cfRule type="expression" dxfId="1320" priority="193">
      <formula>AL$11=TODAY()</formula>
    </cfRule>
  </conditionalFormatting>
  <conditionalFormatting sqref="AL41:AL46">
    <cfRule type="expression" dxfId="1319" priority="194">
      <formula>AL$12="CN"</formula>
    </cfRule>
  </conditionalFormatting>
  <conditionalFormatting sqref="AO48:AR48">
    <cfRule type="expression" dxfId="1318" priority="191">
      <formula>AO$11=TODAY()</formula>
    </cfRule>
  </conditionalFormatting>
  <conditionalFormatting sqref="AO48:AR48">
    <cfRule type="expression" dxfId="1317" priority="192">
      <formula>AO$12="CN"</formula>
    </cfRule>
  </conditionalFormatting>
  <conditionalFormatting sqref="AO14:AR40 AP47:AR47 AO41:AO46 AQ41:AR46">
    <cfRule type="expression" dxfId="1316" priority="189">
      <formula>AO$11=TODAY()</formula>
    </cfRule>
  </conditionalFormatting>
  <conditionalFormatting sqref="AO14:AR40 AP47:AR47 AO41:AO46 AQ41:AR46">
    <cfRule type="expression" dxfId="1315" priority="190">
      <formula>AO$12="CN"</formula>
    </cfRule>
  </conditionalFormatting>
  <conditionalFormatting sqref="AO47">
    <cfRule type="expression" dxfId="1314" priority="187">
      <formula>AO$11=TODAY()</formula>
    </cfRule>
  </conditionalFormatting>
  <conditionalFormatting sqref="AO47">
    <cfRule type="expression" dxfId="1313" priority="188">
      <formula>AO$12="CN"</formula>
    </cfRule>
  </conditionalFormatting>
  <conditionalFormatting sqref="AP41:AP46">
    <cfRule type="expression" dxfId="1312" priority="185">
      <formula>AP$11=TODAY()</formula>
    </cfRule>
  </conditionalFormatting>
  <conditionalFormatting sqref="AP41:AP46">
    <cfRule type="expression" dxfId="1311" priority="186">
      <formula>AP$12="CN"</formula>
    </cfRule>
  </conditionalFormatting>
  <conditionalFormatting sqref="AS48:AV48">
    <cfRule type="expression" dxfId="1310" priority="183">
      <formula>AS$11=TODAY()</formula>
    </cfRule>
  </conditionalFormatting>
  <conditionalFormatting sqref="AS48:AV48">
    <cfRule type="expression" dxfId="1309" priority="184">
      <formula>AS$12="CN"</formula>
    </cfRule>
  </conditionalFormatting>
  <conditionalFormatting sqref="AS14:AV40 AT47:AV47 AS41:AS46 AU41:AV46">
    <cfRule type="expression" dxfId="1308" priority="181">
      <formula>AS$11=TODAY()</formula>
    </cfRule>
  </conditionalFormatting>
  <conditionalFormatting sqref="AS14:AV40 AT47:AV47 AS41:AS46 AU41:AV46">
    <cfRule type="expression" dxfId="1307" priority="182">
      <formula>AS$12="CN"</formula>
    </cfRule>
  </conditionalFormatting>
  <conditionalFormatting sqref="AS47">
    <cfRule type="expression" dxfId="1306" priority="179">
      <formula>AS$11=TODAY()</formula>
    </cfRule>
  </conditionalFormatting>
  <conditionalFormatting sqref="AS47">
    <cfRule type="expression" dxfId="1305" priority="180">
      <formula>AS$12="CN"</formula>
    </cfRule>
  </conditionalFormatting>
  <conditionalFormatting sqref="AT41:AT46">
    <cfRule type="expression" dxfId="1304" priority="177">
      <formula>AT$11=TODAY()</formula>
    </cfRule>
  </conditionalFormatting>
  <conditionalFormatting sqref="AT41:AT46">
    <cfRule type="expression" dxfId="1303" priority="178">
      <formula>AT$12="CN"</formula>
    </cfRule>
  </conditionalFormatting>
  <conditionalFormatting sqref="AW48:AZ48">
    <cfRule type="expression" dxfId="1302" priority="175">
      <formula>AW$11=TODAY()</formula>
    </cfRule>
  </conditionalFormatting>
  <conditionalFormatting sqref="AW48:AZ48">
    <cfRule type="expression" dxfId="1301" priority="176">
      <formula>AW$12="CN"</formula>
    </cfRule>
  </conditionalFormatting>
  <conditionalFormatting sqref="AW14:AZ40 AX47:AZ47 AW41:AW46 AY41:AZ46">
    <cfRule type="expression" dxfId="1300" priority="173">
      <formula>AW$11=TODAY()</formula>
    </cfRule>
  </conditionalFormatting>
  <conditionalFormatting sqref="AW14:AZ40 AX47:AZ47 AW41:AW46 AY41:AZ46">
    <cfRule type="expression" dxfId="1299" priority="174">
      <formula>AW$12="CN"</formula>
    </cfRule>
  </conditionalFormatting>
  <conditionalFormatting sqref="AW47">
    <cfRule type="expression" dxfId="1298" priority="171">
      <formula>AW$11=TODAY()</formula>
    </cfRule>
  </conditionalFormatting>
  <conditionalFormatting sqref="AW47">
    <cfRule type="expression" dxfId="1297" priority="172">
      <formula>AW$12="CN"</formula>
    </cfRule>
  </conditionalFormatting>
  <conditionalFormatting sqref="AX41:AX46">
    <cfRule type="expression" dxfId="1296" priority="169">
      <formula>AX$11=TODAY()</formula>
    </cfRule>
  </conditionalFormatting>
  <conditionalFormatting sqref="AX41:AX46">
    <cfRule type="expression" dxfId="1295" priority="170">
      <formula>AX$12="CN"</formula>
    </cfRule>
  </conditionalFormatting>
  <conditionalFormatting sqref="BA48:BD48">
    <cfRule type="expression" dxfId="1294" priority="167">
      <formula>BA$11=TODAY()</formula>
    </cfRule>
  </conditionalFormatting>
  <conditionalFormatting sqref="BA48:BD48">
    <cfRule type="expression" dxfId="1293" priority="168">
      <formula>BA$12="CN"</formula>
    </cfRule>
  </conditionalFormatting>
  <conditionalFormatting sqref="BA14:BD40 BB47:BD47 BA41:BA46 BC41:BD46">
    <cfRule type="expression" dxfId="1292" priority="165">
      <formula>BA$11=TODAY()</formula>
    </cfRule>
  </conditionalFormatting>
  <conditionalFormatting sqref="BA14:BD40 BB47:BD47 BA41:BA46 BC41:BD46">
    <cfRule type="expression" dxfId="1291" priority="166">
      <formula>BA$12="CN"</formula>
    </cfRule>
  </conditionalFormatting>
  <conditionalFormatting sqref="BA47">
    <cfRule type="expression" dxfId="1290" priority="163">
      <formula>BA$11=TODAY()</formula>
    </cfRule>
  </conditionalFormatting>
  <conditionalFormatting sqref="BA47">
    <cfRule type="expression" dxfId="1289" priority="164">
      <formula>BA$12="CN"</formula>
    </cfRule>
  </conditionalFormatting>
  <conditionalFormatting sqref="BB41:BB46">
    <cfRule type="expression" dxfId="1288" priority="161">
      <formula>BB$11=TODAY()</formula>
    </cfRule>
  </conditionalFormatting>
  <conditionalFormatting sqref="BB41:BB46">
    <cfRule type="expression" dxfId="1287" priority="162">
      <formula>BB$12="CN"</formula>
    </cfRule>
  </conditionalFormatting>
  <conditionalFormatting sqref="BE48:BH48">
    <cfRule type="expression" dxfId="1286" priority="159">
      <formula>BE$11=TODAY()</formula>
    </cfRule>
  </conditionalFormatting>
  <conditionalFormatting sqref="BE48:BH48">
    <cfRule type="expression" dxfId="1285" priority="160">
      <formula>BE$12="CN"</formula>
    </cfRule>
  </conditionalFormatting>
  <conditionalFormatting sqref="BE14:BH40 BF47:BH47 BE41:BE46 BG41:BH46">
    <cfRule type="expression" dxfId="1284" priority="157">
      <formula>BE$11=TODAY()</formula>
    </cfRule>
  </conditionalFormatting>
  <conditionalFormatting sqref="BE14:BH40 BF47:BH47 BE41:BE46 BG41:BH46">
    <cfRule type="expression" dxfId="1283" priority="158">
      <formula>BE$12="CN"</formula>
    </cfRule>
  </conditionalFormatting>
  <conditionalFormatting sqref="BE47">
    <cfRule type="expression" dxfId="1282" priority="155">
      <formula>BE$11=TODAY()</formula>
    </cfRule>
  </conditionalFormatting>
  <conditionalFormatting sqref="BE47">
    <cfRule type="expression" dxfId="1281" priority="156">
      <formula>BE$12="CN"</formula>
    </cfRule>
  </conditionalFormatting>
  <conditionalFormatting sqref="BF41:BF46">
    <cfRule type="expression" dxfId="1280" priority="153">
      <formula>BF$11=TODAY()</formula>
    </cfRule>
  </conditionalFormatting>
  <conditionalFormatting sqref="BF41:BF46">
    <cfRule type="expression" dxfId="1279" priority="154">
      <formula>BF$12="CN"</formula>
    </cfRule>
  </conditionalFormatting>
  <conditionalFormatting sqref="BI48:BL48">
    <cfRule type="expression" dxfId="1278" priority="151">
      <formula>BI$11=TODAY()</formula>
    </cfRule>
  </conditionalFormatting>
  <conditionalFormatting sqref="BI48:BL48">
    <cfRule type="expression" dxfId="1277" priority="152">
      <formula>BI$12="CN"</formula>
    </cfRule>
  </conditionalFormatting>
  <conditionalFormatting sqref="BI14:BL40 BJ47:BL47 BI41:BI46 BK41:BL46">
    <cfRule type="expression" dxfId="1276" priority="149">
      <formula>BI$11=TODAY()</formula>
    </cfRule>
  </conditionalFormatting>
  <conditionalFormatting sqref="BI14:BL40 BJ47:BL47 BI41:BI46 BK41:BL46">
    <cfRule type="expression" dxfId="1275" priority="150">
      <formula>BI$12="CN"</formula>
    </cfRule>
  </conditionalFormatting>
  <conditionalFormatting sqref="BI47">
    <cfRule type="expression" dxfId="1274" priority="147">
      <formula>BI$11=TODAY()</formula>
    </cfRule>
  </conditionalFormatting>
  <conditionalFormatting sqref="BI47">
    <cfRule type="expression" dxfId="1273" priority="148">
      <formula>BI$12="CN"</formula>
    </cfRule>
  </conditionalFormatting>
  <conditionalFormatting sqref="BJ41:BJ46">
    <cfRule type="expression" dxfId="1272" priority="145">
      <formula>BJ$11=TODAY()</formula>
    </cfRule>
  </conditionalFormatting>
  <conditionalFormatting sqref="BJ41:BJ46">
    <cfRule type="expression" dxfId="1271" priority="146">
      <formula>BJ$12="CN"</formula>
    </cfRule>
  </conditionalFormatting>
  <conditionalFormatting sqref="BM48:BP48">
    <cfRule type="expression" dxfId="1270" priority="143">
      <formula>BM$11=TODAY()</formula>
    </cfRule>
  </conditionalFormatting>
  <conditionalFormatting sqref="BM48:BP48">
    <cfRule type="expression" dxfId="1269" priority="144">
      <formula>BM$12="CN"</formula>
    </cfRule>
  </conditionalFormatting>
  <conditionalFormatting sqref="BM14:BP40 BN47:BP47 BM41:BM46 BO41:BP46">
    <cfRule type="expression" dxfId="1268" priority="141">
      <formula>BM$11=TODAY()</formula>
    </cfRule>
  </conditionalFormatting>
  <conditionalFormatting sqref="BM14:BP40 BN47:BP47 BM41:BM46 BO41:BP46">
    <cfRule type="expression" dxfId="1267" priority="142">
      <formula>BM$12="CN"</formula>
    </cfRule>
  </conditionalFormatting>
  <conditionalFormatting sqref="BM47">
    <cfRule type="expression" dxfId="1266" priority="139">
      <formula>BM$11=TODAY()</formula>
    </cfRule>
  </conditionalFormatting>
  <conditionalFormatting sqref="BM47">
    <cfRule type="expression" dxfId="1265" priority="140">
      <formula>BM$12="CN"</formula>
    </cfRule>
  </conditionalFormatting>
  <conditionalFormatting sqref="BN41:BN46">
    <cfRule type="expression" dxfId="1264" priority="137">
      <formula>BN$11=TODAY()</formula>
    </cfRule>
  </conditionalFormatting>
  <conditionalFormatting sqref="BN41:BN46">
    <cfRule type="expression" dxfId="1263" priority="138">
      <formula>BN$12="CN"</formula>
    </cfRule>
  </conditionalFormatting>
  <conditionalFormatting sqref="BQ48:BT48">
    <cfRule type="expression" dxfId="1262" priority="135">
      <formula>BQ$11=TODAY()</formula>
    </cfRule>
  </conditionalFormatting>
  <conditionalFormatting sqref="BQ48:BT48">
    <cfRule type="expression" dxfId="1261" priority="136">
      <formula>BQ$12="CN"</formula>
    </cfRule>
  </conditionalFormatting>
  <conditionalFormatting sqref="BQ14:BT40 BR47:BT47 BQ41:BQ46 BS41:BT46">
    <cfRule type="expression" dxfId="1260" priority="133">
      <formula>BQ$11=TODAY()</formula>
    </cfRule>
  </conditionalFormatting>
  <conditionalFormatting sqref="BQ14:BT40 BR47:BT47 BQ41:BQ46 BS41:BT46">
    <cfRule type="expression" dxfId="1259" priority="134">
      <formula>BQ$12="CN"</formula>
    </cfRule>
  </conditionalFormatting>
  <conditionalFormatting sqref="BQ47">
    <cfRule type="expression" dxfId="1258" priority="131">
      <formula>BQ$11=TODAY()</formula>
    </cfRule>
  </conditionalFormatting>
  <conditionalFormatting sqref="BQ47">
    <cfRule type="expression" dxfId="1257" priority="132">
      <formula>BQ$12="CN"</formula>
    </cfRule>
  </conditionalFormatting>
  <conditionalFormatting sqref="BR41:BR46">
    <cfRule type="expression" dxfId="1256" priority="129">
      <formula>BR$11=TODAY()</formula>
    </cfRule>
  </conditionalFormatting>
  <conditionalFormatting sqref="BR41:BR46">
    <cfRule type="expression" dxfId="1255" priority="130">
      <formula>BR$12="CN"</formula>
    </cfRule>
  </conditionalFormatting>
  <conditionalFormatting sqref="BU48:BX48">
    <cfRule type="expression" dxfId="1254" priority="127">
      <formula>BU$11=TODAY()</formula>
    </cfRule>
  </conditionalFormatting>
  <conditionalFormatting sqref="BU48:BX48">
    <cfRule type="expression" dxfId="1253" priority="128">
      <formula>BU$12="CN"</formula>
    </cfRule>
  </conditionalFormatting>
  <conditionalFormatting sqref="BU14:BX40 BV47:BX47 BU41:BU46 BW41:BX46">
    <cfRule type="expression" dxfId="1252" priority="125">
      <formula>BU$11=TODAY()</formula>
    </cfRule>
  </conditionalFormatting>
  <conditionalFormatting sqref="BU14:BX40 BV47:BX47 BU41:BU46 BW41:BX46">
    <cfRule type="expression" dxfId="1251" priority="126">
      <formula>BU$12="CN"</formula>
    </cfRule>
  </conditionalFormatting>
  <conditionalFormatting sqref="BU47">
    <cfRule type="expression" dxfId="1250" priority="123">
      <formula>BU$11=TODAY()</formula>
    </cfRule>
  </conditionalFormatting>
  <conditionalFormatting sqref="BU47">
    <cfRule type="expression" dxfId="1249" priority="124">
      <formula>BU$12="CN"</formula>
    </cfRule>
  </conditionalFormatting>
  <conditionalFormatting sqref="BV41:BV46">
    <cfRule type="expression" dxfId="1248" priority="121">
      <formula>BV$11=TODAY()</formula>
    </cfRule>
  </conditionalFormatting>
  <conditionalFormatting sqref="BV41:BV46">
    <cfRule type="expression" dxfId="1247" priority="122">
      <formula>BV$12="CN"</formula>
    </cfRule>
  </conditionalFormatting>
  <conditionalFormatting sqref="BY48:CB48">
    <cfRule type="expression" dxfId="1246" priority="119">
      <formula>BY$11=TODAY()</formula>
    </cfRule>
  </conditionalFormatting>
  <conditionalFormatting sqref="BY48:CB48">
    <cfRule type="expression" dxfId="1245" priority="120">
      <formula>BY$12="CN"</formula>
    </cfRule>
  </conditionalFormatting>
  <conditionalFormatting sqref="BY14:CB40 BZ47:CB47 BY41:BY46 CA41:CB46">
    <cfRule type="expression" dxfId="1244" priority="117">
      <formula>BY$11=TODAY()</formula>
    </cfRule>
  </conditionalFormatting>
  <conditionalFormatting sqref="BY14:CB40 BZ47:CB47 BY41:BY46 CA41:CB46">
    <cfRule type="expression" dxfId="1243" priority="118">
      <formula>BY$12="CN"</formula>
    </cfRule>
  </conditionalFormatting>
  <conditionalFormatting sqref="BY47">
    <cfRule type="expression" dxfId="1242" priority="115">
      <formula>BY$11=TODAY()</formula>
    </cfRule>
  </conditionalFormatting>
  <conditionalFormatting sqref="BY47">
    <cfRule type="expression" dxfId="1241" priority="116">
      <formula>BY$12="CN"</formula>
    </cfRule>
  </conditionalFormatting>
  <conditionalFormatting sqref="BZ41:BZ46">
    <cfRule type="expression" dxfId="1240" priority="113">
      <formula>BZ$11=TODAY()</formula>
    </cfRule>
  </conditionalFormatting>
  <conditionalFormatting sqref="BZ41:BZ46">
    <cfRule type="expression" dxfId="1239" priority="114">
      <formula>BZ$12="CN"</formula>
    </cfRule>
  </conditionalFormatting>
  <conditionalFormatting sqref="CC48:CF48">
    <cfRule type="expression" dxfId="1238" priority="111">
      <formula>CC$11=TODAY()</formula>
    </cfRule>
  </conditionalFormatting>
  <conditionalFormatting sqref="CC48:CF48">
    <cfRule type="expression" dxfId="1237" priority="112">
      <formula>CC$12="CN"</formula>
    </cfRule>
  </conditionalFormatting>
  <conditionalFormatting sqref="CC14:CF40 CD47:CF47 CC41:CC46 CE41:CF46">
    <cfRule type="expression" dxfId="1236" priority="109">
      <formula>CC$11=TODAY()</formula>
    </cfRule>
  </conditionalFormatting>
  <conditionalFormatting sqref="CC14:CF40 CD47:CF47 CC41:CC46 CE41:CF46">
    <cfRule type="expression" dxfId="1235" priority="110">
      <formula>CC$12="CN"</formula>
    </cfRule>
  </conditionalFormatting>
  <conditionalFormatting sqref="CC47">
    <cfRule type="expression" dxfId="1234" priority="107">
      <formula>CC$11=TODAY()</formula>
    </cfRule>
  </conditionalFormatting>
  <conditionalFormatting sqref="CC47">
    <cfRule type="expression" dxfId="1233" priority="108">
      <formula>CC$12="CN"</formula>
    </cfRule>
  </conditionalFormatting>
  <conditionalFormatting sqref="CD41:CD46">
    <cfRule type="expression" dxfId="1232" priority="105">
      <formula>CD$11=TODAY()</formula>
    </cfRule>
  </conditionalFormatting>
  <conditionalFormatting sqref="CD41:CD46">
    <cfRule type="expression" dxfId="1231" priority="106">
      <formula>CD$12="CN"</formula>
    </cfRule>
  </conditionalFormatting>
  <conditionalFormatting sqref="CG48:CJ48">
    <cfRule type="expression" dxfId="1230" priority="103">
      <formula>CG$11=TODAY()</formula>
    </cfRule>
  </conditionalFormatting>
  <conditionalFormatting sqref="CG48:CJ48">
    <cfRule type="expression" dxfId="1229" priority="104">
      <formula>CG$12="CN"</formula>
    </cfRule>
  </conditionalFormatting>
  <conditionalFormatting sqref="CG14:CJ40 CH47:CJ47 CG41:CG46 CI41:CJ46">
    <cfRule type="expression" dxfId="1228" priority="101">
      <formula>CG$11=TODAY()</formula>
    </cfRule>
  </conditionalFormatting>
  <conditionalFormatting sqref="CG14:CJ40 CH47:CJ47 CG41:CG46 CI41:CJ46">
    <cfRule type="expression" dxfId="1227" priority="102">
      <formula>CG$12="CN"</formula>
    </cfRule>
  </conditionalFormatting>
  <conditionalFormatting sqref="CG47">
    <cfRule type="expression" dxfId="1226" priority="99">
      <formula>CG$11=TODAY()</formula>
    </cfRule>
  </conditionalFormatting>
  <conditionalFormatting sqref="CG47">
    <cfRule type="expression" dxfId="1225" priority="100">
      <formula>CG$12="CN"</formula>
    </cfRule>
  </conditionalFormatting>
  <conditionalFormatting sqref="CH41:CH46">
    <cfRule type="expression" dxfId="1224" priority="97">
      <formula>CH$11=TODAY()</formula>
    </cfRule>
  </conditionalFormatting>
  <conditionalFormatting sqref="CH41:CH46">
    <cfRule type="expression" dxfId="1223" priority="98">
      <formula>CH$12="CN"</formula>
    </cfRule>
  </conditionalFormatting>
  <conditionalFormatting sqref="CK48:CN48">
    <cfRule type="expression" dxfId="1222" priority="95">
      <formula>CK$11=TODAY()</formula>
    </cfRule>
  </conditionalFormatting>
  <conditionalFormatting sqref="CK48:CN48">
    <cfRule type="expression" dxfId="1221" priority="96">
      <formula>CK$12="CN"</formula>
    </cfRule>
  </conditionalFormatting>
  <conditionalFormatting sqref="CK14:CN40 CL47:CN47 CK41:CK46 CM41:CN46">
    <cfRule type="expression" dxfId="1220" priority="93">
      <formula>CK$11=TODAY()</formula>
    </cfRule>
  </conditionalFormatting>
  <conditionalFormatting sqref="CK14:CN40 CL47:CN47 CK41:CK46 CM41:CN46">
    <cfRule type="expression" dxfId="1219" priority="94">
      <formula>CK$12="CN"</formula>
    </cfRule>
  </conditionalFormatting>
  <conditionalFormatting sqref="CK47">
    <cfRule type="expression" dxfId="1218" priority="91">
      <formula>CK$11=TODAY()</formula>
    </cfRule>
  </conditionalFormatting>
  <conditionalFormatting sqref="CK47">
    <cfRule type="expression" dxfId="1217" priority="92">
      <formula>CK$12="CN"</formula>
    </cfRule>
  </conditionalFormatting>
  <conditionalFormatting sqref="CL41:CL46">
    <cfRule type="expression" dxfId="1216" priority="89">
      <formula>CL$11=TODAY()</formula>
    </cfRule>
  </conditionalFormatting>
  <conditionalFormatting sqref="CL41:CL46">
    <cfRule type="expression" dxfId="1215" priority="90">
      <formula>CL$12="CN"</formula>
    </cfRule>
  </conditionalFormatting>
  <conditionalFormatting sqref="CO48:CR48">
    <cfRule type="expression" dxfId="1214" priority="87">
      <formula>CO$11=TODAY()</formula>
    </cfRule>
  </conditionalFormatting>
  <conditionalFormatting sqref="CO48:CR48">
    <cfRule type="expression" dxfId="1213" priority="88">
      <formula>CO$12="CN"</formula>
    </cfRule>
  </conditionalFormatting>
  <conditionalFormatting sqref="CO14:CR40 CP47:CR47 CO41:CO46 CQ41:CR46">
    <cfRule type="expression" dxfId="1212" priority="85">
      <formula>CO$11=TODAY()</formula>
    </cfRule>
  </conditionalFormatting>
  <conditionalFormatting sqref="CO14:CR40 CP47:CR47 CO41:CO46 CQ41:CR46">
    <cfRule type="expression" dxfId="1211" priority="86">
      <formula>CO$12="CN"</formula>
    </cfRule>
  </conditionalFormatting>
  <conditionalFormatting sqref="CO47">
    <cfRule type="expression" dxfId="1210" priority="83">
      <formula>CO$11=TODAY()</formula>
    </cfRule>
  </conditionalFormatting>
  <conditionalFormatting sqref="CO47">
    <cfRule type="expression" dxfId="1209" priority="84">
      <formula>CO$12="CN"</formula>
    </cfRule>
  </conditionalFormatting>
  <conditionalFormatting sqref="CP41:CP46">
    <cfRule type="expression" dxfId="1208" priority="81">
      <formula>CP$11=TODAY()</formula>
    </cfRule>
  </conditionalFormatting>
  <conditionalFormatting sqref="CP41:CP46">
    <cfRule type="expression" dxfId="1207" priority="82">
      <formula>CP$12="CN"</formula>
    </cfRule>
  </conditionalFormatting>
  <conditionalFormatting sqref="CS48:CV48">
    <cfRule type="expression" dxfId="1206" priority="79">
      <formula>CS$11=TODAY()</formula>
    </cfRule>
  </conditionalFormatting>
  <conditionalFormatting sqref="CS48:CV48">
    <cfRule type="expression" dxfId="1205" priority="80">
      <formula>CS$12="CN"</formula>
    </cfRule>
  </conditionalFormatting>
  <conditionalFormatting sqref="CS14:CV40 CT47:CV47 CS41:CS46 CU41:CV46">
    <cfRule type="expression" dxfId="1204" priority="77">
      <formula>CS$11=TODAY()</formula>
    </cfRule>
  </conditionalFormatting>
  <conditionalFormatting sqref="CS14:CV40 CT47:CV47 CS41:CS46 CU41:CV46">
    <cfRule type="expression" dxfId="1203" priority="78">
      <formula>CS$12="CN"</formula>
    </cfRule>
  </conditionalFormatting>
  <conditionalFormatting sqref="CS47">
    <cfRule type="expression" dxfId="1202" priority="75">
      <formula>CS$11=TODAY()</formula>
    </cfRule>
  </conditionalFormatting>
  <conditionalFormatting sqref="CS47">
    <cfRule type="expression" dxfId="1201" priority="76">
      <formula>CS$12="CN"</formula>
    </cfRule>
  </conditionalFormatting>
  <conditionalFormatting sqref="CT41:CT46">
    <cfRule type="expression" dxfId="1200" priority="73">
      <formula>CT$11=TODAY()</formula>
    </cfRule>
  </conditionalFormatting>
  <conditionalFormatting sqref="CT41:CT46">
    <cfRule type="expression" dxfId="1199" priority="74">
      <formula>CT$12="CN"</formula>
    </cfRule>
  </conditionalFormatting>
  <conditionalFormatting sqref="CW48:CZ48">
    <cfRule type="expression" dxfId="1198" priority="71">
      <formula>CW$11=TODAY()</formula>
    </cfRule>
  </conditionalFormatting>
  <conditionalFormatting sqref="CW48:CZ48">
    <cfRule type="expression" dxfId="1197" priority="72">
      <formula>CW$12="CN"</formula>
    </cfRule>
  </conditionalFormatting>
  <conditionalFormatting sqref="CW14:CZ40 CX47:CZ47 CW41:CW46 CY41:CZ46">
    <cfRule type="expression" dxfId="1196" priority="69">
      <formula>CW$11=TODAY()</formula>
    </cfRule>
  </conditionalFormatting>
  <conditionalFormatting sqref="CW14:CZ40 CX47:CZ47 CW41:CW46 CY41:CZ46">
    <cfRule type="expression" dxfId="1195" priority="70">
      <formula>CW$12="CN"</formula>
    </cfRule>
  </conditionalFormatting>
  <conditionalFormatting sqref="CW47">
    <cfRule type="expression" dxfId="1194" priority="67">
      <formula>CW$11=TODAY()</formula>
    </cfRule>
  </conditionalFormatting>
  <conditionalFormatting sqref="CW47">
    <cfRule type="expression" dxfId="1193" priority="68">
      <formula>CW$12="CN"</formula>
    </cfRule>
  </conditionalFormatting>
  <conditionalFormatting sqref="CX41:CX46">
    <cfRule type="expression" dxfId="1192" priority="65">
      <formula>CX$11=TODAY()</formula>
    </cfRule>
  </conditionalFormatting>
  <conditionalFormatting sqref="CX41:CX46">
    <cfRule type="expression" dxfId="1191" priority="66">
      <formula>CX$12="CN"</formula>
    </cfRule>
  </conditionalFormatting>
  <conditionalFormatting sqref="DA48:DD48">
    <cfRule type="expression" dxfId="1190" priority="63">
      <formula>DA$11=TODAY()</formula>
    </cfRule>
  </conditionalFormatting>
  <conditionalFormatting sqref="DA48:DD48">
    <cfRule type="expression" dxfId="1189" priority="64">
      <formula>DA$12="CN"</formula>
    </cfRule>
  </conditionalFormatting>
  <conditionalFormatting sqref="DA14:DD40 DB47:DD47 DA41:DA46 DC41:DD46">
    <cfRule type="expression" dxfId="1188" priority="61">
      <formula>DA$11=TODAY()</formula>
    </cfRule>
  </conditionalFormatting>
  <conditionalFormatting sqref="DA14:DD40 DB47:DD47 DA41:DA46 DC41:DD46">
    <cfRule type="expression" dxfId="1187" priority="62">
      <formula>DA$12="CN"</formula>
    </cfRule>
  </conditionalFormatting>
  <conditionalFormatting sqref="DA47">
    <cfRule type="expression" dxfId="1186" priority="59">
      <formula>DA$11=TODAY()</formula>
    </cfRule>
  </conditionalFormatting>
  <conditionalFormatting sqref="DA47">
    <cfRule type="expression" dxfId="1185" priority="60">
      <formula>DA$12="CN"</formula>
    </cfRule>
  </conditionalFormatting>
  <conditionalFormatting sqref="DB41:DB46">
    <cfRule type="expression" dxfId="1184" priority="57">
      <formula>DB$11=TODAY()</formula>
    </cfRule>
  </conditionalFormatting>
  <conditionalFormatting sqref="DB41:DB46">
    <cfRule type="expression" dxfId="1183" priority="58">
      <formula>DB$12="CN"</formula>
    </cfRule>
  </conditionalFormatting>
  <conditionalFormatting sqref="DE48:DH48">
    <cfRule type="expression" dxfId="1182" priority="55">
      <formula>DE$11=TODAY()</formula>
    </cfRule>
  </conditionalFormatting>
  <conditionalFormatting sqref="DE48:DH48">
    <cfRule type="expression" dxfId="1181" priority="56">
      <formula>DE$12="CN"</formula>
    </cfRule>
  </conditionalFormatting>
  <conditionalFormatting sqref="DE14:DH40 DF47:DH47 DE41:DE46 DG41:DH46">
    <cfRule type="expression" dxfId="1180" priority="53">
      <formula>DE$11=TODAY()</formula>
    </cfRule>
  </conditionalFormatting>
  <conditionalFormatting sqref="DE14:DH40 DF47:DH47 DE41:DE46 DG41:DH46">
    <cfRule type="expression" dxfId="1179" priority="54">
      <formula>DE$12="CN"</formula>
    </cfRule>
  </conditionalFormatting>
  <conditionalFormatting sqref="DE47">
    <cfRule type="expression" dxfId="1178" priority="51">
      <formula>DE$11=TODAY()</formula>
    </cfRule>
  </conditionalFormatting>
  <conditionalFormatting sqref="DE47">
    <cfRule type="expression" dxfId="1177" priority="52">
      <formula>DE$12="CN"</formula>
    </cfRule>
  </conditionalFormatting>
  <conditionalFormatting sqref="DF41:DF46">
    <cfRule type="expression" dxfId="1176" priority="49">
      <formula>DF$11=TODAY()</formula>
    </cfRule>
  </conditionalFormatting>
  <conditionalFormatting sqref="DF41:DF46">
    <cfRule type="expression" dxfId="1175" priority="50">
      <formula>DF$12="CN"</formula>
    </cfRule>
  </conditionalFormatting>
  <conditionalFormatting sqref="DI48:DL48">
    <cfRule type="expression" dxfId="1174" priority="47">
      <formula>DI$11=TODAY()</formula>
    </cfRule>
  </conditionalFormatting>
  <conditionalFormatting sqref="DI48:DL48">
    <cfRule type="expression" dxfId="1173" priority="48">
      <formula>DI$12="CN"</formula>
    </cfRule>
  </conditionalFormatting>
  <conditionalFormatting sqref="DI14:DL40 DJ47:DL47 DI41:DI46 DK41:DL46">
    <cfRule type="expression" dxfId="1172" priority="45">
      <formula>DI$11=TODAY()</formula>
    </cfRule>
  </conditionalFormatting>
  <conditionalFormatting sqref="DI14:DL40 DJ47:DL47 DI41:DI46 DK41:DL46">
    <cfRule type="expression" dxfId="1171" priority="46">
      <formula>DI$12="CN"</formula>
    </cfRule>
  </conditionalFormatting>
  <conditionalFormatting sqref="DI47">
    <cfRule type="expression" dxfId="1170" priority="43">
      <formula>DI$11=TODAY()</formula>
    </cfRule>
  </conditionalFormatting>
  <conditionalFormatting sqref="DI47">
    <cfRule type="expression" dxfId="1169" priority="44">
      <formula>DI$12="CN"</formula>
    </cfRule>
  </conditionalFormatting>
  <conditionalFormatting sqref="DJ41:DJ46">
    <cfRule type="expression" dxfId="1168" priority="41">
      <formula>DJ$11=TODAY()</formula>
    </cfRule>
  </conditionalFormatting>
  <conditionalFormatting sqref="DJ41:DJ46">
    <cfRule type="expression" dxfId="1167" priority="42">
      <formula>DJ$12="CN"</formula>
    </cfRule>
  </conditionalFormatting>
  <conditionalFormatting sqref="DM48:DP48">
    <cfRule type="expression" dxfId="1166" priority="39">
      <formula>DM$11=TODAY()</formula>
    </cfRule>
  </conditionalFormatting>
  <conditionalFormatting sqref="DM48:DP48">
    <cfRule type="expression" dxfId="1165" priority="40">
      <formula>DM$12="CN"</formula>
    </cfRule>
  </conditionalFormatting>
  <conditionalFormatting sqref="DM14:DP40 DN47:DP47 DM41:DM46 DO41:DP46">
    <cfRule type="expression" dxfId="1164" priority="37">
      <formula>DM$11=TODAY()</formula>
    </cfRule>
  </conditionalFormatting>
  <conditionalFormatting sqref="DM14:DP40 DN47:DP47 DM41:DM46 DO41:DP46">
    <cfRule type="expression" dxfId="1163" priority="38">
      <formula>DM$12="CN"</formula>
    </cfRule>
  </conditionalFormatting>
  <conditionalFormatting sqref="DM47">
    <cfRule type="expression" dxfId="1162" priority="35">
      <formula>DM$11=TODAY()</formula>
    </cfRule>
  </conditionalFormatting>
  <conditionalFormatting sqref="DM47">
    <cfRule type="expression" dxfId="1161" priority="36">
      <formula>DM$12="CN"</formula>
    </cfRule>
  </conditionalFormatting>
  <conditionalFormatting sqref="DN41:DN46">
    <cfRule type="expression" dxfId="1160" priority="33">
      <formula>DN$11=TODAY()</formula>
    </cfRule>
  </conditionalFormatting>
  <conditionalFormatting sqref="DN41:DN46">
    <cfRule type="expression" dxfId="1159" priority="34">
      <formula>DN$12="CN"</formula>
    </cfRule>
  </conditionalFormatting>
  <conditionalFormatting sqref="DQ48:DT48">
    <cfRule type="expression" dxfId="1158" priority="31">
      <formula>DQ$11=TODAY()</formula>
    </cfRule>
  </conditionalFormatting>
  <conditionalFormatting sqref="DQ48:DT48">
    <cfRule type="expression" dxfId="1157" priority="32">
      <formula>DQ$12="CN"</formula>
    </cfRule>
  </conditionalFormatting>
  <conditionalFormatting sqref="DQ14:DT40 DR47:DT47 DQ41:DQ46 DS41:DT46">
    <cfRule type="expression" dxfId="1156" priority="29">
      <formula>DQ$11=TODAY()</formula>
    </cfRule>
  </conditionalFormatting>
  <conditionalFormatting sqref="DQ14:DT40 DR47:DT47 DQ41:DQ46 DS41:DT46">
    <cfRule type="expression" dxfId="1155" priority="30">
      <formula>DQ$12="CN"</formula>
    </cfRule>
  </conditionalFormatting>
  <conditionalFormatting sqref="DQ47">
    <cfRule type="expression" dxfId="1154" priority="27">
      <formula>DQ$11=TODAY()</formula>
    </cfRule>
  </conditionalFormatting>
  <conditionalFormatting sqref="DQ47">
    <cfRule type="expression" dxfId="1153" priority="28">
      <formula>DQ$12="CN"</formula>
    </cfRule>
  </conditionalFormatting>
  <conditionalFormatting sqref="DR41:DR46">
    <cfRule type="expression" dxfId="1152" priority="25">
      <formula>DR$11=TODAY()</formula>
    </cfRule>
  </conditionalFormatting>
  <conditionalFormatting sqref="DR41:DR46">
    <cfRule type="expression" dxfId="1151" priority="26">
      <formula>DR$12="CN"</formula>
    </cfRule>
  </conditionalFormatting>
  <conditionalFormatting sqref="DU48:DX48">
    <cfRule type="expression" dxfId="1150" priority="23">
      <formula>DU$11=TODAY()</formula>
    </cfRule>
  </conditionalFormatting>
  <conditionalFormatting sqref="DU48:DX48">
    <cfRule type="expression" dxfId="1149" priority="24">
      <formula>DU$12="CN"</formula>
    </cfRule>
  </conditionalFormatting>
  <conditionalFormatting sqref="DU14:DX40 DV47:DX47 DU41:DU46 DW41:DX46">
    <cfRule type="expression" dxfId="1148" priority="21">
      <formula>DU$11=TODAY()</formula>
    </cfRule>
  </conditionalFormatting>
  <conditionalFormatting sqref="DU14:DX40 DV47:DX47 DU41:DU46 DW41:DX46">
    <cfRule type="expression" dxfId="1147" priority="22">
      <formula>DU$12="CN"</formula>
    </cfRule>
  </conditionalFormatting>
  <conditionalFormatting sqref="DU47">
    <cfRule type="expression" dxfId="1146" priority="19">
      <formula>DU$11=TODAY()</formula>
    </cfRule>
  </conditionalFormatting>
  <conditionalFormatting sqref="DU47">
    <cfRule type="expression" dxfId="1145" priority="20">
      <formula>DU$12="CN"</formula>
    </cfRule>
  </conditionalFormatting>
  <conditionalFormatting sqref="DV41:DV46">
    <cfRule type="expression" dxfId="1144" priority="17">
      <formula>DV$11=TODAY()</formula>
    </cfRule>
  </conditionalFormatting>
  <conditionalFormatting sqref="DV41:DV46">
    <cfRule type="expression" dxfId="1143" priority="18">
      <formula>DV$12="CN"</formula>
    </cfRule>
  </conditionalFormatting>
  <conditionalFormatting sqref="DY48:EB48">
    <cfRule type="expression" dxfId="1142" priority="15">
      <formula>DY$11=TODAY()</formula>
    </cfRule>
  </conditionalFormatting>
  <conditionalFormatting sqref="DY48:EB48">
    <cfRule type="expression" dxfId="1141" priority="16">
      <formula>DY$12="CN"</formula>
    </cfRule>
  </conditionalFormatting>
  <conditionalFormatting sqref="DY14:EB40 DZ47:EB47 DY41:DY46 EA41:EB46">
    <cfRule type="expression" dxfId="1140" priority="13">
      <formula>DY$11=TODAY()</formula>
    </cfRule>
  </conditionalFormatting>
  <conditionalFormatting sqref="DY14:EB40 DZ47:EB47 DY41:DY46 EA41:EB46">
    <cfRule type="expression" dxfId="1139" priority="14">
      <formula>DY$12="CN"</formula>
    </cfRule>
  </conditionalFormatting>
  <conditionalFormatting sqref="DY47">
    <cfRule type="expression" dxfId="1138" priority="11">
      <formula>DY$11=TODAY()</formula>
    </cfRule>
  </conditionalFormatting>
  <conditionalFormatting sqref="DY47">
    <cfRule type="expression" dxfId="1137" priority="12">
      <formula>DY$12="CN"</formula>
    </cfRule>
  </conditionalFormatting>
  <conditionalFormatting sqref="DZ41:DZ46">
    <cfRule type="expression" dxfId="1136" priority="9">
      <formula>DZ$11=TODAY()</formula>
    </cfRule>
  </conditionalFormatting>
  <conditionalFormatting sqref="DZ41:DZ46">
    <cfRule type="expression" dxfId="1135" priority="10">
      <formula>DZ$12="CN"</formula>
    </cfRule>
  </conditionalFormatting>
  <conditionalFormatting sqref="EC48:EF48">
    <cfRule type="expression" dxfId="1134" priority="7">
      <formula>EC$11=TODAY()</formula>
    </cfRule>
  </conditionalFormatting>
  <conditionalFormatting sqref="EC48:EF48">
    <cfRule type="expression" dxfId="1133" priority="8">
      <formula>EC$12="CN"</formula>
    </cfRule>
  </conditionalFormatting>
  <conditionalFormatting sqref="EC14:EF40 ED47:EF47 EC41:EC46 EE41:EF46">
    <cfRule type="expression" dxfId="1132" priority="5">
      <formula>EC$11=TODAY()</formula>
    </cfRule>
  </conditionalFormatting>
  <conditionalFormatting sqref="EC14:EF40 ED47:EF47 EC41:EC46 EE41:EF46">
    <cfRule type="expression" dxfId="1131" priority="6">
      <formula>EC$12="CN"</formula>
    </cfRule>
  </conditionalFormatting>
  <conditionalFormatting sqref="EC47">
    <cfRule type="expression" dxfId="1130" priority="3">
      <formula>EC$11=TODAY()</formula>
    </cfRule>
  </conditionalFormatting>
  <conditionalFormatting sqref="EC47">
    <cfRule type="expression" dxfId="1129" priority="4">
      <formula>EC$12="CN"</formula>
    </cfRule>
  </conditionalFormatting>
  <conditionalFormatting sqref="ED41:ED46">
    <cfRule type="expression" dxfId="1128" priority="1">
      <formula>ED$11=TODAY()</formula>
    </cfRule>
  </conditionalFormatting>
  <conditionalFormatting sqref="ED41:ED46">
    <cfRule type="expression" dxfId="1127" priority="2">
      <formula>ED$12="CN"</formula>
    </cfRule>
  </conditionalFormatting>
  <dataValidations count="1">
    <dataValidation type="list" allowBlank="1" showInputMessage="1" showErrorMessage="1" sqref="E3:H3 M9 Q9 U9 Y9 AC9 AG9 AK9 AO9 AS9 AW9 BA9 BE9 BI9 BM9 BQ9 BU9 BY9 CC9 CG9 CK9 CO9 CS9 CW9 DA9 DE9 DI9 DM9 DQ9 DU9 DY9 EC9" xr:uid="{A55357B5-A795-9D4B-9FFB-F0E3E4CB459F}">
      <formula1>"TRUE, FALSE"</formula1>
    </dataValidation>
  </dataValidations>
  <pageMargins left="0.7" right="0.7" top="0.75" bottom="0.75" header="0.3" footer="0.3"/>
  <tableParts count="29">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98297-8031-A941-8AA6-D252568F0812}">
  <sheetPr>
    <outlinePr summaryBelow="0" summaryRight="0"/>
  </sheetPr>
  <dimension ref="A1:EG166"/>
  <sheetViews>
    <sheetView zoomScaleNormal="100" workbookViewId="0">
      <pane xSplit="3" topLeftCell="D1" activePane="topRight" state="frozen"/>
      <selection pane="topRight" activeCell="H45" sqref="H45"/>
    </sheetView>
  </sheetViews>
  <sheetFormatPr baseColWidth="10" defaultColWidth="12.6640625" defaultRowHeight="15.75" customHeight="1" x14ac:dyDescent="0.15"/>
  <cols>
    <col min="1" max="1" width="26.33203125" style="967" customWidth="1"/>
    <col min="2" max="2" width="40.5" style="967" customWidth="1"/>
    <col min="3" max="4" width="29.33203125" style="967" customWidth="1"/>
    <col min="5" max="5" width="18.1640625" style="967" customWidth="1"/>
    <col min="6" max="6" width="17" style="967" customWidth="1"/>
    <col min="7" max="7" width="12.33203125" style="967" customWidth="1"/>
    <col min="8" max="8" width="19.33203125" style="967" customWidth="1"/>
    <col min="9" max="9" width="21.6640625" style="967" customWidth="1"/>
    <col min="10" max="10" width="24.1640625" style="967" customWidth="1"/>
    <col min="11" max="11" width="19.5" style="967" customWidth="1"/>
    <col min="12" max="12" width="21.33203125" style="967" customWidth="1"/>
    <col min="13" max="136" width="15.83203125" style="967" customWidth="1"/>
    <col min="137" max="16384" width="12.6640625" style="967"/>
  </cols>
  <sheetData>
    <row r="1" spans="1:136" ht="30" customHeight="1" x14ac:dyDescent="0.25">
      <c r="A1" s="1385" t="s">
        <v>190</v>
      </c>
      <c r="B1" s="1386"/>
      <c r="C1" s="1386"/>
      <c r="D1" s="16"/>
      <c r="E1" s="16"/>
      <c r="F1" s="80"/>
      <c r="G1" s="80"/>
      <c r="H1" s="80"/>
      <c r="I1" s="80"/>
      <c r="J1" s="80"/>
      <c r="K1" s="80"/>
      <c r="L1" s="874"/>
      <c r="M1" s="903">
        <f>M8-($D$15+$D$16)</f>
        <v>-414.68288569643966</v>
      </c>
      <c r="N1" s="877">
        <f>N8-(N2*$I$20+N3*$I$26+N4*$I$32+N5*I$35+N6*I$36+N7*I$39)</f>
        <v>29.385416666666668</v>
      </c>
      <c r="O1" s="1099">
        <f>O8-$I$19</f>
        <v>0.6004528985507247</v>
      </c>
      <c r="P1" s="880">
        <f>P8-$K$19</f>
        <v>-2569230.769230769</v>
      </c>
      <c r="Q1" s="903">
        <f t="shared" ref="Q1" si="0">Q8-($D$15+$D$16)</f>
        <v>-414.68288569643966</v>
      </c>
      <c r="R1" s="877">
        <f t="shared" ref="R1" si="1">R8-(R2*$I$20+R3*$I$26+R4*$I$32+R5*M$35+R6*M$36+R7*M$39)</f>
        <v>9.1875</v>
      </c>
      <c r="S1" s="1099">
        <f t="shared" ref="S1" si="2">S8-$I$19</f>
        <v>0.6004528985507247</v>
      </c>
      <c r="T1" s="880">
        <f t="shared" ref="T1" si="3">T8-$K$19</f>
        <v>-2569230.769230769</v>
      </c>
      <c r="U1" s="903">
        <f t="shared" ref="U1" si="4">U8-($D$15+$D$16)</f>
        <v>-414.68288569643966</v>
      </c>
      <c r="V1" s="877">
        <f t="shared" ref="V1" si="5">V8-(V2*$I$20+V3*$I$26+V4*$I$32+V5*Q$35+V6*Q$36+V7*Q$39)</f>
        <v>9.1875</v>
      </c>
      <c r="W1" s="1099">
        <f t="shared" ref="W1" si="6">W8-$I$19</f>
        <v>0.6004528985507247</v>
      </c>
      <c r="X1" s="880">
        <f t="shared" ref="X1" si="7">X8-$K$19</f>
        <v>-2569230.769230769</v>
      </c>
      <c r="Y1" s="903">
        <f t="shared" ref="Y1" si="8">Y8-($D$15+$D$16)</f>
        <v>-414.68288569643966</v>
      </c>
      <c r="Z1" s="877">
        <f t="shared" ref="Z1" si="9">Z8-(Z2*$I$20+Z3*$I$26+Z4*$I$32+Z5*U$35+Z6*U$36+Z7*U$39)</f>
        <v>9.1875</v>
      </c>
      <c r="AA1" s="1099">
        <f t="shared" ref="AA1" si="10">AA8-$I$19</f>
        <v>0.6004528985507247</v>
      </c>
      <c r="AB1" s="880">
        <f t="shared" ref="AB1" si="11">AB8-$K$19</f>
        <v>-2569230.769230769</v>
      </c>
      <c r="AC1" s="903">
        <f t="shared" ref="AC1" si="12">AC8-($D$15+$D$16)</f>
        <v>-414.68288569643966</v>
      </c>
      <c r="AD1" s="877">
        <f t="shared" ref="AD1" si="13">AD8-(AD2*$I$20+AD3*$I$26+AD4*$I$32+AD5*Y$35+AD6*Y$36+AD7*Y$39)</f>
        <v>9.1875</v>
      </c>
      <c r="AE1" s="1099">
        <f t="shared" ref="AE1" si="14">AE8-$I$19</f>
        <v>0.6004528985507247</v>
      </c>
      <c r="AF1" s="880">
        <f t="shared" ref="AF1" si="15">AF8-$K$19</f>
        <v>-2569230.769230769</v>
      </c>
      <c r="AG1" s="903">
        <f t="shared" ref="AG1" si="16">AG8-($D$15+$D$16)</f>
        <v>-414.68288569643966</v>
      </c>
      <c r="AH1" s="877">
        <f t="shared" ref="AH1" si="17">AH8-(AH2*$I$20+AH3*$I$26+AH4*$I$32+AH5*AC$35+AH6*AC$36+AH7*AC$39)</f>
        <v>9.1875</v>
      </c>
      <c r="AI1" s="1099">
        <f t="shared" ref="AI1" si="18">AI8-$I$19</f>
        <v>0.6004528985507247</v>
      </c>
      <c r="AJ1" s="880">
        <f t="shared" ref="AJ1" si="19">AJ8-$K$19</f>
        <v>-2569230.769230769</v>
      </c>
      <c r="AK1" s="903">
        <f t="shared" ref="AK1" si="20">AK8-($D$15+$D$16)</f>
        <v>-414.68288569643966</v>
      </c>
      <c r="AL1" s="877">
        <f t="shared" ref="AL1" si="21">AL8-(AL2*$I$20+AL3*$I$26+AL4*$I$32+AL5*AG$35+AL6*AG$36+AL7*AG$39)</f>
        <v>9.1875</v>
      </c>
      <c r="AM1" s="1099">
        <f t="shared" ref="AM1" si="22">AM8-$I$19</f>
        <v>0.6004528985507247</v>
      </c>
      <c r="AN1" s="880">
        <f t="shared" ref="AN1" si="23">AN8-$K$19</f>
        <v>-2569230.769230769</v>
      </c>
      <c r="AO1" s="903">
        <f t="shared" ref="AO1" si="24">AO8-($D$15+$D$16)</f>
        <v>-414.68288569643966</v>
      </c>
      <c r="AP1" s="877">
        <f t="shared" ref="AP1" si="25">AP8-(AP2*$I$20+AP3*$I$26+AP4*$I$32+AP5*AK$35+AP6*AK$36+AP7*AK$39)</f>
        <v>9.1875</v>
      </c>
      <c r="AQ1" s="1099">
        <f t="shared" ref="AQ1" si="26">AQ8-$I$19</f>
        <v>0.6004528985507247</v>
      </c>
      <c r="AR1" s="880">
        <f t="shared" ref="AR1" si="27">AR8-$K$19</f>
        <v>-2569230.769230769</v>
      </c>
      <c r="AS1" s="903">
        <f t="shared" ref="AS1" si="28">AS8-($D$15+$D$16)</f>
        <v>-414.68288569643966</v>
      </c>
      <c r="AT1" s="877">
        <f t="shared" ref="AT1" si="29">AT8-(AT2*$I$20+AT3*$I$26+AT4*$I$32+AT5*AO$35+AT6*AO$36+AT7*AO$39)</f>
        <v>9.1875</v>
      </c>
      <c r="AU1" s="1099">
        <f t="shared" ref="AU1" si="30">AU8-$I$19</f>
        <v>0.6004528985507247</v>
      </c>
      <c r="AV1" s="880">
        <f t="shared" ref="AV1" si="31">AV8-$K$19</f>
        <v>-2569230.769230769</v>
      </c>
      <c r="AW1" s="903">
        <f t="shared" ref="AW1" si="32">AW8-($D$15+$D$16)</f>
        <v>-414.68288569643966</v>
      </c>
      <c r="AX1" s="877">
        <f t="shared" ref="AX1" si="33">AX8-(AX2*$I$20+AX3*$I$26+AX4*$I$32+AX5*AS$35+AX6*AS$36+AX7*AS$39)</f>
        <v>9.1875</v>
      </c>
      <c r="AY1" s="1099">
        <f t="shared" ref="AY1" si="34">AY8-$I$19</f>
        <v>0.6004528985507247</v>
      </c>
      <c r="AZ1" s="880">
        <f t="shared" ref="AZ1" si="35">AZ8-$K$19</f>
        <v>-2569230.769230769</v>
      </c>
      <c r="BA1" s="903">
        <f t="shared" ref="BA1" si="36">BA8-($D$15+$D$16)</f>
        <v>-414.68288569643966</v>
      </c>
      <c r="BB1" s="877">
        <f t="shared" ref="BB1" si="37">BB8-(BB2*$I$20+BB3*$I$26+BB4*$I$32+BB5*AW$35+BB6*AW$36+BB7*AW$39)</f>
        <v>9.1875</v>
      </c>
      <c r="BC1" s="1099">
        <f t="shared" ref="BC1" si="38">BC8-$I$19</f>
        <v>0.6004528985507247</v>
      </c>
      <c r="BD1" s="880">
        <f t="shared" ref="BD1" si="39">BD8-$K$19</f>
        <v>-2569230.769230769</v>
      </c>
      <c r="BE1" s="903">
        <f t="shared" ref="BE1" si="40">BE8-($D$15+$D$16)</f>
        <v>-414.68288569643966</v>
      </c>
      <c r="BF1" s="877">
        <f t="shared" ref="BF1" si="41">BF8-(BF2*$I$20+BF3*$I$26+BF4*$I$32+BF5*BA$35+BF6*BA$36+BF7*BA$39)</f>
        <v>9.1875</v>
      </c>
      <c r="BG1" s="1099">
        <f t="shared" ref="BG1" si="42">BG8-$I$19</f>
        <v>0.6004528985507247</v>
      </c>
      <c r="BH1" s="880">
        <f t="shared" ref="BH1" si="43">BH8-$K$19</f>
        <v>-2569230.769230769</v>
      </c>
      <c r="BI1" s="903">
        <f t="shared" ref="BI1" si="44">BI8-($D$15+$D$16)</f>
        <v>-414.68288569643966</v>
      </c>
      <c r="BJ1" s="877">
        <f t="shared" ref="BJ1" si="45">BJ8-(BJ2*$I$20+BJ3*$I$26+BJ4*$I$32+BJ5*BE$35+BJ6*BE$36+BJ7*BE$39)</f>
        <v>9.1875</v>
      </c>
      <c r="BK1" s="1099">
        <f t="shared" ref="BK1" si="46">BK8-$I$19</f>
        <v>0.6004528985507247</v>
      </c>
      <c r="BL1" s="880">
        <f t="shared" ref="BL1" si="47">BL8-$K$19</f>
        <v>-2569230.769230769</v>
      </c>
      <c r="BM1" s="903">
        <f t="shared" ref="BM1" si="48">BM8-($D$15+$D$16)</f>
        <v>-414.68288569643966</v>
      </c>
      <c r="BN1" s="877">
        <f t="shared" ref="BN1" si="49">BN8-(BN2*$I$20+BN3*$I$26+BN4*$I$32+BN5*BI$35+BN6*BI$36+BN7*BI$39)</f>
        <v>9.1875</v>
      </c>
      <c r="BO1" s="1099">
        <f t="shared" ref="BO1" si="50">BO8-$I$19</f>
        <v>0.6004528985507247</v>
      </c>
      <c r="BP1" s="880">
        <f t="shared" ref="BP1" si="51">BP8-$K$19</f>
        <v>-2569230.769230769</v>
      </c>
      <c r="BQ1" s="903">
        <f t="shared" ref="BQ1" si="52">BQ8-($D$15+$D$16)</f>
        <v>-414.68288569643966</v>
      </c>
      <c r="BR1" s="877">
        <f t="shared" ref="BR1" si="53">BR8-(BR2*$I$20+BR3*$I$26+BR4*$I$32+BR5*BM$35+BR6*BM$36+BR7*BM$39)</f>
        <v>9.1875</v>
      </c>
      <c r="BS1" s="1099">
        <f t="shared" ref="BS1" si="54">BS8-$I$19</f>
        <v>0.6004528985507247</v>
      </c>
      <c r="BT1" s="880">
        <f t="shared" ref="BT1" si="55">BT8-$K$19</f>
        <v>-2569230.769230769</v>
      </c>
      <c r="BU1" s="903">
        <f t="shared" ref="BU1" si="56">BU8-($D$15+$D$16)</f>
        <v>-414.68288569643966</v>
      </c>
      <c r="BV1" s="877">
        <f t="shared" ref="BV1" si="57">BV8-(BV2*$I$20+BV3*$I$26+BV4*$I$32+BV5*BQ$35+BV6*BQ$36+BV7*BQ$39)</f>
        <v>9.1875</v>
      </c>
      <c r="BW1" s="1099">
        <f t="shared" ref="BW1" si="58">BW8-$I$19</f>
        <v>0.6004528985507247</v>
      </c>
      <c r="BX1" s="880">
        <f t="shared" ref="BX1" si="59">BX8-$K$19</f>
        <v>-2569230.769230769</v>
      </c>
      <c r="BY1" s="903">
        <f t="shared" ref="BY1" si="60">BY8-($D$15+$D$16)</f>
        <v>-414.68288569643966</v>
      </c>
      <c r="BZ1" s="877">
        <f t="shared" ref="BZ1" si="61">BZ8-(BZ2*$I$20+BZ3*$I$26+BZ4*$I$32+BZ5*BU$35+BZ6*BU$36+BZ7*BU$39)</f>
        <v>9.1875</v>
      </c>
      <c r="CA1" s="1099">
        <f t="shared" ref="CA1" si="62">CA8-$I$19</f>
        <v>0.6004528985507247</v>
      </c>
      <c r="CB1" s="880">
        <f t="shared" ref="CB1" si="63">CB8-$K$19</f>
        <v>-2569230.769230769</v>
      </c>
      <c r="CC1" s="903">
        <f t="shared" ref="CC1" si="64">CC8-($D$15+$D$16)</f>
        <v>-414.68288569643966</v>
      </c>
      <c r="CD1" s="877">
        <f t="shared" ref="CD1" si="65">CD8-(CD2*$I$20+CD3*$I$26+CD4*$I$32+CD5*BY$35+CD6*BY$36+CD7*BY$39)</f>
        <v>9.1875</v>
      </c>
      <c r="CE1" s="1099">
        <f t="shared" ref="CE1" si="66">CE8-$I$19</f>
        <v>0.6004528985507247</v>
      </c>
      <c r="CF1" s="880">
        <f t="shared" ref="CF1" si="67">CF8-$K$19</f>
        <v>-2569230.769230769</v>
      </c>
      <c r="CG1" s="903">
        <f t="shared" ref="CG1" si="68">CG8-($D$15+$D$16)</f>
        <v>-414.68288569643966</v>
      </c>
      <c r="CH1" s="877">
        <f t="shared" ref="CH1" si="69">CH8-(CH2*$I$20+CH3*$I$26+CH4*$I$32+CH5*CC$35+CH6*CC$36+CH7*CC$39)</f>
        <v>9.1875</v>
      </c>
      <c r="CI1" s="1099">
        <f t="shared" ref="CI1" si="70">CI8-$I$19</f>
        <v>0.6004528985507247</v>
      </c>
      <c r="CJ1" s="880">
        <f t="shared" ref="CJ1" si="71">CJ8-$K$19</f>
        <v>-2569230.769230769</v>
      </c>
      <c r="CK1" s="903">
        <f t="shared" ref="CK1" si="72">CK8-($D$15+$D$16)</f>
        <v>-414.68288569643966</v>
      </c>
      <c r="CL1" s="877">
        <f t="shared" ref="CL1" si="73">CL8-(CL2*$I$20+CL3*$I$26+CL4*$I$32+CL5*CG$35+CL6*CG$36+CL7*CG$39)</f>
        <v>9.1875</v>
      </c>
      <c r="CM1" s="1099">
        <f t="shared" ref="CM1" si="74">CM8-$I$19</f>
        <v>0.6004528985507247</v>
      </c>
      <c r="CN1" s="880">
        <f t="shared" ref="CN1" si="75">CN8-$K$19</f>
        <v>-2569230.769230769</v>
      </c>
      <c r="CO1" s="903">
        <f t="shared" ref="CO1" si="76">CO8-($D$15+$D$16)</f>
        <v>-414.68288569643966</v>
      </c>
      <c r="CP1" s="877">
        <f t="shared" ref="CP1" si="77">CP8-(CP2*$I$20+CP3*$I$26+CP4*$I$32+CP5*CK$35+CP6*CK$36+CP7*CK$39)</f>
        <v>9.1875</v>
      </c>
      <c r="CQ1" s="1099">
        <f t="shared" ref="CQ1" si="78">CQ8-$I$19</f>
        <v>0.6004528985507247</v>
      </c>
      <c r="CR1" s="880">
        <f t="shared" ref="CR1" si="79">CR8-$K$19</f>
        <v>-2569230.769230769</v>
      </c>
      <c r="CS1" s="903">
        <f t="shared" ref="CS1" si="80">CS8-($D$15+$D$16)</f>
        <v>-414.68288569643966</v>
      </c>
      <c r="CT1" s="877">
        <f t="shared" ref="CT1" si="81">CT8-(CT2*$I$20+CT3*$I$26+CT4*$I$32+CT5*CO$35+CT6*CO$36+CT7*CO$39)</f>
        <v>9.1875</v>
      </c>
      <c r="CU1" s="1099">
        <f t="shared" ref="CU1" si="82">CU8-$I$19</f>
        <v>0.6004528985507247</v>
      </c>
      <c r="CV1" s="880">
        <f t="shared" ref="CV1" si="83">CV8-$K$19</f>
        <v>-2569230.769230769</v>
      </c>
      <c r="CW1" s="903">
        <f t="shared" ref="CW1" si="84">CW8-($D$15+$D$16)</f>
        <v>-414.68288569643966</v>
      </c>
      <c r="CX1" s="877">
        <f t="shared" ref="CX1" si="85">CX8-(CX2*$I$20+CX3*$I$26+CX4*$I$32+CX5*CS$35+CX6*CS$36+CX7*CS$39)</f>
        <v>9.1875</v>
      </c>
      <c r="CY1" s="1099">
        <f t="shared" ref="CY1" si="86">CY8-$I$19</f>
        <v>0.6004528985507247</v>
      </c>
      <c r="CZ1" s="880">
        <f t="shared" ref="CZ1" si="87">CZ8-$K$19</f>
        <v>-2569230.769230769</v>
      </c>
      <c r="DA1" s="903">
        <f t="shared" ref="DA1" si="88">DA8-($D$15+$D$16)</f>
        <v>-414.68288569643966</v>
      </c>
      <c r="DB1" s="877">
        <f t="shared" ref="DB1" si="89">DB8-(DB2*$I$20+DB3*$I$26+DB4*$I$32+DB5*CW$35+DB6*CW$36+DB7*CW$39)</f>
        <v>9.1875</v>
      </c>
      <c r="DC1" s="1099">
        <f t="shared" ref="DC1" si="90">DC8-$I$19</f>
        <v>0.6004528985507247</v>
      </c>
      <c r="DD1" s="880">
        <f t="shared" ref="DD1" si="91">DD8-$K$19</f>
        <v>-2569230.769230769</v>
      </c>
      <c r="DE1" s="903">
        <f t="shared" ref="DE1" si="92">DE8-($D$15+$D$16)</f>
        <v>-414.68288569643966</v>
      </c>
      <c r="DF1" s="877">
        <f t="shared" ref="DF1" si="93">DF8-(DF2*$I$20+DF3*$I$26+DF4*$I$32+DF5*DA$35+DF6*DA$36+DF7*DA$39)</f>
        <v>9.1875</v>
      </c>
      <c r="DG1" s="1099">
        <f t="shared" ref="DG1" si="94">DG8-$I$19</f>
        <v>0.6004528985507247</v>
      </c>
      <c r="DH1" s="880">
        <f t="shared" ref="DH1" si="95">DH8-$K$19</f>
        <v>-2569230.769230769</v>
      </c>
      <c r="DI1" s="903">
        <f t="shared" ref="DI1" si="96">DI8-($D$15+$D$16)</f>
        <v>-414.68288569643966</v>
      </c>
      <c r="DJ1" s="877">
        <f t="shared" ref="DJ1" si="97">DJ8-(DJ2*$I$20+DJ3*$I$26+DJ4*$I$32+DJ5*DE$35+DJ6*DE$36+DJ7*DE$39)</f>
        <v>9.1875</v>
      </c>
      <c r="DK1" s="1099">
        <f t="shared" ref="DK1" si="98">DK8-$I$19</f>
        <v>0.6004528985507247</v>
      </c>
      <c r="DL1" s="880">
        <f t="shared" ref="DL1" si="99">DL8-$K$19</f>
        <v>-2569230.769230769</v>
      </c>
      <c r="DM1" s="903">
        <f t="shared" ref="DM1" si="100">DM8-($D$15+$D$16)</f>
        <v>-414.68288569643966</v>
      </c>
      <c r="DN1" s="877">
        <f t="shared" ref="DN1" si="101">DN8-(DN2*$I$20+DN3*$I$26+DN4*$I$32+DN5*DI$35+DN6*DI$36+DN7*DI$39)</f>
        <v>9.1875</v>
      </c>
      <c r="DO1" s="1099">
        <f t="shared" ref="DO1" si="102">DO8-$I$19</f>
        <v>0.6004528985507247</v>
      </c>
      <c r="DP1" s="880">
        <f t="shared" ref="DP1" si="103">DP8-$K$19</f>
        <v>-2569230.769230769</v>
      </c>
      <c r="DQ1" s="903">
        <f t="shared" ref="DQ1" si="104">DQ8-($D$15+$D$16)</f>
        <v>-414.68288569643966</v>
      </c>
      <c r="DR1" s="877">
        <f t="shared" ref="DR1" si="105">DR8-(DR2*$I$20+DR3*$I$26+DR4*$I$32+DR5*DM$35+DR6*DM$36+DR7*DM$39)</f>
        <v>9.1875</v>
      </c>
      <c r="DS1" s="1099">
        <f t="shared" ref="DS1" si="106">DS8-$I$19</f>
        <v>0.6004528985507247</v>
      </c>
      <c r="DT1" s="880">
        <f t="shared" ref="DT1" si="107">DT8-$K$19</f>
        <v>-2569230.769230769</v>
      </c>
      <c r="DU1" s="903">
        <f t="shared" ref="DU1" si="108">DU8-($D$15+$D$16)</f>
        <v>-414.68288569643966</v>
      </c>
      <c r="DV1" s="877">
        <f t="shared" ref="DV1" si="109">DV8-(DV2*$I$20+DV3*$I$26+DV4*$I$32+DV5*DQ$35+DV6*DQ$36+DV7*DQ$39)</f>
        <v>9.1875</v>
      </c>
      <c r="DW1" s="1099">
        <f t="shared" ref="DW1" si="110">DW8-$I$19</f>
        <v>0.6004528985507247</v>
      </c>
      <c r="DX1" s="880">
        <f t="shared" ref="DX1" si="111">DX8-$K$19</f>
        <v>-2569230.769230769</v>
      </c>
      <c r="DY1" s="903">
        <f t="shared" ref="DY1" si="112">DY8-($D$15+$D$16)</f>
        <v>-414.68288569643966</v>
      </c>
      <c r="DZ1" s="877">
        <f t="shared" ref="DZ1" si="113">DZ8-(DZ2*$I$20+DZ3*$I$26+DZ4*$I$32+DZ5*DU$35+DZ6*DU$36+DZ7*DU$39)</f>
        <v>9.1875</v>
      </c>
      <c r="EA1" s="1099">
        <f t="shared" ref="EA1" si="114">EA8-$I$19</f>
        <v>0.6004528985507247</v>
      </c>
      <c r="EB1" s="880">
        <f t="shared" ref="EB1" si="115">EB8-$K$19</f>
        <v>-2569230.769230769</v>
      </c>
      <c r="EC1" s="903">
        <f t="shared" ref="EC1" si="116">EC8-($D$15+$D$16)</f>
        <v>-414.68288569643966</v>
      </c>
      <c r="ED1" s="877">
        <f t="shared" ref="ED1" si="117">ED8-(ED2*$I$20+ED3*$I$26+ED4*$I$32+ED5*DY$35+ED6*DY$36+ED7*DY$39)</f>
        <v>9.1875</v>
      </c>
      <c r="EE1" s="1099">
        <f t="shared" ref="EE1" si="118">EE8-$I$19</f>
        <v>0.6004528985507247</v>
      </c>
      <c r="EF1" s="880">
        <f t="shared" ref="EF1" si="119">EF8-$K$19</f>
        <v>-2569230.769230769</v>
      </c>
    </row>
    <row r="2" spans="1:136" ht="20" customHeight="1" x14ac:dyDescent="0.15">
      <c r="A2" s="95" t="s">
        <v>113</v>
      </c>
      <c r="B2" s="97">
        <v>2024</v>
      </c>
      <c r="C2" s="781" t="str">
        <f>F4</f>
        <v>Person #2</v>
      </c>
      <c r="D2" s="16"/>
      <c r="E2" s="1387" t="str">
        <f>'Action Plan'!L2</f>
        <v>Person in charge</v>
      </c>
      <c r="F2" s="1311"/>
      <c r="G2" s="1311"/>
      <c r="H2" s="1311"/>
      <c r="I2" s="782">
        <f>$H$20</f>
        <v>1</v>
      </c>
      <c r="J2" s="1092">
        <f>IF($E$19=0,0,K2/$E$19)</f>
        <v>0.234375</v>
      </c>
      <c r="K2" s="871">
        <f>$E$20</f>
        <v>23250000</v>
      </c>
      <c r="L2" s="875" t="str">
        <f>C20</f>
        <v>FACEBOOK</v>
      </c>
      <c r="M2" s="901">
        <f t="shared" ref="M2:BX2" si="120">M$20</f>
        <v>15</v>
      </c>
      <c r="N2" s="878">
        <f t="shared" si="120"/>
        <v>15</v>
      </c>
      <c r="O2" s="1093">
        <f>O$20</f>
        <v>1</v>
      </c>
      <c r="P2" s="881">
        <f>P$20</f>
        <v>750000</v>
      </c>
      <c r="Q2" s="901">
        <f t="shared" si="120"/>
        <v>15</v>
      </c>
      <c r="R2" s="878">
        <f t="shared" si="120"/>
        <v>15</v>
      </c>
      <c r="S2" s="1093">
        <f t="shared" si="120"/>
        <v>1</v>
      </c>
      <c r="T2" s="881">
        <f t="shared" si="120"/>
        <v>750000</v>
      </c>
      <c r="U2" s="901">
        <f t="shared" si="120"/>
        <v>15</v>
      </c>
      <c r="V2" s="878">
        <f t="shared" si="120"/>
        <v>15</v>
      </c>
      <c r="W2" s="1093">
        <f t="shared" si="120"/>
        <v>1</v>
      </c>
      <c r="X2" s="881">
        <f t="shared" si="120"/>
        <v>750000</v>
      </c>
      <c r="Y2" s="901">
        <f t="shared" si="120"/>
        <v>15</v>
      </c>
      <c r="Z2" s="878">
        <f t="shared" si="120"/>
        <v>15</v>
      </c>
      <c r="AA2" s="1093">
        <f t="shared" si="120"/>
        <v>1</v>
      </c>
      <c r="AB2" s="881">
        <f t="shared" si="120"/>
        <v>750000</v>
      </c>
      <c r="AC2" s="901">
        <f t="shared" si="120"/>
        <v>15</v>
      </c>
      <c r="AD2" s="878">
        <f t="shared" si="120"/>
        <v>15</v>
      </c>
      <c r="AE2" s="1093">
        <f t="shared" si="120"/>
        <v>1</v>
      </c>
      <c r="AF2" s="881">
        <f t="shared" si="120"/>
        <v>750000</v>
      </c>
      <c r="AG2" s="901">
        <f t="shared" si="120"/>
        <v>15</v>
      </c>
      <c r="AH2" s="878">
        <f t="shared" si="120"/>
        <v>15</v>
      </c>
      <c r="AI2" s="1093">
        <f t="shared" si="120"/>
        <v>1</v>
      </c>
      <c r="AJ2" s="881">
        <f t="shared" si="120"/>
        <v>750000</v>
      </c>
      <c r="AK2" s="901">
        <f t="shared" si="120"/>
        <v>15</v>
      </c>
      <c r="AL2" s="878">
        <f t="shared" si="120"/>
        <v>15</v>
      </c>
      <c r="AM2" s="1093">
        <f t="shared" si="120"/>
        <v>1</v>
      </c>
      <c r="AN2" s="881">
        <f t="shared" si="120"/>
        <v>750000</v>
      </c>
      <c r="AO2" s="901">
        <f t="shared" si="120"/>
        <v>15</v>
      </c>
      <c r="AP2" s="878">
        <f t="shared" si="120"/>
        <v>15</v>
      </c>
      <c r="AQ2" s="1093">
        <f t="shared" si="120"/>
        <v>1</v>
      </c>
      <c r="AR2" s="881">
        <f t="shared" si="120"/>
        <v>750000</v>
      </c>
      <c r="AS2" s="901">
        <f t="shared" si="120"/>
        <v>15</v>
      </c>
      <c r="AT2" s="878">
        <f t="shared" si="120"/>
        <v>15</v>
      </c>
      <c r="AU2" s="1093">
        <f t="shared" si="120"/>
        <v>1</v>
      </c>
      <c r="AV2" s="881">
        <f t="shared" si="120"/>
        <v>750000</v>
      </c>
      <c r="AW2" s="901">
        <f t="shared" si="120"/>
        <v>15</v>
      </c>
      <c r="AX2" s="878">
        <f t="shared" si="120"/>
        <v>15</v>
      </c>
      <c r="AY2" s="1093">
        <f t="shared" si="120"/>
        <v>1</v>
      </c>
      <c r="AZ2" s="881">
        <f t="shared" si="120"/>
        <v>750000</v>
      </c>
      <c r="BA2" s="901">
        <f t="shared" si="120"/>
        <v>15</v>
      </c>
      <c r="BB2" s="878">
        <f t="shared" si="120"/>
        <v>15</v>
      </c>
      <c r="BC2" s="1093">
        <f t="shared" si="120"/>
        <v>1</v>
      </c>
      <c r="BD2" s="881">
        <f t="shared" si="120"/>
        <v>750000</v>
      </c>
      <c r="BE2" s="901">
        <f t="shared" si="120"/>
        <v>15</v>
      </c>
      <c r="BF2" s="878">
        <f t="shared" si="120"/>
        <v>15</v>
      </c>
      <c r="BG2" s="1093">
        <f t="shared" si="120"/>
        <v>1</v>
      </c>
      <c r="BH2" s="881">
        <f t="shared" si="120"/>
        <v>750000</v>
      </c>
      <c r="BI2" s="901">
        <f t="shared" si="120"/>
        <v>15</v>
      </c>
      <c r="BJ2" s="878">
        <f t="shared" si="120"/>
        <v>15</v>
      </c>
      <c r="BK2" s="1093">
        <f t="shared" si="120"/>
        <v>1</v>
      </c>
      <c r="BL2" s="881">
        <f t="shared" si="120"/>
        <v>750000</v>
      </c>
      <c r="BM2" s="901">
        <f t="shared" si="120"/>
        <v>15</v>
      </c>
      <c r="BN2" s="878">
        <f t="shared" si="120"/>
        <v>15</v>
      </c>
      <c r="BO2" s="1093">
        <f t="shared" si="120"/>
        <v>1</v>
      </c>
      <c r="BP2" s="881">
        <f t="shared" si="120"/>
        <v>750000</v>
      </c>
      <c r="BQ2" s="901">
        <f t="shared" si="120"/>
        <v>15</v>
      </c>
      <c r="BR2" s="878">
        <f t="shared" si="120"/>
        <v>15</v>
      </c>
      <c r="BS2" s="1093">
        <f t="shared" si="120"/>
        <v>1</v>
      </c>
      <c r="BT2" s="881">
        <f t="shared" si="120"/>
        <v>750000</v>
      </c>
      <c r="BU2" s="901">
        <f t="shared" si="120"/>
        <v>15</v>
      </c>
      <c r="BV2" s="878">
        <f t="shared" si="120"/>
        <v>15</v>
      </c>
      <c r="BW2" s="1093">
        <f t="shared" si="120"/>
        <v>1</v>
      </c>
      <c r="BX2" s="881">
        <f t="shared" si="120"/>
        <v>750000</v>
      </c>
      <c r="BY2" s="901">
        <f t="shared" ref="BY2:EF2" si="121">BY$20</f>
        <v>15</v>
      </c>
      <c r="BZ2" s="878">
        <f t="shared" si="121"/>
        <v>15</v>
      </c>
      <c r="CA2" s="1093">
        <f t="shared" si="121"/>
        <v>1</v>
      </c>
      <c r="CB2" s="881">
        <f t="shared" si="121"/>
        <v>750000</v>
      </c>
      <c r="CC2" s="901">
        <f t="shared" si="121"/>
        <v>15</v>
      </c>
      <c r="CD2" s="878">
        <f t="shared" si="121"/>
        <v>15</v>
      </c>
      <c r="CE2" s="1093">
        <f t="shared" si="121"/>
        <v>1</v>
      </c>
      <c r="CF2" s="881">
        <f t="shared" si="121"/>
        <v>750000</v>
      </c>
      <c r="CG2" s="901">
        <f t="shared" si="121"/>
        <v>15</v>
      </c>
      <c r="CH2" s="878">
        <f t="shared" si="121"/>
        <v>15</v>
      </c>
      <c r="CI2" s="1093">
        <f t="shared" si="121"/>
        <v>1</v>
      </c>
      <c r="CJ2" s="881">
        <f t="shared" si="121"/>
        <v>750000</v>
      </c>
      <c r="CK2" s="901">
        <f t="shared" si="121"/>
        <v>15</v>
      </c>
      <c r="CL2" s="878">
        <f t="shared" si="121"/>
        <v>15</v>
      </c>
      <c r="CM2" s="1093">
        <f t="shared" si="121"/>
        <v>1</v>
      </c>
      <c r="CN2" s="881">
        <f t="shared" si="121"/>
        <v>750000</v>
      </c>
      <c r="CO2" s="901">
        <f t="shared" si="121"/>
        <v>15</v>
      </c>
      <c r="CP2" s="878">
        <f t="shared" si="121"/>
        <v>15</v>
      </c>
      <c r="CQ2" s="1093">
        <f t="shared" si="121"/>
        <v>1</v>
      </c>
      <c r="CR2" s="881">
        <f t="shared" si="121"/>
        <v>750000</v>
      </c>
      <c r="CS2" s="901">
        <f t="shared" si="121"/>
        <v>15</v>
      </c>
      <c r="CT2" s="878">
        <f t="shared" si="121"/>
        <v>15</v>
      </c>
      <c r="CU2" s="1093">
        <f t="shared" si="121"/>
        <v>1</v>
      </c>
      <c r="CV2" s="881">
        <f t="shared" si="121"/>
        <v>750000</v>
      </c>
      <c r="CW2" s="901">
        <f t="shared" si="121"/>
        <v>15</v>
      </c>
      <c r="CX2" s="878">
        <f t="shared" si="121"/>
        <v>15</v>
      </c>
      <c r="CY2" s="1093">
        <f t="shared" si="121"/>
        <v>1</v>
      </c>
      <c r="CZ2" s="881">
        <f t="shared" si="121"/>
        <v>750000</v>
      </c>
      <c r="DA2" s="901">
        <f t="shared" si="121"/>
        <v>15</v>
      </c>
      <c r="DB2" s="878">
        <f t="shared" si="121"/>
        <v>15</v>
      </c>
      <c r="DC2" s="1093">
        <f t="shared" si="121"/>
        <v>1</v>
      </c>
      <c r="DD2" s="881">
        <f t="shared" si="121"/>
        <v>750000</v>
      </c>
      <c r="DE2" s="901">
        <f t="shared" si="121"/>
        <v>15</v>
      </c>
      <c r="DF2" s="878">
        <f t="shared" si="121"/>
        <v>15</v>
      </c>
      <c r="DG2" s="1093">
        <f t="shared" si="121"/>
        <v>1</v>
      </c>
      <c r="DH2" s="881">
        <f t="shared" si="121"/>
        <v>750000</v>
      </c>
      <c r="DI2" s="901">
        <f t="shared" si="121"/>
        <v>15</v>
      </c>
      <c r="DJ2" s="878">
        <f t="shared" si="121"/>
        <v>15</v>
      </c>
      <c r="DK2" s="1093">
        <f t="shared" si="121"/>
        <v>1</v>
      </c>
      <c r="DL2" s="881">
        <f t="shared" si="121"/>
        <v>750000</v>
      </c>
      <c r="DM2" s="901">
        <f t="shared" si="121"/>
        <v>15</v>
      </c>
      <c r="DN2" s="878">
        <f t="shared" si="121"/>
        <v>15</v>
      </c>
      <c r="DO2" s="1093">
        <f t="shared" si="121"/>
        <v>1</v>
      </c>
      <c r="DP2" s="881">
        <f t="shared" si="121"/>
        <v>750000</v>
      </c>
      <c r="DQ2" s="901">
        <f t="shared" si="121"/>
        <v>15</v>
      </c>
      <c r="DR2" s="878">
        <f t="shared" si="121"/>
        <v>15</v>
      </c>
      <c r="DS2" s="1093">
        <f t="shared" si="121"/>
        <v>1</v>
      </c>
      <c r="DT2" s="881">
        <f t="shared" si="121"/>
        <v>750000</v>
      </c>
      <c r="DU2" s="901">
        <f t="shared" si="121"/>
        <v>15</v>
      </c>
      <c r="DV2" s="878">
        <f t="shared" si="121"/>
        <v>15</v>
      </c>
      <c r="DW2" s="1093">
        <f t="shared" si="121"/>
        <v>1</v>
      </c>
      <c r="DX2" s="881">
        <f t="shared" si="121"/>
        <v>750000</v>
      </c>
      <c r="DY2" s="901">
        <f t="shared" si="121"/>
        <v>15</v>
      </c>
      <c r="DZ2" s="878">
        <f t="shared" si="121"/>
        <v>15</v>
      </c>
      <c r="EA2" s="1093">
        <f t="shared" si="121"/>
        <v>1</v>
      </c>
      <c r="EB2" s="881">
        <f t="shared" si="121"/>
        <v>750000</v>
      </c>
      <c r="EC2" s="901">
        <f t="shared" si="121"/>
        <v>15</v>
      </c>
      <c r="ED2" s="878">
        <f t="shared" si="121"/>
        <v>15</v>
      </c>
      <c r="EE2" s="1093">
        <f t="shared" si="121"/>
        <v>1</v>
      </c>
      <c r="EF2" s="881">
        <f t="shared" si="121"/>
        <v>750000</v>
      </c>
    </row>
    <row r="3" spans="1:136" ht="20" customHeight="1" thickBot="1" x14ac:dyDescent="0.2">
      <c r="A3" s="95" t="s">
        <v>114</v>
      </c>
      <c r="B3" s="97">
        <v>12</v>
      </c>
      <c r="C3" s="799">
        <f>F6</f>
        <v>0.3</v>
      </c>
      <c r="D3" s="16"/>
      <c r="E3" s="808" t="b">
        <v>1</v>
      </c>
      <c r="F3" s="808" t="b">
        <v>1</v>
      </c>
      <c r="G3" s="808" t="b">
        <v>1</v>
      </c>
      <c r="H3" s="808" t="b">
        <v>1</v>
      </c>
      <c r="I3" s="782">
        <f>$H$26</f>
        <v>0.76666666666666605</v>
      </c>
      <c r="J3" s="1092">
        <f t="shared" ref="J3:J7" si="122">IF($E$19=0,0,K3/$E$19)</f>
        <v>0.15625</v>
      </c>
      <c r="K3" s="871">
        <f>$E$26</f>
        <v>15500000</v>
      </c>
      <c r="L3" s="876" t="str">
        <f>C26</f>
        <v>LANDING PAGE</v>
      </c>
      <c r="M3" s="901">
        <f t="shared" ref="M3:BX3" si="123">M$26</f>
        <v>15</v>
      </c>
      <c r="N3" s="878">
        <f t="shared" si="123"/>
        <v>12</v>
      </c>
      <c r="O3" s="1093">
        <f t="shared" si="123"/>
        <v>0.76666666666666661</v>
      </c>
      <c r="P3" s="881">
        <f t="shared" si="123"/>
        <v>500000</v>
      </c>
      <c r="Q3" s="901">
        <f t="shared" si="123"/>
        <v>15</v>
      </c>
      <c r="R3" s="878">
        <f t="shared" si="123"/>
        <v>12</v>
      </c>
      <c r="S3" s="1093">
        <f t="shared" si="123"/>
        <v>0.76666666666666661</v>
      </c>
      <c r="T3" s="881">
        <f t="shared" si="123"/>
        <v>500000</v>
      </c>
      <c r="U3" s="901">
        <f t="shared" si="123"/>
        <v>15</v>
      </c>
      <c r="V3" s="878">
        <f t="shared" si="123"/>
        <v>12</v>
      </c>
      <c r="W3" s="1093">
        <f t="shared" si="123"/>
        <v>0.76666666666666661</v>
      </c>
      <c r="X3" s="881">
        <f t="shared" si="123"/>
        <v>500000</v>
      </c>
      <c r="Y3" s="901">
        <f t="shared" si="123"/>
        <v>15</v>
      </c>
      <c r="Z3" s="878">
        <f t="shared" si="123"/>
        <v>12</v>
      </c>
      <c r="AA3" s="1093">
        <f t="shared" si="123"/>
        <v>0.76666666666666661</v>
      </c>
      <c r="AB3" s="881">
        <f t="shared" si="123"/>
        <v>500000</v>
      </c>
      <c r="AC3" s="901">
        <f t="shared" si="123"/>
        <v>15</v>
      </c>
      <c r="AD3" s="878">
        <f t="shared" si="123"/>
        <v>12</v>
      </c>
      <c r="AE3" s="1093">
        <f t="shared" si="123"/>
        <v>0.76666666666666661</v>
      </c>
      <c r="AF3" s="881">
        <f t="shared" si="123"/>
        <v>500000</v>
      </c>
      <c r="AG3" s="901">
        <f t="shared" si="123"/>
        <v>15</v>
      </c>
      <c r="AH3" s="878">
        <f t="shared" si="123"/>
        <v>12</v>
      </c>
      <c r="AI3" s="1093">
        <f t="shared" si="123"/>
        <v>0.76666666666666661</v>
      </c>
      <c r="AJ3" s="881">
        <f t="shared" si="123"/>
        <v>500000</v>
      </c>
      <c r="AK3" s="901">
        <f t="shared" si="123"/>
        <v>15</v>
      </c>
      <c r="AL3" s="878">
        <f t="shared" si="123"/>
        <v>12</v>
      </c>
      <c r="AM3" s="1093">
        <f t="shared" si="123"/>
        <v>0.76666666666666661</v>
      </c>
      <c r="AN3" s="881">
        <f t="shared" si="123"/>
        <v>500000</v>
      </c>
      <c r="AO3" s="901">
        <f t="shared" si="123"/>
        <v>15</v>
      </c>
      <c r="AP3" s="878">
        <f t="shared" si="123"/>
        <v>12</v>
      </c>
      <c r="AQ3" s="1093">
        <f t="shared" si="123"/>
        <v>0.76666666666666661</v>
      </c>
      <c r="AR3" s="881">
        <f t="shared" si="123"/>
        <v>500000</v>
      </c>
      <c r="AS3" s="901">
        <f t="shared" si="123"/>
        <v>15</v>
      </c>
      <c r="AT3" s="878">
        <f t="shared" si="123"/>
        <v>12</v>
      </c>
      <c r="AU3" s="1093">
        <f t="shared" si="123"/>
        <v>0.76666666666666661</v>
      </c>
      <c r="AV3" s="881">
        <f t="shared" si="123"/>
        <v>500000</v>
      </c>
      <c r="AW3" s="901">
        <f t="shared" si="123"/>
        <v>15</v>
      </c>
      <c r="AX3" s="878">
        <f t="shared" si="123"/>
        <v>12</v>
      </c>
      <c r="AY3" s="1093">
        <f t="shared" si="123"/>
        <v>0.76666666666666661</v>
      </c>
      <c r="AZ3" s="881">
        <f t="shared" si="123"/>
        <v>500000</v>
      </c>
      <c r="BA3" s="901">
        <f t="shared" si="123"/>
        <v>15</v>
      </c>
      <c r="BB3" s="878">
        <f t="shared" si="123"/>
        <v>12</v>
      </c>
      <c r="BC3" s="1093">
        <f t="shared" si="123"/>
        <v>0.76666666666666661</v>
      </c>
      <c r="BD3" s="881">
        <f t="shared" si="123"/>
        <v>500000</v>
      </c>
      <c r="BE3" s="901">
        <f t="shared" si="123"/>
        <v>15</v>
      </c>
      <c r="BF3" s="878">
        <f t="shared" si="123"/>
        <v>12</v>
      </c>
      <c r="BG3" s="1093">
        <f t="shared" si="123"/>
        <v>0.76666666666666661</v>
      </c>
      <c r="BH3" s="881">
        <f t="shared" si="123"/>
        <v>500000</v>
      </c>
      <c r="BI3" s="901">
        <f t="shared" si="123"/>
        <v>15</v>
      </c>
      <c r="BJ3" s="878">
        <f t="shared" si="123"/>
        <v>12</v>
      </c>
      <c r="BK3" s="1093">
        <f t="shared" si="123"/>
        <v>0.76666666666666661</v>
      </c>
      <c r="BL3" s="881">
        <f t="shared" si="123"/>
        <v>500000</v>
      </c>
      <c r="BM3" s="901">
        <f t="shared" si="123"/>
        <v>15</v>
      </c>
      <c r="BN3" s="878">
        <f t="shared" si="123"/>
        <v>12</v>
      </c>
      <c r="BO3" s="1093">
        <f t="shared" si="123"/>
        <v>0.76666666666666661</v>
      </c>
      <c r="BP3" s="881">
        <f t="shared" si="123"/>
        <v>500000</v>
      </c>
      <c r="BQ3" s="901">
        <f t="shared" si="123"/>
        <v>15</v>
      </c>
      <c r="BR3" s="878">
        <f t="shared" si="123"/>
        <v>12</v>
      </c>
      <c r="BS3" s="1093">
        <f t="shared" si="123"/>
        <v>0.76666666666666661</v>
      </c>
      <c r="BT3" s="881">
        <f t="shared" si="123"/>
        <v>500000</v>
      </c>
      <c r="BU3" s="901">
        <f t="shared" si="123"/>
        <v>15</v>
      </c>
      <c r="BV3" s="878">
        <f t="shared" si="123"/>
        <v>12</v>
      </c>
      <c r="BW3" s="1093">
        <f t="shared" si="123"/>
        <v>0.76666666666666661</v>
      </c>
      <c r="BX3" s="881">
        <f t="shared" si="123"/>
        <v>500000</v>
      </c>
      <c r="BY3" s="901">
        <f t="shared" ref="BY3:EF3" si="124">BY$26</f>
        <v>15</v>
      </c>
      <c r="BZ3" s="878">
        <f t="shared" si="124"/>
        <v>12</v>
      </c>
      <c r="CA3" s="1093">
        <f t="shared" si="124"/>
        <v>0.76666666666666661</v>
      </c>
      <c r="CB3" s="881">
        <f t="shared" si="124"/>
        <v>500000</v>
      </c>
      <c r="CC3" s="901">
        <f t="shared" si="124"/>
        <v>15</v>
      </c>
      <c r="CD3" s="878">
        <f t="shared" si="124"/>
        <v>12</v>
      </c>
      <c r="CE3" s="1093">
        <f t="shared" si="124"/>
        <v>0.76666666666666661</v>
      </c>
      <c r="CF3" s="881">
        <f t="shared" si="124"/>
        <v>500000</v>
      </c>
      <c r="CG3" s="901">
        <f t="shared" si="124"/>
        <v>15</v>
      </c>
      <c r="CH3" s="878">
        <f t="shared" si="124"/>
        <v>12</v>
      </c>
      <c r="CI3" s="1093">
        <f t="shared" si="124"/>
        <v>0.76666666666666661</v>
      </c>
      <c r="CJ3" s="881">
        <f t="shared" si="124"/>
        <v>500000</v>
      </c>
      <c r="CK3" s="901">
        <f t="shared" si="124"/>
        <v>15</v>
      </c>
      <c r="CL3" s="878">
        <f t="shared" si="124"/>
        <v>12</v>
      </c>
      <c r="CM3" s="1093">
        <f t="shared" si="124"/>
        <v>0.76666666666666661</v>
      </c>
      <c r="CN3" s="881">
        <f t="shared" si="124"/>
        <v>500000</v>
      </c>
      <c r="CO3" s="901">
        <f t="shared" si="124"/>
        <v>15</v>
      </c>
      <c r="CP3" s="878">
        <f t="shared" si="124"/>
        <v>12</v>
      </c>
      <c r="CQ3" s="1093">
        <f t="shared" si="124"/>
        <v>0.76666666666666661</v>
      </c>
      <c r="CR3" s="881">
        <f t="shared" si="124"/>
        <v>500000</v>
      </c>
      <c r="CS3" s="901">
        <f t="shared" si="124"/>
        <v>15</v>
      </c>
      <c r="CT3" s="878">
        <f t="shared" si="124"/>
        <v>12</v>
      </c>
      <c r="CU3" s="1093">
        <f t="shared" si="124"/>
        <v>0.76666666666666661</v>
      </c>
      <c r="CV3" s="881">
        <f t="shared" si="124"/>
        <v>500000</v>
      </c>
      <c r="CW3" s="901">
        <f t="shared" si="124"/>
        <v>15</v>
      </c>
      <c r="CX3" s="878">
        <f t="shared" si="124"/>
        <v>12</v>
      </c>
      <c r="CY3" s="1093">
        <f t="shared" si="124"/>
        <v>0.76666666666666661</v>
      </c>
      <c r="CZ3" s="881">
        <f t="shared" si="124"/>
        <v>500000</v>
      </c>
      <c r="DA3" s="901">
        <f t="shared" si="124"/>
        <v>15</v>
      </c>
      <c r="DB3" s="878">
        <f t="shared" si="124"/>
        <v>12</v>
      </c>
      <c r="DC3" s="1093">
        <f t="shared" si="124"/>
        <v>0.76666666666666661</v>
      </c>
      <c r="DD3" s="881">
        <f t="shared" si="124"/>
        <v>500000</v>
      </c>
      <c r="DE3" s="901">
        <f t="shared" si="124"/>
        <v>15</v>
      </c>
      <c r="DF3" s="878">
        <f t="shared" si="124"/>
        <v>12</v>
      </c>
      <c r="DG3" s="1093">
        <f t="shared" si="124"/>
        <v>0.76666666666666661</v>
      </c>
      <c r="DH3" s="881">
        <f t="shared" si="124"/>
        <v>500000</v>
      </c>
      <c r="DI3" s="901">
        <f t="shared" si="124"/>
        <v>15</v>
      </c>
      <c r="DJ3" s="878">
        <f t="shared" si="124"/>
        <v>12</v>
      </c>
      <c r="DK3" s="1093">
        <f t="shared" si="124"/>
        <v>0.76666666666666661</v>
      </c>
      <c r="DL3" s="881">
        <f t="shared" si="124"/>
        <v>500000</v>
      </c>
      <c r="DM3" s="901">
        <f t="shared" si="124"/>
        <v>15</v>
      </c>
      <c r="DN3" s="878">
        <f t="shared" si="124"/>
        <v>12</v>
      </c>
      <c r="DO3" s="1093">
        <f t="shared" si="124"/>
        <v>0.76666666666666661</v>
      </c>
      <c r="DP3" s="881">
        <f t="shared" si="124"/>
        <v>500000</v>
      </c>
      <c r="DQ3" s="901">
        <f t="shared" si="124"/>
        <v>15</v>
      </c>
      <c r="DR3" s="878">
        <f t="shared" si="124"/>
        <v>12</v>
      </c>
      <c r="DS3" s="1093">
        <f t="shared" si="124"/>
        <v>0.76666666666666661</v>
      </c>
      <c r="DT3" s="881">
        <f t="shared" si="124"/>
        <v>500000</v>
      </c>
      <c r="DU3" s="901">
        <f t="shared" si="124"/>
        <v>15</v>
      </c>
      <c r="DV3" s="878">
        <f t="shared" si="124"/>
        <v>12</v>
      </c>
      <c r="DW3" s="1093">
        <f t="shared" si="124"/>
        <v>0.76666666666666661</v>
      </c>
      <c r="DX3" s="881">
        <f t="shared" si="124"/>
        <v>500000</v>
      </c>
      <c r="DY3" s="901">
        <f t="shared" si="124"/>
        <v>15</v>
      </c>
      <c r="DZ3" s="878">
        <f t="shared" si="124"/>
        <v>12</v>
      </c>
      <c r="EA3" s="1093">
        <f t="shared" si="124"/>
        <v>0.76666666666666661</v>
      </c>
      <c r="EB3" s="881">
        <f t="shared" si="124"/>
        <v>500000</v>
      </c>
      <c r="EC3" s="901">
        <f t="shared" si="124"/>
        <v>15</v>
      </c>
      <c r="ED3" s="878">
        <f t="shared" si="124"/>
        <v>12</v>
      </c>
      <c r="EE3" s="1093">
        <f t="shared" si="124"/>
        <v>0.76666666666666661</v>
      </c>
      <c r="EF3" s="881">
        <f t="shared" si="124"/>
        <v>500000</v>
      </c>
    </row>
    <row r="4" spans="1:136" ht="20" customHeight="1" thickBot="1" x14ac:dyDescent="0.2">
      <c r="A4" s="95" t="s">
        <v>79</v>
      </c>
      <c r="B4" s="98">
        <v>1000000</v>
      </c>
      <c r="C4" s="800" t="s">
        <v>191</v>
      </c>
      <c r="D4" s="16"/>
      <c r="E4" s="848" t="str">
        <f>Dashboard!P5</f>
        <v>Person #1</v>
      </c>
      <c r="F4" s="849" t="str">
        <f>Dashboard!Q5</f>
        <v>Person #2</v>
      </c>
      <c r="G4" s="849" t="str">
        <f>Dashboard!R5</f>
        <v>Person #3</v>
      </c>
      <c r="H4" s="850" t="str">
        <f>Dashboard!S5</f>
        <v>Person #4</v>
      </c>
      <c r="I4" s="782">
        <f>$H$32</f>
        <v>0.41666666666666652</v>
      </c>
      <c r="J4" s="1092">
        <f t="shared" si="122"/>
        <v>0.171875</v>
      </c>
      <c r="K4" s="871">
        <f>$E$32</f>
        <v>17050000</v>
      </c>
      <c r="L4" s="875" t="str">
        <f>C32</f>
        <v>WEBSITE</v>
      </c>
      <c r="M4" s="901">
        <f t="shared" ref="M4:BX4" si="125">M$32</f>
        <v>7</v>
      </c>
      <c r="N4" s="878">
        <f t="shared" si="125"/>
        <v>3</v>
      </c>
      <c r="O4" s="1093">
        <f t="shared" si="125"/>
        <v>0.41666666666666663</v>
      </c>
      <c r="P4" s="881">
        <f t="shared" si="125"/>
        <v>550000</v>
      </c>
      <c r="Q4" s="901">
        <f t="shared" si="125"/>
        <v>7</v>
      </c>
      <c r="R4" s="878">
        <f t="shared" si="125"/>
        <v>3</v>
      </c>
      <c r="S4" s="1093">
        <f t="shared" si="125"/>
        <v>0.41666666666666663</v>
      </c>
      <c r="T4" s="881">
        <f t="shared" si="125"/>
        <v>550000</v>
      </c>
      <c r="U4" s="901">
        <f t="shared" si="125"/>
        <v>7</v>
      </c>
      <c r="V4" s="878">
        <f t="shared" si="125"/>
        <v>3</v>
      </c>
      <c r="W4" s="1093">
        <f t="shared" si="125"/>
        <v>0.41666666666666663</v>
      </c>
      <c r="X4" s="881">
        <f t="shared" si="125"/>
        <v>550000</v>
      </c>
      <c r="Y4" s="901">
        <f t="shared" si="125"/>
        <v>7</v>
      </c>
      <c r="Z4" s="878">
        <f t="shared" si="125"/>
        <v>3</v>
      </c>
      <c r="AA4" s="1093">
        <f t="shared" si="125"/>
        <v>0.41666666666666663</v>
      </c>
      <c r="AB4" s="881">
        <f t="shared" si="125"/>
        <v>550000</v>
      </c>
      <c r="AC4" s="901">
        <f t="shared" si="125"/>
        <v>7</v>
      </c>
      <c r="AD4" s="878">
        <f t="shared" si="125"/>
        <v>3</v>
      </c>
      <c r="AE4" s="1093">
        <f t="shared" si="125"/>
        <v>0.41666666666666663</v>
      </c>
      <c r="AF4" s="881">
        <f t="shared" si="125"/>
        <v>550000</v>
      </c>
      <c r="AG4" s="901">
        <f t="shared" si="125"/>
        <v>7</v>
      </c>
      <c r="AH4" s="878">
        <f t="shared" si="125"/>
        <v>3</v>
      </c>
      <c r="AI4" s="1093">
        <f t="shared" si="125"/>
        <v>0.41666666666666663</v>
      </c>
      <c r="AJ4" s="881">
        <f t="shared" si="125"/>
        <v>550000</v>
      </c>
      <c r="AK4" s="901">
        <f t="shared" si="125"/>
        <v>7</v>
      </c>
      <c r="AL4" s="878">
        <f t="shared" si="125"/>
        <v>3</v>
      </c>
      <c r="AM4" s="1093">
        <f t="shared" si="125"/>
        <v>0.41666666666666663</v>
      </c>
      <c r="AN4" s="881">
        <f t="shared" si="125"/>
        <v>550000</v>
      </c>
      <c r="AO4" s="901">
        <f t="shared" si="125"/>
        <v>7</v>
      </c>
      <c r="AP4" s="878">
        <f t="shared" si="125"/>
        <v>3</v>
      </c>
      <c r="AQ4" s="1093">
        <f t="shared" si="125"/>
        <v>0.41666666666666663</v>
      </c>
      <c r="AR4" s="881">
        <f t="shared" si="125"/>
        <v>550000</v>
      </c>
      <c r="AS4" s="901">
        <f t="shared" si="125"/>
        <v>7</v>
      </c>
      <c r="AT4" s="878">
        <f t="shared" si="125"/>
        <v>3</v>
      </c>
      <c r="AU4" s="1093">
        <f t="shared" si="125"/>
        <v>0.41666666666666663</v>
      </c>
      <c r="AV4" s="881">
        <f t="shared" si="125"/>
        <v>550000</v>
      </c>
      <c r="AW4" s="901">
        <f t="shared" si="125"/>
        <v>7</v>
      </c>
      <c r="AX4" s="878">
        <f t="shared" si="125"/>
        <v>3</v>
      </c>
      <c r="AY4" s="1093">
        <f t="shared" si="125"/>
        <v>0.41666666666666663</v>
      </c>
      <c r="AZ4" s="881">
        <f t="shared" si="125"/>
        <v>550000</v>
      </c>
      <c r="BA4" s="901">
        <f t="shared" si="125"/>
        <v>7</v>
      </c>
      <c r="BB4" s="878">
        <f t="shared" si="125"/>
        <v>3</v>
      </c>
      <c r="BC4" s="1093">
        <f t="shared" si="125"/>
        <v>0.41666666666666663</v>
      </c>
      <c r="BD4" s="881">
        <f t="shared" si="125"/>
        <v>550000</v>
      </c>
      <c r="BE4" s="901">
        <f t="shared" si="125"/>
        <v>7</v>
      </c>
      <c r="BF4" s="878">
        <f t="shared" si="125"/>
        <v>3</v>
      </c>
      <c r="BG4" s="1093">
        <f t="shared" si="125"/>
        <v>0.41666666666666663</v>
      </c>
      <c r="BH4" s="881">
        <f t="shared" si="125"/>
        <v>550000</v>
      </c>
      <c r="BI4" s="901">
        <f t="shared" si="125"/>
        <v>7</v>
      </c>
      <c r="BJ4" s="878">
        <f t="shared" si="125"/>
        <v>3</v>
      </c>
      <c r="BK4" s="1093">
        <f t="shared" si="125"/>
        <v>0.41666666666666663</v>
      </c>
      <c r="BL4" s="881">
        <f t="shared" si="125"/>
        <v>550000</v>
      </c>
      <c r="BM4" s="901">
        <f t="shared" si="125"/>
        <v>7</v>
      </c>
      <c r="BN4" s="878">
        <f t="shared" si="125"/>
        <v>3</v>
      </c>
      <c r="BO4" s="1093">
        <f t="shared" si="125"/>
        <v>0.41666666666666663</v>
      </c>
      <c r="BP4" s="881">
        <f t="shared" si="125"/>
        <v>550000</v>
      </c>
      <c r="BQ4" s="901">
        <f t="shared" si="125"/>
        <v>7</v>
      </c>
      <c r="BR4" s="878">
        <f t="shared" si="125"/>
        <v>3</v>
      </c>
      <c r="BS4" s="1093">
        <f t="shared" si="125"/>
        <v>0.41666666666666663</v>
      </c>
      <c r="BT4" s="881">
        <f t="shared" si="125"/>
        <v>550000</v>
      </c>
      <c r="BU4" s="901">
        <f t="shared" si="125"/>
        <v>7</v>
      </c>
      <c r="BV4" s="878">
        <f t="shared" si="125"/>
        <v>3</v>
      </c>
      <c r="BW4" s="1093">
        <f t="shared" si="125"/>
        <v>0.41666666666666663</v>
      </c>
      <c r="BX4" s="881">
        <f t="shared" si="125"/>
        <v>550000</v>
      </c>
      <c r="BY4" s="901">
        <f t="shared" ref="BY4:EF4" si="126">BY$32</f>
        <v>7</v>
      </c>
      <c r="BZ4" s="878">
        <f t="shared" si="126"/>
        <v>3</v>
      </c>
      <c r="CA4" s="1093">
        <f t="shared" si="126"/>
        <v>0.41666666666666663</v>
      </c>
      <c r="CB4" s="881">
        <f t="shared" si="126"/>
        <v>550000</v>
      </c>
      <c r="CC4" s="901">
        <f t="shared" si="126"/>
        <v>7</v>
      </c>
      <c r="CD4" s="878">
        <f t="shared" si="126"/>
        <v>3</v>
      </c>
      <c r="CE4" s="1093">
        <f t="shared" si="126"/>
        <v>0.41666666666666663</v>
      </c>
      <c r="CF4" s="881">
        <f t="shared" si="126"/>
        <v>550000</v>
      </c>
      <c r="CG4" s="901">
        <f t="shared" si="126"/>
        <v>7</v>
      </c>
      <c r="CH4" s="878">
        <f t="shared" si="126"/>
        <v>3</v>
      </c>
      <c r="CI4" s="1093">
        <f t="shared" si="126"/>
        <v>0.41666666666666663</v>
      </c>
      <c r="CJ4" s="881">
        <f t="shared" si="126"/>
        <v>550000</v>
      </c>
      <c r="CK4" s="901">
        <f t="shared" si="126"/>
        <v>7</v>
      </c>
      <c r="CL4" s="878">
        <f t="shared" si="126"/>
        <v>3</v>
      </c>
      <c r="CM4" s="1093">
        <f t="shared" si="126"/>
        <v>0.41666666666666663</v>
      </c>
      <c r="CN4" s="881">
        <f t="shared" si="126"/>
        <v>550000</v>
      </c>
      <c r="CO4" s="901">
        <f t="shared" si="126"/>
        <v>7</v>
      </c>
      <c r="CP4" s="878">
        <f t="shared" si="126"/>
        <v>3</v>
      </c>
      <c r="CQ4" s="1093">
        <f t="shared" si="126"/>
        <v>0.41666666666666663</v>
      </c>
      <c r="CR4" s="881">
        <f t="shared" si="126"/>
        <v>550000</v>
      </c>
      <c r="CS4" s="901">
        <f t="shared" si="126"/>
        <v>7</v>
      </c>
      <c r="CT4" s="878">
        <f t="shared" si="126"/>
        <v>3</v>
      </c>
      <c r="CU4" s="1093">
        <f t="shared" si="126"/>
        <v>0.41666666666666663</v>
      </c>
      <c r="CV4" s="881">
        <f t="shared" si="126"/>
        <v>550000</v>
      </c>
      <c r="CW4" s="901">
        <f t="shared" si="126"/>
        <v>7</v>
      </c>
      <c r="CX4" s="878">
        <f t="shared" si="126"/>
        <v>3</v>
      </c>
      <c r="CY4" s="1093">
        <f t="shared" si="126"/>
        <v>0.41666666666666663</v>
      </c>
      <c r="CZ4" s="881">
        <f t="shared" si="126"/>
        <v>550000</v>
      </c>
      <c r="DA4" s="901">
        <f t="shared" si="126"/>
        <v>7</v>
      </c>
      <c r="DB4" s="878">
        <f t="shared" si="126"/>
        <v>3</v>
      </c>
      <c r="DC4" s="1093">
        <f t="shared" si="126"/>
        <v>0.41666666666666663</v>
      </c>
      <c r="DD4" s="881">
        <f t="shared" si="126"/>
        <v>550000</v>
      </c>
      <c r="DE4" s="901">
        <f t="shared" si="126"/>
        <v>7</v>
      </c>
      <c r="DF4" s="878">
        <f t="shared" si="126"/>
        <v>3</v>
      </c>
      <c r="DG4" s="1093">
        <f t="shared" si="126"/>
        <v>0.41666666666666663</v>
      </c>
      <c r="DH4" s="881">
        <f t="shared" si="126"/>
        <v>550000</v>
      </c>
      <c r="DI4" s="901">
        <f t="shared" si="126"/>
        <v>7</v>
      </c>
      <c r="DJ4" s="878">
        <f t="shared" si="126"/>
        <v>3</v>
      </c>
      <c r="DK4" s="1093">
        <f t="shared" si="126"/>
        <v>0.41666666666666663</v>
      </c>
      <c r="DL4" s="881">
        <f t="shared" si="126"/>
        <v>550000</v>
      </c>
      <c r="DM4" s="901">
        <f t="shared" si="126"/>
        <v>7</v>
      </c>
      <c r="DN4" s="878">
        <f t="shared" si="126"/>
        <v>3</v>
      </c>
      <c r="DO4" s="1093">
        <f t="shared" si="126"/>
        <v>0.41666666666666663</v>
      </c>
      <c r="DP4" s="881">
        <f t="shared" si="126"/>
        <v>550000</v>
      </c>
      <c r="DQ4" s="901">
        <f t="shared" si="126"/>
        <v>7</v>
      </c>
      <c r="DR4" s="878">
        <f t="shared" si="126"/>
        <v>3</v>
      </c>
      <c r="DS4" s="1093">
        <f t="shared" si="126"/>
        <v>0.41666666666666663</v>
      </c>
      <c r="DT4" s="881">
        <f t="shared" si="126"/>
        <v>550000</v>
      </c>
      <c r="DU4" s="901">
        <f t="shared" si="126"/>
        <v>7</v>
      </c>
      <c r="DV4" s="878">
        <f t="shared" si="126"/>
        <v>3</v>
      </c>
      <c r="DW4" s="1093">
        <f t="shared" si="126"/>
        <v>0.41666666666666663</v>
      </c>
      <c r="DX4" s="881">
        <f t="shared" si="126"/>
        <v>550000</v>
      </c>
      <c r="DY4" s="901">
        <f t="shared" si="126"/>
        <v>7</v>
      </c>
      <c r="DZ4" s="878">
        <f t="shared" si="126"/>
        <v>3</v>
      </c>
      <c r="EA4" s="1093">
        <f t="shared" si="126"/>
        <v>0.41666666666666663</v>
      </c>
      <c r="EB4" s="881">
        <f t="shared" si="126"/>
        <v>550000</v>
      </c>
      <c r="EC4" s="901">
        <f t="shared" si="126"/>
        <v>7</v>
      </c>
      <c r="ED4" s="878">
        <f t="shared" si="126"/>
        <v>3</v>
      </c>
      <c r="EE4" s="1093">
        <f t="shared" si="126"/>
        <v>0.41666666666666663</v>
      </c>
      <c r="EF4" s="881">
        <f t="shared" si="126"/>
        <v>550000</v>
      </c>
    </row>
    <row r="5" spans="1:136" ht="20" customHeight="1" x14ac:dyDescent="0.15">
      <c r="A5" s="95"/>
      <c r="B5" s="98"/>
      <c r="C5" s="800"/>
      <c r="D5" s="16"/>
      <c r="E5" s="844"/>
      <c r="F5" s="845"/>
      <c r="G5" s="846"/>
      <c r="H5" s="847"/>
      <c r="I5" s="782">
        <f>$H$35</f>
        <v>0.5</v>
      </c>
      <c r="J5" s="1092">
        <f t="shared" si="122"/>
        <v>0.15625</v>
      </c>
      <c r="K5" s="871">
        <f>$E$35</f>
        <v>15500000</v>
      </c>
      <c r="L5" s="875" t="str">
        <f>C35</f>
        <v>TIKTOKSHOP</v>
      </c>
      <c r="M5" s="901">
        <f t="shared" ref="M5:BX5" si="127">M$35</f>
        <v>2</v>
      </c>
      <c r="N5" s="878">
        <f t="shared" si="127"/>
        <v>1</v>
      </c>
      <c r="O5" s="1093">
        <f t="shared" si="127"/>
        <v>0.5</v>
      </c>
      <c r="P5" s="881">
        <f t="shared" si="127"/>
        <v>500000</v>
      </c>
      <c r="Q5" s="901">
        <f t="shared" si="127"/>
        <v>2</v>
      </c>
      <c r="R5" s="878">
        <f t="shared" si="127"/>
        <v>1</v>
      </c>
      <c r="S5" s="1093">
        <f t="shared" si="127"/>
        <v>0.5</v>
      </c>
      <c r="T5" s="881">
        <f t="shared" si="127"/>
        <v>500000</v>
      </c>
      <c r="U5" s="901">
        <f t="shared" si="127"/>
        <v>2</v>
      </c>
      <c r="V5" s="878">
        <f t="shared" si="127"/>
        <v>1</v>
      </c>
      <c r="W5" s="1093">
        <f t="shared" si="127"/>
        <v>0.5</v>
      </c>
      <c r="X5" s="881">
        <f t="shared" si="127"/>
        <v>500000</v>
      </c>
      <c r="Y5" s="901">
        <f t="shared" si="127"/>
        <v>2</v>
      </c>
      <c r="Z5" s="878">
        <f t="shared" si="127"/>
        <v>1</v>
      </c>
      <c r="AA5" s="1093">
        <f t="shared" si="127"/>
        <v>0.5</v>
      </c>
      <c r="AB5" s="881">
        <f t="shared" si="127"/>
        <v>500000</v>
      </c>
      <c r="AC5" s="901">
        <f t="shared" si="127"/>
        <v>2</v>
      </c>
      <c r="AD5" s="878">
        <f t="shared" si="127"/>
        <v>1</v>
      </c>
      <c r="AE5" s="1093">
        <f t="shared" si="127"/>
        <v>0.5</v>
      </c>
      <c r="AF5" s="881">
        <f t="shared" si="127"/>
        <v>500000</v>
      </c>
      <c r="AG5" s="901">
        <f t="shared" si="127"/>
        <v>2</v>
      </c>
      <c r="AH5" s="878">
        <f t="shared" si="127"/>
        <v>1</v>
      </c>
      <c r="AI5" s="1093">
        <f t="shared" si="127"/>
        <v>0.5</v>
      </c>
      <c r="AJ5" s="881">
        <f t="shared" si="127"/>
        <v>500000</v>
      </c>
      <c r="AK5" s="901">
        <f t="shared" si="127"/>
        <v>2</v>
      </c>
      <c r="AL5" s="878">
        <f t="shared" si="127"/>
        <v>1</v>
      </c>
      <c r="AM5" s="1093">
        <f t="shared" si="127"/>
        <v>0.5</v>
      </c>
      <c r="AN5" s="881">
        <f t="shared" si="127"/>
        <v>500000</v>
      </c>
      <c r="AO5" s="901">
        <f t="shared" si="127"/>
        <v>2</v>
      </c>
      <c r="AP5" s="878">
        <f t="shared" si="127"/>
        <v>1</v>
      </c>
      <c r="AQ5" s="1093">
        <f t="shared" si="127"/>
        <v>0.5</v>
      </c>
      <c r="AR5" s="881">
        <f t="shared" si="127"/>
        <v>500000</v>
      </c>
      <c r="AS5" s="901">
        <f t="shared" si="127"/>
        <v>2</v>
      </c>
      <c r="AT5" s="878">
        <f t="shared" si="127"/>
        <v>1</v>
      </c>
      <c r="AU5" s="1093">
        <f t="shared" si="127"/>
        <v>0.5</v>
      </c>
      <c r="AV5" s="881">
        <f t="shared" si="127"/>
        <v>500000</v>
      </c>
      <c r="AW5" s="901">
        <f t="shared" si="127"/>
        <v>2</v>
      </c>
      <c r="AX5" s="878">
        <f t="shared" si="127"/>
        <v>1</v>
      </c>
      <c r="AY5" s="1093">
        <f t="shared" si="127"/>
        <v>0.5</v>
      </c>
      <c r="AZ5" s="881">
        <f t="shared" si="127"/>
        <v>500000</v>
      </c>
      <c r="BA5" s="901">
        <f t="shared" si="127"/>
        <v>2</v>
      </c>
      <c r="BB5" s="878">
        <f t="shared" si="127"/>
        <v>1</v>
      </c>
      <c r="BC5" s="1093">
        <f t="shared" si="127"/>
        <v>0.5</v>
      </c>
      <c r="BD5" s="881">
        <f t="shared" si="127"/>
        <v>500000</v>
      </c>
      <c r="BE5" s="901">
        <f t="shared" si="127"/>
        <v>2</v>
      </c>
      <c r="BF5" s="878">
        <f t="shared" si="127"/>
        <v>1</v>
      </c>
      <c r="BG5" s="1093">
        <f t="shared" si="127"/>
        <v>0.5</v>
      </c>
      <c r="BH5" s="881">
        <f t="shared" si="127"/>
        <v>500000</v>
      </c>
      <c r="BI5" s="901">
        <f t="shared" si="127"/>
        <v>2</v>
      </c>
      <c r="BJ5" s="878">
        <f t="shared" si="127"/>
        <v>1</v>
      </c>
      <c r="BK5" s="1093">
        <f t="shared" si="127"/>
        <v>0.5</v>
      </c>
      <c r="BL5" s="881">
        <f t="shared" si="127"/>
        <v>500000</v>
      </c>
      <c r="BM5" s="901">
        <f t="shared" si="127"/>
        <v>2</v>
      </c>
      <c r="BN5" s="878">
        <f t="shared" si="127"/>
        <v>1</v>
      </c>
      <c r="BO5" s="1093">
        <f t="shared" si="127"/>
        <v>0.5</v>
      </c>
      <c r="BP5" s="881">
        <f t="shared" si="127"/>
        <v>500000</v>
      </c>
      <c r="BQ5" s="901">
        <f t="shared" si="127"/>
        <v>2</v>
      </c>
      <c r="BR5" s="878">
        <f t="shared" si="127"/>
        <v>1</v>
      </c>
      <c r="BS5" s="1093">
        <f t="shared" si="127"/>
        <v>0.5</v>
      </c>
      <c r="BT5" s="881">
        <f t="shared" si="127"/>
        <v>500000</v>
      </c>
      <c r="BU5" s="901">
        <f t="shared" si="127"/>
        <v>2</v>
      </c>
      <c r="BV5" s="878">
        <f t="shared" si="127"/>
        <v>1</v>
      </c>
      <c r="BW5" s="1093">
        <f t="shared" si="127"/>
        <v>0.5</v>
      </c>
      <c r="BX5" s="881">
        <f t="shared" si="127"/>
        <v>500000</v>
      </c>
      <c r="BY5" s="901">
        <f t="shared" ref="BY5:EF5" si="128">BY$35</f>
        <v>2</v>
      </c>
      <c r="BZ5" s="878">
        <f t="shared" si="128"/>
        <v>1</v>
      </c>
      <c r="CA5" s="1093">
        <f t="shared" si="128"/>
        <v>0.5</v>
      </c>
      <c r="CB5" s="881">
        <f t="shared" si="128"/>
        <v>500000</v>
      </c>
      <c r="CC5" s="901">
        <f t="shared" si="128"/>
        <v>2</v>
      </c>
      <c r="CD5" s="878">
        <f t="shared" si="128"/>
        <v>1</v>
      </c>
      <c r="CE5" s="1093">
        <f t="shared" si="128"/>
        <v>0.5</v>
      </c>
      <c r="CF5" s="881">
        <f t="shared" si="128"/>
        <v>500000</v>
      </c>
      <c r="CG5" s="901">
        <f t="shared" si="128"/>
        <v>2</v>
      </c>
      <c r="CH5" s="878">
        <f t="shared" si="128"/>
        <v>1</v>
      </c>
      <c r="CI5" s="1093">
        <f t="shared" si="128"/>
        <v>0.5</v>
      </c>
      <c r="CJ5" s="881">
        <f t="shared" si="128"/>
        <v>500000</v>
      </c>
      <c r="CK5" s="901">
        <f t="shared" si="128"/>
        <v>2</v>
      </c>
      <c r="CL5" s="878">
        <f t="shared" si="128"/>
        <v>1</v>
      </c>
      <c r="CM5" s="1093">
        <f t="shared" si="128"/>
        <v>0.5</v>
      </c>
      <c r="CN5" s="881">
        <f t="shared" si="128"/>
        <v>500000</v>
      </c>
      <c r="CO5" s="901">
        <f t="shared" si="128"/>
        <v>2</v>
      </c>
      <c r="CP5" s="878">
        <f t="shared" si="128"/>
        <v>1</v>
      </c>
      <c r="CQ5" s="1093">
        <f t="shared" si="128"/>
        <v>0.5</v>
      </c>
      <c r="CR5" s="881">
        <f t="shared" si="128"/>
        <v>500000</v>
      </c>
      <c r="CS5" s="901">
        <f t="shared" si="128"/>
        <v>2</v>
      </c>
      <c r="CT5" s="878">
        <f t="shared" si="128"/>
        <v>1</v>
      </c>
      <c r="CU5" s="1093">
        <f t="shared" si="128"/>
        <v>0.5</v>
      </c>
      <c r="CV5" s="881">
        <f t="shared" si="128"/>
        <v>500000</v>
      </c>
      <c r="CW5" s="901">
        <f t="shared" si="128"/>
        <v>2</v>
      </c>
      <c r="CX5" s="878">
        <f t="shared" si="128"/>
        <v>1</v>
      </c>
      <c r="CY5" s="1093">
        <f t="shared" si="128"/>
        <v>0.5</v>
      </c>
      <c r="CZ5" s="881">
        <f t="shared" si="128"/>
        <v>500000</v>
      </c>
      <c r="DA5" s="901">
        <f t="shared" si="128"/>
        <v>2</v>
      </c>
      <c r="DB5" s="878">
        <f t="shared" si="128"/>
        <v>1</v>
      </c>
      <c r="DC5" s="1093">
        <f t="shared" si="128"/>
        <v>0.5</v>
      </c>
      <c r="DD5" s="881">
        <f t="shared" si="128"/>
        <v>500000</v>
      </c>
      <c r="DE5" s="901">
        <f t="shared" si="128"/>
        <v>2</v>
      </c>
      <c r="DF5" s="878">
        <f t="shared" si="128"/>
        <v>1</v>
      </c>
      <c r="DG5" s="1093">
        <f t="shared" si="128"/>
        <v>0.5</v>
      </c>
      <c r="DH5" s="881">
        <f t="shared" si="128"/>
        <v>500000</v>
      </c>
      <c r="DI5" s="901">
        <f t="shared" si="128"/>
        <v>2</v>
      </c>
      <c r="DJ5" s="878">
        <f t="shared" si="128"/>
        <v>1</v>
      </c>
      <c r="DK5" s="1093">
        <f t="shared" si="128"/>
        <v>0.5</v>
      </c>
      <c r="DL5" s="881">
        <f t="shared" si="128"/>
        <v>500000</v>
      </c>
      <c r="DM5" s="901">
        <f t="shared" si="128"/>
        <v>2</v>
      </c>
      <c r="DN5" s="878">
        <f t="shared" si="128"/>
        <v>1</v>
      </c>
      <c r="DO5" s="1093">
        <f t="shared" si="128"/>
        <v>0.5</v>
      </c>
      <c r="DP5" s="881">
        <f t="shared" si="128"/>
        <v>500000</v>
      </c>
      <c r="DQ5" s="901">
        <f t="shared" si="128"/>
        <v>2</v>
      </c>
      <c r="DR5" s="878">
        <f t="shared" si="128"/>
        <v>1</v>
      </c>
      <c r="DS5" s="1093">
        <f t="shared" si="128"/>
        <v>0.5</v>
      </c>
      <c r="DT5" s="881">
        <f t="shared" si="128"/>
        <v>500000</v>
      </c>
      <c r="DU5" s="901">
        <f t="shared" si="128"/>
        <v>2</v>
      </c>
      <c r="DV5" s="878">
        <f t="shared" si="128"/>
        <v>1</v>
      </c>
      <c r="DW5" s="1093">
        <f t="shared" si="128"/>
        <v>0.5</v>
      </c>
      <c r="DX5" s="881">
        <f t="shared" si="128"/>
        <v>500000</v>
      </c>
      <c r="DY5" s="901">
        <f t="shared" si="128"/>
        <v>2</v>
      </c>
      <c r="DZ5" s="878">
        <f t="shared" si="128"/>
        <v>1</v>
      </c>
      <c r="EA5" s="1093">
        <f t="shared" si="128"/>
        <v>0.5</v>
      </c>
      <c r="EB5" s="881">
        <f t="shared" si="128"/>
        <v>500000</v>
      </c>
      <c r="EC5" s="901">
        <f t="shared" si="128"/>
        <v>2</v>
      </c>
      <c r="ED5" s="878">
        <f t="shared" si="128"/>
        <v>1</v>
      </c>
      <c r="EE5" s="1093">
        <f t="shared" si="128"/>
        <v>0.5</v>
      </c>
      <c r="EF5" s="881">
        <f t="shared" si="128"/>
        <v>500000</v>
      </c>
    </row>
    <row r="6" spans="1:136" ht="20" customHeight="1" thickBot="1" x14ac:dyDescent="0.2">
      <c r="A6" s="95"/>
      <c r="B6" s="98"/>
      <c r="C6" s="800"/>
      <c r="D6" s="16"/>
      <c r="E6" s="841">
        <f>Dashboard!P13</f>
        <v>0.35</v>
      </c>
      <c r="F6" s="842">
        <f>Dashboard!Q13</f>
        <v>0.3</v>
      </c>
      <c r="G6" s="842">
        <f>Dashboard!R13</f>
        <v>0.25</v>
      </c>
      <c r="H6" s="843">
        <f>Dashboard!S13</f>
        <v>0.2</v>
      </c>
      <c r="I6" s="782">
        <f>$H$36</f>
        <v>0.5</v>
      </c>
      <c r="J6" s="1092">
        <f t="shared" si="122"/>
        <v>0.1875</v>
      </c>
      <c r="K6" s="871">
        <f>$E$36</f>
        <v>18600000</v>
      </c>
      <c r="L6" s="875" t="str">
        <f>C36</f>
        <v>SHOPPEE</v>
      </c>
      <c r="M6" s="901">
        <f t="shared" ref="M6:BX6" si="129">M$36</f>
        <v>6</v>
      </c>
      <c r="N6" s="878">
        <f t="shared" si="129"/>
        <v>3</v>
      </c>
      <c r="O6" s="1093">
        <f t="shared" si="129"/>
        <v>0.5</v>
      </c>
      <c r="P6" s="881">
        <f t="shared" si="129"/>
        <v>600000</v>
      </c>
      <c r="Q6" s="901">
        <f t="shared" si="129"/>
        <v>6</v>
      </c>
      <c r="R6" s="878">
        <f t="shared" si="129"/>
        <v>3</v>
      </c>
      <c r="S6" s="1093">
        <f t="shared" si="129"/>
        <v>0.5</v>
      </c>
      <c r="T6" s="881">
        <f t="shared" si="129"/>
        <v>600000</v>
      </c>
      <c r="U6" s="901">
        <f t="shared" si="129"/>
        <v>6</v>
      </c>
      <c r="V6" s="878">
        <f t="shared" si="129"/>
        <v>3</v>
      </c>
      <c r="W6" s="1093">
        <f t="shared" si="129"/>
        <v>0.5</v>
      </c>
      <c r="X6" s="881">
        <f t="shared" si="129"/>
        <v>600000</v>
      </c>
      <c r="Y6" s="901">
        <f t="shared" si="129"/>
        <v>6</v>
      </c>
      <c r="Z6" s="878">
        <f t="shared" si="129"/>
        <v>3</v>
      </c>
      <c r="AA6" s="1093">
        <f t="shared" si="129"/>
        <v>0.5</v>
      </c>
      <c r="AB6" s="881">
        <f t="shared" si="129"/>
        <v>600000</v>
      </c>
      <c r="AC6" s="901">
        <f t="shared" si="129"/>
        <v>6</v>
      </c>
      <c r="AD6" s="878">
        <f t="shared" si="129"/>
        <v>3</v>
      </c>
      <c r="AE6" s="1093">
        <f t="shared" si="129"/>
        <v>0.5</v>
      </c>
      <c r="AF6" s="881">
        <f t="shared" si="129"/>
        <v>600000</v>
      </c>
      <c r="AG6" s="901">
        <f t="shared" si="129"/>
        <v>6</v>
      </c>
      <c r="AH6" s="878">
        <f t="shared" si="129"/>
        <v>3</v>
      </c>
      <c r="AI6" s="1093">
        <f t="shared" si="129"/>
        <v>0.5</v>
      </c>
      <c r="AJ6" s="881">
        <f t="shared" si="129"/>
        <v>600000</v>
      </c>
      <c r="AK6" s="901">
        <f t="shared" si="129"/>
        <v>6</v>
      </c>
      <c r="AL6" s="878">
        <f t="shared" si="129"/>
        <v>3</v>
      </c>
      <c r="AM6" s="1093">
        <f t="shared" si="129"/>
        <v>0.5</v>
      </c>
      <c r="AN6" s="881">
        <f t="shared" si="129"/>
        <v>600000</v>
      </c>
      <c r="AO6" s="901">
        <f t="shared" si="129"/>
        <v>6</v>
      </c>
      <c r="AP6" s="878">
        <f t="shared" si="129"/>
        <v>3</v>
      </c>
      <c r="AQ6" s="1093">
        <f t="shared" si="129"/>
        <v>0.5</v>
      </c>
      <c r="AR6" s="881">
        <f t="shared" si="129"/>
        <v>600000</v>
      </c>
      <c r="AS6" s="901">
        <f t="shared" si="129"/>
        <v>6</v>
      </c>
      <c r="AT6" s="878">
        <f t="shared" si="129"/>
        <v>3</v>
      </c>
      <c r="AU6" s="1093">
        <f t="shared" si="129"/>
        <v>0.5</v>
      </c>
      <c r="AV6" s="881">
        <f t="shared" si="129"/>
        <v>600000</v>
      </c>
      <c r="AW6" s="901">
        <f t="shared" si="129"/>
        <v>6</v>
      </c>
      <c r="AX6" s="878">
        <f t="shared" si="129"/>
        <v>3</v>
      </c>
      <c r="AY6" s="1093">
        <f t="shared" si="129"/>
        <v>0.5</v>
      </c>
      <c r="AZ6" s="881">
        <f t="shared" si="129"/>
        <v>600000</v>
      </c>
      <c r="BA6" s="901">
        <f t="shared" si="129"/>
        <v>6</v>
      </c>
      <c r="BB6" s="878">
        <f t="shared" si="129"/>
        <v>3</v>
      </c>
      <c r="BC6" s="1093">
        <f t="shared" si="129"/>
        <v>0.5</v>
      </c>
      <c r="BD6" s="881">
        <f t="shared" si="129"/>
        <v>600000</v>
      </c>
      <c r="BE6" s="901">
        <f t="shared" si="129"/>
        <v>6</v>
      </c>
      <c r="BF6" s="878">
        <f t="shared" si="129"/>
        <v>3</v>
      </c>
      <c r="BG6" s="1093">
        <f t="shared" si="129"/>
        <v>0.5</v>
      </c>
      <c r="BH6" s="881">
        <f t="shared" si="129"/>
        <v>600000</v>
      </c>
      <c r="BI6" s="901">
        <f t="shared" si="129"/>
        <v>6</v>
      </c>
      <c r="BJ6" s="878">
        <f t="shared" si="129"/>
        <v>3</v>
      </c>
      <c r="BK6" s="1093">
        <f t="shared" si="129"/>
        <v>0.5</v>
      </c>
      <c r="BL6" s="881">
        <f t="shared" si="129"/>
        <v>600000</v>
      </c>
      <c r="BM6" s="901">
        <f t="shared" si="129"/>
        <v>6</v>
      </c>
      <c r="BN6" s="878">
        <f t="shared" si="129"/>
        <v>3</v>
      </c>
      <c r="BO6" s="1093">
        <f t="shared" si="129"/>
        <v>0.5</v>
      </c>
      <c r="BP6" s="881">
        <f t="shared" si="129"/>
        <v>600000</v>
      </c>
      <c r="BQ6" s="901">
        <f t="shared" si="129"/>
        <v>6</v>
      </c>
      <c r="BR6" s="878">
        <f t="shared" si="129"/>
        <v>3</v>
      </c>
      <c r="BS6" s="1093">
        <f t="shared" si="129"/>
        <v>0.5</v>
      </c>
      <c r="BT6" s="881">
        <f t="shared" si="129"/>
        <v>600000</v>
      </c>
      <c r="BU6" s="901">
        <f t="shared" si="129"/>
        <v>6</v>
      </c>
      <c r="BV6" s="878">
        <f t="shared" si="129"/>
        <v>3</v>
      </c>
      <c r="BW6" s="1093">
        <f t="shared" si="129"/>
        <v>0.5</v>
      </c>
      <c r="BX6" s="881">
        <f t="shared" si="129"/>
        <v>600000</v>
      </c>
      <c r="BY6" s="901">
        <f t="shared" ref="BY6:EF6" si="130">BY$36</f>
        <v>6</v>
      </c>
      <c r="BZ6" s="878">
        <f t="shared" si="130"/>
        <v>3</v>
      </c>
      <c r="CA6" s="1093">
        <f t="shared" si="130"/>
        <v>0.5</v>
      </c>
      <c r="CB6" s="881">
        <f t="shared" si="130"/>
        <v>600000</v>
      </c>
      <c r="CC6" s="901">
        <f t="shared" si="130"/>
        <v>6</v>
      </c>
      <c r="CD6" s="878">
        <f t="shared" si="130"/>
        <v>3</v>
      </c>
      <c r="CE6" s="1093">
        <f t="shared" si="130"/>
        <v>0.5</v>
      </c>
      <c r="CF6" s="881">
        <f t="shared" si="130"/>
        <v>600000</v>
      </c>
      <c r="CG6" s="901">
        <f t="shared" si="130"/>
        <v>6</v>
      </c>
      <c r="CH6" s="878">
        <f t="shared" si="130"/>
        <v>3</v>
      </c>
      <c r="CI6" s="1093">
        <f t="shared" si="130"/>
        <v>0.5</v>
      </c>
      <c r="CJ6" s="881">
        <f t="shared" si="130"/>
        <v>600000</v>
      </c>
      <c r="CK6" s="901">
        <f t="shared" si="130"/>
        <v>6</v>
      </c>
      <c r="CL6" s="878">
        <f t="shared" si="130"/>
        <v>3</v>
      </c>
      <c r="CM6" s="1093">
        <f t="shared" si="130"/>
        <v>0.5</v>
      </c>
      <c r="CN6" s="881">
        <f t="shared" si="130"/>
        <v>600000</v>
      </c>
      <c r="CO6" s="901">
        <f t="shared" si="130"/>
        <v>6</v>
      </c>
      <c r="CP6" s="878">
        <f t="shared" si="130"/>
        <v>3</v>
      </c>
      <c r="CQ6" s="1093">
        <f t="shared" si="130"/>
        <v>0.5</v>
      </c>
      <c r="CR6" s="881">
        <f t="shared" si="130"/>
        <v>600000</v>
      </c>
      <c r="CS6" s="901">
        <f t="shared" si="130"/>
        <v>6</v>
      </c>
      <c r="CT6" s="878">
        <f t="shared" si="130"/>
        <v>3</v>
      </c>
      <c r="CU6" s="1093">
        <f t="shared" si="130"/>
        <v>0.5</v>
      </c>
      <c r="CV6" s="881">
        <f t="shared" si="130"/>
        <v>600000</v>
      </c>
      <c r="CW6" s="901">
        <f t="shared" si="130"/>
        <v>6</v>
      </c>
      <c r="CX6" s="878">
        <f t="shared" si="130"/>
        <v>3</v>
      </c>
      <c r="CY6" s="1093">
        <f t="shared" si="130"/>
        <v>0.5</v>
      </c>
      <c r="CZ6" s="881">
        <f t="shared" si="130"/>
        <v>600000</v>
      </c>
      <c r="DA6" s="901">
        <f t="shared" si="130"/>
        <v>6</v>
      </c>
      <c r="DB6" s="878">
        <f t="shared" si="130"/>
        <v>3</v>
      </c>
      <c r="DC6" s="1093">
        <f t="shared" si="130"/>
        <v>0.5</v>
      </c>
      <c r="DD6" s="881">
        <f t="shared" si="130"/>
        <v>600000</v>
      </c>
      <c r="DE6" s="901">
        <f t="shared" si="130"/>
        <v>6</v>
      </c>
      <c r="DF6" s="878">
        <f t="shared" si="130"/>
        <v>3</v>
      </c>
      <c r="DG6" s="1093">
        <f t="shared" si="130"/>
        <v>0.5</v>
      </c>
      <c r="DH6" s="881">
        <f t="shared" si="130"/>
        <v>600000</v>
      </c>
      <c r="DI6" s="901">
        <f t="shared" si="130"/>
        <v>6</v>
      </c>
      <c r="DJ6" s="878">
        <f t="shared" si="130"/>
        <v>3</v>
      </c>
      <c r="DK6" s="1093">
        <f t="shared" si="130"/>
        <v>0.5</v>
      </c>
      <c r="DL6" s="881">
        <f t="shared" si="130"/>
        <v>600000</v>
      </c>
      <c r="DM6" s="901">
        <f t="shared" si="130"/>
        <v>6</v>
      </c>
      <c r="DN6" s="878">
        <f t="shared" si="130"/>
        <v>3</v>
      </c>
      <c r="DO6" s="1093">
        <f t="shared" si="130"/>
        <v>0.5</v>
      </c>
      <c r="DP6" s="881">
        <f t="shared" si="130"/>
        <v>600000</v>
      </c>
      <c r="DQ6" s="901">
        <f t="shared" si="130"/>
        <v>6</v>
      </c>
      <c r="DR6" s="878">
        <f t="shared" si="130"/>
        <v>3</v>
      </c>
      <c r="DS6" s="1093">
        <f t="shared" si="130"/>
        <v>0.5</v>
      </c>
      <c r="DT6" s="881">
        <f t="shared" si="130"/>
        <v>600000</v>
      </c>
      <c r="DU6" s="901">
        <f t="shared" si="130"/>
        <v>6</v>
      </c>
      <c r="DV6" s="878">
        <f t="shared" si="130"/>
        <v>3</v>
      </c>
      <c r="DW6" s="1093">
        <f t="shared" si="130"/>
        <v>0.5</v>
      </c>
      <c r="DX6" s="881">
        <f t="shared" si="130"/>
        <v>600000</v>
      </c>
      <c r="DY6" s="901">
        <f t="shared" si="130"/>
        <v>6</v>
      </c>
      <c r="DZ6" s="878">
        <f t="shared" si="130"/>
        <v>3</v>
      </c>
      <c r="EA6" s="1093">
        <f t="shared" si="130"/>
        <v>0.5</v>
      </c>
      <c r="EB6" s="881">
        <f t="shared" si="130"/>
        <v>600000</v>
      </c>
      <c r="EC6" s="901">
        <f t="shared" si="130"/>
        <v>6</v>
      </c>
      <c r="ED6" s="878">
        <f t="shared" si="130"/>
        <v>3</v>
      </c>
      <c r="EE6" s="1093">
        <f t="shared" si="130"/>
        <v>0.5</v>
      </c>
      <c r="EF6" s="881">
        <f t="shared" si="130"/>
        <v>600000</v>
      </c>
    </row>
    <row r="7" spans="1:136" ht="20" customHeight="1" x14ac:dyDescent="0.15">
      <c r="A7" s="809" t="s">
        <v>193</v>
      </c>
      <c r="B7" s="810">
        <v>1</v>
      </c>
      <c r="C7" s="783">
        <f>COUNTIF(M12:EF12,"T7")</f>
        <v>4</v>
      </c>
      <c r="D7" s="16"/>
      <c r="I7" s="782">
        <f>IF(ISNUMBER($H$39), $H$39, 0)</f>
        <v>1</v>
      </c>
      <c r="J7" s="1092">
        <f t="shared" si="122"/>
        <v>9.375E-2</v>
      </c>
      <c r="K7" s="871">
        <f>$E$39</f>
        <v>9300000</v>
      </c>
      <c r="L7" s="875" t="str">
        <f>C39</f>
        <v>ZALO</v>
      </c>
      <c r="M7" s="901">
        <f t="shared" ref="M7:BX7" si="131">M$39</f>
        <v>1</v>
      </c>
      <c r="N7" s="879">
        <f t="shared" si="131"/>
        <v>1</v>
      </c>
      <c r="O7" s="1093">
        <f t="shared" si="131"/>
        <v>1</v>
      </c>
      <c r="P7" s="881">
        <f t="shared" si="131"/>
        <v>300000</v>
      </c>
      <c r="Q7" s="901">
        <f t="shared" si="131"/>
        <v>1</v>
      </c>
      <c r="R7" s="879">
        <f t="shared" si="131"/>
        <v>1</v>
      </c>
      <c r="S7" s="1093">
        <f t="shared" si="131"/>
        <v>1</v>
      </c>
      <c r="T7" s="881">
        <f t="shared" si="131"/>
        <v>300000</v>
      </c>
      <c r="U7" s="901">
        <f t="shared" si="131"/>
        <v>1</v>
      </c>
      <c r="V7" s="879">
        <f t="shared" si="131"/>
        <v>1</v>
      </c>
      <c r="W7" s="1093">
        <f t="shared" si="131"/>
        <v>1</v>
      </c>
      <c r="X7" s="881">
        <f t="shared" si="131"/>
        <v>300000</v>
      </c>
      <c r="Y7" s="901">
        <f t="shared" si="131"/>
        <v>1</v>
      </c>
      <c r="Z7" s="879">
        <f t="shared" si="131"/>
        <v>1</v>
      </c>
      <c r="AA7" s="1093">
        <f t="shared" si="131"/>
        <v>1</v>
      </c>
      <c r="AB7" s="881">
        <f t="shared" si="131"/>
        <v>300000</v>
      </c>
      <c r="AC7" s="901">
        <f t="shared" si="131"/>
        <v>1</v>
      </c>
      <c r="AD7" s="879">
        <f t="shared" si="131"/>
        <v>1</v>
      </c>
      <c r="AE7" s="1093">
        <f t="shared" si="131"/>
        <v>1</v>
      </c>
      <c r="AF7" s="881">
        <f t="shared" si="131"/>
        <v>300000</v>
      </c>
      <c r="AG7" s="901">
        <f t="shared" si="131"/>
        <v>1</v>
      </c>
      <c r="AH7" s="879">
        <f t="shared" si="131"/>
        <v>1</v>
      </c>
      <c r="AI7" s="1093">
        <f t="shared" si="131"/>
        <v>1</v>
      </c>
      <c r="AJ7" s="881">
        <f t="shared" si="131"/>
        <v>300000</v>
      </c>
      <c r="AK7" s="901">
        <f t="shared" si="131"/>
        <v>1</v>
      </c>
      <c r="AL7" s="879">
        <f t="shared" si="131"/>
        <v>1</v>
      </c>
      <c r="AM7" s="1093">
        <f t="shared" si="131"/>
        <v>1</v>
      </c>
      <c r="AN7" s="881">
        <f t="shared" si="131"/>
        <v>300000</v>
      </c>
      <c r="AO7" s="901">
        <f t="shared" si="131"/>
        <v>1</v>
      </c>
      <c r="AP7" s="879">
        <f t="shared" si="131"/>
        <v>1</v>
      </c>
      <c r="AQ7" s="1093">
        <f t="shared" si="131"/>
        <v>1</v>
      </c>
      <c r="AR7" s="881">
        <f t="shared" si="131"/>
        <v>300000</v>
      </c>
      <c r="AS7" s="901">
        <f t="shared" si="131"/>
        <v>1</v>
      </c>
      <c r="AT7" s="879">
        <f t="shared" si="131"/>
        <v>1</v>
      </c>
      <c r="AU7" s="1093">
        <f t="shared" si="131"/>
        <v>1</v>
      </c>
      <c r="AV7" s="881">
        <f t="shared" si="131"/>
        <v>300000</v>
      </c>
      <c r="AW7" s="901">
        <f t="shared" si="131"/>
        <v>1</v>
      </c>
      <c r="AX7" s="879">
        <f t="shared" si="131"/>
        <v>1</v>
      </c>
      <c r="AY7" s="1093">
        <f t="shared" si="131"/>
        <v>1</v>
      </c>
      <c r="AZ7" s="881">
        <f t="shared" si="131"/>
        <v>300000</v>
      </c>
      <c r="BA7" s="901">
        <f t="shared" si="131"/>
        <v>1</v>
      </c>
      <c r="BB7" s="879">
        <f t="shared" si="131"/>
        <v>1</v>
      </c>
      <c r="BC7" s="1093">
        <f t="shared" si="131"/>
        <v>1</v>
      </c>
      <c r="BD7" s="881">
        <f t="shared" si="131"/>
        <v>300000</v>
      </c>
      <c r="BE7" s="901">
        <f t="shared" si="131"/>
        <v>1</v>
      </c>
      <c r="BF7" s="879">
        <f t="shared" si="131"/>
        <v>1</v>
      </c>
      <c r="BG7" s="1093">
        <f t="shared" si="131"/>
        <v>1</v>
      </c>
      <c r="BH7" s="881">
        <f t="shared" si="131"/>
        <v>300000</v>
      </c>
      <c r="BI7" s="901">
        <f t="shared" si="131"/>
        <v>1</v>
      </c>
      <c r="BJ7" s="879">
        <f t="shared" si="131"/>
        <v>1</v>
      </c>
      <c r="BK7" s="1093">
        <f t="shared" si="131"/>
        <v>1</v>
      </c>
      <c r="BL7" s="881">
        <f t="shared" si="131"/>
        <v>300000</v>
      </c>
      <c r="BM7" s="901">
        <f t="shared" si="131"/>
        <v>1</v>
      </c>
      <c r="BN7" s="879">
        <f t="shared" si="131"/>
        <v>1</v>
      </c>
      <c r="BO7" s="1093">
        <f t="shared" si="131"/>
        <v>1</v>
      </c>
      <c r="BP7" s="881">
        <f t="shared" si="131"/>
        <v>300000</v>
      </c>
      <c r="BQ7" s="901">
        <f t="shared" si="131"/>
        <v>1</v>
      </c>
      <c r="BR7" s="879">
        <f t="shared" si="131"/>
        <v>1</v>
      </c>
      <c r="BS7" s="1093">
        <f t="shared" si="131"/>
        <v>1</v>
      </c>
      <c r="BT7" s="881">
        <f t="shared" si="131"/>
        <v>300000</v>
      </c>
      <c r="BU7" s="901">
        <f t="shared" si="131"/>
        <v>1</v>
      </c>
      <c r="BV7" s="879">
        <f t="shared" si="131"/>
        <v>1</v>
      </c>
      <c r="BW7" s="1093">
        <f t="shared" si="131"/>
        <v>1</v>
      </c>
      <c r="BX7" s="881">
        <f t="shared" si="131"/>
        <v>300000</v>
      </c>
      <c r="BY7" s="901">
        <f t="shared" ref="BY7:EF7" si="132">BY$39</f>
        <v>1</v>
      </c>
      <c r="BZ7" s="879">
        <f t="shared" si="132"/>
        <v>1</v>
      </c>
      <c r="CA7" s="1093">
        <f t="shared" si="132"/>
        <v>1</v>
      </c>
      <c r="CB7" s="881">
        <f t="shared" si="132"/>
        <v>300000</v>
      </c>
      <c r="CC7" s="901">
        <f t="shared" si="132"/>
        <v>1</v>
      </c>
      <c r="CD7" s="879">
        <f t="shared" si="132"/>
        <v>1</v>
      </c>
      <c r="CE7" s="1093">
        <f t="shared" si="132"/>
        <v>1</v>
      </c>
      <c r="CF7" s="881">
        <f t="shared" si="132"/>
        <v>300000</v>
      </c>
      <c r="CG7" s="901">
        <f t="shared" si="132"/>
        <v>1</v>
      </c>
      <c r="CH7" s="879">
        <f t="shared" si="132"/>
        <v>1</v>
      </c>
      <c r="CI7" s="1093">
        <f t="shared" si="132"/>
        <v>1</v>
      </c>
      <c r="CJ7" s="881">
        <f t="shared" si="132"/>
        <v>300000</v>
      </c>
      <c r="CK7" s="901">
        <f t="shared" si="132"/>
        <v>1</v>
      </c>
      <c r="CL7" s="879">
        <f t="shared" si="132"/>
        <v>1</v>
      </c>
      <c r="CM7" s="1093">
        <f t="shared" si="132"/>
        <v>1</v>
      </c>
      <c r="CN7" s="881">
        <f t="shared" si="132"/>
        <v>300000</v>
      </c>
      <c r="CO7" s="901">
        <f t="shared" si="132"/>
        <v>1</v>
      </c>
      <c r="CP7" s="879">
        <f t="shared" si="132"/>
        <v>1</v>
      </c>
      <c r="CQ7" s="1093">
        <f t="shared" si="132"/>
        <v>1</v>
      </c>
      <c r="CR7" s="881">
        <f t="shared" si="132"/>
        <v>300000</v>
      </c>
      <c r="CS7" s="901">
        <f t="shared" si="132"/>
        <v>1</v>
      </c>
      <c r="CT7" s="879">
        <f t="shared" si="132"/>
        <v>1</v>
      </c>
      <c r="CU7" s="1093">
        <f t="shared" si="132"/>
        <v>1</v>
      </c>
      <c r="CV7" s="881">
        <f t="shared" si="132"/>
        <v>300000</v>
      </c>
      <c r="CW7" s="901">
        <f t="shared" si="132"/>
        <v>1</v>
      </c>
      <c r="CX7" s="879">
        <f t="shared" si="132"/>
        <v>1</v>
      </c>
      <c r="CY7" s="1093">
        <f t="shared" si="132"/>
        <v>1</v>
      </c>
      <c r="CZ7" s="881">
        <f t="shared" si="132"/>
        <v>300000</v>
      </c>
      <c r="DA7" s="901">
        <f t="shared" si="132"/>
        <v>1</v>
      </c>
      <c r="DB7" s="879">
        <f t="shared" si="132"/>
        <v>1</v>
      </c>
      <c r="DC7" s="1093">
        <f t="shared" si="132"/>
        <v>1</v>
      </c>
      <c r="DD7" s="881">
        <f t="shared" si="132"/>
        <v>300000</v>
      </c>
      <c r="DE7" s="901">
        <f t="shared" si="132"/>
        <v>1</v>
      </c>
      <c r="DF7" s="879">
        <f t="shared" si="132"/>
        <v>1</v>
      </c>
      <c r="DG7" s="1093">
        <f t="shared" si="132"/>
        <v>1</v>
      </c>
      <c r="DH7" s="881">
        <f t="shared" si="132"/>
        <v>300000</v>
      </c>
      <c r="DI7" s="901">
        <f t="shared" si="132"/>
        <v>1</v>
      </c>
      <c r="DJ7" s="879">
        <f t="shared" si="132"/>
        <v>1</v>
      </c>
      <c r="DK7" s="1093">
        <f t="shared" si="132"/>
        <v>1</v>
      </c>
      <c r="DL7" s="881">
        <f t="shared" si="132"/>
        <v>300000</v>
      </c>
      <c r="DM7" s="901">
        <f t="shared" si="132"/>
        <v>1</v>
      </c>
      <c r="DN7" s="879">
        <f t="shared" si="132"/>
        <v>1</v>
      </c>
      <c r="DO7" s="1093">
        <f t="shared" si="132"/>
        <v>1</v>
      </c>
      <c r="DP7" s="881">
        <f t="shared" si="132"/>
        <v>300000</v>
      </c>
      <c r="DQ7" s="901">
        <f t="shared" si="132"/>
        <v>1</v>
      </c>
      <c r="DR7" s="879">
        <f t="shared" si="132"/>
        <v>1</v>
      </c>
      <c r="DS7" s="1093">
        <f t="shared" si="132"/>
        <v>1</v>
      </c>
      <c r="DT7" s="881">
        <f t="shared" si="132"/>
        <v>300000</v>
      </c>
      <c r="DU7" s="901">
        <f t="shared" si="132"/>
        <v>1</v>
      </c>
      <c r="DV7" s="879">
        <f t="shared" si="132"/>
        <v>1</v>
      </c>
      <c r="DW7" s="1093">
        <f t="shared" si="132"/>
        <v>1</v>
      </c>
      <c r="DX7" s="881">
        <f t="shared" si="132"/>
        <v>300000</v>
      </c>
      <c r="DY7" s="901">
        <f t="shared" si="132"/>
        <v>1</v>
      </c>
      <c r="DZ7" s="879">
        <f t="shared" si="132"/>
        <v>1</v>
      </c>
      <c r="EA7" s="1093">
        <f t="shared" si="132"/>
        <v>1</v>
      </c>
      <c r="EB7" s="881">
        <f t="shared" si="132"/>
        <v>300000</v>
      </c>
      <c r="EC7" s="901">
        <f t="shared" si="132"/>
        <v>1</v>
      </c>
      <c r="ED7" s="879">
        <f t="shared" si="132"/>
        <v>1</v>
      </c>
      <c r="EE7" s="1093">
        <f t="shared" si="132"/>
        <v>1</v>
      </c>
      <c r="EF7" s="881">
        <f t="shared" si="132"/>
        <v>300000</v>
      </c>
    </row>
    <row r="8" spans="1:136" ht="20" customHeight="1" x14ac:dyDescent="0.15">
      <c r="A8" s="811" t="s">
        <v>192</v>
      </c>
      <c r="B8" s="151">
        <f>COUNTIF($L$9:$EE$9,"TRUE")</f>
        <v>31</v>
      </c>
      <c r="C8" s="784"/>
      <c r="D8" s="785"/>
      <c r="I8" s="1396" t="s">
        <v>209</v>
      </c>
      <c r="J8" s="1396" t="s">
        <v>210</v>
      </c>
      <c r="K8" s="1397" t="s">
        <v>211</v>
      </c>
      <c r="L8" s="893" t="s">
        <v>203</v>
      </c>
      <c r="M8" s="902">
        <f>SUM(M2:M7)</f>
        <v>46</v>
      </c>
      <c r="N8" s="894">
        <f>SUM(N2:N7)</f>
        <v>35</v>
      </c>
      <c r="O8" s="1094">
        <f>_xlfn.IFS(M8=0,0,N8&lt;=M8,N8/M8,N8&gt;M8,1)</f>
        <v>0.76086956521739135</v>
      </c>
      <c r="P8" s="895">
        <f>SUM(P2:P7)</f>
        <v>3200000</v>
      </c>
      <c r="Q8" s="902">
        <f t="shared" ref="Q8:R8" si="133">SUM(Q2:Q7)</f>
        <v>46</v>
      </c>
      <c r="R8" s="894">
        <f t="shared" si="133"/>
        <v>35</v>
      </c>
      <c r="S8" s="1094">
        <f t="shared" ref="S8" si="134">_xlfn.IFS(Q8=0,0,R8&lt;=Q8,R8/Q8,R8&gt;Q8,1)</f>
        <v>0.76086956521739135</v>
      </c>
      <c r="T8" s="895">
        <f t="shared" ref="T8:V8" si="135">SUM(T2:T7)</f>
        <v>3200000</v>
      </c>
      <c r="U8" s="902">
        <f t="shared" si="135"/>
        <v>46</v>
      </c>
      <c r="V8" s="894">
        <f t="shared" si="135"/>
        <v>35</v>
      </c>
      <c r="W8" s="1094">
        <f t="shared" ref="W8" si="136">_xlfn.IFS(U8=0,0,V8&lt;=U8,V8/U8,V8&gt;U8,1)</f>
        <v>0.76086956521739135</v>
      </c>
      <c r="X8" s="895">
        <f t="shared" ref="X8:Z8" si="137">SUM(X2:X7)</f>
        <v>3200000</v>
      </c>
      <c r="Y8" s="902">
        <f t="shared" si="137"/>
        <v>46</v>
      </c>
      <c r="Z8" s="894">
        <f t="shared" si="137"/>
        <v>35</v>
      </c>
      <c r="AA8" s="1094">
        <f t="shared" ref="AA8" si="138">_xlfn.IFS(Y8=0,0,Z8&lt;=Y8,Z8/Y8,Z8&gt;Y8,1)</f>
        <v>0.76086956521739135</v>
      </c>
      <c r="AB8" s="895">
        <f t="shared" ref="AB8:AD8" si="139">SUM(AB2:AB7)</f>
        <v>3200000</v>
      </c>
      <c r="AC8" s="902">
        <f t="shared" si="139"/>
        <v>46</v>
      </c>
      <c r="AD8" s="894">
        <f t="shared" si="139"/>
        <v>35</v>
      </c>
      <c r="AE8" s="1094">
        <f t="shared" ref="AE8" si="140">_xlfn.IFS(AC8=0,0,AD8&lt;=AC8,AD8/AC8,AD8&gt;AC8,1)</f>
        <v>0.76086956521739135</v>
      </c>
      <c r="AF8" s="895">
        <f t="shared" ref="AF8:AH8" si="141">SUM(AF2:AF7)</f>
        <v>3200000</v>
      </c>
      <c r="AG8" s="902">
        <f t="shared" si="141"/>
        <v>46</v>
      </c>
      <c r="AH8" s="894">
        <f t="shared" si="141"/>
        <v>35</v>
      </c>
      <c r="AI8" s="1094">
        <f t="shared" ref="AI8" si="142">_xlfn.IFS(AG8=0,0,AH8&lt;=AG8,AH8/AG8,AH8&gt;AG8,1)</f>
        <v>0.76086956521739135</v>
      </c>
      <c r="AJ8" s="895">
        <f t="shared" ref="AJ8:AL8" si="143">SUM(AJ2:AJ7)</f>
        <v>3200000</v>
      </c>
      <c r="AK8" s="902">
        <f t="shared" si="143"/>
        <v>46</v>
      </c>
      <c r="AL8" s="894">
        <f t="shared" si="143"/>
        <v>35</v>
      </c>
      <c r="AM8" s="1094">
        <f t="shared" ref="AM8" si="144">_xlfn.IFS(AK8=0,0,AL8&lt;=AK8,AL8/AK8,AL8&gt;AK8,1)</f>
        <v>0.76086956521739135</v>
      </c>
      <c r="AN8" s="895">
        <f t="shared" ref="AN8:AP8" si="145">SUM(AN2:AN7)</f>
        <v>3200000</v>
      </c>
      <c r="AO8" s="902">
        <f t="shared" si="145"/>
        <v>46</v>
      </c>
      <c r="AP8" s="894">
        <f t="shared" si="145"/>
        <v>35</v>
      </c>
      <c r="AQ8" s="1094">
        <f t="shared" ref="AQ8" si="146">_xlfn.IFS(AO8=0,0,AP8&lt;=AO8,AP8/AO8,AP8&gt;AO8,1)</f>
        <v>0.76086956521739135</v>
      </c>
      <c r="AR8" s="895">
        <f t="shared" ref="AR8:AT8" si="147">SUM(AR2:AR7)</f>
        <v>3200000</v>
      </c>
      <c r="AS8" s="902">
        <f t="shared" si="147"/>
        <v>46</v>
      </c>
      <c r="AT8" s="894">
        <f t="shared" si="147"/>
        <v>35</v>
      </c>
      <c r="AU8" s="1094">
        <f t="shared" ref="AU8" si="148">_xlfn.IFS(AS8=0,0,AT8&lt;=AS8,AT8/AS8,AT8&gt;AS8,1)</f>
        <v>0.76086956521739135</v>
      </c>
      <c r="AV8" s="895">
        <f t="shared" ref="AV8:AX8" si="149">SUM(AV2:AV7)</f>
        <v>3200000</v>
      </c>
      <c r="AW8" s="902">
        <f t="shared" si="149"/>
        <v>46</v>
      </c>
      <c r="AX8" s="894">
        <f t="shared" si="149"/>
        <v>35</v>
      </c>
      <c r="AY8" s="1094">
        <f t="shared" ref="AY8" si="150">_xlfn.IFS(AW8=0,0,AX8&lt;=AW8,AX8/AW8,AX8&gt;AW8,1)</f>
        <v>0.76086956521739135</v>
      </c>
      <c r="AZ8" s="895">
        <f t="shared" ref="AZ8:BB8" si="151">SUM(AZ2:AZ7)</f>
        <v>3200000</v>
      </c>
      <c r="BA8" s="902">
        <f t="shared" si="151"/>
        <v>46</v>
      </c>
      <c r="BB8" s="894">
        <f t="shared" si="151"/>
        <v>35</v>
      </c>
      <c r="BC8" s="1094">
        <f t="shared" ref="BC8" si="152">_xlfn.IFS(BA8=0,0,BB8&lt;=BA8,BB8/BA8,BB8&gt;BA8,1)</f>
        <v>0.76086956521739135</v>
      </c>
      <c r="BD8" s="895">
        <f t="shared" ref="BD8:BF8" si="153">SUM(BD2:BD7)</f>
        <v>3200000</v>
      </c>
      <c r="BE8" s="902">
        <f t="shared" si="153"/>
        <v>46</v>
      </c>
      <c r="BF8" s="894">
        <f t="shared" si="153"/>
        <v>35</v>
      </c>
      <c r="BG8" s="1094">
        <f t="shared" ref="BG8" si="154">_xlfn.IFS(BE8=0,0,BF8&lt;=BE8,BF8/BE8,BF8&gt;BE8,1)</f>
        <v>0.76086956521739135</v>
      </c>
      <c r="BH8" s="895">
        <f t="shared" ref="BH8:BJ8" si="155">SUM(BH2:BH7)</f>
        <v>3200000</v>
      </c>
      <c r="BI8" s="902">
        <f t="shared" si="155"/>
        <v>46</v>
      </c>
      <c r="BJ8" s="894">
        <f t="shared" si="155"/>
        <v>35</v>
      </c>
      <c r="BK8" s="1094">
        <f t="shared" ref="BK8" si="156">_xlfn.IFS(BI8=0,0,BJ8&lt;=BI8,BJ8/BI8,BJ8&gt;BI8,1)</f>
        <v>0.76086956521739135</v>
      </c>
      <c r="BL8" s="895">
        <f t="shared" ref="BL8:BN8" si="157">SUM(BL2:BL7)</f>
        <v>3200000</v>
      </c>
      <c r="BM8" s="902">
        <f t="shared" si="157"/>
        <v>46</v>
      </c>
      <c r="BN8" s="894">
        <f t="shared" si="157"/>
        <v>35</v>
      </c>
      <c r="BO8" s="1094">
        <f t="shared" ref="BO8" si="158">_xlfn.IFS(BM8=0,0,BN8&lt;=BM8,BN8/BM8,BN8&gt;BM8,1)</f>
        <v>0.76086956521739135</v>
      </c>
      <c r="BP8" s="895">
        <f t="shared" ref="BP8:BR8" si="159">SUM(BP2:BP7)</f>
        <v>3200000</v>
      </c>
      <c r="BQ8" s="902">
        <f t="shared" si="159"/>
        <v>46</v>
      </c>
      <c r="BR8" s="894">
        <f t="shared" si="159"/>
        <v>35</v>
      </c>
      <c r="BS8" s="1094">
        <f t="shared" ref="BS8" si="160">_xlfn.IFS(BQ8=0,0,BR8&lt;=BQ8,BR8/BQ8,BR8&gt;BQ8,1)</f>
        <v>0.76086956521739135</v>
      </c>
      <c r="BT8" s="895">
        <f t="shared" ref="BT8:BV8" si="161">SUM(BT2:BT7)</f>
        <v>3200000</v>
      </c>
      <c r="BU8" s="902">
        <f t="shared" si="161"/>
        <v>46</v>
      </c>
      <c r="BV8" s="894">
        <f t="shared" si="161"/>
        <v>35</v>
      </c>
      <c r="BW8" s="1094">
        <f t="shared" ref="BW8" si="162">_xlfn.IFS(BU8=0,0,BV8&lt;=BU8,BV8/BU8,BV8&gt;BU8,1)</f>
        <v>0.76086956521739135</v>
      </c>
      <c r="BX8" s="895">
        <f t="shared" ref="BX8:BZ8" si="163">SUM(BX2:BX7)</f>
        <v>3200000</v>
      </c>
      <c r="BY8" s="902">
        <f t="shared" si="163"/>
        <v>46</v>
      </c>
      <c r="BZ8" s="894">
        <f t="shared" si="163"/>
        <v>35</v>
      </c>
      <c r="CA8" s="1094">
        <f t="shared" ref="CA8" si="164">_xlfn.IFS(BY8=0,0,BZ8&lt;=BY8,BZ8/BY8,BZ8&gt;BY8,1)</f>
        <v>0.76086956521739135</v>
      </c>
      <c r="CB8" s="895">
        <f t="shared" ref="CB8:CD8" si="165">SUM(CB2:CB7)</f>
        <v>3200000</v>
      </c>
      <c r="CC8" s="902">
        <f t="shared" si="165"/>
        <v>46</v>
      </c>
      <c r="CD8" s="894">
        <f t="shared" si="165"/>
        <v>35</v>
      </c>
      <c r="CE8" s="1094">
        <f t="shared" ref="CE8" si="166">_xlfn.IFS(CC8=0,0,CD8&lt;=CC8,CD8/CC8,CD8&gt;CC8,1)</f>
        <v>0.76086956521739135</v>
      </c>
      <c r="CF8" s="895">
        <f t="shared" ref="CF8:CH8" si="167">SUM(CF2:CF7)</f>
        <v>3200000</v>
      </c>
      <c r="CG8" s="902">
        <f t="shared" si="167"/>
        <v>46</v>
      </c>
      <c r="CH8" s="894">
        <f t="shared" si="167"/>
        <v>35</v>
      </c>
      <c r="CI8" s="1094">
        <f t="shared" ref="CI8" si="168">_xlfn.IFS(CG8=0,0,CH8&lt;=CG8,CH8/CG8,CH8&gt;CG8,1)</f>
        <v>0.76086956521739135</v>
      </c>
      <c r="CJ8" s="895">
        <f t="shared" ref="CJ8:CL8" si="169">SUM(CJ2:CJ7)</f>
        <v>3200000</v>
      </c>
      <c r="CK8" s="902">
        <f t="shared" si="169"/>
        <v>46</v>
      </c>
      <c r="CL8" s="894">
        <f t="shared" si="169"/>
        <v>35</v>
      </c>
      <c r="CM8" s="1094">
        <f t="shared" ref="CM8" si="170">_xlfn.IFS(CK8=0,0,CL8&lt;=CK8,CL8/CK8,CL8&gt;CK8,1)</f>
        <v>0.76086956521739135</v>
      </c>
      <c r="CN8" s="895">
        <f t="shared" ref="CN8:CP8" si="171">SUM(CN2:CN7)</f>
        <v>3200000</v>
      </c>
      <c r="CO8" s="902">
        <f t="shared" si="171"/>
        <v>46</v>
      </c>
      <c r="CP8" s="894">
        <f t="shared" si="171"/>
        <v>35</v>
      </c>
      <c r="CQ8" s="1094">
        <f t="shared" ref="CQ8" si="172">_xlfn.IFS(CO8=0,0,CP8&lt;=CO8,CP8/CO8,CP8&gt;CO8,1)</f>
        <v>0.76086956521739135</v>
      </c>
      <c r="CR8" s="895">
        <f t="shared" ref="CR8:CT8" si="173">SUM(CR2:CR7)</f>
        <v>3200000</v>
      </c>
      <c r="CS8" s="902">
        <f t="shared" si="173"/>
        <v>46</v>
      </c>
      <c r="CT8" s="894">
        <f t="shared" si="173"/>
        <v>35</v>
      </c>
      <c r="CU8" s="1094">
        <f t="shared" ref="CU8" si="174">_xlfn.IFS(CS8=0,0,CT8&lt;=CS8,CT8/CS8,CT8&gt;CS8,1)</f>
        <v>0.76086956521739135</v>
      </c>
      <c r="CV8" s="895">
        <f t="shared" ref="CV8:CX8" si="175">SUM(CV2:CV7)</f>
        <v>3200000</v>
      </c>
      <c r="CW8" s="902">
        <f t="shared" si="175"/>
        <v>46</v>
      </c>
      <c r="CX8" s="894">
        <f t="shared" si="175"/>
        <v>35</v>
      </c>
      <c r="CY8" s="1094">
        <f t="shared" ref="CY8" si="176">_xlfn.IFS(CW8=0,0,CX8&lt;=CW8,CX8/CW8,CX8&gt;CW8,1)</f>
        <v>0.76086956521739135</v>
      </c>
      <c r="CZ8" s="895">
        <f t="shared" ref="CZ8:DB8" si="177">SUM(CZ2:CZ7)</f>
        <v>3200000</v>
      </c>
      <c r="DA8" s="902">
        <f t="shared" si="177"/>
        <v>46</v>
      </c>
      <c r="DB8" s="894">
        <f t="shared" si="177"/>
        <v>35</v>
      </c>
      <c r="DC8" s="1094">
        <f t="shared" ref="DC8" si="178">_xlfn.IFS(DA8=0,0,DB8&lt;=DA8,DB8/DA8,DB8&gt;DA8,1)</f>
        <v>0.76086956521739135</v>
      </c>
      <c r="DD8" s="895">
        <f t="shared" ref="DD8:DF8" si="179">SUM(DD2:DD7)</f>
        <v>3200000</v>
      </c>
      <c r="DE8" s="902">
        <f t="shared" si="179"/>
        <v>46</v>
      </c>
      <c r="DF8" s="894">
        <f t="shared" si="179"/>
        <v>35</v>
      </c>
      <c r="DG8" s="1094">
        <f t="shared" ref="DG8" si="180">_xlfn.IFS(DE8=0,0,DF8&lt;=DE8,DF8/DE8,DF8&gt;DE8,1)</f>
        <v>0.76086956521739135</v>
      </c>
      <c r="DH8" s="895">
        <f t="shared" ref="DH8:DJ8" si="181">SUM(DH2:DH7)</f>
        <v>3200000</v>
      </c>
      <c r="DI8" s="902">
        <f t="shared" si="181"/>
        <v>46</v>
      </c>
      <c r="DJ8" s="894">
        <f t="shared" si="181"/>
        <v>35</v>
      </c>
      <c r="DK8" s="1094">
        <f t="shared" ref="DK8" si="182">_xlfn.IFS(DI8=0,0,DJ8&lt;=DI8,DJ8/DI8,DJ8&gt;DI8,1)</f>
        <v>0.76086956521739135</v>
      </c>
      <c r="DL8" s="895">
        <f t="shared" ref="DL8:DN8" si="183">SUM(DL2:DL7)</f>
        <v>3200000</v>
      </c>
      <c r="DM8" s="902">
        <f t="shared" si="183"/>
        <v>46</v>
      </c>
      <c r="DN8" s="894">
        <f t="shared" si="183"/>
        <v>35</v>
      </c>
      <c r="DO8" s="1094">
        <f t="shared" ref="DO8" si="184">_xlfn.IFS(DM8=0,0,DN8&lt;=DM8,DN8/DM8,DN8&gt;DM8,1)</f>
        <v>0.76086956521739135</v>
      </c>
      <c r="DP8" s="895">
        <f t="shared" ref="DP8:DR8" si="185">SUM(DP2:DP7)</f>
        <v>3200000</v>
      </c>
      <c r="DQ8" s="902">
        <f t="shared" si="185"/>
        <v>46</v>
      </c>
      <c r="DR8" s="894">
        <f t="shared" si="185"/>
        <v>35</v>
      </c>
      <c r="DS8" s="1094">
        <f t="shared" ref="DS8" si="186">_xlfn.IFS(DQ8=0,0,DR8&lt;=DQ8,DR8/DQ8,DR8&gt;DQ8,1)</f>
        <v>0.76086956521739135</v>
      </c>
      <c r="DT8" s="895">
        <f t="shared" ref="DT8:DV8" si="187">SUM(DT2:DT7)</f>
        <v>3200000</v>
      </c>
      <c r="DU8" s="902">
        <f t="shared" si="187"/>
        <v>46</v>
      </c>
      <c r="DV8" s="894">
        <f t="shared" si="187"/>
        <v>35</v>
      </c>
      <c r="DW8" s="1094">
        <f t="shared" ref="DW8" si="188">_xlfn.IFS(DU8=0,0,DV8&lt;=DU8,DV8/DU8,DV8&gt;DU8,1)</f>
        <v>0.76086956521739135</v>
      </c>
      <c r="DX8" s="895">
        <f t="shared" ref="DX8:DZ8" si="189">SUM(DX2:DX7)</f>
        <v>3200000</v>
      </c>
      <c r="DY8" s="902">
        <f t="shared" si="189"/>
        <v>46</v>
      </c>
      <c r="DZ8" s="894">
        <f t="shared" si="189"/>
        <v>35</v>
      </c>
      <c r="EA8" s="1094">
        <f t="shared" ref="EA8" si="190">_xlfn.IFS(DY8=0,0,DZ8&lt;=DY8,DZ8/DY8,DZ8&gt;DY8,1)</f>
        <v>0.76086956521739135</v>
      </c>
      <c r="EB8" s="895">
        <f t="shared" ref="EB8:ED8" si="191">SUM(EB2:EB7)</f>
        <v>3200000</v>
      </c>
      <c r="EC8" s="902">
        <f t="shared" si="191"/>
        <v>46</v>
      </c>
      <c r="ED8" s="894">
        <f t="shared" si="191"/>
        <v>35</v>
      </c>
      <c r="EE8" s="1094">
        <f t="shared" ref="EE8" si="192">_xlfn.IFS(EC8=0,0,ED8&lt;=EC8,ED8/EC8,ED8&gt;EC8,1)</f>
        <v>0.76086956521739135</v>
      </c>
      <c r="EF8" s="895">
        <f t="shared" ref="EF8" si="193">SUM(EF2:EF7)</f>
        <v>3200000</v>
      </c>
    </row>
    <row r="9" spans="1:136" ht="20" customHeight="1" x14ac:dyDescent="0.15">
      <c r="A9" s="812" t="s">
        <v>194</v>
      </c>
      <c r="B9" s="939">
        <f>B8-B7/2-C7/2</f>
        <v>28.5</v>
      </c>
      <c r="C9" s="16"/>
      <c r="D9" s="786"/>
      <c r="I9" s="1396"/>
      <c r="J9" s="1396"/>
      <c r="K9" s="1397"/>
      <c r="L9" s="876" t="s">
        <v>212</v>
      </c>
      <c r="M9" s="1388" t="b">
        <v>1</v>
      </c>
      <c r="N9" s="1389"/>
      <c r="O9" s="1389"/>
      <c r="P9" s="1390"/>
      <c r="Q9" s="1388" t="b">
        <v>1</v>
      </c>
      <c r="R9" s="1389"/>
      <c r="S9" s="1389"/>
      <c r="T9" s="1390"/>
      <c r="U9" s="1388" t="b">
        <v>1</v>
      </c>
      <c r="V9" s="1389"/>
      <c r="W9" s="1389"/>
      <c r="X9" s="1390"/>
      <c r="Y9" s="1388" t="b">
        <v>1</v>
      </c>
      <c r="Z9" s="1389"/>
      <c r="AA9" s="1389"/>
      <c r="AB9" s="1390"/>
      <c r="AC9" s="1388" t="b">
        <v>1</v>
      </c>
      <c r="AD9" s="1389"/>
      <c r="AE9" s="1389"/>
      <c r="AF9" s="1390"/>
      <c r="AG9" s="1388" t="b">
        <v>1</v>
      </c>
      <c r="AH9" s="1389"/>
      <c r="AI9" s="1389"/>
      <c r="AJ9" s="1390"/>
      <c r="AK9" s="1388" t="b">
        <v>1</v>
      </c>
      <c r="AL9" s="1389"/>
      <c r="AM9" s="1389"/>
      <c r="AN9" s="1390"/>
      <c r="AO9" s="1388" t="b">
        <v>1</v>
      </c>
      <c r="AP9" s="1389"/>
      <c r="AQ9" s="1389"/>
      <c r="AR9" s="1390"/>
      <c r="AS9" s="1388" t="b">
        <v>1</v>
      </c>
      <c r="AT9" s="1389"/>
      <c r="AU9" s="1389"/>
      <c r="AV9" s="1390"/>
      <c r="AW9" s="1388" t="b">
        <v>1</v>
      </c>
      <c r="AX9" s="1389"/>
      <c r="AY9" s="1389"/>
      <c r="AZ9" s="1390"/>
      <c r="BA9" s="1388" t="b">
        <v>1</v>
      </c>
      <c r="BB9" s="1389"/>
      <c r="BC9" s="1389"/>
      <c r="BD9" s="1390"/>
      <c r="BE9" s="1388" t="b">
        <v>1</v>
      </c>
      <c r="BF9" s="1389"/>
      <c r="BG9" s="1389"/>
      <c r="BH9" s="1390"/>
      <c r="BI9" s="1388" t="b">
        <v>1</v>
      </c>
      <c r="BJ9" s="1389"/>
      <c r="BK9" s="1389"/>
      <c r="BL9" s="1390"/>
      <c r="BM9" s="1388" t="b">
        <v>1</v>
      </c>
      <c r="BN9" s="1389"/>
      <c r="BO9" s="1389"/>
      <c r="BP9" s="1390"/>
      <c r="BQ9" s="1388" t="b">
        <v>1</v>
      </c>
      <c r="BR9" s="1389"/>
      <c r="BS9" s="1389"/>
      <c r="BT9" s="1390"/>
      <c r="BU9" s="1388" t="b">
        <v>1</v>
      </c>
      <c r="BV9" s="1389"/>
      <c r="BW9" s="1389"/>
      <c r="BX9" s="1390"/>
      <c r="BY9" s="1388" t="b">
        <v>1</v>
      </c>
      <c r="BZ9" s="1389"/>
      <c r="CA9" s="1389"/>
      <c r="CB9" s="1390"/>
      <c r="CC9" s="1388" t="b">
        <v>1</v>
      </c>
      <c r="CD9" s="1389"/>
      <c r="CE9" s="1389"/>
      <c r="CF9" s="1390"/>
      <c r="CG9" s="1388" t="b">
        <v>1</v>
      </c>
      <c r="CH9" s="1389"/>
      <c r="CI9" s="1389"/>
      <c r="CJ9" s="1390"/>
      <c r="CK9" s="1388" t="b">
        <v>1</v>
      </c>
      <c r="CL9" s="1389"/>
      <c r="CM9" s="1389"/>
      <c r="CN9" s="1390"/>
      <c r="CO9" s="1388" t="b">
        <v>1</v>
      </c>
      <c r="CP9" s="1389"/>
      <c r="CQ9" s="1389"/>
      <c r="CR9" s="1390"/>
      <c r="CS9" s="1388" t="b">
        <v>1</v>
      </c>
      <c r="CT9" s="1389"/>
      <c r="CU9" s="1389"/>
      <c r="CV9" s="1390"/>
      <c r="CW9" s="1388" t="b">
        <v>1</v>
      </c>
      <c r="CX9" s="1389"/>
      <c r="CY9" s="1389"/>
      <c r="CZ9" s="1390"/>
      <c r="DA9" s="1388" t="b">
        <v>1</v>
      </c>
      <c r="DB9" s="1389"/>
      <c r="DC9" s="1389"/>
      <c r="DD9" s="1390"/>
      <c r="DE9" s="1388" t="b">
        <v>1</v>
      </c>
      <c r="DF9" s="1389"/>
      <c r="DG9" s="1389"/>
      <c r="DH9" s="1390"/>
      <c r="DI9" s="1388" t="b">
        <v>1</v>
      </c>
      <c r="DJ9" s="1389"/>
      <c r="DK9" s="1389"/>
      <c r="DL9" s="1390"/>
      <c r="DM9" s="1388" t="b">
        <v>1</v>
      </c>
      <c r="DN9" s="1389"/>
      <c r="DO9" s="1389"/>
      <c r="DP9" s="1390"/>
      <c r="DQ9" s="1388" t="b">
        <v>1</v>
      </c>
      <c r="DR9" s="1389"/>
      <c r="DS9" s="1389"/>
      <c r="DT9" s="1390"/>
      <c r="DU9" s="1388" t="b">
        <v>1</v>
      </c>
      <c r="DV9" s="1389"/>
      <c r="DW9" s="1389"/>
      <c r="DX9" s="1390"/>
      <c r="DY9" s="1388" t="b">
        <v>1</v>
      </c>
      <c r="DZ9" s="1389"/>
      <c r="EA9" s="1389"/>
      <c r="EB9" s="1390"/>
      <c r="EC9" s="1388" t="b">
        <v>1</v>
      </c>
      <c r="ED9" s="1389"/>
      <c r="EE9" s="1389"/>
      <c r="EF9" s="1390"/>
    </row>
    <row r="10" spans="1:136" ht="20" customHeight="1" x14ac:dyDescent="0.15">
      <c r="A10" s="1393" t="s">
        <v>195</v>
      </c>
      <c r="B10" s="1311"/>
      <c r="C10" s="1311"/>
      <c r="D10" s="786"/>
      <c r="E10" s="786"/>
      <c r="F10" s="80"/>
      <c r="G10" s="80"/>
      <c r="H10" s="80"/>
      <c r="I10" s="1396"/>
      <c r="J10" s="1396"/>
      <c r="K10" s="1397"/>
      <c r="L10" s="872"/>
      <c r="M10" s="1394">
        <v>45748</v>
      </c>
      <c r="N10" s="1394"/>
      <c r="O10" s="1394"/>
      <c r="P10" s="1394"/>
      <c r="Q10" s="1394">
        <f>M10+1</f>
        <v>45749</v>
      </c>
      <c r="R10" s="1394"/>
      <c r="S10" s="1394"/>
      <c r="T10" s="1394"/>
      <c r="U10" s="1394">
        <f>Q10+1</f>
        <v>45750</v>
      </c>
      <c r="V10" s="1395"/>
      <c r="W10" s="1395"/>
      <c r="X10" s="1395"/>
      <c r="Y10" s="1394">
        <f>U10+1</f>
        <v>45751</v>
      </c>
      <c r="Z10" s="1395"/>
      <c r="AA10" s="1395"/>
      <c r="AB10" s="1395"/>
      <c r="AC10" s="1394">
        <f>Y10+1</f>
        <v>45752</v>
      </c>
      <c r="AD10" s="1395"/>
      <c r="AE10" s="1395"/>
      <c r="AF10" s="1395"/>
      <c r="AG10" s="1394">
        <f>AC10+1</f>
        <v>45753</v>
      </c>
      <c r="AH10" s="1395"/>
      <c r="AI10" s="1395"/>
      <c r="AJ10" s="1395"/>
      <c r="AK10" s="1394">
        <f>AG10+1</f>
        <v>45754</v>
      </c>
      <c r="AL10" s="1395"/>
      <c r="AM10" s="1395"/>
      <c r="AN10" s="1395"/>
      <c r="AO10" s="1394">
        <f>AK10+1</f>
        <v>45755</v>
      </c>
      <c r="AP10" s="1395"/>
      <c r="AQ10" s="1395"/>
      <c r="AR10" s="1395"/>
      <c r="AS10" s="1394">
        <f>AO10+1</f>
        <v>45756</v>
      </c>
      <c r="AT10" s="1395"/>
      <c r="AU10" s="1395"/>
      <c r="AV10" s="1395"/>
      <c r="AW10" s="1394">
        <f>AS10+1</f>
        <v>45757</v>
      </c>
      <c r="AX10" s="1395"/>
      <c r="AY10" s="1395"/>
      <c r="AZ10" s="1395"/>
      <c r="BA10" s="1394">
        <f>AW10+1</f>
        <v>45758</v>
      </c>
      <c r="BB10" s="1395"/>
      <c r="BC10" s="1395"/>
      <c r="BD10" s="1395"/>
      <c r="BE10" s="1394">
        <f>BA10+1</f>
        <v>45759</v>
      </c>
      <c r="BF10" s="1395"/>
      <c r="BG10" s="1395"/>
      <c r="BH10" s="1395"/>
      <c r="BI10" s="1394">
        <f>BE10+1</f>
        <v>45760</v>
      </c>
      <c r="BJ10" s="1395"/>
      <c r="BK10" s="1395"/>
      <c r="BL10" s="1395"/>
      <c r="BM10" s="1394">
        <f>BI10+1</f>
        <v>45761</v>
      </c>
      <c r="BN10" s="1395"/>
      <c r="BO10" s="1395"/>
      <c r="BP10" s="1395"/>
      <c r="BQ10" s="1394">
        <f>BM10+1</f>
        <v>45762</v>
      </c>
      <c r="BR10" s="1395"/>
      <c r="BS10" s="1395"/>
      <c r="BT10" s="1395"/>
      <c r="BU10" s="1394">
        <f>BQ10+1</f>
        <v>45763</v>
      </c>
      <c r="BV10" s="1395"/>
      <c r="BW10" s="1395"/>
      <c r="BX10" s="1395"/>
      <c r="BY10" s="1394">
        <f>BU10+1</f>
        <v>45764</v>
      </c>
      <c r="BZ10" s="1395"/>
      <c r="CA10" s="1395"/>
      <c r="CB10" s="1395"/>
      <c r="CC10" s="1394">
        <f>BY10+1</f>
        <v>45765</v>
      </c>
      <c r="CD10" s="1395"/>
      <c r="CE10" s="1395"/>
      <c r="CF10" s="1395"/>
      <c r="CG10" s="1394">
        <f>CC10+1</f>
        <v>45766</v>
      </c>
      <c r="CH10" s="1395"/>
      <c r="CI10" s="1395"/>
      <c r="CJ10" s="1395"/>
      <c r="CK10" s="1394">
        <f>CG10+1</f>
        <v>45767</v>
      </c>
      <c r="CL10" s="1395"/>
      <c r="CM10" s="1395"/>
      <c r="CN10" s="1395"/>
      <c r="CO10" s="1394">
        <f>CK10+1</f>
        <v>45768</v>
      </c>
      <c r="CP10" s="1395"/>
      <c r="CQ10" s="1395"/>
      <c r="CR10" s="1395"/>
      <c r="CS10" s="1394">
        <f>CO10+1</f>
        <v>45769</v>
      </c>
      <c r="CT10" s="1395"/>
      <c r="CU10" s="1395"/>
      <c r="CV10" s="1395"/>
      <c r="CW10" s="1394">
        <f>CS10+1</f>
        <v>45770</v>
      </c>
      <c r="CX10" s="1395"/>
      <c r="CY10" s="1395"/>
      <c r="CZ10" s="1395"/>
      <c r="DA10" s="1394">
        <f>CW10+1</f>
        <v>45771</v>
      </c>
      <c r="DB10" s="1395"/>
      <c r="DC10" s="1395"/>
      <c r="DD10" s="1395"/>
      <c r="DE10" s="1394">
        <f>DA10+1</f>
        <v>45772</v>
      </c>
      <c r="DF10" s="1395"/>
      <c r="DG10" s="1395"/>
      <c r="DH10" s="1395"/>
      <c r="DI10" s="1394">
        <f>DE10+1</f>
        <v>45773</v>
      </c>
      <c r="DJ10" s="1395"/>
      <c r="DK10" s="1395"/>
      <c r="DL10" s="1395"/>
      <c r="DM10" s="1394">
        <f>DI10+1</f>
        <v>45774</v>
      </c>
      <c r="DN10" s="1395"/>
      <c r="DO10" s="1395"/>
      <c r="DP10" s="1395"/>
      <c r="DQ10" s="1394">
        <f>DM10+1</f>
        <v>45775</v>
      </c>
      <c r="DR10" s="1395"/>
      <c r="DS10" s="1395"/>
      <c r="DT10" s="1395"/>
      <c r="DU10" s="1394">
        <f>DQ10+1</f>
        <v>45776</v>
      </c>
      <c r="DV10" s="1395"/>
      <c r="DW10" s="1395"/>
      <c r="DX10" s="1395"/>
      <c r="DY10" s="1394">
        <f>DU10+1</f>
        <v>45777</v>
      </c>
      <c r="DZ10" s="1395"/>
      <c r="EA10" s="1395"/>
      <c r="EB10" s="1395"/>
      <c r="EC10" s="1394">
        <f>DY10+1</f>
        <v>45778</v>
      </c>
      <c r="ED10" s="1395"/>
      <c r="EE10" s="1395"/>
      <c r="EF10" s="1398"/>
    </row>
    <row r="11" spans="1:136" ht="20" customHeight="1" x14ac:dyDescent="0.15">
      <c r="A11" s="969" t="s">
        <v>196</v>
      </c>
      <c r="B11" s="969"/>
      <c r="C11" s="80"/>
      <c r="D11" s="786"/>
      <c r="E11" s="786"/>
      <c r="F11" s="786"/>
      <c r="G11" s="786"/>
      <c r="H11" s="786"/>
      <c r="I11" s="1396"/>
      <c r="J11" s="1396"/>
      <c r="K11" s="1397"/>
      <c r="L11" s="872"/>
      <c r="M11" s="932">
        <v>45748</v>
      </c>
      <c r="N11" s="932">
        <f t="shared" ref="N11:P11" si="194">$M$10</f>
        <v>45748</v>
      </c>
      <c r="O11" s="932">
        <f t="shared" si="194"/>
        <v>45748</v>
      </c>
      <c r="P11" s="932">
        <f t="shared" si="194"/>
        <v>45748</v>
      </c>
      <c r="Q11" s="932">
        <f>Q$10</f>
        <v>45749</v>
      </c>
      <c r="R11" s="932">
        <f>Q$10</f>
        <v>45749</v>
      </c>
      <c r="S11" s="932">
        <f>Q$10</f>
        <v>45749</v>
      </c>
      <c r="T11" s="932">
        <f>Q$10</f>
        <v>45749</v>
      </c>
      <c r="U11" s="932">
        <f>U$10</f>
        <v>45750</v>
      </c>
      <c r="V11" s="932">
        <f>U$10</f>
        <v>45750</v>
      </c>
      <c r="W11" s="932">
        <f>U$10</f>
        <v>45750</v>
      </c>
      <c r="X11" s="932">
        <f>U$10</f>
        <v>45750</v>
      </c>
      <c r="Y11" s="932">
        <f>Y$10</f>
        <v>45751</v>
      </c>
      <c r="Z11" s="932">
        <f>Y$10</f>
        <v>45751</v>
      </c>
      <c r="AA11" s="932">
        <f>Y$10</f>
        <v>45751</v>
      </c>
      <c r="AB11" s="932">
        <f>Y$10</f>
        <v>45751</v>
      </c>
      <c r="AC11" s="932">
        <f>AC$10</f>
        <v>45752</v>
      </c>
      <c r="AD11" s="932">
        <f>AC$10</f>
        <v>45752</v>
      </c>
      <c r="AE11" s="932">
        <f>AC$10</f>
        <v>45752</v>
      </c>
      <c r="AF11" s="932">
        <f>AC$10</f>
        <v>45752</v>
      </c>
      <c r="AG11" s="932">
        <f>AG$10</f>
        <v>45753</v>
      </c>
      <c r="AH11" s="932">
        <f>AG$10</f>
        <v>45753</v>
      </c>
      <c r="AI11" s="932">
        <f>AG$10</f>
        <v>45753</v>
      </c>
      <c r="AJ11" s="932">
        <f>AG$10</f>
        <v>45753</v>
      </c>
      <c r="AK11" s="932">
        <f>AK$10</f>
        <v>45754</v>
      </c>
      <c r="AL11" s="932">
        <f>AK$10</f>
        <v>45754</v>
      </c>
      <c r="AM11" s="932">
        <f>AK$10</f>
        <v>45754</v>
      </c>
      <c r="AN11" s="932">
        <f>AK$10</f>
        <v>45754</v>
      </c>
      <c r="AO11" s="932">
        <f>AO$10</f>
        <v>45755</v>
      </c>
      <c r="AP11" s="932">
        <f>AO$10</f>
        <v>45755</v>
      </c>
      <c r="AQ11" s="932">
        <f>AO$10</f>
        <v>45755</v>
      </c>
      <c r="AR11" s="932">
        <f>AO$10</f>
        <v>45755</v>
      </c>
      <c r="AS11" s="932">
        <f>AS$10</f>
        <v>45756</v>
      </c>
      <c r="AT11" s="932">
        <f>AS$10</f>
        <v>45756</v>
      </c>
      <c r="AU11" s="932">
        <f>AS$10</f>
        <v>45756</v>
      </c>
      <c r="AV11" s="932">
        <f>AS$10</f>
        <v>45756</v>
      </c>
      <c r="AW11" s="932">
        <f>AW$10</f>
        <v>45757</v>
      </c>
      <c r="AX11" s="932">
        <f>AW$10</f>
        <v>45757</v>
      </c>
      <c r="AY11" s="932">
        <f>AW$10</f>
        <v>45757</v>
      </c>
      <c r="AZ11" s="932">
        <f>AW$10</f>
        <v>45757</v>
      </c>
      <c r="BA11" s="932">
        <f>BA$10</f>
        <v>45758</v>
      </c>
      <c r="BB11" s="932">
        <f>BA$10</f>
        <v>45758</v>
      </c>
      <c r="BC11" s="932">
        <f>BA$10</f>
        <v>45758</v>
      </c>
      <c r="BD11" s="932">
        <f>BA$10</f>
        <v>45758</v>
      </c>
      <c r="BE11" s="932">
        <f>BE$10</f>
        <v>45759</v>
      </c>
      <c r="BF11" s="932">
        <f>BE$10</f>
        <v>45759</v>
      </c>
      <c r="BG11" s="932">
        <f>BE$10</f>
        <v>45759</v>
      </c>
      <c r="BH11" s="932">
        <f>BE$10</f>
        <v>45759</v>
      </c>
      <c r="BI11" s="932">
        <f>BI$10</f>
        <v>45760</v>
      </c>
      <c r="BJ11" s="932">
        <f>BI$10</f>
        <v>45760</v>
      </c>
      <c r="BK11" s="932">
        <f>BI$10</f>
        <v>45760</v>
      </c>
      <c r="BL11" s="932">
        <f>BI$10</f>
        <v>45760</v>
      </c>
      <c r="BM11" s="932">
        <f>BM$10</f>
        <v>45761</v>
      </c>
      <c r="BN11" s="932">
        <f>BM$10</f>
        <v>45761</v>
      </c>
      <c r="BO11" s="932">
        <f>BM$10</f>
        <v>45761</v>
      </c>
      <c r="BP11" s="932">
        <f>BM$10</f>
        <v>45761</v>
      </c>
      <c r="BQ11" s="932">
        <f>BQ$10</f>
        <v>45762</v>
      </c>
      <c r="BR11" s="932">
        <f>BQ$10</f>
        <v>45762</v>
      </c>
      <c r="BS11" s="932">
        <f>BQ$10</f>
        <v>45762</v>
      </c>
      <c r="BT11" s="932">
        <f>BQ$10</f>
        <v>45762</v>
      </c>
      <c r="BU11" s="932">
        <f>BU$10</f>
        <v>45763</v>
      </c>
      <c r="BV11" s="932">
        <f>BU$10</f>
        <v>45763</v>
      </c>
      <c r="BW11" s="932">
        <f>BU$10</f>
        <v>45763</v>
      </c>
      <c r="BX11" s="932">
        <f>BU$10</f>
        <v>45763</v>
      </c>
      <c r="BY11" s="932">
        <f>BY$10</f>
        <v>45764</v>
      </c>
      <c r="BZ11" s="932">
        <f>BY$10</f>
        <v>45764</v>
      </c>
      <c r="CA11" s="932">
        <f>BY$10</f>
        <v>45764</v>
      </c>
      <c r="CB11" s="932">
        <f>BY$10</f>
        <v>45764</v>
      </c>
      <c r="CC11" s="932">
        <f>CC$10</f>
        <v>45765</v>
      </c>
      <c r="CD11" s="932">
        <f>CC$10</f>
        <v>45765</v>
      </c>
      <c r="CE11" s="932">
        <f>CC$10</f>
        <v>45765</v>
      </c>
      <c r="CF11" s="932">
        <f>CC$10</f>
        <v>45765</v>
      </c>
      <c r="CG11" s="932">
        <f>CG$10</f>
        <v>45766</v>
      </c>
      <c r="CH11" s="932">
        <f>CG$10</f>
        <v>45766</v>
      </c>
      <c r="CI11" s="932">
        <f>CG$10</f>
        <v>45766</v>
      </c>
      <c r="CJ11" s="932">
        <f>CG$10</f>
        <v>45766</v>
      </c>
      <c r="CK11" s="932">
        <f>CK$10</f>
        <v>45767</v>
      </c>
      <c r="CL11" s="932">
        <f>CK$10</f>
        <v>45767</v>
      </c>
      <c r="CM11" s="932">
        <f>CK$10</f>
        <v>45767</v>
      </c>
      <c r="CN11" s="932">
        <f>CK$10</f>
        <v>45767</v>
      </c>
      <c r="CO11" s="932">
        <f>CO$10</f>
        <v>45768</v>
      </c>
      <c r="CP11" s="932">
        <f>CO$10</f>
        <v>45768</v>
      </c>
      <c r="CQ11" s="932">
        <f>CO$10</f>
        <v>45768</v>
      </c>
      <c r="CR11" s="932">
        <f>CO$10</f>
        <v>45768</v>
      </c>
      <c r="CS11" s="932">
        <f>CS$10</f>
        <v>45769</v>
      </c>
      <c r="CT11" s="932">
        <f>CS$10</f>
        <v>45769</v>
      </c>
      <c r="CU11" s="932">
        <f>CS$10</f>
        <v>45769</v>
      </c>
      <c r="CV11" s="932">
        <f>CS$10</f>
        <v>45769</v>
      </c>
      <c r="CW11" s="932">
        <f>CW$10</f>
        <v>45770</v>
      </c>
      <c r="CX11" s="932">
        <f>CW$10</f>
        <v>45770</v>
      </c>
      <c r="CY11" s="932">
        <f>CW$10</f>
        <v>45770</v>
      </c>
      <c r="CZ11" s="932">
        <f>CW$10</f>
        <v>45770</v>
      </c>
      <c r="DA11" s="932">
        <f>DA$10</f>
        <v>45771</v>
      </c>
      <c r="DB11" s="932">
        <f>DA$10</f>
        <v>45771</v>
      </c>
      <c r="DC11" s="932">
        <f>DA$10</f>
        <v>45771</v>
      </c>
      <c r="DD11" s="932">
        <f>DA$10</f>
        <v>45771</v>
      </c>
      <c r="DE11" s="932">
        <f>DE$10</f>
        <v>45772</v>
      </c>
      <c r="DF11" s="932">
        <f>DE$10</f>
        <v>45772</v>
      </c>
      <c r="DG11" s="932">
        <f>DE$10</f>
        <v>45772</v>
      </c>
      <c r="DH11" s="932">
        <f>DE$10</f>
        <v>45772</v>
      </c>
      <c r="DI11" s="932">
        <f>DI$10</f>
        <v>45773</v>
      </c>
      <c r="DJ11" s="932">
        <f>DI$10</f>
        <v>45773</v>
      </c>
      <c r="DK11" s="932">
        <f>DI$10</f>
        <v>45773</v>
      </c>
      <c r="DL11" s="932">
        <f>DI$10</f>
        <v>45773</v>
      </c>
      <c r="DM11" s="932">
        <f>DM$10</f>
        <v>45774</v>
      </c>
      <c r="DN11" s="932">
        <f>DM$10</f>
        <v>45774</v>
      </c>
      <c r="DO11" s="932">
        <f>DM$10</f>
        <v>45774</v>
      </c>
      <c r="DP11" s="932">
        <f>DM$10</f>
        <v>45774</v>
      </c>
      <c r="DQ11" s="932">
        <f>DQ$10</f>
        <v>45775</v>
      </c>
      <c r="DR11" s="932">
        <f>DQ$10</f>
        <v>45775</v>
      </c>
      <c r="DS11" s="932">
        <f>DQ$10</f>
        <v>45775</v>
      </c>
      <c r="DT11" s="932">
        <f>DQ$10</f>
        <v>45775</v>
      </c>
      <c r="DU11" s="932">
        <f>DU$10</f>
        <v>45776</v>
      </c>
      <c r="DV11" s="932">
        <f>DU$10</f>
        <v>45776</v>
      </c>
      <c r="DW11" s="932">
        <f>DU$10</f>
        <v>45776</v>
      </c>
      <c r="DX11" s="932">
        <f>DU$10</f>
        <v>45776</v>
      </c>
      <c r="DY11" s="932">
        <f>DY$10</f>
        <v>45777</v>
      </c>
      <c r="DZ11" s="932">
        <f>DY$10</f>
        <v>45777</v>
      </c>
      <c r="EA11" s="932">
        <f>DY$10</f>
        <v>45777</v>
      </c>
      <c r="EB11" s="932">
        <f>DY$10</f>
        <v>45777</v>
      </c>
      <c r="EC11" s="932">
        <f>EC$10</f>
        <v>45778</v>
      </c>
      <c r="ED11" s="932">
        <f>EC$10</f>
        <v>45778</v>
      </c>
      <c r="EE11" s="932">
        <f>EC$10</f>
        <v>45778</v>
      </c>
      <c r="EF11" s="1169">
        <f>EC$10</f>
        <v>45778</v>
      </c>
    </row>
    <row r="12" spans="1:136" ht="20" customHeight="1" x14ac:dyDescent="0.15">
      <c r="A12" s="787"/>
      <c r="B12" s="1028"/>
      <c r="C12" s="979"/>
      <c r="D12" s="1391" t="s">
        <v>113</v>
      </c>
      <c r="E12" s="1392"/>
      <c r="F12" s="1392"/>
      <c r="G12" s="1392"/>
      <c r="H12" s="1392"/>
      <c r="I12" s="941" t="s">
        <v>200</v>
      </c>
      <c r="J12" s="1383" t="s">
        <v>197</v>
      </c>
      <c r="K12" s="1384"/>
      <c r="L12" s="1384"/>
      <c r="M12" s="1380" t="str">
        <f>IF(WEEKDAY(M11)=1,"CN","T"&amp;WEEKDAY(M11))</f>
        <v>T3</v>
      </c>
      <c r="N12" s="1380"/>
      <c r="O12" s="1380"/>
      <c r="P12" s="1380"/>
      <c r="Q12" s="1380" t="str">
        <f>IF(WEEKDAY(Q11)=1,"CN","T"&amp;WEEKDAY(Q11))</f>
        <v>T4</v>
      </c>
      <c r="R12" s="1381"/>
      <c r="S12" s="1381"/>
      <c r="T12" s="1381"/>
      <c r="U12" s="1380" t="str">
        <f>IF(WEEKDAY(U11)=1,"CN","T"&amp;WEEKDAY(U11))</f>
        <v>T5</v>
      </c>
      <c r="V12" s="1381"/>
      <c r="W12" s="1381"/>
      <c r="X12" s="1381"/>
      <c r="Y12" s="1380" t="str">
        <f>IF(WEEKDAY(Y11)=1,"CN","T"&amp;WEEKDAY(Y11))</f>
        <v>T6</v>
      </c>
      <c r="Z12" s="1381"/>
      <c r="AA12" s="1381"/>
      <c r="AB12" s="1381"/>
      <c r="AC12" s="1380" t="str">
        <f>IF(WEEKDAY(AC11)=1,"CN","T"&amp;WEEKDAY(AC11))</f>
        <v>T7</v>
      </c>
      <c r="AD12" s="1381"/>
      <c r="AE12" s="1381"/>
      <c r="AF12" s="1381"/>
      <c r="AG12" s="1380" t="str">
        <f>IF(WEEKDAY(AG11)=1,"CN","T"&amp;WEEKDAY(AG11))</f>
        <v>CN</v>
      </c>
      <c r="AH12" s="1381"/>
      <c r="AI12" s="1381"/>
      <c r="AJ12" s="1381"/>
      <c r="AK12" s="1380" t="str">
        <f>IF(WEEKDAY(AK11)=1,"CN","T"&amp;WEEKDAY(AK11))</f>
        <v>T2</v>
      </c>
      <c r="AL12" s="1381"/>
      <c r="AM12" s="1381"/>
      <c r="AN12" s="1381"/>
      <c r="AO12" s="1380" t="str">
        <f>IF(WEEKDAY(AO11)=1,"CN","T"&amp;WEEKDAY(AO11))</f>
        <v>T3</v>
      </c>
      <c r="AP12" s="1381"/>
      <c r="AQ12" s="1381"/>
      <c r="AR12" s="1381"/>
      <c r="AS12" s="1380" t="str">
        <f>IF(WEEKDAY(AS11)=1,"CN","T"&amp;WEEKDAY(AS11))</f>
        <v>T4</v>
      </c>
      <c r="AT12" s="1381"/>
      <c r="AU12" s="1381"/>
      <c r="AV12" s="1381"/>
      <c r="AW12" s="1380" t="str">
        <f>IF(WEEKDAY(AW11)=1,"CN","T"&amp;WEEKDAY(AW11))</f>
        <v>T5</v>
      </c>
      <c r="AX12" s="1381"/>
      <c r="AY12" s="1381"/>
      <c r="AZ12" s="1381"/>
      <c r="BA12" s="1380" t="str">
        <f>IF(WEEKDAY(BA11)=1,"CN","T"&amp;WEEKDAY(BA11))</f>
        <v>T6</v>
      </c>
      <c r="BB12" s="1381"/>
      <c r="BC12" s="1381"/>
      <c r="BD12" s="1381"/>
      <c r="BE12" s="1380" t="str">
        <f>IF(WEEKDAY(BE11)=1,"CN","T"&amp;WEEKDAY(BE11))</f>
        <v>T7</v>
      </c>
      <c r="BF12" s="1381"/>
      <c r="BG12" s="1381"/>
      <c r="BH12" s="1381"/>
      <c r="BI12" s="1380" t="str">
        <f>IF(WEEKDAY(BI11)=1,"CN","T"&amp;WEEKDAY(BI11))</f>
        <v>CN</v>
      </c>
      <c r="BJ12" s="1381"/>
      <c r="BK12" s="1381"/>
      <c r="BL12" s="1381"/>
      <c r="BM12" s="1380" t="str">
        <f>IF(WEEKDAY(BM11)=1,"CN","T"&amp;WEEKDAY(BM11))</f>
        <v>T2</v>
      </c>
      <c r="BN12" s="1381"/>
      <c r="BO12" s="1381"/>
      <c r="BP12" s="1381"/>
      <c r="BQ12" s="1380" t="str">
        <f>IF(WEEKDAY(BQ11)=1,"CN","T"&amp;WEEKDAY(BQ11))</f>
        <v>T3</v>
      </c>
      <c r="BR12" s="1381"/>
      <c r="BS12" s="1381"/>
      <c r="BT12" s="1381"/>
      <c r="BU12" s="1380" t="str">
        <f>IF(WEEKDAY(BU11)=1,"CN","T"&amp;WEEKDAY(BU11))</f>
        <v>T4</v>
      </c>
      <c r="BV12" s="1381"/>
      <c r="BW12" s="1381"/>
      <c r="BX12" s="1381"/>
      <c r="BY12" s="1380" t="str">
        <f>IF(WEEKDAY(BY11)=1,"CN","T"&amp;WEEKDAY(BY11))</f>
        <v>T5</v>
      </c>
      <c r="BZ12" s="1381"/>
      <c r="CA12" s="1381"/>
      <c r="CB12" s="1381"/>
      <c r="CC12" s="1380" t="str">
        <f>IF(WEEKDAY(CC11)=1,"CN","T"&amp;WEEKDAY(CC11))</f>
        <v>T6</v>
      </c>
      <c r="CD12" s="1381"/>
      <c r="CE12" s="1381"/>
      <c r="CF12" s="1381"/>
      <c r="CG12" s="1380" t="str">
        <f>IF(WEEKDAY(CG11)=1,"CN","T"&amp;WEEKDAY(CG11))</f>
        <v>T7</v>
      </c>
      <c r="CH12" s="1381"/>
      <c r="CI12" s="1381"/>
      <c r="CJ12" s="1381"/>
      <c r="CK12" s="1380" t="str">
        <f>IF(WEEKDAY(CK11)=1,"CN","T"&amp;WEEKDAY(CK11))</f>
        <v>CN</v>
      </c>
      <c r="CL12" s="1381"/>
      <c r="CM12" s="1381"/>
      <c r="CN12" s="1381"/>
      <c r="CO12" s="1380" t="str">
        <f>IF(WEEKDAY(CO11)=1,"CN","T"&amp;WEEKDAY(CO11))</f>
        <v>T2</v>
      </c>
      <c r="CP12" s="1381"/>
      <c r="CQ12" s="1381"/>
      <c r="CR12" s="1381"/>
      <c r="CS12" s="1380" t="str">
        <f>IF(WEEKDAY(CS11)=1,"CN","T"&amp;WEEKDAY(CS11))</f>
        <v>T3</v>
      </c>
      <c r="CT12" s="1381"/>
      <c r="CU12" s="1381"/>
      <c r="CV12" s="1381"/>
      <c r="CW12" s="1380" t="str">
        <f>IF(WEEKDAY(CW11)=1,"CN","T"&amp;WEEKDAY(CW11))</f>
        <v>T4</v>
      </c>
      <c r="CX12" s="1381"/>
      <c r="CY12" s="1381"/>
      <c r="CZ12" s="1381"/>
      <c r="DA12" s="1380" t="str">
        <f>IF(WEEKDAY(DA11)=1,"CN","T"&amp;WEEKDAY(DA11))</f>
        <v>T5</v>
      </c>
      <c r="DB12" s="1381"/>
      <c r="DC12" s="1381"/>
      <c r="DD12" s="1381"/>
      <c r="DE12" s="1380" t="str">
        <f>IF(WEEKDAY(DE11)=1,"CN","T"&amp;WEEKDAY(DE11))</f>
        <v>T6</v>
      </c>
      <c r="DF12" s="1381"/>
      <c r="DG12" s="1381"/>
      <c r="DH12" s="1381"/>
      <c r="DI12" s="1380" t="str">
        <f>IF(WEEKDAY(DI11)=1,"CN","T"&amp;WEEKDAY(DI11))</f>
        <v>T7</v>
      </c>
      <c r="DJ12" s="1381"/>
      <c r="DK12" s="1381"/>
      <c r="DL12" s="1381"/>
      <c r="DM12" s="1380" t="str">
        <f>IF(WEEKDAY(DM11)=1,"CN","T"&amp;WEEKDAY(DM11))</f>
        <v>CN</v>
      </c>
      <c r="DN12" s="1381"/>
      <c r="DO12" s="1381"/>
      <c r="DP12" s="1381"/>
      <c r="DQ12" s="1380" t="str">
        <f>IF(WEEKDAY(DQ11)=1,"CN","T"&amp;WEEKDAY(DQ11))</f>
        <v>T2</v>
      </c>
      <c r="DR12" s="1381"/>
      <c r="DS12" s="1381"/>
      <c r="DT12" s="1381"/>
      <c r="DU12" s="1380" t="str">
        <f>IF(WEEKDAY(DU11)=1,"CN","T"&amp;WEEKDAY(DU11))</f>
        <v>T3</v>
      </c>
      <c r="DV12" s="1381"/>
      <c r="DW12" s="1381"/>
      <c r="DX12" s="1381"/>
      <c r="DY12" s="1380" t="str">
        <f>IF(WEEKDAY(DY11)=1,"CN","T"&amp;WEEKDAY(DY11))</f>
        <v>T4</v>
      </c>
      <c r="DZ12" s="1381"/>
      <c r="EA12" s="1381"/>
      <c r="EB12" s="1381"/>
      <c r="EC12" s="1380" t="str">
        <f>IF(WEEKDAY(EC11)=1,"CN","T"&amp;WEEKDAY(EC11))</f>
        <v>T5</v>
      </c>
      <c r="ED12" s="1381"/>
      <c r="EE12" s="1381"/>
      <c r="EF12" s="1382"/>
    </row>
    <row r="13" spans="1:136" ht="89" customHeight="1" thickBot="1" x14ac:dyDescent="0.2">
      <c r="A13" s="1378" t="s">
        <v>214</v>
      </c>
      <c r="B13" s="1379"/>
      <c r="C13" s="1379"/>
      <c r="D13" s="84" t="s">
        <v>107</v>
      </c>
      <c r="E13" s="85" t="s">
        <v>141</v>
      </c>
      <c r="F13" s="86" t="s">
        <v>108</v>
      </c>
      <c r="G13" s="87" t="s">
        <v>109</v>
      </c>
      <c r="H13" s="830" t="s">
        <v>198</v>
      </c>
      <c r="I13" s="830" t="s">
        <v>74</v>
      </c>
      <c r="J13" s="830" t="s">
        <v>199</v>
      </c>
      <c r="K13" s="88" t="s">
        <v>74</v>
      </c>
      <c r="L13" s="88" t="s">
        <v>110</v>
      </c>
      <c r="M13" s="955" t="s">
        <v>213</v>
      </c>
      <c r="N13" s="956" t="s">
        <v>202</v>
      </c>
      <c r="O13" s="956" t="s">
        <v>29</v>
      </c>
      <c r="P13" s="957" t="s">
        <v>201</v>
      </c>
      <c r="Q13" s="952" t="s">
        <v>213</v>
      </c>
      <c r="R13" s="911" t="s">
        <v>202</v>
      </c>
      <c r="S13" s="912" t="s">
        <v>29</v>
      </c>
      <c r="T13" s="912" t="s">
        <v>201</v>
      </c>
      <c r="U13" s="961" t="s">
        <v>213</v>
      </c>
      <c r="V13" s="962" t="s">
        <v>202</v>
      </c>
      <c r="W13" s="934" t="s">
        <v>29</v>
      </c>
      <c r="X13" s="963" t="s">
        <v>201</v>
      </c>
      <c r="Y13" s="952" t="s">
        <v>213</v>
      </c>
      <c r="Z13" s="911" t="s">
        <v>202</v>
      </c>
      <c r="AA13" s="912" t="s">
        <v>29</v>
      </c>
      <c r="AB13" s="913" t="s">
        <v>201</v>
      </c>
      <c r="AC13" s="952" t="s">
        <v>213</v>
      </c>
      <c r="AD13" s="911" t="s">
        <v>202</v>
      </c>
      <c r="AE13" s="912" t="s">
        <v>29</v>
      </c>
      <c r="AF13" s="965" t="s">
        <v>201</v>
      </c>
      <c r="AG13" s="964" t="s">
        <v>213</v>
      </c>
      <c r="AH13" s="911" t="s">
        <v>202</v>
      </c>
      <c r="AI13" s="912" t="s">
        <v>29</v>
      </c>
      <c r="AJ13" s="913" t="s">
        <v>201</v>
      </c>
      <c r="AK13" s="952" t="s">
        <v>213</v>
      </c>
      <c r="AL13" s="911" t="s">
        <v>202</v>
      </c>
      <c r="AM13" s="912" t="s">
        <v>29</v>
      </c>
      <c r="AN13" s="913" t="s">
        <v>201</v>
      </c>
      <c r="AO13" s="952" t="s">
        <v>213</v>
      </c>
      <c r="AP13" s="911" t="s">
        <v>202</v>
      </c>
      <c r="AQ13" s="912" t="s">
        <v>29</v>
      </c>
      <c r="AR13" s="913" t="s">
        <v>201</v>
      </c>
      <c r="AS13" s="952" t="s">
        <v>213</v>
      </c>
      <c r="AT13" s="911" t="s">
        <v>202</v>
      </c>
      <c r="AU13" s="912" t="s">
        <v>29</v>
      </c>
      <c r="AV13" s="913" t="s">
        <v>201</v>
      </c>
      <c r="AW13" s="952" t="s">
        <v>213</v>
      </c>
      <c r="AX13" s="911" t="s">
        <v>202</v>
      </c>
      <c r="AY13" s="912" t="s">
        <v>29</v>
      </c>
      <c r="AZ13" s="913" t="s">
        <v>201</v>
      </c>
      <c r="BA13" s="952" t="s">
        <v>213</v>
      </c>
      <c r="BB13" s="911" t="s">
        <v>202</v>
      </c>
      <c r="BC13" s="912" t="s">
        <v>29</v>
      </c>
      <c r="BD13" s="913" t="s">
        <v>201</v>
      </c>
      <c r="BE13" s="952" t="s">
        <v>213</v>
      </c>
      <c r="BF13" s="911" t="s">
        <v>202</v>
      </c>
      <c r="BG13" s="912" t="s">
        <v>29</v>
      </c>
      <c r="BH13" s="913" t="s">
        <v>201</v>
      </c>
      <c r="BI13" s="952" t="s">
        <v>213</v>
      </c>
      <c r="BJ13" s="911" t="s">
        <v>202</v>
      </c>
      <c r="BK13" s="912" t="s">
        <v>29</v>
      </c>
      <c r="BL13" s="913" t="s">
        <v>201</v>
      </c>
      <c r="BM13" s="952" t="s">
        <v>213</v>
      </c>
      <c r="BN13" s="911" t="s">
        <v>202</v>
      </c>
      <c r="BO13" s="912" t="s">
        <v>29</v>
      </c>
      <c r="BP13" s="913" t="s">
        <v>201</v>
      </c>
      <c r="BQ13" s="952" t="s">
        <v>213</v>
      </c>
      <c r="BR13" s="911" t="s">
        <v>202</v>
      </c>
      <c r="BS13" s="912" t="s">
        <v>29</v>
      </c>
      <c r="BT13" s="913" t="s">
        <v>201</v>
      </c>
      <c r="BU13" s="952" t="s">
        <v>213</v>
      </c>
      <c r="BV13" s="911" t="s">
        <v>202</v>
      </c>
      <c r="BW13" s="912" t="s">
        <v>29</v>
      </c>
      <c r="BX13" s="913" t="s">
        <v>201</v>
      </c>
      <c r="BY13" s="952" t="s">
        <v>213</v>
      </c>
      <c r="BZ13" s="911" t="s">
        <v>202</v>
      </c>
      <c r="CA13" s="912" t="s">
        <v>29</v>
      </c>
      <c r="CB13" s="913" t="s">
        <v>201</v>
      </c>
      <c r="CC13" s="952" t="s">
        <v>213</v>
      </c>
      <c r="CD13" s="911" t="s">
        <v>202</v>
      </c>
      <c r="CE13" s="912" t="s">
        <v>29</v>
      </c>
      <c r="CF13" s="913" t="s">
        <v>201</v>
      </c>
      <c r="CG13" s="952" t="s">
        <v>213</v>
      </c>
      <c r="CH13" s="911" t="s">
        <v>202</v>
      </c>
      <c r="CI13" s="912" t="s">
        <v>29</v>
      </c>
      <c r="CJ13" s="913" t="s">
        <v>201</v>
      </c>
      <c r="CK13" s="952" t="s">
        <v>213</v>
      </c>
      <c r="CL13" s="911" t="s">
        <v>202</v>
      </c>
      <c r="CM13" s="912" t="s">
        <v>29</v>
      </c>
      <c r="CN13" s="913" t="s">
        <v>201</v>
      </c>
      <c r="CO13" s="952" t="s">
        <v>213</v>
      </c>
      <c r="CP13" s="911" t="s">
        <v>202</v>
      </c>
      <c r="CQ13" s="912" t="s">
        <v>29</v>
      </c>
      <c r="CR13" s="913" t="s">
        <v>201</v>
      </c>
      <c r="CS13" s="952" t="s">
        <v>213</v>
      </c>
      <c r="CT13" s="911" t="s">
        <v>202</v>
      </c>
      <c r="CU13" s="912" t="s">
        <v>29</v>
      </c>
      <c r="CV13" s="913" t="s">
        <v>201</v>
      </c>
      <c r="CW13" s="952" t="s">
        <v>213</v>
      </c>
      <c r="CX13" s="911" t="s">
        <v>202</v>
      </c>
      <c r="CY13" s="912" t="s">
        <v>29</v>
      </c>
      <c r="CZ13" s="913" t="s">
        <v>201</v>
      </c>
      <c r="DA13" s="952" t="s">
        <v>213</v>
      </c>
      <c r="DB13" s="911" t="s">
        <v>202</v>
      </c>
      <c r="DC13" s="912" t="s">
        <v>29</v>
      </c>
      <c r="DD13" s="913" t="s">
        <v>201</v>
      </c>
      <c r="DE13" s="952" t="s">
        <v>213</v>
      </c>
      <c r="DF13" s="911" t="s">
        <v>202</v>
      </c>
      <c r="DG13" s="912" t="s">
        <v>29</v>
      </c>
      <c r="DH13" s="913" t="s">
        <v>201</v>
      </c>
      <c r="DI13" s="952" t="s">
        <v>213</v>
      </c>
      <c r="DJ13" s="911" t="s">
        <v>202</v>
      </c>
      <c r="DK13" s="912" t="s">
        <v>29</v>
      </c>
      <c r="DL13" s="913" t="s">
        <v>201</v>
      </c>
      <c r="DM13" s="952" t="s">
        <v>213</v>
      </c>
      <c r="DN13" s="911" t="s">
        <v>202</v>
      </c>
      <c r="DO13" s="912" t="s">
        <v>29</v>
      </c>
      <c r="DP13" s="913" t="s">
        <v>201</v>
      </c>
      <c r="DQ13" s="952" t="s">
        <v>213</v>
      </c>
      <c r="DR13" s="911" t="s">
        <v>202</v>
      </c>
      <c r="DS13" s="912" t="s">
        <v>29</v>
      </c>
      <c r="DT13" s="913" t="s">
        <v>201</v>
      </c>
      <c r="DU13" s="952" t="s">
        <v>213</v>
      </c>
      <c r="DV13" s="911" t="s">
        <v>202</v>
      </c>
      <c r="DW13" s="912" t="s">
        <v>29</v>
      </c>
      <c r="DX13" s="913" t="s">
        <v>201</v>
      </c>
      <c r="DY13" s="952" t="s">
        <v>213</v>
      </c>
      <c r="DZ13" s="911" t="s">
        <v>202</v>
      </c>
      <c r="EA13" s="912" t="s">
        <v>29</v>
      </c>
      <c r="EB13" s="913" t="s">
        <v>201</v>
      </c>
      <c r="EC13" s="952" t="s">
        <v>213</v>
      </c>
      <c r="ED13" s="911" t="s">
        <v>202</v>
      </c>
      <c r="EE13" s="912" t="s">
        <v>29</v>
      </c>
      <c r="EF13" s="1170" t="s">
        <v>201</v>
      </c>
    </row>
    <row r="14" spans="1:136" s="966" customFormat="1" ht="20" customHeight="1" x14ac:dyDescent="0.15">
      <c r="A14" s="9"/>
      <c r="B14" s="9"/>
      <c r="C14" s="813" t="str">
        <f>Dashboard!K90</f>
        <v>P2</v>
      </c>
      <c r="D14" s="1091">
        <f>Dashboard!U90</f>
        <v>0.3</v>
      </c>
      <c r="E14" s="834"/>
      <c r="F14" s="834"/>
      <c r="G14" s="834"/>
      <c r="H14" s="909"/>
      <c r="I14" s="909"/>
      <c r="J14" s="909"/>
      <c r="K14" s="910"/>
      <c r="L14" s="968"/>
      <c r="M14" s="892"/>
      <c r="N14" s="930"/>
      <c r="O14" s="873"/>
      <c r="P14" s="873"/>
      <c r="Q14" s="892"/>
      <c r="R14" s="930"/>
      <c r="S14" s="873"/>
      <c r="T14" s="873"/>
      <c r="U14" s="892"/>
      <c r="V14" s="930"/>
      <c r="W14" s="873"/>
      <c r="X14" s="873"/>
      <c r="Y14" s="892"/>
      <c r="Z14" s="930"/>
      <c r="AA14" s="873"/>
      <c r="AB14" s="873"/>
      <c r="AC14" s="892"/>
      <c r="AD14" s="930"/>
      <c r="AE14" s="873"/>
      <c r="AF14" s="873"/>
      <c r="AG14" s="892"/>
      <c r="AH14" s="930"/>
      <c r="AI14" s="873"/>
      <c r="AJ14" s="873"/>
      <c r="AK14" s="892"/>
      <c r="AL14" s="930"/>
      <c r="AM14" s="873"/>
      <c r="AN14" s="873"/>
      <c r="AO14" s="892"/>
      <c r="AP14" s="930"/>
      <c r="AQ14" s="873"/>
      <c r="AR14" s="873"/>
      <c r="AS14" s="892"/>
      <c r="AT14" s="930"/>
      <c r="AU14" s="873"/>
      <c r="AV14" s="873"/>
      <c r="AW14" s="892"/>
      <c r="AX14" s="930"/>
      <c r="AY14" s="873"/>
      <c r="AZ14" s="873"/>
      <c r="BA14" s="892"/>
      <c r="BB14" s="930"/>
      <c r="BC14" s="873"/>
      <c r="BD14" s="873"/>
      <c r="BE14" s="892"/>
      <c r="BF14" s="930"/>
      <c r="BG14" s="873"/>
      <c r="BH14" s="873"/>
      <c r="BI14" s="892"/>
      <c r="BJ14" s="930"/>
      <c r="BK14" s="873"/>
      <c r="BL14" s="873"/>
      <c r="BM14" s="892"/>
      <c r="BN14" s="930"/>
      <c r="BO14" s="873"/>
      <c r="BP14" s="873"/>
      <c r="BQ14" s="892"/>
      <c r="BR14" s="930"/>
      <c r="BS14" s="873"/>
      <c r="BT14" s="873"/>
      <c r="BU14" s="892"/>
      <c r="BV14" s="930"/>
      <c r="BW14" s="873"/>
      <c r="BX14" s="873"/>
      <c r="BY14" s="892"/>
      <c r="BZ14" s="930"/>
      <c r="CA14" s="873"/>
      <c r="CB14" s="873"/>
      <c r="CC14" s="892"/>
      <c r="CD14" s="930"/>
      <c r="CE14" s="873"/>
      <c r="CF14" s="873"/>
      <c r="CG14" s="892"/>
      <c r="CH14" s="930"/>
      <c r="CI14" s="873"/>
      <c r="CJ14" s="873"/>
      <c r="CK14" s="892"/>
      <c r="CL14" s="930"/>
      <c r="CM14" s="873"/>
      <c r="CN14" s="873"/>
      <c r="CO14" s="892"/>
      <c r="CP14" s="930"/>
      <c r="CQ14" s="873"/>
      <c r="CR14" s="873"/>
      <c r="CS14" s="892"/>
      <c r="CT14" s="930"/>
      <c r="CU14" s="873"/>
      <c r="CV14" s="873"/>
      <c r="CW14" s="892"/>
      <c r="CX14" s="930"/>
      <c r="CY14" s="873"/>
      <c r="CZ14" s="873"/>
      <c r="DA14" s="892"/>
      <c r="DB14" s="930"/>
      <c r="DC14" s="873"/>
      <c r="DD14" s="873"/>
      <c r="DE14" s="892"/>
      <c r="DF14" s="930"/>
      <c r="DG14" s="873"/>
      <c r="DH14" s="873"/>
      <c r="DI14" s="892"/>
      <c r="DJ14" s="930"/>
      <c r="DK14" s="873"/>
      <c r="DL14" s="873"/>
      <c r="DM14" s="892"/>
      <c r="DN14" s="930"/>
      <c r="DO14" s="873"/>
      <c r="DP14" s="873"/>
      <c r="DQ14" s="892"/>
      <c r="DR14" s="930"/>
      <c r="DS14" s="873"/>
      <c r="DT14" s="873"/>
      <c r="DU14" s="892"/>
      <c r="DV14" s="930"/>
      <c r="DW14" s="873"/>
      <c r="DX14" s="873"/>
      <c r="DY14" s="892"/>
      <c r="DZ14" s="930"/>
      <c r="EA14" s="873"/>
      <c r="EB14" s="873"/>
      <c r="EC14" s="892"/>
      <c r="ED14" s="930"/>
      <c r="EE14" s="873"/>
      <c r="EF14" s="873"/>
    </row>
    <row r="15" spans="1:136" s="916" customFormat="1" ht="20" customHeight="1" x14ac:dyDescent="0.15">
      <c r="A15" s="870">
        <f>_xlfn.IFS(B15=0,0,E15&gt;B15,1,E15&lt;=B15,E15/B15)</f>
        <v>0</v>
      </c>
      <c r="B15" s="833"/>
      <c r="C15" s="832" t="str">
        <f>Dashboard!K91</f>
        <v>CALL</v>
      </c>
      <c r="D15" s="185">
        <f>Dashboard!U91</f>
        <v>366.78288569643968</v>
      </c>
      <c r="E15" s="1083">
        <f>SUMIF($M$13:$EF$13,$M$13,$M15:$EF15)</f>
        <v>682</v>
      </c>
      <c r="F15" s="185">
        <f>E15-D15</f>
        <v>315.21711430356032</v>
      </c>
      <c r="G15" s="789">
        <f>_xlfn.IFS(F15&gt;0,1,F15&lt;=0,E15/D15)</f>
        <v>1</v>
      </c>
      <c r="H15" s="966"/>
      <c r="I15" s="94"/>
      <c r="J15" s="966"/>
      <c r="K15" s="185">
        <f>D15/$B$9</f>
        <v>12.869574936717182</v>
      </c>
      <c r="L15" s="882">
        <f ca="1">SUMIFS($M15:$EF15,$M$11:$EF$11,TODAY()-1,$M$13:$EF$13,$M$13)</f>
        <v>0</v>
      </c>
      <c r="M15" s="897">
        <f>M26+M32</f>
        <v>22</v>
      </c>
      <c r="N15" s="931">
        <f>N26+N32</f>
        <v>15</v>
      </c>
      <c r="O15" s="857">
        <f>_xlfn.IFS(M15=0,0,N15&lt;=M15,N15/M15,N15&gt;M15,1)</f>
        <v>0.68181818181818177</v>
      </c>
      <c r="P15" s="889">
        <f>P26+P32</f>
        <v>1050000</v>
      </c>
      <c r="Q15" s="897">
        <f>Q26+Q32</f>
        <v>22</v>
      </c>
      <c r="R15" s="931">
        <f>R26+R32</f>
        <v>15</v>
      </c>
      <c r="S15" s="857">
        <f>_xlfn.IFS(Q15=0,0,R15&lt;=Q15,R15/Q15,R15&gt;Q15,1)</f>
        <v>0.68181818181818177</v>
      </c>
      <c r="T15" s="889">
        <f>T26+T32</f>
        <v>1050000</v>
      </c>
      <c r="U15" s="897">
        <f>U26+U32</f>
        <v>22</v>
      </c>
      <c r="V15" s="931">
        <f>V26+V32</f>
        <v>15</v>
      </c>
      <c r="W15" s="857">
        <f>_xlfn.IFS(U15=0,0,V15&lt;=U15,V15/U15,V15&gt;U15,1)</f>
        <v>0.68181818181818177</v>
      </c>
      <c r="X15" s="889">
        <f>X26+X32</f>
        <v>1050000</v>
      </c>
      <c r="Y15" s="897">
        <f>Y26+Y32</f>
        <v>22</v>
      </c>
      <c r="Z15" s="931">
        <f>Z26+Z32</f>
        <v>15</v>
      </c>
      <c r="AA15" s="857">
        <f>_xlfn.IFS(Y15=0,0,Z15&lt;=Y15,Z15/Y15,Z15&gt;Y15,1)</f>
        <v>0.68181818181818177</v>
      </c>
      <c r="AB15" s="889">
        <f>AB26+AB32</f>
        <v>1050000</v>
      </c>
      <c r="AC15" s="897">
        <f>AC26+AC32</f>
        <v>22</v>
      </c>
      <c r="AD15" s="931">
        <f>AD26+AD32</f>
        <v>15</v>
      </c>
      <c r="AE15" s="857">
        <f>_xlfn.IFS(AC15=0,0,AD15&lt;=AC15,AD15/AC15,AD15&gt;AC15,1)</f>
        <v>0.68181818181818177</v>
      </c>
      <c r="AF15" s="889">
        <f>AF26+AF32</f>
        <v>1050000</v>
      </c>
      <c r="AG15" s="897">
        <f>AG26+AG32</f>
        <v>22</v>
      </c>
      <c r="AH15" s="931">
        <f>AH26+AH32</f>
        <v>15</v>
      </c>
      <c r="AI15" s="857">
        <f>_xlfn.IFS(AG15=0,0,AH15&lt;=AG15,AH15/AG15,AH15&gt;AG15,1)</f>
        <v>0.68181818181818177</v>
      </c>
      <c r="AJ15" s="889">
        <f>AJ26+AJ32</f>
        <v>1050000</v>
      </c>
      <c r="AK15" s="897">
        <f>AK26+AK32</f>
        <v>22</v>
      </c>
      <c r="AL15" s="931">
        <f>AL26+AL32</f>
        <v>15</v>
      </c>
      <c r="AM15" s="857">
        <f>_xlfn.IFS(AK15=0,0,AL15&lt;=AK15,AL15/AK15,AL15&gt;AK15,1)</f>
        <v>0.68181818181818177</v>
      </c>
      <c r="AN15" s="889">
        <f>AN26+AN32</f>
        <v>1050000</v>
      </c>
      <c r="AO15" s="897">
        <f>AO26+AO32</f>
        <v>22</v>
      </c>
      <c r="AP15" s="931">
        <f>AP26+AP32</f>
        <v>15</v>
      </c>
      <c r="AQ15" s="857">
        <f>_xlfn.IFS(AO15=0,0,AP15&lt;=AO15,AP15/AO15,AP15&gt;AO15,1)</f>
        <v>0.68181818181818177</v>
      </c>
      <c r="AR15" s="889">
        <f>AR26+AR32</f>
        <v>1050000</v>
      </c>
      <c r="AS15" s="897">
        <f>AS26+AS32</f>
        <v>22</v>
      </c>
      <c r="AT15" s="931">
        <f>AT26+AT32</f>
        <v>15</v>
      </c>
      <c r="AU15" s="857">
        <f>_xlfn.IFS(AS15=0,0,AT15&lt;=AS15,AT15/AS15,AT15&gt;AS15,1)</f>
        <v>0.68181818181818177</v>
      </c>
      <c r="AV15" s="889">
        <f>AV26+AV32</f>
        <v>1050000</v>
      </c>
      <c r="AW15" s="897">
        <f>AW26+AW32</f>
        <v>22</v>
      </c>
      <c r="AX15" s="931">
        <f>AX26+AX32</f>
        <v>15</v>
      </c>
      <c r="AY15" s="857">
        <f>_xlfn.IFS(AW15=0,0,AX15&lt;=AW15,AX15/AW15,AX15&gt;AW15,1)</f>
        <v>0.68181818181818177</v>
      </c>
      <c r="AZ15" s="889">
        <f>AZ26+AZ32</f>
        <v>1050000</v>
      </c>
      <c r="BA15" s="897">
        <f>BA26+BA32</f>
        <v>22</v>
      </c>
      <c r="BB15" s="931">
        <f>BB26+BB32</f>
        <v>15</v>
      </c>
      <c r="BC15" s="857">
        <f>_xlfn.IFS(BA15=0,0,BB15&lt;=BA15,BB15/BA15,BB15&gt;BA15,1)</f>
        <v>0.68181818181818177</v>
      </c>
      <c r="BD15" s="889">
        <f>BD26+BD32</f>
        <v>1050000</v>
      </c>
      <c r="BE15" s="897">
        <f>BE26+BE32</f>
        <v>22</v>
      </c>
      <c r="BF15" s="931">
        <f>BF26+BF32</f>
        <v>15</v>
      </c>
      <c r="BG15" s="857">
        <f>_xlfn.IFS(BE15=0,0,BF15&lt;=BE15,BF15/BE15,BF15&gt;BE15,1)</f>
        <v>0.68181818181818177</v>
      </c>
      <c r="BH15" s="889">
        <f>BH26+BH32</f>
        <v>1050000</v>
      </c>
      <c r="BI15" s="897">
        <f>BI26+BI32</f>
        <v>22</v>
      </c>
      <c r="BJ15" s="931">
        <f>BJ26+BJ32</f>
        <v>15</v>
      </c>
      <c r="BK15" s="857">
        <f>_xlfn.IFS(BI15=0,0,BJ15&lt;=BI15,BJ15/BI15,BJ15&gt;BI15,1)</f>
        <v>0.68181818181818177</v>
      </c>
      <c r="BL15" s="889">
        <f>BL26+BL32</f>
        <v>1050000</v>
      </c>
      <c r="BM15" s="897">
        <f>BM26+BM32</f>
        <v>22</v>
      </c>
      <c r="BN15" s="931">
        <f>BN26+BN32</f>
        <v>15</v>
      </c>
      <c r="BO15" s="857">
        <f>_xlfn.IFS(BM15=0,0,BN15&lt;=BM15,BN15/BM15,BN15&gt;BM15,1)</f>
        <v>0.68181818181818177</v>
      </c>
      <c r="BP15" s="889">
        <f>BP26+BP32</f>
        <v>1050000</v>
      </c>
      <c r="BQ15" s="897">
        <f>BQ26+BQ32</f>
        <v>22</v>
      </c>
      <c r="BR15" s="931">
        <f>BR26+BR32</f>
        <v>15</v>
      </c>
      <c r="BS15" s="857">
        <f>_xlfn.IFS(BQ15=0,0,BR15&lt;=BQ15,BR15/BQ15,BR15&gt;BQ15,1)</f>
        <v>0.68181818181818177</v>
      </c>
      <c r="BT15" s="889">
        <f>BT26+BT32</f>
        <v>1050000</v>
      </c>
      <c r="BU15" s="897">
        <f>BU26+BU32</f>
        <v>22</v>
      </c>
      <c r="BV15" s="931">
        <f>BV26+BV32</f>
        <v>15</v>
      </c>
      <c r="BW15" s="857">
        <f>_xlfn.IFS(BU15=0,0,BV15&lt;=BU15,BV15/BU15,BV15&gt;BU15,1)</f>
        <v>0.68181818181818177</v>
      </c>
      <c r="BX15" s="889">
        <f>BX26+BX32</f>
        <v>1050000</v>
      </c>
      <c r="BY15" s="897">
        <f>BY26+BY32</f>
        <v>22</v>
      </c>
      <c r="BZ15" s="931">
        <f>BZ26+BZ32</f>
        <v>15</v>
      </c>
      <c r="CA15" s="857">
        <f>_xlfn.IFS(BY15=0,0,BZ15&lt;=BY15,BZ15/BY15,BZ15&gt;BY15,1)</f>
        <v>0.68181818181818177</v>
      </c>
      <c r="CB15" s="889">
        <f>CB26+CB32</f>
        <v>1050000</v>
      </c>
      <c r="CC15" s="897">
        <f>CC26+CC32</f>
        <v>22</v>
      </c>
      <c r="CD15" s="931">
        <f>CD26+CD32</f>
        <v>15</v>
      </c>
      <c r="CE15" s="857">
        <f>_xlfn.IFS(CC15=0,0,CD15&lt;=CC15,CD15/CC15,CD15&gt;CC15,1)</f>
        <v>0.68181818181818177</v>
      </c>
      <c r="CF15" s="889">
        <f>CF26+CF32</f>
        <v>1050000</v>
      </c>
      <c r="CG15" s="897">
        <f>CG26+CG32</f>
        <v>22</v>
      </c>
      <c r="CH15" s="931">
        <f>CH26+CH32</f>
        <v>15</v>
      </c>
      <c r="CI15" s="857">
        <f>_xlfn.IFS(CG15=0,0,CH15&lt;=CG15,CH15/CG15,CH15&gt;CG15,1)</f>
        <v>0.68181818181818177</v>
      </c>
      <c r="CJ15" s="889">
        <f>CJ26+CJ32</f>
        <v>1050000</v>
      </c>
      <c r="CK15" s="897">
        <f>CK26+CK32</f>
        <v>22</v>
      </c>
      <c r="CL15" s="931">
        <f>CL26+CL32</f>
        <v>15</v>
      </c>
      <c r="CM15" s="857">
        <f>_xlfn.IFS(CK15=0,0,CL15&lt;=CK15,CL15/CK15,CL15&gt;CK15,1)</f>
        <v>0.68181818181818177</v>
      </c>
      <c r="CN15" s="889">
        <f>CN26+CN32</f>
        <v>1050000</v>
      </c>
      <c r="CO15" s="897">
        <f>CO26+CO32</f>
        <v>22</v>
      </c>
      <c r="CP15" s="931">
        <f>CP26+CP32</f>
        <v>15</v>
      </c>
      <c r="CQ15" s="857">
        <f>_xlfn.IFS(CO15=0,0,CP15&lt;=CO15,CP15/CO15,CP15&gt;CO15,1)</f>
        <v>0.68181818181818177</v>
      </c>
      <c r="CR15" s="889">
        <f>CR26+CR32</f>
        <v>1050000</v>
      </c>
      <c r="CS15" s="897">
        <f>CS26+CS32</f>
        <v>22</v>
      </c>
      <c r="CT15" s="931">
        <f>CT26+CT32</f>
        <v>15</v>
      </c>
      <c r="CU15" s="857">
        <f>_xlfn.IFS(CS15=0,0,CT15&lt;=CS15,CT15/CS15,CT15&gt;CS15,1)</f>
        <v>0.68181818181818177</v>
      </c>
      <c r="CV15" s="889">
        <f>CV26+CV32</f>
        <v>1050000</v>
      </c>
      <c r="CW15" s="897">
        <f>CW26+CW32</f>
        <v>22</v>
      </c>
      <c r="CX15" s="931">
        <f>CX26+CX32</f>
        <v>15</v>
      </c>
      <c r="CY15" s="857">
        <f>_xlfn.IFS(CW15=0,0,CX15&lt;=CW15,CX15/CW15,CX15&gt;CW15,1)</f>
        <v>0.68181818181818177</v>
      </c>
      <c r="CZ15" s="889">
        <f>CZ26+CZ32</f>
        <v>1050000</v>
      </c>
      <c r="DA15" s="897">
        <f>DA26+DA32</f>
        <v>22</v>
      </c>
      <c r="DB15" s="931">
        <f>DB26+DB32</f>
        <v>15</v>
      </c>
      <c r="DC15" s="857">
        <f>_xlfn.IFS(DA15=0,0,DB15&lt;=DA15,DB15/DA15,DB15&gt;DA15,1)</f>
        <v>0.68181818181818177</v>
      </c>
      <c r="DD15" s="889">
        <f>DD26+DD32</f>
        <v>1050000</v>
      </c>
      <c r="DE15" s="897">
        <f>DE26+DE32</f>
        <v>22</v>
      </c>
      <c r="DF15" s="931">
        <f>DF26+DF32</f>
        <v>15</v>
      </c>
      <c r="DG15" s="857">
        <f>_xlfn.IFS(DE15=0,0,DF15&lt;=DE15,DF15/DE15,DF15&gt;DE15,1)</f>
        <v>0.68181818181818177</v>
      </c>
      <c r="DH15" s="889">
        <f>DH26+DH32</f>
        <v>1050000</v>
      </c>
      <c r="DI15" s="897">
        <f>DI26+DI32</f>
        <v>22</v>
      </c>
      <c r="DJ15" s="931">
        <f>DJ26+DJ32</f>
        <v>15</v>
      </c>
      <c r="DK15" s="857">
        <f>_xlfn.IFS(DI15=0,0,DJ15&lt;=DI15,DJ15/DI15,DJ15&gt;DI15,1)</f>
        <v>0.68181818181818177</v>
      </c>
      <c r="DL15" s="889">
        <f>DL26+DL32</f>
        <v>1050000</v>
      </c>
      <c r="DM15" s="897">
        <f>DM26+DM32</f>
        <v>22</v>
      </c>
      <c r="DN15" s="931">
        <f>DN26+DN32</f>
        <v>15</v>
      </c>
      <c r="DO15" s="857">
        <f>_xlfn.IFS(DM15=0,0,DN15&lt;=DM15,DN15/DM15,DN15&gt;DM15,1)</f>
        <v>0.68181818181818177</v>
      </c>
      <c r="DP15" s="889">
        <f>DP26+DP32</f>
        <v>1050000</v>
      </c>
      <c r="DQ15" s="897">
        <f>DQ26+DQ32</f>
        <v>22</v>
      </c>
      <c r="DR15" s="931">
        <f>DR26+DR32</f>
        <v>15</v>
      </c>
      <c r="DS15" s="857">
        <f>_xlfn.IFS(DQ15=0,0,DR15&lt;=DQ15,DR15/DQ15,DR15&gt;DQ15,1)</f>
        <v>0.68181818181818177</v>
      </c>
      <c r="DT15" s="889">
        <f>DT26+DT32</f>
        <v>1050000</v>
      </c>
      <c r="DU15" s="897">
        <f>DU26+DU32</f>
        <v>22</v>
      </c>
      <c r="DV15" s="931">
        <f>DV26+DV32</f>
        <v>15</v>
      </c>
      <c r="DW15" s="857">
        <f>_xlfn.IFS(DU15=0,0,DV15&lt;=DU15,DV15/DU15,DV15&gt;DU15,1)</f>
        <v>0.68181818181818177</v>
      </c>
      <c r="DX15" s="889">
        <f>DX26+DX32</f>
        <v>1050000</v>
      </c>
      <c r="DY15" s="897">
        <f>DY26+DY32</f>
        <v>22</v>
      </c>
      <c r="DZ15" s="931">
        <f>DZ26+DZ32</f>
        <v>15</v>
      </c>
      <c r="EA15" s="857">
        <f>_xlfn.IFS(DY15=0,0,DZ15&lt;=DY15,DZ15/DY15,DZ15&gt;DY15,1)</f>
        <v>0.68181818181818177</v>
      </c>
      <c r="EB15" s="889">
        <f>EB26+EB32</f>
        <v>1050000</v>
      </c>
      <c r="EC15" s="897">
        <f>EC26+EC32</f>
        <v>22</v>
      </c>
      <c r="ED15" s="931">
        <f>ED26+ED32</f>
        <v>15</v>
      </c>
      <c r="EE15" s="857">
        <f>_xlfn.IFS(EC15=0,0,ED15&lt;=EC15,ED15/EC15,ED15&gt;EC15,1)</f>
        <v>0.68181818181818177</v>
      </c>
      <c r="EF15" s="889">
        <f>EF26+EF32</f>
        <v>1050000</v>
      </c>
    </row>
    <row r="16" spans="1:136" s="916" customFormat="1" ht="20" customHeight="1" x14ac:dyDescent="0.15">
      <c r="A16" s="870">
        <f>_xlfn.IFS(B16=0,0,E16&gt;B16,1,E16&lt;=B16,E16/B16)</f>
        <v>0</v>
      </c>
      <c r="B16" s="833"/>
      <c r="C16" s="832" t="str">
        <f>Dashboard!K92</f>
        <v>SMS</v>
      </c>
      <c r="D16" s="185">
        <f>Dashboard!U92</f>
        <v>93.899999999999991</v>
      </c>
      <c r="E16" s="1083">
        <f>SUMIF($M$13:$EF$13,$M$13,$M16:$EF16)</f>
        <v>744</v>
      </c>
      <c r="F16" s="185">
        <f>E16-D16</f>
        <v>650.1</v>
      </c>
      <c r="G16" s="789">
        <f>_xlfn.IFS(F16&gt;0,1,F16&lt;=0,E16/D16)</f>
        <v>1</v>
      </c>
      <c r="H16" s="966"/>
      <c r="I16" s="951"/>
      <c r="J16" s="966"/>
      <c r="K16" s="185">
        <f>D16/$B$9</f>
        <v>3.2947368421052627</v>
      </c>
      <c r="L16" s="882">
        <f ca="1">SUMIFS($M16:$EF16,$M$11:$EF$11,TODAY()-1,$M$13:$EF$13,$M$13)</f>
        <v>0</v>
      </c>
      <c r="M16" s="897">
        <f>M20+M35+M36+M39</f>
        <v>24</v>
      </c>
      <c r="N16" s="931">
        <f>N20+N35+N36+N39</f>
        <v>20</v>
      </c>
      <c r="O16" s="857">
        <f>_xlfn.IFS(M16=0,0,N16&lt;=M16,N16/M16,N16&gt;M16,1)</f>
        <v>0.83333333333333337</v>
      </c>
      <c r="P16" s="889">
        <f>P20+P35+P36+P39</f>
        <v>2150000</v>
      </c>
      <c r="Q16" s="897">
        <f>Q20+Q35+Q36+Q39</f>
        <v>24</v>
      </c>
      <c r="R16" s="931">
        <f>R20+R35+R36+R39</f>
        <v>20</v>
      </c>
      <c r="S16" s="857">
        <f>_xlfn.IFS(Q16=0,0,R16&lt;=Q16,R16/Q16,R16&gt;Q16,1)</f>
        <v>0.83333333333333337</v>
      </c>
      <c r="T16" s="889">
        <f>T20+T35+T36+T39</f>
        <v>2150000</v>
      </c>
      <c r="U16" s="897">
        <f>U20+U35+U36+U39</f>
        <v>24</v>
      </c>
      <c r="V16" s="931">
        <f>V20+V35+V36+V39</f>
        <v>20</v>
      </c>
      <c r="W16" s="857">
        <f>_xlfn.IFS(U16=0,0,V16&lt;=U16,V16/U16,V16&gt;U16,1)</f>
        <v>0.83333333333333337</v>
      </c>
      <c r="X16" s="889">
        <f>X20+X35+X36+X39</f>
        <v>2150000</v>
      </c>
      <c r="Y16" s="897">
        <f>Y20+Y35+Y36+Y39</f>
        <v>24</v>
      </c>
      <c r="Z16" s="931">
        <f>Z20+Z35+Z36+Z39</f>
        <v>20</v>
      </c>
      <c r="AA16" s="857">
        <f>_xlfn.IFS(Y16=0,0,Z16&lt;=Y16,Z16/Y16,Z16&gt;Y16,1)</f>
        <v>0.83333333333333337</v>
      </c>
      <c r="AB16" s="889">
        <f>AB20+AB35+AB36+AB39</f>
        <v>2150000</v>
      </c>
      <c r="AC16" s="897">
        <f>AC20+AC35+AC36+AC39</f>
        <v>24</v>
      </c>
      <c r="AD16" s="931">
        <f>AD20+AD35+AD36+AD39</f>
        <v>20</v>
      </c>
      <c r="AE16" s="857">
        <f>_xlfn.IFS(AC16=0,0,AD16&lt;=AC16,AD16/AC16,AD16&gt;AC16,1)</f>
        <v>0.83333333333333337</v>
      </c>
      <c r="AF16" s="889">
        <f>AF20+AF35+AF36+AF39</f>
        <v>2150000</v>
      </c>
      <c r="AG16" s="897">
        <f>AG20+AG35+AG36+AG39</f>
        <v>24</v>
      </c>
      <c r="AH16" s="931">
        <f>AH20+AH35+AH36+AH39</f>
        <v>20</v>
      </c>
      <c r="AI16" s="857">
        <f>_xlfn.IFS(AG16=0,0,AH16&lt;=AG16,AH16/AG16,AH16&gt;AG16,1)</f>
        <v>0.83333333333333337</v>
      </c>
      <c r="AJ16" s="889">
        <f>AJ20+AJ35+AJ36+AJ39</f>
        <v>2150000</v>
      </c>
      <c r="AK16" s="897">
        <f>AK20+AK35+AK36+AK39</f>
        <v>24</v>
      </c>
      <c r="AL16" s="931">
        <f>AL20+AL35+AL36+AL39</f>
        <v>20</v>
      </c>
      <c r="AM16" s="857">
        <f>_xlfn.IFS(AK16=0,0,AL16&lt;=AK16,AL16/AK16,AL16&gt;AK16,1)</f>
        <v>0.83333333333333337</v>
      </c>
      <c r="AN16" s="889">
        <f>AN20+AN35+AN36+AN39</f>
        <v>2150000</v>
      </c>
      <c r="AO16" s="897">
        <f>AO20+AO35+AO36+AO39</f>
        <v>24</v>
      </c>
      <c r="AP16" s="931">
        <f>AP20+AP35+AP36+AP39</f>
        <v>20</v>
      </c>
      <c r="AQ16" s="857">
        <f>_xlfn.IFS(AO16=0,0,AP16&lt;=AO16,AP16/AO16,AP16&gt;AO16,1)</f>
        <v>0.83333333333333337</v>
      </c>
      <c r="AR16" s="889">
        <f>AR20+AR35+AR36+AR39</f>
        <v>2150000</v>
      </c>
      <c r="AS16" s="897">
        <f>AS20+AS35+AS36+AS39</f>
        <v>24</v>
      </c>
      <c r="AT16" s="931">
        <f>AT20+AT35+AT36+AT39</f>
        <v>20</v>
      </c>
      <c r="AU16" s="857">
        <f>_xlfn.IFS(AS16=0,0,AT16&lt;=AS16,AT16/AS16,AT16&gt;AS16,1)</f>
        <v>0.83333333333333337</v>
      </c>
      <c r="AV16" s="889">
        <f>AV20+AV35+AV36+AV39</f>
        <v>2150000</v>
      </c>
      <c r="AW16" s="897">
        <f>AW20+AW35+AW36+AW39</f>
        <v>24</v>
      </c>
      <c r="AX16" s="931">
        <f>AX20+AX35+AX36+AX39</f>
        <v>20</v>
      </c>
      <c r="AY16" s="857">
        <f>_xlfn.IFS(AW16=0,0,AX16&lt;=AW16,AX16/AW16,AX16&gt;AW16,1)</f>
        <v>0.83333333333333337</v>
      </c>
      <c r="AZ16" s="889">
        <f>AZ20+AZ35+AZ36+AZ39</f>
        <v>2150000</v>
      </c>
      <c r="BA16" s="897">
        <f>BA20+BA35+BA36+BA39</f>
        <v>24</v>
      </c>
      <c r="BB16" s="931">
        <f>BB20+BB35+BB36+BB39</f>
        <v>20</v>
      </c>
      <c r="BC16" s="857">
        <f>_xlfn.IFS(BA16=0,0,BB16&lt;=BA16,BB16/BA16,BB16&gt;BA16,1)</f>
        <v>0.83333333333333337</v>
      </c>
      <c r="BD16" s="889">
        <f>BD20+BD35+BD36+BD39</f>
        <v>2150000</v>
      </c>
      <c r="BE16" s="897">
        <f>BE20+BE35+BE36+BE39</f>
        <v>24</v>
      </c>
      <c r="BF16" s="931">
        <f>BF20+BF35+BF36+BF39</f>
        <v>20</v>
      </c>
      <c r="BG16" s="857">
        <f>_xlfn.IFS(BE16=0,0,BF16&lt;=BE16,BF16/BE16,BF16&gt;BE16,1)</f>
        <v>0.83333333333333337</v>
      </c>
      <c r="BH16" s="889">
        <f>BH20+BH35+BH36+BH39</f>
        <v>2150000</v>
      </c>
      <c r="BI16" s="897">
        <f>BI20+BI35+BI36+BI39</f>
        <v>24</v>
      </c>
      <c r="BJ16" s="931">
        <f>BJ20+BJ35+BJ36+BJ39</f>
        <v>20</v>
      </c>
      <c r="BK16" s="857">
        <f>_xlfn.IFS(BI16=0,0,BJ16&lt;=BI16,BJ16/BI16,BJ16&gt;BI16,1)</f>
        <v>0.83333333333333337</v>
      </c>
      <c r="BL16" s="889">
        <f>BL20+BL35+BL36+BL39</f>
        <v>2150000</v>
      </c>
      <c r="BM16" s="897">
        <f>BM20+BM35+BM36+BM39</f>
        <v>24</v>
      </c>
      <c r="BN16" s="931">
        <f>BN20+BN35+BN36+BN39</f>
        <v>20</v>
      </c>
      <c r="BO16" s="857">
        <f>_xlfn.IFS(BM16=0,0,BN16&lt;=BM16,BN16/BM16,BN16&gt;BM16,1)</f>
        <v>0.83333333333333337</v>
      </c>
      <c r="BP16" s="889">
        <f>BP20+BP35+BP36+BP39</f>
        <v>2150000</v>
      </c>
      <c r="BQ16" s="897">
        <f>BQ20+BQ35+BQ36+BQ39</f>
        <v>24</v>
      </c>
      <c r="BR16" s="931">
        <f>BR20+BR35+BR36+BR39</f>
        <v>20</v>
      </c>
      <c r="BS16" s="857">
        <f>_xlfn.IFS(BQ16=0,0,BR16&lt;=BQ16,BR16/BQ16,BR16&gt;BQ16,1)</f>
        <v>0.83333333333333337</v>
      </c>
      <c r="BT16" s="889">
        <f>BT20+BT35+BT36+BT39</f>
        <v>2150000</v>
      </c>
      <c r="BU16" s="897">
        <f>BU20+BU35+BU36+BU39</f>
        <v>24</v>
      </c>
      <c r="BV16" s="931">
        <f>BV20+BV35+BV36+BV39</f>
        <v>20</v>
      </c>
      <c r="BW16" s="857">
        <f>_xlfn.IFS(BU16=0,0,BV16&lt;=BU16,BV16/BU16,BV16&gt;BU16,1)</f>
        <v>0.83333333333333337</v>
      </c>
      <c r="BX16" s="889">
        <f>BX20+BX35+BX36+BX39</f>
        <v>2150000</v>
      </c>
      <c r="BY16" s="897">
        <f>BY20+BY35+BY36+BY39</f>
        <v>24</v>
      </c>
      <c r="BZ16" s="931">
        <f>BZ20+BZ35+BZ36+BZ39</f>
        <v>20</v>
      </c>
      <c r="CA16" s="857">
        <f>_xlfn.IFS(BY16=0,0,BZ16&lt;=BY16,BZ16/BY16,BZ16&gt;BY16,1)</f>
        <v>0.83333333333333337</v>
      </c>
      <c r="CB16" s="889">
        <f>CB20+CB35+CB36+CB39</f>
        <v>2150000</v>
      </c>
      <c r="CC16" s="897">
        <f>CC20+CC35+CC36+CC39</f>
        <v>24</v>
      </c>
      <c r="CD16" s="931">
        <f>CD20+CD35+CD36+CD39</f>
        <v>20</v>
      </c>
      <c r="CE16" s="857">
        <f>_xlfn.IFS(CC16=0,0,CD16&lt;=CC16,CD16/CC16,CD16&gt;CC16,1)</f>
        <v>0.83333333333333337</v>
      </c>
      <c r="CF16" s="889">
        <f>CF20+CF35+CF36+CF39</f>
        <v>2150000</v>
      </c>
      <c r="CG16" s="897">
        <f>CG20+CG35+CG36+CG39</f>
        <v>24</v>
      </c>
      <c r="CH16" s="931">
        <f>CH20+CH35+CH36+CH39</f>
        <v>20</v>
      </c>
      <c r="CI16" s="857">
        <f>_xlfn.IFS(CG16=0,0,CH16&lt;=CG16,CH16/CG16,CH16&gt;CG16,1)</f>
        <v>0.83333333333333337</v>
      </c>
      <c r="CJ16" s="889">
        <f>CJ20+CJ35+CJ36+CJ39</f>
        <v>2150000</v>
      </c>
      <c r="CK16" s="897">
        <f>CK20+CK35+CK36+CK39</f>
        <v>24</v>
      </c>
      <c r="CL16" s="931">
        <f>CL20+CL35+CL36+CL39</f>
        <v>20</v>
      </c>
      <c r="CM16" s="857">
        <f>_xlfn.IFS(CK16=0,0,CL16&lt;=CK16,CL16/CK16,CL16&gt;CK16,1)</f>
        <v>0.83333333333333337</v>
      </c>
      <c r="CN16" s="889">
        <f>CN20+CN35+CN36+CN39</f>
        <v>2150000</v>
      </c>
      <c r="CO16" s="897">
        <f>CO20+CO35+CO36+CO39</f>
        <v>24</v>
      </c>
      <c r="CP16" s="931">
        <f>CP20+CP35+CP36+CP39</f>
        <v>20</v>
      </c>
      <c r="CQ16" s="857">
        <f>_xlfn.IFS(CO16=0,0,CP16&lt;=CO16,CP16/CO16,CP16&gt;CO16,1)</f>
        <v>0.83333333333333337</v>
      </c>
      <c r="CR16" s="889">
        <f>CR20+CR35+CR36+CR39</f>
        <v>2150000</v>
      </c>
      <c r="CS16" s="897">
        <f>CS20+CS35+CS36+CS39</f>
        <v>24</v>
      </c>
      <c r="CT16" s="931">
        <f>CT20+CT35+CT36+CT39</f>
        <v>20</v>
      </c>
      <c r="CU16" s="857">
        <f>_xlfn.IFS(CS16=0,0,CT16&lt;=CS16,CT16/CS16,CT16&gt;CS16,1)</f>
        <v>0.83333333333333337</v>
      </c>
      <c r="CV16" s="889">
        <f>CV20+CV35+CV36+CV39</f>
        <v>2150000</v>
      </c>
      <c r="CW16" s="897">
        <f>CW20+CW35+CW36+CW39</f>
        <v>24</v>
      </c>
      <c r="CX16" s="931">
        <f>CX20+CX35+CX36+CX39</f>
        <v>20</v>
      </c>
      <c r="CY16" s="857">
        <f>_xlfn.IFS(CW16=0,0,CX16&lt;=CW16,CX16/CW16,CX16&gt;CW16,1)</f>
        <v>0.83333333333333337</v>
      </c>
      <c r="CZ16" s="889">
        <f>CZ20+CZ35+CZ36+CZ39</f>
        <v>2150000</v>
      </c>
      <c r="DA16" s="897">
        <f>DA20+DA35+DA36+DA39</f>
        <v>24</v>
      </c>
      <c r="DB16" s="931">
        <f>DB20+DB35+DB36+DB39</f>
        <v>20</v>
      </c>
      <c r="DC16" s="857">
        <f>_xlfn.IFS(DA16=0,0,DB16&lt;=DA16,DB16/DA16,DB16&gt;DA16,1)</f>
        <v>0.83333333333333337</v>
      </c>
      <c r="DD16" s="889">
        <f>DD20+DD35+DD36+DD39</f>
        <v>2150000</v>
      </c>
      <c r="DE16" s="897">
        <f>DE20+DE35+DE36+DE39</f>
        <v>24</v>
      </c>
      <c r="DF16" s="931">
        <f>DF20+DF35+DF36+DF39</f>
        <v>20</v>
      </c>
      <c r="DG16" s="857">
        <f>_xlfn.IFS(DE16=0,0,DF16&lt;=DE16,DF16/DE16,DF16&gt;DE16,1)</f>
        <v>0.83333333333333337</v>
      </c>
      <c r="DH16" s="889">
        <f>DH20+DH35+DH36+DH39</f>
        <v>2150000</v>
      </c>
      <c r="DI16" s="897">
        <f>DI20+DI35+DI36+DI39</f>
        <v>24</v>
      </c>
      <c r="DJ16" s="931">
        <f>DJ20+DJ35+DJ36+DJ39</f>
        <v>20</v>
      </c>
      <c r="DK16" s="857">
        <f>_xlfn.IFS(DI16=0,0,DJ16&lt;=DI16,DJ16/DI16,DJ16&gt;DI16,1)</f>
        <v>0.83333333333333337</v>
      </c>
      <c r="DL16" s="889">
        <f>DL20+DL35+DL36+DL39</f>
        <v>2150000</v>
      </c>
      <c r="DM16" s="897">
        <f>DM20+DM35+DM36+DM39</f>
        <v>24</v>
      </c>
      <c r="DN16" s="931">
        <f>DN20+DN35+DN36+DN39</f>
        <v>20</v>
      </c>
      <c r="DO16" s="857">
        <f>_xlfn.IFS(DM16=0,0,DN16&lt;=DM16,DN16/DM16,DN16&gt;DM16,1)</f>
        <v>0.83333333333333337</v>
      </c>
      <c r="DP16" s="889">
        <f>DP20+DP35+DP36+DP39</f>
        <v>2150000</v>
      </c>
      <c r="DQ16" s="897">
        <f>DQ20+DQ35+DQ36+DQ39</f>
        <v>24</v>
      </c>
      <c r="DR16" s="931">
        <f>DR20+DR35+DR36+DR39</f>
        <v>20</v>
      </c>
      <c r="DS16" s="857">
        <f>_xlfn.IFS(DQ16=0,0,DR16&lt;=DQ16,DR16/DQ16,DR16&gt;DQ16,1)</f>
        <v>0.83333333333333337</v>
      </c>
      <c r="DT16" s="889">
        <f>DT20+DT35+DT36+DT39</f>
        <v>2150000</v>
      </c>
      <c r="DU16" s="897">
        <f>DU20+DU35+DU36+DU39</f>
        <v>24</v>
      </c>
      <c r="DV16" s="931">
        <f>DV20+DV35+DV36+DV39</f>
        <v>20</v>
      </c>
      <c r="DW16" s="857">
        <f>_xlfn.IFS(DU16=0,0,DV16&lt;=DU16,DV16/DU16,DV16&gt;DU16,1)</f>
        <v>0.83333333333333337</v>
      </c>
      <c r="DX16" s="889">
        <f>DX20+DX35+DX36+DX39</f>
        <v>2150000</v>
      </c>
      <c r="DY16" s="897">
        <f>DY20+DY35+DY36+DY39</f>
        <v>24</v>
      </c>
      <c r="DZ16" s="931">
        <f>DZ20+DZ35+DZ36+DZ39</f>
        <v>20</v>
      </c>
      <c r="EA16" s="857">
        <f>_xlfn.IFS(DY16=0,0,DZ16&lt;=DY16,DZ16/DY16,DZ16&gt;DY16,1)</f>
        <v>0.83333333333333337</v>
      </c>
      <c r="EB16" s="889">
        <f>EB20+EB35+EB36+EB39</f>
        <v>2150000</v>
      </c>
      <c r="EC16" s="897">
        <f>EC20+EC35+EC36+EC39</f>
        <v>24</v>
      </c>
      <c r="ED16" s="931">
        <f>ED20+ED35+ED36+ED39</f>
        <v>20</v>
      </c>
      <c r="EE16" s="857">
        <f>_xlfn.IFS(EC16=0,0,ED16&lt;=EC16,ED16/EC16,ED16&gt;EC16,1)</f>
        <v>0.83333333333333337</v>
      </c>
      <c r="EF16" s="889">
        <f>EF20+EF35+EF36+EF39</f>
        <v>2150000</v>
      </c>
    </row>
    <row r="17" spans="1:136" s="916" customFormat="1" ht="20" customHeight="1" x14ac:dyDescent="0.15">
      <c r="A17" s="870">
        <f>_xlfn.IFS(B17=0,0,E17&gt;B17,1,E17&lt;=B17,E17/B17)</f>
        <v>0</v>
      </c>
      <c r="B17" s="833"/>
      <c r="C17" s="832" t="str">
        <f>Dashboard!K93</f>
        <v>Q&amp;A</v>
      </c>
      <c r="D17" s="185">
        <f>Dashboard!U93</f>
        <v>31.2</v>
      </c>
      <c r="E17" s="1083">
        <f>SUMIF($M$13:$EF$13,$M$13,$M17:$EF17)</f>
        <v>1426</v>
      </c>
      <c r="F17" s="185">
        <f>E17-D17</f>
        <v>1394.8</v>
      </c>
      <c r="G17" s="789">
        <f>_xlfn.IFS(F17&gt;0,1,F17&lt;=0,E17/D17)</f>
        <v>1</v>
      </c>
      <c r="H17" s="966"/>
      <c r="I17" s="966"/>
      <c r="J17" s="966"/>
      <c r="K17" s="185">
        <f>D17/$B$9</f>
        <v>1.0947368421052632</v>
      </c>
      <c r="L17" s="882">
        <f ca="1">SUMIFS($M17:$EF17,$M$11:$EF$11,TODAY()-1,$M$13:$EF$13,$N$13)</f>
        <v>0</v>
      </c>
      <c r="M17" s="897">
        <f>SUM(M15:M16)</f>
        <v>46</v>
      </c>
      <c r="N17" s="931">
        <f>SUM(N15:N16)</f>
        <v>35</v>
      </c>
      <c r="O17" s="857">
        <f>_xlfn.IFS(M17=0,0,N17&lt;=M17,N17/M17,N17&gt;M17,1)</f>
        <v>0.76086956521739135</v>
      </c>
      <c r="P17" s="889">
        <f>SUM(P15:P16)</f>
        <v>3200000</v>
      </c>
      <c r="Q17" s="897">
        <f>SUM(Q15:Q16)</f>
        <v>46</v>
      </c>
      <c r="R17" s="931">
        <f>SUM(R15:R16)</f>
        <v>35</v>
      </c>
      <c r="S17" s="857">
        <f>_xlfn.IFS(Q17=0,0,R17&lt;=Q17,R17/Q17,R17&gt;Q17,1)</f>
        <v>0.76086956521739135</v>
      </c>
      <c r="T17" s="889">
        <f>SUM(T15:T16)</f>
        <v>3200000</v>
      </c>
      <c r="U17" s="897">
        <f>SUM(U15:U16)</f>
        <v>46</v>
      </c>
      <c r="V17" s="931">
        <f>SUM(V15:V16)</f>
        <v>35</v>
      </c>
      <c r="W17" s="857">
        <f>_xlfn.IFS(U17=0,0,V17&lt;=U17,V17/U17,V17&gt;U17,1)</f>
        <v>0.76086956521739135</v>
      </c>
      <c r="X17" s="889">
        <f>SUM(X15:X16)</f>
        <v>3200000</v>
      </c>
      <c r="Y17" s="897">
        <f>SUM(Y15:Y16)</f>
        <v>46</v>
      </c>
      <c r="Z17" s="931">
        <f>SUM(Z15:Z16)</f>
        <v>35</v>
      </c>
      <c r="AA17" s="857">
        <f>_xlfn.IFS(Y17=0,0,Z17&lt;=Y17,Z17/Y17,Z17&gt;Y17,1)</f>
        <v>0.76086956521739135</v>
      </c>
      <c r="AB17" s="889">
        <f>SUM(AB15:AB16)</f>
        <v>3200000</v>
      </c>
      <c r="AC17" s="897">
        <f>SUM(AC15:AC16)</f>
        <v>46</v>
      </c>
      <c r="AD17" s="931">
        <f>SUM(AD15:AD16)</f>
        <v>35</v>
      </c>
      <c r="AE17" s="857">
        <f>_xlfn.IFS(AC17=0,0,AD17&lt;=AC17,AD17/AC17,AD17&gt;AC17,1)</f>
        <v>0.76086956521739135</v>
      </c>
      <c r="AF17" s="889">
        <f>SUM(AF15:AF16)</f>
        <v>3200000</v>
      </c>
      <c r="AG17" s="897">
        <f>SUM(AG15:AG16)</f>
        <v>46</v>
      </c>
      <c r="AH17" s="931">
        <f>SUM(AH15:AH16)</f>
        <v>35</v>
      </c>
      <c r="AI17" s="857">
        <f>_xlfn.IFS(AG17=0,0,AH17&lt;=AG17,AH17/AG17,AH17&gt;AG17,1)</f>
        <v>0.76086956521739135</v>
      </c>
      <c r="AJ17" s="889">
        <f>SUM(AJ15:AJ16)</f>
        <v>3200000</v>
      </c>
      <c r="AK17" s="897">
        <f>SUM(AK15:AK16)</f>
        <v>46</v>
      </c>
      <c r="AL17" s="931">
        <f>SUM(AL15:AL16)</f>
        <v>35</v>
      </c>
      <c r="AM17" s="857">
        <f>_xlfn.IFS(AK17=0,0,AL17&lt;=AK17,AL17/AK17,AL17&gt;AK17,1)</f>
        <v>0.76086956521739135</v>
      </c>
      <c r="AN17" s="889">
        <f>SUM(AN15:AN16)</f>
        <v>3200000</v>
      </c>
      <c r="AO17" s="897">
        <f>SUM(AO15:AO16)</f>
        <v>46</v>
      </c>
      <c r="AP17" s="931">
        <f>SUM(AP15:AP16)</f>
        <v>35</v>
      </c>
      <c r="AQ17" s="857">
        <f>_xlfn.IFS(AO17=0,0,AP17&lt;=AO17,AP17/AO17,AP17&gt;AO17,1)</f>
        <v>0.76086956521739135</v>
      </c>
      <c r="AR17" s="889">
        <f>SUM(AR15:AR16)</f>
        <v>3200000</v>
      </c>
      <c r="AS17" s="897">
        <f>SUM(AS15:AS16)</f>
        <v>46</v>
      </c>
      <c r="AT17" s="931">
        <f>SUM(AT15:AT16)</f>
        <v>35</v>
      </c>
      <c r="AU17" s="857">
        <f>_xlfn.IFS(AS17=0,0,AT17&lt;=AS17,AT17/AS17,AT17&gt;AS17,1)</f>
        <v>0.76086956521739135</v>
      </c>
      <c r="AV17" s="889">
        <f>SUM(AV15:AV16)</f>
        <v>3200000</v>
      </c>
      <c r="AW17" s="897">
        <f>SUM(AW15:AW16)</f>
        <v>46</v>
      </c>
      <c r="AX17" s="931">
        <f>SUM(AX15:AX16)</f>
        <v>35</v>
      </c>
      <c r="AY17" s="857">
        <f>_xlfn.IFS(AW17=0,0,AX17&lt;=AW17,AX17/AW17,AX17&gt;AW17,1)</f>
        <v>0.76086956521739135</v>
      </c>
      <c r="AZ17" s="889">
        <f>SUM(AZ15:AZ16)</f>
        <v>3200000</v>
      </c>
      <c r="BA17" s="897">
        <f>SUM(BA15:BA16)</f>
        <v>46</v>
      </c>
      <c r="BB17" s="931">
        <f>SUM(BB15:BB16)</f>
        <v>35</v>
      </c>
      <c r="BC17" s="857">
        <f>_xlfn.IFS(BA17=0,0,BB17&lt;=BA17,BB17/BA17,BB17&gt;BA17,1)</f>
        <v>0.76086956521739135</v>
      </c>
      <c r="BD17" s="889">
        <f>SUM(BD15:BD16)</f>
        <v>3200000</v>
      </c>
      <c r="BE17" s="897">
        <f>SUM(BE15:BE16)</f>
        <v>46</v>
      </c>
      <c r="BF17" s="931">
        <f>SUM(BF15:BF16)</f>
        <v>35</v>
      </c>
      <c r="BG17" s="857">
        <f>_xlfn.IFS(BE17=0,0,BF17&lt;=BE17,BF17/BE17,BF17&gt;BE17,1)</f>
        <v>0.76086956521739135</v>
      </c>
      <c r="BH17" s="889">
        <f>SUM(BH15:BH16)</f>
        <v>3200000</v>
      </c>
      <c r="BI17" s="897">
        <f>SUM(BI15:BI16)</f>
        <v>46</v>
      </c>
      <c r="BJ17" s="931">
        <f>SUM(BJ15:BJ16)</f>
        <v>35</v>
      </c>
      <c r="BK17" s="857">
        <f>_xlfn.IFS(BI17=0,0,BJ17&lt;=BI17,BJ17/BI17,BJ17&gt;BI17,1)</f>
        <v>0.76086956521739135</v>
      </c>
      <c r="BL17" s="889">
        <f>SUM(BL15:BL16)</f>
        <v>3200000</v>
      </c>
      <c r="BM17" s="897">
        <f>SUM(BM15:BM16)</f>
        <v>46</v>
      </c>
      <c r="BN17" s="931">
        <f>SUM(BN15:BN16)</f>
        <v>35</v>
      </c>
      <c r="BO17" s="857">
        <f>_xlfn.IFS(BM17=0,0,BN17&lt;=BM17,BN17/BM17,BN17&gt;BM17,1)</f>
        <v>0.76086956521739135</v>
      </c>
      <c r="BP17" s="889">
        <f>SUM(BP15:BP16)</f>
        <v>3200000</v>
      </c>
      <c r="BQ17" s="897">
        <f>SUM(BQ15:BQ16)</f>
        <v>46</v>
      </c>
      <c r="BR17" s="931">
        <f>SUM(BR15:BR16)</f>
        <v>35</v>
      </c>
      <c r="BS17" s="857">
        <f>_xlfn.IFS(BQ17=0,0,BR17&lt;=BQ17,BR17/BQ17,BR17&gt;BQ17,1)</f>
        <v>0.76086956521739135</v>
      </c>
      <c r="BT17" s="889">
        <f>SUM(BT15:BT16)</f>
        <v>3200000</v>
      </c>
      <c r="BU17" s="897">
        <f>SUM(BU15:BU16)</f>
        <v>46</v>
      </c>
      <c r="BV17" s="931">
        <f>SUM(BV15:BV16)</f>
        <v>35</v>
      </c>
      <c r="BW17" s="857">
        <f>_xlfn.IFS(BU17=0,0,BV17&lt;=BU17,BV17/BU17,BV17&gt;BU17,1)</f>
        <v>0.76086956521739135</v>
      </c>
      <c r="BX17" s="889">
        <f>SUM(BX15:BX16)</f>
        <v>3200000</v>
      </c>
      <c r="BY17" s="897">
        <f>SUM(BY15:BY16)</f>
        <v>46</v>
      </c>
      <c r="BZ17" s="931">
        <f>SUM(BZ15:BZ16)</f>
        <v>35</v>
      </c>
      <c r="CA17" s="857">
        <f>_xlfn.IFS(BY17=0,0,BZ17&lt;=BY17,BZ17/BY17,BZ17&gt;BY17,1)</f>
        <v>0.76086956521739135</v>
      </c>
      <c r="CB17" s="889">
        <f>SUM(CB15:CB16)</f>
        <v>3200000</v>
      </c>
      <c r="CC17" s="897">
        <f>SUM(CC15:CC16)</f>
        <v>46</v>
      </c>
      <c r="CD17" s="931">
        <f>SUM(CD15:CD16)</f>
        <v>35</v>
      </c>
      <c r="CE17" s="857">
        <f>_xlfn.IFS(CC17=0,0,CD17&lt;=CC17,CD17/CC17,CD17&gt;CC17,1)</f>
        <v>0.76086956521739135</v>
      </c>
      <c r="CF17" s="889">
        <f>SUM(CF15:CF16)</f>
        <v>3200000</v>
      </c>
      <c r="CG17" s="897">
        <f>SUM(CG15:CG16)</f>
        <v>46</v>
      </c>
      <c r="CH17" s="931">
        <f>SUM(CH15:CH16)</f>
        <v>35</v>
      </c>
      <c r="CI17" s="857">
        <f>_xlfn.IFS(CG17=0,0,CH17&lt;=CG17,CH17/CG17,CH17&gt;CG17,1)</f>
        <v>0.76086956521739135</v>
      </c>
      <c r="CJ17" s="889">
        <f>SUM(CJ15:CJ16)</f>
        <v>3200000</v>
      </c>
      <c r="CK17" s="897">
        <f>SUM(CK15:CK16)</f>
        <v>46</v>
      </c>
      <c r="CL17" s="931">
        <f>SUM(CL15:CL16)</f>
        <v>35</v>
      </c>
      <c r="CM17" s="857">
        <f>_xlfn.IFS(CK17=0,0,CL17&lt;=CK17,CL17/CK17,CL17&gt;CK17,1)</f>
        <v>0.76086956521739135</v>
      </c>
      <c r="CN17" s="889">
        <f>SUM(CN15:CN16)</f>
        <v>3200000</v>
      </c>
      <c r="CO17" s="897">
        <f>SUM(CO15:CO16)</f>
        <v>46</v>
      </c>
      <c r="CP17" s="931">
        <f>SUM(CP15:CP16)</f>
        <v>35</v>
      </c>
      <c r="CQ17" s="857">
        <f>_xlfn.IFS(CO17=0,0,CP17&lt;=CO17,CP17/CO17,CP17&gt;CO17,1)</f>
        <v>0.76086956521739135</v>
      </c>
      <c r="CR17" s="889">
        <f>SUM(CR15:CR16)</f>
        <v>3200000</v>
      </c>
      <c r="CS17" s="897">
        <f>SUM(CS15:CS16)</f>
        <v>46</v>
      </c>
      <c r="CT17" s="931">
        <f>SUM(CT15:CT16)</f>
        <v>35</v>
      </c>
      <c r="CU17" s="857">
        <f>_xlfn.IFS(CS17=0,0,CT17&lt;=CS17,CT17/CS17,CT17&gt;CS17,1)</f>
        <v>0.76086956521739135</v>
      </c>
      <c r="CV17" s="889">
        <f>SUM(CV15:CV16)</f>
        <v>3200000</v>
      </c>
      <c r="CW17" s="897">
        <f>SUM(CW15:CW16)</f>
        <v>46</v>
      </c>
      <c r="CX17" s="931">
        <f>SUM(CX15:CX16)</f>
        <v>35</v>
      </c>
      <c r="CY17" s="857">
        <f>_xlfn.IFS(CW17=0,0,CX17&lt;=CW17,CX17/CW17,CX17&gt;CW17,1)</f>
        <v>0.76086956521739135</v>
      </c>
      <c r="CZ17" s="889">
        <f>SUM(CZ15:CZ16)</f>
        <v>3200000</v>
      </c>
      <c r="DA17" s="897">
        <f>SUM(DA15:DA16)</f>
        <v>46</v>
      </c>
      <c r="DB17" s="931">
        <f>SUM(DB15:DB16)</f>
        <v>35</v>
      </c>
      <c r="DC17" s="857">
        <f>_xlfn.IFS(DA17=0,0,DB17&lt;=DA17,DB17/DA17,DB17&gt;DA17,1)</f>
        <v>0.76086956521739135</v>
      </c>
      <c r="DD17" s="889">
        <f>SUM(DD15:DD16)</f>
        <v>3200000</v>
      </c>
      <c r="DE17" s="897">
        <f>SUM(DE15:DE16)</f>
        <v>46</v>
      </c>
      <c r="DF17" s="931">
        <f>SUM(DF15:DF16)</f>
        <v>35</v>
      </c>
      <c r="DG17" s="857">
        <f>_xlfn.IFS(DE17=0,0,DF17&lt;=DE17,DF17/DE17,DF17&gt;DE17,1)</f>
        <v>0.76086956521739135</v>
      </c>
      <c r="DH17" s="889">
        <f>SUM(DH15:DH16)</f>
        <v>3200000</v>
      </c>
      <c r="DI17" s="897">
        <f>SUM(DI15:DI16)</f>
        <v>46</v>
      </c>
      <c r="DJ17" s="931">
        <f>SUM(DJ15:DJ16)</f>
        <v>35</v>
      </c>
      <c r="DK17" s="857">
        <f>_xlfn.IFS(DI17=0,0,DJ17&lt;=DI17,DJ17/DI17,DJ17&gt;DI17,1)</f>
        <v>0.76086956521739135</v>
      </c>
      <c r="DL17" s="889">
        <f>SUM(DL15:DL16)</f>
        <v>3200000</v>
      </c>
      <c r="DM17" s="897">
        <f>SUM(DM15:DM16)</f>
        <v>46</v>
      </c>
      <c r="DN17" s="931">
        <f>SUM(DN15:DN16)</f>
        <v>35</v>
      </c>
      <c r="DO17" s="857">
        <f>_xlfn.IFS(DM17=0,0,DN17&lt;=DM17,DN17/DM17,DN17&gt;DM17,1)</f>
        <v>0.76086956521739135</v>
      </c>
      <c r="DP17" s="889">
        <f>SUM(DP15:DP16)</f>
        <v>3200000</v>
      </c>
      <c r="DQ17" s="897">
        <f>SUM(DQ15:DQ16)</f>
        <v>46</v>
      </c>
      <c r="DR17" s="931">
        <f>SUM(DR15:DR16)</f>
        <v>35</v>
      </c>
      <c r="DS17" s="857">
        <f>_xlfn.IFS(DQ17=0,0,DR17&lt;=DQ17,DR17/DQ17,DR17&gt;DQ17,1)</f>
        <v>0.76086956521739135</v>
      </c>
      <c r="DT17" s="889">
        <f>SUM(DT15:DT16)</f>
        <v>3200000</v>
      </c>
      <c r="DU17" s="897">
        <f>SUM(DU15:DU16)</f>
        <v>46</v>
      </c>
      <c r="DV17" s="931">
        <f>SUM(DV15:DV16)</f>
        <v>35</v>
      </c>
      <c r="DW17" s="857">
        <f>_xlfn.IFS(DU17=0,0,DV17&lt;=DU17,DV17/DU17,DV17&gt;DU17,1)</f>
        <v>0.76086956521739135</v>
      </c>
      <c r="DX17" s="889">
        <f>SUM(DX15:DX16)</f>
        <v>3200000</v>
      </c>
      <c r="DY17" s="897">
        <f>SUM(DY15:DY16)</f>
        <v>46</v>
      </c>
      <c r="DZ17" s="931">
        <f>SUM(DZ15:DZ16)</f>
        <v>35</v>
      </c>
      <c r="EA17" s="857">
        <f>_xlfn.IFS(DY17=0,0,DZ17&lt;=DY17,DZ17/DY17,DZ17&gt;DY17,1)</f>
        <v>0.76086956521739135</v>
      </c>
      <c r="EB17" s="889">
        <f>SUM(EB15:EB16)</f>
        <v>3200000</v>
      </c>
      <c r="EC17" s="897">
        <f>SUM(EC15:EC16)</f>
        <v>46</v>
      </c>
      <c r="ED17" s="931">
        <f>SUM(ED15:ED16)</f>
        <v>35</v>
      </c>
      <c r="EE17" s="857">
        <f>_xlfn.IFS(EC17=0,0,ED17&lt;=EC17,ED17/EC17,ED17&gt;EC17,1)</f>
        <v>0.76086956521739135</v>
      </c>
      <c r="EF17" s="889">
        <f>SUM(EF15:EF16)</f>
        <v>3200000</v>
      </c>
    </row>
    <row r="18" spans="1:136" s="966" customFormat="1" ht="20" customHeight="1" x14ac:dyDescent="0.15">
      <c r="A18" s="870"/>
      <c r="B18" s="9"/>
      <c r="C18" s="813" t="str">
        <f>Dashboard!K94</f>
        <v>P3</v>
      </c>
      <c r="D18" s="1091">
        <f>Dashboard!U94</f>
        <v>0.30000000000000004</v>
      </c>
      <c r="E18" s="834"/>
      <c r="F18" s="834"/>
      <c r="G18" s="834"/>
      <c r="K18" s="854"/>
      <c r="L18" s="968"/>
      <c r="M18" s="898"/>
      <c r="N18" s="859"/>
      <c r="O18" s="860"/>
      <c r="P18" s="890"/>
      <c r="Q18" s="898"/>
      <c r="R18" s="859"/>
      <c r="S18" s="860"/>
      <c r="T18" s="890"/>
      <c r="U18" s="898"/>
      <c r="V18" s="859"/>
      <c r="W18" s="860"/>
      <c r="X18" s="890"/>
      <c r="Y18" s="898"/>
      <c r="Z18" s="859"/>
      <c r="AA18" s="860"/>
      <c r="AB18" s="890"/>
      <c r="AC18" s="898"/>
      <c r="AD18" s="859"/>
      <c r="AE18" s="860"/>
      <c r="AF18" s="890"/>
      <c r="AG18" s="898"/>
      <c r="AH18" s="859"/>
      <c r="AI18" s="860"/>
      <c r="AJ18" s="890"/>
      <c r="AK18" s="898"/>
      <c r="AL18" s="859"/>
      <c r="AM18" s="860"/>
      <c r="AN18" s="890"/>
      <c r="AO18" s="898"/>
      <c r="AP18" s="859"/>
      <c r="AQ18" s="860"/>
      <c r="AR18" s="890"/>
      <c r="AS18" s="898"/>
      <c r="AT18" s="859"/>
      <c r="AU18" s="860"/>
      <c r="AV18" s="890"/>
      <c r="AW18" s="898"/>
      <c r="AX18" s="859"/>
      <c r="AY18" s="860"/>
      <c r="AZ18" s="890"/>
      <c r="BA18" s="898"/>
      <c r="BB18" s="859"/>
      <c r="BC18" s="860"/>
      <c r="BD18" s="890"/>
      <c r="BE18" s="898"/>
      <c r="BF18" s="859"/>
      <c r="BG18" s="860"/>
      <c r="BH18" s="890"/>
      <c r="BI18" s="898"/>
      <c r="BJ18" s="859"/>
      <c r="BK18" s="860"/>
      <c r="BL18" s="890"/>
      <c r="BM18" s="898"/>
      <c r="BN18" s="859"/>
      <c r="BO18" s="860"/>
      <c r="BP18" s="890"/>
      <c r="BQ18" s="898"/>
      <c r="BR18" s="859"/>
      <c r="BS18" s="860"/>
      <c r="BT18" s="890"/>
      <c r="BU18" s="898"/>
      <c r="BV18" s="859"/>
      <c r="BW18" s="860"/>
      <c r="BX18" s="890"/>
      <c r="BY18" s="898"/>
      <c r="BZ18" s="859"/>
      <c r="CA18" s="860"/>
      <c r="CB18" s="890"/>
      <c r="CC18" s="898"/>
      <c r="CD18" s="859"/>
      <c r="CE18" s="860"/>
      <c r="CF18" s="890"/>
      <c r="CG18" s="898"/>
      <c r="CH18" s="859"/>
      <c r="CI18" s="860"/>
      <c r="CJ18" s="890"/>
      <c r="CK18" s="898"/>
      <c r="CL18" s="859"/>
      <c r="CM18" s="860"/>
      <c r="CN18" s="890"/>
      <c r="CO18" s="898"/>
      <c r="CP18" s="859"/>
      <c r="CQ18" s="860"/>
      <c r="CR18" s="890"/>
      <c r="CS18" s="898"/>
      <c r="CT18" s="859"/>
      <c r="CU18" s="860"/>
      <c r="CV18" s="890"/>
      <c r="CW18" s="898"/>
      <c r="CX18" s="859"/>
      <c r="CY18" s="860"/>
      <c r="CZ18" s="890"/>
      <c r="DA18" s="898"/>
      <c r="DB18" s="859"/>
      <c r="DC18" s="860"/>
      <c r="DD18" s="890"/>
      <c r="DE18" s="898"/>
      <c r="DF18" s="859"/>
      <c r="DG18" s="860"/>
      <c r="DH18" s="890"/>
      <c r="DI18" s="898"/>
      <c r="DJ18" s="859"/>
      <c r="DK18" s="860"/>
      <c r="DL18" s="890"/>
      <c r="DM18" s="898"/>
      <c r="DN18" s="859"/>
      <c r="DO18" s="860"/>
      <c r="DP18" s="890"/>
      <c r="DQ18" s="898"/>
      <c r="DR18" s="859"/>
      <c r="DS18" s="860"/>
      <c r="DT18" s="890"/>
      <c r="DU18" s="898"/>
      <c r="DV18" s="859"/>
      <c r="DW18" s="860"/>
      <c r="DX18" s="890"/>
      <c r="DY18" s="898"/>
      <c r="DZ18" s="859"/>
      <c r="EA18" s="860"/>
      <c r="EB18" s="890"/>
      <c r="EC18" s="898"/>
      <c r="ED18" s="859"/>
      <c r="EE18" s="860"/>
      <c r="EF18" s="890"/>
    </row>
    <row r="19" spans="1:136" s="916" customFormat="1" ht="20" customHeight="1" x14ac:dyDescent="0.15">
      <c r="A19" s="870">
        <f>_xlfn.IFS(B19=0,0,E19&gt;B19,1,E19&lt;=B19,E19/B19)</f>
        <v>0</v>
      </c>
      <c r="B19" s="833"/>
      <c r="C19" s="831" t="str">
        <f>Dashboard!K95</f>
        <v>SALES REVENUE</v>
      </c>
      <c r="D19" s="840">
        <f>Dashboard!U95</f>
        <v>150000000</v>
      </c>
      <c r="E19" s="1090">
        <f>SUMIF($M$13:$EF$13,$P$13,$M19:$EF19)</f>
        <v>99200000</v>
      </c>
      <c r="F19" s="840">
        <f>E19-D19</f>
        <v>-50800000</v>
      </c>
      <c r="G19" s="789">
        <f>_xlfn.IFS(F19&gt;0,1,F19&lt;=0,E19/D19)</f>
        <v>0.66133333333333333</v>
      </c>
      <c r="H19" s="789">
        <f>IF(SUMIF($M$13:$EF$13,$M$13,M19:EF19)&gt;0,SUMIF($M$13:$EF$13,$N$13,M19:EF19)/SUMIF($M$13:$EF$13,$M$13,M19:EF19),0)</f>
        <v>0.47826086956521741</v>
      </c>
      <c r="I19" s="789">
        <f>Dashboard!M116</f>
        <v>0.16041666666666665</v>
      </c>
      <c r="J19" s="789">
        <f ca="1">SUMIFS($M19:$EF19,$M$11:$EF$11,TODAY()-1,$M$13:$EF$13,O$13)</f>
        <v>0</v>
      </c>
      <c r="K19" s="840">
        <f>D19/'Action Plan'!$C$6</f>
        <v>5769230.769230769</v>
      </c>
      <c r="L19" s="940">
        <f ca="1">SUMIFS($M19:$EF19,$M$11:$EF$11,TODAY()-1,$M$13:$EF$13,P$13)</f>
        <v>0</v>
      </c>
      <c r="M19" s="897">
        <f>(M20+M32+M36+M39+M26+M35)</f>
        <v>46</v>
      </c>
      <c r="N19" s="858">
        <f>(N20+N32+N36+N39)</f>
        <v>22</v>
      </c>
      <c r="O19" s="857">
        <f>O$8</f>
        <v>0.76086956521739135</v>
      </c>
      <c r="P19" s="889">
        <f>P20+P26+P32+P35+P36+P39</f>
        <v>3200000</v>
      </c>
      <c r="Q19" s="897">
        <f>(Q20+Q32+Q36+Q39+Q26+Q35)</f>
        <v>46</v>
      </c>
      <c r="R19" s="858">
        <f>(R20+R32+R36+R39)</f>
        <v>22</v>
      </c>
      <c r="S19" s="857">
        <f>S$8</f>
        <v>0.76086956521739135</v>
      </c>
      <c r="T19" s="889">
        <f>T20+T26+T32+T35+T36+T39</f>
        <v>3200000</v>
      </c>
      <c r="U19" s="897">
        <f>(U20+U32+U36+U39+U26+U35)</f>
        <v>46</v>
      </c>
      <c r="V19" s="858">
        <f>(V20+V32+V36+V39)</f>
        <v>22</v>
      </c>
      <c r="W19" s="857">
        <f>W$8</f>
        <v>0.76086956521739135</v>
      </c>
      <c r="X19" s="889">
        <f>X20+X26+X32+X35+X36+X39</f>
        <v>3200000</v>
      </c>
      <c r="Y19" s="897">
        <f>(Y20+Y32+Y36+Y39+Y26+Y35)</f>
        <v>46</v>
      </c>
      <c r="Z19" s="858">
        <f>(Z20+Z32+Z36+Z39)</f>
        <v>22</v>
      </c>
      <c r="AA19" s="857">
        <f>AA$8</f>
        <v>0.76086956521739135</v>
      </c>
      <c r="AB19" s="889">
        <f>AB20+AB26+AB32+AB35+AB36+AB39</f>
        <v>3200000</v>
      </c>
      <c r="AC19" s="897">
        <f>(AC20+AC32+AC36+AC39+AC26+AC35)</f>
        <v>46</v>
      </c>
      <c r="AD19" s="858">
        <f>(AD20+AD32+AD36+AD39)</f>
        <v>22</v>
      </c>
      <c r="AE19" s="857">
        <f>AE$8</f>
        <v>0.76086956521739135</v>
      </c>
      <c r="AF19" s="889">
        <f>AF20+AF26+AF32+AF35+AF36+AF39</f>
        <v>3200000</v>
      </c>
      <c r="AG19" s="897">
        <f>(AG20+AG32+AG36+AG39+AG26+AG35)</f>
        <v>46</v>
      </c>
      <c r="AH19" s="858">
        <f>(AH20+AH32+AH36+AH39)</f>
        <v>22</v>
      </c>
      <c r="AI19" s="857">
        <f>AI$8</f>
        <v>0.76086956521739135</v>
      </c>
      <c r="AJ19" s="889">
        <f>AJ20+AJ26+AJ32+AJ35+AJ36+AJ39</f>
        <v>3200000</v>
      </c>
      <c r="AK19" s="897">
        <f>(AK20+AK32+AK36+AK39+AK26+AK35)</f>
        <v>46</v>
      </c>
      <c r="AL19" s="858">
        <f>(AL20+AL32+AL36+AL39)</f>
        <v>22</v>
      </c>
      <c r="AM19" s="857">
        <f>AM$8</f>
        <v>0.76086956521739135</v>
      </c>
      <c r="AN19" s="889">
        <f>AN20+AN26+AN32+AN35+AN36+AN39</f>
        <v>3200000</v>
      </c>
      <c r="AO19" s="897">
        <f>(AO20+AO32+AO36+AO39+AO26+AO35)</f>
        <v>46</v>
      </c>
      <c r="AP19" s="858">
        <f>(AP20+AP32+AP36+AP39)</f>
        <v>22</v>
      </c>
      <c r="AQ19" s="857">
        <f>AQ$8</f>
        <v>0.76086956521739135</v>
      </c>
      <c r="AR19" s="889">
        <f>AR20+AR26+AR32+AR35+AR36+AR39</f>
        <v>3200000</v>
      </c>
      <c r="AS19" s="897">
        <f>(AS20+AS32+AS36+AS39+AS26+AS35)</f>
        <v>46</v>
      </c>
      <c r="AT19" s="858">
        <f>(AT20+AT32+AT36+AT39)</f>
        <v>22</v>
      </c>
      <c r="AU19" s="857">
        <f>AU$8</f>
        <v>0.76086956521739135</v>
      </c>
      <c r="AV19" s="889">
        <f>AV20+AV26+AV32+AV35+AV36+AV39</f>
        <v>3200000</v>
      </c>
      <c r="AW19" s="897">
        <f>(AW20+AW32+AW36+AW39+AW26+AW35)</f>
        <v>46</v>
      </c>
      <c r="AX19" s="858">
        <f>(AX20+AX32+AX36+AX39)</f>
        <v>22</v>
      </c>
      <c r="AY19" s="857">
        <f>AY$8</f>
        <v>0.76086956521739135</v>
      </c>
      <c r="AZ19" s="889">
        <f>AZ20+AZ26+AZ32+AZ35+AZ36+AZ39</f>
        <v>3200000</v>
      </c>
      <c r="BA19" s="897">
        <f>(BA20+BA32+BA36+BA39+BA26+BA35)</f>
        <v>46</v>
      </c>
      <c r="BB19" s="858">
        <f>(BB20+BB32+BB36+BB39)</f>
        <v>22</v>
      </c>
      <c r="BC19" s="857">
        <f>BC$8</f>
        <v>0.76086956521739135</v>
      </c>
      <c r="BD19" s="889">
        <f>BD20+BD26+BD32+BD35+BD36+BD39</f>
        <v>3200000</v>
      </c>
      <c r="BE19" s="897">
        <f>(BE20+BE32+BE36+BE39+BE26+BE35)</f>
        <v>46</v>
      </c>
      <c r="BF19" s="858">
        <f>(BF20+BF32+BF36+BF39)</f>
        <v>22</v>
      </c>
      <c r="BG19" s="857">
        <f>BG$8</f>
        <v>0.76086956521739135</v>
      </c>
      <c r="BH19" s="889">
        <f>BH20+BH26+BH32+BH35+BH36+BH39</f>
        <v>3200000</v>
      </c>
      <c r="BI19" s="897">
        <f>(BI20+BI32+BI36+BI39+BI26+BI35)</f>
        <v>46</v>
      </c>
      <c r="BJ19" s="858">
        <f>(BJ20+BJ32+BJ36+BJ39)</f>
        <v>22</v>
      </c>
      <c r="BK19" s="857">
        <f>BK$8</f>
        <v>0.76086956521739135</v>
      </c>
      <c r="BL19" s="889">
        <f>BL20+BL26+BL32+BL35+BL36+BL39</f>
        <v>3200000</v>
      </c>
      <c r="BM19" s="897">
        <f>(BM20+BM32+BM36+BM39+BM26+BM35)</f>
        <v>46</v>
      </c>
      <c r="BN19" s="858">
        <f>(BN20+BN32+BN36+BN39)</f>
        <v>22</v>
      </c>
      <c r="BO19" s="857">
        <f>BO$8</f>
        <v>0.76086956521739135</v>
      </c>
      <c r="BP19" s="889">
        <f>BP20+BP26+BP32+BP35+BP36+BP39</f>
        <v>3200000</v>
      </c>
      <c r="BQ19" s="897">
        <f>(BQ20+BQ32+BQ36+BQ39+BQ26+BQ35)</f>
        <v>46</v>
      </c>
      <c r="BR19" s="858">
        <f>(BR20+BR32+BR36+BR39)</f>
        <v>22</v>
      </c>
      <c r="BS19" s="857">
        <f>BS$8</f>
        <v>0.76086956521739135</v>
      </c>
      <c r="BT19" s="889">
        <f>BT20+BT26+BT32+BT35+BT36+BT39</f>
        <v>3200000</v>
      </c>
      <c r="BU19" s="897">
        <f>(BU20+BU32+BU36+BU39+BU26+BU35)</f>
        <v>46</v>
      </c>
      <c r="BV19" s="858">
        <f>(BV20+BV32+BV36+BV39)</f>
        <v>22</v>
      </c>
      <c r="BW19" s="857">
        <f>BW$8</f>
        <v>0.76086956521739135</v>
      </c>
      <c r="BX19" s="889">
        <f>BX20+BX26+BX32+BX35+BX36+BX39</f>
        <v>3200000</v>
      </c>
      <c r="BY19" s="897">
        <f>(BY20+BY32+BY36+BY39+BY26+BY35)</f>
        <v>46</v>
      </c>
      <c r="BZ19" s="858">
        <f>(BZ20+BZ32+BZ36+BZ39)</f>
        <v>22</v>
      </c>
      <c r="CA19" s="857">
        <f>CA$8</f>
        <v>0.76086956521739135</v>
      </c>
      <c r="CB19" s="889">
        <f>CB20+CB26+CB32+CB35+CB36+CB39</f>
        <v>3200000</v>
      </c>
      <c r="CC19" s="897">
        <f>(CC20+CC32+CC36+CC39+CC26+CC35)</f>
        <v>46</v>
      </c>
      <c r="CD19" s="858">
        <f>(CD20+CD32+CD36+CD39)</f>
        <v>22</v>
      </c>
      <c r="CE19" s="857">
        <f>CE$8</f>
        <v>0.76086956521739135</v>
      </c>
      <c r="CF19" s="889">
        <f>CF20+CF26+CF32+CF35+CF36+CF39</f>
        <v>3200000</v>
      </c>
      <c r="CG19" s="897">
        <f>(CG20+CG32+CG36+CG39+CG26+CG35)</f>
        <v>46</v>
      </c>
      <c r="CH19" s="858">
        <f>(CH20+CH32+CH36+CH39)</f>
        <v>22</v>
      </c>
      <c r="CI19" s="857">
        <f>CI$8</f>
        <v>0.76086956521739135</v>
      </c>
      <c r="CJ19" s="889">
        <f>CJ20+CJ26+CJ32+CJ35+CJ36+CJ39</f>
        <v>3200000</v>
      </c>
      <c r="CK19" s="897">
        <f>(CK20+CK32+CK36+CK39+CK26+CK35)</f>
        <v>46</v>
      </c>
      <c r="CL19" s="858">
        <f>(CL20+CL32+CL36+CL39)</f>
        <v>22</v>
      </c>
      <c r="CM19" s="857">
        <f>CM$8</f>
        <v>0.76086956521739135</v>
      </c>
      <c r="CN19" s="889">
        <f>CN20+CN26+CN32+CN35+CN36+CN39</f>
        <v>3200000</v>
      </c>
      <c r="CO19" s="897">
        <f>(CO20+CO32+CO36+CO39+CO26+CO35)</f>
        <v>46</v>
      </c>
      <c r="CP19" s="858">
        <f>(CP20+CP32+CP36+CP39)</f>
        <v>22</v>
      </c>
      <c r="CQ19" s="857">
        <f>CQ$8</f>
        <v>0.76086956521739135</v>
      </c>
      <c r="CR19" s="889">
        <f>CR20+CR26+CR32+CR35+CR36+CR39</f>
        <v>3200000</v>
      </c>
      <c r="CS19" s="897">
        <f>(CS20+CS32+CS36+CS39+CS26+CS35)</f>
        <v>46</v>
      </c>
      <c r="CT19" s="858">
        <f>(CT20+CT32+CT36+CT39)</f>
        <v>22</v>
      </c>
      <c r="CU19" s="857">
        <f>CU$8</f>
        <v>0.76086956521739135</v>
      </c>
      <c r="CV19" s="889">
        <f>CV20+CV26+CV32+CV35+CV36+CV39</f>
        <v>3200000</v>
      </c>
      <c r="CW19" s="897">
        <f>(CW20+CW32+CW36+CW39+CW26+CW35)</f>
        <v>46</v>
      </c>
      <c r="CX19" s="858">
        <f>(CX20+CX32+CX36+CX39)</f>
        <v>22</v>
      </c>
      <c r="CY19" s="857">
        <f>CY$8</f>
        <v>0.76086956521739135</v>
      </c>
      <c r="CZ19" s="889">
        <f>CZ20+CZ26+CZ32+CZ35+CZ36+CZ39</f>
        <v>3200000</v>
      </c>
      <c r="DA19" s="897">
        <f>(DA20+DA32+DA36+DA39+DA26+DA35)</f>
        <v>46</v>
      </c>
      <c r="DB19" s="858">
        <f>(DB20+DB32+DB36+DB39)</f>
        <v>22</v>
      </c>
      <c r="DC19" s="857">
        <f>DC$8</f>
        <v>0.76086956521739135</v>
      </c>
      <c r="DD19" s="889">
        <f>DD20+DD26+DD32+DD35+DD36+DD39</f>
        <v>3200000</v>
      </c>
      <c r="DE19" s="897">
        <f>(DE20+DE32+DE36+DE39+DE26+DE35)</f>
        <v>46</v>
      </c>
      <c r="DF19" s="858">
        <f>(DF20+DF32+DF36+DF39)</f>
        <v>22</v>
      </c>
      <c r="DG19" s="857">
        <f>DG$8</f>
        <v>0.76086956521739135</v>
      </c>
      <c r="DH19" s="889">
        <f>DH20+DH26+DH32+DH35+DH36+DH39</f>
        <v>3200000</v>
      </c>
      <c r="DI19" s="897">
        <f>(DI20+DI32+DI36+DI39+DI26+DI35)</f>
        <v>46</v>
      </c>
      <c r="DJ19" s="858">
        <f>(DJ20+DJ32+DJ36+DJ39)</f>
        <v>22</v>
      </c>
      <c r="DK19" s="857">
        <f>DK$8</f>
        <v>0.76086956521739135</v>
      </c>
      <c r="DL19" s="889">
        <f>DL20+DL26+DL32+DL35+DL36+DL39</f>
        <v>3200000</v>
      </c>
      <c r="DM19" s="897">
        <f>(DM20+DM32+DM36+DM39+DM26+DM35)</f>
        <v>46</v>
      </c>
      <c r="DN19" s="858">
        <f>(DN20+DN32+DN36+DN39)</f>
        <v>22</v>
      </c>
      <c r="DO19" s="857">
        <f>DO$8</f>
        <v>0.76086956521739135</v>
      </c>
      <c r="DP19" s="889">
        <f>DP20+DP26+DP32+DP35+DP36+DP39</f>
        <v>3200000</v>
      </c>
      <c r="DQ19" s="897">
        <f>(DQ20+DQ32+DQ36+DQ39+DQ26+DQ35)</f>
        <v>46</v>
      </c>
      <c r="DR19" s="858">
        <f>(DR20+DR32+DR36+DR39)</f>
        <v>22</v>
      </c>
      <c r="DS19" s="857">
        <f>DS$8</f>
        <v>0.76086956521739135</v>
      </c>
      <c r="DT19" s="889">
        <f>DT20+DT26+DT32+DT35+DT36+DT39</f>
        <v>3200000</v>
      </c>
      <c r="DU19" s="897">
        <f>(DU20+DU32+DU36+DU39+DU26+DU35)</f>
        <v>46</v>
      </c>
      <c r="DV19" s="858">
        <f>(DV20+DV32+DV36+DV39)</f>
        <v>22</v>
      </c>
      <c r="DW19" s="857">
        <f>DW$8</f>
        <v>0.76086956521739135</v>
      </c>
      <c r="DX19" s="889">
        <f>DX20+DX26+DX32+DX35+DX36+DX39</f>
        <v>3200000</v>
      </c>
      <c r="DY19" s="897">
        <f>(DY20+DY32+DY36+DY39+DY26+DY35)</f>
        <v>46</v>
      </c>
      <c r="DZ19" s="858">
        <f>(DZ20+DZ32+DZ36+DZ39)</f>
        <v>22</v>
      </c>
      <c r="EA19" s="857">
        <f>EA$8</f>
        <v>0.76086956521739135</v>
      </c>
      <c r="EB19" s="889">
        <f>EB20+EB26+EB32+EB35+EB36+EB39</f>
        <v>3200000</v>
      </c>
      <c r="EC19" s="897">
        <f>(EC20+EC32+EC36+EC39+EC26+EC35)</f>
        <v>46</v>
      </c>
      <c r="ED19" s="858">
        <f>(ED20+ED32+ED36+ED39)</f>
        <v>22</v>
      </c>
      <c r="EE19" s="857">
        <f>EE$8</f>
        <v>0.76086956521739135</v>
      </c>
      <c r="EF19" s="889">
        <f>EF20+EF26+EF32+EF35+EF36+EF39</f>
        <v>3200000</v>
      </c>
    </row>
    <row r="20" spans="1:136" ht="20" customHeight="1" x14ac:dyDescent="0.15">
      <c r="A20" s="870">
        <f>_xlfn.IFS(B20=0,0,E20&gt;B20,1,E20&lt;=B20,E20/B20)</f>
        <v>0</v>
      </c>
      <c r="B20" s="791"/>
      <c r="C20" s="883" t="str">
        <f>Dashboard!K96</f>
        <v>FACEBOOK</v>
      </c>
      <c r="D20" s="686">
        <f>Dashboard!U96</f>
        <v>15000000</v>
      </c>
      <c r="E20" s="1065">
        <f>SUMIF($M$13:$EF$13,$P$13,$M20:$EF20)</f>
        <v>23250000</v>
      </c>
      <c r="F20" s="686">
        <f>E20-D20</f>
        <v>8250000</v>
      </c>
      <c r="G20" s="788">
        <f>_xlfn.IFS(F20&gt;0,1,F20&lt;=0,E20/D20)</f>
        <v>1</v>
      </c>
      <c r="H20" s="788">
        <f>IF(SUMIF(M$13:EF$13,$O$13,M20:EF20)&gt;0,AVERAGEIFS(M20:EF20,M20:EF20,"&gt;0",M$13:EF$13,$O$13),"NO NEW ORDER")</f>
        <v>1</v>
      </c>
      <c r="I20" s="788">
        <f>Dashboard!M117</f>
        <v>0.16041666666666665</v>
      </c>
      <c r="J20" s="788">
        <f ca="1">IF(SUM(J21:J25)&gt;0,AVERAGEIF(J21:J25,"&gt;0"),0)</f>
        <v>0</v>
      </c>
      <c r="K20" s="686">
        <f>D20/'Action Plan'!$C$6</f>
        <v>576923.07692307688</v>
      </c>
      <c r="L20" s="933">
        <f ca="1">SUMIFS($M20:$EF20,$M$11:$EF$11,TODAY()-1,$M$13:$EF$13,P$13)</f>
        <v>0</v>
      </c>
      <c r="M20" s="899">
        <f>SUM(M21:M25)</f>
        <v>15</v>
      </c>
      <c r="N20" s="904">
        <f>SUM(N21:N25)</f>
        <v>15</v>
      </c>
      <c r="O20" s="788">
        <f>IF(SUM(O21:O25)&gt;0,AVERAGEIF(O21:O25,"&gt;0"),0)</f>
        <v>1</v>
      </c>
      <c r="P20" s="891">
        <f>SUM(P21:P25)</f>
        <v>750000</v>
      </c>
      <c r="Q20" s="899">
        <f>SUM(Q21:Q25)</f>
        <v>15</v>
      </c>
      <c r="R20" s="904">
        <f>SUM(R21:R25)</f>
        <v>15</v>
      </c>
      <c r="S20" s="788">
        <f>IF(SUM(S21:S25)&gt;0,AVERAGEIF(S21:S25,"&gt;0"),0)</f>
        <v>1</v>
      </c>
      <c r="T20" s="891">
        <f>SUM(T21:T25)</f>
        <v>750000</v>
      </c>
      <c r="U20" s="899">
        <f>SUM(U21:U25)</f>
        <v>15</v>
      </c>
      <c r="V20" s="904">
        <f>SUM(V21:V25)</f>
        <v>15</v>
      </c>
      <c r="W20" s="788">
        <f>IF(SUM(W21:W25)&gt;0,AVERAGEIF(W21:W25,"&gt;0"),0)</f>
        <v>1</v>
      </c>
      <c r="X20" s="891">
        <f>SUM(X21:X25)</f>
        <v>750000</v>
      </c>
      <c r="Y20" s="899">
        <f>SUM(Y21:Y25)</f>
        <v>15</v>
      </c>
      <c r="Z20" s="904">
        <f>SUM(Z21:Z25)</f>
        <v>15</v>
      </c>
      <c r="AA20" s="788">
        <f>IF(SUM(AA21:AA25)&gt;0,AVERAGEIF(AA21:AA25,"&gt;0"),0)</f>
        <v>1</v>
      </c>
      <c r="AB20" s="891">
        <f>SUM(AB21:AB25)</f>
        <v>750000</v>
      </c>
      <c r="AC20" s="899">
        <f>SUM(AC21:AC25)</f>
        <v>15</v>
      </c>
      <c r="AD20" s="904">
        <f>SUM(AD21:AD25)</f>
        <v>15</v>
      </c>
      <c r="AE20" s="788">
        <f>IF(SUM(AE21:AE25)&gt;0,AVERAGEIF(AE21:AE25,"&gt;0"),0)</f>
        <v>1</v>
      </c>
      <c r="AF20" s="891">
        <f>SUM(AF21:AF25)</f>
        <v>750000</v>
      </c>
      <c r="AG20" s="899">
        <f>SUM(AG21:AG25)</f>
        <v>15</v>
      </c>
      <c r="AH20" s="904">
        <f>SUM(AH21:AH25)</f>
        <v>15</v>
      </c>
      <c r="AI20" s="788">
        <f>IF(SUM(AI21:AI25)&gt;0,AVERAGEIF(AI21:AI25,"&gt;0"),0)</f>
        <v>1</v>
      </c>
      <c r="AJ20" s="891">
        <f>SUM(AJ21:AJ25)</f>
        <v>750000</v>
      </c>
      <c r="AK20" s="899">
        <f>SUM(AK21:AK25)</f>
        <v>15</v>
      </c>
      <c r="AL20" s="904">
        <f>SUM(AL21:AL25)</f>
        <v>15</v>
      </c>
      <c r="AM20" s="788">
        <f>IF(SUM(AM21:AM25)&gt;0,AVERAGEIF(AM21:AM25,"&gt;0"),0)</f>
        <v>1</v>
      </c>
      <c r="AN20" s="891">
        <f>SUM(AN21:AN25)</f>
        <v>750000</v>
      </c>
      <c r="AO20" s="899">
        <f>SUM(AO21:AO25)</f>
        <v>15</v>
      </c>
      <c r="AP20" s="904">
        <f>SUM(AP21:AP25)</f>
        <v>15</v>
      </c>
      <c r="AQ20" s="788">
        <f>IF(SUM(AQ21:AQ25)&gt;0,AVERAGEIF(AQ21:AQ25,"&gt;0"),0)</f>
        <v>1</v>
      </c>
      <c r="AR20" s="891">
        <f>SUM(AR21:AR25)</f>
        <v>750000</v>
      </c>
      <c r="AS20" s="899">
        <f>SUM(AS21:AS25)</f>
        <v>15</v>
      </c>
      <c r="AT20" s="904">
        <f>SUM(AT21:AT25)</f>
        <v>15</v>
      </c>
      <c r="AU20" s="788">
        <f>IF(SUM(AU21:AU25)&gt;0,AVERAGEIF(AU21:AU25,"&gt;0"),0)</f>
        <v>1</v>
      </c>
      <c r="AV20" s="891">
        <f>SUM(AV21:AV25)</f>
        <v>750000</v>
      </c>
      <c r="AW20" s="899">
        <f>SUM(AW21:AW25)</f>
        <v>15</v>
      </c>
      <c r="AX20" s="904">
        <f>SUM(AX21:AX25)</f>
        <v>15</v>
      </c>
      <c r="AY20" s="788">
        <f>IF(SUM(AY21:AY25)&gt;0,AVERAGEIF(AY21:AY25,"&gt;0"),0)</f>
        <v>1</v>
      </c>
      <c r="AZ20" s="891">
        <f>SUM(AZ21:AZ25)</f>
        <v>750000</v>
      </c>
      <c r="BA20" s="899">
        <f>SUM(BA21:BA25)</f>
        <v>15</v>
      </c>
      <c r="BB20" s="904">
        <f>SUM(BB21:BB25)</f>
        <v>15</v>
      </c>
      <c r="BC20" s="788">
        <f>IF(SUM(BC21:BC25)&gt;0,AVERAGEIF(BC21:BC25,"&gt;0"),0)</f>
        <v>1</v>
      </c>
      <c r="BD20" s="891">
        <f>SUM(BD21:BD25)</f>
        <v>750000</v>
      </c>
      <c r="BE20" s="899">
        <f>SUM(BE21:BE25)</f>
        <v>15</v>
      </c>
      <c r="BF20" s="904">
        <f>SUM(BF21:BF25)</f>
        <v>15</v>
      </c>
      <c r="BG20" s="788">
        <f>IF(SUM(BG21:BG25)&gt;0,AVERAGEIF(BG21:BG25,"&gt;0"),0)</f>
        <v>1</v>
      </c>
      <c r="BH20" s="891">
        <f>SUM(BH21:BH25)</f>
        <v>750000</v>
      </c>
      <c r="BI20" s="899">
        <f>SUM(BI21:BI25)</f>
        <v>15</v>
      </c>
      <c r="BJ20" s="904">
        <f>SUM(BJ21:BJ25)</f>
        <v>15</v>
      </c>
      <c r="BK20" s="788">
        <f>IF(SUM(BK21:BK25)&gt;0,AVERAGEIF(BK21:BK25,"&gt;0"),0)</f>
        <v>1</v>
      </c>
      <c r="BL20" s="891">
        <f>SUM(BL21:BL25)</f>
        <v>750000</v>
      </c>
      <c r="BM20" s="899">
        <f>SUM(BM21:BM25)</f>
        <v>15</v>
      </c>
      <c r="BN20" s="904">
        <f>SUM(BN21:BN25)</f>
        <v>15</v>
      </c>
      <c r="BO20" s="788">
        <f>IF(SUM(BO21:BO25)&gt;0,AVERAGEIF(BO21:BO25,"&gt;0"),0)</f>
        <v>1</v>
      </c>
      <c r="BP20" s="891">
        <f>SUM(BP21:BP25)</f>
        <v>750000</v>
      </c>
      <c r="BQ20" s="899">
        <f>SUM(BQ21:BQ25)</f>
        <v>15</v>
      </c>
      <c r="BR20" s="904">
        <f>SUM(BR21:BR25)</f>
        <v>15</v>
      </c>
      <c r="BS20" s="788">
        <f>IF(SUM(BS21:BS25)&gt;0,AVERAGEIF(BS21:BS25,"&gt;0"),0)</f>
        <v>1</v>
      </c>
      <c r="BT20" s="891">
        <f>SUM(BT21:BT25)</f>
        <v>750000</v>
      </c>
      <c r="BU20" s="899">
        <f>SUM(BU21:BU25)</f>
        <v>15</v>
      </c>
      <c r="BV20" s="904">
        <f>SUM(BV21:BV25)</f>
        <v>15</v>
      </c>
      <c r="BW20" s="788">
        <f>IF(SUM(BW21:BW25)&gt;0,AVERAGEIF(BW21:BW25,"&gt;0"),0)</f>
        <v>1</v>
      </c>
      <c r="BX20" s="891">
        <f>SUM(BX21:BX25)</f>
        <v>750000</v>
      </c>
      <c r="BY20" s="899">
        <f>SUM(BY21:BY25)</f>
        <v>15</v>
      </c>
      <c r="BZ20" s="904">
        <f>SUM(BZ21:BZ25)</f>
        <v>15</v>
      </c>
      <c r="CA20" s="788">
        <f>IF(SUM(CA21:CA25)&gt;0,AVERAGEIF(CA21:CA25,"&gt;0"),0)</f>
        <v>1</v>
      </c>
      <c r="CB20" s="891">
        <f>SUM(CB21:CB25)</f>
        <v>750000</v>
      </c>
      <c r="CC20" s="899">
        <f>SUM(CC21:CC25)</f>
        <v>15</v>
      </c>
      <c r="CD20" s="904">
        <f>SUM(CD21:CD25)</f>
        <v>15</v>
      </c>
      <c r="CE20" s="788">
        <f>IF(SUM(CE21:CE25)&gt;0,AVERAGEIF(CE21:CE25,"&gt;0"),0)</f>
        <v>1</v>
      </c>
      <c r="CF20" s="891">
        <f>SUM(CF21:CF25)</f>
        <v>750000</v>
      </c>
      <c r="CG20" s="899">
        <f>SUM(CG21:CG25)</f>
        <v>15</v>
      </c>
      <c r="CH20" s="904">
        <f>SUM(CH21:CH25)</f>
        <v>15</v>
      </c>
      <c r="CI20" s="788">
        <f>IF(SUM(CI21:CI25)&gt;0,AVERAGEIF(CI21:CI25,"&gt;0"),0)</f>
        <v>1</v>
      </c>
      <c r="CJ20" s="891">
        <f>SUM(CJ21:CJ25)</f>
        <v>750000</v>
      </c>
      <c r="CK20" s="899">
        <f>SUM(CK21:CK25)</f>
        <v>15</v>
      </c>
      <c r="CL20" s="904">
        <f>SUM(CL21:CL25)</f>
        <v>15</v>
      </c>
      <c r="CM20" s="788">
        <f>IF(SUM(CM21:CM25)&gt;0,AVERAGEIF(CM21:CM25,"&gt;0"),0)</f>
        <v>1</v>
      </c>
      <c r="CN20" s="891">
        <f>SUM(CN21:CN25)</f>
        <v>750000</v>
      </c>
      <c r="CO20" s="899">
        <f>SUM(CO21:CO25)</f>
        <v>15</v>
      </c>
      <c r="CP20" s="904">
        <f>SUM(CP21:CP25)</f>
        <v>15</v>
      </c>
      <c r="CQ20" s="788">
        <f>IF(SUM(CQ21:CQ25)&gt;0,AVERAGEIF(CQ21:CQ25,"&gt;0"),0)</f>
        <v>1</v>
      </c>
      <c r="CR20" s="891">
        <f>SUM(CR21:CR25)</f>
        <v>750000</v>
      </c>
      <c r="CS20" s="899">
        <f>SUM(CS21:CS25)</f>
        <v>15</v>
      </c>
      <c r="CT20" s="904">
        <f>SUM(CT21:CT25)</f>
        <v>15</v>
      </c>
      <c r="CU20" s="788">
        <f>IF(SUM(CU21:CU25)&gt;0,AVERAGEIF(CU21:CU25,"&gt;0"),0)</f>
        <v>1</v>
      </c>
      <c r="CV20" s="891">
        <f>SUM(CV21:CV25)</f>
        <v>750000</v>
      </c>
      <c r="CW20" s="899">
        <f>SUM(CW21:CW25)</f>
        <v>15</v>
      </c>
      <c r="CX20" s="904">
        <f>SUM(CX21:CX25)</f>
        <v>15</v>
      </c>
      <c r="CY20" s="788">
        <f>IF(SUM(CY21:CY25)&gt;0,AVERAGEIF(CY21:CY25,"&gt;0"),0)</f>
        <v>1</v>
      </c>
      <c r="CZ20" s="891">
        <f>SUM(CZ21:CZ25)</f>
        <v>750000</v>
      </c>
      <c r="DA20" s="899">
        <f>SUM(DA21:DA25)</f>
        <v>15</v>
      </c>
      <c r="DB20" s="904">
        <f>SUM(DB21:DB25)</f>
        <v>15</v>
      </c>
      <c r="DC20" s="788">
        <f>IF(SUM(DC21:DC25)&gt;0,AVERAGEIF(DC21:DC25,"&gt;0"),0)</f>
        <v>1</v>
      </c>
      <c r="DD20" s="891">
        <f>SUM(DD21:DD25)</f>
        <v>750000</v>
      </c>
      <c r="DE20" s="899">
        <f>SUM(DE21:DE25)</f>
        <v>15</v>
      </c>
      <c r="DF20" s="904">
        <f>SUM(DF21:DF25)</f>
        <v>15</v>
      </c>
      <c r="DG20" s="788">
        <f>IF(SUM(DG21:DG25)&gt;0,AVERAGEIF(DG21:DG25,"&gt;0"),0)</f>
        <v>1</v>
      </c>
      <c r="DH20" s="891">
        <f>SUM(DH21:DH25)</f>
        <v>750000</v>
      </c>
      <c r="DI20" s="899">
        <f>SUM(DI21:DI25)</f>
        <v>15</v>
      </c>
      <c r="DJ20" s="904">
        <f>SUM(DJ21:DJ25)</f>
        <v>15</v>
      </c>
      <c r="DK20" s="788">
        <f>IF(SUM(DK21:DK25)&gt;0,AVERAGEIF(DK21:DK25,"&gt;0"),0)</f>
        <v>1</v>
      </c>
      <c r="DL20" s="891">
        <f>SUM(DL21:DL25)</f>
        <v>750000</v>
      </c>
      <c r="DM20" s="899">
        <f>SUM(DM21:DM25)</f>
        <v>15</v>
      </c>
      <c r="DN20" s="904">
        <f>SUM(DN21:DN25)</f>
        <v>15</v>
      </c>
      <c r="DO20" s="788">
        <f>IF(SUM(DO21:DO25)&gt;0,AVERAGEIF(DO21:DO25,"&gt;0"),0)</f>
        <v>1</v>
      </c>
      <c r="DP20" s="891">
        <f>SUM(DP21:DP25)</f>
        <v>750000</v>
      </c>
      <c r="DQ20" s="899">
        <f>SUM(DQ21:DQ25)</f>
        <v>15</v>
      </c>
      <c r="DR20" s="904">
        <f>SUM(DR21:DR25)</f>
        <v>15</v>
      </c>
      <c r="DS20" s="788">
        <f>IF(SUM(DS21:DS25)&gt;0,AVERAGEIF(DS21:DS25,"&gt;0"),0)</f>
        <v>1</v>
      </c>
      <c r="DT20" s="891">
        <f>SUM(DT21:DT25)</f>
        <v>750000</v>
      </c>
      <c r="DU20" s="899">
        <f>SUM(DU21:DU25)</f>
        <v>15</v>
      </c>
      <c r="DV20" s="904">
        <f>SUM(DV21:DV25)</f>
        <v>15</v>
      </c>
      <c r="DW20" s="788">
        <f>IF(SUM(DW21:DW25)&gt;0,AVERAGEIF(DW21:DW25,"&gt;0"),0)</f>
        <v>1</v>
      </c>
      <c r="DX20" s="891">
        <f>SUM(DX21:DX25)</f>
        <v>750000</v>
      </c>
      <c r="DY20" s="899">
        <f>SUM(DY21:DY25)</f>
        <v>15</v>
      </c>
      <c r="DZ20" s="904">
        <f>SUM(DZ21:DZ25)</f>
        <v>15</v>
      </c>
      <c r="EA20" s="788">
        <f>IF(SUM(EA21:EA25)&gt;0,AVERAGEIF(EA21:EA25,"&gt;0"),0)</f>
        <v>1</v>
      </c>
      <c r="EB20" s="891">
        <f>SUM(EB21:EB25)</f>
        <v>750000</v>
      </c>
      <c r="EC20" s="899">
        <f>SUM(EC21:EC25)</f>
        <v>15</v>
      </c>
      <c r="ED20" s="904">
        <f>SUM(ED21:ED25)</f>
        <v>15</v>
      </c>
      <c r="EE20" s="788">
        <f>IF(SUM(EE21:EE25)&gt;0,AVERAGEIF(EE21:EE25,"&gt;0"),0)</f>
        <v>1</v>
      </c>
      <c r="EF20" s="891">
        <f>SUM(EF21:EF25)</f>
        <v>750000</v>
      </c>
    </row>
    <row r="21" spans="1:136" ht="20" customHeight="1" x14ac:dyDescent="0.15">
      <c r="A21" s="189">
        <f>_xlfn.IFS(B21=0,0,E21&gt;B21,1,E21&lt;=B21,E21/B21)</f>
        <v>0</v>
      </c>
      <c r="B21" s="946"/>
      <c r="C21" s="970" t="s">
        <v>134</v>
      </c>
      <c r="D21" s="610">
        <f>$D$20/5</f>
        <v>3000000</v>
      </c>
      <c r="E21" s="1082">
        <f>SUMIF($M$13:$EF$13,$P$13,$M21:$EF21)</f>
        <v>4650000</v>
      </c>
      <c r="F21" s="610">
        <f>E21-D21</f>
        <v>1650000</v>
      </c>
      <c r="G21" s="208">
        <f>_xlfn.IFS(F21&gt;0,1,F21&lt;=0,E21/D21)</f>
        <v>1</v>
      </c>
      <c r="H21" s="208">
        <f t="shared" ref="H21:H25" si="195">IF(SUMIF(M$13:EF$13,$O$13,M21:EF21)&gt;0,AVERAGEIFS(M21:EF21,M21:EF21,"&gt;0",M$13:EF$13,$O$13),"NO NEW ORDER")</f>
        <v>1</v>
      </c>
      <c r="J21" s="208">
        <f ca="1">SUMIFS($M21:$EF21,$M$11:$EF$11,TODAY()-1,$M$13:$EF$13,O$13)</f>
        <v>0</v>
      </c>
      <c r="K21" s="953"/>
      <c r="L21" s="605">
        <f t="shared" ref="L21:L31" ca="1" si="196">SUMIFS($M21:$EF21,$M$11:$EF$11,TODAY()-1,$M$13:$EF$13,P$13)</f>
        <v>0</v>
      </c>
      <c r="M21" s="1026">
        <v>5</v>
      </c>
      <c r="N21" s="1027">
        <v>5</v>
      </c>
      <c r="O21" s="208">
        <f>_xlfn.IFS(M21=0,0,N21&lt;=M21,N21/M21,N21&gt;M21,1)</f>
        <v>1</v>
      </c>
      <c r="P21" s="1029">
        <v>150000</v>
      </c>
      <c r="Q21" s="1026">
        <v>5</v>
      </c>
      <c r="R21" s="1027">
        <v>5</v>
      </c>
      <c r="S21" s="208">
        <f>_xlfn.IFS(Q21=0,0,R21&lt;=Q21,R21/Q21,R21&gt;Q21,1)</f>
        <v>1</v>
      </c>
      <c r="T21" s="1029">
        <v>150000</v>
      </c>
      <c r="U21" s="1026">
        <v>5</v>
      </c>
      <c r="V21" s="1027">
        <v>5</v>
      </c>
      <c r="W21" s="208">
        <f>_xlfn.IFS(U21=0,0,V21&lt;=U21,V21/U21,V21&gt;U21,1)</f>
        <v>1</v>
      </c>
      <c r="X21" s="1029">
        <v>150000</v>
      </c>
      <c r="Y21" s="1026">
        <v>5</v>
      </c>
      <c r="Z21" s="1027">
        <v>5</v>
      </c>
      <c r="AA21" s="208">
        <f>_xlfn.IFS(Y21=0,0,Z21&lt;=Y21,Z21/Y21,Z21&gt;Y21,1)</f>
        <v>1</v>
      </c>
      <c r="AB21" s="1029">
        <v>150000</v>
      </c>
      <c r="AC21" s="1026">
        <v>5</v>
      </c>
      <c r="AD21" s="1027">
        <v>5</v>
      </c>
      <c r="AE21" s="208">
        <f>_xlfn.IFS(AC21=0,0,AD21&lt;=AC21,AD21/AC21,AD21&gt;AC21,1)</f>
        <v>1</v>
      </c>
      <c r="AF21" s="1029">
        <v>150000</v>
      </c>
      <c r="AG21" s="1026">
        <v>5</v>
      </c>
      <c r="AH21" s="1027">
        <v>5</v>
      </c>
      <c r="AI21" s="208">
        <f>_xlfn.IFS(AG21=0,0,AH21&lt;=AG21,AH21/AG21,AH21&gt;AG21,1)</f>
        <v>1</v>
      </c>
      <c r="AJ21" s="1029">
        <v>150000</v>
      </c>
      <c r="AK21" s="1026">
        <v>5</v>
      </c>
      <c r="AL21" s="1027">
        <v>5</v>
      </c>
      <c r="AM21" s="208">
        <f>_xlfn.IFS(AK21=0,0,AL21&lt;=AK21,AL21/AK21,AL21&gt;AK21,1)</f>
        <v>1</v>
      </c>
      <c r="AN21" s="1029">
        <v>150000</v>
      </c>
      <c r="AO21" s="1026">
        <v>5</v>
      </c>
      <c r="AP21" s="1027">
        <v>5</v>
      </c>
      <c r="AQ21" s="208">
        <f>_xlfn.IFS(AO21=0,0,AP21&lt;=AO21,AP21/AO21,AP21&gt;AO21,1)</f>
        <v>1</v>
      </c>
      <c r="AR21" s="1029">
        <v>150000</v>
      </c>
      <c r="AS21" s="1026">
        <v>5</v>
      </c>
      <c r="AT21" s="1027">
        <v>5</v>
      </c>
      <c r="AU21" s="208">
        <f>_xlfn.IFS(AS21=0,0,AT21&lt;=AS21,AT21/AS21,AT21&gt;AS21,1)</f>
        <v>1</v>
      </c>
      <c r="AV21" s="1029">
        <v>150000</v>
      </c>
      <c r="AW21" s="1026">
        <v>5</v>
      </c>
      <c r="AX21" s="1027">
        <v>5</v>
      </c>
      <c r="AY21" s="208">
        <f>_xlfn.IFS(AW21=0,0,AX21&lt;=AW21,AX21/AW21,AX21&gt;AW21,1)</f>
        <v>1</v>
      </c>
      <c r="AZ21" s="1029">
        <v>150000</v>
      </c>
      <c r="BA21" s="1026">
        <v>5</v>
      </c>
      <c r="BB21" s="1027">
        <v>5</v>
      </c>
      <c r="BC21" s="208">
        <f>_xlfn.IFS(BA21=0,0,BB21&lt;=BA21,BB21/BA21,BB21&gt;BA21,1)</f>
        <v>1</v>
      </c>
      <c r="BD21" s="1029">
        <v>150000</v>
      </c>
      <c r="BE21" s="1026">
        <v>5</v>
      </c>
      <c r="BF21" s="1027">
        <v>5</v>
      </c>
      <c r="BG21" s="208">
        <f>_xlfn.IFS(BE21=0,0,BF21&lt;=BE21,BF21/BE21,BF21&gt;BE21,1)</f>
        <v>1</v>
      </c>
      <c r="BH21" s="1029">
        <v>150000</v>
      </c>
      <c r="BI21" s="1026">
        <v>5</v>
      </c>
      <c r="BJ21" s="1027">
        <v>5</v>
      </c>
      <c r="BK21" s="208">
        <f>_xlfn.IFS(BI21=0,0,BJ21&lt;=BI21,BJ21/BI21,BJ21&gt;BI21,1)</f>
        <v>1</v>
      </c>
      <c r="BL21" s="1029">
        <v>150000</v>
      </c>
      <c r="BM21" s="1026">
        <v>5</v>
      </c>
      <c r="BN21" s="1027">
        <v>5</v>
      </c>
      <c r="BO21" s="208">
        <f>_xlfn.IFS(BM21=0,0,BN21&lt;=BM21,BN21/BM21,BN21&gt;BM21,1)</f>
        <v>1</v>
      </c>
      <c r="BP21" s="1029">
        <v>150000</v>
      </c>
      <c r="BQ21" s="1026">
        <v>5</v>
      </c>
      <c r="BR21" s="1027">
        <v>5</v>
      </c>
      <c r="BS21" s="208">
        <f>_xlfn.IFS(BQ21=0,0,BR21&lt;=BQ21,BR21/BQ21,BR21&gt;BQ21,1)</f>
        <v>1</v>
      </c>
      <c r="BT21" s="1029">
        <v>150000</v>
      </c>
      <c r="BU21" s="1026">
        <v>5</v>
      </c>
      <c r="BV21" s="1027">
        <v>5</v>
      </c>
      <c r="BW21" s="208">
        <f>_xlfn.IFS(BU21=0,0,BV21&lt;=BU21,BV21/BU21,BV21&gt;BU21,1)</f>
        <v>1</v>
      </c>
      <c r="BX21" s="1029">
        <v>150000</v>
      </c>
      <c r="BY21" s="1026">
        <v>5</v>
      </c>
      <c r="BZ21" s="1027">
        <v>5</v>
      </c>
      <c r="CA21" s="208">
        <f>_xlfn.IFS(BY21=0,0,BZ21&lt;=BY21,BZ21/BY21,BZ21&gt;BY21,1)</f>
        <v>1</v>
      </c>
      <c r="CB21" s="1029">
        <v>150000</v>
      </c>
      <c r="CC21" s="1026">
        <v>5</v>
      </c>
      <c r="CD21" s="1027">
        <v>5</v>
      </c>
      <c r="CE21" s="208">
        <f>_xlfn.IFS(CC21=0,0,CD21&lt;=CC21,CD21/CC21,CD21&gt;CC21,1)</f>
        <v>1</v>
      </c>
      <c r="CF21" s="1029">
        <v>150000</v>
      </c>
      <c r="CG21" s="1026">
        <v>5</v>
      </c>
      <c r="CH21" s="1027">
        <v>5</v>
      </c>
      <c r="CI21" s="208">
        <f>_xlfn.IFS(CG21=0,0,CH21&lt;=CG21,CH21/CG21,CH21&gt;CG21,1)</f>
        <v>1</v>
      </c>
      <c r="CJ21" s="1029">
        <v>150000</v>
      </c>
      <c r="CK21" s="1026">
        <v>5</v>
      </c>
      <c r="CL21" s="1027">
        <v>5</v>
      </c>
      <c r="CM21" s="208">
        <f>_xlfn.IFS(CK21=0,0,CL21&lt;=CK21,CL21/CK21,CL21&gt;CK21,1)</f>
        <v>1</v>
      </c>
      <c r="CN21" s="1029">
        <v>150000</v>
      </c>
      <c r="CO21" s="1026">
        <v>5</v>
      </c>
      <c r="CP21" s="1027">
        <v>5</v>
      </c>
      <c r="CQ21" s="208">
        <f>_xlfn.IFS(CO21=0,0,CP21&lt;=CO21,CP21/CO21,CP21&gt;CO21,1)</f>
        <v>1</v>
      </c>
      <c r="CR21" s="1029">
        <v>150000</v>
      </c>
      <c r="CS21" s="1026">
        <v>5</v>
      </c>
      <c r="CT21" s="1027">
        <v>5</v>
      </c>
      <c r="CU21" s="208">
        <f>_xlfn.IFS(CS21=0,0,CT21&lt;=CS21,CT21/CS21,CT21&gt;CS21,1)</f>
        <v>1</v>
      </c>
      <c r="CV21" s="1029">
        <v>150000</v>
      </c>
      <c r="CW21" s="1026">
        <v>5</v>
      </c>
      <c r="CX21" s="1027">
        <v>5</v>
      </c>
      <c r="CY21" s="208">
        <f>_xlfn.IFS(CW21=0,0,CX21&lt;=CW21,CX21/CW21,CX21&gt;CW21,1)</f>
        <v>1</v>
      </c>
      <c r="CZ21" s="1029">
        <v>150000</v>
      </c>
      <c r="DA21" s="1026">
        <v>5</v>
      </c>
      <c r="DB21" s="1027">
        <v>5</v>
      </c>
      <c r="DC21" s="208">
        <f>_xlfn.IFS(DA21=0,0,DB21&lt;=DA21,DB21/DA21,DB21&gt;DA21,1)</f>
        <v>1</v>
      </c>
      <c r="DD21" s="1029">
        <v>150000</v>
      </c>
      <c r="DE21" s="1026">
        <v>5</v>
      </c>
      <c r="DF21" s="1027">
        <v>5</v>
      </c>
      <c r="DG21" s="208">
        <f>_xlfn.IFS(DE21=0,0,DF21&lt;=DE21,DF21/DE21,DF21&gt;DE21,1)</f>
        <v>1</v>
      </c>
      <c r="DH21" s="1029">
        <v>150000</v>
      </c>
      <c r="DI21" s="1026">
        <v>5</v>
      </c>
      <c r="DJ21" s="1027">
        <v>5</v>
      </c>
      <c r="DK21" s="208">
        <f>_xlfn.IFS(DI21=0,0,DJ21&lt;=DI21,DJ21/DI21,DJ21&gt;DI21,1)</f>
        <v>1</v>
      </c>
      <c r="DL21" s="1029">
        <v>150000</v>
      </c>
      <c r="DM21" s="1026">
        <v>5</v>
      </c>
      <c r="DN21" s="1027">
        <v>5</v>
      </c>
      <c r="DO21" s="208">
        <f>_xlfn.IFS(DM21=0,0,DN21&lt;=DM21,DN21/DM21,DN21&gt;DM21,1)</f>
        <v>1</v>
      </c>
      <c r="DP21" s="1029">
        <v>150000</v>
      </c>
      <c r="DQ21" s="1026">
        <v>5</v>
      </c>
      <c r="DR21" s="1027">
        <v>5</v>
      </c>
      <c r="DS21" s="208">
        <f>_xlfn.IFS(DQ21=0,0,DR21&lt;=DQ21,DR21/DQ21,DR21&gt;DQ21,1)</f>
        <v>1</v>
      </c>
      <c r="DT21" s="1029">
        <v>150000</v>
      </c>
      <c r="DU21" s="1026">
        <v>5</v>
      </c>
      <c r="DV21" s="1027">
        <v>5</v>
      </c>
      <c r="DW21" s="208">
        <f>_xlfn.IFS(DU21=0,0,DV21&lt;=DU21,DV21/DU21,DV21&gt;DU21,1)</f>
        <v>1</v>
      </c>
      <c r="DX21" s="1029">
        <v>150000</v>
      </c>
      <c r="DY21" s="1026">
        <v>5</v>
      </c>
      <c r="DZ21" s="1027">
        <v>5</v>
      </c>
      <c r="EA21" s="208">
        <f>_xlfn.IFS(DY21=0,0,DZ21&lt;=DY21,DZ21/DY21,DZ21&gt;DY21,1)</f>
        <v>1</v>
      </c>
      <c r="EB21" s="1029">
        <v>150000</v>
      </c>
      <c r="EC21" s="1026">
        <v>5</v>
      </c>
      <c r="ED21" s="1027">
        <v>5</v>
      </c>
      <c r="EE21" s="208">
        <f>_xlfn.IFS(EC21=0,0,ED21&lt;=EC21,ED21/EC21,ED21&gt;EC21,1)</f>
        <v>1</v>
      </c>
      <c r="EF21" s="1029">
        <v>150000</v>
      </c>
    </row>
    <row r="22" spans="1:136" ht="20" customHeight="1" x14ac:dyDescent="0.15">
      <c r="A22" s="189">
        <f t="shared" ref="A22:A36" si="197">_xlfn.IFS(B22=0,0,E22&gt;B22,1,E22&lt;=B22,E22/B22)</f>
        <v>0</v>
      </c>
      <c r="B22" s="946"/>
      <c r="C22" s="970" t="s">
        <v>135</v>
      </c>
      <c r="D22" s="610">
        <f t="shared" ref="D22:D25" si="198">$D$20/5</f>
        <v>3000000</v>
      </c>
      <c r="E22" s="1082">
        <f t="shared" ref="E22:E31" si="199">SUMIF($M$13:$EF$13,$P$13,$M22:$EF22)</f>
        <v>4650000</v>
      </c>
      <c r="F22" s="610">
        <f t="shared" ref="F22:F31" si="200">E22-D22</f>
        <v>1650000</v>
      </c>
      <c r="G22" s="208">
        <f t="shared" ref="G22:G31" si="201">_xlfn.IFS(F22&gt;0,1,F22&lt;=0,E22/D22)</f>
        <v>1</v>
      </c>
      <c r="H22" s="208">
        <f t="shared" si="195"/>
        <v>1</v>
      </c>
      <c r="I22" s="954"/>
      <c r="J22" s="208">
        <f ca="1">SUMIFS($M22:$EF22,$M$11:$EF$11,TODAY()-1,$M$13:$EF$13,O$13)</f>
        <v>0</v>
      </c>
      <c r="K22" s="686"/>
      <c r="L22" s="605">
        <f t="shared" ca="1" si="196"/>
        <v>0</v>
      </c>
      <c r="M22" s="1026">
        <v>1</v>
      </c>
      <c r="N22" s="1027">
        <v>1</v>
      </c>
      <c r="O22" s="208">
        <f>_xlfn.IFS(M22=0,0,N22&lt;=M22,N22/M22,N22&gt;M22,1)</f>
        <v>1</v>
      </c>
      <c r="P22" s="1029">
        <v>150000</v>
      </c>
      <c r="Q22" s="1026">
        <v>1</v>
      </c>
      <c r="R22" s="1027">
        <v>1</v>
      </c>
      <c r="S22" s="208">
        <f t="shared" ref="S22:S25" si="202">_xlfn.IFS(Q22=0,0,R22&lt;=Q22,R22/Q22,R22&gt;Q22,1)</f>
        <v>1</v>
      </c>
      <c r="T22" s="1029">
        <v>150000</v>
      </c>
      <c r="U22" s="1026">
        <v>1</v>
      </c>
      <c r="V22" s="1027">
        <v>1</v>
      </c>
      <c r="W22" s="208">
        <f t="shared" ref="W22:W25" si="203">_xlfn.IFS(U22=0,0,V22&lt;=U22,V22/U22,V22&gt;U22,1)</f>
        <v>1</v>
      </c>
      <c r="X22" s="1029">
        <v>150000</v>
      </c>
      <c r="Y22" s="1026">
        <v>1</v>
      </c>
      <c r="Z22" s="1027">
        <v>1</v>
      </c>
      <c r="AA22" s="208">
        <f t="shared" ref="AA22:AA25" si="204">_xlfn.IFS(Y22=0,0,Z22&lt;=Y22,Z22/Y22,Z22&gt;Y22,1)</f>
        <v>1</v>
      </c>
      <c r="AB22" s="1029">
        <v>150000</v>
      </c>
      <c r="AC22" s="1026">
        <v>1</v>
      </c>
      <c r="AD22" s="1027">
        <v>1</v>
      </c>
      <c r="AE22" s="208">
        <f t="shared" ref="AE22:AE25" si="205">_xlfn.IFS(AC22=0,0,AD22&lt;=AC22,AD22/AC22,AD22&gt;AC22,1)</f>
        <v>1</v>
      </c>
      <c r="AF22" s="1029">
        <v>150000</v>
      </c>
      <c r="AG22" s="1026">
        <v>1</v>
      </c>
      <c r="AH22" s="1027">
        <v>1</v>
      </c>
      <c r="AI22" s="208">
        <f t="shared" ref="AI22:AI25" si="206">_xlfn.IFS(AG22=0,0,AH22&lt;=AG22,AH22/AG22,AH22&gt;AG22,1)</f>
        <v>1</v>
      </c>
      <c r="AJ22" s="1029">
        <v>150000</v>
      </c>
      <c r="AK22" s="1026">
        <v>1</v>
      </c>
      <c r="AL22" s="1027">
        <v>1</v>
      </c>
      <c r="AM22" s="208">
        <f t="shared" ref="AM22:AM25" si="207">_xlfn.IFS(AK22=0,0,AL22&lt;=AK22,AL22/AK22,AL22&gt;AK22,1)</f>
        <v>1</v>
      </c>
      <c r="AN22" s="1029">
        <v>150000</v>
      </c>
      <c r="AO22" s="1026">
        <v>1</v>
      </c>
      <c r="AP22" s="1027">
        <v>1</v>
      </c>
      <c r="AQ22" s="208">
        <f t="shared" ref="AQ22:AQ25" si="208">_xlfn.IFS(AO22=0,0,AP22&lt;=AO22,AP22/AO22,AP22&gt;AO22,1)</f>
        <v>1</v>
      </c>
      <c r="AR22" s="1029">
        <v>150000</v>
      </c>
      <c r="AS22" s="1026">
        <v>1</v>
      </c>
      <c r="AT22" s="1027">
        <v>1</v>
      </c>
      <c r="AU22" s="208">
        <f t="shared" ref="AU22:AU25" si="209">_xlfn.IFS(AS22=0,0,AT22&lt;=AS22,AT22/AS22,AT22&gt;AS22,1)</f>
        <v>1</v>
      </c>
      <c r="AV22" s="1029">
        <v>150000</v>
      </c>
      <c r="AW22" s="1026">
        <v>1</v>
      </c>
      <c r="AX22" s="1027">
        <v>1</v>
      </c>
      <c r="AY22" s="208">
        <f t="shared" ref="AY22:AY25" si="210">_xlfn.IFS(AW22=0,0,AX22&lt;=AW22,AX22/AW22,AX22&gt;AW22,1)</f>
        <v>1</v>
      </c>
      <c r="AZ22" s="1029">
        <v>150000</v>
      </c>
      <c r="BA22" s="1026">
        <v>1</v>
      </c>
      <c r="BB22" s="1027">
        <v>1</v>
      </c>
      <c r="BC22" s="208">
        <f t="shared" ref="BC22:BC25" si="211">_xlfn.IFS(BA22=0,0,BB22&lt;=BA22,BB22/BA22,BB22&gt;BA22,1)</f>
        <v>1</v>
      </c>
      <c r="BD22" s="1029">
        <v>150000</v>
      </c>
      <c r="BE22" s="1026">
        <v>1</v>
      </c>
      <c r="BF22" s="1027">
        <v>1</v>
      </c>
      <c r="BG22" s="208">
        <f t="shared" ref="BG22:BG25" si="212">_xlfn.IFS(BE22=0,0,BF22&lt;=BE22,BF22/BE22,BF22&gt;BE22,1)</f>
        <v>1</v>
      </c>
      <c r="BH22" s="1029">
        <v>150000</v>
      </c>
      <c r="BI22" s="1026">
        <v>1</v>
      </c>
      <c r="BJ22" s="1027">
        <v>1</v>
      </c>
      <c r="BK22" s="208">
        <f t="shared" ref="BK22:BK25" si="213">_xlfn.IFS(BI22=0,0,BJ22&lt;=BI22,BJ22/BI22,BJ22&gt;BI22,1)</f>
        <v>1</v>
      </c>
      <c r="BL22" s="1029">
        <v>150000</v>
      </c>
      <c r="BM22" s="1026">
        <v>1</v>
      </c>
      <c r="BN22" s="1027">
        <v>1</v>
      </c>
      <c r="BO22" s="208">
        <f t="shared" ref="BO22:BO25" si="214">_xlfn.IFS(BM22=0,0,BN22&lt;=BM22,BN22/BM22,BN22&gt;BM22,1)</f>
        <v>1</v>
      </c>
      <c r="BP22" s="1029">
        <v>150000</v>
      </c>
      <c r="BQ22" s="1026">
        <v>1</v>
      </c>
      <c r="BR22" s="1027">
        <v>1</v>
      </c>
      <c r="BS22" s="208">
        <f t="shared" ref="BS22:BS25" si="215">_xlfn.IFS(BQ22=0,0,BR22&lt;=BQ22,BR22/BQ22,BR22&gt;BQ22,1)</f>
        <v>1</v>
      </c>
      <c r="BT22" s="1029">
        <v>150000</v>
      </c>
      <c r="BU22" s="1026">
        <v>1</v>
      </c>
      <c r="BV22" s="1027">
        <v>1</v>
      </c>
      <c r="BW22" s="208">
        <f t="shared" ref="BW22:BW25" si="216">_xlfn.IFS(BU22=0,0,BV22&lt;=BU22,BV22/BU22,BV22&gt;BU22,1)</f>
        <v>1</v>
      </c>
      <c r="BX22" s="1029">
        <v>150000</v>
      </c>
      <c r="BY22" s="1026">
        <v>1</v>
      </c>
      <c r="BZ22" s="1027">
        <v>1</v>
      </c>
      <c r="CA22" s="208">
        <f t="shared" ref="CA22:CA25" si="217">_xlfn.IFS(BY22=0,0,BZ22&lt;=BY22,BZ22/BY22,BZ22&gt;BY22,1)</f>
        <v>1</v>
      </c>
      <c r="CB22" s="1029">
        <v>150000</v>
      </c>
      <c r="CC22" s="1026">
        <v>1</v>
      </c>
      <c r="CD22" s="1027">
        <v>1</v>
      </c>
      <c r="CE22" s="208">
        <f t="shared" ref="CE22:CE25" si="218">_xlfn.IFS(CC22=0,0,CD22&lt;=CC22,CD22/CC22,CD22&gt;CC22,1)</f>
        <v>1</v>
      </c>
      <c r="CF22" s="1029">
        <v>150000</v>
      </c>
      <c r="CG22" s="1026">
        <v>1</v>
      </c>
      <c r="CH22" s="1027">
        <v>1</v>
      </c>
      <c r="CI22" s="208">
        <f t="shared" ref="CI22:CI25" si="219">_xlfn.IFS(CG22=0,0,CH22&lt;=CG22,CH22/CG22,CH22&gt;CG22,1)</f>
        <v>1</v>
      </c>
      <c r="CJ22" s="1029">
        <v>150000</v>
      </c>
      <c r="CK22" s="1026">
        <v>1</v>
      </c>
      <c r="CL22" s="1027">
        <v>1</v>
      </c>
      <c r="CM22" s="208">
        <f t="shared" ref="CM22:CM25" si="220">_xlfn.IFS(CK22=0,0,CL22&lt;=CK22,CL22/CK22,CL22&gt;CK22,1)</f>
        <v>1</v>
      </c>
      <c r="CN22" s="1029">
        <v>150000</v>
      </c>
      <c r="CO22" s="1026">
        <v>1</v>
      </c>
      <c r="CP22" s="1027">
        <v>1</v>
      </c>
      <c r="CQ22" s="208">
        <f t="shared" ref="CQ22:CQ25" si="221">_xlfn.IFS(CO22=0,0,CP22&lt;=CO22,CP22/CO22,CP22&gt;CO22,1)</f>
        <v>1</v>
      </c>
      <c r="CR22" s="1029">
        <v>150000</v>
      </c>
      <c r="CS22" s="1026">
        <v>1</v>
      </c>
      <c r="CT22" s="1027">
        <v>1</v>
      </c>
      <c r="CU22" s="208">
        <f t="shared" ref="CU22:CU25" si="222">_xlfn.IFS(CS22=0,0,CT22&lt;=CS22,CT22/CS22,CT22&gt;CS22,1)</f>
        <v>1</v>
      </c>
      <c r="CV22" s="1029">
        <v>150000</v>
      </c>
      <c r="CW22" s="1026">
        <v>1</v>
      </c>
      <c r="CX22" s="1027">
        <v>1</v>
      </c>
      <c r="CY22" s="208">
        <f t="shared" ref="CY22:CY25" si="223">_xlfn.IFS(CW22=0,0,CX22&lt;=CW22,CX22/CW22,CX22&gt;CW22,1)</f>
        <v>1</v>
      </c>
      <c r="CZ22" s="1029">
        <v>150000</v>
      </c>
      <c r="DA22" s="1026">
        <v>1</v>
      </c>
      <c r="DB22" s="1027">
        <v>1</v>
      </c>
      <c r="DC22" s="208">
        <f t="shared" ref="DC22:DC25" si="224">_xlfn.IFS(DA22=0,0,DB22&lt;=DA22,DB22/DA22,DB22&gt;DA22,1)</f>
        <v>1</v>
      </c>
      <c r="DD22" s="1029">
        <v>150000</v>
      </c>
      <c r="DE22" s="1026">
        <v>1</v>
      </c>
      <c r="DF22" s="1027">
        <v>1</v>
      </c>
      <c r="DG22" s="208">
        <f t="shared" ref="DG22:DG25" si="225">_xlfn.IFS(DE22=0,0,DF22&lt;=DE22,DF22/DE22,DF22&gt;DE22,1)</f>
        <v>1</v>
      </c>
      <c r="DH22" s="1029">
        <v>150000</v>
      </c>
      <c r="DI22" s="1026">
        <v>1</v>
      </c>
      <c r="DJ22" s="1027">
        <v>1</v>
      </c>
      <c r="DK22" s="208">
        <f t="shared" ref="DK22:DK25" si="226">_xlfn.IFS(DI22=0,0,DJ22&lt;=DI22,DJ22/DI22,DJ22&gt;DI22,1)</f>
        <v>1</v>
      </c>
      <c r="DL22" s="1029">
        <v>150000</v>
      </c>
      <c r="DM22" s="1026">
        <v>1</v>
      </c>
      <c r="DN22" s="1027">
        <v>1</v>
      </c>
      <c r="DO22" s="208">
        <f t="shared" ref="DO22:DO25" si="227">_xlfn.IFS(DM22=0,0,DN22&lt;=DM22,DN22/DM22,DN22&gt;DM22,1)</f>
        <v>1</v>
      </c>
      <c r="DP22" s="1029">
        <v>150000</v>
      </c>
      <c r="DQ22" s="1026">
        <v>1</v>
      </c>
      <c r="DR22" s="1027">
        <v>1</v>
      </c>
      <c r="DS22" s="208">
        <f t="shared" ref="DS22:DS25" si="228">_xlfn.IFS(DQ22=0,0,DR22&lt;=DQ22,DR22/DQ22,DR22&gt;DQ22,1)</f>
        <v>1</v>
      </c>
      <c r="DT22" s="1029">
        <v>150000</v>
      </c>
      <c r="DU22" s="1026">
        <v>1</v>
      </c>
      <c r="DV22" s="1027">
        <v>1</v>
      </c>
      <c r="DW22" s="208">
        <f t="shared" ref="DW22:DW25" si="229">_xlfn.IFS(DU22=0,0,DV22&lt;=DU22,DV22/DU22,DV22&gt;DU22,1)</f>
        <v>1</v>
      </c>
      <c r="DX22" s="1029">
        <v>150000</v>
      </c>
      <c r="DY22" s="1026">
        <v>1</v>
      </c>
      <c r="DZ22" s="1027">
        <v>1</v>
      </c>
      <c r="EA22" s="208">
        <f t="shared" ref="EA22:EA25" si="230">_xlfn.IFS(DY22=0,0,DZ22&lt;=DY22,DZ22/DY22,DZ22&gt;DY22,1)</f>
        <v>1</v>
      </c>
      <c r="EB22" s="1029">
        <v>150000</v>
      </c>
      <c r="EC22" s="1026">
        <v>1</v>
      </c>
      <c r="ED22" s="1027">
        <v>1</v>
      </c>
      <c r="EE22" s="208">
        <f t="shared" ref="EE22:EE25" si="231">_xlfn.IFS(EC22=0,0,ED22&lt;=EC22,ED22/EC22,ED22&gt;EC22,1)</f>
        <v>1</v>
      </c>
      <c r="EF22" s="1029">
        <v>150000</v>
      </c>
    </row>
    <row r="23" spans="1:136" ht="20" customHeight="1" x14ac:dyDescent="0.15">
      <c r="A23" s="189">
        <f t="shared" si="197"/>
        <v>0</v>
      </c>
      <c r="B23" s="946"/>
      <c r="C23" s="971" t="s">
        <v>136</v>
      </c>
      <c r="D23" s="610">
        <f t="shared" si="198"/>
        <v>3000000</v>
      </c>
      <c r="E23" s="1082">
        <f t="shared" si="199"/>
        <v>4650000</v>
      </c>
      <c r="F23" s="610">
        <f t="shared" si="200"/>
        <v>1650000</v>
      </c>
      <c r="G23" s="208">
        <f t="shared" si="201"/>
        <v>1</v>
      </c>
      <c r="H23" s="208">
        <f t="shared" si="195"/>
        <v>1</v>
      </c>
      <c r="I23" s="954"/>
      <c r="J23" s="208">
        <f ca="1">SUMIFS($M23:$EF23,$M$11:$EF$11,TODAY()-1,$M$13:$EF$13,O$13)</f>
        <v>0</v>
      </c>
      <c r="K23" s="686"/>
      <c r="L23" s="605">
        <f t="shared" ca="1" si="196"/>
        <v>0</v>
      </c>
      <c r="M23" s="1026">
        <v>3</v>
      </c>
      <c r="N23" s="1027">
        <v>3</v>
      </c>
      <c r="O23" s="208">
        <f>_xlfn.IFS(M23=0,0,N23&lt;=M23,N23/M23,N23&gt;M23,1)</f>
        <v>1</v>
      </c>
      <c r="P23" s="1029">
        <v>150000</v>
      </c>
      <c r="Q23" s="1026">
        <v>3</v>
      </c>
      <c r="R23" s="1027">
        <v>3</v>
      </c>
      <c r="S23" s="208">
        <f t="shared" si="202"/>
        <v>1</v>
      </c>
      <c r="T23" s="1029">
        <v>150000</v>
      </c>
      <c r="U23" s="1026">
        <v>3</v>
      </c>
      <c r="V23" s="1027">
        <v>3</v>
      </c>
      <c r="W23" s="208">
        <f t="shared" si="203"/>
        <v>1</v>
      </c>
      <c r="X23" s="1029">
        <v>150000</v>
      </c>
      <c r="Y23" s="1026">
        <v>3</v>
      </c>
      <c r="Z23" s="1027">
        <v>3</v>
      </c>
      <c r="AA23" s="208">
        <f t="shared" si="204"/>
        <v>1</v>
      </c>
      <c r="AB23" s="1029">
        <v>150000</v>
      </c>
      <c r="AC23" s="1026">
        <v>3</v>
      </c>
      <c r="AD23" s="1027">
        <v>3</v>
      </c>
      <c r="AE23" s="208">
        <f t="shared" si="205"/>
        <v>1</v>
      </c>
      <c r="AF23" s="1029">
        <v>150000</v>
      </c>
      <c r="AG23" s="1026">
        <v>3</v>
      </c>
      <c r="AH23" s="1027">
        <v>3</v>
      </c>
      <c r="AI23" s="208">
        <f t="shared" si="206"/>
        <v>1</v>
      </c>
      <c r="AJ23" s="1029">
        <v>150000</v>
      </c>
      <c r="AK23" s="1026">
        <v>3</v>
      </c>
      <c r="AL23" s="1027">
        <v>3</v>
      </c>
      <c r="AM23" s="208">
        <f t="shared" si="207"/>
        <v>1</v>
      </c>
      <c r="AN23" s="1029">
        <v>150000</v>
      </c>
      <c r="AO23" s="1026">
        <v>3</v>
      </c>
      <c r="AP23" s="1027">
        <v>3</v>
      </c>
      <c r="AQ23" s="208">
        <f t="shared" si="208"/>
        <v>1</v>
      </c>
      <c r="AR23" s="1029">
        <v>150000</v>
      </c>
      <c r="AS23" s="1026">
        <v>3</v>
      </c>
      <c r="AT23" s="1027">
        <v>3</v>
      </c>
      <c r="AU23" s="208">
        <f t="shared" si="209"/>
        <v>1</v>
      </c>
      <c r="AV23" s="1029">
        <v>150000</v>
      </c>
      <c r="AW23" s="1026">
        <v>3</v>
      </c>
      <c r="AX23" s="1027">
        <v>3</v>
      </c>
      <c r="AY23" s="208">
        <f t="shared" si="210"/>
        <v>1</v>
      </c>
      <c r="AZ23" s="1029">
        <v>150000</v>
      </c>
      <c r="BA23" s="1026">
        <v>3</v>
      </c>
      <c r="BB23" s="1027">
        <v>3</v>
      </c>
      <c r="BC23" s="208">
        <f t="shared" si="211"/>
        <v>1</v>
      </c>
      <c r="BD23" s="1029">
        <v>150000</v>
      </c>
      <c r="BE23" s="1026">
        <v>3</v>
      </c>
      <c r="BF23" s="1027">
        <v>3</v>
      </c>
      <c r="BG23" s="208">
        <f t="shared" si="212"/>
        <v>1</v>
      </c>
      <c r="BH23" s="1029">
        <v>150000</v>
      </c>
      <c r="BI23" s="1026">
        <v>3</v>
      </c>
      <c r="BJ23" s="1027">
        <v>3</v>
      </c>
      <c r="BK23" s="208">
        <f t="shared" si="213"/>
        <v>1</v>
      </c>
      <c r="BL23" s="1029">
        <v>150000</v>
      </c>
      <c r="BM23" s="1026">
        <v>3</v>
      </c>
      <c r="BN23" s="1027">
        <v>3</v>
      </c>
      <c r="BO23" s="208">
        <f t="shared" si="214"/>
        <v>1</v>
      </c>
      <c r="BP23" s="1029">
        <v>150000</v>
      </c>
      <c r="BQ23" s="1026">
        <v>3</v>
      </c>
      <c r="BR23" s="1027">
        <v>3</v>
      </c>
      <c r="BS23" s="208">
        <f t="shared" si="215"/>
        <v>1</v>
      </c>
      <c r="BT23" s="1029">
        <v>150000</v>
      </c>
      <c r="BU23" s="1026">
        <v>3</v>
      </c>
      <c r="BV23" s="1027">
        <v>3</v>
      </c>
      <c r="BW23" s="208">
        <f t="shared" si="216"/>
        <v>1</v>
      </c>
      <c r="BX23" s="1029">
        <v>150000</v>
      </c>
      <c r="BY23" s="1026">
        <v>3</v>
      </c>
      <c r="BZ23" s="1027">
        <v>3</v>
      </c>
      <c r="CA23" s="208">
        <f t="shared" si="217"/>
        <v>1</v>
      </c>
      <c r="CB23" s="1029">
        <v>150000</v>
      </c>
      <c r="CC23" s="1026">
        <v>3</v>
      </c>
      <c r="CD23" s="1027">
        <v>3</v>
      </c>
      <c r="CE23" s="208">
        <f t="shared" si="218"/>
        <v>1</v>
      </c>
      <c r="CF23" s="1029">
        <v>150000</v>
      </c>
      <c r="CG23" s="1026">
        <v>3</v>
      </c>
      <c r="CH23" s="1027">
        <v>3</v>
      </c>
      <c r="CI23" s="208">
        <f t="shared" si="219"/>
        <v>1</v>
      </c>
      <c r="CJ23" s="1029">
        <v>150000</v>
      </c>
      <c r="CK23" s="1026">
        <v>3</v>
      </c>
      <c r="CL23" s="1027">
        <v>3</v>
      </c>
      <c r="CM23" s="208">
        <f t="shared" si="220"/>
        <v>1</v>
      </c>
      <c r="CN23" s="1029">
        <v>150000</v>
      </c>
      <c r="CO23" s="1026">
        <v>3</v>
      </c>
      <c r="CP23" s="1027">
        <v>3</v>
      </c>
      <c r="CQ23" s="208">
        <f t="shared" si="221"/>
        <v>1</v>
      </c>
      <c r="CR23" s="1029">
        <v>150000</v>
      </c>
      <c r="CS23" s="1026">
        <v>3</v>
      </c>
      <c r="CT23" s="1027">
        <v>3</v>
      </c>
      <c r="CU23" s="208">
        <f t="shared" si="222"/>
        <v>1</v>
      </c>
      <c r="CV23" s="1029">
        <v>150000</v>
      </c>
      <c r="CW23" s="1026">
        <v>3</v>
      </c>
      <c r="CX23" s="1027">
        <v>3</v>
      </c>
      <c r="CY23" s="208">
        <f t="shared" si="223"/>
        <v>1</v>
      </c>
      <c r="CZ23" s="1029">
        <v>150000</v>
      </c>
      <c r="DA23" s="1026">
        <v>3</v>
      </c>
      <c r="DB23" s="1027">
        <v>3</v>
      </c>
      <c r="DC23" s="208">
        <f t="shared" si="224"/>
        <v>1</v>
      </c>
      <c r="DD23" s="1029">
        <v>150000</v>
      </c>
      <c r="DE23" s="1026">
        <v>3</v>
      </c>
      <c r="DF23" s="1027">
        <v>3</v>
      </c>
      <c r="DG23" s="208">
        <f t="shared" si="225"/>
        <v>1</v>
      </c>
      <c r="DH23" s="1029">
        <v>150000</v>
      </c>
      <c r="DI23" s="1026">
        <v>3</v>
      </c>
      <c r="DJ23" s="1027">
        <v>3</v>
      </c>
      <c r="DK23" s="208">
        <f t="shared" si="226"/>
        <v>1</v>
      </c>
      <c r="DL23" s="1029">
        <v>150000</v>
      </c>
      <c r="DM23" s="1026">
        <v>3</v>
      </c>
      <c r="DN23" s="1027">
        <v>3</v>
      </c>
      <c r="DO23" s="208">
        <f t="shared" si="227"/>
        <v>1</v>
      </c>
      <c r="DP23" s="1029">
        <v>150000</v>
      </c>
      <c r="DQ23" s="1026">
        <v>3</v>
      </c>
      <c r="DR23" s="1027">
        <v>3</v>
      </c>
      <c r="DS23" s="208">
        <f t="shared" si="228"/>
        <v>1</v>
      </c>
      <c r="DT23" s="1029">
        <v>150000</v>
      </c>
      <c r="DU23" s="1026">
        <v>3</v>
      </c>
      <c r="DV23" s="1027">
        <v>3</v>
      </c>
      <c r="DW23" s="208">
        <f t="shared" si="229"/>
        <v>1</v>
      </c>
      <c r="DX23" s="1029">
        <v>150000</v>
      </c>
      <c r="DY23" s="1026">
        <v>3</v>
      </c>
      <c r="DZ23" s="1027">
        <v>3</v>
      </c>
      <c r="EA23" s="208">
        <f t="shared" si="230"/>
        <v>1</v>
      </c>
      <c r="EB23" s="1029">
        <v>150000</v>
      </c>
      <c r="EC23" s="1026">
        <v>3</v>
      </c>
      <c r="ED23" s="1027">
        <v>3</v>
      </c>
      <c r="EE23" s="208">
        <f t="shared" si="231"/>
        <v>1</v>
      </c>
      <c r="EF23" s="1029">
        <v>150000</v>
      </c>
    </row>
    <row r="24" spans="1:136" ht="20" customHeight="1" x14ac:dyDescent="0.15">
      <c r="A24" s="189">
        <f t="shared" si="197"/>
        <v>0</v>
      </c>
      <c r="B24" s="946"/>
      <c r="C24" s="971" t="s">
        <v>137</v>
      </c>
      <c r="D24" s="610">
        <f t="shared" si="198"/>
        <v>3000000</v>
      </c>
      <c r="E24" s="1082">
        <f t="shared" si="199"/>
        <v>4650000</v>
      </c>
      <c r="F24" s="610">
        <f t="shared" si="200"/>
        <v>1650000</v>
      </c>
      <c r="G24" s="208">
        <f t="shared" si="201"/>
        <v>1</v>
      </c>
      <c r="H24" s="208">
        <f t="shared" si="195"/>
        <v>1</v>
      </c>
      <c r="I24" s="954"/>
      <c r="J24" s="208">
        <f ca="1">SUMIFS($M24:$EF24,$M$11:$EF$11,TODAY()-1,$M$13:$EF$13,O$13)</f>
        <v>0</v>
      </c>
      <c r="K24" s="686"/>
      <c r="L24" s="605">
        <f t="shared" ca="1" si="196"/>
        <v>0</v>
      </c>
      <c r="M24" s="1026">
        <v>3</v>
      </c>
      <c r="N24" s="1027">
        <v>3</v>
      </c>
      <c r="O24" s="208">
        <f t="shared" ref="O24:O25" si="232">_xlfn.IFS(M24=0,0,N24&lt;=M24,N24/M24,N24&gt;M24,1)</f>
        <v>1</v>
      </c>
      <c r="P24" s="1029">
        <v>150000</v>
      </c>
      <c r="Q24" s="1026">
        <v>3</v>
      </c>
      <c r="R24" s="1027">
        <v>3</v>
      </c>
      <c r="S24" s="208">
        <f t="shared" si="202"/>
        <v>1</v>
      </c>
      <c r="T24" s="1029">
        <v>150000</v>
      </c>
      <c r="U24" s="1026">
        <v>3</v>
      </c>
      <c r="V24" s="1027">
        <v>3</v>
      </c>
      <c r="W24" s="208">
        <f t="shared" si="203"/>
        <v>1</v>
      </c>
      <c r="X24" s="1029">
        <v>150000</v>
      </c>
      <c r="Y24" s="1026">
        <v>3</v>
      </c>
      <c r="Z24" s="1027">
        <v>3</v>
      </c>
      <c r="AA24" s="208">
        <f t="shared" si="204"/>
        <v>1</v>
      </c>
      <c r="AB24" s="1029">
        <v>150000</v>
      </c>
      <c r="AC24" s="1026">
        <v>3</v>
      </c>
      <c r="AD24" s="1027">
        <v>3</v>
      </c>
      <c r="AE24" s="208">
        <f t="shared" si="205"/>
        <v>1</v>
      </c>
      <c r="AF24" s="1029">
        <v>150000</v>
      </c>
      <c r="AG24" s="1026">
        <v>3</v>
      </c>
      <c r="AH24" s="1027">
        <v>3</v>
      </c>
      <c r="AI24" s="208">
        <f t="shared" si="206"/>
        <v>1</v>
      </c>
      <c r="AJ24" s="1029">
        <v>150000</v>
      </c>
      <c r="AK24" s="1026">
        <v>3</v>
      </c>
      <c r="AL24" s="1027">
        <v>3</v>
      </c>
      <c r="AM24" s="208">
        <f t="shared" si="207"/>
        <v>1</v>
      </c>
      <c r="AN24" s="1029">
        <v>150000</v>
      </c>
      <c r="AO24" s="1026">
        <v>3</v>
      </c>
      <c r="AP24" s="1027">
        <v>3</v>
      </c>
      <c r="AQ24" s="208">
        <f t="shared" si="208"/>
        <v>1</v>
      </c>
      <c r="AR24" s="1029">
        <v>150000</v>
      </c>
      <c r="AS24" s="1026">
        <v>3</v>
      </c>
      <c r="AT24" s="1027">
        <v>3</v>
      </c>
      <c r="AU24" s="208">
        <f t="shared" si="209"/>
        <v>1</v>
      </c>
      <c r="AV24" s="1029">
        <v>150000</v>
      </c>
      <c r="AW24" s="1026">
        <v>3</v>
      </c>
      <c r="AX24" s="1027">
        <v>3</v>
      </c>
      <c r="AY24" s="208">
        <f t="shared" si="210"/>
        <v>1</v>
      </c>
      <c r="AZ24" s="1029">
        <v>150000</v>
      </c>
      <c r="BA24" s="1026">
        <v>3</v>
      </c>
      <c r="BB24" s="1027">
        <v>3</v>
      </c>
      <c r="BC24" s="208">
        <f t="shared" si="211"/>
        <v>1</v>
      </c>
      <c r="BD24" s="1029">
        <v>150000</v>
      </c>
      <c r="BE24" s="1026">
        <v>3</v>
      </c>
      <c r="BF24" s="1027">
        <v>3</v>
      </c>
      <c r="BG24" s="208">
        <f t="shared" si="212"/>
        <v>1</v>
      </c>
      <c r="BH24" s="1029">
        <v>150000</v>
      </c>
      <c r="BI24" s="1026">
        <v>3</v>
      </c>
      <c r="BJ24" s="1027">
        <v>3</v>
      </c>
      <c r="BK24" s="208">
        <f t="shared" si="213"/>
        <v>1</v>
      </c>
      <c r="BL24" s="1029">
        <v>150000</v>
      </c>
      <c r="BM24" s="1026">
        <v>3</v>
      </c>
      <c r="BN24" s="1027">
        <v>3</v>
      </c>
      <c r="BO24" s="208">
        <f t="shared" si="214"/>
        <v>1</v>
      </c>
      <c r="BP24" s="1029">
        <v>150000</v>
      </c>
      <c r="BQ24" s="1026">
        <v>3</v>
      </c>
      <c r="BR24" s="1027">
        <v>3</v>
      </c>
      <c r="BS24" s="208">
        <f t="shared" si="215"/>
        <v>1</v>
      </c>
      <c r="BT24" s="1029">
        <v>150000</v>
      </c>
      <c r="BU24" s="1026">
        <v>3</v>
      </c>
      <c r="BV24" s="1027">
        <v>3</v>
      </c>
      <c r="BW24" s="208">
        <f t="shared" si="216"/>
        <v>1</v>
      </c>
      <c r="BX24" s="1029">
        <v>150000</v>
      </c>
      <c r="BY24" s="1026">
        <v>3</v>
      </c>
      <c r="BZ24" s="1027">
        <v>3</v>
      </c>
      <c r="CA24" s="208">
        <f t="shared" si="217"/>
        <v>1</v>
      </c>
      <c r="CB24" s="1029">
        <v>150000</v>
      </c>
      <c r="CC24" s="1026">
        <v>3</v>
      </c>
      <c r="CD24" s="1027">
        <v>3</v>
      </c>
      <c r="CE24" s="208">
        <f t="shared" si="218"/>
        <v>1</v>
      </c>
      <c r="CF24" s="1029">
        <v>150000</v>
      </c>
      <c r="CG24" s="1026">
        <v>3</v>
      </c>
      <c r="CH24" s="1027">
        <v>3</v>
      </c>
      <c r="CI24" s="208">
        <f t="shared" si="219"/>
        <v>1</v>
      </c>
      <c r="CJ24" s="1029">
        <v>150000</v>
      </c>
      <c r="CK24" s="1026">
        <v>3</v>
      </c>
      <c r="CL24" s="1027">
        <v>3</v>
      </c>
      <c r="CM24" s="208">
        <f t="shared" si="220"/>
        <v>1</v>
      </c>
      <c r="CN24" s="1029">
        <v>150000</v>
      </c>
      <c r="CO24" s="1026">
        <v>3</v>
      </c>
      <c r="CP24" s="1027">
        <v>3</v>
      </c>
      <c r="CQ24" s="208">
        <f t="shared" si="221"/>
        <v>1</v>
      </c>
      <c r="CR24" s="1029">
        <v>150000</v>
      </c>
      <c r="CS24" s="1026">
        <v>3</v>
      </c>
      <c r="CT24" s="1027">
        <v>3</v>
      </c>
      <c r="CU24" s="208">
        <f t="shared" si="222"/>
        <v>1</v>
      </c>
      <c r="CV24" s="1029">
        <v>150000</v>
      </c>
      <c r="CW24" s="1026">
        <v>3</v>
      </c>
      <c r="CX24" s="1027">
        <v>3</v>
      </c>
      <c r="CY24" s="208">
        <f t="shared" si="223"/>
        <v>1</v>
      </c>
      <c r="CZ24" s="1029">
        <v>150000</v>
      </c>
      <c r="DA24" s="1026">
        <v>3</v>
      </c>
      <c r="DB24" s="1027">
        <v>3</v>
      </c>
      <c r="DC24" s="208">
        <f t="shared" si="224"/>
        <v>1</v>
      </c>
      <c r="DD24" s="1029">
        <v>150000</v>
      </c>
      <c r="DE24" s="1026">
        <v>3</v>
      </c>
      <c r="DF24" s="1027">
        <v>3</v>
      </c>
      <c r="DG24" s="208">
        <f t="shared" si="225"/>
        <v>1</v>
      </c>
      <c r="DH24" s="1029">
        <v>150000</v>
      </c>
      <c r="DI24" s="1026">
        <v>3</v>
      </c>
      <c r="DJ24" s="1027">
        <v>3</v>
      </c>
      <c r="DK24" s="208">
        <f t="shared" si="226"/>
        <v>1</v>
      </c>
      <c r="DL24" s="1029">
        <v>150000</v>
      </c>
      <c r="DM24" s="1026">
        <v>3</v>
      </c>
      <c r="DN24" s="1027">
        <v>3</v>
      </c>
      <c r="DO24" s="208">
        <f t="shared" si="227"/>
        <v>1</v>
      </c>
      <c r="DP24" s="1029">
        <v>150000</v>
      </c>
      <c r="DQ24" s="1026">
        <v>3</v>
      </c>
      <c r="DR24" s="1027">
        <v>3</v>
      </c>
      <c r="DS24" s="208">
        <f t="shared" si="228"/>
        <v>1</v>
      </c>
      <c r="DT24" s="1029">
        <v>150000</v>
      </c>
      <c r="DU24" s="1026">
        <v>3</v>
      </c>
      <c r="DV24" s="1027">
        <v>3</v>
      </c>
      <c r="DW24" s="208">
        <f t="shared" si="229"/>
        <v>1</v>
      </c>
      <c r="DX24" s="1029">
        <v>150000</v>
      </c>
      <c r="DY24" s="1026">
        <v>3</v>
      </c>
      <c r="DZ24" s="1027">
        <v>3</v>
      </c>
      <c r="EA24" s="208">
        <f t="shared" si="230"/>
        <v>1</v>
      </c>
      <c r="EB24" s="1029">
        <v>150000</v>
      </c>
      <c r="EC24" s="1026">
        <v>3</v>
      </c>
      <c r="ED24" s="1027">
        <v>3</v>
      </c>
      <c r="EE24" s="208">
        <f t="shared" si="231"/>
        <v>1</v>
      </c>
      <c r="EF24" s="1029">
        <v>150000</v>
      </c>
    </row>
    <row r="25" spans="1:136" ht="20" customHeight="1" x14ac:dyDescent="0.15">
      <c r="A25" s="189">
        <f t="shared" si="197"/>
        <v>0</v>
      </c>
      <c r="B25" s="946"/>
      <c r="C25" s="971" t="s">
        <v>138</v>
      </c>
      <c r="D25" s="610">
        <f t="shared" si="198"/>
        <v>3000000</v>
      </c>
      <c r="E25" s="1082">
        <f t="shared" si="199"/>
        <v>4650000</v>
      </c>
      <c r="F25" s="610">
        <f t="shared" si="200"/>
        <v>1650000</v>
      </c>
      <c r="G25" s="208">
        <f t="shared" si="201"/>
        <v>1</v>
      </c>
      <c r="H25" s="208">
        <f t="shared" si="195"/>
        <v>1</v>
      </c>
      <c r="I25" s="954"/>
      <c r="J25" s="208">
        <f ca="1">SUMIFS($M25:$EF25,$M$11:$EF$11,TODAY()-1,$M$13:$EF$13,O$13)</f>
        <v>0</v>
      </c>
      <c r="K25" s="686"/>
      <c r="L25" s="605">
        <f t="shared" ca="1" si="196"/>
        <v>0</v>
      </c>
      <c r="M25" s="1026">
        <v>3</v>
      </c>
      <c r="N25" s="1027">
        <v>3</v>
      </c>
      <c r="O25" s="208">
        <f t="shared" si="232"/>
        <v>1</v>
      </c>
      <c r="P25" s="1029">
        <v>150000</v>
      </c>
      <c r="Q25" s="1026">
        <v>3</v>
      </c>
      <c r="R25" s="1027">
        <v>3</v>
      </c>
      <c r="S25" s="208">
        <f t="shared" si="202"/>
        <v>1</v>
      </c>
      <c r="T25" s="1029">
        <v>150000</v>
      </c>
      <c r="U25" s="1026">
        <v>3</v>
      </c>
      <c r="V25" s="1027">
        <v>3</v>
      </c>
      <c r="W25" s="208">
        <f t="shared" si="203"/>
        <v>1</v>
      </c>
      <c r="X25" s="1029">
        <v>150000</v>
      </c>
      <c r="Y25" s="1026">
        <v>3</v>
      </c>
      <c r="Z25" s="1027">
        <v>3</v>
      </c>
      <c r="AA25" s="208">
        <f t="shared" si="204"/>
        <v>1</v>
      </c>
      <c r="AB25" s="1029">
        <v>150000</v>
      </c>
      <c r="AC25" s="1026">
        <v>3</v>
      </c>
      <c r="AD25" s="1027">
        <v>3</v>
      </c>
      <c r="AE25" s="208">
        <f t="shared" si="205"/>
        <v>1</v>
      </c>
      <c r="AF25" s="1029">
        <v>150000</v>
      </c>
      <c r="AG25" s="1026">
        <v>3</v>
      </c>
      <c r="AH25" s="1027">
        <v>3</v>
      </c>
      <c r="AI25" s="208">
        <f t="shared" si="206"/>
        <v>1</v>
      </c>
      <c r="AJ25" s="1029">
        <v>150000</v>
      </c>
      <c r="AK25" s="1026">
        <v>3</v>
      </c>
      <c r="AL25" s="1027">
        <v>3</v>
      </c>
      <c r="AM25" s="208">
        <f t="shared" si="207"/>
        <v>1</v>
      </c>
      <c r="AN25" s="1029">
        <v>150000</v>
      </c>
      <c r="AO25" s="1026">
        <v>3</v>
      </c>
      <c r="AP25" s="1027">
        <v>3</v>
      </c>
      <c r="AQ25" s="208">
        <f t="shared" si="208"/>
        <v>1</v>
      </c>
      <c r="AR25" s="1029">
        <v>150000</v>
      </c>
      <c r="AS25" s="1026">
        <v>3</v>
      </c>
      <c r="AT25" s="1027">
        <v>3</v>
      </c>
      <c r="AU25" s="208">
        <f t="shared" si="209"/>
        <v>1</v>
      </c>
      <c r="AV25" s="1029">
        <v>150000</v>
      </c>
      <c r="AW25" s="1026">
        <v>3</v>
      </c>
      <c r="AX25" s="1027">
        <v>3</v>
      </c>
      <c r="AY25" s="208">
        <f t="shared" si="210"/>
        <v>1</v>
      </c>
      <c r="AZ25" s="1029">
        <v>150000</v>
      </c>
      <c r="BA25" s="1026">
        <v>3</v>
      </c>
      <c r="BB25" s="1027">
        <v>3</v>
      </c>
      <c r="BC25" s="208">
        <f t="shared" si="211"/>
        <v>1</v>
      </c>
      <c r="BD25" s="1029">
        <v>150000</v>
      </c>
      <c r="BE25" s="1026">
        <v>3</v>
      </c>
      <c r="BF25" s="1027">
        <v>3</v>
      </c>
      <c r="BG25" s="208">
        <f t="shared" si="212"/>
        <v>1</v>
      </c>
      <c r="BH25" s="1029">
        <v>150000</v>
      </c>
      <c r="BI25" s="1026">
        <v>3</v>
      </c>
      <c r="BJ25" s="1027">
        <v>3</v>
      </c>
      <c r="BK25" s="208">
        <f t="shared" si="213"/>
        <v>1</v>
      </c>
      <c r="BL25" s="1029">
        <v>150000</v>
      </c>
      <c r="BM25" s="1026">
        <v>3</v>
      </c>
      <c r="BN25" s="1027">
        <v>3</v>
      </c>
      <c r="BO25" s="208">
        <f t="shared" si="214"/>
        <v>1</v>
      </c>
      <c r="BP25" s="1029">
        <v>150000</v>
      </c>
      <c r="BQ25" s="1026">
        <v>3</v>
      </c>
      <c r="BR25" s="1027">
        <v>3</v>
      </c>
      <c r="BS25" s="208">
        <f t="shared" si="215"/>
        <v>1</v>
      </c>
      <c r="BT25" s="1029">
        <v>150000</v>
      </c>
      <c r="BU25" s="1026">
        <v>3</v>
      </c>
      <c r="BV25" s="1027">
        <v>3</v>
      </c>
      <c r="BW25" s="208">
        <f t="shared" si="216"/>
        <v>1</v>
      </c>
      <c r="BX25" s="1029">
        <v>150000</v>
      </c>
      <c r="BY25" s="1026">
        <v>3</v>
      </c>
      <c r="BZ25" s="1027">
        <v>3</v>
      </c>
      <c r="CA25" s="208">
        <f t="shared" si="217"/>
        <v>1</v>
      </c>
      <c r="CB25" s="1029">
        <v>150000</v>
      </c>
      <c r="CC25" s="1026">
        <v>3</v>
      </c>
      <c r="CD25" s="1027">
        <v>3</v>
      </c>
      <c r="CE25" s="208">
        <f t="shared" si="218"/>
        <v>1</v>
      </c>
      <c r="CF25" s="1029">
        <v>150000</v>
      </c>
      <c r="CG25" s="1026">
        <v>3</v>
      </c>
      <c r="CH25" s="1027">
        <v>3</v>
      </c>
      <c r="CI25" s="208">
        <f t="shared" si="219"/>
        <v>1</v>
      </c>
      <c r="CJ25" s="1029">
        <v>150000</v>
      </c>
      <c r="CK25" s="1026">
        <v>3</v>
      </c>
      <c r="CL25" s="1027">
        <v>3</v>
      </c>
      <c r="CM25" s="208">
        <f t="shared" si="220"/>
        <v>1</v>
      </c>
      <c r="CN25" s="1029">
        <v>150000</v>
      </c>
      <c r="CO25" s="1026">
        <v>3</v>
      </c>
      <c r="CP25" s="1027">
        <v>3</v>
      </c>
      <c r="CQ25" s="208">
        <f t="shared" si="221"/>
        <v>1</v>
      </c>
      <c r="CR25" s="1029">
        <v>150000</v>
      </c>
      <c r="CS25" s="1026">
        <v>3</v>
      </c>
      <c r="CT25" s="1027">
        <v>3</v>
      </c>
      <c r="CU25" s="208">
        <f t="shared" si="222"/>
        <v>1</v>
      </c>
      <c r="CV25" s="1029">
        <v>150000</v>
      </c>
      <c r="CW25" s="1026">
        <v>3</v>
      </c>
      <c r="CX25" s="1027">
        <v>3</v>
      </c>
      <c r="CY25" s="208">
        <f t="shared" si="223"/>
        <v>1</v>
      </c>
      <c r="CZ25" s="1029">
        <v>150000</v>
      </c>
      <c r="DA25" s="1026">
        <v>3</v>
      </c>
      <c r="DB25" s="1027">
        <v>3</v>
      </c>
      <c r="DC25" s="208">
        <f t="shared" si="224"/>
        <v>1</v>
      </c>
      <c r="DD25" s="1029">
        <v>150000</v>
      </c>
      <c r="DE25" s="1026">
        <v>3</v>
      </c>
      <c r="DF25" s="1027">
        <v>3</v>
      </c>
      <c r="DG25" s="208">
        <f t="shared" si="225"/>
        <v>1</v>
      </c>
      <c r="DH25" s="1029">
        <v>150000</v>
      </c>
      <c r="DI25" s="1026">
        <v>3</v>
      </c>
      <c r="DJ25" s="1027">
        <v>3</v>
      </c>
      <c r="DK25" s="208">
        <f t="shared" si="226"/>
        <v>1</v>
      </c>
      <c r="DL25" s="1029">
        <v>150000</v>
      </c>
      <c r="DM25" s="1026">
        <v>3</v>
      </c>
      <c r="DN25" s="1027">
        <v>3</v>
      </c>
      <c r="DO25" s="208">
        <f t="shared" si="227"/>
        <v>1</v>
      </c>
      <c r="DP25" s="1029">
        <v>150000</v>
      </c>
      <c r="DQ25" s="1026">
        <v>3</v>
      </c>
      <c r="DR25" s="1027">
        <v>3</v>
      </c>
      <c r="DS25" s="208">
        <f t="shared" si="228"/>
        <v>1</v>
      </c>
      <c r="DT25" s="1029">
        <v>150000</v>
      </c>
      <c r="DU25" s="1026">
        <v>3</v>
      </c>
      <c r="DV25" s="1027">
        <v>3</v>
      </c>
      <c r="DW25" s="208">
        <f t="shared" si="229"/>
        <v>1</v>
      </c>
      <c r="DX25" s="1029">
        <v>150000</v>
      </c>
      <c r="DY25" s="1026">
        <v>3</v>
      </c>
      <c r="DZ25" s="1027">
        <v>3</v>
      </c>
      <c r="EA25" s="208">
        <f t="shared" si="230"/>
        <v>1</v>
      </c>
      <c r="EB25" s="1029">
        <v>150000</v>
      </c>
      <c r="EC25" s="1026">
        <v>3</v>
      </c>
      <c r="ED25" s="1027">
        <v>3</v>
      </c>
      <c r="EE25" s="208">
        <f t="shared" si="231"/>
        <v>1</v>
      </c>
      <c r="EF25" s="1029">
        <v>150000</v>
      </c>
    </row>
    <row r="26" spans="1:136" ht="20" customHeight="1" x14ac:dyDescent="0.15">
      <c r="A26" s="870">
        <f t="shared" si="197"/>
        <v>0</v>
      </c>
      <c r="B26" s="947"/>
      <c r="C26" s="942" t="str">
        <f>Dashboard!K97</f>
        <v>LANDING PAGE</v>
      </c>
      <c r="D26" s="686">
        <f>Dashboard!U97</f>
        <v>75000000</v>
      </c>
      <c r="E26" s="1065">
        <f>SUMIF($M$13:$EF$13,$P$13,$M26:$EF26)</f>
        <v>15500000</v>
      </c>
      <c r="F26" s="686">
        <f t="shared" si="200"/>
        <v>-59500000</v>
      </c>
      <c r="G26" s="788">
        <f>_xlfn.IFS(F26&gt;0,1,F26&lt;=0,E26/D26)</f>
        <v>0.20666666666666667</v>
      </c>
      <c r="H26" s="788">
        <f>IF(SUMIF(M$13:EF$13,$O$13,M26:EF26)&gt;0,AVERAGEIFS(M26:EF26,M26:EF26,"&gt;0",M$13:EF$13,$O$13),"NO NEW ORDER")</f>
        <v>0.76666666666666605</v>
      </c>
      <c r="I26" s="788">
        <f>Dashboard!M118</f>
        <v>0.16041666666666665</v>
      </c>
      <c r="J26" s="1109">
        <f ca="1">IF(SUM(J27:J31)&gt;0,AVERAGEIF(J27:J31,"&gt;0"),0)</f>
        <v>0</v>
      </c>
      <c r="K26" s="984">
        <f>D26/'Action Plan'!$C$6</f>
        <v>2884615.3846153845</v>
      </c>
      <c r="L26" s="933">
        <f t="shared" ca="1" si="196"/>
        <v>0</v>
      </c>
      <c r="M26" s="900">
        <f>SUM(M27:M31)</f>
        <v>15</v>
      </c>
      <c r="N26" s="905">
        <f>SUM(N27:N31)</f>
        <v>12</v>
      </c>
      <c r="O26" s="860">
        <f>IF(SUM(O27:O31)&gt;0,AVERAGEIF(O27:O31,"&gt;0"),0)</f>
        <v>0.76666666666666661</v>
      </c>
      <c r="P26" s="896">
        <f>SUM(P27:P31)</f>
        <v>500000</v>
      </c>
      <c r="Q26" s="900">
        <f>SUM(Q27:Q31)</f>
        <v>15</v>
      </c>
      <c r="R26" s="905">
        <f>SUM(R27:R31)</f>
        <v>12</v>
      </c>
      <c r="S26" s="860">
        <f>IF(SUM(S27:S31)&gt;0,AVERAGEIF(S27:S31,"&gt;0"),0)</f>
        <v>0.76666666666666661</v>
      </c>
      <c r="T26" s="896">
        <f>SUM(T27:T31)</f>
        <v>500000</v>
      </c>
      <c r="U26" s="900">
        <f>SUM(U27:U31)</f>
        <v>15</v>
      </c>
      <c r="V26" s="905">
        <f>SUM(V27:V31)</f>
        <v>12</v>
      </c>
      <c r="W26" s="860">
        <f>IF(SUM(W27:W31)&gt;0,AVERAGEIF(W27:W31,"&gt;0"),0)</f>
        <v>0.76666666666666661</v>
      </c>
      <c r="X26" s="896">
        <f>SUM(X27:X31)</f>
        <v>500000</v>
      </c>
      <c r="Y26" s="900">
        <f>SUM(Y27:Y31)</f>
        <v>15</v>
      </c>
      <c r="Z26" s="905">
        <f>SUM(Z27:Z31)</f>
        <v>12</v>
      </c>
      <c r="AA26" s="860">
        <f>IF(SUM(AA27:AA31)&gt;0,AVERAGEIF(AA27:AA31,"&gt;0"),0)</f>
        <v>0.76666666666666661</v>
      </c>
      <c r="AB26" s="896">
        <f>SUM(AB27:AB31)</f>
        <v>500000</v>
      </c>
      <c r="AC26" s="900">
        <f>SUM(AC27:AC31)</f>
        <v>15</v>
      </c>
      <c r="AD26" s="905">
        <f>SUM(AD27:AD31)</f>
        <v>12</v>
      </c>
      <c r="AE26" s="860">
        <f>IF(SUM(AE27:AE31)&gt;0,AVERAGEIF(AE27:AE31,"&gt;0"),0)</f>
        <v>0.76666666666666661</v>
      </c>
      <c r="AF26" s="896">
        <f>SUM(AF27:AF31)</f>
        <v>500000</v>
      </c>
      <c r="AG26" s="900">
        <f>SUM(AG27:AG31)</f>
        <v>15</v>
      </c>
      <c r="AH26" s="905">
        <f>SUM(AH27:AH31)</f>
        <v>12</v>
      </c>
      <c r="AI26" s="860">
        <f>IF(SUM(AI27:AI31)&gt;0,AVERAGEIF(AI27:AI31,"&gt;0"),0)</f>
        <v>0.76666666666666661</v>
      </c>
      <c r="AJ26" s="896">
        <f>SUM(AJ27:AJ31)</f>
        <v>500000</v>
      </c>
      <c r="AK26" s="900">
        <f>SUM(AK27:AK31)</f>
        <v>15</v>
      </c>
      <c r="AL26" s="905">
        <f>SUM(AL27:AL31)</f>
        <v>12</v>
      </c>
      <c r="AM26" s="860">
        <f>IF(SUM(AM27:AM31)&gt;0,AVERAGEIF(AM27:AM31,"&gt;0"),0)</f>
        <v>0.76666666666666661</v>
      </c>
      <c r="AN26" s="896">
        <f>SUM(AN27:AN31)</f>
        <v>500000</v>
      </c>
      <c r="AO26" s="900">
        <f>SUM(AO27:AO31)</f>
        <v>15</v>
      </c>
      <c r="AP26" s="905">
        <f>SUM(AP27:AP31)</f>
        <v>12</v>
      </c>
      <c r="AQ26" s="860">
        <f>IF(SUM(AQ27:AQ31)&gt;0,AVERAGEIF(AQ27:AQ31,"&gt;0"),0)</f>
        <v>0.76666666666666661</v>
      </c>
      <c r="AR26" s="896">
        <f>SUM(AR27:AR31)</f>
        <v>500000</v>
      </c>
      <c r="AS26" s="900">
        <f>SUM(AS27:AS31)</f>
        <v>15</v>
      </c>
      <c r="AT26" s="905">
        <f>SUM(AT27:AT31)</f>
        <v>12</v>
      </c>
      <c r="AU26" s="860">
        <f>IF(SUM(AU27:AU31)&gt;0,AVERAGEIF(AU27:AU31,"&gt;0"),0)</f>
        <v>0.76666666666666661</v>
      </c>
      <c r="AV26" s="896">
        <f>SUM(AV27:AV31)</f>
        <v>500000</v>
      </c>
      <c r="AW26" s="900">
        <f>SUM(AW27:AW31)</f>
        <v>15</v>
      </c>
      <c r="AX26" s="905">
        <f>SUM(AX27:AX31)</f>
        <v>12</v>
      </c>
      <c r="AY26" s="860">
        <f>IF(SUM(AY27:AY31)&gt;0,AVERAGEIF(AY27:AY31,"&gt;0"),0)</f>
        <v>0.76666666666666661</v>
      </c>
      <c r="AZ26" s="896">
        <f>SUM(AZ27:AZ31)</f>
        <v>500000</v>
      </c>
      <c r="BA26" s="900">
        <f>SUM(BA27:BA31)</f>
        <v>15</v>
      </c>
      <c r="BB26" s="905">
        <f>SUM(BB27:BB31)</f>
        <v>12</v>
      </c>
      <c r="BC26" s="860">
        <f>IF(SUM(BC27:BC31)&gt;0,AVERAGEIF(BC27:BC31,"&gt;0"),0)</f>
        <v>0.76666666666666661</v>
      </c>
      <c r="BD26" s="896">
        <f>SUM(BD27:BD31)</f>
        <v>500000</v>
      </c>
      <c r="BE26" s="900">
        <f>SUM(BE27:BE31)</f>
        <v>15</v>
      </c>
      <c r="BF26" s="905">
        <f>SUM(BF27:BF31)</f>
        <v>12</v>
      </c>
      <c r="BG26" s="860">
        <f>IF(SUM(BG27:BG31)&gt;0,AVERAGEIF(BG27:BG31,"&gt;0"),0)</f>
        <v>0.76666666666666661</v>
      </c>
      <c r="BH26" s="896">
        <f>SUM(BH27:BH31)</f>
        <v>500000</v>
      </c>
      <c r="BI26" s="900">
        <f>SUM(BI27:BI31)</f>
        <v>15</v>
      </c>
      <c r="BJ26" s="905">
        <f>SUM(BJ27:BJ31)</f>
        <v>12</v>
      </c>
      <c r="BK26" s="860">
        <f>IF(SUM(BK27:BK31)&gt;0,AVERAGEIF(BK27:BK31,"&gt;0"),0)</f>
        <v>0.76666666666666661</v>
      </c>
      <c r="BL26" s="896">
        <f>SUM(BL27:BL31)</f>
        <v>500000</v>
      </c>
      <c r="BM26" s="900">
        <f>SUM(BM27:BM31)</f>
        <v>15</v>
      </c>
      <c r="BN26" s="905">
        <f>SUM(BN27:BN31)</f>
        <v>12</v>
      </c>
      <c r="BO26" s="860">
        <f>IF(SUM(BO27:BO31)&gt;0,AVERAGEIF(BO27:BO31,"&gt;0"),0)</f>
        <v>0.76666666666666661</v>
      </c>
      <c r="BP26" s="896">
        <f>SUM(BP27:BP31)</f>
        <v>500000</v>
      </c>
      <c r="BQ26" s="900">
        <f>SUM(BQ27:BQ31)</f>
        <v>15</v>
      </c>
      <c r="BR26" s="905">
        <f>SUM(BR27:BR31)</f>
        <v>12</v>
      </c>
      <c r="BS26" s="860">
        <f>IF(SUM(BS27:BS31)&gt;0,AVERAGEIF(BS27:BS31,"&gt;0"),0)</f>
        <v>0.76666666666666661</v>
      </c>
      <c r="BT26" s="896">
        <f>SUM(BT27:BT31)</f>
        <v>500000</v>
      </c>
      <c r="BU26" s="900">
        <f>SUM(BU27:BU31)</f>
        <v>15</v>
      </c>
      <c r="BV26" s="905">
        <f>SUM(BV27:BV31)</f>
        <v>12</v>
      </c>
      <c r="BW26" s="860">
        <f>IF(SUM(BW27:BW31)&gt;0,AVERAGEIF(BW27:BW31,"&gt;0"),0)</f>
        <v>0.76666666666666661</v>
      </c>
      <c r="BX26" s="896">
        <f>SUM(BX27:BX31)</f>
        <v>500000</v>
      </c>
      <c r="BY26" s="900">
        <f>SUM(BY27:BY31)</f>
        <v>15</v>
      </c>
      <c r="BZ26" s="905">
        <f>SUM(BZ27:BZ31)</f>
        <v>12</v>
      </c>
      <c r="CA26" s="860">
        <f>IF(SUM(CA27:CA31)&gt;0,AVERAGEIF(CA27:CA31,"&gt;0"),0)</f>
        <v>0.76666666666666661</v>
      </c>
      <c r="CB26" s="896">
        <f>SUM(CB27:CB31)</f>
        <v>500000</v>
      </c>
      <c r="CC26" s="900">
        <f>SUM(CC27:CC31)</f>
        <v>15</v>
      </c>
      <c r="CD26" s="905">
        <f>SUM(CD27:CD31)</f>
        <v>12</v>
      </c>
      <c r="CE26" s="860">
        <f>IF(SUM(CE27:CE31)&gt;0,AVERAGEIF(CE27:CE31,"&gt;0"),0)</f>
        <v>0.76666666666666661</v>
      </c>
      <c r="CF26" s="896">
        <f>SUM(CF27:CF31)</f>
        <v>500000</v>
      </c>
      <c r="CG26" s="900">
        <f>SUM(CG27:CG31)</f>
        <v>15</v>
      </c>
      <c r="CH26" s="905">
        <f>SUM(CH27:CH31)</f>
        <v>12</v>
      </c>
      <c r="CI26" s="860">
        <f>IF(SUM(CI27:CI31)&gt;0,AVERAGEIF(CI27:CI31,"&gt;0"),0)</f>
        <v>0.76666666666666661</v>
      </c>
      <c r="CJ26" s="896">
        <f>SUM(CJ27:CJ31)</f>
        <v>500000</v>
      </c>
      <c r="CK26" s="900">
        <f>SUM(CK27:CK31)</f>
        <v>15</v>
      </c>
      <c r="CL26" s="905">
        <f>SUM(CL27:CL31)</f>
        <v>12</v>
      </c>
      <c r="CM26" s="860">
        <f>IF(SUM(CM27:CM31)&gt;0,AVERAGEIF(CM27:CM31,"&gt;0"),0)</f>
        <v>0.76666666666666661</v>
      </c>
      <c r="CN26" s="896">
        <f>SUM(CN27:CN31)</f>
        <v>500000</v>
      </c>
      <c r="CO26" s="900">
        <f>SUM(CO27:CO31)</f>
        <v>15</v>
      </c>
      <c r="CP26" s="905">
        <f>SUM(CP27:CP31)</f>
        <v>12</v>
      </c>
      <c r="CQ26" s="860">
        <f>IF(SUM(CQ27:CQ31)&gt;0,AVERAGEIF(CQ27:CQ31,"&gt;0"),0)</f>
        <v>0.76666666666666661</v>
      </c>
      <c r="CR26" s="896">
        <f>SUM(CR27:CR31)</f>
        <v>500000</v>
      </c>
      <c r="CS26" s="900">
        <f>SUM(CS27:CS31)</f>
        <v>15</v>
      </c>
      <c r="CT26" s="905">
        <f>SUM(CT27:CT31)</f>
        <v>12</v>
      </c>
      <c r="CU26" s="860">
        <f>IF(SUM(CU27:CU31)&gt;0,AVERAGEIF(CU27:CU31,"&gt;0"),0)</f>
        <v>0.76666666666666661</v>
      </c>
      <c r="CV26" s="896">
        <f>SUM(CV27:CV31)</f>
        <v>500000</v>
      </c>
      <c r="CW26" s="900">
        <f>SUM(CW27:CW31)</f>
        <v>15</v>
      </c>
      <c r="CX26" s="905">
        <f>SUM(CX27:CX31)</f>
        <v>12</v>
      </c>
      <c r="CY26" s="860">
        <f>IF(SUM(CY27:CY31)&gt;0,AVERAGEIF(CY27:CY31,"&gt;0"),0)</f>
        <v>0.76666666666666661</v>
      </c>
      <c r="CZ26" s="896">
        <f>SUM(CZ27:CZ31)</f>
        <v>500000</v>
      </c>
      <c r="DA26" s="900">
        <f>SUM(DA27:DA31)</f>
        <v>15</v>
      </c>
      <c r="DB26" s="905">
        <f>SUM(DB27:DB31)</f>
        <v>12</v>
      </c>
      <c r="DC26" s="860">
        <f>IF(SUM(DC27:DC31)&gt;0,AVERAGEIF(DC27:DC31,"&gt;0"),0)</f>
        <v>0.76666666666666661</v>
      </c>
      <c r="DD26" s="896">
        <f>SUM(DD27:DD31)</f>
        <v>500000</v>
      </c>
      <c r="DE26" s="900">
        <f>SUM(DE27:DE31)</f>
        <v>15</v>
      </c>
      <c r="DF26" s="905">
        <f>SUM(DF27:DF31)</f>
        <v>12</v>
      </c>
      <c r="DG26" s="860">
        <f>IF(SUM(DG27:DG31)&gt;0,AVERAGEIF(DG27:DG31,"&gt;0"),0)</f>
        <v>0.76666666666666661</v>
      </c>
      <c r="DH26" s="896">
        <f>SUM(DH27:DH31)</f>
        <v>500000</v>
      </c>
      <c r="DI26" s="900">
        <f>SUM(DI27:DI31)</f>
        <v>15</v>
      </c>
      <c r="DJ26" s="905">
        <f>SUM(DJ27:DJ31)</f>
        <v>12</v>
      </c>
      <c r="DK26" s="860">
        <f>IF(SUM(DK27:DK31)&gt;0,AVERAGEIF(DK27:DK31,"&gt;0"),0)</f>
        <v>0.76666666666666661</v>
      </c>
      <c r="DL26" s="896">
        <f>SUM(DL27:DL31)</f>
        <v>500000</v>
      </c>
      <c r="DM26" s="900">
        <f>SUM(DM27:DM31)</f>
        <v>15</v>
      </c>
      <c r="DN26" s="905">
        <f>SUM(DN27:DN31)</f>
        <v>12</v>
      </c>
      <c r="DO26" s="860">
        <f>IF(SUM(DO27:DO31)&gt;0,AVERAGEIF(DO27:DO31,"&gt;0"),0)</f>
        <v>0.76666666666666661</v>
      </c>
      <c r="DP26" s="896">
        <f>SUM(DP27:DP31)</f>
        <v>500000</v>
      </c>
      <c r="DQ26" s="900">
        <f>SUM(DQ27:DQ31)</f>
        <v>15</v>
      </c>
      <c r="DR26" s="905">
        <f>SUM(DR27:DR31)</f>
        <v>12</v>
      </c>
      <c r="DS26" s="860">
        <f>IF(SUM(DS27:DS31)&gt;0,AVERAGEIF(DS27:DS31,"&gt;0"),0)</f>
        <v>0.76666666666666661</v>
      </c>
      <c r="DT26" s="896">
        <f>SUM(DT27:DT31)</f>
        <v>500000</v>
      </c>
      <c r="DU26" s="900">
        <f>SUM(DU27:DU31)</f>
        <v>15</v>
      </c>
      <c r="DV26" s="905">
        <f>SUM(DV27:DV31)</f>
        <v>12</v>
      </c>
      <c r="DW26" s="860">
        <f>IF(SUM(DW27:DW31)&gt;0,AVERAGEIF(DW27:DW31,"&gt;0"),0)</f>
        <v>0.76666666666666661</v>
      </c>
      <c r="DX26" s="896">
        <f>SUM(DX27:DX31)</f>
        <v>500000</v>
      </c>
      <c r="DY26" s="900">
        <f>SUM(DY27:DY31)</f>
        <v>15</v>
      </c>
      <c r="DZ26" s="905">
        <f>SUM(DZ27:DZ31)</f>
        <v>12</v>
      </c>
      <c r="EA26" s="860">
        <f>IF(SUM(EA27:EA31)&gt;0,AVERAGEIF(EA27:EA31,"&gt;0"),0)</f>
        <v>0.76666666666666661</v>
      </c>
      <c r="EB26" s="896">
        <f>SUM(EB27:EB31)</f>
        <v>500000</v>
      </c>
      <c r="EC26" s="900">
        <f>SUM(EC27:EC31)</f>
        <v>15</v>
      </c>
      <c r="ED26" s="905">
        <f>SUM(ED27:ED31)</f>
        <v>12</v>
      </c>
      <c r="EE26" s="860">
        <f>IF(SUM(EE27:EE31)&gt;0,AVERAGEIF(EE27:EE31,"&gt;0"),0)</f>
        <v>0.76666666666666661</v>
      </c>
      <c r="EF26" s="896">
        <f>SUM(EF27:EF31)</f>
        <v>500000</v>
      </c>
    </row>
    <row r="27" spans="1:136" ht="20" customHeight="1" x14ac:dyDescent="0.15">
      <c r="A27" s="189">
        <f t="shared" si="197"/>
        <v>0</v>
      </c>
      <c r="B27" s="947"/>
      <c r="C27" s="970" t="s">
        <v>134</v>
      </c>
      <c r="D27" s="851">
        <f>$D$26/5</f>
        <v>15000000</v>
      </c>
      <c r="E27" s="1082">
        <f t="shared" si="199"/>
        <v>3100000</v>
      </c>
      <c r="F27" s="610">
        <f t="shared" si="200"/>
        <v>-11900000</v>
      </c>
      <c r="G27" s="208">
        <f>_xlfn.IFS(F27&gt;0,1,F27&lt;=0,E27/D27)</f>
        <v>0.20666666666666667</v>
      </c>
      <c r="H27" s="208">
        <f>IF(SUMIF(M$13:EF$13,$O$13,M27:EF27)&gt;0,AVERAGEIFS(M27:EF27,M27:EF27,"&gt;0",M$13:EF$13,$O$13),"NO NEW ORDER")</f>
        <v>0.66666666666666674</v>
      </c>
      <c r="I27" s="836"/>
      <c r="J27" s="1110">
        <f ca="1">SUMIFS($M27:$EF27,$M$11:$EF$11,TODAY()-1,$M$13:$EF$13,O$13)</f>
        <v>0</v>
      </c>
      <c r="K27" s="851"/>
      <c r="L27" s="605">
        <f t="shared" ca="1" si="196"/>
        <v>0</v>
      </c>
      <c r="M27" s="1026">
        <v>3</v>
      </c>
      <c r="N27" s="1027">
        <v>2</v>
      </c>
      <c r="O27" s="906">
        <f>_xlfn.IFS(M27=0,0,N27&lt;=M27,N27/M27,N27&gt;M27,1)</f>
        <v>0.66666666666666663</v>
      </c>
      <c r="P27" s="1029">
        <v>100000</v>
      </c>
      <c r="Q27" s="1026">
        <v>3</v>
      </c>
      <c r="R27" s="1027">
        <v>2</v>
      </c>
      <c r="S27" s="906">
        <f>_xlfn.IFS(Q27=0,0,R27&lt;=Q27,R27/Q27,R27&gt;Q27,1)</f>
        <v>0.66666666666666663</v>
      </c>
      <c r="T27" s="1029">
        <v>100000</v>
      </c>
      <c r="U27" s="1026">
        <v>3</v>
      </c>
      <c r="V27" s="1027">
        <v>2</v>
      </c>
      <c r="W27" s="906">
        <f>_xlfn.IFS(U27=0,0,V27&lt;=U27,V27/U27,V27&gt;U27,1)</f>
        <v>0.66666666666666663</v>
      </c>
      <c r="X27" s="1029">
        <v>100000</v>
      </c>
      <c r="Y27" s="1026">
        <v>3</v>
      </c>
      <c r="Z27" s="1027">
        <v>2</v>
      </c>
      <c r="AA27" s="906">
        <f>_xlfn.IFS(Y27=0,0,Z27&lt;=Y27,Z27/Y27,Z27&gt;Y27,1)</f>
        <v>0.66666666666666663</v>
      </c>
      <c r="AB27" s="1029">
        <v>100000</v>
      </c>
      <c r="AC27" s="1026">
        <v>3</v>
      </c>
      <c r="AD27" s="1027">
        <v>2</v>
      </c>
      <c r="AE27" s="906">
        <f>_xlfn.IFS(AC27=0,0,AD27&lt;=AC27,AD27/AC27,AD27&gt;AC27,1)</f>
        <v>0.66666666666666663</v>
      </c>
      <c r="AF27" s="1029">
        <v>100000</v>
      </c>
      <c r="AG27" s="1026">
        <v>3</v>
      </c>
      <c r="AH27" s="1027">
        <v>2</v>
      </c>
      <c r="AI27" s="906">
        <f>_xlfn.IFS(AG27=0,0,AH27&lt;=AG27,AH27/AG27,AH27&gt;AG27,1)</f>
        <v>0.66666666666666663</v>
      </c>
      <c r="AJ27" s="1029">
        <v>100000</v>
      </c>
      <c r="AK27" s="1026">
        <v>3</v>
      </c>
      <c r="AL27" s="1027">
        <v>2</v>
      </c>
      <c r="AM27" s="906">
        <f>_xlfn.IFS(AK27=0,0,AL27&lt;=AK27,AL27/AK27,AL27&gt;AK27,1)</f>
        <v>0.66666666666666663</v>
      </c>
      <c r="AN27" s="1029">
        <v>100000</v>
      </c>
      <c r="AO27" s="1026">
        <v>3</v>
      </c>
      <c r="AP27" s="1027">
        <v>2</v>
      </c>
      <c r="AQ27" s="906">
        <f>_xlfn.IFS(AO27=0,0,AP27&lt;=AO27,AP27/AO27,AP27&gt;AO27,1)</f>
        <v>0.66666666666666663</v>
      </c>
      <c r="AR27" s="1029">
        <v>100000</v>
      </c>
      <c r="AS27" s="1026">
        <v>3</v>
      </c>
      <c r="AT27" s="1027">
        <v>2</v>
      </c>
      <c r="AU27" s="906">
        <f>_xlfn.IFS(AS27=0,0,AT27&lt;=AS27,AT27/AS27,AT27&gt;AS27,1)</f>
        <v>0.66666666666666663</v>
      </c>
      <c r="AV27" s="1029">
        <v>100000</v>
      </c>
      <c r="AW27" s="1026">
        <v>3</v>
      </c>
      <c r="AX27" s="1027">
        <v>2</v>
      </c>
      <c r="AY27" s="906">
        <f>_xlfn.IFS(AW27=0,0,AX27&lt;=AW27,AX27/AW27,AX27&gt;AW27,1)</f>
        <v>0.66666666666666663</v>
      </c>
      <c r="AZ27" s="1029">
        <v>100000</v>
      </c>
      <c r="BA27" s="1026">
        <v>3</v>
      </c>
      <c r="BB27" s="1027">
        <v>2</v>
      </c>
      <c r="BC27" s="906">
        <f>_xlfn.IFS(BA27=0,0,BB27&lt;=BA27,BB27/BA27,BB27&gt;BA27,1)</f>
        <v>0.66666666666666663</v>
      </c>
      <c r="BD27" s="1029">
        <v>100000</v>
      </c>
      <c r="BE27" s="1026">
        <v>3</v>
      </c>
      <c r="BF27" s="1027">
        <v>2</v>
      </c>
      <c r="BG27" s="906">
        <f>_xlfn.IFS(BE27=0,0,BF27&lt;=BE27,BF27/BE27,BF27&gt;BE27,1)</f>
        <v>0.66666666666666663</v>
      </c>
      <c r="BH27" s="1029">
        <v>100000</v>
      </c>
      <c r="BI27" s="1026">
        <v>3</v>
      </c>
      <c r="BJ27" s="1027">
        <v>2</v>
      </c>
      <c r="BK27" s="906">
        <f>_xlfn.IFS(BI27=0,0,BJ27&lt;=BI27,BJ27/BI27,BJ27&gt;BI27,1)</f>
        <v>0.66666666666666663</v>
      </c>
      <c r="BL27" s="1029">
        <v>100000</v>
      </c>
      <c r="BM27" s="1026">
        <v>3</v>
      </c>
      <c r="BN27" s="1027">
        <v>2</v>
      </c>
      <c r="BO27" s="906">
        <f>_xlfn.IFS(BM27=0,0,BN27&lt;=BM27,BN27/BM27,BN27&gt;BM27,1)</f>
        <v>0.66666666666666663</v>
      </c>
      <c r="BP27" s="1029">
        <v>100000</v>
      </c>
      <c r="BQ27" s="1026">
        <v>3</v>
      </c>
      <c r="BR27" s="1027">
        <v>2</v>
      </c>
      <c r="BS27" s="906">
        <f>_xlfn.IFS(BQ27=0,0,BR27&lt;=BQ27,BR27/BQ27,BR27&gt;BQ27,1)</f>
        <v>0.66666666666666663</v>
      </c>
      <c r="BT27" s="1029">
        <v>100000</v>
      </c>
      <c r="BU27" s="1026">
        <v>3</v>
      </c>
      <c r="BV27" s="1027">
        <v>2</v>
      </c>
      <c r="BW27" s="906">
        <f>_xlfn.IFS(BU27=0,0,BV27&lt;=BU27,BV27/BU27,BV27&gt;BU27,1)</f>
        <v>0.66666666666666663</v>
      </c>
      <c r="BX27" s="1029">
        <v>100000</v>
      </c>
      <c r="BY27" s="1026">
        <v>3</v>
      </c>
      <c r="BZ27" s="1027">
        <v>2</v>
      </c>
      <c r="CA27" s="906">
        <f>_xlfn.IFS(BY27=0,0,BZ27&lt;=BY27,BZ27/BY27,BZ27&gt;BY27,1)</f>
        <v>0.66666666666666663</v>
      </c>
      <c r="CB27" s="1029">
        <v>100000</v>
      </c>
      <c r="CC27" s="1026">
        <v>3</v>
      </c>
      <c r="CD27" s="1027">
        <v>2</v>
      </c>
      <c r="CE27" s="906">
        <f>_xlfn.IFS(CC27=0,0,CD27&lt;=CC27,CD27/CC27,CD27&gt;CC27,1)</f>
        <v>0.66666666666666663</v>
      </c>
      <c r="CF27" s="1029">
        <v>100000</v>
      </c>
      <c r="CG27" s="1026">
        <v>3</v>
      </c>
      <c r="CH27" s="1027">
        <v>2</v>
      </c>
      <c r="CI27" s="906">
        <f>_xlfn.IFS(CG27=0,0,CH27&lt;=CG27,CH27/CG27,CH27&gt;CG27,1)</f>
        <v>0.66666666666666663</v>
      </c>
      <c r="CJ27" s="1029">
        <v>100000</v>
      </c>
      <c r="CK27" s="1026">
        <v>3</v>
      </c>
      <c r="CL27" s="1027">
        <v>2</v>
      </c>
      <c r="CM27" s="906">
        <f>_xlfn.IFS(CK27=0,0,CL27&lt;=CK27,CL27/CK27,CL27&gt;CK27,1)</f>
        <v>0.66666666666666663</v>
      </c>
      <c r="CN27" s="1029">
        <v>100000</v>
      </c>
      <c r="CO27" s="1026">
        <v>3</v>
      </c>
      <c r="CP27" s="1027">
        <v>2</v>
      </c>
      <c r="CQ27" s="906">
        <f>_xlfn.IFS(CO27=0,0,CP27&lt;=CO27,CP27/CO27,CP27&gt;CO27,1)</f>
        <v>0.66666666666666663</v>
      </c>
      <c r="CR27" s="1029">
        <v>100000</v>
      </c>
      <c r="CS27" s="1026">
        <v>3</v>
      </c>
      <c r="CT27" s="1027">
        <v>2</v>
      </c>
      <c r="CU27" s="906">
        <f>_xlfn.IFS(CS27=0,0,CT27&lt;=CS27,CT27/CS27,CT27&gt;CS27,1)</f>
        <v>0.66666666666666663</v>
      </c>
      <c r="CV27" s="1029">
        <v>100000</v>
      </c>
      <c r="CW27" s="1026">
        <v>3</v>
      </c>
      <c r="CX27" s="1027">
        <v>2</v>
      </c>
      <c r="CY27" s="906">
        <f>_xlfn.IFS(CW27=0,0,CX27&lt;=CW27,CX27/CW27,CX27&gt;CW27,1)</f>
        <v>0.66666666666666663</v>
      </c>
      <c r="CZ27" s="1029">
        <v>100000</v>
      </c>
      <c r="DA27" s="1026">
        <v>3</v>
      </c>
      <c r="DB27" s="1027">
        <v>2</v>
      </c>
      <c r="DC27" s="906">
        <f>_xlfn.IFS(DA27=0,0,DB27&lt;=DA27,DB27/DA27,DB27&gt;DA27,1)</f>
        <v>0.66666666666666663</v>
      </c>
      <c r="DD27" s="1029">
        <v>100000</v>
      </c>
      <c r="DE27" s="1026">
        <v>3</v>
      </c>
      <c r="DF27" s="1027">
        <v>2</v>
      </c>
      <c r="DG27" s="906">
        <f>_xlfn.IFS(DE27=0,0,DF27&lt;=DE27,DF27/DE27,DF27&gt;DE27,1)</f>
        <v>0.66666666666666663</v>
      </c>
      <c r="DH27" s="1029">
        <v>100000</v>
      </c>
      <c r="DI27" s="1026">
        <v>3</v>
      </c>
      <c r="DJ27" s="1027">
        <v>2</v>
      </c>
      <c r="DK27" s="906">
        <f>_xlfn.IFS(DI27=0,0,DJ27&lt;=DI27,DJ27/DI27,DJ27&gt;DI27,1)</f>
        <v>0.66666666666666663</v>
      </c>
      <c r="DL27" s="1029">
        <v>100000</v>
      </c>
      <c r="DM27" s="1026">
        <v>3</v>
      </c>
      <c r="DN27" s="1027">
        <v>2</v>
      </c>
      <c r="DO27" s="906">
        <f>_xlfn.IFS(DM27=0,0,DN27&lt;=DM27,DN27/DM27,DN27&gt;DM27,1)</f>
        <v>0.66666666666666663</v>
      </c>
      <c r="DP27" s="1029">
        <v>100000</v>
      </c>
      <c r="DQ27" s="1026">
        <v>3</v>
      </c>
      <c r="DR27" s="1027">
        <v>2</v>
      </c>
      <c r="DS27" s="906">
        <f>_xlfn.IFS(DQ27=0,0,DR27&lt;=DQ27,DR27/DQ27,DR27&gt;DQ27,1)</f>
        <v>0.66666666666666663</v>
      </c>
      <c r="DT27" s="1029">
        <v>100000</v>
      </c>
      <c r="DU27" s="1026">
        <v>3</v>
      </c>
      <c r="DV27" s="1027">
        <v>2</v>
      </c>
      <c r="DW27" s="906">
        <f>_xlfn.IFS(DU27=0,0,DV27&lt;=DU27,DV27/DU27,DV27&gt;DU27,1)</f>
        <v>0.66666666666666663</v>
      </c>
      <c r="DX27" s="1029">
        <v>100000</v>
      </c>
      <c r="DY27" s="1026">
        <v>3</v>
      </c>
      <c r="DZ27" s="1027">
        <v>2</v>
      </c>
      <c r="EA27" s="906">
        <f>_xlfn.IFS(DY27=0,0,DZ27&lt;=DY27,DZ27/DY27,DZ27&gt;DY27,1)</f>
        <v>0.66666666666666663</v>
      </c>
      <c r="EB27" s="1029">
        <v>100000</v>
      </c>
      <c r="EC27" s="1026">
        <v>3</v>
      </c>
      <c r="ED27" s="1027">
        <v>2</v>
      </c>
      <c r="EE27" s="906">
        <f>_xlfn.IFS(EC27=0,0,ED27&lt;=EC27,ED27/EC27,ED27&gt;EC27,1)</f>
        <v>0.66666666666666663</v>
      </c>
      <c r="EF27" s="1029">
        <v>100000</v>
      </c>
    </row>
    <row r="28" spans="1:136" ht="20" customHeight="1" x14ac:dyDescent="0.15">
      <c r="A28" s="189">
        <f t="shared" si="197"/>
        <v>0</v>
      </c>
      <c r="B28" s="947"/>
      <c r="C28" s="970" t="s">
        <v>135</v>
      </c>
      <c r="D28" s="851">
        <f>$D$26/5</f>
        <v>15000000</v>
      </c>
      <c r="E28" s="1082">
        <f t="shared" si="199"/>
        <v>3100000</v>
      </c>
      <c r="F28" s="610">
        <f t="shared" si="200"/>
        <v>-11900000</v>
      </c>
      <c r="G28" s="208">
        <f>_xlfn.IFS(F28&gt;0,1,F28&lt;=0,E28/D28)</f>
        <v>0.20666666666666667</v>
      </c>
      <c r="H28" s="208">
        <f t="shared" ref="H28:H30" si="233">IF(SUMIF(M$13:EF$13,$O$13,M28:EF28)&gt;0,AVERAGEIFS(M28:EF28,M28:EF28,"&gt;0",M$13:EF$13,$O$13),"NO NEW ORDER")</f>
        <v>0.5</v>
      </c>
      <c r="I28" s="836"/>
      <c r="J28" s="1110">
        <f ca="1">SUMIFS($M28:$EF28,$M$11:$EF$11,TODAY()-1,$M$13:$EF$13,O$13)</f>
        <v>0</v>
      </c>
      <c r="K28" s="851"/>
      <c r="L28" s="605">
        <f t="shared" ca="1" si="196"/>
        <v>0</v>
      </c>
      <c r="M28" s="1026">
        <v>2</v>
      </c>
      <c r="N28" s="1027">
        <v>1</v>
      </c>
      <c r="O28" s="906">
        <f>_xlfn.IFS(M28=0,0,N28&lt;=M28,N28/M28,N28&gt;M28,1)</f>
        <v>0.5</v>
      </c>
      <c r="P28" s="1029">
        <v>100000</v>
      </c>
      <c r="Q28" s="1026">
        <v>2</v>
      </c>
      <c r="R28" s="1027">
        <v>1</v>
      </c>
      <c r="S28" s="906">
        <f>_xlfn.IFS(Q28=0,0,R28&lt;=Q28,R28/Q28,R28&gt;Q28,1)</f>
        <v>0.5</v>
      </c>
      <c r="T28" s="1029">
        <v>100000</v>
      </c>
      <c r="U28" s="1026">
        <v>2</v>
      </c>
      <c r="V28" s="1027">
        <v>1</v>
      </c>
      <c r="W28" s="906">
        <f>_xlfn.IFS(U28=0,0,V28&lt;=U28,V28/U28,V28&gt;U28,1)</f>
        <v>0.5</v>
      </c>
      <c r="X28" s="1029">
        <v>100000</v>
      </c>
      <c r="Y28" s="1026">
        <v>2</v>
      </c>
      <c r="Z28" s="1027">
        <v>1</v>
      </c>
      <c r="AA28" s="906">
        <f>_xlfn.IFS(Y28=0,0,Z28&lt;=Y28,Z28/Y28,Z28&gt;Y28,1)</f>
        <v>0.5</v>
      </c>
      <c r="AB28" s="1029">
        <v>100000</v>
      </c>
      <c r="AC28" s="1026">
        <v>2</v>
      </c>
      <c r="AD28" s="1027">
        <v>1</v>
      </c>
      <c r="AE28" s="906">
        <f>_xlfn.IFS(AC28=0,0,AD28&lt;=AC28,AD28/AC28,AD28&gt;AC28,1)</f>
        <v>0.5</v>
      </c>
      <c r="AF28" s="1029">
        <v>100000</v>
      </c>
      <c r="AG28" s="1026">
        <v>2</v>
      </c>
      <c r="AH28" s="1027">
        <v>1</v>
      </c>
      <c r="AI28" s="906">
        <f>_xlfn.IFS(AG28=0,0,AH28&lt;=AG28,AH28/AG28,AH28&gt;AG28,1)</f>
        <v>0.5</v>
      </c>
      <c r="AJ28" s="1029">
        <v>100000</v>
      </c>
      <c r="AK28" s="1026">
        <v>2</v>
      </c>
      <c r="AL28" s="1027">
        <v>1</v>
      </c>
      <c r="AM28" s="906">
        <f>_xlfn.IFS(AK28=0,0,AL28&lt;=AK28,AL28/AK28,AL28&gt;AK28,1)</f>
        <v>0.5</v>
      </c>
      <c r="AN28" s="1029">
        <v>100000</v>
      </c>
      <c r="AO28" s="1026">
        <v>2</v>
      </c>
      <c r="AP28" s="1027">
        <v>1</v>
      </c>
      <c r="AQ28" s="906">
        <f>_xlfn.IFS(AO28=0,0,AP28&lt;=AO28,AP28/AO28,AP28&gt;AO28,1)</f>
        <v>0.5</v>
      </c>
      <c r="AR28" s="1029">
        <v>100000</v>
      </c>
      <c r="AS28" s="1026">
        <v>2</v>
      </c>
      <c r="AT28" s="1027">
        <v>1</v>
      </c>
      <c r="AU28" s="906">
        <f>_xlfn.IFS(AS28=0,0,AT28&lt;=AS28,AT28/AS28,AT28&gt;AS28,1)</f>
        <v>0.5</v>
      </c>
      <c r="AV28" s="1029">
        <v>100000</v>
      </c>
      <c r="AW28" s="1026">
        <v>2</v>
      </c>
      <c r="AX28" s="1027">
        <v>1</v>
      </c>
      <c r="AY28" s="906">
        <f>_xlfn.IFS(AW28=0,0,AX28&lt;=AW28,AX28/AW28,AX28&gt;AW28,1)</f>
        <v>0.5</v>
      </c>
      <c r="AZ28" s="1029">
        <v>100000</v>
      </c>
      <c r="BA28" s="1026">
        <v>2</v>
      </c>
      <c r="BB28" s="1027">
        <v>1</v>
      </c>
      <c r="BC28" s="906">
        <f>_xlfn.IFS(BA28=0,0,BB28&lt;=BA28,BB28/BA28,BB28&gt;BA28,1)</f>
        <v>0.5</v>
      </c>
      <c r="BD28" s="1029">
        <v>100000</v>
      </c>
      <c r="BE28" s="1026">
        <v>2</v>
      </c>
      <c r="BF28" s="1027">
        <v>1</v>
      </c>
      <c r="BG28" s="906">
        <f>_xlfn.IFS(BE28=0,0,BF28&lt;=BE28,BF28/BE28,BF28&gt;BE28,1)</f>
        <v>0.5</v>
      </c>
      <c r="BH28" s="1029">
        <v>100000</v>
      </c>
      <c r="BI28" s="1026">
        <v>2</v>
      </c>
      <c r="BJ28" s="1027">
        <v>1</v>
      </c>
      <c r="BK28" s="906">
        <f>_xlfn.IFS(BI28=0,0,BJ28&lt;=BI28,BJ28/BI28,BJ28&gt;BI28,1)</f>
        <v>0.5</v>
      </c>
      <c r="BL28" s="1029">
        <v>100000</v>
      </c>
      <c r="BM28" s="1026">
        <v>2</v>
      </c>
      <c r="BN28" s="1027">
        <v>1</v>
      </c>
      <c r="BO28" s="906">
        <f>_xlfn.IFS(BM28=0,0,BN28&lt;=BM28,BN28/BM28,BN28&gt;BM28,1)</f>
        <v>0.5</v>
      </c>
      <c r="BP28" s="1029">
        <v>100000</v>
      </c>
      <c r="BQ28" s="1026">
        <v>2</v>
      </c>
      <c r="BR28" s="1027">
        <v>1</v>
      </c>
      <c r="BS28" s="906">
        <f>_xlfn.IFS(BQ28=0,0,BR28&lt;=BQ28,BR28/BQ28,BR28&gt;BQ28,1)</f>
        <v>0.5</v>
      </c>
      <c r="BT28" s="1029">
        <v>100000</v>
      </c>
      <c r="BU28" s="1026">
        <v>2</v>
      </c>
      <c r="BV28" s="1027">
        <v>1</v>
      </c>
      <c r="BW28" s="906">
        <f>_xlfn.IFS(BU28=0,0,BV28&lt;=BU28,BV28/BU28,BV28&gt;BU28,1)</f>
        <v>0.5</v>
      </c>
      <c r="BX28" s="1029">
        <v>100000</v>
      </c>
      <c r="BY28" s="1026">
        <v>2</v>
      </c>
      <c r="BZ28" s="1027">
        <v>1</v>
      </c>
      <c r="CA28" s="906">
        <f>_xlfn.IFS(BY28=0,0,BZ28&lt;=BY28,BZ28/BY28,BZ28&gt;BY28,1)</f>
        <v>0.5</v>
      </c>
      <c r="CB28" s="1029">
        <v>100000</v>
      </c>
      <c r="CC28" s="1026">
        <v>2</v>
      </c>
      <c r="CD28" s="1027">
        <v>1</v>
      </c>
      <c r="CE28" s="906">
        <f>_xlfn.IFS(CC28=0,0,CD28&lt;=CC28,CD28/CC28,CD28&gt;CC28,1)</f>
        <v>0.5</v>
      </c>
      <c r="CF28" s="1029">
        <v>100000</v>
      </c>
      <c r="CG28" s="1026">
        <v>2</v>
      </c>
      <c r="CH28" s="1027">
        <v>1</v>
      </c>
      <c r="CI28" s="906">
        <f>_xlfn.IFS(CG28=0,0,CH28&lt;=CG28,CH28/CG28,CH28&gt;CG28,1)</f>
        <v>0.5</v>
      </c>
      <c r="CJ28" s="1029">
        <v>100000</v>
      </c>
      <c r="CK28" s="1026">
        <v>2</v>
      </c>
      <c r="CL28" s="1027">
        <v>1</v>
      </c>
      <c r="CM28" s="906">
        <f>_xlfn.IFS(CK28=0,0,CL28&lt;=CK28,CL28/CK28,CL28&gt;CK28,1)</f>
        <v>0.5</v>
      </c>
      <c r="CN28" s="1029">
        <v>100000</v>
      </c>
      <c r="CO28" s="1026">
        <v>2</v>
      </c>
      <c r="CP28" s="1027">
        <v>1</v>
      </c>
      <c r="CQ28" s="906">
        <f>_xlfn.IFS(CO28=0,0,CP28&lt;=CO28,CP28/CO28,CP28&gt;CO28,1)</f>
        <v>0.5</v>
      </c>
      <c r="CR28" s="1029">
        <v>100000</v>
      </c>
      <c r="CS28" s="1026">
        <v>2</v>
      </c>
      <c r="CT28" s="1027">
        <v>1</v>
      </c>
      <c r="CU28" s="906">
        <f>_xlfn.IFS(CS28=0,0,CT28&lt;=CS28,CT28/CS28,CT28&gt;CS28,1)</f>
        <v>0.5</v>
      </c>
      <c r="CV28" s="1029">
        <v>100000</v>
      </c>
      <c r="CW28" s="1026">
        <v>2</v>
      </c>
      <c r="CX28" s="1027">
        <v>1</v>
      </c>
      <c r="CY28" s="906">
        <f>_xlfn.IFS(CW28=0,0,CX28&lt;=CW28,CX28/CW28,CX28&gt;CW28,1)</f>
        <v>0.5</v>
      </c>
      <c r="CZ28" s="1029">
        <v>100000</v>
      </c>
      <c r="DA28" s="1026">
        <v>2</v>
      </c>
      <c r="DB28" s="1027">
        <v>1</v>
      </c>
      <c r="DC28" s="906">
        <f>_xlfn.IFS(DA28=0,0,DB28&lt;=DA28,DB28/DA28,DB28&gt;DA28,1)</f>
        <v>0.5</v>
      </c>
      <c r="DD28" s="1029">
        <v>100000</v>
      </c>
      <c r="DE28" s="1026">
        <v>2</v>
      </c>
      <c r="DF28" s="1027">
        <v>1</v>
      </c>
      <c r="DG28" s="906">
        <f>_xlfn.IFS(DE28=0,0,DF28&lt;=DE28,DF28/DE28,DF28&gt;DE28,1)</f>
        <v>0.5</v>
      </c>
      <c r="DH28" s="1029">
        <v>100000</v>
      </c>
      <c r="DI28" s="1026">
        <v>2</v>
      </c>
      <c r="DJ28" s="1027">
        <v>1</v>
      </c>
      <c r="DK28" s="906">
        <f>_xlfn.IFS(DI28=0,0,DJ28&lt;=DI28,DJ28/DI28,DJ28&gt;DI28,1)</f>
        <v>0.5</v>
      </c>
      <c r="DL28" s="1029">
        <v>100000</v>
      </c>
      <c r="DM28" s="1026">
        <v>2</v>
      </c>
      <c r="DN28" s="1027">
        <v>1</v>
      </c>
      <c r="DO28" s="906">
        <f>_xlfn.IFS(DM28=0,0,DN28&lt;=DM28,DN28/DM28,DN28&gt;DM28,1)</f>
        <v>0.5</v>
      </c>
      <c r="DP28" s="1029">
        <v>100000</v>
      </c>
      <c r="DQ28" s="1026">
        <v>2</v>
      </c>
      <c r="DR28" s="1027">
        <v>1</v>
      </c>
      <c r="DS28" s="906">
        <f>_xlfn.IFS(DQ28=0,0,DR28&lt;=DQ28,DR28/DQ28,DR28&gt;DQ28,1)</f>
        <v>0.5</v>
      </c>
      <c r="DT28" s="1029">
        <v>100000</v>
      </c>
      <c r="DU28" s="1026">
        <v>2</v>
      </c>
      <c r="DV28" s="1027">
        <v>1</v>
      </c>
      <c r="DW28" s="906">
        <f>_xlfn.IFS(DU28=0,0,DV28&lt;=DU28,DV28/DU28,DV28&gt;DU28,1)</f>
        <v>0.5</v>
      </c>
      <c r="DX28" s="1029">
        <v>100000</v>
      </c>
      <c r="DY28" s="1026">
        <v>2</v>
      </c>
      <c r="DZ28" s="1027">
        <v>1</v>
      </c>
      <c r="EA28" s="906">
        <f>_xlfn.IFS(DY28=0,0,DZ28&lt;=DY28,DZ28/DY28,DZ28&gt;DY28,1)</f>
        <v>0.5</v>
      </c>
      <c r="EB28" s="1029">
        <v>100000</v>
      </c>
      <c r="EC28" s="1026">
        <v>2</v>
      </c>
      <c r="ED28" s="1027">
        <v>1</v>
      </c>
      <c r="EE28" s="906">
        <f>_xlfn.IFS(EC28=0,0,ED28&lt;=EC28,ED28/EC28,ED28&gt;EC28,1)</f>
        <v>0.5</v>
      </c>
      <c r="EF28" s="1029">
        <v>100000</v>
      </c>
    </row>
    <row r="29" spans="1:136" ht="20" customHeight="1" x14ac:dyDescent="0.15">
      <c r="A29" s="189">
        <f t="shared" si="197"/>
        <v>0</v>
      </c>
      <c r="B29" s="947"/>
      <c r="C29" s="971" t="s">
        <v>136</v>
      </c>
      <c r="D29" s="851">
        <f>$D$26/5</f>
        <v>15000000</v>
      </c>
      <c r="E29" s="1082">
        <f t="shared" si="199"/>
        <v>3100000</v>
      </c>
      <c r="F29" s="610">
        <f t="shared" si="200"/>
        <v>-11900000</v>
      </c>
      <c r="G29" s="208">
        <f t="shared" si="201"/>
        <v>0.20666666666666667</v>
      </c>
      <c r="H29" s="208">
        <f t="shared" si="233"/>
        <v>0.66666666666666674</v>
      </c>
      <c r="I29" s="836"/>
      <c r="J29" s="1110">
        <f t="shared" ref="J29:J31" ca="1" si="234">SUMIFS($M29:$EF29,$M$11:$EF$11,TODAY()-1,$M$13:$EF$13,O$13)</f>
        <v>0</v>
      </c>
      <c r="K29" s="851"/>
      <c r="L29" s="605">
        <f t="shared" ca="1" si="196"/>
        <v>0</v>
      </c>
      <c r="M29" s="1026">
        <v>3</v>
      </c>
      <c r="N29" s="1027">
        <v>2</v>
      </c>
      <c r="O29" s="906">
        <f t="shared" ref="O29:O31" si="235">_xlfn.IFS(M29=0,0,N29&lt;=M29,N29/M29,N29&gt;M29,1)</f>
        <v>0.66666666666666663</v>
      </c>
      <c r="P29" s="1029">
        <v>100000</v>
      </c>
      <c r="Q29" s="1026">
        <v>3</v>
      </c>
      <c r="R29" s="1027">
        <v>2</v>
      </c>
      <c r="S29" s="906">
        <f t="shared" ref="S29:S31" si="236">_xlfn.IFS(Q29=0,0,R29&lt;=Q29,R29/Q29,R29&gt;Q29,1)</f>
        <v>0.66666666666666663</v>
      </c>
      <c r="T29" s="1029">
        <v>100000</v>
      </c>
      <c r="U29" s="1026">
        <v>3</v>
      </c>
      <c r="V29" s="1027">
        <v>2</v>
      </c>
      <c r="W29" s="906">
        <f t="shared" ref="W29:W31" si="237">_xlfn.IFS(U29=0,0,V29&lt;=U29,V29/U29,V29&gt;U29,1)</f>
        <v>0.66666666666666663</v>
      </c>
      <c r="X29" s="1029">
        <v>100000</v>
      </c>
      <c r="Y29" s="1026">
        <v>3</v>
      </c>
      <c r="Z29" s="1027">
        <v>2</v>
      </c>
      <c r="AA29" s="906">
        <f t="shared" ref="AA29:AA31" si="238">_xlfn.IFS(Y29=0,0,Z29&lt;=Y29,Z29/Y29,Z29&gt;Y29,1)</f>
        <v>0.66666666666666663</v>
      </c>
      <c r="AB29" s="1029">
        <v>100000</v>
      </c>
      <c r="AC29" s="1026">
        <v>3</v>
      </c>
      <c r="AD29" s="1027">
        <v>2</v>
      </c>
      <c r="AE29" s="906">
        <f t="shared" ref="AE29:AE31" si="239">_xlfn.IFS(AC29=0,0,AD29&lt;=AC29,AD29/AC29,AD29&gt;AC29,1)</f>
        <v>0.66666666666666663</v>
      </c>
      <c r="AF29" s="1029">
        <v>100000</v>
      </c>
      <c r="AG29" s="1026">
        <v>3</v>
      </c>
      <c r="AH29" s="1027">
        <v>2</v>
      </c>
      <c r="AI29" s="906">
        <f t="shared" ref="AI29:AI31" si="240">_xlfn.IFS(AG29=0,0,AH29&lt;=AG29,AH29/AG29,AH29&gt;AG29,1)</f>
        <v>0.66666666666666663</v>
      </c>
      <c r="AJ29" s="1029">
        <v>100000</v>
      </c>
      <c r="AK29" s="1026">
        <v>3</v>
      </c>
      <c r="AL29" s="1027">
        <v>2</v>
      </c>
      <c r="AM29" s="906">
        <f t="shared" ref="AM29:AM31" si="241">_xlfn.IFS(AK29=0,0,AL29&lt;=AK29,AL29/AK29,AL29&gt;AK29,1)</f>
        <v>0.66666666666666663</v>
      </c>
      <c r="AN29" s="1029">
        <v>100000</v>
      </c>
      <c r="AO29" s="1026">
        <v>3</v>
      </c>
      <c r="AP29" s="1027">
        <v>2</v>
      </c>
      <c r="AQ29" s="906">
        <f t="shared" ref="AQ29:AQ31" si="242">_xlfn.IFS(AO29=0,0,AP29&lt;=AO29,AP29/AO29,AP29&gt;AO29,1)</f>
        <v>0.66666666666666663</v>
      </c>
      <c r="AR29" s="1029">
        <v>100000</v>
      </c>
      <c r="AS29" s="1026">
        <v>3</v>
      </c>
      <c r="AT29" s="1027">
        <v>2</v>
      </c>
      <c r="AU29" s="906">
        <f t="shared" ref="AU29:AU31" si="243">_xlfn.IFS(AS29=0,0,AT29&lt;=AS29,AT29/AS29,AT29&gt;AS29,1)</f>
        <v>0.66666666666666663</v>
      </c>
      <c r="AV29" s="1029">
        <v>100000</v>
      </c>
      <c r="AW29" s="1026">
        <v>3</v>
      </c>
      <c r="AX29" s="1027">
        <v>2</v>
      </c>
      <c r="AY29" s="906">
        <f t="shared" ref="AY29:AY31" si="244">_xlfn.IFS(AW29=0,0,AX29&lt;=AW29,AX29/AW29,AX29&gt;AW29,1)</f>
        <v>0.66666666666666663</v>
      </c>
      <c r="AZ29" s="1029">
        <v>100000</v>
      </c>
      <c r="BA29" s="1026">
        <v>3</v>
      </c>
      <c r="BB29" s="1027">
        <v>2</v>
      </c>
      <c r="BC29" s="906">
        <f t="shared" ref="BC29:BC31" si="245">_xlfn.IFS(BA29=0,0,BB29&lt;=BA29,BB29/BA29,BB29&gt;BA29,1)</f>
        <v>0.66666666666666663</v>
      </c>
      <c r="BD29" s="1029">
        <v>100000</v>
      </c>
      <c r="BE29" s="1026">
        <v>3</v>
      </c>
      <c r="BF29" s="1027">
        <v>2</v>
      </c>
      <c r="BG29" s="906">
        <f t="shared" ref="BG29:BG31" si="246">_xlfn.IFS(BE29=0,0,BF29&lt;=BE29,BF29/BE29,BF29&gt;BE29,1)</f>
        <v>0.66666666666666663</v>
      </c>
      <c r="BH29" s="1029">
        <v>100000</v>
      </c>
      <c r="BI29" s="1026">
        <v>3</v>
      </c>
      <c r="BJ29" s="1027">
        <v>2</v>
      </c>
      <c r="BK29" s="906">
        <f t="shared" ref="BK29:BK31" si="247">_xlfn.IFS(BI29=0,0,BJ29&lt;=BI29,BJ29/BI29,BJ29&gt;BI29,1)</f>
        <v>0.66666666666666663</v>
      </c>
      <c r="BL29" s="1029">
        <v>100000</v>
      </c>
      <c r="BM29" s="1026">
        <v>3</v>
      </c>
      <c r="BN29" s="1027">
        <v>2</v>
      </c>
      <c r="BO29" s="906">
        <f t="shared" ref="BO29:BO31" si="248">_xlfn.IFS(BM29=0,0,BN29&lt;=BM29,BN29/BM29,BN29&gt;BM29,1)</f>
        <v>0.66666666666666663</v>
      </c>
      <c r="BP29" s="1029">
        <v>100000</v>
      </c>
      <c r="BQ29" s="1026">
        <v>3</v>
      </c>
      <c r="BR29" s="1027">
        <v>2</v>
      </c>
      <c r="BS29" s="906">
        <f t="shared" ref="BS29:BS31" si="249">_xlfn.IFS(BQ29=0,0,BR29&lt;=BQ29,BR29/BQ29,BR29&gt;BQ29,1)</f>
        <v>0.66666666666666663</v>
      </c>
      <c r="BT29" s="1029">
        <v>100000</v>
      </c>
      <c r="BU29" s="1026">
        <v>3</v>
      </c>
      <c r="BV29" s="1027">
        <v>2</v>
      </c>
      <c r="BW29" s="906">
        <f t="shared" ref="BW29:BW31" si="250">_xlfn.IFS(BU29=0,0,BV29&lt;=BU29,BV29/BU29,BV29&gt;BU29,1)</f>
        <v>0.66666666666666663</v>
      </c>
      <c r="BX29" s="1029">
        <v>100000</v>
      </c>
      <c r="BY29" s="1026">
        <v>3</v>
      </c>
      <c r="BZ29" s="1027">
        <v>2</v>
      </c>
      <c r="CA29" s="906">
        <f t="shared" ref="CA29:CA31" si="251">_xlfn.IFS(BY29=0,0,BZ29&lt;=BY29,BZ29/BY29,BZ29&gt;BY29,1)</f>
        <v>0.66666666666666663</v>
      </c>
      <c r="CB29" s="1029">
        <v>100000</v>
      </c>
      <c r="CC29" s="1026">
        <v>3</v>
      </c>
      <c r="CD29" s="1027">
        <v>2</v>
      </c>
      <c r="CE29" s="906">
        <f t="shared" ref="CE29:CE31" si="252">_xlfn.IFS(CC29=0,0,CD29&lt;=CC29,CD29/CC29,CD29&gt;CC29,1)</f>
        <v>0.66666666666666663</v>
      </c>
      <c r="CF29" s="1029">
        <v>100000</v>
      </c>
      <c r="CG29" s="1026">
        <v>3</v>
      </c>
      <c r="CH29" s="1027">
        <v>2</v>
      </c>
      <c r="CI29" s="906">
        <f t="shared" ref="CI29:CI31" si="253">_xlfn.IFS(CG29=0,0,CH29&lt;=CG29,CH29/CG29,CH29&gt;CG29,1)</f>
        <v>0.66666666666666663</v>
      </c>
      <c r="CJ29" s="1029">
        <v>100000</v>
      </c>
      <c r="CK29" s="1026">
        <v>3</v>
      </c>
      <c r="CL29" s="1027">
        <v>2</v>
      </c>
      <c r="CM29" s="906">
        <f t="shared" ref="CM29:CM31" si="254">_xlfn.IFS(CK29=0,0,CL29&lt;=CK29,CL29/CK29,CL29&gt;CK29,1)</f>
        <v>0.66666666666666663</v>
      </c>
      <c r="CN29" s="1029">
        <v>100000</v>
      </c>
      <c r="CO29" s="1026">
        <v>3</v>
      </c>
      <c r="CP29" s="1027">
        <v>2</v>
      </c>
      <c r="CQ29" s="906">
        <f t="shared" ref="CQ29:CQ31" si="255">_xlfn.IFS(CO29=0,0,CP29&lt;=CO29,CP29/CO29,CP29&gt;CO29,1)</f>
        <v>0.66666666666666663</v>
      </c>
      <c r="CR29" s="1029">
        <v>100000</v>
      </c>
      <c r="CS29" s="1026">
        <v>3</v>
      </c>
      <c r="CT29" s="1027">
        <v>2</v>
      </c>
      <c r="CU29" s="906">
        <f t="shared" ref="CU29:CU31" si="256">_xlfn.IFS(CS29=0,0,CT29&lt;=CS29,CT29/CS29,CT29&gt;CS29,1)</f>
        <v>0.66666666666666663</v>
      </c>
      <c r="CV29" s="1029">
        <v>100000</v>
      </c>
      <c r="CW29" s="1026">
        <v>3</v>
      </c>
      <c r="CX29" s="1027">
        <v>2</v>
      </c>
      <c r="CY29" s="906">
        <f t="shared" ref="CY29:CY31" si="257">_xlfn.IFS(CW29=0,0,CX29&lt;=CW29,CX29/CW29,CX29&gt;CW29,1)</f>
        <v>0.66666666666666663</v>
      </c>
      <c r="CZ29" s="1029">
        <v>100000</v>
      </c>
      <c r="DA29" s="1026">
        <v>3</v>
      </c>
      <c r="DB29" s="1027">
        <v>2</v>
      </c>
      <c r="DC29" s="906">
        <f t="shared" ref="DC29:DC31" si="258">_xlfn.IFS(DA29=0,0,DB29&lt;=DA29,DB29/DA29,DB29&gt;DA29,1)</f>
        <v>0.66666666666666663</v>
      </c>
      <c r="DD29" s="1029">
        <v>100000</v>
      </c>
      <c r="DE29" s="1026">
        <v>3</v>
      </c>
      <c r="DF29" s="1027">
        <v>2</v>
      </c>
      <c r="DG29" s="906">
        <f t="shared" ref="DG29:DG31" si="259">_xlfn.IFS(DE29=0,0,DF29&lt;=DE29,DF29/DE29,DF29&gt;DE29,1)</f>
        <v>0.66666666666666663</v>
      </c>
      <c r="DH29" s="1029">
        <v>100000</v>
      </c>
      <c r="DI29" s="1026">
        <v>3</v>
      </c>
      <c r="DJ29" s="1027">
        <v>2</v>
      </c>
      <c r="DK29" s="906">
        <f t="shared" ref="DK29:DK31" si="260">_xlfn.IFS(DI29=0,0,DJ29&lt;=DI29,DJ29/DI29,DJ29&gt;DI29,1)</f>
        <v>0.66666666666666663</v>
      </c>
      <c r="DL29" s="1029">
        <v>100000</v>
      </c>
      <c r="DM29" s="1026">
        <v>3</v>
      </c>
      <c r="DN29" s="1027">
        <v>2</v>
      </c>
      <c r="DO29" s="906">
        <f t="shared" ref="DO29:DO31" si="261">_xlfn.IFS(DM29=0,0,DN29&lt;=DM29,DN29/DM29,DN29&gt;DM29,1)</f>
        <v>0.66666666666666663</v>
      </c>
      <c r="DP29" s="1029">
        <v>100000</v>
      </c>
      <c r="DQ29" s="1026">
        <v>3</v>
      </c>
      <c r="DR29" s="1027">
        <v>2</v>
      </c>
      <c r="DS29" s="906">
        <f t="shared" ref="DS29:DS31" si="262">_xlfn.IFS(DQ29=0,0,DR29&lt;=DQ29,DR29/DQ29,DR29&gt;DQ29,1)</f>
        <v>0.66666666666666663</v>
      </c>
      <c r="DT29" s="1029">
        <v>100000</v>
      </c>
      <c r="DU29" s="1026">
        <v>3</v>
      </c>
      <c r="DV29" s="1027">
        <v>2</v>
      </c>
      <c r="DW29" s="906">
        <f t="shared" ref="DW29:DW31" si="263">_xlfn.IFS(DU29=0,0,DV29&lt;=DU29,DV29/DU29,DV29&gt;DU29,1)</f>
        <v>0.66666666666666663</v>
      </c>
      <c r="DX29" s="1029">
        <v>100000</v>
      </c>
      <c r="DY29" s="1026">
        <v>3</v>
      </c>
      <c r="DZ29" s="1027">
        <v>2</v>
      </c>
      <c r="EA29" s="906">
        <f t="shared" ref="EA29:EA31" si="264">_xlfn.IFS(DY29=0,0,DZ29&lt;=DY29,DZ29/DY29,DZ29&gt;DY29,1)</f>
        <v>0.66666666666666663</v>
      </c>
      <c r="EB29" s="1029">
        <v>100000</v>
      </c>
      <c r="EC29" s="1026">
        <v>3</v>
      </c>
      <c r="ED29" s="1027">
        <v>2</v>
      </c>
      <c r="EE29" s="906">
        <f t="shared" ref="EE29:EE31" si="265">_xlfn.IFS(EC29=0,0,ED29&lt;=EC29,ED29/EC29,ED29&gt;EC29,1)</f>
        <v>0.66666666666666663</v>
      </c>
      <c r="EF29" s="1029">
        <v>100000</v>
      </c>
    </row>
    <row r="30" spans="1:136" ht="20" customHeight="1" x14ac:dyDescent="0.15">
      <c r="A30" s="189">
        <f t="shared" si="197"/>
        <v>0</v>
      </c>
      <c r="B30" s="947"/>
      <c r="C30" s="971" t="s">
        <v>137</v>
      </c>
      <c r="D30" s="851">
        <f>$D$26/5</f>
        <v>15000000</v>
      </c>
      <c r="E30" s="1082">
        <f t="shared" si="199"/>
        <v>3100000</v>
      </c>
      <c r="F30" s="610">
        <f t="shared" si="200"/>
        <v>-11900000</v>
      </c>
      <c r="G30" s="208">
        <f t="shared" si="201"/>
        <v>0.20666666666666667</v>
      </c>
      <c r="H30" s="208">
        <f t="shared" si="233"/>
        <v>1</v>
      </c>
      <c r="I30" s="836"/>
      <c r="J30" s="1110">
        <f t="shared" ca="1" si="234"/>
        <v>0</v>
      </c>
      <c r="K30" s="851"/>
      <c r="L30" s="605">
        <f t="shared" ca="1" si="196"/>
        <v>0</v>
      </c>
      <c r="M30" s="1026">
        <v>5</v>
      </c>
      <c r="N30" s="1027">
        <v>5</v>
      </c>
      <c r="O30" s="906">
        <f t="shared" si="235"/>
        <v>1</v>
      </c>
      <c r="P30" s="1029">
        <v>100000</v>
      </c>
      <c r="Q30" s="1026">
        <v>5</v>
      </c>
      <c r="R30" s="1027">
        <v>5</v>
      </c>
      <c r="S30" s="906">
        <f t="shared" si="236"/>
        <v>1</v>
      </c>
      <c r="T30" s="1029">
        <v>100000</v>
      </c>
      <c r="U30" s="1026">
        <v>5</v>
      </c>
      <c r="V30" s="1027">
        <v>5</v>
      </c>
      <c r="W30" s="906">
        <f t="shared" si="237"/>
        <v>1</v>
      </c>
      <c r="X30" s="1029">
        <v>100000</v>
      </c>
      <c r="Y30" s="1026">
        <v>5</v>
      </c>
      <c r="Z30" s="1027">
        <v>5</v>
      </c>
      <c r="AA30" s="906">
        <f t="shared" si="238"/>
        <v>1</v>
      </c>
      <c r="AB30" s="1029">
        <v>100000</v>
      </c>
      <c r="AC30" s="1026">
        <v>5</v>
      </c>
      <c r="AD30" s="1027">
        <v>5</v>
      </c>
      <c r="AE30" s="906">
        <f t="shared" si="239"/>
        <v>1</v>
      </c>
      <c r="AF30" s="1029">
        <v>100000</v>
      </c>
      <c r="AG30" s="1026">
        <v>5</v>
      </c>
      <c r="AH30" s="1027">
        <v>5</v>
      </c>
      <c r="AI30" s="906">
        <f t="shared" si="240"/>
        <v>1</v>
      </c>
      <c r="AJ30" s="1029">
        <v>100000</v>
      </c>
      <c r="AK30" s="1026">
        <v>5</v>
      </c>
      <c r="AL30" s="1027">
        <v>5</v>
      </c>
      <c r="AM30" s="906">
        <f t="shared" si="241"/>
        <v>1</v>
      </c>
      <c r="AN30" s="1029">
        <v>100000</v>
      </c>
      <c r="AO30" s="1026">
        <v>5</v>
      </c>
      <c r="AP30" s="1027">
        <v>5</v>
      </c>
      <c r="AQ30" s="906">
        <f t="shared" si="242"/>
        <v>1</v>
      </c>
      <c r="AR30" s="1029">
        <v>100000</v>
      </c>
      <c r="AS30" s="1026">
        <v>5</v>
      </c>
      <c r="AT30" s="1027">
        <v>5</v>
      </c>
      <c r="AU30" s="906">
        <f t="shared" si="243"/>
        <v>1</v>
      </c>
      <c r="AV30" s="1029">
        <v>100000</v>
      </c>
      <c r="AW30" s="1026">
        <v>5</v>
      </c>
      <c r="AX30" s="1027">
        <v>5</v>
      </c>
      <c r="AY30" s="906">
        <f t="shared" si="244"/>
        <v>1</v>
      </c>
      <c r="AZ30" s="1029">
        <v>100000</v>
      </c>
      <c r="BA30" s="1026">
        <v>5</v>
      </c>
      <c r="BB30" s="1027">
        <v>5</v>
      </c>
      <c r="BC30" s="906">
        <f t="shared" si="245"/>
        <v>1</v>
      </c>
      <c r="BD30" s="1029">
        <v>100000</v>
      </c>
      <c r="BE30" s="1026">
        <v>5</v>
      </c>
      <c r="BF30" s="1027">
        <v>5</v>
      </c>
      <c r="BG30" s="906">
        <f t="shared" si="246"/>
        <v>1</v>
      </c>
      <c r="BH30" s="1029">
        <v>100000</v>
      </c>
      <c r="BI30" s="1026">
        <v>5</v>
      </c>
      <c r="BJ30" s="1027">
        <v>5</v>
      </c>
      <c r="BK30" s="906">
        <f t="shared" si="247"/>
        <v>1</v>
      </c>
      <c r="BL30" s="1029">
        <v>100000</v>
      </c>
      <c r="BM30" s="1026">
        <v>5</v>
      </c>
      <c r="BN30" s="1027">
        <v>5</v>
      </c>
      <c r="BO30" s="906">
        <f t="shared" si="248"/>
        <v>1</v>
      </c>
      <c r="BP30" s="1029">
        <v>100000</v>
      </c>
      <c r="BQ30" s="1026">
        <v>5</v>
      </c>
      <c r="BR30" s="1027">
        <v>5</v>
      </c>
      <c r="BS30" s="906">
        <f t="shared" si="249"/>
        <v>1</v>
      </c>
      <c r="BT30" s="1029">
        <v>100000</v>
      </c>
      <c r="BU30" s="1026">
        <v>5</v>
      </c>
      <c r="BV30" s="1027">
        <v>5</v>
      </c>
      <c r="BW30" s="906">
        <f t="shared" si="250"/>
        <v>1</v>
      </c>
      <c r="BX30" s="1029">
        <v>100000</v>
      </c>
      <c r="BY30" s="1026">
        <v>5</v>
      </c>
      <c r="BZ30" s="1027">
        <v>5</v>
      </c>
      <c r="CA30" s="906">
        <f t="shared" si="251"/>
        <v>1</v>
      </c>
      <c r="CB30" s="1029">
        <v>100000</v>
      </c>
      <c r="CC30" s="1026">
        <v>5</v>
      </c>
      <c r="CD30" s="1027">
        <v>5</v>
      </c>
      <c r="CE30" s="906">
        <f t="shared" si="252"/>
        <v>1</v>
      </c>
      <c r="CF30" s="1029">
        <v>100000</v>
      </c>
      <c r="CG30" s="1026">
        <v>5</v>
      </c>
      <c r="CH30" s="1027">
        <v>5</v>
      </c>
      <c r="CI30" s="906">
        <f t="shared" si="253"/>
        <v>1</v>
      </c>
      <c r="CJ30" s="1029">
        <v>100000</v>
      </c>
      <c r="CK30" s="1026">
        <v>5</v>
      </c>
      <c r="CL30" s="1027">
        <v>5</v>
      </c>
      <c r="CM30" s="906">
        <f t="shared" si="254"/>
        <v>1</v>
      </c>
      <c r="CN30" s="1029">
        <v>100000</v>
      </c>
      <c r="CO30" s="1026">
        <v>5</v>
      </c>
      <c r="CP30" s="1027">
        <v>5</v>
      </c>
      <c r="CQ30" s="906">
        <f t="shared" si="255"/>
        <v>1</v>
      </c>
      <c r="CR30" s="1029">
        <v>100000</v>
      </c>
      <c r="CS30" s="1026">
        <v>5</v>
      </c>
      <c r="CT30" s="1027">
        <v>5</v>
      </c>
      <c r="CU30" s="906">
        <f t="shared" si="256"/>
        <v>1</v>
      </c>
      <c r="CV30" s="1029">
        <v>100000</v>
      </c>
      <c r="CW30" s="1026">
        <v>5</v>
      </c>
      <c r="CX30" s="1027">
        <v>5</v>
      </c>
      <c r="CY30" s="906">
        <f t="shared" si="257"/>
        <v>1</v>
      </c>
      <c r="CZ30" s="1029">
        <v>100000</v>
      </c>
      <c r="DA30" s="1026">
        <v>5</v>
      </c>
      <c r="DB30" s="1027">
        <v>5</v>
      </c>
      <c r="DC30" s="906">
        <f t="shared" si="258"/>
        <v>1</v>
      </c>
      <c r="DD30" s="1029">
        <v>100000</v>
      </c>
      <c r="DE30" s="1026">
        <v>5</v>
      </c>
      <c r="DF30" s="1027">
        <v>5</v>
      </c>
      <c r="DG30" s="906">
        <f t="shared" si="259"/>
        <v>1</v>
      </c>
      <c r="DH30" s="1029">
        <v>100000</v>
      </c>
      <c r="DI30" s="1026">
        <v>5</v>
      </c>
      <c r="DJ30" s="1027">
        <v>5</v>
      </c>
      <c r="DK30" s="906">
        <f t="shared" si="260"/>
        <v>1</v>
      </c>
      <c r="DL30" s="1029">
        <v>100000</v>
      </c>
      <c r="DM30" s="1026">
        <v>5</v>
      </c>
      <c r="DN30" s="1027">
        <v>5</v>
      </c>
      <c r="DO30" s="906">
        <f t="shared" si="261"/>
        <v>1</v>
      </c>
      <c r="DP30" s="1029">
        <v>100000</v>
      </c>
      <c r="DQ30" s="1026">
        <v>5</v>
      </c>
      <c r="DR30" s="1027">
        <v>5</v>
      </c>
      <c r="DS30" s="906">
        <f t="shared" si="262"/>
        <v>1</v>
      </c>
      <c r="DT30" s="1029">
        <v>100000</v>
      </c>
      <c r="DU30" s="1026">
        <v>5</v>
      </c>
      <c r="DV30" s="1027">
        <v>5</v>
      </c>
      <c r="DW30" s="906">
        <f t="shared" si="263"/>
        <v>1</v>
      </c>
      <c r="DX30" s="1029">
        <v>100000</v>
      </c>
      <c r="DY30" s="1026">
        <v>5</v>
      </c>
      <c r="DZ30" s="1027">
        <v>5</v>
      </c>
      <c r="EA30" s="906">
        <f t="shared" si="264"/>
        <v>1</v>
      </c>
      <c r="EB30" s="1029">
        <v>100000</v>
      </c>
      <c r="EC30" s="1026">
        <v>5</v>
      </c>
      <c r="ED30" s="1027">
        <v>5</v>
      </c>
      <c r="EE30" s="906">
        <f t="shared" si="265"/>
        <v>1</v>
      </c>
      <c r="EF30" s="1029">
        <v>100000</v>
      </c>
    </row>
    <row r="31" spans="1:136" ht="20" customHeight="1" x14ac:dyDescent="0.15">
      <c r="A31" s="189">
        <f t="shared" si="197"/>
        <v>0</v>
      </c>
      <c r="B31" s="947"/>
      <c r="C31" s="971" t="s">
        <v>138</v>
      </c>
      <c r="D31" s="851">
        <f>$D$26/5</f>
        <v>15000000</v>
      </c>
      <c r="E31" s="1082">
        <f t="shared" si="199"/>
        <v>3100000</v>
      </c>
      <c r="F31" s="610">
        <f t="shared" si="200"/>
        <v>-11900000</v>
      </c>
      <c r="G31" s="208">
        <f t="shared" si="201"/>
        <v>0.20666666666666667</v>
      </c>
      <c r="H31" s="208">
        <f>IF(SUMIF(M$13:EF$13,$O$13,M31:EF31)&gt;0,AVERAGEIFS(M31:EF31,M31:EF31,"&gt;0",M$13:EF$13,$O$13),"NO NEW ORDER")</f>
        <v>1</v>
      </c>
      <c r="I31" s="836"/>
      <c r="J31" s="1110">
        <f t="shared" ca="1" si="234"/>
        <v>0</v>
      </c>
      <c r="K31" s="851"/>
      <c r="L31" s="605">
        <f t="shared" ca="1" si="196"/>
        <v>0</v>
      </c>
      <c r="M31" s="1026">
        <v>2</v>
      </c>
      <c r="N31" s="1027">
        <v>2</v>
      </c>
      <c r="O31" s="906">
        <f t="shared" si="235"/>
        <v>1</v>
      </c>
      <c r="P31" s="1029">
        <v>100000</v>
      </c>
      <c r="Q31" s="1026">
        <v>2</v>
      </c>
      <c r="R31" s="1027">
        <v>2</v>
      </c>
      <c r="S31" s="906">
        <f t="shared" si="236"/>
        <v>1</v>
      </c>
      <c r="T31" s="1029">
        <v>100000</v>
      </c>
      <c r="U31" s="1026">
        <v>2</v>
      </c>
      <c r="V31" s="1027">
        <v>2</v>
      </c>
      <c r="W31" s="906">
        <f t="shared" si="237"/>
        <v>1</v>
      </c>
      <c r="X31" s="1029">
        <v>100000</v>
      </c>
      <c r="Y31" s="1026">
        <v>2</v>
      </c>
      <c r="Z31" s="1027">
        <v>2</v>
      </c>
      <c r="AA31" s="906">
        <f t="shared" si="238"/>
        <v>1</v>
      </c>
      <c r="AB31" s="1029">
        <v>100000</v>
      </c>
      <c r="AC31" s="1026">
        <v>2</v>
      </c>
      <c r="AD31" s="1027">
        <v>2</v>
      </c>
      <c r="AE31" s="906">
        <f t="shared" si="239"/>
        <v>1</v>
      </c>
      <c r="AF31" s="1029">
        <v>100000</v>
      </c>
      <c r="AG31" s="1026">
        <v>2</v>
      </c>
      <c r="AH31" s="1027">
        <v>2</v>
      </c>
      <c r="AI31" s="906">
        <f t="shared" si="240"/>
        <v>1</v>
      </c>
      <c r="AJ31" s="1029">
        <v>100000</v>
      </c>
      <c r="AK31" s="1026">
        <v>2</v>
      </c>
      <c r="AL31" s="1027">
        <v>2</v>
      </c>
      <c r="AM31" s="906">
        <f t="shared" si="241"/>
        <v>1</v>
      </c>
      <c r="AN31" s="1029">
        <v>100000</v>
      </c>
      <c r="AO31" s="1026">
        <v>2</v>
      </c>
      <c r="AP31" s="1027">
        <v>2</v>
      </c>
      <c r="AQ31" s="906">
        <f t="shared" si="242"/>
        <v>1</v>
      </c>
      <c r="AR31" s="1029">
        <v>100000</v>
      </c>
      <c r="AS31" s="1026">
        <v>2</v>
      </c>
      <c r="AT31" s="1027">
        <v>2</v>
      </c>
      <c r="AU31" s="906">
        <f t="shared" si="243"/>
        <v>1</v>
      </c>
      <c r="AV31" s="1029">
        <v>100000</v>
      </c>
      <c r="AW31" s="1026">
        <v>2</v>
      </c>
      <c r="AX31" s="1027">
        <v>2</v>
      </c>
      <c r="AY31" s="906">
        <f t="shared" si="244"/>
        <v>1</v>
      </c>
      <c r="AZ31" s="1029">
        <v>100000</v>
      </c>
      <c r="BA31" s="1026">
        <v>2</v>
      </c>
      <c r="BB31" s="1027">
        <v>2</v>
      </c>
      <c r="BC31" s="906">
        <f t="shared" si="245"/>
        <v>1</v>
      </c>
      <c r="BD31" s="1029">
        <v>100000</v>
      </c>
      <c r="BE31" s="1026">
        <v>2</v>
      </c>
      <c r="BF31" s="1027">
        <v>2</v>
      </c>
      <c r="BG31" s="906">
        <f t="shared" si="246"/>
        <v>1</v>
      </c>
      <c r="BH31" s="1029">
        <v>100000</v>
      </c>
      <c r="BI31" s="1026">
        <v>2</v>
      </c>
      <c r="BJ31" s="1027">
        <v>2</v>
      </c>
      <c r="BK31" s="906">
        <f t="shared" si="247"/>
        <v>1</v>
      </c>
      <c r="BL31" s="1029">
        <v>100000</v>
      </c>
      <c r="BM31" s="1026">
        <v>2</v>
      </c>
      <c r="BN31" s="1027">
        <v>2</v>
      </c>
      <c r="BO31" s="906">
        <f t="shared" si="248"/>
        <v>1</v>
      </c>
      <c r="BP31" s="1029">
        <v>100000</v>
      </c>
      <c r="BQ31" s="1026">
        <v>2</v>
      </c>
      <c r="BR31" s="1027">
        <v>2</v>
      </c>
      <c r="BS31" s="906">
        <f t="shared" si="249"/>
        <v>1</v>
      </c>
      <c r="BT31" s="1029">
        <v>100000</v>
      </c>
      <c r="BU31" s="1026">
        <v>2</v>
      </c>
      <c r="BV31" s="1027">
        <v>2</v>
      </c>
      <c r="BW31" s="906">
        <f t="shared" si="250"/>
        <v>1</v>
      </c>
      <c r="BX31" s="1029">
        <v>100000</v>
      </c>
      <c r="BY31" s="1026">
        <v>2</v>
      </c>
      <c r="BZ31" s="1027">
        <v>2</v>
      </c>
      <c r="CA31" s="906">
        <f t="shared" si="251"/>
        <v>1</v>
      </c>
      <c r="CB31" s="1029">
        <v>100000</v>
      </c>
      <c r="CC31" s="1026">
        <v>2</v>
      </c>
      <c r="CD31" s="1027">
        <v>2</v>
      </c>
      <c r="CE31" s="906">
        <f t="shared" si="252"/>
        <v>1</v>
      </c>
      <c r="CF31" s="1029">
        <v>100000</v>
      </c>
      <c r="CG31" s="1026">
        <v>2</v>
      </c>
      <c r="CH31" s="1027">
        <v>2</v>
      </c>
      <c r="CI31" s="906">
        <f t="shared" si="253"/>
        <v>1</v>
      </c>
      <c r="CJ31" s="1029">
        <v>100000</v>
      </c>
      <c r="CK31" s="1026">
        <v>2</v>
      </c>
      <c r="CL31" s="1027">
        <v>2</v>
      </c>
      <c r="CM31" s="906">
        <f t="shared" si="254"/>
        <v>1</v>
      </c>
      <c r="CN31" s="1029">
        <v>100000</v>
      </c>
      <c r="CO31" s="1026">
        <v>2</v>
      </c>
      <c r="CP31" s="1027">
        <v>2</v>
      </c>
      <c r="CQ31" s="906">
        <f t="shared" si="255"/>
        <v>1</v>
      </c>
      <c r="CR31" s="1029">
        <v>100000</v>
      </c>
      <c r="CS31" s="1026">
        <v>2</v>
      </c>
      <c r="CT31" s="1027">
        <v>2</v>
      </c>
      <c r="CU31" s="906">
        <f t="shared" si="256"/>
        <v>1</v>
      </c>
      <c r="CV31" s="1029">
        <v>100000</v>
      </c>
      <c r="CW31" s="1026">
        <v>2</v>
      </c>
      <c r="CX31" s="1027">
        <v>2</v>
      </c>
      <c r="CY31" s="906">
        <f t="shared" si="257"/>
        <v>1</v>
      </c>
      <c r="CZ31" s="1029">
        <v>100000</v>
      </c>
      <c r="DA31" s="1026">
        <v>2</v>
      </c>
      <c r="DB31" s="1027">
        <v>2</v>
      </c>
      <c r="DC31" s="906">
        <f t="shared" si="258"/>
        <v>1</v>
      </c>
      <c r="DD31" s="1029">
        <v>100000</v>
      </c>
      <c r="DE31" s="1026">
        <v>2</v>
      </c>
      <c r="DF31" s="1027">
        <v>2</v>
      </c>
      <c r="DG31" s="906">
        <f t="shared" si="259"/>
        <v>1</v>
      </c>
      <c r="DH31" s="1029">
        <v>100000</v>
      </c>
      <c r="DI31" s="1026">
        <v>2</v>
      </c>
      <c r="DJ31" s="1027">
        <v>2</v>
      </c>
      <c r="DK31" s="906">
        <f t="shared" si="260"/>
        <v>1</v>
      </c>
      <c r="DL31" s="1029">
        <v>100000</v>
      </c>
      <c r="DM31" s="1026">
        <v>2</v>
      </c>
      <c r="DN31" s="1027">
        <v>2</v>
      </c>
      <c r="DO31" s="906">
        <f t="shared" si="261"/>
        <v>1</v>
      </c>
      <c r="DP31" s="1029">
        <v>100000</v>
      </c>
      <c r="DQ31" s="1026">
        <v>2</v>
      </c>
      <c r="DR31" s="1027">
        <v>2</v>
      </c>
      <c r="DS31" s="906">
        <f t="shared" si="262"/>
        <v>1</v>
      </c>
      <c r="DT31" s="1029">
        <v>100000</v>
      </c>
      <c r="DU31" s="1026">
        <v>2</v>
      </c>
      <c r="DV31" s="1027">
        <v>2</v>
      </c>
      <c r="DW31" s="906">
        <f t="shared" si="263"/>
        <v>1</v>
      </c>
      <c r="DX31" s="1029">
        <v>100000</v>
      </c>
      <c r="DY31" s="1026">
        <v>2</v>
      </c>
      <c r="DZ31" s="1027">
        <v>2</v>
      </c>
      <c r="EA31" s="906">
        <f t="shared" si="264"/>
        <v>1</v>
      </c>
      <c r="EB31" s="1029">
        <v>100000</v>
      </c>
      <c r="EC31" s="1026">
        <v>2</v>
      </c>
      <c r="ED31" s="1027">
        <v>2</v>
      </c>
      <c r="EE31" s="906">
        <f t="shared" si="265"/>
        <v>1</v>
      </c>
      <c r="EF31" s="1029">
        <v>100000</v>
      </c>
    </row>
    <row r="32" spans="1:136" ht="20" customHeight="1" x14ac:dyDescent="0.15">
      <c r="A32" s="870">
        <f t="shared" si="197"/>
        <v>0</v>
      </c>
      <c r="B32" s="948"/>
      <c r="C32" s="883" t="str">
        <f>Dashboard!K98</f>
        <v>WEBSITE</v>
      </c>
      <c r="D32" s="686">
        <f>Dashboard!U98</f>
        <v>15000000</v>
      </c>
      <c r="E32" s="1065">
        <f>SUMIF($M$13:$EF$13,$P$13,$M32:$EF32)</f>
        <v>17050000</v>
      </c>
      <c r="F32" s="686">
        <f>E32-D32</f>
        <v>2050000</v>
      </c>
      <c r="G32" s="788">
        <f>_xlfn.IFS(F32&gt;0,1,F32&lt;=0,E32/D32)</f>
        <v>1</v>
      </c>
      <c r="H32" s="788">
        <f>IF(SUMIF(M$13:EF$13,$O$13,M32:EF32)&gt;0,AVERAGEIFS(M32:EF32,M32:EF32,"&gt;0",M$13:EF$13,$O$13),"NO NEW ORDER")</f>
        <v>0.41666666666666652</v>
      </c>
      <c r="I32" s="788">
        <f>Dashboard!M119</f>
        <v>0.16041666666666665</v>
      </c>
      <c r="J32" s="788">
        <f ca="1">IF(SUM(J33:J34)&gt;0,AVERAGEIF(J33:J34,"&gt;0"),0)</f>
        <v>0</v>
      </c>
      <c r="K32" s="686">
        <f>D32/'Action Plan'!$C$6</f>
        <v>576923.07692307688</v>
      </c>
      <c r="L32" s="933">
        <f ca="1">SUMIFS($M32:$EF32,$M$11:$EF$11,TODAY()-1,$M$13:$EF$13,P$13)</f>
        <v>0</v>
      </c>
      <c r="M32" s="899">
        <f>SUM(M33:M34)</f>
        <v>7</v>
      </c>
      <c r="N32" s="904">
        <f>SUM(N33:N34)</f>
        <v>3</v>
      </c>
      <c r="O32" s="788">
        <f>IF(SUM(O33:O34)&gt;0,AVERAGEIF(O33:O34,"&gt;0"),0)</f>
        <v>0.41666666666666663</v>
      </c>
      <c r="P32" s="891">
        <f>SUM(P33:P34)</f>
        <v>550000</v>
      </c>
      <c r="Q32" s="899">
        <f>SUM(Q33:Q34)</f>
        <v>7</v>
      </c>
      <c r="R32" s="904">
        <f>SUM(R33:R34)</f>
        <v>3</v>
      </c>
      <c r="S32" s="788">
        <f>IF(SUM(S33:S34)&gt;0,AVERAGEIF(S33:S34,"&gt;0"),0)</f>
        <v>0.41666666666666663</v>
      </c>
      <c r="T32" s="891">
        <f>SUM(T33:T34)</f>
        <v>550000</v>
      </c>
      <c r="U32" s="899">
        <f>SUM(U33:U34)</f>
        <v>7</v>
      </c>
      <c r="V32" s="904">
        <f>SUM(V33:V34)</f>
        <v>3</v>
      </c>
      <c r="W32" s="788">
        <f>IF(SUM(W33:W34)&gt;0,AVERAGEIF(W33:W34,"&gt;0"),0)</f>
        <v>0.41666666666666663</v>
      </c>
      <c r="X32" s="891">
        <f>SUM(X33:X34)</f>
        <v>550000</v>
      </c>
      <c r="Y32" s="899">
        <f>SUM(Y33:Y34)</f>
        <v>7</v>
      </c>
      <c r="Z32" s="904">
        <f>SUM(Z33:Z34)</f>
        <v>3</v>
      </c>
      <c r="AA32" s="788">
        <f>IF(SUM(AA33:AA34)&gt;0,AVERAGEIF(AA33:AA34,"&gt;0"),0)</f>
        <v>0.41666666666666663</v>
      </c>
      <c r="AB32" s="891">
        <f>SUM(AB33:AB34)</f>
        <v>550000</v>
      </c>
      <c r="AC32" s="899">
        <f>SUM(AC33:AC34)</f>
        <v>7</v>
      </c>
      <c r="AD32" s="904">
        <f>SUM(AD33:AD34)</f>
        <v>3</v>
      </c>
      <c r="AE32" s="788">
        <f>IF(SUM(AE33:AE34)&gt;0,AVERAGEIF(AE33:AE34,"&gt;0"),0)</f>
        <v>0.41666666666666663</v>
      </c>
      <c r="AF32" s="891">
        <f>SUM(AF33:AF34)</f>
        <v>550000</v>
      </c>
      <c r="AG32" s="899">
        <f>SUM(AG33:AG34)</f>
        <v>7</v>
      </c>
      <c r="AH32" s="904">
        <f>SUM(AH33:AH34)</f>
        <v>3</v>
      </c>
      <c r="AI32" s="788">
        <f>IF(SUM(AI33:AI34)&gt;0,AVERAGEIF(AI33:AI34,"&gt;0"),0)</f>
        <v>0.41666666666666663</v>
      </c>
      <c r="AJ32" s="891">
        <f>SUM(AJ33:AJ34)</f>
        <v>550000</v>
      </c>
      <c r="AK32" s="899">
        <f>SUM(AK33:AK34)</f>
        <v>7</v>
      </c>
      <c r="AL32" s="904">
        <f>SUM(AL33:AL34)</f>
        <v>3</v>
      </c>
      <c r="AM32" s="788">
        <f>IF(SUM(AM33:AM34)&gt;0,AVERAGEIF(AM33:AM34,"&gt;0"),0)</f>
        <v>0.41666666666666663</v>
      </c>
      <c r="AN32" s="891">
        <f>SUM(AN33:AN34)</f>
        <v>550000</v>
      </c>
      <c r="AO32" s="899">
        <f>SUM(AO33:AO34)</f>
        <v>7</v>
      </c>
      <c r="AP32" s="904">
        <f>SUM(AP33:AP34)</f>
        <v>3</v>
      </c>
      <c r="AQ32" s="788">
        <f>IF(SUM(AQ33:AQ34)&gt;0,AVERAGEIF(AQ33:AQ34,"&gt;0"),0)</f>
        <v>0.41666666666666663</v>
      </c>
      <c r="AR32" s="891">
        <f>SUM(AR33:AR34)</f>
        <v>550000</v>
      </c>
      <c r="AS32" s="899">
        <f>SUM(AS33:AS34)</f>
        <v>7</v>
      </c>
      <c r="AT32" s="904">
        <f>SUM(AT33:AT34)</f>
        <v>3</v>
      </c>
      <c r="AU32" s="788">
        <f>IF(SUM(AU33:AU34)&gt;0,AVERAGEIF(AU33:AU34,"&gt;0"),0)</f>
        <v>0.41666666666666663</v>
      </c>
      <c r="AV32" s="891">
        <f>SUM(AV33:AV34)</f>
        <v>550000</v>
      </c>
      <c r="AW32" s="899">
        <f>SUM(AW33:AW34)</f>
        <v>7</v>
      </c>
      <c r="AX32" s="904">
        <f>SUM(AX33:AX34)</f>
        <v>3</v>
      </c>
      <c r="AY32" s="788">
        <f>IF(SUM(AY33:AY34)&gt;0,AVERAGEIF(AY33:AY34,"&gt;0"),0)</f>
        <v>0.41666666666666663</v>
      </c>
      <c r="AZ32" s="891">
        <f>SUM(AZ33:AZ34)</f>
        <v>550000</v>
      </c>
      <c r="BA32" s="899">
        <f>SUM(BA33:BA34)</f>
        <v>7</v>
      </c>
      <c r="BB32" s="904">
        <f>SUM(BB33:BB34)</f>
        <v>3</v>
      </c>
      <c r="BC32" s="788">
        <f>IF(SUM(BC33:BC34)&gt;0,AVERAGEIF(BC33:BC34,"&gt;0"),0)</f>
        <v>0.41666666666666663</v>
      </c>
      <c r="BD32" s="891">
        <f>SUM(BD33:BD34)</f>
        <v>550000</v>
      </c>
      <c r="BE32" s="899">
        <f>SUM(BE33:BE34)</f>
        <v>7</v>
      </c>
      <c r="BF32" s="904">
        <f>SUM(BF33:BF34)</f>
        <v>3</v>
      </c>
      <c r="BG32" s="788">
        <f>IF(SUM(BG33:BG34)&gt;0,AVERAGEIF(BG33:BG34,"&gt;0"),0)</f>
        <v>0.41666666666666663</v>
      </c>
      <c r="BH32" s="891">
        <f>SUM(BH33:BH34)</f>
        <v>550000</v>
      </c>
      <c r="BI32" s="899">
        <f>SUM(BI33:BI34)</f>
        <v>7</v>
      </c>
      <c r="BJ32" s="904">
        <f>SUM(BJ33:BJ34)</f>
        <v>3</v>
      </c>
      <c r="BK32" s="788">
        <f>IF(SUM(BK33:BK34)&gt;0,AVERAGEIF(BK33:BK34,"&gt;0"),0)</f>
        <v>0.41666666666666663</v>
      </c>
      <c r="BL32" s="891">
        <f>SUM(BL33:BL34)</f>
        <v>550000</v>
      </c>
      <c r="BM32" s="899">
        <f>SUM(BM33:BM34)</f>
        <v>7</v>
      </c>
      <c r="BN32" s="904">
        <f>SUM(BN33:BN34)</f>
        <v>3</v>
      </c>
      <c r="BO32" s="788">
        <f>IF(SUM(BO33:BO34)&gt;0,AVERAGEIF(BO33:BO34,"&gt;0"),0)</f>
        <v>0.41666666666666663</v>
      </c>
      <c r="BP32" s="891">
        <f>SUM(BP33:BP34)</f>
        <v>550000</v>
      </c>
      <c r="BQ32" s="899">
        <f>SUM(BQ33:BQ34)</f>
        <v>7</v>
      </c>
      <c r="BR32" s="904">
        <f>SUM(BR33:BR34)</f>
        <v>3</v>
      </c>
      <c r="BS32" s="788">
        <f>IF(SUM(BS33:BS34)&gt;0,AVERAGEIF(BS33:BS34,"&gt;0"),0)</f>
        <v>0.41666666666666663</v>
      </c>
      <c r="BT32" s="891">
        <f>SUM(BT33:BT34)</f>
        <v>550000</v>
      </c>
      <c r="BU32" s="899">
        <f>SUM(BU33:BU34)</f>
        <v>7</v>
      </c>
      <c r="BV32" s="904">
        <f>SUM(BV33:BV34)</f>
        <v>3</v>
      </c>
      <c r="BW32" s="788">
        <f>IF(SUM(BW33:BW34)&gt;0,AVERAGEIF(BW33:BW34,"&gt;0"),0)</f>
        <v>0.41666666666666663</v>
      </c>
      <c r="BX32" s="891">
        <f>SUM(BX33:BX34)</f>
        <v>550000</v>
      </c>
      <c r="BY32" s="899">
        <f>SUM(BY33:BY34)</f>
        <v>7</v>
      </c>
      <c r="BZ32" s="904">
        <f>SUM(BZ33:BZ34)</f>
        <v>3</v>
      </c>
      <c r="CA32" s="788">
        <f>IF(SUM(CA33:CA34)&gt;0,AVERAGEIF(CA33:CA34,"&gt;0"),0)</f>
        <v>0.41666666666666663</v>
      </c>
      <c r="CB32" s="891">
        <f>SUM(CB33:CB34)</f>
        <v>550000</v>
      </c>
      <c r="CC32" s="899">
        <f>SUM(CC33:CC34)</f>
        <v>7</v>
      </c>
      <c r="CD32" s="904">
        <f>SUM(CD33:CD34)</f>
        <v>3</v>
      </c>
      <c r="CE32" s="788">
        <f>IF(SUM(CE33:CE34)&gt;0,AVERAGEIF(CE33:CE34,"&gt;0"),0)</f>
        <v>0.41666666666666663</v>
      </c>
      <c r="CF32" s="891">
        <f>SUM(CF33:CF34)</f>
        <v>550000</v>
      </c>
      <c r="CG32" s="899">
        <f>SUM(CG33:CG34)</f>
        <v>7</v>
      </c>
      <c r="CH32" s="904">
        <f>SUM(CH33:CH34)</f>
        <v>3</v>
      </c>
      <c r="CI32" s="788">
        <f>IF(SUM(CI33:CI34)&gt;0,AVERAGEIF(CI33:CI34,"&gt;0"),0)</f>
        <v>0.41666666666666663</v>
      </c>
      <c r="CJ32" s="891">
        <f>SUM(CJ33:CJ34)</f>
        <v>550000</v>
      </c>
      <c r="CK32" s="899">
        <f>SUM(CK33:CK34)</f>
        <v>7</v>
      </c>
      <c r="CL32" s="904">
        <f>SUM(CL33:CL34)</f>
        <v>3</v>
      </c>
      <c r="CM32" s="788">
        <f>IF(SUM(CM33:CM34)&gt;0,AVERAGEIF(CM33:CM34,"&gt;0"),0)</f>
        <v>0.41666666666666663</v>
      </c>
      <c r="CN32" s="891">
        <f>SUM(CN33:CN34)</f>
        <v>550000</v>
      </c>
      <c r="CO32" s="899">
        <f>SUM(CO33:CO34)</f>
        <v>7</v>
      </c>
      <c r="CP32" s="904">
        <f>SUM(CP33:CP34)</f>
        <v>3</v>
      </c>
      <c r="CQ32" s="788">
        <f>IF(SUM(CQ33:CQ34)&gt;0,AVERAGEIF(CQ33:CQ34,"&gt;0"),0)</f>
        <v>0.41666666666666663</v>
      </c>
      <c r="CR32" s="891">
        <f>SUM(CR33:CR34)</f>
        <v>550000</v>
      </c>
      <c r="CS32" s="899">
        <f>SUM(CS33:CS34)</f>
        <v>7</v>
      </c>
      <c r="CT32" s="904">
        <f>SUM(CT33:CT34)</f>
        <v>3</v>
      </c>
      <c r="CU32" s="788">
        <f>IF(SUM(CU33:CU34)&gt;0,AVERAGEIF(CU33:CU34,"&gt;0"),0)</f>
        <v>0.41666666666666663</v>
      </c>
      <c r="CV32" s="891">
        <f>SUM(CV33:CV34)</f>
        <v>550000</v>
      </c>
      <c r="CW32" s="899">
        <f>SUM(CW33:CW34)</f>
        <v>7</v>
      </c>
      <c r="CX32" s="904">
        <f>SUM(CX33:CX34)</f>
        <v>3</v>
      </c>
      <c r="CY32" s="788">
        <f>IF(SUM(CY33:CY34)&gt;0,AVERAGEIF(CY33:CY34,"&gt;0"),0)</f>
        <v>0.41666666666666663</v>
      </c>
      <c r="CZ32" s="891">
        <f>SUM(CZ33:CZ34)</f>
        <v>550000</v>
      </c>
      <c r="DA32" s="899">
        <f>SUM(DA33:DA34)</f>
        <v>7</v>
      </c>
      <c r="DB32" s="904">
        <f>SUM(DB33:DB34)</f>
        <v>3</v>
      </c>
      <c r="DC32" s="788">
        <f>IF(SUM(DC33:DC34)&gt;0,AVERAGEIF(DC33:DC34,"&gt;0"),0)</f>
        <v>0.41666666666666663</v>
      </c>
      <c r="DD32" s="891">
        <f>SUM(DD33:DD34)</f>
        <v>550000</v>
      </c>
      <c r="DE32" s="899">
        <f>SUM(DE33:DE34)</f>
        <v>7</v>
      </c>
      <c r="DF32" s="904">
        <f>SUM(DF33:DF34)</f>
        <v>3</v>
      </c>
      <c r="DG32" s="788">
        <f>IF(SUM(DG33:DG34)&gt;0,AVERAGEIF(DG33:DG34,"&gt;0"),0)</f>
        <v>0.41666666666666663</v>
      </c>
      <c r="DH32" s="891">
        <f>SUM(DH33:DH34)</f>
        <v>550000</v>
      </c>
      <c r="DI32" s="899">
        <f>SUM(DI33:DI34)</f>
        <v>7</v>
      </c>
      <c r="DJ32" s="904">
        <f>SUM(DJ33:DJ34)</f>
        <v>3</v>
      </c>
      <c r="DK32" s="788">
        <f>IF(SUM(DK33:DK34)&gt;0,AVERAGEIF(DK33:DK34,"&gt;0"),0)</f>
        <v>0.41666666666666663</v>
      </c>
      <c r="DL32" s="891">
        <f>SUM(DL33:DL34)</f>
        <v>550000</v>
      </c>
      <c r="DM32" s="899">
        <f>SUM(DM33:DM34)</f>
        <v>7</v>
      </c>
      <c r="DN32" s="904">
        <f>SUM(DN33:DN34)</f>
        <v>3</v>
      </c>
      <c r="DO32" s="788">
        <f>IF(SUM(DO33:DO34)&gt;0,AVERAGEIF(DO33:DO34,"&gt;0"),0)</f>
        <v>0.41666666666666663</v>
      </c>
      <c r="DP32" s="891">
        <f>SUM(DP33:DP34)</f>
        <v>550000</v>
      </c>
      <c r="DQ32" s="899">
        <f>SUM(DQ33:DQ34)</f>
        <v>7</v>
      </c>
      <c r="DR32" s="904">
        <f>SUM(DR33:DR34)</f>
        <v>3</v>
      </c>
      <c r="DS32" s="788">
        <f>IF(SUM(DS33:DS34)&gt;0,AVERAGEIF(DS33:DS34,"&gt;0"),0)</f>
        <v>0.41666666666666663</v>
      </c>
      <c r="DT32" s="891">
        <f>SUM(DT33:DT34)</f>
        <v>550000</v>
      </c>
      <c r="DU32" s="899">
        <f>SUM(DU33:DU34)</f>
        <v>7</v>
      </c>
      <c r="DV32" s="904">
        <f>SUM(DV33:DV34)</f>
        <v>3</v>
      </c>
      <c r="DW32" s="788">
        <f>IF(SUM(DW33:DW34)&gt;0,AVERAGEIF(DW33:DW34,"&gt;0"),0)</f>
        <v>0.41666666666666663</v>
      </c>
      <c r="DX32" s="891">
        <f>SUM(DX33:DX34)</f>
        <v>550000</v>
      </c>
      <c r="DY32" s="899">
        <f>SUM(DY33:DY34)</f>
        <v>7</v>
      </c>
      <c r="DZ32" s="904">
        <f>SUM(DZ33:DZ34)</f>
        <v>3</v>
      </c>
      <c r="EA32" s="788">
        <f>IF(SUM(EA33:EA34)&gt;0,AVERAGEIF(EA33:EA34,"&gt;0"),0)</f>
        <v>0.41666666666666663</v>
      </c>
      <c r="EB32" s="891">
        <f>SUM(EB33:EB34)</f>
        <v>550000</v>
      </c>
      <c r="EC32" s="899">
        <f>SUM(EC33:EC34)</f>
        <v>7</v>
      </c>
      <c r="ED32" s="904">
        <f>SUM(ED33:ED34)</f>
        <v>3</v>
      </c>
      <c r="EE32" s="788">
        <f>IF(SUM(EE33:EE34)&gt;0,AVERAGEIF(EE33:EE34,"&gt;0"),0)</f>
        <v>0.41666666666666663</v>
      </c>
      <c r="EF32" s="891">
        <f>SUM(EF33:EF34)</f>
        <v>550000</v>
      </c>
    </row>
    <row r="33" spans="1:136" ht="20" customHeight="1" x14ac:dyDescent="0.15">
      <c r="A33" s="189">
        <f t="shared" si="197"/>
        <v>0</v>
      </c>
      <c r="B33" s="948"/>
      <c r="C33" s="970" t="s">
        <v>132</v>
      </c>
      <c r="D33" s="610">
        <f>$D$32/2</f>
        <v>7500000</v>
      </c>
      <c r="E33" s="1082">
        <f t="shared" ref="E33:E34" si="266">SUMIF($M$13:$EF$13,$P$13,$M33:$EF33)</f>
        <v>6200000</v>
      </c>
      <c r="F33" s="610">
        <f t="shared" ref="F33:F35" si="267">E33-D33</f>
        <v>-1300000</v>
      </c>
      <c r="G33" s="208">
        <f t="shared" ref="G33:G35" si="268">_xlfn.IFS(F33&gt;0,1,F33&lt;=0,E33/D33)</f>
        <v>0.82666666666666666</v>
      </c>
      <c r="H33" s="208">
        <f>IF(SUMIF(M$13:EF$13,$O$13,M33:EF33)&gt;0,AVERAGEIFS(M33:EF33,M33:EF33,"&gt;0",M$13:EF$13,$O$13),"NO NEW ORDER")</f>
        <v>0.33333333333333337</v>
      </c>
      <c r="I33" s="788"/>
      <c r="J33" s="208">
        <f ca="1">SUMIFS($M33:$EF33,$M$11:$EF$11,TODAY()-1,$M$13:$EF$13,O$13)</f>
        <v>0</v>
      </c>
      <c r="K33" s="686"/>
      <c r="L33" s="605">
        <f ca="1">SUMIFS($M33:$EF33,$M$11:$EF$11,TODAY()-1,$M$13:$EF$13,P$13)</f>
        <v>0</v>
      </c>
      <c r="M33" s="1026">
        <v>3</v>
      </c>
      <c r="N33" s="1027">
        <v>1</v>
      </c>
      <c r="O33" s="208">
        <f>_xlfn.IFS(M33=0,0,N33&lt;=M33,N33/M33,N33&gt;M33,1)</f>
        <v>0.33333333333333331</v>
      </c>
      <c r="P33" s="1029">
        <v>200000</v>
      </c>
      <c r="Q33" s="1026">
        <v>3</v>
      </c>
      <c r="R33" s="1027">
        <v>1</v>
      </c>
      <c r="S33" s="208">
        <f>_xlfn.IFS(Q33=0,0,R33&lt;=Q33,R33/Q33,R33&gt;Q33,1)</f>
        <v>0.33333333333333331</v>
      </c>
      <c r="T33" s="1029">
        <v>200000</v>
      </c>
      <c r="U33" s="1026">
        <v>3</v>
      </c>
      <c r="V33" s="1027">
        <v>1</v>
      </c>
      <c r="W33" s="208">
        <f>_xlfn.IFS(U33=0,0,V33&lt;=U33,V33/U33,V33&gt;U33,1)</f>
        <v>0.33333333333333331</v>
      </c>
      <c r="X33" s="1029">
        <v>200000</v>
      </c>
      <c r="Y33" s="1026">
        <v>3</v>
      </c>
      <c r="Z33" s="1027">
        <v>1</v>
      </c>
      <c r="AA33" s="208">
        <f>_xlfn.IFS(Y33=0,0,Z33&lt;=Y33,Z33/Y33,Z33&gt;Y33,1)</f>
        <v>0.33333333333333331</v>
      </c>
      <c r="AB33" s="1029">
        <v>200000</v>
      </c>
      <c r="AC33" s="1026">
        <v>3</v>
      </c>
      <c r="AD33" s="1027">
        <v>1</v>
      </c>
      <c r="AE33" s="208">
        <f>_xlfn.IFS(AC33=0,0,AD33&lt;=AC33,AD33/AC33,AD33&gt;AC33,1)</f>
        <v>0.33333333333333331</v>
      </c>
      <c r="AF33" s="1029">
        <v>200000</v>
      </c>
      <c r="AG33" s="1026">
        <v>3</v>
      </c>
      <c r="AH33" s="1027">
        <v>1</v>
      </c>
      <c r="AI33" s="208">
        <f>_xlfn.IFS(AG33=0,0,AH33&lt;=AG33,AH33/AG33,AH33&gt;AG33,1)</f>
        <v>0.33333333333333331</v>
      </c>
      <c r="AJ33" s="1029">
        <v>200000</v>
      </c>
      <c r="AK33" s="1026">
        <v>3</v>
      </c>
      <c r="AL33" s="1027">
        <v>1</v>
      </c>
      <c r="AM33" s="208">
        <f>_xlfn.IFS(AK33=0,0,AL33&lt;=AK33,AL33/AK33,AL33&gt;AK33,1)</f>
        <v>0.33333333333333331</v>
      </c>
      <c r="AN33" s="1029">
        <v>200000</v>
      </c>
      <c r="AO33" s="1026">
        <v>3</v>
      </c>
      <c r="AP33" s="1027">
        <v>1</v>
      </c>
      <c r="AQ33" s="208">
        <f>_xlfn.IFS(AO33=0,0,AP33&lt;=AO33,AP33/AO33,AP33&gt;AO33,1)</f>
        <v>0.33333333333333331</v>
      </c>
      <c r="AR33" s="1029">
        <v>200000</v>
      </c>
      <c r="AS33" s="1026">
        <v>3</v>
      </c>
      <c r="AT33" s="1027">
        <v>1</v>
      </c>
      <c r="AU33" s="208">
        <f>_xlfn.IFS(AS33=0,0,AT33&lt;=AS33,AT33/AS33,AT33&gt;AS33,1)</f>
        <v>0.33333333333333331</v>
      </c>
      <c r="AV33" s="1029">
        <v>200000</v>
      </c>
      <c r="AW33" s="1026">
        <v>3</v>
      </c>
      <c r="AX33" s="1027">
        <v>1</v>
      </c>
      <c r="AY33" s="208">
        <f>_xlfn.IFS(AW33=0,0,AX33&lt;=AW33,AX33/AW33,AX33&gt;AW33,1)</f>
        <v>0.33333333333333331</v>
      </c>
      <c r="AZ33" s="1029">
        <v>200000</v>
      </c>
      <c r="BA33" s="1026">
        <v>3</v>
      </c>
      <c r="BB33" s="1027">
        <v>1</v>
      </c>
      <c r="BC33" s="208">
        <f>_xlfn.IFS(BA33=0,0,BB33&lt;=BA33,BB33/BA33,BB33&gt;BA33,1)</f>
        <v>0.33333333333333331</v>
      </c>
      <c r="BD33" s="1029">
        <v>200000</v>
      </c>
      <c r="BE33" s="1026">
        <v>3</v>
      </c>
      <c r="BF33" s="1027">
        <v>1</v>
      </c>
      <c r="BG33" s="208">
        <f>_xlfn.IFS(BE33=0,0,BF33&lt;=BE33,BF33/BE33,BF33&gt;BE33,1)</f>
        <v>0.33333333333333331</v>
      </c>
      <c r="BH33" s="1029">
        <v>200000</v>
      </c>
      <c r="BI33" s="1026">
        <v>3</v>
      </c>
      <c r="BJ33" s="1027">
        <v>1</v>
      </c>
      <c r="BK33" s="208">
        <f>_xlfn.IFS(BI33=0,0,BJ33&lt;=BI33,BJ33/BI33,BJ33&gt;BI33,1)</f>
        <v>0.33333333333333331</v>
      </c>
      <c r="BL33" s="1029">
        <v>200000</v>
      </c>
      <c r="BM33" s="1026">
        <v>3</v>
      </c>
      <c r="BN33" s="1027">
        <v>1</v>
      </c>
      <c r="BO33" s="208">
        <f>_xlfn.IFS(BM33=0,0,BN33&lt;=BM33,BN33/BM33,BN33&gt;BM33,1)</f>
        <v>0.33333333333333331</v>
      </c>
      <c r="BP33" s="1029">
        <v>200000</v>
      </c>
      <c r="BQ33" s="1026">
        <v>3</v>
      </c>
      <c r="BR33" s="1027">
        <v>1</v>
      </c>
      <c r="BS33" s="208">
        <f>_xlfn.IFS(BQ33=0,0,BR33&lt;=BQ33,BR33/BQ33,BR33&gt;BQ33,1)</f>
        <v>0.33333333333333331</v>
      </c>
      <c r="BT33" s="1029">
        <v>200000</v>
      </c>
      <c r="BU33" s="1026">
        <v>3</v>
      </c>
      <c r="BV33" s="1027">
        <v>1</v>
      </c>
      <c r="BW33" s="208">
        <f>_xlfn.IFS(BU33=0,0,BV33&lt;=BU33,BV33/BU33,BV33&gt;BU33,1)</f>
        <v>0.33333333333333331</v>
      </c>
      <c r="BX33" s="1029">
        <v>200000</v>
      </c>
      <c r="BY33" s="1026">
        <v>3</v>
      </c>
      <c r="BZ33" s="1027">
        <v>1</v>
      </c>
      <c r="CA33" s="208">
        <f>_xlfn.IFS(BY33=0,0,BZ33&lt;=BY33,BZ33/BY33,BZ33&gt;BY33,1)</f>
        <v>0.33333333333333331</v>
      </c>
      <c r="CB33" s="1029">
        <v>200000</v>
      </c>
      <c r="CC33" s="1026">
        <v>3</v>
      </c>
      <c r="CD33" s="1027">
        <v>1</v>
      </c>
      <c r="CE33" s="208">
        <f>_xlfn.IFS(CC33=0,0,CD33&lt;=CC33,CD33/CC33,CD33&gt;CC33,1)</f>
        <v>0.33333333333333331</v>
      </c>
      <c r="CF33" s="1029">
        <v>200000</v>
      </c>
      <c r="CG33" s="1026">
        <v>3</v>
      </c>
      <c r="CH33" s="1027">
        <v>1</v>
      </c>
      <c r="CI33" s="208">
        <f>_xlfn.IFS(CG33=0,0,CH33&lt;=CG33,CH33/CG33,CH33&gt;CG33,1)</f>
        <v>0.33333333333333331</v>
      </c>
      <c r="CJ33" s="1029">
        <v>200000</v>
      </c>
      <c r="CK33" s="1026">
        <v>3</v>
      </c>
      <c r="CL33" s="1027">
        <v>1</v>
      </c>
      <c r="CM33" s="208">
        <f>_xlfn.IFS(CK33=0,0,CL33&lt;=CK33,CL33/CK33,CL33&gt;CK33,1)</f>
        <v>0.33333333333333331</v>
      </c>
      <c r="CN33" s="1029">
        <v>200000</v>
      </c>
      <c r="CO33" s="1026">
        <v>3</v>
      </c>
      <c r="CP33" s="1027">
        <v>1</v>
      </c>
      <c r="CQ33" s="208">
        <f>_xlfn.IFS(CO33=0,0,CP33&lt;=CO33,CP33/CO33,CP33&gt;CO33,1)</f>
        <v>0.33333333333333331</v>
      </c>
      <c r="CR33" s="1029">
        <v>200000</v>
      </c>
      <c r="CS33" s="1026">
        <v>3</v>
      </c>
      <c r="CT33" s="1027">
        <v>1</v>
      </c>
      <c r="CU33" s="208">
        <f>_xlfn.IFS(CS33=0,0,CT33&lt;=CS33,CT33/CS33,CT33&gt;CS33,1)</f>
        <v>0.33333333333333331</v>
      </c>
      <c r="CV33" s="1029">
        <v>200000</v>
      </c>
      <c r="CW33" s="1026">
        <v>3</v>
      </c>
      <c r="CX33" s="1027">
        <v>1</v>
      </c>
      <c r="CY33" s="208">
        <f>_xlfn.IFS(CW33=0,0,CX33&lt;=CW33,CX33/CW33,CX33&gt;CW33,1)</f>
        <v>0.33333333333333331</v>
      </c>
      <c r="CZ33" s="1029">
        <v>200000</v>
      </c>
      <c r="DA33" s="1026">
        <v>3</v>
      </c>
      <c r="DB33" s="1027">
        <v>1</v>
      </c>
      <c r="DC33" s="208">
        <f>_xlfn.IFS(DA33=0,0,DB33&lt;=DA33,DB33/DA33,DB33&gt;DA33,1)</f>
        <v>0.33333333333333331</v>
      </c>
      <c r="DD33" s="1029">
        <v>200000</v>
      </c>
      <c r="DE33" s="1026">
        <v>3</v>
      </c>
      <c r="DF33" s="1027">
        <v>1</v>
      </c>
      <c r="DG33" s="208">
        <f>_xlfn.IFS(DE33=0,0,DF33&lt;=DE33,DF33/DE33,DF33&gt;DE33,1)</f>
        <v>0.33333333333333331</v>
      </c>
      <c r="DH33" s="1029">
        <v>200000</v>
      </c>
      <c r="DI33" s="1026">
        <v>3</v>
      </c>
      <c r="DJ33" s="1027">
        <v>1</v>
      </c>
      <c r="DK33" s="208">
        <f>_xlfn.IFS(DI33=0,0,DJ33&lt;=DI33,DJ33/DI33,DJ33&gt;DI33,1)</f>
        <v>0.33333333333333331</v>
      </c>
      <c r="DL33" s="1029">
        <v>200000</v>
      </c>
      <c r="DM33" s="1026">
        <v>3</v>
      </c>
      <c r="DN33" s="1027">
        <v>1</v>
      </c>
      <c r="DO33" s="208">
        <f>_xlfn.IFS(DM33=0,0,DN33&lt;=DM33,DN33/DM33,DN33&gt;DM33,1)</f>
        <v>0.33333333333333331</v>
      </c>
      <c r="DP33" s="1029">
        <v>200000</v>
      </c>
      <c r="DQ33" s="1026">
        <v>3</v>
      </c>
      <c r="DR33" s="1027">
        <v>1</v>
      </c>
      <c r="DS33" s="208">
        <f>_xlfn.IFS(DQ33=0,0,DR33&lt;=DQ33,DR33/DQ33,DR33&gt;DQ33,1)</f>
        <v>0.33333333333333331</v>
      </c>
      <c r="DT33" s="1029">
        <v>200000</v>
      </c>
      <c r="DU33" s="1026">
        <v>3</v>
      </c>
      <c r="DV33" s="1027">
        <v>1</v>
      </c>
      <c r="DW33" s="208">
        <f>_xlfn.IFS(DU33=0,0,DV33&lt;=DU33,DV33/DU33,DV33&gt;DU33,1)</f>
        <v>0.33333333333333331</v>
      </c>
      <c r="DX33" s="1029">
        <v>200000</v>
      </c>
      <c r="DY33" s="1026">
        <v>3</v>
      </c>
      <c r="DZ33" s="1027">
        <v>1</v>
      </c>
      <c r="EA33" s="208">
        <f>_xlfn.IFS(DY33=0,0,DZ33&lt;=DY33,DZ33/DY33,DZ33&gt;DY33,1)</f>
        <v>0.33333333333333331</v>
      </c>
      <c r="EB33" s="1029">
        <v>200000</v>
      </c>
      <c r="EC33" s="1026">
        <v>3</v>
      </c>
      <c r="ED33" s="1027">
        <v>1</v>
      </c>
      <c r="EE33" s="208">
        <f>_xlfn.IFS(EC33=0,0,ED33&lt;=EC33,ED33/EC33,ED33&gt;EC33,1)</f>
        <v>0.33333333333333331</v>
      </c>
      <c r="EF33" s="1029">
        <v>200000</v>
      </c>
    </row>
    <row r="34" spans="1:136" ht="20" customHeight="1" x14ac:dyDescent="0.15">
      <c r="A34" s="189">
        <f t="shared" si="197"/>
        <v>0</v>
      </c>
      <c r="B34" s="948"/>
      <c r="C34" s="970" t="s">
        <v>133</v>
      </c>
      <c r="D34" s="610">
        <f>$D$32/2</f>
        <v>7500000</v>
      </c>
      <c r="E34" s="1082">
        <f t="shared" si="266"/>
        <v>10850000</v>
      </c>
      <c r="F34" s="610">
        <f t="shared" si="267"/>
        <v>3350000</v>
      </c>
      <c r="G34" s="208">
        <f t="shared" si="268"/>
        <v>1</v>
      </c>
      <c r="H34" s="208">
        <f t="shared" ref="H34" si="269">IF(SUMIF(M$13:EF$13,$O$13,M34:EF34)&gt;0,AVERAGEIFS(M34:EF34,M34:EF34,"&gt;0",M$13:EF$13,$O$13),"NO NEW ORDER")</f>
        <v>0.5</v>
      </c>
      <c r="I34" s="788"/>
      <c r="J34" s="208">
        <f ca="1">SUMIFS($M34:$EF34,$M$11:$EF$11,TODAY()-1,$M$13:$EF$13,O$13)</f>
        <v>0</v>
      </c>
      <c r="K34" s="686"/>
      <c r="L34" s="605">
        <f t="shared" ref="L34:L35" ca="1" si="270">SUMIFS($M34:$EF34,$M$11:$EF$11,TODAY()-1,$M$13:$EF$13,P$13)</f>
        <v>0</v>
      </c>
      <c r="M34" s="1026">
        <v>4</v>
      </c>
      <c r="N34" s="1027">
        <v>2</v>
      </c>
      <c r="O34" s="208">
        <f t="shared" ref="O34" si="271">_xlfn.IFS(M34=0,0,N34&lt;=M34,N34/M34,N34&gt;M34,1)</f>
        <v>0.5</v>
      </c>
      <c r="P34" s="1029">
        <v>350000</v>
      </c>
      <c r="Q34" s="1026">
        <v>4</v>
      </c>
      <c r="R34" s="1027">
        <v>2</v>
      </c>
      <c r="S34" s="208">
        <f t="shared" ref="S34" si="272">_xlfn.IFS(Q34=0,0,R34&lt;=Q34,R34/Q34,R34&gt;Q34,1)</f>
        <v>0.5</v>
      </c>
      <c r="T34" s="1029">
        <v>350000</v>
      </c>
      <c r="U34" s="1026">
        <v>4</v>
      </c>
      <c r="V34" s="1027">
        <v>2</v>
      </c>
      <c r="W34" s="208">
        <f t="shared" ref="W34" si="273">_xlfn.IFS(U34=0,0,V34&lt;=U34,V34/U34,V34&gt;U34,1)</f>
        <v>0.5</v>
      </c>
      <c r="X34" s="1029">
        <v>350000</v>
      </c>
      <c r="Y34" s="1026">
        <v>4</v>
      </c>
      <c r="Z34" s="1027">
        <v>2</v>
      </c>
      <c r="AA34" s="208">
        <f t="shared" ref="AA34" si="274">_xlfn.IFS(Y34=0,0,Z34&lt;=Y34,Z34/Y34,Z34&gt;Y34,1)</f>
        <v>0.5</v>
      </c>
      <c r="AB34" s="1029">
        <v>350000</v>
      </c>
      <c r="AC34" s="1026">
        <v>4</v>
      </c>
      <c r="AD34" s="1027">
        <v>2</v>
      </c>
      <c r="AE34" s="208">
        <f t="shared" ref="AE34" si="275">_xlfn.IFS(AC34=0,0,AD34&lt;=AC34,AD34/AC34,AD34&gt;AC34,1)</f>
        <v>0.5</v>
      </c>
      <c r="AF34" s="1029">
        <v>350000</v>
      </c>
      <c r="AG34" s="1026">
        <v>4</v>
      </c>
      <c r="AH34" s="1027">
        <v>2</v>
      </c>
      <c r="AI34" s="208">
        <f t="shared" ref="AI34" si="276">_xlfn.IFS(AG34=0,0,AH34&lt;=AG34,AH34/AG34,AH34&gt;AG34,1)</f>
        <v>0.5</v>
      </c>
      <c r="AJ34" s="1029">
        <v>350000</v>
      </c>
      <c r="AK34" s="1026">
        <v>4</v>
      </c>
      <c r="AL34" s="1027">
        <v>2</v>
      </c>
      <c r="AM34" s="208">
        <f t="shared" ref="AM34" si="277">_xlfn.IFS(AK34=0,0,AL34&lt;=AK34,AL34/AK34,AL34&gt;AK34,1)</f>
        <v>0.5</v>
      </c>
      <c r="AN34" s="1029">
        <v>350000</v>
      </c>
      <c r="AO34" s="1026">
        <v>4</v>
      </c>
      <c r="AP34" s="1027">
        <v>2</v>
      </c>
      <c r="AQ34" s="208">
        <f t="shared" ref="AQ34" si="278">_xlfn.IFS(AO34=0,0,AP34&lt;=AO34,AP34/AO34,AP34&gt;AO34,1)</f>
        <v>0.5</v>
      </c>
      <c r="AR34" s="1029">
        <v>350000</v>
      </c>
      <c r="AS34" s="1026">
        <v>4</v>
      </c>
      <c r="AT34" s="1027">
        <v>2</v>
      </c>
      <c r="AU34" s="208">
        <f t="shared" ref="AU34" si="279">_xlfn.IFS(AS34=0,0,AT34&lt;=AS34,AT34/AS34,AT34&gt;AS34,1)</f>
        <v>0.5</v>
      </c>
      <c r="AV34" s="1029">
        <v>350000</v>
      </c>
      <c r="AW34" s="1026">
        <v>4</v>
      </c>
      <c r="AX34" s="1027">
        <v>2</v>
      </c>
      <c r="AY34" s="208">
        <f t="shared" ref="AY34" si="280">_xlfn.IFS(AW34=0,0,AX34&lt;=AW34,AX34/AW34,AX34&gt;AW34,1)</f>
        <v>0.5</v>
      </c>
      <c r="AZ34" s="1029">
        <v>350000</v>
      </c>
      <c r="BA34" s="1026">
        <v>4</v>
      </c>
      <c r="BB34" s="1027">
        <v>2</v>
      </c>
      <c r="BC34" s="208">
        <f t="shared" ref="BC34" si="281">_xlfn.IFS(BA34=0,0,BB34&lt;=BA34,BB34/BA34,BB34&gt;BA34,1)</f>
        <v>0.5</v>
      </c>
      <c r="BD34" s="1029">
        <v>350000</v>
      </c>
      <c r="BE34" s="1026">
        <v>4</v>
      </c>
      <c r="BF34" s="1027">
        <v>2</v>
      </c>
      <c r="BG34" s="208">
        <f t="shared" ref="BG34" si="282">_xlfn.IFS(BE34=0,0,BF34&lt;=BE34,BF34/BE34,BF34&gt;BE34,1)</f>
        <v>0.5</v>
      </c>
      <c r="BH34" s="1029">
        <v>350000</v>
      </c>
      <c r="BI34" s="1026">
        <v>4</v>
      </c>
      <c r="BJ34" s="1027">
        <v>2</v>
      </c>
      <c r="BK34" s="208">
        <f t="shared" ref="BK34" si="283">_xlfn.IFS(BI34=0,0,BJ34&lt;=BI34,BJ34/BI34,BJ34&gt;BI34,1)</f>
        <v>0.5</v>
      </c>
      <c r="BL34" s="1029">
        <v>350000</v>
      </c>
      <c r="BM34" s="1026">
        <v>4</v>
      </c>
      <c r="BN34" s="1027">
        <v>2</v>
      </c>
      <c r="BO34" s="208">
        <f t="shared" ref="BO34" si="284">_xlfn.IFS(BM34=0,0,BN34&lt;=BM34,BN34/BM34,BN34&gt;BM34,1)</f>
        <v>0.5</v>
      </c>
      <c r="BP34" s="1029">
        <v>350000</v>
      </c>
      <c r="BQ34" s="1026">
        <v>4</v>
      </c>
      <c r="BR34" s="1027">
        <v>2</v>
      </c>
      <c r="BS34" s="208">
        <f t="shared" ref="BS34" si="285">_xlfn.IFS(BQ34=0,0,BR34&lt;=BQ34,BR34/BQ34,BR34&gt;BQ34,1)</f>
        <v>0.5</v>
      </c>
      <c r="BT34" s="1029">
        <v>350000</v>
      </c>
      <c r="BU34" s="1026">
        <v>4</v>
      </c>
      <c r="BV34" s="1027">
        <v>2</v>
      </c>
      <c r="BW34" s="208">
        <f t="shared" ref="BW34" si="286">_xlfn.IFS(BU34=0,0,BV34&lt;=BU34,BV34/BU34,BV34&gt;BU34,1)</f>
        <v>0.5</v>
      </c>
      <c r="BX34" s="1029">
        <v>350000</v>
      </c>
      <c r="BY34" s="1026">
        <v>4</v>
      </c>
      <c r="BZ34" s="1027">
        <v>2</v>
      </c>
      <c r="CA34" s="208">
        <f t="shared" ref="CA34" si="287">_xlfn.IFS(BY34=0,0,BZ34&lt;=BY34,BZ34/BY34,BZ34&gt;BY34,1)</f>
        <v>0.5</v>
      </c>
      <c r="CB34" s="1029">
        <v>350000</v>
      </c>
      <c r="CC34" s="1026">
        <v>4</v>
      </c>
      <c r="CD34" s="1027">
        <v>2</v>
      </c>
      <c r="CE34" s="208">
        <f t="shared" ref="CE34" si="288">_xlfn.IFS(CC34=0,0,CD34&lt;=CC34,CD34/CC34,CD34&gt;CC34,1)</f>
        <v>0.5</v>
      </c>
      <c r="CF34" s="1029">
        <v>350000</v>
      </c>
      <c r="CG34" s="1026">
        <v>4</v>
      </c>
      <c r="CH34" s="1027">
        <v>2</v>
      </c>
      <c r="CI34" s="208">
        <f t="shared" ref="CI34" si="289">_xlfn.IFS(CG34=0,0,CH34&lt;=CG34,CH34/CG34,CH34&gt;CG34,1)</f>
        <v>0.5</v>
      </c>
      <c r="CJ34" s="1029">
        <v>350000</v>
      </c>
      <c r="CK34" s="1026">
        <v>4</v>
      </c>
      <c r="CL34" s="1027">
        <v>2</v>
      </c>
      <c r="CM34" s="208">
        <f t="shared" ref="CM34" si="290">_xlfn.IFS(CK34=0,0,CL34&lt;=CK34,CL34/CK34,CL34&gt;CK34,1)</f>
        <v>0.5</v>
      </c>
      <c r="CN34" s="1029">
        <v>350000</v>
      </c>
      <c r="CO34" s="1026">
        <v>4</v>
      </c>
      <c r="CP34" s="1027">
        <v>2</v>
      </c>
      <c r="CQ34" s="208">
        <f t="shared" ref="CQ34" si="291">_xlfn.IFS(CO34=0,0,CP34&lt;=CO34,CP34/CO34,CP34&gt;CO34,1)</f>
        <v>0.5</v>
      </c>
      <c r="CR34" s="1029">
        <v>350000</v>
      </c>
      <c r="CS34" s="1026">
        <v>4</v>
      </c>
      <c r="CT34" s="1027">
        <v>2</v>
      </c>
      <c r="CU34" s="208">
        <f t="shared" ref="CU34" si="292">_xlfn.IFS(CS34=0,0,CT34&lt;=CS34,CT34/CS34,CT34&gt;CS34,1)</f>
        <v>0.5</v>
      </c>
      <c r="CV34" s="1029">
        <v>350000</v>
      </c>
      <c r="CW34" s="1026">
        <v>4</v>
      </c>
      <c r="CX34" s="1027">
        <v>2</v>
      </c>
      <c r="CY34" s="208">
        <f t="shared" ref="CY34" si="293">_xlfn.IFS(CW34=0,0,CX34&lt;=CW34,CX34/CW34,CX34&gt;CW34,1)</f>
        <v>0.5</v>
      </c>
      <c r="CZ34" s="1029">
        <v>350000</v>
      </c>
      <c r="DA34" s="1026">
        <v>4</v>
      </c>
      <c r="DB34" s="1027">
        <v>2</v>
      </c>
      <c r="DC34" s="208">
        <f t="shared" ref="DC34" si="294">_xlfn.IFS(DA34=0,0,DB34&lt;=DA34,DB34/DA34,DB34&gt;DA34,1)</f>
        <v>0.5</v>
      </c>
      <c r="DD34" s="1029">
        <v>350000</v>
      </c>
      <c r="DE34" s="1026">
        <v>4</v>
      </c>
      <c r="DF34" s="1027">
        <v>2</v>
      </c>
      <c r="DG34" s="208">
        <f t="shared" ref="DG34" si="295">_xlfn.IFS(DE34=0,0,DF34&lt;=DE34,DF34/DE34,DF34&gt;DE34,1)</f>
        <v>0.5</v>
      </c>
      <c r="DH34" s="1029">
        <v>350000</v>
      </c>
      <c r="DI34" s="1026">
        <v>4</v>
      </c>
      <c r="DJ34" s="1027">
        <v>2</v>
      </c>
      <c r="DK34" s="208">
        <f t="shared" ref="DK34" si="296">_xlfn.IFS(DI34=0,0,DJ34&lt;=DI34,DJ34/DI34,DJ34&gt;DI34,1)</f>
        <v>0.5</v>
      </c>
      <c r="DL34" s="1029">
        <v>350000</v>
      </c>
      <c r="DM34" s="1026">
        <v>4</v>
      </c>
      <c r="DN34" s="1027">
        <v>2</v>
      </c>
      <c r="DO34" s="208">
        <f t="shared" ref="DO34" si="297">_xlfn.IFS(DM34=0,0,DN34&lt;=DM34,DN34/DM34,DN34&gt;DM34,1)</f>
        <v>0.5</v>
      </c>
      <c r="DP34" s="1029">
        <v>350000</v>
      </c>
      <c r="DQ34" s="1026">
        <v>4</v>
      </c>
      <c r="DR34" s="1027">
        <v>2</v>
      </c>
      <c r="DS34" s="208">
        <f t="shared" ref="DS34" si="298">_xlfn.IFS(DQ34=0,0,DR34&lt;=DQ34,DR34/DQ34,DR34&gt;DQ34,1)</f>
        <v>0.5</v>
      </c>
      <c r="DT34" s="1029">
        <v>350000</v>
      </c>
      <c r="DU34" s="1026">
        <v>4</v>
      </c>
      <c r="DV34" s="1027">
        <v>2</v>
      </c>
      <c r="DW34" s="208">
        <f t="shared" ref="DW34" si="299">_xlfn.IFS(DU34=0,0,DV34&lt;=DU34,DV34/DU34,DV34&gt;DU34,1)</f>
        <v>0.5</v>
      </c>
      <c r="DX34" s="1029">
        <v>350000</v>
      </c>
      <c r="DY34" s="1026">
        <v>4</v>
      </c>
      <c r="DZ34" s="1027">
        <v>2</v>
      </c>
      <c r="EA34" s="208">
        <f t="shared" ref="EA34" si="300">_xlfn.IFS(DY34=0,0,DZ34&lt;=DY34,DZ34/DY34,DZ34&gt;DY34,1)</f>
        <v>0.5</v>
      </c>
      <c r="EB34" s="1029">
        <v>350000</v>
      </c>
      <c r="EC34" s="1026">
        <v>4</v>
      </c>
      <c r="ED34" s="1027">
        <v>2</v>
      </c>
      <c r="EE34" s="208">
        <f t="shared" ref="EE34" si="301">_xlfn.IFS(EC34=0,0,ED34&lt;=EC34,ED34/EC34,ED34&gt;EC34,1)</f>
        <v>0.5</v>
      </c>
      <c r="EF34" s="1029">
        <v>350000</v>
      </c>
    </row>
    <row r="35" spans="1:136" ht="20" customHeight="1" x14ac:dyDescent="0.15">
      <c r="A35" s="870">
        <f t="shared" si="197"/>
        <v>0</v>
      </c>
      <c r="B35" s="948"/>
      <c r="C35" s="883" t="str">
        <f>Dashboard!K99</f>
        <v>TIKTOKSHOP</v>
      </c>
      <c r="D35" s="686">
        <f>Dashboard!U99</f>
        <v>15000000</v>
      </c>
      <c r="E35" s="1065">
        <f>SUMIF($M$13:$EF$13,$P$13,$M35:$EF35)</f>
        <v>15500000</v>
      </c>
      <c r="F35" s="610">
        <f t="shared" si="267"/>
        <v>500000</v>
      </c>
      <c r="G35" s="208">
        <f t="shared" si="268"/>
        <v>1</v>
      </c>
      <c r="H35" s="788">
        <f>IF(SUMIF(M$13:EF$13,$O$13,M35:EF35)&gt;0,AVERAGEIFS(M35:EF35,M35:EF35,"&gt;0",M$13:EF$13,$O$13),"NO NEW ORDER")</f>
        <v>0.5</v>
      </c>
      <c r="I35" s="788">
        <f>Dashboard!M120</f>
        <v>0.16041666666666665</v>
      </c>
      <c r="J35" s="788">
        <f ca="1">SUMIFS($M35:$EF35,$M$11:$EF$11,TODAY()-1,$M$13:$EF$13,O$13)</f>
        <v>0</v>
      </c>
      <c r="K35" s="686">
        <f>D35/'Action Plan'!$C$6</f>
        <v>576923.07692307688</v>
      </c>
      <c r="L35" s="605">
        <f t="shared" ca="1" si="270"/>
        <v>0</v>
      </c>
      <c r="M35" s="899">
        <v>2</v>
      </c>
      <c r="N35" s="904">
        <v>1</v>
      </c>
      <c r="O35" s="788">
        <f>_xlfn.IFS(M35=0,0,N35&lt;=M35,N35/M35,N35&gt;M35,1)</f>
        <v>0.5</v>
      </c>
      <c r="P35" s="891">
        <v>500000</v>
      </c>
      <c r="Q35" s="899">
        <v>2</v>
      </c>
      <c r="R35" s="904">
        <v>1</v>
      </c>
      <c r="S35" s="788">
        <f>_xlfn.IFS(Q35=0,0,R35&lt;=Q35,R35/Q35,R35&gt;Q35,1)</f>
        <v>0.5</v>
      </c>
      <c r="T35" s="891">
        <v>500000</v>
      </c>
      <c r="U35" s="899">
        <v>2</v>
      </c>
      <c r="V35" s="904">
        <v>1</v>
      </c>
      <c r="W35" s="788">
        <f>_xlfn.IFS(U35=0,0,V35&lt;=U35,V35/U35,V35&gt;U35,1)</f>
        <v>0.5</v>
      </c>
      <c r="X35" s="891">
        <v>500000</v>
      </c>
      <c r="Y35" s="899">
        <v>2</v>
      </c>
      <c r="Z35" s="904">
        <v>1</v>
      </c>
      <c r="AA35" s="788">
        <f>_xlfn.IFS(Y35=0,0,Z35&lt;=Y35,Z35/Y35,Z35&gt;Y35,1)</f>
        <v>0.5</v>
      </c>
      <c r="AB35" s="891">
        <v>500000</v>
      </c>
      <c r="AC35" s="899">
        <v>2</v>
      </c>
      <c r="AD35" s="904">
        <v>1</v>
      </c>
      <c r="AE35" s="788">
        <f>_xlfn.IFS(AC35=0,0,AD35&lt;=AC35,AD35/AC35,AD35&gt;AC35,1)</f>
        <v>0.5</v>
      </c>
      <c r="AF35" s="891">
        <v>500000</v>
      </c>
      <c r="AG35" s="899">
        <v>2</v>
      </c>
      <c r="AH35" s="904">
        <v>1</v>
      </c>
      <c r="AI35" s="788">
        <f>_xlfn.IFS(AG35=0,0,AH35&lt;=AG35,AH35/AG35,AH35&gt;AG35,1)</f>
        <v>0.5</v>
      </c>
      <c r="AJ35" s="891">
        <v>500000</v>
      </c>
      <c r="AK35" s="899">
        <v>2</v>
      </c>
      <c r="AL35" s="904">
        <v>1</v>
      </c>
      <c r="AM35" s="788">
        <f>_xlfn.IFS(AK35=0,0,AL35&lt;=AK35,AL35/AK35,AL35&gt;AK35,1)</f>
        <v>0.5</v>
      </c>
      <c r="AN35" s="891">
        <v>500000</v>
      </c>
      <c r="AO35" s="899">
        <v>2</v>
      </c>
      <c r="AP35" s="904">
        <v>1</v>
      </c>
      <c r="AQ35" s="788">
        <f>_xlfn.IFS(AO35=0,0,AP35&lt;=AO35,AP35/AO35,AP35&gt;AO35,1)</f>
        <v>0.5</v>
      </c>
      <c r="AR35" s="891">
        <v>500000</v>
      </c>
      <c r="AS35" s="899">
        <v>2</v>
      </c>
      <c r="AT35" s="904">
        <v>1</v>
      </c>
      <c r="AU35" s="788">
        <f>_xlfn.IFS(AS35=0,0,AT35&lt;=AS35,AT35/AS35,AT35&gt;AS35,1)</f>
        <v>0.5</v>
      </c>
      <c r="AV35" s="891">
        <v>500000</v>
      </c>
      <c r="AW35" s="899">
        <v>2</v>
      </c>
      <c r="AX35" s="904">
        <v>1</v>
      </c>
      <c r="AY35" s="788">
        <f>_xlfn.IFS(AW35=0,0,AX35&lt;=AW35,AX35/AW35,AX35&gt;AW35,1)</f>
        <v>0.5</v>
      </c>
      <c r="AZ35" s="891">
        <v>500000</v>
      </c>
      <c r="BA35" s="899">
        <v>2</v>
      </c>
      <c r="BB35" s="904">
        <v>1</v>
      </c>
      <c r="BC35" s="788">
        <f>_xlfn.IFS(BA35=0,0,BB35&lt;=BA35,BB35/BA35,BB35&gt;BA35,1)</f>
        <v>0.5</v>
      </c>
      <c r="BD35" s="891">
        <v>500000</v>
      </c>
      <c r="BE35" s="899">
        <v>2</v>
      </c>
      <c r="BF35" s="904">
        <v>1</v>
      </c>
      <c r="BG35" s="788">
        <f>_xlfn.IFS(BE35=0,0,BF35&lt;=BE35,BF35/BE35,BF35&gt;BE35,1)</f>
        <v>0.5</v>
      </c>
      <c r="BH35" s="891">
        <v>500000</v>
      </c>
      <c r="BI35" s="899">
        <v>2</v>
      </c>
      <c r="BJ35" s="904">
        <v>1</v>
      </c>
      <c r="BK35" s="788">
        <f>_xlfn.IFS(BI35=0,0,BJ35&lt;=BI35,BJ35/BI35,BJ35&gt;BI35,1)</f>
        <v>0.5</v>
      </c>
      <c r="BL35" s="891">
        <v>500000</v>
      </c>
      <c r="BM35" s="899">
        <v>2</v>
      </c>
      <c r="BN35" s="904">
        <v>1</v>
      </c>
      <c r="BO35" s="788">
        <f>_xlfn.IFS(BM35=0,0,BN35&lt;=BM35,BN35/BM35,BN35&gt;BM35,1)</f>
        <v>0.5</v>
      </c>
      <c r="BP35" s="891">
        <v>500000</v>
      </c>
      <c r="BQ35" s="899">
        <v>2</v>
      </c>
      <c r="BR35" s="904">
        <v>1</v>
      </c>
      <c r="BS35" s="788">
        <f>_xlfn.IFS(BQ35=0,0,BR35&lt;=BQ35,BR35/BQ35,BR35&gt;BQ35,1)</f>
        <v>0.5</v>
      </c>
      <c r="BT35" s="891">
        <v>500000</v>
      </c>
      <c r="BU35" s="899">
        <v>2</v>
      </c>
      <c r="BV35" s="904">
        <v>1</v>
      </c>
      <c r="BW35" s="788">
        <f>_xlfn.IFS(BU35=0,0,BV35&lt;=BU35,BV35/BU35,BV35&gt;BU35,1)</f>
        <v>0.5</v>
      </c>
      <c r="BX35" s="891">
        <v>500000</v>
      </c>
      <c r="BY35" s="899">
        <v>2</v>
      </c>
      <c r="BZ35" s="904">
        <v>1</v>
      </c>
      <c r="CA35" s="788">
        <f>_xlfn.IFS(BY35=0,0,BZ35&lt;=BY35,BZ35/BY35,BZ35&gt;BY35,1)</f>
        <v>0.5</v>
      </c>
      <c r="CB35" s="891">
        <v>500000</v>
      </c>
      <c r="CC35" s="899">
        <v>2</v>
      </c>
      <c r="CD35" s="904">
        <v>1</v>
      </c>
      <c r="CE35" s="788">
        <f>_xlfn.IFS(CC35=0,0,CD35&lt;=CC35,CD35/CC35,CD35&gt;CC35,1)</f>
        <v>0.5</v>
      </c>
      <c r="CF35" s="891">
        <v>500000</v>
      </c>
      <c r="CG35" s="899">
        <v>2</v>
      </c>
      <c r="CH35" s="904">
        <v>1</v>
      </c>
      <c r="CI35" s="788">
        <f>_xlfn.IFS(CG35=0,0,CH35&lt;=CG35,CH35/CG35,CH35&gt;CG35,1)</f>
        <v>0.5</v>
      </c>
      <c r="CJ35" s="891">
        <v>500000</v>
      </c>
      <c r="CK35" s="899">
        <v>2</v>
      </c>
      <c r="CL35" s="904">
        <v>1</v>
      </c>
      <c r="CM35" s="788">
        <f>_xlfn.IFS(CK35=0,0,CL35&lt;=CK35,CL35/CK35,CL35&gt;CK35,1)</f>
        <v>0.5</v>
      </c>
      <c r="CN35" s="891">
        <v>500000</v>
      </c>
      <c r="CO35" s="899">
        <v>2</v>
      </c>
      <c r="CP35" s="904">
        <v>1</v>
      </c>
      <c r="CQ35" s="788">
        <f>_xlfn.IFS(CO35=0,0,CP35&lt;=CO35,CP35/CO35,CP35&gt;CO35,1)</f>
        <v>0.5</v>
      </c>
      <c r="CR35" s="891">
        <v>500000</v>
      </c>
      <c r="CS35" s="899">
        <v>2</v>
      </c>
      <c r="CT35" s="904">
        <v>1</v>
      </c>
      <c r="CU35" s="788">
        <f>_xlfn.IFS(CS35=0,0,CT35&lt;=CS35,CT35/CS35,CT35&gt;CS35,1)</f>
        <v>0.5</v>
      </c>
      <c r="CV35" s="891">
        <v>500000</v>
      </c>
      <c r="CW35" s="899">
        <v>2</v>
      </c>
      <c r="CX35" s="904">
        <v>1</v>
      </c>
      <c r="CY35" s="788">
        <f>_xlfn.IFS(CW35=0,0,CX35&lt;=CW35,CX35/CW35,CX35&gt;CW35,1)</f>
        <v>0.5</v>
      </c>
      <c r="CZ35" s="891">
        <v>500000</v>
      </c>
      <c r="DA35" s="899">
        <v>2</v>
      </c>
      <c r="DB35" s="904">
        <v>1</v>
      </c>
      <c r="DC35" s="788">
        <f>_xlfn.IFS(DA35=0,0,DB35&lt;=DA35,DB35/DA35,DB35&gt;DA35,1)</f>
        <v>0.5</v>
      </c>
      <c r="DD35" s="891">
        <v>500000</v>
      </c>
      <c r="DE35" s="899">
        <v>2</v>
      </c>
      <c r="DF35" s="904">
        <v>1</v>
      </c>
      <c r="DG35" s="788">
        <f>_xlfn.IFS(DE35=0,0,DF35&lt;=DE35,DF35/DE35,DF35&gt;DE35,1)</f>
        <v>0.5</v>
      </c>
      <c r="DH35" s="891">
        <v>500000</v>
      </c>
      <c r="DI35" s="899">
        <v>2</v>
      </c>
      <c r="DJ35" s="904">
        <v>1</v>
      </c>
      <c r="DK35" s="788">
        <f>_xlfn.IFS(DI35=0,0,DJ35&lt;=DI35,DJ35/DI35,DJ35&gt;DI35,1)</f>
        <v>0.5</v>
      </c>
      <c r="DL35" s="891">
        <v>500000</v>
      </c>
      <c r="DM35" s="899">
        <v>2</v>
      </c>
      <c r="DN35" s="904">
        <v>1</v>
      </c>
      <c r="DO35" s="788">
        <f>_xlfn.IFS(DM35=0,0,DN35&lt;=DM35,DN35/DM35,DN35&gt;DM35,1)</f>
        <v>0.5</v>
      </c>
      <c r="DP35" s="891">
        <v>500000</v>
      </c>
      <c r="DQ35" s="899">
        <v>2</v>
      </c>
      <c r="DR35" s="904">
        <v>1</v>
      </c>
      <c r="DS35" s="788">
        <f>_xlfn.IFS(DQ35=0,0,DR35&lt;=DQ35,DR35/DQ35,DR35&gt;DQ35,1)</f>
        <v>0.5</v>
      </c>
      <c r="DT35" s="891">
        <v>500000</v>
      </c>
      <c r="DU35" s="899">
        <v>2</v>
      </c>
      <c r="DV35" s="904">
        <v>1</v>
      </c>
      <c r="DW35" s="788">
        <f>_xlfn.IFS(DU35=0,0,DV35&lt;=DU35,DV35/DU35,DV35&gt;DU35,1)</f>
        <v>0.5</v>
      </c>
      <c r="DX35" s="891">
        <v>500000</v>
      </c>
      <c r="DY35" s="899">
        <v>2</v>
      </c>
      <c r="DZ35" s="904">
        <v>1</v>
      </c>
      <c r="EA35" s="788">
        <f>_xlfn.IFS(DY35=0,0,DZ35&lt;=DY35,DZ35/DY35,DZ35&gt;DY35,1)</f>
        <v>0.5</v>
      </c>
      <c r="EB35" s="891">
        <v>500000</v>
      </c>
      <c r="EC35" s="899">
        <v>2</v>
      </c>
      <c r="ED35" s="904">
        <v>1</v>
      </c>
      <c r="EE35" s="788">
        <f>_xlfn.IFS(EC35=0,0,ED35&lt;=EC35,ED35/EC35,ED35&gt;EC35,1)</f>
        <v>0.5</v>
      </c>
      <c r="EF35" s="891">
        <v>500000</v>
      </c>
    </row>
    <row r="36" spans="1:136" ht="20" customHeight="1" x14ac:dyDescent="0.15">
      <c r="A36" s="870">
        <f t="shared" si="197"/>
        <v>0</v>
      </c>
      <c r="B36" s="949"/>
      <c r="C36" s="883" t="str">
        <f>Dashboard!K100</f>
        <v>SHOPPEE</v>
      </c>
      <c r="D36" s="686">
        <f>Dashboard!U100</f>
        <v>15000000</v>
      </c>
      <c r="E36" s="1065">
        <f t="shared" ref="E36:E38" si="302">SUMIF($M$13:$EF$13,$P$13,$M36:$EF36)</f>
        <v>18600000</v>
      </c>
      <c r="F36" s="686">
        <f>E36-D36</f>
        <v>3600000</v>
      </c>
      <c r="G36" s="788">
        <f>_xlfn.IFS(F36&gt;0,1,F36&lt;=0,E36/D36)</f>
        <v>1</v>
      </c>
      <c r="H36" s="788">
        <f>IF(SUMIF(M$13:EF$13,$O$13,M36:EF36)&gt;0,AVERAGEIFS(M36:EF36,M36:EF36,"&gt;0",M$13:EF$13,$O$13),"NO NEW ORDER")</f>
        <v>0.5</v>
      </c>
      <c r="I36" s="788">
        <f>Dashboard!M121</f>
        <v>0.16041666666666665</v>
      </c>
      <c r="J36" s="788">
        <f ca="1">IF(SUM(J37:J38)&gt;0,AVERAGEIF(J37:J38,"&gt;0"),0)</f>
        <v>0</v>
      </c>
      <c r="K36" s="686">
        <f>D36/'Action Plan'!$C$6</f>
        <v>576923.07692307688</v>
      </c>
      <c r="L36" s="933">
        <f ca="1">SUMIFS($M36:$EF36,$M$11:$EF$11,TODAY()-1,$M$13:$EF$13,P$13)</f>
        <v>0</v>
      </c>
      <c r="M36" s="899">
        <f>SUM(M37:M38)</f>
        <v>6</v>
      </c>
      <c r="N36" s="904">
        <f>SUM(N37:N38)</f>
        <v>3</v>
      </c>
      <c r="O36" s="788">
        <f>IF(SUM(O37:O38)&gt;0,AVERAGEIF(O37:O38,"&gt;0"),0)</f>
        <v>0.5</v>
      </c>
      <c r="P36" s="891">
        <f>SUM(P37:P38)</f>
        <v>600000</v>
      </c>
      <c r="Q36" s="899">
        <f>SUM(Q37:Q38)</f>
        <v>6</v>
      </c>
      <c r="R36" s="904">
        <f>SUM(R37:R38)</f>
        <v>3</v>
      </c>
      <c r="S36" s="788">
        <f>IF(SUM(S37:S38)&gt;0,AVERAGEIF(S37:S38,"&gt;0"),0)</f>
        <v>0.5</v>
      </c>
      <c r="T36" s="891">
        <f>SUM(T37:T38)</f>
        <v>600000</v>
      </c>
      <c r="U36" s="899">
        <f>SUM(U37:U38)</f>
        <v>6</v>
      </c>
      <c r="V36" s="904">
        <f>SUM(V37:V38)</f>
        <v>3</v>
      </c>
      <c r="W36" s="788">
        <f>IF(SUM(W37:W38)&gt;0,AVERAGEIF(W37:W38,"&gt;0"),0)</f>
        <v>0.5</v>
      </c>
      <c r="X36" s="891">
        <f>SUM(X37:X38)</f>
        <v>600000</v>
      </c>
      <c r="Y36" s="899">
        <f>SUM(Y37:Y38)</f>
        <v>6</v>
      </c>
      <c r="Z36" s="904">
        <f>SUM(Z37:Z38)</f>
        <v>3</v>
      </c>
      <c r="AA36" s="788">
        <f>IF(SUM(AA37:AA38)&gt;0,AVERAGEIF(AA37:AA38,"&gt;0"),0)</f>
        <v>0.5</v>
      </c>
      <c r="AB36" s="891">
        <f>SUM(AB37:AB38)</f>
        <v>600000</v>
      </c>
      <c r="AC36" s="899">
        <f>SUM(AC37:AC38)</f>
        <v>6</v>
      </c>
      <c r="AD36" s="904">
        <f>SUM(AD37:AD38)</f>
        <v>3</v>
      </c>
      <c r="AE36" s="788">
        <f>IF(SUM(AE37:AE38)&gt;0,AVERAGEIF(AE37:AE38,"&gt;0"),0)</f>
        <v>0.5</v>
      </c>
      <c r="AF36" s="891">
        <f>SUM(AF37:AF38)</f>
        <v>600000</v>
      </c>
      <c r="AG36" s="899">
        <f>SUM(AG37:AG38)</f>
        <v>6</v>
      </c>
      <c r="AH36" s="904">
        <f>SUM(AH37:AH38)</f>
        <v>3</v>
      </c>
      <c r="AI36" s="788">
        <f>IF(SUM(AI37:AI38)&gt;0,AVERAGEIF(AI37:AI38,"&gt;0"),0)</f>
        <v>0.5</v>
      </c>
      <c r="AJ36" s="891">
        <f>SUM(AJ37:AJ38)</f>
        <v>600000</v>
      </c>
      <c r="AK36" s="899">
        <f>SUM(AK37:AK38)</f>
        <v>6</v>
      </c>
      <c r="AL36" s="904">
        <f>SUM(AL37:AL38)</f>
        <v>3</v>
      </c>
      <c r="AM36" s="788">
        <f>IF(SUM(AM37:AM38)&gt;0,AVERAGEIF(AM37:AM38,"&gt;0"),0)</f>
        <v>0.5</v>
      </c>
      <c r="AN36" s="891">
        <f>SUM(AN37:AN38)</f>
        <v>600000</v>
      </c>
      <c r="AO36" s="899">
        <f>SUM(AO37:AO38)</f>
        <v>6</v>
      </c>
      <c r="AP36" s="904">
        <f>SUM(AP37:AP38)</f>
        <v>3</v>
      </c>
      <c r="AQ36" s="788">
        <f>IF(SUM(AQ37:AQ38)&gt;0,AVERAGEIF(AQ37:AQ38,"&gt;0"),0)</f>
        <v>0.5</v>
      </c>
      <c r="AR36" s="891">
        <f>SUM(AR37:AR38)</f>
        <v>600000</v>
      </c>
      <c r="AS36" s="899">
        <f>SUM(AS37:AS38)</f>
        <v>6</v>
      </c>
      <c r="AT36" s="904">
        <f>SUM(AT37:AT38)</f>
        <v>3</v>
      </c>
      <c r="AU36" s="788">
        <f>IF(SUM(AU37:AU38)&gt;0,AVERAGEIF(AU37:AU38,"&gt;0"),0)</f>
        <v>0.5</v>
      </c>
      <c r="AV36" s="891">
        <f>SUM(AV37:AV38)</f>
        <v>600000</v>
      </c>
      <c r="AW36" s="899">
        <f>SUM(AW37:AW38)</f>
        <v>6</v>
      </c>
      <c r="AX36" s="904">
        <f>SUM(AX37:AX38)</f>
        <v>3</v>
      </c>
      <c r="AY36" s="788">
        <f>IF(SUM(AY37:AY38)&gt;0,AVERAGEIF(AY37:AY38,"&gt;0"),0)</f>
        <v>0.5</v>
      </c>
      <c r="AZ36" s="891">
        <f>SUM(AZ37:AZ38)</f>
        <v>600000</v>
      </c>
      <c r="BA36" s="899">
        <f>SUM(BA37:BA38)</f>
        <v>6</v>
      </c>
      <c r="BB36" s="904">
        <f>SUM(BB37:BB38)</f>
        <v>3</v>
      </c>
      <c r="BC36" s="788">
        <f>IF(SUM(BC37:BC38)&gt;0,AVERAGEIF(BC37:BC38,"&gt;0"),0)</f>
        <v>0.5</v>
      </c>
      <c r="BD36" s="891">
        <f>SUM(BD37:BD38)</f>
        <v>600000</v>
      </c>
      <c r="BE36" s="899">
        <f>SUM(BE37:BE38)</f>
        <v>6</v>
      </c>
      <c r="BF36" s="904">
        <f>SUM(BF37:BF38)</f>
        <v>3</v>
      </c>
      <c r="BG36" s="788">
        <f>IF(SUM(BG37:BG38)&gt;0,AVERAGEIF(BG37:BG38,"&gt;0"),0)</f>
        <v>0.5</v>
      </c>
      <c r="BH36" s="891">
        <f>SUM(BH37:BH38)</f>
        <v>600000</v>
      </c>
      <c r="BI36" s="899">
        <f>SUM(BI37:BI38)</f>
        <v>6</v>
      </c>
      <c r="BJ36" s="904">
        <f>SUM(BJ37:BJ38)</f>
        <v>3</v>
      </c>
      <c r="BK36" s="788">
        <f>IF(SUM(BK37:BK38)&gt;0,AVERAGEIF(BK37:BK38,"&gt;0"),0)</f>
        <v>0.5</v>
      </c>
      <c r="BL36" s="891">
        <f>SUM(BL37:BL38)</f>
        <v>600000</v>
      </c>
      <c r="BM36" s="899">
        <f>SUM(BM37:BM38)</f>
        <v>6</v>
      </c>
      <c r="BN36" s="904">
        <f>SUM(BN37:BN38)</f>
        <v>3</v>
      </c>
      <c r="BO36" s="788">
        <f>IF(SUM(BO37:BO38)&gt;0,AVERAGEIF(BO37:BO38,"&gt;0"),0)</f>
        <v>0.5</v>
      </c>
      <c r="BP36" s="891">
        <f>SUM(BP37:BP38)</f>
        <v>600000</v>
      </c>
      <c r="BQ36" s="899">
        <f>SUM(BQ37:BQ38)</f>
        <v>6</v>
      </c>
      <c r="BR36" s="904">
        <f>SUM(BR37:BR38)</f>
        <v>3</v>
      </c>
      <c r="BS36" s="788">
        <f>IF(SUM(BS37:BS38)&gt;0,AVERAGEIF(BS37:BS38,"&gt;0"),0)</f>
        <v>0.5</v>
      </c>
      <c r="BT36" s="891">
        <f>SUM(BT37:BT38)</f>
        <v>600000</v>
      </c>
      <c r="BU36" s="899">
        <f>SUM(BU37:BU38)</f>
        <v>6</v>
      </c>
      <c r="BV36" s="904">
        <f>SUM(BV37:BV38)</f>
        <v>3</v>
      </c>
      <c r="BW36" s="788">
        <f>IF(SUM(BW37:BW38)&gt;0,AVERAGEIF(BW37:BW38,"&gt;0"),0)</f>
        <v>0.5</v>
      </c>
      <c r="BX36" s="891">
        <f>SUM(BX37:BX38)</f>
        <v>600000</v>
      </c>
      <c r="BY36" s="899">
        <f>SUM(BY37:BY38)</f>
        <v>6</v>
      </c>
      <c r="BZ36" s="904">
        <f>SUM(BZ37:BZ38)</f>
        <v>3</v>
      </c>
      <c r="CA36" s="788">
        <f>IF(SUM(CA37:CA38)&gt;0,AVERAGEIF(CA37:CA38,"&gt;0"),0)</f>
        <v>0.5</v>
      </c>
      <c r="CB36" s="891">
        <f>SUM(CB37:CB38)</f>
        <v>600000</v>
      </c>
      <c r="CC36" s="899">
        <f>SUM(CC37:CC38)</f>
        <v>6</v>
      </c>
      <c r="CD36" s="904">
        <f>SUM(CD37:CD38)</f>
        <v>3</v>
      </c>
      <c r="CE36" s="788">
        <f>IF(SUM(CE37:CE38)&gt;0,AVERAGEIF(CE37:CE38,"&gt;0"),0)</f>
        <v>0.5</v>
      </c>
      <c r="CF36" s="891">
        <f>SUM(CF37:CF38)</f>
        <v>600000</v>
      </c>
      <c r="CG36" s="899">
        <f>SUM(CG37:CG38)</f>
        <v>6</v>
      </c>
      <c r="CH36" s="904">
        <f>SUM(CH37:CH38)</f>
        <v>3</v>
      </c>
      <c r="CI36" s="788">
        <f>IF(SUM(CI37:CI38)&gt;0,AVERAGEIF(CI37:CI38,"&gt;0"),0)</f>
        <v>0.5</v>
      </c>
      <c r="CJ36" s="891">
        <f>SUM(CJ37:CJ38)</f>
        <v>600000</v>
      </c>
      <c r="CK36" s="899">
        <f>SUM(CK37:CK38)</f>
        <v>6</v>
      </c>
      <c r="CL36" s="904">
        <f>SUM(CL37:CL38)</f>
        <v>3</v>
      </c>
      <c r="CM36" s="788">
        <f>IF(SUM(CM37:CM38)&gt;0,AVERAGEIF(CM37:CM38,"&gt;0"),0)</f>
        <v>0.5</v>
      </c>
      <c r="CN36" s="891">
        <f>SUM(CN37:CN38)</f>
        <v>600000</v>
      </c>
      <c r="CO36" s="899">
        <f>SUM(CO37:CO38)</f>
        <v>6</v>
      </c>
      <c r="CP36" s="904">
        <f>SUM(CP37:CP38)</f>
        <v>3</v>
      </c>
      <c r="CQ36" s="788">
        <f>IF(SUM(CQ37:CQ38)&gt;0,AVERAGEIF(CQ37:CQ38,"&gt;0"),0)</f>
        <v>0.5</v>
      </c>
      <c r="CR36" s="891">
        <f>SUM(CR37:CR38)</f>
        <v>600000</v>
      </c>
      <c r="CS36" s="899">
        <f>SUM(CS37:CS38)</f>
        <v>6</v>
      </c>
      <c r="CT36" s="904">
        <f>SUM(CT37:CT38)</f>
        <v>3</v>
      </c>
      <c r="CU36" s="788">
        <f>IF(SUM(CU37:CU38)&gt;0,AVERAGEIF(CU37:CU38,"&gt;0"),0)</f>
        <v>0.5</v>
      </c>
      <c r="CV36" s="891">
        <f>SUM(CV37:CV38)</f>
        <v>600000</v>
      </c>
      <c r="CW36" s="899">
        <f>SUM(CW37:CW38)</f>
        <v>6</v>
      </c>
      <c r="CX36" s="904">
        <f>SUM(CX37:CX38)</f>
        <v>3</v>
      </c>
      <c r="CY36" s="788">
        <f>IF(SUM(CY37:CY38)&gt;0,AVERAGEIF(CY37:CY38,"&gt;0"),0)</f>
        <v>0.5</v>
      </c>
      <c r="CZ36" s="891">
        <f>SUM(CZ37:CZ38)</f>
        <v>600000</v>
      </c>
      <c r="DA36" s="899">
        <f>SUM(DA37:DA38)</f>
        <v>6</v>
      </c>
      <c r="DB36" s="904">
        <f>SUM(DB37:DB38)</f>
        <v>3</v>
      </c>
      <c r="DC36" s="788">
        <f>IF(SUM(DC37:DC38)&gt;0,AVERAGEIF(DC37:DC38,"&gt;0"),0)</f>
        <v>0.5</v>
      </c>
      <c r="DD36" s="891">
        <f>SUM(DD37:DD38)</f>
        <v>600000</v>
      </c>
      <c r="DE36" s="899">
        <f>SUM(DE37:DE38)</f>
        <v>6</v>
      </c>
      <c r="DF36" s="904">
        <f>SUM(DF37:DF38)</f>
        <v>3</v>
      </c>
      <c r="DG36" s="788">
        <f>IF(SUM(DG37:DG38)&gt;0,AVERAGEIF(DG37:DG38,"&gt;0"),0)</f>
        <v>0.5</v>
      </c>
      <c r="DH36" s="891">
        <f>SUM(DH37:DH38)</f>
        <v>600000</v>
      </c>
      <c r="DI36" s="899">
        <f>SUM(DI37:DI38)</f>
        <v>6</v>
      </c>
      <c r="DJ36" s="904">
        <f>SUM(DJ37:DJ38)</f>
        <v>3</v>
      </c>
      <c r="DK36" s="788">
        <f>IF(SUM(DK37:DK38)&gt;0,AVERAGEIF(DK37:DK38,"&gt;0"),0)</f>
        <v>0.5</v>
      </c>
      <c r="DL36" s="891">
        <f>SUM(DL37:DL38)</f>
        <v>600000</v>
      </c>
      <c r="DM36" s="899">
        <f>SUM(DM37:DM38)</f>
        <v>6</v>
      </c>
      <c r="DN36" s="904">
        <f>SUM(DN37:DN38)</f>
        <v>3</v>
      </c>
      <c r="DO36" s="788">
        <f>IF(SUM(DO37:DO38)&gt;0,AVERAGEIF(DO37:DO38,"&gt;0"),0)</f>
        <v>0.5</v>
      </c>
      <c r="DP36" s="891">
        <f>SUM(DP37:DP38)</f>
        <v>600000</v>
      </c>
      <c r="DQ36" s="899">
        <f>SUM(DQ37:DQ38)</f>
        <v>6</v>
      </c>
      <c r="DR36" s="904">
        <f>SUM(DR37:DR38)</f>
        <v>3</v>
      </c>
      <c r="DS36" s="788">
        <f>IF(SUM(DS37:DS38)&gt;0,AVERAGEIF(DS37:DS38,"&gt;0"),0)</f>
        <v>0.5</v>
      </c>
      <c r="DT36" s="891">
        <f>SUM(DT37:DT38)</f>
        <v>600000</v>
      </c>
      <c r="DU36" s="899">
        <f>SUM(DU37:DU38)</f>
        <v>6</v>
      </c>
      <c r="DV36" s="904">
        <f>SUM(DV37:DV38)</f>
        <v>3</v>
      </c>
      <c r="DW36" s="788">
        <f>IF(SUM(DW37:DW38)&gt;0,AVERAGEIF(DW37:DW38,"&gt;0"),0)</f>
        <v>0.5</v>
      </c>
      <c r="DX36" s="891">
        <f>SUM(DX37:DX38)</f>
        <v>600000</v>
      </c>
      <c r="DY36" s="899">
        <f>SUM(DY37:DY38)</f>
        <v>6</v>
      </c>
      <c r="DZ36" s="904">
        <f>SUM(DZ37:DZ38)</f>
        <v>3</v>
      </c>
      <c r="EA36" s="788">
        <f>IF(SUM(EA37:EA38)&gt;0,AVERAGEIF(EA37:EA38,"&gt;0"),0)</f>
        <v>0.5</v>
      </c>
      <c r="EB36" s="891">
        <f>SUM(EB37:EB38)</f>
        <v>600000</v>
      </c>
      <c r="EC36" s="899">
        <f>SUM(EC37:EC38)</f>
        <v>6</v>
      </c>
      <c r="ED36" s="904">
        <f>SUM(ED37:ED38)</f>
        <v>3</v>
      </c>
      <c r="EE36" s="788">
        <f>IF(SUM(EE37:EE38)&gt;0,AVERAGEIF(EE37:EE38,"&gt;0"),0)</f>
        <v>0.5</v>
      </c>
      <c r="EF36" s="891">
        <f>SUM(EF37:EF38)</f>
        <v>600000</v>
      </c>
    </row>
    <row r="37" spans="1:136" ht="20" customHeight="1" x14ac:dyDescent="0.15">
      <c r="A37" s="189">
        <f>_xlfn.IFS(B37=0,0,E37&gt;B37,1,E37&lt;=B37,E37/B37)</f>
        <v>0</v>
      </c>
      <c r="B37" s="183"/>
      <c r="C37" s="943" t="str">
        <f>Dashboard!K100</f>
        <v>SHOPPEE</v>
      </c>
      <c r="D37" s="610">
        <f>$D$36/2</f>
        <v>7500000</v>
      </c>
      <c r="E37" s="1082">
        <f t="shared" si="302"/>
        <v>9300000</v>
      </c>
      <c r="F37" s="610">
        <f>E37-D37</f>
        <v>1800000</v>
      </c>
      <c r="G37" s="208">
        <f t="shared" ref="G37:G38" si="303">_xlfn.IFS(F37&gt;0,1,F37&lt;=0,E37/D37)</f>
        <v>1</v>
      </c>
      <c r="H37" s="208">
        <f>IF(SUMIF(M$13:EF$13,$O$13,M37:EF37)&gt;0,AVERAGEIFS(M37:EF37,M37:EF37,"&gt;0",M$13:EF$13,$O$13),"NO NEW ORDER")</f>
        <v>0.33333333333333337</v>
      </c>
      <c r="I37" s="17"/>
      <c r="J37" s="208">
        <f ca="1">SUMIFS($M37:$EF37,$M$11:$EF$11,TODAY()-1,$M$13:$EF$13,O$13)</f>
        <v>0</v>
      </c>
      <c r="K37" s="852"/>
      <c r="L37" s="605">
        <f ca="1">SUMIFS($M37:$EF37,$M$11:$EF$11,TODAY()-1,$M$13:$EF$13,P$13)</f>
        <v>0</v>
      </c>
      <c r="M37" s="1026">
        <v>3</v>
      </c>
      <c r="N37" s="1027">
        <v>1</v>
      </c>
      <c r="O37" s="906">
        <f>_xlfn.IFS(M37=0,0,N37&lt;=M37,N37/M37,N37&gt;M37,1)</f>
        <v>0.33333333333333331</v>
      </c>
      <c r="P37" s="1029">
        <v>300000</v>
      </c>
      <c r="Q37" s="1026">
        <v>3</v>
      </c>
      <c r="R37" s="1027">
        <v>1</v>
      </c>
      <c r="S37" s="906">
        <f>_xlfn.IFS(Q37=0,0,R37&lt;=Q37,R37/Q37,R37&gt;Q37,1)</f>
        <v>0.33333333333333331</v>
      </c>
      <c r="T37" s="1029">
        <v>300000</v>
      </c>
      <c r="U37" s="1026">
        <v>3</v>
      </c>
      <c r="V37" s="1027">
        <v>1</v>
      </c>
      <c r="W37" s="906">
        <f>_xlfn.IFS(U37=0,0,V37&lt;=U37,V37/U37,V37&gt;U37,1)</f>
        <v>0.33333333333333331</v>
      </c>
      <c r="X37" s="1029">
        <v>300000</v>
      </c>
      <c r="Y37" s="1026">
        <v>3</v>
      </c>
      <c r="Z37" s="1027">
        <v>1</v>
      </c>
      <c r="AA37" s="906">
        <f>_xlfn.IFS(Y37=0,0,Z37&lt;=Y37,Z37/Y37,Z37&gt;Y37,1)</f>
        <v>0.33333333333333331</v>
      </c>
      <c r="AB37" s="1029">
        <v>300000</v>
      </c>
      <c r="AC37" s="1026">
        <v>3</v>
      </c>
      <c r="AD37" s="1027">
        <v>1</v>
      </c>
      <c r="AE37" s="906">
        <f>_xlfn.IFS(AC37=0,0,AD37&lt;=AC37,AD37/AC37,AD37&gt;AC37,1)</f>
        <v>0.33333333333333331</v>
      </c>
      <c r="AF37" s="1029">
        <v>300000</v>
      </c>
      <c r="AG37" s="1026">
        <v>3</v>
      </c>
      <c r="AH37" s="1027">
        <v>1</v>
      </c>
      <c r="AI37" s="906">
        <f>_xlfn.IFS(AG37=0,0,AH37&lt;=AG37,AH37/AG37,AH37&gt;AG37,1)</f>
        <v>0.33333333333333331</v>
      </c>
      <c r="AJ37" s="1029">
        <v>300000</v>
      </c>
      <c r="AK37" s="1026">
        <v>3</v>
      </c>
      <c r="AL37" s="1027">
        <v>1</v>
      </c>
      <c r="AM37" s="906">
        <f>_xlfn.IFS(AK37=0,0,AL37&lt;=AK37,AL37/AK37,AL37&gt;AK37,1)</f>
        <v>0.33333333333333331</v>
      </c>
      <c r="AN37" s="1029">
        <v>300000</v>
      </c>
      <c r="AO37" s="1026">
        <v>3</v>
      </c>
      <c r="AP37" s="1027">
        <v>1</v>
      </c>
      <c r="AQ37" s="906">
        <f>_xlfn.IFS(AO37=0,0,AP37&lt;=AO37,AP37/AO37,AP37&gt;AO37,1)</f>
        <v>0.33333333333333331</v>
      </c>
      <c r="AR37" s="1029">
        <v>300000</v>
      </c>
      <c r="AS37" s="1026">
        <v>3</v>
      </c>
      <c r="AT37" s="1027">
        <v>1</v>
      </c>
      <c r="AU37" s="906">
        <f>_xlfn.IFS(AS37=0,0,AT37&lt;=AS37,AT37/AS37,AT37&gt;AS37,1)</f>
        <v>0.33333333333333331</v>
      </c>
      <c r="AV37" s="1029">
        <v>300000</v>
      </c>
      <c r="AW37" s="1026">
        <v>3</v>
      </c>
      <c r="AX37" s="1027">
        <v>1</v>
      </c>
      <c r="AY37" s="906">
        <f>_xlfn.IFS(AW37=0,0,AX37&lt;=AW37,AX37/AW37,AX37&gt;AW37,1)</f>
        <v>0.33333333333333331</v>
      </c>
      <c r="AZ37" s="1029">
        <v>300000</v>
      </c>
      <c r="BA37" s="1026">
        <v>3</v>
      </c>
      <c r="BB37" s="1027">
        <v>1</v>
      </c>
      <c r="BC37" s="906">
        <f>_xlfn.IFS(BA37=0,0,BB37&lt;=BA37,BB37/BA37,BB37&gt;BA37,1)</f>
        <v>0.33333333333333331</v>
      </c>
      <c r="BD37" s="1029">
        <v>300000</v>
      </c>
      <c r="BE37" s="1026">
        <v>3</v>
      </c>
      <c r="BF37" s="1027">
        <v>1</v>
      </c>
      <c r="BG37" s="906">
        <f>_xlfn.IFS(BE37=0,0,BF37&lt;=BE37,BF37/BE37,BF37&gt;BE37,1)</f>
        <v>0.33333333333333331</v>
      </c>
      <c r="BH37" s="1029">
        <v>300000</v>
      </c>
      <c r="BI37" s="1026">
        <v>3</v>
      </c>
      <c r="BJ37" s="1027">
        <v>1</v>
      </c>
      <c r="BK37" s="906">
        <f>_xlfn.IFS(BI37=0,0,BJ37&lt;=BI37,BJ37/BI37,BJ37&gt;BI37,1)</f>
        <v>0.33333333333333331</v>
      </c>
      <c r="BL37" s="1029">
        <v>300000</v>
      </c>
      <c r="BM37" s="1026">
        <v>3</v>
      </c>
      <c r="BN37" s="1027">
        <v>1</v>
      </c>
      <c r="BO37" s="906">
        <f>_xlfn.IFS(BM37=0,0,BN37&lt;=BM37,BN37/BM37,BN37&gt;BM37,1)</f>
        <v>0.33333333333333331</v>
      </c>
      <c r="BP37" s="1029">
        <v>300000</v>
      </c>
      <c r="BQ37" s="1026">
        <v>3</v>
      </c>
      <c r="BR37" s="1027">
        <v>1</v>
      </c>
      <c r="BS37" s="906">
        <f>_xlfn.IFS(BQ37=0,0,BR37&lt;=BQ37,BR37/BQ37,BR37&gt;BQ37,1)</f>
        <v>0.33333333333333331</v>
      </c>
      <c r="BT37" s="1029">
        <v>300000</v>
      </c>
      <c r="BU37" s="1026">
        <v>3</v>
      </c>
      <c r="BV37" s="1027">
        <v>1</v>
      </c>
      <c r="BW37" s="906">
        <f>_xlfn.IFS(BU37=0,0,BV37&lt;=BU37,BV37/BU37,BV37&gt;BU37,1)</f>
        <v>0.33333333333333331</v>
      </c>
      <c r="BX37" s="1029">
        <v>300000</v>
      </c>
      <c r="BY37" s="1026">
        <v>3</v>
      </c>
      <c r="BZ37" s="1027">
        <v>1</v>
      </c>
      <c r="CA37" s="906">
        <f>_xlfn.IFS(BY37=0,0,BZ37&lt;=BY37,BZ37/BY37,BZ37&gt;BY37,1)</f>
        <v>0.33333333333333331</v>
      </c>
      <c r="CB37" s="1029">
        <v>300000</v>
      </c>
      <c r="CC37" s="1026">
        <v>3</v>
      </c>
      <c r="CD37" s="1027">
        <v>1</v>
      </c>
      <c r="CE37" s="906">
        <f>_xlfn.IFS(CC37=0,0,CD37&lt;=CC37,CD37/CC37,CD37&gt;CC37,1)</f>
        <v>0.33333333333333331</v>
      </c>
      <c r="CF37" s="1029">
        <v>300000</v>
      </c>
      <c r="CG37" s="1026">
        <v>3</v>
      </c>
      <c r="CH37" s="1027">
        <v>1</v>
      </c>
      <c r="CI37" s="906">
        <f>_xlfn.IFS(CG37=0,0,CH37&lt;=CG37,CH37/CG37,CH37&gt;CG37,1)</f>
        <v>0.33333333333333331</v>
      </c>
      <c r="CJ37" s="1029">
        <v>300000</v>
      </c>
      <c r="CK37" s="1026">
        <v>3</v>
      </c>
      <c r="CL37" s="1027">
        <v>1</v>
      </c>
      <c r="CM37" s="906">
        <f>_xlfn.IFS(CK37=0,0,CL37&lt;=CK37,CL37/CK37,CL37&gt;CK37,1)</f>
        <v>0.33333333333333331</v>
      </c>
      <c r="CN37" s="1029">
        <v>300000</v>
      </c>
      <c r="CO37" s="1026">
        <v>3</v>
      </c>
      <c r="CP37" s="1027">
        <v>1</v>
      </c>
      <c r="CQ37" s="906">
        <f>_xlfn.IFS(CO37=0,0,CP37&lt;=CO37,CP37/CO37,CP37&gt;CO37,1)</f>
        <v>0.33333333333333331</v>
      </c>
      <c r="CR37" s="1029">
        <v>300000</v>
      </c>
      <c r="CS37" s="1026">
        <v>3</v>
      </c>
      <c r="CT37" s="1027">
        <v>1</v>
      </c>
      <c r="CU37" s="906">
        <f>_xlfn.IFS(CS37=0,0,CT37&lt;=CS37,CT37/CS37,CT37&gt;CS37,1)</f>
        <v>0.33333333333333331</v>
      </c>
      <c r="CV37" s="1029">
        <v>300000</v>
      </c>
      <c r="CW37" s="1026">
        <v>3</v>
      </c>
      <c r="CX37" s="1027">
        <v>1</v>
      </c>
      <c r="CY37" s="906">
        <f>_xlfn.IFS(CW37=0,0,CX37&lt;=CW37,CX37/CW37,CX37&gt;CW37,1)</f>
        <v>0.33333333333333331</v>
      </c>
      <c r="CZ37" s="1029">
        <v>300000</v>
      </c>
      <c r="DA37" s="1026">
        <v>3</v>
      </c>
      <c r="DB37" s="1027">
        <v>1</v>
      </c>
      <c r="DC37" s="906">
        <f>_xlfn.IFS(DA37=0,0,DB37&lt;=DA37,DB37/DA37,DB37&gt;DA37,1)</f>
        <v>0.33333333333333331</v>
      </c>
      <c r="DD37" s="1029">
        <v>300000</v>
      </c>
      <c r="DE37" s="1026">
        <v>3</v>
      </c>
      <c r="DF37" s="1027">
        <v>1</v>
      </c>
      <c r="DG37" s="906">
        <f>_xlfn.IFS(DE37=0,0,DF37&lt;=DE37,DF37/DE37,DF37&gt;DE37,1)</f>
        <v>0.33333333333333331</v>
      </c>
      <c r="DH37" s="1029">
        <v>300000</v>
      </c>
      <c r="DI37" s="1026">
        <v>3</v>
      </c>
      <c r="DJ37" s="1027">
        <v>1</v>
      </c>
      <c r="DK37" s="906">
        <f>_xlfn.IFS(DI37=0,0,DJ37&lt;=DI37,DJ37/DI37,DJ37&gt;DI37,1)</f>
        <v>0.33333333333333331</v>
      </c>
      <c r="DL37" s="1029">
        <v>300000</v>
      </c>
      <c r="DM37" s="1026">
        <v>3</v>
      </c>
      <c r="DN37" s="1027">
        <v>1</v>
      </c>
      <c r="DO37" s="906">
        <f>_xlfn.IFS(DM37=0,0,DN37&lt;=DM37,DN37/DM37,DN37&gt;DM37,1)</f>
        <v>0.33333333333333331</v>
      </c>
      <c r="DP37" s="1029">
        <v>300000</v>
      </c>
      <c r="DQ37" s="1026">
        <v>3</v>
      </c>
      <c r="DR37" s="1027">
        <v>1</v>
      </c>
      <c r="DS37" s="906">
        <f>_xlfn.IFS(DQ37=0,0,DR37&lt;=DQ37,DR37/DQ37,DR37&gt;DQ37,1)</f>
        <v>0.33333333333333331</v>
      </c>
      <c r="DT37" s="1029">
        <v>300000</v>
      </c>
      <c r="DU37" s="1026">
        <v>3</v>
      </c>
      <c r="DV37" s="1027">
        <v>1</v>
      </c>
      <c r="DW37" s="906">
        <f>_xlfn.IFS(DU37=0,0,DV37&lt;=DU37,DV37/DU37,DV37&gt;DU37,1)</f>
        <v>0.33333333333333331</v>
      </c>
      <c r="DX37" s="1029">
        <v>300000</v>
      </c>
      <c r="DY37" s="1026">
        <v>3</v>
      </c>
      <c r="DZ37" s="1027">
        <v>1</v>
      </c>
      <c r="EA37" s="906">
        <f>_xlfn.IFS(DY37=0,0,DZ37&lt;=DY37,DZ37/DY37,DZ37&gt;DY37,1)</f>
        <v>0.33333333333333331</v>
      </c>
      <c r="EB37" s="1029">
        <v>300000</v>
      </c>
      <c r="EC37" s="1026">
        <v>3</v>
      </c>
      <c r="ED37" s="1027">
        <v>1</v>
      </c>
      <c r="EE37" s="906">
        <f>_xlfn.IFS(EC37=0,0,ED37&lt;=EC37,ED37/EC37,ED37&gt;EC37,1)</f>
        <v>0.33333333333333331</v>
      </c>
      <c r="EF37" s="1029">
        <v>300000</v>
      </c>
    </row>
    <row r="38" spans="1:136" ht="20" customHeight="1" x14ac:dyDescent="0.15">
      <c r="A38" s="189">
        <f>_xlfn.IFS(B38=0,0,E38&gt;B38,1,E38&lt;=B38,E38/B38)</f>
        <v>0</v>
      </c>
      <c r="B38" s="262"/>
      <c r="C38" s="944" t="s">
        <v>133</v>
      </c>
      <c r="D38" s="610">
        <f>$D$36/2</f>
        <v>7500000</v>
      </c>
      <c r="E38" s="1082">
        <f t="shared" si="302"/>
        <v>9300000</v>
      </c>
      <c r="F38" s="610">
        <f t="shared" ref="F38" si="304">E38-D38</f>
        <v>1800000</v>
      </c>
      <c r="G38" s="208">
        <f t="shared" si="303"/>
        <v>1</v>
      </c>
      <c r="H38" s="208">
        <f>IF(SUMIF(M$13:EF$13,$O$13,M38:EF38)&gt;0,AVERAGEIFS(M38:EF38,M38:EF38,"&gt;0",M$13:EF$13,$O$13),"NO NEW ORDER")</f>
        <v>0.66666666666666674</v>
      </c>
      <c r="I38" s="966"/>
      <c r="J38" s="208">
        <f ca="1">SUMIFS($M38:$EF38,$M$11:$EF$11,TODAY()-1,$M$13:$EF$13,O$13)</f>
        <v>0</v>
      </c>
      <c r="K38" s="853"/>
      <c r="L38" s="605">
        <f ca="1">SUMIFS($M38:$EF38,$M$11:$EF$11,TODAY()-1,$M$13:$EF$13,P$13)</f>
        <v>0</v>
      </c>
      <c r="M38" s="1026">
        <v>3</v>
      </c>
      <c r="N38" s="1027">
        <v>2</v>
      </c>
      <c r="O38" s="906">
        <f>_xlfn.IFS(M38=0,0,N38&lt;=M38,N38/M38,N38&gt;M38,1)</f>
        <v>0.66666666666666663</v>
      </c>
      <c r="P38" s="1029">
        <v>300000</v>
      </c>
      <c r="Q38" s="1026">
        <v>3</v>
      </c>
      <c r="R38" s="1027">
        <v>2</v>
      </c>
      <c r="S38" s="906">
        <f>_xlfn.IFS(Q38=0,0,R38&lt;=Q38,R38/Q38,R38&gt;Q38,1)</f>
        <v>0.66666666666666663</v>
      </c>
      <c r="T38" s="1029">
        <v>300000</v>
      </c>
      <c r="U38" s="1026">
        <v>3</v>
      </c>
      <c r="V38" s="1027">
        <v>2</v>
      </c>
      <c r="W38" s="906">
        <f>_xlfn.IFS(U38=0,0,V38&lt;=U38,V38/U38,V38&gt;U38,1)</f>
        <v>0.66666666666666663</v>
      </c>
      <c r="X38" s="1029">
        <v>300000</v>
      </c>
      <c r="Y38" s="1026">
        <v>3</v>
      </c>
      <c r="Z38" s="1027">
        <v>2</v>
      </c>
      <c r="AA38" s="906">
        <f>_xlfn.IFS(Y38=0,0,Z38&lt;=Y38,Z38/Y38,Z38&gt;Y38,1)</f>
        <v>0.66666666666666663</v>
      </c>
      <c r="AB38" s="1029">
        <v>300000</v>
      </c>
      <c r="AC38" s="1026">
        <v>3</v>
      </c>
      <c r="AD38" s="1027">
        <v>2</v>
      </c>
      <c r="AE38" s="906">
        <f>_xlfn.IFS(AC38=0,0,AD38&lt;=AC38,AD38/AC38,AD38&gt;AC38,1)</f>
        <v>0.66666666666666663</v>
      </c>
      <c r="AF38" s="1029">
        <v>300000</v>
      </c>
      <c r="AG38" s="1026">
        <v>3</v>
      </c>
      <c r="AH38" s="1027">
        <v>2</v>
      </c>
      <c r="AI38" s="906">
        <f>_xlfn.IFS(AG38=0,0,AH38&lt;=AG38,AH38/AG38,AH38&gt;AG38,1)</f>
        <v>0.66666666666666663</v>
      </c>
      <c r="AJ38" s="1029">
        <v>300000</v>
      </c>
      <c r="AK38" s="1026">
        <v>3</v>
      </c>
      <c r="AL38" s="1027">
        <v>2</v>
      </c>
      <c r="AM38" s="906">
        <f>_xlfn.IFS(AK38=0,0,AL38&lt;=AK38,AL38/AK38,AL38&gt;AK38,1)</f>
        <v>0.66666666666666663</v>
      </c>
      <c r="AN38" s="1029">
        <v>300000</v>
      </c>
      <c r="AO38" s="1026">
        <v>3</v>
      </c>
      <c r="AP38" s="1027">
        <v>2</v>
      </c>
      <c r="AQ38" s="906">
        <f>_xlfn.IFS(AO38=0,0,AP38&lt;=AO38,AP38/AO38,AP38&gt;AO38,1)</f>
        <v>0.66666666666666663</v>
      </c>
      <c r="AR38" s="1029">
        <v>300000</v>
      </c>
      <c r="AS38" s="1026">
        <v>3</v>
      </c>
      <c r="AT38" s="1027">
        <v>2</v>
      </c>
      <c r="AU38" s="906">
        <f>_xlfn.IFS(AS38=0,0,AT38&lt;=AS38,AT38/AS38,AT38&gt;AS38,1)</f>
        <v>0.66666666666666663</v>
      </c>
      <c r="AV38" s="1029">
        <v>300000</v>
      </c>
      <c r="AW38" s="1026">
        <v>3</v>
      </c>
      <c r="AX38" s="1027">
        <v>2</v>
      </c>
      <c r="AY38" s="906">
        <f>_xlfn.IFS(AW38=0,0,AX38&lt;=AW38,AX38/AW38,AX38&gt;AW38,1)</f>
        <v>0.66666666666666663</v>
      </c>
      <c r="AZ38" s="1029">
        <v>300000</v>
      </c>
      <c r="BA38" s="1026">
        <v>3</v>
      </c>
      <c r="BB38" s="1027">
        <v>2</v>
      </c>
      <c r="BC38" s="906">
        <f>_xlfn.IFS(BA38=0,0,BB38&lt;=BA38,BB38/BA38,BB38&gt;BA38,1)</f>
        <v>0.66666666666666663</v>
      </c>
      <c r="BD38" s="1029">
        <v>300000</v>
      </c>
      <c r="BE38" s="1026">
        <v>3</v>
      </c>
      <c r="BF38" s="1027">
        <v>2</v>
      </c>
      <c r="BG38" s="906">
        <f>_xlfn.IFS(BE38=0,0,BF38&lt;=BE38,BF38/BE38,BF38&gt;BE38,1)</f>
        <v>0.66666666666666663</v>
      </c>
      <c r="BH38" s="1029">
        <v>300000</v>
      </c>
      <c r="BI38" s="1026">
        <v>3</v>
      </c>
      <c r="BJ38" s="1027">
        <v>2</v>
      </c>
      <c r="BK38" s="906">
        <f>_xlfn.IFS(BI38=0,0,BJ38&lt;=BI38,BJ38/BI38,BJ38&gt;BI38,1)</f>
        <v>0.66666666666666663</v>
      </c>
      <c r="BL38" s="1029">
        <v>300000</v>
      </c>
      <c r="BM38" s="1026">
        <v>3</v>
      </c>
      <c r="BN38" s="1027">
        <v>2</v>
      </c>
      <c r="BO38" s="906">
        <f>_xlfn.IFS(BM38=0,0,BN38&lt;=BM38,BN38/BM38,BN38&gt;BM38,1)</f>
        <v>0.66666666666666663</v>
      </c>
      <c r="BP38" s="1029">
        <v>300000</v>
      </c>
      <c r="BQ38" s="1026">
        <v>3</v>
      </c>
      <c r="BR38" s="1027">
        <v>2</v>
      </c>
      <c r="BS38" s="906">
        <f>_xlfn.IFS(BQ38=0,0,BR38&lt;=BQ38,BR38/BQ38,BR38&gt;BQ38,1)</f>
        <v>0.66666666666666663</v>
      </c>
      <c r="BT38" s="1029">
        <v>300000</v>
      </c>
      <c r="BU38" s="1026">
        <v>3</v>
      </c>
      <c r="BV38" s="1027">
        <v>2</v>
      </c>
      <c r="BW38" s="906">
        <f>_xlfn.IFS(BU38=0,0,BV38&lt;=BU38,BV38/BU38,BV38&gt;BU38,1)</f>
        <v>0.66666666666666663</v>
      </c>
      <c r="BX38" s="1029">
        <v>300000</v>
      </c>
      <c r="BY38" s="1026">
        <v>3</v>
      </c>
      <c r="BZ38" s="1027">
        <v>2</v>
      </c>
      <c r="CA38" s="906">
        <f>_xlfn.IFS(BY38=0,0,BZ38&lt;=BY38,BZ38/BY38,BZ38&gt;BY38,1)</f>
        <v>0.66666666666666663</v>
      </c>
      <c r="CB38" s="1029">
        <v>300000</v>
      </c>
      <c r="CC38" s="1026">
        <v>3</v>
      </c>
      <c r="CD38" s="1027">
        <v>2</v>
      </c>
      <c r="CE38" s="906">
        <f>_xlfn.IFS(CC38=0,0,CD38&lt;=CC38,CD38/CC38,CD38&gt;CC38,1)</f>
        <v>0.66666666666666663</v>
      </c>
      <c r="CF38" s="1029">
        <v>300000</v>
      </c>
      <c r="CG38" s="1026">
        <v>3</v>
      </c>
      <c r="CH38" s="1027">
        <v>2</v>
      </c>
      <c r="CI38" s="906">
        <f>_xlfn.IFS(CG38=0,0,CH38&lt;=CG38,CH38/CG38,CH38&gt;CG38,1)</f>
        <v>0.66666666666666663</v>
      </c>
      <c r="CJ38" s="1029">
        <v>300000</v>
      </c>
      <c r="CK38" s="1026">
        <v>3</v>
      </c>
      <c r="CL38" s="1027">
        <v>2</v>
      </c>
      <c r="CM38" s="906">
        <f>_xlfn.IFS(CK38=0,0,CL38&lt;=CK38,CL38/CK38,CL38&gt;CK38,1)</f>
        <v>0.66666666666666663</v>
      </c>
      <c r="CN38" s="1029">
        <v>300000</v>
      </c>
      <c r="CO38" s="1026">
        <v>3</v>
      </c>
      <c r="CP38" s="1027">
        <v>2</v>
      </c>
      <c r="CQ38" s="906">
        <f>_xlfn.IFS(CO38=0,0,CP38&lt;=CO38,CP38/CO38,CP38&gt;CO38,1)</f>
        <v>0.66666666666666663</v>
      </c>
      <c r="CR38" s="1029">
        <v>300000</v>
      </c>
      <c r="CS38" s="1026">
        <v>3</v>
      </c>
      <c r="CT38" s="1027">
        <v>2</v>
      </c>
      <c r="CU38" s="906">
        <f>_xlfn.IFS(CS38=0,0,CT38&lt;=CS38,CT38/CS38,CT38&gt;CS38,1)</f>
        <v>0.66666666666666663</v>
      </c>
      <c r="CV38" s="1029">
        <v>300000</v>
      </c>
      <c r="CW38" s="1026">
        <v>3</v>
      </c>
      <c r="CX38" s="1027">
        <v>2</v>
      </c>
      <c r="CY38" s="906">
        <f>_xlfn.IFS(CW38=0,0,CX38&lt;=CW38,CX38/CW38,CX38&gt;CW38,1)</f>
        <v>0.66666666666666663</v>
      </c>
      <c r="CZ38" s="1029">
        <v>300000</v>
      </c>
      <c r="DA38" s="1026">
        <v>3</v>
      </c>
      <c r="DB38" s="1027">
        <v>2</v>
      </c>
      <c r="DC38" s="906">
        <f>_xlfn.IFS(DA38=0,0,DB38&lt;=DA38,DB38/DA38,DB38&gt;DA38,1)</f>
        <v>0.66666666666666663</v>
      </c>
      <c r="DD38" s="1029">
        <v>300000</v>
      </c>
      <c r="DE38" s="1026">
        <v>3</v>
      </c>
      <c r="DF38" s="1027">
        <v>2</v>
      </c>
      <c r="DG38" s="906">
        <f>_xlfn.IFS(DE38=0,0,DF38&lt;=DE38,DF38/DE38,DF38&gt;DE38,1)</f>
        <v>0.66666666666666663</v>
      </c>
      <c r="DH38" s="1029">
        <v>300000</v>
      </c>
      <c r="DI38" s="1026">
        <v>3</v>
      </c>
      <c r="DJ38" s="1027">
        <v>2</v>
      </c>
      <c r="DK38" s="906">
        <f>_xlfn.IFS(DI38=0,0,DJ38&lt;=DI38,DJ38/DI38,DJ38&gt;DI38,1)</f>
        <v>0.66666666666666663</v>
      </c>
      <c r="DL38" s="1029">
        <v>300000</v>
      </c>
      <c r="DM38" s="1026">
        <v>3</v>
      </c>
      <c r="DN38" s="1027">
        <v>2</v>
      </c>
      <c r="DO38" s="906">
        <f>_xlfn.IFS(DM38=0,0,DN38&lt;=DM38,DN38/DM38,DN38&gt;DM38,1)</f>
        <v>0.66666666666666663</v>
      </c>
      <c r="DP38" s="1029">
        <v>300000</v>
      </c>
      <c r="DQ38" s="1026">
        <v>3</v>
      </c>
      <c r="DR38" s="1027">
        <v>2</v>
      </c>
      <c r="DS38" s="906">
        <f>_xlfn.IFS(DQ38=0,0,DR38&lt;=DQ38,DR38/DQ38,DR38&gt;DQ38,1)</f>
        <v>0.66666666666666663</v>
      </c>
      <c r="DT38" s="1029">
        <v>300000</v>
      </c>
      <c r="DU38" s="1026">
        <v>3</v>
      </c>
      <c r="DV38" s="1027">
        <v>2</v>
      </c>
      <c r="DW38" s="906">
        <f>_xlfn.IFS(DU38=0,0,DV38&lt;=DU38,DV38/DU38,DV38&gt;DU38,1)</f>
        <v>0.66666666666666663</v>
      </c>
      <c r="DX38" s="1029">
        <v>300000</v>
      </c>
      <c r="DY38" s="1026">
        <v>3</v>
      </c>
      <c r="DZ38" s="1027">
        <v>2</v>
      </c>
      <c r="EA38" s="906">
        <f>_xlfn.IFS(DY38=0,0,DZ38&lt;=DY38,DZ38/DY38,DZ38&gt;DY38,1)</f>
        <v>0.66666666666666663</v>
      </c>
      <c r="EB38" s="1029">
        <v>300000</v>
      </c>
      <c r="EC38" s="1026">
        <v>3</v>
      </c>
      <c r="ED38" s="1027">
        <v>2</v>
      </c>
      <c r="EE38" s="906">
        <f>_xlfn.IFS(EC38=0,0,ED38&lt;=EC38,ED38/EC38,ED38&gt;EC38,1)</f>
        <v>0.66666666666666663</v>
      </c>
      <c r="EF38" s="1029">
        <v>300000</v>
      </c>
    </row>
    <row r="39" spans="1:136" ht="20" customHeight="1" x14ac:dyDescent="0.15">
      <c r="A39" s="870">
        <f>_xlfn.IFS(B39=0,0,E39&gt;B39,1,E39&lt;=B39,E39/B39)</f>
        <v>0</v>
      </c>
      <c r="B39" s="949"/>
      <c r="C39" s="883" t="str">
        <f>Dashboard!K101</f>
        <v>ZALO</v>
      </c>
      <c r="D39" s="686">
        <f>Dashboard!U101</f>
        <v>15000000</v>
      </c>
      <c r="E39" s="1065">
        <f>SUMIF($M$13:$EF$13,$P$13,$M39:$EF39)</f>
        <v>9300000</v>
      </c>
      <c r="F39" s="686">
        <f>E39-D39</f>
        <v>-5700000</v>
      </c>
      <c r="G39" s="788">
        <f>_xlfn.IFS(F39&gt;0,1,F39&lt;=0,E39/D39)</f>
        <v>0.62</v>
      </c>
      <c r="H39" s="788">
        <f>IF(SUMIF(M$13:EF$13,$O$13,M39:EF39)&gt;0,AVERAGEIFS(M39:EF39,M39:EF39,"&gt;0",M$13:EF$13,$O$13),"NO NEW ORDER")</f>
        <v>1</v>
      </c>
      <c r="I39" s="855">
        <f>Dashboard!M122</f>
        <v>0.16041666666666665</v>
      </c>
      <c r="J39" s="788">
        <f ca="1">SUMIFS($M39:$EF39,$M$11:$EF$11,TODAY()-1,$M$13:$EF$13,O$13)</f>
        <v>0</v>
      </c>
      <c r="K39" s="686">
        <f>D39/'Action Plan'!$C$6</f>
        <v>576923.07692307688</v>
      </c>
      <c r="L39" s="933">
        <f ca="1">SUMIFS($M39:$EF39,$M$11:$EF$11,TODAY()-1,$M$13:$EF$13,P$13)</f>
        <v>0</v>
      </c>
      <c r="M39" s="1111">
        <v>1</v>
      </c>
      <c r="N39" s="1112">
        <v>1</v>
      </c>
      <c r="O39" s="788">
        <f>_xlfn.IFS(M39=0,0,N39&lt;=M39,N39/M39,N39&gt;M39,1)</f>
        <v>1</v>
      </c>
      <c r="P39" s="1113">
        <v>300000</v>
      </c>
      <c r="Q39" s="1111">
        <v>1</v>
      </c>
      <c r="R39" s="1112">
        <v>1</v>
      </c>
      <c r="S39" s="788">
        <f>_xlfn.IFS(Q39=0,0,R39&lt;=Q39,R39/Q39,R39&gt;Q39,1)</f>
        <v>1</v>
      </c>
      <c r="T39" s="1113">
        <v>300000</v>
      </c>
      <c r="U39" s="1111">
        <v>1</v>
      </c>
      <c r="V39" s="1112">
        <v>1</v>
      </c>
      <c r="W39" s="788">
        <f>_xlfn.IFS(U39=0,0,V39&lt;=U39,V39/U39,V39&gt;U39,1)</f>
        <v>1</v>
      </c>
      <c r="X39" s="1113">
        <v>300000</v>
      </c>
      <c r="Y39" s="1111">
        <v>1</v>
      </c>
      <c r="Z39" s="1112">
        <v>1</v>
      </c>
      <c r="AA39" s="788">
        <f>_xlfn.IFS(Y39=0,0,Z39&lt;=Y39,Z39/Y39,Z39&gt;Y39,1)</f>
        <v>1</v>
      </c>
      <c r="AB39" s="1113">
        <v>300000</v>
      </c>
      <c r="AC39" s="1111">
        <v>1</v>
      </c>
      <c r="AD39" s="1112">
        <v>1</v>
      </c>
      <c r="AE39" s="788">
        <f>_xlfn.IFS(AC39=0,0,AD39&lt;=AC39,AD39/AC39,AD39&gt;AC39,1)</f>
        <v>1</v>
      </c>
      <c r="AF39" s="1113">
        <v>300000</v>
      </c>
      <c r="AG39" s="1111">
        <v>1</v>
      </c>
      <c r="AH39" s="1112">
        <v>1</v>
      </c>
      <c r="AI39" s="788">
        <f>_xlfn.IFS(AG39=0,0,AH39&lt;=AG39,AH39/AG39,AH39&gt;AG39,1)</f>
        <v>1</v>
      </c>
      <c r="AJ39" s="1113">
        <v>300000</v>
      </c>
      <c r="AK39" s="1111">
        <v>1</v>
      </c>
      <c r="AL39" s="1112">
        <v>1</v>
      </c>
      <c r="AM39" s="788">
        <f>_xlfn.IFS(AK39=0,0,AL39&lt;=AK39,AL39/AK39,AL39&gt;AK39,1)</f>
        <v>1</v>
      </c>
      <c r="AN39" s="1113">
        <v>300000</v>
      </c>
      <c r="AO39" s="1111">
        <v>1</v>
      </c>
      <c r="AP39" s="1112">
        <v>1</v>
      </c>
      <c r="AQ39" s="788">
        <f>_xlfn.IFS(AO39=0,0,AP39&lt;=AO39,AP39/AO39,AP39&gt;AO39,1)</f>
        <v>1</v>
      </c>
      <c r="AR39" s="1113">
        <v>300000</v>
      </c>
      <c r="AS39" s="1111">
        <v>1</v>
      </c>
      <c r="AT39" s="1112">
        <v>1</v>
      </c>
      <c r="AU39" s="788">
        <f>_xlfn.IFS(AS39=0,0,AT39&lt;=AS39,AT39/AS39,AT39&gt;AS39,1)</f>
        <v>1</v>
      </c>
      <c r="AV39" s="1113">
        <v>300000</v>
      </c>
      <c r="AW39" s="1111">
        <v>1</v>
      </c>
      <c r="AX39" s="1112">
        <v>1</v>
      </c>
      <c r="AY39" s="788">
        <f>_xlfn.IFS(AW39=0,0,AX39&lt;=AW39,AX39/AW39,AX39&gt;AW39,1)</f>
        <v>1</v>
      </c>
      <c r="AZ39" s="1113">
        <v>300000</v>
      </c>
      <c r="BA39" s="1111">
        <v>1</v>
      </c>
      <c r="BB39" s="1112">
        <v>1</v>
      </c>
      <c r="BC39" s="788">
        <f>_xlfn.IFS(BA39=0,0,BB39&lt;=BA39,BB39/BA39,BB39&gt;BA39,1)</f>
        <v>1</v>
      </c>
      <c r="BD39" s="1113">
        <v>300000</v>
      </c>
      <c r="BE39" s="1111">
        <v>1</v>
      </c>
      <c r="BF39" s="1112">
        <v>1</v>
      </c>
      <c r="BG39" s="788">
        <f>_xlfn.IFS(BE39=0,0,BF39&lt;=BE39,BF39/BE39,BF39&gt;BE39,1)</f>
        <v>1</v>
      </c>
      <c r="BH39" s="1113">
        <v>300000</v>
      </c>
      <c r="BI39" s="1111">
        <v>1</v>
      </c>
      <c r="BJ39" s="1112">
        <v>1</v>
      </c>
      <c r="BK39" s="788">
        <f>_xlfn.IFS(BI39=0,0,BJ39&lt;=BI39,BJ39/BI39,BJ39&gt;BI39,1)</f>
        <v>1</v>
      </c>
      <c r="BL39" s="1113">
        <v>300000</v>
      </c>
      <c r="BM39" s="1111">
        <v>1</v>
      </c>
      <c r="BN39" s="1112">
        <v>1</v>
      </c>
      <c r="BO39" s="788">
        <f>_xlfn.IFS(BM39=0,0,BN39&lt;=BM39,BN39/BM39,BN39&gt;BM39,1)</f>
        <v>1</v>
      </c>
      <c r="BP39" s="1113">
        <v>300000</v>
      </c>
      <c r="BQ39" s="1111">
        <v>1</v>
      </c>
      <c r="BR39" s="1112">
        <v>1</v>
      </c>
      <c r="BS39" s="788">
        <f>_xlfn.IFS(BQ39=0,0,BR39&lt;=BQ39,BR39/BQ39,BR39&gt;BQ39,1)</f>
        <v>1</v>
      </c>
      <c r="BT39" s="1113">
        <v>300000</v>
      </c>
      <c r="BU39" s="1111">
        <v>1</v>
      </c>
      <c r="BV39" s="1112">
        <v>1</v>
      </c>
      <c r="BW39" s="788">
        <f>_xlfn.IFS(BU39=0,0,BV39&lt;=BU39,BV39/BU39,BV39&gt;BU39,1)</f>
        <v>1</v>
      </c>
      <c r="BX39" s="1113">
        <v>300000</v>
      </c>
      <c r="BY39" s="1111">
        <v>1</v>
      </c>
      <c r="BZ39" s="1112">
        <v>1</v>
      </c>
      <c r="CA39" s="788">
        <f>_xlfn.IFS(BY39=0,0,BZ39&lt;=BY39,BZ39/BY39,BZ39&gt;BY39,1)</f>
        <v>1</v>
      </c>
      <c r="CB39" s="1113">
        <v>300000</v>
      </c>
      <c r="CC39" s="1111">
        <v>1</v>
      </c>
      <c r="CD39" s="1112">
        <v>1</v>
      </c>
      <c r="CE39" s="788">
        <f>_xlfn.IFS(CC39=0,0,CD39&lt;=CC39,CD39/CC39,CD39&gt;CC39,1)</f>
        <v>1</v>
      </c>
      <c r="CF39" s="1113">
        <v>300000</v>
      </c>
      <c r="CG39" s="1111">
        <v>1</v>
      </c>
      <c r="CH39" s="1112">
        <v>1</v>
      </c>
      <c r="CI39" s="788">
        <f>_xlfn.IFS(CG39=0,0,CH39&lt;=CG39,CH39/CG39,CH39&gt;CG39,1)</f>
        <v>1</v>
      </c>
      <c r="CJ39" s="1113">
        <v>300000</v>
      </c>
      <c r="CK39" s="1111">
        <v>1</v>
      </c>
      <c r="CL39" s="1112">
        <v>1</v>
      </c>
      <c r="CM39" s="788">
        <f>_xlfn.IFS(CK39=0,0,CL39&lt;=CK39,CL39/CK39,CL39&gt;CK39,1)</f>
        <v>1</v>
      </c>
      <c r="CN39" s="1113">
        <v>300000</v>
      </c>
      <c r="CO39" s="1111">
        <v>1</v>
      </c>
      <c r="CP39" s="1112">
        <v>1</v>
      </c>
      <c r="CQ39" s="788">
        <f>_xlfn.IFS(CO39=0,0,CP39&lt;=CO39,CP39/CO39,CP39&gt;CO39,1)</f>
        <v>1</v>
      </c>
      <c r="CR39" s="1113">
        <v>300000</v>
      </c>
      <c r="CS39" s="1111">
        <v>1</v>
      </c>
      <c r="CT39" s="1112">
        <v>1</v>
      </c>
      <c r="CU39" s="788">
        <f>_xlfn.IFS(CS39=0,0,CT39&lt;=CS39,CT39/CS39,CT39&gt;CS39,1)</f>
        <v>1</v>
      </c>
      <c r="CV39" s="1113">
        <v>300000</v>
      </c>
      <c r="CW39" s="1111">
        <v>1</v>
      </c>
      <c r="CX39" s="1112">
        <v>1</v>
      </c>
      <c r="CY39" s="788">
        <f>_xlfn.IFS(CW39=0,0,CX39&lt;=CW39,CX39/CW39,CX39&gt;CW39,1)</f>
        <v>1</v>
      </c>
      <c r="CZ39" s="1113">
        <v>300000</v>
      </c>
      <c r="DA39" s="1111">
        <v>1</v>
      </c>
      <c r="DB39" s="1112">
        <v>1</v>
      </c>
      <c r="DC39" s="788">
        <f>_xlfn.IFS(DA39=0,0,DB39&lt;=DA39,DB39/DA39,DB39&gt;DA39,1)</f>
        <v>1</v>
      </c>
      <c r="DD39" s="1113">
        <v>300000</v>
      </c>
      <c r="DE39" s="1111">
        <v>1</v>
      </c>
      <c r="DF39" s="1112">
        <v>1</v>
      </c>
      <c r="DG39" s="788">
        <f>_xlfn.IFS(DE39=0,0,DF39&lt;=DE39,DF39/DE39,DF39&gt;DE39,1)</f>
        <v>1</v>
      </c>
      <c r="DH39" s="1113">
        <v>300000</v>
      </c>
      <c r="DI39" s="1111">
        <v>1</v>
      </c>
      <c r="DJ39" s="1112">
        <v>1</v>
      </c>
      <c r="DK39" s="788">
        <f>_xlfn.IFS(DI39=0,0,DJ39&lt;=DI39,DJ39/DI39,DJ39&gt;DI39,1)</f>
        <v>1</v>
      </c>
      <c r="DL39" s="1113">
        <v>300000</v>
      </c>
      <c r="DM39" s="1111">
        <v>1</v>
      </c>
      <c r="DN39" s="1112">
        <v>1</v>
      </c>
      <c r="DO39" s="788">
        <f>_xlfn.IFS(DM39=0,0,DN39&lt;=DM39,DN39/DM39,DN39&gt;DM39,1)</f>
        <v>1</v>
      </c>
      <c r="DP39" s="1113">
        <v>300000</v>
      </c>
      <c r="DQ39" s="1111">
        <v>1</v>
      </c>
      <c r="DR39" s="1112">
        <v>1</v>
      </c>
      <c r="DS39" s="788">
        <f>_xlfn.IFS(DQ39=0,0,DR39&lt;=DQ39,DR39/DQ39,DR39&gt;DQ39,1)</f>
        <v>1</v>
      </c>
      <c r="DT39" s="1113">
        <v>300000</v>
      </c>
      <c r="DU39" s="1111">
        <v>1</v>
      </c>
      <c r="DV39" s="1112">
        <v>1</v>
      </c>
      <c r="DW39" s="788">
        <f>_xlfn.IFS(DU39=0,0,DV39&lt;=DU39,DV39/DU39,DV39&gt;DU39,1)</f>
        <v>1</v>
      </c>
      <c r="DX39" s="1113">
        <v>300000</v>
      </c>
      <c r="DY39" s="1111">
        <v>1</v>
      </c>
      <c r="DZ39" s="1112">
        <v>1</v>
      </c>
      <c r="EA39" s="788">
        <f>_xlfn.IFS(DY39=0,0,DZ39&lt;=DY39,DZ39/DY39,DZ39&gt;DY39,1)</f>
        <v>1</v>
      </c>
      <c r="EB39" s="1113">
        <v>300000</v>
      </c>
      <c r="EC39" s="1111">
        <v>1</v>
      </c>
      <c r="ED39" s="1112">
        <v>1</v>
      </c>
      <c r="EE39" s="788">
        <f>_xlfn.IFS(EC39=0,0,ED39&lt;=EC39,ED39/EC39,ED39&gt;EC39,1)</f>
        <v>1</v>
      </c>
      <c r="EF39" s="1113">
        <v>300000</v>
      </c>
    </row>
    <row r="40" spans="1:136" ht="20" customHeight="1" x14ac:dyDescent="0.15">
      <c r="A40" s="870">
        <f>_xlfn.IFS(B40=0,0,E40&gt;B40,1,E40&lt;=B40,E40/B40)</f>
        <v>0</v>
      </c>
      <c r="B40" s="950"/>
      <c r="C40" s="945" t="str">
        <f>Dashboard!K109</f>
        <v>NON-FULFILLMENT RATE</v>
      </c>
      <c r="D40" s="789">
        <f>Dashboard!U109</f>
        <v>0.03</v>
      </c>
      <c r="E40" s="857">
        <f>IF(SUM(E41:E46)&gt;0,AVERAGEIF(E41:E46,"&gt;0"),0)</f>
        <v>0.36333333333333334</v>
      </c>
      <c r="F40" s="789">
        <f>D40-E40</f>
        <v>-0.33333333333333337</v>
      </c>
      <c r="G40" s="789">
        <f>_xlfn.IFS(F40&gt;=0,1,F40&lt;0,D40/E40)</f>
        <v>8.2568807339449532E-2</v>
      </c>
      <c r="H40" s="935"/>
      <c r="I40" s="936"/>
      <c r="J40" s="935"/>
      <c r="K40" s="831">
        <f>D40</f>
        <v>0.03</v>
      </c>
      <c r="L40" s="945">
        <f ca="1">IF(SUM(L44:L46)&gt;0,AVERAGEIF(L44:L46,"&gt;0"),0)</f>
        <v>0</v>
      </c>
      <c r="M40" s="929"/>
      <c r="N40" s="928">
        <f>SUM(N41:N46)</f>
        <v>0</v>
      </c>
      <c r="O40" s="857">
        <f>IF(SUM(O41:O46)&gt;0,AVERAGEIF(O41:O46,"&gt;0"),0)</f>
        <v>0</v>
      </c>
      <c r="P40" s="1024">
        <f>AVERAGE(P41:P46)</f>
        <v>0</v>
      </c>
      <c r="Q40" s="929"/>
      <c r="R40" s="928">
        <f>SUM(R41:R46)</f>
        <v>0</v>
      </c>
      <c r="S40" s="857">
        <f>IF(SUM(S41:S46)&gt;0,AVERAGEIF(S41:S46,"&gt;0"),0)</f>
        <v>0</v>
      </c>
      <c r="T40" s="1024">
        <f>AVERAGE(T41:T46)</f>
        <v>0</v>
      </c>
      <c r="U40" s="929"/>
      <c r="V40" s="928">
        <f>SUM(V41:V46)</f>
        <v>0</v>
      </c>
      <c r="W40" s="857">
        <f>IF(SUM(W41:W46)&gt;0,AVERAGEIF(W41:W46,"&gt;0"),0)</f>
        <v>0</v>
      </c>
      <c r="X40" s="1024">
        <f>AVERAGE(X41:X46)</f>
        <v>0</v>
      </c>
      <c r="Y40" s="929"/>
      <c r="Z40" s="928">
        <f>SUM(Z41:Z46)</f>
        <v>0</v>
      </c>
      <c r="AA40" s="857">
        <f>IF(SUM(AA41:AA46)&gt;0,AVERAGEIF(AA41:AA46,"&gt;0"),0)</f>
        <v>0</v>
      </c>
      <c r="AB40" s="1024">
        <f>AVERAGE(AB41:AB46)</f>
        <v>0</v>
      </c>
      <c r="AC40" s="929"/>
      <c r="AD40" s="928">
        <f>SUM(AD41:AD46)</f>
        <v>0</v>
      </c>
      <c r="AE40" s="857">
        <f>IF(SUM(AE41:AE46)&gt;0,AVERAGEIF(AE41:AE46,"&gt;0"),0)</f>
        <v>0</v>
      </c>
      <c r="AF40" s="1024">
        <f>AVERAGE(AF41:AF46)</f>
        <v>0</v>
      </c>
      <c r="AG40" s="929"/>
      <c r="AH40" s="928">
        <f>SUM(AH41:AH46)</f>
        <v>5</v>
      </c>
      <c r="AI40" s="857">
        <f>IF(SUM(AI41:AI46)&gt;0,AVERAGEIF(AI41:AI46,"&gt;0"),0)</f>
        <v>0.36333333333333334</v>
      </c>
      <c r="AJ40" s="1024">
        <f>AVERAGE(AJ41:AJ46)</f>
        <v>0.30277777777777776</v>
      </c>
      <c r="AK40" s="929"/>
      <c r="AL40" s="928">
        <f>SUM(AL41:AL46)</f>
        <v>5</v>
      </c>
      <c r="AM40" s="857">
        <f>IF(SUM(AM41:AM46)&gt;0,AVERAGEIF(AM41:AM46,"&gt;0"),0)</f>
        <v>0.36333333333333334</v>
      </c>
      <c r="AN40" s="1024">
        <f>AVERAGE(AN41:AN46)</f>
        <v>0.30277777777777776</v>
      </c>
      <c r="AO40" s="929"/>
      <c r="AP40" s="928">
        <f>SUM(AP41:AP46)</f>
        <v>5</v>
      </c>
      <c r="AQ40" s="857">
        <f>IF(SUM(AQ41:AQ46)&gt;0,AVERAGEIF(AQ41:AQ46,"&gt;0"),0)</f>
        <v>0.36333333333333334</v>
      </c>
      <c r="AR40" s="1024">
        <f>AVERAGE(AR41:AR46)</f>
        <v>0.30277777777777776</v>
      </c>
      <c r="AS40" s="929"/>
      <c r="AT40" s="928">
        <f>SUM(AT41:AT46)</f>
        <v>5</v>
      </c>
      <c r="AU40" s="857">
        <f>IF(SUM(AU41:AU46)&gt;0,AVERAGEIF(AU41:AU46,"&gt;0"),0)</f>
        <v>0.36333333333333334</v>
      </c>
      <c r="AV40" s="1024">
        <f>AVERAGE(AV41:AV46)</f>
        <v>0.30277777777777776</v>
      </c>
      <c r="AW40" s="929"/>
      <c r="AX40" s="928">
        <f>SUM(AX41:AX46)</f>
        <v>5</v>
      </c>
      <c r="AY40" s="857">
        <f>IF(SUM(AY41:AY46)&gt;0,AVERAGEIF(AY41:AY46,"&gt;0"),0)</f>
        <v>0.36333333333333334</v>
      </c>
      <c r="AZ40" s="1024">
        <f>AVERAGE(AZ41:AZ46)</f>
        <v>0.30277777777777776</v>
      </c>
      <c r="BA40" s="929"/>
      <c r="BB40" s="928">
        <f>SUM(BB41:BB46)</f>
        <v>5</v>
      </c>
      <c r="BC40" s="857">
        <f>IF(SUM(BC41:BC46)&gt;0,AVERAGEIF(BC41:BC46,"&gt;0"),0)</f>
        <v>0.36333333333333334</v>
      </c>
      <c r="BD40" s="1024">
        <f>AVERAGE(BD41:BD46)</f>
        <v>0.30277777777777776</v>
      </c>
      <c r="BE40" s="929"/>
      <c r="BF40" s="928">
        <f>SUM(BF41:BF46)</f>
        <v>5</v>
      </c>
      <c r="BG40" s="857">
        <f>IF(SUM(BG41:BG46)&gt;0,AVERAGEIF(BG41:BG46,"&gt;0"),0)</f>
        <v>0.36333333333333334</v>
      </c>
      <c r="BH40" s="1024">
        <f>AVERAGE(BH41:BH46)</f>
        <v>0.30277777777777776</v>
      </c>
      <c r="BI40" s="929"/>
      <c r="BJ40" s="928">
        <f>SUM(BJ41:BJ46)</f>
        <v>5</v>
      </c>
      <c r="BK40" s="857">
        <f>IF(SUM(BK41:BK46)&gt;0,AVERAGEIF(BK41:BK46,"&gt;0"),0)</f>
        <v>0.21666666666666665</v>
      </c>
      <c r="BL40" s="1024">
        <f>AVERAGE(BL41:BL46)</f>
        <v>8.0555555555555547E-2</v>
      </c>
      <c r="BM40" s="929"/>
      <c r="BN40" s="928">
        <f>SUM(BN41:BN46)</f>
        <v>5</v>
      </c>
      <c r="BO40" s="857">
        <f>IF(SUM(BO41:BO46)&gt;0,AVERAGEIF(BO41:BO46,"&gt;0"),0)</f>
        <v>0.21666666666666665</v>
      </c>
      <c r="BP40" s="1024">
        <f>AVERAGE(BP41:BP46)</f>
        <v>8.0555555555555547E-2</v>
      </c>
      <c r="BQ40" s="929"/>
      <c r="BR40" s="928">
        <f>SUM(BR41:BR46)</f>
        <v>5</v>
      </c>
      <c r="BS40" s="857">
        <f>IF(SUM(BS41:BS46)&gt;0,AVERAGEIF(BS41:BS46,"&gt;0"),0)</f>
        <v>0.21666666666666665</v>
      </c>
      <c r="BT40" s="1024">
        <f>AVERAGE(BT41:BT46)</f>
        <v>8.0555555555555547E-2</v>
      </c>
      <c r="BU40" s="929"/>
      <c r="BV40" s="928">
        <f>SUM(BV41:BV46)</f>
        <v>5</v>
      </c>
      <c r="BW40" s="857">
        <f>IF(SUM(BW41:BW46)&gt;0,AVERAGEIF(BW41:BW46,"&gt;0"),0)</f>
        <v>0.21666666666666665</v>
      </c>
      <c r="BX40" s="1024">
        <f>AVERAGE(BX41:BX46)</f>
        <v>8.0555555555555547E-2</v>
      </c>
      <c r="BY40" s="929"/>
      <c r="BZ40" s="928">
        <f>SUM(BZ41:BZ46)</f>
        <v>5</v>
      </c>
      <c r="CA40" s="857">
        <f>IF(SUM(CA41:CA46)&gt;0,AVERAGEIF(CA41:CA46,"&gt;0"),0)</f>
        <v>0.21666666666666665</v>
      </c>
      <c r="CB40" s="1024">
        <f>AVERAGE(CB41:CB46)</f>
        <v>8.0555555555555547E-2</v>
      </c>
      <c r="CC40" s="929"/>
      <c r="CD40" s="928">
        <f>SUM(CD41:CD46)</f>
        <v>5</v>
      </c>
      <c r="CE40" s="857">
        <f>IF(SUM(CE41:CE46)&gt;0,AVERAGEIF(CE41:CE46,"&gt;0"),0)</f>
        <v>0.21666666666666665</v>
      </c>
      <c r="CF40" s="1024">
        <f>AVERAGE(CF41:CF46)</f>
        <v>8.0555555555555547E-2</v>
      </c>
      <c r="CG40" s="929"/>
      <c r="CH40" s="928">
        <f>SUM(CH41:CH46)</f>
        <v>5</v>
      </c>
      <c r="CI40" s="857">
        <f>IF(SUM(CI41:CI46)&gt;0,AVERAGEIF(CI41:CI46,"&gt;0"),0)</f>
        <v>0.21666666666666665</v>
      </c>
      <c r="CJ40" s="1024">
        <f>AVERAGE(CJ41:CJ46)</f>
        <v>8.0555555555555547E-2</v>
      </c>
      <c r="CK40" s="929"/>
      <c r="CL40" s="928">
        <f>SUM(CL41:CL46)</f>
        <v>5</v>
      </c>
      <c r="CM40" s="857">
        <f>IF(SUM(CM41:CM46)&gt;0,AVERAGEIF(CM41:CM46,"&gt;0"),0)</f>
        <v>0.21666666666666665</v>
      </c>
      <c r="CN40" s="1024">
        <f>AVERAGE(CN41:CN46)</f>
        <v>8.0555555555555547E-2</v>
      </c>
      <c r="CO40" s="929"/>
      <c r="CP40" s="928">
        <f>SUM(CP41:CP46)</f>
        <v>5</v>
      </c>
      <c r="CQ40" s="857">
        <f>IF(SUM(CQ41:CQ46)&gt;0,AVERAGEIF(CQ41:CQ46,"&gt;0"),0)</f>
        <v>0.21666666666666665</v>
      </c>
      <c r="CR40" s="1024">
        <f>AVERAGE(CR41:CR46)</f>
        <v>8.0555555555555547E-2</v>
      </c>
      <c r="CS40" s="929"/>
      <c r="CT40" s="928">
        <f>SUM(CT41:CT46)</f>
        <v>5</v>
      </c>
      <c r="CU40" s="857">
        <f>IF(SUM(CU41:CU46)&gt;0,AVERAGEIF(CU41:CU46,"&gt;0"),0)</f>
        <v>0.21666666666666665</v>
      </c>
      <c r="CV40" s="1024">
        <f>AVERAGE(CV41:CV46)</f>
        <v>8.0555555555555547E-2</v>
      </c>
      <c r="CW40" s="929"/>
      <c r="CX40" s="928">
        <f>SUM(CX41:CX46)</f>
        <v>5</v>
      </c>
      <c r="CY40" s="857">
        <f>IF(SUM(CY41:CY46)&gt;0,AVERAGEIF(CY41:CY46,"&gt;0"),0)</f>
        <v>0.21666666666666665</v>
      </c>
      <c r="CZ40" s="1024">
        <f>AVERAGE(CZ41:CZ46)</f>
        <v>8.0555555555555547E-2</v>
      </c>
      <c r="DA40" s="929"/>
      <c r="DB40" s="928">
        <f>SUM(DB41:DB46)</f>
        <v>5</v>
      </c>
      <c r="DC40" s="857">
        <f>IF(SUM(DC41:DC46)&gt;0,AVERAGEIF(DC41:DC46,"&gt;0"),0)</f>
        <v>0.21666666666666665</v>
      </c>
      <c r="DD40" s="1024">
        <f>AVERAGE(DD41:DD46)</f>
        <v>8.0555555555555547E-2</v>
      </c>
      <c r="DE40" s="929"/>
      <c r="DF40" s="928">
        <f>SUM(DF41:DF46)</f>
        <v>5</v>
      </c>
      <c r="DG40" s="857">
        <f>IF(SUM(DG41:DG46)&gt;0,AVERAGEIF(DG41:DG46,"&gt;0"),0)</f>
        <v>0.21666666666666665</v>
      </c>
      <c r="DH40" s="1024">
        <f>AVERAGE(DH41:DH46)</f>
        <v>8.0555555555555547E-2</v>
      </c>
      <c r="DI40" s="929"/>
      <c r="DJ40" s="928">
        <f>SUM(DJ41:DJ46)</f>
        <v>5</v>
      </c>
      <c r="DK40" s="857">
        <f>IF(SUM(DK41:DK46)&gt;0,AVERAGEIF(DK41:DK46,"&gt;0"),0)</f>
        <v>0.21666666666666665</v>
      </c>
      <c r="DL40" s="1024">
        <f>AVERAGE(DL41:DL46)</f>
        <v>8.0555555555555547E-2</v>
      </c>
      <c r="DM40" s="929"/>
      <c r="DN40" s="928">
        <f>SUM(DN41:DN46)</f>
        <v>5</v>
      </c>
      <c r="DO40" s="857">
        <f>IF(SUM(DO41:DO46)&gt;0,AVERAGEIF(DO41:DO46,"&gt;0"),0)</f>
        <v>0.21666666666666665</v>
      </c>
      <c r="DP40" s="1024">
        <f>AVERAGE(DP41:DP46)</f>
        <v>8.0555555555555547E-2</v>
      </c>
      <c r="DQ40" s="929"/>
      <c r="DR40" s="928">
        <f>SUM(DR41:DR46)</f>
        <v>5</v>
      </c>
      <c r="DS40" s="857">
        <f>IF(SUM(DS41:DS46)&gt;0,AVERAGEIF(DS41:DS46,"&gt;0"),0)</f>
        <v>0.21666666666666665</v>
      </c>
      <c r="DT40" s="1024">
        <f>AVERAGE(DT41:DT46)</f>
        <v>8.0555555555555547E-2</v>
      </c>
      <c r="DU40" s="929"/>
      <c r="DV40" s="928">
        <f>SUM(DV41:DV46)</f>
        <v>5</v>
      </c>
      <c r="DW40" s="857">
        <f>IF(SUM(DW41:DW46)&gt;0,AVERAGEIF(DW41:DW46,"&gt;0"),0)</f>
        <v>0.21666666666666665</v>
      </c>
      <c r="DX40" s="1024">
        <f>AVERAGE(DX41:DX46)</f>
        <v>8.0555555555555547E-2</v>
      </c>
      <c r="DY40" s="929"/>
      <c r="DZ40" s="928">
        <f>SUM(DZ41:DZ46)</f>
        <v>5</v>
      </c>
      <c r="EA40" s="857">
        <f>IF(SUM(EA41:EA46)&gt;0,AVERAGEIF(EA41:EA46,"&gt;0"),0)</f>
        <v>0.21666666666666665</v>
      </c>
      <c r="EB40" s="1024">
        <f>AVERAGE(EB41:EB46)</f>
        <v>8.0555555555555547E-2</v>
      </c>
      <c r="EC40" s="929"/>
      <c r="ED40" s="928">
        <f>SUM(ED41:ED46)</f>
        <v>5</v>
      </c>
      <c r="EE40" s="857">
        <f>IF(SUM(EE41:EE46)&gt;0,AVERAGEIF(EE41:EE46,"&gt;0"),0)</f>
        <v>0.21666666666666665</v>
      </c>
      <c r="EF40" s="1024">
        <f>AVERAGE(EF41:EF46)</f>
        <v>8.0555555555555547E-2</v>
      </c>
    </row>
    <row r="41" spans="1:136" ht="20" customHeight="1" x14ac:dyDescent="0.15">
      <c r="A41" s="189">
        <f t="shared" ref="A41:A43" si="305">_xlfn.IFS(B41=0,0,E41&gt;B41,1,E41&lt;=B41,E41/B41)</f>
        <v>0</v>
      </c>
      <c r="B41" s="950"/>
      <c r="C41" s="391" t="str">
        <f>Dashboard!K110</f>
        <v>FACEBOOK</v>
      </c>
      <c r="D41" s="208">
        <f>Dashboard!U110</f>
        <v>0.03</v>
      </c>
      <c r="E41" s="1088">
        <f>IF(SUMIF($M$13:$EF$13,$N$13,M41:EF41)&gt;0,SUMIF($M$13:$EF$13,$O$13,M41:EF41)/SUMIF($M$13:$EF$13,$N$13,M41:EF41),0)</f>
        <v>6.6666666666666666E-2</v>
      </c>
      <c r="F41" s="208">
        <f>D41-E41</f>
        <v>-3.6666666666666667E-2</v>
      </c>
      <c r="G41" s="208">
        <f>_xlfn.IFS(F41&gt;=0,1,F41&lt;0,D41/E41)</f>
        <v>0.45</v>
      </c>
      <c r="H41" s="935"/>
      <c r="I41" s="935"/>
      <c r="J41" s="935"/>
      <c r="K41" s="831"/>
      <c r="L41" s="945"/>
      <c r="M41" s="929"/>
      <c r="N41" s="1226">
        <v>0</v>
      </c>
      <c r="O41" s="906">
        <f>N41/N20</f>
        <v>0</v>
      </c>
      <c r="P41" s="1227">
        <f>_xlfn.IFS(N41=0,0,O41&lt;=N41,O41/N41,O41&gt;N41,1)</f>
        <v>0</v>
      </c>
      <c r="Q41" s="929"/>
      <c r="R41" s="1226">
        <v>0</v>
      </c>
      <c r="S41" s="906">
        <f>R41/R20</f>
        <v>0</v>
      </c>
      <c r="T41" s="1025">
        <f>_xlfn.IFS(R41=0,0,S41&lt;=R41,S41/R41,S41&gt;R41,1)</f>
        <v>0</v>
      </c>
      <c r="U41" s="929"/>
      <c r="V41" s="1226">
        <v>0</v>
      </c>
      <c r="W41" s="906">
        <f>V41/V20</f>
        <v>0</v>
      </c>
      <c r="X41" s="1025">
        <f>_xlfn.IFS(V41=0,0,W41&lt;=V41,W41/V41,W41&gt;V41,1)</f>
        <v>0</v>
      </c>
      <c r="Y41" s="929"/>
      <c r="Z41" s="1226">
        <v>0</v>
      </c>
      <c r="AA41" s="906">
        <f>Z41/Z20</f>
        <v>0</v>
      </c>
      <c r="AB41" s="1025">
        <f>_xlfn.IFS(Z41=0,0,AA41&lt;=Z41,AA41/Z41,AA41&gt;Z41,1)</f>
        <v>0</v>
      </c>
      <c r="AC41" s="929"/>
      <c r="AD41" s="1226">
        <v>0</v>
      </c>
      <c r="AE41" s="906">
        <f>AD41/AD20</f>
        <v>0</v>
      </c>
      <c r="AF41" s="1025">
        <f>_xlfn.IFS(AD41=0,0,AE41&lt;=AD41,AE41/AD41,AE41&gt;AD41,1)</f>
        <v>0</v>
      </c>
      <c r="AG41" s="929"/>
      <c r="AH41" s="1226">
        <v>1</v>
      </c>
      <c r="AI41" s="906">
        <f>AH41/AH20</f>
        <v>6.6666666666666666E-2</v>
      </c>
      <c r="AJ41" s="1025">
        <f>_xlfn.IFS(AH41=0,0,AI41&lt;=AH41,AI41/AH41,AI41&gt;AH41,1)</f>
        <v>6.6666666666666666E-2</v>
      </c>
      <c r="AK41" s="929"/>
      <c r="AL41" s="1226">
        <v>1</v>
      </c>
      <c r="AM41" s="906">
        <f>AL41/AL20</f>
        <v>6.6666666666666666E-2</v>
      </c>
      <c r="AN41" s="1025">
        <f>_xlfn.IFS(AL41=0,0,AM41&lt;=AL41,AM41/AL41,AM41&gt;AL41,1)</f>
        <v>6.6666666666666666E-2</v>
      </c>
      <c r="AO41" s="929"/>
      <c r="AP41" s="1226">
        <v>1</v>
      </c>
      <c r="AQ41" s="906">
        <f>AP41/AP20</f>
        <v>6.6666666666666666E-2</v>
      </c>
      <c r="AR41" s="1025">
        <f>_xlfn.IFS(AP41=0,0,AQ41&lt;=AP41,AQ41/AP41,AQ41&gt;AP41,1)</f>
        <v>6.6666666666666666E-2</v>
      </c>
      <c r="AS41" s="929"/>
      <c r="AT41" s="1226">
        <v>1</v>
      </c>
      <c r="AU41" s="906">
        <f>AT41/AT20</f>
        <v>6.6666666666666666E-2</v>
      </c>
      <c r="AV41" s="1025">
        <f>_xlfn.IFS(AT41=0,0,AU41&lt;=AT41,AU41/AT41,AU41&gt;AT41,1)</f>
        <v>6.6666666666666666E-2</v>
      </c>
      <c r="AW41" s="929"/>
      <c r="AX41" s="1226">
        <v>1</v>
      </c>
      <c r="AY41" s="906">
        <f>AX41/AX20</f>
        <v>6.6666666666666666E-2</v>
      </c>
      <c r="AZ41" s="1025">
        <f>_xlfn.IFS(AX41=0,0,AY41&lt;=AX41,AY41/AX41,AY41&gt;AX41,1)</f>
        <v>6.6666666666666666E-2</v>
      </c>
      <c r="BA41" s="929"/>
      <c r="BB41" s="1226">
        <v>1</v>
      </c>
      <c r="BC41" s="906">
        <f>BB41/BB20</f>
        <v>6.6666666666666666E-2</v>
      </c>
      <c r="BD41" s="1025">
        <f>_xlfn.IFS(BB41=0,0,BC41&lt;=BB41,BC41/BB41,BC41&gt;BB41,1)</f>
        <v>6.6666666666666666E-2</v>
      </c>
      <c r="BE41" s="929"/>
      <c r="BF41" s="1226">
        <v>1</v>
      </c>
      <c r="BG41" s="906">
        <f>BF41/BF20</f>
        <v>6.6666666666666666E-2</v>
      </c>
      <c r="BH41" s="1025">
        <f>_xlfn.IFS(BF41=0,0,BG41&lt;=BF41,BG41/BF41,BG41&gt;BF41,1)</f>
        <v>6.6666666666666666E-2</v>
      </c>
      <c r="BI41" s="929"/>
      <c r="BJ41" s="1226">
        <v>1</v>
      </c>
      <c r="BK41" s="906">
        <f>BJ41/BJ20</f>
        <v>6.6666666666666666E-2</v>
      </c>
      <c r="BL41" s="1025">
        <f>_xlfn.IFS(BJ41=0,0,BK41&lt;=BJ41,BK41/BJ41,BK41&gt;BJ41,1)</f>
        <v>6.6666666666666666E-2</v>
      </c>
      <c r="BM41" s="929"/>
      <c r="BN41" s="1226">
        <v>1</v>
      </c>
      <c r="BO41" s="906">
        <f>BN41/BN20</f>
        <v>6.6666666666666666E-2</v>
      </c>
      <c r="BP41" s="1025">
        <f>_xlfn.IFS(BN41=0,0,BO41&lt;=BN41,BO41/BN41,BO41&gt;BN41,1)</f>
        <v>6.6666666666666666E-2</v>
      </c>
      <c r="BQ41" s="929"/>
      <c r="BR41" s="1226">
        <v>1</v>
      </c>
      <c r="BS41" s="906">
        <f>BR41/BR20</f>
        <v>6.6666666666666666E-2</v>
      </c>
      <c r="BT41" s="1025">
        <f>_xlfn.IFS(BR41=0,0,BS41&lt;=BR41,BS41/BR41,BS41&gt;BR41,1)</f>
        <v>6.6666666666666666E-2</v>
      </c>
      <c r="BU41" s="929"/>
      <c r="BV41" s="1226">
        <v>1</v>
      </c>
      <c r="BW41" s="906">
        <f>BV41/BV20</f>
        <v>6.6666666666666666E-2</v>
      </c>
      <c r="BX41" s="1025">
        <f>_xlfn.IFS(BV41=0,0,BW41&lt;=BV41,BW41/BV41,BW41&gt;BV41,1)</f>
        <v>6.6666666666666666E-2</v>
      </c>
      <c r="BY41" s="929"/>
      <c r="BZ41" s="1226">
        <v>1</v>
      </c>
      <c r="CA41" s="906">
        <f>BZ41/BZ20</f>
        <v>6.6666666666666666E-2</v>
      </c>
      <c r="CB41" s="1025">
        <f>_xlfn.IFS(BZ41=0,0,CA41&lt;=BZ41,CA41/BZ41,CA41&gt;BZ41,1)</f>
        <v>6.6666666666666666E-2</v>
      </c>
      <c r="CC41" s="929"/>
      <c r="CD41" s="1226">
        <v>1</v>
      </c>
      <c r="CE41" s="906">
        <f>CD41/CD20</f>
        <v>6.6666666666666666E-2</v>
      </c>
      <c r="CF41" s="1025">
        <f>_xlfn.IFS(CD41=0,0,CE41&lt;=CD41,CE41/CD41,CE41&gt;CD41,1)</f>
        <v>6.6666666666666666E-2</v>
      </c>
      <c r="CG41" s="929"/>
      <c r="CH41" s="1226">
        <v>1</v>
      </c>
      <c r="CI41" s="906">
        <f>CH41/CH20</f>
        <v>6.6666666666666666E-2</v>
      </c>
      <c r="CJ41" s="1025">
        <f>_xlfn.IFS(CH41=0,0,CI41&lt;=CH41,CI41/CH41,CI41&gt;CH41,1)</f>
        <v>6.6666666666666666E-2</v>
      </c>
      <c r="CK41" s="929"/>
      <c r="CL41" s="1226">
        <v>1</v>
      </c>
      <c r="CM41" s="906">
        <f>CL41/CL20</f>
        <v>6.6666666666666666E-2</v>
      </c>
      <c r="CN41" s="1025">
        <f>_xlfn.IFS(CL41=0,0,CM41&lt;=CL41,CM41/CL41,CM41&gt;CL41,1)</f>
        <v>6.6666666666666666E-2</v>
      </c>
      <c r="CO41" s="929"/>
      <c r="CP41" s="1226">
        <v>1</v>
      </c>
      <c r="CQ41" s="906">
        <f>CP41/CP20</f>
        <v>6.6666666666666666E-2</v>
      </c>
      <c r="CR41" s="1025">
        <f>_xlfn.IFS(CP41=0,0,CQ41&lt;=CP41,CQ41/CP41,CQ41&gt;CP41,1)</f>
        <v>6.6666666666666666E-2</v>
      </c>
      <c r="CS41" s="929"/>
      <c r="CT41" s="1226">
        <v>1</v>
      </c>
      <c r="CU41" s="906">
        <f>CT41/CT20</f>
        <v>6.6666666666666666E-2</v>
      </c>
      <c r="CV41" s="1025">
        <f>_xlfn.IFS(CT41=0,0,CU41&lt;=CT41,CU41/CT41,CU41&gt;CT41,1)</f>
        <v>6.6666666666666666E-2</v>
      </c>
      <c r="CW41" s="929"/>
      <c r="CX41" s="1226">
        <v>1</v>
      </c>
      <c r="CY41" s="906">
        <f>CX41/CX20</f>
        <v>6.6666666666666666E-2</v>
      </c>
      <c r="CZ41" s="1025">
        <f>_xlfn.IFS(CX41=0,0,CY41&lt;=CX41,CY41/CX41,CY41&gt;CX41,1)</f>
        <v>6.6666666666666666E-2</v>
      </c>
      <c r="DA41" s="929"/>
      <c r="DB41" s="1226">
        <v>1</v>
      </c>
      <c r="DC41" s="906">
        <f>DB41/DB20</f>
        <v>6.6666666666666666E-2</v>
      </c>
      <c r="DD41" s="1025">
        <f>_xlfn.IFS(DB41=0,0,DC41&lt;=DB41,DC41/DB41,DC41&gt;DB41,1)</f>
        <v>6.6666666666666666E-2</v>
      </c>
      <c r="DE41" s="929"/>
      <c r="DF41" s="1226">
        <v>1</v>
      </c>
      <c r="DG41" s="906">
        <f>DF41/DF20</f>
        <v>6.6666666666666666E-2</v>
      </c>
      <c r="DH41" s="1025">
        <f>_xlfn.IFS(DF41=0,0,DG41&lt;=DF41,DG41/DF41,DG41&gt;DF41,1)</f>
        <v>6.6666666666666666E-2</v>
      </c>
      <c r="DI41" s="929"/>
      <c r="DJ41" s="1226">
        <v>1</v>
      </c>
      <c r="DK41" s="906">
        <f>DJ41/DJ20</f>
        <v>6.6666666666666666E-2</v>
      </c>
      <c r="DL41" s="1025">
        <f>_xlfn.IFS(DJ41=0,0,DK41&lt;=DJ41,DK41/DJ41,DK41&gt;DJ41,1)</f>
        <v>6.6666666666666666E-2</v>
      </c>
      <c r="DM41" s="929"/>
      <c r="DN41" s="1226">
        <v>1</v>
      </c>
      <c r="DO41" s="906">
        <f>DN41/DN20</f>
        <v>6.6666666666666666E-2</v>
      </c>
      <c r="DP41" s="1025">
        <f>_xlfn.IFS(DN41=0,0,DO41&lt;=DN41,DO41/DN41,DO41&gt;DN41,1)</f>
        <v>6.6666666666666666E-2</v>
      </c>
      <c r="DQ41" s="929"/>
      <c r="DR41" s="1226">
        <v>1</v>
      </c>
      <c r="DS41" s="906">
        <f>DR41/DR20</f>
        <v>6.6666666666666666E-2</v>
      </c>
      <c r="DT41" s="1025">
        <f>_xlfn.IFS(DR41=0,0,DS41&lt;=DR41,DS41/DR41,DS41&gt;DR41,1)</f>
        <v>6.6666666666666666E-2</v>
      </c>
      <c r="DU41" s="929"/>
      <c r="DV41" s="1226">
        <v>1</v>
      </c>
      <c r="DW41" s="906">
        <f>DV41/DV20</f>
        <v>6.6666666666666666E-2</v>
      </c>
      <c r="DX41" s="1025">
        <f>_xlfn.IFS(DV41=0,0,DW41&lt;=DV41,DW41/DV41,DW41&gt;DV41,1)</f>
        <v>6.6666666666666666E-2</v>
      </c>
      <c r="DY41" s="929"/>
      <c r="DZ41" s="1226">
        <v>1</v>
      </c>
      <c r="EA41" s="906">
        <f>DZ41/DZ20</f>
        <v>6.6666666666666666E-2</v>
      </c>
      <c r="EB41" s="1025">
        <f>_xlfn.IFS(DZ41=0,0,EA41&lt;=DZ41,EA41/DZ41,EA41&gt;DZ41,1)</f>
        <v>6.6666666666666666E-2</v>
      </c>
      <c r="EC41" s="929"/>
      <c r="ED41" s="1226">
        <v>1</v>
      </c>
      <c r="EE41" s="906">
        <f>ED41/ED20</f>
        <v>6.6666666666666666E-2</v>
      </c>
      <c r="EF41" s="1025">
        <f>_xlfn.IFS(ED41=0,0,EE41&lt;=ED41,EE41/ED41,EE41&gt;ED41,1)</f>
        <v>6.6666666666666666E-2</v>
      </c>
    </row>
    <row r="42" spans="1:136" ht="20" customHeight="1" x14ac:dyDescent="0.15">
      <c r="A42" s="189">
        <f t="shared" si="305"/>
        <v>0</v>
      </c>
      <c r="B42" s="950"/>
      <c r="C42" s="391" t="str">
        <f>Dashboard!K111</f>
        <v>LANDING PAGE</v>
      </c>
      <c r="D42" s="208">
        <f>Dashboard!U111</f>
        <v>0.03</v>
      </c>
      <c r="E42" s="1088">
        <f t="shared" ref="E42:E46" si="306">IF(SUMIF($M$13:$EF$13,$N$13,M42:EF42)&gt;0,SUMIF($M$13:$EF$13,$O$13,M42:EF42)/SUMIF($M$13:$EF$13,$N$13,M42:EF42),0)</f>
        <v>8.3333333333333329E-2</v>
      </c>
      <c r="F42" s="208">
        <f t="shared" ref="F42:F46" si="307">D42-E42</f>
        <v>-5.333333333333333E-2</v>
      </c>
      <c r="G42" s="208">
        <f t="shared" ref="G42:G46" si="308">_xlfn.IFS(F42&gt;=0,1,F42&lt;0,D42/E42)</f>
        <v>0.36</v>
      </c>
      <c r="H42" s="935"/>
      <c r="I42" s="935"/>
      <c r="J42" s="935"/>
      <c r="K42" s="831"/>
      <c r="L42" s="945"/>
      <c r="M42" s="929"/>
      <c r="N42" s="1226">
        <v>0</v>
      </c>
      <c r="O42" s="906">
        <f>N42/N26</f>
        <v>0</v>
      </c>
      <c r="P42" s="1227">
        <f>_xlfn.IFS(N42=0,0,O42&lt;=N42,O42/N42,O42&gt;N42,1)</f>
        <v>0</v>
      </c>
      <c r="Q42" s="929"/>
      <c r="R42" s="1226">
        <v>0</v>
      </c>
      <c r="S42" s="906">
        <f>R42/R26</f>
        <v>0</v>
      </c>
      <c r="T42" s="1025">
        <f>_xlfn.IFS(R42=0,0,S42&lt;=R42,S42/R42,S42&gt;R42,1)</f>
        <v>0</v>
      </c>
      <c r="U42" s="929"/>
      <c r="V42" s="1226">
        <v>0</v>
      </c>
      <c r="W42" s="906">
        <f>V42/V26</f>
        <v>0</v>
      </c>
      <c r="X42" s="1025">
        <f>_xlfn.IFS(V42=0,0,W42&lt;=V42,W42/V42,W42&gt;V42,1)</f>
        <v>0</v>
      </c>
      <c r="Y42" s="929"/>
      <c r="Z42" s="1226">
        <v>0</v>
      </c>
      <c r="AA42" s="906">
        <f>Z42/Z26</f>
        <v>0</v>
      </c>
      <c r="AB42" s="1025">
        <f>_xlfn.IFS(Z42=0,0,AA42&lt;=Z42,AA42/Z42,AA42&gt;Z42,1)</f>
        <v>0</v>
      </c>
      <c r="AC42" s="929"/>
      <c r="AD42" s="1226">
        <v>0</v>
      </c>
      <c r="AE42" s="906">
        <f>AD42/AD26</f>
        <v>0</v>
      </c>
      <c r="AF42" s="1025">
        <f>_xlfn.IFS(AD42=0,0,AE42&lt;=AD42,AE42/AD42,AE42&gt;AD42,1)</f>
        <v>0</v>
      </c>
      <c r="AG42" s="929"/>
      <c r="AH42" s="1226">
        <v>1</v>
      </c>
      <c r="AI42" s="906">
        <f>AH42/AH26</f>
        <v>8.3333333333333329E-2</v>
      </c>
      <c r="AJ42" s="1025">
        <f>_xlfn.IFS(AH42=0,0,AI42&lt;=AH42,AI42/AH42,AI42&gt;AH42,1)</f>
        <v>8.3333333333333329E-2</v>
      </c>
      <c r="AK42" s="929"/>
      <c r="AL42" s="1226">
        <v>1</v>
      </c>
      <c r="AM42" s="906">
        <f>AL42/AL26</f>
        <v>8.3333333333333329E-2</v>
      </c>
      <c r="AN42" s="1025">
        <f>_xlfn.IFS(AL42=0,0,AM42&lt;=AL42,AM42/AL42,AM42&gt;AL42,1)</f>
        <v>8.3333333333333329E-2</v>
      </c>
      <c r="AO42" s="929"/>
      <c r="AP42" s="1226">
        <v>1</v>
      </c>
      <c r="AQ42" s="906">
        <f>AP42/AP26</f>
        <v>8.3333333333333329E-2</v>
      </c>
      <c r="AR42" s="1025">
        <f>_xlfn.IFS(AP42=0,0,AQ42&lt;=AP42,AQ42/AP42,AQ42&gt;AP42,1)</f>
        <v>8.3333333333333329E-2</v>
      </c>
      <c r="AS42" s="929"/>
      <c r="AT42" s="1226">
        <v>1</v>
      </c>
      <c r="AU42" s="906">
        <f>AT42/AT26</f>
        <v>8.3333333333333329E-2</v>
      </c>
      <c r="AV42" s="1025">
        <f>_xlfn.IFS(AT42=0,0,AU42&lt;=AT42,AU42/AT42,AU42&gt;AT42,1)</f>
        <v>8.3333333333333329E-2</v>
      </c>
      <c r="AW42" s="929"/>
      <c r="AX42" s="1226">
        <v>1</v>
      </c>
      <c r="AY42" s="906">
        <f>AX42/AX26</f>
        <v>8.3333333333333329E-2</v>
      </c>
      <c r="AZ42" s="1025">
        <f>_xlfn.IFS(AX42=0,0,AY42&lt;=AX42,AY42/AX42,AY42&gt;AX42,1)</f>
        <v>8.3333333333333329E-2</v>
      </c>
      <c r="BA42" s="929"/>
      <c r="BB42" s="1226">
        <v>1</v>
      </c>
      <c r="BC42" s="906">
        <f>BB42/BB26</f>
        <v>8.3333333333333329E-2</v>
      </c>
      <c r="BD42" s="1025">
        <f>_xlfn.IFS(BB42=0,0,BC42&lt;=BB42,BC42/BB42,BC42&gt;BB42,1)</f>
        <v>8.3333333333333329E-2</v>
      </c>
      <c r="BE42" s="929"/>
      <c r="BF42" s="1226">
        <v>1</v>
      </c>
      <c r="BG42" s="906">
        <f>BF42/BF26</f>
        <v>8.3333333333333329E-2</v>
      </c>
      <c r="BH42" s="1025">
        <f>_xlfn.IFS(BF42=0,0,BG42&lt;=BF42,BG42/BF42,BG42&gt;BF42,1)</f>
        <v>8.3333333333333329E-2</v>
      </c>
      <c r="BI42" s="929"/>
      <c r="BJ42" s="1226">
        <v>3</v>
      </c>
      <c r="BK42" s="906">
        <f>BJ42/BJ26</f>
        <v>0.25</v>
      </c>
      <c r="BL42" s="1025">
        <f>_xlfn.IFS(BJ42=0,0,BK42&lt;=BJ42,BK42/BJ42,BK42&gt;BJ42,1)</f>
        <v>8.3333333333333329E-2</v>
      </c>
      <c r="BM42" s="929"/>
      <c r="BN42" s="1226">
        <v>3</v>
      </c>
      <c r="BO42" s="906">
        <f>BN42/BN26</f>
        <v>0.25</v>
      </c>
      <c r="BP42" s="1025">
        <f>_xlfn.IFS(BN42=0,0,BO42&lt;=BN42,BO42/BN42,BO42&gt;BN42,1)</f>
        <v>8.3333333333333329E-2</v>
      </c>
      <c r="BQ42" s="929"/>
      <c r="BR42" s="1226">
        <v>3</v>
      </c>
      <c r="BS42" s="906">
        <f>BR42/BR26</f>
        <v>0.25</v>
      </c>
      <c r="BT42" s="1025">
        <f>_xlfn.IFS(BR42=0,0,BS42&lt;=BR42,BS42/BR42,BS42&gt;BR42,1)</f>
        <v>8.3333333333333329E-2</v>
      </c>
      <c r="BU42" s="929"/>
      <c r="BV42" s="1226">
        <v>3</v>
      </c>
      <c r="BW42" s="906">
        <f>BV42/BV26</f>
        <v>0.25</v>
      </c>
      <c r="BX42" s="1025">
        <f>_xlfn.IFS(BV42=0,0,BW42&lt;=BV42,BW42/BV42,BW42&gt;BV42,1)</f>
        <v>8.3333333333333329E-2</v>
      </c>
      <c r="BY42" s="929"/>
      <c r="BZ42" s="1226">
        <v>3</v>
      </c>
      <c r="CA42" s="906">
        <f>BZ42/BZ26</f>
        <v>0.25</v>
      </c>
      <c r="CB42" s="1025">
        <f>_xlfn.IFS(BZ42=0,0,CA42&lt;=BZ42,CA42/BZ42,CA42&gt;BZ42,1)</f>
        <v>8.3333333333333329E-2</v>
      </c>
      <c r="CC42" s="929"/>
      <c r="CD42" s="1226">
        <v>3</v>
      </c>
      <c r="CE42" s="906">
        <f>CD42/CD26</f>
        <v>0.25</v>
      </c>
      <c r="CF42" s="1025">
        <f>_xlfn.IFS(CD42=0,0,CE42&lt;=CD42,CE42/CD42,CE42&gt;CD42,1)</f>
        <v>8.3333333333333329E-2</v>
      </c>
      <c r="CG42" s="929"/>
      <c r="CH42" s="1226">
        <v>3</v>
      </c>
      <c r="CI42" s="906">
        <f>CH42/CH26</f>
        <v>0.25</v>
      </c>
      <c r="CJ42" s="1025">
        <f>_xlfn.IFS(CH42=0,0,CI42&lt;=CH42,CI42/CH42,CI42&gt;CH42,1)</f>
        <v>8.3333333333333329E-2</v>
      </c>
      <c r="CK42" s="929"/>
      <c r="CL42" s="1226">
        <v>3</v>
      </c>
      <c r="CM42" s="906">
        <f>CL42/CL26</f>
        <v>0.25</v>
      </c>
      <c r="CN42" s="1025">
        <f>_xlfn.IFS(CL42=0,0,CM42&lt;=CL42,CM42/CL42,CM42&gt;CL42,1)</f>
        <v>8.3333333333333329E-2</v>
      </c>
      <c r="CO42" s="929"/>
      <c r="CP42" s="1226">
        <v>3</v>
      </c>
      <c r="CQ42" s="906">
        <f>CP42/CP26</f>
        <v>0.25</v>
      </c>
      <c r="CR42" s="1025">
        <f>_xlfn.IFS(CP42=0,0,CQ42&lt;=CP42,CQ42/CP42,CQ42&gt;CP42,1)</f>
        <v>8.3333333333333329E-2</v>
      </c>
      <c r="CS42" s="929"/>
      <c r="CT42" s="1226">
        <v>3</v>
      </c>
      <c r="CU42" s="906">
        <f>CT42/CT26</f>
        <v>0.25</v>
      </c>
      <c r="CV42" s="1025">
        <f>_xlfn.IFS(CT42=0,0,CU42&lt;=CT42,CU42/CT42,CU42&gt;CT42,1)</f>
        <v>8.3333333333333329E-2</v>
      </c>
      <c r="CW42" s="929"/>
      <c r="CX42" s="1226">
        <v>3</v>
      </c>
      <c r="CY42" s="906">
        <f>CX42/CX26</f>
        <v>0.25</v>
      </c>
      <c r="CZ42" s="1025">
        <f>_xlfn.IFS(CX42=0,0,CY42&lt;=CX42,CY42/CX42,CY42&gt;CX42,1)</f>
        <v>8.3333333333333329E-2</v>
      </c>
      <c r="DA42" s="929"/>
      <c r="DB42" s="1226">
        <v>3</v>
      </c>
      <c r="DC42" s="906">
        <f>DB42/DB26</f>
        <v>0.25</v>
      </c>
      <c r="DD42" s="1025">
        <f>_xlfn.IFS(DB42=0,0,DC42&lt;=DB42,DC42/DB42,DC42&gt;DB42,1)</f>
        <v>8.3333333333333329E-2</v>
      </c>
      <c r="DE42" s="929"/>
      <c r="DF42" s="1226">
        <v>3</v>
      </c>
      <c r="DG42" s="906">
        <f>DF42/DF26</f>
        <v>0.25</v>
      </c>
      <c r="DH42" s="1025">
        <f>_xlfn.IFS(DF42=0,0,DG42&lt;=DF42,DG42/DF42,DG42&gt;DF42,1)</f>
        <v>8.3333333333333329E-2</v>
      </c>
      <c r="DI42" s="929"/>
      <c r="DJ42" s="1226">
        <v>3</v>
      </c>
      <c r="DK42" s="906">
        <f>DJ42/DJ26</f>
        <v>0.25</v>
      </c>
      <c r="DL42" s="1025">
        <f>_xlfn.IFS(DJ42=0,0,DK42&lt;=DJ42,DK42/DJ42,DK42&gt;DJ42,1)</f>
        <v>8.3333333333333329E-2</v>
      </c>
      <c r="DM42" s="929"/>
      <c r="DN42" s="1226">
        <v>3</v>
      </c>
      <c r="DO42" s="906">
        <f>DN42/DN26</f>
        <v>0.25</v>
      </c>
      <c r="DP42" s="1025">
        <f>_xlfn.IFS(DN42=0,0,DO42&lt;=DN42,DO42/DN42,DO42&gt;DN42,1)</f>
        <v>8.3333333333333329E-2</v>
      </c>
      <c r="DQ42" s="929"/>
      <c r="DR42" s="1226">
        <v>3</v>
      </c>
      <c r="DS42" s="906">
        <f>DR42/DR26</f>
        <v>0.25</v>
      </c>
      <c r="DT42" s="1025">
        <f>_xlfn.IFS(DR42=0,0,DS42&lt;=DR42,DS42/DR42,DS42&gt;DR42,1)</f>
        <v>8.3333333333333329E-2</v>
      </c>
      <c r="DU42" s="929"/>
      <c r="DV42" s="1226">
        <v>3</v>
      </c>
      <c r="DW42" s="906">
        <f>DV42/DV26</f>
        <v>0.25</v>
      </c>
      <c r="DX42" s="1025">
        <f>_xlfn.IFS(DV42=0,0,DW42&lt;=DV42,DW42/DV42,DW42&gt;DV42,1)</f>
        <v>8.3333333333333329E-2</v>
      </c>
      <c r="DY42" s="929"/>
      <c r="DZ42" s="1226">
        <v>3</v>
      </c>
      <c r="EA42" s="906">
        <f>DZ42/DZ26</f>
        <v>0.25</v>
      </c>
      <c r="EB42" s="1025">
        <f>_xlfn.IFS(DZ42=0,0,EA42&lt;=DZ42,EA42/DZ42,EA42&gt;DZ42,1)</f>
        <v>8.3333333333333329E-2</v>
      </c>
      <c r="EC42" s="929"/>
      <c r="ED42" s="1226">
        <v>3</v>
      </c>
      <c r="EE42" s="906">
        <f>ED42/ED26</f>
        <v>0.25</v>
      </c>
      <c r="EF42" s="1025">
        <f>_xlfn.IFS(ED42=0,0,EE42&lt;=ED42,EE42/ED42,EE42&gt;ED42,1)</f>
        <v>8.3333333333333329E-2</v>
      </c>
    </row>
    <row r="43" spans="1:136" ht="20" customHeight="1" x14ac:dyDescent="0.15">
      <c r="A43" s="189">
        <f t="shared" si="305"/>
        <v>0</v>
      </c>
      <c r="B43" s="950"/>
      <c r="C43" s="391" t="str">
        <f>Dashboard!K112</f>
        <v>WEBSITE</v>
      </c>
      <c r="D43" s="208">
        <f>Dashboard!U112</f>
        <v>0.03</v>
      </c>
      <c r="E43" s="1088">
        <f t="shared" si="306"/>
        <v>0.33333333333333326</v>
      </c>
      <c r="F43" s="208">
        <f t="shared" si="307"/>
        <v>-0.30333333333333323</v>
      </c>
      <c r="G43" s="208">
        <f t="shared" si="308"/>
        <v>9.0000000000000011E-2</v>
      </c>
      <c r="H43" s="935"/>
      <c r="I43" s="935"/>
      <c r="J43" s="935"/>
      <c r="K43" s="831"/>
      <c r="L43" s="945"/>
      <c r="M43" s="929"/>
      <c r="N43" s="1226">
        <v>0</v>
      </c>
      <c r="O43" s="906">
        <f>N43/N32</f>
        <v>0</v>
      </c>
      <c r="P43" s="1227">
        <f t="shared" ref="P43" si="309">_xlfn.IFS(N43=0,0,O43&lt;=N43,O43/N43,O43&gt;N43,1)</f>
        <v>0</v>
      </c>
      <c r="Q43" s="929"/>
      <c r="R43" s="1226">
        <v>0</v>
      </c>
      <c r="S43" s="906">
        <f>R43/R32</f>
        <v>0</v>
      </c>
      <c r="T43" s="1025">
        <f t="shared" ref="T43" si="310">_xlfn.IFS(R43=0,0,S43&lt;=R43,S43/R43,S43&gt;R43,1)</f>
        <v>0</v>
      </c>
      <c r="U43" s="929"/>
      <c r="V43" s="1226">
        <v>0</v>
      </c>
      <c r="W43" s="906">
        <f>V43/V32</f>
        <v>0</v>
      </c>
      <c r="X43" s="1025">
        <f t="shared" ref="X43" si="311">_xlfn.IFS(V43=0,0,W43&lt;=V43,W43/V43,W43&gt;V43,1)</f>
        <v>0</v>
      </c>
      <c r="Y43" s="929"/>
      <c r="Z43" s="1226">
        <v>0</v>
      </c>
      <c r="AA43" s="906">
        <f>Z43/Z32</f>
        <v>0</v>
      </c>
      <c r="AB43" s="1025">
        <f t="shared" ref="AB43" si="312">_xlfn.IFS(Z43=0,0,AA43&lt;=Z43,AA43/Z43,AA43&gt;Z43,1)</f>
        <v>0</v>
      </c>
      <c r="AC43" s="929"/>
      <c r="AD43" s="1226">
        <v>0</v>
      </c>
      <c r="AE43" s="906">
        <f>AD43/AD32</f>
        <v>0</v>
      </c>
      <c r="AF43" s="1025">
        <f t="shared" ref="AF43" si="313">_xlfn.IFS(AD43=0,0,AE43&lt;=AD43,AE43/AD43,AE43&gt;AD43,1)</f>
        <v>0</v>
      </c>
      <c r="AG43" s="929"/>
      <c r="AH43" s="1226">
        <v>1</v>
      </c>
      <c r="AI43" s="906">
        <f>AH43/AH32</f>
        <v>0.33333333333333331</v>
      </c>
      <c r="AJ43" s="1025">
        <f t="shared" ref="AJ43" si="314">_xlfn.IFS(AH43=0,0,AI43&lt;=AH43,AI43/AH43,AI43&gt;AH43,1)</f>
        <v>0.33333333333333331</v>
      </c>
      <c r="AK43" s="929"/>
      <c r="AL43" s="1226">
        <v>1</v>
      </c>
      <c r="AM43" s="906">
        <f>AL43/AL32</f>
        <v>0.33333333333333331</v>
      </c>
      <c r="AN43" s="1025">
        <f t="shared" ref="AN43" si="315">_xlfn.IFS(AL43=0,0,AM43&lt;=AL43,AM43/AL43,AM43&gt;AL43,1)</f>
        <v>0.33333333333333331</v>
      </c>
      <c r="AO43" s="929"/>
      <c r="AP43" s="1226">
        <v>1</v>
      </c>
      <c r="AQ43" s="906">
        <f>AP43/AP32</f>
        <v>0.33333333333333331</v>
      </c>
      <c r="AR43" s="1025">
        <f t="shared" ref="AR43" si="316">_xlfn.IFS(AP43=0,0,AQ43&lt;=AP43,AQ43/AP43,AQ43&gt;AP43,1)</f>
        <v>0.33333333333333331</v>
      </c>
      <c r="AS43" s="929"/>
      <c r="AT43" s="1226">
        <v>1</v>
      </c>
      <c r="AU43" s="906">
        <f>AT43/AT32</f>
        <v>0.33333333333333331</v>
      </c>
      <c r="AV43" s="1025">
        <f t="shared" ref="AV43" si="317">_xlfn.IFS(AT43=0,0,AU43&lt;=AT43,AU43/AT43,AU43&gt;AT43,1)</f>
        <v>0.33333333333333331</v>
      </c>
      <c r="AW43" s="929"/>
      <c r="AX43" s="1226">
        <v>1</v>
      </c>
      <c r="AY43" s="906">
        <f>AX43/AX32</f>
        <v>0.33333333333333331</v>
      </c>
      <c r="AZ43" s="1025">
        <f t="shared" ref="AZ43" si="318">_xlfn.IFS(AX43=0,0,AY43&lt;=AX43,AY43/AX43,AY43&gt;AX43,1)</f>
        <v>0.33333333333333331</v>
      </c>
      <c r="BA43" s="929"/>
      <c r="BB43" s="1226">
        <v>1</v>
      </c>
      <c r="BC43" s="906">
        <f>BB43/BB32</f>
        <v>0.33333333333333331</v>
      </c>
      <c r="BD43" s="1025">
        <f t="shared" ref="BD43" si="319">_xlfn.IFS(BB43=0,0,BC43&lt;=BB43,BC43/BB43,BC43&gt;BB43,1)</f>
        <v>0.33333333333333331</v>
      </c>
      <c r="BE43" s="929"/>
      <c r="BF43" s="1226">
        <v>1</v>
      </c>
      <c r="BG43" s="906">
        <f>BF43/BF32</f>
        <v>0.33333333333333331</v>
      </c>
      <c r="BH43" s="1025">
        <f t="shared" ref="BH43" si="320">_xlfn.IFS(BF43=0,0,BG43&lt;=BF43,BG43/BF43,BG43&gt;BF43,1)</f>
        <v>0.33333333333333331</v>
      </c>
      <c r="BI43" s="929"/>
      <c r="BJ43" s="1226">
        <v>1</v>
      </c>
      <c r="BK43" s="906">
        <f>BJ43/BJ32</f>
        <v>0.33333333333333331</v>
      </c>
      <c r="BL43" s="1025">
        <f t="shared" ref="BL43" si="321">_xlfn.IFS(BJ43=0,0,BK43&lt;=BJ43,BK43/BJ43,BK43&gt;BJ43,1)</f>
        <v>0.33333333333333331</v>
      </c>
      <c r="BM43" s="929"/>
      <c r="BN43" s="1226">
        <v>1</v>
      </c>
      <c r="BO43" s="906">
        <f>BN43/BN32</f>
        <v>0.33333333333333331</v>
      </c>
      <c r="BP43" s="1025">
        <f t="shared" ref="BP43" si="322">_xlfn.IFS(BN43=0,0,BO43&lt;=BN43,BO43/BN43,BO43&gt;BN43,1)</f>
        <v>0.33333333333333331</v>
      </c>
      <c r="BQ43" s="929"/>
      <c r="BR43" s="1226">
        <v>1</v>
      </c>
      <c r="BS43" s="906">
        <f>BR43/BR32</f>
        <v>0.33333333333333331</v>
      </c>
      <c r="BT43" s="1025">
        <f t="shared" ref="BT43" si="323">_xlfn.IFS(BR43=0,0,BS43&lt;=BR43,BS43/BR43,BS43&gt;BR43,1)</f>
        <v>0.33333333333333331</v>
      </c>
      <c r="BU43" s="929"/>
      <c r="BV43" s="1226">
        <v>1</v>
      </c>
      <c r="BW43" s="906">
        <f>BV43/BV32</f>
        <v>0.33333333333333331</v>
      </c>
      <c r="BX43" s="1025">
        <f t="shared" ref="BX43" si="324">_xlfn.IFS(BV43=0,0,BW43&lt;=BV43,BW43/BV43,BW43&gt;BV43,1)</f>
        <v>0.33333333333333331</v>
      </c>
      <c r="BY43" s="929"/>
      <c r="BZ43" s="1226">
        <v>1</v>
      </c>
      <c r="CA43" s="906">
        <f>BZ43/BZ32</f>
        <v>0.33333333333333331</v>
      </c>
      <c r="CB43" s="1025">
        <f t="shared" ref="CB43" si="325">_xlfn.IFS(BZ43=0,0,CA43&lt;=BZ43,CA43/BZ43,CA43&gt;BZ43,1)</f>
        <v>0.33333333333333331</v>
      </c>
      <c r="CC43" s="929"/>
      <c r="CD43" s="1226">
        <v>1</v>
      </c>
      <c r="CE43" s="906">
        <f>CD43/CD32</f>
        <v>0.33333333333333331</v>
      </c>
      <c r="CF43" s="1025">
        <f t="shared" ref="CF43" si="326">_xlfn.IFS(CD43=0,0,CE43&lt;=CD43,CE43/CD43,CE43&gt;CD43,1)</f>
        <v>0.33333333333333331</v>
      </c>
      <c r="CG43" s="929"/>
      <c r="CH43" s="1226">
        <v>1</v>
      </c>
      <c r="CI43" s="906">
        <f>CH43/CH32</f>
        <v>0.33333333333333331</v>
      </c>
      <c r="CJ43" s="1025">
        <f t="shared" ref="CJ43" si="327">_xlfn.IFS(CH43=0,0,CI43&lt;=CH43,CI43/CH43,CI43&gt;CH43,1)</f>
        <v>0.33333333333333331</v>
      </c>
      <c r="CK43" s="929"/>
      <c r="CL43" s="1226">
        <v>1</v>
      </c>
      <c r="CM43" s="906">
        <f>CL43/CL32</f>
        <v>0.33333333333333331</v>
      </c>
      <c r="CN43" s="1025">
        <f t="shared" ref="CN43" si="328">_xlfn.IFS(CL43=0,0,CM43&lt;=CL43,CM43/CL43,CM43&gt;CL43,1)</f>
        <v>0.33333333333333331</v>
      </c>
      <c r="CO43" s="929"/>
      <c r="CP43" s="1226">
        <v>1</v>
      </c>
      <c r="CQ43" s="906">
        <f>CP43/CP32</f>
        <v>0.33333333333333331</v>
      </c>
      <c r="CR43" s="1025">
        <f t="shared" ref="CR43" si="329">_xlfn.IFS(CP43=0,0,CQ43&lt;=CP43,CQ43/CP43,CQ43&gt;CP43,1)</f>
        <v>0.33333333333333331</v>
      </c>
      <c r="CS43" s="929"/>
      <c r="CT43" s="1226">
        <v>1</v>
      </c>
      <c r="CU43" s="906">
        <f>CT43/CT32</f>
        <v>0.33333333333333331</v>
      </c>
      <c r="CV43" s="1025">
        <f t="shared" ref="CV43" si="330">_xlfn.IFS(CT43=0,0,CU43&lt;=CT43,CU43/CT43,CU43&gt;CT43,1)</f>
        <v>0.33333333333333331</v>
      </c>
      <c r="CW43" s="929"/>
      <c r="CX43" s="1226">
        <v>1</v>
      </c>
      <c r="CY43" s="906">
        <f>CX43/CX32</f>
        <v>0.33333333333333331</v>
      </c>
      <c r="CZ43" s="1025">
        <f t="shared" ref="CZ43" si="331">_xlfn.IFS(CX43=0,0,CY43&lt;=CX43,CY43/CX43,CY43&gt;CX43,1)</f>
        <v>0.33333333333333331</v>
      </c>
      <c r="DA43" s="929"/>
      <c r="DB43" s="1226">
        <v>1</v>
      </c>
      <c r="DC43" s="906">
        <f>DB43/DB32</f>
        <v>0.33333333333333331</v>
      </c>
      <c r="DD43" s="1025">
        <f t="shared" ref="DD43" si="332">_xlfn.IFS(DB43=0,0,DC43&lt;=DB43,DC43/DB43,DC43&gt;DB43,1)</f>
        <v>0.33333333333333331</v>
      </c>
      <c r="DE43" s="929"/>
      <c r="DF43" s="1226">
        <v>1</v>
      </c>
      <c r="DG43" s="906">
        <f>DF43/DF32</f>
        <v>0.33333333333333331</v>
      </c>
      <c r="DH43" s="1025">
        <f t="shared" ref="DH43" si="333">_xlfn.IFS(DF43=0,0,DG43&lt;=DF43,DG43/DF43,DG43&gt;DF43,1)</f>
        <v>0.33333333333333331</v>
      </c>
      <c r="DI43" s="929"/>
      <c r="DJ43" s="1226">
        <v>1</v>
      </c>
      <c r="DK43" s="906">
        <f>DJ43/DJ32</f>
        <v>0.33333333333333331</v>
      </c>
      <c r="DL43" s="1025">
        <f t="shared" ref="DL43" si="334">_xlfn.IFS(DJ43=0,0,DK43&lt;=DJ43,DK43/DJ43,DK43&gt;DJ43,1)</f>
        <v>0.33333333333333331</v>
      </c>
      <c r="DM43" s="929"/>
      <c r="DN43" s="1226">
        <v>1</v>
      </c>
      <c r="DO43" s="906">
        <f>DN43/DN32</f>
        <v>0.33333333333333331</v>
      </c>
      <c r="DP43" s="1025">
        <f t="shared" ref="DP43" si="335">_xlfn.IFS(DN43=0,0,DO43&lt;=DN43,DO43/DN43,DO43&gt;DN43,1)</f>
        <v>0.33333333333333331</v>
      </c>
      <c r="DQ43" s="929"/>
      <c r="DR43" s="1226">
        <v>1</v>
      </c>
      <c r="DS43" s="906">
        <f>DR43/DR32</f>
        <v>0.33333333333333331</v>
      </c>
      <c r="DT43" s="1025">
        <f t="shared" ref="DT43" si="336">_xlfn.IFS(DR43=0,0,DS43&lt;=DR43,DS43/DR43,DS43&gt;DR43,1)</f>
        <v>0.33333333333333331</v>
      </c>
      <c r="DU43" s="929"/>
      <c r="DV43" s="1226">
        <v>1</v>
      </c>
      <c r="DW43" s="906">
        <f>DV43/DV32</f>
        <v>0.33333333333333331</v>
      </c>
      <c r="DX43" s="1025">
        <f t="shared" ref="DX43" si="337">_xlfn.IFS(DV43=0,0,DW43&lt;=DV43,DW43/DV43,DW43&gt;DV43,1)</f>
        <v>0.33333333333333331</v>
      </c>
      <c r="DY43" s="929"/>
      <c r="DZ43" s="1226">
        <v>1</v>
      </c>
      <c r="EA43" s="906">
        <f>DZ43/DZ32</f>
        <v>0.33333333333333331</v>
      </c>
      <c r="EB43" s="1025">
        <f t="shared" ref="EB43" si="338">_xlfn.IFS(DZ43=0,0,EA43&lt;=DZ43,EA43/DZ43,EA43&gt;DZ43,1)</f>
        <v>0.33333333333333331</v>
      </c>
      <c r="EC43" s="929"/>
      <c r="ED43" s="1226">
        <v>1</v>
      </c>
      <c r="EE43" s="906">
        <f>ED43/ED32</f>
        <v>0.33333333333333331</v>
      </c>
      <c r="EF43" s="1025">
        <f t="shared" ref="EF43" si="339">_xlfn.IFS(ED43=0,0,EE43&lt;=ED43,EE43/ED43,EE43&gt;ED43,1)</f>
        <v>0.33333333333333331</v>
      </c>
    </row>
    <row r="44" spans="1:136" ht="20" customHeight="1" x14ac:dyDescent="0.15">
      <c r="A44" s="189">
        <f>_xlfn.IFS(B44=0,0,E44&gt;B44,1,E44&lt;=B44,E44/B44)</f>
        <v>0</v>
      </c>
      <c r="B44" s="948"/>
      <c r="C44" s="391" t="str">
        <f>Dashboard!K113</f>
        <v>TIKTOKSHOP</v>
      </c>
      <c r="D44" s="208">
        <f>Dashboard!U113</f>
        <v>0.03</v>
      </c>
      <c r="E44" s="1088">
        <f>IF(SUMIF($M$13:$EF$13,$N$13,M44:EF44)&gt;0,SUMIF($M$13:$EF$13,$O$13,M44:EF44)/SUMIF($M$13:$EF$13,$N$13,M44:EF44),0)</f>
        <v>1</v>
      </c>
      <c r="F44" s="208">
        <f t="shared" si="307"/>
        <v>-0.97</v>
      </c>
      <c r="G44" s="208">
        <f t="shared" si="308"/>
        <v>0.03</v>
      </c>
      <c r="H44" s="935"/>
      <c r="I44" s="935"/>
      <c r="J44" s="935"/>
      <c r="K44" s="837">
        <f t="shared" ref="K44:K46" si="340">D44</f>
        <v>0.03</v>
      </c>
      <c r="L44" s="883">
        <f t="shared" ref="L44:L46" ca="1" si="341">SUMIFS($M44:$EF44,$M$11:$EF$11,TODAY()-1,$M$13:$EF$13,P$13)</f>
        <v>0</v>
      </c>
      <c r="M44" s="937"/>
      <c r="N44" s="1042">
        <v>0</v>
      </c>
      <c r="O44" s="906">
        <f>N44/N35</f>
        <v>0</v>
      </c>
      <c r="P44" s="1227">
        <f>_xlfn.IFS(N44=0,0,O44&lt;=N44,O44/N44,O44&gt;N44,1)</f>
        <v>0</v>
      </c>
      <c r="Q44" s="937"/>
      <c r="R44" s="1226">
        <v>0</v>
      </c>
      <c r="S44" s="906">
        <f>R44/R35</f>
        <v>0</v>
      </c>
      <c r="T44" s="1025">
        <f>_xlfn.IFS(R44=0,0,S44&lt;=R44,S44/R44,S44&gt;R44,1)</f>
        <v>0</v>
      </c>
      <c r="U44" s="937"/>
      <c r="V44" s="1226">
        <v>0</v>
      </c>
      <c r="W44" s="906">
        <f>V44/V35</f>
        <v>0</v>
      </c>
      <c r="X44" s="1025">
        <f>_xlfn.IFS(V44=0,0,W44&lt;=V44,W44/V44,W44&gt;V44,1)</f>
        <v>0</v>
      </c>
      <c r="Y44" s="937"/>
      <c r="Z44" s="1226">
        <v>0</v>
      </c>
      <c r="AA44" s="906">
        <f>Z44/Z35</f>
        <v>0</v>
      </c>
      <c r="AB44" s="1025">
        <f>_xlfn.IFS(Z44=0,0,AA44&lt;=Z44,AA44/Z44,AA44&gt;Z44,1)</f>
        <v>0</v>
      </c>
      <c r="AC44" s="937"/>
      <c r="AD44" s="1226">
        <v>0</v>
      </c>
      <c r="AE44" s="906">
        <f>AD44/AD35</f>
        <v>0</v>
      </c>
      <c r="AF44" s="1025">
        <f>_xlfn.IFS(AD44=0,0,AE44&lt;=AD44,AE44/AD44,AE44&gt;AD44,1)</f>
        <v>0</v>
      </c>
      <c r="AG44" s="937"/>
      <c r="AH44" s="1042">
        <v>1</v>
      </c>
      <c r="AI44" s="906">
        <f>AH44/AH35</f>
        <v>1</v>
      </c>
      <c r="AJ44" s="1025">
        <f>_xlfn.IFS(AH44=0,0,AI44&lt;=AH44,AI44/AH44,AI44&gt;AH44,1)</f>
        <v>1</v>
      </c>
      <c r="AK44" s="937"/>
      <c r="AL44" s="1042">
        <v>1</v>
      </c>
      <c r="AM44" s="906">
        <f>AL44/AL35</f>
        <v>1</v>
      </c>
      <c r="AN44" s="1025">
        <f>_xlfn.IFS(AL44=0,0,AM44&lt;=AL44,AM44/AL44,AM44&gt;AL44,1)</f>
        <v>1</v>
      </c>
      <c r="AO44" s="937"/>
      <c r="AP44" s="1042">
        <v>1</v>
      </c>
      <c r="AQ44" s="906">
        <f>AP44/AP35</f>
        <v>1</v>
      </c>
      <c r="AR44" s="1025">
        <f>_xlfn.IFS(AP44=0,0,AQ44&lt;=AP44,AQ44/AP44,AQ44&gt;AP44,1)</f>
        <v>1</v>
      </c>
      <c r="AS44" s="937"/>
      <c r="AT44" s="1042">
        <v>1</v>
      </c>
      <c r="AU44" s="906">
        <f>AT44/AT35</f>
        <v>1</v>
      </c>
      <c r="AV44" s="1025">
        <f>_xlfn.IFS(AT44=0,0,AU44&lt;=AT44,AU44/AT44,AU44&gt;AT44,1)</f>
        <v>1</v>
      </c>
      <c r="AW44" s="937"/>
      <c r="AX44" s="1042">
        <v>1</v>
      </c>
      <c r="AY44" s="906">
        <f>AX44/AX35</f>
        <v>1</v>
      </c>
      <c r="AZ44" s="1025">
        <f>_xlfn.IFS(AX44=0,0,AY44&lt;=AX44,AY44/AX44,AY44&gt;AX44,1)</f>
        <v>1</v>
      </c>
      <c r="BA44" s="937"/>
      <c r="BB44" s="1042">
        <v>1</v>
      </c>
      <c r="BC44" s="906">
        <f>BB44/BB35</f>
        <v>1</v>
      </c>
      <c r="BD44" s="1025">
        <f>_xlfn.IFS(BB44=0,0,BC44&lt;=BB44,BC44/BB44,BC44&gt;BB44,1)</f>
        <v>1</v>
      </c>
      <c r="BE44" s="937"/>
      <c r="BF44" s="1042">
        <v>1</v>
      </c>
      <c r="BG44" s="906">
        <f>BF44/BF35</f>
        <v>1</v>
      </c>
      <c r="BH44" s="1025">
        <f>_xlfn.IFS(BF44=0,0,BG44&lt;=BF44,BG44/BF44,BG44&gt;BF44,1)</f>
        <v>1</v>
      </c>
      <c r="BI44" s="937"/>
      <c r="BJ44" s="1042">
        <v>0</v>
      </c>
      <c r="BK44" s="906">
        <f>BJ44/BJ35</f>
        <v>0</v>
      </c>
      <c r="BL44" s="1025">
        <f>_xlfn.IFS(BJ44=0,0,BK44&lt;=BJ44,BK44/BJ44,BK44&gt;BJ44,1)</f>
        <v>0</v>
      </c>
      <c r="BM44" s="937"/>
      <c r="BN44" s="1042">
        <v>0</v>
      </c>
      <c r="BO44" s="906">
        <f>BN44/BN35</f>
        <v>0</v>
      </c>
      <c r="BP44" s="1025">
        <f>_xlfn.IFS(BN44=0,0,BO44&lt;=BN44,BO44/BN44,BO44&gt;BN44,1)</f>
        <v>0</v>
      </c>
      <c r="BQ44" s="937"/>
      <c r="BR44" s="1042">
        <v>0</v>
      </c>
      <c r="BS44" s="906">
        <f>BR44/BR35</f>
        <v>0</v>
      </c>
      <c r="BT44" s="1025">
        <f>_xlfn.IFS(BR44=0,0,BS44&lt;=BR44,BS44/BR44,BS44&gt;BR44,1)</f>
        <v>0</v>
      </c>
      <c r="BU44" s="937"/>
      <c r="BV44" s="1042">
        <v>0</v>
      </c>
      <c r="BW44" s="906">
        <f>BV44/BV35</f>
        <v>0</v>
      </c>
      <c r="BX44" s="1025">
        <f>_xlfn.IFS(BV44=0,0,BW44&lt;=BV44,BW44/BV44,BW44&gt;BV44,1)</f>
        <v>0</v>
      </c>
      <c r="BY44" s="937"/>
      <c r="BZ44" s="1042">
        <v>0</v>
      </c>
      <c r="CA44" s="906">
        <f>BZ44/BZ35</f>
        <v>0</v>
      </c>
      <c r="CB44" s="1025">
        <f>_xlfn.IFS(BZ44=0,0,CA44&lt;=BZ44,CA44/BZ44,CA44&gt;BZ44,1)</f>
        <v>0</v>
      </c>
      <c r="CC44" s="937"/>
      <c r="CD44" s="1042">
        <v>0</v>
      </c>
      <c r="CE44" s="906">
        <f>CD44/CD35</f>
        <v>0</v>
      </c>
      <c r="CF44" s="1025">
        <f>_xlfn.IFS(CD44=0,0,CE44&lt;=CD44,CE44/CD44,CE44&gt;CD44,1)</f>
        <v>0</v>
      </c>
      <c r="CG44" s="937"/>
      <c r="CH44" s="1042">
        <v>0</v>
      </c>
      <c r="CI44" s="906">
        <f>CH44/CH35</f>
        <v>0</v>
      </c>
      <c r="CJ44" s="1025">
        <f>_xlfn.IFS(CH44=0,0,CI44&lt;=CH44,CI44/CH44,CI44&gt;CH44,1)</f>
        <v>0</v>
      </c>
      <c r="CK44" s="937"/>
      <c r="CL44" s="1042">
        <v>0</v>
      </c>
      <c r="CM44" s="906">
        <f>CL44/CL35</f>
        <v>0</v>
      </c>
      <c r="CN44" s="1025">
        <f>_xlfn.IFS(CL44=0,0,CM44&lt;=CL44,CM44/CL44,CM44&gt;CL44,1)</f>
        <v>0</v>
      </c>
      <c r="CO44" s="937"/>
      <c r="CP44" s="1042">
        <v>0</v>
      </c>
      <c r="CQ44" s="906">
        <f>CP44/CP35</f>
        <v>0</v>
      </c>
      <c r="CR44" s="1025">
        <f>_xlfn.IFS(CP44=0,0,CQ44&lt;=CP44,CQ44/CP44,CQ44&gt;CP44,1)</f>
        <v>0</v>
      </c>
      <c r="CS44" s="937"/>
      <c r="CT44" s="1042">
        <v>0</v>
      </c>
      <c r="CU44" s="906">
        <f>CT44/CT35</f>
        <v>0</v>
      </c>
      <c r="CV44" s="1025">
        <f>_xlfn.IFS(CT44=0,0,CU44&lt;=CT44,CU44/CT44,CU44&gt;CT44,1)</f>
        <v>0</v>
      </c>
      <c r="CW44" s="937"/>
      <c r="CX44" s="1042">
        <v>0</v>
      </c>
      <c r="CY44" s="906">
        <f>CX44/CX35</f>
        <v>0</v>
      </c>
      <c r="CZ44" s="1025">
        <f>_xlfn.IFS(CX44=0,0,CY44&lt;=CX44,CY44/CX44,CY44&gt;CX44,1)</f>
        <v>0</v>
      </c>
      <c r="DA44" s="937"/>
      <c r="DB44" s="1042">
        <v>0</v>
      </c>
      <c r="DC44" s="906">
        <f>DB44/DB35</f>
        <v>0</v>
      </c>
      <c r="DD44" s="1025">
        <f>_xlfn.IFS(DB44=0,0,DC44&lt;=DB44,DC44/DB44,DC44&gt;DB44,1)</f>
        <v>0</v>
      </c>
      <c r="DE44" s="937"/>
      <c r="DF44" s="1042">
        <v>0</v>
      </c>
      <c r="DG44" s="906">
        <f>DF44/DF35</f>
        <v>0</v>
      </c>
      <c r="DH44" s="1025">
        <f>_xlfn.IFS(DF44=0,0,DG44&lt;=DF44,DG44/DF44,DG44&gt;DF44,1)</f>
        <v>0</v>
      </c>
      <c r="DI44" s="937"/>
      <c r="DJ44" s="1042">
        <v>0</v>
      </c>
      <c r="DK44" s="906">
        <f>DJ44/DJ35</f>
        <v>0</v>
      </c>
      <c r="DL44" s="1025">
        <f>_xlfn.IFS(DJ44=0,0,DK44&lt;=DJ44,DK44/DJ44,DK44&gt;DJ44,1)</f>
        <v>0</v>
      </c>
      <c r="DM44" s="937"/>
      <c r="DN44" s="1042">
        <v>0</v>
      </c>
      <c r="DO44" s="906">
        <f>DN44/DN35</f>
        <v>0</v>
      </c>
      <c r="DP44" s="1025">
        <f>_xlfn.IFS(DN44=0,0,DO44&lt;=DN44,DO44/DN44,DO44&gt;DN44,1)</f>
        <v>0</v>
      </c>
      <c r="DQ44" s="937"/>
      <c r="DR44" s="1042">
        <v>0</v>
      </c>
      <c r="DS44" s="906">
        <f>DR44/DR35</f>
        <v>0</v>
      </c>
      <c r="DT44" s="1025">
        <f>_xlfn.IFS(DR44=0,0,DS44&lt;=DR44,DS44/DR44,DS44&gt;DR44,1)</f>
        <v>0</v>
      </c>
      <c r="DU44" s="937"/>
      <c r="DV44" s="1042">
        <v>0</v>
      </c>
      <c r="DW44" s="906">
        <f>DV44/DV35</f>
        <v>0</v>
      </c>
      <c r="DX44" s="1025">
        <f>_xlfn.IFS(DV44=0,0,DW44&lt;=DV44,DW44/DV44,DW44&gt;DV44,1)</f>
        <v>0</v>
      </c>
      <c r="DY44" s="937"/>
      <c r="DZ44" s="1042">
        <v>0</v>
      </c>
      <c r="EA44" s="906">
        <f>DZ44/DZ35</f>
        <v>0</v>
      </c>
      <c r="EB44" s="1025">
        <f>_xlfn.IFS(DZ44=0,0,EA44&lt;=DZ44,EA44/DZ44,EA44&gt;DZ44,1)</f>
        <v>0</v>
      </c>
      <c r="EC44" s="937"/>
      <c r="ED44" s="1042">
        <v>0</v>
      </c>
      <c r="EE44" s="906">
        <f>ED44/ED35</f>
        <v>0</v>
      </c>
      <c r="EF44" s="1025">
        <f>_xlfn.IFS(ED44=0,0,EE44&lt;=ED44,EE44/ED44,EE44&gt;ED44,1)</f>
        <v>0</v>
      </c>
    </row>
    <row r="45" spans="1:136" ht="20" customHeight="1" x14ac:dyDescent="0.15">
      <c r="A45" s="189">
        <f>_xlfn.IFS(B45=0,0,E45&gt;B45,1,E45&lt;=B45,E45/B45)</f>
        <v>0</v>
      </c>
      <c r="B45" s="948"/>
      <c r="C45" s="391" t="str">
        <f>Dashboard!K114</f>
        <v>SHOPPEE</v>
      </c>
      <c r="D45" s="208">
        <f>Dashboard!U114</f>
        <v>0.03</v>
      </c>
      <c r="E45" s="1088">
        <f t="shared" si="306"/>
        <v>0.33333333333333331</v>
      </c>
      <c r="F45" s="208">
        <f t="shared" si="307"/>
        <v>-0.30333333333333334</v>
      </c>
      <c r="G45" s="208">
        <f t="shared" si="308"/>
        <v>0.09</v>
      </c>
      <c r="H45" s="935"/>
      <c r="I45" s="935"/>
      <c r="J45" s="935"/>
      <c r="K45" s="837">
        <f t="shared" si="340"/>
        <v>0.03</v>
      </c>
      <c r="L45" s="883">
        <f t="shared" ca="1" si="341"/>
        <v>0</v>
      </c>
      <c r="M45" s="937"/>
      <c r="N45" s="1042">
        <v>0</v>
      </c>
      <c r="O45" s="906">
        <f>N45/N36</f>
        <v>0</v>
      </c>
      <c r="P45" s="1227">
        <f>_xlfn.IFS(N45=0,0,O45&lt;=N45,O45/N45,O45&gt;N45,1)</f>
        <v>0</v>
      </c>
      <c r="Q45" s="937"/>
      <c r="R45" s="1226">
        <v>0</v>
      </c>
      <c r="S45" s="906">
        <f>R45/R36</f>
        <v>0</v>
      </c>
      <c r="T45" s="1025">
        <f>_xlfn.IFS(R45=0,0,S45&lt;=R45,S45/R45,S45&gt;R45,1)</f>
        <v>0</v>
      </c>
      <c r="U45" s="937"/>
      <c r="V45" s="1226">
        <v>0</v>
      </c>
      <c r="W45" s="906">
        <f>V45/V36</f>
        <v>0</v>
      </c>
      <c r="X45" s="1025">
        <f>_xlfn.IFS(V45=0,0,W45&lt;=V45,W45/V45,W45&gt;V45,1)</f>
        <v>0</v>
      </c>
      <c r="Y45" s="937"/>
      <c r="Z45" s="1226">
        <v>0</v>
      </c>
      <c r="AA45" s="906">
        <f>Z45/Z36</f>
        <v>0</v>
      </c>
      <c r="AB45" s="1025">
        <f>_xlfn.IFS(Z45=0,0,AA45&lt;=Z45,AA45/Z45,AA45&gt;Z45,1)</f>
        <v>0</v>
      </c>
      <c r="AC45" s="937"/>
      <c r="AD45" s="1226">
        <v>0</v>
      </c>
      <c r="AE45" s="906">
        <f>AD45/AD36</f>
        <v>0</v>
      </c>
      <c r="AF45" s="1025">
        <f>_xlfn.IFS(AD45=0,0,AE45&lt;=AD45,AE45/AD45,AE45&gt;AD45,1)</f>
        <v>0</v>
      </c>
      <c r="AG45" s="937"/>
      <c r="AH45" s="1042">
        <v>1</v>
      </c>
      <c r="AI45" s="906">
        <f>AH45/AH36</f>
        <v>0.33333333333333331</v>
      </c>
      <c r="AJ45" s="1025">
        <f>_xlfn.IFS(AH45=0,0,AI45&lt;=AH45,AI45/AH45,AI45&gt;AH45,1)</f>
        <v>0.33333333333333331</v>
      </c>
      <c r="AK45" s="937"/>
      <c r="AL45" s="1042">
        <v>1</v>
      </c>
      <c r="AM45" s="906">
        <f>AL45/AL36</f>
        <v>0.33333333333333331</v>
      </c>
      <c r="AN45" s="1025">
        <f>_xlfn.IFS(AL45=0,0,AM45&lt;=AL45,AM45/AL45,AM45&gt;AL45,1)</f>
        <v>0.33333333333333331</v>
      </c>
      <c r="AO45" s="937"/>
      <c r="AP45" s="1042">
        <v>1</v>
      </c>
      <c r="AQ45" s="906">
        <f>AP45/AP36</f>
        <v>0.33333333333333331</v>
      </c>
      <c r="AR45" s="1025">
        <f>_xlfn.IFS(AP45=0,0,AQ45&lt;=AP45,AQ45/AP45,AQ45&gt;AP45,1)</f>
        <v>0.33333333333333331</v>
      </c>
      <c r="AS45" s="937"/>
      <c r="AT45" s="1042">
        <v>1</v>
      </c>
      <c r="AU45" s="906">
        <f>AT45/AT36</f>
        <v>0.33333333333333331</v>
      </c>
      <c r="AV45" s="1025">
        <f>_xlfn.IFS(AT45=0,0,AU45&lt;=AT45,AU45/AT45,AU45&gt;AT45,1)</f>
        <v>0.33333333333333331</v>
      </c>
      <c r="AW45" s="937"/>
      <c r="AX45" s="1042">
        <v>1</v>
      </c>
      <c r="AY45" s="906">
        <f>AX45/AX36</f>
        <v>0.33333333333333331</v>
      </c>
      <c r="AZ45" s="1025">
        <f>_xlfn.IFS(AX45=0,0,AY45&lt;=AX45,AY45/AX45,AY45&gt;AX45,1)</f>
        <v>0.33333333333333331</v>
      </c>
      <c r="BA45" s="937"/>
      <c r="BB45" s="1042">
        <v>1</v>
      </c>
      <c r="BC45" s="906">
        <f>BB45/BB36</f>
        <v>0.33333333333333331</v>
      </c>
      <c r="BD45" s="1025">
        <f>_xlfn.IFS(BB45=0,0,BC45&lt;=BB45,BC45/BB45,BC45&gt;BB45,1)</f>
        <v>0.33333333333333331</v>
      </c>
      <c r="BE45" s="937"/>
      <c r="BF45" s="1042">
        <v>1</v>
      </c>
      <c r="BG45" s="906">
        <f>BF45/BF36</f>
        <v>0.33333333333333331</v>
      </c>
      <c r="BH45" s="1025">
        <f>_xlfn.IFS(BF45=0,0,BG45&lt;=BF45,BG45/BF45,BG45&gt;BF45,1)</f>
        <v>0.33333333333333331</v>
      </c>
      <c r="BI45" s="937"/>
      <c r="BJ45" s="1042">
        <v>0</v>
      </c>
      <c r="BK45" s="906">
        <f>BJ45/BJ36</f>
        <v>0</v>
      </c>
      <c r="BL45" s="1025">
        <f>_xlfn.IFS(BJ45=0,0,BK45&lt;=BJ45,BK45/BJ45,BK45&gt;BJ45,1)</f>
        <v>0</v>
      </c>
      <c r="BM45" s="937"/>
      <c r="BN45" s="1042">
        <v>0</v>
      </c>
      <c r="BO45" s="906">
        <f>BN45/BN36</f>
        <v>0</v>
      </c>
      <c r="BP45" s="1025">
        <f>_xlfn.IFS(BN45=0,0,BO45&lt;=BN45,BO45/BN45,BO45&gt;BN45,1)</f>
        <v>0</v>
      </c>
      <c r="BQ45" s="937"/>
      <c r="BR45" s="1042">
        <v>0</v>
      </c>
      <c r="BS45" s="906">
        <f>BR45/BR36</f>
        <v>0</v>
      </c>
      <c r="BT45" s="1025">
        <f>_xlfn.IFS(BR45=0,0,BS45&lt;=BR45,BS45/BR45,BS45&gt;BR45,1)</f>
        <v>0</v>
      </c>
      <c r="BU45" s="937"/>
      <c r="BV45" s="1042">
        <v>0</v>
      </c>
      <c r="BW45" s="906">
        <f>BV45/BV36</f>
        <v>0</v>
      </c>
      <c r="BX45" s="1025">
        <f>_xlfn.IFS(BV45=0,0,BW45&lt;=BV45,BW45/BV45,BW45&gt;BV45,1)</f>
        <v>0</v>
      </c>
      <c r="BY45" s="937"/>
      <c r="BZ45" s="1042">
        <v>0</v>
      </c>
      <c r="CA45" s="906">
        <f>BZ45/BZ36</f>
        <v>0</v>
      </c>
      <c r="CB45" s="1025">
        <f>_xlfn.IFS(BZ45=0,0,CA45&lt;=BZ45,CA45/BZ45,CA45&gt;BZ45,1)</f>
        <v>0</v>
      </c>
      <c r="CC45" s="937"/>
      <c r="CD45" s="1042">
        <v>0</v>
      </c>
      <c r="CE45" s="906">
        <f>CD45/CD36</f>
        <v>0</v>
      </c>
      <c r="CF45" s="1025">
        <f>_xlfn.IFS(CD45=0,0,CE45&lt;=CD45,CE45/CD45,CE45&gt;CD45,1)</f>
        <v>0</v>
      </c>
      <c r="CG45" s="937"/>
      <c r="CH45" s="1042">
        <v>0</v>
      </c>
      <c r="CI45" s="906">
        <f>CH45/CH36</f>
        <v>0</v>
      </c>
      <c r="CJ45" s="1025">
        <f>_xlfn.IFS(CH45=0,0,CI45&lt;=CH45,CI45/CH45,CI45&gt;CH45,1)</f>
        <v>0</v>
      </c>
      <c r="CK45" s="937"/>
      <c r="CL45" s="1042">
        <v>0</v>
      </c>
      <c r="CM45" s="906">
        <f>CL45/CL36</f>
        <v>0</v>
      </c>
      <c r="CN45" s="1025">
        <f>_xlfn.IFS(CL45=0,0,CM45&lt;=CL45,CM45/CL45,CM45&gt;CL45,1)</f>
        <v>0</v>
      </c>
      <c r="CO45" s="937"/>
      <c r="CP45" s="1042">
        <v>0</v>
      </c>
      <c r="CQ45" s="906">
        <f>CP45/CP36</f>
        <v>0</v>
      </c>
      <c r="CR45" s="1025">
        <f>_xlfn.IFS(CP45=0,0,CQ45&lt;=CP45,CQ45/CP45,CQ45&gt;CP45,1)</f>
        <v>0</v>
      </c>
      <c r="CS45" s="937"/>
      <c r="CT45" s="1042">
        <v>0</v>
      </c>
      <c r="CU45" s="906">
        <f>CT45/CT36</f>
        <v>0</v>
      </c>
      <c r="CV45" s="1025">
        <f>_xlfn.IFS(CT45=0,0,CU45&lt;=CT45,CU45/CT45,CU45&gt;CT45,1)</f>
        <v>0</v>
      </c>
      <c r="CW45" s="937"/>
      <c r="CX45" s="1042">
        <v>0</v>
      </c>
      <c r="CY45" s="906">
        <f>CX45/CX36</f>
        <v>0</v>
      </c>
      <c r="CZ45" s="1025">
        <f>_xlfn.IFS(CX45=0,0,CY45&lt;=CX45,CY45/CX45,CY45&gt;CX45,1)</f>
        <v>0</v>
      </c>
      <c r="DA45" s="937"/>
      <c r="DB45" s="1042">
        <v>0</v>
      </c>
      <c r="DC45" s="906">
        <f>DB45/DB36</f>
        <v>0</v>
      </c>
      <c r="DD45" s="1025">
        <f>_xlfn.IFS(DB45=0,0,DC45&lt;=DB45,DC45/DB45,DC45&gt;DB45,1)</f>
        <v>0</v>
      </c>
      <c r="DE45" s="937"/>
      <c r="DF45" s="1042">
        <v>0</v>
      </c>
      <c r="DG45" s="906">
        <f>DF45/DF36</f>
        <v>0</v>
      </c>
      <c r="DH45" s="1025">
        <f>_xlfn.IFS(DF45=0,0,DG45&lt;=DF45,DG45/DF45,DG45&gt;DF45,1)</f>
        <v>0</v>
      </c>
      <c r="DI45" s="937"/>
      <c r="DJ45" s="1042">
        <v>0</v>
      </c>
      <c r="DK45" s="906">
        <f>DJ45/DJ36</f>
        <v>0</v>
      </c>
      <c r="DL45" s="1025">
        <f>_xlfn.IFS(DJ45=0,0,DK45&lt;=DJ45,DK45/DJ45,DK45&gt;DJ45,1)</f>
        <v>0</v>
      </c>
      <c r="DM45" s="937"/>
      <c r="DN45" s="1042">
        <v>0</v>
      </c>
      <c r="DO45" s="906">
        <f>DN45/DN36</f>
        <v>0</v>
      </c>
      <c r="DP45" s="1025">
        <f>_xlfn.IFS(DN45=0,0,DO45&lt;=DN45,DO45/DN45,DO45&gt;DN45,1)</f>
        <v>0</v>
      </c>
      <c r="DQ45" s="937"/>
      <c r="DR45" s="1042">
        <v>0</v>
      </c>
      <c r="DS45" s="906">
        <f>DR45/DR36</f>
        <v>0</v>
      </c>
      <c r="DT45" s="1025">
        <f>_xlfn.IFS(DR45=0,0,DS45&lt;=DR45,DS45/DR45,DS45&gt;DR45,1)</f>
        <v>0</v>
      </c>
      <c r="DU45" s="937"/>
      <c r="DV45" s="1042">
        <v>0</v>
      </c>
      <c r="DW45" s="906">
        <f>DV45/DV36</f>
        <v>0</v>
      </c>
      <c r="DX45" s="1025">
        <f>_xlfn.IFS(DV45=0,0,DW45&lt;=DV45,DW45/DV45,DW45&gt;DV45,1)</f>
        <v>0</v>
      </c>
      <c r="DY45" s="937"/>
      <c r="DZ45" s="1042">
        <v>0</v>
      </c>
      <c r="EA45" s="906">
        <f>DZ45/DZ36</f>
        <v>0</v>
      </c>
      <c r="EB45" s="1025">
        <f>_xlfn.IFS(DZ45=0,0,EA45&lt;=DZ45,EA45/DZ45,EA45&gt;DZ45,1)</f>
        <v>0</v>
      </c>
      <c r="EC45" s="937"/>
      <c r="ED45" s="1042">
        <v>0</v>
      </c>
      <c r="EE45" s="906">
        <f>ED45/ED36</f>
        <v>0</v>
      </c>
      <c r="EF45" s="1025">
        <f>_xlfn.IFS(ED45=0,0,EE45&lt;=ED45,EE45/ED45,EE45&gt;ED45,1)</f>
        <v>0</v>
      </c>
    </row>
    <row r="46" spans="1:136" ht="20" customHeight="1" x14ac:dyDescent="0.15">
      <c r="A46" s="189">
        <f>_xlfn.IFS(B46=0,0,E46&gt;B46,1,E46&lt;=B46,E46/B46)</f>
        <v>0</v>
      </c>
      <c r="B46" s="948"/>
      <c r="C46" s="391" t="str">
        <f>Dashboard!K115</f>
        <v>ZALO</v>
      </c>
      <c r="D46" s="208">
        <f>Dashboard!U115</f>
        <v>0.03</v>
      </c>
      <c r="E46" s="1088">
        <f t="shared" si="306"/>
        <v>0</v>
      </c>
      <c r="F46" s="208">
        <f t="shared" si="307"/>
        <v>0.03</v>
      </c>
      <c r="G46" s="208">
        <f t="shared" si="308"/>
        <v>1</v>
      </c>
      <c r="H46" s="935"/>
      <c r="I46" s="935"/>
      <c r="J46" s="935"/>
      <c r="K46" s="837">
        <f t="shared" si="340"/>
        <v>0.03</v>
      </c>
      <c r="L46" s="883">
        <f t="shared" ca="1" si="341"/>
        <v>0</v>
      </c>
      <c r="M46" s="937"/>
      <c r="N46" s="1042">
        <v>0</v>
      </c>
      <c r="O46" s="906">
        <f>N46/N39</f>
        <v>0</v>
      </c>
      <c r="P46" s="1227">
        <f>_xlfn.IFS(N46=0,0,O46&lt;=N46,O46/N46,O46&gt;N46,1)</f>
        <v>0</v>
      </c>
      <c r="Q46" s="937"/>
      <c r="R46" s="1042">
        <v>0</v>
      </c>
      <c r="S46" s="906">
        <f>R46/R39</f>
        <v>0</v>
      </c>
      <c r="T46" s="1025">
        <f>_xlfn.IFS(R46=0,0,S46&lt;=R46,S46/R46,S46&gt;R46,1)</f>
        <v>0</v>
      </c>
      <c r="U46" s="937"/>
      <c r="V46" s="1042">
        <v>0</v>
      </c>
      <c r="W46" s="906">
        <f>V46/V39</f>
        <v>0</v>
      </c>
      <c r="X46" s="1025">
        <f>_xlfn.IFS(V46=0,0,W46&lt;=V46,W46/V46,W46&gt;V46,1)</f>
        <v>0</v>
      </c>
      <c r="Y46" s="937"/>
      <c r="Z46" s="1042">
        <v>0</v>
      </c>
      <c r="AA46" s="906">
        <f>Z46/Z39</f>
        <v>0</v>
      </c>
      <c r="AB46" s="1025">
        <f>_xlfn.IFS(Z46=0,0,AA46&lt;=Z46,AA46/Z46,AA46&gt;Z46,1)</f>
        <v>0</v>
      </c>
      <c r="AC46" s="937"/>
      <c r="AD46" s="1042">
        <v>0</v>
      </c>
      <c r="AE46" s="906">
        <f>AD46/AD39</f>
        <v>0</v>
      </c>
      <c r="AF46" s="1025">
        <f>_xlfn.IFS(AD46=0,0,AE46&lt;=AD46,AE46/AD46,AE46&gt;AD46,1)</f>
        <v>0</v>
      </c>
      <c r="AG46" s="937"/>
      <c r="AH46" s="1042">
        <v>0</v>
      </c>
      <c r="AI46" s="906">
        <f>AH46/AH39</f>
        <v>0</v>
      </c>
      <c r="AJ46" s="1025">
        <f>_xlfn.IFS(AH46=0,0,AI46&lt;=AH46,AI46/AH46,AI46&gt;AH46,1)</f>
        <v>0</v>
      </c>
      <c r="AK46" s="937"/>
      <c r="AL46" s="1042">
        <v>0</v>
      </c>
      <c r="AM46" s="906">
        <f>AL46/AL39</f>
        <v>0</v>
      </c>
      <c r="AN46" s="1025">
        <f>_xlfn.IFS(AL46=0,0,AM46&lt;=AL46,AM46/AL46,AM46&gt;AL46,1)</f>
        <v>0</v>
      </c>
      <c r="AO46" s="937"/>
      <c r="AP46" s="1042">
        <v>0</v>
      </c>
      <c r="AQ46" s="906">
        <f>AP46/AP39</f>
        <v>0</v>
      </c>
      <c r="AR46" s="1025">
        <f>_xlfn.IFS(AP46=0,0,AQ46&lt;=AP46,AQ46/AP46,AQ46&gt;AP46,1)</f>
        <v>0</v>
      </c>
      <c r="AS46" s="937"/>
      <c r="AT46" s="1042">
        <v>0</v>
      </c>
      <c r="AU46" s="906">
        <f>AT46/AT39</f>
        <v>0</v>
      </c>
      <c r="AV46" s="1025">
        <f>_xlfn.IFS(AT46=0,0,AU46&lt;=AT46,AU46/AT46,AU46&gt;AT46,1)</f>
        <v>0</v>
      </c>
      <c r="AW46" s="937"/>
      <c r="AX46" s="1042">
        <v>0</v>
      </c>
      <c r="AY46" s="906">
        <f>AX46/AX39</f>
        <v>0</v>
      </c>
      <c r="AZ46" s="1025">
        <f>_xlfn.IFS(AX46=0,0,AY46&lt;=AX46,AY46/AX46,AY46&gt;AX46,1)</f>
        <v>0</v>
      </c>
      <c r="BA46" s="937"/>
      <c r="BB46" s="1042">
        <v>0</v>
      </c>
      <c r="BC46" s="906">
        <f>BB46/BB39</f>
        <v>0</v>
      </c>
      <c r="BD46" s="1025">
        <f>_xlfn.IFS(BB46=0,0,BC46&lt;=BB46,BC46/BB46,BC46&gt;BB46,1)</f>
        <v>0</v>
      </c>
      <c r="BE46" s="937"/>
      <c r="BF46" s="1042">
        <v>0</v>
      </c>
      <c r="BG46" s="906">
        <f>BF46/BF39</f>
        <v>0</v>
      </c>
      <c r="BH46" s="1025">
        <f>_xlfn.IFS(BF46=0,0,BG46&lt;=BF46,BG46/BF46,BG46&gt;BF46,1)</f>
        <v>0</v>
      </c>
      <c r="BI46" s="937"/>
      <c r="BJ46" s="1042">
        <v>0</v>
      </c>
      <c r="BK46" s="906">
        <f>BJ46/BJ39</f>
        <v>0</v>
      </c>
      <c r="BL46" s="1025">
        <f>_xlfn.IFS(BJ46=0,0,BK46&lt;=BJ46,BK46/BJ46,BK46&gt;BJ46,1)</f>
        <v>0</v>
      </c>
      <c r="BM46" s="937"/>
      <c r="BN46" s="1042">
        <v>0</v>
      </c>
      <c r="BO46" s="906">
        <f>BN46/BN39</f>
        <v>0</v>
      </c>
      <c r="BP46" s="1025">
        <f>_xlfn.IFS(BN46=0,0,BO46&lt;=BN46,BO46/BN46,BO46&gt;BN46,1)</f>
        <v>0</v>
      </c>
      <c r="BQ46" s="937"/>
      <c r="BR46" s="1042">
        <v>0</v>
      </c>
      <c r="BS46" s="906">
        <f>BR46/BR39</f>
        <v>0</v>
      </c>
      <c r="BT46" s="1025">
        <f>_xlfn.IFS(BR46=0,0,BS46&lt;=BR46,BS46/BR46,BS46&gt;BR46,1)</f>
        <v>0</v>
      </c>
      <c r="BU46" s="937"/>
      <c r="BV46" s="1042">
        <v>0</v>
      </c>
      <c r="BW46" s="906">
        <f>BV46/BV39</f>
        <v>0</v>
      </c>
      <c r="BX46" s="1025">
        <f>_xlfn.IFS(BV46=0,0,BW46&lt;=BV46,BW46/BV46,BW46&gt;BV46,1)</f>
        <v>0</v>
      </c>
      <c r="BY46" s="937"/>
      <c r="BZ46" s="1042">
        <v>0</v>
      </c>
      <c r="CA46" s="906">
        <f>BZ46/BZ39</f>
        <v>0</v>
      </c>
      <c r="CB46" s="1025">
        <f>_xlfn.IFS(BZ46=0,0,CA46&lt;=BZ46,CA46/BZ46,CA46&gt;BZ46,1)</f>
        <v>0</v>
      </c>
      <c r="CC46" s="937"/>
      <c r="CD46" s="1042">
        <v>0</v>
      </c>
      <c r="CE46" s="906">
        <f>CD46/CD39</f>
        <v>0</v>
      </c>
      <c r="CF46" s="1025">
        <f>_xlfn.IFS(CD46=0,0,CE46&lt;=CD46,CE46/CD46,CE46&gt;CD46,1)</f>
        <v>0</v>
      </c>
      <c r="CG46" s="937"/>
      <c r="CH46" s="1042">
        <v>0</v>
      </c>
      <c r="CI46" s="906">
        <f>CH46/CH39</f>
        <v>0</v>
      </c>
      <c r="CJ46" s="1025">
        <f>_xlfn.IFS(CH46=0,0,CI46&lt;=CH46,CI46/CH46,CI46&gt;CH46,1)</f>
        <v>0</v>
      </c>
      <c r="CK46" s="937"/>
      <c r="CL46" s="1042">
        <v>0</v>
      </c>
      <c r="CM46" s="906">
        <f>CL46/CL39</f>
        <v>0</v>
      </c>
      <c r="CN46" s="1025">
        <f>_xlfn.IFS(CL46=0,0,CM46&lt;=CL46,CM46/CL46,CM46&gt;CL46,1)</f>
        <v>0</v>
      </c>
      <c r="CO46" s="937"/>
      <c r="CP46" s="1042">
        <v>0</v>
      </c>
      <c r="CQ46" s="906">
        <f>CP46/CP39</f>
        <v>0</v>
      </c>
      <c r="CR46" s="1025">
        <f>_xlfn.IFS(CP46=0,0,CQ46&lt;=CP46,CQ46/CP46,CQ46&gt;CP46,1)</f>
        <v>0</v>
      </c>
      <c r="CS46" s="937"/>
      <c r="CT46" s="1042">
        <v>0</v>
      </c>
      <c r="CU46" s="906">
        <f>CT46/CT39</f>
        <v>0</v>
      </c>
      <c r="CV46" s="1025">
        <f>_xlfn.IFS(CT46=0,0,CU46&lt;=CT46,CU46/CT46,CU46&gt;CT46,1)</f>
        <v>0</v>
      </c>
      <c r="CW46" s="937"/>
      <c r="CX46" s="1042">
        <v>0</v>
      </c>
      <c r="CY46" s="906">
        <f>CX46/CX39</f>
        <v>0</v>
      </c>
      <c r="CZ46" s="1025">
        <f>_xlfn.IFS(CX46=0,0,CY46&lt;=CX46,CY46/CX46,CY46&gt;CX46,1)</f>
        <v>0</v>
      </c>
      <c r="DA46" s="937"/>
      <c r="DB46" s="1042">
        <v>0</v>
      </c>
      <c r="DC46" s="906">
        <f>DB46/DB39</f>
        <v>0</v>
      </c>
      <c r="DD46" s="1025">
        <f>_xlfn.IFS(DB46=0,0,DC46&lt;=DB46,DC46/DB46,DC46&gt;DB46,1)</f>
        <v>0</v>
      </c>
      <c r="DE46" s="937"/>
      <c r="DF46" s="1042">
        <v>0</v>
      </c>
      <c r="DG46" s="906">
        <f>DF46/DF39</f>
        <v>0</v>
      </c>
      <c r="DH46" s="1025">
        <f>_xlfn.IFS(DF46=0,0,DG46&lt;=DF46,DG46/DF46,DG46&gt;DF46,1)</f>
        <v>0</v>
      </c>
      <c r="DI46" s="937"/>
      <c r="DJ46" s="1042">
        <v>0</v>
      </c>
      <c r="DK46" s="906">
        <f>DJ46/DJ39</f>
        <v>0</v>
      </c>
      <c r="DL46" s="1025">
        <f>_xlfn.IFS(DJ46=0,0,DK46&lt;=DJ46,DK46/DJ46,DK46&gt;DJ46,1)</f>
        <v>0</v>
      </c>
      <c r="DM46" s="937"/>
      <c r="DN46" s="1042">
        <v>0</v>
      </c>
      <c r="DO46" s="906">
        <f>DN46/DN39</f>
        <v>0</v>
      </c>
      <c r="DP46" s="1025">
        <f>_xlfn.IFS(DN46=0,0,DO46&lt;=DN46,DO46/DN46,DO46&gt;DN46,1)</f>
        <v>0</v>
      </c>
      <c r="DQ46" s="937"/>
      <c r="DR46" s="1042">
        <v>0</v>
      </c>
      <c r="DS46" s="906">
        <f>DR46/DR39</f>
        <v>0</v>
      </c>
      <c r="DT46" s="1025">
        <f>_xlfn.IFS(DR46=0,0,DS46&lt;=DR46,DS46/DR46,DS46&gt;DR46,1)</f>
        <v>0</v>
      </c>
      <c r="DU46" s="937"/>
      <c r="DV46" s="1042">
        <v>0</v>
      </c>
      <c r="DW46" s="906">
        <f>DV46/DV39</f>
        <v>0</v>
      </c>
      <c r="DX46" s="1025">
        <f>_xlfn.IFS(DV46=0,0,DW46&lt;=DV46,DW46/DV46,DW46&gt;DV46,1)</f>
        <v>0</v>
      </c>
      <c r="DY46" s="937"/>
      <c r="DZ46" s="1042">
        <v>0</v>
      </c>
      <c r="EA46" s="906">
        <f>DZ46/DZ39</f>
        <v>0</v>
      </c>
      <c r="EB46" s="1025">
        <f>_xlfn.IFS(DZ46=0,0,EA46&lt;=DZ46,EA46/DZ46,EA46&gt;DZ46,1)</f>
        <v>0</v>
      </c>
      <c r="EC46" s="937"/>
      <c r="ED46" s="1042">
        <v>0</v>
      </c>
      <c r="EE46" s="906">
        <f>ED46/ED39</f>
        <v>0</v>
      </c>
      <c r="EF46" s="1025">
        <f>_xlfn.IFS(ED46=0,0,EE46&lt;=ED46,EE46/ED46,EE46&gt;ED46,1)</f>
        <v>0</v>
      </c>
    </row>
    <row r="47" spans="1:136" ht="20" customHeight="1" x14ac:dyDescent="0.15">
      <c r="A47" s="870">
        <f>_xlfn.IFS(B47=0,0,E47&gt;B47,1,E47&lt;=B47,E47/B47)</f>
        <v>0</v>
      </c>
      <c r="B47" s="790"/>
      <c r="C47" s="831" t="str">
        <f>Dashboard!K123</f>
        <v>REPEAT PURCHASE RATE</v>
      </c>
      <c r="D47" s="789">
        <f>Dashboard!U123</f>
        <v>0.03</v>
      </c>
      <c r="E47" s="857">
        <f>AVERAGE(SUMIF($M$13:$EF$13,$M$13,$M47:$EF47))/100</f>
        <v>0.65</v>
      </c>
      <c r="F47" s="789">
        <f>E47-D47</f>
        <v>0.62</v>
      </c>
      <c r="G47" s="789">
        <f>_xlfn.IFS(F47&gt;0,1,F47&lt;=0,E47/D47)</f>
        <v>1</v>
      </c>
      <c r="H47" s="935"/>
      <c r="I47" s="935"/>
      <c r="J47" s="935"/>
      <c r="K47" s="831">
        <f>D47</f>
        <v>0.03</v>
      </c>
      <c r="L47" s="945">
        <f ca="1">SUMIFS($M47:$EF47,$M$11:$EF$11,TODAY(),$M$13:$EF$13,$M$13)</f>
        <v>0</v>
      </c>
      <c r="M47" s="1111">
        <v>5</v>
      </c>
      <c r="N47" s="856"/>
      <c r="O47" s="857"/>
      <c r="P47" s="938">
        <f>_xlfn.IFS(P19=0,0,P39&lt;=P19,P39/P19,P39&gt;P19,1)</f>
        <v>9.375E-2</v>
      </c>
      <c r="Q47" s="1111">
        <v>2</v>
      </c>
      <c r="R47" s="856"/>
      <c r="S47" s="857"/>
      <c r="T47" s="938">
        <f>_xlfn.IFS(T19=0,0,T39&lt;=T19,T39/T19,T39&gt;T19,1)</f>
        <v>9.375E-2</v>
      </c>
      <c r="U47" s="1111">
        <v>2</v>
      </c>
      <c r="V47" s="856"/>
      <c r="W47" s="857"/>
      <c r="X47" s="938">
        <f>_xlfn.IFS(X19=0,0,X39&lt;=X19,X39/X19,X39&gt;X19,1)</f>
        <v>9.375E-2</v>
      </c>
      <c r="Y47" s="1111">
        <v>2</v>
      </c>
      <c r="Z47" s="856"/>
      <c r="AA47" s="857"/>
      <c r="AB47" s="938">
        <f>_xlfn.IFS(AB19=0,0,AB39&lt;=AB19,AB39/AB19,AB39&gt;AB19,1)</f>
        <v>9.375E-2</v>
      </c>
      <c r="AC47" s="1111">
        <v>2</v>
      </c>
      <c r="AD47" s="856"/>
      <c r="AE47" s="857"/>
      <c r="AF47" s="938">
        <f>_xlfn.IFS(AF19=0,0,AF39&lt;=AF19,AF39/AF19,AF39&gt;AF19,1)</f>
        <v>9.375E-2</v>
      </c>
      <c r="AG47" s="1111">
        <v>2</v>
      </c>
      <c r="AH47" s="856"/>
      <c r="AI47" s="857"/>
      <c r="AJ47" s="938">
        <f>_xlfn.IFS(AJ19=0,0,AJ39&lt;=AJ19,AJ39/AJ19,AJ39&gt;AJ19,1)</f>
        <v>9.375E-2</v>
      </c>
      <c r="AK47" s="1111">
        <v>2</v>
      </c>
      <c r="AL47" s="856"/>
      <c r="AM47" s="857"/>
      <c r="AN47" s="938">
        <f>_xlfn.IFS(AN19=0,0,AN39&lt;=AN19,AN39/AN19,AN39&gt;AN19,1)</f>
        <v>9.375E-2</v>
      </c>
      <c r="AO47" s="1111">
        <v>2</v>
      </c>
      <c r="AP47" s="856"/>
      <c r="AQ47" s="857"/>
      <c r="AR47" s="938">
        <f>_xlfn.IFS(AR19=0,0,AR39&lt;=AR19,AR39/AR19,AR39&gt;AR19,1)</f>
        <v>9.375E-2</v>
      </c>
      <c r="AS47" s="1111">
        <v>2</v>
      </c>
      <c r="AT47" s="856"/>
      <c r="AU47" s="857"/>
      <c r="AV47" s="938">
        <f>_xlfn.IFS(AV19=0,0,AV39&lt;=AV19,AV39/AV19,AV39&gt;AV19,1)</f>
        <v>9.375E-2</v>
      </c>
      <c r="AW47" s="1111">
        <v>2</v>
      </c>
      <c r="AX47" s="856"/>
      <c r="AY47" s="857"/>
      <c r="AZ47" s="938">
        <f>_xlfn.IFS(AZ19=0,0,AZ39&lt;=AZ19,AZ39/AZ19,AZ39&gt;AZ19,1)</f>
        <v>9.375E-2</v>
      </c>
      <c r="BA47" s="1111">
        <v>2</v>
      </c>
      <c r="BB47" s="856"/>
      <c r="BC47" s="857"/>
      <c r="BD47" s="938">
        <f>_xlfn.IFS(BD19=0,0,BD39&lt;=BD19,BD39/BD19,BD39&gt;BD19,1)</f>
        <v>9.375E-2</v>
      </c>
      <c r="BE47" s="1111">
        <v>2</v>
      </c>
      <c r="BF47" s="856"/>
      <c r="BG47" s="857"/>
      <c r="BH47" s="938">
        <f>_xlfn.IFS(BH19=0,0,BH39&lt;=BH19,BH39/BH19,BH39&gt;BH19,1)</f>
        <v>9.375E-2</v>
      </c>
      <c r="BI47" s="1111">
        <v>2</v>
      </c>
      <c r="BJ47" s="856"/>
      <c r="BK47" s="857"/>
      <c r="BL47" s="938">
        <f>_xlfn.IFS(BL19=0,0,BL39&lt;=BL19,BL39/BL19,BL39&gt;BL19,1)</f>
        <v>9.375E-2</v>
      </c>
      <c r="BM47" s="1111">
        <v>2</v>
      </c>
      <c r="BN47" s="856"/>
      <c r="BO47" s="857"/>
      <c r="BP47" s="938">
        <f>_xlfn.IFS(BP19=0,0,BP39&lt;=BP19,BP39/BP19,BP39&gt;BP19,1)</f>
        <v>9.375E-2</v>
      </c>
      <c r="BQ47" s="1111">
        <v>2</v>
      </c>
      <c r="BR47" s="856"/>
      <c r="BS47" s="857"/>
      <c r="BT47" s="938">
        <f>_xlfn.IFS(BT19=0,0,BT39&lt;=BT19,BT39/BT19,BT39&gt;BT19,1)</f>
        <v>9.375E-2</v>
      </c>
      <c r="BU47" s="1111">
        <v>2</v>
      </c>
      <c r="BV47" s="856"/>
      <c r="BW47" s="857"/>
      <c r="BX47" s="938">
        <f>_xlfn.IFS(BX19=0,0,BX39&lt;=BX19,BX39/BX19,BX39&gt;BX19,1)</f>
        <v>9.375E-2</v>
      </c>
      <c r="BY47" s="1111">
        <v>2</v>
      </c>
      <c r="BZ47" s="856"/>
      <c r="CA47" s="857"/>
      <c r="CB47" s="938">
        <f>_xlfn.IFS(CB19=0,0,CB39&lt;=CB19,CB39/CB19,CB39&gt;CB19,1)</f>
        <v>9.375E-2</v>
      </c>
      <c r="CC47" s="1111">
        <v>2</v>
      </c>
      <c r="CD47" s="856"/>
      <c r="CE47" s="857"/>
      <c r="CF47" s="938">
        <f>_xlfn.IFS(CF19=0,0,CF39&lt;=CF19,CF39/CF19,CF39&gt;CF19,1)</f>
        <v>9.375E-2</v>
      </c>
      <c r="CG47" s="1111">
        <v>2</v>
      </c>
      <c r="CH47" s="856"/>
      <c r="CI47" s="857"/>
      <c r="CJ47" s="938">
        <f>_xlfn.IFS(CJ19=0,0,CJ39&lt;=CJ19,CJ39/CJ19,CJ39&gt;CJ19,1)</f>
        <v>9.375E-2</v>
      </c>
      <c r="CK47" s="1111">
        <v>2</v>
      </c>
      <c r="CL47" s="856"/>
      <c r="CM47" s="857"/>
      <c r="CN47" s="938">
        <f>_xlfn.IFS(CN19=0,0,CN39&lt;=CN19,CN39/CN19,CN39&gt;CN19,1)</f>
        <v>9.375E-2</v>
      </c>
      <c r="CO47" s="1111">
        <v>2</v>
      </c>
      <c r="CP47" s="856"/>
      <c r="CQ47" s="857"/>
      <c r="CR47" s="938">
        <f>_xlfn.IFS(CR19=0,0,CR39&lt;=CR19,CR39/CR19,CR39&gt;CR19,1)</f>
        <v>9.375E-2</v>
      </c>
      <c r="CS47" s="1111">
        <v>2</v>
      </c>
      <c r="CT47" s="856"/>
      <c r="CU47" s="857"/>
      <c r="CV47" s="938">
        <f>_xlfn.IFS(CV19=0,0,CV39&lt;=CV19,CV39/CV19,CV39&gt;CV19,1)</f>
        <v>9.375E-2</v>
      </c>
      <c r="CW47" s="1111">
        <v>2</v>
      </c>
      <c r="CX47" s="856"/>
      <c r="CY47" s="857"/>
      <c r="CZ47" s="938">
        <f>_xlfn.IFS(CZ19=0,0,CZ39&lt;=CZ19,CZ39/CZ19,CZ39&gt;CZ19,1)</f>
        <v>9.375E-2</v>
      </c>
      <c r="DA47" s="1111">
        <v>2</v>
      </c>
      <c r="DB47" s="856"/>
      <c r="DC47" s="857"/>
      <c r="DD47" s="938">
        <f>_xlfn.IFS(DD19=0,0,DD39&lt;=DD19,DD39/DD19,DD39&gt;DD19,1)</f>
        <v>9.375E-2</v>
      </c>
      <c r="DE47" s="1111">
        <v>2</v>
      </c>
      <c r="DF47" s="856"/>
      <c r="DG47" s="857"/>
      <c r="DH47" s="938">
        <f>_xlfn.IFS(DH19=0,0,DH39&lt;=DH19,DH39/DH19,DH39&gt;DH19,1)</f>
        <v>9.375E-2</v>
      </c>
      <c r="DI47" s="1111">
        <v>2</v>
      </c>
      <c r="DJ47" s="856"/>
      <c r="DK47" s="857"/>
      <c r="DL47" s="938">
        <f>_xlfn.IFS(DL19=0,0,DL39&lt;=DL19,DL39/DL19,DL39&gt;DL19,1)</f>
        <v>9.375E-2</v>
      </c>
      <c r="DM47" s="1111">
        <v>2</v>
      </c>
      <c r="DN47" s="856"/>
      <c r="DO47" s="857"/>
      <c r="DP47" s="938">
        <f>_xlfn.IFS(DP19=0,0,DP39&lt;=DP19,DP39/DP19,DP39&gt;DP19,1)</f>
        <v>9.375E-2</v>
      </c>
      <c r="DQ47" s="1111">
        <v>2</v>
      </c>
      <c r="DR47" s="856"/>
      <c r="DS47" s="857"/>
      <c r="DT47" s="938">
        <f>_xlfn.IFS(DT19=0,0,DT39&lt;=DT19,DT39/DT19,DT39&gt;DT19,1)</f>
        <v>9.375E-2</v>
      </c>
      <c r="DU47" s="1111">
        <v>2</v>
      </c>
      <c r="DV47" s="856"/>
      <c r="DW47" s="857"/>
      <c r="DX47" s="938">
        <f>_xlfn.IFS(DX19=0,0,DX39&lt;=DX19,DX39/DX19,DX39&gt;DX19,1)</f>
        <v>9.375E-2</v>
      </c>
      <c r="DY47" s="1111">
        <v>2</v>
      </c>
      <c r="DZ47" s="856"/>
      <c r="EA47" s="857"/>
      <c r="EB47" s="938">
        <f>_xlfn.IFS(EB19=0,0,EB39&lt;=EB19,EB39/EB19,EB39&gt;EB19,1)</f>
        <v>9.375E-2</v>
      </c>
      <c r="EC47" s="1111">
        <v>2</v>
      </c>
      <c r="ED47" s="856"/>
      <c r="EE47" s="857"/>
      <c r="EF47" s="938">
        <f>_xlfn.IFS(EF19=0,0,EF39&lt;=EF19,EF39/EF19,EF39&gt;EF19,1)</f>
        <v>9.375E-2</v>
      </c>
    </row>
    <row r="48" spans="1:136" ht="20" customHeight="1" x14ac:dyDescent="0.15">
      <c r="A48" s="861" t="s">
        <v>205</v>
      </c>
      <c r="B48" s="862" t="s">
        <v>204</v>
      </c>
      <c r="C48" s="23"/>
      <c r="D48" s="838"/>
      <c r="E48" s="838"/>
      <c r="F48" s="838"/>
      <c r="G48" s="838"/>
      <c r="H48" s="966"/>
      <c r="I48" s="966"/>
      <c r="J48" s="966"/>
      <c r="K48" s="839"/>
      <c r="L48" s="884"/>
      <c r="M48" s="888"/>
      <c r="N48" s="835"/>
      <c r="O48" s="907" t="s">
        <v>30</v>
      </c>
      <c r="P48" s="908">
        <f>P50-$K$19</f>
        <v>-1769230.769230769</v>
      </c>
      <c r="Q48" s="888"/>
      <c r="R48" s="835"/>
      <c r="S48" s="907" t="s">
        <v>30</v>
      </c>
      <c r="T48" s="908">
        <f>T50-$K$19</f>
        <v>-1769230.769230769</v>
      </c>
      <c r="U48" s="888"/>
      <c r="V48" s="835"/>
      <c r="W48" s="907" t="s">
        <v>30</v>
      </c>
      <c r="X48" s="908">
        <f>X50-$K$19</f>
        <v>-1769230.769230769</v>
      </c>
      <c r="Y48" s="888"/>
      <c r="Z48" s="835"/>
      <c r="AA48" s="907" t="s">
        <v>30</v>
      </c>
      <c r="AB48" s="908">
        <f>AB50-$K$19</f>
        <v>-1769230.769230769</v>
      </c>
      <c r="AC48" s="888"/>
      <c r="AD48" s="835"/>
      <c r="AE48" s="907" t="s">
        <v>30</v>
      </c>
      <c r="AF48" s="908">
        <f>AF50-$K$19</f>
        <v>-1769230.769230769</v>
      </c>
      <c r="AG48" s="888"/>
      <c r="AH48" s="835"/>
      <c r="AI48" s="907" t="s">
        <v>30</v>
      </c>
      <c r="AJ48" s="908">
        <f>AJ50-$K$19</f>
        <v>-1769230.769230769</v>
      </c>
      <c r="AK48" s="888"/>
      <c r="AL48" s="835"/>
      <c r="AM48" s="907" t="s">
        <v>30</v>
      </c>
      <c r="AN48" s="908">
        <f>AN50-$K$19</f>
        <v>-1769230.769230769</v>
      </c>
      <c r="AO48" s="888"/>
      <c r="AP48" s="835"/>
      <c r="AQ48" s="907" t="s">
        <v>30</v>
      </c>
      <c r="AR48" s="908">
        <f>AR50-$K$19</f>
        <v>-1769230.769230769</v>
      </c>
      <c r="AS48" s="888"/>
      <c r="AT48" s="835"/>
      <c r="AU48" s="907" t="s">
        <v>30</v>
      </c>
      <c r="AV48" s="908">
        <f>AV50-$K$19</f>
        <v>-1769230.769230769</v>
      </c>
      <c r="AW48" s="888"/>
      <c r="AX48" s="835"/>
      <c r="AY48" s="907" t="s">
        <v>30</v>
      </c>
      <c r="AZ48" s="908">
        <f>AZ50-$K$19</f>
        <v>-1769230.769230769</v>
      </c>
      <c r="BA48" s="888"/>
      <c r="BB48" s="835"/>
      <c r="BC48" s="907" t="s">
        <v>30</v>
      </c>
      <c r="BD48" s="908">
        <f>BD50-$K$19</f>
        <v>-1769230.769230769</v>
      </c>
      <c r="BE48" s="888"/>
      <c r="BF48" s="835"/>
      <c r="BG48" s="907" t="s">
        <v>30</v>
      </c>
      <c r="BH48" s="908">
        <f>BH50-$K$19</f>
        <v>-1769230.769230769</v>
      </c>
      <c r="BI48" s="888"/>
      <c r="BJ48" s="835"/>
      <c r="BK48" s="907" t="s">
        <v>30</v>
      </c>
      <c r="BL48" s="908">
        <f>BL50-$K$19</f>
        <v>-1769230.769230769</v>
      </c>
      <c r="BM48" s="888"/>
      <c r="BN48" s="835"/>
      <c r="BO48" s="907" t="s">
        <v>30</v>
      </c>
      <c r="BP48" s="908">
        <f>BP50-$K$19</f>
        <v>-1769230.769230769</v>
      </c>
      <c r="BQ48" s="888"/>
      <c r="BR48" s="835"/>
      <c r="BS48" s="907" t="s">
        <v>30</v>
      </c>
      <c r="BT48" s="908">
        <f>BT50-$K$19</f>
        <v>-1769230.769230769</v>
      </c>
      <c r="BU48" s="888"/>
      <c r="BV48" s="835"/>
      <c r="BW48" s="907" t="s">
        <v>30</v>
      </c>
      <c r="BX48" s="908">
        <f>BX50-$K$19</f>
        <v>-1769230.769230769</v>
      </c>
      <c r="BY48" s="888"/>
      <c r="BZ48" s="835"/>
      <c r="CA48" s="907" t="s">
        <v>30</v>
      </c>
      <c r="CB48" s="908">
        <f>CB50-$K$19</f>
        <v>-1769230.769230769</v>
      </c>
      <c r="CC48" s="888"/>
      <c r="CD48" s="835"/>
      <c r="CE48" s="907" t="s">
        <v>30</v>
      </c>
      <c r="CF48" s="908">
        <f>CF50-$K$19</f>
        <v>-1769230.769230769</v>
      </c>
      <c r="CG48" s="888"/>
      <c r="CH48" s="835"/>
      <c r="CI48" s="907" t="s">
        <v>30</v>
      </c>
      <c r="CJ48" s="908">
        <f>CJ50-$K$19</f>
        <v>-1769230.769230769</v>
      </c>
      <c r="CK48" s="888"/>
      <c r="CL48" s="835"/>
      <c r="CM48" s="907" t="s">
        <v>30</v>
      </c>
      <c r="CN48" s="908">
        <f>CN50-$K$19</f>
        <v>-1769230.769230769</v>
      </c>
      <c r="CO48" s="888"/>
      <c r="CP48" s="835"/>
      <c r="CQ48" s="907" t="s">
        <v>30</v>
      </c>
      <c r="CR48" s="908">
        <f>CR50-$K$19</f>
        <v>-1769230.769230769</v>
      </c>
      <c r="CS48" s="888"/>
      <c r="CT48" s="835"/>
      <c r="CU48" s="907" t="s">
        <v>30</v>
      </c>
      <c r="CV48" s="908">
        <f>CV50-$K$19</f>
        <v>-1769230.769230769</v>
      </c>
      <c r="CW48" s="888"/>
      <c r="CX48" s="835"/>
      <c r="CY48" s="907" t="s">
        <v>30</v>
      </c>
      <c r="CZ48" s="908">
        <f>CZ50-$K$19</f>
        <v>-1769230.769230769</v>
      </c>
      <c r="DA48" s="888"/>
      <c r="DB48" s="835"/>
      <c r="DC48" s="907" t="s">
        <v>30</v>
      </c>
      <c r="DD48" s="908">
        <f>DD50-$K$19</f>
        <v>-1769230.769230769</v>
      </c>
      <c r="DE48" s="888"/>
      <c r="DF48" s="835"/>
      <c r="DG48" s="907" t="s">
        <v>30</v>
      </c>
      <c r="DH48" s="908">
        <f>DH50-$K$19</f>
        <v>-1769230.769230769</v>
      </c>
      <c r="DI48" s="888"/>
      <c r="DJ48" s="835"/>
      <c r="DK48" s="907" t="s">
        <v>30</v>
      </c>
      <c r="DL48" s="908">
        <f>DL50-$K$19</f>
        <v>-1769230.769230769</v>
      </c>
      <c r="DM48" s="888"/>
      <c r="DN48" s="835"/>
      <c r="DO48" s="907" t="s">
        <v>30</v>
      </c>
      <c r="DP48" s="908">
        <f>DP50-$K$19</f>
        <v>-1769230.769230769</v>
      </c>
      <c r="DQ48" s="888"/>
      <c r="DR48" s="835"/>
      <c r="DS48" s="907" t="s">
        <v>30</v>
      </c>
      <c r="DT48" s="908">
        <f>DT50-$K$19</f>
        <v>-1769230.769230769</v>
      </c>
      <c r="DU48" s="888"/>
      <c r="DV48" s="835"/>
      <c r="DW48" s="907" t="s">
        <v>30</v>
      </c>
      <c r="DX48" s="908">
        <f>DX50-$K$19</f>
        <v>-1769230.769230769</v>
      </c>
      <c r="DY48" s="888"/>
      <c r="DZ48" s="835"/>
      <c r="EA48" s="907" t="s">
        <v>30</v>
      </c>
      <c r="EB48" s="908">
        <f>EB50-$K$19</f>
        <v>-1769230.769230769</v>
      </c>
      <c r="EC48" s="888"/>
      <c r="ED48" s="835"/>
      <c r="EE48" s="907" t="s">
        <v>30</v>
      </c>
      <c r="EF48" s="908">
        <f>EF50-$K$19</f>
        <v>-1769230.769230769</v>
      </c>
    </row>
    <row r="49" spans="1:137" ht="20" customHeight="1" x14ac:dyDescent="0.15">
      <c r="A49" s="792" t="s">
        <v>206</v>
      </c>
      <c r="B49" s="792" t="s">
        <v>207</v>
      </c>
      <c r="C49" s="793" t="s">
        <v>208</v>
      </c>
      <c r="D49" s="794" t="s">
        <v>64</v>
      </c>
      <c r="E49" s="794" t="s">
        <v>13</v>
      </c>
      <c r="F49" s="794" t="s">
        <v>201</v>
      </c>
      <c r="G49" s="794" t="s">
        <v>109</v>
      </c>
      <c r="H49" s="792" t="s">
        <v>207</v>
      </c>
      <c r="I49" s="793" t="s">
        <v>208</v>
      </c>
      <c r="J49" s="794" t="s">
        <v>64</v>
      </c>
      <c r="K49" s="794" t="s">
        <v>13</v>
      </c>
      <c r="L49" s="885" t="s">
        <v>201</v>
      </c>
      <c r="M49" s="914" t="s">
        <v>207</v>
      </c>
      <c r="N49" s="794" t="s">
        <v>64</v>
      </c>
      <c r="O49" s="794" t="s">
        <v>13</v>
      </c>
      <c r="P49" s="885" t="s">
        <v>201</v>
      </c>
      <c r="Q49" s="914" t="s">
        <v>207</v>
      </c>
      <c r="R49" s="794" t="s">
        <v>64</v>
      </c>
      <c r="S49" s="794" t="s">
        <v>13</v>
      </c>
      <c r="T49" s="885" t="s">
        <v>201</v>
      </c>
      <c r="U49" s="914" t="s">
        <v>207</v>
      </c>
      <c r="V49" s="794" t="s">
        <v>64</v>
      </c>
      <c r="W49" s="794" t="s">
        <v>13</v>
      </c>
      <c r="X49" s="885" t="s">
        <v>201</v>
      </c>
      <c r="Y49" s="914" t="s">
        <v>207</v>
      </c>
      <c r="Z49" s="794" t="s">
        <v>64</v>
      </c>
      <c r="AA49" s="794" t="s">
        <v>13</v>
      </c>
      <c r="AB49" s="885" t="s">
        <v>201</v>
      </c>
      <c r="AC49" s="914" t="s">
        <v>207</v>
      </c>
      <c r="AD49" s="794" t="s">
        <v>64</v>
      </c>
      <c r="AE49" s="794" t="s">
        <v>13</v>
      </c>
      <c r="AF49" s="885" t="s">
        <v>201</v>
      </c>
      <c r="AG49" s="914" t="s">
        <v>207</v>
      </c>
      <c r="AH49" s="794" t="s">
        <v>64</v>
      </c>
      <c r="AI49" s="794" t="s">
        <v>13</v>
      </c>
      <c r="AJ49" s="885" t="s">
        <v>201</v>
      </c>
      <c r="AK49" s="914" t="s">
        <v>207</v>
      </c>
      <c r="AL49" s="794" t="s">
        <v>64</v>
      </c>
      <c r="AM49" s="794" t="s">
        <v>13</v>
      </c>
      <c r="AN49" s="885" t="s">
        <v>201</v>
      </c>
      <c r="AO49" s="914" t="s">
        <v>207</v>
      </c>
      <c r="AP49" s="794" t="s">
        <v>64</v>
      </c>
      <c r="AQ49" s="794" t="s">
        <v>13</v>
      </c>
      <c r="AR49" s="885" t="s">
        <v>201</v>
      </c>
      <c r="AS49" s="914" t="s">
        <v>207</v>
      </c>
      <c r="AT49" s="794" t="s">
        <v>64</v>
      </c>
      <c r="AU49" s="794" t="s">
        <v>13</v>
      </c>
      <c r="AV49" s="885" t="s">
        <v>201</v>
      </c>
      <c r="AW49" s="914" t="s">
        <v>207</v>
      </c>
      <c r="AX49" s="794" t="s">
        <v>64</v>
      </c>
      <c r="AY49" s="794" t="s">
        <v>13</v>
      </c>
      <c r="AZ49" s="885" t="s">
        <v>201</v>
      </c>
      <c r="BA49" s="914" t="s">
        <v>207</v>
      </c>
      <c r="BB49" s="794" t="s">
        <v>64</v>
      </c>
      <c r="BC49" s="794" t="s">
        <v>13</v>
      </c>
      <c r="BD49" s="885" t="s">
        <v>201</v>
      </c>
      <c r="BE49" s="914" t="s">
        <v>207</v>
      </c>
      <c r="BF49" s="794" t="s">
        <v>64</v>
      </c>
      <c r="BG49" s="794" t="s">
        <v>13</v>
      </c>
      <c r="BH49" s="885" t="s">
        <v>201</v>
      </c>
      <c r="BI49" s="914" t="s">
        <v>207</v>
      </c>
      <c r="BJ49" s="794" t="s">
        <v>64</v>
      </c>
      <c r="BK49" s="794" t="s">
        <v>13</v>
      </c>
      <c r="BL49" s="885" t="s">
        <v>201</v>
      </c>
      <c r="BM49" s="914" t="s">
        <v>207</v>
      </c>
      <c r="BN49" s="794" t="s">
        <v>64</v>
      </c>
      <c r="BO49" s="794" t="s">
        <v>13</v>
      </c>
      <c r="BP49" s="885" t="s">
        <v>201</v>
      </c>
      <c r="BQ49" s="914" t="s">
        <v>207</v>
      </c>
      <c r="BR49" s="794" t="s">
        <v>64</v>
      </c>
      <c r="BS49" s="794" t="s">
        <v>13</v>
      </c>
      <c r="BT49" s="885" t="s">
        <v>201</v>
      </c>
      <c r="BU49" s="914" t="s">
        <v>207</v>
      </c>
      <c r="BV49" s="794" t="s">
        <v>64</v>
      </c>
      <c r="BW49" s="794" t="s">
        <v>13</v>
      </c>
      <c r="BX49" s="885" t="s">
        <v>201</v>
      </c>
      <c r="BY49" s="914" t="s">
        <v>207</v>
      </c>
      <c r="BZ49" s="794" t="s">
        <v>64</v>
      </c>
      <c r="CA49" s="794" t="s">
        <v>13</v>
      </c>
      <c r="CB49" s="885" t="s">
        <v>201</v>
      </c>
      <c r="CC49" s="914" t="s">
        <v>207</v>
      </c>
      <c r="CD49" s="794" t="s">
        <v>64</v>
      </c>
      <c r="CE49" s="794" t="s">
        <v>13</v>
      </c>
      <c r="CF49" s="885" t="s">
        <v>201</v>
      </c>
      <c r="CG49" s="914" t="s">
        <v>207</v>
      </c>
      <c r="CH49" s="794" t="s">
        <v>64</v>
      </c>
      <c r="CI49" s="794" t="s">
        <v>13</v>
      </c>
      <c r="CJ49" s="885" t="s">
        <v>201</v>
      </c>
      <c r="CK49" s="914" t="s">
        <v>207</v>
      </c>
      <c r="CL49" s="794" t="s">
        <v>64</v>
      </c>
      <c r="CM49" s="794" t="s">
        <v>13</v>
      </c>
      <c r="CN49" s="885" t="s">
        <v>201</v>
      </c>
      <c r="CO49" s="914" t="s">
        <v>207</v>
      </c>
      <c r="CP49" s="794" t="s">
        <v>64</v>
      </c>
      <c r="CQ49" s="794" t="s">
        <v>13</v>
      </c>
      <c r="CR49" s="885" t="s">
        <v>201</v>
      </c>
      <c r="CS49" s="914" t="s">
        <v>207</v>
      </c>
      <c r="CT49" s="794" t="s">
        <v>64</v>
      </c>
      <c r="CU49" s="794" t="s">
        <v>13</v>
      </c>
      <c r="CV49" s="885" t="s">
        <v>201</v>
      </c>
      <c r="CW49" s="914" t="s">
        <v>207</v>
      </c>
      <c r="CX49" s="794" t="s">
        <v>64</v>
      </c>
      <c r="CY49" s="794" t="s">
        <v>13</v>
      </c>
      <c r="CZ49" s="885" t="s">
        <v>201</v>
      </c>
      <c r="DA49" s="914" t="s">
        <v>207</v>
      </c>
      <c r="DB49" s="794" t="s">
        <v>64</v>
      </c>
      <c r="DC49" s="794" t="s">
        <v>13</v>
      </c>
      <c r="DD49" s="885" t="s">
        <v>201</v>
      </c>
      <c r="DE49" s="914" t="s">
        <v>207</v>
      </c>
      <c r="DF49" s="794" t="s">
        <v>64</v>
      </c>
      <c r="DG49" s="794" t="s">
        <v>13</v>
      </c>
      <c r="DH49" s="885" t="s">
        <v>201</v>
      </c>
      <c r="DI49" s="914" t="s">
        <v>207</v>
      </c>
      <c r="DJ49" s="794" t="s">
        <v>64</v>
      </c>
      <c r="DK49" s="794" t="s">
        <v>13</v>
      </c>
      <c r="DL49" s="885" t="s">
        <v>201</v>
      </c>
      <c r="DM49" s="914" t="s">
        <v>207</v>
      </c>
      <c r="DN49" s="794" t="s">
        <v>64</v>
      </c>
      <c r="DO49" s="794" t="s">
        <v>13</v>
      </c>
      <c r="DP49" s="885" t="s">
        <v>201</v>
      </c>
      <c r="DQ49" s="914" t="s">
        <v>207</v>
      </c>
      <c r="DR49" s="794" t="s">
        <v>64</v>
      </c>
      <c r="DS49" s="794" t="s">
        <v>13</v>
      </c>
      <c r="DT49" s="885" t="s">
        <v>201</v>
      </c>
      <c r="DU49" s="914" t="s">
        <v>207</v>
      </c>
      <c r="DV49" s="794" t="s">
        <v>64</v>
      </c>
      <c r="DW49" s="794" t="s">
        <v>13</v>
      </c>
      <c r="DX49" s="885" t="s">
        <v>201</v>
      </c>
      <c r="DY49" s="914" t="s">
        <v>207</v>
      </c>
      <c r="DZ49" s="794" t="s">
        <v>64</v>
      </c>
      <c r="EA49" s="794" t="s">
        <v>13</v>
      </c>
      <c r="EB49" s="885" t="s">
        <v>201</v>
      </c>
      <c r="EC49" s="914" t="s">
        <v>207</v>
      </c>
      <c r="ED49" s="794" t="s">
        <v>64</v>
      </c>
      <c r="EE49" s="794" t="s">
        <v>13</v>
      </c>
      <c r="EF49" s="885" t="s">
        <v>201</v>
      </c>
    </row>
    <row r="50" spans="1:137" ht="20" customHeight="1" x14ac:dyDescent="0.15">
      <c r="A50" s="868">
        <f>Dashboard!F36</f>
        <v>331700000</v>
      </c>
      <c r="B50" s="863" t="str">
        <f>Dashboard!$B36</f>
        <v>TOTAL</v>
      </c>
      <c r="C50" s="866" t="s">
        <v>79</v>
      </c>
      <c r="D50" s="795">
        <f>SUM(D51:D58)</f>
        <v>713</v>
      </c>
      <c r="E50" s="795">
        <f>SUM(E51:E58)</f>
        <v>868</v>
      </c>
      <c r="F50" s="868">
        <f>SUM(F51:F58)</f>
        <v>124000000</v>
      </c>
      <c r="G50" s="1171">
        <f>SUM(G51:G58)</f>
        <v>1</v>
      </c>
      <c r="H50" s="865" t="str">
        <f>Dashboard!$B36</f>
        <v>TOTAL</v>
      </c>
      <c r="I50" s="866" t="s">
        <v>79</v>
      </c>
      <c r="J50" s="795">
        <f ca="1">SUM(J51:J58)</f>
        <v>0</v>
      </c>
      <c r="K50" s="795">
        <f ca="1">SUM(K51:K58)</f>
        <v>0</v>
      </c>
      <c r="L50" s="886">
        <f ca="1">SUM(L51:L58)</f>
        <v>0</v>
      </c>
      <c r="M50" s="915" t="str">
        <f>Dashboard!$B36</f>
        <v>TOTAL</v>
      </c>
      <c r="N50" s="959">
        <f t="shared" ref="N50:O50" si="342">SUM(N51:N58)</f>
        <v>23</v>
      </c>
      <c r="O50" s="959">
        <f t="shared" si="342"/>
        <v>28</v>
      </c>
      <c r="P50" s="960">
        <f>SUM(P51:P58)</f>
        <v>4000000</v>
      </c>
      <c r="Q50" s="915" t="str">
        <f>Dashboard!$B36</f>
        <v>TOTAL</v>
      </c>
      <c r="R50" s="959">
        <f t="shared" ref="R50:S50" si="343">SUM(R51:R58)</f>
        <v>23</v>
      </c>
      <c r="S50" s="959">
        <f t="shared" si="343"/>
        <v>28</v>
      </c>
      <c r="T50" s="960">
        <f>SUM(T51:T58)</f>
        <v>4000000</v>
      </c>
      <c r="U50" s="915" t="str">
        <f>Dashboard!$B36</f>
        <v>TOTAL</v>
      </c>
      <c r="V50" s="959">
        <f t="shared" ref="V50:W50" si="344">SUM(V51:V58)</f>
        <v>23</v>
      </c>
      <c r="W50" s="959">
        <f t="shared" si="344"/>
        <v>28</v>
      </c>
      <c r="X50" s="960">
        <f>SUM(X51:X58)</f>
        <v>4000000</v>
      </c>
      <c r="Y50" s="915" t="str">
        <f>Dashboard!$B36</f>
        <v>TOTAL</v>
      </c>
      <c r="Z50" s="959">
        <f t="shared" ref="Z50:AA50" si="345">SUM(Z51:Z58)</f>
        <v>23</v>
      </c>
      <c r="AA50" s="959">
        <f t="shared" si="345"/>
        <v>28</v>
      </c>
      <c r="AB50" s="960">
        <f>SUM(AB51:AB58)</f>
        <v>4000000</v>
      </c>
      <c r="AC50" s="915" t="str">
        <f>Dashboard!$B36</f>
        <v>TOTAL</v>
      </c>
      <c r="AD50" s="959">
        <f t="shared" ref="AD50:AE50" si="346">SUM(AD51:AD58)</f>
        <v>23</v>
      </c>
      <c r="AE50" s="959">
        <f t="shared" si="346"/>
        <v>28</v>
      </c>
      <c r="AF50" s="960">
        <f>SUM(AF51:AF58)</f>
        <v>4000000</v>
      </c>
      <c r="AG50" s="915" t="str">
        <f>Dashboard!$B36</f>
        <v>TOTAL</v>
      </c>
      <c r="AH50" s="959">
        <f t="shared" ref="AH50:AI50" si="347">SUM(AH51:AH58)</f>
        <v>23</v>
      </c>
      <c r="AI50" s="959">
        <f t="shared" si="347"/>
        <v>28</v>
      </c>
      <c r="AJ50" s="960">
        <f>SUM(AJ51:AJ58)</f>
        <v>4000000</v>
      </c>
      <c r="AK50" s="915" t="str">
        <f>Dashboard!$B36</f>
        <v>TOTAL</v>
      </c>
      <c r="AL50" s="959">
        <f t="shared" ref="AL50:AM50" si="348">SUM(AL51:AL58)</f>
        <v>23</v>
      </c>
      <c r="AM50" s="959">
        <f t="shared" si="348"/>
        <v>28</v>
      </c>
      <c r="AN50" s="960">
        <f>SUM(AN51:AN58)</f>
        <v>4000000</v>
      </c>
      <c r="AO50" s="915" t="str">
        <f>Dashboard!$B36</f>
        <v>TOTAL</v>
      </c>
      <c r="AP50" s="959">
        <f t="shared" ref="AP50:AQ50" si="349">SUM(AP51:AP58)</f>
        <v>23</v>
      </c>
      <c r="AQ50" s="959">
        <f t="shared" si="349"/>
        <v>28</v>
      </c>
      <c r="AR50" s="960">
        <f>SUM(AR51:AR58)</f>
        <v>4000000</v>
      </c>
      <c r="AS50" s="915" t="str">
        <f>Dashboard!$B36</f>
        <v>TOTAL</v>
      </c>
      <c r="AT50" s="959">
        <f t="shared" ref="AT50:AU50" si="350">SUM(AT51:AT58)</f>
        <v>23</v>
      </c>
      <c r="AU50" s="959">
        <f t="shared" si="350"/>
        <v>28</v>
      </c>
      <c r="AV50" s="960">
        <f>SUM(AV51:AV58)</f>
        <v>4000000</v>
      </c>
      <c r="AW50" s="915" t="str">
        <f>Dashboard!$B36</f>
        <v>TOTAL</v>
      </c>
      <c r="AX50" s="959">
        <f t="shared" ref="AX50:AY50" si="351">SUM(AX51:AX58)</f>
        <v>23</v>
      </c>
      <c r="AY50" s="959">
        <f t="shared" si="351"/>
        <v>28</v>
      </c>
      <c r="AZ50" s="960">
        <f>SUM(AZ51:AZ58)</f>
        <v>4000000</v>
      </c>
      <c r="BA50" s="915" t="str">
        <f>Dashboard!$B36</f>
        <v>TOTAL</v>
      </c>
      <c r="BB50" s="959">
        <f t="shared" ref="BB50:BC50" si="352">SUM(BB51:BB58)</f>
        <v>23</v>
      </c>
      <c r="BC50" s="959">
        <f t="shared" si="352"/>
        <v>28</v>
      </c>
      <c r="BD50" s="960">
        <f>SUM(BD51:BD58)</f>
        <v>4000000</v>
      </c>
      <c r="BE50" s="915" t="str">
        <f>Dashboard!$B36</f>
        <v>TOTAL</v>
      </c>
      <c r="BF50" s="959">
        <f t="shared" ref="BF50:BG50" si="353">SUM(BF51:BF58)</f>
        <v>23</v>
      </c>
      <c r="BG50" s="959">
        <f t="shared" si="353"/>
        <v>28</v>
      </c>
      <c r="BH50" s="960">
        <f>SUM(BH51:BH58)</f>
        <v>4000000</v>
      </c>
      <c r="BI50" s="915" t="str">
        <f>Dashboard!$B36</f>
        <v>TOTAL</v>
      </c>
      <c r="BJ50" s="959">
        <f t="shared" ref="BJ50:BK50" si="354">SUM(BJ51:BJ58)</f>
        <v>23</v>
      </c>
      <c r="BK50" s="959">
        <f t="shared" si="354"/>
        <v>28</v>
      </c>
      <c r="BL50" s="960">
        <f>SUM(BL51:BL58)</f>
        <v>4000000</v>
      </c>
      <c r="BM50" s="915" t="str">
        <f>Dashboard!$B36</f>
        <v>TOTAL</v>
      </c>
      <c r="BN50" s="959">
        <f t="shared" ref="BN50:BO50" si="355">SUM(BN51:BN58)</f>
        <v>23</v>
      </c>
      <c r="BO50" s="959">
        <f t="shared" si="355"/>
        <v>28</v>
      </c>
      <c r="BP50" s="960">
        <f>SUM(BP51:BP58)</f>
        <v>4000000</v>
      </c>
      <c r="BQ50" s="915" t="str">
        <f>Dashboard!$B36</f>
        <v>TOTAL</v>
      </c>
      <c r="BR50" s="959">
        <f t="shared" ref="BR50:BS50" si="356">SUM(BR51:BR58)</f>
        <v>23</v>
      </c>
      <c r="BS50" s="959">
        <f t="shared" si="356"/>
        <v>28</v>
      </c>
      <c r="BT50" s="960">
        <f>SUM(BT51:BT58)</f>
        <v>4000000</v>
      </c>
      <c r="BU50" s="915" t="str">
        <f>Dashboard!$B36</f>
        <v>TOTAL</v>
      </c>
      <c r="BV50" s="959">
        <f t="shared" ref="BV50:BW50" si="357">SUM(BV51:BV58)</f>
        <v>23</v>
      </c>
      <c r="BW50" s="959">
        <f t="shared" si="357"/>
        <v>28</v>
      </c>
      <c r="BX50" s="960">
        <f>SUM(BX51:BX58)</f>
        <v>4000000</v>
      </c>
      <c r="BY50" s="915" t="str">
        <f>Dashboard!$B36</f>
        <v>TOTAL</v>
      </c>
      <c r="BZ50" s="959">
        <f t="shared" ref="BZ50:CA50" si="358">SUM(BZ51:BZ58)</f>
        <v>23</v>
      </c>
      <c r="CA50" s="959">
        <f t="shared" si="358"/>
        <v>28</v>
      </c>
      <c r="CB50" s="960">
        <f>SUM(CB51:CB58)</f>
        <v>4000000</v>
      </c>
      <c r="CC50" s="915" t="str">
        <f>Dashboard!$B36</f>
        <v>TOTAL</v>
      </c>
      <c r="CD50" s="959">
        <f t="shared" ref="CD50:CE50" si="359">SUM(CD51:CD58)</f>
        <v>23</v>
      </c>
      <c r="CE50" s="959">
        <f t="shared" si="359"/>
        <v>28</v>
      </c>
      <c r="CF50" s="960">
        <f>SUM(CF51:CF58)</f>
        <v>4000000</v>
      </c>
      <c r="CG50" s="915" t="str">
        <f>Dashboard!$B36</f>
        <v>TOTAL</v>
      </c>
      <c r="CH50" s="959">
        <f t="shared" ref="CH50:CI50" si="360">SUM(CH51:CH58)</f>
        <v>23</v>
      </c>
      <c r="CI50" s="959">
        <f t="shared" si="360"/>
        <v>28</v>
      </c>
      <c r="CJ50" s="960">
        <f>SUM(CJ51:CJ58)</f>
        <v>4000000</v>
      </c>
      <c r="CK50" s="915" t="str">
        <f>Dashboard!$B36</f>
        <v>TOTAL</v>
      </c>
      <c r="CL50" s="959">
        <f t="shared" ref="CL50:CM50" si="361">SUM(CL51:CL58)</f>
        <v>23</v>
      </c>
      <c r="CM50" s="959">
        <f t="shared" si="361"/>
        <v>28</v>
      </c>
      <c r="CN50" s="960">
        <f>SUM(CN51:CN58)</f>
        <v>4000000</v>
      </c>
      <c r="CO50" s="915" t="str">
        <f>Dashboard!$B36</f>
        <v>TOTAL</v>
      </c>
      <c r="CP50" s="959">
        <f t="shared" ref="CP50:CQ50" si="362">SUM(CP51:CP58)</f>
        <v>23</v>
      </c>
      <c r="CQ50" s="959">
        <f t="shared" si="362"/>
        <v>28</v>
      </c>
      <c r="CR50" s="960">
        <f>SUM(CR51:CR58)</f>
        <v>4000000</v>
      </c>
      <c r="CS50" s="915" t="str">
        <f>Dashboard!$B36</f>
        <v>TOTAL</v>
      </c>
      <c r="CT50" s="959">
        <f t="shared" ref="CT50:CU50" si="363">SUM(CT51:CT58)</f>
        <v>23</v>
      </c>
      <c r="CU50" s="959">
        <f t="shared" si="363"/>
        <v>28</v>
      </c>
      <c r="CV50" s="960">
        <f>SUM(CV51:CV58)</f>
        <v>4000000</v>
      </c>
      <c r="CW50" s="915" t="str">
        <f>Dashboard!$B36</f>
        <v>TOTAL</v>
      </c>
      <c r="CX50" s="959">
        <f t="shared" ref="CX50:CY50" si="364">SUM(CX51:CX58)</f>
        <v>23</v>
      </c>
      <c r="CY50" s="959">
        <f t="shared" si="364"/>
        <v>28</v>
      </c>
      <c r="CZ50" s="960">
        <f>SUM(CZ51:CZ58)</f>
        <v>4000000</v>
      </c>
      <c r="DA50" s="915" t="str">
        <f>Dashboard!$B36</f>
        <v>TOTAL</v>
      </c>
      <c r="DB50" s="959">
        <f t="shared" ref="DB50:DC50" si="365">SUM(DB51:DB58)</f>
        <v>23</v>
      </c>
      <c r="DC50" s="959">
        <f t="shared" si="365"/>
        <v>28</v>
      </c>
      <c r="DD50" s="960">
        <f>SUM(DD51:DD58)</f>
        <v>4000000</v>
      </c>
      <c r="DE50" s="915" t="str">
        <f>Dashboard!$B36</f>
        <v>TOTAL</v>
      </c>
      <c r="DF50" s="959">
        <f t="shared" ref="DF50:DG50" si="366">SUM(DF51:DF58)</f>
        <v>23</v>
      </c>
      <c r="DG50" s="959">
        <f t="shared" si="366"/>
        <v>28</v>
      </c>
      <c r="DH50" s="960">
        <f>SUM(DH51:DH58)</f>
        <v>4000000</v>
      </c>
      <c r="DI50" s="915" t="str">
        <f>Dashboard!$B36</f>
        <v>TOTAL</v>
      </c>
      <c r="DJ50" s="959">
        <f t="shared" ref="DJ50:DK50" si="367">SUM(DJ51:DJ58)</f>
        <v>23</v>
      </c>
      <c r="DK50" s="959">
        <f t="shared" si="367"/>
        <v>28</v>
      </c>
      <c r="DL50" s="960">
        <f>SUM(DL51:DL58)</f>
        <v>4000000</v>
      </c>
      <c r="DM50" s="915" t="str">
        <f>Dashboard!$B36</f>
        <v>TOTAL</v>
      </c>
      <c r="DN50" s="959">
        <f t="shared" ref="DN50:DO50" si="368">SUM(DN51:DN58)</f>
        <v>23</v>
      </c>
      <c r="DO50" s="959">
        <f t="shared" si="368"/>
        <v>28</v>
      </c>
      <c r="DP50" s="960">
        <f>SUM(DP51:DP58)</f>
        <v>4000000</v>
      </c>
      <c r="DQ50" s="915" t="str">
        <f>Dashboard!$B36</f>
        <v>TOTAL</v>
      </c>
      <c r="DR50" s="959">
        <f t="shared" ref="DR50:DS50" si="369">SUM(DR51:DR58)</f>
        <v>23</v>
      </c>
      <c r="DS50" s="959">
        <f t="shared" si="369"/>
        <v>28</v>
      </c>
      <c r="DT50" s="960">
        <f>SUM(DT51:DT58)</f>
        <v>4000000</v>
      </c>
      <c r="DU50" s="915" t="str">
        <f>Dashboard!$B36</f>
        <v>TOTAL</v>
      </c>
      <c r="DV50" s="959">
        <f t="shared" ref="DV50:DW50" si="370">SUM(DV51:DV58)</f>
        <v>23</v>
      </c>
      <c r="DW50" s="959">
        <f t="shared" si="370"/>
        <v>28</v>
      </c>
      <c r="DX50" s="960">
        <f>SUM(DX51:DX58)</f>
        <v>4000000</v>
      </c>
      <c r="DY50" s="915" t="str">
        <f>Dashboard!$B36</f>
        <v>TOTAL</v>
      </c>
      <c r="DZ50" s="959">
        <f t="shared" ref="DZ50:EA50" si="371">SUM(DZ51:DZ58)</f>
        <v>23</v>
      </c>
      <c r="EA50" s="959">
        <f t="shared" si="371"/>
        <v>28</v>
      </c>
      <c r="EB50" s="960">
        <f>SUM(EB51:EB58)</f>
        <v>4000000</v>
      </c>
      <c r="EC50" s="915" t="str">
        <f>Dashboard!$B36</f>
        <v>TOTAL</v>
      </c>
      <c r="ED50" s="959">
        <f t="shared" ref="ED50:EE50" si="372">SUM(ED51:ED58)</f>
        <v>23</v>
      </c>
      <c r="EE50" s="959">
        <f t="shared" si="372"/>
        <v>28</v>
      </c>
      <c r="EF50" s="960">
        <f>SUM(EF51:EF58)</f>
        <v>4000000</v>
      </c>
    </row>
    <row r="51" spans="1:137" ht="20" customHeight="1" x14ac:dyDescent="0.15">
      <c r="A51" s="869">
        <f>Dashboard!F37</f>
        <v>40300000</v>
      </c>
      <c r="B51" s="864" t="str">
        <f>Dashboard!$B37</f>
        <v>BONE &amp; JOINT HEALTH</v>
      </c>
      <c r="C51" s="867" t="s">
        <v>79</v>
      </c>
      <c r="D51" s="797">
        <f>SUMIF($M$49:$EF$49,$D$49,$M51:$EF51)</f>
        <v>31</v>
      </c>
      <c r="E51" s="797">
        <f>SUMIF($M$49:$EF$49,$E$49,$M51:$EF51)</f>
        <v>62</v>
      </c>
      <c r="F51" s="869">
        <f>SUMIF($M$49:$EF$49,$F$49,$M51:$EF51)</f>
        <v>15500000</v>
      </c>
      <c r="G51" s="1172">
        <f>_xlfn.IFS($F$50=0,0,F51&lt;=$F$50,F51/$F$50,F51&gt;$F$50,1)</f>
        <v>0.125</v>
      </c>
      <c r="H51" s="864" t="str">
        <f>Dashboard!$B37</f>
        <v>BONE &amp; JOINT HEALTH</v>
      </c>
      <c r="I51" s="867" t="s">
        <v>79</v>
      </c>
      <c r="J51" s="797">
        <f ca="1">SUMIFS($M51:$EF51,$M$11:$EF$11,TODAY(),$M$49:$EF$49,J$49)</f>
        <v>0</v>
      </c>
      <c r="K51" s="797">
        <f t="shared" ref="J51:L58" ca="1" si="373">SUMIFS($M51:$EF51,$M$11:$EF$11,TODAY(),$M$49:$EF$49,K$49)</f>
        <v>0</v>
      </c>
      <c r="L51" s="887">
        <f ca="1">SUMIFS($M51:$EF51,$M$11:$EF$11,TODAY(),$M$49:$EF$49,L$49)</f>
        <v>0</v>
      </c>
      <c r="M51" s="1175" t="str">
        <f>Dashboard!$B37</f>
        <v>BONE &amp; JOINT HEALTH</v>
      </c>
      <c r="N51" s="1030">
        <v>1</v>
      </c>
      <c r="O51" s="1030">
        <v>2</v>
      </c>
      <c r="P51" s="1029">
        <v>500000</v>
      </c>
      <c r="Q51" s="1175" t="str">
        <f>Dashboard!$B37</f>
        <v>BONE &amp; JOINT HEALTH</v>
      </c>
      <c r="R51" s="1030">
        <v>1</v>
      </c>
      <c r="S51" s="1030">
        <v>2</v>
      </c>
      <c r="T51" s="1029">
        <v>500000</v>
      </c>
      <c r="U51" s="1175" t="str">
        <f>Dashboard!$B37</f>
        <v>BONE &amp; JOINT HEALTH</v>
      </c>
      <c r="V51" s="1030">
        <v>1</v>
      </c>
      <c r="W51" s="1030">
        <v>2</v>
      </c>
      <c r="X51" s="1029">
        <v>500000</v>
      </c>
      <c r="Y51" s="1175" t="str">
        <f>Dashboard!$B37</f>
        <v>BONE &amp; JOINT HEALTH</v>
      </c>
      <c r="Z51" s="1030">
        <v>1</v>
      </c>
      <c r="AA51" s="1030">
        <v>2</v>
      </c>
      <c r="AB51" s="1029">
        <v>500000</v>
      </c>
      <c r="AC51" s="1175" t="str">
        <f>Dashboard!$B37</f>
        <v>BONE &amp; JOINT HEALTH</v>
      </c>
      <c r="AD51" s="1030">
        <v>1</v>
      </c>
      <c r="AE51" s="1030">
        <v>2</v>
      </c>
      <c r="AF51" s="1029">
        <v>500000</v>
      </c>
      <c r="AG51" s="1175" t="str">
        <f>Dashboard!$B37</f>
        <v>BONE &amp; JOINT HEALTH</v>
      </c>
      <c r="AH51" s="1030">
        <v>1</v>
      </c>
      <c r="AI51" s="1030">
        <v>2</v>
      </c>
      <c r="AJ51" s="1029">
        <v>500000</v>
      </c>
      <c r="AK51" s="1175" t="str">
        <f>Dashboard!$B37</f>
        <v>BONE &amp; JOINT HEALTH</v>
      </c>
      <c r="AL51" s="1030">
        <v>1</v>
      </c>
      <c r="AM51" s="1030">
        <v>2</v>
      </c>
      <c r="AN51" s="1029">
        <v>500000</v>
      </c>
      <c r="AO51" s="1175" t="str">
        <f>Dashboard!$B37</f>
        <v>BONE &amp; JOINT HEALTH</v>
      </c>
      <c r="AP51" s="1030">
        <v>1</v>
      </c>
      <c r="AQ51" s="1030">
        <v>2</v>
      </c>
      <c r="AR51" s="1029">
        <v>500000</v>
      </c>
      <c r="AS51" s="1175" t="str">
        <f>Dashboard!$B37</f>
        <v>BONE &amp; JOINT HEALTH</v>
      </c>
      <c r="AT51" s="1030">
        <v>1</v>
      </c>
      <c r="AU51" s="1030">
        <v>2</v>
      </c>
      <c r="AV51" s="1029">
        <v>500000</v>
      </c>
      <c r="AW51" s="1175" t="str">
        <f>Dashboard!$B37</f>
        <v>BONE &amp; JOINT HEALTH</v>
      </c>
      <c r="AX51" s="1030">
        <v>1</v>
      </c>
      <c r="AY51" s="1030">
        <v>2</v>
      </c>
      <c r="AZ51" s="1029">
        <v>500000</v>
      </c>
      <c r="BA51" s="1175" t="str">
        <f>Dashboard!$B37</f>
        <v>BONE &amp; JOINT HEALTH</v>
      </c>
      <c r="BB51" s="1030">
        <v>1</v>
      </c>
      <c r="BC51" s="1030">
        <v>2</v>
      </c>
      <c r="BD51" s="1029">
        <v>500000</v>
      </c>
      <c r="BE51" s="1175" t="str">
        <f>Dashboard!$B37</f>
        <v>BONE &amp; JOINT HEALTH</v>
      </c>
      <c r="BF51" s="1030">
        <v>1</v>
      </c>
      <c r="BG51" s="1030">
        <v>2</v>
      </c>
      <c r="BH51" s="1029">
        <v>500000</v>
      </c>
      <c r="BI51" s="1175" t="str">
        <f>Dashboard!$B37</f>
        <v>BONE &amp; JOINT HEALTH</v>
      </c>
      <c r="BJ51" s="1030">
        <v>1</v>
      </c>
      <c r="BK51" s="1030">
        <v>2</v>
      </c>
      <c r="BL51" s="1029">
        <v>500000</v>
      </c>
      <c r="BM51" s="1175" t="str">
        <f>Dashboard!$B37</f>
        <v>BONE &amp; JOINT HEALTH</v>
      </c>
      <c r="BN51" s="1030">
        <v>1</v>
      </c>
      <c r="BO51" s="1030">
        <v>2</v>
      </c>
      <c r="BP51" s="1029">
        <v>500000</v>
      </c>
      <c r="BQ51" s="1175" t="str">
        <f>Dashboard!$B37</f>
        <v>BONE &amp; JOINT HEALTH</v>
      </c>
      <c r="BR51" s="1030">
        <v>1</v>
      </c>
      <c r="BS51" s="1030">
        <v>2</v>
      </c>
      <c r="BT51" s="1029">
        <v>500000</v>
      </c>
      <c r="BU51" s="1175" t="str">
        <f>Dashboard!$B37</f>
        <v>BONE &amp; JOINT HEALTH</v>
      </c>
      <c r="BV51" s="1030">
        <v>1</v>
      </c>
      <c r="BW51" s="1030">
        <v>2</v>
      </c>
      <c r="BX51" s="1029">
        <v>500000</v>
      </c>
      <c r="BY51" s="1175" t="str">
        <f>Dashboard!$B37</f>
        <v>BONE &amp; JOINT HEALTH</v>
      </c>
      <c r="BZ51" s="1030">
        <v>1</v>
      </c>
      <c r="CA51" s="1030">
        <v>2</v>
      </c>
      <c r="CB51" s="1029">
        <v>500000</v>
      </c>
      <c r="CC51" s="1175" t="str">
        <f>Dashboard!$B37</f>
        <v>BONE &amp; JOINT HEALTH</v>
      </c>
      <c r="CD51" s="1030">
        <v>1</v>
      </c>
      <c r="CE51" s="1030">
        <v>2</v>
      </c>
      <c r="CF51" s="1029">
        <v>500000</v>
      </c>
      <c r="CG51" s="1175" t="str">
        <f>Dashboard!$B37</f>
        <v>BONE &amp; JOINT HEALTH</v>
      </c>
      <c r="CH51" s="1030">
        <v>1</v>
      </c>
      <c r="CI51" s="1030">
        <v>2</v>
      </c>
      <c r="CJ51" s="1029">
        <v>500000</v>
      </c>
      <c r="CK51" s="1175" t="str">
        <f>Dashboard!$B37</f>
        <v>BONE &amp; JOINT HEALTH</v>
      </c>
      <c r="CL51" s="1030">
        <v>1</v>
      </c>
      <c r="CM51" s="1030">
        <v>2</v>
      </c>
      <c r="CN51" s="1029">
        <v>500000</v>
      </c>
      <c r="CO51" s="1175" t="str">
        <f>Dashboard!$B37</f>
        <v>BONE &amp; JOINT HEALTH</v>
      </c>
      <c r="CP51" s="1030">
        <v>1</v>
      </c>
      <c r="CQ51" s="1030">
        <v>2</v>
      </c>
      <c r="CR51" s="1029">
        <v>500000</v>
      </c>
      <c r="CS51" s="1175" t="str">
        <f>Dashboard!$B37</f>
        <v>BONE &amp; JOINT HEALTH</v>
      </c>
      <c r="CT51" s="1030">
        <v>1</v>
      </c>
      <c r="CU51" s="1030">
        <v>2</v>
      </c>
      <c r="CV51" s="1029">
        <v>500000</v>
      </c>
      <c r="CW51" s="1175" t="str">
        <f>Dashboard!$B37</f>
        <v>BONE &amp; JOINT HEALTH</v>
      </c>
      <c r="CX51" s="1030">
        <v>1</v>
      </c>
      <c r="CY51" s="1030">
        <v>2</v>
      </c>
      <c r="CZ51" s="1029">
        <v>500000</v>
      </c>
      <c r="DA51" s="1175" t="str">
        <f>Dashboard!$B37</f>
        <v>BONE &amp; JOINT HEALTH</v>
      </c>
      <c r="DB51" s="1030">
        <v>1</v>
      </c>
      <c r="DC51" s="1030">
        <v>2</v>
      </c>
      <c r="DD51" s="1029">
        <v>500000</v>
      </c>
      <c r="DE51" s="1175" t="str">
        <f>Dashboard!$B37</f>
        <v>BONE &amp; JOINT HEALTH</v>
      </c>
      <c r="DF51" s="1030">
        <v>1</v>
      </c>
      <c r="DG51" s="1030">
        <v>2</v>
      </c>
      <c r="DH51" s="1029">
        <v>500000</v>
      </c>
      <c r="DI51" s="1175" t="str">
        <f>Dashboard!$B37</f>
        <v>BONE &amp; JOINT HEALTH</v>
      </c>
      <c r="DJ51" s="1030">
        <v>1</v>
      </c>
      <c r="DK51" s="1030">
        <v>2</v>
      </c>
      <c r="DL51" s="1029">
        <v>500000</v>
      </c>
      <c r="DM51" s="1175" t="str">
        <f>Dashboard!$B37</f>
        <v>BONE &amp; JOINT HEALTH</v>
      </c>
      <c r="DN51" s="1030">
        <v>1</v>
      </c>
      <c r="DO51" s="1030">
        <v>2</v>
      </c>
      <c r="DP51" s="1029">
        <v>500000</v>
      </c>
      <c r="DQ51" s="1175" t="str">
        <f>Dashboard!$B37</f>
        <v>BONE &amp; JOINT HEALTH</v>
      </c>
      <c r="DR51" s="1030">
        <v>1</v>
      </c>
      <c r="DS51" s="1030">
        <v>2</v>
      </c>
      <c r="DT51" s="1029">
        <v>500000</v>
      </c>
      <c r="DU51" s="1175" t="str">
        <f>Dashboard!$B37</f>
        <v>BONE &amp; JOINT HEALTH</v>
      </c>
      <c r="DV51" s="1030">
        <v>1</v>
      </c>
      <c r="DW51" s="1030">
        <v>2</v>
      </c>
      <c r="DX51" s="1029">
        <v>500000</v>
      </c>
      <c r="DY51" s="1175" t="str">
        <f>Dashboard!$B37</f>
        <v>BONE &amp; JOINT HEALTH</v>
      </c>
      <c r="DZ51" s="1030">
        <v>1</v>
      </c>
      <c r="EA51" s="1030">
        <v>2</v>
      </c>
      <c r="EB51" s="1029">
        <v>500000</v>
      </c>
      <c r="EC51" s="1175" t="str">
        <f>Dashboard!$B37</f>
        <v>BONE &amp; JOINT HEALTH</v>
      </c>
      <c r="ED51" s="1030">
        <v>1</v>
      </c>
      <c r="EE51" s="1030">
        <v>2</v>
      </c>
      <c r="EF51" s="1029">
        <v>500000</v>
      </c>
    </row>
    <row r="52" spans="1:137" ht="20" customHeight="1" x14ac:dyDescent="0.15">
      <c r="A52" s="869">
        <f>Dashboard!F38</f>
        <v>40300000</v>
      </c>
      <c r="B52" s="864" t="str">
        <f>Dashboard!$B38</f>
        <v>LIVER, DIGESTION, ALLERGIES</v>
      </c>
      <c r="C52" s="867" t="s">
        <v>79</v>
      </c>
      <c r="D52" s="797">
        <f>SUMIF($M$49:$EF$49,$D$49,$M52:$EF52)</f>
        <v>93</v>
      </c>
      <c r="E52" s="797">
        <f t="shared" ref="E52:E58" si="374">SUMIF($M$49:$EF$49,$E$49,$M52:$EF52)</f>
        <v>93</v>
      </c>
      <c r="F52" s="869">
        <f>SUMIF($M$49:$EF$49,$F$49,$M52:$EF52)</f>
        <v>15500000</v>
      </c>
      <c r="G52" s="1172">
        <f>_xlfn.IFS($F$50=0,0,F52&lt;=$F$50,F52/$F$50,F52&gt;$F$50,1)</f>
        <v>0.125</v>
      </c>
      <c r="H52" s="864" t="str">
        <f>Dashboard!$B38</f>
        <v>LIVER, DIGESTION, ALLERGIES</v>
      </c>
      <c r="I52" s="867" t="s">
        <v>79</v>
      </c>
      <c r="J52" s="797">
        <f t="shared" ca="1" si="373"/>
        <v>0</v>
      </c>
      <c r="K52" s="797">
        <f t="shared" ca="1" si="373"/>
        <v>0</v>
      </c>
      <c r="L52" s="887">
        <f t="shared" ca="1" si="373"/>
        <v>0</v>
      </c>
      <c r="M52" s="1175" t="str">
        <f>Dashboard!$B38</f>
        <v>LIVER, DIGESTION, ALLERGIES</v>
      </c>
      <c r="N52" s="1031">
        <v>3</v>
      </c>
      <c r="O52" s="1031">
        <v>3</v>
      </c>
      <c r="P52" s="1029">
        <v>500000</v>
      </c>
      <c r="Q52" s="1175" t="str">
        <f>Dashboard!$B38</f>
        <v>LIVER, DIGESTION, ALLERGIES</v>
      </c>
      <c r="R52" s="1031">
        <v>3</v>
      </c>
      <c r="S52" s="1031">
        <v>3</v>
      </c>
      <c r="T52" s="1029">
        <v>500000</v>
      </c>
      <c r="U52" s="1175" t="str">
        <f>Dashboard!$B38</f>
        <v>LIVER, DIGESTION, ALLERGIES</v>
      </c>
      <c r="V52" s="1031">
        <v>3</v>
      </c>
      <c r="W52" s="1031">
        <v>3</v>
      </c>
      <c r="X52" s="1029">
        <v>500000</v>
      </c>
      <c r="Y52" s="1175" t="str">
        <f>Dashboard!$B38</f>
        <v>LIVER, DIGESTION, ALLERGIES</v>
      </c>
      <c r="Z52" s="1031">
        <v>3</v>
      </c>
      <c r="AA52" s="1031">
        <v>3</v>
      </c>
      <c r="AB52" s="1029">
        <v>500000</v>
      </c>
      <c r="AC52" s="1175" t="str">
        <f>Dashboard!$B38</f>
        <v>LIVER, DIGESTION, ALLERGIES</v>
      </c>
      <c r="AD52" s="1031">
        <v>3</v>
      </c>
      <c r="AE52" s="1031">
        <v>3</v>
      </c>
      <c r="AF52" s="1029">
        <v>500000</v>
      </c>
      <c r="AG52" s="1175" t="str">
        <f>Dashboard!$B38</f>
        <v>LIVER, DIGESTION, ALLERGIES</v>
      </c>
      <c r="AH52" s="1031">
        <v>3</v>
      </c>
      <c r="AI52" s="1031">
        <v>3</v>
      </c>
      <c r="AJ52" s="1029">
        <v>500000</v>
      </c>
      <c r="AK52" s="1175" t="str">
        <f>Dashboard!$B38</f>
        <v>LIVER, DIGESTION, ALLERGIES</v>
      </c>
      <c r="AL52" s="1031">
        <v>3</v>
      </c>
      <c r="AM52" s="1031">
        <v>3</v>
      </c>
      <c r="AN52" s="1029">
        <v>500000</v>
      </c>
      <c r="AO52" s="1175" t="str">
        <f>Dashboard!$B38</f>
        <v>LIVER, DIGESTION, ALLERGIES</v>
      </c>
      <c r="AP52" s="1031">
        <v>3</v>
      </c>
      <c r="AQ52" s="1031">
        <v>3</v>
      </c>
      <c r="AR52" s="1029">
        <v>500000</v>
      </c>
      <c r="AS52" s="1175" t="str">
        <f>Dashboard!$B38</f>
        <v>LIVER, DIGESTION, ALLERGIES</v>
      </c>
      <c r="AT52" s="1031">
        <v>3</v>
      </c>
      <c r="AU52" s="1031">
        <v>3</v>
      </c>
      <c r="AV52" s="1029">
        <v>500000</v>
      </c>
      <c r="AW52" s="1175" t="str">
        <f>Dashboard!$B38</f>
        <v>LIVER, DIGESTION, ALLERGIES</v>
      </c>
      <c r="AX52" s="1031">
        <v>3</v>
      </c>
      <c r="AY52" s="1031">
        <v>3</v>
      </c>
      <c r="AZ52" s="1029">
        <v>500000</v>
      </c>
      <c r="BA52" s="1175" t="str">
        <f>Dashboard!$B38</f>
        <v>LIVER, DIGESTION, ALLERGIES</v>
      </c>
      <c r="BB52" s="1031">
        <v>3</v>
      </c>
      <c r="BC52" s="1031">
        <v>3</v>
      </c>
      <c r="BD52" s="1029">
        <v>500000</v>
      </c>
      <c r="BE52" s="1175" t="str">
        <f>Dashboard!$B38</f>
        <v>LIVER, DIGESTION, ALLERGIES</v>
      </c>
      <c r="BF52" s="1031">
        <v>3</v>
      </c>
      <c r="BG52" s="1031">
        <v>3</v>
      </c>
      <c r="BH52" s="1029">
        <v>500000</v>
      </c>
      <c r="BI52" s="1175" t="str">
        <f>Dashboard!$B38</f>
        <v>LIVER, DIGESTION, ALLERGIES</v>
      </c>
      <c r="BJ52" s="1031">
        <v>3</v>
      </c>
      <c r="BK52" s="1031">
        <v>3</v>
      </c>
      <c r="BL52" s="1029">
        <v>500000</v>
      </c>
      <c r="BM52" s="1175" t="str">
        <f>Dashboard!$B38</f>
        <v>LIVER, DIGESTION, ALLERGIES</v>
      </c>
      <c r="BN52" s="1031">
        <v>3</v>
      </c>
      <c r="BO52" s="1031">
        <v>3</v>
      </c>
      <c r="BP52" s="1029">
        <v>500000</v>
      </c>
      <c r="BQ52" s="1175" t="str">
        <f>Dashboard!$B38</f>
        <v>LIVER, DIGESTION, ALLERGIES</v>
      </c>
      <c r="BR52" s="1031">
        <v>3</v>
      </c>
      <c r="BS52" s="1031">
        <v>3</v>
      </c>
      <c r="BT52" s="1029">
        <v>500000</v>
      </c>
      <c r="BU52" s="1175" t="str">
        <f>Dashboard!$B38</f>
        <v>LIVER, DIGESTION, ALLERGIES</v>
      </c>
      <c r="BV52" s="1031">
        <v>3</v>
      </c>
      <c r="BW52" s="1031">
        <v>3</v>
      </c>
      <c r="BX52" s="1029">
        <v>500000</v>
      </c>
      <c r="BY52" s="1175" t="str">
        <f>Dashboard!$B38</f>
        <v>LIVER, DIGESTION, ALLERGIES</v>
      </c>
      <c r="BZ52" s="1031">
        <v>3</v>
      </c>
      <c r="CA52" s="1031">
        <v>3</v>
      </c>
      <c r="CB52" s="1029">
        <v>500000</v>
      </c>
      <c r="CC52" s="1175" t="str">
        <f>Dashboard!$B38</f>
        <v>LIVER, DIGESTION, ALLERGIES</v>
      </c>
      <c r="CD52" s="1031">
        <v>3</v>
      </c>
      <c r="CE52" s="1031">
        <v>3</v>
      </c>
      <c r="CF52" s="1029">
        <v>500000</v>
      </c>
      <c r="CG52" s="1175" t="str">
        <f>Dashboard!$B38</f>
        <v>LIVER, DIGESTION, ALLERGIES</v>
      </c>
      <c r="CH52" s="1031">
        <v>3</v>
      </c>
      <c r="CI52" s="1031">
        <v>3</v>
      </c>
      <c r="CJ52" s="1029">
        <v>500000</v>
      </c>
      <c r="CK52" s="1175" t="str">
        <f>Dashboard!$B38</f>
        <v>LIVER, DIGESTION, ALLERGIES</v>
      </c>
      <c r="CL52" s="1031">
        <v>3</v>
      </c>
      <c r="CM52" s="1031">
        <v>3</v>
      </c>
      <c r="CN52" s="1029">
        <v>500000</v>
      </c>
      <c r="CO52" s="1175" t="str">
        <f>Dashboard!$B38</f>
        <v>LIVER, DIGESTION, ALLERGIES</v>
      </c>
      <c r="CP52" s="1031">
        <v>3</v>
      </c>
      <c r="CQ52" s="1031">
        <v>3</v>
      </c>
      <c r="CR52" s="1029">
        <v>500000</v>
      </c>
      <c r="CS52" s="1175" t="str">
        <f>Dashboard!$B38</f>
        <v>LIVER, DIGESTION, ALLERGIES</v>
      </c>
      <c r="CT52" s="1031">
        <v>3</v>
      </c>
      <c r="CU52" s="1031">
        <v>3</v>
      </c>
      <c r="CV52" s="1029">
        <v>500000</v>
      </c>
      <c r="CW52" s="1175" t="str">
        <f>Dashboard!$B38</f>
        <v>LIVER, DIGESTION, ALLERGIES</v>
      </c>
      <c r="CX52" s="1031">
        <v>3</v>
      </c>
      <c r="CY52" s="1031">
        <v>3</v>
      </c>
      <c r="CZ52" s="1029">
        <v>500000</v>
      </c>
      <c r="DA52" s="1175" t="str">
        <f>Dashboard!$B38</f>
        <v>LIVER, DIGESTION, ALLERGIES</v>
      </c>
      <c r="DB52" s="1031">
        <v>3</v>
      </c>
      <c r="DC52" s="1031">
        <v>3</v>
      </c>
      <c r="DD52" s="1029">
        <v>500000</v>
      </c>
      <c r="DE52" s="1175" t="str">
        <f>Dashboard!$B38</f>
        <v>LIVER, DIGESTION, ALLERGIES</v>
      </c>
      <c r="DF52" s="1031">
        <v>3</v>
      </c>
      <c r="DG52" s="1031">
        <v>3</v>
      </c>
      <c r="DH52" s="1029">
        <v>500000</v>
      </c>
      <c r="DI52" s="1175" t="str">
        <f>Dashboard!$B38</f>
        <v>LIVER, DIGESTION, ALLERGIES</v>
      </c>
      <c r="DJ52" s="1031">
        <v>3</v>
      </c>
      <c r="DK52" s="1031">
        <v>3</v>
      </c>
      <c r="DL52" s="1029">
        <v>500000</v>
      </c>
      <c r="DM52" s="1175" t="str">
        <f>Dashboard!$B38</f>
        <v>LIVER, DIGESTION, ALLERGIES</v>
      </c>
      <c r="DN52" s="1031">
        <v>3</v>
      </c>
      <c r="DO52" s="1031">
        <v>3</v>
      </c>
      <c r="DP52" s="1029">
        <v>500000</v>
      </c>
      <c r="DQ52" s="1175" t="str">
        <f>Dashboard!$B38</f>
        <v>LIVER, DIGESTION, ALLERGIES</v>
      </c>
      <c r="DR52" s="1031">
        <v>3</v>
      </c>
      <c r="DS52" s="1031">
        <v>3</v>
      </c>
      <c r="DT52" s="1029">
        <v>500000</v>
      </c>
      <c r="DU52" s="1175" t="str">
        <f>Dashboard!$B38</f>
        <v>LIVER, DIGESTION, ALLERGIES</v>
      </c>
      <c r="DV52" s="1031">
        <v>3</v>
      </c>
      <c r="DW52" s="1031">
        <v>3</v>
      </c>
      <c r="DX52" s="1029">
        <v>500000</v>
      </c>
      <c r="DY52" s="1175" t="str">
        <f>Dashboard!$B38</f>
        <v>LIVER, DIGESTION, ALLERGIES</v>
      </c>
      <c r="DZ52" s="1031">
        <v>3</v>
      </c>
      <c r="EA52" s="1031">
        <v>3</v>
      </c>
      <c r="EB52" s="1029">
        <v>500000</v>
      </c>
      <c r="EC52" s="1175" t="str">
        <f>Dashboard!$B38</f>
        <v>LIVER, DIGESTION, ALLERGIES</v>
      </c>
      <c r="ED52" s="1031">
        <v>3</v>
      </c>
      <c r="EE52" s="1031">
        <v>3</v>
      </c>
      <c r="EF52" s="1029">
        <v>500000</v>
      </c>
    </row>
    <row r="53" spans="1:137" ht="20" customHeight="1" x14ac:dyDescent="0.15">
      <c r="A53" s="869">
        <f>Dashboard!F39</f>
        <v>40300000</v>
      </c>
      <c r="B53" s="864" t="str">
        <f>Dashboard!$B39</f>
        <v>BRAIN &amp; EYE HEALTH</v>
      </c>
      <c r="C53" s="867" t="s">
        <v>79</v>
      </c>
      <c r="D53" s="797">
        <f>SUMIF($M$49:$EF$49,$D$49,$M53:$EF53)</f>
        <v>62</v>
      </c>
      <c r="E53" s="797">
        <f>SUMIF($M$49:$EF$49,$E$49,$M53:$EF53)</f>
        <v>93</v>
      </c>
      <c r="F53" s="869">
        <f t="shared" ref="F53:F56" si="375">SUMIF($M$49:$EF$49,$F$49,$M53:$EF53)</f>
        <v>15500000</v>
      </c>
      <c r="G53" s="1172">
        <f>_xlfn.IFS($F$50=0,0,F53&lt;=$F$50,F53/$F$50,F53&gt;$F$50,1)</f>
        <v>0.125</v>
      </c>
      <c r="H53" s="864" t="str">
        <f>Dashboard!$B39</f>
        <v>BRAIN &amp; EYE HEALTH</v>
      </c>
      <c r="I53" s="867" t="s">
        <v>79</v>
      </c>
      <c r="J53" s="797">
        <f t="shared" ca="1" si="373"/>
        <v>0</v>
      </c>
      <c r="K53" s="797">
        <f t="shared" ca="1" si="373"/>
        <v>0</v>
      </c>
      <c r="L53" s="887">
        <f t="shared" ca="1" si="373"/>
        <v>0</v>
      </c>
      <c r="M53" s="1175" t="str">
        <f>Dashboard!$B39</f>
        <v>BRAIN &amp; EYE HEALTH</v>
      </c>
      <c r="N53" s="1031">
        <v>2</v>
      </c>
      <c r="O53" s="1031">
        <v>3</v>
      </c>
      <c r="P53" s="1029">
        <v>500000</v>
      </c>
      <c r="Q53" s="1175" t="str">
        <f>Dashboard!$B39</f>
        <v>BRAIN &amp; EYE HEALTH</v>
      </c>
      <c r="R53" s="1031">
        <v>2</v>
      </c>
      <c r="S53" s="1031">
        <v>3</v>
      </c>
      <c r="T53" s="1029">
        <v>500000</v>
      </c>
      <c r="U53" s="1175" t="str">
        <f>Dashboard!$B39</f>
        <v>BRAIN &amp; EYE HEALTH</v>
      </c>
      <c r="V53" s="1031">
        <v>2</v>
      </c>
      <c r="W53" s="1031">
        <v>3</v>
      </c>
      <c r="X53" s="1029">
        <v>500000</v>
      </c>
      <c r="Y53" s="1175" t="str">
        <f>Dashboard!$B39</f>
        <v>BRAIN &amp; EYE HEALTH</v>
      </c>
      <c r="Z53" s="1031">
        <v>2</v>
      </c>
      <c r="AA53" s="1031">
        <v>3</v>
      </c>
      <c r="AB53" s="1029">
        <v>500000</v>
      </c>
      <c r="AC53" s="1175" t="str">
        <f>Dashboard!$B39</f>
        <v>BRAIN &amp; EYE HEALTH</v>
      </c>
      <c r="AD53" s="1031">
        <v>2</v>
      </c>
      <c r="AE53" s="1031">
        <v>3</v>
      </c>
      <c r="AF53" s="1029">
        <v>500000</v>
      </c>
      <c r="AG53" s="1175" t="str">
        <f>Dashboard!$B39</f>
        <v>BRAIN &amp; EYE HEALTH</v>
      </c>
      <c r="AH53" s="1031">
        <v>2</v>
      </c>
      <c r="AI53" s="1031">
        <v>3</v>
      </c>
      <c r="AJ53" s="1029">
        <v>500000</v>
      </c>
      <c r="AK53" s="1175" t="str">
        <f>Dashboard!$B39</f>
        <v>BRAIN &amp; EYE HEALTH</v>
      </c>
      <c r="AL53" s="1031">
        <v>2</v>
      </c>
      <c r="AM53" s="1031">
        <v>3</v>
      </c>
      <c r="AN53" s="1029">
        <v>500000</v>
      </c>
      <c r="AO53" s="1175" t="str">
        <f>Dashboard!$B39</f>
        <v>BRAIN &amp; EYE HEALTH</v>
      </c>
      <c r="AP53" s="1031">
        <v>2</v>
      </c>
      <c r="AQ53" s="1031">
        <v>3</v>
      </c>
      <c r="AR53" s="1029">
        <v>500000</v>
      </c>
      <c r="AS53" s="1175" t="str">
        <f>Dashboard!$B39</f>
        <v>BRAIN &amp; EYE HEALTH</v>
      </c>
      <c r="AT53" s="1031">
        <v>2</v>
      </c>
      <c r="AU53" s="1031">
        <v>3</v>
      </c>
      <c r="AV53" s="1029">
        <v>500000</v>
      </c>
      <c r="AW53" s="1175" t="str">
        <f>Dashboard!$B39</f>
        <v>BRAIN &amp; EYE HEALTH</v>
      </c>
      <c r="AX53" s="1031">
        <v>2</v>
      </c>
      <c r="AY53" s="1031">
        <v>3</v>
      </c>
      <c r="AZ53" s="1029">
        <v>500000</v>
      </c>
      <c r="BA53" s="1175" t="str">
        <f>Dashboard!$B39</f>
        <v>BRAIN &amp; EYE HEALTH</v>
      </c>
      <c r="BB53" s="1031">
        <v>2</v>
      </c>
      <c r="BC53" s="1031">
        <v>3</v>
      </c>
      <c r="BD53" s="1029">
        <v>500000</v>
      </c>
      <c r="BE53" s="1175" t="str">
        <f>Dashboard!$B39</f>
        <v>BRAIN &amp; EYE HEALTH</v>
      </c>
      <c r="BF53" s="1031">
        <v>2</v>
      </c>
      <c r="BG53" s="1031">
        <v>3</v>
      </c>
      <c r="BH53" s="1029">
        <v>500000</v>
      </c>
      <c r="BI53" s="1175" t="str">
        <f>Dashboard!$B39</f>
        <v>BRAIN &amp; EYE HEALTH</v>
      </c>
      <c r="BJ53" s="1031">
        <v>2</v>
      </c>
      <c r="BK53" s="1031">
        <v>3</v>
      </c>
      <c r="BL53" s="1029">
        <v>500000</v>
      </c>
      <c r="BM53" s="1175" t="str">
        <f>Dashboard!$B39</f>
        <v>BRAIN &amp; EYE HEALTH</v>
      </c>
      <c r="BN53" s="1031">
        <v>2</v>
      </c>
      <c r="BO53" s="1031">
        <v>3</v>
      </c>
      <c r="BP53" s="1029">
        <v>500000</v>
      </c>
      <c r="BQ53" s="1175" t="str">
        <f>Dashboard!$B39</f>
        <v>BRAIN &amp; EYE HEALTH</v>
      </c>
      <c r="BR53" s="1031">
        <v>2</v>
      </c>
      <c r="BS53" s="1031">
        <v>3</v>
      </c>
      <c r="BT53" s="1029">
        <v>500000</v>
      </c>
      <c r="BU53" s="1175" t="str">
        <f>Dashboard!$B39</f>
        <v>BRAIN &amp; EYE HEALTH</v>
      </c>
      <c r="BV53" s="1031">
        <v>2</v>
      </c>
      <c r="BW53" s="1031">
        <v>3</v>
      </c>
      <c r="BX53" s="1029">
        <v>500000</v>
      </c>
      <c r="BY53" s="1175" t="str">
        <f>Dashboard!$B39</f>
        <v>BRAIN &amp; EYE HEALTH</v>
      </c>
      <c r="BZ53" s="1031">
        <v>2</v>
      </c>
      <c r="CA53" s="1031">
        <v>3</v>
      </c>
      <c r="CB53" s="1029">
        <v>500000</v>
      </c>
      <c r="CC53" s="1175" t="str">
        <f>Dashboard!$B39</f>
        <v>BRAIN &amp; EYE HEALTH</v>
      </c>
      <c r="CD53" s="1031">
        <v>2</v>
      </c>
      <c r="CE53" s="1031">
        <v>3</v>
      </c>
      <c r="CF53" s="1029">
        <v>500000</v>
      </c>
      <c r="CG53" s="1175" t="str">
        <f>Dashboard!$B39</f>
        <v>BRAIN &amp; EYE HEALTH</v>
      </c>
      <c r="CH53" s="1031">
        <v>2</v>
      </c>
      <c r="CI53" s="1031">
        <v>3</v>
      </c>
      <c r="CJ53" s="1029">
        <v>500000</v>
      </c>
      <c r="CK53" s="1175" t="str">
        <f>Dashboard!$B39</f>
        <v>BRAIN &amp; EYE HEALTH</v>
      </c>
      <c r="CL53" s="1031">
        <v>2</v>
      </c>
      <c r="CM53" s="1031">
        <v>3</v>
      </c>
      <c r="CN53" s="1029">
        <v>500000</v>
      </c>
      <c r="CO53" s="1175" t="str">
        <f>Dashboard!$B39</f>
        <v>BRAIN &amp; EYE HEALTH</v>
      </c>
      <c r="CP53" s="1031">
        <v>2</v>
      </c>
      <c r="CQ53" s="1031">
        <v>3</v>
      </c>
      <c r="CR53" s="1029">
        <v>500000</v>
      </c>
      <c r="CS53" s="1175" t="str">
        <f>Dashboard!$B39</f>
        <v>BRAIN &amp; EYE HEALTH</v>
      </c>
      <c r="CT53" s="1031">
        <v>2</v>
      </c>
      <c r="CU53" s="1031">
        <v>3</v>
      </c>
      <c r="CV53" s="1029">
        <v>500000</v>
      </c>
      <c r="CW53" s="1175" t="str">
        <f>Dashboard!$B39</f>
        <v>BRAIN &amp; EYE HEALTH</v>
      </c>
      <c r="CX53" s="1031">
        <v>2</v>
      </c>
      <c r="CY53" s="1031">
        <v>3</v>
      </c>
      <c r="CZ53" s="1029">
        <v>500000</v>
      </c>
      <c r="DA53" s="1175" t="str">
        <f>Dashboard!$B39</f>
        <v>BRAIN &amp; EYE HEALTH</v>
      </c>
      <c r="DB53" s="1031">
        <v>2</v>
      </c>
      <c r="DC53" s="1031">
        <v>3</v>
      </c>
      <c r="DD53" s="1029">
        <v>500000</v>
      </c>
      <c r="DE53" s="1175" t="str">
        <f>Dashboard!$B39</f>
        <v>BRAIN &amp; EYE HEALTH</v>
      </c>
      <c r="DF53" s="1031">
        <v>2</v>
      </c>
      <c r="DG53" s="1031">
        <v>3</v>
      </c>
      <c r="DH53" s="1029">
        <v>500000</v>
      </c>
      <c r="DI53" s="1175" t="str">
        <f>Dashboard!$B39</f>
        <v>BRAIN &amp; EYE HEALTH</v>
      </c>
      <c r="DJ53" s="1031">
        <v>2</v>
      </c>
      <c r="DK53" s="1031">
        <v>3</v>
      </c>
      <c r="DL53" s="1029">
        <v>500000</v>
      </c>
      <c r="DM53" s="1175" t="str">
        <f>Dashboard!$B39</f>
        <v>BRAIN &amp; EYE HEALTH</v>
      </c>
      <c r="DN53" s="1031">
        <v>2</v>
      </c>
      <c r="DO53" s="1031">
        <v>3</v>
      </c>
      <c r="DP53" s="1029">
        <v>500000</v>
      </c>
      <c r="DQ53" s="1175" t="str">
        <f>Dashboard!$B39</f>
        <v>BRAIN &amp; EYE HEALTH</v>
      </c>
      <c r="DR53" s="1031">
        <v>2</v>
      </c>
      <c r="DS53" s="1031">
        <v>3</v>
      </c>
      <c r="DT53" s="1029">
        <v>500000</v>
      </c>
      <c r="DU53" s="1175" t="str">
        <f>Dashboard!$B39</f>
        <v>BRAIN &amp; EYE HEALTH</v>
      </c>
      <c r="DV53" s="1031">
        <v>2</v>
      </c>
      <c r="DW53" s="1031">
        <v>3</v>
      </c>
      <c r="DX53" s="1029">
        <v>500000</v>
      </c>
      <c r="DY53" s="1175" t="str">
        <f>Dashboard!$B39</f>
        <v>BRAIN &amp; EYE HEALTH</v>
      </c>
      <c r="DZ53" s="1031">
        <v>2</v>
      </c>
      <c r="EA53" s="1031">
        <v>3</v>
      </c>
      <c r="EB53" s="1029">
        <v>500000</v>
      </c>
      <c r="EC53" s="1175" t="str">
        <f>Dashboard!$B39</f>
        <v>BRAIN &amp; EYE HEALTH</v>
      </c>
      <c r="ED53" s="1031">
        <v>2</v>
      </c>
      <c r="EE53" s="1031">
        <v>3</v>
      </c>
      <c r="EF53" s="1029">
        <v>500000</v>
      </c>
    </row>
    <row r="54" spans="1:137" ht="20" customHeight="1" x14ac:dyDescent="0.15">
      <c r="A54" s="869">
        <f>Dashboard!F40</f>
        <v>40300000</v>
      </c>
      <c r="B54" s="864" t="str">
        <f>Dashboard!$B40</f>
        <v>CARDIOVASCULAR HEALTH</v>
      </c>
      <c r="C54" s="867" t="s">
        <v>79</v>
      </c>
      <c r="D54" s="797">
        <f>SUMIF($M$49:$EF$49,$D$49,$M54:$EF54)</f>
        <v>93</v>
      </c>
      <c r="E54" s="797">
        <f t="shared" si="374"/>
        <v>155</v>
      </c>
      <c r="F54" s="869">
        <f t="shared" si="375"/>
        <v>15500000</v>
      </c>
      <c r="G54" s="1172">
        <f>_xlfn.IFS($F$50=0,0,F54&lt;=$F$50,F54/$F$50,F54&gt;$F$50,1)</f>
        <v>0.125</v>
      </c>
      <c r="H54" s="864" t="str">
        <f>Dashboard!$B40</f>
        <v>CARDIOVASCULAR HEALTH</v>
      </c>
      <c r="I54" s="867" t="s">
        <v>79</v>
      </c>
      <c r="J54" s="797">
        <f t="shared" ca="1" si="373"/>
        <v>0</v>
      </c>
      <c r="K54" s="797">
        <f t="shared" ca="1" si="373"/>
        <v>0</v>
      </c>
      <c r="L54" s="887">
        <f t="shared" ca="1" si="373"/>
        <v>0</v>
      </c>
      <c r="M54" s="1175" t="str">
        <f>Dashboard!$B40</f>
        <v>CARDIOVASCULAR HEALTH</v>
      </c>
      <c r="N54" s="1031">
        <v>3</v>
      </c>
      <c r="O54" s="1031">
        <v>5</v>
      </c>
      <c r="P54" s="1029">
        <v>500000</v>
      </c>
      <c r="Q54" s="1175" t="str">
        <f>Dashboard!$B40</f>
        <v>CARDIOVASCULAR HEALTH</v>
      </c>
      <c r="R54" s="1031">
        <v>3</v>
      </c>
      <c r="S54" s="1031">
        <v>5</v>
      </c>
      <c r="T54" s="1029">
        <v>500000</v>
      </c>
      <c r="U54" s="1175" t="str">
        <f>Dashboard!$B40</f>
        <v>CARDIOVASCULAR HEALTH</v>
      </c>
      <c r="V54" s="1031">
        <v>3</v>
      </c>
      <c r="W54" s="1031">
        <v>5</v>
      </c>
      <c r="X54" s="1029">
        <v>500000</v>
      </c>
      <c r="Y54" s="1175" t="str">
        <f>Dashboard!$B40</f>
        <v>CARDIOVASCULAR HEALTH</v>
      </c>
      <c r="Z54" s="1031">
        <v>3</v>
      </c>
      <c r="AA54" s="1031">
        <v>5</v>
      </c>
      <c r="AB54" s="1029">
        <v>500000</v>
      </c>
      <c r="AC54" s="1175" t="str">
        <f>Dashboard!$B40</f>
        <v>CARDIOVASCULAR HEALTH</v>
      </c>
      <c r="AD54" s="1031">
        <v>3</v>
      </c>
      <c r="AE54" s="1031">
        <v>5</v>
      </c>
      <c r="AF54" s="1029">
        <v>500000</v>
      </c>
      <c r="AG54" s="1175" t="str">
        <f>Dashboard!$B40</f>
        <v>CARDIOVASCULAR HEALTH</v>
      </c>
      <c r="AH54" s="1031">
        <v>3</v>
      </c>
      <c r="AI54" s="1031">
        <v>5</v>
      </c>
      <c r="AJ54" s="1029">
        <v>500000</v>
      </c>
      <c r="AK54" s="1175" t="str">
        <f>Dashboard!$B40</f>
        <v>CARDIOVASCULAR HEALTH</v>
      </c>
      <c r="AL54" s="1031">
        <v>3</v>
      </c>
      <c r="AM54" s="1031">
        <v>5</v>
      </c>
      <c r="AN54" s="1029">
        <v>500000</v>
      </c>
      <c r="AO54" s="1175" t="str">
        <f>Dashboard!$B40</f>
        <v>CARDIOVASCULAR HEALTH</v>
      </c>
      <c r="AP54" s="1031">
        <v>3</v>
      </c>
      <c r="AQ54" s="1031">
        <v>5</v>
      </c>
      <c r="AR54" s="1029">
        <v>500000</v>
      </c>
      <c r="AS54" s="1175" t="str">
        <f>Dashboard!$B40</f>
        <v>CARDIOVASCULAR HEALTH</v>
      </c>
      <c r="AT54" s="1031">
        <v>3</v>
      </c>
      <c r="AU54" s="1031">
        <v>5</v>
      </c>
      <c r="AV54" s="1029">
        <v>500000</v>
      </c>
      <c r="AW54" s="1175" t="str">
        <f>Dashboard!$B40</f>
        <v>CARDIOVASCULAR HEALTH</v>
      </c>
      <c r="AX54" s="1031">
        <v>3</v>
      </c>
      <c r="AY54" s="1031">
        <v>5</v>
      </c>
      <c r="AZ54" s="1029">
        <v>500000</v>
      </c>
      <c r="BA54" s="1175" t="str">
        <f>Dashboard!$B40</f>
        <v>CARDIOVASCULAR HEALTH</v>
      </c>
      <c r="BB54" s="1031">
        <v>3</v>
      </c>
      <c r="BC54" s="1031">
        <v>5</v>
      </c>
      <c r="BD54" s="1029">
        <v>500000</v>
      </c>
      <c r="BE54" s="1175" t="str">
        <f>Dashboard!$B40</f>
        <v>CARDIOVASCULAR HEALTH</v>
      </c>
      <c r="BF54" s="1031">
        <v>3</v>
      </c>
      <c r="BG54" s="1031">
        <v>5</v>
      </c>
      <c r="BH54" s="1029">
        <v>500000</v>
      </c>
      <c r="BI54" s="1175" t="str">
        <f>Dashboard!$B40</f>
        <v>CARDIOVASCULAR HEALTH</v>
      </c>
      <c r="BJ54" s="1031">
        <v>3</v>
      </c>
      <c r="BK54" s="1031">
        <v>5</v>
      </c>
      <c r="BL54" s="1029">
        <v>500000</v>
      </c>
      <c r="BM54" s="1175" t="str">
        <f>Dashboard!$B40</f>
        <v>CARDIOVASCULAR HEALTH</v>
      </c>
      <c r="BN54" s="1031">
        <v>3</v>
      </c>
      <c r="BO54" s="1031">
        <v>5</v>
      </c>
      <c r="BP54" s="1029">
        <v>500000</v>
      </c>
      <c r="BQ54" s="1175" t="str">
        <f>Dashboard!$B40</f>
        <v>CARDIOVASCULAR HEALTH</v>
      </c>
      <c r="BR54" s="1031">
        <v>3</v>
      </c>
      <c r="BS54" s="1031">
        <v>5</v>
      </c>
      <c r="BT54" s="1029">
        <v>500000</v>
      </c>
      <c r="BU54" s="1175" t="str">
        <f>Dashboard!$B40</f>
        <v>CARDIOVASCULAR HEALTH</v>
      </c>
      <c r="BV54" s="1031">
        <v>3</v>
      </c>
      <c r="BW54" s="1031">
        <v>5</v>
      </c>
      <c r="BX54" s="1029">
        <v>500000</v>
      </c>
      <c r="BY54" s="1175" t="str">
        <f>Dashboard!$B40</f>
        <v>CARDIOVASCULAR HEALTH</v>
      </c>
      <c r="BZ54" s="1031">
        <v>3</v>
      </c>
      <c r="CA54" s="1031">
        <v>5</v>
      </c>
      <c r="CB54" s="1029">
        <v>500000</v>
      </c>
      <c r="CC54" s="1175" t="str">
        <f>Dashboard!$B40</f>
        <v>CARDIOVASCULAR HEALTH</v>
      </c>
      <c r="CD54" s="1031">
        <v>3</v>
      </c>
      <c r="CE54" s="1031">
        <v>5</v>
      </c>
      <c r="CF54" s="1029">
        <v>500000</v>
      </c>
      <c r="CG54" s="1175" t="str">
        <f>Dashboard!$B40</f>
        <v>CARDIOVASCULAR HEALTH</v>
      </c>
      <c r="CH54" s="1031">
        <v>3</v>
      </c>
      <c r="CI54" s="1031">
        <v>5</v>
      </c>
      <c r="CJ54" s="1029">
        <v>500000</v>
      </c>
      <c r="CK54" s="1175" t="str">
        <f>Dashboard!$B40</f>
        <v>CARDIOVASCULAR HEALTH</v>
      </c>
      <c r="CL54" s="1031">
        <v>3</v>
      </c>
      <c r="CM54" s="1031">
        <v>5</v>
      </c>
      <c r="CN54" s="1029">
        <v>500000</v>
      </c>
      <c r="CO54" s="1175" t="str">
        <f>Dashboard!$B40</f>
        <v>CARDIOVASCULAR HEALTH</v>
      </c>
      <c r="CP54" s="1031">
        <v>3</v>
      </c>
      <c r="CQ54" s="1031">
        <v>5</v>
      </c>
      <c r="CR54" s="1029">
        <v>500000</v>
      </c>
      <c r="CS54" s="1175" t="str">
        <f>Dashboard!$B40</f>
        <v>CARDIOVASCULAR HEALTH</v>
      </c>
      <c r="CT54" s="1031">
        <v>3</v>
      </c>
      <c r="CU54" s="1031">
        <v>5</v>
      </c>
      <c r="CV54" s="1029">
        <v>500000</v>
      </c>
      <c r="CW54" s="1175" t="str">
        <f>Dashboard!$B40</f>
        <v>CARDIOVASCULAR HEALTH</v>
      </c>
      <c r="CX54" s="1031">
        <v>3</v>
      </c>
      <c r="CY54" s="1031">
        <v>5</v>
      </c>
      <c r="CZ54" s="1029">
        <v>500000</v>
      </c>
      <c r="DA54" s="1175" t="str">
        <f>Dashboard!$B40</f>
        <v>CARDIOVASCULAR HEALTH</v>
      </c>
      <c r="DB54" s="1031">
        <v>3</v>
      </c>
      <c r="DC54" s="1031">
        <v>5</v>
      </c>
      <c r="DD54" s="1029">
        <v>500000</v>
      </c>
      <c r="DE54" s="1175" t="str">
        <f>Dashboard!$B40</f>
        <v>CARDIOVASCULAR HEALTH</v>
      </c>
      <c r="DF54" s="1031">
        <v>3</v>
      </c>
      <c r="DG54" s="1031">
        <v>5</v>
      </c>
      <c r="DH54" s="1029">
        <v>500000</v>
      </c>
      <c r="DI54" s="1175" t="str">
        <f>Dashboard!$B40</f>
        <v>CARDIOVASCULAR HEALTH</v>
      </c>
      <c r="DJ54" s="1031">
        <v>3</v>
      </c>
      <c r="DK54" s="1031">
        <v>5</v>
      </c>
      <c r="DL54" s="1029">
        <v>500000</v>
      </c>
      <c r="DM54" s="1175" t="str">
        <f>Dashboard!$B40</f>
        <v>CARDIOVASCULAR HEALTH</v>
      </c>
      <c r="DN54" s="1031">
        <v>3</v>
      </c>
      <c r="DO54" s="1031">
        <v>5</v>
      </c>
      <c r="DP54" s="1029">
        <v>500000</v>
      </c>
      <c r="DQ54" s="1175" t="str">
        <f>Dashboard!$B40</f>
        <v>CARDIOVASCULAR HEALTH</v>
      </c>
      <c r="DR54" s="1031">
        <v>3</v>
      </c>
      <c r="DS54" s="1031">
        <v>5</v>
      </c>
      <c r="DT54" s="1029">
        <v>500000</v>
      </c>
      <c r="DU54" s="1175" t="str">
        <f>Dashboard!$B40</f>
        <v>CARDIOVASCULAR HEALTH</v>
      </c>
      <c r="DV54" s="1031">
        <v>3</v>
      </c>
      <c r="DW54" s="1031">
        <v>5</v>
      </c>
      <c r="DX54" s="1029">
        <v>500000</v>
      </c>
      <c r="DY54" s="1175" t="str">
        <f>Dashboard!$B40</f>
        <v>CARDIOVASCULAR HEALTH</v>
      </c>
      <c r="DZ54" s="1031">
        <v>3</v>
      </c>
      <c r="EA54" s="1031">
        <v>5</v>
      </c>
      <c r="EB54" s="1029">
        <v>500000</v>
      </c>
      <c r="EC54" s="1175" t="str">
        <f>Dashboard!$B40</f>
        <v>CARDIOVASCULAR HEALTH</v>
      </c>
      <c r="ED54" s="1031">
        <v>3</v>
      </c>
      <c r="EE54" s="1031">
        <v>5</v>
      </c>
      <c r="EF54" s="1029">
        <v>500000</v>
      </c>
    </row>
    <row r="55" spans="1:137" ht="20" customHeight="1" x14ac:dyDescent="0.15">
      <c r="A55" s="869">
        <f>Dashboard!F41</f>
        <v>40300000</v>
      </c>
      <c r="B55" s="864" t="str">
        <f>Dashboard!$B41</f>
        <v>SKIN, HAIR, AND WEIGHT MANAGEMENT</v>
      </c>
      <c r="C55" s="867" t="s">
        <v>79</v>
      </c>
      <c r="D55" s="797">
        <f>SUMIF($M$49:$EF$49,$D$49,$M55:$EF55)</f>
        <v>62</v>
      </c>
      <c r="E55" s="797">
        <f>SUMIF($M$49:$EF$49,$E$49,$M55:$EF55)</f>
        <v>124</v>
      </c>
      <c r="F55" s="869">
        <f t="shared" si="375"/>
        <v>15500000</v>
      </c>
      <c r="G55" s="1172">
        <f t="shared" ref="G55:G56" si="376">_xlfn.IFS($F$50=0,0,F55&lt;=$F$50,F55/$F$50,F55&gt;$F$50,1)</f>
        <v>0.125</v>
      </c>
      <c r="H55" s="864" t="str">
        <f>Dashboard!$B41</f>
        <v>SKIN, HAIR, AND WEIGHT MANAGEMENT</v>
      </c>
      <c r="I55" s="867" t="s">
        <v>79</v>
      </c>
      <c r="J55" s="797">
        <f t="shared" ca="1" si="373"/>
        <v>0</v>
      </c>
      <c r="K55" s="797">
        <f t="shared" ca="1" si="373"/>
        <v>0</v>
      </c>
      <c r="L55" s="887">
        <f t="shared" ca="1" si="373"/>
        <v>0</v>
      </c>
      <c r="M55" s="1175" t="str">
        <f>Dashboard!$B41</f>
        <v>SKIN, HAIR, AND WEIGHT MANAGEMENT</v>
      </c>
      <c r="N55" s="1031">
        <v>2</v>
      </c>
      <c r="O55" s="1031">
        <v>4</v>
      </c>
      <c r="P55" s="1029">
        <v>500000</v>
      </c>
      <c r="Q55" s="1175" t="str">
        <f>Dashboard!$B41</f>
        <v>SKIN, HAIR, AND WEIGHT MANAGEMENT</v>
      </c>
      <c r="R55" s="1031">
        <v>2</v>
      </c>
      <c r="S55" s="1031">
        <v>4</v>
      </c>
      <c r="T55" s="1029">
        <v>500000</v>
      </c>
      <c r="U55" s="1175" t="str">
        <f>Dashboard!$B41</f>
        <v>SKIN, HAIR, AND WEIGHT MANAGEMENT</v>
      </c>
      <c r="V55" s="1031">
        <v>2</v>
      </c>
      <c r="W55" s="1031">
        <v>4</v>
      </c>
      <c r="X55" s="1029">
        <v>500000</v>
      </c>
      <c r="Y55" s="1175" t="str">
        <f>Dashboard!$B41</f>
        <v>SKIN, HAIR, AND WEIGHT MANAGEMENT</v>
      </c>
      <c r="Z55" s="1031">
        <v>2</v>
      </c>
      <c r="AA55" s="1031">
        <v>4</v>
      </c>
      <c r="AB55" s="1029">
        <v>500000</v>
      </c>
      <c r="AC55" s="1175" t="str">
        <f>Dashboard!$B41</f>
        <v>SKIN, HAIR, AND WEIGHT MANAGEMENT</v>
      </c>
      <c r="AD55" s="1031">
        <v>2</v>
      </c>
      <c r="AE55" s="1031">
        <v>4</v>
      </c>
      <c r="AF55" s="1029">
        <v>500000</v>
      </c>
      <c r="AG55" s="1175" t="str">
        <f>Dashboard!$B41</f>
        <v>SKIN, HAIR, AND WEIGHT MANAGEMENT</v>
      </c>
      <c r="AH55" s="1031">
        <v>2</v>
      </c>
      <c r="AI55" s="1031">
        <v>4</v>
      </c>
      <c r="AJ55" s="1029">
        <v>500000</v>
      </c>
      <c r="AK55" s="1175" t="str">
        <f>Dashboard!$B41</f>
        <v>SKIN, HAIR, AND WEIGHT MANAGEMENT</v>
      </c>
      <c r="AL55" s="1031">
        <v>2</v>
      </c>
      <c r="AM55" s="1031">
        <v>4</v>
      </c>
      <c r="AN55" s="1029">
        <v>500000</v>
      </c>
      <c r="AO55" s="1175" t="str">
        <f>Dashboard!$B41</f>
        <v>SKIN, HAIR, AND WEIGHT MANAGEMENT</v>
      </c>
      <c r="AP55" s="1031">
        <v>2</v>
      </c>
      <c r="AQ55" s="1031">
        <v>4</v>
      </c>
      <c r="AR55" s="1029">
        <v>500000</v>
      </c>
      <c r="AS55" s="1175" t="str">
        <f>Dashboard!$B41</f>
        <v>SKIN, HAIR, AND WEIGHT MANAGEMENT</v>
      </c>
      <c r="AT55" s="1031">
        <v>2</v>
      </c>
      <c r="AU55" s="1031">
        <v>4</v>
      </c>
      <c r="AV55" s="1029">
        <v>500000</v>
      </c>
      <c r="AW55" s="1175" t="str">
        <f>Dashboard!$B41</f>
        <v>SKIN, HAIR, AND WEIGHT MANAGEMENT</v>
      </c>
      <c r="AX55" s="1031">
        <v>2</v>
      </c>
      <c r="AY55" s="1031">
        <v>4</v>
      </c>
      <c r="AZ55" s="1029">
        <v>500000</v>
      </c>
      <c r="BA55" s="1175" t="str">
        <f>Dashboard!$B41</f>
        <v>SKIN, HAIR, AND WEIGHT MANAGEMENT</v>
      </c>
      <c r="BB55" s="1031">
        <v>2</v>
      </c>
      <c r="BC55" s="1031">
        <v>4</v>
      </c>
      <c r="BD55" s="1029">
        <v>500000</v>
      </c>
      <c r="BE55" s="1175" t="str">
        <f>Dashboard!$B41</f>
        <v>SKIN, HAIR, AND WEIGHT MANAGEMENT</v>
      </c>
      <c r="BF55" s="1031">
        <v>2</v>
      </c>
      <c r="BG55" s="1031">
        <v>4</v>
      </c>
      <c r="BH55" s="1029">
        <v>500000</v>
      </c>
      <c r="BI55" s="1175" t="str">
        <f>Dashboard!$B41</f>
        <v>SKIN, HAIR, AND WEIGHT MANAGEMENT</v>
      </c>
      <c r="BJ55" s="1031">
        <v>2</v>
      </c>
      <c r="BK55" s="1031">
        <v>4</v>
      </c>
      <c r="BL55" s="1029">
        <v>500000</v>
      </c>
      <c r="BM55" s="1175" t="str">
        <f>Dashboard!$B41</f>
        <v>SKIN, HAIR, AND WEIGHT MANAGEMENT</v>
      </c>
      <c r="BN55" s="1031">
        <v>2</v>
      </c>
      <c r="BO55" s="1031">
        <v>4</v>
      </c>
      <c r="BP55" s="1029">
        <v>500000</v>
      </c>
      <c r="BQ55" s="1175" t="str">
        <f>Dashboard!$B41</f>
        <v>SKIN, HAIR, AND WEIGHT MANAGEMENT</v>
      </c>
      <c r="BR55" s="1031">
        <v>2</v>
      </c>
      <c r="BS55" s="1031">
        <v>4</v>
      </c>
      <c r="BT55" s="1029">
        <v>500000</v>
      </c>
      <c r="BU55" s="1175" t="str">
        <f>Dashboard!$B41</f>
        <v>SKIN, HAIR, AND WEIGHT MANAGEMENT</v>
      </c>
      <c r="BV55" s="1031">
        <v>2</v>
      </c>
      <c r="BW55" s="1031">
        <v>4</v>
      </c>
      <c r="BX55" s="1029">
        <v>500000</v>
      </c>
      <c r="BY55" s="1175" t="str">
        <f>Dashboard!$B41</f>
        <v>SKIN, HAIR, AND WEIGHT MANAGEMENT</v>
      </c>
      <c r="BZ55" s="1031">
        <v>2</v>
      </c>
      <c r="CA55" s="1031">
        <v>4</v>
      </c>
      <c r="CB55" s="1029">
        <v>500000</v>
      </c>
      <c r="CC55" s="1175" t="str">
        <f>Dashboard!$B41</f>
        <v>SKIN, HAIR, AND WEIGHT MANAGEMENT</v>
      </c>
      <c r="CD55" s="1031">
        <v>2</v>
      </c>
      <c r="CE55" s="1031">
        <v>4</v>
      </c>
      <c r="CF55" s="1029">
        <v>500000</v>
      </c>
      <c r="CG55" s="1175" t="str">
        <f>Dashboard!$B41</f>
        <v>SKIN, HAIR, AND WEIGHT MANAGEMENT</v>
      </c>
      <c r="CH55" s="1031">
        <v>2</v>
      </c>
      <c r="CI55" s="1031">
        <v>4</v>
      </c>
      <c r="CJ55" s="1029">
        <v>500000</v>
      </c>
      <c r="CK55" s="1175" t="str">
        <f>Dashboard!$B41</f>
        <v>SKIN, HAIR, AND WEIGHT MANAGEMENT</v>
      </c>
      <c r="CL55" s="1031">
        <v>2</v>
      </c>
      <c r="CM55" s="1031">
        <v>4</v>
      </c>
      <c r="CN55" s="1029">
        <v>500000</v>
      </c>
      <c r="CO55" s="1175" t="str">
        <f>Dashboard!$B41</f>
        <v>SKIN, HAIR, AND WEIGHT MANAGEMENT</v>
      </c>
      <c r="CP55" s="1031">
        <v>2</v>
      </c>
      <c r="CQ55" s="1031">
        <v>4</v>
      </c>
      <c r="CR55" s="1029">
        <v>500000</v>
      </c>
      <c r="CS55" s="1175" t="str">
        <f>Dashboard!$B41</f>
        <v>SKIN, HAIR, AND WEIGHT MANAGEMENT</v>
      </c>
      <c r="CT55" s="1031">
        <v>2</v>
      </c>
      <c r="CU55" s="1031">
        <v>4</v>
      </c>
      <c r="CV55" s="1029">
        <v>500000</v>
      </c>
      <c r="CW55" s="1175" t="str">
        <f>Dashboard!$B41</f>
        <v>SKIN, HAIR, AND WEIGHT MANAGEMENT</v>
      </c>
      <c r="CX55" s="1031">
        <v>2</v>
      </c>
      <c r="CY55" s="1031">
        <v>4</v>
      </c>
      <c r="CZ55" s="1029">
        <v>500000</v>
      </c>
      <c r="DA55" s="1175" t="str">
        <f>Dashboard!$B41</f>
        <v>SKIN, HAIR, AND WEIGHT MANAGEMENT</v>
      </c>
      <c r="DB55" s="1031">
        <v>2</v>
      </c>
      <c r="DC55" s="1031">
        <v>4</v>
      </c>
      <c r="DD55" s="1029">
        <v>500000</v>
      </c>
      <c r="DE55" s="1175" t="str">
        <f>Dashboard!$B41</f>
        <v>SKIN, HAIR, AND WEIGHT MANAGEMENT</v>
      </c>
      <c r="DF55" s="1031">
        <v>2</v>
      </c>
      <c r="DG55" s="1031">
        <v>4</v>
      </c>
      <c r="DH55" s="1029">
        <v>500000</v>
      </c>
      <c r="DI55" s="1175" t="str">
        <f>Dashboard!$B41</f>
        <v>SKIN, HAIR, AND WEIGHT MANAGEMENT</v>
      </c>
      <c r="DJ55" s="1031">
        <v>2</v>
      </c>
      <c r="DK55" s="1031">
        <v>4</v>
      </c>
      <c r="DL55" s="1029">
        <v>500000</v>
      </c>
      <c r="DM55" s="1175" t="str">
        <f>Dashboard!$B41</f>
        <v>SKIN, HAIR, AND WEIGHT MANAGEMENT</v>
      </c>
      <c r="DN55" s="1031">
        <v>2</v>
      </c>
      <c r="DO55" s="1031">
        <v>4</v>
      </c>
      <c r="DP55" s="1029">
        <v>500000</v>
      </c>
      <c r="DQ55" s="1175" t="str">
        <f>Dashboard!$B41</f>
        <v>SKIN, HAIR, AND WEIGHT MANAGEMENT</v>
      </c>
      <c r="DR55" s="1031">
        <v>2</v>
      </c>
      <c r="DS55" s="1031">
        <v>4</v>
      </c>
      <c r="DT55" s="1029">
        <v>500000</v>
      </c>
      <c r="DU55" s="1175" t="str">
        <f>Dashboard!$B41</f>
        <v>SKIN, HAIR, AND WEIGHT MANAGEMENT</v>
      </c>
      <c r="DV55" s="1031">
        <v>2</v>
      </c>
      <c r="DW55" s="1031">
        <v>4</v>
      </c>
      <c r="DX55" s="1029">
        <v>500000</v>
      </c>
      <c r="DY55" s="1175" t="str">
        <f>Dashboard!$B41</f>
        <v>SKIN, HAIR, AND WEIGHT MANAGEMENT</v>
      </c>
      <c r="DZ55" s="1031">
        <v>2</v>
      </c>
      <c r="EA55" s="1031">
        <v>4</v>
      </c>
      <c r="EB55" s="1029">
        <v>500000</v>
      </c>
      <c r="EC55" s="1175" t="str">
        <f>Dashboard!$B41</f>
        <v>SKIN, HAIR, AND WEIGHT MANAGEMENT</v>
      </c>
      <c r="ED55" s="1031">
        <v>2</v>
      </c>
      <c r="EE55" s="1031">
        <v>4</v>
      </c>
      <c r="EF55" s="1029">
        <v>500000</v>
      </c>
    </row>
    <row r="56" spans="1:137" ht="20" customHeight="1" x14ac:dyDescent="0.15">
      <c r="A56" s="869">
        <f>Dashboard!F42</f>
        <v>40300000</v>
      </c>
      <c r="B56" s="864" t="str">
        <f>Dashboard!$B42</f>
        <v>HORMONAL HEALTH</v>
      </c>
      <c r="C56" s="867" t="s">
        <v>79</v>
      </c>
      <c r="D56" s="797">
        <f t="shared" ref="D56:D58" si="377">SUMIF($M$49:$EF$49,$D$49,$M56:$EF56)</f>
        <v>124</v>
      </c>
      <c r="E56" s="797">
        <f t="shared" si="374"/>
        <v>93</v>
      </c>
      <c r="F56" s="869">
        <f t="shared" si="375"/>
        <v>15500000</v>
      </c>
      <c r="G56" s="1172">
        <f t="shared" si="376"/>
        <v>0.125</v>
      </c>
      <c r="H56" s="864" t="str">
        <f>Dashboard!$B42</f>
        <v>HORMONAL HEALTH</v>
      </c>
      <c r="I56" s="867" t="s">
        <v>79</v>
      </c>
      <c r="J56" s="797">
        <f t="shared" ca="1" si="373"/>
        <v>0</v>
      </c>
      <c r="K56" s="797">
        <f t="shared" ca="1" si="373"/>
        <v>0</v>
      </c>
      <c r="L56" s="887">
        <f t="shared" ca="1" si="373"/>
        <v>0</v>
      </c>
      <c r="M56" s="1175" t="str">
        <f>Dashboard!$B42</f>
        <v>HORMONAL HEALTH</v>
      </c>
      <c r="N56" s="1031">
        <v>4</v>
      </c>
      <c r="O56" s="1031">
        <v>3</v>
      </c>
      <c r="P56" s="1029">
        <v>500000</v>
      </c>
      <c r="Q56" s="1175" t="str">
        <f>Dashboard!$B42</f>
        <v>HORMONAL HEALTH</v>
      </c>
      <c r="R56" s="1031">
        <v>4</v>
      </c>
      <c r="S56" s="1031">
        <v>3</v>
      </c>
      <c r="T56" s="1029">
        <v>500000</v>
      </c>
      <c r="U56" s="1175" t="str">
        <f>Dashboard!$B42</f>
        <v>HORMONAL HEALTH</v>
      </c>
      <c r="V56" s="1031">
        <v>4</v>
      </c>
      <c r="W56" s="1031">
        <v>3</v>
      </c>
      <c r="X56" s="1029">
        <v>500000</v>
      </c>
      <c r="Y56" s="1175" t="str">
        <f>Dashboard!$B42</f>
        <v>HORMONAL HEALTH</v>
      </c>
      <c r="Z56" s="1031">
        <v>4</v>
      </c>
      <c r="AA56" s="1031">
        <v>3</v>
      </c>
      <c r="AB56" s="1029">
        <v>500000</v>
      </c>
      <c r="AC56" s="1175" t="str">
        <f>Dashboard!$B42</f>
        <v>HORMONAL HEALTH</v>
      </c>
      <c r="AD56" s="1031">
        <v>4</v>
      </c>
      <c r="AE56" s="1031">
        <v>3</v>
      </c>
      <c r="AF56" s="1029">
        <v>500000</v>
      </c>
      <c r="AG56" s="1175" t="str">
        <f>Dashboard!$B42</f>
        <v>HORMONAL HEALTH</v>
      </c>
      <c r="AH56" s="1031">
        <v>4</v>
      </c>
      <c r="AI56" s="1031">
        <v>3</v>
      </c>
      <c r="AJ56" s="1029">
        <v>500000</v>
      </c>
      <c r="AK56" s="1175" t="str">
        <f>Dashboard!$B42</f>
        <v>HORMONAL HEALTH</v>
      </c>
      <c r="AL56" s="1031">
        <v>4</v>
      </c>
      <c r="AM56" s="1031">
        <v>3</v>
      </c>
      <c r="AN56" s="1029">
        <v>500000</v>
      </c>
      <c r="AO56" s="1175" t="str">
        <f>Dashboard!$B42</f>
        <v>HORMONAL HEALTH</v>
      </c>
      <c r="AP56" s="1031">
        <v>4</v>
      </c>
      <c r="AQ56" s="1031">
        <v>3</v>
      </c>
      <c r="AR56" s="1029">
        <v>500000</v>
      </c>
      <c r="AS56" s="1175" t="str">
        <f>Dashboard!$B42</f>
        <v>HORMONAL HEALTH</v>
      </c>
      <c r="AT56" s="1031">
        <v>4</v>
      </c>
      <c r="AU56" s="1031">
        <v>3</v>
      </c>
      <c r="AV56" s="1029">
        <v>500000</v>
      </c>
      <c r="AW56" s="1175" t="str">
        <f>Dashboard!$B42</f>
        <v>HORMONAL HEALTH</v>
      </c>
      <c r="AX56" s="1031">
        <v>4</v>
      </c>
      <c r="AY56" s="1031">
        <v>3</v>
      </c>
      <c r="AZ56" s="1029">
        <v>500000</v>
      </c>
      <c r="BA56" s="1175" t="str">
        <f>Dashboard!$B42</f>
        <v>HORMONAL HEALTH</v>
      </c>
      <c r="BB56" s="1031">
        <v>4</v>
      </c>
      <c r="BC56" s="1031">
        <v>3</v>
      </c>
      <c r="BD56" s="1029">
        <v>500000</v>
      </c>
      <c r="BE56" s="1175" t="str">
        <f>Dashboard!$B42</f>
        <v>HORMONAL HEALTH</v>
      </c>
      <c r="BF56" s="1031">
        <v>4</v>
      </c>
      <c r="BG56" s="1031">
        <v>3</v>
      </c>
      <c r="BH56" s="1029">
        <v>500000</v>
      </c>
      <c r="BI56" s="1175" t="str">
        <f>Dashboard!$B42</f>
        <v>HORMONAL HEALTH</v>
      </c>
      <c r="BJ56" s="1031">
        <v>4</v>
      </c>
      <c r="BK56" s="1031">
        <v>3</v>
      </c>
      <c r="BL56" s="1029">
        <v>500000</v>
      </c>
      <c r="BM56" s="1175" t="str">
        <f>Dashboard!$B42</f>
        <v>HORMONAL HEALTH</v>
      </c>
      <c r="BN56" s="1031">
        <v>4</v>
      </c>
      <c r="BO56" s="1031">
        <v>3</v>
      </c>
      <c r="BP56" s="1029">
        <v>500000</v>
      </c>
      <c r="BQ56" s="1175" t="str">
        <f>Dashboard!$B42</f>
        <v>HORMONAL HEALTH</v>
      </c>
      <c r="BR56" s="1031">
        <v>4</v>
      </c>
      <c r="BS56" s="1031">
        <v>3</v>
      </c>
      <c r="BT56" s="1029">
        <v>500000</v>
      </c>
      <c r="BU56" s="1175" t="str">
        <f>Dashboard!$B42</f>
        <v>HORMONAL HEALTH</v>
      </c>
      <c r="BV56" s="1031">
        <v>4</v>
      </c>
      <c r="BW56" s="1031">
        <v>3</v>
      </c>
      <c r="BX56" s="1029">
        <v>500000</v>
      </c>
      <c r="BY56" s="1175" t="str">
        <f>Dashboard!$B42</f>
        <v>HORMONAL HEALTH</v>
      </c>
      <c r="BZ56" s="1031">
        <v>4</v>
      </c>
      <c r="CA56" s="1031">
        <v>3</v>
      </c>
      <c r="CB56" s="1029">
        <v>500000</v>
      </c>
      <c r="CC56" s="1175" t="str">
        <f>Dashboard!$B42</f>
        <v>HORMONAL HEALTH</v>
      </c>
      <c r="CD56" s="1031">
        <v>4</v>
      </c>
      <c r="CE56" s="1031">
        <v>3</v>
      </c>
      <c r="CF56" s="1029">
        <v>500000</v>
      </c>
      <c r="CG56" s="1175" t="str">
        <f>Dashboard!$B42</f>
        <v>HORMONAL HEALTH</v>
      </c>
      <c r="CH56" s="1031">
        <v>4</v>
      </c>
      <c r="CI56" s="1031">
        <v>3</v>
      </c>
      <c r="CJ56" s="1029">
        <v>500000</v>
      </c>
      <c r="CK56" s="1175" t="str">
        <f>Dashboard!$B42</f>
        <v>HORMONAL HEALTH</v>
      </c>
      <c r="CL56" s="1031">
        <v>4</v>
      </c>
      <c r="CM56" s="1031">
        <v>3</v>
      </c>
      <c r="CN56" s="1029">
        <v>500000</v>
      </c>
      <c r="CO56" s="1175" t="str">
        <f>Dashboard!$B42</f>
        <v>HORMONAL HEALTH</v>
      </c>
      <c r="CP56" s="1031">
        <v>4</v>
      </c>
      <c r="CQ56" s="1031">
        <v>3</v>
      </c>
      <c r="CR56" s="1029">
        <v>500000</v>
      </c>
      <c r="CS56" s="1175" t="str">
        <f>Dashboard!$B42</f>
        <v>HORMONAL HEALTH</v>
      </c>
      <c r="CT56" s="1031">
        <v>4</v>
      </c>
      <c r="CU56" s="1031">
        <v>3</v>
      </c>
      <c r="CV56" s="1029">
        <v>500000</v>
      </c>
      <c r="CW56" s="1175" t="str">
        <f>Dashboard!$B42</f>
        <v>HORMONAL HEALTH</v>
      </c>
      <c r="CX56" s="1031">
        <v>4</v>
      </c>
      <c r="CY56" s="1031">
        <v>3</v>
      </c>
      <c r="CZ56" s="1029">
        <v>500000</v>
      </c>
      <c r="DA56" s="1175" t="str">
        <f>Dashboard!$B42</f>
        <v>HORMONAL HEALTH</v>
      </c>
      <c r="DB56" s="1031">
        <v>4</v>
      </c>
      <c r="DC56" s="1031">
        <v>3</v>
      </c>
      <c r="DD56" s="1029">
        <v>500000</v>
      </c>
      <c r="DE56" s="1175" t="str">
        <f>Dashboard!$B42</f>
        <v>HORMONAL HEALTH</v>
      </c>
      <c r="DF56" s="1031">
        <v>4</v>
      </c>
      <c r="DG56" s="1031">
        <v>3</v>
      </c>
      <c r="DH56" s="1029">
        <v>500000</v>
      </c>
      <c r="DI56" s="1175" t="str">
        <f>Dashboard!$B42</f>
        <v>HORMONAL HEALTH</v>
      </c>
      <c r="DJ56" s="1031">
        <v>4</v>
      </c>
      <c r="DK56" s="1031">
        <v>3</v>
      </c>
      <c r="DL56" s="1029">
        <v>500000</v>
      </c>
      <c r="DM56" s="1175" t="str">
        <f>Dashboard!$B42</f>
        <v>HORMONAL HEALTH</v>
      </c>
      <c r="DN56" s="1031">
        <v>4</v>
      </c>
      <c r="DO56" s="1031">
        <v>3</v>
      </c>
      <c r="DP56" s="1029">
        <v>500000</v>
      </c>
      <c r="DQ56" s="1175" t="str">
        <f>Dashboard!$B42</f>
        <v>HORMONAL HEALTH</v>
      </c>
      <c r="DR56" s="1031">
        <v>4</v>
      </c>
      <c r="DS56" s="1031">
        <v>3</v>
      </c>
      <c r="DT56" s="1029">
        <v>500000</v>
      </c>
      <c r="DU56" s="1175" t="str">
        <f>Dashboard!$B42</f>
        <v>HORMONAL HEALTH</v>
      </c>
      <c r="DV56" s="1031">
        <v>4</v>
      </c>
      <c r="DW56" s="1031">
        <v>3</v>
      </c>
      <c r="DX56" s="1029">
        <v>500000</v>
      </c>
      <c r="DY56" s="1175" t="str">
        <f>Dashboard!$B42</f>
        <v>HORMONAL HEALTH</v>
      </c>
      <c r="DZ56" s="1031">
        <v>4</v>
      </c>
      <c r="EA56" s="1031">
        <v>3</v>
      </c>
      <c r="EB56" s="1029">
        <v>500000</v>
      </c>
      <c r="EC56" s="1175" t="str">
        <f>Dashboard!$B42</f>
        <v>HORMONAL HEALTH</v>
      </c>
      <c r="ED56" s="1031">
        <v>4</v>
      </c>
      <c r="EE56" s="1031">
        <v>3</v>
      </c>
      <c r="EF56" s="1029">
        <v>500000</v>
      </c>
    </row>
    <row r="57" spans="1:137" ht="20" customHeight="1" x14ac:dyDescent="0.15">
      <c r="A57" s="869">
        <f>Dashboard!F43</f>
        <v>40300000</v>
      </c>
      <c r="B57" s="864" t="str">
        <f>Dashboard!$B43</f>
        <v>IMMUNE SUPPORT</v>
      </c>
      <c r="C57" s="867" t="s">
        <v>79</v>
      </c>
      <c r="D57" s="797">
        <f t="shared" si="377"/>
        <v>93</v>
      </c>
      <c r="E57" s="797">
        <f t="shared" si="374"/>
        <v>155</v>
      </c>
      <c r="F57" s="869">
        <f>SUMIF($M$49:$EF$49,$F$49,$M57:$EF57)</f>
        <v>15500000</v>
      </c>
      <c r="G57" s="1172">
        <f>_xlfn.IFS($F$50=0,0,F57&lt;=$F$50,F57/$F$50,F57&gt;$F$50,1)</f>
        <v>0.125</v>
      </c>
      <c r="H57" s="864" t="str">
        <f>Dashboard!$B43</f>
        <v>IMMUNE SUPPORT</v>
      </c>
      <c r="I57" s="867" t="s">
        <v>79</v>
      </c>
      <c r="J57" s="797">
        <f t="shared" ca="1" si="373"/>
        <v>0</v>
      </c>
      <c r="K57" s="797">
        <f t="shared" ca="1" si="373"/>
        <v>0</v>
      </c>
      <c r="L57" s="887">
        <f t="shared" ca="1" si="373"/>
        <v>0</v>
      </c>
      <c r="M57" s="1175" t="str">
        <f>Dashboard!$B43</f>
        <v>IMMUNE SUPPORT</v>
      </c>
      <c r="N57" s="1031">
        <v>3</v>
      </c>
      <c r="O57" s="1031">
        <v>5</v>
      </c>
      <c r="P57" s="1029">
        <v>500000</v>
      </c>
      <c r="Q57" s="1175" t="str">
        <f>Dashboard!$B43</f>
        <v>IMMUNE SUPPORT</v>
      </c>
      <c r="R57" s="1031">
        <v>3</v>
      </c>
      <c r="S57" s="1031">
        <v>5</v>
      </c>
      <c r="T57" s="1029">
        <v>500000</v>
      </c>
      <c r="U57" s="1175" t="str">
        <f>Dashboard!$B43</f>
        <v>IMMUNE SUPPORT</v>
      </c>
      <c r="V57" s="1031">
        <v>3</v>
      </c>
      <c r="W57" s="1031">
        <v>5</v>
      </c>
      <c r="X57" s="1029">
        <v>500000</v>
      </c>
      <c r="Y57" s="1175" t="str">
        <f>Dashboard!$B43</f>
        <v>IMMUNE SUPPORT</v>
      </c>
      <c r="Z57" s="1031">
        <v>3</v>
      </c>
      <c r="AA57" s="1031">
        <v>5</v>
      </c>
      <c r="AB57" s="1029">
        <v>500000</v>
      </c>
      <c r="AC57" s="1175" t="str">
        <f>Dashboard!$B43</f>
        <v>IMMUNE SUPPORT</v>
      </c>
      <c r="AD57" s="1031">
        <v>3</v>
      </c>
      <c r="AE57" s="1031">
        <v>5</v>
      </c>
      <c r="AF57" s="1029">
        <v>500000</v>
      </c>
      <c r="AG57" s="1175" t="str">
        <f>Dashboard!$B43</f>
        <v>IMMUNE SUPPORT</v>
      </c>
      <c r="AH57" s="1031">
        <v>3</v>
      </c>
      <c r="AI57" s="1031">
        <v>5</v>
      </c>
      <c r="AJ57" s="1029">
        <v>500000</v>
      </c>
      <c r="AK57" s="1175" t="str">
        <f>Dashboard!$B43</f>
        <v>IMMUNE SUPPORT</v>
      </c>
      <c r="AL57" s="1031">
        <v>3</v>
      </c>
      <c r="AM57" s="1031">
        <v>5</v>
      </c>
      <c r="AN57" s="1029">
        <v>500000</v>
      </c>
      <c r="AO57" s="1175" t="str">
        <f>Dashboard!$B43</f>
        <v>IMMUNE SUPPORT</v>
      </c>
      <c r="AP57" s="1031">
        <v>3</v>
      </c>
      <c r="AQ57" s="1031">
        <v>5</v>
      </c>
      <c r="AR57" s="1029">
        <v>500000</v>
      </c>
      <c r="AS57" s="1175" t="str">
        <f>Dashboard!$B43</f>
        <v>IMMUNE SUPPORT</v>
      </c>
      <c r="AT57" s="1031">
        <v>3</v>
      </c>
      <c r="AU57" s="1031">
        <v>5</v>
      </c>
      <c r="AV57" s="1029">
        <v>500000</v>
      </c>
      <c r="AW57" s="1175" t="str">
        <f>Dashboard!$B43</f>
        <v>IMMUNE SUPPORT</v>
      </c>
      <c r="AX57" s="1031">
        <v>3</v>
      </c>
      <c r="AY57" s="1031">
        <v>5</v>
      </c>
      <c r="AZ57" s="1029">
        <v>500000</v>
      </c>
      <c r="BA57" s="1175" t="str">
        <f>Dashboard!$B43</f>
        <v>IMMUNE SUPPORT</v>
      </c>
      <c r="BB57" s="1031">
        <v>3</v>
      </c>
      <c r="BC57" s="1031">
        <v>5</v>
      </c>
      <c r="BD57" s="1029">
        <v>500000</v>
      </c>
      <c r="BE57" s="1175" t="str">
        <f>Dashboard!$B43</f>
        <v>IMMUNE SUPPORT</v>
      </c>
      <c r="BF57" s="1031">
        <v>3</v>
      </c>
      <c r="BG57" s="1031">
        <v>5</v>
      </c>
      <c r="BH57" s="1029">
        <v>500000</v>
      </c>
      <c r="BI57" s="1175" t="str">
        <f>Dashboard!$B43</f>
        <v>IMMUNE SUPPORT</v>
      </c>
      <c r="BJ57" s="1031">
        <v>3</v>
      </c>
      <c r="BK57" s="1031">
        <v>5</v>
      </c>
      <c r="BL57" s="1029">
        <v>500000</v>
      </c>
      <c r="BM57" s="1175" t="str">
        <f>Dashboard!$B43</f>
        <v>IMMUNE SUPPORT</v>
      </c>
      <c r="BN57" s="1031">
        <v>3</v>
      </c>
      <c r="BO57" s="1031">
        <v>5</v>
      </c>
      <c r="BP57" s="1029">
        <v>500000</v>
      </c>
      <c r="BQ57" s="1175" t="str">
        <f>Dashboard!$B43</f>
        <v>IMMUNE SUPPORT</v>
      </c>
      <c r="BR57" s="1031">
        <v>3</v>
      </c>
      <c r="BS57" s="1031">
        <v>5</v>
      </c>
      <c r="BT57" s="1029">
        <v>500000</v>
      </c>
      <c r="BU57" s="1175" t="str">
        <f>Dashboard!$B43</f>
        <v>IMMUNE SUPPORT</v>
      </c>
      <c r="BV57" s="1031">
        <v>3</v>
      </c>
      <c r="BW57" s="1031">
        <v>5</v>
      </c>
      <c r="BX57" s="1029">
        <v>500000</v>
      </c>
      <c r="BY57" s="1175" t="str">
        <f>Dashboard!$B43</f>
        <v>IMMUNE SUPPORT</v>
      </c>
      <c r="BZ57" s="1031">
        <v>3</v>
      </c>
      <c r="CA57" s="1031">
        <v>5</v>
      </c>
      <c r="CB57" s="1029">
        <v>500000</v>
      </c>
      <c r="CC57" s="1175" t="str">
        <f>Dashboard!$B43</f>
        <v>IMMUNE SUPPORT</v>
      </c>
      <c r="CD57" s="1031">
        <v>3</v>
      </c>
      <c r="CE57" s="1031">
        <v>5</v>
      </c>
      <c r="CF57" s="1029">
        <v>500000</v>
      </c>
      <c r="CG57" s="1175" t="str">
        <f>Dashboard!$B43</f>
        <v>IMMUNE SUPPORT</v>
      </c>
      <c r="CH57" s="1031">
        <v>3</v>
      </c>
      <c r="CI57" s="1031">
        <v>5</v>
      </c>
      <c r="CJ57" s="1029">
        <v>500000</v>
      </c>
      <c r="CK57" s="1175" t="str">
        <f>Dashboard!$B43</f>
        <v>IMMUNE SUPPORT</v>
      </c>
      <c r="CL57" s="1031">
        <v>3</v>
      </c>
      <c r="CM57" s="1031">
        <v>5</v>
      </c>
      <c r="CN57" s="1029">
        <v>500000</v>
      </c>
      <c r="CO57" s="1175" t="str">
        <f>Dashboard!$B43</f>
        <v>IMMUNE SUPPORT</v>
      </c>
      <c r="CP57" s="1031">
        <v>3</v>
      </c>
      <c r="CQ57" s="1031">
        <v>5</v>
      </c>
      <c r="CR57" s="1029">
        <v>500000</v>
      </c>
      <c r="CS57" s="1175" t="str">
        <f>Dashboard!$B43</f>
        <v>IMMUNE SUPPORT</v>
      </c>
      <c r="CT57" s="1031">
        <v>3</v>
      </c>
      <c r="CU57" s="1031">
        <v>5</v>
      </c>
      <c r="CV57" s="1029">
        <v>500000</v>
      </c>
      <c r="CW57" s="1175" t="str">
        <f>Dashboard!$B43</f>
        <v>IMMUNE SUPPORT</v>
      </c>
      <c r="CX57" s="1031">
        <v>3</v>
      </c>
      <c r="CY57" s="1031">
        <v>5</v>
      </c>
      <c r="CZ57" s="1029">
        <v>500000</v>
      </c>
      <c r="DA57" s="1175" t="str">
        <f>Dashboard!$B43</f>
        <v>IMMUNE SUPPORT</v>
      </c>
      <c r="DB57" s="1031">
        <v>3</v>
      </c>
      <c r="DC57" s="1031">
        <v>5</v>
      </c>
      <c r="DD57" s="1029">
        <v>500000</v>
      </c>
      <c r="DE57" s="1175" t="str">
        <f>Dashboard!$B43</f>
        <v>IMMUNE SUPPORT</v>
      </c>
      <c r="DF57" s="1031">
        <v>3</v>
      </c>
      <c r="DG57" s="1031">
        <v>5</v>
      </c>
      <c r="DH57" s="1029">
        <v>500000</v>
      </c>
      <c r="DI57" s="1175" t="str">
        <f>Dashboard!$B43</f>
        <v>IMMUNE SUPPORT</v>
      </c>
      <c r="DJ57" s="1031">
        <v>3</v>
      </c>
      <c r="DK57" s="1031">
        <v>5</v>
      </c>
      <c r="DL57" s="1029">
        <v>500000</v>
      </c>
      <c r="DM57" s="1175" t="str">
        <f>Dashboard!$B43</f>
        <v>IMMUNE SUPPORT</v>
      </c>
      <c r="DN57" s="1031">
        <v>3</v>
      </c>
      <c r="DO57" s="1031">
        <v>5</v>
      </c>
      <c r="DP57" s="1029">
        <v>500000</v>
      </c>
      <c r="DQ57" s="1175" t="str">
        <f>Dashboard!$B43</f>
        <v>IMMUNE SUPPORT</v>
      </c>
      <c r="DR57" s="1031">
        <v>3</v>
      </c>
      <c r="DS57" s="1031">
        <v>5</v>
      </c>
      <c r="DT57" s="1029">
        <v>500000</v>
      </c>
      <c r="DU57" s="1175" t="str">
        <f>Dashboard!$B43</f>
        <v>IMMUNE SUPPORT</v>
      </c>
      <c r="DV57" s="1031">
        <v>3</v>
      </c>
      <c r="DW57" s="1031">
        <v>5</v>
      </c>
      <c r="DX57" s="1029">
        <v>500000</v>
      </c>
      <c r="DY57" s="1175" t="str">
        <f>Dashboard!$B43</f>
        <v>IMMUNE SUPPORT</v>
      </c>
      <c r="DZ57" s="1031">
        <v>3</v>
      </c>
      <c r="EA57" s="1031">
        <v>5</v>
      </c>
      <c r="EB57" s="1029">
        <v>500000</v>
      </c>
      <c r="EC57" s="1175" t="str">
        <f>Dashboard!$B43</f>
        <v>IMMUNE SUPPORT</v>
      </c>
      <c r="ED57" s="1031">
        <v>3</v>
      </c>
      <c r="EE57" s="1031">
        <v>5</v>
      </c>
      <c r="EF57" s="1029">
        <v>500000</v>
      </c>
    </row>
    <row r="58" spans="1:137" ht="20" customHeight="1" thickBot="1" x14ac:dyDescent="0.2">
      <c r="A58" s="1020">
        <f>Dashboard!F44</f>
        <v>49600000</v>
      </c>
      <c r="B58" s="1021" t="str">
        <f>Dashboard!$B44</f>
        <v>MATERNITY &amp; CHILDREN’S HEALTH</v>
      </c>
      <c r="C58" s="1022" t="s">
        <v>79</v>
      </c>
      <c r="D58" s="1023">
        <f t="shared" si="377"/>
        <v>155</v>
      </c>
      <c r="E58" s="1023">
        <f t="shared" si="374"/>
        <v>93</v>
      </c>
      <c r="F58" s="1020">
        <f>SUMIF($M$49:$EF$49,$F$49,$M58:$EF58)</f>
        <v>15500000</v>
      </c>
      <c r="G58" s="1173">
        <f>_xlfn.IFS($F$50=0,0,F58&lt;=$F$50,F58/$F$50,F58&gt;$F$50,1)</f>
        <v>0.125</v>
      </c>
      <c r="H58" s="1021" t="str">
        <f>Dashboard!$B44</f>
        <v>MATERNITY &amp; CHILDREN’S HEALTH</v>
      </c>
      <c r="I58" s="1022" t="s">
        <v>79</v>
      </c>
      <c r="J58" s="1023">
        <f t="shared" ca="1" si="373"/>
        <v>0</v>
      </c>
      <c r="K58" s="1023">
        <f t="shared" ca="1" si="373"/>
        <v>0</v>
      </c>
      <c r="L58" s="1020">
        <f t="shared" ca="1" si="373"/>
        <v>0</v>
      </c>
      <c r="M58" s="1176" t="str">
        <f>Dashboard!$B44</f>
        <v>MATERNITY &amp; CHILDREN’S HEALTH</v>
      </c>
      <c r="N58" s="1032">
        <v>5</v>
      </c>
      <c r="O58" s="1032">
        <v>3</v>
      </c>
      <c r="P58" s="1114">
        <v>500000</v>
      </c>
      <c r="Q58" s="1176" t="str">
        <f>Dashboard!$B44</f>
        <v>MATERNITY &amp; CHILDREN’S HEALTH</v>
      </c>
      <c r="R58" s="1032">
        <v>5</v>
      </c>
      <c r="S58" s="1032">
        <v>3</v>
      </c>
      <c r="T58" s="1114">
        <v>500000</v>
      </c>
      <c r="U58" s="1176" t="str">
        <f>Dashboard!$B44</f>
        <v>MATERNITY &amp; CHILDREN’S HEALTH</v>
      </c>
      <c r="V58" s="1032">
        <v>5</v>
      </c>
      <c r="W58" s="1032">
        <v>3</v>
      </c>
      <c r="X58" s="1114">
        <v>500000</v>
      </c>
      <c r="Y58" s="1176" t="str">
        <f>Dashboard!$B44</f>
        <v>MATERNITY &amp; CHILDREN’S HEALTH</v>
      </c>
      <c r="Z58" s="1032">
        <v>5</v>
      </c>
      <c r="AA58" s="1032">
        <v>3</v>
      </c>
      <c r="AB58" s="1114">
        <v>500000</v>
      </c>
      <c r="AC58" s="1176" t="str">
        <f>Dashboard!$B44</f>
        <v>MATERNITY &amp; CHILDREN’S HEALTH</v>
      </c>
      <c r="AD58" s="1032">
        <v>5</v>
      </c>
      <c r="AE58" s="1032">
        <v>3</v>
      </c>
      <c r="AF58" s="1114">
        <v>500000</v>
      </c>
      <c r="AG58" s="1176" t="str">
        <f>Dashboard!$B44</f>
        <v>MATERNITY &amp; CHILDREN’S HEALTH</v>
      </c>
      <c r="AH58" s="1032">
        <v>5</v>
      </c>
      <c r="AI58" s="1032">
        <v>3</v>
      </c>
      <c r="AJ58" s="1114">
        <v>500000</v>
      </c>
      <c r="AK58" s="1176" t="str">
        <f>Dashboard!$B44</f>
        <v>MATERNITY &amp; CHILDREN’S HEALTH</v>
      </c>
      <c r="AL58" s="1032">
        <v>5</v>
      </c>
      <c r="AM58" s="1032">
        <v>3</v>
      </c>
      <c r="AN58" s="1114">
        <v>500000</v>
      </c>
      <c r="AO58" s="1176" t="str">
        <f>Dashboard!$B44</f>
        <v>MATERNITY &amp; CHILDREN’S HEALTH</v>
      </c>
      <c r="AP58" s="1032">
        <v>5</v>
      </c>
      <c r="AQ58" s="1032">
        <v>3</v>
      </c>
      <c r="AR58" s="1114">
        <v>500000</v>
      </c>
      <c r="AS58" s="1176" t="str">
        <f>Dashboard!$B44</f>
        <v>MATERNITY &amp; CHILDREN’S HEALTH</v>
      </c>
      <c r="AT58" s="1032">
        <v>5</v>
      </c>
      <c r="AU58" s="1032">
        <v>3</v>
      </c>
      <c r="AV58" s="1114">
        <v>500000</v>
      </c>
      <c r="AW58" s="1176" t="str">
        <f>Dashboard!$B44</f>
        <v>MATERNITY &amp; CHILDREN’S HEALTH</v>
      </c>
      <c r="AX58" s="1032">
        <v>5</v>
      </c>
      <c r="AY58" s="1032">
        <v>3</v>
      </c>
      <c r="AZ58" s="1114">
        <v>500000</v>
      </c>
      <c r="BA58" s="1176" t="str">
        <f>Dashboard!$B44</f>
        <v>MATERNITY &amp; CHILDREN’S HEALTH</v>
      </c>
      <c r="BB58" s="1032">
        <v>5</v>
      </c>
      <c r="BC58" s="1032">
        <v>3</v>
      </c>
      <c r="BD58" s="1114">
        <v>500000</v>
      </c>
      <c r="BE58" s="1176" t="str">
        <f>Dashboard!$B44</f>
        <v>MATERNITY &amp; CHILDREN’S HEALTH</v>
      </c>
      <c r="BF58" s="1032">
        <v>5</v>
      </c>
      <c r="BG58" s="1032">
        <v>3</v>
      </c>
      <c r="BH58" s="1114">
        <v>500000</v>
      </c>
      <c r="BI58" s="1176" t="str">
        <f>Dashboard!$B44</f>
        <v>MATERNITY &amp; CHILDREN’S HEALTH</v>
      </c>
      <c r="BJ58" s="1032">
        <v>5</v>
      </c>
      <c r="BK58" s="1032">
        <v>3</v>
      </c>
      <c r="BL58" s="1114">
        <v>500000</v>
      </c>
      <c r="BM58" s="1176" t="str">
        <f>Dashboard!$B44</f>
        <v>MATERNITY &amp; CHILDREN’S HEALTH</v>
      </c>
      <c r="BN58" s="1032">
        <v>5</v>
      </c>
      <c r="BO58" s="1032">
        <v>3</v>
      </c>
      <c r="BP58" s="1114">
        <v>500000</v>
      </c>
      <c r="BQ58" s="1176" t="str">
        <f>Dashboard!$B44</f>
        <v>MATERNITY &amp; CHILDREN’S HEALTH</v>
      </c>
      <c r="BR58" s="1032">
        <v>5</v>
      </c>
      <c r="BS58" s="1032">
        <v>3</v>
      </c>
      <c r="BT58" s="1114">
        <v>500000</v>
      </c>
      <c r="BU58" s="1176" t="str">
        <f>Dashboard!$B44</f>
        <v>MATERNITY &amp; CHILDREN’S HEALTH</v>
      </c>
      <c r="BV58" s="1032">
        <v>5</v>
      </c>
      <c r="BW58" s="1032">
        <v>3</v>
      </c>
      <c r="BX58" s="1114">
        <v>500000</v>
      </c>
      <c r="BY58" s="1176" t="str">
        <f>Dashboard!$B44</f>
        <v>MATERNITY &amp; CHILDREN’S HEALTH</v>
      </c>
      <c r="BZ58" s="1032">
        <v>5</v>
      </c>
      <c r="CA58" s="1032">
        <v>3</v>
      </c>
      <c r="CB58" s="1114">
        <v>500000</v>
      </c>
      <c r="CC58" s="1176" t="str">
        <f>Dashboard!$B44</f>
        <v>MATERNITY &amp; CHILDREN’S HEALTH</v>
      </c>
      <c r="CD58" s="1032">
        <v>5</v>
      </c>
      <c r="CE58" s="1032">
        <v>3</v>
      </c>
      <c r="CF58" s="1114">
        <v>500000</v>
      </c>
      <c r="CG58" s="1176" t="str">
        <f>Dashboard!$B44</f>
        <v>MATERNITY &amp; CHILDREN’S HEALTH</v>
      </c>
      <c r="CH58" s="1032">
        <v>5</v>
      </c>
      <c r="CI58" s="1032">
        <v>3</v>
      </c>
      <c r="CJ58" s="1114">
        <v>500000</v>
      </c>
      <c r="CK58" s="1176" t="str">
        <f>Dashboard!$B44</f>
        <v>MATERNITY &amp; CHILDREN’S HEALTH</v>
      </c>
      <c r="CL58" s="1032">
        <v>5</v>
      </c>
      <c r="CM58" s="1032">
        <v>3</v>
      </c>
      <c r="CN58" s="1114">
        <v>500000</v>
      </c>
      <c r="CO58" s="1176" t="str">
        <f>Dashboard!$B44</f>
        <v>MATERNITY &amp; CHILDREN’S HEALTH</v>
      </c>
      <c r="CP58" s="1032">
        <v>5</v>
      </c>
      <c r="CQ58" s="1032">
        <v>3</v>
      </c>
      <c r="CR58" s="1114">
        <v>500000</v>
      </c>
      <c r="CS58" s="1176" t="str">
        <f>Dashboard!$B44</f>
        <v>MATERNITY &amp; CHILDREN’S HEALTH</v>
      </c>
      <c r="CT58" s="1032">
        <v>5</v>
      </c>
      <c r="CU58" s="1032">
        <v>3</v>
      </c>
      <c r="CV58" s="1114">
        <v>500000</v>
      </c>
      <c r="CW58" s="1176" t="str">
        <f>Dashboard!$B44</f>
        <v>MATERNITY &amp; CHILDREN’S HEALTH</v>
      </c>
      <c r="CX58" s="1032">
        <v>5</v>
      </c>
      <c r="CY58" s="1032">
        <v>3</v>
      </c>
      <c r="CZ58" s="1114">
        <v>500000</v>
      </c>
      <c r="DA58" s="1176" t="str">
        <f>Dashboard!$B44</f>
        <v>MATERNITY &amp; CHILDREN’S HEALTH</v>
      </c>
      <c r="DB58" s="1032">
        <v>5</v>
      </c>
      <c r="DC58" s="1032">
        <v>3</v>
      </c>
      <c r="DD58" s="1114">
        <v>500000</v>
      </c>
      <c r="DE58" s="1176" t="str">
        <f>Dashboard!$B44</f>
        <v>MATERNITY &amp; CHILDREN’S HEALTH</v>
      </c>
      <c r="DF58" s="1032">
        <v>5</v>
      </c>
      <c r="DG58" s="1032">
        <v>3</v>
      </c>
      <c r="DH58" s="1114">
        <v>500000</v>
      </c>
      <c r="DI58" s="1176" t="str">
        <f>Dashboard!$B44</f>
        <v>MATERNITY &amp; CHILDREN’S HEALTH</v>
      </c>
      <c r="DJ58" s="1032">
        <v>5</v>
      </c>
      <c r="DK58" s="1032">
        <v>3</v>
      </c>
      <c r="DL58" s="1114">
        <v>500000</v>
      </c>
      <c r="DM58" s="1176" t="str">
        <f>Dashboard!$B44</f>
        <v>MATERNITY &amp; CHILDREN’S HEALTH</v>
      </c>
      <c r="DN58" s="1032">
        <v>5</v>
      </c>
      <c r="DO58" s="1032">
        <v>3</v>
      </c>
      <c r="DP58" s="1114">
        <v>500000</v>
      </c>
      <c r="DQ58" s="1176" t="str">
        <f>Dashboard!$B44</f>
        <v>MATERNITY &amp; CHILDREN’S HEALTH</v>
      </c>
      <c r="DR58" s="1032">
        <v>5</v>
      </c>
      <c r="DS58" s="1032">
        <v>3</v>
      </c>
      <c r="DT58" s="1114">
        <v>500000</v>
      </c>
      <c r="DU58" s="1176" t="str">
        <f>Dashboard!$B44</f>
        <v>MATERNITY &amp; CHILDREN’S HEALTH</v>
      </c>
      <c r="DV58" s="1032">
        <v>5</v>
      </c>
      <c r="DW58" s="1032">
        <v>3</v>
      </c>
      <c r="DX58" s="1114">
        <v>500000</v>
      </c>
      <c r="DY58" s="1176" t="str">
        <f>Dashboard!$B44</f>
        <v>MATERNITY &amp; CHILDREN’S HEALTH</v>
      </c>
      <c r="DZ58" s="1032">
        <v>5</v>
      </c>
      <c r="EA58" s="1032">
        <v>3</v>
      </c>
      <c r="EB58" s="1114">
        <v>500000</v>
      </c>
      <c r="EC58" s="1176" t="str">
        <f>Dashboard!$B44</f>
        <v>MATERNITY &amp; CHILDREN’S HEALTH</v>
      </c>
      <c r="ED58" s="1032">
        <v>5</v>
      </c>
      <c r="EE58" s="1032">
        <v>3</v>
      </c>
      <c r="EF58" s="1114">
        <v>500000</v>
      </c>
      <c r="EG58" s="446"/>
    </row>
    <row r="59" spans="1:137" ht="13" x14ac:dyDescent="0.15">
      <c r="A59" s="917"/>
      <c r="B59" s="917"/>
      <c r="C59" s="918"/>
      <c r="D59" s="919"/>
      <c r="E59" s="920"/>
      <c r="F59" s="921"/>
      <c r="G59" s="922"/>
      <c r="H59" s="917"/>
      <c r="I59" s="922"/>
      <c r="J59" s="923"/>
      <c r="K59" s="923"/>
      <c r="L59" s="924"/>
      <c r="M59" s="925"/>
      <c r="N59" s="925"/>
      <c r="O59" s="925"/>
      <c r="P59" s="925"/>
      <c r="Q59" s="925"/>
      <c r="R59" s="926"/>
      <c r="S59" s="926"/>
      <c r="T59" s="925"/>
      <c r="U59" s="925"/>
      <c r="V59" s="925"/>
      <c r="W59" s="925"/>
      <c r="X59" s="925"/>
      <c r="Y59" s="925"/>
      <c r="Z59" s="925"/>
      <c r="AA59" s="925"/>
      <c r="AB59" s="925"/>
      <c r="AC59" s="925"/>
      <c r="AD59" s="925"/>
      <c r="AE59" s="925"/>
      <c r="AF59" s="925"/>
      <c r="AG59" s="925"/>
      <c r="AH59" s="925"/>
      <c r="AI59" s="925"/>
      <c r="AJ59" s="925"/>
      <c r="AK59" s="925"/>
      <c r="AL59" s="925"/>
      <c r="AM59" s="925"/>
      <c r="AN59" s="925"/>
      <c r="AO59" s="925"/>
      <c r="AP59" s="925"/>
      <c r="AQ59" s="925"/>
      <c r="AR59" s="925"/>
      <c r="AS59" s="925"/>
      <c r="AT59" s="925"/>
      <c r="AU59" s="925"/>
      <c r="AV59" s="925"/>
      <c r="AW59" s="925"/>
      <c r="AX59" s="925"/>
      <c r="AY59" s="925"/>
      <c r="AZ59" s="925"/>
      <c r="BA59" s="925"/>
      <c r="BB59" s="925"/>
      <c r="BC59" s="925"/>
      <c r="BD59" s="925"/>
      <c r="BE59" s="925"/>
      <c r="BF59" s="925"/>
      <c r="BG59" s="925"/>
      <c r="BH59" s="925"/>
      <c r="BI59" s="925"/>
      <c r="BJ59" s="925"/>
      <c r="BK59" s="925"/>
      <c r="BL59" s="925"/>
      <c r="BM59" s="925"/>
      <c r="BN59" s="925"/>
      <c r="BO59" s="925"/>
      <c r="BP59" s="925"/>
      <c r="BQ59" s="925"/>
      <c r="BR59" s="925"/>
      <c r="BS59" s="925"/>
      <c r="BT59" s="925"/>
      <c r="BU59" s="925"/>
      <c r="BV59" s="925"/>
      <c r="BW59" s="925"/>
      <c r="BX59" s="925"/>
      <c r="BY59" s="925"/>
      <c r="BZ59" s="925"/>
      <c r="CA59" s="925"/>
      <c r="CB59" s="925"/>
      <c r="CC59" s="925"/>
      <c r="CD59" s="925"/>
      <c r="CE59" s="925"/>
      <c r="CF59" s="925"/>
      <c r="CG59" s="925"/>
      <c r="CH59" s="925"/>
      <c r="CI59" s="925"/>
      <c r="CJ59" s="925"/>
      <c r="CK59" s="925"/>
      <c r="CL59" s="925"/>
      <c r="CM59" s="925"/>
      <c r="CN59" s="925"/>
      <c r="CO59" s="925"/>
      <c r="CP59" s="925"/>
      <c r="CQ59" s="925"/>
      <c r="CR59" s="925"/>
      <c r="CS59" s="925"/>
      <c r="CT59" s="925"/>
      <c r="CU59" s="925"/>
      <c r="CV59" s="925"/>
      <c r="CW59" s="925"/>
      <c r="CX59" s="925"/>
      <c r="CY59" s="925"/>
      <c r="CZ59" s="925"/>
      <c r="DA59" s="925"/>
      <c r="DB59" s="925"/>
      <c r="DC59" s="925"/>
      <c r="DD59" s="925"/>
      <c r="DE59" s="925"/>
      <c r="DF59" s="925"/>
      <c r="DG59" s="925"/>
      <c r="DH59" s="925"/>
      <c r="DI59" s="925"/>
      <c r="DJ59" s="925"/>
      <c r="DK59" s="925"/>
      <c r="DL59" s="925"/>
      <c r="DM59" s="925"/>
      <c r="DN59" s="925"/>
      <c r="DO59" s="925"/>
      <c r="DP59" s="925"/>
      <c r="DQ59" s="925"/>
      <c r="DR59" s="925"/>
      <c r="DS59" s="925"/>
      <c r="DT59" s="925"/>
      <c r="DU59" s="925"/>
      <c r="DV59" s="925"/>
      <c r="DW59" s="925"/>
      <c r="DX59" s="925"/>
      <c r="DY59" s="925"/>
      <c r="DZ59" s="925"/>
      <c r="EA59" s="925"/>
      <c r="EB59" s="925"/>
      <c r="EC59" s="925"/>
      <c r="ED59" s="925"/>
      <c r="EE59" s="925"/>
      <c r="EF59" s="925"/>
      <c r="EG59" s="446"/>
    </row>
    <row r="60" spans="1:137" ht="13" x14ac:dyDescent="0.15">
      <c r="A60" s="917"/>
      <c r="B60" s="917"/>
      <c r="C60" s="918"/>
      <c r="D60" s="919"/>
      <c r="E60" s="920"/>
      <c r="F60" s="921"/>
      <c r="G60" s="922"/>
      <c r="H60" s="922"/>
      <c r="I60" s="922"/>
      <c r="J60" s="923"/>
      <c r="K60" s="923"/>
      <c r="L60" s="924"/>
      <c r="M60" s="925"/>
      <c r="N60" s="925"/>
      <c r="O60" s="925"/>
      <c r="P60" s="925"/>
      <c r="Q60" s="925"/>
      <c r="R60" s="925"/>
      <c r="S60" s="926"/>
      <c r="T60" s="925"/>
      <c r="U60" s="925"/>
      <c r="V60" s="925"/>
      <c r="W60" s="925"/>
      <c r="X60" s="925"/>
      <c r="Y60" s="925"/>
      <c r="Z60" s="925"/>
      <c r="AA60" s="925"/>
      <c r="AB60" s="925"/>
      <c r="AC60" s="925"/>
      <c r="AD60" s="925"/>
      <c r="AE60" s="925"/>
      <c r="AF60" s="925"/>
      <c r="AG60" s="925"/>
      <c r="AH60" s="925"/>
      <c r="AI60" s="925"/>
      <c r="AJ60" s="925"/>
      <c r="AK60" s="925"/>
      <c r="AL60" s="925"/>
      <c r="AM60" s="925"/>
      <c r="AN60" s="925"/>
      <c r="AO60" s="925"/>
      <c r="AP60" s="925"/>
      <c r="AQ60" s="925"/>
      <c r="AR60" s="925"/>
      <c r="AS60" s="925"/>
      <c r="AT60" s="925"/>
      <c r="AU60" s="925"/>
      <c r="AV60" s="925"/>
      <c r="AW60" s="925"/>
      <c r="AX60" s="925"/>
      <c r="AY60" s="925"/>
      <c r="AZ60" s="925"/>
      <c r="BA60" s="925"/>
      <c r="BB60" s="925"/>
      <c r="BC60" s="925"/>
      <c r="BD60" s="925"/>
      <c r="BE60" s="925"/>
      <c r="BF60" s="925"/>
      <c r="BG60" s="925"/>
      <c r="BH60" s="925"/>
      <c r="BI60" s="925"/>
      <c r="BJ60" s="925"/>
      <c r="BK60" s="925"/>
      <c r="BL60" s="925"/>
      <c r="BM60" s="925"/>
      <c r="BN60" s="925"/>
      <c r="BO60" s="925"/>
      <c r="BP60" s="925"/>
      <c r="BQ60" s="925"/>
      <c r="BR60" s="925"/>
      <c r="BS60" s="925"/>
      <c r="BT60" s="925"/>
      <c r="BU60" s="925"/>
      <c r="BV60" s="925"/>
      <c r="BW60" s="925"/>
      <c r="BX60" s="925"/>
      <c r="BY60" s="925"/>
      <c r="BZ60" s="925"/>
      <c r="CA60" s="925"/>
      <c r="CB60" s="925"/>
      <c r="CC60" s="925"/>
      <c r="CD60" s="925"/>
      <c r="CE60" s="925"/>
      <c r="CF60" s="925"/>
      <c r="CG60" s="925"/>
      <c r="CH60" s="925"/>
      <c r="CI60" s="925"/>
      <c r="CJ60" s="925"/>
      <c r="CK60" s="925"/>
      <c r="CL60" s="925"/>
      <c r="CM60" s="925"/>
      <c r="CN60" s="925"/>
      <c r="CO60" s="925"/>
      <c r="CP60" s="925"/>
      <c r="CQ60" s="925"/>
      <c r="CR60" s="925"/>
      <c r="CS60" s="925"/>
      <c r="CT60" s="925"/>
      <c r="CU60" s="925"/>
      <c r="CV60" s="925"/>
      <c r="CW60" s="925"/>
      <c r="CX60" s="925"/>
      <c r="CY60" s="925"/>
      <c r="CZ60" s="925"/>
      <c r="DA60" s="925"/>
      <c r="DB60" s="925"/>
      <c r="DC60" s="925"/>
      <c r="DD60" s="925"/>
      <c r="DE60" s="925"/>
      <c r="DF60" s="925"/>
      <c r="DG60" s="925"/>
      <c r="DH60" s="925"/>
      <c r="DI60" s="925"/>
      <c r="DJ60" s="925"/>
      <c r="DK60" s="925"/>
      <c r="DL60" s="925"/>
      <c r="DM60" s="925"/>
      <c r="DN60" s="925"/>
      <c r="DO60" s="925"/>
      <c r="DP60" s="925"/>
      <c r="DQ60" s="925"/>
      <c r="DR60" s="925"/>
      <c r="DS60" s="925"/>
      <c r="DT60" s="925"/>
      <c r="DU60" s="925"/>
      <c r="DV60" s="925"/>
      <c r="DW60" s="925"/>
      <c r="DX60" s="925"/>
      <c r="DY60" s="925"/>
      <c r="DZ60" s="925"/>
      <c r="EA60" s="925"/>
      <c r="EB60" s="925"/>
      <c r="EC60" s="925"/>
      <c r="ED60" s="925"/>
      <c r="EE60" s="925"/>
      <c r="EF60" s="925"/>
      <c r="EG60" s="446"/>
    </row>
    <row r="61" spans="1:137" ht="13" x14ac:dyDescent="0.15">
      <c r="A61" s="917"/>
      <c r="B61" s="917"/>
      <c r="C61" s="918"/>
      <c r="D61" s="919"/>
      <c r="E61" s="920"/>
      <c r="F61" s="921"/>
      <c r="G61" s="922"/>
      <c r="H61" s="922"/>
      <c r="I61" s="922"/>
      <c r="J61" s="923"/>
      <c r="K61" s="923"/>
      <c r="L61" s="924"/>
      <c r="M61" s="925"/>
      <c r="N61" s="925"/>
      <c r="O61" s="925"/>
      <c r="P61" s="925"/>
      <c r="Q61" s="925"/>
      <c r="R61" s="925"/>
      <c r="S61" s="926"/>
      <c r="T61" s="925"/>
      <c r="U61" s="925"/>
      <c r="V61" s="925"/>
      <c r="W61" s="925"/>
      <c r="X61" s="925"/>
      <c r="Y61" s="925"/>
      <c r="Z61" s="925"/>
      <c r="AA61" s="925"/>
      <c r="AB61" s="925"/>
      <c r="AC61" s="925"/>
      <c r="AD61" s="925"/>
      <c r="AE61" s="925"/>
      <c r="AF61" s="925"/>
      <c r="AG61" s="925"/>
      <c r="AH61" s="925"/>
      <c r="AI61" s="925"/>
      <c r="AJ61" s="925"/>
      <c r="AK61" s="925"/>
      <c r="AL61" s="925"/>
      <c r="AM61" s="925"/>
      <c r="AN61" s="925"/>
      <c r="AO61" s="925"/>
      <c r="AP61" s="925"/>
      <c r="AQ61" s="925"/>
      <c r="AR61" s="925"/>
      <c r="AS61" s="925"/>
      <c r="AT61" s="925"/>
      <c r="AU61" s="925"/>
      <c r="AV61" s="925"/>
      <c r="AW61" s="925"/>
      <c r="AX61" s="925"/>
      <c r="AY61" s="925"/>
      <c r="AZ61" s="925"/>
      <c r="BA61" s="925"/>
      <c r="BB61" s="925"/>
      <c r="BC61" s="925"/>
      <c r="BD61" s="925"/>
      <c r="BE61" s="925"/>
      <c r="BF61" s="925"/>
      <c r="BG61" s="925"/>
      <c r="BH61" s="925"/>
      <c r="BI61" s="925"/>
      <c r="BJ61" s="925"/>
      <c r="BK61" s="925"/>
      <c r="BL61" s="925"/>
      <c r="BM61" s="925"/>
      <c r="BN61" s="925"/>
      <c r="BO61" s="925"/>
      <c r="BP61" s="925"/>
      <c r="BQ61" s="925"/>
      <c r="BR61" s="925"/>
      <c r="BS61" s="925"/>
      <c r="BT61" s="925"/>
      <c r="BU61" s="925"/>
      <c r="BV61" s="925"/>
      <c r="BW61" s="925"/>
      <c r="BX61" s="925"/>
      <c r="BY61" s="925"/>
      <c r="BZ61" s="925"/>
      <c r="CA61" s="925"/>
      <c r="CB61" s="925"/>
      <c r="CC61" s="925"/>
      <c r="CD61" s="925"/>
      <c r="CE61" s="925"/>
      <c r="CF61" s="925"/>
      <c r="CG61" s="925"/>
      <c r="CH61" s="925"/>
      <c r="CI61" s="925"/>
      <c r="CJ61" s="925"/>
      <c r="CK61" s="925"/>
      <c r="CL61" s="925"/>
      <c r="CM61" s="925"/>
      <c r="CN61" s="925"/>
      <c r="CO61" s="925"/>
      <c r="CP61" s="925"/>
      <c r="CQ61" s="925"/>
      <c r="CR61" s="925"/>
      <c r="CS61" s="925"/>
      <c r="CT61" s="925"/>
      <c r="CU61" s="925"/>
      <c r="CV61" s="925"/>
      <c r="CW61" s="925"/>
      <c r="CX61" s="925"/>
      <c r="CY61" s="925"/>
      <c r="CZ61" s="925"/>
      <c r="DA61" s="925"/>
      <c r="DB61" s="925"/>
      <c r="DC61" s="925"/>
      <c r="DD61" s="925"/>
      <c r="DE61" s="925"/>
      <c r="DF61" s="925"/>
      <c r="DG61" s="925"/>
      <c r="DH61" s="925"/>
      <c r="DI61" s="925"/>
      <c r="DJ61" s="925"/>
      <c r="DK61" s="925"/>
      <c r="DL61" s="925"/>
      <c r="DM61" s="925"/>
      <c r="DN61" s="925"/>
      <c r="DO61" s="925"/>
      <c r="DP61" s="925"/>
      <c r="DQ61" s="925"/>
      <c r="DR61" s="925"/>
      <c r="DS61" s="925"/>
      <c r="DT61" s="925"/>
      <c r="DU61" s="925"/>
      <c r="DV61" s="925"/>
      <c r="DW61" s="925"/>
      <c r="DX61" s="925"/>
      <c r="DY61" s="925"/>
      <c r="DZ61" s="925"/>
      <c r="EA61" s="925"/>
      <c r="EB61" s="925"/>
      <c r="EC61" s="925"/>
      <c r="ED61" s="925"/>
      <c r="EE61" s="925"/>
      <c r="EF61" s="925"/>
      <c r="EG61" s="446"/>
    </row>
    <row r="62" spans="1:137" ht="13" x14ac:dyDescent="0.15">
      <c r="A62" s="917"/>
      <c r="B62" s="917"/>
      <c r="C62" s="918"/>
      <c r="D62" s="919"/>
      <c r="E62" s="920"/>
      <c r="F62" s="921"/>
      <c r="G62" s="922"/>
      <c r="H62" s="922"/>
      <c r="I62" s="922"/>
      <c r="J62" s="923"/>
      <c r="K62" s="923"/>
      <c r="L62" s="924"/>
      <c r="M62" s="925"/>
      <c r="N62" s="925"/>
      <c r="O62" s="925"/>
      <c r="P62" s="925"/>
      <c r="Q62" s="925"/>
      <c r="R62" s="925"/>
      <c r="S62" s="926"/>
      <c r="T62" s="925"/>
      <c r="U62" s="925"/>
      <c r="V62" s="925"/>
      <c r="W62" s="925"/>
      <c r="X62" s="925"/>
      <c r="Y62" s="925"/>
      <c r="Z62" s="925"/>
      <c r="AA62" s="925"/>
      <c r="AB62" s="925"/>
      <c r="AC62" s="925"/>
      <c r="AD62" s="925"/>
      <c r="AE62" s="925"/>
      <c r="AF62" s="925"/>
      <c r="AG62" s="925"/>
      <c r="AH62" s="925"/>
      <c r="AI62" s="925"/>
      <c r="AJ62" s="925"/>
      <c r="AK62" s="925"/>
      <c r="AL62" s="925"/>
      <c r="AM62" s="925"/>
      <c r="AN62" s="925"/>
      <c r="AO62" s="925"/>
      <c r="AP62" s="925"/>
      <c r="AQ62" s="925"/>
      <c r="AR62" s="925"/>
      <c r="AS62" s="925"/>
      <c r="AT62" s="925"/>
      <c r="AU62" s="925"/>
      <c r="AV62" s="925"/>
      <c r="AW62" s="925"/>
      <c r="AX62" s="925"/>
      <c r="AY62" s="925"/>
      <c r="AZ62" s="925"/>
      <c r="BA62" s="925"/>
      <c r="BB62" s="925"/>
      <c r="BC62" s="925"/>
      <c r="BD62" s="925"/>
      <c r="BE62" s="925"/>
      <c r="BF62" s="925"/>
      <c r="BG62" s="925"/>
      <c r="BH62" s="925"/>
      <c r="BI62" s="925"/>
      <c r="BJ62" s="925"/>
      <c r="BK62" s="925"/>
      <c r="BL62" s="925"/>
      <c r="BM62" s="925"/>
      <c r="BN62" s="925"/>
      <c r="BO62" s="925"/>
      <c r="BP62" s="925"/>
      <c r="BQ62" s="925"/>
      <c r="BR62" s="925"/>
      <c r="BS62" s="925"/>
      <c r="BT62" s="925"/>
      <c r="BU62" s="925"/>
      <c r="BV62" s="925"/>
      <c r="BW62" s="925"/>
      <c r="BX62" s="925"/>
      <c r="BY62" s="925"/>
      <c r="BZ62" s="925"/>
      <c r="CA62" s="925"/>
      <c r="CB62" s="925"/>
      <c r="CC62" s="925"/>
      <c r="CD62" s="925"/>
      <c r="CE62" s="925"/>
      <c r="CF62" s="925"/>
      <c r="CG62" s="925"/>
      <c r="CH62" s="925"/>
      <c r="CI62" s="925"/>
      <c r="CJ62" s="925"/>
      <c r="CK62" s="925"/>
      <c r="CL62" s="925"/>
      <c r="CM62" s="925"/>
      <c r="CN62" s="925"/>
      <c r="CO62" s="925"/>
      <c r="CP62" s="925"/>
      <c r="CQ62" s="925"/>
      <c r="CR62" s="925"/>
      <c r="CS62" s="925"/>
      <c r="CT62" s="925"/>
      <c r="CU62" s="925"/>
      <c r="CV62" s="925"/>
      <c r="CW62" s="925"/>
      <c r="CX62" s="925"/>
      <c r="CY62" s="925"/>
      <c r="CZ62" s="925"/>
      <c r="DA62" s="925"/>
      <c r="DB62" s="925"/>
      <c r="DC62" s="925"/>
      <c r="DD62" s="925"/>
      <c r="DE62" s="925"/>
      <c r="DF62" s="925"/>
      <c r="DG62" s="925"/>
      <c r="DH62" s="925"/>
      <c r="DI62" s="925"/>
      <c r="DJ62" s="925"/>
      <c r="DK62" s="925"/>
      <c r="DL62" s="925"/>
      <c r="DM62" s="925"/>
      <c r="DN62" s="925"/>
      <c r="DO62" s="925"/>
      <c r="DP62" s="925"/>
      <c r="DQ62" s="925"/>
      <c r="DR62" s="925"/>
      <c r="DS62" s="925"/>
      <c r="DT62" s="925"/>
      <c r="DU62" s="925"/>
      <c r="DV62" s="925"/>
      <c r="DW62" s="925"/>
      <c r="DX62" s="925"/>
      <c r="DY62" s="925"/>
      <c r="DZ62" s="925"/>
      <c r="EA62" s="925"/>
      <c r="EB62" s="925"/>
      <c r="EC62" s="925"/>
      <c r="ED62" s="925"/>
      <c r="EE62" s="925"/>
      <c r="EF62" s="925"/>
      <c r="EG62" s="446"/>
    </row>
    <row r="63" spans="1:137" ht="13" x14ac:dyDescent="0.15">
      <c r="A63" s="917"/>
      <c r="B63" s="917"/>
      <c r="C63" s="918"/>
      <c r="D63" s="919"/>
      <c r="E63" s="920"/>
      <c r="F63" s="921"/>
      <c r="G63" s="922"/>
      <c r="H63" s="922"/>
      <c r="I63" s="922"/>
      <c r="J63" s="923"/>
      <c r="K63" s="923"/>
      <c r="L63" s="924"/>
      <c r="M63" s="925"/>
      <c r="N63" s="925"/>
      <c r="O63" s="925"/>
      <c r="P63" s="925"/>
      <c r="Q63" s="925"/>
      <c r="R63" s="925"/>
      <c r="S63" s="926"/>
      <c r="T63" s="925"/>
      <c r="U63" s="925"/>
      <c r="V63" s="925"/>
      <c r="W63" s="925"/>
      <c r="X63" s="925"/>
      <c r="Y63" s="925"/>
      <c r="Z63" s="925"/>
      <c r="AA63" s="925"/>
      <c r="AB63" s="925"/>
      <c r="AC63" s="925"/>
      <c r="AD63" s="925"/>
      <c r="AE63" s="925"/>
      <c r="AF63" s="925"/>
      <c r="AG63" s="925"/>
      <c r="AH63" s="925"/>
      <c r="AI63" s="925"/>
      <c r="AJ63" s="925"/>
      <c r="AK63" s="925"/>
      <c r="AL63" s="925"/>
      <c r="AM63" s="925"/>
      <c r="AN63" s="925"/>
      <c r="AO63" s="925"/>
      <c r="AP63" s="925"/>
      <c r="AQ63" s="925"/>
      <c r="AR63" s="925"/>
      <c r="AS63" s="925"/>
      <c r="AT63" s="925"/>
      <c r="AU63" s="925"/>
      <c r="AV63" s="925"/>
      <c r="AW63" s="925"/>
      <c r="AX63" s="925"/>
      <c r="AY63" s="925"/>
      <c r="AZ63" s="925"/>
      <c r="BA63" s="925"/>
      <c r="BB63" s="925"/>
      <c r="BC63" s="925"/>
      <c r="BD63" s="925"/>
      <c r="BE63" s="925"/>
      <c r="BF63" s="925"/>
      <c r="BG63" s="925"/>
      <c r="BH63" s="925"/>
      <c r="BI63" s="925"/>
      <c r="BJ63" s="925"/>
      <c r="BK63" s="925"/>
      <c r="BL63" s="925"/>
      <c r="BM63" s="925"/>
      <c r="BN63" s="925"/>
      <c r="BO63" s="925"/>
      <c r="BP63" s="925"/>
      <c r="BQ63" s="925"/>
      <c r="BR63" s="925"/>
      <c r="BS63" s="925"/>
      <c r="BT63" s="925"/>
      <c r="BU63" s="925"/>
      <c r="BV63" s="925"/>
      <c r="BW63" s="925"/>
      <c r="BX63" s="925"/>
      <c r="BY63" s="925"/>
      <c r="BZ63" s="925"/>
      <c r="CA63" s="925"/>
      <c r="CB63" s="925"/>
      <c r="CC63" s="925"/>
      <c r="CD63" s="925"/>
      <c r="CE63" s="925"/>
      <c r="CF63" s="925"/>
      <c r="CG63" s="925"/>
      <c r="CH63" s="925"/>
      <c r="CI63" s="925"/>
      <c r="CJ63" s="925"/>
      <c r="CK63" s="925"/>
      <c r="CL63" s="925"/>
      <c r="CM63" s="925"/>
      <c r="CN63" s="925"/>
      <c r="CO63" s="925"/>
      <c r="CP63" s="925"/>
      <c r="CQ63" s="925"/>
      <c r="CR63" s="925"/>
      <c r="CS63" s="925"/>
      <c r="CT63" s="925"/>
      <c r="CU63" s="925"/>
      <c r="CV63" s="925"/>
      <c r="CW63" s="925"/>
      <c r="CX63" s="925"/>
      <c r="CY63" s="925"/>
      <c r="CZ63" s="925"/>
      <c r="DA63" s="925"/>
      <c r="DB63" s="925"/>
      <c r="DC63" s="925"/>
      <c r="DD63" s="925"/>
      <c r="DE63" s="925"/>
      <c r="DF63" s="925"/>
      <c r="DG63" s="925"/>
      <c r="DH63" s="925"/>
      <c r="DI63" s="925"/>
      <c r="DJ63" s="925"/>
      <c r="DK63" s="925"/>
      <c r="DL63" s="925"/>
      <c r="DM63" s="925"/>
      <c r="DN63" s="925"/>
      <c r="DO63" s="925"/>
      <c r="DP63" s="925"/>
      <c r="DQ63" s="925"/>
      <c r="DR63" s="925"/>
      <c r="DS63" s="925"/>
      <c r="DT63" s="925"/>
      <c r="DU63" s="925"/>
      <c r="DV63" s="925"/>
      <c r="DW63" s="925"/>
      <c r="DX63" s="925"/>
      <c r="DY63" s="925"/>
      <c r="DZ63" s="925"/>
      <c r="EA63" s="925"/>
      <c r="EB63" s="925"/>
      <c r="EC63" s="925"/>
      <c r="ED63" s="925"/>
      <c r="EE63" s="925"/>
      <c r="EF63" s="925"/>
      <c r="EG63" s="446"/>
    </row>
    <row r="64" spans="1:137" ht="13" x14ac:dyDescent="0.15">
      <c r="A64" s="917"/>
      <c r="B64" s="917"/>
      <c r="C64" s="918"/>
      <c r="D64" s="919"/>
      <c r="E64" s="920"/>
      <c r="F64" s="921"/>
      <c r="G64" s="922"/>
      <c r="H64" s="922"/>
      <c r="I64" s="922"/>
      <c r="J64" s="923"/>
      <c r="K64" s="923"/>
      <c r="L64" s="924"/>
      <c r="M64" s="925"/>
      <c r="N64" s="925"/>
      <c r="O64" s="925"/>
      <c r="Q64" s="925"/>
      <c r="R64" s="979"/>
      <c r="S64" s="926"/>
      <c r="T64" s="925"/>
      <c r="U64" s="925"/>
      <c r="V64" s="925"/>
      <c r="W64" s="925"/>
      <c r="X64" s="925"/>
      <c r="Y64" s="925"/>
      <c r="Z64" s="925"/>
      <c r="AA64" s="925"/>
      <c r="AB64" s="925"/>
      <c r="AC64" s="925"/>
      <c r="AD64" s="925"/>
      <c r="AE64" s="925"/>
      <c r="AF64" s="925"/>
      <c r="AG64" s="925"/>
      <c r="AH64" s="925"/>
      <c r="AI64" s="925"/>
      <c r="AJ64" s="925"/>
      <c r="AK64" s="925"/>
      <c r="AL64" s="925"/>
      <c r="AM64" s="925"/>
      <c r="AN64" s="925"/>
      <c r="AO64" s="925"/>
      <c r="AP64" s="925"/>
      <c r="AQ64" s="925"/>
      <c r="AR64" s="925"/>
      <c r="AS64" s="925"/>
      <c r="AT64" s="925"/>
      <c r="AU64" s="925"/>
      <c r="AV64" s="925"/>
      <c r="AW64" s="925"/>
      <c r="AX64" s="925"/>
      <c r="AY64" s="925"/>
      <c r="AZ64" s="925"/>
      <c r="BA64" s="925"/>
      <c r="BB64" s="925"/>
      <c r="BC64" s="925"/>
      <c r="BD64" s="925"/>
      <c r="BE64" s="925"/>
      <c r="BF64" s="925"/>
      <c r="BG64" s="925"/>
      <c r="BH64" s="925"/>
      <c r="BI64" s="925"/>
      <c r="BJ64" s="925"/>
      <c r="BK64" s="925"/>
      <c r="BL64" s="925"/>
      <c r="BM64" s="925"/>
      <c r="BN64" s="925"/>
      <c r="BO64" s="925"/>
      <c r="BP64" s="925"/>
      <c r="BQ64" s="925"/>
      <c r="BR64" s="925"/>
      <c r="BS64" s="925"/>
      <c r="BT64" s="925"/>
      <c r="BU64" s="925"/>
      <c r="BV64" s="925"/>
      <c r="BW64" s="925"/>
      <c r="BX64" s="925"/>
      <c r="BY64" s="925"/>
      <c r="BZ64" s="925"/>
      <c r="CA64" s="925"/>
      <c r="CB64" s="925"/>
      <c r="CC64" s="925"/>
      <c r="CD64" s="925"/>
      <c r="CE64" s="925"/>
      <c r="CF64" s="925"/>
      <c r="CG64" s="925"/>
      <c r="CH64" s="925"/>
      <c r="CI64" s="925"/>
      <c r="CJ64" s="925"/>
      <c r="CK64" s="925"/>
      <c r="CL64" s="925"/>
      <c r="CM64" s="925"/>
      <c r="CN64" s="925"/>
      <c r="CO64" s="925"/>
      <c r="CP64" s="925"/>
      <c r="CQ64" s="925"/>
      <c r="CR64" s="925"/>
      <c r="CS64" s="925"/>
      <c r="CT64" s="925"/>
      <c r="CU64" s="925"/>
      <c r="CV64" s="925"/>
      <c r="CW64" s="925"/>
      <c r="CX64" s="925"/>
      <c r="CY64" s="925"/>
      <c r="CZ64" s="925"/>
      <c r="DA64" s="925"/>
      <c r="DB64" s="925"/>
      <c r="DC64" s="925"/>
      <c r="DD64" s="925"/>
      <c r="DE64" s="925"/>
      <c r="DF64" s="925"/>
      <c r="DG64" s="925"/>
      <c r="DH64" s="925"/>
      <c r="DI64" s="925"/>
      <c r="DJ64" s="925"/>
      <c r="DK64" s="925"/>
      <c r="DL64" s="925"/>
      <c r="DM64" s="925"/>
      <c r="DN64" s="925"/>
      <c r="DO64" s="925"/>
      <c r="DP64" s="925"/>
      <c r="DQ64" s="925"/>
      <c r="DR64" s="925"/>
      <c r="DS64" s="925"/>
      <c r="DT64" s="925"/>
      <c r="DU64" s="925"/>
      <c r="DV64" s="925"/>
      <c r="DW64" s="925"/>
      <c r="DX64" s="925"/>
      <c r="DY64" s="925"/>
      <c r="DZ64" s="925"/>
      <c r="EA64" s="925"/>
      <c r="EB64" s="925"/>
      <c r="EC64" s="925"/>
      <c r="ED64" s="925"/>
      <c r="EE64" s="925"/>
      <c r="EF64" s="925"/>
      <c r="EG64" s="446"/>
    </row>
    <row r="65" spans="1:137" ht="13" x14ac:dyDescent="0.15">
      <c r="A65" s="917"/>
      <c r="B65" s="917"/>
      <c r="C65" s="918"/>
      <c r="D65" s="919"/>
      <c r="E65" s="920"/>
      <c r="F65" s="921"/>
      <c r="G65" s="922"/>
      <c r="H65" s="922"/>
      <c r="I65" s="922"/>
      <c r="J65" s="923"/>
      <c r="K65" s="923"/>
      <c r="L65" s="924"/>
      <c r="M65" s="925"/>
      <c r="N65" s="925"/>
      <c r="O65" s="925"/>
      <c r="P65" s="925"/>
      <c r="Q65" s="925"/>
      <c r="R65" s="925"/>
      <c r="S65" s="926"/>
      <c r="T65" s="925"/>
      <c r="U65" s="925"/>
      <c r="V65" s="925"/>
      <c r="W65" s="925"/>
      <c r="X65" s="925"/>
      <c r="Y65" s="925"/>
      <c r="Z65" s="925"/>
      <c r="AA65" s="925"/>
      <c r="AB65" s="925"/>
      <c r="AC65" s="925"/>
      <c r="AD65" s="925"/>
      <c r="AE65" s="925"/>
      <c r="AF65" s="925"/>
      <c r="AG65" s="925"/>
      <c r="AH65" s="925"/>
      <c r="AI65" s="925"/>
      <c r="AJ65" s="925"/>
      <c r="AK65" s="925"/>
      <c r="AL65" s="925"/>
      <c r="AM65" s="925"/>
      <c r="AN65" s="925"/>
      <c r="AO65" s="925"/>
      <c r="AP65" s="925"/>
      <c r="AQ65" s="925"/>
      <c r="AR65" s="925"/>
      <c r="AS65" s="925"/>
      <c r="AT65" s="925"/>
      <c r="AU65" s="925"/>
      <c r="AV65" s="925"/>
      <c r="AW65" s="925"/>
      <c r="AX65" s="925"/>
      <c r="AY65" s="925"/>
      <c r="AZ65" s="925"/>
      <c r="BA65" s="925"/>
      <c r="BB65" s="925"/>
      <c r="BC65" s="925"/>
      <c r="BD65" s="925"/>
      <c r="BE65" s="925"/>
      <c r="BF65" s="925"/>
      <c r="BG65" s="925"/>
      <c r="BH65" s="925"/>
      <c r="BI65" s="925"/>
      <c r="BJ65" s="925"/>
      <c r="BK65" s="925"/>
      <c r="BL65" s="925"/>
      <c r="BM65" s="925"/>
      <c r="BN65" s="925"/>
      <c r="BO65" s="925"/>
      <c r="BP65" s="925"/>
      <c r="BQ65" s="925"/>
      <c r="BR65" s="925"/>
      <c r="BS65" s="925"/>
      <c r="BT65" s="925"/>
      <c r="BU65" s="925"/>
      <c r="BV65" s="925"/>
      <c r="BW65" s="925"/>
      <c r="BX65" s="925"/>
      <c r="BY65" s="925"/>
      <c r="BZ65" s="925"/>
      <c r="CA65" s="925"/>
      <c r="CB65" s="925"/>
      <c r="CC65" s="925"/>
      <c r="CD65" s="925"/>
      <c r="CE65" s="925"/>
      <c r="CF65" s="925"/>
      <c r="CG65" s="925"/>
      <c r="CH65" s="925"/>
      <c r="CI65" s="925"/>
      <c r="CJ65" s="925"/>
      <c r="CK65" s="925"/>
      <c r="CL65" s="925"/>
      <c r="CM65" s="925"/>
      <c r="CN65" s="925"/>
      <c r="CO65" s="925"/>
      <c r="CP65" s="925"/>
      <c r="CQ65" s="925"/>
      <c r="CR65" s="925"/>
      <c r="CS65" s="925"/>
      <c r="CT65" s="925"/>
      <c r="CU65" s="925"/>
      <c r="CV65" s="925"/>
      <c r="CW65" s="925"/>
      <c r="CX65" s="925"/>
      <c r="CY65" s="925"/>
      <c r="CZ65" s="925"/>
      <c r="DA65" s="925"/>
      <c r="DB65" s="925"/>
      <c r="DC65" s="925"/>
      <c r="DD65" s="925"/>
      <c r="DE65" s="925"/>
      <c r="DF65" s="925"/>
      <c r="DG65" s="925"/>
      <c r="DH65" s="925"/>
      <c r="DI65" s="925"/>
      <c r="DJ65" s="925"/>
      <c r="DK65" s="925"/>
      <c r="DL65" s="925"/>
      <c r="DM65" s="925"/>
      <c r="DN65" s="925"/>
      <c r="DO65" s="925"/>
      <c r="DP65" s="925"/>
      <c r="DQ65" s="925"/>
      <c r="DR65" s="925"/>
      <c r="DS65" s="925"/>
      <c r="DT65" s="925"/>
      <c r="DU65" s="925"/>
      <c r="DV65" s="925"/>
      <c r="DW65" s="925"/>
      <c r="DX65" s="925"/>
      <c r="DY65" s="925"/>
      <c r="DZ65" s="925"/>
      <c r="EA65" s="925"/>
      <c r="EB65" s="925"/>
      <c r="EC65" s="925"/>
      <c r="ED65" s="446"/>
      <c r="EE65" s="925"/>
      <c r="EF65" s="925"/>
      <c r="EG65" s="446"/>
    </row>
    <row r="66" spans="1:137" ht="13" x14ac:dyDescent="0.15">
      <c r="A66" s="917"/>
      <c r="B66" s="917"/>
      <c r="C66" s="918"/>
      <c r="D66" s="919"/>
      <c r="E66" s="920"/>
      <c r="F66" s="921"/>
      <c r="G66" s="922"/>
      <c r="H66" s="922"/>
      <c r="I66" s="922"/>
      <c r="J66" s="923"/>
      <c r="K66" s="923"/>
      <c r="L66" s="924"/>
      <c r="M66" s="925"/>
      <c r="N66" s="925"/>
      <c r="O66" s="925"/>
      <c r="P66" s="925"/>
      <c r="Q66" s="925"/>
      <c r="R66" s="925"/>
      <c r="S66" s="926"/>
      <c r="T66" s="925"/>
      <c r="U66" s="925"/>
      <c r="V66" s="925"/>
      <c r="W66" s="925"/>
      <c r="X66" s="925"/>
      <c r="Y66" s="925"/>
      <c r="Z66" s="925"/>
      <c r="AA66" s="925"/>
      <c r="AB66" s="925"/>
      <c r="AC66" s="925"/>
      <c r="AD66" s="925"/>
      <c r="AE66" s="925"/>
      <c r="AF66" s="925"/>
      <c r="AG66" s="925"/>
      <c r="AH66" s="925"/>
      <c r="AI66" s="925"/>
      <c r="AJ66" s="925"/>
      <c r="AK66" s="925"/>
      <c r="AL66" s="925"/>
      <c r="AM66" s="925"/>
      <c r="AN66" s="925"/>
      <c r="AO66" s="925"/>
      <c r="AP66" s="925"/>
      <c r="AQ66" s="925"/>
      <c r="AR66" s="925"/>
      <c r="AS66" s="925"/>
      <c r="AT66" s="925"/>
      <c r="AU66" s="925"/>
      <c r="AV66" s="925"/>
      <c r="AW66" s="925"/>
      <c r="AX66" s="925"/>
      <c r="AY66" s="925"/>
      <c r="AZ66" s="925"/>
      <c r="BA66" s="925"/>
      <c r="BB66" s="925"/>
      <c r="BC66" s="925"/>
      <c r="BD66" s="925"/>
      <c r="BE66" s="925"/>
      <c r="BF66" s="925"/>
      <c r="BG66" s="925"/>
      <c r="BH66" s="925"/>
      <c r="BI66" s="925"/>
      <c r="BJ66" s="925"/>
      <c r="BK66" s="925"/>
      <c r="BL66" s="925"/>
      <c r="BM66" s="925"/>
      <c r="BN66" s="925"/>
      <c r="BO66" s="925"/>
      <c r="BP66" s="925"/>
      <c r="BQ66" s="925"/>
      <c r="BR66" s="925"/>
      <c r="BS66" s="925"/>
      <c r="BT66" s="925"/>
      <c r="BU66" s="925"/>
      <c r="BV66" s="925"/>
      <c r="BW66" s="925"/>
      <c r="BX66" s="925"/>
      <c r="BY66" s="925"/>
      <c r="BZ66" s="925"/>
      <c r="CA66" s="925"/>
      <c r="CB66" s="925"/>
      <c r="CC66" s="925"/>
      <c r="CD66" s="925"/>
      <c r="CE66" s="925"/>
      <c r="CF66" s="925"/>
      <c r="CG66" s="925"/>
      <c r="CH66" s="925"/>
      <c r="CI66" s="925"/>
      <c r="CJ66" s="925"/>
      <c r="CK66" s="925"/>
      <c r="CL66" s="925"/>
      <c r="CM66" s="925"/>
      <c r="CN66" s="925"/>
      <c r="CO66" s="925"/>
      <c r="CP66" s="925"/>
      <c r="CQ66" s="925"/>
      <c r="CR66" s="925"/>
      <c r="CS66" s="925"/>
      <c r="CT66" s="925"/>
      <c r="CU66" s="925"/>
      <c r="CV66" s="925"/>
      <c r="CW66" s="925"/>
      <c r="CX66" s="925"/>
      <c r="CY66" s="925"/>
      <c r="CZ66" s="925"/>
      <c r="DA66" s="925"/>
      <c r="DB66" s="925"/>
      <c r="DC66" s="925"/>
      <c r="DD66" s="925"/>
      <c r="DE66" s="925"/>
      <c r="DF66" s="925"/>
      <c r="DG66" s="925"/>
      <c r="DH66" s="925"/>
      <c r="DI66" s="925"/>
      <c r="DJ66" s="925"/>
      <c r="DK66" s="925"/>
      <c r="DL66" s="925"/>
      <c r="DM66" s="925"/>
      <c r="DN66" s="925"/>
      <c r="DO66" s="925"/>
      <c r="DP66" s="925"/>
      <c r="DQ66" s="925"/>
      <c r="DR66" s="925"/>
      <c r="DS66" s="925"/>
      <c r="DT66" s="925"/>
      <c r="DU66" s="925"/>
      <c r="DV66" s="925"/>
      <c r="DW66" s="925"/>
      <c r="DX66" s="925"/>
      <c r="DY66" s="925"/>
      <c r="DZ66" s="925"/>
      <c r="EA66" s="925"/>
      <c r="EB66" s="925"/>
      <c r="EC66" s="925"/>
      <c r="ED66" s="925"/>
      <c r="EE66" s="925"/>
      <c r="EF66" s="925"/>
      <c r="EG66" s="446"/>
    </row>
    <row r="67" spans="1:137" ht="13" x14ac:dyDescent="0.15">
      <c r="A67" s="917"/>
      <c r="B67" s="917"/>
      <c r="C67" s="918"/>
      <c r="D67" s="919"/>
      <c r="E67" s="920"/>
      <c r="F67" s="921"/>
      <c r="G67" s="922"/>
      <c r="H67" s="922"/>
      <c r="I67" s="922"/>
      <c r="J67" s="923"/>
      <c r="K67" s="923"/>
      <c r="L67" s="924"/>
      <c r="M67" s="925"/>
      <c r="N67" s="925"/>
      <c r="O67" s="925"/>
      <c r="P67" s="925"/>
      <c r="Q67" s="925"/>
      <c r="R67" s="925"/>
      <c r="S67" s="926"/>
      <c r="T67" s="925"/>
      <c r="U67" s="925"/>
      <c r="V67" s="925"/>
      <c r="W67" s="925"/>
      <c r="X67" s="925"/>
      <c r="Y67" s="925"/>
      <c r="Z67" s="925"/>
      <c r="AA67" s="925"/>
      <c r="AB67" s="925"/>
      <c r="AC67" s="925"/>
      <c r="AD67" s="925"/>
      <c r="AE67" s="925"/>
      <c r="AF67" s="925"/>
      <c r="AG67" s="925"/>
      <c r="AH67" s="925"/>
      <c r="AI67" s="925"/>
      <c r="AJ67" s="925"/>
      <c r="AK67" s="925"/>
      <c r="AL67" s="925"/>
      <c r="AM67" s="925"/>
      <c r="AN67" s="925"/>
      <c r="AO67" s="925"/>
      <c r="AP67" s="925"/>
      <c r="AQ67" s="925"/>
      <c r="AR67" s="925"/>
      <c r="AS67" s="925"/>
      <c r="AT67" s="925"/>
      <c r="AU67" s="925"/>
      <c r="AV67" s="925"/>
      <c r="AW67" s="925"/>
      <c r="AX67" s="925"/>
      <c r="AY67" s="925"/>
      <c r="AZ67" s="925"/>
      <c r="BA67" s="925"/>
      <c r="BB67" s="925"/>
      <c r="BC67" s="925"/>
      <c r="BD67" s="925"/>
      <c r="BE67" s="925"/>
      <c r="BF67" s="925"/>
      <c r="BG67" s="925"/>
      <c r="BH67" s="925"/>
      <c r="BI67" s="925"/>
      <c r="BJ67" s="925"/>
      <c r="BK67" s="925"/>
      <c r="BL67" s="925"/>
      <c r="BM67" s="925"/>
      <c r="BN67" s="925"/>
      <c r="BO67" s="925"/>
      <c r="BP67" s="925"/>
      <c r="BQ67" s="925"/>
      <c r="BR67" s="925"/>
      <c r="BS67" s="925"/>
      <c r="BT67" s="925"/>
      <c r="BU67" s="925"/>
      <c r="BV67" s="925"/>
      <c r="BW67" s="925"/>
      <c r="BX67" s="925"/>
      <c r="BY67" s="925"/>
      <c r="BZ67" s="925"/>
      <c r="CA67" s="925"/>
      <c r="CB67" s="925"/>
      <c r="CC67" s="925"/>
      <c r="CD67" s="925"/>
      <c r="CE67" s="925"/>
      <c r="CF67" s="925"/>
      <c r="CG67" s="925"/>
      <c r="CH67" s="925"/>
      <c r="CI67" s="925"/>
      <c r="CJ67" s="925"/>
      <c r="CK67" s="925"/>
      <c r="CL67" s="925"/>
      <c r="CM67" s="925"/>
      <c r="CN67" s="925"/>
      <c r="CO67" s="925"/>
      <c r="CP67" s="925"/>
      <c r="CQ67" s="925"/>
      <c r="CR67" s="925"/>
      <c r="CS67" s="925"/>
      <c r="CT67" s="925"/>
      <c r="CU67" s="925"/>
      <c r="CV67" s="925"/>
      <c r="CW67" s="925"/>
      <c r="CX67" s="925"/>
      <c r="CY67" s="925"/>
      <c r="CZ67" s="925"/>
      <c r="DA67" s="925"/>
      <c r="DB67" s="925"/>
      <c r="DC67" s="925"/>
      <c r="DD67" s="925"/>
      <c r="DE67" s="925"/>
      <c r="DF67" s="925"/>
      <c r="DG67" s="925"/>
      <c r="DH67" s="925"/>
      <c r="DI67" s="925"/>
      <c r="DJ67" s="925"/>
      <c r="DK67" s="925"/>
      <c r="DL67" s="925"/>
      <c r="DM67" s="925"/>
      <c r="DN67" s="925"/>
      <c r="DO67" s="925"/>
      <c r="DP67" s="925"/>
      <c r="DQ67" s="925"/>
      <c r="DR67" s="925"/>
      <c r="DS67" s="925"/>
      <c r="DT67" s="925"/>
      <c r="DU67" s="925"/>
      <c r="DV67" s="925"/>
      <c r="DW67" s="925"/>
      <c r="DX67" s="925"/>
      <c r="DY67" s="925"/>
      <c r="DZ67" s="925"/>
      <c r="EA67" s="925"/>
      <c r="EB67" s="925"/>
      <c r="EC67" s="925"/>
      <c r="ED67" s="925"/>
      <c r="EE67" s="925"/>
      <c r="EF67" s="925"/>
      <c r="EG67" s="446"/>
    </row>
    <row r="68" spans="1:137" ht="13" x14ac:dyDescent="0.15">
      <c r="A68" s="917"/>
      <c r="B68" s="917"/>
      <c r="C68" s="918"/>
      <c r="D68" s="919"/>
      <c r="E68" s="920"/>
      <c r="F68" s="921"/>
      <c r="G68" s="922"/>
      <c r="H68" s="922"/>
      <c r="I68" s="922"/>
      <c r="J68" s="923"/>
      <c r="K68" s="923"/>
      <c r="L68" s="924"/>
      <c r="M68" s="925"/>
      <c r="N68" s="925"/>
      <c r="O68" s="925"/>
      <c r="P68" s="925"/>
      <c r="Q68" s="925"/>
      <c r="R68" s="925"/>
      <c r="S68" s="926"/>
      <c r="T68" s="925"/>
      <c r="U68" s="925"/>
      <c r="V68" s="925"/>
      <c r="W68" s="925"/>
      <c r="X68" s="925"/>
      <c r="Y68" s="925"/>
      <c r="Z68" s="925"/>
      <c r="AA68" s="925"/>
      <c r="AB68" s="925"/>
      <c r="AC68" s="925"/>
      <c r="AD68" s="925"/>
      <c r="AE68" s="925"/>
      <c r="AF68" s="925"/>
      <c r="AG68" s="925"/>
      <c r="AH68" s="925"/>
      <c r="AI68" s="925"/>
      <c r="AJ68" s="925"/>
      <c r="AK68" s="925"/>
      <c r="AL68" s="925"/>
      <c r="AM68" s="925"/>
      <c r="AN68" s="925"/>
      <c r="AO68" s="925"/>
      <c r="AP68" s="925"/>
      <c r="AQ68" s="925"/>
      <c r="AR68" s="925"/>
      <c r="AS68" s="925"/>
      <c r="AT68" s="925"/>
      <c r="AU68" s="925"/>
      <c r="AV68" s="925"/>
      <c r="AW68" s="925"/>
      <c r="AX68" s="925"/>
      <c r="AY68" s="925"/>
      <c r="AZ68" s="925"/>
      <c r="BA68" s="925"/>
      <c r="BB68" s="925"/>
      <c r="BC68" s="925"/>
      <c r="BD68" s="925"/>
      <c r="BE68" s="925"/>
      <c r="BF68" s="925"/>
      <c r="BG68" s="925"/>
      <c r="BH68" s="925"/>
      <c r="BI68" s="925"/>
      <c r="BJ68" s="925"/>
      <c r="BK68" s="925"/>
      <c r="BL68" s="925"/>
      <c r="BM68" s="925"/>
      <c r="BN68" s="925"/>
      <c r="BO68" s="925"/>
      <c r="BP68" s="925"/>
      <c r="BQ68" s="925"/>
      <c r="BR68" s="925"/>
      <c r="BS68" s="925"/>
      <c r="BT68" s="925"/>
      <c r="BU68" s="925"/>
      <c r="BV68" s="925"/>
      <c r="BW68" s="925"/>
      <c r="BX68" s="925"/>
      <c r="BY68" s="925"/>
      <c r="BZ68" s="925"/>
      <c r="CA68" s="925"/>
      <c r="CB68" s="925"/>
      <c r="CC68" s="925"/>
      <c r="CD68" s="925"/>
      <c r="CE68" s="925"/>
      <c r="CF68" s="925"/>
      <c r="CG68" s="925"/>
      <c r="CH68" s="925"/>
      <c r="CI68" s="925"/>
      <c r="CJ68" s="925"/>
      <c r="CK68" s="925"/>
      <c r="CL68" s="925"/>
      <c r="CM68" s="925"/>
      <c r="CN68" s="925"/>
      <c r="CO68" s="925"/>
      <c r="CP68" s="925"/>
      <c r="CQ68" s="925"/>
      <c r="CR68" s="925"/>
      <c r="CS68" s="925"/>
      <c r="CT68" s="925"/>
      <c r="CU68" s="925"/>
      <c r="CV68" s="925"/>
      <c r="CW68" s="925"/>
      <c r="CX68" s="925"/>
      <c r="CY68" s="925"/>
      <c r="CZ68" s="925"/>
      <c r="DA68" s="925"/>
      <c r="DB68" s="925"/>
      <c r="DC68" s="925"/>
      <c r="DD68" s="925"/>
      <c r="DE68" s="925"/>
      <c r="DF68" s="925"/>
      <c r="DG68" s="925"/>
      <c r="DH68" s="925"/>
      <c r="DI68" s="925"/>
      <c r="DJ68" s="925"/>
      <c r="DK68" s="925"/>
      <c r="DL68" s="925"/>
      <c r="DM68" s="925"/>
      <c r="DN68" s="925"/>
      <c r="DO68" s="925"/>
      <c r="DP68" s="925"/>
      <c r="DQ68" s="925"/>
      <c r="DR68" s="925"/>
      <c r="DS68" s="925"/>
      <c r="DT68" s="925"/>
      <c r="DU68" s="925"/>
      <c r="DV68" s="925"/>
      <c r="DW68" s="925"/>
      <c r="DX68" s="925"/>
      <c r="DY68" s="925"/>
      <c r="DZ68" s="925"/>
      <c r="EA68" s="925"/>
      <c r="EB68" s="925"/>
      <c r="EC68" s="925"/>
      <c r="ED68" s="925"/>
      <c r="EE68" s="925"/>
      <c r="EF68" s="925"/>
      <c r="EG68" s="446"/>
    </row>
    <row r="69" spans="1:137" ht="13" x14ac:dyDescent="0.15">
      <c r="A69" s="917"/>
      <c r="B69" s="917"/>
      <c r="C69" s="918"/>
      <c r="D69" s="919"/>
      <c r="E69" s="920"/>
      <c r="F69" s="921"/>
      <c r="G69" s="922"/>
      <c r="H69" s="922"/>
      <c r="I69" s="922"/>
      <c r="J69" s="923"/>
      <c r="K69" s="923"/>
      <c r="L69" s="924"/>
      <c r="M69" s="925"/>
      <c r="N69" s="925"/>
      <c r="O69" s="925"/>
      <c r="P69" s="925"/>
      <c r="Q69" s="925"/>
      <c r="R69" s="926"/>
      <c r="S69" s="926"/>
      <c r="T69" s="925"/>
      <c r="U69" s="925"/>
      <c r="V69" s="925"/>
      <c r="W69" s="925"/>
      <c r="X69" s="925"/>
      <c r="Y69" s="925"/>
      <c r="Z69" s="925"/>
      <c r="AA69" s="925"/>
      <c r="AB69" s="925"/>
      <c r="AC69" s="925"/>
      <c r="AD69" s="925"/>
      <c r="AE69" s="925"/>
      <c r="AF69" s="925"/>
      <c r="AG69" s="925"/>
      <c r="AH69" s="925"/>
      <c r="AI69" s="925"/>
      <c r="AJ69" s="925"/>
      <c r="AK69" s="925"/>
      <c r="AL69" s="925"/>
      <c r="AM69" s="925"/>
      <c r="AN69" s="925"/>
      <c r="AO69" s="925"/>
      <c r="AP69" s="925"/>
      <c r="AQ69" s="925"/>
      <c r="AR69" s="925"/>
      <c r="AS69" s="925"/>
      <c r="AT69" s="925"/>
      <c r="AU69" s="925"/>
      <c r="AV69" s="925"/>
      <c r="AW69" s="925"/>
      <c r="AX69" s="925"/>
      <c r="AY69" s="925"/>
      <c r="AZ69" s="925"/>
      <c r="BA69" s="925"/>
      <c r="BB69" s="925"/>
      <c r="BC69" s="925"/>
      <c r="BD69" s="925"/>
      <c r="BE69" s="925"/>
      <c r="BF69" s="925"/>
      <c r="BG69" s="925"/>
      <c r="BH69" s="925"/>
      <c r="BI69" s="925"/>
      <c r="BJ69" s="925"/>
      <c r="BK69" s="925"/>
      <c r="BL69" s="925"/>
      <c r="BM69" s="925"/>
      <c r="BN69" s="925"/>
      <c r="BO69" s="925"/>
      <c r="BP69" s="925"/>
      <c r="BQ69" s="925"/>
      <c r="BR69" s="925"/>
      <c r="BS69" s="925"/>
      <c r="BT69" s="925"/>
      <c r="BU69" s="925"/>
      <c r="BV69" s="925"/>
      <c r="BW69" s="925"/>
      <c r="BX69" s="925"/>
      <c r="BY69" s="925"/>
      <c r="BZ69" s="925"/>
      <c r="CA69" s="925"/>
      <c r="CB69" s="925"/>
      <c r="CC69" s="925"/>
      <c r="CD69" s="925"/>
      <c r="CE69" s="925"/>
      <c r="CF69" s="925"/>
      <c r="CG69" s="925"/>
      <c r="CH69" s="925"/>
      <c r="CI69" s="925"/>
      <c r="CJ69" s="925"/>
      <c r="CK69" s="925"/>
      <c r="CL69" s="925"/>
      <c r="CM69" s="925"/>
      <c r="CN69" s="925"/>
      <c r="CO69" s="925"/>
      <c r="CP69" s="925"/>
      <c r="CQ69" s="925"/>
      <c r="CR69" s="925"/>
      <c r="CS69" s="925"/>
      <c r="CT69" s="925"/>
      <c r="CU69" s="925"/>
      <c r="CV69" s="925"/>
      <c r="CW69" s="925"/>
      <c r="CX69" s="925"/>
      <c r="CY69" s="925"/>
      <c r="CZ69" s="925"/>
      <c r="DA69" s="925"/>
      <c r="DB69" s="925"/>
      <c r="DC69" s="925"/>
      <c r="DD69" s="925"/>
      <c r="DE69" s="925"/>
      <c r="DF69" s="925"/>
      <c r="DG69" s="925"/>
      <c r="DH69" s="925"/>
      <c r="DI69" s="925"/>
      <c r="DJ69" s="925"/>
      <c r="DK69" s="925"/>
      <c r="DL69" s="925"/>
      <c r="DM69" s="925"/>
      <c r="DN69" s="925"/>
      <c r="DO69" s="925"/>
      <c r="DP69" s="925"/>
      <c r="DQ69" s="925"/>
      <c r="DR69" s="925"/>
      <c r="DS69" s="925"/>
      <c r="DT69" s="925"/>
      <c r="DU69" s="925"/>
      <c r="DV69" s="925"/>
      <c r="DW69" s="925"/>
      <c r="DX69" s="925"/>
      <c r="DY69" s="925"/>
      <c r="DZ69" s="925"/>
      <c r="EA69" s="925"/>
      <c r="EB69" s="925"/>
      <c r="EC69" s="925"/>
      <c r="ED69" s="925"/>
      <c r="EE69" s="925"/>
      <c r="EF69" s="925"/>
      <c r="EG69" s="446"/>
    </row>
    <row r="70" spans="1:137" ht="13" x14ac:dyDescent="0.15">
      <c r="A70" s="917"/>
      <c r="B70" s="917"/>
      <c r="C70" s="918"/>
      <c r="D70" s="919"/>
      <c r="E70" s="920"/>
      <c r="F70" s="921"/>
      <c r="G70" s="922"/>
      <c r="H70" s="922"/>
      <c r="I70" s="922"/>
      <c r="J70" s="923"/>
      <c r="K70" s="923"/>
      <c r="L70" s="924"/>
      <c r="M70" s="925"/>
      <c r="N70" s="925"/>
      <c r="O70" s="925"/>
      <c r="P70" s="925"/>
      <c r="Q70" s="925"/>
      <c r="R70" s="926"/>
      <c r="S70" s="926"/>
      <c r="T70" s="925"/>
      <c r="U70" s="925"/>
      <c r="V70" s="925"/>
      <c r="W70" s="925"/>
      <c r="X70" s="925"/>
      <c r="Y70" s="925"/>
      <c r="Z70" s="925"/>
      <c r="AA70" s="925"/>
      <c r="AB70" s="925"/>
      <c r="AC70" s="925"/>
      <c r="AD70" s="925"/>
      <c r="AE70" s="925"/>
      <c r="AF70" s="925"/>
      <c r="AG70" s="925"/>
      <c r="AH70" s="925"/>
      <c r="AI70" s="925"/>
      <c r="AJ70" s="925"/>
      <c r="AK70" s="925"/>
      <c r="AL70" s="925"/>
      <c r="AM70" s="925"/>
      <c r="AN70" s="925"/>
      <c r="AO70" s="925"/>
      <c r="AP70" s="925"/>
      <c r="AQ70" s="925"/>
      <c r="AR70" s="925"/>
      <c r="AS70" s="925"/>
      <c r="AT70" s="925"/>
      <c r="AU70" s="925"/>
      <c r="AV70" s="925"/>
      <c r="AW70" s="925"/>
      <c r="AX70" s="925"/>
      <c r="AY70" s="925"/>
      <c r="AZ70" s="925"/>
      <c r="BA70" s="925"/>
      <c r="BB70" s="925"/>
      <c r="BC70" s="925"/>
      <c r="BD70" s="925"/>
      <c r="BE70" s="925"/>
      <c r="BF70" s="925"/>
      <c r="BG70" s="925"/>
      <c r="BH70" s="925"/>
      <c r="BI70" s="925"/>
      <c r="BJ70" s="925"/>
      <c r="BK70" s="925"/>
      <c r="BL70" s="925"/>
      <c r="BM70" s="925"/>
      <c r="BN70" s="925"/>
      <c r="BO70" s="925"/>
      <c r="BP70" s="925"/>
      <c r="BQ70" s="925"/>
      <c r="BR70" s="925"/>
      <c r="BS70" s="925"/>
      <c r="BT70" s="925"/>
      <c r="BU70" s="925"/>
      <c r="BV70" s="925"/>
      <c r="BW70" s="925"/>
      <c r="BX70" s="925"/>
      <c r="BY70" s="925"/>
      <c r="BZ70" s="925"/>
      <c r="CA70" s="925"/>
      <c r="CB70" s="925"/>
      <c r="CC70" s="925"/>
      <c r="CD70" s="925"/>
      <c r="CE70" s="925"/>
      <c r="CF70" s="925"/>
      <c r="CG70" s="925"/>
      <c r="CH70" s="925"/>
      <c r="CI70" s="925"/>
      <c r="CJ70" s="925"/>
      <c r="CK70" s="925"/>
      <c r="CL70" s="925"/>
      <c r="CM70" s="925"/>
      <c r="CN70" s="925"/>
      <c r="CO70" s="925"/>
      <c r="CP70" s="925"/>
      <c r="CQ70" s="925"/>
      <c r="CR70" s="925"/>
      <c r="CS70" s="925"/>
      <c r="CT70" s="925"/>
      <c r="CU70" s="925"/>
      <c r="CV70" s="925"/>
      <c r="CW70" s="925"/>
      <c r="CX70" s="925"/>
      <c r="CY70" s="925"/>
      <c r="CZ70" s="925"/>
      <c r="DA70" s="925"/>
      <c r="DB70" s="925"/>
      <c r="DC70" s="925"/>
      <c r="DD70" s="925"/>
      <c r="DE70" s="925"/>
      <c r="DF70" s="925"/>
      <c r="DG70" s="925"/>
      <c r="DH70" s="925"/>
      <c r="DI70" s="925"/>
      <c r="DJ70" s="925"/>
      <c r="DK70" s="925"/>
      <c r="DL70" s="925"/>
      <c r="DM70" s="925"/>
      <c r="DN70" s="925"/>
      <c r="DO70" s="925"/>
      <c r="DP70" s="925"/>
      <c r="DQ70" s="925"/>
      <c r="DR70" s="925"/>
      <c r="DS70" s="925"/>
      <c r="DT70" s="925"/>
      <c r="DU70" s="925"/>
      <c r="DV70" s="925"/>
      <c r="DW70" s="925"/>
      <c r="DX70" s="925"/>
      <c r="DY70" s="925"/>
      <c r="DZ70" s="925"/>
      <c r="EA70" s="925"/>
      <c r="EB70" s="925"/>
      <c r="EC70" s="925"/>
      <c r="ED70" s="925"/>
      <c r="EE70" s="925"/>
      <c r="EF70" s="925"/>
      <c r="EG70" s="446"/>
    </row>
    <row r="71" spans="1:137" ht="13" x14ac:dyDescent="0.15">
      <c r="A71" s="917"/>
      <c r="B71" s="917"/>
      <c r="C71" s="918"/>
      <c r="D71" s="919"/>
      <c r="E71" s="920"/>
      <c r="F71" s="921"/>
      <c r="G71" s="922"/>
      <c r="H71" s="922"/>
      <c r="I71" s="922"/>
      <c r="J71" s="923"/>
      <c r="K71" s="923"/>
      <c r="L71" s="924"/>
      <c r="M71" s="925"/>
      <c r="N71" s="925"/>
      <c r="O71" s="925"/>
      <c r="P71" s="925"/>
      <c r="Q71" s="925"/>
      <c r="R71" s="926"/>
      <c r="S71" s="926"/>
      <c r="T71" s="925"/>
      <c r="U71" s="925"/>
      <c r="V71" s="925"/>
      <c r="W71" s="925"/>
      <c r="X71" s="925"/>
      <c r="Y71" s="925"/>
      <c r="Z71" s="925"/>
      <c r="AA71" s="925"/>
      <c r="AB71" s="925"/>
      <c r="AC71" s="925"/>
      <c r="AD71" s="925"/>
      <c r="AE71" s="925"/>
      <c r="AF71" s="925"/>
      <c r="AG71" s="925"/>
      <c r="AH71" s="925"/>
      <c r="AI71" s="925"/>
      <c r="AJ71" s="925"/>
      <c r="AK71" s="925"/>
      <c r="AL71" s="925"/>
      <c r="AM71" s="925"/>
      <c r="AN71" s="925"/>
      <c r="AO71" s="925"/>
      <c r="AP71" s="925"/>
      <c r="AQ71" s="925"/>
      <c r="AR71" s="925"/>
      <c r="AS71" s="925"/>
      <c r="AT71" s="925"/>
      <c r="AU71" s="925"/>
      <c r="AV71" s="925"/>
      <c r="AW71" s="925"/>
      <c r="AX71" s="925"/>
      <c r="AY71" s="925"/>
      <c r="AZ71" s="925"/>
      <c r="BA71" s="925"/>
      <c r="BB71" s="925"/>
      <c r="BC71" s="925"/>
      <c r="BD71" s="925"/>
      <c r="BE71" s="925"/>
      <c r="BF71" s="925"/>
      <c r="BG71" s="925"/>
      <c r="BH71" s="925"/>
      <c r="BI71" s="925"/>
      <c r="BJ71" s="925"/>
      <c r="BK71" s="925"/>
      <c r="BL71" s="925"/>
      <c r="BM71" s="925"/>
      <c r="BN71" s="925"/>
      <c r="BO71" s="925"/>
      <c r="BP71" s="925"/>
      <c r="BQ71" s="925"/>
      <c r="BR71" s="925"/>
      <c r="BS71" s="925"/>
      <c r="BT71" s="925"/>
      <c r="BU71" s="925"/>
      <c r="BV71" s="925"/>
      <c r="BW71" s="925"/>
      <c r="BX71" s="925"/>
      <c r="BY71" s="925"/>
      <c r="BZ71" s="925"/>
      <c r="CA71" s="925"/>
      <c r="CB71" s="925"/>
      <c r="CC71" s="925"/>
      <c r="CD71" s="925"/>
      <c r="CE71" s="925"/>
      <c r="CF71" s="925"/>
      <c r="CG71" s="925"/>
      <c r="CH71" s="925"/>
      <c r="CI71" s="925"/>
      <c r="CJ71" s="925"/>
      <c r="CK71" s="925"/>
      <c r="CL71" s="925"/>
      <c r="CM71" s="925"/>
      <c r="CN71" s="925"/>
      <c r="CO71" s="925"/>
      <c r="CP71" s="925"/>
      <c r="CQ71" s="925"/>
      <c r="CR71" s="925"/>
      <c r="CS71" s="925"/>
      <c r="CT71" s="925"/>
      <c r="CU71" s="925"/>
      <c r="CV71" s="925"/>
      <c r="CW71" s="925"/>
      <c r="CX71" s="925"/>
      <c r="CY71" s="925"/>
      <c r="CZ71" s="925"/>
      <c r="DA71" s="925"/>
      <c r="DB71" s="925"/>
      <c r="DC71" s="925"/>
      <c r="DD71" s="925"/>
      <c r="DE71" s="925"/>
      <c r="DF71" s="925"/>
      <c r="DG71" s="925"/>
      <c r="DH71" s="925"/>
      <c r="DI71" s="925"/>
      <c r="DJ71" s="925"/>
      <c r="DK71" s="925"/>
      <c r="DL71" s="925"/>
      <c r="DM71" s="925"/>
      <c r="DN71" s="925"/>
      <c r="DO71" s="925"/>
      <c r="DP71" s="925"/>
      <c r="DQ71" s="925"/>
      <c r="DR71" s="925"/>
      <c r="DS71" s="925"/>
      <c r="DT71" s="925"/>
      <c r="DU71" s="925"/>
      <c r="DV71" s="925"/>
      <c r="DW71" s="925"/>
      <c r="DX71" s="925"/>
      <c r="DY71" s="925"/>
      <c r="DZ71" s="925"/>
      <c r="EA71" s="925"/>
      <c r="EB71" s="925"/>
      <c r="EC71" s="925"/>
      <c r="ED71" s="925"/>
      <c r="EE71" s="925"/>
      <c r="EF71" s="925"/>
      <c r="EG71" s="446"/>
    </row>
    <row r="72" spans="1:137" ht="13" x14ac:dyDescent="0.15">
      <c r="A72" s="917"/>
      <c r="B72" s="917"/>
      <c r="C72" s="918"/>
      <c r="D72" s="919"/>
      <c r="E72" s="920"/>
      <c r="F72" s="921"/>
      <c r="G72" s="922"/>
      <c r="H72" s="922"/>
      <c r="I72" s="922"/>
      <c r="J72" s="923"/>
      <c r="K72" s="923"/>
      <c r="L72" s="924"/>
      <c r="M72" s="925"/>
      <c r="N72" s="925"/>
      <c r="O72" s="925"/>
      <c r="P72" s="925"/>
      <c r="Q72" s="925"/>
      <c r="R72" s="926"/>
      <c r="S72" s="926"/>
      <c r="T72" s="925"/>
      <c r="U72" s="925"/>
      <c r="V72" s="925"/>
      <c r="W72" s="925"/>
      <c r="X72" s="925"/>
      <c r="Y72" s="925"/>
      <c r="Z72" s="925"/>
      <c r="AA72" s="925"/>
      <c r="AB72" s="925"/>
      <c r="AC72" s="925"/>
      <c r="AD72" s="925"/>
      <c r="AE72" s="925"/>
      <c r="AF72" s="925"/>
      <c r="AG72" s="925"/>
      <c r="AH72" s="925"/>
      <c r="AI72" s="925"/>
      <c r="AJ72" s="925"/>
      <c r="AK72" s="925"/>
      <c r="AL72" s="925"/>
      <c r="AM72" s="925"/>
      <c r="AN72" s="925"/>
      <c r="AO72" s="925"/>
      <c r="AP72" s="925"/>
      <c r="AQ72" s="925"/>
      <c r="AR72" s="925"/>
      <c r="AS72" s="925"/>
      <c r="AT72" s="925"/>
      <c r="AU72" s="925"/>
      <c r="AV72" s="925"/>
      <c r="AW72" s="925"/>
      <c r="AX72" s="925"/>
      <c r="AY72" s="925"/>
      <c r="AZ72" s="925"/>
      <c r="BA72" s="925"/>
      <c r="BB72" s="925"/>
      <c r="BC72" s="925"/>
      <c r="BD72" s="925"/>
      <c r="BE72" s="925"/>
      <c r="BF72" s="925"/>
      <c r="BG72" s="925"/>
      <c r="BH72" s="925"/>
      <c r="BI72" s="925"/>
      <c r="BJ72" s="925"/>
      <c r="BK72" s="925"/>
      <c r="BL72" s="925"/>
      <c r="BM72" s="925"/>
      <c r="BN72" s="925"/>
      <c r="BO72" s="925"/>
      <c r="BP72" s="925"/>
      <c r="BQ72" s="925"/>
      <c r="BR72" s="925"/>
      <c r="BS72" s="925"/>
      <c r="BT72" s="925"/>
      <c r="BU72" s="925"/>
      <c r="BV72" s="925"/>
      <c r="BW72" s="925"/>
      <c r="BX72" s="925"/>
      <c r="BY72" s="925"/>
      <c r="BZ72" s="925"/>
      <c r="CA72" s="925"/>
      <c r="CB72" s="925"/>
      <c r="CC72" s="925"/>
      <c r="CD72" s="925"/>
      <c r="CE72" s="925"/>
      <c r="CF72" s="925"/>
      <c r="CG72" s="925"/>
      <c r="CH72" s="925"/>
      <c r="CI72" s="925"/>
      <c r="CJ72" s="925"/>
      <c r="CK72" s="925"/>
      <c r="CL72" s="925"/>
      <c r="CM72" s="925"/>
      <c r="CN72" s="925"/>
      <c r="CO72" s="925"/>
      <c r="CP72" s="925"/>
      <c r="CQ72" s="925"/>
      <c r="CR72" s="925"/>
      <c r="CS72" s="925"/>
      <c r="CT72" s="925"/>
      <c r="CU72" s="925"/>
      <c r="CV72" s="925"/>
      <c r="CW72" s="925"/>
      <c r="CX72" s="925"/>
      <c r="CY72" s="925"/>
      <c r="CZ72" s="925"/>
      <c r="DA72" s="925"/>
      <c r="DB72" s="925"/>
      <c r="DC72" s="925"/>
      <c r="DD72" s="925"/>
      <c r="DE72" s="925"/>
      <c r="DF72" s="925"/>
      <c r="DG72" s="925"/>
      <c r="DH72" s="925"/>
      <c r="DI72" s="925"/>
      <c r="DJ72" s="925"/>
      <c r="DK72" s="925"/>
      <c r="DL72" s="925"/>
      <c r="DM72" s="925"/>
      <c r="DN72" s="925"/>
      <c r="DO72" s="925"/>
      <c r="DP72" s="925"/>
      <c r="DQ72" s="925"/>
      <c r="DR72" s="925"/>
      <c r="DS72" s="925"/>
      <c r="DT72" s="925"/>
      <c r="DU72" s="925"/>
      <c r="DV72" s="925"/>
      <c r="DW72" s="925"/>
      <c r="DX72" s="925"/>
      <c r="DY72" s="925"/>
      <c r="DZ72" s="925"/>
      <c r="EA72" s="925"/>
      <c r="EB72" s="925"/>
      <c r="EC72" s="925"/>
      <c r="ED72" s="925"/>
      <c r="EE72" s="925"/>
      <c r="EF72" s="925"/>
      <c r="EG72" s="446"/>
    </row>
    <row r="73" spans="1:137" ht="13" x14ac:dyDescent="0.15">
      <c r="A73" s="917"/>
      <c r="B73" s="917"/>
      <c r="C73" s="918"/>
      <c r="D73" s="919"/>
      <c r="E73" s="920"/>
      <c r="F73" s="921"/>
      <c r="G73" s="922"/>
      <c r="H73" s="922"/>
      <c r="I73" s="922"/>
      <c r="J73" s="923"/>
      <c r="K73" s="923"/>
      <c r="L73" s="924"/>
      <c r="M73" s="925"/>
      <c r="N73" s="925"/>
      <c r="O73" s="925"/>
      <c r="P73" s="925"/>
      <c r="Q73" s="925"/>
      <c r="R73" s="926"/>
      <c r="S73" s="926"/>
      <c r="T73" s="925"/>
      <c r="U73" s="925"/>
      <c r="V73" s="925"/>
      <c r="W73" s="925"/>
      <c r="X73" s="925"/>
      <c r="Y73" s="925"/>
      <c r="Z73" s="925"/>
      <c r="AA73" s="925"/>
      <c r="AB73" s="925"/>
      <c r="AC73" s="925"/>
      <c r="AD73" s="925"/>
      <c r="AE73" s="925"/>
      <c r="AF73" s="925"/>
      <c r="AG73" s="925"/>
      <c r="AH73" s="925"/>
      <c r="AI73" s="925"/>
      <c r="AJ73" s="925"/>
      <c r="AK73" s="925"/>
      <c r="AL73" s="925"/>
      <c r="AM73" s="925"/>
      <c r="AN73" s="925"/>
      <c r="AO73" s="925"/>
      <c r="AP73" s="925"/>
      <c r="AQ73" s="925"/>
      <c r="AR73" s="925"/>
      <c r="AS73" s="925"/>
      <c r="AT73" s="925"/>
      <c r="AU73" s="925"/>
      <c r="AV73" s="925"/>
      <c r="AW73" s="925"/>
      <c r="AX73" s="925"/>
      <c r="AY73" s="925"/>
      <c r="AZ73" s="925"/>
      <c r="BA73" s="925"/>
      <c r="BB73" s="925"/>
      <c r="BC73" s="925"/>
      <c r="BD73" s="925"/>
      <c r="BE73" s="925"/>
      <c r="BF73" s="925"/>
      <c r="BG73" s="925"/>
      <c r="BH73" s="925"/>
      <c r="BI73" s="925"/>
      <c r="BJ73" s="925"/>
      <c r="BK73" s="925"/>
      <c r="BL73" s="925"/>
      <c r="BM73" s="925"/>
      <c r="BN73" s="925"/>
      <c r="BO73" s="925"/>
      <c r="BP73" s="925"/>
      <c r="BQ73" s="925"/>
      <c r="BR73" s="925"/>
      <c r="BS73" s="925"/>
      <c r="BT73" s="925"/>
      <c r="BU73" s="925"/>
      <c r="BV73" s="925"/>
      <c r="BW73" s="925"/>
      <c r="BX73" s="925"/>
      <c r="BY73" s="925"/>
      <c r="BZ73" s="925"/>
      <c r="CA73" s="925"/>
      <c r="CB73" s="925"/>
      <c r="CC73" s="925"/>
      <c r="CD73" s="925"/>
      <c r="CE73" s="925"/>
      <c r="CF73" s="925"/>
      <c r="CG73" s="925"/>
      <c r="CH73" s="925"/>
      <c r="CI73" s="925"/>
      <c r="CJ73" s="925"/>
      <c r="CK73" s="925"/>
      <c r="CL73" s="925"/>
      <c r="CM73" s="925"/>
      <c r="CN73" s="925"/>
      <c r="CO73" s="925"/>
      <c r="CP73" s="925"/>
      <c r="CQ73" s="925"/>
      <c r="CR73" s="925"/>
      <c r="CS73" s="925"/>
      <c r="CT73" s="925"/>
      <c r="CU73" s="925"/>
      <c r="CV73" s="925"/>
      <c r="CW73" s="925"/>
      <c r="CX73" s="925"/>
      <c r="CY73" s="925"/>
      <c r="CZ73" s="925"/>
      <c r="DA73" s="925"/>
      <c r="DB73" s="925"/>
      <c r="DC73" s="925"/>
      <c r="DD73" s="925"/>
      <c r="DE73" s="925"/>
      <c r="DF73" s="925"/>
      <c r="DG73" s="925"/>
      <c r="DH73" s="925"/>
      <c r="DI73" s="925"/>
      <c r="DJ73" s="925"/>
      <c r="DK73" s="925"/>
      <c r="DL73" s="925"/>
      <c r="DM73" s="925"/>
      <c r="DN73" s="925"/>
      <c r="DO73" s="925"/>
      <c r="DP73" s="925"/>
      <c r="DQ73" s="925"/>
      <c r="DR73" s="925"/>
      <c r="DS73" s="925"/>
      <c r="DT73" s="925"/>
      <c r="DU73" s="925"/>
      <c r="DV73" s="925"/>
      <c r="DW73" s="925"/>
      <c r="DX73" s="925"/>
      <c r="DY73" s="925"/>
      <c r="DZ73" s="925"/>
      <c r="EA73" s="925"/>
      <c r="EB73" s="925"/>
      <c r="EC73" s="925"/>
      <c r="ED73" s="925"/>
      <c r="EE73" s="925"/>
      <c r="EF73" s="925"/>
      <c r="EG73" s="446"/>
    </row>
    <row r="74" spans="1:137" ht="13" x14ac:dyDescent="0.15">
      <c r="A74" s="917"/>
      <c r="B74" s="917"/>
      <c r="C74" s="918"/>
      <c r="D74" s="919"/>
      <c r="E74" s="920"/>
      <c r="F74" s="921"/>
      <c r="G74" s="922"/>
      <c r="H74" s="922"/>
      <c r="I74" s="922"/>
      <c r="J74" s="923"/>
      <c r="K74" s="923"/>
      <c r="L74" s="924"/>
      <c r="M74" s="925"/>
      <c r="N74" s="925"/>
      <c r="O74" s="925"/>
      <c r="P74" s="925"/>
      <c r="Q74" s="925"/>
      <c r="R74" s="926"/>
      <c r="S74" s="926"/>
      <c r="T74" s="925"/>
      <c r="U74" s="925"/>
      <c r="V74" s="925"/>
      <c r="W74" s="925"/>
      <c r="X74" s="925"/>
      <c r="Y74" s="925"/>
      <c r="Z74" s="925"/>
      <c r="AA74" s="925"/>
      <c r="AB74" s="925"/>
      <c r="AC74" s="925"/>
      <c r="AD74" s="925"/>
      <c r="AE74" s="925"/>
      <c r="AF74" s="925"/>
      <c r="AG74" s="925"/>
      <c r="AH74" s="925"/>
      <c r="AI74" s="925"/>
      <c r="AJ74" s="925"/>
      <c r="AK74" s="925"/>
      <c r="AL74" s="925"/>
      <c r="AM74" s="925"/>
      <c r="AN74" s="925"/>
      <c r="AO74" s="925"/>
      <c r="AP74" s="925"/>
      <c r="AQ74" s="925"/>
      <c r="AR74" s="925"/>
      <c r="AS74" s="925"/>
      <c r="AT74" s="925"/>
      <c r="AU74" s="925"/>
      <c r="AV74" s="925"/>
      <c r="AW74" s="925"/>
      <c r="AX74" s="925"/>
      <c r="AY74" s="925"/>
      <c r="AZ74" s="925"/>
      <c r="BA74" s="925"/>
      <c r="BB74" s="925"/>
      <c r="BC74" s="925"/>
      <c r="BD74" s="925"/>
      <c r="BE74" s="925"/>
      <c r="BF74" s="925"/>
      <c r="BG74" s="925"/>
      <c r="BH74" s="925"/>
      <c r="BI74" s="925"/>
      <c r="BJ74" s="925"/>
      <c r="BK74" s="925"/>
      <c r="BL74" s="925"/>
      <c r="BM74" s="925"/>
      <c r="BN74" s="925"/>
      <c r="BO74" s="925"/>
      <c r="BP74" s="925"/>
      <c r="BQ74" s="925"/>
      <c r="BR74" s="925"/>
      <c r="BS74" s="925"/>
      <c r="BT74" s="925"/>
      <c r="BU74" s="925"/>
      <c r="BV74" s="925"/>
      <c r="BW74" s="925"/>
      <c r="BX74" s="925"/>
      <c r="BY74" s="925"/>
      <c r="BZ74" s="925"/>
      <c r="CA74" s="925"/>
      <c r="CB74" s="925"/>
      <c r="CC74" s="925"/>
      <c r="CD74" s="925"/>
      <c r="CE74" s="925"/>
      <c r="CF74" s="925"/>
      <c r="CG74" s="925"/>
      <c r="CH74" s="925"/>
      <c r="CI74" s="925"/>
      <c r="CJ74" s="925"/>
      <c r="CK74" s="925"/>
      <c r="CL74" s="925"/>
      <c r="CM74" s="925"/>
      <c r="CN74" s="925"/>
      <c r="CO74" s="925"/>
      <c r="CP74" s="925"/>
      <c r="CQ74" s="925"/>
      <c r="CR74" s="925"/>
      <c r="CS74" s="925"/>
      <c r="CT74" s="925"/>
      <c r="CU74" s="925"/>
      <c r="CV74" s="925"/>
      <c r="CW74" s="925"/>
      <c r="CX74" s="925"/>
      <c r="CY74" s="925"/>
      <c r="CZ74" s="925"/>
      <c r="DA74" s="925"/>
      <c r="DB74" s="925"/>
      <c r="DC74" s="925"/>
      <c r="DD74" s="925"/>
      <c r="DE74" s="925"/>
      <c r="DF74" s="925"/>
      <c r="DG74" s="925"/>
      <c r="DH74" s="925"/>
      <c r="DI74" s="925"/>
      <c r="DJ74" s="925"/>
      <c r="DK74" s="925"/>
      <c r="DL74" s="925"/>
      <c r="DM74" s="925"/>
      <c r="DN74" s="925"/>
      <c r="DO74" s="925"/>
      <c r="DP74" s="925"/>
      <c r="DQ74" s="925"/>
      <c r="DR74" s="925"/>
      <c r="DS74" s="925"/>
      <c r="DT74" s="925"/>
      <c r="DU74" s="925"/>
      <c r="DV74" s="925"/>
      <c r="DW74" s="925"/>
      <c r="DX74" s="925"/>
      <c r="DY74" s="925"/>
      <c r="DZ74" s="925"/>
      <c r="EA74" s="925"/>
      <c r="EB74" s="925"/>
      <c r="EC74" s="925"/>
      <c r="ED74" s="925"/>
      <c r="EE74" s="925"/>
      <c r="EF74" s="925"/>
      <c r="EG74" s="446"/>
    </row>
    <row r="75" spans="1:137" ht="13" x14ac:dyDescent="0.15">
      <c r="A75" s="917"/>
      <c r="B75" s="917"/>
      <c r="C75" s="918"/>
      <c r="D75" s="919"/>
      <c r="E75" s="920"/>
      <c r="F75" s="921"/>
      <c r="G75" s="922"/>
      <c r="H75" s="922"/>
      <c r="I75" s="922"/>
      <c r="J75" s="923"/>
      <c r="K75" s="923"/>
      <c r="L75" s="924"/>
      <c r="M75" s="925"/>
      <c r="N75" s="925"/>
      <c r="O75" s="925"/>
      <c r="P75" s="925"/>
      <c r="Q75" s="925"/>
      <c r="R75" s="926"/>
      <c r="S75" s="926"/>
      <c r="T75" s="925"/>
      <c r="U75" s="925"/>
      <c r="V75" s="925"/>
      <c r="W75" s="925"/>
      <c r="X75" s="925"/>
      <c r="Y75" s="925"/>
      <c r="Z75" s="925"/>
      <c r="AA75" s="925"/>
      <c r="AB75" s="925"/>
      <c r="AC75" s="925"/>
      <c r="AD75" s="925"/>
      <c r="AE75" s="925"/>
      <c r="AF75" s="925"/>
      <c r="AG75" s="925"/>
      <c r="AH75" s="925"/>
      <c r="AI75" s="925"/>
      <c r="AJ75" s="925"/>
      <c r="AK75" s="925"/>
      <c r="AL75" s="925"/>
      <c r="AM75" s="925"/>
      <c r="AN75" s="925"/>
      <c r="AO75" s="925"/>
      <c r="AP75" s="925"/>
      <c r="AQ75" s="925"/>
      <c r="AR75" s="925"/>
      <c r="AS75" s="925"/>
      <c r="AT75" s="925"/>
      <c r="AU75" s="925"/>
      <c r="AV75" s="925"/>
      <c r="AW75" s="925"/>
      <c r="AX75" s="925"/>
      <c r="AY75" s="925"/>
      <c r="AZ75" s="925"/>
      <c r="BA75" s="925"/>
      <c r="BB75" s="925"/>
      <c r="BC75" s="925"/>
      <c r="BD75" s="925"/>
      <c r="BE75" s="925"/>
      <c r="BF75" s="925"/>
      <c r="BG75" s="925"/>
      <c r="BH75" s="925"/>
      <c r="BI75" s="925"/>
      <c r="BJ75" s="925"/>
      <c r="BK75" s="925"/>
      <c r="BL75" s="925"/>
      <c r="BM75" s="925"/>
      <c r="BN75" s="925"/>
      <c r="BO75" s="925"/>
      <c r="BP75" s="925"/>
      <c r="BQ75" s="925"/>
      <c r="BR75" s="925"/>
      <c r="BS75" s="925"/>
      <c r="BT75" s="925"/>
      <c r="BU75" s="925"/>
      <c r="BV75" s="925"/>
      <c r="BW75" s="925"/>
      <c r="BX75" s="925"/>
      <c r="BY75" s="925"/>
      <c r="BZ75" s="925"/>
      <c r="CA75" s="925"/>
      <c r="CB75" s="925"/>
      <c r="CC75" s="925"/>
      <c r="CD75" s="925"/>
      <c r="CE75" s="925"/>
      <c r="CF75" s="925"/>
      <c r="CG75" s="925"/>
      <c r="CH75" s="925"/>
      <c r="CI75" s="925"/>
      <c r="CJ75" s="925"/>
      <c r="CK75" s="925"/>
      <c r="CL75" s="925"/>
      <c r="CM75" s="925"/>
      <c r="CN75" s="925"/>
      <c r="CO75" s="925"/>
      <c r="CP75" s="925"/>
      <c r="CQ75" s="925"/>
      <c r="CR75" s="925"/>
      <c r="CS75" s="925"/>
      <c r="CT75" s="925"/>
      <c r="CU75" s="925"/>
      <c r="CV75" s="925"/>
      <c r="CW75" s="925"/>
      <c r="CX75" s="925"/>
      <c r="CY75" s="925"/>
      <c r="CZ75" s="925"/>
      <c r="DA75" s="925"/>
      <c r="DB75" s="925"/>
      <c r="DC75" s="925"/>
      <c r="DD75" s="925"/>
      <c r="DE75" s="925"/>
      <c r="DF75" s="925"/>
      <c r="DG75" s="925"/>
      <c r="DH75" s="925"/>
      <c r="DI75" s="925"/>
      <c r="DJ75" s="925"/>
      <c r="DK75" s="925"/>
      <c r="DL75" s="925"/>
      <c r="DM75" s="925"/>
      <c r="DN75" s="925"/>
      <c r="DO75" s="925"/>
      <c r="DP75" s="925"/>
      <c r="DQ75" s="925"/>
      <c r="DR75" s="925"/>
      <c r="DS75" s="925"/>
      <c r="DT75" s="925"/>
      <c r="DU75" s="925"/>
      <c r="DV75" s="925"/>
      <c r="DW75" s="925"/>
      <c r="DX75" s="925"/>
      <c r="DY75" s="925"/>
      <c r="DZ75" s="925"/>
      <c r="EA75" s="925"/>
      <c r="EB75" s="925"/>
      <c r="EC75" s="925"/>
      <c r="ED75" s="925"/>
      <c r="EE75" s="925"/>
      <c r="EF75" s="925"/>
      <c r="EG75" s="446"/>
    </row>
    <row r="76" spans="1:137" ht="13" x14ac:dyDescent="0.15">
      <c r="A76" s="917"/>
      <c r="B76" s="917"/>
      <c r="C76" s="918"/>
      <c r="D76" s="919"/>
      <c r="E76" s="920"/>
      <c r="F76" s="921"/>
      <c r="G76" s="922"/>
      <c r="H76" s="922"/>
      <c r="I76" s="922"/>
      <c r="J76" s="923"/>
      <c r="K76" s="923"/>
      <c r="L76" s="924"/>
      <c r="M76" s="925"/>
      <c r="N76" s="925"/>
      <c r="O76" s="925"/>
      <c r="P76" s="925"/>
      <c r="Q76" s="925"/>
      <c r="R76" s="926"/>
      <c r="S76" s="926"/>
      <c r="T76" s="925"/>
      <c r="U76" s="925"/>
      <c r="V76" s="925"/>
      <c r="W76" s="925"/>
      <c r="X76" s="925"/>
      <c r="Y76" s="925"/>
      <c r="Z76" s="925"/>
      <c r="AA76" s="925"/>
      <c r="AB76" s="925"/>
      <c r="AC76" s="925"/>
      <c r="AD76" s="925"/>
      <c r="AE76" s="925"/>
      <c r="AF76" s="925"/>
      <c r="AG76" s="925"/>
      <c r="AH76" s="925"/>
      <c r="AI76" s="925"/>
      <c r="AJ76" s="925"/>
      <c r="AK76" s="925"/>
      <c r="AL76" s="925"/>
      <c r="AM76" s="925"/>
      <c r="AN76" s="925"/>
      <c r="AO76" s="925"/>
      <c r="AP76" s="925"/>
      <c r="AQ76" s="925"/>
      <c r="AR76" s="925"/>
      <c r="AS76" s="925"/>
      <c r="AT76" s="925"/>
      <c r="AU76" s="925"/>
      <c r="AV76" s="925"/>
      <c r="AW76" s="925"/>
      <c r="AX76" s="925"/>
      <c r="AY76" s="925"/>
      <c r="AZ76" s="925"/>
      <c r="BA76" s="925"/>
      <c r="BB76" s="925"/>
      <c r="BC76" s="925"/>
      <c r="BD76" s="925"/>
      <c r="BE76" s="925"/>
      <c r="BF76" s="925"/>
      <c r="BG76" s="925"/>
      <c r="BH76" s="925"/>
      <c r="BI76" s="925"/>
      <c r="BJ76" s="925"/>
      <c r="BK76" s="925"/>
      <c r="BL76" s="925"/>
      <c r="BM76" s="925"/>
      <c r="BN76" s="925"/>
      <c r="BO76" s="925"/>
      <c r="BP76" s="925"/>
      <c r="BQ76" s="925"/>
      <c r="BR76" s="925"/>
      <c r="BS76" s="925"/>
      <c r="BT76" s="925"/>
      <c r="BU76" s="925"/>
      <c r="BV76" s="925"/>
      <c r="BW76" s="925"/>
      <c r="BX76" s="925"/>
      <c r="BY76" s="925"/>
      <c r="BZ76" s="925"/>
      <c r="CA76" s="925"/>
      <c r="CB76" s="925"/>
      <c r="CC76" s="925"/>
      <c r="CD76" s="925"/>
      <c r="CE76" s="925"/>
      <c r="CF76" s="925"/>
      <c r="CG76" s="925"/>
      <c r="CH76" s="925"/>
      <c r="CI76" s="925"/>
      <c r="CJ76" s="925"/>
      <c r="CK76" s="925"/>
      <c r="CL76" s="925"/>
      <c r="CM76" s="925"/>
      <c r="CN76" s="925"/>
      <c r="CO76" s="925"/>
      <c r="CP76" s="925"/>
      <c r="CQ76" s="925"/>
      <c r="CR76" s="925"/>
      <c r="CS76" s="925"/>
      <c r="CT76" s="925"/>
      <c r="CU76" s="925"/>
      <c r="CV76" s="925"/>
      <c r="CW76" s="925"/>
      <c r="CX76" s="925"/>
      <c r="CY76" s="925"/>
      <c r="CZ76" s="925"/>
      <c r="DA76" s="925"/>
      <c r="DB76" s="925"/>
      <c r="DC76" s="925"/>
      <c r="DD76" s="925"/>
      <c r="DE76" s="925"/>
      <c r="DF76" s="925"/>
      <c r="DG76" s="925"/>
      <c r="DH76" s="925"/>
      <c r="DI76" s="925"/>
      <c r="DJ76" s="925"/>
      <c r="DK76" s="925"/>
      <c r="DL76" s="925"/>
      <c r="DM76" s="925"/>
      <c r="DN76" s="925"/>
      <c r="DO76" s="925"/>
      <c r="DP76" s="925"/>
      <c r="DQ76" s="925"/>
      <c r="DR76" s="925"/>
      <c r="DS76" s="925"/>
      <c r="DT76" s="925"/>
      <c r="DU76" s="925"/>
      <c r="DV76" s="925"/>
      <c r="DW76" s="925"/>
      <c r="DX76" s="925"/>
      <c r="DY76" s="925"/>
      <c r="DZ76" s="925"/>
      <c r="EA76" s="925"/>
      <c r="EB76" s="925"/>
      <c r="EC76" s="925"/>
      <c r="ED76" s="925"/>
      <c r="EE76" s="925"/>
      <c r="EF76" s="925"/>
      <c r="EG76" s="446"/>
    </row>
    <row r="77" spans="1:137" ht="13" x14ac:dyDescent="0.15">
      <c r="A77" s="917"/>
      <c r="B77" s="917"/>
      <c r="C77" s="918"/>
      <c r="D77" s="919"/>
      <c r="E77" s="920"/>
      <c r="F77" s="921"/>
      <c r="G77" s="922"/>
      <c r="H77" s="922"/>
      <c r="I77" s="922"/>
      <c r="J77" s="923"/>
      <c r="K77" s="923"/>
      <c r="L77" s="924"/>
      <c r="M77" s="925"/>
      <c r="N77" s="925"/>
      <c r="O77" s="925"/>
      <c r="P77" s="925"/>
      <c r="Q77" s="925"/>
      <c r="R77" s="926"/>
      <c r="S77" s="926"/>
      <c r="T77" s="925"/>
      <c r="U77" s="925"/>
      <c r="V77" s="925"/>
      <c r="W77" s="925"/>
      <c r="X77" s="925"/>
      <c r="Y77" s="925"/>
      <c r="Z77" s="925"/>
      <c r="AA77" s="925"/>
      <c r="AB77" s="925"/>
      <c r="AC77" s="925"/>
      <c r="AD77" s="925"/>
      <c r="AE77" s="925"/>
      <c r="AF77" s="925"/>
      <c r="AG77" s="925"/>
      <c r="AH77" s="925"/>
      <c r="AI77" s="925"/>
      <c r="AJ77" s="925"/>
      <c r="AK77" s="925"/>
      <c r="AL77" s="925"/>
      <c r="AM77" s="925"/>
      <c r="AN77" s="925"/>
      <c r="AO77" s="925"/>
      <c r="AP77" s="925"/>
      <c r="AQ77" s="925"/>
      <c r="AR77" s="925"/>
      <c r="AS77" s="925"/>
      <c r="AT77" s="925"/>
      <c r="AU77" s="925"/>
      <c r="AV77" s="925"/>
      <c r="AW77" s="925"/>
      <c r="AX77" s="925"/>
      <c r="AY77" s="925"/>
      <c r="AZ77" s="925"/>
      <c r="BA77" s="925"/>
      <c r="BB77" s="925"/>
      <c r="BC77" s="925"/>
      <c r="BD77" s="925"/>
      <c r="BE77" s="925"/>
      <c r="BF77" s="925"/>
      <c r="BG77" s="925"/>
      <c r="BH77" s="925"/>
      <c r="BI77" s="925"/>
      <c r="BJ77" s="925"/>
      <c r="BK77" s="925"/>
      <c r="BL77" s="925"/>
      <c r="BM77" s="925"/>
      <c r="BN77" s="925"/>
      <c r="BO77" s="925"/>
      <c r="BP77" s="925"/>
      <c r="BQ77" s="925"/>
      <c r="BR77" s="925"/>
      <c r="BS77" s="925"/>
      <c r="BT77" s="925"/>
      <c r="BU77" s="925"/>
      <c r="BV77" s="925"/>
      <c r="BW77" s="925"/>
      <c r="BX77" s="925"/>
      <c r="BY77" s="925"/>
      <c r="BZ77" s="925"/>
      <c r="CA77" s="925"/>
      <c r="CB77" s="925"/>
      <c r="CC77" s="925"/>
      <c r="CD77" s="925"/>
      <c r="CE77" s="925"/>
      <c r="CF77" s="925"/>
      <c r="CG77" s="925"/>
      <c r="CH77" s="925"/>
      <c r="CI77" s="925"/>
      <c r="CJ77" s="925"/>
      <c r="CK77" s="925"/>
      <c r="CL77" s="925"/>
      <c r="CM77" s="925"/>
      <c r="CN77" s="925"/>
      <c r="CO77" s="925"/>
      <c r="CP77" s="925"/>
      <c r="CQ77" s="925"/>
      <c r="CR77" s="925"/>
      <c r="CS77" s="925"/>
      <c r="CT77" s="925"/>
      <c r="CU77" s="925"/>
      <c r="CV77" s="925"/>
      <c r="CW77" s="925"/>
      <c r="CX77" s="925"/>
      <c r="CY77" s="925"/>
      <c r="CZ77" s="925"/>
      <c r="DA77" s="925"/>
      <c r="DB77" s="925"/>
      <c r="DC77" s="925"/>
      <c r="DD77" s="925"/>
      <c r="DE77" s="925"/>
      <c r="DF77" s="925"/>
      <c r="DG77" s="925"/>
      <c r="DH77" s="925"/>
      <c r="DI77" s="925"/>
      <c r="DJ77" s="925"/>
      <c r="DK77" s="925"/>
      <c r="DL77" s="925"/>
      <c r="DM77" s="925"/>
      <c r="DN77" s="925"/>
      <c r="DO77" s="925"/>
      <c r="DP77" s="925"/>
      <c r="DQ77" s="925"/>
      <c r="DR77" s="925"/>
      <c r="DS77" s="925"/>
      <c r="DT77" s="925"/>
      <c r="DU77" s="925"/>
      <c r="DV77" s="925"/>
      <c r="DW77" s="925"/>
      <c r="DX77" s="925"/>
      <c r="DY77" s="925"/>
      <c r="DZ77" s="925"/>
      <c r="EA77" s="925"/>
      <c r="EB77" s="925"/>
      <c r="EC77" s="925"/>
      <c r="ED77" s="925"/>
      <c r="EE77" s="925"/>
      <c r="EF77" s="925"/>
      <c r="EG77" s="446"/>
    </row>
    <row r="78" spans="1:137" ht="13" x14ac:dyDescent="0.15">
      <c r="A78" s="917"/>
      <c r="B78" s="917"/>
      <c r="C78" s="918"/>
      <c r="D78" s="919"/>
      <c r="E78" s="920"/>
      <c r="F78" s="921"/>
      <c r="G78" s="922"/>
      <c r="H78" s="922"/>
      <c r="I78" s="922"/>
      <c r="J78" s="923"/>
      <c r="K78" s="923"/>
      <c r="L78" s="924"/>
      <c r="M78" s="925"/>
      <c r="N78" s="925"/>
      <c r="O78" s="925"/>
      <c r="P78" s="925"/>
      <c r="Q78" s="925"/>
      <c r="R78" s="926"/>
      <c r="S78" s="926"/>
      <c r="T78" s="925"/>
      <c r="U78" s="925"/>
      <c r="V78" s="925"/>
      <c r="W78" s="925"/>
      <c r="X78" s="925"/>
      <c r="Y78" s="925"/>
      <c r="Z78" s="925"/>
      <c r="AA78" s="925"/>
      <c r="AB78" s="925"/>
      <c r="AC78" s="925"/>
      <c r="AD78" s="925"/>
      <c r="AE78" s="925"/>
      <c r="AF78" s="925"/>
      <c r="AG78" s="925"/>
      <c r="AH78" s="925"/>
      <c r="AI78" s="925"/>
      <c r="AJ78" s="925"/>
      <c r="AK78" s="925"/>
      <c r="AL78" s="925"/>
      <c r="AM78" s="925"/>
      <c r="AN78" s="925"/>
      <c r="AO78" s="925"/>
      <c r="AP78" s="925"/>
      <c r="AQ78" s="925"/>
      <c r="AR78" s="925"/>
      <c r="AS78" s="925"/>
      <c r="AT78" s="925"/>
      <c r="AU78" s="925"/>
      <c r="AV78" s="925"/>
      <c r="AW78" s="925"/>
      <c r="AX78" s="925"/>
      <c r="AY78" s="925"/>
      <c r="AZ78" s="925"/>
      <c r="BA78" s="925"/>
      <c r="BB78" s="925"/>
      <c r="BC78" s="925"/>
      <c r="BD78" s="925"/>
      <c r="BE78" s="925"/>
      <c r="BF78" s="925"/>
      <c r="BG78" s="925"/>
      <c r="BH78" s="925"/>
      <c r="BI78" s="925"/>
      <c r="BJ78" s="925"/>
      <c r="BK78" s="925"/>
      <c r="BL78" s="925"/>
      <c r="BM78" s="925"/>
      <c r="BN78" s="925"/>
      <c r="BO78" s="925"/>
      <c r="BP78" s="925"/>
      <c r="BQ78" s="925"/>
      <c r="BR78" s="925"/>
      <c r="BS78" s="925"/>
      <c r="BT78" s="925"/>
      <c r="BU78" s="925"/>
      <c r="BV78" s="925"/>
      <c r="BW78" s="925"/>
      <c r="BX78" s="925"/>
      <c r="BY78" s="925"/>
      <c r="BZ78" s="925"/>
      <c r="CA78" s="925"/>
      <c r="CB78" s="925"/>
      <c r="CC78" s="925"/>
      <c r="CD78" s="925"/>
      <c r="CE78" s="925"/>
      <c r="CF78" s="925"/>
      <c r="CG78" s="925"/>
      <c r="CH78" s="925"/>
      <c r="CI78" s="925"/>
      <c r="CJ78" s="925"/>
      <c r="CK78" s="925"/>
      <c r="CL78" s="925"/>
      <c r="CM78" s="925"/>
      <c r="CN78" s="925"/>
      <c r="CO78" s="925"/>
      <c r="CP78" s="925"/>
      <c r="CQ78" s="925"/>
      <c r="CR78" s="925"/>
      <c r="CS78" s="925"/>
      <c r="CT78" s="925"/>
      <c r="CU78" s="925"/>
      <c r="CV78" s="925"/>
      <c r="CW78" s="925"/>
      <c r="CX78" s="925"/>
      <c r="CY78" s="925"/>
      <c r="CZ78" s="925"/>
      <c r="DA78" s="925"/>
      <c r="DB78" s="925"/>
      <c r="DC78" s="925"/>
      <c r="DD78" s="925"/>
      <c r="DE78" s="925"/>
      <c r="DF78" s="925"/>
      <c r="DG78" s="925"/>
      <c r="DH78" s="925"/>
      <c r="DI78" s="925"/>
      <c r="DJ78" s="925"/>
      <c r="DK78" s="925"/>
      <c r="DL78" s="925"/>
      <c r="DM78" s="925"/>
      <c r="DN78" s="925"/>
      <c r="DO78" s="925"/>
      <c r="DP78" s="925"/>
      <c r="DQ78" s="925"/>
      <c r="DR78" s="925"/>
      <c r="DS78" s="925"/>
      <c r="DT78" s="925"/>
      <c r="DU78" s="925"/>
      <c r="DV78" s="925"/>
      <c r="DW78" s="925"/>
      <c r="DX78" s="925"/>
      <c r="DY78" s="925"/>
      <c r="DZ78" s="925"/>
      <c r="EA78" s="925"/>
      <c r="EB78" s="925"/>
      <c r="EC78" s="925"/>
      <c r="ED78" s="925"/>
      <c r="EE78" s="925"/>
      <c r="EF78" s="925"/>
      <c r="EG78" s="446"/>
    </row>
    <row r="79" spans="1:137" ht="13" x14ac:dyDescent="0.15">
      <c r="A79" s="917"/>
      <c r="B79" s="917"/>
      <c r="C79" s="918"/>
      <c r="D79" s="919"/>
      <c r="E79" s="920"/>
      <c r="F79" s="921"/>
      <c r="G79" s="922"/>
      <c r="H79" s="922"/>
      <c r="I79" s="922"/>
      <c r="J79" s="923"/>
      <c r="K79" s="923"/>
      <c r="L79" s="924"/>
      <c r="M79" s="925"/>
      <c r="N79" s="925"/>
      <c r="O79" s="925"/>
      <c r="P79" s="925"/>
      <c r="Q79" s="925"/>
      <c r="R79" s="926"/>
      <c r="S79" s="926"/>
      <c r="T79" s="925"/>
      <c r="U79" s="925"/>
      <c r="V79" s="925"/>
      <c r="W79" s="925"/>
      <c r="X79" s="925"/>
      <c r="Y79" s="925"/>
      <c r="Z79" s="925"/>
      <c r="AA79" s="925"/>
      <c r="AB79" s="925"/>
      <c r="AC79" s="925"/>
      <c r="AD79" s="925"/>
      <c r="AE79" s="925"/>
      <c r="AF79" s="925"/>
      <c r="AG79" s="925"/>
      <c r="AH79" s="925"/>
      <c r="AI79" s="925"/>
      <c r="AJ79" s="925"/>
      <c r="AK79" s="925"/>
      <c r="AL79" s="925"/>
      <c r="AM79" s="925"/>
      <c r="AN79" s="925"/>
      <c r="AO79" s="925"/>
      <c r="AP79" s="925"/>
      <c r="AQ79" s="925"/>
      <c r="AR79" s="925"/>
      <c r="AS79" s="925"/>
      <c r="AT79" s="925"/>
      <c r="AU79" s="925"/>
      <c r="AV79" s="925"/>
      <c r="AW79" s="925"/>
      <c r="AX79" s="925"/>
      <c r="AY79" s="925"/>
      <c r="AZ79" s="925"/>
      <c r="BA79" s="925"/>
      <c r="BB79" s="925"/>
      <c r="BC79" s="925"/>
      <c r="BD79" s="925"/>
      <c r="BE79" s="925"/>
      <c r="BF79" s="925"/>
      <c r="BG79" s="925"/>
      <c r="BH79" s="925"/>
      <c r="BI79" s="925"/>
      <c r="BJ79" s="925"/>
      <c r="BK79" s="925"/>
      <c r="BL79" s="925"/>
      <c r="BM79" s="925"/>
      <c r="BN79" s="925"/>
      <c r="BO79" s="925"/>
      <c r="BP79" s="925"/>
      <c r="BQ79" s="925"/>
      <c r="BR79" s="925"/>
      <c r="BS79" s="925"/>
      <c r="BT79" s="925"/>
      <c r="BU79" s="925"/>
      <c r="BV79" s="925"/>
      <c r="BW79" s="925"/>
      <c r="BX79" s="925"/>
      <c r="BY79" s="925"/>
      <c r="BZ79" s="925"/>
      <c r="CA79" s="925"/>
      <c r="CB79" s="925"/>
      <c r="CC79" s="925"/>
      <c r="CD79" s="925"/>
      <c r="CE79" s="925"/>
      <c r="CF79" s="925"/>
      <c r="CG79" s="925"/>
      <c r="CH79" s="925"/>
      <c r="CI79" s="925"/>
      <c r="CJ79" s="925"/>
      <c r="CK79" s="925"/>
      <c r="CL79" s="925"/>
      <c r="CM79" s="925"/>
      <c r="CN79" s="925"/>
      <c r="CO79" s="925"/>
      <c r="CP79" s="925"/>
      <c r="CQ79" s="925"/>
      <c r="CR79" s="925"/>
      <c r="CS79" s="925"/>
      <c r="CT79" s="925"/>
      <c r="CU79" s="925"/>
      <c r="CV79" s="925"/>
      <c r="CW79" s="925"/>
      <c r="CX79" s="925"/>
      <c r="CY79" s="925"/>
      <c r="CZ79" s="925"/>
      <c r="DA79" s="925"/>
      <c r="DB79" s="925"/>
      <c r="DC79" s="925"/>
      <c r="DD79" s="925"/>
      <c r="DE79" s="925"/>
      <c r="DF79" s="925"/>
      <c r="DG79" s="925"/>
      <c r="DH79" s="925"/>
      <c r="DI79" s="925"/>
      <c r="DJ79" s="925"/>
      <c r="DK79" s="925"/>
      <c r="DL79" s="925"/>
      <c r="DM79" s="925"/>
      <c r="DN79" s="925"/>
      <c r="DO79" s="925"/>
      <c r="DP79" s="925"/>
      <c r="DQ79" s="925"/>
      <c r="DR79" s="925"/>
      <c r="DS79" s="925"/>
      <c r="DT79" s="925"/>
      <c r="DU79" s="925"/>
      <c r="DV79" s="925"/>
      <c r="DW79" s="925"/>
      <c r="DX79" s="925"/>
      <c r="DY79" s="925"/>
      <c r="DZ79" s="925"/>
      <c r="EA79" s="925"/>
      <c r="EB79" s="925"/>
      <c r="EC79" s="925"/>
      <c r="ED79" s="925"/>
      <c r="EE79" s="925"/>
      <c r="EF79" s="925"/>
      <c r="EG79" s="446"/>
    </row>
    <row r="80" spans="1:137" ht="13" x14ac:dyDescent="0.15">
      <c r="A80" s="917"/>
      <c r="B80" s="917"/>
      <c r="C80" s="918"/>
      <c r="D80" s="919"/>
      <c r="E80" s="920"/>
      <c r="F80" s="921"/>
      <c r="G80" s="922"/>
      <c r="H80" s="922"/>
      <c r="I80" s="922"/>
      <c r="J80" s="923"/>
      <c r="K80" s="923"/>
      <c r="L80" s="924"/>
      <c r="M80" s="925"/>
      <c r="N80" s="925"/>
      <c r="O80" s="925"/>
      <c r="P80" s="925"/>
      <c r="Q80" s="925"/>
      <c r="R80" s="926"/>
      <c r="S80" s="926"/>
      <c r="T80" s="925"/>
      <c r="U80" s="925"/>
      <c r="V80" s="925"/>
      <c r="W80" s="925"/>
      <c r="X80" s="925"/>
      <c r="Y80" s="925"/>
      <c r="Z80" s="925"/>
      <c r="AA80" s="925"/>
      <c r="AB80" s="925"/>
      <c r="AC80" s="925"/>
      <c r="AD80" s="925"/>
      <c r="AE80" s="925"/>
      <c r="AF80" s="925"/>
      <c r="AG80" s="925"/>
      <c r="AH80" s="925"/>
      <c r="AI80" s="925"/>
      <c r="AJ80" s="925"/>
      <c r="AK80" s="925"/>
      <c r="AL80" s="925"/>
      <c r="AM80" s="925"/>
      <c r="AN80" s="925"/>
      <c r="AO80" s="925"/>
      <c r="AP80" s="925"/>
      <c r="AQ80" s="925"/>
      <c r="AR80" s="925"/>
      <c r="AS80" s="925"/>
      <c r="AT80" s="925"/>
      <c r="AU80" s="925"/>
      <c r="AV80" s="925"/>
      <c r="AW80" s="925"/>
      <c r="AX80" s="925"/>
      <c r="AY80" s="925"/>
      <c r="AZ80" s="925"/>
      <c r="BA80" s="925"/>
      <c r="BB80" s="925"/>
      <c r="BC80" s="925"/>
      <c r="BD80" s="925"/>
      <c r="BE80" s="925"/>
      <c r="BF80" s="925"/>
      <c r="BG80" s="925"/>
      <c r="BH80" s="925"/>
      <c r="BI80" s="925"/>
      <c r="BJ80" s="925"/>
      <c r="BK80" s="925"/>
      <c r="BL80" s="925"/>
      <c r="BM80" s="925"/>
      <c r="BN80" s="925"/>
      <c r="BO80" s="925"/>
      <c r="BP80" s="925"/>
      <c r="BQ80" s="925"/>
      <c r="BR80" s="925"/>
      <c r="BS80" s="925"/>
      <c r="BT80" s="925"/>
      <c r="BU80" s="925"/>
      <c r="BV80" s="925"/>
      <c r="BW80" s="925"/>
      <c r="BX80" s="925"/>
      <c r="BY80" s="925"/>
      <c r="BZ80" s="925"/>
      <c r="CA80" s="925"/>
      <c r="CB80" s="925"/>
      <c r="CC80" s="925"/>
      <c r="CD80" s="925"/>
      <c r="CE80" s="925"/>
      <c r="CF80" s="925"/>
      <c r="CG80" s="925"/>
      <c r="CH80" s="925"/>
      <c r="CI80" s="925"/>
      <c r="CJ80" s="925"/>
      <c r="CK80" s="925"/>
      <c r="CL80" s="925"/>
      <c r="CM80" s="925"/>
      <c r="CN80" s="925"/>
      <c r="CO80" s="925"/>
      <c r="CP80" s="925"/>
      <c r="CQ80" s="925"/>
      <c r="CR80" s="925"/>
      <c r="CS80" s="925"/>
      <c r="CT80" s="925"/>
      <c r="CU80" s="925"/>
      <c r="CV80" s="925"/>
      <c r="CW80" s="925"/>
      <c r="CX80" s="925"/>
      <c r="CY80" s="925"/>
      <c r="CZ80" s="925"/>
      <c r="DA80" s="925"/>
      <c r="DB80" s="925"/>
      <c r="DC80" s="925"/>
      <c r="DD80" s="925"/>
      <c r="DE80" s="925"/>
      <c r="DF80" s="925"/>
      <c r="DG80" s="925"/>
      <c r="DH80" s="925"/>
      <c r="DI80" s="925"/>
      <c r="DJ80" s="925"/>
      <c r="DK80" s="925"/>
      <c r="DL80" s="925"/>
      <c r="DM80" s="925"/>
      <c r="DN80" s="925"/>
      <c r="DO80" s="925"/>
      <c r="DP80" s="925"/>
      <c r="DQ80" s="925"/>
      <c r="DR80" s="925"/>
      <c r="DS80" s="925"/>
      <c r="DT80" s="925"/>
      <c r="DU80" s="925"/>
      <c r="DV80" s="925"/>
      <c r="DW80" s="925"/>
      <c r="DX80" s="925"/>
      <c r="DY80" s="925"/>
      <c r="DZ80" s="925"/>
      <c r="EA80" s="925"/>
      <c r="EB80" s="925"/>
      <c r="EC80" s="925"/>
      <c r="ED80" s="925"/>
      <c r="EE80" s="925"/>
      <c r="EF80" s="925"/>
      <c r="EG80" s="446"/>
    </row>
    <row r="81" spans="1:137" ht="13" x14ac:dyDescent="0.15">
      <c r="A81" s="917"/>
      <c r="B81" s="917"/>
      <c r="C81" s="918"/>
      <c r="D81" s="919"/>
      <c r="E81" s="920"/>
      <c r="F81" s="921"/>
      <c r="G81" s="922"/>
      <c r="H81" s="922"/>
      <c r="I81" s="922"/>
      <c r="J81" s="923"/>
      <c r="K81" s="923"/>
      <c r="L81" s="924"/>
      <c r="M81" s="925"/>
      <c r="N81" s="925"/>
      <c r="O81" s="925"/>
      <c r="P81" s="925"/>
      <c r="Q81" s="925"/>
      <c r="R81" s="926"/>
      <c r="S81" s="926"/>
      <c r="T81" s="925"/>
      <c r="U81" s="925"/>
      <c r="V81" s="925"/>
      <c r="W81" s="925"/>
      <c r="X81" s="925"/>
      <c r="Y81" s="925"/>
      <c r="Z81" s="925"/>
      <c r="AA81" s="925"/>
      <c r="AB81" s="925"/>
      <c r="AC81" s="925"/>
      <c r="AD81" s="925"/>
      <c r="AE81" s="925"/>
      <c r="AF81" s="925"/>
      <c r="AG81" s="925"/>
      <c r="AH81" s="925"/>
      <c r="AI81" s="925"/>
      <c r="AJ81" s="925"/>
      <c r="AK81" s="925"/>
      <c r="AL81" s="925"/>
      <c r="AM81" s="925"/>
      <c r="AN81" s="925"/>
      <c r="AO81" s="925"/>
      <c r="AP81" s="925"/>
      <c r="AQ81" s="925"/>
      <c r="AR81" s="925"/>
      <c r="AS81" s="925"/>
      <c r="AT81" s="925"/>
      <c r="AU81" s="925"/>
      <c r="AV81" s="925"/>
      <c r="AW81" s="925"/>
      <c r="AX81" s="925"/>
      <c r="AY81" s="925"/>
      <c r="AZ81" s="925"/>
      <c r="BA81" s="925"/>
      <c r="BB81" s="925"/>
      <c r="BC81" s="925"/>
      <c r="BD81" s="925"/>
      <c r="BE81" s="925"/>
      <c r="BF81" s="925"/>
      <c r="BG81" s="925"/>
      <c r="BH81" s="925"/>
      <c r="BI81" s="925"/>
      <c r="BJ81" s="925"/>
      <c r="BK81" s="925"/>
      <c r="BL81" s="925"/>
      <c r="BM81" s="925"/>
      <c r="BN81" s="925"/>
      <c r="BO81" s="925"/>
      <c r="BP81" s="925"/>
      <c r="BQ81" s="925"/>
      <c r="BR81" s="925"/>
      <c r="BS81" s="925"/>
      <c r="BT81" s="925"/>
      <c r="BU81" s="925"/>
      <c r="BV81" s="925"/>
      <c r="BW81" s="925"/>
      <c r="BX81" s="925"/>
      <c r="BY81" s="925"/>
      <c r="BZ81" s="925"/>
      <c r="CA81" s="925"/>
      <c r="CB81" s="925"/>
      <c r="CC81" s="925"/>
      <c r="CD81" s="925"/>
      <c r="CE81" s="925"/>
      <c r="CF81" s="925"/>
      <c r="CG81" s="925"/>
      <c r="CH81" s="925"/>
      <c r="CI81" s="925"/>
      <c r="CJ81" s="925"/>
      <c r="CK81" s="925"/>
      <c r="CL81" s="925"/>
      <c r="CM81" s="925"/>
      <c r="CN81" s="925"/>
      <c r="CO81" s="925"/>
      <c r="CP81" s="925"/>
      <c r="CQ81" s="925"/>
      <c r="CR81" s="925"/>
      <c r="CS81" s="925"/>
      <c r="CT81" s="925"/>
      <c r="CU81" s="925"/>
      <c r="CV81" s="925"/>
      <c r="CW81" s="925"/>
      <c r="CX81" s="925"/>
      <c r="CY81" s="925"/>
      <c r="CZ81" s="925"/>
      <c r="DA81" s="925"/>
      <c r="DB81" s="925"/>
      <c r="DC81" s="925"/>
      <c r="DD81" s="925"/>
      <c r="DE81" s="925"/>
      <c r="DF81" s="925"/>
      <c r="DG81" s="925"/>
      <c r="DH81" s="925"/>
      <c r="DI81" s="925"/>
      <c r="DJ81" s="925"/>
      <c r="DK81" s="925"/>
      <c r="DL81" s="925"/>
      <c r="DM81" s="925"/>
      <c r="DN81" s="925"/>
      <c r="DO81" s="925"/>
      <c r="DP81" s="925"/>
      <c r="DQ81" s="925"/>
      <c r="DR81" s="925"/>
      <c r="DS81" s="925"/>
      <c r="DT81" s="925"/>
      <c r="DU81" s="925"/>
      <c r="DV81" s="925"/>
      <c r="DW81" s="925"/>
      <c r="DX81" s="925"/>
      <c r="DY81" s="925"/>
      <c r="DZ81" s="925"/>
      <c r="EA81" s="925"/>
      <c r="EB81" s="925"/>
      <c r="EC81" s="925"/>
      <c r="ED81" s="925"/>
      <c r="EE81" s="925"/>
      <c r="EF81" s="925"/>
      <c r="EG81" s="446"/>
    </row>
    <row r="82" spans="1:137" ht="13" x14ac:dyDescent="0.15">
      <c r="A82" s="917"/>
      <c r="B82" s="917"/>
      <c r="C82" s="918"/>
      <c r="D82" s="919"/>
      <c r="E82" s="920"/>
      <c r="F82" s="921"/>
      <c r="G82" s="922"/>
      <c r="H82" s="922"/>
      <c r="I82" s="922"/>
      <c r="J82" s="923"/>
      <c r="K82" s="923"/>
      <c r="L82" s="924"/>
      <c r="M82" s="925"/>
      <c r="N82" s="925"/>
      <c r="O82" s="925"/>
      <c r="P82" s="925"/>
      <c r="Q82" s="925"/>
      <c r="R82" s="926"/>
      <c r="S82" s="926"/>
      <c r="T82" s="925"/>
      <c r="U82" s="925"/>
      <c r="V82" s="925"/>
      <c r="W82" s="925"/>
      <c r="X82" s="925"/>
      <c r="Y82" s="925"/>
      <c r="Z82" s="925"/>
      <c r="AA82" s="925"/>
      <c r="AB82" s="925"/>
      <c r="AC82" s="925"/>
      <c r="AD82" s="925"/>
      <c r="AE82" s="925"/>
      <c r="AF82" s="925"/>
      <c r="AG82" s="925"/>
      <c r="AH82" s="925"/>
      <c r="AI82" s="925"/>
      <c r="AJ82" s="925"/>
      <c r="AK82" s="925"/>
      <c r="AL82" s="925"/>
      <c r="AM82" s="925"/>
      <c r="AN82" s="925"/>
      <c r="AO82" s="925"/>
      <c r="AP82" s="925"/>
      <c r="AQ82" s="925"/>
      <c r="AR82" s="925"/>
      <c r="AS82" s="925"/>
      <c r="AT82" s="925"/>
      <c r="AU82" s="925"/>
      <c r="AV82" s="925"/>
      <c r="AW82" s="925"/>
      <c r="AX82" s="925"/>
      <c r="AY82" s="925"/>
      <c r="AZ82" s="925"/>
      <c r="BA82" s="925"/>
      <c r="BB82" s="925"/>
      <c r="BC82" s="925"/>
      <c r="BD82" s="925"/>
      <c r="BE82" s="925"/>
      <c r="BF82" s="925"/>
      <c r="BG82" s="925"/>
      <c r="BH82" s="925"/>
      <c r="BI82" s="925"/>
      <c r="BJ82" s="925"/>
      <c r="BK82" s="925"/>
      <c r="BL82" s="925"/>
      <c r="BM82" s="925"/>
      <c r="BN82" s="925"/>
      <c r="BO82" s="925"/>
      <c r="BP82" s="925"/>
      <c r="BQ82" s="925"/>
      <c r="BR82" s="925"/>
      <c r="BS82" s="925"/>
      <c r="BT82" s="925"/>
      <c r="BU82" s="925"/>
      <c r="BV82" s="925"/>
      <c r="BW82" s="925"/>
      <c r="BX82" s="925"/>
      <c r="BY82" s="925"/>
      <c r="BZ82" s="925"/>
      <c r="CA82" s="925"/>
      <c r="CB82" s="925"/>
      <c r="CC82" s="925"/>
      <c r="CD82" s="925"/>
      <c r="CE82" s="925"/>
      <c r="CF82" s="925"/>
      <c r="CG82" s="925"/>
      <c r="CH82" s="925"/>
      <c r="CI82" s="925"/>
      <c r="CJ82" s="925"/>
      <c r="CK82" s="925"/>
      <c r="CL82" s="925"/>
      <c r="CM82" s="925"/>
      <c r="CN82" s="925"/>
      <c r="CO82" s="925"/>
      <c r="CP82" s="925"/>
      <c r="CQ82" s="925"/>
      <c r="CR82" s="925"/>
      <c r="CS82" s="925"/>
      <c r="CT82" s="925"/>
      <c r="CU82" s="925"/>
      <c r="CV82" s="925"/>
      <c r="CW82" s="925"/>
      <c r="CX82" s="925"/>
      <c r="CY82" s="925"/>
      <c r="CZ82" s="925"/>
      <c r="DA82" s="925"/>
      <c r="DB82" s="925"/>
      <c r="DC82" s="925"/>
      <c r="DD82" s="925"/>
      <c r="DE82" s="925"/>
      <c r="DF82" s="925"/>
      <c r="DG82" s="925"/>
      <c r="DH82" s="925"/>
      <c r="DI82" s="925"/>
      <c r="DJ82" s="925"/>
      <c r="DK82" s="925"/>
      <c r="DL82" s="925"/>
      <c r="DM82" s="925"/>
      <c r="DN82" s="925"/>
      <c r="DO82" s="925"/>
      <c r="DP82" s="925"/>
      <c r="DQ82" s="925"/>
      <c r="DR82" s="925"/>
      <c r="DS82" s="925"/>
      <c r="DT82" s="925"/>
      <c r="DU82" s="925"/>
      <c r="DV82" s="925"/>
      <c r="DW82" s="925"/>
      <c r="DX82" s="925"/>
      <c r="DY82" s="925"/>
      <c r="DZ82" s="925"/>
      <c r="EA82" s="925"/>
      <c r="EB82" s="925"/>
      <c r="EC82" s="925"/>
      <c r="ED82" s="925"/>
      <c r="EE82" s="925"/>
      <c r="EF82" s="925"/>
      <c r="EG82" s="446"/>
    </row>
    <row r="83" spans="1:137" ht="13" x14ac:dyDescent="0.15">
      <c r="A83" s="917"/>
      <c r="B83" s="917"/>
      <c r="C83" s="918"/>
      <c r="D83" s="919"/>
      <c r="E83" s="920"/>
      <c r="F83" s="921"/>
      <c r="G83" s="922"/>
      <c r="H83" s="922"/>
      <c r="I83" s="922"/>
      <c r="J83" s="923"/>
      <c r="K83" s="923"/>
      <c r="L83" s="924"/>
      <c r="M83" s="925"/>
      <c r="N83" s="925"/>
      <c r="O83" s="925"/>
      <c r="P83" s="925"/>
      <c r="Q83" s="925"/>
      <c r="R83" s="926"/>
      <c r="S83" s="926"/>
      <c r="T83" s="925"/>
      <c r="U83" s="925"/>
      <c r="V83" s="925"/>
      <c r="W83" s="925"/>
      <c r="X83" s="925"/>
      <c r="Y83" s="925"/>
      <c r="Z83" s="925"/>
      <c r="AA83" s="925"/>
      <c r="AB83" s="925"/>
      <c r="AC83" s="925"/>
      <c r="AD83" s="925"/>
      <c r="AE83" s="925"/>
      <c r="AF83" s="925"/>
      <c r="AG83" s="925"/>
      <c r="AH83" s="925"/>
      <c r="AI83" s="925"/>
      <c r="AJ83" s="925"/>
      <c r="AK83" s="925"/>
      <c r="AL83" s="925"/>
      <c r="AM83" s="925"/>
      <c r="AN83" s="925"/>
      <c r="AO83" s="925"/>
      <c r="AP83" s="925"/>
      <c r="AQ83" s="925"/>
      <c r="AR83" s="925"/>
      <c r="AS83" s="925"/>
      <c r="AT83" s="925"/>
      <c r="AU83" s="925"/>
      <c r="AV83" s="925"/>
      <c r="AW83" s="925"/>
      <c r="AX83" s="925"/>
      <c r="AY83" s="925"/>
      <c r="AZ83" s="925"/>
      <c r="BA83" s="925"/>
      <c r="BB83" s="925"/>
      <c r="BC83" s="925"/>
      <c r="BD83" s="925"/>
      <c r="BE83" s="925"/>
      <c r="BF83" s="925"/>
      <c r="BG83" s="925"/>
      <c r="BH83" s="925"/>
      <c r="BI83" s="925"/>
      <c r="BJ83" s="925"/>
      <c r="BK83" s="925"/>
      <c r="BL83" s="925"/>
      <c r="BM83" s="925"/>
      <c r="BN83" s="925"/>
      <c r="BO83" s="925"/>
      <c r="BP83" s="925"/>
      <c r="BQ83" s="925"/>
      <c r="BR83" s="925"/>
      <c r="BS83" s="925"/>
      <c r="BT83" s="925"/>
      <c r="BU83" s="925"/>
      <c r="BV83" s="925"/>
      <c r="BW83" s="925"/>
      <c r="BX83" s="925"/>
      <c r="BY83" s="925"/>
      <c r="BZ83" s="925"/>
      <c r="CA83" s="925"/>
      <c r="CB83" s="925"/>
      <c r="CC83" s="925"/>
      <c r="CD83" s="925"/>
      <c r="CE83" s="925"/>
      <c r="CF83" s="925"/>
      <c r="CG83" s="925"/>
      <c r="CH83" s="925"/>
      <c r="CI83" s="925"/>
      <c r="CJ83" s="925"/>
      <c r="CK83" s="925"/>
      <c r="CL83" s="925"/>
      <c r="CM83" s="925"/>
      <c r="CN83" s="925"/>
      <c r="CO83" s="925"/>
      <c r="CP83" s="925"/>
      <c r="CQ83" s="925"/>
      <c r="CR83" s="925"/>
      <c r="CS83" s="925"/>
      <c r="CT83" s="925"/>
      <c r="CU83" s="925"/>
      <c r="CV83" s="925"/>
      <c r="CW83" s="925"/>
      <c r="CX83" s="925"/>
      <c r="CY83" s="925"/>
      <c r="CZ83" s="925"/>
      <c r="DA83" s="925"/>
      <c r="DB83" s="925"/>
      <c r="DC83" s="925"/>
      <c r="DD83" s="925"/>
      <c r="DE83" s="925"/>
      <c r="DF83" s="925"/>
      <c r="DG83" s="925"/>
      <c r="DH83" s="925"/>
      <c r="DI83" s="925"/>
      <c r="DJ83" s="925"/>
      <c r="DK83" s="925"/>
      <c r="DL83" s="925"/>
      <c r="DM83" s="925"/>
      <c r="DN83" s="925"/>
      <c r="DO83" s="925"/>
      <c r="DP83" s="925"/>
      <c r="DQ83" s="925"/>
      <c r="DR83" s="925"/>
      <c r="DS83" s="925"/>
      <c r="DT83" s="925"/>
      <c r="DU83" s="925"/>
      <c r="DV83" s="925"/>
      <c r="DW83" s="925"/>
      <c r="DX83" s="925"/>
      <c r="DY83" s="925"/>
      <c r="DZ83" s="925"/>
      <c r="EA83" s="925"/>
      <c r="EB83" s="925"/>
      <c r="EC83" s="925"/>
      <c r="ED83" s="925"/>
      <c r="EE83" s="925"/>
      <c r="EF83" s="925"/>
      <c r="EG83" s="446"/>
    </row>
    <row r="84" spans="1:137" ht="13" x14ac:dyDescent="0.15">
      <c r="A84" s="917"/>
      <c r="B84" s="917"/>
      <c r="C84" s="918"/>
      <c r="D84" s="919"/>
      <c r="E84" s="920"/>
      <c r="F84" s="921"/>
      <c r="G84" s="922"/>
      <c r="H84" s="922"/>
      <c r="I84" s="922"/>
      <c r="J84" s="923"/>
      <c r="K84" s="923"/>
      <c r="L84" s="924"/>
      <c r="M84" s="925"/>
      <c r="N84" s="925"/>
      <c r="O84" s="925"/>
      <c r="P84" s="925"/>
      <c r="Q84" s="925"/>
      <c r="R84" s="926"/>
      <c r="S84" s="926"/>
      <c r="T84" s="925"/>
      <c r="U84" s="925"/>
      <c r="V84" s="925"/>
      <c r="W84" s="925"/>
      <c r="X84" s="925"/>
      <c r="Y84" s="925"/>
      <c r="Z84" s="925"/>
      <c r="AA84" s="925"/>
      <c r="AB84" s="925"/>
      <c r="AC84" s="925"/>
      <c r="AD84" s="925"/>
      <c r="AE84" s="925"/>
      <c r="AF84" s="925"/>
      <c r="AG84" s="925"/>
      <c r="AH84" s="925"/>
      <c r="AI84" s="925"/>
      <c r="AJ84" s="925"/>
      <c r="AK84" s="925"/>
      <c r="AL84" s="925"/>
      <c r="AM84" s="925"/>
      <c r="AN84" s="925"/>
      <c r="AO84" s="925"/>
      <c r="AP84" s="925"/>
      <c r="AQ84" s="925"/>
      <c r="AR84" s="925"/>
      <c r="AS84" s="925"/>
      <c r="AT84" s="925"/>
      <c r="AU84" s="925"/>
      <c r="AV84" s="925"/>
      <c r="AW84" s="925"/>
      <c r="AX84" s="925"/>
      <c r="AY84" s="925"/>
      <c r="AZ84" s="925"/>
      <c r="BA84" s="925"/>
      <c r="BB84" s="925"/>
      <c r="BC84" s="925"/>
      <c r="BD84" s="925"/>
      <c r="BE84" s="925"/>
      <c r="BF84" s="925"/>
      <c r="BG84" s="925"/>
      <c r="BH84" s="925"/>
      <c r="BI84" s="925"/>
      <c r="BJ84" s="925"/>
      <c r="BK84" s="925"/>
      <c r="BL84" s="925"/>
      <c r="BM84" s="925"/>
      <c r="BN84" s="925"/>
      <c r="BO84" s="925"/>
      <c r="BP84" s="925"/>
      <c r="BQ84" s="925"/>
      <c r="BR84" s="925"/>
      <c r="BS84" s="925"/>
      <c r="BT84" s="925"/>
      <c r="BU84" s="925"/>
      <c r="BV84" s="925"/>
      <c r="BW84" s="925"/>
      <c r="BX84" s="925"/>
      <c r="BY84" s="925"/>
      <c r="BZ84" s="925"/>
      <c r="CA84" s="925"/>
      <c r="CB84" s="925"/>
      <c r="CC84" s="925"/>
      <c r="CD84" s="925"/>
      <c r="CE84" s="925"/>
      <c r="CF84" s="925"/>
      <c r="CG84" s="925"/>
      <c r="CH84" s="925"/>
      <c r="CI84" s="925"/>
      <c r="CJ84" s="925"/>
      <c r="CK84" s="925"/>
      <c r="CL84" s="925"/>
      <c r="CM84" s="925"/>
      <c r="CN84" s="925"/>
      <c r="CO84" s="925"/>
      <c r="CP84" s="925"/>
      <c r="CQ84" s="925"/>
      <c r="CR84" s="925"/>
      <c r="CS84" s="925"/>
      <c r="CT84" s="925"/>
      <c r="CU84" s="925"/>
      <c r="CV84" s="925"/>
      <c r="CW84" s="925"/>
      <c r="CX84" s="925"/>
      <c r="CY84" s="925"/>
      <c r="CZ84" s="925"/>
      <c r="DA84" s="925"/>
      <c r="DB84" s="925"/>
      <c r="DC84" s="925"/>
      <c r="DD84" s="925"/>
      <c r="DE84" s="925"/>
      <c r="DF84" s="925"/>
      <c r="DG84" s="925"/>
      <c r="DH84" s="925"/>
      <c r="DI84" s="925"/>
      <c r="DJ84" s="925"/>
      <c r="DK84" s="925"/>
      <c r="DL84" s="925"/>
      <c r="DM84" s="925"/>
      <c r="DN84" s="925"/>
      <c r="DO84" s="925"/>
      <c r="DP84" s="925"/>
      <c r="DQ84" s="925"/>
      <c r="DR84" s="925"/>
      <c r="DS84" s="925"/>
      <c r="DT84" s="925"/>
      <c r="DU84" s="925"/>
      <c r="DV84" s="925"/>
      <c r="DW84" s="925"/>
      <c r="DX84" s="925"/>
      <c r="DY84" s="925"/>
      <c r="DZ84" s="925"/>
      <c r="EA84" s="925"/>
      <c r="EB84" s="925"/>
      <c r="EC84" s="925"/>
      <c r="ED84" s="925"/>
      <c r="EE84" s="925"/>
      <c r="EF84" s="925"/>
      <c r="EG84" s="446"/>
    </row>
    <row r="85" spans="1:137" ht="13" x14ac:dyDescent="0.15">
      <c r="A85" s="917"/>
      <c r="B85" s="917"/>
      <c r="C85" s="918"/>
      <c r="D85" s="919"/>
      <c r="E85" s="920"/>
      <c r="F85" s="921"/>
      <c r="G85" s="922"/>
      <c r="H85" s="922"/>
      <c r="I85" s="922"/>
      <c r="J85" s="923"/>
      <c r="K85" s="923"/>
      <c r="L85" s="924"/>
      <c r="M85" s="925"/>
      <c r="N85" s="925"/>
      <c r="O85" s="925"/>
      <c r="P85" s="925"/>
      <c r="Q85" s="925"/>
      <c r="R85" s="926"/>
      <c r="S85" s="926"/>
      <c r="T85" s="925"/>
      <c r="U85" s="925"/>
      <c r="V85" s="925"/>
      <c r="W85" s="925"/>
      <c r="X85" s="925"/>
      <c r="Y85" s="925"/>
      <c r="Z85" s="925"/>
      <c r="AA85" s="925"/>
      <c r="AB85" s="925"/>
      <c r="AC85" s="925"/>
      <c r="AD85" s="925"/>
      <c r="AE85" s="925"/>
      <c r="AF85" s="925"/>
      <c r="AG85" s="925"/>
      <c r="AH85" s="925"/>
      <c r="AI85" s="925"/>
      <c r="AJ85" s="925"/>
      <c r="AK85" s="925"/>
      <c r="AL85" s="925"/>
      <c r="AM85" s="925"/>
      <c r="AN85" s="925"/>
      <c r="AO85" s="925"/>
      <c r="AP85" s="925"/>
      <c r="AQ85" s="925"/>
      <c r="AR85" s="925"/>
      <c r="AS85" s="925"/>
      <c r="AT85" s="925"/>
      <c r="AU85" s="925"/>
      <c r="AV85" s="925"/>
      <c r="AW85" s="925"/>
      <c r="AX85" s="925"/>
      <c r="AY85" s="925"/>
      <c r="AZ85" s="925"/>
      <c r="BA85" s="925"/>
      <c r="BB85" s="925"/>
      <c r="BC85" s="925"/>
      <c r="BD85" s="925"/>
      <c r="BE85" s="925"/>
      <c r="BF85" s="925"/>
      <c r="BG85" s="925"/>
      <c r="BH85" s="925"/>
      <c r="BI85" s="925"/>
      <c r="BJ85" s="925"/>
      <c r="BK85" s="925"/>
      <c r="BL85" s="925"/>
      <c r="BM85" s="925"/>
      <c r="BN85" s="925"/>
      <c r="BO85" s="925"/>
      <c r="BP85" s="925"/>
      <c r="BQ85" s="925"/>
      <c r="BR85" s="925"/>
      <c r="BS85" s="925"/>
      <c r="BT85" s="925"/>
      <c r="BU85" s="925"/>
      <c r="BV85" s="925"/>
      <c r="BW85" s="925"/>
      <c r="BX85" s="925"/>
      <c r="BY85" s="925"/>
      <c r="BZ85" s="925"/>
      <c r="CA85" s="925"/>
      <c r="CB85" s="925"/>
      <c r="CC85" s="925"/>
      <c r="CD85" s="925"/>
      <c r="CE85" s="925"/>
      <c r="CF85" s="925"/>
      <c r="CG85" s="925"/>
      <c r="CH85" s="925"/>
      <c r="CI85" s="925"/>
      <c r="CJ85" s="925"/>
      <c r="CK85" s="925"/>
      <c r="CL85" s="925"/>
      <c r="CM85" s="925"/>
      <c r="CN85" s="925"/>
      <c r="CO85" s="925"/>
      <c r="CP85" s="925"/>
      <c r="CQ85" s="925"/>
      <c r="CR85" s="925"/>
      <c r="CS85" s="925"/>
      <c r="CT85" s="925"/>
      <c r="CU85" s="925"/>
      <c r="CV85" s="925"/>
      <c r="CW85" s="925"/>
      <c r="CX85" s="925"/>
      <c r="CY85" s="925"/>
      <c r="CZ85" s="925"/>
      <c r="DA85" s="925"/>
      <c r="DB85" s="925"/>
      <c r="DC85" s="925"/>
      <c r="DD85" s="925"/>
      <c r="DE85" s="925"/>
      <c r="DF85" s="925"/>
      <c r="DG85" s="925"/>
      <c r="DH85" s="925"/>
      <c r="DI85" s="925"/>
      <c r="DJ85" s="925"/>
      <c r="DK85" s="925"/>
      <c r="DL85" s="925"/>
      <c r="DM85" s="925"/>
      <c r="DN85" s="925"/>
      <c r="DO85" s="925"/>
      <c r="DP85" s="925"/>
      <c r="DQ85" s="925"/>
      <c r="DR85" s="925"/>
      <c r="DS85" s="925"/>
      <c r="DT85" s="925"/>
      <c r="DU85" s="925"/>
      <c r="DV85" s="925"/>
      <c r="DW85" s="925"/>
      <c r="DX85" s="925"/>
      <c r="DY85" s="925"/>
      <c r="DZ85" s="925"/>
      <c r="EA85" s="925"/>
      <c r="EB85" s="925"/>
      <c r="EC85" s="925"/>
      <c r="ED85" s="925"/>
      <c r="EE85" s="925"/>
      <c r="EF85" s="925"/>
      <c r="EG85" s="446"/>
    </row>
    <row r="86" spans="1:137" ht="13" x14ac:dyDescent="0.15">
      <c r="A86" s="917"/>
      <c r="B86" s="917"/>
      <c r="C86" s="918"/>
      <c r="D86" s="919"/>
      <c r="E86" s="920"/>
      <c r="F86" s="921"/>
      <c r="G86" s="922"/>
      <c r="H86" s="922"/>
      <c r="I86" s="922"/>
      <c r="J86" s="923"/>
      <c r="K86" s="923"/>
      <c r="L86" s="924"/>
      <c r="M86" s="925"/>
      <c r="N86" s="925"/>
      <c r="O86" s="925"/>
      <c r="P86" s="925"/>
      <c r="Q86" s="925"/>
      <c r="R86" s="926"/>
      <c r="S86" s="926"/>
      <c r="T86" s="925"/>
      <c r="U86" s="925"/>
      <c r="V86" s="925"/>
      <c r="W86" s="925"/>
      <c r="X86" s="925"/>
      <c r="Y86" s="925"/>
      <c r="Z86" s="925"/>
      <c r="AA86" s="925"/>
      <c r="AB86" s="925"/>
      <c r="AC86" s="925"/>
      <c r="AD86" s="925"/>
      <c r="AE86" s="925"/>
      <c r="AF86" s="925"/>
      <c r="AG86" s="925"/>
      <c r="AH86" s="925"/>
      <c r="AI86" s="925"/>
      <c r="AJ86" s="925"/>
      <c r="AK86" s="925"/>
      <c r="AL86" s="925"/>
      <c r="AM86" s="925"/>
      <c r="AN86" s="925"/>
      <c r="AO86" s="925"/>
      <c r="AP86" s="925"/>
      <c r="AQ86" s="925"/>
      <c r="AR86" s="925"/>
      <c r="AS86" s="925"/>
      <c r="AT86" s="925"/>
      <c r="AU86" s="925"/>
      <c r="AV86" s="925"/>
      <c r="AW86" s="925"/>
      <c r="AX86" s="925"/>
      <c r="AY86" s="925"/>
      <c r="AZ86" s="925"/>
      <c r="BA86" s="925"/>
      <c r="BB86" s="925"/>
      <c r="BC86" s="925"/>
      <c r="BD86" s="925"/>
      <c r="BE86" s="925"/>
      <c r="BF86" s="925"/>
      <c r="BG86" s="925"/>
      <c r="BH86" s="925"/>
      <c r="BI86" s="925"/>
      <c r="BJ86" s="925"/>
      <c r="BK86" s="925"/>
      <c r="BL86" s="925"/>
      <c r="BM86" s="925"/>
      <c r="BN86" s="925"/>
      <c r="BO86" s="925"/>
      <c r="BP86" s="925"/>
      <c r="BQ86" s="925"/>
      <c r="BR86" s="925"/>
      <c r="BS86" s="925"/>
      <c r="BT86" s="925"/>
      <c r="BU86" s="925"/>
      <c r="BV86" s="925"/>
      <c r="BW86" s="925"/>
      <c r="BX86" s="925"/>
      <c r="BY86" s="925"/>
      <c r="BZ86" s="925"/>
      <c r="CA86" s="925"/>
      <c r="CB86" s="925"/>
      <c r="CC86" s="925"/>
      <c r="CD86" s="925"/>
      <c r="CE86" s="925"/>
      <c r="CF86" s="925"/>
      <c r="CG86" s="925"/>
      <c r="CH86" s="925"/>
      <c r="CI86" s="925"/>
      <c r="CJ86" s="925"/>
      <c r="CK86" s="925"/>
      <c r="CL86" s="925"/>
      <c r="CM86" s="925"/>
      <c r="CN86" s="925"/>
      <c r="CO86" s="925"/>
      <c r="CP86" s="925"/>
      <c r="CQ86" s="925"/>
      <c r="CR86" s="925"/>
      <c r="CS86" s="925"/>
      <c r="CT86" s="925"/>
      <c r="CU86" s="925"/>
      <c r="CV86" s="925"/>
      <c r="CW86" s="925"/>
      <c r="CX86" s="925"/>
      <c r="CY86" s="925"/>
      <c r="CZ86" s="925"/>
      <c r="DA86" s="925"/>
      <c r="DB86" s="925"/>
      <c r="DC86" s="925"/>
      <c r="DD86" s="925"/>
      <c r="DE86" s="925"/>
      <c r="DF86" s="925"/>
      <c r="DG86" s="925"/>
      <c r="DH86" s="925"/>
      <c r="DI86" s="925"/>
      <c r="DJ86" s="925"/>
      <c r="DK86" s="925"/>
      <c r="DL86" s="925"/>
      <c r="DM86" s="925"/>
      <c r="DN86" s="925"/>
      <c r="DO86" s="925"/>
      <c r="DP86" s="925"/>
      <c r="DQ86" s="925"/>
      <c r="DR86" s="925"/>
      <c r="DS86" s="925"/>
      <c r="DT86" s="925"/>
      <c r="DU86" s="925"/>
      <c r="DV86" s="925"/>
      <c r="DW86" s="925"/>
      <c r="DX86" s="925"/>
      <c r="DY86" s="925"/>
      <c r="DZ86" s="925"/>
      <c r="EA86" s="925"/>
      <c r="EB86" s="925"/>
      <c r="EC86" s="925"/>
      <c r="ED86" s="925"/>
      <c r="EE86" s="925"/>
      <c r="EF86" s="925"/>
      <c r="EG86" s="446"/>
    </row>
    <row r="87" spans="1:137" ht="13" x14ac:dyDescent="0.15">
      <c r="A87" s="917"/>
      <c r="B87" s="917"/>
      <c r="C87" s="918"/>
      <c r="D87" s="919"/>
      <c r="E87" s="920"/>
      <c r="F87" s="921"/>
      <c r="G87" s="922"/>
      <c r="H87" s="922"/>
      <c r="I87" s="922"/>
      <c r="J87" s="923"/>
      <c r="K87" s="923"/>
      <c r="L87" s="924"/>
      <c r="M87" s="925"/>
      <c r="N87" s="925"/>
      <c r="O87" s="925"/>
      <c r="P87" s="925"/>
      <c r="Q87" s="925"/>
      <c r="R87" s="926"/>
      <c r="S87" s="926"/>
      <c r="T87" s="925"/>
      <c r="U87" s="925"/>
      <c r="V87" s="925"/>
      <c r="W87" s="925"/>
      <c r="X87" s="925"/>
      <c r="Y87" s="925"/>
      <c r="Z87" s="925"/>
      <c r="AA87" s="925"/>
      <c r="AB87" s="925"/>
      <c r="AC87" s="925"/>
      <c r="AD87" s="925"/>
      <c r="AE87" s="925"/>
      <c r="AF87" s="925"/>
      <c r="AG87" s="925"/>
      <c r="AH87" s="925"/>
      <c r="AI87" s="925"/>
      <c r="AJ87" s="925"/>
      <c r="AK87" s="925"/>
      <c r="AL87" s="925"/>
      <c r="AM87" s="925"/>
      <c r="AN87" s="925"/>
      <c r="AO87" s="925"/>
      <c r="AP87" s="925"/>
      <c r="AQ87" s="925"/>
      <c r="AR87" s="925"/>
      <c r="AS87" s="925"/>
      <c r="AT87" s="925"/>
      <c r="AU87" s="925"/>
      <c r="AV87" s="925"/>
      <c r="AW87" s="925"/>
      <c r="AX87" s="925"/>
      <c r="AY87" s="925"/>
      <c r="AZ87" s="925"/>
      <c r="BA87" s="925"/>
      <c r="BB87" s="925"/>
      <c r="BC87" s="925"/>
      <c r="BD87" s="925"/>
      <c r="BE87" s="925"/>
      <c r="BF87" s="925"/>
      <c r="BG87" s="925"/>
      <c r="BH87" s="925"/>
      <c r="BI87" s="925"/>
      <c r="BJ87" s="925"/>
      <c r="BK87" s="925"/>
      <c r="BL87" s="925"/>
      <c r="BM87" s="925"/>
      <c r="BN87" s="925"/>
      <c r="BO87" s="925"/>
      <c r="BP87" s="925"/>
      <c r="BQ87" s="925"/>
      <c r="BR87" s="925"/>
      <c r="BS87" s="925"/>
      <c r="BT87" s="925"/>
      <c r="BU87" s="925"/>
      <c r="BV87" s="925"/>
      <c r="BW87" s="925"/>
      <c r="BX87" s="925"/>
      <c r="BY87" s="925"/>
      <c r="BZ87" s="925"/>
      <c r="CA87" s="925"/>
      <c r="CB87" s="925"/>
      <c r="CC87" s="925"/>
      <c r="CD87" s="925"/>
      <c r="CE87" s="925"/>
      <c r="CF87" s="925"/>
      <c r="CG87" s="925"/>
      <c r="CH87" s="925"/>
      <c r="CI87" s="925"/>
      <c r="CJ87" s="925"/>
      <c r="CK87" s="925"/>
      <c r="CL87" s="925"/>
      <c r="CM87" s="925"/>
      <c r="CN87" s="925"/>
      <c r="CO87" s="925"/>
      <c r="CP87" s="925"/>
      <c r="CQ87" s="925"/>
      <c r="CR87" s="925"/>
      <c r="CS87" s="925"/>
      <c r="CT87" s="925"/>
      <c r="CU87" s="925"/>
      <c r="CV87" s="925"/>
      <c r="CW87" s="925"/>
      <c r="CX87" s="925"/>
      <c r="CY87" s="925"/>
      <c r="CZ87" s="925"/>
      <c r="DA87" s="925"/>
      <c r="DB87" s="925"/>
      <c r="DC87" s="925"/>
      <c r="DD87" s="925"/>
      <c r="DE87" s="925"/>
      <c r="DF87" s="925"/>
      <c r="DG87" s="925"/>
      <c r="DH87" s="925"/>
      <c r="DI87" s="925"/>
      <c r="DJ87" s="925"/>
      <c r="DK87" s="925"/>
      <c r="DL87" s="925"/>
      <c r="DM87" s="925"/>
      <c r="DN87" s="925"/>
      <c r="DO87" s="925"/>
      <c r="DP87" s="925"/>
      <c r="DQ87" s="925"/>
      <c r="DR87" s="925"/>
      <c r="DS87" s="925"/>
      <c r="DT87" s="925"/>
      <c r="DU87" s="925"/>
      <c r="DV87" s="925"/>
      <c r="DW87" s="925"/>
      <c r="DX87" s="925"/>
      <c r="DY87" s="925"/>
      <c r="DZ87" s="925"/>
      <c r="EA87" s="925"/>
      <c r="EB87" s="925"/>
      <c r="EC87" s="925"/>
      <c r="ED87" s="925"/>
      <c r="EE87" s="925"/>
      <c r="EF87" s="925"/>
      <c r="EG87" s="446"/>
    </row>
    <row r="88" spans="1:137" ht="13" x14ac:dyDescent="0.15">
      <c r="A88" s="917"/>
      <c r="B88" s="917"/>
      <c r="C88" s="918"/>
      <c r="D88" s="919"/>
      <c r="E88" s="920"/>
      <c r="F88" s="921"/>
      <c r="G88" s="922"/>
      <c r="H88" s="922"/>
      <c r="I88" s="922"/>
      <c r="J88" s="923"/>
      <c r="K88" s="923"/>
      <c r="L88" s="924"/>
      <c r="M88" s="925"/>
      <c r="N88" s="925"/>
      <c r="O88" s="925"/>
      <c r="P88" s="925"/>
      <c r="Q88" s="925"/>
      <c r="R88" s="926"/>
      <c r="S88" s="926"/>
      <c r="T88" s="925"/>
      <c r="U88" s="925"/>
      <c r="V88" s="925"/>
      <c r="W88" s="925"/>
      <c r="X88" s="925"/>
      <c r="Y88" s="925"/>
      <c r="Z88" s="925"/>
      <c r="AA88" s="925"/>
      <c r="AB88" s="925"/>
      <c r="AC88" s="925"/>
      <c r="AD88" s="925"/>
      <c r="AE88" s="925"/>
      <c r="AF88" s="925"/>
      <c r="AG88" s="925"/>
      <c r="AH88" s="925"/>
      <c r="AI88" s="925"/>
      <c r="AJ88" s="925"/>
      <c r="AK88" s="925"/>
      <c r="AL88" s="925"/>
      <c r="AM88" s="925"/>
      <c r="AN88" s="925"/>
      <c r="AO88" s="925"/>
      <c r="AP88" s="925"/>
      <c r="AQ88" s="925"/>
      <c r="AR88" s="925"/>
      <c r="AS88" s="925"/>
      <c r="AT88" s="925"/>
      <c r="AU88" s="925"/>
      <c r="AV88" s="925"/>
      <c r="AW88" s="925"/>
      <c r="AX88" s="925"/>
      <c r="AY88" s="925"/>
      <c r="AZ88" s="925"/>
      <c r="BA88" s="925"/>
      <c r="BB88" s="925"/>
      <c r="BC88" s="925"/>
      <c r="BD88" s="925"/>
      <c r="BE88" s="925"/>
      <c r="BF88" s="925"/>
      <c r="BG88" s="925"/>
      <c r="BH88" s="925"/>
      <c r="BI88" s="925"/>
      <c r="BJ88" s="925"/>
      <c r="BK88" s="925"/>
      <c r="BL88" s="925"/>
      <c r="BM88" s="925"/>
      <c r="BN88" s="925"/>
      <c r="BO88" s="925"/>
      <c r="BP88" s="925"/>
      <c r="BQ88" s="925"/>
      <c r="BR88" s="925"/>
      <c r="BS88" s="925"/>
      <c r="BT88" s="925"/>
      <c r="BU88" s="925"/>
      <c r="BV88" s="925"/>
      <c r="BW88" s="925"/>
      <c r="BX88" s="925"/>
      <c r="BY88" s="925"/>
      <c r="BZ88" s="925"/>
      <c r="CA88" s="925"/>
      <c r="CB88" s="925"/>
      <c r="CC88" s="925"/>
      <c r="CD88" s="925"/>
      <c r="CE88" s="925"/>
      <c r="CF88" s="925"/>
      <c r="CG88" s="925"/>
      <c r="CH88" s="925"/>
      <c r="CI88" s="925"/>
      <c r="CJ88" s="925"/>
      <c r="CK88" s="925"/>
      <c r="CL88" s="925"/>
      <c r="CM88" s="925"/>
      <c r="CN88" s="925"/>
      <c r="CO88" s="925"/>
      <c r="CP88" s="925"/>
      <c r="CQ88" s="925"/>
      <c r="CR88" s="925"/>
      <c r="CS88" s="925"/>
      <c r="CT88" s="925"/>
      <c r="CU88" s="925"/>
      <c r="CV88" s="925"/>
      <c r="CW88" s="925"/>
      <c r="CX88" s="925"/>
      <c r="CY88" s="925"/>
      <c r="CZ88" s="925"/>
      <c r="DA88" s="925"/>
      <c r="DB88" s="925"/>
      <c r="DC88" s="925"/>
      <c r="DD88" s="925"/>
      <c r="DE88" s="925"/>
      <c r="DF88" s="925"/>
      <c r="DG88" s="925"/>
      <c r="DH88" s="925"/>
      <c r="DI88" s="925"/>
      <c r="DJ88" s="925"/>
      <c r="DK88" s="925"/>
      <c r="DL88" s="925"/>
      <c r="DM88" s="925"/>
      <c r="DN88" s="925"/>
      <c r="DO88" s="925"/>
      <c r="DP88" s="925"/>
      <c r="DQ88" s="925"/>
      <c r="DR88" s="925"/>
      <c r="DS88" s="925"/>
      <c r="DT88" s="925"/>
      <c r="DU88" s="925"/>
      <c r="DV88" s="925"/>
      <c r="DW88" s="925"/>
      <c r="DX88" s="925"/>
      <c r="DY88" s="925"/>
      <c r="DZ88" s="925"/>
      <c r="EA88" s="925"/>
      <c r="EB88" s="925"/>
      <c r="EC88" s="925"/>
      <c r="ED88" s="925"/>
      <c r="EE88" s="925"/>
      <c r="EF88" s="925"/>
      <c r="EG88" s="446"/>
    </row>
    <row r="89" spans="1:137" ht="13" x14ac:dyDescent="0.15">
      <c r="A89" s="917"/>
      <c r="B89" s="917"/>
      <c r="C89" s="918"/>
      <c r="D89" s="919"/>
      <c r="E89" s="920"/>
      <c r="F89" s="921"/>
      <c r="G89" s="922"/>
      <c r="H89" s="922"/>
      <c r="I89" s="922"/>
      <c r="J89" s="923"/>
      <c r="K89" s="923"/>
      <c r="L89" s="924"/>
      <c r="M89" s="925"/>
      <c r="N89" s="925"/>
      <c r="O89" s="925"/>
      <c r="P89" s="925"/>
      <c r="Q89" s="925"/>
      <c r="R89" s="926"/>
      <c r="S89" s="926"/>
      <c r="T89" s="925"/>
      <c r="U89" s="925"/>
      <c r="V89" s="925"/>
      <c r="W89" s="925"/>
      <c r="X89" s="925"/>
      <c r="Y89" s="925"/>
      <c r="Z89" s="925"/>
      <c r="AA89" s="925"/>
      <c r="AB89" s="925"/>
      <c r="AC89" s="925"/>
      <c r="AD89" s="925"/>
      <c r="AE89" s="925"/>
      <c r="AF89" s="925"/>
      <c r="AG89" s="925"/>
      <c r="AH89" s="925"/>
      <c r="AI89" s="925"/>
      <c r="AJ89" s="925"/>
      <c r="AK89" s="925"/>
      <c r="AL89" s="925"/>
      <c r="AM89" s="925"/>
      <c r="AN89" s="925"/>
      <c r="AO89" s="925"/>
      <c r="AP89" s="925"/>
      <c r="AQ89" s="925"/>
      <c r="AR89" s="925"/>
      <c r="AS89" s="925"/>
      <c r="AT89" s="925"/>
      <c r="AU89" s="925"/>
      <c r="AV89" s="925"/>
      <c r="AW89" s="925"/>
      <c r="AX89" s="925"/>
      <c r="AY89" s="925"/>
      <c r="AZ89" s="925"/>
      <c r="BA89" s="925"/>
      <c r="BB89" s="925"/>
      <c r="BC89" s="925"/>
      <c r="BD89" s="925"/>
      <c r="BE89" s="925"/>
      <c r="BF89" s="925"/>
      <c r="BG89" s="925"/>
      <c r="BH89" s="925"/>
      <c r="BI89" s="925"/>
      <c r="BJ89" s="925"/>
      <c r="BK89" s="925"/>
      <c r="BL89" s="925"/>
      <c r="BM89" s="925"/>
      <c r="BN89" s="925"/>
      <c r="BO89" s="925"/>
      <c r="BP89" s="925"/>
      <c r="BQ89" s="925"/>
      <c r="BR89" s="925"/>
      <c r="BS89" s="925"/>
      <c r="BT89" s="925"/>
      <c r="BU89" s="925"/>
      <c r="BV89" s="925"/>
      <c r="BW89" s="925"/>
      <c r="BX89" s="925"/>
      <c r="BY89" s="925"/>
      <c r="BZ89" s="925"/>
      <c r="CA89" s="925"/>
      <c r="CB89" s="925"/>
      <c r="CC89" s="925"/>
      <c r="CD89" s="925"/>
      <c r="CE89" s="925"/>
      <c r="CF89" s="925"/>
      <c r="CG89" s="925"/>
      <c r="CH89" s="925"/>
      <c r="CI89" s="925"/>
      <c r="CJ89" s="925"/>
      <c r="CK89" s="925"/>
      <c r="CL89" s="925"/>
      <c r="CM89" s="925"/>
      <c r="CN89" s="925"/>
      <c r="CO89" s="925"/>
      <c r="CP89" s="925"/>
      <c r="CQ89" s="925"/>
      <c r="CR89" s="925"/>
      <c r="CS89" s="925"/>
      <c r="CT89" s="925"/>
      <c r="CU89" s="925"/>
      <c r="CV89" s="925"/>
      <c r="CW89" s="925"/>
      <c r="CX89" s="925"/>
      <c r="CY89" s="925"/>
      <c r="CZ89" s="925"/>
      <c r="DA89" s="925"/>
      <c r="DB89" s="925"/>
      <c r="DC89" s="925"/>
      <c r="DD89" s="925"/>
      <c r="DE89" s="925"/>
      <c r="DF89" s="925"/>
      <c r="DG89" s="925"/>
      <c r="DH89" s="925"/>
      <c r="DI89" s="925"/>
      <c r="DJ89" s="925"/>
      <c r="DK89" s="925"/>
      <c r="DL89" s="925"/>
      <c r="DM89" s="925"/>
      <c r="DN89" s="925"/>
      <c r="DO89" s="925"/>
      <c r="DP89" s="925"/>
      <c r="DQ89" s="925"/>
      <c r="DR89" s="925"/>
      <c r="DS89" s="925"/>
      <c r="DT89" s="925"/>
      <c r="DU89" s="925"/>
      <c r="DV89" s="925"/>
      <c r="DW89" s="925"/>
      <c r="DX89" s="925"/>
      <c r="DY89" s="925"/>
      <c r="DZ89" s="925"/>
      <c r="EA89" s="925"/>
      <c r="EB89" s="925"/>
      <c r="EC89" s="925"/>
      <c r="ED89" s="925"/>
      <c r="EE89" s="925"/>
      <c r="EF89" s="925"/>
      <c r="EG89" s="446"/>
    </row>
    <row r="90" spans="1:137" ht="13" x14ac:dyDescent="0.15">
      <c r="A90" s="917"/>
      <c r="B90" s="917"/>
      <c r="C90" s="918"/>
      <c r="D90" s="919"/>
      <c r="E90" s="920"/>
      <c r="F90" s="921"/>
      <c r="G90" s="922"/>
      <c r="H90" s="922"/>
      <c r="I90" s="922"/>
      <c r="J90" s="923"/>
      <c r="K90" s="923"/>
      <c r="L90" s="924"/>
      <c r="M90" s="925"/>
      <c r="N90" s="925"/>
      <c r="O90" s="925"/>
      <c r="P90" s="925"/>
      <c r="Q90" s="925"/>
      <c r="R90" s="926"/>
      <c r="S90" s="926"/>
      <c r="T90" s="925"/>
      <c r="U90" s="925"/>
      <c r="V90" s="925"/>
      <c r="W90" s="925"/>
      <c r="X90" s="925"/>
      <c r="Y90" s="925"/>
      <c r="Z90" s="925"/>
      <c r="AA90" s="925"/>
      <c r="AB90" s="925"/>
      <c r="AC90" s="925"/>
      <c r="AD90" s="925"/>
      <c r="AE90" s="925"/>
      <c r="AF90" s="925"/>
      <c r="AG90" s="925"/>
      <c r="AH90" s="925"/>
      <c r="AI90" s="925"/>
      <c r="AJ90" s="925"/>
      <c r="AK90" s="925"/>
      <c r="AL90" s="925"/>
      <c r="AM90" s="925"/>
      <c r="AN90" s="925"/>
      <c r="AO90" s="925"/>
      <c r="AP90" s="925"/>
      <c r="AQ90" s="925"/>
      <c r="AR90" s="925"/>
      <c r="AS90" s="925"/>
      <c r="AT90" s="925"/>
      <c r="AU90" s="925"/>
      <c r="AV90" s="925"/>
      <c r="AW90" s="925"/>
      <c r="AX90" s="925"/>
      <c r="AY90" s="925"/>
      <c r="AZ90" s="925"/>
      <c r="BA90" s="925"/>
      <c r="BB90" s="925"/>
      <c r="BC90" s="925"/>
      <c r="BD90" s="925"/>
      <c r="BE90" s="925"/>
      <c r="BF90" s="925"/>
      <c r="BG90" s="925"/>
      <c r="BH90" s="925"/>
      <c r="BI90" s="925"/>
      <c r="BJ90" s="925"/>
      <c r="BK90" s="925"/>
      <c r="BL90" s="925"/>
      <c r="BM90" s="925"/>
      <c r="BN90" s="925"/>
      <c r="BO90" s="925"/>
      <c r="BP90" s="925"/>
      <c r="BQ90" s="925"/>
      <c r="BR90" s="925"/>
      <c r="BS90" s="925"/>
      <c r="BT90" s="925"/>
      <c r="BU90" s="925"/>
      <c r="BV90" s="925"/>
      <c r="BW90" s="925"/>
      <c r="BX90" s="925"/>
      <c r="BY90" s="925"/>
      <c r="BZ90" s="925"/>
      <c r="CA90" s="925"/>
      <c r="CB90" s="925"/>
      <c r="CC90" s="925"/>
      <c r="CD90" s="925"/>
      <c r="CE90" s="925"/>
      <c r="CF90" s="925"/>
      <c r="CG90" s="925"/>
      <c r="CH90" s="925"/>
      <c r="CI90" s="925"/>
      <c r="CJ90" s="925"/>
      <c r="CK90" s="925"/>
      <c r="CL90" s="925"/>
      <c r="CM90" s="925"/>
      <c r="CN90" s="925"/>
      <c r="CO90" s="925"/>
      <c r="CP90" s="925"/>
      <c r="CQ90" s="925"/>
      <c r="CR90" s="925"/>
      <c r="CS90" s="925"/>
      <c r="CT90" s="925"/>
      <c r="CU90" s="925"/>
      <c r="CV90" s="925"/>
      <c r="CW90" s="925"/>
      <c r="CX90" s="925"/>
      <c r="CY90" s="925"/>
      <c r="CZ90" s="925"/>
      <c r="DA90" s="925"/>
      <c r="DB90" s="925"/>
      <c r="DC90" s="925"/>
      <c r="DD90" s="925"/>
      <c r="DE90" s="925"/>
      <c r="DF90" s="925"/>
      <c r="DG90" s="925"/>
      <c r="DH90" s="925"/>
      <c r="DI90" s="925"/>
      <c r="DJ90" s="925"/>
      <c r="DK90" s="925"/>
      <c r="DL90" s="925"/>
      <c r="DM90" s="925"/>
      <c r="DN90" s="925"/>
      <c r="DO90" s="925"/>
      <c r="DP90" s="925"/>
      <c r="DQ90" s="925"/>
      <c r="DR90" s="925"/>
      <c r="DS90" s="925"/>
      <c r="DT90" s="925"/>
      <c r="DU90" s="925"/>
      <c r="DV90" s="925"/>
      <c r="DW90" s="925"/>
      <c r="DX90" s="925"/>
      <c r="DY90" s="925"/>
      <c r="DZ90" s="925"/>
      <c r="EA90" s="925"/>
      <c r="EB90" s="925"/>
      <c r="EC90" s="925"/>
      <c r="ED90" s="925"/>
      <c r="EE90" s="925"/>
      <c r="EF90" s="925"/>
      <c r="EG90" s="446"/>
    </row>
    <row r="91" spans="1:137" ht="13" x14ac:dyDescent="0.15">
      <c r="A91" s="917"/>
      <c r="B91" s="917"/>
      <c r="C91" s="918"/>
      <c r="D91" s="919"/>
      <c r="E91" s="920"/>
      <c r="F91" s="921"/>
      <c r="G91" s="922"/>
      <c r="H91" s="922"/>
      <c r="I91" s="922"/>
      <c r="J91" s="923"/>
      <c r="K91" s="923"/>
      <c r="L91" s="924"/>
      <c r="M91" s="925"/>
      <c r="N91" s="925"/>
      <c r="O91" s="925"/>
      <c r="P91" s="925"/>
      <c r="Q91" s="925"/>
      <c r="R91" s="926"/>
      <c r="S91" s="926"/>
      <c r="T91" s="925"/>
      <c r="U91" s="925"/>
      <c r="V91" s="925"/>
      <c r="W91" s="925"/>
      <c r="X91" s="925"/>
      <c r="Y91" s="925"/>
      <c r="Z91" s="925"/>
      <c r="AA91" s="925"/>
      <c r="AB91" s="925"/>
      <c r="AC91" s="925"/>
      <c r="AD91" s="925"/>
      <c r="AE91" s="925"/>
      <c r="AF91" s="925"/>
      <c r="AG91" s="925"/>
      <c r="AH91" s="925"/>
      <c r="AI91" s="925"/>
      <c r="AJ91" s="925"/>
      <c r="AK91" s="925"/>
      <c r="AL91" s="925"/>
      <c r="AM91" s="925"/>
      <c r="AN91" s="925"/>
      <c r="AO91" s="925"/>
      <c r="AP91" s="925"/>
      <c r="AQ91" s="925"/>
      <c r="AR91" s="925"/>
      <c r="AS91" s="925"/>
      <c r="AT91" s="925"/>
      <c r="AU91" s="925"/>
      <c r="AV91" s="925"/>
      <c r="AW91" s="925"/>
      <c r="AX91" s="925"/>
      <c r="AY91" s="925"/>
      <c r="AZ91" s="925"/>
      <c r="BA91" s="925"/>
      <c r="BB91" s="925"/>
      <c r="BC91" s="925"/>
      <c r="BD91" s="925"/>
      <c r="BE91" s="925"/>
      <c r="BF91" s="925"/>
      <c r="BG91" s="925"/>
      <c r="BH91" s="925"/>
      <c r="BI91" s="925"/>
      <c r="BJ91" s="925"/>
      <c r="BK91" s="925"/>
      <c r="BL91" s="925"/>
      <c r="BM91" s="925"/>
      <c r="BN91" s="925"/>
      <c r="BO91" s="925"/>
      <c r="BP91" s="925"/>
      <c r="BQ91" s="925"/>
      <c r="BR91" s="925"/>
      <c r="BS91" s="925"/>
      <c r="BT91" s="925"/>
      <c r="BU91" s="925"/>
      <c r="BV91" s="925"/>
      <c r="BW91" s="925"/>
      <c r="BX91" s="925"/>
      <c r="BY91" s="925"/>
      <c r="BZ91" s="925"/>
      <c r="CA91" s="925"/>
      <c r="CB91" s="925"/>
      <c r="CC91" s="925"/>
      <c r="CD91" s="925"/>
      <c r="CE91" s="925"/>
      <c r="CF91" s="925"/>
      <c r="CG91" s="925"/>
      <c r="CH91" s="925"/>
      <c r="CI91" s="925"/>
      <c r="CJ91" s="925"/>
      <c r="CK91" s="925"/>
      <c r="CL91" s="925"/>
      <c r="CM91" s="925"/>
      <c r="CN91" s="925"/>
      <c r="CO91" s="925"/>
      <c r="CP91" s="925"/>
      <c r="CQ91" s="925"/>
      <c r="CR91" s="925"/>
      <c r="CS91" s="925"/>
      <c r="CT91" s="925"/>
      <c r="CU91" s="925"/>
      <c r="CV91" s="925"/>
      <c r="CW91" s="925"/>
      <c r="CX91" s="925"/>
      <c r="CY91" s="925"/>
      <c r="CZ91" s="925"/>
      <c r="DA91" s="925"/>
      <c r="DB91" s="925"/>
      <c r="DC91" s="925"/>
      <c r="DD91" s="925"/>
      <c r="DE91" s="925"/>
      <c r="DF91" s="925"/>
      <c r="DG91" s="925"/>
      <c r="DH91" s="925"/>
      <c r="DI91" s="925"/>
      <c r="DJ91" s="925"/>
      <c r="DK91" s="925"/>
      <c r="DL91" s="925"/>
      <c r="DM91" s="925"/>
      <c r="DN91" s="925"/>
      <c r="DO91" s="925"/>
      <c r="DP91" s="925"/>
      <c r="DQ91" s="925"/>
      <c r="DR91" s="925"/>
      <c r="DS91" s="925"/>
      <c r="DT91" s="925"/>
      <c r="DU91" s="925"/>
      <c r="DV91" s="925"/>
      <c r="DW91" s="925"/>
      <c r="DX91" s="925"/>
      <c r="DY91" s="925"/>
      <c r="DZ91" s="925"/>
      <c r="EA91" s="925"/>
      <c r="EB91" s="925"/>
      <c r="EC91" s="925"/>
      <c r="ED91" s="925"/>
      <c r="EE91" s="925"/>
      <c r="EF91" s="925"/>
      <c r="EG91" s="446"/>
    </row>
    <row r="92" spans="1:137" ht="13" x14ac:dyDescent="0.15">
      <c r="A92" s="917"/>
      <c r="B92" s="917"/>
      <c r="C92" s="918"/>
      <c r="D92" s="919"/>
      <c r="E92" s="920"/>
      <c r="F92" s="921"/>
      <c r="G92" s="922"/>
      <c r="H92" s="922"/>
      <c r="I92" s="922"/>
      <c r="J92" s="923"/>
      <c r="K92" s="923"/>
      <c r="L92" s="924"/>
      <c r="M92" s="925"/>
      <c r="N92" s="925"/>
      <c r="O92" s="925"/>
      <c r="P92" s="925"/>
      <c r="Q92" s="925"/>
      <c r="R92" s="926"/>
      <c r="S92" s="926"/>
      <c r="T92" s="925"/>
      <c r="U92" s="925"/>
      <c r="V92" s="925"/>
      <c r="W92" s="925"/>
      <c r="X92" s="925"/>
      <c r="Y92" s="925"/>
      <c r="Z92" s="925"/>
      <c r="AA92" s="925"/>
      <c r="AB92" s="925"/>
      <c r="AC92" s="925"/>
      <c r="AD92" s="925"/>
      <c r="AE92" s="925"/>
      <c r="AF92" s="925"/>
      <c r="AG92" s="925"/>
      <c r="AH92" s="925"/>
      <c r="AI92" s="925"/>
      <c r="AJ92" s="925"/>
      <c r="AK92" s="925"/>
      <c r="AL92" s="925"/>
      <c r="AM92" s="925"/>
      <c r="AN92" s="925"/>
      <c r="AO92" s="925"/>
      <c r="AP92" s="925"/>
      <c r="AQ92" s="925"/>
      <c r="AR92" s="925"/>
      <c r="AS92" s="925"/>
      <c r="AT92" s="925"/>
      <c r="AU92" s="925"/>
      <c r="AV92" s="925"/>
      <c r="AW92" s="925"/>
      <c r="AX92" s="925"/>
      <c r="AY92" s="925"/>
      <c r="AZ92" s="925"/>
      <c r="BA92" s="925"/>
      <c r="BB92" s="925"/>
      <c r="BC92" s="925"/>
      <c r="BD92" s="925"/>
      <c r="BE92" s="925"/>
      <c r="BF92" s="925"/>
      <c r="BG92" s="925"/>
      <c r="BH92" s="925"/>
      <c r="BI92" s="925"/>
      <c r="BJ92" s="925"/>
      <c r="BK92" s="925"/>
      <c r="BL92" s="925"/>
      <c r="BM92" s="925"/>
      <c r="BN92" s="925"/>
      <c r="BO92" s="925"/>
      <c r="BP92" s="925"/>
      <c r="BQ92" s="925"/>
      <c r="BR92" s="925"/>
      <c r="BS92" s="925"/>
      <c r="BT92" s="925"/>
      <c r="BU92" s="925"/>
      <c r="BV92" s="925"/>
      <c r="BW92" s="925"/>
      <c r="BX92" s="925"/>
      <c r="BY92" s="925"/>
      <c r="BZ92" s="925"/>
      <c r="CA92" s="925"/>
      <c r="CB92" s="925"/>
      <c r="CC92" s="925"/>
      <c r="CD92" s="925"/>
      <c r="CE92" s="925"/>
      <c r="CF92" s="925"/>
      <c r="CG92" s="925"/>
      <c r="CH92" s="925"/>
      <c r="CI92" s="925"/>
      <c r="CJ92" s="925"/>
      <c r="CK92" s="925"/>
      <c r="CL92" s="925"/>
      <c r="CM92" s="925"/>
      <c r="CN92" s="925"/>
      <c r="CO92" s="925"/>
      <c r="CP92" s="925"/>
      <c r="CQ92" s="925"/>
      <c r="CR92" s="925"/>
      <c r="CS92" s="925"/>
      <c r="CT92" s="925"/>
      <c r="CU92" s="925"/>
      <c r="CV92" s="925"/>
      <c r="CW92" s="925"/>
      <c r="CX92" s="925"/>
      <c r="CY92" s="925"/>
      <c r="CZ92" s="925"/>
      <c r="DA92" s="925"/>
      <c r="DB92" s="925"/>
      <c r="DC92" s="925"/>
      <c r="DD92" s="925"/>
      <c r="DE92" s="925"/>
      <c r="DF92" s="925"/>
      <c r="DG92" s="925"/>
      <c r="DH92" s="925"/>
      <c r="DI92" s="925"/>
      <c r="DJ92" s="925"/>
      <c r="DK92" s="925"/>
      <c r="DL92" s="925"/>
      <c r="DM92" s="925"/>
      <c r="DN92" s="925"/>
      <c r="DO92" s="925"/>
      <c r="DP92" s="925"/>
      <c r="DQ92" s="925"/>
      <c r="DR92" s="925"/>
      <c r="DS92" s="925"/>
      <c r="DT92" s="925"/>
      <c r="DU92" s="925"/>
      <c r="DV92" s="925"/>
      <c r="DW92" s="925"/>
      <c r="DX92" s="925"/>
      <c r="DY92" s="925"/>
      <c r="DZ92" s="925"/>
      <c r="EA92" s="925"/>
      <c r="EB92" s="925"/>
      <c r="EC92" s="925"/>
      <c r="ED92" s="925"/>
      <c r="EE92" s="925"/>
      <c r="EF92" s="925"/>
      <c r="EG92" s="446"/>
    </row>
    <row r="93" spans="1:137" ht="13" x14ac:dyDescent="0.15">
      <c r="A93" s="917"/>
      <c r="B93" s="917"/>
      <c r="C93" s="918"/>
      <c r="D93" s="919"/>
      <c r="E93" s="920"/>
      <c r="F93" s="921"/>
      <c r="G93" s="922"/>
      <c r="H93" s="922"/>
      <c r="I93" s="922"/>
      <c r="J93" s="923"/>
      <c r="K93" s="923"/>
      <c r="L93" s="924"/>
      <c r="M93" s="925"/>
      <c r="N93" s="925"/>
      <c r="O93" s="925"/>
      <c r="P93" s="925"/>
      <c r="Q93" s="925"/>
      <c r="R93" s="926"/>
      <c r="S93" s="926"/>
      <c r="T93" s="925"/>
      <c r="U93" s="925"/>
      <c r="V93" s="925"/>
      <c r="W93" s="925"/>
      <c r="X93" s="925"/>
      <c r="Y93" s="925"/>
      <c r="Z93" s="925"/>
      <c r="AA93" s="925"/>
      <c r="AB93" s="925"/>
      <c r="AC93" s="925"/>
      <c r="AD93" s="925"/>
      <c r="AE93" s="925"/>
      <c r="AF93" s="925"/>
      <c r="AG93" s="925"/>
      <c r="AH93" s="925"/>
      <c r="AI93" s="925"/>
      <c r="AJ93" s="925"/>
      <c r="AK93" s="925"/>
      <c r="AL93" s="925"/>
      <c r="AM93" s="925"/>
      <c r="AN93" s="925"/>
      <c r="AO93" s="925"/>
      <c r="AP93" s="925"/>
      <c r="AQ93" s="925"/>
      <c r="AR93" s="925"/>
      <c r="AS93" s="925"/>
      <c r="AT93" s="925"/>
      <c r="AU93" s="925"/>
      <c r="AV93" s="925"/>
      <c r="AW93" s="925"/>
      <c r="AX93" s="925"/>
      <c r="AY93" s="925"/>
      <c r="AZ93" s="925"/>
      <c r="BA93" s="925"/>
      <c r="BB93" s="925"/>
      <c r="BC93" s="925"/>
      <c r="BD93" s="925"/>
      <c r="BE93" s="925"/>
      <c r="BF93" s="925"/>
      <c r="BG93" s="925"/>
      <c r="BH93" s="925"/>
      <c r="BI93" s="925"/>
      <c r="BJ93" s="925"/>
      <c r="BK93" s="925"/>
      <c r="BL93" s="925"/>
      <c r="BM93" s="925"/>
      <c r="BN93" s="925"/>
      <c r="BO93" s="925"/>
      <c r="BP93" s="925"/>
      <c r="BQ93" s="925"/>
      <c r="BR93" s="925"/>
      <c r="BS93" s="925"/>
      <c r="BT93" s="925"/>
      <c r="BU93" s="925"/>
      <c r="BV93" s="925"/>
      <c r="BW93" s="925"/>
      <c r="BX93" s="925"/>
      <c r="BY93" s="925"/>
      <c r="BZ93" s="925"/>
      <c r="CA93" s="925"/>
      <c r="CB93" s="925"/>
      <c r="CC93" s="925"/>
      <c r="CD93" s="925"/>
      <c r="CE93" s="925"/>
      <c r="CF93" s="925"/>
      <c r="CG93" s="925"/>
      <c r="CH93" s="925"/>
      <c r="CI93" s="925"/>
      <c r="CJ93" s="925"/>
      <c r="CK93" s="925"/>
      <c r="CL93" s="925"/>
      <c r="CM93" s="925"/>
      <c r="CN93" s="925"/>
      <c r="CO93" s="925"/>
      <c r="CP93" s="925"/>
      <c r="CQ93" s="925"/>
      <c r="CR93" s="925"/>
      <c r="CS93" s="925"/>
      <c r="CT93" s="925"/>
      <c r="CU93" s="925"/>
      <c r="CV93" s="925"/>
      <c r="CW93" s="925"/>
      <c r="CX93" s="925"/>
      <c r="CY93" s="925"/>
      <c r="CZ93" s="925"/>
      <c r="DA93" s="925"/>
      <c r="DB93" s="925"/>
      <c r="DC93" s="925"/>
      <c r="DD93" s="925"/>
      <c r="DE93" s="925"/>
      <c r="DF93" s="925"/>
      <c r="DG93" s="925"/>
      <c r="DH93" s="925"/>
      <c r="DI93" s="925"/>
      <c r="DJ93" s="925"/>
      <c r="DK93" s="925"/>
      <c r="DL93" s="925"/>
      <c r="DM93" s="925"/>
      <c r="DN93" s="925"/>
      <c r="DO93" s="925"/>
      <c r="DP93" s="925"/>
      <c r="DQ93" s="925"/>
      <c r="DR93" s="925"/>
      <c r="DS93" s="925"/>
      <c r="DT93" s="925"/>
      <c r="DU93" s="925"/>
      <c r="DV93" s="925"/>
      <c r="DW93" s="925"/>
      <c r="DX93" s="925"/>
      <c r="DY93" s="925"/>
      <c r="DZ93" s="925"/>
      <c r="EA93" s="925"/>
      <c r="EB93" s="925"/>
      <c r="EC93" s="925"/>
      <c r="ED93" s="925"/>
      <c r="EE93" s="925"/>
      <c r="EF93" s="925"/>
      <c r="EG93" s="446"/>
    </row>
    <row r="94" spans="1:137" ht="13" x14ac:dyDescent="0.15">
      <c r="A94" s="917"/>
      <c r="B94" s="917"/>
      <c r="C94" s="918"/>
      <c r="D94" s="919"/>
      <c r="E94" s="920"/>
      <c r="F94" s="921"/>
      <c r="G94" s="922"/>
      <c r="H94" s="922"/>
      <c r="I94" s="922"/>
      <c r="J94" s="923"/>
      <c r="K94" s="923"/>
      <c r="L94" s="924"/>
      <c r="M94" s="925"/>
      <c r="N94" s="925"/>
      <c r="O94" s="925"/>
      <c r="P94" s="925"/>
      <c r="Q94" s="925"/>
      <c r="R94" s="926"/>
      <c r="S94" s="926"/>
      <c r="T94" s="925"/>
      <c r="U94" s="925"/>
      <c r="V94" s="925"/>
      <c r="W94" s="925"/>
      <c r="X94" s="925"/>
      <c r="Y94" s="925"/>
      <c r="Z94" s="925"/>
      <c r="AA94" s="925"/>
      <c r="AB94" s="925"/>
      <c r="AC94" s="925"/>
      <c r="AD94" s="925"/>
      <c r="AE94" s="925"/>
      <c r="AF94" s="925"/>
      <c r="AG94" s="925"/>
      <c r="AH94" s="925"/>
      <c r="AI94" s="925"/>
      <c r="AJ94" s="925"/>
      <c r="AK94" s="925"/>
      <c r="AL94" s="925"/>
      <c r="AM94" s="925"/>
      <c r="AN94" s="925"/>
      <c r="AO94" s="925"/>
      <c r="AP94" s="925"/>
      <c r="AQ94" s="925"/>
      <c r="AR94" s="925"/>
      <c r="AS94" s="925"/>
      <c r="AT94" s="925"/>
      <c r="AU94" s="925"/>
      <c r="AV94" s="925"/>
      <c r="AW94" s="925"/>
      <c r="AX94" s="925"/>
      <c r="AY94" s="925"/>
      <c r="AZ94" s="925"/>
      <c r="BA94" s="925"/>
      <c r="BB94" s="925"/>
      <c r="BC94" s="925"/>
      <c r="BD94" s="925"/>
      <c r="BE94" s="925"/>
      <c r="BF94" s="925"/>
      <c r="BG94" s="925"/>
      <c r="BH94" s="925"/>
      <c r="BI94" s="925"/>
      <c r="BJ94" s="925"/>
      <c r="BK94" s="925"/>
      <c r="BL94" s="925"/>
      <c r="BM94" s="925"/>
      <c r="BN94" s="925"/>
      <c r="BO94" s="925"/>
      <c r="BP94" s="925"/>
      <c r="BQ94" s="925"/>
      <c r="BR94" s="925"/>
      <c r="BS94" s="925"/>
      <c r="BT94" s="925"/>
      <c r="BU94" s="925"/>
      <c r="BV94" s="925"/>
      <c r="BW94" s="925"/>
      <c r="BX94" s="925"/>
      <c r="BY94" s="925"/>
      <c r="BZ94" s="925"/>
      <c r="CA94" s="925"/>
      <c r="CB94" s="925"/>
      <c r="CC94" s="925"/>
      <c r="CD94" s="925"/>
      <c r="CE94" s="925"/>
      <c r="CF94" s="925"/>
      <c r="CG94" s="925"/>
      <c r="CH94" s="925"/>
      <c r="CI94" s="925"/>
      <c r="CJ94" s="925"/>
      <c r="CK94" s="925"/>
      <c r="CL94" s="925"/>
      <c r="CM94" s="925"/>
      <c r="CN94" s="925"/>
      <c r="CO94" s="925"/>
      <c r="CP94" s="925"/>
      <c r="CQ94" s="925"/>
      <c r="CR94" s="925"/>
      <c r="CS94" s="925"/>
      <c r="CT94" s="925"/>
      <c r="CU94" s="925"/>
      <c r="CV94" s="925"/>
      <c r="CW94" s="925"/>
      <c r="CX94" s="925"/>
      <c r="CY94" s="925"/>
      <c r="CZ94" s="925"/>
      <c r="DA94" s="925"/>
      <c r="DB94" s="925"/>
      <c r="DC94" s="925"/>
      <c r="DD94" s="925"/>
      <c r="DE94" s="925"/>
      <c r="DF94" s="925"/>
      <c r="DG94" s="925"/>
      <c r="DH94" s="925"/>
      <c r="DI94" s="925"/>
      <c r="DJ94" s="925"/>
      <c r="DK94" s="925"/>
      <c r="DL94" s="925"/>
      <c r="DM94" s="925"/>
      <c r="DN94" s="925"/>
      <c r="DO94" s="925"/>
      <c r="DP94" s="925"/>
      <c r="DQ94" s="925"/>
      <c r="DR94" s="925"/>
      <c r="DS94" s="925"/>
      <c r="DT94" s="925"/>
      <c r="DU94" s="925"/>
      <c r="DV94" s="925"/>
      <c r="DW94" s="925"/>
      <c r="DX94" s="925"/>
      <c r="DY94" s="925"/>
      <c r="DZ94" s="925"/>
      <c r="EA94" s="925"/>
      <c r="EB94" s="925"/>
      <c r="EC94" s="925"/>
      <c r="ED94" s="925"/>
      <c r="EE94" s="925"/>
      <c r="EF94" s="925"/>
      <c r="EG94" s="446"/>
    </row>
    <row r="95" spans="1:137" ht="13" x14ac:dyDescent="0.15">
      <c r="A95" s="917"/>
      <c r="B95" s="917"/>
      <c r="C95" s="918"/>
      <c r="D95" s="919"/>
      <c r="E95" s="920"/>
      <c r="F95" s="921"/>
      <c r="G95" s="922"/>
      <c r="H95" s="922"/>
      <c r="I95" s="922"/>
      <c r="J95" s="923"/>
      <c r="K95" s="923"/>
      <c r="L95" s="924"/>
      <c r="M95" s="925"/>
      <c r="N95" s="925"/>
      <c r="O95" s="925"/>
      <c r="P95" s="925"/>
      <c r="Q95" s="925"/>
      <c r="R95" s="926"/>
      <c r="S95" s="926"/>
      <c r="T95" s="925"/>
      <c r="U95" s="925"/>
      <c r="V95" s="925"/>
      <c r="W95" s="925"/>
      <c r="X95" s="925"/>
      <c r="Y95" s="925"/>
      <c r="Z95" s="925"/>
      <c r="AA95" s="925"/>
      <c r="AB95" s="925"/>
      <c r="AC95" s="925"/>
      <c r="AD95" s="925"/>
      <c r="AE95" s="925"/>
      <c r="AF95" s="925"/>
      <c r="AG95" s="925"/>
      <c r="AH95" s="925"/>
      <c r="AI95" s="925"/>
      <c r="AJ95" s="925"/>
      <c r="AK95" s="925"/>
      <c r="AL95" s="925"/>
      <c r="AM95" s="925"/>
      <c r="AN95" s="925"/>
      <c r="AO95" s="925"/>
      <c r="AP95" s="925"/>
      <c r="AQ95" s="925"/>
      <c r="AR95" s="925"/>
      <c r="AS95" s="925"/>
      <c r="AT95" s="925"/>
      <c r="AU95" s="925"/>
      <c r="AV95" s="925"/>
      <c r="AW95" s="925"/>
      <c r="AX95" s="925"/>
      <c r="AY95" s="925"/>
      <c r="AZ95" s="925"/>
      <c r="BA95" s="925"/>
      <c r="BB95" s="925"/>
      <c r="BC95" s="925"/>
      <c r="BD95" s="925"/>
      <c r="BE95" s="925"/>
      <c r="BF95" s="925"/>
      <c r="BG95" s="925"/>
      <c r="BH95" s="925"/>
      <c r="BI95" s="925"/>
      <c r="BJ95" s="925"/>
      <c r="BK95" s="925"/>
      <c r="BL95" s="925"/>
      <c r="BM95" s="925"/>
      <c r="BN95" s="925"/>
      <c r="BO95" s="925"/>
      <c r="BP95" s="925"/>
      <c r="BQ95" s="925"/>
      <c r="BR95" s="925"/>
      <c r="BS95" s="925"/>
      <c r="BT95" s="925"/>
      <c r="BU95" s="925"/>
      <c r="BV95" s="925"/>
      <c r="BW95" s="925"/>
      <c r="BX95" s="925"/>
      <c r="BY95" s="925"/>
      <c r="BZ95" s="925"/>
      <c r="CA95" s="925"/>
      <c r="CB95" s="925"/>
      <c r="CC95" s="925"/>
      <c r="CD95" s="925"/>
      <c r="CE95" s="925"/>
      <c r="CF95" s="925"/>
      <c r="CG95" s="925"/>
      <c r="CH95" s="925"/>
      <c r="CI95" s="925"/>
      <c r="CJ95" s="925"/>
      <c r="CK95" s="925"/>
      <c r="CL95" s="925"/>
      <c r="CM95" s="925"/>
      <c r="CN95" s="925"/>
      <c r="CO95" s="925"/>
      <c r="CP95" s="925"/>
      <c r="CQ95" s="925"/>
      <c r="CR95" s="925"/>
      <c r="CS95" s="925"/>
      <c r="CT95" s="925"/>
      <c r="CU95" s="925"/>
      <c r="CV95" s="925"/>
      <c r="CW95" s="925"/>
      <c r="CX95" s="925"/>
      <c r="CY95" s="925"/>
      <c r="CZ95" s="925"/>
      <c r="DA95" s="925"/>
      <c r="DB95" s="925"/>
      <c r="DC95" s="925"/>
      <c r="DD95" s="925"/>
      <c r="DE95" s="925"/>
      <c r="DF95" s="925"/>
      <c r="DG95" s="925"/>
      <c r="DH95" s="925"/>
      <c r="DI95" s="925"/>
      <c r="DJ95" s="925"/>
      <c r="DK95" s="925"/>
      <c r="DL95" s="925"/>
      <c r="DM95" s="925"/>
      <c r="DN95" s="925"/>
      <c r="DO95" s="925"/>
      <c r="DP95" s="925"/>
      <c r="DQ95" s="925"/>
      <c r="DR95" s="925"/>
      <c r="DS95" s="925"/>
      <c r="DT95" s="925"/>
      <c r="DU95" s="925"/>
      <c r="DV95" s="925"/>
      <c r="DW95" s="925"/>
      <c r="DX95" s="925"/>
      <c r="DY95" s="925"/>
      <c r="DZ95" s="925"/>
      <c r="EA95" s="925"/>
      <c r="EB95" s="925"/>
      <c r="EC95" s="925"/>
      <c r="ED95" s="925"/>
      <c r="EE95" s="925"/>
      <c r="EF95" s="925"/>
      <c r="EG95" s="446"/>
    </row>
    <row r="96" spans="1:137" ht="13" x14ac:dyDescent="0.15">
      <c r="A96" s="917"/>
      <c r="B96" s="917"/>
      <c r="C96" s="918"/>
      <c r="D96" s="919"/>
      <c r="E96" s="920"/>
      <c r="F96" s="921"/>
      <c r="G96" s="922"/>
      <c r="H96" s="922"/>
      <c r="I96" s="922"/>
      <c r="J96" s="923"/>
      <c r="K96" s="923"/>
      <c r="L96" s="924"/>
      <c r="M96" s="925"/>
      <c r="N96" s="925"/>
      <c r="O96" s="925"/>
      <c r="P96" s="925"/>
      <c r="Q96" s="925"/>
      <c r="R96" s="926"/>
      <c r="S96" s="926"/>
      <c r="T96" s="925"/>
      <c r="U96" s="925"/>
      <c r="V96" s="925"/>
      <c r="W96" s="925"/>
      <c r="X96" s="925"/>
      <c r="Y96" s="925"/>
      <c r="Z96" s="925"/>
      <c r="AA96" s="925"/>
      <c r="AB96" s="925"/>
      <c r="AC96" s="925"/>
      <c r="AD96" s="925"/>
      <c r="AE96" s="925"/>
      <c r="AF96" s="925"/>
      <c r="AG96" s="925"/>
      <c r="AH96" s="925"/>
      <c r="AI96" s="925"/>
      <c r="AJ96" s="925"/>
      <c r="AK96" s="925"/>
      <c r="AL96" s="925"/>
      <c r="AM96" s="925"/>
      <c r="AN96" s="925"/>
      <c r="AO96" s="925"/>
      <c r="AP96" s="925"/>
      <c r="AQ96" s="925"/>
      <c r="AR96" s="925"/>
      <c r="AS96" s="925"/>
      <c r="AT96" s="925"/>
      <c r="AU96" s="925"/>
      <c r="AV96" s="925"/>
      <c r="AW96" s="925"/>
      <c r="AX96" s="925"/>
      <c r="AY96" s="925"/>
      <c r="AZ96" s="925"/>
      <c r="BA96" s="925"/>
      <c r="BB96" s="925"/>
      <c r="BC96" s="925"/>
      <c r="BD96" s="925"/>
      <c r="BE96" s="925"/>
      <c r="BF96" s="925"/>
      <c r="BG96" s="925"/>
      <c r="BH96" s="925"/>
      <c r="BI96" s="925"/>
      <c r="BJ96" s="925"/>
      <c r="BK96" s="925"/>
      <c r="BL96" s="925"/>
      <c r="BM96" s="925"/>
      <c r="BN96" s="925"/>
      <c r="BO96" s="925"/>
      <c r="BP96" s="925"/>
      <c r="BQ96" s="925"/>
      <c r="BR96" s="925"/>
      <c r="BS96" s="925"/>
      <c r="BT96" s="925"/>
      <c r="BU96" s="925"/>
      <c r="BV96" s="925"/>
      <c r="BW96" s="925"/>
      <c r="BX96" s="925"/>
      <c r="BY96" s="925"/>
      <c r="BZ96" s="925"/>
      <c r="CA96" s="925"/>
      <c r="CB96" s="925"/>
      <c r="CC96" s="925"/>
      <c r="CD96" s="925"/>
      <c r="CE96" s="925"/>
      <c r="CF96" s="925"/>
      <c r="CG96" s="925"/>
      <c r="CH96" s="925"/>
      <c r="CI96" s="925"/>
      <c r="CJ96" s="925"/>
      <c r="CK96" s="925"/>
      <c r="CL96" s="925"/>
      <c r="CM96" s="925"/>
      <c r="CN96" s="925"/>
      <c r="CO96" s="925"/>
      <c r="CP96" s="925"/>
      <c r="CQ96" s="925"/>
      <c r="CR96" s="925"/>
      <c r="CS96" s="925"/>
      <c r="CT96" s="925"/>
      <c r="CU96" s="925"/>
      <c r="CV96" s="925"/>
      <c r="CW96" s="925"/>
      <c r="CX96" s="925"/>
      <c r="CY96" s="925"/>
      <c r="CZ96" s="925"/>
      <c r="DA96" s="925"/>
      <c r="DB96" s="925"/>
      <c r="DC96" s="925"/>
      <c r="DD96" s="925"/>
      <c r="DE96" s="925"/>
      <c r="DF96" s="925"/>
      <c r="DG96" s="925"/>
      <c r="DH96" s="925"/>
      <c r="DI96" s="925"/>
      <c r="DJ96" s="925"/>
      <c r="DK96" s="925"/>
      <c r="DL96" s="925"/>
      <c r="DM96" s="925"/>
      <c r="DN96" s="925"/>
      <c r="DO96" s="925"/>
      <c r="DP96" s="925"/>
      <c r="DQ96" s="925"/>
      <c r="DR96" s="925"/>
      <c r="DS96" s="925"/>
      <c r="DT96" s="925"/>
      <c r="DU96" s="925"/>
      <c r="DV96" s="925"/>
      <c r="DW96" s="925"/>
      <c r="DX96" s="925"/>
      <c r="DY96" s="925"/>
      <c r="DZ96" s="925"/>
      <c r="EA96" s="925"/>
      <c r="EB96" s="925"/>
      <c r="EC96" s="925"/>
      <c r="ED96" s="925"/>
      <c r="EE96" s="925"/>
      <c r="EF96" s="925"/>
      <c r="EG96" s="446"/>
    </row>
    <row r="97" spans="1:137" ht="13" x14ac:dyDescent="0.15">
      <c r="A97" s="917"/>
      <c r="B97" s="917"/>
      <c r="C97" s="918"/>
      <c r="D97" s="919"/>
      <c r="E97" s="920"/>
      <c r="F97" s="921"/>
      <c r="G97" s="922"/>
      <c r="H97" s="922"/>
      <c r="I97" s="922"/>
      <c r="J97" s="923"/>
      <c r="K97" s="923"/>
      <c r="L97" s="924"/>
      <c r="M97" s="925"/>
      <c r="N97" s="925"/>
      <c r="O97" s="925"/>
      <c r="P97" s="925"/>
      <c r="Q97" s="925"/>
      <c r="R97" s="926"/>
      <c r="S97" s="926"/>
      <c r="T97" s="925"/>
      <c r="U97" s="925"/>
      <c r="V97" s="925"/>
      <c r="W97" s="925"/>
      <c r="X97" s="925"/>
      <c r="Y97" s="925"/>
      <c r="Z97" s="925"/>
      <c r="AA97" s="925"/>
      <c r="AB97" s="925"/>
      <c r="AC97" s="925"/>
      <c r="AD97" s="925"/>
      <c r="AE97" s="925"/>
      <c r="AF97" s="925"/>
      <c r="AG97" s="925"/>
      <c r="AH97" s="925"/>
      <c r="AI97" s="925"/>
      <c r="AJ97" s="925"/>
      <c r="AK97" s="925"/>
      <c r="AL97" s="925"/>
      <c r="AM97" s="925"/>
      <c r="AN97" s="925"/>
      <c r="AO97" s="925"/>
      <c r="AP97" s="925"/>
      <c r="AQ97" s="925"/>
      <c r="AR97" s="925"/>
      <c r="AS97" s="925"/>
      <c r="AT97" s="925"/>
      <c r="AU97" s="925"/>
      <c r="AV97" s="925"/>
      <c r="AW97" s="925"/>
      <c r="AX97" s="925"/>
      <c r="AY97" s="925"/>
      <c r="AZ97" s="925"/>
      <c r="BA97" s="925"/>
      <c r="BB97" s="925"/>
      <c r="BC97" s="925"/>
      <c r="BD97" s="925"/>
      <c r="BE97" s="925"/>
      <c r="BF97" s="925"/>
      <c r="BG97" s="925"/>
      <c r="BH97" s="925"/>
      <c r="BI97" s="925"/>
      <c r="BJ97" s="925"/>
      <c r="BK97" s="925"/>
      <c r="BL97" s="925"/>
      <c r="BM97" s="925"/>
      <c r="BN97" s="925"/>
      <c r="BO97" s="925"/>
      <c r="BP97" s="925"/>
      <c r="BQ97" s="925"/>
      <c r="BR97" s="925"/>
      <c r="BS97" s="925"/>
      <c r="BT97" s="925"/>
      <c r="BU97" s="925"/>
      <c r="BV97" s="925"/>
      <c r="BW97" s="925"/>
      <c r="BX97" s="925"/>
      <c r="BY97" s="925"/>
      <c r="BZ97" s="925"/>
      <c r="CA97" s="925"/>
      <c r="CB97" s="925"/>
      <c r="CC97" s="925"/>
      <c r="CD97" s="925"/>
      <c r="CE97" s="925"/>
      <c r="CF97" s="925"/>
      <c r="CG97" s="925"/>
      <c r="CH97" s="925"/>
      <c r="CI97" s="925"/>
      <c r="CJ97" s="925"/>
      <c r="CK97" s="925"/>
      <c r="CL97" s="925"/>
      <c r="CM97" s="925"/>
      <c r="CN97" s="925"/>
      <c r="CO97" s="925"/>
      <c r="CP97" s="925"/>
      <c r="CQ97" s="925"/>
      <c r="CR97" s="925"/>
      <c r="CS97" s="925"/>
      <c r="CT97" s="925"/>
      <c r="CU97" s="925"/>
      <c r="CV97" s="925"/>
      <c r="CW97" s="925"/>
      <c r="CX97" s="925"/>
      <c r="CY97" s="925"/>
      <c r="CZ97" s="925"/>
      <c r="DA97" s="925"/>
      <c r="DB97" s="925"/>
      <c r="DC97" s="925"/>
      <c r="DD97" s="925"/>
      <c r="DE97" s="925"/>
      <c r="DF97" s="925"/>
      <c r="DG97" s="925"/>
      <c r="DH97" s="925"/>
      <c r="DI97" s="925"/>
      <c r="DJ97" s="925"/>
      <c r="DK97" s="925"/>
      <c r="DL97" s="925"/>
      <c r="DM97" s="925"/>
      <c r="DN97" s="925"/>
      <c r="DO97" s="925"/>
      <c r="DP97" s="925"/>
      <c r="DQ97" s="925"/>
      <c r="DR97" s="925"/>
      <c r="DS97" s="925"/>
      <c r="DT97" s="925"/>
      <c r="DU97" s="925"/>
      <c r="DV97" s="925"/>
      <c r="DW97" s="925"/>
      <c r="DX97" s="925"/>
      <c r="DY97" s="925"/>
      <c r="DZ97" s="925"/>
      <c r="EA97" s="925"/>
      <c r="EB97" s="925"/>
      <c r="EC97" s="925"/>
      <c r="ED97" s="925"/>
      <c r="EE97" s="925"/>
      <c r="EF97" s="925"/>
      <c r="EG97" s="446"/>
    </row>
    <row r="98" spans="1:137" ht="13" x14ac:dyDescent="0.15">
      <c r="A98" s="917"/>
      <c r="B98" s="917"/>
      <c r="C98" s="918"/>
      <c r="D98" s="919"/>
      <c r="E98" s="920"/>
      <c r="F98" s="921"/>
      <c r="G98" s="922"/>
      <c r="H98" s="922"/>
      <c r="I98" s="922"/>
      <c r="J98" s="923"/>
      <c r="K98" s="923"/>
      <c r="L98" s="924"/>
      <c r="M98" s="925"/>
      <c r="N98" s="925"/>
      <c r="O98" s="925"/>
      <c r="P98" s="925"/>
      <c r="Q98" s="925"/>
      <c r="R98" s="926"/>
      <c r="S98" s="926"/>
      <c r="T98" s="925"/>
      <c r="U98" s="925"/>
      <c r="V98" s="925"/>
      <c r="W98" s="925"/>
      <c r="X98" s="925"/>
      <c r="Y98" s="925"/>
      <c r="Z98" s="925"/>
      <c r="AA98" s="925"/>
      <c r="AB98" s="925"/>
      <c r="AC98" s="925"/>
      <c r="AD98" s="925"/>
      <c r="AE98" s="925"/>
      <c r="AF98" s="925"/>
      <c r="AG98" s="925"/>
      <c r="AH98" s="925"/>
      <c r="AI98" s="925"/>
      <c r="AJ98" s="925"/>
      <c r="AK98" s="925"/>
      <c r="AL98" s="925"/>
      <c r="AM98" s="925"/>
      <c r="AN98" s="925"/>
      <c r="AO98" s="925"/>
      <c r="AP98" s="925"/>
      <c r="AQ98" s="925"/>
      <c r="AR98" s="925"/>
      <c r="AS98" s="925"/>
      <c r="AT98" s="925"/>
      <c r="AU98" s="925"/>
      <c r="AV98" s="925"/>
      <c r="AW98" s="925"/>
      <c r="AX98" s="925"/>
      <c r="AY98" s="925"/>
      <c r="AZ98" s="925"/>
      <c r="BA98" s="925"/>
      <c r="BB98" s="925"/>
      <c r="BC98" s="925"/>
      <c r="BD98" s="925"/>
      <c r="BE98" s="925"/>
      <c r="BF98" s="925"/>
      <c r="BG98" s="925"/>
      <c r="BH98" s="925"/>
      <c r="BI98" s="925"/>
      <c r="BJ98" s="925"/>
      <c r="BK98" s="925"/>
      <c r="BL98" s="925"/>
      <c r="BM98" s="925"/>
      <c r="BN98" s="925"/>
      <c r="BO98" s="925"/>
      <c r="BP98" s="925"/>
      <c r="BQ98" s="925"/>
      <c r="BR98" s="925"/>
      <c r="BS98" s="925"/>
      <c r="BT98" s="925"/>
      <c r="BU98" s="925"/>
      <c r="BV98" s="925"/>
      <c r="BW98" s="925"/>
      <c r="BX98" s="925"/>
      <c r="BY98" s="925"/>
      <c r="BZ98" s="925"/>
      <c r="CA98" s="925"/>
      <c r="CB98" s="925"/>
      <c r="CC98" s="925"/>
      <c r="CD98" s="925"/>
      <c r="CE98" s="925"/>
      <c r="CF98" s="925"/>
      <c r="CG98" s="925"/>
      <c r="CH98" s="925"/>
      <c r="CI98" s="925"/>
      <c r="CJ98" s="925"/>
      <c r="CK98" s="925"/>
      <c r="CL98" s="925"/>
      <c r="CM98" s="925"/>
      <c r="CN98" s="925"/>
      <c r="CO98" s="925"/>
      <c r="CP98" s="925"/>
      <c r="CQ98" s="925"/>
      <c r="CR98" s="925"/>
      <c r="CS98" s="925"/>
      <c r="CT98" s="925"/>
      <c r="CU98" s="925"/>
      <c r="CV98" s="925"/>
      <c r="CW98" s="925"/>
      <c r="CX98" s="925"/>
      <c r="CY98" s="925"/>
      <c r="CZ98" s="925"/>
      <c r="DA98" s="925"/>
      <c r="DB98" s="925"/>
      <c r="DC98" s="925"/>
      <c r="DD98" s="925"/>
      <c r="DE98" s="925"/>
      <c r="DF98" s="925"/>
      <c r="DG98" s="925"/>
      <c r="DH98" s="925"/>
      <c r="DI98" s="925"/>
      <c r="DJ98" s="925"/>
      <c r="DK98" s="925"/>
      <c r="DL98" s="925"/>
      <c r="DM98" s="925"/>
      <c r="DN98" s="925"/>
      <c r="DO98" s="925"/>
      <c r="DP98" s="925"/>
      <c r="DQ98" s="925"/>
      <c r="DR98" s="925"/>
      <c r="DS98" s="925"/>
      <c r="DT98" s="925"/>
      <c r="DU98" s="925"/>
      <c r="DV98" s="925"/>
      <c r="DW98" s="925"/>
      <c r="DX98" s="925"/>
      <c r="DY98" s="925"/>
      <c r="DZ98" s="925"/>
      <c r="EA98" s="925"/>
      <c r="EB98" s="925"/>
      <c r="EC98" s="925"/>
      <c r="ED98" s="925"/>
      <c r="EE98" s="925"/>
      <c r="EF98" s="925"/>
      <c r="EG98" s="446"/>
    </row>
    <row r="99" spans="1:137" ht="13" x14ac:dyDescent="0.15">
      <c r="A99" s="917"/>
      <c r="B99" s="917"/>
      <c r="C99" s="918"/>
      <c r="D99" s="919"/>
      <c r="E99" s="920"/>
      <c r="F99" s="921"/>
      <c r="G99" s="922"/>
      <c r="H99" s="922"/>
      <c r="I99" s="922"/>
      <c r="J99" s="923"/>
      <c r="K99" s="923"/>
      <c r="L99" s="924"/>
      <c r="M99" s="925"/>
      <c r="N99" s="925"/>
      <c r="O99" s="925"/>
      <c r="P99" s="925"/>
      <c r="Q99" s="925"/>
      <c r="R99" s="926"/>
      <c r="S99" s="926"/>
      <c r="T99" s="925"/>
      <c r="U99" s="925"/>
      <c r="V99" s="925"/>
      <c r="W99" s="925"/>
      <c r="X99" s="925"/>
      <c r="Y99" s="925"/>
      <c r="Z99" s="925"/>
      <c r="AA99" s="925"/>
      <c r="AB99" s="925"/>
      <c r="AC99" s="925"/>
      <c r="AD99" s="925"/>
      <c r="AE99" s="925"/>
      <c r="AF99" s="925"/>
      <c r="AG99" s="925"/>
      <c r="AH99" s="925"/>
      <c r="AI99" s="925"/>
      <c r="AJ99" s="925"/>
      <c r="AK99" s="925"/>
      <c r="AL99" s="925"/>
      <c r="AM99" s="925"/>
      <c r="AN99" s="925"/>
      <c r="AO99" s="925"/>
      <c r="AP99" s="925"/>
      <c r="AQ99" s="925"/>
      <c r="AR99" s="925"/>
      <c r="AS99" s="925"/>
      <c r="AT99" s="925"/>
      <c r="AU99" s="925"/>
      <c r="AV99" s="925"/>
      <c r="AW99" s="925"/>
      <c r="AX99" s="925"/>
      <c r="AY99" s="925"/>
      <c r="AZ99" s="925"/>
      <c r="BA99" s="925"/>
      <c r="BB99" s="925"/>
      <c r="BC99" s="925"/>
      <c r="BD99" s="925"/>
      <c r="BE99" s="925"/>
      <c r="BF99" s="925"/>
      <c r="BG99" s="925"/>
      <c r="BH99" s="925"/>
      <c r="BI99" s="925"/>
      <c r="BJ99" s="925"/>
      <c r="BK99" s="925"/>
      <c r="BL99" s="925"/>
      <c r="BM99" s="925"/>
      <c r="BN99" s="925"/>
      <c r="BO99" s="925"/>
      <c r="BP99" s="925"/>
      <c r="BQ99" s="925"/>
      <c r="BR99" s="925"/>
      <c r="BS99" s="925"/>
      <c r="BT99" s="925"/>
      <c r="BU99" s="925"/>
      <c r="BV99" s="925"/>
      <c r="BW99" s="925"/>
      <c r="BX99" s="925"/>
      <c r="BY99" s="925"/>
      <c r="BZ99" s="925"/>
      <c r="CA99" s="925"/>
      <c r="CB99" s="925"/>
      <c r="CC99" s="925"/>
      <c r="CD99" s="925"/>
      <c r="CE99" s="925"/>
      <c r="CF99" s="925"/>
      <c r="CG99" s="925"/>
      <c r="CH99" s="925"/>
      <c r="CI99" s="925"/>
      <c r="CJ99" s="925"/>
      <c r="CK99" s="925"/>
      <c r="CL99" s="925"/>
      <c r="CM99" s="925"/>
      <c r="CN99" s="925"/>
      <c r="CO99" s="925"/>
      <c r="CP99" s="925"/>
      <c r="CQ99" s="925"/>
      <c r="CR99" s="925"/>
      <c r="CS99" s="925"/>
      <c r="CT99" s="925"/>
      <c r="CU99" s="925"/>
      <c r="CV99" s="925"/>
      <c r="CW99" s="925"/>
      <c r="CX99" s="925"/>
      <c r="CY99" s="925"/>
      <c r="CZ99" s="925"/>
      <c r="DA99" s="925"/>
      <c r="DB99" s="925"/>
      <c r="DC99" s="925"/>
      <c r="DD99" s="925"/>
      <c r="DE99" s="925"/>
      <c r="DF99" s="925"/>
      <c r="DG99" s="925"/>
      <c r="DH99" s="925"/>
      <c r="DI99" s="925"/>
      <c r="DJ99" s="925"/>
      <c r="DK99" s="925"/>
      <c r="DL99" s="925"/>
      <c r="DM99" s="925"/>
      <c r="DN99" s="925"/>
      <c r="DO99" s="925"/>
      <c r="DP99" s="925"/>
      <c r="DQ99" s="925"/>
      <c r="DR99" s="925"/>
      <c r="DS99" s="925"/>
      <c r="DT99" s="925"/>
      <c r="DU99" s="925"/>
      <c r="DV99" s="925"/>
      <c r="DW99" s="925"/>
      <c r="DX99" s="925"/>
      <c r="DY99" s="925"/>
      <c r="DZ99" s="925"/>
      <c r="EA99" s="925"/>
      <c r="EB99" s="925"/>
      <c r="EC99" s="925"/>
      <c r="ED99" s="925"/>
      <c r="EE99" s="925"/>
      <c r="EF99" s="925"/>
      <c r="EG99" s="446"/>
    </row>
    <row r="100" spans="1:137" ht="13" x14ac:dyDescent="0.15">
      <c r="A100" s="917"/>
      <c r="B100" s="917"/>
      <c r="C100" s="918"/>
      <c r="D100" s="919"/>
      <c r="E100" s="920"/>
      <c r="F100" s="921"/>
      <c r="G100" s="922"/>
      <c r="H100" s="922"/>
      <c r="I100" s="922"/>
      <c r="J100" s="923"/>
      <c r="K100" s="923"/>
      <c r="L100" s="924"/>
      <c r="M100" s="925"/>
      <c r="N100" s="925"/>
      <c r="O100" s="925"/>
      <c r="P100" s="925"/>
      <c r="Q100" s="925"/>
      <c r="R100" s="926"/>
      <c r="S100" s="926"/>
      <c r="T100" s="925"/>
      <c r="U100" s="925"/>
      <c r="V100" s="925"/>
      <c r="W100" s="925"/>
      <c r="X100" s="925"/>
      <c r="Y100" s="925"/>
      <c r="Z100" s="925"/>
      <c r="AA100" s="925"/>
      <c r="AB100" s="925"/>
      <c r="AC100" s="925"/>
      <c r="AD100" s="925"/>
      <c r="AE100" s="925"/>
      <c r="AF100" s="925"/>
      <c r="AG100" s="925"/>
      <c r="AH100" s="925"/>
      <c r="AI100" s="925"/>
      <c r="AJ100" s="925"/>
      <c r="AK100" s="925"/>
      <c r="AL100" s="925"/>
      <c r="AM100" s="925"/>
      <c r="AN100" s="925"/>
      <c r="AO100" s="925"/>
      <c r="AP100" s="925"/>
      <c r="AQ100" s="925"/>
      <c r="AR100" s="925"/>
      <c r="AS100" s="925"/>
      <c r="AT100" s="925"/>
      <c r="AU100" s="925"/>
      <c r="AV100" s="925"/>
      <c r="AW100" s="925"/>
      <c r="AX100" s="925"/>
      <c r="AY100" s="925"/>
      <c r="AZ100" s="925"/>
      <c r="BA100" s="925"/>
      <c r="BB100" s="925"/>
      <c r="BC100" s="925"/>
      <c r="BD100" s="925"/>
      <c r="BE100" s="925"/>
      <c r="BF100" s="925"/>
      <c r="BG100" s="925"/>
      <c r="BH100" s="925"/>
      <c r="BI100" s="925"/>
      <c r="BJ100" s="925"/>
      <c r="BK100" s="925"/>
      <c r="BL100" s="925"/>
      <c r="BM100" s="925"/>
      <c r="BN100" s="925"/>
      <c r="BO100" s="925"/>
      <c r="BP100" s="925"/>
      <c r="BQ100" s="925"/>
      <c r="BR100" s="925"/>
      <c r="BS100" s="925"/>
      <c r="BT100" s="925"/>
      <c r="BU100" s="925"/>
      <c r="BV100" s="925"/>
      <c r="BW100" s="925"/>
      <c r="BX100" s="925"/>
      <c r="BY100" s="925"/>
      <c r="BZ100" s="925"/>
      <c r="CA100" s="925"/>
      <c r="CB100" s="925"/>
      <c r="CC100" s="925"/>
      <c r="CD100" s="925"/>
      <c r="CE100" s="925"/>
      <c r="CF100" s="925"/>
      <c r="CG100" s="925"/>
      <c r="CH100" s="925"/>
      <c r="CI100" s="925"/>
      <c r="CJ100" s="925"/>
      <c r="CK100" s="925"/>
      <c r="CL100" s="925"/>
      <c r="CM100" s="925"/>
      <c r="CN100" s="925"/>
      <c r="CO100" s="925"/>
      <c r="CP100" s="925"/>
      <c r="CQ100" s="925"/>
      <c r="CR100" s="925"/>
      <c r="CS100" s="925"/>
      <c r="CT100" s="925"/>
      <c r="CU100" s="925"/>
      <c r="CV100" s="925"/>
      <c r="CW100" s="925"/>
      <c r="CX100" s="925"/>
      <c r="CY100" s="925"/>
      <c r="CZ100" s="925"/>
      <c r="DA100" s="925"/>
      <c r="DB100" s="925"/>
      <c r="DC100" s="925"/>
      <c r="DD100" s="925"/>
      <c r="DE100" s="925"/>
      <c r="DF100" s="925"/>
      <c r="DG100" s="925"/>
      <c r="DH100" s="925"/>
      <c r="DI100" s="925"/>
      <c r="DJ100" s="925"/>
      <c r="DK100" s="925"/>
      <c r="DL100" s="925"/>
      <c r="DM100" s="925"/>
      <c r="DN100" s="925"/>
      <c r="DO100" s="925"/>
      <c r="DP100" s="925"/>
      <c r="DQ100" s="925"/>
      <c r="DR100" s="925"/>
      <c r="DS100" s="925"/>
      <c r="DT100" s="925"/>
      <c r="DU100" s="925"/>
      <c r="DV100" s="925"/>
      <c r="DW100" s="925"/>
      <c r="DX100" s="925"/>
      <c r="DY100" s="925"/>
      <c r="DZ100" s="925"/>
      <c r="EA100" s="925"/>
      <c r="EB100" s="925"/>
      <c r="EC100" s="925"/>
      <c r="ED100" s="925"/>
      <c r="EE100" s="925"/>
      <c r="EF100" s="925"/>
      <c r="EG100" s="446"/>
    </row>
    <row r="101" spans="1:137" ht="13" x14ac:dyDescent="0.15">
      <c r="A101" s="917"/>
      <c r="B101" s="917"/>
      <c r="C101" s="918"/>
      <c r="D101" s="919"/>
      <c r="E101" s="920"/>
      <c r="F101" s="921"/>
      <c r="G101" s="922"/>
      <c r="H101" s="922"/>
      <c r="I101" s="922"/>
      <c r="J101" s="923"/>
      <c r="K101" s="923"/>
      <c r="L101" s="924"/>
      <c r="M101" s="925"/>
      <c r="N101" s="925"/>
      <c r="O101" s="925"/>
      <c r="P101" s="925"/>
      <c r="Q101" s="925"/>
      <c r="R101" s="926"/>
      <c r="S101" s="926"/>
      <c r="T101" s="925"/>
      <c r="U101" s="925"/>
      <c r="V101" s="925"/>
      <c r="W101" s="925"/>
      <c r="X101" s="925"/>
      <c r="Y101" s="925"/>
      <c r="Z101" s="925"/>
      <c r="AA101" s="925"/>
      <c r="AB101" s="925"/>
      <c r="AC101" s="925"/>
      <c r="AD101" s="925"/>
      <c r="AE101" s="925"/>
      <c r="AF101" s="925"/>
      <c r="AG101" s="925"/>
      <c r="AH101" s="925"/>
      <c r="AI101" s="925"/>
      <c r="AJ101" s="925"/>
      <c r="AK101" s="925"/>
      <c r="AL101" s="925"/>
      <c r="AM101" s="925"/>
      <c r="AN101" s="925"/>
      <c r="AO101" s="925"/>
      <c r="AP101" s="925"/>
      <c r="AQ101" s="925"/>
      <c r="AR101" s="925"/>
      <c r="AS101" s="925"/>
      <c r="AT101" s="925"/>
      <c r="AU101" s="925"/>
      <c r="AV101" s="925"/>
      <c r="AW101" s="925"/>
      <c r="AX101" s="925"/>
      <c r="AY101" s="925"/>
      <c r="AZ101" s="925"/>
      <c r="BA101" s="925"/>
      <c r="BB101" s="925"/>
      <c r="BC101" s="925"/>
      <c r="BD101" s="925"/>
      <c r="BE101" s="925"/>
      <c r="BF101" s="925"/>
      <c r="BG101" s="925"/>
      <c r="BH101" s="925"/>
      <c r="BI101" s="925"/>
      <c r="BJ101" s="925"/>
      <c r="BK101" s="925"/>
      <c r="BL101" s="925"/>
      <c r="BM101" s="925"/>
      <c r="BN101" s="925"/>
      <c r="BO101" s="925"/>
      <c r="BP101" s="925"/>
      <c r="BQ101" s="925"/>
      <c r="BR101" s="925"/>
      <c r="BS101" s="925"/>
      <c r="BT101" s="925"/>
      <c r="BU101" s="925"/>
      <c r="BV101" s="925"/>
      <c r="BW101" s="925"/>
      <c r="BX101" s="925"/>
      <c r="BY101" s="925"/>
      <c r="BZ101" s="925"/>
      <c r="CA101" s="925"/>
      <c r="CB101" s="925"/>
      <c r="CC101" s="925"/>
      <c r="CD101" s="925"/>
      <c r="CE101" s="925"/>
      <c r="CF101" s="925"/>
      <c r="CG101" s="925"/>
      <c r="CH101" s="925"/>
      <c r="CI101" s="925"/>
      <c r="CJ101" s="925"/>
      <c r="CK101" s="925"/>
      <c r="CL101" s="925"/>
      <c r="CM101" s="925"/>
      <c r="CN101" s="925"/>
      <c r="CO101" s="925"/>
      <c r="CP101" s="925"/>
      <c r="CQ101" s="925"/>
      <c r="CR101" s="925"/>
      <c r="CS101" s="925"/>
      <c r="CT101" s="925"/>
      <c r="CU101" s="925"/>
      <c r="CV101" s="925"/>
      <c r="CW101" s="925"/>
      <c r="CX101" s="925"/>
      <c r="CY101" s="925"/>
      <c r="CZ101" s="925"/>
      <c r="DA101" s="925"/>
      <c r="DB101" s="925"/>
      <c r="DC101" s="925"/>
      <c r="DD101" s="925"/>
      <c r="DE101" s="925"/>
      <c r="DF101" s="925"/>
      <c r="DG101" s="925"/>
      <c r="DH101" s="925"/>
      <c r="DI101" s="925"/>
      <c r="DJ101" s="925"/>
      <c r="DK101" s="925"/>
      <c r="DL101" s="925"/>
      <c r="DM101" s="925"/>
      <c r="DN101" s="925"/>
      <c r="DO101" s="925"/>
      <c r="DP101" s="925"/>
      <c r="DQ101" s="925"/>
      <c r="DR101" s="925"/>
      <c r="DS101" s="925"/>
      <c r="DT101" s="925"/>
      <c r="DU101" s="925"/>
      <c r="DV101" s="925"/>
      <c r="DW101" s="925"/>
      <c r="DX101" s="925"/>
      <c r="DY101" s="925"/>
      <c r="DZ101" s="925"/>
      <c r="EA101" s="925"/>
      <c r="EB101" s="925"/>
      <c r="EC101" s="925"/>
      <c r="ED101" s="925"/>
      <c r="EE101" s="925"/>
      <c r="EF101" s="925"/>
      <c r="EG101" s="446"/>
    </row>
    <row r="102" spans="1:137" ht="13" x14ac:dyDescent="0.15">
      <c r="A102" s="917"/>
      <c r="B102" s="917"/>
      <c r="C102" s="918"/>
      <c r="D102" s="919"/>
      <c r="E102" s="920"/>
      <c r="F102" s="921"/>
      <c r="G102" s="922"/>
      <c r="H102" s="922"/>
      <c r="I102" s="922"/>
      <c r="J102" s="923"/>
      <c r="K102" s="923"/>
      <c r="L102" s="924"/>
      <c r="M102" s="925"/>
      <c r="N102" s="925"/>
      <c r="O102" s="925"/>
      <c r="P102" s="925"/>
      <c r="Q102" s="925"/>
      <c r="R102" s="926"/>
      <c r="S102" s="926"/>
      <c r="T102" s="925"/>
      <c r="U102" s="925"/>
      <c r="V102" s="925"/>
      <c r="W102" s="925"/>
      <c r="X102" s="925"/>
      <c r="Y102" s="925"/>
      <c r="Z102" s="925"/>
      <c r="AA102" s="925"/>
      <c r="AB102" s="925"/>
      <c r="AC102" s="925"/>
      <c r="AD102" s="925"/>
      <c r="AE102" s="925"/>
      <c r="AF102" s="925"/>
      <c r="AG102" s="925"/>
      <c r="AH102" s="925"/>
      <c r="AI102" s="925"/>
      <c r="AJ102" s="925"/>
      <c r="AK102" s="925"/>
      <c r="AL102" s="925"/>
      <c r="AM102" s="925"/>
      <c r="AN102" s="925"/>
      <c r="AO102" s="925"/>
      <c r="AP102" s="925"/>
      <c r="AQ102" s="925"/>
      <c r="AR102" s="925"/>
      <c r="AS102" s="925"/>
      <c r="AT102" s="925"/>
      <c r="AU102" s="925"/>
      <c r="AV102" s="925"/>
      <c r="AW102" s="925"/>
      <c r="AX102" s="925"/>
      <c r="AY102" s="925"/>
      <c r="AZ102" s="925"/>
      <c r="BA102" s="925"/>
      <c r="BB102" s="925"/>
      <c r="BC102" s="925"/>
      <c r="BD102" s="925"/>
      <c r="BE102" s="925"/>
      <c r="BF102" s="925"/>
      <c r="BG102" s="925"/>
      <c r="BH102" s="925"/>
      <c r="BI102" s="925"/>
      <c r="BJ102" s="925"/>
      <c r="BK102" s="925"/>
      <c r="BL102" s="925"/>
      <c r="BM102" s="925"/>
      <c r="BN102" s="925"/>
      <c r="BO102" s="925"/>
      <c r="BP102" s="925"/>
      <c r="BQ102" s="925"/>
      <c r="BR102" s="925"/>
      <c r="BS102" s="925"/>
      <c r="BT102" s="925"/>
      <c r="BU102" s="925"/>
      <c r="BV102" s="925"/>
      <c r="BW102" s="925"/>
      <c r="BX102" s="925"/>
      <c r="BY102" s="925"/>
      <c r="BZ102" s="925"/>
      <c r="CA102" s="925"/>
      <c r="CB102" s="925"/>
      <c r="CC102" s="925"/>
      <c r="CD102" s="925"/>
      <c r="CE102" s="925"/>
      <c r="CF102" s="925"/>
      <c r="CG102" s="925"/>
      <c r="CH102" s="925"/>
      <c r="CI102" s="925"/>
      <c r="CJ102" s="925"/>
      <c r="CK102" s="925"/>
      <c r="CL102" s="925"/>
      <c r="CM102" s="925"/>
      <c r="CN102" s="925"/>
      <c r="CO102" s="925"/>
      <c r="CP102" s="925"/>
      <c r="CQ102" s="925"/>
      <c r="CR102" s="925"/>
      <c r="CS102" s="925"/>
      <c r="CT102" s="925"/>
      <c r="CU102" s="925"/>
      <c r="CV102" s="925"/>
      <c r="CW102" s="925"/>
      <c r="CX102" s="925"/>
      <c r="CY102" s="925"/>
      <c r="CZ102" s="925"/>
      <c r="DA102" s="925"/>
      <c r="DB102" s="925"/>
      <c r="DC102" s="925"/>
      <c r="DD102" s="925"/>
      <c r="DE102" s="925"/>
      <c r="DF102" s="925"/>
      <c r="DG102" s="925"/>
      <c r="DH102" s="925"/>
      <c r="DI102" s="925"/>
      <c r="DJ102" s="925"/>
      <c r="DK102" s="925"/>
      <c r="DL102" s="925"/>
      <c r="DM102" s="925"/>
      <c r="DN102" s="925"/>
      <c r="DO102" s="925"/>
      <c r="DP102" s="925"/>
      <c r="DQ102" s="925"/>
      <c r="DR102" s="925"/>
      <c r="DS102" s="925"/>
      <c r="DT102" s="925"/>
      <c r="DU102" s="925"/>
      <c r="DV102" s="925"/>
      <c r="DW102" s="925"/>
      <c r="DX102" s="925"/>
      <c r="DY102" s="925"/>
      <c r="DZ102" s="925"/>
      <c r="EA102" s="925"/>
      <c r="EB102" s="925"/>
      <c r="EC102" s="925"/>
      <c r="ED102" s="925"/>
      <c r="EE102" s="925"/>
      <c r="EF102" s="925"/>
      <c r="EG102" s="446"/>
    </row>
    <row r="103" spans="1:137" ht="13" x14ac:dyDescent="0.15">
      <c r="A103" s="917"/>
      <c r="B103" s="917"/>
      <c r="C103" s="918"/>
      <c r="D103" s="919"/>
      <c r="E103" s="920"/>
      <c r="F103" s="921"/>
      <c r="G103" s="922"/>
      <c r="H103" s="922"/>
      <c r="I103" s="922"/>
      <c r="J103" s="923"/>
      <c r="K103" s="923"/>
      <c r="L103" s="924"/>
      <c r="M103" s="925"/>
      <c r="N103" s="925"/>
      <c r="O103" s="925"/>
      <c r="P103" s="925"/>
      <c r="Q103" s="925"/>
      <c r="R103" s="926"/>
      <c r="S103" s="926"/>
      <c r="T103" s="925"/>
      <c r="U103" s="925"/>
      <c r="V103" s="925"/>
      <c r="W103" s="925"/>
      <c r="X103" s="925"/>
      <c r="Y103" s="925"/>
      <c r="Z103" s="925"/>
      <c r="AA103" s="925"/>
      <c r="AB103" s="925"/>
      <c r="AC103" s="925"/>
      <c r="AD103" s="925"/>
      <c r="AE103" s="925"/>
      <c r="AF103" s="925"/>
      <c r="AG103" s="925"/>
      <c r="AH103" s="925"/>
      <c r="AI103" s="925"/>
      <c r="AJ103" s="925"/>
      <c r="AK103" s="925"/>
      <c r="AL103" s="925"/>
      <c r="AM103" s="925"/>
      <c r="AN103" s="925"/>
      <c r="AO103" s="925"/>
      <c r="AP103" s="925"/>
      <c r="AQ103" s="925"/>
      <c r="AR103" s="925"/>
      <c r="AS103" s="925"/>
      <c r="AT103" s="925"/>
      <c r="AU103" s="925"/>
      <c r="AV103" s="925"/>
      <c r="AW103" s="925"/>
      <c r="AX103" s="925"/>
      <c r="AY103" s="925"/>
      <c r="AZ103" s="925"/>
      <c r="BA103" s="925"/>
      <c r="BB103" s="925"/>
      <c r="BC103" s="925"/>
      <c r="BD103" s="925"/>
      <c r="BE103" s="925"/>
      <c r="BF103" s="925"/>
      <c r="BG103" s="925"/>
      <c r="BH103" s="925"/>
      <c r="BI103" s="925"/>
      <c r="BJ103" s="925"/>
      <c r="BK103" s="925"/>
      <c r="BL103" s="925"/>
      <c r="BM103" s="925"/>
      <c r="BN103" s="925"/>
      <c r="BO103" s="925"/>
      <c r="BP103" s="925"/>
      <c r="BQ103" s="925"/>
      <c r="BR103" s="925"/>
      <c r="BS103" s="925"/>
      <c r="BT103" s="925"/>
      <c r="BU103" s="925"/>
      <c r="BV103" s="925"/>
      <c r="BW103" s="925"/>
      <c r="BX103" s="925"/>
      <c r="BY103" s="925"/>
      <c r="BZ103" s="925"/>
      <c r="CA103" s="925"/>
      <c r="CB103" s="925"/>
      <c r="CC103" s="925"/>
      <c r="CD103" s="925"/>
      <c r="CE103" s="925"/>
      <c r="CF103" s="925"/>
      <c r="CG103" s="925"/>
      <c r="CH103" s="925"/>
      <c r="CI103" s="925"/>
      <c r="CJ103" s="925"/>
      <c r="CK103" s="925"/>
      <c r="CL103" s="925"/>
      <c r="CM103" s="925"/>
      <c r="CN103" s="925"/>
      <c r="CO103" s="925"/>
      <c r="CP103" s="925"/>
      <c r="CQ103" s="925"/>
      <c r="CR103" s="925"/>
      <c r="CS103" s="925"/>
      <c r="CT103" s="925"/>
      <c r="CU103" s="925"/>
      <c r="CV103" s="925"/>
      <c r="CW103" s="925"/>
      <c r="CX103" s="925"/>
      <c r="CY103" s="925"/>
      <c r="CZ103" s="925"/>
      <c r="DA103" s="925"/>
      <c r="DB103" s="925"/>
      <c r="DC103" s="925"/>
      <c r="DD103" s="925"/>
      <c r="DE103" s="925"/>
      <c r="DF103" s="925"/>
      <c r="DG103" s="925"/>
      <c r="DH103" s="925"/>
      <c r="DI103" s="925"/>
      <c r="DJ103" s="925"/>
      <c r="DK103" s="925"/>
      <c r="DL103" s="925"/>
      <c r="DM103" s="925"/>
      <c r="DN103" s="925"/>
      <c r="DO103" s="925"/>
      <c r="DP103" s="925"/>
      <c r="DQ103" s="925"/>
      <c r="DR103" s="925"/>
      <c r="DS103" s="925"/>
      <c r="DT103" s="925"/>
      <c r="DU103" s="925"/>
      <c r="DV103" s="925"/>
      <c r="DW103" s="925"/>
      <c r="DX103" s="925"/>
      <c r="DY103" s="925"/>
      <c r="DZ103" s="925"/>
      <c r="EA103" s="925"/>
      <c r="EB103" s="925"/>
      <c r="EC103" s="925"/>
      <c r="ED103" s="925"/>
      <c r="EE103" s="925"/>
      <c r="EF103" s="925"/>
      <c r="EG103" s="446"/>
    </row>
    <row r="104" spans="1:137" ht="13" x14ac:dyDescent="0.15">
      <c r="A104" s="917"/>
      <c r="B104" s="917"/>
      <c r="C104" s="918"/>
      <c r="D104" s="919"/>
      <c r="E104" s="920"/>
      <c r="F104" s="921"/>
      <c r="G104" s="922"/>
      <c r="H104" s="922"/>
      <c r="I104" s="922"/>
      <c r="J104" s="923"/>
      <c r="K104" s="923"/>
      <c r="L104" s="924"/>
      <c r="M104" s="925"/>
      <c r="N104" s="925"/>
      <c r="O104" s="925"/>
      <c r="P104" s="925"/>
      <c r="Q104" s="925"/>
      <c r="R104" s="926"/>
      <c r="S104" s="926"/>
      <c r="T104" s="925"/>
      <c r="U104" s="925"/>
      <c r="V104" s="925"/>
      <c r="W104" s="925"/>
      <c r="X104" s="925"/>
      <c r="Y104" s="925"/>
      <c r="Z104" s="925"/>
      <c r="AA104" s="925"/>
      <c r="AB104" s="925"/>
      <c r="AC104" s="925"/>
      <c r="AD104" s="925"/>
      <c r="AE104" s="925"/>
      <c r="AF104" s="925"/>
      <c r="AG104" s="925"/>
      <c r="AH104" s="925"/>
      <c r="AI104" s="925"/>
      <c r="AJ104" s="925"/>
      <c r="AK104" s="925"/>
      <c r="AL104" s="925"/>
      <c r="AM104" s="925"/>
      <c r="AN104" s="925"/>
      <c r="AO104" s="925"/>
      <c r="AP104" s="925"/>
      <c r="AQ104" s="925"/>
      <c r="AR104" s="925"/>
      <c r="AS104" s="925"/>
      <c r="AT104" s="925"/>
      <c r="AU104" s="925"/>
      <c r="AV104" s="925"/>
      <c r="AW104" s="925"/>
      <c r="AX104" s="925"/>
      <c r="AY104" s="925"/>
      <c r="AZ104" s="925"/>
      <c r="BA104" s="925"/>
      <c r="BB104" s="925"/>
      <c r="BC104" s="925"/>
      <c r="BD104" s="925"/>
      <c r="BE104" s="925"/>
      <c r="BF104" s="925"/>
      <c r="BG104" s="925"/>
      <c r="BH104" s="925"/>
      <c r="BI104" s="925"/>
      <c r="BJ104" s="925"/>
      <c r="BK104" s="925"/>
      <c r="BL104" s="925"/>
      <c r="BM104" s="925"/>
      <c r="BN104" s="925"/>
      <c r="BO104" s="925"/>
      <c r="BP104" s="925"/>
      <c r="BQ104" s="925"/>
      <c r="BR104" s="925"/>
      <c r="BS104" s="925"/>
      <c r="BT104" s="925"/>
      <c r="BU104" s="925"/>
      <c r="BV104" s="925"/>
      <c r="BW104" s="925"/>
      <c r="BX104" s="925"/>
      <c r="BY104" s="925"/>
      <c r="BZ104" s="925"/>
      <c r="CA104" s="925"/>
      <c r="CB104" s="925"/>
      <c r="CC104" s="925"/>
      <c r="CD104" s="925"/>
      <c r="CE104" s="925"/>
      <c r="CF104" s="925"/>
      <c r="CG104" s="925"/>
      <c r="CH104" s="925"/>
      <c r="CI104" s="925"/>
      <c r="CJ104" s="925"/>
      <c r="CK104" s="925"/>
      <c r="CL104" s="925"/>
      <c r="CM104" s="925"/>
      <c r="CN104" s="925"/>
      <c r="CO104" s="925"/>
      <c r="CP104" s="925"/>
      <c r="CQ104" s="925"/>
      <c r="CR104" s="925"/>
      <c r="CS104" s="925"/>
      <c r="CT104" s="925"/>
      <c r="CU104" s="925"/>
      <c r="CV104" s="925"/>
      <c r="CW104" s="925"/>
      <c r="CX104" s="925"/>
      <c r="CY104" s="925"/>
      <c r="CZ104" s="925"/>
      <c r="DA104" s="925"/>
      <c r="DB104" s="925"/>
      <c r="DC104" s="925"/>
      <c r="DD104" s="925"/>
      <c r="DE104" s="925"/>
      <c r="DF104" s="925"/>
      <c r="DG104" s="925"/>
      <c r="DH104" s="925"/>
      <c r="DI104" s="925"/>
      <c r="DJ104" s="925"/>
      <c r="DK104" s="925"/>
      <c r="DL104" s="925"/>
      <c r="DM104" s="925"/>
      <c r="DN104" s="925"/>
      <c r="DO104" s="925"/>
      <c r="DP104" s="925"/>
      <c r="DQ104" s="925"/>
      <c r="DR104" s="925"/>
      <c r="DS104" s="925"/>
      <c r="DT104" s="925"/>
      <c r="DU104" s="925"/>
      <c r="DV104" s="925"/>
      <c r="DW104" s="925"/>
      <c r="DX104" s="925"/>
      <c r="DY104" s="925"/>
      <c r="DZ104" s="925"/>
      <c r="EA104" s="925"/>
      <c r="EB104" s="925"/>
      <c r="EC104" s="925"/>
      <c r="ED104" s="925"/>
      <c r="EE104" s="925"/>
      <c r="EF104" s="925"/>
      <c r="EG104" s="446"/>
    </row>
    <row r="105" spans="1:137" ht="13" x14ac:dyDescent="0.15">
      <c r="A105" s="917"/>
      <c r="B105" s="917"/>
      <c r="C105" s="918"/>
      <c r="D105" s="919"/>
      <c r="E105" s="920"/>
      <c r="F105" s="921"/>
      <c r="G105" s="922"/>
      <c r="H105" s="922"/>
      <c r="I105" s="922"/>
      <c r="J105" s="923"/>
      <c r="K105" s="923"/>
      <c r="L105" s="924"/>
      <c r="M105" s="925"/>
      <c r="N105" s="925"/>
      <c r="O105" s="925"/>
      <c r="P105" s="925"/>
      <c r="Q105" s="925"/>
      <c r="R105" s="926"/>
      <c r="S105" s="926"/>
      <c r="T105" s="925"/>
      <c r="U105" s="925"/>
      <c r="V105" s="925"/>
      <c r="W105" s="925"/>
      <c r="X105" s="925"/>
      <c r="Y105" s="925"/>
      <c r="Z105" s="925"/>
      <c r="AA105" s="925"/>
      <c r="AB105" s="925"/>
      <c r="AC105" s="925"/>
      <c r="AD105" s="925"/>
      <c r="AE105" s="925"/>
      <c r="AF105" s="925"/>
      <c r="AG105" s="925"/>
      <c r="AH105" s="925"/>
      <c r="AI105" s="925"/>
      <c r="AJ105" s="925"/>
      <c r="AK105" s="925"/>
      <c r="AL105" s="925"/>
      <c r="AM105" s="925"/>
      <c r="AN105" s="925"/>
      <c r="AO105" s="925"/>
      <c r="AP105" s="925"/>
      <c r="AQ105" s="925"/>
      <c r="AR105" s="925"/>
      <c r="AS105" s="925"/>
      <c r="AT105" s="925"/>
      <c r="AU105" s="925"/>
      <c r="AV105" s="925"/>
      <c r="AW105" s="925"/>
      <c r="AX105" s="925"/>
      <c r="AY105" s="925"/>
      <c r="AZ105" s="925"/>
      <c r="BA105" s="925"/>
      <c r="BB105" s="925"/>
      <c r="BC105" s="925"/>
      <c r="BD105" s="925"/>
      <c r="BE105" s="925"/>
      <c r="BF105" s="925"/>
      <c r="BG105" s="925"/>
      <c r="BH105" s="925"/>
      <c r="BI105" s="925"/>
      <c r="BJ105" s="925"/>
      <c r="BK105" s="925"/>
      <c r="BL105" s="925"/>
      <c r="BM105" s="925"/>
      <c r="BN105" s="925"/>
      <c r="BO105" s="925"/>
      <c r="BP105" s="925"/>
      <c r="BQ105" s="925"/>
      <c r="BR105" s="925"/>
      <c r="BS105" s="925"/>
      <c r="BT105" s="925"/>
      <c r="BU105" s="925"/>
      <c r="BV105" s="925"/>
      <c r="BW105" s="925"/>
      <c r="BX105" s="925"/>
      <c r="BY105" s="925"/>
      <c r="BZ105" s="925"/>
      <c r="CA105" s="925"/>
      <c r="CB105" s="925"/>
      <c r="CC105" s="925"/>
      <c r="CD105" s="925"/>
      <c r="CE105" s="925"/>
      <c r="CF105" s="925"/>
      <c r="CG105" s="925"/>
      <c r="CH105" s="925"/>
      <c r="CI105" s="925"/>
      <c r="CJ105" s="925"/>
      <c r="CK105" s="925"/>
      <c r="CL105" s="925"/>
      <c r="CM105" s="925"/>
      <c r="CN105" s="925"/>
      <c r="CO105" s="925"/>
      <c r="CP105" s="925"/>
      <c r="CQ105" s="925"/>
      <c r="CR105" s="925"/>
      <c r="CS105" s="925"/>
      <c r="CT105" s="925"/>
      <c r="CU105" s="925"/>
      <c r="CV105" s="925"/>
      <c r="CW105" s="925"/>
      <c r="CX105" s="925"/>
      <c r="CY105" s="925"/>
      <c r="CZ105" s="925"/>
      <c r="DA105" s="925"/>
      <c r="DB105" s="925"/>
      <c r="DC105" s="925"/>
      <c r="DD105" s="925"/>
      <c r="DE105" s="925"/>
      <c r="DF105" s="925"/>
      <c r="DG105" s="925"/>
      <c r="DH105" s="925"/>
      <c r="DI105" s="925"/>
      <c r="DJ105" s="925"/>
      <c r="DK105" s="925"/>
      <c r="DL105" s="925"/>
      <c r="DM105" s="925"/>
      <c r="DN105" s="925"/>
      <c r="DO105" s="925"/>
      <c r="DP105" s="925"/>
      <c r="DQ105" s="925"/>
      <c r="DR105" s="925"/>
      <c r="DS105" s="925"/>
      <c r="DT105" s="925"/>
      <c r="DU105" s="925"/>
      <c r="DV105" s="925"/>
      <c r="DW105" s="925"/>
      <c r="DX105" s="925"/>
      <c r="DY105" s="925"/>
      <c r="DZ105" s="925"/>
      <c r="EA105" s="925"/>
      <c r="EB105" s="925"/>
      <c r="EC105" s="925"/>
      <c r="ED105" s="925"/>
      <c r="EE105" s="925"/>
      <c r="EF105" s="925"/>
      <c r="EG105" s="446"/>
    </row>
    <row r="106" spans="1:137" ht="13" x14ac:dyDescent="0.15">
      <c r="A106" s="917"/>
      <c r="B106" s="917"/>
      <c r="C106" s="918"/>
      <c r="D106" s="919"/>
      <c r="E106" s="920"/>
      <c r="F106" s="921"/>
      <c r="G106" s="922"/>
      <c r="H106" s="922"/>
      <c r="I106" s="922"/>
      <c r="J106" s="923"/>
      <c r="K106" s="923"/>
      <c r="L106" s="924"/>
      <c r="M106" s="925"/>
      <c r="N106" s="925"/>
      <c r="O106" s="925"/>
      <c r="P106" s="925"/>
      <c r="Q106" s="925"/>
      <c r="R106" s="926"/>
      <c r="S106" s="926"/>
      <c r="T106" s="925"/>
      <c r="U106" s="925"/>
      <c r="V106" s="925"/>
      <c r="W106" s="925"/>
      <c r="X106" s="925"/>
      <c r="Y106" s="925"/>
      <c r="Z106" s="925"/>
      <c r="AA106" s="925"/>
      <c r="AB106" s="925"/>
      <c r="AC106" s="925"/>
      <c r="AD106" s="925"/>
      <c r="AE106" s="925"/>
      <c r="AF106" s="925"/>
      <c r="AG106" s="925"/>
      <c r="AH106" s="925"/>
      <c r="AI106" s="925"/>
      <c r="AJ106" s="925"/>
      <c r="AK106" s="925"/>
      <c r="AL106" s="925"/>
      <c r="AM106" s="925"/>
      <c r="AN106" s="925"/>
      <c r="AO106" s="925"/>
      <c r="AP106" s="925"/>
      <c r="AQ106" s="925"/>
      <c r="AR106" s="925"/>
      <c r="AS106" s="925"/>
      <c r="AT106" s="925"/>
      <c r="AU106" s="925"/>
      <c r="AV106" s="925"/>
      <c r="AW106" s="925"/>
      <c r="AX106" s="925"/>
      <c r="AY106" s="925"/>
      <c r="AZ106" s="925"/>
      <c r="BA106" s="925"/>
      <c r="BB106" s="925"/>
      <c r="BC106" s="925"/>
      <c r="BD106" s="925"/>
      <c r="BE106" s="925"/>
      <c r="BF106" s="925"/>
      <c r="BG106" s="925"/>
      <c r="BH106" s="925"/>
      <c r="BI106" s="925"/>
      <c r="BJ106" s="925"/>
      <c r="BK106" s="925"/>
      <c r="BL106" s="925"/>
      <c r="BM106" s="925"/>
      <c r="BN106" s="925"/>
      <c r="BO106" s="925"/>
      <c r="BP106" s="925"/>
      <c r="BQ106" s="925"/>
      <c r="BR106" s="925"/>
      <c r="BS106" s="925"/>
      <c r="BT106" s="925"/>
      <c r="BU106" s="925"/>
      <c r="BV106" s="925"/>
      <c r="BW106" s="925"/>
      <c r="BX106" s="925"/>
      <c r="BY106" s="925"/>
      <c r="BZ106" s="925"/>
      <c r="CA106" s="925"/>
      <c r="CB106" s="925"/>
      <c r="CC106" s="925"/>
      <c r="CD106" s="925"/>
      <c r="CE106" s="925"/>
      <c r="CF106" s="925"/>
      <c r="CG106" s="925"/>
      <c r="CH106" s="925"/>
      <c r="CI106" s="925"/>
      <c r="CJ106" s="925"/>
      <c r="CK106" s="925"/>
      <c r="CL106" s="925"/>
      <c r="CM106" s="925"/>
      <c r="CN106" s="925"/>
      <c r="CO106" s="925"/>
      <c r="CP106" s="925"/>
      <c r="CQ106" s="925"/>
      <c r="CR106" s="925"/>
      <c r="CS106" s="925"/>
      <c r="CT106" s="925"/>
      <c r="CU106" s="925"/>
      <c r="CV106" s="925"/>
      <c r="CW106" s="925"/>
      <c r="CX106" s="925"/>
      <c r="CY106" s="925"/>
      <c r="CZ106" s="925"/>
      <c r="DA106" s="925"/>
      <c r="DB106" s="925"/>
      <c r="DC106" s="925"/>
      <c r="DD106" s="925"/>
      <c r="DE106" s="925"/>
      <c r="DF106" s="925"/>
      <c r="DG106" s="925"/>
      <c r="DH106" s="925"/>
      <c r="DI106" s="925"/>
      <c r="DJ106" s="925"/>
      <c r="DK106" s="925"/>
      <c r="DL106" s="925"/>
      <c r="DM106" s="925"/>
      <c r="DN106" s="925"/>
      <c r="DO106" s="925"/>
      <c r="DP106" s="925"/>
      <c r="DQ106" s="925"/>
      <c r="DR106" s="925"/>
      <c r="DS106" s="925"/>
      <c r="DT106" s="925"/>
      <c r="DU106" s="925"/>
      <c r="DV106" s="925"/>
      <c r="DW106" s="925"/>
      <c r="DX106" s="925"/>
      <c r="DY106" s="925"/>
      <c r="DZ106" s="925"/>
      <c r="EA106" s="925"/>
      <c r="EB106" s="925"/>
      <c r="EC106" s="925"/>
      <c r="ED106" s="925"/>
      <c r="EE106" s="925"/>
      <c r="EF106" s="925"/>
      <c r="EG106" s="446"/>
    </row>
    <row r="107" spans="1:137" ht="13" x14ac:dyDescent="0.15">
      <c r="A107" s="917"/>
      <c r="B107" s="917"/>
      <c r="C107" s="918"/>
      <c r="D107" s="919"/>
      <c r="E107" s="920"/>
      <c r="F107" s="921"/>
      <c r="G107" s="922"/>
      <c r="H107" s="922"/>
      <c r="I107" s="922"/>
      <c r="J107" s="923"/>
      <c r="K107" s="923"/>
      <c r="L107" s="924"/>
      <c r="M107" s="925"/>
      <c r="N107" s="925"/>
      <c r="O107" s="925"/>
      <c r="P107" s="925"/>
      <c r="Q107" s="925"/>
      <c r="R107" s="926"/>
      <c r="S107" s="926"/>
      <c r="T107" s="925"/>
      <c r="U107" s="925"/>
      <c r="V107" s="925"/>
      <c r="W107" s="925"/>
      <c r="X107" s="925"/>
      <c r="Y107" s="925"/>
      <c r="Z107" s="925"/>
      <c r="AA107" s="925"/>
      <c r="AB107" s="925"/>
      <c r="AC107" s="925"/>
      <c r="AD107" s="925"/>
      <c r="AE107" s="925"/>
      <c r="AF107" s="925"/>
      <c r="AG107" s="925"/>
      <c r="AH107" s="925"/>
      <c r="AI107" s="925"/>
      <c r="AJ107" s="925"/>
      <c r="AK107" s="925"/>
      <c r="AL107" s="925"/>
      <c r="AM107" s="925"/>
      <c r="AN107" s="925"/>
      <c r="AO107" s="925"/>
      <c r="AP107" s="925"/>
      <c r="AQ107" s="925"/>
      <c r="AR107" s="925"/>
      <c r="AS107" s="925"/>
      <c r="AT107" s="925"/>
      <c r="AU107" s="925"/>
      <c r="AV107" s="925"/>
      <c r="AW107" s="925"/>
      <c r="AX107" s="925"/>
      <c r="AY107" s="925"/>
      <c r="AZ107" s="925"/>
      <c r="BA107" s="925"/>
      <c r="BB107" s="925"/>
      <c r="BC107" s="925"/>
      <c r="BD107" s="925"/>
      <c r="BE107" s="925"/>
      <c r="BF107" s="925"/>
      <c r="BG107" s="925"/>
      <c r="BH107" s="925"/>
      <c r="BI107" s="925"/>
      <c r="BJ107" s="925"/>
      <c r="BK107" s="925"/>
      <c r="BL107" s="925"/>
      <c r="BM107" s="925"/>
      <c r="BN107" s="925"/>
      <c r="BO107" s="925"/>
      <c r="BP107" s="925"/>
      <c r="BQ107" s="925"/>
      <c r="BR107" s="925"/>
      <c r="BS107" s="925"/>
      <c r="BT107" s="925"/>
      <c r="BU107" s="925"/>
      <c r="BV107" s="925"/>
      <c r="BW107" s="925"/>
      <c r="BX107" s="925"/>
      <c r="BY107" s="925"/>
      <c r="BZ107" s="925"/>
      <c r="CA107" s="925"/>
      <c r="CB107" s="925"/>
      <c r="CC107" s="925"/>
      <c r="CD107" s="925"/>
      <c r="CE107" s="925"/>
      <c r="CF107" s="925"/>
      <c r="CG107" s="925"/>
      <c r="CH107" s="925"/>
      <c r="CI107" s="925"/>
      <c r="CJ107" s="925"/>
      <c r="CK107" s="925"/>
      <c r="CL107" s="925"/>
      <c r="CM107" s="925"/>
      <c r="CN107" s="925"/>
      <c r="CO107" s="925"/>
      <c r="CP107" s="925"/>
      <c r="CQ107" s="925"/>
      <c r="CR107" s="925"/>
      <c r="CS107" s="925"/>
      <c r="CT107" s="925"/>
      <c r="CU107" s="925"/>
      <c r="CV107" s="925"/>
      <c r="CW107" s="925"/>
      <c r="CX107" s="925"/>
      <c r="CY107" s="925"/>
      <c r="CZ107" s="925"/>
      <c r="DA107" s="925"/>
      <c r="DB107" s="925"/>
      <c r="DC107" s="925"/>
      <c r="DD107" s="925"/>
      <c r="DE107" s="925"/>
      <c r="DF107" s="925"/>
      <c r="DG107" s="925"/>
      <c r="DH107" s="925"/>
      <c r="DI107" s="925"/>
      <c r="DJ107" s="925"/>
      <c r="DK107" s="925"/>
      <c r="DL107" s="925"/>
      <c r="DM107" s="925"/>
      <c r="DN107" s="925"/>
      <c r="DO107" s="925"/>
      <c r="DP107" s="925"/>
      <c r="DQ107" s="925"/>
      <c r="DR107" s="925"/>
      <c r="DS107" s="925"/>
      <c r="DT107" s="925"/>
      <c r="DU107" s="925"/>
      <c r="DV107" s="925"/>
      <c r="DW107" s="925"/>
      <c r="DX107" s="925"/>
      <c r="DY107" s="925"/>
      <c r="DZ107" s="925"/>
      <c r="EA107" s="925"/>
      <c r="EB107" s="925"/>
      <c r="EC107" s="925"/>
      <c r="ED107" s="925"/>
      <c r="EE107" s="925"/>
      <c r="EF107" s="925"/>
      <c r="EG107" s="446"/>
    </row>
    <row r="108" spans="1:137" ht="13" x14ac:dyDescent="0.15">
      <c r="A108" s="917"/>
      <c r="B108" s="917"/>
      <c r="C108" s="918"/>
      <c r="D108" s="919"/>
      <c r="E108" s="920"/>
      <c r="F108" s="921"/>
      <c r="G108" s="922"/>
      <c r="H108" s="922"/>
      <c r="I108" s="922"/>
      <c r="J108" s="923"/>
      <c r="K108" s="923"/>
      <c r="L108" s="924"/>
      <c r="M108" s="925"/>
      <c r="N108" s="925"/>
      <c r="O108" s="925"/>
      <c r="P108" s="925"/>
      <c r="Q108" s="925"/>
      <c r="R108" s="926"/>
      <c r="S108" s="926"/>
      <c r="T108" s="925"/>
      <c r="U108" s="925"/>
      <c r="V108" s="925"/>
      <c r="W108" s="925"/>
      <c r="X108" s="925"/>
      <c r="Y108" s="925"/>
      <c r="Z108" s="925"/>
      <c r="AA108" s="925"/>
      <c r="AB108" s="925"/>
      <c r="AC108" s="925"/>
      <c r="AD108" s="925"/>
      <c r="AE108" s="925"/>
      <c r="AF108" s="925"/>
      <c r="AG108" s="925"/>
      <c r="AH108" s="925"/>
      <c r="AI108" s="925"/>
      <c r="AJ108" s="925"/>
      <c r="AK108" s="925"/>
      <c r="AL108" s="925"/>
      <c r="AM108" s="925"/>
      <c r="AN108" s="925"/>
      <c r="AO108" s="925"/>
      <c r="AP108" s="925"/>
      <c r="AQ108" s="925"/>
      <c r="AR108" s="925"/>
      <c r="AS108" s="925"/>
      <c r="AT108" s="925"/>
      <c r="AU108" s="925"/>
      <c r="AV108" s="925"/>
      <c r="AW108" s="925"/>
      <c r="AX108" s="925"/>
      <c r="AY108" s="925"/>
      <c r="AZ108" s="925"/>
      <c r="BA108" s="925"/>
      <c r="BB108" s="925"/>
      <c r="BC108" s="925"/>
      <c r="BD108" s="925"/>
      <c r="BE108" s="925"/>
      <c r="BF108" s="925"/>
      <c r="BG108" s="925"/>
      <c r="BH108" s="925"/>
      <c r="BI108" s="925"/>
      <c r="BJ108" s="925"/>
      <c r="BK108" s="925"/>
      <c r="BL108" s="925"/>
      <c r="BM108" s="925"/>
      <c r="BN108" s="925"/>
      <c r="BO108" s="925"/>
      <c r="BP108" s="925"/>
      <c r="BQ108" s="925"/>
      <c r="BR108" s="925"/>
      <c r="BS108" s="925"/>
      <c r="BT108" s="925"/>
      <c r="BU108" s="925"/>
      <c r="BV108" s="925"/>
      <c r="BW108" s="925"/>
      <c r="BX108" s="925"/>
      <c r="BY108" s="925"/>
      <c r="BZ108" s="925"/>
      <c r="CA108" s="925"/>
      <c r="CB108" s="925"/>
      <c r="CC108" s="925"/>
      <c r="CD108" s="925"/>
      <c r="CE108" s="925"/>
      <c r="CF108" s="925"/>
      <c r="CG108" s="925"/>
      <c r="CH108" s="925"/>
      <c r="CI108" s="925"/>
      <c r="CJ108" s="925"/>
      <c r="CK108" s="925"/>
      <c r="CL108" s="925"/>
      <c r="CM108" s="925"/>
      <c r="CN108" s="925"/>
      <c r="CO108" s="925"/>
      <c r="CP108" s="925"/>
      <c r="CQ108" s="925"/>
      <c r="CR108" s="925"/>
      <c r="CS108" s="925"/>
      <c r="CT108" s="925"/>
      <c r="CU108" s="925"/>
      <c r="CV108" s="925"/>
      <c r="CW108" s="925"/>
      <c r="CX108" s="925"/>
      <c r="CY108" s="925"/>
      <c r="CZ108" s="925"/>
      <c r="DA108" s="925"/>
      <c r="DB108" s="925"/>
      <c r="DC108" s="925"/>
      <c r="DD108" s="925"/>
      <c r="DE108" s="925"/>
      <c r="DF108" s="925"/>
      <c r="DG108" s="925"/>
      <c r="DH108" s="925"/>
      <c r="DI108" s="925"/>
      <c r="DJ108" s="925"/>
      <c r="DK108" s="925"/>
      <c r="DL108" s="925"/>
      <c r="DM108" s="925"/>
      <c r="DN108" s="925"/>
      <c r="DO108" s="925"/>
      <c r="DP108" s="925"/>
      <c r="DQ108" s="925"/>
      <c r="DR108" s="925"/>
      <c r="DS108" s="925"/>
      <c r="DT108" s="925"/>
      <c r="DU108" s="925"/>
      <c r="DV108" s="925"/>
      <c r="DW108" s="925"/>
      <c r="DX108" s="925"/>
      <c r="DY108" s="925"/>
      <c r="DZ108" s="925"/>
      <c r="EA108" s="925"/>
      <c r="EB108" s="925"/>
      <c r="EC108" s="925"/>
      <c r="ED108" s="925"/>
      <c r="EE108" s="925"/>
      <c r="EF108" s="925"/>
      <c r="EG108" s="446"/>
    </row>
    <row r="109" spans="1:137" ht="13" x14ac:dyDescent="0.15">
      <c r="A109" s="917"/>
      <c r="B109" s="917"/>
      <c r="C109" s="918"/>
      <c r="D109" s="919"/>
      <c r="E109" s="920"/>
      <c r="F109" s="921"/>
      <c r="G109" s="922"/>
      <c r="H109" s="922"/>
      <c r="I109" s="922"/>
      <c r="J109" s="923"/>
      <c r="K109" s="923"/>
      <c r="L109" s="924"/>
      <c r="M109" s="925"/>
      <c r="N109" s="925"/>
      <c r="O109" s="925"/>
      <c r="P109" s="925"/>
      <c r="Q109" s="925"/>
      <c r="R109" s="926"/>
      <c r="S109" s="926"/>
      <c r="T109" s="925"/>
      <c r="U109" s="925"/>
      <c r="V109" s="925"/>
      <c r="W109" s="925"/>
      <c r="X109" s="925"/>
      <c r="Y109" s="925"/>
      <c r="Z109" s="925"/>
      <c r="AA109" s="925"/>
      <c r="AB109" s="925"/>
      <c r="AC109" s="925"/>
      <c r="AD109" s="925"/>
      <c r="AE109" s="925"/>
      <c r="AF109" s="925"/>
      <c r="AG109" s="925"/>
      <c r="AH109" s="925"/>
      <c r="AI109" s="925"/>
      <c r="AJ109" s="925"/>
      <c r="AK109" s="925"/>
      <c r="AL109" s="925"/>
      <c r="AM109" s="925"/>
      <c r="AN109" s="925"/>
      <c r="AO109" s="925"/>
      <c r="AP109" s="925"/>
      <c r="AQ109" s="925"/>
      <c r="AR109" s="925"/>
      <c r="AS109" s="925"/>
      <c r="AT109" s="925"/>
      <c r="AU109" s="925"/>
      <c r="AV109" s="925"/>
      <c r="AW109" s="925"/>
      <c r="AX109" s="925"/>
      <c r="AY109" s="925"/>
      <c r="AZ109" s="925"/>
      <c r="BA109" s="925"/>
      <c r="BB109" s="925"/>
      <c r="BC109" s="925"/>
      <c r="BD109" s="925"/>
      <c r="BE109" s="925"/>
      <c r="BF109" s="925"/>
      <c r="BG109" s="925"/>
      <c r="BH109" s="925"/>
      <c r="BI109" s="925"/>
      <c r="BJ109" s="925"/>
      <c r="BK109" s="925"/>
      <c r="BL109" s="925"/>
      <c r="BM109" s="925"/>
      <c r="BN109" s="925"/>
      <c r="BO109" s="925"/>
      <c r="BP109" s="925"/>
      <c r="BQ109" s="925"/>
      <c r="BR109" s="925"/>
      <c r="BS109" s="925"/>
      <c r="BT109" s="925"/>
      <c r="BU109" s="925"/>
      <c r="BV109" s="925"/>
      <c r="BW109" s="925"/>
      <c r="BX109" s="925"/>
      <c r="BY109" s="925"/>
      <c r="BZ109" s="925"/>
      <c r="CA109" s="925"/>
      <c r="CB109" s="925"/>
      <c r="CC109" s="925"/>
      <c r="CD109" s="925"/>
      <c r="CE109" s="925"/>
      <c r="CF109" s="925"/>
      <c r="CG109" s="925"/>
      <c r="CH109" s="925"/>
      <c r="CI109" s="925"/>
      <c r="CJ109" s="925"/>
      <c r="CK109" s="925"/>
      <c r="CL109" s="925"/>
      <c r="CM109" s="925"/>
      <c r="CN109" s="925"/>
      <c r="CO109" s="925"/>
      <c r="CP109" s="925"/>
      <c r="CQ109" s="925"/>
      <c r="CR109" s="925"/>
      <c r="CS109" s="925"/>
      <c r="CT109" s="925"/>
      <c r="CU109" s="925"/>
      <c r="CV109" s="925"/>
      <c r="CW109" s="925"/>
      <c r="CX109" s="925"/>
      <c r="CY109" s="925"/>
      <c r="CZ109" s="925"/>
      <c r="DA109" s="925"/>
      <c r="DB109" s="925"/>
      <c r="DC109" s="925"/>
      <c r="DD109" s="925"/>
      <c r="DE109" s="925"/>
      <c r="DF109" s="925"/>
      <c r="DG109" s="925"/>
      <c r="DH109" s="925"/>
      <c r="DI109" s="925"/>
      <c r="DJ109" s="925"/>
      <c r="DK109" s="925"/>
      <c r="DL109" s="925"/>
      <c r="DM109" s="925"/>
      <c r="DN109" s="925"/>
      <c r="DO109" s="925"/>
      <c r="DP109" s="925"/>
      <c r="DQ109" s="925"/>
      <c r="DR109" s="925"/>
      <c r="DS109" s="925"/>
      <c r="DT109" s="925"/>
      <c r="DU109" s="925"/>
      <c r="DV109" s="925"/>
      <c r="DW109" s="925"/>
      <c r="DX109" s="925"/>
      <c r="DY109" s="925"/>
      <c r="DZ109" s="925"/>
      <c r="EA109" s="925"/>
      <c r="EB109" s="925"/>
      <c r="EC109" s="925"/>
      <c r="ED109" s="925"/>
      <c r="EE109" s="925"/>
      <c r="EF109" s="925"/>
      <c r="EG109" s="446"/>
    </row>
    <row r="110" spans="1:137" ht="13" x14ac:dyDescent="0.15">
      <c r="A110" s="917"/>
      <c r="B110" s="917"/>
      <c r="C110" s="918"/>
      <c r="D110" s="919"/>
      <c r="E110" s="920"/>
      <c r="F110" s="921"/>
      <c r="G110" s="922"/>
      <c r="H110" s="922"/>
      <c r="I110" s="922"/>
      <c r="J110" s="923"/>
      <c r="K110" s="923"/>
      <c r="L110" s="924"/>
      <c r="M110" s="925"/>
      <c r="N110" s="925"/>
      <c r="O110" s="925"/>
      <c r="P110" s="925"/>
      <c r="Q110" s="925"/>
      <c r="R110" s="926"/>
      <c r="S110" s="926"/>
      <c r="T110" s="925"/>
      <c r="U110" s="925"/>
      <c r="V110" s="925"/>
      <c r="W110" s="925"/>
      <c r="X110" s="925"/>
      <c r="Y110" s="925"/>
      <c r="Z110" s="925"/>
      <c r="AA110" s="925"/>
      <c r="AB110" s="925"/>
      <c r="AC110" s="925"/>
      <c r="AD110" s="925"/>
      <c r="AE110" s="925"/>
      <c r="AF110" s="925"/>
      <c r="AG110" s="925"/>
      <c r="AH110" s="925"/>
      <c r="AI110" s="925"/>
      <c r="AJ110" s="925"/>
      <c r="AK110" s="925"/>
      <c r="AL110" s="925"/>
      <c r="AM110" s="925"/>
      <c r="AN110" s="925"/>
      <c r="AO110" s="925"/>
      <c r="AP110" s="925"/>
      <c r="AQ110" s="925"/>
      <c r="AR110" s="925"/>
      <c r="AS110" s="925"/>
      <c r="AT110" s="925"/>
      <c r="AU110" s="925"/>
      <c r="AV110" s="925"/>
      <c r="AW110" s="925"/>
      <c r="AX110" s="925"/>
      <c r="AY110" s="925"/>
      <c r="AZ110" s="925"/>
      <c r="BA110" s="925"/>
      <c r="BB110" s="925"/>
      <c r="BC110" s="925"/>
      <c r="BD110" s="925"/>
      <c r="BE110" s="925"/>
      <c r="BF110" s="925"/>
      <c r="BG110" s="925"/>
      <c r="BH110" s="925"/>
      <c r="BI110" s="925"/>
      <c r="BJ110" s="925"/>
      <c r="BK110" s="925"/>
      <c r="BL110" s="925"/>
      <c r="BM110" s="925"/>
      <c r="BN110" s="925"/>
      <c r="BO110" s="925"/>
      <c r="BP110" s="925"/>
      <c r="BQ110" s="925"/>
      <c r="BR110" s="925"/>
      <c r="BS110" s="925"/>
      <c r="BT110" s="925"/>
      <c r="BU110" s="925"/>
      <c r="BV110" s="925"/>
      <c r="BW110" s="925"/>
      <c r="BX110" s="925"/>
      <c r="BY110" s="925"/>
      <c r="BZ110" s="925"/>
      <c r="CA110" s="925"/>
      <c r="CB110" s="925"/>
      <c r="CC110" s="925"/>
      <c r="CD110" s="925"/>
      <c r="CE110" s="925"/>
      <c r="CF110" s="925"/>
      <c r="CG110" s="925"/>
      <c r="CH110" s="925"/>
      <c r="CI110" s="925"/>
      <c r="CJ110" s="925"/>
      <c r="CK110" s="925"/>
      <c r="CL110" s="925"/>
      <c r="CM110" s="925"/>
      <c r="CN110" s="925"/>
      <c r="CO110" s="925"/>
      <c r="CP110" s="925"/>
      <c r="CQ110" s="925"/>
      <c r="CR110" s="925"/>
      <c r="CS110" s="925"/>
      <c r="CT110" s="925"/>
      <c r="CU110" s="925"/>
      <c r="CV110" s="925"/>
      <c r="CW110" s="925"/>
      <c r="CX110" s="925"/>
      <c r="CY110" s="925"/>
      <c r="CZ110" s="925"/>
      <c r="DA110" s="925"/>
      <c r="DB110" s="925"/>
      <c r="DC110" s="925"/>
      <c r="DD110" s="925"/>
      <c r="DE110" s="925"/>
      <c r="DF110" s="925"/>
      <c r="DG110" s="925"/>
      <c r="DH110" s="925"/>
      <c r="DI110" s="925"/>
      <c r="DJ110" s="925"/>
      <c r="DK110" s="925"/>
      <c r="DL110" s="925"/>
      <c r="DM110" s="925"/>
      <c r="DN110" s="925"/>
      <c r="DO110" s="925"/>
      <c r="DP110" s="925"/>
      <c r="DQ110" s="925"/>
      <c r="DR110" s="925"/>
      <c r="DS110" s="925"/>
      <c r="DT110" s="925"/>
      <c r="DU110" s="925"/>
      <c r="DV110" s="925"/>
      <c r="DW110" s="925"/>
      <c r="DX110" s="925"/>
      <c r="DY110" s="925"/>
      <c r="DZ110" s="925"/>
      <c r="EA110" s="925"/>
      <c r="EB110" s="925"/>
      <c r="EC110" s="925"/>
      <c r="ED110" s="925"/>
      <c r="EE110" s="925"/>
      <c r="EF110" s="925"/>
      <c r="EG110" s="446"/>
    </row>
    <row r="111" spans="1:137" ht="13" x14ac:dyDescent="0.15">
      <c r="A111" s="917"/>
      <c r="B111" s="917"/>
      <c r="C111" s="918"/>
      <c r="D111" s="919"/>
      <c r="E111" s="920"/>
      <c r="F111" s="921"/>
      <c r="G111" s="922"/>
      <c r="H111" s="922"/>
      <c r="I111" s="922"/>
      <c r="J111" s="923"/>
      <c r="K111" s="923"/>
      <c r="L111" s="924"/>
      <c r="M111" s="925"/>
      <c r="N111" s="925"/>
      <c r="O111" s="925"/>
      <c r="P111" s="925"/>
      <c r="Q111" s="925"/>
      <c r="R111" s="926"/>
      <c r="S111" s="926"/>
      <c r="T111" s="925"/>
      <c r="U111" s="925"/>
      <c r="V111" s="925"/>
      <c r="W111" s="925"/>
      <c r="X111" s="925"/>
      <c r="Y111" s="925"/>
      <c r="Z111" s="925"/>
      <c r="AA111" s="925"/>
      <c r="AB111" s="925"/>
      <c r="AC111" s="925"/>
      <c r="AD111" s="925"/>
      <c r="AE111" s="925"/>
      <c r="AF111" s="925"/>
      <c r="AG111" s="925"/>
      <c r="AH111" s="925"/>
      <c r="AI111" s="925"/>
      <c r="AJ111" s="925"/>
      <c r="AK111" s="925"/>
      <c r="AL111" s="925"/>
      <c r="AM111" s="925"/>
      <c r="AN111" s="925"/>
      <c r="AO111" s="925"/>
      <c r="AP111" s="925"/>
      <c r="AQ111" s="925"/>
      <c r="AR111" s="925"/>
      <c r="AS111" s="925"/>
      <c r="AT111" s="925"/>
      <c r="AU111" s="925"/>
      <c r="AV111" s="925"/>
      <c r="AW111" s="925"/>
      <c r="AX111" s="925"/>
      <c r="AY111" s="925"/>
      <c r="AZ111" s="925"/>
      <c r="BA111" s="925"/>
      <c r="BB111" s="925"/>
      <c r="BC111" s="925"/>
      <c r="BD111" s="925"/>
      <c r="BE111" s="925"/>
      <c r="BF111" s="925"/>
      <c r="BG111" s="925"/>
      <c r="BH111" s="925"/>
      <c r="BI111" s="925"/>
      <c r="BJ111" s="925"/>
      <c r="BK111" s="925"/>
      <c r="BL111" s="925"/>
      <c r="BM111" s="925"/>
      <c r="BN111" s="925"/>
      <c r="BO111" s="925"/>
      <c r="BP111" s="925"/>
      <c r="BQ111" s="925"/>
      <c r="BR111" s="925"/>
      <c r="BS111" s="925"/>
      <c r="BT111" s="925"/>
      <c r="BU111" s="925"/>
      <c r="BV111" s="925"/>
      <c r="BW111" s="925"/>
      <c r="BX111" s="925"/>
      <c r="BY111" s="925"/>
      <c r="BZ111" s="925"/>
      <c r="CA111" s="925"/>
      <c r="CB111" s="925"/>
      <c r="CC111" s="925"/>
      <c r="CD111" s="925"/>
      <c r="CE111" s="925"/>
      <c r="CF111" s="925"/>
      <c r="CG111" s="925"/>
      <c r="CH111" s="925"/>
      <c r="CI111" s="925"/>
      <c r="CJ111" s="925"/>
      <c r="CK111" s="925"/>
      <c r="CL111" s="925"/>
      <c r="CM111" s="925"/>
      <c r="CN111" s="925"/>
      <c r="CO111" s="925"/>
      <c r="CP111" s="925"/>
      <c r="CQ111" s="925"/>
      <c r="CR111" s="925"/>
      <c r="CS111" s="925"/>
      <c r="CT111" s="925"/>
      <c r="CU111" s="925"/>
      <c r="CV111" s="925"/>
      <c r="CW111" s="925"/>
      <c r="CX111" s="925"/>
      <c r="CY111" s="925"/>
      <c r="CZ111" s="925"/>
      <c r="DA111" s="925"/>
      <c r="DB111" s="925"/>
      <c r="DC111" s="925"/>
      <c r="DD111" s="925"/>
      <c r="DE111" s="925"/>
      <c r="DF111" s="925"/>
      <c r="DG111" s="925"/>
      <c r="DH111" s="925"/>
      <c r="DI111" s="925"/>
      <c r="DJ111" s="925"/>
      <c r="DK111" s="925"/>
      <c r="DL111" s="925"/>
      <c r="DM111" s="925"/>
      <c r="DN111" s="925"/>
      <c r="DO111" s="925"/>
      <c r="DP111" s="925"/>
      <c r="DQ111" s="925"/>
      <c r="DR111" s="925"/>
      <c r="DS111" s="925"/>
      <c r="DT111" s="925"/>
      <c r="DU111" s="925"/>
      <c r="DV111" s="925"/>
      <c r="DW111" s="925"/>
      <c r="DX111" s="925"/>
      <c r="DY111" s="925"/>
      <c r="DZ111" s="925"/>
      <c r="EA111" s="925"/>
      <c r="EB111" s="925"/>
      <c r="EC111" s="925"/>
      <c r="ED111" s="925"/>
      <c r="EE111" s="925"/>
      <c r="EF111" s="925"/>
      <c r="EG111" s="446"/>
    </row>
    <row r="112" spans="1:137" ht="13" x14ac:dyDescent="0.15">
      <c r="A112" s="917"/>
      <c r="B112" s="917"/>
      <c r="C112" s="918"/>
      <c r="D112" s="919"/>
      <c r="E112" s="920"/>
      <c r="F112" s="921"/>
      <c r="G112" s="922"/>
      <c r="H112" s="922"/>
      <c r="I112" s="922"/>
      <c r="J112" s="923"/>
      <c r="K112" s="923"/>
      <c r="L112" s="924"/>
      <c r="M112" s="925"/>
      <c r="N112" s="925"/>
      <c r="O112" s="925"/>
      <c r="P112" s="925"/>
      <c r="Q112" s="925"/>
      <c r="R112" s="926"/>
      <c r="S112" s="926"/>
      <c r="T112" s="925"/>
      <c r="U112" s="925"/>
      <c r="V112" s="925"/>
      <c r="W112" s="925"/>
      <c r="X112" s="925"/>
      <c r="Y112" s="925"/>
      <c r="Z112" s="925"/>
      <c r="AA112" s="925"/>
      <c r="AB112" s="925"/>
      <c r="AC112" s="925"/>
      <c r="AD112" s="925"/>
      <c r="AE112" s="925"/>
      <c r="AF112" s="925"/>
      <c r="AG112" s="925"/>
      <c r="AH112" s="925"/>
      <c r="AI112" s="925"/>
      <c r="AJ112" s="925"/>
      <c r="AK112" s="925"/>
      <c r="AL112" s="925"/>
      <c r="AM112" s="925"/>
      <c r="AN112" s="925"/>
      <c r="AO112" s="925"/>
      <c r="AP112" s="925"/>
      <c r="AQ112" s="925"/>
      <c r="AR112" s="925"/>
      <c r="AS112" s="925"/>
      <c r="AT112" s="925"/>
      <c r="AU112" s="925"/>
      <c r="AV112" s="925"/>
      <c r="AW112" s="925"/>
      <c r="AX112" s="925"/>
      <c r="AY112" s="925"/>
      <c r="AZ112" s="925"/>
      <c r="BA112" s="925"/>
      <c r="BB112" s="925"/>
      <c r="BC112" s="925"/>
      <c r="BD112" s="925"/>
      <c r="BE112" s="925"/>
      <c r="BF112" s="925"/>
      <c r="BG112" s="925"/>
      <c r="BH112" s="925"/>
      <c r="BI112" s="925"/>
      <c r="BJ112" s="925"/>
      <c r="BK112" s="925"/>
      <c r="BL112" s="925"/>
      <c r="BM112" s="925"/>
      <c r="BN112" s="925"/>
      <c r="BO112" s="925"/>
      <c r="BP112" s="925"/>
      <c r="BQ112" s="925"/>
      <c r="BR112" s="925"/>
      <c r="BS112" s="925"/>
      <c r="BT112" s="925"/>
      <c r="BU112" s="925"/>
      <c r="BV112" s="925"/>
      <c r="BW112" s="925"/>
      <c r="BX112" s="925"/>
      <c r="BY112" s="925"/>
      <c r="BZ112" s="925"/>
      <c r="CA112" s="925"/>
      <c r="CB112" s="925"/>
      <c r="CC112" s="925"/>
      <c r="CD112" s="925"/>
      <c r="CE112" s="925"/>
      <c r="CF112" s="925"/>
      <c r="CG112" s="925"/>
      <c r="CH112" s="925"/>
      <c r="CI112" s="925"/>
      <c r="CJ112" s="925"/>
      <c r="CK112" s="925"/>
      <c r="CL112" s="925"/>
      <c r="CM112" s="925"/>
      <c r="CN112" s="925"/>
      <c r="CO112" s="925"/>
      <c r="CP112" s="925"/>
      <c r="CQ112" s="925"/>
      <c r="CR112" s="925"/>
      <c r="CS112" s="925"/>
      <c r="CT112" s="925"/>
      <c r="CU112" s="925"/>
      <c r="CV112" s="925"/>
      <c r="CW112" s="925"/>
      <c r="CX112" s="925"/>
      <c r="CY112" s="925"/>
      <c r="CZ112" s="925"/>
      <c r="DA112" s="925"/>
      <c r="DB112" s="925"/>
      <c r="DC112" s="925"/>
      <c r="DD112" s="925"/>
      <c r="DE112" s="925"/>
      <c r="DF112" s="925"/>
      <c r="DG112" s="925"/>
      <c r="DH112" s="925"/>
      <c r="DI112" s="925"/>
      <c r="DJ112" s="925"/>
      <c r="DK112" s="925"/>
      <c r="DL112" s="925"/>
      <c r="DM112" s="925"/>
      <c r="DN112" s="925"/>
      <c r="DO112" s="925"/>
      <c r="DP112" s="925"/>
      <c r="DQ112" s="925"/>
      <c r="DR112" s="925"/>
      <c r="DS112" s="925"/>
      <c r="DT112" s="925"/>
      <c r="DU112" s="925"/>
      <c r="DV112" s="925"/>
      <c r="DW112" s="925"/>
      <c r="DX112" s="925"/>
      <c r="DY112" s="925"/>
      <c r="DZ112" s="925"/>
      <c r="EA112" s="925"/>
      <c r="EB112" s="925"/>
      <c r="EC112" s="925"/>
      <c r="ED112" s="925"/>
      <c r="EE112" s="925"/>
      <c r="EF112" s="925"/>
      <c r="EG112" s="446"/>
    </row>
    <row r="113" spans="1:137" ht="13" x14ac:dyDescent="0.15">
      <c r="A113" s="917"/>
      <c r="B113" s="917"/>
      <c r="C113" s="918"/>
      <c r="D113" s="919"/>
      <c r="E113" s="920"/>
      <c r="F113" s="921"/>
      <c r="G113" s="922"/>
      <c r="H113" s="922"/>
      <c r="I113" s="922"/>
      <c r="J113" s="923"/>
      <c r="K113" s="923"/>
      <c r="L113" s="924"/>
      <c r="M113" s="925"/>
      <c r="N113" s="925"/>
      <c r="O113" s="925"/>
      <c r="P113" s="925"/>
      <c r="Q113" s="925"/>
      <c r="R113" s="926"/>
      <c r="S113" s="926"/>
      <c r="T113" s="925"/>
      <c r="U113" s="925"/>
      <c r="V113" s="925"/>
      <c r="W113" s="925"/>
      <c r="X113" s="925"/>
      <c r="Y113" s="925"/>
      <c r="Z113" s="925"/>
      <c r="AA113" s="925"/>
      <c r="AB113" s="925"/>
      <c r="AC113" s="925"/>
      <c r="AD113" s="925"/>
      <c r="AE113" s="925"/>
      <c r="AF113" s="925"/>
      <c r="AG113" s="925"/>
      <c r="AH113" s="925"/>
      <c r="AI113" s="925"/>
      <c r="AJ113" s="925"/>
      <c r="AK113" s="925"/>
      <c r="AL113" s="925"/>
      <c r="AM113" s="925"/>
      <c r="AN113" s="925"/>
      <c r="AO113" s="925"/>
      <c r="AP113" s="925"/>
      <c r="AQ113" s="925"/>
      <c r="AR113" s="925"/>
      <c r="AS113" s="925"/>
      <c r="AT113" s="925"/>
      <c r="AU113" s="925"/>
      <c r="AV113" s="925"/>
      <c r="AW113" s="925"/>
      <c r="AX113" s="925"/>
      <c r="AY113" s="925"/>
      <c r="AZ113" s="925"/>
      <c r="BA113" s="925"/>
      <c r="BB113" s="925"/>
      <c r="BC113" s="925"/>
      <c r="BD113" s="925"/>
      <c r="BE113" s="925"/>
      <c r="BF113" s="925"/>
      <c r="BG113" s="925"/>
      <c r="BH113" s="925"/>
      <c r="BI113" s="925"/>
      <c r="BJ113" s="925"/>
      <c r="BK113" s="925"/>
      <c r="BL113" s="925"/>
      <c r="BM113" s="925"/>
      <c r="BN113" s="925"/>
      <c r="BO113" s="925"/>
      <c r="BP113" s="925"/>
      <c r="BQ113" s="925"/>
      <c r="BR113" s="925"/>
      <c r="BS113" s="925"/>
      <c r="BT113" s="925"/>
      <c r="BU113" s="925"/>
      <c r="BV113" s="925"/>
      <c r="BW113" s="925"/>
      <c r="BX113" s="925"/>
      <c r="BY113" s="925"/>
      <c r="BZ113" s="925"/>
      <c r="CA113" s="925"/>
      <c r="CB113" s="925"/>
      <c r="CC113" s="925"/>
      <c r="CD113" s="925"/>
      <c r="CE113" s="925"/>
      <c r="CF113" s="925"/>
      <c r="CG113" s="925"/>
      <c r="CH113" s="925"/>
      <c r="CI113" s="925"/>
      <c r="CJ113" s="925"/>
      <c r="CK113" s="925"/>
      <c r="CL113" s="925"/>
      <c r="CM113" s="925"/>
      <c r="CN113" s="925"/>
      <c r="CO113" s="925"/>
      <c r="CP113" s="925"/>
      <c r="CQ113" s="925"/>
      <c r="CR113" s="925"/>
      <c r="CS113" s="925"/>
      <c r="CT113" s="925"/>
      <c r="CU113" s="925"/>
      <c r="CV113" s="925"/>
      <c r="CW113" s="925"/>
      <c r="CX113" s="925"/>
      <c r="CY113" s="925"/>
      <c r="CZ113" s="925"/>
      <c r="DA113" s="925"/>
      <c r="DB113" s="925"/>
      <c r="DC113" s="925"/>
      <c r="DD113" s="925"/>
      <c r="DE113" s="925"/>
      <c r="DF113" s="925"/>
      <c r="DG113" s="925"/>
      <c r="DH113" s="925"/>
      <c r="DI113" s="925"/>
      <c r="DJ113" s="925"/>
      <c r="DK113" s="925"/>
      <c r="DL113" s="925"/>
      <c r="DM113" s="925"/>
      <c r="DN113" s="925"/>
      <c r="DO113" s="925"/>
      <c r="DP113" s="925"/>
      <c r="DQ113" s="925"/>
      <c r="DR113" s="925"/>
      <c r="DS113" s="925"/>
      <c r="DT113" s="925"/>
      <c r="DU113" s="925"/>
      <c r="DV113" s="925"/>
      <c r="DW113" s="925"/>
      <c r="DX113" s="925"/>
      <c r="DY113" s="925"/>
      <c r="DZ113" s="925"/>
      <c r="EA113" s="925"/>
      <c r="EB113" s="925"/>
      <c r="EC113" s="925"/>
      <c r="ED113" s="925"/>
      <c r="EE113" s="925"/>
      <c r="EF113" s="925"/>
      <c r="EG113" s="446"/>
    </row>
    <row r="114" spans="1:137" ht="13" x14ac:dyDescent="0.15">
      <c r="A114" s="917"/>
      <c r="B114" s="917"/>
      <c r="C114" s="918"/>
      <c r="D114" s="919"/>
      <c r="E114" s="920"/>
      <c r="F114" s="921"/>
      <c r="G114" s="922"/>
      <c r="H114" s="922"/>
      <c r="I114" s="922"/>
      <c r="J114" s="923"/>
      <c r="K114" s="923"/>
      <c r="L114" s="924"/>
      <c r="M114" s="925"/>
      <c r="N114" s="925"/>
      <c r="O114" s="925"/>
      <c r="P114" s="925"/>
      <c r="Q114" s="925"/>
      <c r="R114" s="926"/>
      <c r="S114" s="926"/>
      <c r="T114" s="925"/>
      <c r="U114" s="925"/>
      <c r="V114" s="925"/>
      <c r="W114" s="925"/>
      <c r="X114" s="925"/>
      <c r="Y114" s="925"/>
      <c r="Z114" s="925"/>
      <c r="AA114" s="925"/>
      <c r="AB114" s="925"/>
      <c r="AC114" s="925"/>
      <c r="AD114" s="925"/>
      <c r="AE114" s="925"/>
      <c r="AF114" s="925"/>
      <c r="AG114" s="925"/>
      <c r="AH114" s="925"/>
      <c r="AI114" s="925"/>
      <c r="AJ114" s="925"/>
      <c r="AK114" s="925"/>
      <c r="AL114" s="925"/>
      <c r="AM114" s="925"/>
      <c r="AN114" s="925"/>
      <c r="AO114" s="925"/>
      <c r="AP114" s="925"/>
      <c r="AQ114" s="925"/>
      <c r="AR114" s="925"/>
      <c r="AS114" s="925"/>
      <c r="AT114" s="925"/>
      <c r="AU114" s="925"/>
      <c r="AV114" s="925"/>
      <c r="AW114" s="925"/>
      <c r="AX114" s="925"/>
      <c r="AY114" s="925"/>
      <c r="AZ114" s="925"/>
      <c r="BA114" s="925"/>
      <c r="BB114" s="925"/>
      <c r="BC114" s="925"/>
      <c r="BD114" s="925"/>
      <c r="BE114" s="925"/>
      <c r="BF114" s="925"/>
      <c r="BG114" s="925"/>
      <c r="BH114" s="925"/>
      <c r="BI114" s="925"/>
      <c r="BJ114" s="925"/>
      <c r="BK114" s="925"/>
      <c r="BL114" s="925"/>
      <c r="BM114" s="925"/>
      <c r="BN114" s="925"/>
      <c r="BO114" s="925"/>
      <c r="BP114" s="925"/>
      <c r="BQ114" s="925"/>
      <c r="BR114" s="925"/>
      <c r="BS114" s="925"/>
      <c r="BT114" s="925"/>
      <c r="BU114" s="925"/>
      <c r="BV114" s="925"/>
      <c r="BW114" s="925"/>
      <c r="BX114" s="925"/>
      <c r="BY114" s="925"/>
      <c r="BZ114" s="925"/>
      <c r="CA114" s="925"/>
      <c r="CB114" s="925"/>
      <c r="CC114" s="925"/>
      <c r="CD114" s="925"/>
      <c r="CE114" s="925"/>
      <c r="CF114" s="925"/>
      <c r="CG114" s="925"/>
      <c r="CH114" s="925"/>
      <c r="CI114" s="925"/>
      <c r="CJ114" s="925"/>
      <c r="CK114" s="925"/>
      <c r="CL114" s="925"/>
      <c r="CM114" s="925"/>
      <c r="CN114" s="925"/>
      <c r="CO114" s="925"/>
      <c r="CP114" s="925"/>
      <c r="CQ114" s="925"/>
      <c r="CR114" s="925"/>
      <c r="CS114" s="925"/>
      <c r="CT114" s="925"/>
      <c r="CU114" s="925"/>
      <c r="CV114" s="925"/>
      <c r="CW114" s="925"/>
      <c r="CX114" s="925"/>
      <c r="CY114" s="925"/>
      <c r="CZ114" s="925"/>
      <c r="DA114" s="925"/>
      <c r="DB114" s="925"/>
      <c r="DC114" s="925"/>
      <c r="DD114" s="925"/>
      <c r="DE114" s="925"/>
      <c r="DF114" s="925"/>
      <c r="DG114" s="925"/>
      <c r="DH114" s="925"/>
      <c r="DI114" s="925"/>
      <c r="DJ114" s="925"/>
      <c r="DK114" s="925"/>
      <c r="DL114" s="925"/>
      <c r="DM114" s="925"/>
      <c r="DN114" s="925"/>
      <c r="DO114" s="925"/>
      <c r="DP114" s="925"/>
      <c r="DQ114" s="925"/>
      <c r="DR114" s="925"/>
      <c r="DS114" s="925"/>
      <c r="DT114" s="925"/>
      <c r="DU114" s="925"/>
      <c r="DV114" s="925"/>
      <c r="DW114" s="925"/>
      <c r="DX114" s="925"/>
      <c r="DY114" s="925"/>
      <c r="DZ114" s="925"/>
      <c r="EA114" s="925"/>
      <c r="EB114" s="925"/>
      <c r="EC114" s="925"/>
      <c r="ED114" s="925"/>
      <c r="EE114" s="925"/>
      <c r="EF114" s="925"/>
      <c r="EG114" s="446"/>
    </row>
    <row r="115" spans="1:137" ht="13" x14ac:dyDescent="0.15">
      <c r="A115" s="917"/>
      <c r="B115" s="917"/>
      <c r="C115" s="918"/>
      <c r="D115" s="919"/>
      <c r="E115" s="920"/>
      <c r="F115" s="921"/>
      <c r="G115" s="922"/>
      <c r="H115" s="922"/>
      <c r="I115" s="922"/>
      <c r="J115" s="923"/>
      <c r="K115" s="923"/>
      <c r="L115" s="924"/>
      <c r="M115" s="925"/>
      <c r="N115" s="925"/>
      <c r="O115" s="925"/>
      <c r="P115" s="925"/>
      <c r="Q115" s="925"/>
      <c r="R115" s="926"/>
      <c r="S115" s="926"/>
      <c r="T115" s="925"/>
      <c r="U115" s="925"/>
      <c r="V115" s="925"/>
      <c r="W115" s="925"/>
      <c r="X115" s="925"/>
      <c r="Y115" s="925"/>
      <c r="Z115" s="925"/>
      <c r="AA115" s="925"/>
      <c r="AB115" s="925"/>
      <c r="AC115" s="925"/>
      <c r="AD115" s="925"/>
      <c r="AE115" s="925"/>
      <c r="AF115" s="925"/>
      <c r="AG115" s="925"/>
      <c r="AH115" s="925"/>
      <c r="AI115" s="925"/>
      <c r="AJ115" s="925"/>
      <c r="AK115" s="925"/>
      <c r="AL115" s="925"/>
      <c r="AM115" s="925"/>
      <c r="AN115" s="925"/>
      <c r="AO115" s="925"/>
      <c r="AP115" s="925"/>
      <c r="AQ115" s="925"/>
      <c r="AR115" s="925"/>
      <c r="AS115" s="925"/>
      <c r="AT115" s="925"/>
      <c r="AU115" s="925"/>
      <c r="AV115" s="925"/>
      <c r="AW115" s="925"/>
      <c r="AX115" s="925"/>
      <c r="AY115" s="925"/>
      <c r="AZ115" s="925"/>
      <c r="BA115" s="925"/>
      <c r="BB115" s="925"/>
      <c r="BC115" s="925"/>
      <c r="BD115" s="925"/>
      <c r="BE115" s="925"/>
      <c r="BF115" s="925"/>
      <c r="BG115" s="925"/>
      <c r="BH115" s="925"/>
      <c r="BI115" s="925"/>
      <c r="BJ115" s="925"/>
      <c r="BK115" s="925"/>
      <c r="BL115" s="925"/>
      <c r="BM115" s="925"/>
      <c r="BN115" s="925"/>
      <c r="BO115" s="925"/>
      <c r="BP115" s="925"/>
      <c r="BQ115" s="925"/>
      <c r="BR115" s="925"/>
      <c r="BS115" s="925"/>
      <c r="BT115" s="925"/>
      <c r="BU115" s="925"/>
      <c r="BV115" s="925"/>
      <c r="BW115" s="925"/>
      <c r="BX115" s="925"/>
      <c r="BY115" s="925"/>
      <c r="BZ115" s="925"/>
      <c r="CA115" s="925"/>
      <c r="CB115" s="925"/>
      <c r="CC115" s="925"/>
      <c r="CD115" s="925"/>
      <c r="CE115" s="925"/>
      <c r="CF115" s="925"/>
      <c r="CG115" s="925"/>
      <c r="CH115" s="925"/>
      <c r="CI115" s="925"/>
      <c r="CJ115" s="925"/>
      <c r="CK115" s="925"/>
      <c r="CL115" s="925"/>
      <c r="CM115" s="925"/>
      <c r="CN115" s="925"/>
      <c r="CO115" s="925"/>
      <c r="CP115" s="925"/>
      <c r="CQ115" s="925"/>
      <c r="CR115" s="925"/>
      <c r="CS115" s="925"/>
      <c r="CT115" s="925"/>
      <c r="CU115" s="925"/>
      <c r="CV115" s="925"/>
      <c r="CW115" s="925"/>
      <c r="CX115" s="925"/>
      <c r="CY115" s="925"/>
      <c r="CZ115" s="925"/>
      <c r="DA115" s="925"/>
      <c r="DB115" s="925"/>
      <c r="DC115" s="925"/>
      <c r="DD115" s="925"/>
      <c r="DE115" s="925"/>
      <c r="DF115" s="925"/>
      <c r="DG115" s="925"/>
      <c r="DH115" s="925"/>
      <c r="DI115" s="925"/>
      <c r="DJ115" s="925"/>
      <c r="DK115" s="925"/>
      <c r="DL115" s="925"/>
      <c r="DM115" s="925"/>
      <c r="DN115" s="925"/>
      <c r="DO115" s="925"/>
      <c r="DP115" s="925"/>
      <c r="DQ115" s="925"/>
      <c r="DR115" s="925"/>
      <c r="DS115" s="925"/>
      <c r="DT115" s="925"/>
      <c r="DU115" s="925"/>
      <c r="DV115" s="925"/>
      <c r="DW115" s="925"/>
      <c r="DX115" s="925"/>
      <c r="DY115" s="925"/>
      <c r="DZ115" s="925"/>
      <c r="EA115" s="925"/>
      <c r="EB115" s="925"/>
      <c r="EC115" s="925"/>
      <c r="ED115" s="925"/>
      <c r="EE115" s="925"/>
      <c r="EF115" s="925"/>
      <c r="EG115" s="446"/>
    </row>
    <row r="116" spans="1:137" ht="13" x14ac:dyDescent="0.15">
      <c r="A116" s="917"/>
      <c r="B116" s="917"/>
      <c r="C116" s="918"/>
      <c r="D116" s="919"/>
      <c r="E116" s="920"/>
      <c r="F116" s="921"/>
      <c r="G116" s="922"/>
      <c r="H116" s="922"/>
      <c r="I116" s="922"/>
      <c r="J116" s="923"/>
      <c r="K116" s="923"/>
      <c r="L116" s="924"/>
      <c r="M116" s="925"/>
      <c r="N116" s="925"/>
      <c r="O116" s="925"/>
      <c r="P116" s="925"/>
      <c r="Q116" s="925"/>
      <c r="R116" s="926"/>
      <c r="S116" s="926"/>
      <c r="T116" s="925"/>
      <c r="U116" s="925"/>
      <c r="V116" s="925"/>
      <c r="W116" s="925"/>
      <c r="X116" s="925"/>
      <c r="Y116" s="925"/>
      <c r="Z116" s="925"/>
      <c r="AA116" s="925"/>
      <c r="AB116" s="925"/>
      <c r="AC116" s="925"/>
      <c r="AD116" s="925"/>
      <c r="AE116" s="925"/>
      <c r="AF116" s="925"/>
      <c r="AG116" s="925"/>
      <c r="AH116" s="925"/>
      <c r="AI116" s="925"/>
      <c r="AJ116" s="925"/>
      <c r="AK116" s="925"/>
      <c r="AL116" s="925"/>
      <c r="AM116" s="925"/>
      <c r="AN116" s="925"/>
      <c r="AO116" s="925"/>
      <c r="AP116" s="925"/>
      <c r="AQ116" s="925"/>
      <c r="AR116" s="925"/>
      <c r="AS116" s="925"/>
      <c r="AT116" s="925"/>
      <c r="AU116" s="925"/>
      <c r="AV116" s="925"/>
      <c r="AW116" s="925"/>
      <c r="AX116" s="925"/>
      <c r="AY116" s="925"/>
      <c r="AZ116" s="925"/>
      <c r="BA116" s="925"/>
      <c r="BB116" s="925"/>
      <c r="BC116" s="925"/>
      <c r="BD116" s="925"/>
      <c r="BE116" s="925"/>
      <c r="BF116" s="925"/>
      <c r="BG116" s="925"/>
      <c r="BH116" s="925"/>
      <c r="BI116" s="925"/>
      <c r="BJ116" s="925"/>
      <c r="BK116" s="925"/>
      <c r="BL116" s="925"/>
      <c r="BM116" s="925"/>
      <c r="BN116" s="925"/>
      <c r="BO116" s="925"/>
      <c r="BP116" s="925"/>
      <c r="BQ116" s="925"/>
      <c r="BR116" s="925"/>
      <c r="BS116" s="925"/>
      <c r="BT116" s="925"/>
      <c r="BU116" s="925"/>
      <c r="BV116" s="925"/>
      <c r="BW116" s="925"/>
      <c r="BX116" s="925"/>
      <c r="BY116" s="925"/>
      <c r="BZ116" s="925"/>
      <c r="CA116" s="925"/>
      <c r="CB116" s="925"/>
      <c r="CC116" s="925"/>
      <c r="CD116" s="925"/>
      <c r="CE116" s="925"/>
      <c r="CF116" s="925"/>
      <c r="CG116" s="925"/>
      <c r="CH116" s="925"/>
      <c r="CI116" s="925"/>
      <c r="CJ116" s="925"/>
      <c r="CK116" s="925"/>
      <c r="CL116" s="925"/>
      <c r="CM116" s="925"/>
      <c r="CN116" s="925"/>
      <c r="CO116" s="925"/>
      <c r="CP116" s="925"/>
      <c r="CQ116" s="925"/>
      <c r="CR116" s="925"/>
      <c r="CS116" s="925"/>
      <c r="CT116" s="925"/>
      <c r="CU116" s="925"/>
      <c r="CV116" s="925"/>
      <c r="CW116" s="925"/>
      <c r="CX116" s="925"/>
      <c r="CY116" s="925"/>
      <c r="CZ116" s="925"/>
      <c r="DA116" s="925"/>
      <c r="DB116" s="925"/>
      <c r="DC116" s="925"/>
      <c r="DD116" s="925"/>
      <c r="DE116" s="925"/>
      <c r="DF116" s="925"/>
      <c r="DG116" s="925"/>
      <c r="DH116" s="925"/>
      <c r="DI116" s="925"/>
      <c r="DJ116" s="925"/>
      <c r="DK116" s="925"/>
      <c r="DL116" s="925"/>
      <c r="DM116" s="925"/>
      <c r="DN116" s="925"/>
      <c r="DO116" s="925"/>
      <c r="DP116" s="925"/>
      <c r="DQ116" s="925"/>
      <c r="DR116" s="925"/>
      <c r="DS116" s="925"/>
      <c r="DT116" s="925"/>
      <c r="DU116" s="925"/>
      <c r="DV116" s="925"/>
      <c r="DW116" s="925"/>
      <c r="DX116" s="925"/>
      <c r="DY116" s="925"/>
      <c r="DZ116" s="925"/>
      <c r="EA116" s="925"/>
      <c r="EB116" s="925"/>
      <c r="EC116" s="925"/>
      <c r="ED116" s="925"/>
      <c r="EE116" s="925"/>
      <c r="EF116" s="925"/>
      <c r="EG116" s="446"/>
    </row>
    <row r="117" spans="1:137" ht="13" x14ac:dyDescent="0.15">
      <c r="A117" s="917"/>
      <c r="B117" s="917"/>
      <c r="C117" s="918"/>
      <c r="D117" s="919"/>
      <c r="E117" s="920"/>
      <c r="F117" s="921"/>
      <c r="G117" s="922"/>
      <c r="H117" s="922"/>
      <c r="I117" s="922"/>
      <c r="J117" s="923"/>
      <c r="K117" s="923"/>
      <c r="L117" s="924"/>
      <c r="M117" s="925"/>
      <c r="N117" s="925"/>
      <c r="O117" s="925"/>
      <c r="P117" s="925"/>
      <c r="Q117" s="925"/>
      <c r="R117" s="926"/>
      <c r="S117" s="926"/>
      <c r="T117" s="925"/>
      <c r="U117" s="925"/>
      <c r="V117" s="925"/>
      <c r="W117" s="925"/>
      <c r="X117" s="925"/>
      <c r="Y117" s="925"/>
      <c r="Z117" s="925"/>
      <c r="AA117" s="925"/>
      <c r="AB117" s="925"/>
      <c r="AC117" s="925"/>
      <c r="AD117" s="925"/>
      <c r="AE117" s="925"/>
      <c r="AF117" s="925"/>
      <c r="AG117" s="925"/>
      <c r="AH117" s="925"/>
      <c r="AI117" s="925"/>
      <c r="AJ117" s="925"/>
      <c r="AK117" s="925"/>
      <c r="AL117" s="925"/>
      <c r="AM117" s="925"/>
      <c r="AN117" s="925"/>
      <c r="AO117" s="925"/>
      <c r="AP117" s="925"/>
      <c r="AQ117" s="925"/>
      <c r="AR117" s="925"/>
      <c r="AS117" s="925"/>
      <c r="AT117" s="925"/>
      <c r="AU117" s="925"/>
      <c r="AV117" s="925"/>
      <c r="AW117" s="925"/>
      <c r="AX117" s="925"/>
      <c r="AY117" s="925"/>
      <c r="AZ117" s="925"/>
      <c r="BA117" s="925"/>
      <c r="BB117" s="925"/>
      <c r="BC117" s="925"/>
      <c r="BD117" s="925"/>
      <c r="BE117" s="925"/>
      <c r="BF117" s="925"/>
      <c r="BG117" s="925"/>
      <c r="BH117" s="925"/>
      <c r="BI117" s="925"/>
      <c r="BJ117" s="925"/>
      <c r="BK117" s="925"/>
      <c r="BL117" s="925"/>
      <c r="BM117" s="925"/>
      <c r="BN117" s="925"/>
      <c r="BO117" s="925"/>
      <c r="BP117" s="925"/>
      <c r="BQ117" s="925"/>
      <c r="BR117" s="925"/>
      <c r="BS117" s="925"/>
      <c r="BT117" s="925"/>
      <c r="BU117" s="925"/>
      <c r="BV117" s="925"/>
      <c r="BW117" s="925"/>
      <c r="BX117" s="925"/>
      <c r="BY117" s="925"/>
      <c r="BZ117" s="925"/>
      <c r="CA117" s="925"/>
      <c r="CB117" s="925"/>
      <c r="CC117" s="925"/>
      <c r="CD117" s="925"/>
      <c r="CE117" s="925"/>
      <c r="CF117" s="925"/>
      <c r="CG117" s="925"/>
      <c r="CH117" s="925"/>
      <c r="CI117" s="925"/>
      <c r="CJ117" s="925"/>
      <c r="CK117" s="925"/>
      <c r="CL117" s="925"/>
      <c r="CM117" s="925"/>
      <c r="CN117" s="925"/>
      <c r="CO117" s="925"/>
      <c r="CP117" s="925"/>
      <c r="CQ117" s="925"/>
      <c r="CR117" s="925"/>
      <c r="CS117" s="925"/>
      <c r="CT117" s="925"/>
      <c r="CU117" s="925"/>
      <c r="CV117" s="925"/>
      <c r="CW117" s="925"/>
      <c r="CX117" s="925"/>
      <c r="CY117" s="925"/>
      <c r="CZ117" s="925"/>
      <c r="DA117" s="925"/>
      <c r="DB117" s="925"/>
      <c r="DC117" s="925"/>
      <c r="DD117" s="925"/>
      <c r="DE117" s="925"/>
      <c r="DF117" s="925"/>
      <c r="DG117" s="925"/>
      <c r="DH117" s="925"/>
      <c r="DI117" s="925"/>
      <c r="DJ117" s="925"/>
      <c r="DK117" s="925"/>
      <c r="DL117" s="925"/>
      <c r="DM117" s="925"/>
      <c r="DN117" s="925"/>
      <c r="DO117" s="925"/>
      <c r="DP117" s="925"/>
      <c r="DQ117" s="925"/>
      <c r="DR117" s="925"/>
      <c r="DS117" s="925"/>
      <c r="DT117" s="925"/>
      <c r="DU117" s="925"/>
      <c r="DV117" s="925"/>
      <c r="DW117" s="925"/>
      <c r="DX117" s="925"/>
      <c r="DY117" s="925"/>
      <c r="DZ117" s="925"/>
      <c r="EA117" s="925"/>
      <c r="EB117" s="925"/>
      <c r="EC117" s="925"/>
      <c r="ED117" s="925"/>
      <c r="EE117" s="925"/>
      <c r="EF117" s="925"/>
      <c r="EG117" s="446"/>
    </row>
    <row r="118" spans="1:137" ht="13" x14ac:dyDescent="0.15">
      <c r="A118" s="917"/>
      <c r="B118" s="917"/>
      <c r="C118" s="918"/>
      <c r="D118" s="919"/>
      <c r="E118" s="920"/>
      <c r="F118" s="921"/>
      <c r="G118" s="922"/>
      <c r="H118" s="922"/>
      <c r="I118" s="922"/>
      <c r="J118" s="923"/>
      <c r="K118" s="923"/>
      <c r="L118" s="924"/>
      <c r="M118" s="925"/>
      <c r="N118" s="925"/>
      <c r="O118" s="925"/>
      <c r="P118" s="925"/>
      <c r="Q118" s="925"/>
      <c r="R118" s="926"/>
      <c r="S118" s="926"/>
      <c r="T118" s="925"/>
      <c r="U118" s="925"/>
      <c r="V118" s="925"/>
      <c r="W118" s="925"/>
      <c r="X118" s="925"/>
      <c r="Y118" s="925"/>
      <c r="Z118" s="925"/>
      <c r="AA118" s="925"/>
      <c r="AB118" s="925"/>
      <c r="AC118" s="925"/>
      <c r="AD118" s="925"/>
      <c r="AE118" s="925"/>
      <c r="AF118" s="925"/>
      <c r="AG118" s="925"/>
      <c r="AH118" s="925"/>
      <c r="AI118" s="925"/>
      <c r="AJ118" s="925"/>
      <c r="AK118" s="925"/>
      <c r="AL118" s="925"/>
      <c r="AM118" s="925"/>
      <c r="AN118" s="925"/>
      <c r="AO118" s="925"/>
      <c r="AP118" s="925"/>
      <c r="AQ118" s="925"/>
      <c r="AR118" s="925"/>
      <c r="AS118" s="925"/>
      <c r="AT118" s="925"/>
      <c r="AU118" s="925"/>
      <c r="AV118" s="925"/>
      <c r="AW118" s="925"/>
      <c r="AX118" s="925"/>
      <c r="AY118" s="925"/>
      <c r="AZ118" s="925"/>
      <c r="BA118" s="925"/>
      <c r="BB118" s="925"/>
      <c r="BC118" s="925"/>
      <c r="BD118" s="925"/>
      <c r="BE118" s="925"/>
      <c r="BF118" s="925"/>
      <c r="BG118" s="925"/>
      <c r="BH118" s="925"/>
      <c r="BI118" s="925"/>
      <c r="BJ118" s="925"/>
      <c r="BK118" s="925"/>
      <c r="BL118" s="925"/>
      <c r="BM118" s="925"/>
      <c r="BN118" s="925"/>
      <c r="BO118" s="925"/>
      <c r="BP118" s="925"/>
      <c r="BQ118" s="925"/>
      <c r="BR118" s="925"/>
      <c r="BS118" s="925"/>
      <c r="BT118" s="925"/>
      <c r="BU118" s="925"/>
      <c r="BV118" s="925"/>
      <c r="BW118" s="925"/>
      <c r="BX118" s="925"/>
      <c r="BY118" s="925"/>
      <c r="BZ118" s="925"/>
      <c r="CA118" s="925"/>
      <c r="CB118" s="925"/>
      <c r="CC118" s="925"/>
      <c r="CD118" s="925"/>
      <c r="CE118" s="925"/>
      <c r="CF118" s="925"/>
      <c r="CG118" s="925"/>
      <c r="CH118" s="925"/>
      <c r="CI118" s="925"/>
      <c r="CJ118" s="925"/>
      <c r="CK118" s="925"/>
      <c r="CL118" s="925"/>
      <c r="CM118" s="925"/>
      <c r="CN118" s="925"/>
      <c r="CO118" s="925"/>
      <c r="CP118" s="925"/>
      <c r="CQ118" s="925"/>
      <c r="CR118" s="925"/>
      <c r="CS118" s="925"/>
      <c r="CT118" s="925"/>
      <c r="CU118" s="925"/>
      <c r="CV118" s="925"/>
      <c r="CW118" s="925"/>
      <c r="CX118" s="925"/>
      <c r="CY118" s="925"/>
      <c r="CZ118" s="925"/>
      <c r="DA118" s="925"/>
      <c r="DB118" s="925"/>
      <c r="DC118" s="925"/>
      <c r="DD118" s="925"/>
      <c r="DE118" s="925"/>
      <c r="DF118" s="925"/>
      <c r="DG118" s="925"/>
      <c r="DH118" s="925"/>
      <c r="DI118" s="925"/>
      <c r="DJ118" s="925"/>
      <c r="DK118" s="925"/>
      <c r="DL118" s="925"/>
      <c r="DM118" s="925"/>
      <c r="DN118" s="925"/>
      <c r="DO118" s="925"/>
      <c r="DP118" s="925"/>
      <c r="DQ118" s="925"/>
      <c r="DR118" s="925"/>
      <c r="DS118" s="925"/>
      <c r="DT118" s="925"/>
      <c r="DU118" s="925"/>
      <c r="DV118" s="925"/>
      <c r="DW118" s="925"/>
      <c r="DX118" s="925"/>
      <c r="DY118" s="925"/>
      <c r="DZ118" s="925"/>
      <c r="EA118" s="925"/>
      <c r="EB118" s="925"/>
      <c r="EC118" s="925"/>
      <c r="ED118" s="925"/>
      <c r="EE118" s="925"/>
      <c r="EF118" s="925"/>
      <c r="EG118" s="446"/>
    </row>
    <row r="119" spans="1:137" ht="13" x14ac:dyDescent="0.15">
      <c r="A119" s="917"/>
      <c r="B119" s="917"/>
      <c r="C119" s="918"/>
      <c r="D119" s="919"/>
      <c r="E119" s="920"/>
      <c r="F119" s="921"/>
      <c r="G119" s="922"/>
      <c r="H119" s="922"/>
      <c r="I119" s="922"/>
      <c r="J119" s="923"/>
      <c r="K119" s="923"/>
      <c r="L119" s="924"/>
      <c r="M119" s="925"/>
      <c r="N119" s="925"/>
      <c r="O119" s="925"/>
      <c r="P119" s="925"/>
      <c r="Q119" s="925"/>
      <c r="R119" s="926"/>
      <c r="S119" s="926"/>
      <c r="T119" s="925"/>
      <c r="U119" s="925"/>
      <c r="V119" s="925"/>
      <c r="W119" s="925"/>
      <c r="X119" s="925"/>
      <c r="Y119" s="925"/>
      <c r="Z119" s="925"/>
      <c r="AA119" s="925"/>
      <c r="AB119" s="925"/>
      <c r="AC119" s="925"/>
      <c r="AD119" s="925"/>
      <c r="AE119" s="925"/>
      <c r="AF119" s="925"/>
      <c r="AG119" s="925"/>
      <c r="AH119" s="925"/>
      <c r="AI119" s="925"/>
      <c r="AJ119" s="925"/>
      <c r="AK119" s="925"/>
      <c r="AL119" s="925"/>
      <c r="AM119" s="925"/>
      <c r="AN119" s="925"/>
      <c r="AO119" s="925"/>
      <c r="AP119" s="925"/>
      <c r="AQ119" s="925"/>
      <c r="AR119" s="925"/>
      <c r="AS119" s="925"/>
      <c r="AT119" s="925"/>
      <c r="AU119" s="925"/>
      <c r="AV119" s="925"/>
      <c r="AW119" s="925"/>
      <c r="AX119" s="925"/>
      <c r="AY119" s="925"/>
      <c r="AZ119" s="925"/>
      <c r="BA119" s="925"/>
      <c r="BB119" s="925"/>
      <c r="BC119" s="925"/>
      <c r="BD119" s="925"/>
      <c r="BE119" s="925"/>
      <c r="BF119" s="925"/>
      <c r="BG119" s="925"/>
      <c r="BH119" s="925"/>
      <c r="BI119" s="925"/>
      <c r="BJ119" s="925"/>
      <c r="BK119" s="925"/>
      <c r="BL119" s="925"/>
      <c r="BM119" s="925"/>
      <c r="BN119" s="925"/>
      <c r="BO119" s="925"/>
      <c r="BP119" s="925"/>
      <c r="BQ119" s="925"/>
      <c r="BR119" s="925"/>
      <c r="BS119" s="925"/>
      <c r="BT119" s="925"/>
      <c r="BU119" s="925"/>
      <c r="BV119" s="925"/>
      <c r="BW119" s="925"/>
      <c r="BX119" s="925"/>
      <c r="BY119" s="925"/>
      <c r="BZ119" s="925"/>
      <c r="CA119" s="925"/>
      <c r="CB119" s="925"/>
      <c r="CC119" s="925"/>
      <c r="CD119" s="925"/>
      <c r="CE119" s="925"/>
      <c r="CF119" s="925"/>
      <c r="CG119" s="925"/>
      <c r="CH119" s="925"/>
      <c r="CI119" s="925"/>
      <c r="CJ119" s="925"/>
      <c r="CK119" s="925"/>
      <c r="CL119" s="925"/>
      <c r="CM119" s="925"/>
      <c r="CN119" s="925"/>
      <c r="CO119" s="925"/>
      <c r="CP119" s="925"/>
      <c r="CQ119" s="925"/>
      <c r="CR119" s="925"/>
      <c r="CS119" s="925"/>
      <c r="CT119" s="925"/>
      <c r="CU119" s="925"/>
      <c r="CV119" s="925"/>
      <c r="CW119" s="925"/>
      <c r="CX119" s="925"/>
      <c r="CY119" s="925"/>
      <c r="CZ119" s="925"/>
      <c r="DA119" s="925"/>
      <c r="DB119" s="925"/>
      <c r="DC119" s="925"/>
      <c r="DD119" s="925"/>
      <c r="DE119" s="925"/>
      <c r="DF119" s="925"/>
      <c r="DG119" s="925"/>
      <c r="DH119" s="925"/>
      <c r="DI119" s="925"/>
      <c r="DJ119" s="925"/>
      <c r="DK119" s="925"/>
      <c r="DL119" s="925"/>
      <c r="DM119" s="925"/>
      <c r="DN119" s="925"/>
      <c r="DO119" s="925"/>
      <c r="DP119" s="925"/>
      <c r="DQ119" s="925"/>
      <c r="DR119" s="925"/>
      <c r="DS119" s="925"/>
      <c r="DT119" s="925"/>
      <c r="DU119" s="925"/>
      <c r="DV119" s="925"/>
      <c r="DW119" s="925"/>
      <c r="DX119" s="925"/>
      <c r="DY119" s="925"/>
      <c r="DZ119" s="925"/>
      <c r="EA119" s="925"/>
      <c r="EB119" s="925"/>
      <c r="EC119" s="925"/>
      <c r="ED119" s="925"/>
      <c r="EE119" s="925"/>
      <c r="EF119" s="925"/>
      <c r="EG119" s="446"/>
    </row>
    <row r="120" spans="1:137" ht="13" x14ac:dyDescent="0.15">
      <c r="A120" s="917"/>
      <c r="B120" s="917"/>
      <c r="C120" s="918"/>
      <c r="D120" s="919"/>
      <c r="E120" s="920"/>
      <c r="F120" s="921"/>
      <c r="G120" s="922"/>
      <c r="H120" s="922"/>
      <c r="I120" s="922"/>
      <c r="J120" s="923"/>
      <c r="K120" s="923"/>
      <c r="L120" s="924"/>
      <c r="M120" s="925"/>
      <c r="N120" s="925"/>
      <c r="O120" s="925"/>
      <c r="P120" s="925"/>
      <c r="Q120" s="925"/>
      <c r="R120" s="926"/>
      <c r="S120" s="926"/>
      <c r="T120" s="925"/>
      <c r="U120" s="925"/>
      <c r="V120" s="925"/>
      <c r="W120" s="925"/>
      <c r="X120" s="925"/>
      <c r="Y120" s="925"/>
      <c r="Z120" s="925"/>
      <c r="AA120" s="925"/>
      <c r="AB120" s="925"/>
      <c r="AC120" s="925"/>
      <c r="AD120" s="925"/>
      <c r="AE120" s="925"/>
      <c r="AF120" s="925"/>
      <c r="AG120" s="925"/>
      <c r="AH120" s="925"/>
      <c r="AI120" s="925"/>
      <c r="AJ120" s="925"/>
      <c r="AK120" s="925"/>
      <c r="AL120" s="925"/>
      <c r="AM120" s="925"/>
      <c r="AN120" s="925"/>
      <c r="AO120" s="925"/>
      <c r="AP120" s="925"/>
      <c r="AQ120" s="925"/>
      <c r="AR120" s="925"/>
      <c r="AS120" s="925"/>
      <c r="AT120" s="925"/>
      <c r="AU120" s="925"/>
      <c r="AV120" s="925"/>
      <c r="AW120" s="925"/>
      <c r="AX120" s="925"/>
      <c r="AY120" s="925"/>
      <c r="AZ120" s="925"/>
      <c r="BA120" s="925"/>
      <c r="BB120" s="925"/>
      <c r="BC120" s="925"/>
      <c r="BD120" s="925"/>
      <c r="BE120" s="925"/>
      <c r="BF120" s="925"/>
      <c r="BG120" s="925"/>
      <c r="BH120" s="925"/>
      <c r="BI120" s="925"/>
      <c r="BJ120" s="925"/>
      <c r="BK120" s="925"/>
      <c r="BL120" s="925"/>
      <c r="BM120" s="925"/>
      <c r="BN120" s="925"/>
      <c r="BO120" s="925"/>
      <c r="BP120" s="925"/>
      <c r="BQ120" s="925"/>
      <c r="BR120" s="925"/>
      <c r="BS120" s="925"/>
      <c r="BT120" s="925"/>
      <c r="BU120" s="925"/>
      <c r="BV120" s="925"/>
      <c r="BW120" s="925"/>
      <c r="BX120" s="925"/>
      <c r="BY120" s="925"/>
      <c r="BZ120" s="925"/>
      <c r="CA120" s="925"/>
      <c r="CB120" s="925"/>
      <c r="CC120" s="925"/>
      <c r="CD120" s="925"/>
      <c r="CE120" s="925"/>
      <c r="CF120" s="925"/>
      <c r="CG120" s="925"/>
      <c r="CH120" s="925"/>
      <c r="CI120" s="925"/>
      <c r="CJ120" s="925"/>
      <c r="CK120" s="925"/>
      <c r="CL120" s="925"/>
      <c r="CM120" s="925"/>
      <c r="CN120" s="925"/>
      <c r="CO120" s="925"/>
      <c r="CP120" s="925"/>
      <c r="CQ120" s="925"/>
      <c r="CR120" s="925"/>
      <c r="CS120" s="925"/>
      <c r="CT120" s="925"/>
      <c r="CU120" s="925"/>
      <c r="CV120" s="925"/>
      <c r="CW120" s="925"/>
      <c r="CX120" s="925"/>
      <c r="CY120" s="925"/>
      <c r="CZ120" s="925"/>
      <c r="DA120" s="925"/>
      <c r="DB120" s="925"/>
      <c r="DC120" s="925"/>
      <c r="DD120" s="925"/>
      <c r="DE120" s="925"/>
      <c r="DF120" s="925"/>
      <c r="DG120" s="925"/>
      <c r="DH120" s="925"/>
      <c r="DI120" s="925"/>
      <c r="DJ120" s="925"/>
      <c r="DK120" s="925"/>
      <c r="DL120" s="925"/>
      <c r="DM120" s="925"/>
      <c r="DN120" s="925"/>
      <c r="DO120" s="925"/>
      <c r="DP120" s="925"/>
      <c r="DQ120" s="925"/>
      <c r="DR120" s="925"/>
      <c r="DS120" s="925"/>
      <c r="DT120" s="925"/>
      <c r="DU120" s="925"/>
      <c r="DV120" s="925"/>
      <c r="DW120" s="925"/>
      <c r="DX120" s="925"/>
      <c r="DY120" s="925"/>
      <c r="DZ120" s="925"/>
      <c r="EA120" s="925"/>
      <c r="EB120" s="925"/>
      <c r="EC120" s="925"/>
      <c r="ED120" s="925"/>
      <c r="EE120" s="925"/>
      <c r="EF120" s="925"/>
      <c r="EG120" s="446"/>
    </row>
    <row r="121" spans="1:137" ht="13" x14ac:dyDescent="0.15">
      <c r="A121" s="917"/>
      <c r="B121" s="917"/>
      <c r="C121" s="918"/>
      <c r="D121" s="919"/>
      <c r="E121" s="920"/>
      <c r="F121" s="921"/>
      <c r="G121" s="922"/>
      <c r="H121" s="922"/>
      <c r="I121" s="922"/>
      <c r="J121" s="923"/>
      <c r="K121" s="923"/>
      <c r="L121" s="924"/>
      <c r="M121" s="925"/>
      <c r="N121" s="925"/>
      <c r="O121" s="925"/>
      <c r="P121" s="925"/>
      <c r="Q121" s="925"/>
      <c r="R121" s="926"/>
      <c r="S121" s="926"/>
      <c r="T121" s="925"/>
      <c r="U121" s="925"/>
      <c r="V121" s="925"/>
      <c r="W121" s="925"/>
      <c r="X121" s="925"/>
      <c r="Y121" s="925"/>
      <c r="Z121" s="925"/>
      <c r="AA121" s="925"/>
      <c r="AB121" s="925"/>
      <c r="AC121" s="925"/>
      <c r="AD121" s="925"/>
      <c r="AE121" s="925"/>
      <c r="AF121" s="925"/>
      <c r="AG121" s="925"/>
      <c r="AH121" s="925"/>
      <c r="AI121" s="925"/>
      <c r="AJ121" s="925"/>
      <c r="AK121" s="925"/>
      <c r="AL121" s="925"/>
      <c r="AM121" s="925"/>
      <c r="AN121" s="925"/>
      <c r="AO121" s="925"/>
      <c r="AP121" s="925"/>
      <c r="AQ121" s="925"/>
      <c r="AR121" s="925"/>
      <c r="AS121" s="925"/>
      <c r="AT121" s="925"/>
      <c r="AU121" s="925"/>
      <c r="AV121" s="925"/>
      <c r="AW121" s="925"/>
      <c r="AX121" s="925"/>
      <c r="AY121" s="925"/>
      <c r="AZ121" s="925"/>
      <c r="BA121" s="925"/>
      <c r="BB121" s="925"/>
      <c r="BC121" s="925"/>
      <c r="BD121" s="925"/>
      <c r="BE121" s="925"/>
      <c r="BF121" s="925"/>
      <c r="BG121" s="925"/>
      <c r="BH121" s="925"/>
      <c r="BI121" s="925"/>
      <c r="BJ121" s="925"/>
      <c r="BK121" s="925"/>
      <c r="BL121" s="925"/>
      <c r="BM121" s="925"/>
      <c r="BN121" s="925"/>
      <c r="BO121" s="925"/>
      <c r="BP121" s="925"/>
      <c r="BQ121" s="925"/>
      <c r="BR121" s="925"/>
      <c r="BS121" s="925"/>
      <c r="BT121" s="925"/>
      <c r="BU121" s="925"/>
      <c r="BV121" s="925"/>
      <c r="BW121" s="925"/>
      <c r="BX121" s="925"/>
      <c r="BY121" s="925"/>
      <c r="BZ121" s="925"/>
      <c r="CA121" s="925"/>
      <c r="CB121" s="925"/>
      <c r="CC121" s="925"/>
      <c r="CD121" s="925"/>
      <c r="CE121" s="925"/>
      <c r="CF121" s="925"/>
      <c r="CG121" s="925"/>
      <c r="CH121" s="925"/>
      <c r="CI121" s="925"/>
      <c r="CJ121" s="925"/>
      <c r="CK121" s="925"/>
      <c r="CL121" s="925"/>
      <c r="CM121" s="925"/>
      <c r="CN121" s="925"/>
      <c r="CO121" s="925"/>
      <c r="CP121" s="925"/>
      <c r="CQ121" s="925"/>
      <c r="CR121" s="925"/>
      <c r="CS121" s="925"/>
      <c r="CT121" s="925"/>
      <c r="CU121" s="925"/>
      <c r="CV121" s="925"/>
      <c r="CW121" s="925"/>
      <c r="CX121" s="925"/>
      <c r="CY121" s="925"/>
      <c r="CZ121" s="925"/>
      <c r="DA121" s="925"/>
      <c r="DB121" s="925"/>
      <c r="DC121" s="925"/>
      <c r="DD121" s="925"/>
      <c r="DE121" s="925"/>
      <c r="DF121" s="925"/>
      <c r="DG121" s="925"/>
      <c r="DH121" s="925"/>
      <c r="DI121" s="925"/>
      <c r="DJ121" s="925"/>
      <c r="DK121" s="925"/>
      <c r="DL121" s="925"/>
      <c r="DM121" s="925"/>
      <c r="DN121" s="925"/>
      <c r="DO121" s="925"/>
      <c r="DP121" s="925"/>
      <c r="DQ121" s="925"/>
      <c r="DR121" s="925"/>
      <c r="DS121" s="925"/>
      <c r="DT121" s="925"/>
      <c r="DU121" s="925"/>
      <c r="DV121" s="925"/>
      <c r="DW121" s="925"/>
      <c r="DX121" s="925"/>
      <c r="DY121" s="925"/>
      <c r="DZ121" s="925"/>
      <c r="EA121" s="925"/>
      <c r="EB121" s="925"/>
      <c r="EC121" s="925"/>
      <c r="ED121" s="925"/>
      <c r="EE121" s="925"/>
      <c r="EF121" s="925"/>
      <c r="EG121" s="446"/>
    </row>
    <row r="122" spans="1:137" ht="13" x14ac:dyDescent="0.15">
      <c r="A122" s="917"/>
      <c r="B122" s="917"/>
      <c r="C122" s="918"/>
      <c r="D122" s="919"/>
      <c r="E122" s="920"/>
      <c r="F122" s="921"/>
      <c r="G122" s="922"/>
      <c r="H122" s="922"/>
      <c r="I122" s="922"/>
      <c r="J122" s="923"/>
      <c r="K122" s="923"/>
      <c r="L122" s="924"/>
      <c r="M122" s="925"/>
      <c r="N122" s="925"/>
      <c r="O122" s="925"/>
      <c r="P122" s="925"/>
      <c r="Q122" s="925"/>
      <c r="R122" s="926"/>
      <c r="S122" s="926"/>
      <c r="T122" s="925"/>
      <c r="U122" s="925"/>
      <c r="V122" s="925"/>
      <c r="W122" s="925"/>
      <c r="X122" s="925"/>
      <c r="Y122" s="925"/>
      <c r="Z122" s="925"/>
      <c r="AA122" s="925"/>
      <c r="AB122" s="925"/>
      <c r="AC122" s="925"/>
      <c r="AD122" s="925"/>
      <c r="AE122" s="925"/>
      <c r="AF122" s="925"/>
      <c r="AG122" s="925"/>
      <c r="AH122" s="925"/>
      <c r="AI122" s="925"/>
      <c r="AJ122" s="925"/>
      <c r="AK122" s="925"/>
      <c r="AL122" s="925"/>
      <c r="AM122" s="925"/>
      <c r="AN122" s="925"/>
      <c r="AO122" s="925"/>
      <c r="AP122" s="925"/>
      <c r="AQ122" s="925"/>
      <c r="AR122" s="925"/>
      <c r="AS122" s="925"/>
      <c r="AT122" s="925"/>
      <c r="AU122" s="925"/>
      <c r="AV122" s="925"/>
      <c r="AW122" s="925"/>
      <c r="AX122" s="925"/>
      <c r="AY122" s="925"/>
      <c r="AZ122" s="925"/>
      <c r="BA122" s="925"/>
      <c r="BB122" s="925"/>
      <c r="BC122" s="925"/>
      <c r="BD122" s="925"/>
      <c r="BE122" s="925"/>
      <c r="BF122" s="925"/>
      <c r="BG122" s="925"/>
      <c r="BH122" s="925"/>
      <c r="BI122" s="925"/>
      <c r="BJ122" s="925"/>
      <c r="BK122" s="925"/>
      <c r="BL122" s="925"/>
      <c r="BM122" s="925"/>
      <c r="BN122" s="925"/>
      <c r="BO122" s="925"/>
      <c r="BP122" s="925"/>
      <c r="BQ122" s="925"/>
      <c r="BR122" s="925"/>
      <c r="BS122" s="925"/>
      <c r="BT122" s="925"/>
      <c r="BU122" s="925"/>
      <c r="BV122" s="925"/>
      <c r="BW122" s="925"/>
      <c r="BX122" s="925"/>
      <c r="BY122" s="925"/>
      <c r="BZ122" s="925"/>
      <c r="CA122" s="925"/>
      <c r="CB122" s="925"/>
      <c r="CC122" s="925"/>
      <c r="CD122" s="925"/>
      <c r="CE122" s="925"/>
      <c r="CF122" s="925"/>
      <c r="CG122" s="925"/>
      <c r="CH122" s="925"/>
      <c r="CI122" s="925"/>
      <c r="CJ122" s="925"/>
      <c r="CK122" s="925"/>
      <c r="CL122" s="925"/>
      <c r="CM122" s="925"/>
      <c r="CN122" s="925"/>
      <c r="CO122" s="925"/>
      <c r="CP122" s="925"/>
      <c r="CQ122" s="925"/>
      <c r="CR122" s="925"/>
      <c r="CS122" s="925"/>
      <c r="CT122" s="925"/>
      <c r="CU122" s="925"/>
      <c r="CV122" s="925"/>
      <c r="CW122" s="925"/>
      <c r="CX122" s="925"/>
      <c r="CY122" s="925"/>
      <c r="CZ122" s="925"/>
      <c r="DA122" s="925"/>
      <c r="DB122" s="925"/>
      <c r="DC122" s="925"/>
      <c r="DD122" s="925"/>
      <c r="DE122" s="925"/>
      <c r="DF122" s="925"/>
      <c r="DG122" s="925"/>
      <c r="DH122" s="925"/>
      <c r="DI122" s="925"/>
      <c r="DJ122" s="925"/>
      <c r="DK122" s="925"/>
      <c r="DL122" s="925"/>
      <c r="DM122" s="925"/>
      <c r="DN122" s="925"/>
      <c r="DO122" s="925"/>
      <c r="DP122" s="925"/>
      <c r="DQ122" s="925"/>
      <c r="DR122" s="925"/>
      <c r="DS122" s="925"/>
      <c r="DT122" s="925"/>
      <c r="DU122" s="925"/>
      <c r="DV122" s="925"/>
      <c r="DW122" s="925"/>
      <c r="DX122" s="925"/>
      <c r="DY122" s="925"/>
      <c r="DZ122" s="925"/>
      <c r="EA122" s="925"/>
      <c r="EB122" s="925"/>
      <c r="EC122" s="925"/>
      <c r="ED122" s="925"/>
      <c r="EE122" s="925"/>
      <c r="EF122" s="925"/>
      <c r="EG122" s="446"/>
    </row>
    <row r="123" spans="1:137" ht="13" x14ac:dyDescent="0.15">
      <c r="A123" s="917"/>
      <c r="B123" s="917"/>
      <c r="C123" s="918"/>
      <c r="D123" s="919"/>
      <c r="E123" s="920"/>
      <c r="F123" s="921"/>
      <c r="G123" s="922"/>
      <c r="H123" s="922"/>
      <c r="I123" s="922"/>
      <c r="J123" s="923"/>
      <c r="K123" s="923"/>
      <c r="L123" s="924"/>
      <c r="M123" s="925"/>
      <c r="N123" s="925"/>
      <c r="O123" s="925"/>
      <c r="P123" s="925"/>
      <c r="Q123" s="925"/>
      <c r="R123" s="926"/>
      <c r="S123" s="926"/>
      <c r="T123" s="925"/>
      <c r="U123" s="925"/>
      <c r="V123" s="925"/>
      <c r="W123" s="925"/>
      <c r="X123" s="925"/>
      <c r="Y123" s="925"/>
      <c r="Z123" s="925"/>
      <c r="AA123" s="925"/>
      <c r="AB123" s="925"/>
      <c r="AC123" s="925"/>
      <c r="AD123" s="925"/>
      <c r="AE123" s="925"/>
      <c r="AF123" s="925"/>
      <c r="AG123" s="925"/>
      <c r="AH123" s="925"/>
      <c r="AI123" s="925"/>
      <c r="AJ123" s="925"/>
      <c r="AK123" s="925"/>
      <c r="AL123" s="925"/>
      <c r="AM123" s="925"/>
      <c r="AN123" s="925"/>
      <c r="AO123" s="925"/>
      <c r="AP123" s="925"/>
      <c r="AQ123" s="925"/>
      <c r="AR123" s="925"/>
      <c r="AS123" s="925"/>
      <c r="AT123" s="925"/>
      <c r="AU123" s="925"/>
      <c r="AV123" s="925"/>
      <c r="AW123" s="925"/>
      <c r="AX123" s="925"/>
      <c r="AY123" s="925"/>
      <c r="AZ123" s="925"/>
      <c r="BA123" s="925"/>
      <c r="BB123" s="925"/>
      <c r="BC123" s="925"/>
      <c r="BD123" s="925"/>
      <c r="BE123" s="925"/>
      <c r="BF123" s="925"/>
      <c r="BG123" s="925"/>
      <c r="BH123" s="925"/>
      <c r="BI123" s="925"/>
      <c r="BJ123" s="925"/>
      <c r="BK123" s="925"/>
      <c r="BL123" s="925"/>
      <c r="BM123" s="925"/>
      <c r="BN123" s="925"/>
      <c r="BO123" s="925"/>
      <c r="BP123" s="925"/>
      <c r="BQ123" s="925"/>
      <c r="BR123" s="925"/>
      <c r="BS123" s="925"/>
      <c r="BT123" s="925"/>
      <c r="BU123" s="925"/>
      <c r="BV123" s="925"/>
      <c r="BW123" s="925"/>
      <c r="BX123" s="925"/>
      <c r="BY123" s="925"/>
      <c r="BZ123" s="925"/>
      <c r="CA123" s="925"/>
      <c r="CB123" s="925"/>
      <c r="CC123" s="925"/>
      <c r="CD123" s="925"/>
      <c r="CE123" s="925"/>
      <c r="CF123" s="925"/>
      <c r="CG123" s="925"/>
      <c r="CH123" s="925"/>
      <c r="CI123" s="925"/>
      <c r="CJ123" s="925"/>
      <c r="CK123" s="925"/>
      <c r="CL123" s="925"/>
      <c r="CM123" s="925"/>
      <c r="CN123" s="925"/>
      <c r="CO123" s="925"/>
      <c r="CP123" s="925"/>
      <c r="CQ123" s="925"/>
      <c r="CR123" s="925"/>
      <c r="CS123" s="925"/>
      <c r="CT123" s="925"/>
      <c r="CU123" s="925"/>
      <c r="CV123" s="925"/>
      <c r="CW123" s="925"/>
      <c r="CX123" s="925"/>
      <c r="CY123" s="925"/>
      <c r="CZ123" s="925"/>
      <c r="DA123" s="925"/>
      <c r="DB123" s="925"/>
      <c r="DC123" s="925"/>
      <c r="DD123" s="925"/>
      <c r="DE123" s="925"/>
      <c r="DF123" s="925"/>
      <c r="DG123" s="925"/>
      <c r="DH123" s="925"/>
      <c r="DI123" s="925"/>
      <c r="DJ123" s="925"/>
      <c r="DK123" s="925"/>
      <c r="DL123" s="925"/>
      <c r="DM123" s="925"/>
      <c r="DN123" s="925"/>
      <c r="DO123" s="925"/>
      <c r="DP123" s="925"/>
      <c r="DQ123" s="925"/>
      <c r="DR123" s="925"/>
      <c r="DS123" s="925"/>
      <c r="DT123" s="925"/>
      <c r="DU123" s="925"/>
      <c r="DV123" s="925"/>
      <c r="DW123" s="925"/>
      <c r="DX123" s="925"/>
      <c r="DY123" s="925"/>
      <c r="DZ123" s="925"/>
      <c r="EA123" s="925"/>
      <c r="EB123" s="925"/>
      <c r="EC123" s="925"/>
      <c r="ED123" s="925"/>
      <c r="EE123" s="925"/>
      <c r="EF123" s="925"/>
      <c r="EG123" s="446"/>
    </row>
    <row r="124" spans="1:137" ht="13" x14ac:dyDescent="0.15">
      <c r="A124" s="917"/>
      <c r="B124" s="917"/>
      <c r="C124" s="918"/>
      <c r="D124" s="919"/>
      <c r="E124" s="920"/>
      <c r="F124" s="921"/>
      <c r="G124" s="922"/>
      <c r="H124" s="922"/>
      <c r="I124" s="922"/>
      <c r="J124" s="923"/>
      <c r="K124" s="923"/>
      <c r="L124" s="924"/>
      <c r="M124" s="925"/>
      <c r="N124" s="925"/>
      <c r="O124" s="925"/>
      <c r="P124" s="925"/>
      <c r="Q124" s="925"/>
      <c r="R124" s="926"/>
      <c r="S124" s="926"/>
      <c r="T124" s="925"/>
      <c r="U124" s="925"/>
      <c r="V124" s="925"/>
      <c r="W124" s="925"/>
      <c r="X124" s="925"/>
      <c r="Y124" s="925"/>
      <c r="Z124" s="925"/>
      <c r="AA124" s="925"/>
      <c r="AB124" s="925"/>
      <c r="AC124" s="925"/>
      <c r="AD124" s="925"/>
      <c r="AE124" s="925"/>
      <c r="AF124" s="925"/>
      <c r="AG124" s="925"/>
      <c r="AH124" s="925"/>
      <c r="AI124" s="925"/>
      <c r="AJ124" s="925"/>
      <c r="AK124" s="925"/>
      <c r="AL124" s="925"/>
      <c r="AM124" s="925"/>
      <c r="AN124" s="925"/>
      <c r="AO124" s="925"/>
      <c r="AP124" s="925"/>
      <c r="AQ124" s="925"/>
      <c r="AR124" s="925"/>
      <c r="AS124" s="925"/>
      <c r="AT124" s="925"/>
      <c r="AU124" s="925"/>
      <c r="AV124" s="925"/>
      <c r="AW124" s="925"/>
      <c r="AX124" s="925"/>
      <c r="AY124" s="925"/>
      <c r="AZ124" s="925"/>
      <c r="BA124" s="925"/>
      <c r="BB124" s="925"/>
      <c r="BC124" s="925"/>
      <c r="BD124" s="925"/>
      <c r="BE124" s="925"/>
      <c r="BF124" s="925"/>
      <c r="BG124" s="925"/>
      <c r="BH124" s="925"/>
      <c r="BI124" s="925"/>
      <c r="BJ124" s="925"/>
      <c r="BK124" s="925"/>
      <c r="BL124" s="925"/>
      <c r="BM124" s="925"/>
      <c r="BN124" s="925"/>
      <c r="BO124" s="925"/>
      <c r="BP124" s="925"/>
      <c r="BQ124" s="925"/>
      <c r="BR124" s="925"/>
      <c r="BS124" s="925"/>
      <c r="BT124" s="925"/>
      <c r="BU124" s="925"/>
      <c r="BV124" s="925"/>
      <c r="BW124" s="925"/>
      <c r="BX124" s="925"/>
      <c r="BY124" s="925"/>
      <c r="BZ124" s="925"/>
      <c r="CA124" s="925"/>
      <c r="CB124" s="925"/>
      <c r="CC124" s="925"/>
      <c r="CD124" s="925"/>
      <c r="CE124" s="925"/>
      <c r="CF124" s="925"/>
      <c r="CG124" s="925"/>
      <c r="CH124" s="925"/>
      <c r="CI124" s="925"/>
      <c r="CJ124" s="925"/>
      <c r="CK124" s="925"/>
      <c r="CL124" s="925"/>
      <c r="CM124" s="925"/>
      <c r="CN124" s="925"/>
      <c r="CO124" s="925"/>
      <c r="CP124" s="925"/>
      <c r="CQ124" s="925"/>
      <c r="CR124" s="925"/>
      <c r="CS124" s="925"/>
      <c r="CT124" s="925"/>
      <c r="CU124" s="925"/>
      <c r="CV124" s="925"/>
      <c r="CW124" s="925"/>
      <c r="CX124" s="925"/>
      <c r="CY124" s="925"/>
      <c r="CZ124" s="925"/>
      <c r="DA124" s="925"/>
      <c r="DB124" s="925"/>
      <c r="DC124" s="925"/>
      <c r="DD124" s="925"/>
      <c r="DE124" s="925"/>
      <c r="DF124" s="925"/>
      <c r="DG124" s="925"/>
      <c r="DH124" s="925"/>
      <c r="DI124" s="925"/>
      <c r="DJ124" s="925"/>
      <c r="DK124" s="925"/>
      <c r="DL124" s="925"/>
      <c r="DM124" s="925"/>
      <c r="DN124" s="925"/>
      <c r="DO124" s="925"/>
      <c r="DP124" s="925"/>
      <c r="DQ124" s="925"/>
      <c r="DR124" s="925"/>
      <c r="DS124" s="925"/>
      <c r="DT124" s="925"/>
      <c r="DU124" s="925"/>
      <c r="DV124" s="925"/>
      <c r="DW124" s="925"/>
      <c r="DX124" s="925"/>
      <c r="DY124" s="925"/>
      <c r="DZ124" s="925"/>
      <c r="EA124" s="925"/>
      <c r="EB124" s="925"/>
      <c r="EC124" s="925"/>
      <c r="ED124" s="925"/>
      <c r="EE124" s="925"/>
      <c r="EF124" s="925"/>
      <c r="EG124" s="446"/>
    </row>
    <row r="125" spans="1:137" ht="13" x14ac:dyDescent="0.15">
      <c r="A125" s="917"/>
      <c r="B125" s="917"/>
      <c r="C125" s="918"/>
      <c r="D125" s="919"/>
      <c r="E125" s="920"/>
      <c r="F125" s="921"/>
      <c r="G125" s="922"/>
      <c r="H125" s="922"/>
      <c r="I125" s="922"/>
      <c r="J125" s="923"/>
      <c r="K125" s="923"/>
      <c r="L125" s="924"/>
      <c r="M125" s="925"/>
      <c r="N125" s="925"/>
      <c r="O125" s="925"/>
      <c r="P125" s="925"/>
      <c r="Q125" s="925"/>
      <c r="R125" s="926"/>
      <c r="S125" s="926"/>
      <c r="T125" s="925"/>
      <c r="U125" s="925"/>
      <c r="V125" s="925"/>
      <c r="W125" s="925"/>
      <c r="X125" s="925"/>
      <c r="Y125" s="925"/>
      <c r="Z125" s="925"/>
      <c r="AA125" s="925"/>
      <c r="AB125" s="925"/>
      <c r="AC125" s="925"/>
      <c r="AD125" s="925"/>
      <c r="AE125" s="925"/>
      <c r="AF125" s="925"/>
      <c r="AG125" s="925"/>
      <c r="AH125" s="925"/>
      <c r="AI125" s="925"/>
      <c r="AJ125" s="925"/>
      <c r="AK125" s="925"/>
      <c r="AL125" s="925"/>
      <c r="AM125" s="925"/>
      <c r="AN125" s="925"/>
      <c r="AO125" s="925"/>
      <c r="AP125" s="925"/>
      <c r="AQ125" s="925"/>
      <c r="AR125" s="925"/>
      <c r="AS125" s="925"/>
      <c r="AT125" s="925"/>
      <c r="AU125" s="925"/>
      <c r="AV125" s="925"/>
      <c r="AW125" s="925"/>
      <c r="AX125" s="925"/>
      <c r="AY125" s="925"/>
      <c r="AZ125" s="925"/>
      <c r="BA125" s="925"/>
      <c r="BB125" s="925"/>
      <c r="BC125" s="925"/>
      <c r="BD125" s="925"/>
      <c r="BE125" s="925"/>
      <c r="BF125" s="925"/>
      <c r="BG125" s="925"/>
      <c r="BH125" s="925"/>
      <c r="BI125" s="925"/>
      <c r="BJ125" s="925"/>
      <c r="BK125" s="925"/>
      <c r="BL125" s="925"/>
      <c r="BM125" s="925"/>
      <c r="BN125" s="925"/>
      <c r="BO125" s="925"/>
      <c r="BP125" s="925"/>
      <c r="BQ125" s="925"/>
      <c r="BR125" s="925"/>
      <c r="BS125" s="925"/>
      <c r="BT125" s="925"/>
      <c r="BU125" s="925"/>
      <c r="BV125" s="925"/>
      <c r="BW125" s="925"/>
      <c r="BX125" s="925"/>
      <c r="BY125" s="925"/>
      <c r="BZ125" s="925"/>
      <c r="CA125" s="925"/>
      <c r="CB125" s="925"/>
      <c r="CC125" s="925"/>
      <c r="CD125" s="925"/>
      <c r="CE125" s="925"/>
      <c r="CF125" s="925"/>
      <c r="CG125" s="925"/>
      <c r="CH125" s="925"/>
      <c r="CI125" s="925"/>
      <c r="CJ125" s="925"/>
      <c r="CK125" s="925"/>
      <c r="CL125" s="925"/>
      <c r="CM125" s="925"/>
      <c r="CN125" s="925"/>
      <c r="CO125" s="925"/>
      <c r="CP125" s="925"/>
      <c r="CQ125" s="925"/>
      <c r="CR125" s="925"/>
      <c r="CS125" s="925"/>
      <c r="CT125" s="925"/>
      <c r="CU125" s="925"/>
      <c r="CV125" s="925"/>
      <c r="CW125" s="925"/>
      <c r="CX125" s="925"/>
      <c r="CY125" s="925"/>
      <c r="CZ125" s="925"/>
      <c r="DA125" s="925"/>
      <c r="DB125" s="925"/>
      <c r="DC125" s="925"/>
      <c r="DD125" s="925"/>
      <c r="DE125" s="925"/>
      <c r="DF125" s="925"/>
      <c r="DG125" s="925"/>
      <c r="DH125" s="925"/>
      <c r="DI125" s="925"/>
      <c r="DJ125" s="925"/>
      <c r="DK125" s="925"/>
      <c r="DL125" s="925"/>
      <c r="DM125" s="925"/>
      <c r="DN125" s="925"/>
      <c r="DO125" s="925"/>
      <c r="DP125" s="925"/>
      <c r="DQ125" s="925"/>
      <c r="DR125" s="925"/>
      <c r="DS125" s="925"/>
      <c r="DT125" s="925"/>
      <c r="DU125" s="925"/>
      <c r="DV125" s="925"/>
      <c r="DW125" s="925"/>
      <c r="DX125" s="925"/>
      <c r="DY125" s="925"/>
      <c r="DZ125" s="925"/>
      <c r="EA125" s="925"/>
      <c r="EB125" s="925"/>
      <c r="EC125" s="925"/>
      <c r="ED125" s="925"/>
      <c r="EE125" s="925"/>
      <c r="EF125" s="925"/>
      <c r="EG125" s="446"/>
    </row>
    <row r="126" spans="1:137" ht="13" x14ac:dyDescent="0.15">
      <c r="A126" s="917"/>
      <c r="B126" s="917"/>
      <c r="C126" s="918"/>
      <c r="D126" s="919"/>
      <c r="E126" s="920"/>
      <c r="F126" s="921"/>
      <c r="G126" s="922"/>
      <c r="H126" s="922"/>
      <c r="I126" s="922"/>
      <c r="J126" s="923"/>
      <c r="K126" s="923"/>
      <c r="L126" s="924"/>
      <c r="M126" s="925"/>
      <c r="N126" s="925"/>
      <c r="O126" s="925"/>
      <c r="P126" s="925"/>
      <c r="Q126" s="925"/>
      <c r="R126" s="926"/>
      <c r="S126" s="926"/>
      <c r="T126" s="925"/>
      <c r="U126" s="925"/>
      <c r="V126" s="925"/>
      <c r="W126" s="925"/>
      <c r="X126" s="925"/>
      <c r="Y126" s="925"/>
      <c r="Z126" s="925"/>
      <c r="AA126" s="925"/>
      <c r="AB126" s="925"/>
      <c r="AC126" s="925"/>
      <c r="AD126" s="925"/>
      <c r="AE126" s="925"/>
      <c r="AF126" s="925"/>
      <c r="AG126" s="925"/>
      <c r="AH126" s="925"/>
      <c r="AI126" s="925"/>
      <c r="AJ126" s="925"/>
      <c r="AK126" s="925"/>
      <c r="AL126" s="925"/>
      <c r="AM126" s="925"/>
      <c r="AN126" s="925"/>
      <c r="AO126" s="925"/>
      <c r="AP126" s="925"/>
      <c r="AQ126" s="925"/>
      <c r="AR126" s="925"/>
      <c r="AS126" s="925"/>
      <c r="AT126" s="925"/>
      <c r="AU126" s="925"/>
      <c r="AV126" s="925"/>
      <c r="AW126" s="925"/>
      <c r="AX126" s="925"/>
      <c r="AY126" s="925"/>
      <c r="AZ126" s="925"/>
      <c r="BA126" s="925"/>
      <c r="BB126" s="925"/>
      <c r="BC126" s="925"/>
      <c r="BD126" s="925"/>
      <c r="BE126" s="925"/>
      <c r="BF126" s="925"/>
      <c r="BG126" s="925"/>
      <c r="BH126" s="925"/>
      <c r="BI126" s="925"/>
      <c r="BJ126" s="925"/>
      <c r="BK126" s="925"/>
      <c r="BL126" s="925"/>
      <c r="BM126" s="925"/>
      <c r="BN126" s="925"/>
      <c r="BO126" s="925"/>
      <c r="BP126" s="925"/>
      <c r="BQ126" s="925"/>
      <c r="BR126" s="925"/>
      <c r="BS126" s="925"/>
      <c r="BT126" s="925"/>
      <c r="BU126" s="925"/>
      <c r="BV126" s="925"/>
      <c r="BW126" s="925"/>
      <c r="BX126" s="925"/>
      <c r="BY126" s="925"/>
      <c r="BZ126" s="925"/>
      <c r="CA126" s="925"/>
      <c r="CB126" s="925"/>
      <c r="CC126" s="925"/>
      <c r="CD126" s="925"/>
      <c r="CE126" s="925"/>
      <c r="CF126" s="925"/>
      <c r="CG126" s="925"/>
      <c r="CH126" s="925"/>
      <c r="CI126" s="925"/>
      <c r="CJ126" s="925"/>
      <c r="CK126" s="925"/>
      <c r="CL126" s="925"/>
      <c r="CM126" s="925"/>
      <c r="CN126" s="925"/>
      <c r="CO126" s="925"/>
      <c r="CP126" s="925"/>
      <c r="CQ126" s="925"/>
      <c r="CR126" s="925"/>
      <c r="CS126" s="925"/>
      <c r="CT126" s="925"/>
      <c r="CU126" s="925"/>
      <c r="CV126" s="925"/>
      <c r="CW126" s="925"/>
      <c r="CX126" s="925"/>
      <c r="CY126" s="925"/>
      <c r="CZ126" s="925"/>
      <c r="DA126" s="925"/>
      <c r="DB126" s="925"/>
      <c r="DC126" s="925"/>
      <c r="DD126" s="925"/>
      <c r="DE126" s="925"/>
      <c r="DF126" s="925"/>
      <c r="DG126" s="925"/>
      <c r="DH126" s="925"/>
      <c r="DI126" s="925"/>
      <c r="DJ126" s="925"/>
      <c r="DK126" s="925"/>
      <c r="DL126" s="925"/>
      <c r="DM126" s="925"/>
      <c r="DN126" s="925"/>
      <c r="DO126" s="925"/>
      <c r="DP126" s="925"/>
      <c r="DQ126" s="925"/>
      <c r="DR126" s="925"/>
      <c r="DS126" s="925"/>
      <c r="DT126" s="925"/>
      <c r="DU126" s="925"/>
      <c r="DV126" s="925"/>
      <c r="DW126" s="925"/>
      <c r="DX126" s="925"/>
      <c r="DY126" s="925"/>
      <c r="DZ126" s="925"/>
      <c r="EA126" s="925"/>
      <c r="EB126" s="925"/>
      <c r="EC126" s="925"/>
      <c r="ED126" s="925"/>
      <c r="EE126" s="925"/>
      <c r="EF126" s="925"/>
      <c r="EG126" s="446"/>
    </row>
    <row r="127" spans="1:137" ht="13" x14ac:dyDescent="0.15">
      <c r="A127" s="917"/>
      <c r="B127" s="917"/>
      <c r="C127" s="918"/>
      <c r="D127" s="919"/>
      <c r="E127" s="920"/>
      <c r="F127" s="921"/>
      <c r="G127" s="922"/>
      <c r="H127" s="922"/>
      <c r="I127" s="922"/>
      <c r="J127" s="923"/>
      <c r="K127" s="923"/>
      <c r="L127" s="924"/>
      <c r="M127" s="925"/>
      <c r="N127" s="925"/>
      <c r="O127" s="925"/>
      <c r="P127" s="925"/>
      <c r="Q127" s="925"/>
      <c r="R127" s="926"/>
      <c r="S127" s="926"/>
      <c r="T127" s="925"/>
      <c r="U127" s="925"/>
      <c r="V127" s="925"/>
      <c r="W127" s="925"/>
      <c r="X127" s="925"/>
      <c r="Y127" s="925"/>
      <c r="Z127" s="925"/>
      <c r="AA127" s="925"/>
      <c r="AB127" s="925"/>
      <c r="AC127" s="925"/>
      <c r="AD127" s="925"/>
      <c r="AE127" s="925"/>
      <c r="AF127" s="925"/>
      <c r="AG127" s="925"/>
      <c r="AH127" s="925"/>
      <c r="AI127" s="925"/>
      <c r="AJ127" s="925"/>
      <c r="AK127" s="925"/>
      <c r="AL127" s="925"/>
      <c r="AM127" s="925"/>
      <c r="AN127" s="925"/>
      <c r="AO127" s="925"/>
      <c r="AP127" s="925"/>
      <c r="AQ127" s="925"/>
      <c r="AR127" s="925"/>
      <c r="AS127" s="925"/>
      <c r="AT127" s="925"/>
      <c r="AU127" s="925"/>
      <c r="AV127" s="925"/>
      <c r="AW127" s="925"/>
      <c r="AX127" s="925"/>
      <c r="AY127" s="925"/>
      <c r="AZ127" s="925"/>
      <c r="BA127" s="925"/>
      <c r="BB127" s="925"/>
      <c r="BC127" s="925"/>
      <c r="BD127" s="925"/>
      <c r="BE127" s="925"/>
      <c r="BF127" s="925"/>
      <c r="BG127" s="925"/>
      <c r="BH127" s="925"/>
      <c r="BI127" s="925"/>
      <c r="BJ127" s="925"/>
      <c r="BK127" s="925"/>
      <c r="BL127" s="925"/>
      <c r="BM127" s="925"/>
      <c r="BN127" s="925"/>
      <c r="BO127" s="925"/>
      <c r="BP127" s="925"/>
      <c r="BQ127" s="925"/>
      <c r="BR127" s="925"/>
      <c r="BS127" s="925"/>
      <c r="BT127" s="925"/>
      <c r="BU127" s="925"/>
      <c r="BV127" s="925"/>
      <c r="BW127" s="925"/>
      <c r="BX127" s="925"/>
      <c r="BY127" s="925"/>
      <c r="BZ127" s="925"/>
      <c r="CA127" s="925"/>
      <c r="CB127" s="925"/>
      <c r="CC127" s="925"/>
      <c r="CD127" s="925"/>
      <c r="CE127" s="925"/>
      <c r="CF127" s="925"/>
      <c r="CG127" s="925"/>
      <c r="CH127" s="925"/>
      <c r="CI127" s="925"/>
      <c r="CJ127" s="925"/>
      <c r="CK127" s="925"/>
      <c r="CL127" s="925"/>
      <c r="CM127" s="925"/>
      <c r="CN127" s="925"/>
      <c r="CO127" s="925"/>
      <c r="CP127" s="925"/>
      <c r="CQ127" s="925"/>
      <c r="CR127" s="925"/>
      <c r="CS127" s="925"/>
      <c r="CT127" s="925"/>
      <c r="CU127" s="925"/>
      <c r="CV127" s="925"/>
      <c r="CW127" s="925"/>
      <c r="CX127" s="925"/>
      <c r="CY127" s="925"/>
      <c r="CZ127" s="925"/>
      <c r="DA127" s="925"/>
      <c r="DB127" s="925"/>
      <c r="DC127" s="925"/>
      <c r="DD127" s="925"/>
      <c r="DE127" s="925"/>
      <c r="DF127" s="925"/>
      <c r="DG127" s="925"/>
      <c r="DH127" s="925"/>
      <c r="DI127" s="925"/>
      <c r="DJ127" s="925"/>
      <c r="DK127" s="925"/>
      <c r="DL127" s="925"/>
      <c r="DM127" s="925"/>
      <c r="DN127" s="925"/>
      <c r="DO127" s="925"/>
      <c r="DP127" s="925"/>
      <c r="DQ127" s="925"/>
      <c r="DR127" s="925"/>
      <c r="DS127" s="925"/>
      <c r="DT127" s="925"/>
      <c r="DU127" s="925"/>
      <c r="DV127" s="925"/>
      <c r="DW127" s="925"/>
      <c r="DX127" s="925"/>
      <c r="DY127" s="925"/>
      <c r="DZ127" s="925"/>
      <c r="EA127" s="925"/>
      <c r="EB127" s="925"/>
      <c r="EC127" s="925"/>
      <c r="ED127" s="925"/>
      <c r="EE127" s="925"/>
      <c r="EF127" s="925"/>
      <c r="EG127" s="446"/>
    </row>
    <row r="128" spans="1:137" ht="13" x14ac:dyDescent="0.15">
      <c r="A128" s="917"/>
      <c r="B128" s="917"/>
      <c r="C128" s="918"/>
      <c r="D128" s="919"/>
      <c r="E128" s="920"/>
      <c r="F128" s="921"/>
      <c r="G128" s="922"/>
      <c r="H128" s="922"/>
      <c r="I128" s="922"/>
      <c r="J128" s="923"/>
      <c r="K128" s="923"/>
      <c r="L128" s="924"/>
      <c r="M128" s="925"/>
      <c r="N128" s="925"/>
      <c r="O128" s="925"/>
      <c r="P128" s="925"/>
      <c r="Q128" s="925"/>
      <c r="R128" s="926"/>
      <c r="S128" s="926"/>
      <c r="T128" s="925"/>
      <c r="U128" s="925"/>
      <c r="V128" s="925"/>
      <c r="W128" s="925"/>
      <c r="X128" s="925"/>
      <c r="Y128" s="925"/>
      <c r="Z128" s="925"/>
      <c r="AA128" s="925"/>
      <c r="AB128" s="925"/>
      <c r="AC128" s="925"/>
      <c r="AD128" s="925"/>
      <c r="AE128" s="925"/>
      <c r="AF128" s="925"/>
      <c r="AG128" s="925"/>
      <c r="AH128" s="925"/>
      <c r="AI128" s="925"/>
      <c r="AJ128" s="925"/>
      <c r="AK128" s="925"/>
      <c r="AL128" s="925"/>
      <c r="AM128" s="925"/>
      <c r="AN128" s="925"/>
      <c r="AO128" s="925"/>
      <c r="AP128" s="925"/>
      <c r="AQ128" s="925"/>
      <c r="AR128" s="925"/>
      <c r="AS128" s="925"/>
      <c r="AT128" s="925"/>
      <c r="AU128" s="925"/>
      <c r="AV128" s="925"/>
      <c r="AW128" s="925"/>
      <c r="AX128" s="925"/>
      <c r="AY128" s="925"/>
      <c r="AZ128" s="925"/>
      <c r="BA128" s="925"/>
      <c r="BB128" s="925"/>
      <c r="BC128" s="925"/>
      <c r="BD128" s="925"/>
      <c r="BE128" s="925"/>
      <c r="BF128" s="925"/>
      <c r="BG128" s="925"/>
      <c r="BH128" s="925"/>
      <c r="BI128" s="925"/>
      <c r="BJ128" s="925"/>
      <c r="BK128" s="925"/>
      <c r="BL128" s="925"/>
      <c r="BM128" s="925"/>
      <c r="BN128" s="925"/>
      <c r="BO128" s="925"/>
      <c r="BP128" s="925"/>
      <c r="BQ128" s="925"/>
      <c r="BR128" s="925"/>
      <c r="BS128" s="925"/>
      <c r="BT128" s="925"/>
      <c r="BU128" s="925"/>
      <c r="BV128" s="925"/>
      <c r="BW128" s="925"/>
      <c r="BX128" s="925"/>
      <c r="BY128" s="925"/>
      <c r="BZ128" s="925"/>
      <c r="CA128" s="925"/>
      <c r="CB128" s="925"/>
      <c r="CC128" s="925"/>
      <c r="CD128" s="925"/>
      <c r="CE128" s="925"/>
      <c r="CF128" s="925"/>
      <c r="CG128" s="925"/>
      <c r="CH128" s="925"/>
      <c r="CI128" s="925"/>
      <c r="CJ128" s="925"/>
      <c r="CK128" s="925"/>
      <c r="CL128" s="925"/>
      <c r="CM128" s="925"/>
      <c r="CN128" s="925"/>
      <c r="CO128" s="925"/>
      <c r="CP128" s="925"/>
      <c r="CQ128" s="925"/>
      <c r="CR128" s="925"/>
      <c r="CS128" s="925"/>
      <c r="CT128" s="925"/>
      <c r="CU128" s="925"/>
      <c r="CV128" s="925"/>
      <c r="CW128" s="925"/>
      <c r="CX128" s="925"/>
      <c r="CY128" s="925"/>
      <c r="CZ128" s="925"/>
      <c r="DA128" s="925"/>
      <c r="DB128" s="925"/>
      <c r="DC128" s="925"/>
      <c r="DD128" s="925"/>
      <c r="DE128" s="925"/>
      <c r="DF128" s="925"/>
      <c r="DG128" s="925"/>
      <c r="DH128" s="925"/>
      <c r="DI128" s="925"/>
      <c r="DJ128" s="925"/>
      <c r="DK128" s="925"/>
      <c r="DL128" s="925"/>
      <c r="DM128" s="925"/>
      <c r="DN128" s="925"/>
      <c r="DO128" s="925"/>
      <c r="DP128" s="925"/>
      <c r="DQ128" s="925"/>
      <c r="DR128" s="925"/>
      <c r="DS128" s="925"/>
      <c r="DT128" s="925"/>
      <c r="DU128" s="925"/>
      <c r="DV128" s="925"/>
      <c r="DW128" s="925"/>
      <c r="DX128" s="925"/>
      <c r="DY128" s="925"/>
      <c r="DZ128" s="925"/>
      <c r="EA128" s="925"/>
      <c r="EB128" s="925"/>
      <c r="EC128" s="925"/>
      <c r="ED128" s="925"/>
      <c r="EE128" s="925"/>
      <c r="EF128" s="925"/>
      <c r="EG128" s="446"/>
    </row>
    <row r="129" spans="1:137" ht="13" x14ac:dyDescent="0.15">
      <c r="A129" s="917"/>
      <c r="B129" s="917"/>
      <c r="C129" s="918"/>
      <c r="D129" s="919"/>
      <c r="E129" s="920"/>
      <c r="F129" s="921"/>
      <c r="G129" s="922"/>
      <c r="H129" s="922"/>
      <c r="I129" s="922"/>
      <c r="J129" s="923"/>
      <c r="K129" s="923"/>
      <c r="L129" s="924"/>
      <c r="M129" s="925"/>
      <c r="N129" s="925"/>
      <c r="O129" s="925"/>
      <c r="P129" s="925"/>
      <c r="Q129" s="925"/>
      <c r="R129" s="926"/>
      <c r="S129" s="926"/>
      <c r="T129" s="925"/>
      <c r="U129" s="925"/>
      <c r="V129" s="925"/>
      <c r="W129" s="925"/>
      <c r="X129" s="925"/>
      <c r="Y129" s="925"/>
      <c r="Z129" s="925"/>
      <c r="AA129" s="925"/>
      <c r="AB129" s="925"/>
      <c r="AC129" s="925"/>
      <c r="AD129" s="925"/>
      <c r="AE129" s="925"/>
      <c r="AF129" s="925"/>
      <c r="AG129" s="925"/>
      <c r="AH129" s="925"/>
      <c r="AI129" s="925"/>
      <c r="AJ129" s="925"/>
      <c r="AK129" s="925"/>
      <c r="AL129" s="925"/>
      <c r="AM129" s="925"/>
      <c r="AN129" s="925"/>
      <c r="AO129" s="925"/>
      <c r="AP129" s="925"/>
      <c r="AQ129" s="925"/>
      <c r="AR129" s="925"/>
      <c r="AS129" s="925"/>
      <c r="AT129" s="925"/>
      <c r="AU129" s="925"/>
      <c r="AV129" s="925"/>
      <c r="AW129" s="925"/>
      <c r="AX129" s="925"/>
      <c r="AY129" s="925"/>
      <c r="AZ129" s="925"/>
      <c r="BA129" s="925"/>
      <c r="BB129" s="925"/>
      <c r="BC129" s="925"/>
      <c r="BD129" s="925"/>
      <c r="BE129" s="925"/>
      <c r="BF129" s="925"/>
      <c r="BG129" s="925"/>
      <c r="BH129" s="925"/>
      <c r="BI129" s="925"/>
      <c r="BJ129" s="925"/>
      <c r="BK129" s="925"/>
      <c r="BL129" s="925"/>
      <c r="BM129" s="925"/>
      <c r="BN129" s="925"/>
      <c r="BO129" s="925"/>
      <c r="BP129" s="925"/>
      <c r="BQ129" s="925"/>
      <c r="BR129" s="925"/>
      <c r="BS129" s="925"/>
      <c r="BT129" s="925"/>
      <c r="BU129" s="925"/>
      <c r="BV129" s="925"/>
      <c r="BW129" s="925"/>
      <c r="BX129" s="925"/>
      <c r="BY129" s="925"/>
      <c r="BZ129" s="925"/>
      <c r="CA129" s="925"/>
      <c r="CB129" s="925"/>
      <c r="CC129" s="925"/>
      <c r="CD129" s="925"/>
      <c r="CE129" s="925"/>
      <c r="CF129" s="925"/>
      <c r="CG129" s="925"/>
      <c r="CH129" s="925"/>
      <c r="CI129" s="925"/>
      <c r="CJ129" s="925"/>
      <c r="CK129" s="925"/>
      <c r="CL129" s="925"/>
      <c r="CM129" s="925"/>
      <c r="CN129" s="925"/>
      <c r="CO129" s="925"/>
      <c r="CP129" s="925"/>
      <c r="CQ129" s="925"/>
      <c r="CR129" s="925"/>
      <c r="CS129" s="925"/>
      <c r="CT129" s="925"/>
      <c r="CU129" s="925"/>
      <c r="CV129" s="925"/>
      <c r="CW129" s="925"/>
      <c r="CX129" s="925"/>
      <c r="CY129" s="925"/>
      <c r="CZ129" s="925"/>
      <c r="DA129" s="925"/>
      <c r="DB129" s="925"/>
      <c r="DC129" s="925"/>
      <c r="DD129" s="925"/>
      <c r="DE129" s="925"/>
      <c r="DF129" s="925"/>
      <c r="DG129" s="925"/>
      <c r="DH129" s="925"/>
      <c r="DI129" s="925"/>
      <c r="DJ129" s="925"/>
      <c r="DK129" s="925"/>
      <c r="DL129" s="925"/>
      <c r="DM129" s="925"/>
      <c r="DN129" s="925"/>
      <c r="DO129" s="925"/>
      <c r="DP129" s="925"/>
      <c r="DQ129" s="925"/>
      <c r="DR129" s="925"/>
      <c r="DS129" s="925"/>
      <c r="DT129" s="925"/>
      <c r="DU129" s="925"/>
      <c r="DV129" s="925"/>
      <c r="DW129" s="925"/>
      <c r="DX129" s="925"/>
      <c r="DY129" s="925"/>
      <c r="DZ129" s="925"/>
      <c r="EA129" s="925"/>
      <c r="EB129" s="925"/>
      <c r="EC129" s="925"/>
      <c r="ED129" s="925"/>
      <c r="EE129" s="925"/>
      <c r="EF129" s="925"/>
      <c r="EG129" s="446"/>
    </row>
    <row r="130" spans="1:137" ht="13" x14ac:dyDescent="0.15">
      <c r="A130" s="917"/>
      <c r="B130" s="917"/>
      <c r="C130" s="918"/>
      <c r="D130" s="919"/>
      <c r="E130" s="920"/>
      <c r="F130" s="921"/>
      <c r="G130" s="922"/>
      <c r="H130" s="922"/>
      <c r="I130" s="922"/>
      <c r="J130" s="923"/>
      <c r="K130" s="923"/>
      <c r="L130" s="924"/>
      <c r="M130" s="925"/>
      <c r="N130" s="925"/>
      <c r="O130" s="925"/>
      <c r="P130" s="925"/>
      <c r="Q130" s="925"/>
      <c r="R130" s="926"/>
      <c r="S130" s="926"/>
      <c r="T130" s="925"/>
      <c r="U130" s="925"/>
      <c r="V130" s="925"/>
      <c r="W130" s="925"/>
      <c r="X130" s="925"/>
      <c r="Y130" s="925"/>
      <c r="Z130" s="925"/>
      <c r="AA130" s="925"/>
      <c r="AB130" s="925"/>
      <c r="AC130" s="925"/>
      <c r="AD130" s="925"/>
      <c r="AE130" s="925"/>
      <c r="AF130" s="925"/>
      <c r="AG130" s="925"/>
      <c r="AH130" s="925"/>
      <c r="AI130" s="925"/>
      <c r="AJ130" s="925"/>
      <c r="AK130" s="925"/>
      <c r="AL130" s="925"/>
      <c r="AM130" s="925"/>
      <c r="AN130" s="925"/>
      <c r="AO130" s="925"/>
      <c r="AP130" s="925"/>
      <c r="AQ130" s="925"/>
      <c r="AR130" s="925"/>
      <c r="AS130" s="925"/>
      <c r="AT130" s="925"/>
      <c r="AU130" s="925"/>
      <c r="AV130" s="925"/>
      <c r="AW130" s="925"/>
      <c r="AX130" s="925"/>
      <c r="AY130" s="925"/>
      <c r="AZ130" s="925"/>
      <c r="BA130" s="925"/>
      <c r="BB130" s="925"/>
      <c r="BC130" s="925"/>
      <c r="BD130" s="925"/>
      <c r="BE130" s="925"/>
      <c r="BF130" s="925"/>
      <c r="BG130" s="925"/>
      <c r="BH130" s="925"/>
      <c r="BI130" s="925"/>
      <c r="BJ130" s="925"/>
      <c r="BK130" s="925"/>
      <c r="BL130" s="925"/>
      <c r="BM130" s="925"/>
      <c r="BN130" s="925"/>
      <c r="BO130" s="925"/>
      <c r="BP130" s="925"/>
      <c r="BQ130" s="925"/>
      <c r="BR130" s="925"/>
      <c r="BS130" s="925"/>
      <c r="BT130" s="925"/>
      <c r="BU130" s="925"/>
      <c r="BV130" s="925"/>
      <c r="BW130" s="925"/>
      <c r="BX130" s="925"/>
      <c r="BY130" s="925"/>
      <c r="BZ130" s="925"/>
      <c r="CA130" s="925"/>
      <c r="CB130" s="925"/>
      <c r="CC130" s="925"/>
      <c r="CD130" s="925"/>
      <c r="CE130" s="925"/>
      <c r="CF130" s="925"/>
      <c r="CG130" s="925"/>
      <c r="CH130" s="925"/>
      <c r="CI130" s="925"/>
      <c r="CJ130" s="925"/>
      <c r="CK130" s="925"/>
      <c r="CL130" s="925"/>
      <c r="CM130" s="925"/>
      <c r="CN130" s="925"/>
      <c r="CO130" s="925"/>
      <c r="CP130" s="925"/>
      <c r="CQ130" s="925"/>
      <c r="CR130" s="925"/>
      <c r="CS130" s="925"/>
      <c r="CT130" s="925"/>
      <c r="CU130" s="925"/>
      <c r="CV130" s="925"/>
      <c r="CW130" s="925"/>
      <c r="CX130" s="925"/>
      <c r="CY130" s="925"/>
      <c r="CZ130" s="925"/>
      <c r="DA130" s="925"/>
      <c r="DB130" s="925"/>
      <c r="DC130" s="925"/>
      <c r="DD130" s="925"/>
      <c r="DE130" s="925"/>
      <c r="DF130" s="925"/>
      <c r="DG130" s="925"/>
      <c r="DH130" s="925"/>
      <c r="DI130" s="925"/>
      <c r="DJ130" s="925"/>
      <c r="DK130" s="925"/>
      <c r="DL130" s="925"/>
      <c r="DM130" s="925"/>
      <c r="DN130" s="925"/>
      <c r="DO130" s="925"/>
      <c r="DP130" s="925"/>
      <c r="DQ130" s="925"/>
      <c r="DR130" s="925"/>
      <c r="DS130" s="925"/>
      <c r="DT130" s="925"/>
      <c r="DU130" s="925"/>
      <c r="DV130" s="925"/>
      <c r="DW130" s="925"/>
      <c r="DX130" s="925"/>
      <c r="DY130" s="925"/>
      <c r="DZ130" s="925"/>
      <c r="EA130" s="925"/>
      <c r="EB130" s="925"/>
      <c r="EC130" s="925"/>
      <c r="ED130" s="925"/>
      <c r="EE130" s="925"/>
      <c r="EF130" s="925"/>
      <c r="EG130" s="446"/>
    </row>
    <row r="131" spans="1:137" ht="13" x14ac:dyDescent="0.15">
      <c r="A131" s="917"/>
      <c r="B131" s="917"/>
      <c r="C131" s="918"/>
      <c r="D131" s="919"/>
      <c r="E131" s="920"/>
      <c r="F131" s="921"/>
      <c r="G131" s="922"/>
      <c r="H131" s="922"/>
      <c r="I131" s="922"/>
      <c r="J131" s="923"/>
      <c r="K131" s="923"/>
      <c r="L131" s="924"/>
      <c r="M131" s="925"/>
      <c r="N131" s="925"/>
      <c r="O131" s="925"/>
      <c r="P131" s="925"/>
      <c r="Q131" s="925"/>
      <c r="R131" s="926"/>
      <c r="S131" s="926"/>
      <c r="T131" s="925"/>
      <c r="U131" s="925"/>
      <c r="V131" s="925"/>
      <c r="W131" s="925"/>
      <c r="X131" s="925"/>
      <c r="Y131" s="925"/>
      <c r="Z131" s="925"/>
      <c r="AA131" s="925"/>
      <c r="AB131" s="925"/>
      <c r="AC131" s="925"/>
      <c r="AD131" s="925"/>
      <c r="AE131" s="925"/>
      <c r="AF131" s="925"/>
      <c r="AG131" s="925"/>
      <c r="AH131" s="925"/>
      <c r="AI131" s="925"/>
      <c r="AJ131" s="925"/>
      <c r="AK131" s="925"/>
      <c r="AL131" s="925"/>
      <c r="AM131" s="925"/>
      <c r="AN131" s="925"/>
      <c r="AO131" s="925"/>
      <c r="AP131" s="925"/>
      <c r="AQ131" s="925"/>
      <c r="AR131" s="925"/>
      <c r="AS131" s="925"/>
      <c r="AT131" s="925"/>
      <c r="AU131" s="925"/>
      <c r="AV131" s="925"/>
      <c r="AW131" s="925"/>
      <c r="AX131" s="925"/>
      <c r="AY131" s="925"/>
      <c r="AZ131" s="925"/>
      <c r="BA131" s="925"/>
      <c r="BB131" s="925"/>
      <c r="BC131" s="925"/>
      <c r="BD131" s="925"/>
      <c r="BE131" s="925"/>
      <c r="BF131" s="925"/>
      <c r="BG131" s="925"/>
      <c r="BH131" s="925"/>
      <c r="BI131" s="925"/>
      <c r="BJ131" s="925"/>
      <c r="BK131" s="925"/>
      <c r="BL131" s="925"/>
      <c r="BM131" s="925"/>
      <c r="BN131" s="925"/>
      <c r="BO131" s="925"/>
      <c r="BP131" s="925"/>
      <c r="BQ131" s="925"/>
      <c r="BR131" s="925"/>
      <c r="BS131" s="925"/>
      <c r="BT131" s="925"/>
      <c r="BU131" s="925"/>
      <c r="BV131" s="925"/>
      <c r="BW131" s="925"/>
      <c r="BX131" s="925"/>
      <c r="BY131" s="925"/>
      <c r="BZ131" s="925"/>
      <c r="CA131" s="925"/>
      <c r="CB131" s="925"/>
      <c r="CC131" s="925"/>
      <c r="CD131" s="925"/>
      <c r="CE131" s="925"/>
      <c r="CF131" s="925"/>
      <c r="CG131" s="925"/>
      <c r="CH131" s="925"/>
      <c r="CI131" s="925"/>
      <c r="CJ131" s="925"/>
      <c r="CK131" s="925"/>
      <c r="CL131" s="925"/>
      <c r="CM131" s="925"/>
      <c r="CN131" s="925"/>
      <c r="CO131" s="925"/>
      <c r="CP131" s="925"/>
      <c r="CQ131" s="925"/>
      <c r="CR131" s="925"/>
      <c r="CS131" s="925"/>
      <c r="CT131" s="925"/>
      <c r="CU131" s="925"/>
      <c r="CV131" s="925"/>
      <c r="CW131" s="925"/>
      <c r="CX131" s="925"/>
      <c r="CY131" s="925"/>
      <c r="CZ131" s="925"/>
      <c r="DA131" s="925"/>
      <c r="DB131" s="925"/>
      <c r="DC131" s="925"/>
      <c r="DD131" s="925"/>
      <c r="DE131" s="925"/>
      <c r="DF131" s="925"/>
      <c r="DG131" s="925"/>
      <c r="DH131" s="925"/>
      <c r="DI131" s="925"/>
      <c r="DJ131" s="925"/>
      <c r="DK131" s="925"/>
      <c r="DL131" s="925"/>
      <c r="DM131" s="925"/>
      <c r="DN131" s="925"/>
      <c r="DO131" s="925"/>
      <c r="DP131" s="925"/>
      <c r="DQ131" s="925"/>
      <c r="DR131" s="925"/>
      <c r="DS131" s="925"/>
      <c r="DT131" s="925"/>
      <c r="DU131" s="925"/>
      <c r="DV131" s="925"/>
      <c r="DW131" s="925"/>
      <c r="DX131" s="925"/>
      <c r="DY131" s="925"/>
      <c r="DZ131" s="925"/>
      <c r="EA131" s="925"/>
      <c r="EB131" s="925"/>
      <c r="EC131" s="925"/>
      <c r="ED131" s="925"/>
      <c r="EE131" s="925"/>
      <c r="EF131" s="925"/>
      <c r="EG131" s="446"/>
    </row>
    <row r="132" spans="1:137" ht="13" x14ac:dyDescent="0.15">
      <c r="A132" s="917"/>
      <c r="B132" s="917"/>
      <c r="C132" s="918"/>
      <c r="D132" s="919"/>
      <c r="E132" s="920"/>
      <c r="F132" s="921"/>
      <c r="G132" s="922"/>
      <c r="H132" s="922"/>
      <c r="I132" s="922"/>
      <c r="J132" s="923"/>
      <c r="K132" s="923"/>
      <c r="L132" s="924"/>
      <c r="M132" s="925"/>
      <c r="N132" s="925"/>
      <c r="O132" s="925"/>
      <c r="P132" s="925"/>
      <c r="Q132" s="925"/>
      <c r="R132" s="926"/>
      <c r="S132" s="926"/>
      <c r="T132" s="925"/>
      <c r="U132" s="925"/>
      <c r="V132" s="925"/>
      <c r="W132" s="925"/>
      <c r="X132" s="925"/>
      <c r="Y132" s="925"/>
      <c r="Z132" s="925"/>
      <c r="AA132" s="925"/>
      <c r="AB132" s="925"/>
      <c r="AC132" s="925"/>
      <c r="AD132" s="925"/>
      <c r="AE132" s="925"/>
      <c r="AF132" s="925"/>
      <c r="AG132" s="925"/>
      <c r="AH132" s="925"/>
      <c r="AI132" s="925"/>
      <c r="AJ132" s="925"/>
      <c r="AK132" s="925"/>
      <c r="AL132" s="925"/>
      <c r="AM132" s="925"/>
      <c r="AN132" s="925"/>
      <c r="AO132" s="925"/>
      <c r="AP132" s="925"/>
      <c r="AQ132" s="925"/>
      <c r="AR132" s="925"/>
      <c r="AS132" s="925"/>
      <c r="AT132" s="925"/>
      <c r="AU132" s="925"/>
      <c r="AV132" s="925"/>
      <c r="AW132" s="925"/>
      <c r="AX132" s="925"/>
      <c r="AY132" s="925"/>
      <c r="AZ132" s="925"/>
      <c r="BA132" s="925"/>
      <c r="BB132" s="925"/>
      <c r="BC132" s="925"/>
      <c r="BD132" s="925"/>
      <c r="BE132" s="925"/>
      <c r="BF132" s="925"/>
      <c r="BG132" s="925"/>
      <c r="BH132" s="925"/>
      <c r="BI132" s="925"/>
      <c r="BJ132" s="925"/>
      <c r="BK132" s="925"/>
      <c r="BL132" s="925"/>
      <c r="BM132" s="925"/>
      <c r="BN132" s="925"/>
      <c r="BO132" s="925"/>
      <c r="BP132" s="925"/>
      <c r="BQ132" s="925"/>
      <c r="BR132" s="925"/>
      <c r="BS132" s="925"/>
      <c r="BT132" s="925"/>
      <c r="BU132" s="925"/>
      <c r="BV132" s="925"/>
      <c r="BW132" s="925"/>
      <c r="BX132" s="925"/>
      <c r="BY132" s="925"/>
      <c r="BZ132" s="925"/>
      <c r="CA132" s="925"/>
      <c r="CB132" s="925"/>
      <c r="CC132" s="925"/>
      <c r="CD132" s="925"/>
      <c r="CE132" s="925"/>
      <c r="CF132" s="925"/>
      <c r="CG132" s="925"/>
      <c r="CH132" s="925"/>
      <c r="CI132" s="925"/>
      <c r="CJ132" s="925"/>
      <c r="CK132" s="925"/>
      <c r="CL132" s="925"/>
      <c r="CM132" s="925"/>
      <c r="CN132" s="925"/>
      <c r="CO132" s="925"/>
      <c r="CP132" s="925"/>
      <c r="CQ132" s="925"/>
      <c r="CR132" s="925"/>
      <c r="CS132" s="925"/>
      <c r="CT132" s="925"/>
      <c r="CU132" s="925"/>
      <c r="CV132" s="925"/>
      <c r="CW132" s="925"/>
      <c r="CX132" s="925"/>
      <c r="CY132" s="925"/>
      <c r="CZ132" s="925"/>
      <c r="DA132" s="925"/>
      <c r="DB132" s="925"/>
      <c r="DC132" s="925"/>
      <c r="DD132" s="925"/>
      <c r="DE132" s="925"/>
      <c r="DF132" s="925"/>
      <c r="DG132" s="925"/>
      <c r="DH132" s="925"/>
      <c r="DI132" s="925"/>
      <c r="DJ132" s="925"/>
      <c r="DK132" s="925"/>
      <c r="DL132" s="925"/>
      <c r="DM132" s="925"/>
      <c r="DN132" s="925"/>
      <c r="DO132" s="925"/>
      <c r="DP132" s="925"/>
      <c r="DQ132" s="925"/>
      <c r="DR132" s="925"/>
      <c r="DS132" s="925"/>
      <c r="DT132" s="925"/>
      <c r="DU132" s="925"/>
      <c r="DV132" s="925"/>
      <c r="DW132" s="925"/>
      <c r="DX132" s="925"/>
      <c r="DY132" s="925"/>
      <c r="DZ132" s="925"/>
      <c r="EA132" s="925"/>
      <c r="EB132" s="925"/>
      <c r="EC132" s="925"/>
      <c r="ED132" s="925"/>
      <c r="EE132" s="925"/>
      <c r="EF132" s="925"/>
      <c r="EG132" s="446"/>
    </row>
    <row r="133" spans="1:137" ht="13" x14ac:dyDescent="0.15">
      <c r="A133" s="917"/>
      <c r="B133" s="917"/>
      <c r="C133" s="918"/>
      <c r="D133" s="919"/>
      <c r="E133" s="920"/>
      <c r="F133" s="921"/>
      <c r="G133" s="922"/>
      <c r="H133" s="922"/>
      <c r="I133" s="922"/>
      <c r="J133" s="923"/>
      <c r="K133" s="923"/>
      <c r="L133" s="924"/>
      <c r="M133" s="925"/>
      <c r="N133" s="925"/>
      <c r="O133" s="925"/>
      <c r="P133" s="925"/>
      <c r="Q133" s="925"/>
      <c r="R133" s="926"/>
      <c r="S133" s="926"/>
      <c r="T133" s="925"/>
      <c r="U133" s="925"/>
      <c r="V133" s="925"/>
      <c r="W133" s="925"/>
      <c r="X133" s="925"/>
      <c r="Y133" s="925"/>
      <c r="Z133" s="925"/>
      <c r="AA133" s="925"/>
      <c r="AB133" s="925"/>
      <c r="AC133" s="925"/>
      <c r="AD133" s="925"/>
      <c r="AE133" s="925"/>
      <c r="AF133" s="925"/>
      <c r="AG133" s="925"/>
      <c r="AH133" s="925"/>
      <c r="AI133" s="925"/>
      <c r="AJ133" s="925"/>
      <c r="AK133" s="925"/>
      <c r="AL133" s="925"/>
      <c r="AM133" s="925"/>
      <c r="AN133" s="925"/>
      <c r="AO133" s="925"/>
      <c r="AP133" s="925"/>
      <c r="AQ133" s="925"/>
      <c r="AR133" s="925"/>
      <c r="AS133" s="925"/>
      <c r="AT133" s="925"/>
      <c r="AU133" s="925"/>
      <c r="AV133" s="925"/>
      <c r="AW133" s="925"/>
      <c r="AX133" s="925"/>
      <c r="AY133" s="925"/>
      <c r="AZ133" s="925"/>
      <c r="BA133" s="925"/>
      <c r="BB133" s="925"/>
      <c r="BC133" s="925"/>
      <c r="BD133" s="925"/>
      <c r="BE133" s="925"/>
      <c r="BF133" s="925"/>
      <c r="BG133" s="925"/>
      <c r="BH133" s="925"/>
      <c r="BI133" s="925"/>
      <c r="BJ133" s="925"/>
      <c r="BK133" s="925"/>
      <c r="BL133" s="925"/>
      <c r="BM133" s="925"/>
      <c r="BN133" s="925"/>
      <c r="BO133" s="925"/>
      <c r="BP133" s="925"/>
      <c r="BQ133" s="925"/>
      <c r="BR133" s="925"/>
      <c r="BS133" s="925"/>
      <c r="BT133" s="925"/>
      <c r="BU133" s="925"/>
      <c r="BV133" s="925"/>
      <c r="BW133" s="925"/>
      <c r="BX133" s="925"/>
      <c r="BY133" s="925"/>
      <c r="BZ133" s="925"/>
      <c r="CA133" s="925"/>
      <c r="CB133" s="925"/>
      <c r="CC133" s="925"/>
      <c r="CD133" s="925"/>
      <c r="CE133" s="925"/>
      <c r="CF133" s="925"/>
      <c r="CG133" s="925"/>
      <c r="CH133" s="925"/>
      <c r="CI133" s="925"/>
      <c r="CJ133" s="925"/>
      <c r="CK133" s="925"/>
      <c r="CL133" s="925"/>
      <c r="CM133" s="925"/>
      <c r="CN133" s="925"/>
      <c r="CO133" s="925"/>
      <c r="CP133" s="925"/>
      <c r="CQ133" s="925"/>
      <c r="CR133" s="925"/>
      <c r="CS133" s="925"/>
      <c r="CT133" s="925"/>
      <c r="CU133" s="925"/>
      <c r="CV133" s="925"/>
      <c r="CW133" s="925"/>
      <c r="CX133" s="925"/>
      <c r="CY133" s="925"/>
      <c r="CZ133" s="925"/>
      <c r="DA133" s="925"/>
      <c r="DB133" s="925"/>
      <c r="DC133" s="925"/>
      <c r="DD133" s="925"/>
      <c r="DE133" s="925"/>
      <c r="DF133" s="925"/>
      <c r="DG133" s="925"/>
      <c r="DH133" s="925"/>
      <c r="DI133" s="925"/>
      <c r="DJ133" s="925"/>
      <c r="DK133" s="925"/>
      <c r="DL133" s="925"/>
      <c r="DM133" s="925"/>
      <c r="DN133" s="925"/>
      <c r="DO133" s="925"/>
      <c r="DP133" s="925"/>
      <c r="DQ133" s="925"/>
      <c r="DR133" s="925"/>
      <c r="DS133" s="925"/>
      <c r="DT133" s="925"/>
      <c r="DU133" s="925"/>
      <c r="DV133" s="925"/>
      <c r="DW133" s="925"/>
      <c r="DX133" s="925"/>
      <c r="DY133" s="925"/>
      <c r="DZ133" s="925"/>
      <c r="EA133" s="925"/>
      <c r="EB133" s="925"/>
      <c r="EC133" s="925"/>
      <c r="ED133" s="925"/>
      <c r="EE133" s="925"/>
      <c r="EF133" s="925"/>
      <c r="EG133" s="446"/>
    </row>
    <row r="134" spans="1:137" ht="13" x14ac:dyDescent="0.15">
      <c r="A134" s="917"/>
      <c r="B134" s="917"/>
      <c r="C134" s="918"/>
      <c r="D134" s="919"/>
      <c r="E134" s="920"/>
      <c r="F134" s="921"/>
      <c r="G134" s="922"/>
      <c r="H134" s="922"/>
      <c r="I134" s="922"/>
      <c r="J134" s="923"/>
      <c r="K134" s="923"/>
      <c r="L134" s="924"/>
      <c r="M134" s="925"/>
      <c r="N134" s="925"/>
      <c r="O134" s="925"/>
      <c r="P134" s="925"/>
      <c r="Q134" s="925"/>
      <c r="R134" s="926"/>
      <c r="S134" s="926"/>
      <c r="T134" s="925"/>
      <c r="U134" s="925"/>
      <c r="V134" s="925"/>
      <c r="W134" s="925"/>
      <c r="X134" s="925"/>
      <c r="Y134" s="925"/>
      <c r="Z134" s="925"/>
      <c r="AA134" s="925"/>
      <c r="AB134" s="925"/>
      <c r="AC134" s="925"/>
      <c r="AD134" s="925"/>
      <c r="AE134" s="925"/>
      <c r="AF134" s="925"/>
      <c r="AG134" s="925"/>
      <c r="AH134" s="925"/>
      <c r="AI134" s="925"/>
      <c r="AJ134" s="925"/>
      <c r="AK134" s="925"/>
      <c r="AL134" s="925"/>
      <c r="AM134" s="925"/>
      <c r="AN134" s="925"/>
      <c r="AO134" s="925"/>
      <c r="AP134" s="925"/>
      <c r="AQ134" s="925"/>
      <c r="AR134" s="925"/>
      <c r="AS134" s="925"/>
      <c r="AT134" s="925"/>
      <c r="AU134" s="925"/>
      <c r="AV134" s="925"/>
      <c r="AW134" s="925"/>
      <c r="AX134" s="925"/>
      <c r="AY134" s="925"/>
      <c r="AZ134" s="925"/>
      <c r="BA134" s="925"/>
      <c r="BB134" s="925"/>
      <c r="BC134" s="925"/>
      <c r="BD134" s="925"/>
      <c r="BE134" s="925"/>
      <c r="BF134" s="925"/>
      <c r="BG134" s="925"/>
      <c r="BH134" s="925"/>
      <c r="BI134" s="925"/>
      <c r="BJ134" s="925"/>
      <c r="BK134" s="925"/>
      <c r="BL134" s="925"/>
      <c r="BM134" s="925"/>
      <c r="BN134" s="925"/>
      <c r="BO134" s="925"/>
      <c r="BP134" s="925"/>
      <c r="BQ134" s="925"/>
      <c r="BR134" s="925"/>
      <c r="BS134" s="925"/>
      <c r="BT134" s="925"/>
      <c r="BU134" s="925"/>
      <c r="BV134" s="925"/>
      <c r="BW134" s="925"/>
      <c r="BX134" s="925"/>
      <c r="BY134" s="925"/>
      <c r="BZ134" s="925"/>
      <c r="CA134" s="925"/>
      <c r="CB134" s="925"/>
      <c r="CC134" s="925"/>
      <c r="CD134" s="925"/>
      <c r="CE134" s="925"/>
      <c r="CF134" s="925"/>
      <c r="CG134" s="925"/>
      <c r="CH134" s="925"/>
      <c r="CI134" s="925"/>
      <c r="CJ134" s="925"/>
      <c r="CK134" s="925"/>
      <c r="CL134" s="925"/>
      <c r="CM134" s="925"/>
      <c r="CN134" s="925"/>
      <c r="CO134" s="925"/>
      <c r="CP134" s="925"/>
      <c r="CQ134" s="925"/>
      <c r="CR134" s="925"/>
      <c r="CS134" s="925"/>
      <c r="CT134" s="925"/>
      <c r="CU134" s="925"/>
      <c r="CV134" s="925"/>
      <c r="CW134" s="925"/>
      <c r="CX134" s="925"/>
      <c r="CY134" s="925"/>
      <c r="CZ134" s="925"/>
      <c r="DA134" s="925"/>
      <c r="DB134" s="925"/>
      <c r="DC134" s="925"/>
      <c r="DD134" s="925"/>
      <c r="DE134" s="925"/>
      <c r="DF134" s="925"/>
      <c r="DG134" s="925"/>
      <c r="DH134" s="925"/>
      <c r="DI134" s="925"/>
      <c r="DJ134" s="925"/>
      <c r="DK134" s="925"/>
      <c r="DL134" s="925"/>
      <c r="DM134" s="925"/>
      <c r="DN134" s="925"/>
      <c r="DO134" s="925"/>
      <c r="DP134" s="925"/>
      <c r="DQ134" s="925"/>
      <c r="DR134" s="925"/>
      <c r="DS134" s="925"/>
      <c r="DT134" s="925"/>
      <c r="DU134" s="925"/>
      <c r="DV134" s="925"/>
      <c r="DW134" s="925"/>
      <c r="DX134" s="925"/>
      <c r="DY134" s="925"/>
      <c r="DZ134" s="925"/>
      <c r="EA134" s="925"/>
      <c r="EB134" s="925"/>
      <c r="EC134" s="925"/>
      <c r="ED134" s="925"/>
      <c r="EE134" s="925"/>
      <c r="EF134" s="925"/>
      <c r="EG134" s="446"/>
    </row>
    <row r="135" spans="1:137" ht="13" x14ac:dyDescent="0.15">
      <c r="A135" s="917"/>
      <c r="B135" s="917"/>
      <c r="C135" s="918"/>
      <c r="D135" s="919"/>
      <c r="E135" s="920"/>
      <c r="F135" s="921"/>
      <c r="G135" s="922"/>
      <c r="H135" s="922"/>
      <c r="I135" s="922"/>
      <c r="J135" s="923"/>
      <c r="K135" s="923"/>
      <c r="L135" s="924"/>
      <c r="M135" s="925"/>
      <c r="N135" s="925"/>
      <c r="O135" s="925"/>
      <c r="P135" s="925"/>
      <c r="Q135" s="925"/>
      <c r="R135" s="926"/>
      <c r="S135" s="926"/>
      <c r="T135" s="925"/>
      <c r="U135" s="925"/>
      <c r="V135" s="925"/>
      <c r="W135" s="925"/>
      <c r="X135" s="925"/>
      <c r="Y135" s="925"/>
      <c r="Z135" s="925"/>
      <c r="AA135" s="925"/>
      <c r="AB135" s="925"/>
      <c r="AC135" s="925"/>
      <c r="AD135" s="925"/>
      <c r="AE135" s="925"/>
      <c r="AF135" s="925"/>
      <c r="AG135" s="925"/>
      <c r="AH135" s="925"/>
      <c r="AI135" s="925"/>
      <c r="AJ135" s="925"/>
      <c r="AK135" s="925"/>
      <c r="AL135" s="925"/>
      <c r="AM135" s="925"/>
      <c r="AN135" s="925"/>
      <c r="AO135" s="925"/>
      <c r="AP135" s="925"/>
      <c r="AQ135" s="925"/>
      <c r="AR135" s="925"/>
      <c r="AS135" s="925"/>
      <c r="AT135" s="925"/>
      <c r="AU135" s="925"/>
      <c r="AV135" s="925"/>
      <c r="AW135" s="925"/>
      <c r="AX135" s="925"/>
      <c r="AY135" s="925"/>
      <c r="AZ135" s="925"/>
      <c r="BA135" s="925"/>
      <c r="BB135" s="925"/>
      <c r="BC135" s="925"/>
      <c r="BD135" s="925"/>
      <c r="BE135" s="925"/>
      <c r="BF135" s="925"/>
      <c r="BG135" s="925"/>
      <c r="BH135" s="925"/>
      <c r="BI135" s="925"/>
      <c r="BJ135" s="925"/>
      <c r="BK135" s="925"/>
      <c r="BL135" s="925"/>
      <c r="BM135" s="925"/>
      <c r="BN135" s="925"/>
      <c r="BO135" s="925"/>
      <c r="BP135" s="925"/>
      <c r="BQ135" s="925"/>
      <c r="BR135" s="925"/>
      <c r="BS135" s="925"/>
      <c r="BT135" s="925"/>
      <c r="BU135" s="925"/>
      <c r="BV135" s="925"/>
      <c r="BW135" s="925"/>
      <c r="BX135" s="925"/>
      <c r="BY135" s="925"/>
      <c r="BZ135" s="925"/>
      <c r="CA135" s="925"/>
      <c r="CB135" s="925"/>
      <c r="CC135" s="925"/>
      <c r="CD135" s="925"/>
      <c r="CE135" s="925"/>
      <c r="CF135" s="925"/>
      <c r="CG135" s="925"/>
      <c r="CH135" s="925"/>
      <c r="CI135" s="925"/>
      <c r="CJ135" s="925"/>
      <c r="CK135" s="925"/>
      <c r="CL135" s="925"/>
      <c r="CM135" s="925"/>
      <c r="CN135" s="925"/>
      <c r="CO135" s="925"/>
      <c r="CP135" s="925"/>
      <c r="CQ135" s="925"/>
      <c r="CR135" s="925"/>
      <c r="CS135" s="925"/>
      <c r="CT135" s="925"/>
      <c r="CU135" s="925"/>
      <c r="CV135" s="925"/>
      <c r="CW135" s="925"/>
      <c r="CX135" s="925"/>
      <c r="CY135" s="925"/>
      <c r="CZ135" s="925"/>
      <c r="DA135" s="925"/>
      <c r="DB135" s="925"/>
      <c r="DC135" s="925"/>
      <c r="DD135" s="925"/>
      <c r="DE135" s="925"/>
      <c r="DF135" s="925"/>
      <c r="DG135" s="925"/>
      <c r="DH135" s="925"/>
      <c r="DI135" s="925"/>
      <c r="DJ135" s="925"/>
      <c r="DK135" s="925"/>
      <c r="DL135" s="925"/>
      <c r="DM135" s="925"/>
      <c r="DN135" s="925"/>
      <c r="DO135" s="925"/>
      <c r="DP135" s="925"/>
      <c r="DQ135" s="925"/>
      <c r="DR135" s="925"/>
      <c r="DS135" s="925"/>
      <c r="DT135" s="925"/>
      <c r="DU135" s="925"/>
      <c r="DV135" s="925"/>
      <c r="DW135" s="925"/>
      <c r="DX135" s="925"/>
      <c r="DY135" s="925"/>
      <c r="DZ135" s="925"/>
      <c r="EA135" s="925"/>
      <c r="EB135" s="925"/>
      <c r="EC135" s="925"/>
      <c r="ED135" s="925"/>
      <c r="EE135" s="925"/>
      <c r="EF135" s="925"/>
      <c r="EG135" s="446"/>
    </row>
    <row r="136" spans="1:137" ht="13" x14ac:dyDescent="0.15">
      <c r="A136" s="917"/>
      <c r="B136" s="917"/>
      <c r="C136" s="918"/>
      <c r="D136" s="919"/>
      <c r="E136" s="920"/>
      <c r="F136" s="921"/>
      <c r="G136" s="922"/>
      <c r="H136" s="922"/>
      <c r="I136" s="922"/>
      <c r="J136" s="923"/>
      <c r="K136" s="923"/>
      <c r="L136" s="924"/>
      <c r="M136" s="925"/>
      <c r="N136" s="925"/>
      <c r="O136" s="925"/>
      <c r="P136" s="925"/>
      <c r="Q136" s="925"/>
      <c r="R136" s="926"/>
      <c r="S136" s="926"/>
      <c r="T136" s="925"/>
      <c r="U136" s="925"/>
      <c r="V136" s="925"/>
      <c r="W136" s="925"/>
      <c r="X136" s="925"/>
      <c r="Y136" s="925"/>
      <c r="Z136" s="925"/>
      <c r="AA136" s="925"/>
      <c r="AB136" s="925"/>
      <c r="AC136" s="925"/>
      <c r="AD136" s="925"/>
      <c r="AE136" s="925"/>
      <c r="AF136" s="925"/>
      <c r="AG136" s="925"/>
      <c r="AH136" s="925"/>
      <c r="AI136" s="925"/>
      <c r="AJ136" s="925"/>
      <c r="AK136" s="925"/>
      <c r="AL136" s="925"/>
      <c r="AM136" s="925"/>
      <c r="AN136" s="925"/>
      <c r="AO136" s="925"/>
      <c r="AP136" s="925"/>
      <c r="AQ136" s="925"/>
      <c r="AR136" s="925"/>
      <c r="AS136" s="925"/>
      <c r="AT136" s="925"/>
      <c r="AU136" s="925"/>
      <c r="AV136" s="925"/>
      <c r="AW136" s="925"/>
      <c r="AX136" s="925"/>
      <c r="AY136" s="925"/>
      <c r="AZ136" s="925"/>
      <c r="BA136" s="925"/>
      <c r="BB136" s="925"/>
      <c r="BC136" s="925"/>
      <c r="BD136" s="925"/>
      <c r="BE136" s="925"/>
      <c r="BF136" s="925"/>
      <c r="BG136" s="925"/>
      <c r="BH136" s="925"/>
      <c r="BI136" s="925"/>
      <c r="BJ136" s="925"/>
      <c r="BK136" s="925"/>
      <c r="BL136" s="925"/>
      <c r="BM136" s="925"/>
      <c r="BN136" s="925"/>
      <c r="BO136" s="925"/>
      <c r="BP136" s="925"/>
      <c r="BQ136" s="925"/>
      <c r="BR136" s="925"/>
      <c r="BS136" s="925"/>
      <c r="BT136" s="925"/>
      <c r="BU136" s="925"/>
      <c r="BV136" s="925"/>
      <c r="BW136" s="925"/>
      <c r="BX136" s="925"/>
      <c r="BY136" s="925"/>
      <c r="BZ136" s="925"/>
      <c r="CA136" s="925"/>
      <c r="CB136" s="925"/>
      <c r="CC136" s="925"/>
      <c r="CD136" s="925"/>
      <c r="CE136" s="925"/>
      <c r="CF136" s="925"/>
      <c r="CG136" s="925"/>
      <c r="CH136" s="925"/>
      <c r="CI136" s="925"/>
      <c r="CJ136" s="925"/>
      <c r="CK136" s="925"/>
      <c r="CL136" s="925"/>
      <c r="CM136" s="925"/>
      <c r="CN136" s="925"/>
      <c r="CO136" s="925"/>
      <c r="CP136" s="925"/>
      <c r="CQ136" s="925"/>
      <c r="CR136" s="925"/>
      <c r="CS136" s="925"/>
      <c r="CT136" s="925"/>
      <c r="CU136" s="925"/>
      <c r="CV136" s="925"/>
      <c r="CW136" s="925"/>
      <c r="CX136" s="925"/>
      <c r="CY136" s="925"/>
      <c r="CZ136" s="925"/>
      <c r="DA136" s="925"/>
      <c r="DB136" s="925"/>
      <c r="DC136" s="925"/>
      <c r="DD136" s="925"/>
      <c r="DE136" s="925"/>
      <c r="DF136" s="925"/>
      <c r="DG136" s="925"/>
      <c r="DH136" s="925"/>
      <c r="DI136" s="925"/>
      <c r="DJ136" s="925"/>
      <c r="DK136" s="925"/>
      <c r="DL136" s="925"/>
      <c r="DM136" s="925"/>
      <c r="DN136" s="925"/>
      <c r="DO136" s="925"/>
      <c r="DP136" s="925"/>
      <c r="DQ136" s="925"/>
      <c r="DR136" s="925"/>
      <c r="DS136" s="925"/>
      <c r="DT136" s="925"/>
      <c r="DU136" s="925"/>
      <c r="DV136" s="925"/>
      <c r="DW136" s="925"/>
      <c r="DX136" s="925"/>
      <c r="DY136" s="925"/>
      <c r="DZ136" s="925"/>
      <c r="EA136" s="925"/>
      <c r="EB136" s="925"/>
      <c r="EC136" s="925"/>
      <c r="ED136" s="925"/>
      <c r="EE136" s="925"/>
      <c r="EF136" s="925"/>
      <c r="EG136" s="446"/>
    </row>
    <row r="137" spans="1:137" ht="13" x14ac:dyDescent="0.15">
      <c r="A137" s="917"/>
      <c r="B137" s="917"/>
      <c r="C137" s="918"/>
      <c r="D137" s="919"/>
      <c r="E137" s="920"/>
      <c r="F137" s="921"/>
      <c r="G137" s="922"/>
      <c r="H137" s="922"/>
      <c r="I137" s="922"/>
      <c r="J137" s="923"/>
      <c r="K137" s="923"/>
      <c r="L137" s="924"/>
      <c r="M137" s="925"/>
      <c r="N137" s="925"/>
      <c r="O137" s="925"/>
      <c r="P137" s="925"/>
      <c r="Q137" s="925"/>
      <c r="R137" s="926"/>
      <c r="S137" s="926"/>
      <c r="T137" s="925"/>
      <c r="U137" s="925"/>
      <c r="V137" s="925"/>
      <c r="W137" s="925"/>
      <c r="X137" s="925"/>
      <c r="Y137" s="925"/>
      <c r="Z137" s="925"/>
      <c r="AA137" s="925"/>
      <c r="AB137" s="925"/>
      <c r="AC137" s="925"/>
      <c r="AD137" s="925"/>
      <c r="AE137" s="925"/>
      <c r="AF137" s="925"/>
      <c r="AG137" s="925"/>
      <c r="AH137" s="925"/>
      <c r="AI137" s="925"/>
      <c r="AJ137" s="925"/>
      <c r="AK137" s="925"/>
      <c r="AL137" s="925"/>
      <c r="AM137" s="925"/>
      <c r="AN137" s="925"/>
      <c r="AO137" s="925"/>
      <c r="AP137" s="925"/>
      <c r="AQ137" s="925"/>
      <c r="AR137" s="925"/>
      <c r="AS137" s="925"/>
      <c r="AT137" s="925"/>
      <c r="AU137" s="925"/>
      <c r="AV137" s="925"/>
      <c r="AW137" s="925"/>
      <c r="AX137" s="925"/>
      <c r="AY137" s="925"/>
      <c r="AZ137" s="925"/>
      <c r="BA137" s="925"/>
      <c r="BB137" s="925"/>
      <c r="BC137" s="925"/>
      <c r="BD137" s="925"/>
      <c r="BE137" s="925"/>
      <c r="BF137" s="925"/>
      <c r="BG137" s="925"/>
      <c r="BH137" s="925"/>
      <c r="BI137" s="925"/>
      <c r="BJ137" s="925"/>
      <c r="BK137" s="925"/>
      <c r="BL137" s="925"/>
      <c r="BM137" s="925"/>
      <c r="BN137" s="925"/>
      <c r="BO137" s="925"/>
      <c r="BP137" s="925"/>
      <c r="BQ137" s="925"/>
      <c r="BR137" s="925"/>
      <c r="BS137" s="925"/>
      <c r="BT137" s="925"/>
      <c r="BU137" s="925"/>
      <c r="BV137" s="925"/>
      <c r="BW137" s="925"/>
      <c r="BX137" s="925"/>
      <c r="BY137" s="925"/>
      <c r="BZ137" s="925"/>
      <c r="CA137" s="925"/>
      <c r="CB137" s="925"/>
      <c r="CC137" s="925"/>
      <c r="CD137" s="925"/>
      <c r="CE137" s="925"/>
      <c r="CF137" s="925"/>
      <c r="CG137" s="925"/>
      <c r="CH137" s="925"/>
      <c r="CI137" s="925"/>
      <c r="CJ137" s="925"/>
      <c r="CK137" s="925"/>
      <c r="CL137" s="925"/>
      <c r="CM137" s="925"/>
      <c r="CN137" s="925"/>
      <c r="CO137" s="925"/>
      <c r="CP137" s="925"/>
      <c r="CQ137" s="925"/>
      <c r="CR137" s="925"/>
      <c r="CS137" s="925"/>
      <c r="CT137" s="925"/>
      <c r="CU137" s="925"/>
      <c r="CV137" s="925"/>
      <c r="CW137" s="925"/>
      <c r="CX137" s="925"/>
      <c r="CY137" s="925"/>
      <c r="CZ137" s="925"/>
      <c r="DA137" s="925"/>
      <c r="DB137" s="925"/>
      <c r="DC137" s="925"/>
      <c r="DD137" s="925"/>
      <c r="DE137" s="925"/>
      <c r="DF137" s="925"/>
      <c r="DG137" s="925"/>
      <c r="DH137" s="925"/>
      <c r="DI137" s="925"/>
      <c r="DJ137" s="925"/>
      <c r="DK137" s="925"/>
      <c r="DL137" s="925"/>
      <c r="DM137" s="925"/>
      <c r="DN137" s="925"/>
      <c r="DO137" s="925"/>
      <c r="DP137" s="925"/>
      <c r="DQ137" s="925"/>
      <c r="DR137" s="925"/>
      <c r="DS137" s="925"/>
      <c r="DT137" s="925"/>
      <c r="DU137" s="925"/>
      <c r="DV137" s="925"/>
      <c r="DW137" s="925"/>
      <c r="DX137" s="925"/>
      <c r="DY137" s="925"/>
      <c r="DZ137" s="925"/>
      <c r="EA137" s="925"/>
      <c r="EB137" s="925"/>
      <c r="EC137" s="925"/>
      <c r="ED137" s="925"/>
      <c r="EE137" s="925"/>
      <c r="EF137" s="925"/>
      <c r="EG137" s="446"/>
    </row>
    <row r="138" spans="1:137" ht="13" x14ac:dyDescent="0.15">
      <c r="A138" s="917"/>
      <c r="B138" s="917"/>
      <c r="C138" s="918"/>
      <c r="D138" s="919"/>
      <c r="E138" s="920"/>
      <c r="F138" s="921"/>
      <c r="G138" s="922"/>
      <c r="H138" s="922"/>
      <c r="I138" s="922"/>
      <c r="J138" s="923"/>
      <c r="K138" s="923"/>
      <c r="L138" s="924"/>
      <c r="M138" s="925"/>
      <c r="N138" s="925"/>
      <c r="O138" s="925"/>
      <c r="P138" s="925"/>
      <c r="Q138" s="925"/>
      <c r="R138" s="926"/>
      <c r="S138" s="926"/>
      <c r="T138" s="925"/>
      <c r="U138" s="925"/>
      <c r="V138" s="925"/>
      <c r="W138" s="925"/>
      <c r="X138" s="925"/>
      <c r="Y138" s="925"/>
      <c r="Z138" s="925"/>
      <c r="AA138" s="925"/>
      <c r="AB138" s="925"/>
      <c r="AC138" s="925"/>
      <c r="AD138" s="925"/>
      <c r="AE138" s="925"/>
      <c r="AF138" s="925"/>
      <c r="AG138" s="925"/>
      <c r="AH138" s="925"/>
      <c r="AI138" s="925"/>
      <c r="AJ138" s="925"/>
      <c r="AK138" s="925"/>
      <c r="AL138" s="925"/>
      <c r="AM138" s="925"/>
      <c r="AN138" s="925"/>
      <c r="AO138" s="925"/>
      <c r="AP138" s="925"/>
      <c r="AQ138" s="925"/>
      <c r="AR138" s="925"/>
      <c r="AS138" s="925"/>
      <c r="AT138" s="925"/>
      <c r="AU138" s="925"/>
      <c r="AV138" s="925"/>
      <c r="AW138" s="925"/>
      <c r="AX138" s="925"/>
      <c r="AY138" s="925"/>
      <c r="AZ138" s="925"/>
      <c r="BA138" s="925"/>
      <c r="BB138" s="925"/>
      <c r="BC138" s="925"/>
      <c r="BD138" s="925"/>
      <c r="BE138" s="925"/>
      <c r="BF138" s="925"/>
      <c r="BG138" s="925"/>
      <c r="BH138" s="925"/>
      <c r="BI138" s="925"/>
      <c r="BJ138" s="925"/>
      <c r="BK138" s="925"/>
      <c r="BL138" s="925"/>
      <c r="BM138" s="925"/>
      <c r="BN138" s="925"/>
      <c r="BO138" s="925"/>
      <c r="BP138" s="925"/>
      <c r="BQ138" s="925"/>
      <c r="BR138" s="925"/>
      <c r="BS138" s="925"/>
      <c r="BT138" s="925"/>
      <c r="BU138" s="925"/>
      <c r="BV138" s="925"/>
      <c r="BW138" s="925"/>
      <c r="BX138" s="925"/>
      <c r="BY138" s="925"/>
      <c r="BZ138" s="925"/>
      <c r="CA138" s="925"/>
      <c r="CB138" s="925"/>
      <c r="CC138" s="925"/>
      <c r="CD138" s="925"/>
      <c r="CE138" s="925"/>
      <c r="CF138" s="925"/>
      <c r="CG138" s="925"/>
      <c r="CH138" s="925"/>
      <c r="CI138" s="925"/>
      <c r="CJ138" s="925"/>
      <c r="CK138" s="925"/>
      <c r="CL138" s="925"/>
      <c r="CM138" s="925"/>
      <c r="CN138" s="925"/>
      <c r="CO138" s="925"/>
      <c r="CP138" s="925"/>
      <c r="CQ138" s="925"/>
      <c r="CR138" s="925"/>
      <c r="CS138" s="925"/>
      <c r="CT138" s="925"/>
      <c r="CU138" s="925"/>
      <c r="CV138" s="925"/>
      <c r="CW138" s="925"/>
      <c r="CX138" s="925"/>
      <c r="CY138" s="925"/>
      <c r="CZ138" s="925"/>
      <c r="DA138" s="925"/>
      <c r="DB138" s="925"/>
      <c r="DC138" s="925"/>
      <c r="DD138" s="925"/>
      <c r="DE138" s="925"/>
      <c r="DF138" s="925"/>
      <c r="DG138" s="925"/>
      <c r="DH138" s="925"/>
      <c r="DI138" s="925"/>
      <c r="DJ138" s="925"/>
      <c r="DK138" s="925"/>
      <c r="DL138" s="925"/>
      <c r="DM138" s="925"/>
      <c r="DN138" s="925"/>
      <c r="DO138" s="925"/>
      <c r="DP138" s="925"/>
      <c r="DQ138" s="925"/>
      <c r="DR138" s="925"/>
      <c r="DS138" s="925"/>
      <c r="DT138" s="925"/>
      <c r="DU138" s="925"/>
      <c r="DV138" s="925"/>
      <c r="DW138" s="925"/>
      <c r="DX138" s="925"/>
      <c r="DY138" s="925"/>
      <c r="DZ138" s="925"/>
      <c r="EA138" s="925"/>
      <c r="EB138" s="925"/>
      <c r="EC138" s="925"/>
      <c r="ED138" s="925"/>
      <c r="EE138" s="925"/>
      <c r="EF138" s="925"/>
      <c r="EG138" s="446"/>
    </row>
    <row r="139" spans="1:137" ht="13" x14ac:dyDescent="0.15">
      <c r="A139" s="917"/>
      <c r="B139" s="917"/>
      <c r="C139" s="918"/>
      <c r="D139" s="919"/>
      <c r="E139" s="920"/>
      <c r="F139" s="921"/>
      <c r="G139" s="922"/>
      <c r="H139" s="922"/>
      <c r="I139" s="922"/>
      <c r="J139" s="923"/>
      <c r="K139" s="923"/>
      <c r="L139" s="924"/>
      <c r="M139" s="925"/>
      <c r="N139" s="925"/>
      <c r="O139" s="925"/>
      <c r="P139" s="925"/>
      <c r="Q139" s="925"/>
      <c r="R139" s="926"/>
      <c r="S139" s="926"/>
      <c r="T139" s="925"/>
      <c r="U139" s="925"/>
      <c r="V139" s="925"/>
      <c r="W139" s="925"/>
      <c r="X139" s="925"/>
      <c r="Y139" s="925"/>
      <c r="Z139" s="925"/>
      <c r="AA139" s="925"/>
      <c r="AB139" s="925"/>
      <c r="AC139" s="925"/>
      <c r="AD139" s="925"/>
      <c r="AE139" s="925"/>
      <c r="AF139" s="925"/>
      <c r="AG139" s="925"/>
      <c r="AH139" s="925"/>
      <c r="AI139" s="925"/>
      <c r="AJ139" s="925"/>
      <c r="AK139" s="925"/>
      <c r="AL139" s="925"/>
      <c r="AM139" s="925"/>
      <c r="AN139" s="925"/>
      <c r="AO139" s="925"/>
      <c r="AP139" s="925"/>
      <c r="AQ139" s="925"/>
      <c r="AR139" s="925"/>
      <c r="AS139" s="925"/>
      <c r="AT139" s="925"/>
      <c r="AU139" s="925"/>
      <c r="AV139" s="925"/>
      <c r="AW139" s="925"/>
      <c r="AX139" s="925"/>
      <c r="AY139" s="925"/>
      <c r="AZ139" s="925"/>
      <c r="BA139" s="925"/>
      <c r="BB139" s="925"/>
      <c r="BC139" s="925"/>
      <c r="BD139" s="925"/>
      <c r="BE139" s="925"/>
      <c r="BF139" s="925"/>
      <c r="BG139" s="925"/>
      <c r="BH139" s="925"/>
      <c r="BI139" s="925"/>
      <c r="BJ139" s="925"/>
      <c r="BK139" s="925"/>
      <c r="BL139" s="925"/>
      <c r="BM139" s="925"/>
      <c r="BN139" s="925"/>
      <c r="BO139" s="925"/>
      <c r="BP139" s="925"/>
      <c r="BQ139" s="925"/>
      <c r="BR139" s="925"/>
      <c r="BS139" s="925"/>
      <c r="BT139" s="925"/>
      <c r="BU139" s="925"/>
      <c r="BV139" s="925"/>
      <c r="BW139" s="925"/>
      <c r="BX139" s="925"/>
      <c r="BY139" s="925"/>
      <c r="BZ139" s="925"/>
      <c r="CA139" s="925"/>
      <c r="CB139" s="925"/>
      <c r="CC139" s="925"/>
      <c r="CD139" s="925"/>
      <c r="CE139" s="925"/>
      <c r="CF139" s="925"/>
      <c r="CG139" s="925"/>
      <c r="CH139" s="925"/>
      <c r="CI139" s="925"/>
      <c r="CJ139" s="925"/>
      <c r="CK139" s="925"/>
      <c r="CL139" s="925"/>
      <c r="CM139" s="925"/>
      <c r="CN139" s="925"/>
      <c r="CO139" s="925"/>
      <c r="CP139" s="925"/>
      <c r="CQ139" s="925"/>
      <c r="CR139" s="925"/>
      <c r="CS139" s="925"/>
      <c r="CT139" s="925"/>
      <c r="CU139" s="925"/>
      <c r="CV139" s="925"/>
      <c r="CW139" s="925"/>
      <c r="CX139" s="925"/>
      <c r="CY139" s="925"/>
      <c r="CZ139" s="925"/>
      <c r="DA139" s="925"/>
      <c r="DB139" s="925"/>
      <c r="DC139" s="925"/>
      <c r="DD139" s="925"/>
      <c r="DE139" s="925"/>
      <c r="DF139" s="925"/>
      <c r="DG139" s="925"/>
      <c r="DH139" s="925"/>
      <c r="DI139" s="925"/>
      <c r="DJ139" s="925"/>
      <c r="DK139" s="925"/>
      <c r="DL139" s="925"/>
      <c r="DM139" s="925"/>
      <c r="DN139" s="925"/>
      <c r="DO139" s="925"/>
      <c r="DP139" s="925"/>
      <c r="DQ139" s="925"/>
      <c r="DR139" s="925"/>
      <c r="DS139" s="925"/>
      <c r="DT139" s="925"/>
      <c r="DU139" s="925"/>
      <c r="DV139" s="925"/>
      <c r="DW139" s="925"/>
      <c r="DX139" s="925"/>
      <c r="DY139" s="925"/>
      <c r="DZ139" s="925"/>
      <c r="EA139" s="925"/>
      <c r="EB139" s="925"/>
      <c r="EC139" s="925"/>
      <c r="ED139" s="925"/>
      <c r="EE139" s="925"/>
      <c r="EF139" s="925"/>
      <c r="EG139" s="446"/>
    </row>
    <row r="140" spans="1:137" ht="13" x14ac:dyDescent="0.15">
      <c r="A140" s="917"/>
      <c r="B140" s="917"/>
      <c r="C140" s="918"/>
      <c r="D140" s="919"/>
      <c r="E140" s="920"/>
      <c r="F140" s="921"/>
      <c r="G140" s="922"/>
      <c r="H140" s="922"/>
      <c r="I140" s="922"/>
      <c r="J140" s="923"/>
      <c r="K140" s="923"/>
      <c r="L140" s="924"/>
      <c r="M140" s="925"/>
      <c r="N140" s="925"/>
      <c r="O140" s="925"/>
      <c r="P140" s="925"/>
      <c r="Q140" s="925"/>
      <c r="R140" s="926"/>
      <c r="S140" s="926"/>
      <c r="T140" s="925"/>
      <c r="U140" s="925"/>
      <c r="V140" s="925"/>
      <c r="W140" s="925"/>
      <c r="X140" s="925"/>
      <c r="Y140" s="925"/>
      <c r="Z140" s="925"/>
      <c r="AA140" s="925"/>
      <c r="AB140" s="925"/>
      <c r="AC140" s="925"/>
      <c r="AD140" s="925"/>
      <c r="AE140" s="925"/>
      <c r="AF140" s="925"/>
      <c r="AG140" s="925"/>
      <c r="AH140" s="925"/>
      <c r="AI140" s="925"/>
      <c r="AJ140" s="925"/>
      <c r="AK140" s="925"/>
      <c r="AL140" s="925"/>
      <c r="AM140" s="925"/>
      <c r="AN140" s="925"/>
      <c r="AO140" s="925"/>
      <c r="AP140" s="925"/>
      <c r="AQ140" s="925"/>
      <c r="AR140" s="925"/>
      <c r="AS140" s="925"/>
      <c r="AT140" s="925"/>
      <c r="AU140" s="925"/>
      <c r="AV140" s="925"/>
      <c r="AW140" s="925"/>
      <c r="AX140" s="925"/>
      <c r="AY140" s="925"/>
      <c r="AZ140" s="925"/>
      <c r="BA140" s="925"/>
      <c r="BB140" s="925"/>
      <c r="BC140" s="925"/>
      <c r="BD140" s="925"/>
      <c r="BE140" s="925"/>
      <c r="BF140" s="925"/>
      <c r="BG140" s="925"/>
      <c r="BH140" s="925"/>
      <c r="BI140" s="925"/>
      <c r="BJ140" s="925"/>
      <c r="BK140" s="925"/>
      <c r="BL140" s="925"/>
      <c r="BM140" s="925"/>
      <c r="BN140" s="925"/>
      <c r="BO140" s="925"/>
      <c r="BP140" s="925"/>
      <c r="BQ140" s="925"/>
      <c r="BR140" s="925"/>
      <c r="BS140" s="925"/>
      <c r="BT140" s="925"/>
      <c r="BU140" s="925"/>
      <c r="BV140" s="925"/>
      <c r="BW140" s="925"/>
      <c r="BX140" s="925"/>
      <c r="BY140" s="925"/>
      <c r="BZ140" s="925"/>
      <c r="CA140" s="925"/>
      <c r="CB140" s="925"/>
      <c r="CC140" s="925"/>
      <c r="CD140" s="925"/>
      <c r="CE140" s="925"/>
      <c r="CF140" s="925"/>
      <c r="CG140" s="925"/>
      <c r="CH140" s="925"/>
      <c r="CI140" s="925"/>
      <c r="CJ140" s="925"/>
      <c r="CK140" s="925"/>
      <c r="CL140" s="925"/>
      <c r="CM140" s="925"/>
      <c r="CN140" s="925"/>
      <c r="CO140" s="925"/>
      <c r="CP140" s="925"/>
      <c r="CQ140" s="925"/>
      <c r="CR140" s="925"/>
      <c r="CS140" s="925"/>
      <c r="CT140" s="925"/>
      <c r="CU140" s="925"/>
      <c r="CV140" s="925"/>
      <c r="CW140" s="925"/>
      <c r="CX140" s="925"/>
      <c r="CY140" s="925"/>
      <c r="CZ140" s="925"/>
      <c r="DA140" s="925"/>
      <c r="DB140" s="925"/>
      <c r="DC140" s="925"/>
      <c r="DD140" s="925"/>
      <c r="DE140" s="925"/>
      <c r="DF140" s="925"/>
      <c r="DG140" s="925"/>
      <c r="DH140" s="925"/>
      <c r="DI140" s="925"/>
      <c r="DJ140" s="925"/>
      <c r="DK140" s="925"/>
      <c r="DL140" s="925"/>
      <c r="DM140" s="925"/>
      <c r="DN140" s="925"/>
      <c r="DO140" s="925"/>
      <c r="DP140" s="925"/>
      <c r="DQ140" s="925"/>
      <c r="DR140" s="925"/>
      <c r="DS140" s="925"/>
      <c r="DT140" s="925"/>
      <c r="DU140" s="925"/>
      <c r="DV140" s="925"/>
      <c r="DW140" s="925"/>
      <c r="DX140" s="925"/>
      <c r="DY140" s="925"/>
      <c r="DZ140" s="925"/>
      <c r="EA140" s="925"/>
      <c r="EB140" s="925"/>
      <c r="EC140" s="925"/>
      <c r="ED140" s="925"/>
      <c r="EE140" s="925"/>
      <c r="EF140" s="925"/>
      <c r="EG140" s="446"/>
    </row>
    <row r="141" spans="1:137" ht="13" x14ac:dyDescent="0.15">
      <c r="A141" s="917"/>
      <c r="B141" s="917"/>
      <c r="C141" s="918"/>
      <c r="D141" s="919"/>
      <c r="E141" s="920"/>
      <c r="F141" s="921"/>
      <c r="G141" s="922"/>
      <c r="H141" s="922"/>
      <c r="I141" s="922"/>
      <c r="J141" s="923"/>
      <c r="K141" s="923"/>
      <c r="L141" s="924"/>
      <c r="M141" s="925"/>
      <c r="N141" s="925"/>
      <c r="O141" s="925"/>
      <c r="P141" s="925"/>
      <c r="Q141" s="925"/>
      <c r="R141" s="926"/>
      <c r="S141" s="926"/>
      <c r="T141" s="925"/>
      <c r="U141" s="925"/>
      <c r="V141" s="925"/>
      <c r="W141" s="925"/>
      <c r="X141" s="925"/>
      <c r="Y141" s="925"/>
      <c r="Z141" s="925"/>
      <c r="AA141" s="925"/>
      <c r="AB141" s="925"/>
      <c r="AC141" s="925"/>
      <c r="AD141" s="925"/>
      <c r="AE141" s="925"/>
      <c r="AF141" s="925"/>
      <c r="AG141" s="925"/>
      <c r="AH141" s="925"/>
      <c r="AI141" s="925"/>
      <c r="AJ141" s="925"/>
      <c r="AK141" s="925"/>
      <c r="AL141" s="925"/>
      <c r="AM141" s="925"/>
      <c r="AN141" s="925"/>
      <c r="AO141" s="925"/>
      <c r="AP141" s="925"/>
      <c r="AQ141" s="925"/>
      <c r="AR141" s="925"/>
      <c r="AS141" s="925"/>
      <c r="AT141" s="925"/>
      <c r="AU141" s="925"/>
      <c r="AV141" s="925"/>
      <c r="AW141" s="925"/>
      <c r="AX141" s="925"/>
      <c r="AY141" s="925"/>
      <c r="AZ141" s="925"/>
      <c r="BA141" s="925"/>
      <c r="BB141" s="925"/>
      <c r="BC141" s="925"/>
      <c r="BD141" s="925"/>
      <c r="BE141" s="925"/>
      <c r="BF141" s="925"/>
      <c r="BG141" s="925"/>
      <c r="BH141" s="925"/>
      <c r="BI141" s="925"/>
      <c r="BJ141" s="925"/>
      <c r="BK141" s="925"/>
      <c r="BL141" s="925"/>
      <c r="BM141" s="925"/>
      <c r="BN141" s="925"/>
      <c r="BO141" s="925"/>
      <c r="BP141" s="925"/>
      <c r="BQ141" s="925"/>
      <c r="BR141" s="925"/>
      <c r="BS141" s="925"/>
      <c r="BT141" s="925"/>
      <c r="BU141" s="925"/>
      <c r="BV141" s="925"/>
      <c r="BW141" s="925"/>
      <c r="BX141" s="925"/>
      <c r="BY141" s="925"/>
      <c r="BZ141" s="925"/>
      <c r="CA141" s="925"/>
      <c r="CB141" s="925"/>
      <c r="CC141" s="925"/>
      <c r="CD141" s="925"/>
      <c r="CE141" s="925"/>
      <c r="CF141" s="925"/>
      <c r="CG141" s="925"/>
      <c r="CH141" s="925"/>
      <c r="CI141" s="925"/>
      <c r="CJ141" s="925"/>
      <c r="CK141" s="925"/>
      <c r="CL141" s="925"/>
      <c r="CM141" s="925"/>
      <c r="CN141" s="925"/>
      <c r="CO141" s="925"/>
      <c r="CP141" s="925"/>
      <c r="CQ141" s="925"/>
      <c r="CR141" s="925"/>
      <c r="CS141" s="925"/>
      <c r="CT141" s="925"/>
      <c r="CU141" s="925"/>
      <c r="CV141" s="925"/>
      <c r="CW141" s="925"/>
      <c r="CX141" s="925"/>
      <c r="CY141" s="925"/>
      <c r="CZ141" s="925"/>
      <c r="DA141" s="925"/>
      <c r="DB141" s="925"/>
      <c r="DC141" s="925"/>
      <c r="DD141" s="925"/>
      <c r="DE141" s="925"/>
      <c r="DF141" s="925"/>
      <c r="DG141" s="925"/>
      <c r="DH141" s="925"/>
      <c r="DI141" s="925"/>
      <c r="DJ141" s="925"/>
      <c r="DK141" s="925"/>
      <c r="DL141" s="925"/>
      <c r="DM141" s="925"/>
      <c r="DN141" s="925"/>
      <c r="DO141" s="925"/>
      <c r="DP141" s="925"/>
      <c r="DQ141" s="925"/>
      <c r="DR141" s="925"/>
      <c r="DS141" s="925"/>
      <c r="DT141" s="925"/>
      <c r="DU141" s="925"/>
      <c r="DV141" s="925"/>
      <c r="DW141" s="925"/>
      <c r="DX141" s="925"/>
      <c r="DY141" s="925"/>
      <c r="DZ141" s="925"/>
      <c r="EA141" s="925"/>
      <c r="EB141" s="925"/>
      <c r="EC141" s="925"/>
      <c r="ED141" s="925"/>
      <c r="EE141" s="925"/>
      <c r="EF141" s="925"/>
      <c r="EG141" s="446"/>
    </row>
    <row r="142" spans="1:137" ht="13" x14ac:dyDescent="0.15">
      <c r="A142" s="917"/>
      <c r="B142" s="917"/>
      <c r="C142" s="918"/>
      <c r="D142" s="919"/>
      <c r="E142" s="920"/>
      <c r="F142" s="921"/>
      <c r="G142" s="922"/>
      <c r="H142" s="922"/>
      <c r="I142" s="922"/>
      <c r="J142" s="923"/>
      <c r="K142" s="923"/>
      <c r="L142" s="924"/>
      <c r="M142" s="925"/>
      <c r="N142" s="925"/>
      <c r="O142" s="925"/>
      <c r="P142" s="925"/>
      <c r="Q142" s="925"/>
      <c r="R142" s="926"/>
      <c r="S142" s="926"/>
      <c r="T142" s="925"/>
      <c r="U142" s="925"/>
      <c r="V142" s="925"/>
      <c r="W142" s="925"/>
      <c r="X142" s="925"/>
      <c r="Y142" s="925"/>
      <c r="Z142" s="925"/>
      <c r="AA142" s="925"/>
      <c r="AB142" s="925"/>
      <c r="AC142" s="925"/>
      <c r="AD142" s="925"/>
      <c r="AE142" s="925"/>
      <c r="AF142" s="925"/>
      <c r="AG142" s="925"/>
      <c r="AH142" s="925"/>
      <c r="AI142" s="925"/>
      <c r="AJ142" s="925"/>
      <c r="AK142" s="925"/>
      <c r="AL142" s="925"/>
      <c r="AM142" s="925"/>
      <c r="AN142" s="925"/>
      <c r="AO142" s="925"/>
      <c r="AP142" s="925"/>
      <c r="AQ142" s="925"/>
      <c r="AR142" s="925"/>
      <c r="AS142" s="925"/>
      <c r="AT142" s="925"/>
      <c r="AU142" s="925"/>
      <c r="AV142" s="925"/>
      <c r="AW142" s="925"/>
      <c r="AX142" s="925"/>
      <c r="AY142" s="925"/>
      <c r="AZ142" s="925"/>
      <c r="BA142" s="925"/>
      <c r="BB142" s="925"/>
      <c r="BC142" s="925"/>
      <c r="BD142" s="925"/>
      <c r="BE142" s="925"/>
      <c r="BF142" s="925"/>
      <c r="BG142" s="925"/>
      <c r="BH142" s="925"/>
      <c r="BI142" s="925"/>
      <c r="BJ142" s="925"/>
      <c r="BK142" s="925"/>
      <c r="BL142" s="925"/>
      <c r="BM142" s="925"/>
      <c r="BN142" s="925"/>
      <c r="BO142" s="925"/>
      <c r="BP142" s="925"/>
      <c r="BQ142" s="925"/>
      <c r="BR142" s="925"/>
      <c r="BS142" s="925"/>
      <c r="BT142" s="925"/>
      <c r="BU142" s="925"/>
      <c r="BV142" s="925"/>
      <c r="BW142" s="925"/>
      <c r="BX142" s="925"/>
      <c r="BY142" s="925"/>
      <c r="BZ142" s="925"/>
      <c r="CA142" s="925"/>
      <c r="CB142" s="925"/>
      <c r="CC142" s="925"/>
      <c r="CD142" s="925"/>
      <c r="CE142" s="925"/>
      <c r="CF142" s="925"/>
      <c r="CG142" s="925"/>
      <c r="CH142" s="925"/>
      <c r="CI142" s="925"/>
      <c r="CJ142" s="925"/>
      <c r="CK142" s="925"/>
      <c r="CL142" s="925"/>
      <c r="CM142" s="925"/>
      <c r="CN142" s="925"/>
      <c r="CO142" s="925"/>
      <c r="CP142" s="925"/>
      <c r="CQ142" s="925"/>
      <c r="CR142" s="925"/>
      <c r="CS142" s="925"/>
      <c r="CT142" s="925"/>
      <c r="CU142" s="925"/>
      <c r="CV142" s="925"/>
      <c r="CW142" s="925"/>
      <c r="CX142" s="925"/>
      <c r="CY142" s="925"/>
      <c r="CZ142" s="925"/>
      <c r="DA142" s="925"/>
      <c r="DB142" s="925"/>
      <c r="DC142" s="925"/>
      <c r="DD142" s="925"/>
      <c r="DE142" s="925"/>
      <c r="DF142" s="925"/>
      <c r="DG142" s="925"/>
      <c r="DH142" s="925"/>
      <c r="DI142" s="925"/>
      <c r="DJ142" s="925"/>
      <c r="DK142" s="925"/>
      <c r="DL142" s="925"/>
      <c r="DM142" s="925"/>
      <c r="DN142" s="925"/>
      <c r="DO142" s="925"/>
      <c r="DP142" s="925"/>
      <c r="DQ142" s="925"/>
      <c r="DR142" s="925"/>
      <c r="DS142" s="925"/>
      <c r="DT142" s="925"/>
      <c r="DU142" s="925"/>
      <c r="DV142" s="925"/>
      <c r="DW142" s="925"/>
      <c r="DX142" s="925"/>
      <c r="DY142" s="925"/>
      <c r="DZ142" s="925"/>
      <c r="EA142" s="925"/>
      <c r="EB142" s="925"/>
      <c r="EC142" s="925"/>
      <c r="ED142" s="925"/>
      <c r="EE142" s="925"/>
      <c r="EF142" s="925"/>
      <c r="EG142" s="446"/>
    </row>
    <row r="143" spans="1:137" ht="13" x14ac:dyDescent="0.15">
      <c r="A143" s="917"/>
      <c r="B143" s="917"/>
      <c r="C143" s="918"/>
      <c r="D143" s="919"/>
      <c r="E143" s="920"/>
      <c r="F143" s="921"/>
      <c r="G143" s="922"/>
      <c r="H143" s="922"/>
      <c r="I143" s="922"/>
      <c r="J143" s="923"/>
      <c r="K143" s="923"/>
      <c r="L143" s="924"/>
      <c r="M143" s="925"/>
      <c r="N143" s="925"/>
      <c r="O143" s="925"/>
      <c r="P143" s="925"/>
      <c r="Q143" s="925"/>
      <c r="R143" s="926"/>
      <c r="S143" s="926"/>
      <c r="T143" s="925"/>
      <c r="U143" s="925"/>
      <c r="V143" s="925"/>
      <c r="W143" s="925"/>
      <c r="X143" s="925"/>
      <c r="Y143" s="925"/>
      <c r="Z143" s="925"/>
      <c r="AA143" s="925"/>
      <c r="AB143" s="925"/>
      <c r="AC143" s="925"/>
      <c r="AD143" s="925"/>
      <c r="AE143" s="925"/>
      <c r="AF143" s="925"/>
      <c r="AG143" s="925"/>
      <c r="AH143" s="925"/>
      <c r="AI143" s="925"/>
      <c r="AJ143" s="925"/>
      <c r="AK143" s="925"/>
      <c r="AL143" s="925"/>
      <c r="AM143" s="925"/>
      <c r="AN143" s="925"/>
      <c r="AO143" s="925"/>
      <c r="AP143" s="925"/>
      <c r="AQ143" s="925"/>
      <c r="AR143" s="925"/>
      <c r="AS143" s="925"/>
      <c r="AT143" s="925"/>
      <c r="AU143" s="925"/>
      <c r="AV143" s="925"/>
      <c r="AW143" s="925"/>
      <c r="AX143" s="925"/>
      <c r="AY143" s="925"/>
      <c r="AZ143" s="925"/>
      <c r="BA143" s="925"/>
      <c r="BB143" s="925"/>
      <c r="BC143" s="925"/>
      <c r="BD143" s="925"/>
      <c r="BE143" s="925"/>
      <c r="BF143" s="925"/>
      <c r="BG143" s="925"/>
      <c r="BH143" s="925"/>
      <c r="BI143" s="925"/>
      <c r="BJ143" s="925"/>
      <c r="BK143" s="925"/>
      <c r="BL143" s="925"/>
      <c r="BM143" s="925"/>
      <c r="BN143" s="925"/>
      <c r="BO143" s="925"/>
      <c r="BP143" s="925"/>
      <c r="BQ143" s="925"/>
      <c r="BR143" s="925"/>
      <c r="BS143" s="925"/>
      <c r="BT143" s="925"/>
      <c r="BU143" s="925"/>
      <c r="BV143" s="925"/>
      <c r="BW143" s="925"/>
      <c r="BX143" s="925"/>
      <c r="BY143" s="925"/>
      <c r="BZ143" s="925"/>
      <c r="CA143" s="925"/>
      <c r="CB143" s="925"/>
      <c r="CC143" s="925"/>
      <c r="CD143" s="925"/>
      <c r="CE143" s="925"/>
      <c r="CF143" s="925"/>
      <c r="CG143" s="925"/>
      <c r="CH143" s="925"/>
      <c r="CI143" s="925"/>
      <c r="CJ143" s="925"/>
      <c r="CK143" s="925"/>
      <c r="CL143" s="925"/>
      <c r="CM143" s="925"/>
      <c r="CN143" s="925"/>
      <c r="CO143" s="925"/>
      <c r="CP143" s="925"/>
      <c r="CQ143" s="925"/>
      <c r="CR143" s="925"/>
      <c r="CS143" s="925"/>
      <c r="CT143" s="925"/>
      <c r="CU143" s="925"/>
      <c r="CV143" s="925"/>
      <c r="CW143" s="925"/>
      <c r="CX143" s="925"/>
      <c r="CY143" s="925"/>
      <c r="CZ143" s="925"/>
      <c r="DA143" s="925"/>
      <c r="DB143" s="925"/>
      <c r="DC143" s="925"/>
      <c r="DD143" s="925"/>
      <c r="DE143" s="925"/>
      <c r="DF143" s="925"/>
      <c r="DG143" s="925"/>
      <c r="DH143" s="925"/>
      <c r="DI143" s="925"/>
      <c r="DJ143" s="925"/>
      <c r="DK143" s="925"/>
      <c r="DL143" s="925"/>
      <c r="DM143" s="925"/>
      <c r="DN143" s="925"/>
      <c r="DO143" s="925"/>
      <c r="DP143" s="925"/>
      <c r="DQ143" s="925"/>
      <c r="DR143" s="925"/>
      <c r="DS143" s="925"/>
      <c r="DT143" s="925"/>
      <c r="DU143" s="925"/>
      <c r="DV143" s="925"/>
      <c r="DW143" s="925"/>
      <c r="DX143" s="925"/>
      <c r="DY143" s="925"/>
      <c r="DZ143" s="925"/>
      <c r="EA143" s="925"/>
      <c r="EB143" s="925"/>
      <c r="EC143" s="925"/>
      <c r="ED143" s="925"/>
      <c r="EE143" s="925"/>
      <c r="EF143" s="925"/>
      <c r="EG143" s="446"/>
    </row>
    <row r="144" spans="1:137" ht="13" x14ac:dyDescent="0.15">
      <c r="A144" s="917"/>
      <c r="B144" s="917"/>
      <c r="C144" s="918"/>
      <c r="D144" s="919"/>
      <c r="E144" s="920"/>
      <c r="F144" s="921"/>
      <c r="G144" s="922"/>
      <c r="H144" s="922"/>
      <c r="I144" s="922"/>
      <c r="J144" s="923"/>
      <c r="K144" s="923"/>
      <c r="L144" s="924"/>
      <c r="M144" s="925"/>
      <c r="N144" s="925"/>
      <c r="O144" s="925"/>
      <c r="P144" s="925"/>
      <c r="Q144" s="925"/>
      <c r="R144" s="926"/>
      <c r="S144" s="926"/>
      <c r="T144" s="925"/>
      <c r="U144" s="925"/>
      <c r="V144" s="925"/>
      <c r="W144" s="925"/>
      <c r="X144" s="925"/>
      <c r="Y144" s="925"/>
      <c r="Z144" s="925"/>
      <c r="AA144" s="925"/>
      <c r="AB144" s="925"/>
      <c r="AC144" s="925"/>
      <c r="AD144" s="925"/>
      <c r="AE144" s="925"/>
      <c r="AF144" s="925"/>
      <c r="AG144" s="925"/>
      <c r="AH144" s="925"/>
      <c r="AI144" s="925"/>
      <c r="AJ144" s="925"/>
      <c r="AK144" s="925"/>
      <c r="AL144" s="925"/>
      <c r="AM144" s="925"/>
      <c r="AN144" s="925"/>
      <c r="AO144" s="925"/>
      <c r="AP144" s="925"/>
      <c r="AQ144" s="925"/>
      <c r="AR144" s="925"/>
      <c r="AS144" s="925"/>
      <c r="AT144" s="925"/>
      <c r="AU144" s="925"/>
      <c r="AV144" s="925"/>
      <c r="AW144" s="925"/>
      <c r="AX144" s="925"/>
      <c r="AY144" s="925"/>
      <c r="AZ144" s="925"/>
      <c r="BA144" s="925"/>
      <c r="BB144" s="925"/>
      <c r="BC144" s="925"/>
      <c r="BD144" s="925"/>
      <c r="BE144" s="925"/>
      <c r="BF144" s="925"/>
      <c r="BG144" s="925"/>
      <c r="BH144" s="925"/>
      <c r="BI144" s="925"/>
      <c r="BJ144" s="925"/>
      <c r="BK144" s="925"/>
      <c r="BL144" s="925"/>
      <c r="BM144" s="925"/>
      <c r="BN144" s="925"/>
      <c r="BO144" s="925"/>
      <c r="BP144" s="925"/>
      <c r="BQ144" s="925"/>
      <c r="BR144" s="925"/>
      <c r="BS144" s="925"/>
      <c r="BT144" s="925"/>
      <c r="BU144" s="925"/>
      <c r="BV144" s="925"/>
      <c r="BW144" s="925"/>
      <c r="BX144" s="925"/>
      <c r="BY144" s="925"/>
      <c r="BZ144" s="925"/>
      <c r="CA144" s="925"/>
      <c r="CB144" s="925"/>
      <c r="CC144" s="925"/>
      <c r="CD144" s="925"/>
      <c r="CE144" s="925"/>
      <c r="CF144" s="925"/>
      <c r="CG144" s="925"/>
      <c r="CH144" s="925"/>
      <c r="CI144" s="925"/>
      <c r="CJ144" s="925"/>
      <c r="CK144" s="925"/>
      <c r="CL144" s="925"/>
      <c r="CM144" s="925"/>
      <c r="CN144" s="925"/>
      <c r="CO144" s="925"/>
      <c r="CP144" s="925"/>
      <c r="CQ144" s="925"/>
      <c r="CR144" s="925"/>
      <c r="CS144" s="925"/>
      <c r="CT144" s="925"/>
      <c r="CU144" s="925"/>
      <c r="CV144" s="925"/>
      <c r="CW144" s="925"/>
      <c r="CX144" s="925"/>
      <c r="CY144" s="925"/>
      <c r="CZ144" s="925"/>
      <c r="DA144" s="925"/>
      <c r="DB144" s="925"/>
      <c r="DC144" s="925"/>
      <c r="DD144" s="925"/>
      <c r="DE144" s="925"/>
      <c r="DF144" s="925"/>
      <c r="DG144" s="925"/>
      <c r="DH144" s="925"/>
      <c r="DI144" s="925"/>
      <c r="DJ144" s="925"/>
      <c r="DK144" s="925"/>
      <c r="DL144" s="925"/>
      <c r="DM144" s="925"/>
      <c r="DN144" s="925"/>
      <c r="DO144" s="925"/>
      <c r="DP144" s="925"/>
      <c r="DQ144" s="925"/>
      <c r="DR144" s="925"/>
      <c r="DS144" s="925"/>
      <c r="DT144" s="925"/>
      <c r="DU144" s="925"/>
      <c r="DV144" s="925"/>
      <c r="DW144" s="925"/>
      <c r="DX144" s="925"/>
      <c r="DY144" s="925"/>
      <c r="DZ144" s="925"/>
      <c r="EA144" s="925"/>
      <c r="EB144" s="925"/>
      <c r="EC144" s="925"/>
      <c r="ED144" s="925"/>
      <c r="EE144" s="925"/>
      <c r="EF144" s="925"/>
      <c r="EG144" s="446"/>
    </row>
    <row r="145" spans="1:137" ht="13" x14ac:dyDescent="0.15">
      <c r="A145" s="917"/>
      <c r="B145" s="917"/>
      <c r="C145" s="918"/>
      <c r="D145" s="919"/>
      <c r="E145" s="920"/>
      <c r="F145" s="921"/>
      <c r="G145" s="922"/>
      <c r="H145" s="922"/>
      <c r="I145" s="922"/>
      <c r="J145" s="923"/>
      <c r="K145" s="923"/>
      <c r="L145" s="924"/>
      <c r="M145" s="925"/>
      <c r="N145" s="925"/>
      <c r="O145" s="925"/>
      <c r="P145" s="925"/>
      <c r="Q145" s="925"/>
      <c r="R145" s="926"/>
      <c r="S145" s="926"/>
      <c r="T145" s="925"/>
      <c r="U145" s="925"/>
      <c r="V145" s="925"/>
      <c r="W145" s="925"/>
      <c r="X145" s="925"/>
      <c r="Y145" s="925"/>
      <c r="Z145" s="925"/>
      <c r="AA145" s="925"/>
      <c r="AB145" s="925"/>
      <c r="AC145" s="925"/>
      <c r="AD145" s="925"/>
      <c r="AE145" s="925"/>
      <c r="AF145" s="925"/>
      <c r="AG145" s="925"/>
      <c r="AH145" s="925"/>
      <c r="AI145" s="925"/>
      <c r="AJ145" s="925"/>
      <c r="AK145" s="925"/>
      <c r="AL145" s="925"/>
      <c r="AM145" s="925"/>
      <c r="AN145" s="925"/>
      <c r="AO145" s="925"/>
      <c r="AP145" s="925"/>
      <c r="AQ145" s="925"/>
      <c r="AR145" s="925"/>
      <c r="AS145" s="925"/>
      <c r="AT145" s="925"/>
      <c r="AU145" s="925"/>
      <c r="AV145" s="925"/>
      <c r="AW145" s="925"/>
      <c r="AX145" s="925"/>
      <c r="AY145" s="925"/>
      <c r="AZ145" s="925"/>
      <c r="BA145" s="925"/>
      <c r="BB145" s="925"/>
      <c r="BC145" s="925"/>
      <c r="BD145" s="925"/>
      <c r="BE145" s="925"/>
      <c r="BF145" s="925"/>
      <c r="BG145" s="925"/>
      <c r="BH145" s="925"/>
      <c r="BI145" s="925"/>
      <c r="BJ145" s="925"/>
      <c r="BK145" s="925"/>
      <c r="BL145" s="925"/>
      <c r="BM145" s="925"/>
      <c r="BN145" s="925"/>
      <c r="BO145" s="925"/>
      <c r="BP145" s="925"/>
      <c r="BQ145" s="925"/>
      <c r="BR145" s="925"/>
      <c r="BS145" s="925"/>
      <c r="BT145" s="925"/>
      <c r="BU145" s="925"/>
      <c r="BV145" s="925"/>
      <c r="BW145" s="925"/>
      <c r="BX145" s="925"/>
      <c r="BY145" s="925"/>
      <c r="BZ145" s="925"/>
      <c r="CA145" s="925"/>
      <c r="CB145" s="925"/>
      <c r="CC145" s="925"/>
      <c r="CD145" s="925"/>
      <c r="CE145" s="925"/>
      <c r="CF145" s="925"/>
      <c r="CG145" s="925"/>
      <c r="CH145" s="925"/>
      <c r="CI145" s="925"/>
      <c r="CJ145" s="925"/>
      <c r="CK145" s="925"/>
      <c r="CL145" s="925"/>
      <c r="CM145" s="925"/>
      <c r="CN145" s="925"/>
      <c r="CO145" s="925"/>
      <c r="CP145" s="925"/>
      <c r="CQ145" s="925"/>
      <c r="CR145" s="925"/>
      <c r="CS145" s="925"/>
      <c r="CT145" s="925"/>
      <c r="CU145" s="925"/>
      <c r="CV145" s="925"/>
      <c r="CW145" s="925"/>
      <c r="CX145" s="925"/>
      <c r="CY145" s="925"/>
      <c r="CZ145" s="925"/>
      <c r="DA145" s="925"/>
      <c r="DB145" s="925"/>
      <c r="DC145" s="925"/>
      <c r="DD145" s="925"/>
      <c r="DE145" s="925"/>
      <c r="DF145" s="925"/>
      <c r="DG145" s="925"/>
      <c r="DH145" s="925"/>
      <c r="DI145" s="925"/>
      <c r="DJ145" s="925"/>
      <c r="DK145" s="925"/>
      <c r="DL145" s="925"/>
      <c r="DM145" s="925"/>
      <c r="DN145" s="925"/>
      <c r="DO145" s="925"/>
      <c r="DP145" s="925"/>
      <c r="DQ145" s="925"/>
      <c r="DR145" s="925"/>
      <c r="DS145" s="925"/>
      <c r="DT145" s="925"/>
      <c r="DU145" s="925"/>
      <c r="DV145" s="925"/>
      <c r="DW145" s="925"/>
      <c r="DX145" s="925"/>
      <c r="DY145" s="925"/>
      <c r="DZ145" s="925"/>
      <c r="EA145" s="925"/>
      <c r="EB145" s="925"/>
      <c r="EC145" s="925"/>
      <c r="ED145" s="925"/>
      <c r="EE145" s="925"/>
      <c r="EF145" s="925"/>
      <c r="EG145" s="446"/>
    </row>
    <row r="146" spans="1:137" ht="13" x14ac:dyDescent="0.15">
      <c r="A146" s="917"/>
      <c r="B146" s="917"/>
      <c r="C146" s="918"/>
      <c r="D146" s="919"/>
      <c r="E146" s="920"/>
      <c r="F146" s="921"/>
      <c r="G146" s="922"/>
      <c r="H146" s="922"/>
      <c r="I146" s="922"/>
      <c r="J146" s="923"/>
      <c r="K146" s="923"/>
      <c r="L146" s="924"/>
      <c r="M146" s="925"/>
      <c r="N146" s="925"/>
      <c r="O146" s="925"/>
      <c r="P146" s="925"/>
      <c r="Q146" s="925"/>
      <c r="R146" s="926"/>
      <c r="S146" s="926"/>
      <c r="T146" s="925"/>
      <c r="U146" s="925"/>
      <c r="V146" s="925"/>
      <c r="W146" s="925"/>
      <c r="X146" s="925"/>
      <c r="Y146" s="925"/>
      <c r="Z146" s="925"/>
      <c r="AA146" s="925"/>
      <c r="AB146" s="925"/>
      <c r="AC146" s="925"/>
      <c r="AD146" s="925"/>
      <c r="AE146" s="925"/>
      <c r="AF146" s="925"/>
      <c r="AG146" s="925"/>
      <c r="AH146" s="925"/>
      <c r="AI146" s="925"/>
      <c r="AJ146" s="925"/>
      <c r="AK146" s="925"/>
      <c r="AL146" s="925"/>
      <c r="AM146" s="925"/>
      <c r="AN146" s="925"/>
      <c r="AO146" s="925"/>
      <c r="AP146" s="925"/>
      <c r="AQ146" s="925"/>
      <c r="AR146" s="925"/>
      <c r="AS146" s="925"/>
      <c r="AT146" s="925"/>
      <c r="AU146" s="925"/>
      <c r="AV146" s="925"/>
      <c r="AW146" s="925"/>
      <c r="AX146" s="925"/>
      <c r="AY146" s="925"/>
      <c r="AZ146" s="925"/>
      <c r="BA146" s="925"/>
      <c r="BB146" s="925"/>
      <c r="BC146" s="925"/>
      <c r="BD146" s="925"/>
      <c r="BE146" s="925"/>
      <c r="BF146" s="925"/>
      <c r="BG146" s="925"/>
      <c r="BH146" s="925"/>
      <c r="BI146" s="925"/>
      <c r="BJ146" s="925"/>
      <c r="BK146" s="925"/>
      <c r="BL146" s="925"/>
      <c r="BM146" s="925"/>
      <c r="BN146" s="925"/>
      <c r="BO146" s="925"/>
      <c r="BP146" s="925"/>
      <c r="BQ146" s="925"/>
      <c r="BR146" s="925"/>
      <c r="BS146" s="925"/>
      <c r="BT146" s="925"/>
      <c r="BU146" s="925"/>
      <c r="BV146" s="925"/>
      <c r="BW146" s="925"/>
      <c r="BX146" s="925"/>
      <c r="BY146" s="925"/>
      <c r="BZ146" s="925"/>
      <c r="CA146" s="925"/>
      <c r="CB146" s="925"/>
      <c r="CC146" s="925"/>
      <c r="CD146" s="925"/>
      <c r="CE146" s="925"/>
      <c r="CF146" s="925"/>
      <c r="CG146" s="925"/>
      <c r="CH146" s="925"/>
      <c r="CI146" s="925"/>
      <c r="CJ146" s="925"/>
      <c r="CK146" s="925"/>
      <c r="CL146" s="925"/>
      <c r="CM146" s="925"/>
      <c r="CN146" s="925"/>
      <c r="CO146" s="925"/>
      <c r="CP146" s="925"/>
      <c r="CQ146" s="925"/>
      <c r="CR146" s="925"/>
      <c r="CS146" s="925"/>
      <c r="CT146" s="925"/>
      <c r="CU146" s="925"/>
      <c r="CV146" s="925"/>
      <c r="CW146" s="925"/>
      <c r="CX146" s="925"/>
      <c r="CY146" s="925"/>
      <c r="CZ146" s="925"/>
      <c r="DA146" s="925"/>
      <c r="DB146" s="925"/>
      <c r="DC146" s="925"/>
      <c r="DD146" s="925"/>
      <c r="DE146" s="925"/>
      <c r="DF146" s="925"/>
      <c r="DG146" s="925"/>
      <c r="DH146" s="925"/>
      <c r="DI146" s="925"/>
      <c r="DJ146" s="925"/>
      <c r="DK146" s="925"/>
      <c r="DL146" s="925"/>
      <c r="DM146" s="925"/>
      <c r="DN146" s="925"/>
      <c r="DO146" s="925"/>
      <c r="DP146" s="925"/>
      <c r="DQ146" s="925"/>
      <c r="DR146" s="925"/>
      <c r="DS146" s="925"/>
      <c r="DT146" s="925"/>
      <c r="DU146" s="925"/>
      <c r="DV146" s="925"/>
      <c r="DW146" s="925"/>
      <c r="DX146" s="925"/>
      <c r="DY146" s="925"/>
      <c r="DZ146" s="925"/>
      <c r="EA146" s="925"/>
      <c r="EB146" s="925"/>
      <c r="EC146" s="925"/>
      <c r="ED146" s="925"/>
      <c r="EE146" s="925"/>
      <c r="EF146" s="925"/>
      <c r="EG146" s="446"/>
    </row>
    <row r="147" spans="1:137" ht="13" x14ac:dyDescent="0.15">
      <c r="A147" s="917"/>
      <c r="B147" s="917"/>
      <c r="C147" s="918"/>
      <c r="D147" s="919"/>
      <c r="E147" s="920"/>
      <c r="F147" s="921"/>
      <c r="G147" s="922"/>
      <c r="H147" s="922"/>
      <c r="I147" s="922"/>
      <c r="J147" s="923"/>
      <c r="K147" s="923"/>
      <c r="L147" s="924"/>
      <c r="M147" s="925"/>
      <c r="N147" s="925"/>
      <c r="O147" s="925"/>
      <c r="P147" s="925"/>
      <c r="Q147" s="925"/>
      <c r="R147" s="926"/>
      <c r="S147" s="926"/>
      <c r="T147" s="925"/>
      <c r="U147" s="925"/>
      <c r="V147" s="925"/>
      <c r="W147" s="925"/>
      <c r="X147" s="925"/>
      <c r="Y147" s="925"/>
      <c r="Z147" s="925"/>
      <c r="AA147" s="925"/>
      <c r="AB147" s="925"/>
      <c r="AC147" s="925"/>
      <c r="AD147" s="925"/>
      <c r="AE147" s="925"/>
      <c r="AF147" s="925"/>
      <c r="AG147" s="925"/>
      <c r="AH147" s="925"/>
      <c r="AI147" s="925"/>
      <c r="AJ147" s="925"/>
      <c r="AK147" s="925"/>
      <c r="AL147" s="925"/>
      <c r="AM147" s="925"/>
      <c r="AN147" s="925"/>
      <c r="AO147" s="925"/>
      <c r="AP147" s="925"/>
      <c r="AQ147" s="925"/>
      <c r="AR147" s="925"/>
      <c r="AS147" s="925"/>
      <c r="AT147" s="925"/>
      <c r="AU147" s="925"/>
      <c r="AV147" s="925"/>
      <c r="AW147" s="925"/>
      <c r="AX147" s="925"/>
      <c r="AY147" s="925"/>
      <c r="AZ147" s="925"/>
      <c r="BA147" s="925"/>
      <c r="BB147" s="925"/>
      <c r="BC147" s="925"/>
      <c r="BD147" s="925"/>
      <c r="BE147" s="925"/>
      <c r="BF147" s="925"/>
      <c r="BG147" s="925"/>
      <c r="BH147" s="925"/>
      <c r="BI147" s="925"/>
      <c r="BJ147" s="925"/>
      <c r="BK147" s="925"/>
      <c r="BL147" s="925"/>
      <c r="BM147" s="925"/>
      <c r="BN147" s="925"/>
      <c r="BO147" s="925"/>
      <c r="BP147" s="925"/>
      <c r="BQ147" s="925"/>
      <c r="BR147" s="925"/>
      <c r="BS147" s="925"/>
      <c r="BT147" s="925"/>
      <c r="BU147" s="925"/>
      <c r="BV147" s="925"/>
      <c r="BW147" s="925"/>
      <c r="BX147" s="925"/>
      <c r="BY147" s="925"/>
      <c r="BZ147" s="925"/>
      <c r="CA147" s="925"/>
      <c r="CB147" s="925"/>
      <c r="CC147" s="925"/>
      <c r="CD147" s="925"/>
      <c r="CE147" s="925"/>
      <c r="CF147" s="925"/>
      <c r="CG147" s="925"/>
      <c r="CH147" s="925"/>
      <c r="CI147" s="925"/>
      <c r="CJ147" s="925"/>
      <c r="CK147" s="925"/>
      <c r="CL147" s="925"/>
      <c r="CM147" s="925"/>
      <c r="CN147" s="925"/>
      <c r="CO147" s="925"/>
      <c r="CP147" s="925"/>
      <c r="CQ147" s="925"/>
      <c r="CR147" s="925"/>
      <c r="CS147" s="925"/>
      <c r="CT147" s="925"/>
      <c r="CU147" s="925"/>
      <c r="CV147" s="925"/>
      <c r="CW147" s="925"/>
      <c r="CX147" s="925"/>
      <c r="CY147" s="925"/>
      <c r="CZ147" s="925"/>
      <c r="DA147" s="925"/>
      <c r="DB147" s="925"/>
      <c r="DC147" s="925"/>
      <c r="DD147" s="925"/>
      <c r="DE147" s="925"/>
      <c r="DF147" s="925"/>
      <c r="DG147" s="925"/>
      <c r="DH147" s="925"/>
      <c r="DI147" s="925"/>
      <c r="DJ147" s="925"/>
      <c r="DK147" s="925"/>
      <c r="DL147" s="925"/>
      <c r="DM147" s="925"/>
      <c r="DN147" s="925"/>
      <c r="DO147" s="925"/>
      <c r="DP147" s="925"/>
      <c r="DQ147" s="925"/>
      <c r="DR147" s="925"/>
      <c r="DS147" s="925"/>
      <c r="DT147" s="925"/>
      <c r="DU147" s="925"/>
      <c r="DV147" s="925"/>
      <c r="DW147" s="925"/>
      <c r="DX147" s="925"/>
      <c r="DY147" s="925"/>
      <c r="DZ147" s="925"/>
      <c r="EA147" s="925"/>
      <c r="EB147" s="925"/>
      <c r="EC147" s="925"/>
      <c r="ED147" s="925"/>
      <c r="EE147" s="925"/>
      <c r="EF147" s="925"/>
      <c r="EG147" s="446"/>
    </row>
    <row r="148" spans="1:137" ht="13" x14ac:dyDescent="0.15">
      <c r="A148" s="917"/>
      <c r="B148" s="917"/>
      <c r="C148" s="918"/>
      <c r="D148" s="919"/>
      <c r="E148" s="920"/>
      <c r="F148" s="921"/>
      <c r="G148" s="922"/>
      <c r="H148" s="922"/>
      <c r="I148" s="922"/>
      <c r="J148" s="923"/>
      <c r="K148" s="923"/>
      <c r="L148" s="924"/>
      <c r="M148" s="925"/>
      <c r="N148" s="925"/>
      <c r="O148" s="925"/>
      <c r="P148" s="925"/>
      <c r="Q148" s="925"/>
      <c r="R148" s="926"/>
      <c r="S148" s="926"/>
      <c r="T148" s="925"/>
      <c r="U148" s="925"/>
      <c r="V148" s="925"/>
      <c r="W148" s="925"/>
      <c r="X148" s="925"/>
      <c r="Y148" s="925"/>
      <c r="Z148" s="925"/>
      <c r="AA148" s="925"/>
      <c r="AB148" s="925"/>
      <c r="AC148" s="925"/>
      <c r="AD148" s="925"/>
      <c r="AE148" s="925"/>
      <c r="AF148" s="925"/>
      <c r="AG148" s="925"/>
      <c r="AH148" s="925"/>
      <c r="AI148" s="925"/>
      <c r="AJ148" s="925"/>
      <c r="AK148" s="925"/>
      <c r="AL148" s="925"/>
      <c r="AM148" s="925"/>
      <c r="AN148" s="925"/>
      <c r="AO148" s="925"/>
      <c r="AP148" s="925"/>
      <c r="AQ148" s="925"/>
      <c r="AR148" s="925"/>
      <c r="AS148" s="925"/>
      <c r="AT148" s="925"/>
      <c r="AU148" s="925"/>
      <c r="AV148" s="925"/>
      <c r="AW148" s="925"/>
      <c r="AX148" s="925"/>
      <c r="AY148" s="925"/>
      <c r="AZ148" s="925"/>
      <c r="BA148" s="925"/>
      <c r="BB148" s="925"/>
      <c r="BC148" s="925"/>
      <c r="BD148" s="925"/>
      <c r="BE148" s="925"/>
      <c r="BF148" s="925"/>
      <c r="BG148" s="925"/>
      <c r="BH148" s="925"/>
      <c r="BI148" s="925"/>
      <c r="BJ148" s="925"/>
      <c r="BK148" s="925"/>
      <c r="BL148" s="925"/>
      <c r="BM148" s="925"/>
      <c r="BN148" s="925"/>
      <c r="BO148" s="925"/>
      <c r="BP148" s="925"/>
      <c r="BQ148" s="925"/>
      <c r="BR148" s="925"/>
      <c r="BS148" s="925"/>
      <c r="BT148" s="925"/>
      <c r="BU148" s="925"/>
      <c r="BV148" s="925"/>
      <c r="BW148" s="925"/>
      <c r="BX148" s="925"/>
      <c r="BY148" s="925"/>
      <c r="BZ148" s="925"/>
      <c r="CA148" s="925"/>
      <c r="CB148" s="925"/>
      <c r="CC148" s="925"/>
      <c r="CD148" s="925"/>
      <c r="CE148" s="925"/>
      <c r="CF148" s="925"/>
      <c r="CG148" s="925"/>
      <c r="CH148" s="925"/>
      <c r="CI148" s="925"/>
      <c r="CJ148" s="925"/>
      <c r="CK148" s="925"/>
      <c r="CL148" s="925"/>
      <c r="CM148" s="925"/>
      <c r="CN148" s="925"/>
      <c r="CO148" s="925"/>
      <c r="CP148" s="925"/>
      <c r="CQ148" s="925"/>
      <c r="CR148" s="925"/>
      <c r="CS148" s="925"/>
      <c r="CT148" s="925"/>
      <c r="CU148" s="925"/>
      <c r="CV148" s="925"/>
      <c r="CW148" s="925"/>
      <c r="CX148" s="925"/>
      <c r="CY148" s="925"/>
      <c r="CZ148" s="925"/>
      <c r="DA148" s="925"/>
      <c r="DB148" s="925"/>
      <c r="DC148" s="925"/>
      <c r="DD148" s="925"/>
      <c r="DE148" s="925"/>
      <c r="DF148" s="925"/>
      <c r="DG148" s="925"/>
      <c r="DH148" s="925"/>
      <c r="DI148" s="925"/>
      <c r="DJ148" s="925"/>
      <c r="DK148" s="925"/>
      <c r="DL148" s="925"/>
      <c r="DM148" s="925"/>
      <c r="DN148" s="925"/>
      <c r="DO148" s="925"/>
      <c r="DP148" s="925"/>
      <c r="DQ148" s="925"/>
      <c r="DR148" s="925"/>
      <c r="DS148" s="925"/>
      <c r="DT148" s="925"/>
      <c r="DU148" s="925"/>
      <c r="DV148" s="925"/>
      <c r="DW148" s="925"/>
      <c r="DX148" s="925"/>
      <c r="DY148" s="925"/>
      <c r="DZ148" s="925"/>
      <c r="EA148" s="925"/>
      <c r="EB148" s="925"/>
      <c r="EC148" s="925"/>
      <c r="ED148" s="925"/>
      <c r="EE148" s="925"/>
      <c r="EF148" s="925"/>
      <c r="EG148" s="446"/>
    </row>
    <row r="149" spans="1:137" ht="13" x14ac:dyDescent="0.15">
      <c r="A149" s="917"/>
      <c r="B149" s="917"/>
      <c r="C149" s="918"/>
      <c r="D149" s="919"/>
      <c r="E149" s="920"/>
      <c r="F149" s="921"/>
      <c r="G149" s="922"/>
      <c r="H149" s="922"/>
      <c r="I149" s="922"/>
      <c r="J149" s="923"/>
      <c r="K149" s="923"/>
      <c r="L149" s="924"/>
      <c r="M149" s="925"/>
      <c r="N149" s="925"/>
      <c r="O149" s="925"/>
      <c r="P149" s="925"/>
      <c r="Q149" s="925"/>
      <c r="R149" s="926"/>
      <c r="S149" s="926"/>
      <c r="T149" s="925"/>
      <c r="U149" s="925"/>
      <c r="V149" s="925"/>
      <c r="W149" s="925"/>
      <c r="X149" s="925"/>
      <c r="Y149" s="925"/>
      <c r="Z149" s="925"/>
      <c r="AA149" s="925"/>
      <c r="AB149" s="925"/>
      <c r="AC149" s="925"/>
      <c r="AD149" s="925"/>
      <c r="AE149" s="925"/>
      <c r="AF149" s="925"/>
      <c r="AG149" s="925"/>
      <c r="AH149" s="925"/>
      <c r="AI149" s="925"/>
      <c r="AJ149" s="925"/>
      <c r="AK149" s="925"/>
      <c r="AL149" s="925"/>
      <c r="AM149" s="925"/>
      <c r="AN149" s="925"/>
      <c r="AO149" s="925"/>
      <c r="AP149" s="925"/>
      <c r="AQ149" s="925"/>
      <c r="AR149" s="925"/>
      <c r="AS149" s="925"/>
      <c r="AT149" s="925"/>
      <c r="AU149" s="925"/>
      <c r="AV149" s="925"/>
      <c r="AW149" s="925"/>
      <c r="AX149" s="925"/>
      <c r="AY149" s="925"/>
      <c r="AZ149" s="925"/>
      <c r="BA149" s="925"/>
      <c r="BB149" s="925"/>
      <c r="BC149" s="925"/>
      <c r="BD149" s="925"/>
      <c r="BE149" s="925"/>
      <c r="BF149" s="925"/>
      <c r="BG149" s="925"/>
      <c r="BH149" s="925"/>
      <c r="BI149" s="925"/>
      <c r="BJ149" s="925"/>
      <c r="BK149" s="925"/>
      <c r="BL149" s="925"/>
      <c r="BM149" s="925"/>
      <c r="BN149" s="925"/>
      <c r="BO149" s="925"/>
      <c r="BP149" s="925"/>
      <c r="BQ149" s="925"/>
      <c r="BR149" s="925"/>
      <c r="BS149" s="925"/>
      <c r="BT149" s="925"/>
      <c r="BU149" s="925"/>
      <c r="BV149" s="925"/>
      <c r="BW149" s="925"/>
      <c r="BX149" s="925"/>
      <c r="BY149" s="925"/>
      <c r="BZ149" s="925"/>
      <c r="CA149" s="925"/>
      <c r="CB149" s="925"/>
      <c r="CC149" s="925"/>
      <c r="CD149" s="925"/>
      <c r="CE149" s="925"/>
      <c r="CF149" s="925"/>
      <c r="CG149" s="925"/>
      <c r="CH149" s="925"/>
      <c r="CI149" s="925"/>
      <c r="CJ149" s="925"/>
      <c r="CK149" s="925"/>
      <c r="CL149" s="925"/>
      <c r="CM149" s="925"/>
      <c r="CN149" s="925"/>
      <c r="CO149" s="925"/>
      <c r="CP149" s="925"/>
      <c r="CQ149" s="925"/>
      <c r="CR149" s="925"/>
      <c r="CS149" s="925"/>
      <c r="CT149" s="925"/>
      <c r="CU149" s="925"/>
      <c r="CV149" s="925"/>
      <c r="CW149" s="925"/>
      <c r="CX149" s="925"/>
      <c r="CY149" s="925"/>
      <c r="CZ149" s="925"/>
      <c r="DA149" s="925"/>
      <c r="DB149" s="925"/>
      <c r="DC149" s="925"/>
      <c r="DD149" s="925"/>
      <c r="DE149" s="925"/>
      <c r="DF149" s="925"/>
      <c r="DG149" s="925"/>
      <c r="DH149" s="925"/>
      <c r="DI149" s="925"/>
      <c r="DJ149" s="925"/>
      <c r="DK149" s="925"/>
      <c r="DL149" s="925"/>
      <c r="DM149" s="925"/>
      <c r="DN149" s="925"/>
      <c r="DO149" s="925"/>
      <c r="DP149" s="925"/>
      <c r="DQ149" s="925"/>
      <c r="DR149" s="925"/>
      <c r="DS149" s="925"/>
      <c r="DT149" s="925"/>
      <c r="DU149" s="925"/>
      <c r="DV149" s="925"/>
      <c r="DW149" s="925"/>
      <c r="DX149" s="925"/>
      <c r="DY149" s="925"/>
      <c r="DZ149" s="925"/>
      <c r="EA149" s="925"/>
      <c r="EB149" s="925"/>
      <c r="EC149" s="925"/>
      <c r="ED149" s="925"/>
      <c r="EE149" s="925"/>
      <c r="EF149" s="925"/>
      <c r="EG149" s="446"/>
    </row>
    <row r="150" spans="1:137" ht="13" x14ac:dyDescent="0.15">
      <c r="A150" s="917"/>
      <c r="B150" s="917"/>
      <c r="C150" s="918"/>
      <c r="D150" s="919"/>
      <c r="E150" s="920"/>
      <c r="F150" s="921"/>
      <c r="G150" s="922"/>
      <c r="H150" s="922"/>
      <c r="I150" s="922"/>
      <c r="J150" s="923"/>
      <c r="K150" s="923"/>
      <c r="L150" s="924"/>
      <c r="M150" s="925"/>
      <c r="N150" s="925"/>
      <c r="O150" s="925"/>
      <c r="P150" s="925"/>
      <c r="Q150" s="925"/>
      <c r="R150" s="926"/>
      <c r="S150" s="926"/>
      <c r="T150" s="925"/>
      <c r="U150" s="925"/>
      <c r="V150" s="925"/>
      <c r="W150" s="925"/>
      <c r="X150" s="925"/>
      <c r="Y150" s="925"/>
      <c r="Z150" s="925"/>
      <c r="AA150" s="925"/>
      <c r="AB150" s="925"/>
      <c r="AC150" s="925"/>
      <c r="AD150" s="925"/>
      <c r="AE150" s="925"/>
      <c r="AF150" s="925"/>
      <c r="AG150" s="925"/>
      <c r="AH150" s="925"/>
      <c r="AI150" s="925"/>
      <c r="AJ150" s="925"/>
      <c r="AK150" s="925"/>
      <c r="AL150" s="925"/>
      <c r="AM150" s="925"/>
      <c r="AN150" s="925"/>
      <c r="AO150" s="925"/>
      <c r="AP150" s="925"/>
      <c r="AQ150" s="925"/>
      <c r="AR150" s="925"/>
      <c r="AS150" s="925"/>
      <c r="AT150" s="925"/>
      <c r="AU150" s="925"/>
      <c r="AV150" s="925"/>
      <c r="AW150" s="925"/>
      <c r="AX150" s="925"/>
      <c r="AY150" s="925"/>
      <c r="AZ150" s="925"/>
      <c r="BA150" s="925"/>
      <c r="BB150" s="925"/>
      <c r="BC150" s="925"/>
      <c r="BD150" s="925"/>
      <c r="BE150" s="925"/>
      <c r="BF150" s="925"/>
      <c r="BG150" s="925"/>
      <c r="BH150" s="925"/>
      <c r="BI150" s="925"/>
      <c r="BJ150" s="925"/>
      <c r="BK150" s="925"/>
      <c r="BL150" s="925"/>
      <c r="BM150" s="925"/>
      <c r="BN150" s="925"/>
      <c r="BO150" s="925"/>
      <c r="BP150" s="925"/>
      <c r="BQ150" s="925"/>
      <c r="BR150" s="925"/>
      <c r="BS150" s="925"/>
      <c r="BT150" s="925"/>
      <c r="BU150" s="925"/>
      <c r="BV150" s="925"/>
      <c r="BW150" s="925"/>
      <c r="BX150" s="925"/>
      <c r="BY150" s="925"/>
      <c r="BZ150" s="925"/>
      <c r="CA150" s="925"/>
      <c r="CB150" s="925"/>
      <c r="CC150" s="925"/>
      <c r="CD150" s="925"/>
      <c r="CE150" s="925"/>
      <c r="CF150" s="925"/>
      <c r="CG150" s="925"/>
      <c r="CH150" s="925"/>
      <c r="CI150" s="925"/>
      <c r="CJ150" s="925"/>
      <c r="CK150" s="925"/>
      <c r="CL150" s="925"/>
      <c r="CM150" s="925"/>
      <c r="CN150" s="925"/>
      <c r="CO150" s="925"/>
      <c r="CP150" s="925"/>
      <c r="CQ150" s="925"/>
      <c r="CR150" s="925"/>
      <c r="CS150" s="925"/>
      <c r="CT150" s="925"/>
      <c r="CU150" s="925"/>
      <c r="CV150" s="925"/>
      <c r="CW150" s="925"/>
      <c r="CX150" s="925"/>
      <c r="CY150" s="925"/>
      <c r="CZ150" s="925"/>
      <c r="DA150" s="925"/>
      <c r="DB150" s="925"/>
      <c r="DC150" s="925"/>
      <c r="DD150" s="925"/>
      <c r="DE150" s="925"/>
      <c r="DF150" s="925"/>
      <c r="DG150" s="925"/>
      <c r="DH150" s="925"/>
      <c r="DI150" s="925"/>
      <c r="DJ150" s="925"/>
      <c r="DK150" s="925"/>
      <c r="DL150" s="925"/>
      <c r="DM150" s="925"/>
      <c r="DN150" s="925"/>
      <c r="DO150" s="925"/>
      <c r="DP150" s="925"/>
      <c r="DQ150" s="925"/>
      <c r="DR150" s="925"/>
      <c r="DS150" s="925"/>
      <c r="DT150" s="925"/>
      <c r="DU150" s="925"/>
      <c r="DV150" s="925"/>
      <c r="DW150" s="925"/>
      <c r="DX150" s="925"/>
      <c r="DY150" s="925"/>
      <c r="DZ150" s="925"/>
      <c r="EA150" s="925"/>
      <c r="EB150" s="925"/>
      <c r="EC150" s="925"/>
      <c r="ED150" s="925"/>
      <c r="EE150" s="925"/>
      <c r="EF150" s="925"/>
      <c r="EG150" s="446"/>
    </row>
    <row r="151" spans="1:137" ht="13" x14ac:dyDescent="0.15">
      <c r="A151" s="917"/>
      <c r="B151" s="917"/>
      <c r="C151" s="918"/>
      <c r="D151" s="919"/>
      <c r="E151" s="920"/>
      <c r="F151" s="921"/>
      <c r="G151" s="922"/>
      <c r="H151" s="922"/>
      <c r="I151" s="922"/>
      <c r="J151" s="923"/>
      <c r="K151" s="923"/>
      <c r="L151" s="924"/>
      <c r="M151" s="925"/>
      <c r="N151" s="925"/>
      <c r="O151" s="925"/>
      <c r="P151" s="925"/>
      <c r="Q151" s="925"/>
      <c r="R151" s="926"/>
      <c r="S151" s="926"/>
      <c r="T151" s="925"/>
      <c r="U151" s="925"/>
      <c r="V151" s="925"/>
      <c r="W151" s="925"/>
      <c r="X151" s="925"/>
      <c r="Y151" s="925"/>
      <c r="Z151" s="925"/>
      <c r="AA151" s="925"/>
      <c r="AB151" s="925"/>
      <c r="AC151" s="925"/>
      <c r="AD151" s="925"/>
      <c r="AE151" s="925"/>
      <c r="AF151" s="925"/>
      <c r="AG151" s="925"/>
      <c r="AH151" s="925"/>
      <c r="AI151" s="925"/>
      <c r="AJ151" s="925"/>
      <c r="AK151" s="925"/>
      <c r="AL151" s="925"/>
      <c r="AM151" s="925"/>
      <c r="AN151" s="925"/>
      <c r="AO151" s="925"/>
      <c r="AP151" s="925"/>
      <c r="AQ151" s="925"/>
      <c r="AR151" s="925"/>
      <c r="AS151" s="925"/>
      <c r="AT151" s="925"/>
      <c r="AU151" s="925"/>
      <c r="AV151" s="925"/>
      <c r="AW151" s="925"/>
      <c r="AX151" s="925"/>
      <c r="AY151" s="925"/>
      <c r="AZ151" s="925"/>
      <c r="BA151" s="925"/>
      <c r="BB151" s="925"/>
      <c r="BC151" s="925"/>
      <c r="BD151" s="925"/>
      <c r="BE151" s="925"/>
      <c r="BF151" s="925"/>
      <c r="BG151" s="925"/>
      <c r="BH151" s="925"/>
      <c r="BI151" s="925"/>
      <c r="BJ151" s="925"/>
      <c r="BK151" s="925"/>
      <c r="BL151" s="925"/>
      <c r="BM151" s="925"/>
      <c r="BN151" s="925"/>
      <c r="BO151" s="925"/>
      <c r="BP151" s="925"/>
      <c r="BQ151" s="925"/>
      <c r="BR151" s="925"/>
      <c r="BS151" s="925"/>
      <c r="BT151" s="925"/>
      <c r="BU151" s="925"/>
      <c r="BV151" s="925"/>
      <c r="BW151" s="925"/>
      <c r="BX151" s="925"/>
      <c r="BY151" s="925"/>
      <c r="BZ151" s="925"/>
      <c r="CA151" s="925"/>
      <c r="CB151" s="925"/>
      <c r="CC151" s="925"/>
      <c r="CD151" s="925"/>
      <c r="CE151" s="925"/>
      <c r="CF151" s="925"/>
      <c r="CG151" s="925"/>
      <c r="CH151" s="925"/>
      <c r="CI151" s="925"/>
      <c r="CJ151" s="925"/>
      <c r="CK151" s="925"/>
      <c r="CL151" s="925"/>
      <c r="CM151" s="925"/>
      <c r="CN151" s="925"/>
      <c r="CO151" s="925"/>
      <c r="CP151" s="925"/>
      <c r="CQ151" s="925"/>
      <c r="CR151" s="925"/>
      <c r="CS151" s="925"/>
      <c r="CT151" s="925"/>
      <c r="CU151" s="925"/>
      <c r="CV151" s="925"/>
      <c r="CW151" s="925"/>
      <c r="CX151" s="925"/>
      <c r="CY151" s="925"/>
      <c r="CZ151" s="925"/>
      <c r="DA151" s="925"/>
      <c r="DB151" s="925"/>
      <c r="DC151" s="925"/>
      <c r="DD151" s="925"/>
      <c r="DE151" s="925"/>
      <c r="DF151" s="925"/>
      <c r="DG151" s="925"/>
      <c r="DH151" s="925"/>
      <c r="DI151" s="925"/>
      <c r="DJ151" s="925"/>
      <c r="DK151" s="925"/>
      <c r="DL151" s="925"/>
      <c r="DM151" s="925"/>
      <c r="DN151" s="925"/>
      <c r="DO151" s="925"/>
      <c r="DP151" s="925"/>
      <c r="DQ151" s="925"/>
      <c r="DR151" s="925"/>
      <c r="DS151" s="925"/>
      <c r="DT151" s="925"/>
      <c r="DU151" s="925"/>
      <c r="DV151" s="925"/>
      <c r="DW151" s="925"/>
      <c r="DX151" s="925"/>
      <c r="DY151" s="925"/>
      <c r="DZ151" s="925"/>
      <c r="EA151" s="925"/>
      <c r="EB151" s="925"/>
      <c r="EC151" s="925"/>
      <c r="ED151" s="925"/>
      <c r="EE151" s="925"/>
      <c r="EF151" s="925"/>
      <c r="EG151" s="446"/>
    </row>
    <row r="152" spans="1:137" ht="13" x14ac:dyDescent="0.15">
      <c r="A152" s="917"/>
      <c r="B152" s="917"/>
      <c r="C152" s="918"/>
      <c r="D152" s="919"/>
      <c r="E152" s="920"/>
      <c r="F152" s="921"/>
      <c r="G152" s="922"/>
      <c r="H152" s="922"/>
      <c r="I152" s="922"/>
      <c r="J152" s="923"/>
      <c r="K152" s="923"/>
      <c r="L152" s="924"/>
      <c r="M152" s="925"/>
      <c r="N152" s="925"/>
      <c r="O152" s="925"/>
      <c r="P152" s="925"/>
      <c r="Q152" s="925"/>
      <c r="R152" s="926"/>
      <c r="S152" s="926"/>
      <c r="T152" s="925"/>
      <c r="U152" s="925"/>
      <c r="V152" s="925"/>
      <c r="W152" s="925"/>
      <c r="X152" s="925"/>
      <c r="Y152" s="925"/>
      <c r="Z152" s="925"/>
      <c r="AA152" s="925"/>
      <c r="AB152" s="925"/>
      <c r="AC152" s="925"/>
      <c r="AD152" s="925"/>
      <c r="AE152" s="925"/>
      <c r="AF152" s="925"/>
      <c r="AG152" s="925"/>
      <c r="AH152" s="925"/>
      <c r="AI152" s="925"/>
      <c r="AJ152" s="925"/>
      <c r="AK152" s="925"/>
      <c r="AL152" s="925"/>
      <c r="AM152" s="925"/>
      <c r="AN152" s="925"/>
      <c r="AO152" s="925"/>
      <c r="AP152" s="925"/>
      <c r="AQ152" s="925"/>
      <c r="AR152" s="925"/>
      <c r="AS152" s="925"/>
      <c r="AT152" s="925"/>
      <c r="AU152" s="925"/>
      <c r="AV152" s="925"/>
      <c r="AW152" s="925"/>
      <c r="AX152" s="925"/>
      <c r="AY152" s="925"/>
      <c r="AZ152" s="925"/>
      <c r="BA152" s="925"/>
      <c r="BB152" s="925"/>
      <c r="BC152" s="925"/>
      <c r="BD152" s="925"/>
      <c r="BE152" s="925"/>
      <c r="BF152" s="925"/>
      <c r="BG152" s="925"/>
      <c r="BH152" s="925"/>
      <c r="BI152" s="925"/>
      <c r="BJ152" s="925"/>
      <c r="BK152" s="925"/>
      <c r="BL152" s="925"/>
      <c r="BM152" s="925"/>
      <c r="BN152" s="925"/>
      <c r="BO152" s="925"/>
      <c r="BP152" s="925"/>
      <c r="BQ152" s="925"/>
      <c r="BR152" s="925"/>
      <c r="BS152" s="925"/>
      <c r="BT152" s="925"/>
      <c r="BU152" s="925"/>
      <c r="BV152" s="925"/>
      <c r="BW152" s="925"/>
      <c r="BX152" s="925"/>
      <c r="BY152" s="925"/>
      <c r="BZ152" s="925"/>
      <c r="CA152" s="925"/>
      <c r="CB152" s="925"/>
      <c r="CC152" s="925"/>
      <c r="CD152" s="925"/>
      <c r="CE152" s="925"/>
      <c r="CF152" s="925"/>
      <c r="CG152" s="925"/>
      <c r="CH152" s="925"/>
      <c r="CI152" s="925"/>
      <c r="CJ152" s="925"/>
      <c r="CK152" s="925"/>
      <c r="CL152" s="925"/>
      <c r="CM152" s="925"/>
      <c r="CN152" s="925"/>
      <c r="CO152" s="925"/>
      <c r="CP152" s="925"/>
      <c r="CQ152" s="925"/>
      <c r="CR152" s="925"/>
      <c r="CS152" s="925"/>
      <c r="CT152" s="925"/>
      <c r="CU152" s="925"/>
      <c r="CV152" s="925"/>
      <c r="CW152" s="925"/>
      <c r="CX152" s="925"/>
      <c r="CY152" s="925"/>
      <c r="CZ152" s="925"/>
      <c r="DA152" s="925"/>
      <c r="DB152" s="925"/>
      <c r="DC152" s="925"/>
      <c r="DD152" s="925"/>
      <c r="DE152" s="925"/>
      <c r="DF152" s="925"/>
      <c r="DG152" s="925"/>
      <c r="DH152" s="925"/>
      <c r="DI152" s="925"/>
      <c r="DJ152" s="925"/>
      <c r="DK152" s="925"/>
      <c r="DL152" s="925"/>
      <c r="DM152" s="925"/>
      <c r="DN152" s="925"/>
      <c r="DO152" s="925"/>
      <c r="DP152" s="925"/>
      <c r="DQ152" s="925"/>
      <c r="DR152" s="925"/>
      <c r="DS152" s="925"/>
      <c r="DT152" s="925"/>
      <c r="DU152" s="925"/>
      <c r="DV152" s="925"/>
      <c r="DW152" s="925"/>
      <c r="DX152" s="925"/>
      <c r="DY152" s="925"/>
      <c r="DZ152" s="925"/>
      <c r="EA152" s="925"/>
      <c r="EB152" s="925"/>
      <c r="EC152" s="925"/>
      <c r="ED152" s="925"/>
      <c r="EE152" s="925"/>
      <c r="EF152" s="925"/>
      <c r="EG152" s="446"/>
    </row>
    <row r="153" spans="1:137" ht="13" x14ac:dyDescent="0.15">
      <c r="A153" s="917"/>
      <c r="B153" s="917"/>
      <c r="C153" s="918"/>
      <c r="D153" s="919"/>
      <c r="E153" s="920"/>
      <c r="F153" s="921"/>
      <c r="G153" s="922"/>
      <c r="H153" s="922"/>
      <c r="I153" s="922"/>
      <c r="J153" s="923"/>
      <c r="K153" s="923"/>
      <c r="L153" s="924"/>
      <c r="M153" s="925"/>
      <c r="N153" s="925"/>
      <c r="O153" s="925"/>
      <c r="P153" s="925"/>
      <c r="Q153" s="925"/>
      <c r="R153" s="926"/>
      <c r="S153" s="926"/>
      <c r="T153" s="925"/>
      <c r="U153" s="925"/>
      <c r="V153" s="925"/>
      <c r="W153" s="925"/>
      <c r="X153" s="925"/>
      <c r="Y153" s="925"/>
      <c r="Z153" s="925"/>
      <c r="AA153" s="925"/>
      <c r="AB153" s="925"/>
      <c r="AC153" s="925"/>
      <c r="AD153" s="925"/>
      <c r="AE153" s="925"/>
      <c r="AF153" s="925"/>
      <c r="AG153" s="925"/>
      <c r="AH153" s="925"/>
      <c r="AI153" s="925"/>
      <c r="AJ153" s="925"/>
      <c r="AK153" s="925"/>
      <c r="AL153" s="925"/>
      <c r="AM153" s="925"/>
      <c r="AN153" s="925"/>
      <c r="AO153" s="925"/>
      <c r="AP153" s="925"/>
      <c r="AQ153" s="925"/>
      <c r="AR153" s="925"/>
      <c r="AS153" s="925"/>
      <c r="AT153" s="925"/>
      <c r="AU153" s="925"/>
      <c r="AV153" s="925"/>
      <c r="AW153" s="925"/>
      <c r="AX153" s="925"/>
      <c r="AY153" s="925"/>
      <c r="AZ153" s="925"/>
      <c r="BA153" s="925"/>
      <c r="BB153" s="925"/>
      <c r="BC153" s="925"/>
      <c r="BD153" s="925"/>
      <c r="BE153" s="925"/>
      <c r="BF153" s="925"/>
      <c r="BG153" s="925"/>
      <c r="BH153" s="925"/>
      <c r="BI153" s="925"/>
      <c r="BJ153" s="925"/>
      <c r="BK153" s="925"/>
      <c r="BL153" s="925"/>
      <c r="BM153" s="925"/>
      <c r="BN153" s="925"/>
      <c r="BO153" s="925"/>
      <c r="BP153" s="925"/>
      <c r="BQ153" s="925"/>
      <c r="BR153" s="925"/>
      <c r="BS153" s="925"/>
      <c r="BT153" s="925"/>
      <c r="BU153" s="925"/>
      <c r="BV153" s="925"/>
      <c r="BW153" s="925"/>
      <c r="BX153" s="925"/>
      <c r="BY153" s="925"/>
      <c r="BZ153" s="925"/>
      <c r="CA153" s="925"/>
      <c r="CB153" s="925"/>
      <c r="CC153" s="925"/>
      <c r="CD153" s="925"/>
      <c r="CE153" s="925"/>
      <c r="CF153" s="925"/>
      <c r="CG153" s="925"/>
      <c r="CH153" s="925"/>
      <c r="CI153" s="925"/>
      <c r="CJ153" s="925"/>
      <c r="CK153" s="925"/>
      <c r="CL153" s="925"/>
      <c r="CM153" s="925"/>
      <c r="CN153" s="925"/>
      <c r="CO153" s="925"/>
      <c r="CP153" s="925"/>
      <c r="CQ153" s="925"/>
      <c r="CR153" s="925"/>
      <c r="CS153" s="925"/>
      <c r="CT153" s="925"/>
      <c r="CU153" s="925"/>
      <c r="CV153" s="925"/>
      <c r="CW153" s="925"/>
      <c r="CX153" s="925"/>
      <c r="CY153" s="925"/>
      <c r="CZ153" s="925"/>
      <c r="DA153" s="925"/>
      <c r="DB153" s="925"/>
      <c r="DC153" s="925"/>
      <c r="DD153" s="925"/>
      <c r="DE153" s="925"/>
      <c r="DF153" s="925"/>
      <c r="DG153" s="925"/>
      <c r="DH153" s="925"/>
      <c r="DI153" s="925"/>
      <c r="DJ153" s="925"/>
      <c r="DK153" s="925"/>
      <c r="DL153" s="925"/>
      <c r="DM153" s="925"/>
      <c r="DN153" s="925"/>
      <c r="DO153" s="925"/>
      <c r="DP153" s="925"/>
      <c r="DQ153" s="925"/>
      <c r="DR153" s="925"/>
      <c r="DS153" s="925"/>
      <c r="DT153" s="925"/>
      <c r="DU153" s="925"/>
      <c r="DV153" s="925"/>
      <c r="DW153" s="925"/>
      <c r="DX153" s="925"/>
      <c r="DY153" s="925"/>
      <c r="DZ153" s="925"/>
      <c r="EA153" s="925"/>
      <c r="EB153" s="925"/>
      <c r="EC153" s="925"/>
      <c r="ED153" s="925"/>
      <c r="EE153" s="925"/>
      <c r="EF153" s="925"/>
      <c r="EG153" s="446"/>
    </row>
    <row r="154" spans="1:137" ht="13" x14ac:dyDescent="0.15">
      <c r="A154" s="917"/>
      <c r="B154" s="917"/>
      <c r="C154" s="918"/>
      <c r="D154" s="919"/>
      <c r="E154" s="920"/>
      <c r="F154" s="921"/>
      <c r="G154" s="922"/>
      <c r="H154" s="922"/>
      <c r="I154" s="922"/>
      <c r="J154" s="923"/>
      <c r="K154" s="923"/>
      <c r="L154" s="924"/>
      <c r="M154" s="925"/>
      <c r="N154" s="925"/>
      <c r="O154" s="925"/>
      <c r="P154" s="925"/>
      <c r="Q154" s="925"/>
      <c r="R154" s="926"/>
      <c r="S154" s="926"/>
      <c r="T154" s="925"/>
      <c r="U154" s="925"/>
      <c r="V154" s="925"/>
      <c r="W154" s="925"/>
      <c r="X154" s="925"/>
      <c r="Y154" s="925"/>
      <c r="Z154" s="925"/>
      <c r="AA154" s="925"/>
      <c r="AB154" s="925"/>
      <c r="AC154" s="925"/>
      <c r="AD154" s="925"/>
      <c r="AE154" s="925"/>
      <c r="AF154" s="925"/>
      <c r="AG154" s="925"/>
      <c r="AH154" s="925"/>
      <c r="AI154" s="925"/>
      <c r="AJ154" s="925"/>
      <c r="AK154" s="925"/>
      <c r="AL154" s="925"/>
      <c r="AM154" s="925"/>
      <c r="AN154" s="925"/>
      <c r="AO154" s="925"/>
      <c r="AP154" s="925"/>
      <c r="AQ154" s="925"/>
      <c r="AR154" s="925"/>
      <c r="AS154" s="925"/>
      <c r="AT154" s="925"/>
      <c r="AU154" s="925"/>
      <c r="AV154" s="925"/>
      <c r="AW154" s="925"/>
      <c r="AX154" s="925"/>
      <c r="AY154" s="925"/>
      <c r="AZ154" s="925"/>
      <c r="BA154" s="925"/>
      <c r="BB154" s="925"/>
      <c r="BC154" s="925"/>
      <c r="BD154" s="925"/>
      <c r="BE154" s="925"/>
      <c r="BF154" s="925"/>
      <c r="BG154" s="925"/>
      <c r="BH154" s="925"/>
      <c r="BI154" s="925"/>
      <c r="BJ154" s="925"/>
      <c r="BK154" s="925"/>
      <c r="BL154" s="925"/>
      <c r="BM154" s="925"/>
      <c r="BN154" s="925"/>
      <c r="BO154" s="925"/>
      <c r="BP154" s="925"/>
      <c r="BQ154" s="925"/>
      <c r="BR154" s="925"/>
      <c r="BS154" s="925"/>
      <c r="BT154" s="925"/>
      <c r="BU154" s="925"/>
      <c r="BV154" s="925"/>
      <c r="BW154" s="925"/>
      <c r="BX154" s="925"/>
      <c r="BY154" s="925"/>
      <c r="BZ154" s="925"/>
      <c r="CA154" s="925"/>
      <c r="CB154" s="925"/>
      <c r="CC154" s="925"/>
      <c r="CD154" s="925"/>
      <c r="CE154" s="925"/>
      <c r="CF154" s="925"/>
      <c r="CG154" s="925"/>
      <c r="CH154" s="925"/>
      <c r="CI154" s="925"/>
      <c r="CJ154" s="925"/>
      <c r="CK154" s="925"/>
      <c r="CL154" s="925"/>
      <c r="CM154" s="925"/>
      <c r="CN154" s="925"/>
      <c r="CO154" s="925"/>
      <c r="CP154" s="925"/>
      <c r="CQ154" s="925"/>
      <c r="CR154" s="925"/>
      <c r="CS154" s="925"/>
      <c r="CT154" s="925"/>
      <c r="CU154" s="925"/>
      <c r="CV154" s="925"/>
      <c r="CW154" s="925"/>
      <c r="CX154" s="925"/>
      <c r="CY154" s="925"/>
      <c r="CZ154" s="925"/>
      <c r="DA154" s="925"/>
      <c r="DB154" s="925"/>
      <c r="DC154" s="925"/>
      <c r="DD154" s="925"/>
      <c r="DE154" s="925"/>
      <c r="DF154" s="925"/>
      <c r="DG154" s="925"/>
      <c r="DH154" s="925"/>
      <c r="DI154" s="925"/>
      <c r="DJ154" s="925"/>
      <c r="DK154" s="925"/>
      <c r="DL154" s="925"/>
      <c r="DM154" s="925"/>
      <c r="DN154" s="925"/>
      <c r="DO154" s="925"/>
      <c r="DP154" s="925"/>
      <c r="DQ154" s="925"/>
      <c r="DR154" s="925"/>
      <c r="DS154" s="925"/>
      <c r="DT154" s="925"/>
      <c r="DU154" s="925"/>
      <c r="DV154" s="925"/>
      <c r="DW154" s="925"/>
      <c r="DX154" s="925"/>
      <c r="DY154" s="925"/>
      <c r="DZ154" s="925"/>
      <c r="EA154" s="925"/>
      <c r="EB154" s="925"/>
      <c r="EC154" s="925"/>
      <c r="ED154" s="925"/>
      <c r="EE154" s="925"/>
      <c r="EF154" s="925"/>
      <c r="EG154" s="446"/>
    </row>
    <row r="155" spans="1:137" ht="13" x14ac:dyDescent="0.15">
      <c r="A155" s="917"/>
      <c r="B155" s="917"/>
      <c r="C155" s="918"/>
      <c r="D155" s="919"/>
      <c r="E155" s="920"/>
      <c r="F155" s="921"/>
      <c r="G155" s="922"/>
      <c r="H155" s="922"/>
      <c r="I155" s="922"/>
      <c r="J155" s="923"/>
      <c r="K155" s="923"/>
      <c r="L155" s="924"/>
      <c r="M155" s="925"/>
      <c r="N155" s="925"/>
      <c r="O155" s="925"/>
      <c r="P155" s="925"/>
      <c r="Q155" s="925"/>
      <c r="R155" s="926"/>
      <c r="S155" s="926"/>
      <c r="T155" s="925"/>
      <c r="U155" s="925"/>
      <c r="V155" s="925"/>
      <c r="W155" s="925"/>
      <c r="X155" s="925"/>
      <c r="Y155" s="925"/>
      <c r="Z155" s="925"/>
      <c r="AA155" s="925"/>
      <c r="AB155" s="925"/>
      <c r="AC155" s="925"/>
      <c r="AD155" s="925"/>
      <c r="AE155" s="925"/>
      <c r="AF155" s="925"/>
      <c r="AG155" s="925"/>
      <c r="AH155" s="925"/>
      <c r="AI155" s="925"/>
      <c r="AJ155" s="925"/>
      <c r="AK155" s="925"/>
      <c r="AL155" s="925"/>
      <c r="AM155" s="925"/>
      <c r="AN155" s="925"/>
      <c r="AO155" s="925"/>
      <c r="AP155" s="925"/>
      <c r="AQ155" s="925"/>
      <c r="AR155" s="925"/>
      <c r="AS155" s="925"/>
      <c r="AT155" s="925"/>
      <c r="AU155" s="925"/>
      <c r="AV155" s="925"/>
      <c r="AW155" s="925"/>
      <c r="AX155" s="925"/>
      <c r="AY155" s="925"/>
      <c r="AZ155" s="925"/>
      <c r="BA155" s="925"/>
      <c r="BB155" s="925"/>
      <c r="BC155" s="925"/>
      <c r="BD155" s="925"/>
      <c r="BE155" s="925"/>
      <c r="BF155" s="925"/>
      <c r="BG155" s="925"/>
      <c r="BH155" s="925"/>
      <c r="BI155" s="925"/>
      <c r="BJ155" s="925"/>
      <c r="BK155" s="925"/>
      <c r="BL155" s="925"/>
      <c r="BM155" s="925"/>
      <c r="BN155" s="925"/>
      <c r="BO155" s="925"/>
      <c r="BP155" s="925"/>
      <c r="BQ155" s="925"/>
      <c r="BR155" s="925"/>
      <c r="BS155" s="925"/>
      <c r="BT155" s="925"/>
      <c r="BU155" s="925"/>
      <c r="BV155" s="925"/>
      <c r="BW155" s="925"/>
      <c r="BX155" s="925"/>
      <c r="BY155" s="925"/>
      <c r="BZ155" s="925"/>
      <c r="CA155" s="925"/>
      <c r="CB155" s="925"/>
      <c r="CC155" s="925"/>
      <c r="CD155" s="925"/>
      <c r="CE155" s="925"/>
      <c r="CF155" s="925"/>
      <c r="CG155" s="925"/>
      <c r="CH155" s="925"/>
      <c r="CI155" s="925"/>
      <c r="CJ155" s="925"/>
      <c r="CK155" s="925"/>
      <c r="CL155" s="925"/>
      <c r="CM155" s="925"/>
      <c r="CN155" s="925"/>
      <c r="CO155" s="925"/>
      <c r="CP155" s="925"/>
      <c r="CQ155" s="925"/>
      <c r="CR155" s="925"/>
      <c r="CS155" s="925"/>
      <c r="CT155" s="925"/>
      <c r="CU155" s="925"/>
      <c r="CV155" s="925"/>
      <c r="CW155" s="925"/>
      <c r="CX155" s="925"/>
      <c r="CY155" s="925"/>
      <c r="CZ155" s="925"/>
      <c r="DA155" s="925"/>
      <c r="DB155" s="925"/>
      <c r="DC155" s="925"/>
      <c r="DD155" s="925"/>
      <c r="DE155" s="925"/>
      <c r="DF155" s="925"/>
      <c r="DG155" s="925"/>
      <c r="DH155" s="925"/>
      <c r="DI155" s="925"/>
      <c r="DJ155" s="925"/>
      <c r="DK155" s="925"/>
      <c r="DL155" s="925"/>
      <c r="DM155" s="925"/>
      <c r="DN155" s="925"/>
      <c r="DO155" s="925"/>
      <c r="DP155" s="925"/>
      <c r="DQ155" s="925"/>
      <c r="DR155" s="925"/>
      <c r="DS155" s="925"/>
      <c r="DT155" s="925"/>
      <c r="DU155" s="925"/>
      <c r="DV155" s="925"/>
      <c r="DW155" s="925"/>
      <c r="DX155" s="925"/>
      <c r="DY155" s="925"/>
      <c r="DZ155" s="925"/>
      <c r="EA155" s="925"/>
      <c r="EB155" s="925"/>
      <c r="EC155" s="925"/>
      <c r="ED155" s="925"/>
      <c r="EE155" s="925"/>
      <c r="EF155" s="925"/>
      <c r="EG155" s="446"/>
    </row>
    <row r="156" spans="1:137" ht="15.75" customHeight="1" x14ac:dyDescent="0.15">
      <c r="L156" s="446"/>
      <c r="M156" s="446"/>
      <c r="N156" s="446"/>
      <c r="O156" s="446"/>
      <c r="P156" s="446"/>
      <c r="Q156" s="925"/>
      <c r="T156" s="446"/>
      <c r="U156" s="446"/>
      <c r="V156" s="446"/>
      <c r="W156" s="446"/>
      <c r="X156" s="446"/>
      <c r="Y156" s="446"/>
      <c r="Z156" s="446"/>
      <c r="AA156" s="446"/>
      <c r="AB156" s="446"/>
      <c r="AC156" s="446"/>
      <c r="AD156" s="446"/>
      <c r="AE156" s="446"/>
      <c r="AF156" s="446"/>
      <c r="AG156" s="446"/>
      <c r="AH156" s="446"/>
      <c r="AI156" s="446"/>
      <c r="AJ156" s="446"/>
      <c r="AK156" s="446"/>
      <c r="AL156" s="446"/>
      <c r="AM156" s="446"/>
      <c r="AN156" s="446"/>
      <c r="AO156" s="446"/>
      <c r="AP156" s="446"/>
      <c r="AQ156" s="446"/>
      <c r="AR156" s="446"/>
      <c r="AS156" s="446"/>
      <c r="AT156" s="446"/>
      <c r="AU156" s="446"/>
      <c r="AV156" s="446"/>
      <c r="AW156" s="446"/>
      <c r="AX156" s="446"/>
      <c r="AY156" s="446"/>
      <c r="AZ156" s="446"/>
      <c r="BA156" s="446"/>
      <c r="BB156" s="446"/>
      <c r="BC156" s="446"/>
      <c r="BD156" s="446"/>
      <c r="BE156" s="446"/>
      <c r="BF156" s="446"/>
      <c r="BG156" s="446"/>
      <c r="BH156" s="446"/>
      <c r="BI156" s="446"/>
      <c r="BJ156" s="446"/>
      <c r="BK156" s="446"/>
      <c r="BL156" s="446"/>
      <c r="BM156" s="446"/>
      <c r="BN156" s="446"/>
      <c r="BO156" s="446"/>
      <c r="BP156" s="446"/>
      <c r="BQ156" s="446"/>
      <c r="BR156" s="446"/>
      <c r="BS156" s="446"/>
      <c r="BT156" s="446"/>
      <c r="BU156" s="446"/>
      <c r="BV156" s="446"/>
      <c r="BW156" s="446"/>
      <c r="BX156" s="446"/>
      <c r="BY156" s="446"/>
      <c r="BZ156" s="446"/>
      <c r="CA156" s="446"/>
      <c r="CB156" s="446"/>
      <c r="CC156" s="446"/>
      <c r="CD156" s="446"/>
      <c r="CE156" s="446"/>
      <c r="CF156" s="446"/>
      <c r="CG156" s="446"/>
      <c r="CH156" s="446"/>
      <c r="CI156" s="446"/>
      <c r="CJ156" s="446"/>
      <c r="CK156" s="446"/>
      <c r="CL156" s="446"/>
      <c r="CM156" s="446"/>
      <c r="CN156" s="446"/>
      <c r="CO156" s="446"/>
      <c r="CP156" s="446"/>
      <c r="CQ156" s="446"/>
      <c r="CR156" s="446"/>
      <c r="CS156" s="446"/>
      <c r="CT156" s="446"/>
      <c r="CU156" s="446"/>
      <c r="CV156" s="446"/>
      <c r="CW156" s="446"/>
      <c r="CX156" s="446"/>
      <c r="CY156" s="446"/>
      <c r="CZ156" s="446"/>
      <c r="DA156" s="446"/>
      <c r="DB156" s="446"/>
      <c r="DC156" s="446"/>
      <c r="DD156" s="446"/>
      <c r="DE156" s="446"/>
      <c r="DF156" s="446"/>
      <c r="DG156" s="446"/>
      <c r="DH156" s="446"/>
      <c r="DI156" s="446"/>
      <c r="DJ156" s="446"/>
      <c r="DK156" s="446"/>
      <c r="DL156" s="446"/>
      <c r="DM156" s="446"/>
      <c r="DN156" s="446"/>
      <c r="DO156" s="446"/>
      <c r="DP156" s="446"/>
      <c r="DQ156" s="446"/>
      <c r="DR156" s="446"/>
      <c r="DS156" s="446"/>
      <c r="DT156" s="446"/>
      <c r="DU156" s="446"/>
      <c r="DV156" s="446"/>
      <c r="DW156" s="446"/>
      <c r="DX156" s="446"/>
      <c r="DY156" s="446"/>
      <c r="DZ156" s="446"/>
      <c r="EA156" s="446"/>
      <c r="EB156" s="446"/>
      <c r="EC156" s="446"/>
      <c r="ED156" s="446"/>
      <c r="EE156" s="446"/>
      <c r="EF156" s="446"/>
      <c r="EG156" s="446"/>
    </row>
    <row r="157" spans="1:137" ht="15.75" customHeight="1" x14ac:dyDescent="0.15">
      <c r="Q157" s="925"/>
    </row>
    <row r="158" spans="1:137" ht="15.75" customHeight="1" x14ac:dyDescent="0.15">
      <c r="Q158" s="925"/>
    </row>
    <row r="159" spans="1:137" ht="15.75" customHeight="1" x14ac:dyDescent="0.15">
      <c r="Q159" s="925"/>
    </row>
    <row r="160" spans="1:137" ht="15.75" customHeight="1" x14ac:dyDescent="0.15">
      <c r="Q160" s="925"/>
    </row>
    <row r="161" spans="17:17" ht="15.75" customHeight="1" x14ac:dyDescent="0.15">
      <c r="Q161" s="925"/>
    </row>
    <row r="162" spans="17:17" ht="15.75" customHeight="1" x14ac:dyDescent="0.15">
      <c r="Q162" s="925"/>
    </row>
    <row r="163" spans="17:17" ht="15.75" customHeight="1" x14ac:dyDescent="0.15">
      <c r="Q163" s="925"/>
    </row>
    <row r="164" spans="17:17" ht="15.75" customHeight="1" x14ac:dyDescent="0.15">
      <c r="Q164" s="925"/>
    </row>
    <row r="165" spans="17:17" ht="15.75" customHeight="1" x14ac:dyDescent="0.15">
      <c r="Q165" s="925"/>
    </row>
    <row r="166" spans="17:17" ht="15.75" customHeight="1" x14ac:dyDescent="0.15">
      <c r="Q166" s="446"/>
    </row>
  </sheetData>
  <mergeCells count="102">
    <mergeCell ref="DU12:DX12"/>
    <mergeCell ref="DY12:EB12"/>
    <mergeCell ref="EC12:EF12"/>
    <mergeCell ref="A13:C13"/>
    <mergeCell ref="CW12:CZ12"/>
    <mergeCell ref="DA12:DD12"/>
    <mergeCell ref="DE12:DH12"/>
    <mergeCell ref="DI12:DL12"/>
    <mergeCell ref="DM12:DP12"/>
    <mergeCell ref="DQ12:DT12"/>
    <mergeCell ref="BY12:CB12"/>
    <mergeCell ref="CC12:CF12"/>
    <mergeCell ref="CG12:CJ12"/>
    <mergeCell ref="CK12:CN12"/>
    <mergeCell ref="CO12:CR12"/>
    <mergeCell ref="CS12:CV12"/>
    <mergeCell ref="BA12:BD12"/>
    <mergeCell ref="BE12:BH12"/>
    <mergeCell ref="BI12:BL12"/>
    <mergeCell ref="BM12:BP12"/>
    <mergeCell ref="BQ12:BT12"/>
    <mergeCell ref="BU12:BX12"/>
    <mergeCell ref="AC12:AF12"/>
    <mergeCell ref="AG12:AJ12"/>
    <mergeCell ref="AK12:AN12"/>
    <mergeCell ref="AO12:AR12"/>
    <mergeCell ref="AS12:AV12"/>
    <mergeCell ref="AW12:AZ12"/>
    <mergeCell ref="D12:H12"/>
    <mergeCell ref="J12:L12"/>
    <mergeCell ref="M12:P12"/>
    <mergeCell ref="Q12:T12"/>
    <mergeCell ref="U12:X12"/>
    <mergeCell ref="Y12:AB12"/>
    <mergeCell ref="DI10:DL10"/>
    <mergeCell ref="DM10:DP10"/>
    <mergeCell ref="DQ10:DT10"/>
    <mergeCell ref="DU10:DX10"/>
    <mergeCell ref="DY10:EB10"/>
    <mergeCell ref="EC10:EF10"/>
    <mergeCell ref="CK10:CN10"/>
    <mergeCell ref="CO10:CR10"/>
    <mergeCell ref="CS10:CV10"/>
    <mergeCell ref="CW10:CZ10"/>
    <mergeCell ref="DA10:DD10"/>
    <mergeCell ref="DE10:DH10"/>
    <mergeCell ref="BM10:BP10"/>
    <mergeCell ref="BQ10:BT10"/>
    <mergeCell ref="BU10:BX10"/>
    <mergeCell ref="BY10:CB10"/>
    <mergeCell ref="CC10:CF10"/>
    <mergeCell ref="CG10:CJ10"/>
    <mergeCell ref="AO10:AR10"/>
    <mergeCell ref="AS10:AV10"/>
    <mergeCell ref="AW10:AZ10"/>
    <mergeCell ref="BA10:BD10"/>
    <mergeCell ref="BE10:BH10"/>
    <mergeCell ref="BI10:BL10"/>
    <mergeCell ref="BM9:BP9"/>
    <mergeCell ref="BQ9:BT9"/>
    <mergeCell ref="BU9:BX9"/>
    <mergeCell ref="BY9:CB9"/>
    <mergeCell ref="CC9:CF9"/>
    <mergeCell ref="CG9:CJ9"/>
    <mergeCell ref="AO9:AR9"/>
    <mergeCell ref="AS9:AV9"/>
    <mergeCell ref="AW9:AZ9"/>
    <mergeCell ref="BA9:BD9"/>
    <mergeCell ref="BE9:BH9"/>
    <mergeCell ref="BI9:BL9"/>
    <mergeCell ref="DU9:DX9"/>
    <mergeCell ref="DY9:EB9"/>
    <mergeCell ref="EC9:EF9"/>
    <mergeCell ref="CK9:CN9"/>
    <mergeCell ref="CO9:CR9"/>
    <mergeCell ref="CS9:CV9"/>
    <mergeCell ref="CW9:CZ9"/>
    <mergeCell ref="DA9:DD9"/>
    <mergeCell ref="DE9:DH9"/>
    <mergeCell ref="DI9:DL9"/>
    <mergeCell ref="DM9:DP9"/>
    <mergeCell ref="DQ9:DT9"/>
    <mergeCell ref="AC9:AF9"/>
    <mergeCell ref="AG9:AJ9"/>
    <mergeCell ref="AK9:AN9"/>
    <mergeCell ref="A1:C1"/>
    <mergeCell ref="E2:H2"/>
    <mergeCell ref="I8:I11"/>
    <mergeCell ref="J8:J11"/>
    <mergeCell ref="K8:K11"/>
    <mergeCell ref="M9:P9"/>
    <mergeCell ref="A10:C10"/>
    <mergeCell ref="M10:P10"/>
    <mergeCell ref="Q10:T10"/>
    <mergeCell ref="U10:X10"/>
    <mergeCell ref="Y10:AB10"/>
    <mergeCell ref="AC10:AF10"/>
    <mergeCell ref="AG10:AJ10"/>
    <mergeCell ref="AK10:AN10"/>
    <mergeCell ref="Q9:T9"/>
    <mergeCell ref="U9:X9"/>
    <mergeCell ref="Y9:AB9"/>
  </mergeCells>
  <conditionalFormatting sqref="M12 Q12:EF12 M13:EF13">
    <cfRule type="expression" dxfId="1126" priority="1237">
      <formula>$T13="CN"</formula>
    </cfRule>
  </conditionalFormatting>
  <conditionalFormatting sqref="M49 M11:EF11 M12 Q12:EF12 M9:M10 Q10:EF10 M50:P50 M13:EF13 M1:EF8 Q9 U9 Y9 AC9 AG9 AK9 AO9 AS9 AW9 BA9 BE9 BI9 BM9 BQ9 BU9 BY9 CC9 CG9 CK9 CO9 CS9 CW9 DA9 DE9 DI9 DM9 DQ9 DU9 DY9 EC9">
    <cfRule type="expression" dxfId="1125" priority="1238">
      <formula>M$11=TODAY()</formula>
    </cfRule>
  </conditionalFormatting>
  <conditionalFormatting sqref="M49 M11:EF11 M12 Q12:EF12 M9:M10 Q10:EF10 M50:P50 M13:EF13 M1:EF8 Q9 U9 Y9 AC9 AG9 AK9 AO9 AS9 AW9 BA9 BE9 BI9 BM9 BQ9 BU9 BY9 CC9 CG9 CK9 CO9 CS9 CW9 DA9 DE9 DI9 DM9 DQ9 DU9 DY9 EC9">
    <cfRule type="expression" dxfId="1124" priority="1239">
      <formula>M$12="CN"</formula>
    </cfRule>
  </conditionalFormatting>
  <conditionalFormatting sqref="AC49 AC50:AF50">
    <cfRule type="expression" dxfId="1123" priority="703">
      <formula>AC$11=TODAY()</formula>
    </cfRule>
  </conditionalFormatting>
  <conditionalFormatting sqref="AC49 AC50:AF50">
    <cfRule type="expression" dxfId="1122" priority="704">
      <formula>AC$12="CN"</formula>
    </cfRule>
  </conditionalFormatting>
  <conditionalFormatting sqref="DR51:DT58">
    <cfRule type="expression" dxfId="1121" priority="369">
      <formula>DR$11=TODAY()</formula>
    </cfRule>
  </conditionalFormatting>
  <conditionalFormatting sqref="DR51:DT58">
    <cfRule type="expression" dxfId="1120" priority="370">
      <formula>DR$12="CN"</formula>
    </cfRule>
  </conditionalFormatting>
  <conditionalFormatting sqref="DU49 DU50:DX50">
    <cfRule type="expression" dxfId="1119" priority="367">
      <formula>DU$11=TODAY()</formula>
    </cfRule>
  </conditionalFormatting>
  <conditionalFormatting sqref="DU49 DU50:DX50">
    <cfRule type="expression" dxfId="1118" priority="368">
      <formula>DU$12="CN"</formula>
    </cfRule>
  </conditionalFormatting>
  <conditionalFormatting sqref="ED51:EF58">
    <cfRule type="expression" dxfId="1117" priority="327">
      <formula>ED$11=TODAY()</formula>
    </cfRule>
  </conditionalFormatting>
  <conditionalFormatting sqref="N51:P58">
    <cfRule type="expression" dxfId="1116" priority="1167">
      <formula>N$11=TODAY()</formula>
    </cfRule>
  </conditionalFormatting>
  <conditionalFormatting sqref="N51:P58">
    <cfRule type="expression" dxfId="1115" priority="1168">
      <formula>N$12="CN"</formula>
    </cfRule>
  </conditionalFormatting>
  <conditionalFormatting sqref="Q49 Q50:T50">
    <cfRule type="expression" dxfId="1114" priority="745">
      <formula>Q$11=TODAY()</formula>
    </cfRule>
  </conditionalFormatting>
  <conditionalFormatting sqref="Q49 Q50:T50">
    <cfRule type="expression" dxfId="1113" priority="746">
      <formula>Q$12="CN"</formula>
    </cfRule>
  </conditionalFormatting>
  <conditionalFormatting sqref="R51:T58">
    <cfRule type="expression" dxfId="1112" priority="733">
      <formula>R$11=TODAY()</formula>
    </cfRule>
  </conditionalFormatting>
  <conditionalFormatting sqref="R51:T58">
    <cfRule type="expression" dxfId="1111" priority="734">
      <formula>R$12="CN"</formula>
    </cfRule>
  </conditionalFormatting>
  <conditionalFormatting sqref="U49 U50:X50">
    <cfRule type="expression" dxfId="1110" priority="731">
      <formula>U$11=TODAY()</formula>
    </cfRule>
  </conditionalFormatting>
  <conditionalFormatting sqref="U49 U50:X50">
    <cfRule type="expression" dxfId="1109" priority="732">
      <formula>U$12="CN"</formula>
    </cfRule>
  </conditionalFormatting>
  <conditionalFormatting sqref="V51:X58">
    <cfRule type="expression" dxfId="1108" priority="719">
      <formula>V$11=TODAY()</formula>
    </cfRule>
  </conditionalFormatting>
  <conditionalFormatting sqref="V51:X58">
    <cfRule type="expression" dxfId="1107" priority="720">
      <formula>V$12="CN"</formula>
    </cfRule>
  </conditionalFormatting>
  <conditionalFormatting sqref="Y49 Y50:AB50">
    <cfRule type="expression" dxfId="1106" priority="717">
      <formula>Y$11=TODAY()</formula>
    </cfRule>
  </conditionalFormatting>
  <conditionalFormatting sqref="Y49 Y50:AB50">
    <cfRule type="expression" dxfId="1105" priority="718">
      <formula>Y$12="CN"</formula>
    </cfRule>
  </conditionalFormatting>
  <conditionalFormatting sqref="Z51:AB58">
    <cfRule type="expression" dxfId="1104" priority="705">
      <formula>Z$11=TODAY()</formula>
    </cfRule>
  </conditionalFormatting>
  <conditionalFormatting sqref="Z51:AB58">
    <cfRule type="expression" dxfId="1103" priority="706">
      <formula>Z$12="CN"</formula>
    </cfRule>
  </conditionalFormatting>
  <conditionalFormatting sqref="AD51:AF58">
    <cfRule type="expression" dxfId="1102" priority="691">
      <formula>AD$11=TODAY()</formula>
    </cfRule>
  </conditionalFormatting>
  <conditionalFormatting sqref="AD51:AF58">
    <cfRule type="expression" dxfId="1101" priority="692">
      <formula>AD$12="CN"</formula>
    </cfRule>
  </conditionalFormatting>
  <conditionalFormatting sqref="AG49 AG50:AJ50">
    <cfRule type="expression" dxfId="1100" priority="689">
      <formula>AG$11=TODAY()</formula>
    </cfRule>
  </conditionalFormatting>
  <conditionalFormatting sqref="AG49 AG50:AJ50">
    <cfRule type="expression" dxfId="1099" priority="690">
      <formula>AG$12="CN"</formula>
    </cfRule>
  </conditionalFormatting>
  <conditionalFormatting sqref="AH51:AJ58">
    <cfRule type="expression" dxfId="1098" priority="677">
      <formula>AH$11=TODAY()</formula>
    </cfRule>
  </conditionalFormatting>
  <conditionalFormatting sqref="AH51:AJ58">
    <cfRule type="expression" dxfId="1097" priority="678">
      <formula>AH$12="CN"</formula>
    </cfRule>
  </conditionalFormatting>
  <conditionalFormatting sqref="AK49 AK50:AN50">
    <cfRule type="expression" dxfId="1096" priority="675">
      <formula>AK$11=TODAY()</formula>
    </cfRule>
  </conditionalFormatting>
  <conditionalFormatting sqref="AK49 AK50:AN50">
    <cfRule type="expression" dxfId="1095" priority="676">
      <formula>AK$12="CN"</formula>
    </cfRule>
  </conditionalFormatting>
  <conditionalFormatting sqref="AL51:AN58">
    <cfRule type="expression" dxfId="1094" priority="663">
      <formula>AL$11=TODAY()</formula>
    </cfRule>
  </conditionalFormatting>
  <conditionalFormatting sqref="AL51:AN58">
    <cfRule type="expression" dxfId="1093" priority="664">
      <formula>AL$12="CN"</formula>
    </cfRule>
  </conditionalFormatting>
  <conditionalFormatting sqref="AO49 AO50:AR50">
    <cfRule type="expression" dxfId="1092" priority="661">
      <formula>AO$11=TODAY()</formula>
    </cfRule>
  </conditionalFormatting>
  <conditionalFormatting sqref="AO49 AO50:AR50">
    <cfRule type="expression" dxfId="1091" priority="662">
      <formula>AO$12="CN"</formula>
    </cfRule>
  </conditionalFormatting>
  <conditionalFormatting sqref="AP51:AR58">
    <cfRule type="expression" dxfId="1090" priority="649">
      <formula>AP$11=TODAY()</formula>
    </cfRule>
  </conditionalFormatting>
  <conditionalFormatting sqref="AP51:AR58">
    <cfRule type="expression" dxfId="1089" priority="650">
      <formula>AP$12="CN"</formula>
    </cfRule>
  </conditionalFormatting>
  <conditionalFormatting sqref="AS49 AS50:AV50">
    <cfRule type="expression" dxfId="1088" priority="647">
      <formula>AS$11=TODAY()</formula>
    </cfRule>
  </conditionalFormatting>
  <conditionalFormatting sqref="AS49 AS50:AV50">
    <cfRule type="expression" dxfId="1087" priority="648">
      <formula>AS$12="CN"</formula>
    </cfRule>
  </conditionalFormatting>
  <conditionalFormatting sqref="AT51:AV58">
    <cfRule type="expression" dxfId="1086" priority="635">
      <formula>AT$11=TODAY()</formula>
    </cfRule>
  </conditionalFormatting>
  <conditionalFormatting sqref="AT51:AV58">
    <cfRule type="expression" dxfId="1085" priority="636">
      <formula>AT$12="CN"</formula>
    </cfRule>
  </conditionalFormatting>
  <conditionalFormatting sqref="AW49 AW50:AZ50">
    <cfRule type="expression" dxfId="1084" priority="633">
      <formula>AW$11=TODAY()</formula>
    </cfRule>
  </conditionalFormatting>
  <conditionalFormatting sqref="AW49 AW50:AZ50">
    <cfRule type="expression" dxfId="1083" priority="634">
      <formula>AW$12="CN"</formula>
    </cfRule>
  </conditionalFormatting>
  <conditionalFormatting sqref="AX51:AZ58">
    <cfRule type="expression" dxfId="1082" priority="621">
      <formula>AX$11=TODAY()</formula>
    </cfRule>
  </conditionalFormatting>
  <conditionalFormatting sqref="AX51:AZ58">
    <cfRule type="expression" dxfId="1081" priority="622">
      <formula>AX$12="CN"</formula>
    </cfRule>
  </conditionalFormatting>
  <conditionalFormatting sqref="BA49 BA50:BD50">
    <cfRule type="expression" dxfId="1080" priority="619">
      <formula>BA$11=TODAY()</formula>
    </cfRule>
  </conditionalFormatting>
  <conditionalFormatting sqref="BA49 BA50:BD50">
    <cfRule type="expression" dxfId="1079" priority="620">
      <formula>BA$12="CN"</formula>
    </cfRule>
  </conditionalFormatting>
  <conditionalFormatting sqref="BB51:BD58">
    <cfRule type="expression" dxfId="1078" priority="607">
      <formula>BB$11=TODAY()</formula>
    </cfRule>
  </conditionalFormatting>
  <conditionalFormatting sqref="BB51:BD58">
    <cfRule type="expression" dxfId="1077" priority="608">
      <formula>BB$12="CN"</formula>
    </cfRule>
  </conditionalFormatting>
  <conditionalFormatting sqref="BE49 BE50:BH50">
    <cfRule type="expression" dxfId="1076" priority="605">
      <formula>BE$11=TODAY()</formula>
    </cfRule>
  </conditionalFormatting>
  <conditionalFormatting sqref="BE49 BE50:BH50">
    <cfRule type="expression" dxfId="1075" priority="606">
      <formula>BE$12="CN"</formula>
    </cfRule>
  </conditionalFormatting>
  <conditionalFormatting sqref="BF51:BH58">
    <cfRule type="expression" dxfId="1074" priority="593">
      <formula>BF$11=TODAY()</formula>
    </cfRule>
  </conditionalFormatting>
  <conditionalFormatting sqref="BF51:BH58">
    <cfRule type="expression" dxfId="1073" priority="594">
      <formula>BF$12="CN"</formula>
    </cfRule>
  </conditionalFormatting>
  <conditionalFormatting sqref="BI49 BI50:BL50">
    <cfRule type="expression" dxfId="1072" priority="591">
      <formula>BI$11=TODAY()</formula>
    </cfRule>
  </conditionalFormatting>
  <conditionalFormatting sqref="BI49 BI50:BL50">
    <cfRule type="expression" dxfId="1071" priority="592">
      <formula>BI$12="CN"</formula>
    </cfRule>
  </conditionalFormatting>
  <conditionalFormatting sqref="BJ51:BL58">
    <cfRule type="expression" dxfId="1070" priority="579">
      <formula>BJ$11=TODAY()</formula>
    </cfRule>
  </conditionalFormatting>
  <conditionalFormatting sqref="BJ51:BL58">
    <cfRule type="expression" dxfId="1069" priority="580">
      <formula>BJ$12="CN"</formula>
    </cfRule>
  </conditionalFormatting>
  <conditionalFormatting sqref="BM49 BM50:BP50">
    <cfRule type="expression" dxfId="1068" priority="577">
      <formula>BM$11=TODAY()</formula>
    </cfRule>
  </conditionalFormatting>
  <conditionalFormatting sqref="BM49 BM50:BP50">
    <cfRule type="expression" dxfId="1067" priority="578">
      <formula>BM$12="CN"</formula>
    </cfRule>
  </conditionalFormatting>
  <conditionalFormatting sqref="BN51:BP58">
    <cfRule type="expression" dxfId="1066" priority="565">
      <formula>BN$11=TODAY()</formula>
    </cfRule>
  </conditionalFormatting>
  <conditionalFormatting sqref="BN51:BP58">
    <cfRule type="expression" dxfId="1065" priority="566">
      <formula>BN$12="CN"</formula>
    </cfRule>
  </conditionalFormatting>
  <conditionalFormatting sqref="BQ49 BQ50:BT50">
    <cfRule type="expression" dxfId="1064" priority="563">
      <formula>BQ$11=TODAY()</formula>
    </cfRule>
  </conditionalFormatting>
  <conditionalFormatting sqref="BQ49 BQ50:BT50">
    <cfRule type="expression" dxfId="1063" priority="564">
      <formula>BQ$12="CN"</formula>
    </cfRule>
  </conditionalFormatting>
  <conditionalFormatting sqref="BR51:BT58">
    <cfRule type="expression" dxfId="1062" priority="551">
      <formula>BR$11=TODAY()</formula>
    </cfRule>
  </conditionalFormatting>
  <conditionalFormatting sqref="BR51:BT58">
    <cfRule type="expression" dxfId="1061" priority="552">
      <formula>BR$12="CN"</formula>
    </cfRule>
  </conditionalFormatting>
  <conditionalFormatting sqref="BU49 BU50:BX50">
    <cfRule type="expression" dxfId="1060" priority="549">
      <formula>BU$11=TODAY()</formula>
    </cfRule>
  </conditionalFormatting>
  <conditionalFormatting sqref="BU49 BU50:BX50">
    <cfRule type="expression" dxfId="1059" priority="550">
      <formula>BU$12="CN"</formula>
    </cfRule>
  </conditionalFormatting>
  <conditionalFormatting sqref="BV51:BX58">
    <cfRule type="expression" dxfId="1058" priority="537">
      <formula>BV$11=TODAY()</formula>
    </cfRule>
  </conditionalFormatting>
  <conditionalFormatting sqref="BV51:BX58">
    <cfRule type="expression" dxfId="1057" priority="538">
      <formula>BV$12="CN"</formula>
    </cfRule>
  </conditionalFormatting>
  <conditionalFormatting sqref="BY49 BY50:CB50">
    <cfRule type="expression" dxfId="1056" priority="535">
      <formula>BY$11=TODAY()</formula>
    </cfRule>
  </conditionalFormatting>
  <conditionalFormatting sqref="BY49 BY50:CB50">
    <cfRule type="expression" dxfId="1055" priority="536">
      <formula>BY$12="CN"</formula>
    </cfRule>
  </conditionalFormatting>
  <conditionalFormatting sqref="BZ51:CB58">
    <cfRule type="expression" dxfId="1054" priority="523">
      <formula>BZ$11=TODAY()</formula>
    </cfRule>
  </conditionalFormatting>
  <conditionalFormatting sqref="BZ51:CB58">
    <cfRule type="expression" dxfId="1053" priority="524">
      <formula>BZ$12="CN"</formula>
    </cfRule>
  </conditionalFormatting>
  <conditionalFormatting sqref="CC49 CC50:CF50">
    <cfRule type="expression" dxfId="1052" priority="521">
      <formula>CC$11=TODAY()</formula>
    </cfRule>
  </conditionalFormatting>
  <conditionalFormatting sqref="CC49 CC50:CF50">
    <cfRule type="expression" dxfId="1051" priority="522">
      <formula>CC$12="CN"</formula>
    </cfRule>
  </conditionalFormatting>
  <conditionalFormatting sqref="CD51:CF58">
    <cfRule type="expression" dxfId="1050" priority="509">
      <formula>CD$11=TODAY()</formula>
    </cfRule>
  </conditionalFormatting>
  <conditionalFormatting sqref="CD51:CF58">
    <cfRule type="expression" dxfId="1049" priority="510">
      <formula>CD$12="CN"</formula>
    </cfRule>
  </conditionalFormatting>
  <conditionalFormatting sqref="CG49 CG50:CJ50">
    <cfRule type="expression" dxfId="1048" priority="507">
      <formula>CG$11=TODAY()</formula>
    </cfRule>
  </conditionalFormatting>
  <conditionalFormatting sqref="CG49 CG50:CJ50">
    <cfRule type="expression" dxfId="1047" priority="508">
      <formula>CG$12="CN"</formula>
    </cfRule>
  </conditionalFormatting>
  <conditionalFormatting sqref="CH51:CJ58">
    <cfRule type="expression" dxfId="1046" priority="495">
      <formula>CH$11=TODAY()</formula>
    </cfRule>
  </conditionalFormatting>
  <conditionalFormatting sqref="CH51:CJ58">
    <cfRule type="expression" dxfId="1045" priority="496">
      <formula>CH$12="CN"</formula>
    </cfRule>
  </conditionalFormatting>
  <conditionalFormatting sqref="CK49 CK50:CN50">
    <cfRule type="expression" dxfId="1044" priority="493">
      <formula>CK$11=TODAY()</formula>
    </cfRule>
  </conditionalFormatting>
  <conditionalFormatting sqref="CK49 CK50:CN50">
    <cfRule type="expression" dxfId="1043" priority="494">
      <formula>CK$12="CN"</formula>
    </cfRule>
  </conditionalFormatting>
  <conditionalFormatting sqref="CL51:CN58">
    <cfRule type="expression" dxfId="1042" priority="481">
      <formula>CL$11=TODAY()</formula>
    </cfRule>
  </conditionalFormatting>
  <conditionalFormatting sqref="CL51:CN58">
    <cfRule type="expression" dxfId="1041" priority="482">
      <formula>CL$12="CN"</formula>
    </cfRule>
  </conditionalFormatting>
  <conditionalFormatting sqref="CO49 CO50:CR50">
    <cfRule type="expression" dxfId="1040" priority="479">
      <formula>CO$11=TODAY()</formula>
    </cfRule>
  </conditionalFormatting>
  <conditionalFormatting sqref="CO49 CO50:CR50">
    <cfRule type="expression" dxfId="1039" priority="480">
      <formula>CO$12="CN"</formula>
    </cfRule>
  </conditionalFormatting>
  <conditionalFormatting sqref="CP51:CR58">
    <cfRule type="expression" dxfId="1038" priority="467">
      <formula>CP$11=TODAY()</formula>
    </cfRule>
  </conditionalFormatting>
  <conditionalFormatting sqref="CP51:CR58">
    <cfRule type="expression" dxfId="1037" priority="468">
      <formula>CP$12="CN"</formula>
    </cfRule>
  </conditionalFormatting>
  <conditionalFormatting sqref="CS49 CS50:CV50">
    <cfRule type="expression" dxfId="1036" priority="465">
      <formula>CS$11=TODAY()</formula>
    </cfRule>
  </conditionalFormatting>
  <conditionalFormatting sqref="CS49 CS50:CV50">
    <cfRule type="expression" dxfId="1035" priority="466">
      <formula>CS$12="CN"</formula>
    </cfRule>
  </conditionalFormatting>
  <conditionalFormatting sqref="CT51:CV58">
    <cfRule type="expression" dxfId="1034" priority="453">
      <formula>CT$11=TODAY()</formula>
    </cfRule>
  </conditionalFormatting>
  <conditionalFormatting sqref="CT51:CV58">
    <cfRule type="expression" dxfId="1033" priority="454">
      <formula>CT$12="CN"</formula>
    </cfRule>
  </conditionalFormatting>
  <conditionalFormatting sqref="CW49 CW50:CZ50">
    <cfRule type="expression" dxfId="1032" priority="451">
      <formula>CW$11=TODAY()</formula>
    </cfRule>
  </conditionalFormatting>
  <conditionalFormatting sqref="CW49 CW50:CZ50">
    <cfRule type="expression" dxfId="1031" priority="452">
      <formula>CW$12="CN"</formula>
    </cfRule>
  </conditionalFormatting>
  <conditionalFormatting sqref="CX51:CZ58">
    <cfRule type="expression" dxfId="1030" priority="439">
      <formula>CX$11=TODAY()</formula>
    </cfRule>
  </conditionalFormatting>
  <conditionalFormatting sqref="CX51:CZ58">
    <cfRule type="expression" dxfId="1029" priority="440">
      <formula>CX$12="CN"</formula>
    </cfRule>
  </conditionalFormatting>
  <conditionalFormatting sqref="DA49 DA50:DD50">
    <cfRule type="expression" dxfId="1028" priority="437">
      <formula>DA$11=TODAY()</formula>
    </cfRule>
  </conditionalFormatting>
  <conditionalFormatting sqref="DA49 DA50:DD50">
    <cfRule type="expression" dxfId="1027" priority="438">
      <formula>DA$12="CN"</formula>
    </cfRule>
  </conditionalFormatting>
  <conditionalFormatting sqref="DB51:DD58">
    <cfRule type="expression" dxfId="1026" priority="425">
      <formula>DB$11=TODAY()</formula>
    </cfRule>
  </conditionalFormatting>
  <conditionalFormatting sqref="DB51:DD58">
    <cfRule type="expression" dxfId="1025" priority="426">
      <formula>DB$12="CN"</formula>
    </cfRule>
  </conditionalFormatting>
  <conditionalFormatting sqref="DE49 DE50:DH50">
    <cfRule type="expression" dxfId="1024" priority="423">
      <formula>DE$11=TODAY()</formula>
    </cfRule>
  </conditionalFormatting>
  <conditionalFormatting sqref="DE49 DE50:DH50">
    <cfRule type="expression" dxfId="1023" priority="424">
      <formula>DE$12="CN"</formula>
    </cfRule>
  </conditionalFormatting>
  <conditionalFormatting sqref="DF51:DH58">
    <cfRule type="expression" dxfId="1022" priority="411">
      <formula>DF$11=TODAY()</formula>
    </cfRule>
  </conditionalFormatting>
  <conditionalFormatting sqref="DF51:DH58">
    <cfRule type="expression" dxfId="1021" priority="412">
      <formula>DF$12="CN"</formula>
    </cfRule>
  </conditionalFormatting>
  <conditionalFormatting sqref="DI49 DI50:DL50">
    <cfRule type="expression" dxfId="1020" priority="409">
      <formula>DI$11=TODAY()</formula>
    </cfRule>
  </conditionalFormatting>
  <conditionalFormatting sqref="DI49 DI50:DL50">
    <cfRule type="expression" dxfId="1019" priority="410">
      <formula>DI$12="CN"</formula>
    </cfRule>
  </conditionalFormatting>
  <conditionalFormatting sqref="DJ51:DL58">
    <cfRule type="expression" dxfId="1018" priority="397">
      <formula>DJ$11=TODAY()</formula>
    </cfRule>
  </conditionalFormatting>
  <conditionalFormatting sqref="DJ51:DL58">
    <cfRule type="expression" dxfId="1017" priority="398">
      <formula>DJ$12="CN"</formula>
    </cfRule>
  </conditionalFormatting>
  <conditionalFormatting sqref="DM49 DM50:DP50">
    <cfRule type="expression" dxfId="1016" priority="395">
      <formula>DM$11=TODAY()</formula>
    </cfRule>
  </conditionalFormatting>
  <conditionalFormatting sqref="DM49 DM50:DP50">
    <cfRule type="expression" dxfId="1015" priority="396">
      <formula>DM$12="CN"</formula>
    </cfRule>
  </conditionalFormatting>
  <conditionalFormatting sqref="DN51:DP58">
    <cfRule type="expression" dxfId="1014" priority="383">
      <formula>DN$11=TODAY()</formula>
    </cfRule>
  </conditionalFormatting>
  <conditionalFormatting sqref="DN51:DP58">
    <cfRule type="expression" dxfId="1013" priority="384">
      <formula>DN$12="CN"</formula>
    </cfRule>
  </conditionalFormatting>
  <conditionalFormatting sqref="DQ49 DQ50:DT50">
    <cfRule type="expression" dxfId="1012" priority="381">
      <formula>DQ$11=TODAY()</formula>
    </cfRule>
  </conditionalFormatting>
  <conditionalFormatting sqref="DQ49 DQ50:DT50">
    <cfRule type="expression" dxfId="1011" priority="382">
      <formula>DQ$12="CN"</formula>
    </cfRule>
  </conditionalFormatting>
  <conditionalFormatting sqref="DV51:DX58">
    <cfRule type="expression" dxfId="1010" priority="355">
      <formula>DV$11=TODAY()</formula>
    </cfRule>
  </conditionalFormatting>
  <conditionalFormatting sqref="DV51:DX58">
    <cfRule type="expression" dxfId="1009" priority="356">
      <formula>DV$12="CN"</formula>
    </cfRule>
  </conditionalFormatting>
  <conditionalFormatting sqref="DY49 DY50:EB50">
    <cfRule type="expression" dxfId="1008" priority="353">
      <formula>DY$11=TODAY()</formula>
    </cfRule>
  </conditionalFormatting>
  <conditionalFormatting sqref="DY49 DY50:EB50">
    <cfRule type="expression" dxfId="1007" priority="354">
      <formula>DY$12="CN"</formula>
    </cfRule>
  </conditionalFormatting>
  <conditionalFormatting sqref="DZ51:EB58">
    <cfRule type="expression" dxfId="1006" priority="341">
      <formula>DZ$11=TODAY()</formula>
    </cfRule>
  </conditionalFormatting>
  <conditionalFormatting sqref="DZ51:EB58">
    <cfRule type="expression" dxfId="1005" priority="342">
      <formula>DZ$12="CN"</formula>
    </cfRule>
  </conditionalFormatting>
  <conditionalFormatting sqref="EC49 EC50:EF50">
    <cfRule type="expression" dxfId="1004" priority="339">
      <formula>EC$11=TODAY()</formula>
    </cfRule>
  </conditionalFormatting>
  <conditionalFormatting sqref="EC49 EC50:EF50">
    <cfRule type="expression" dxfId="1003" priority="340">
      <formula>EC$12="CN"</formula>
    </cfRule>
  </conditionalFormatting>
  <conditionalFormatting sqref="ED51:EF58">
    <cfRule type="expression" dxfId="1002" priority="328">
      <formula>ED$12="CN"</formula>
    </cfRule>
  </conditionalFormatting>
  <conditionalFormatting sqref="M14:P48">
    <cfRule type="expression" dxfId="1001" priority="325">
      <formula>M$11=TODAY()</formula>
    </cfRule>
  </conditionalFormatting>
  <conditionalFormatting sqref="M14:P48">
    <cfRule type="expression" dxfId="1000" priority="326">
      <formula>M$12="CN"</formula>
    </cfRule>
  </conditionalFormatting>
  <conditionalFormatting sqref="Q14:T40 Q48:T48 R47:T47 Q41:Q46 S41:T46">
    <cfRule type="expression" dxfId="999" priority="323">
      <formula>Q$11=TODAY()</formula>
    </cfRule>
  </conditionalFormatting>
  <conditionalFormatting sqref="Q14:T40 Q48:T48 R47:T47 Q41:Q46 S41:T46">
    <cfRule type="expression" dxfId="998" priority="324">
      <formula>Q$12="CN"</formula>
    </cfRule>
  </conditionalFormatting>
  <conditionalFormatting sqref="Q47">
    <cfRule type="expression" dxfId="997" priority="321">
      <formula>Q$11=TODAY()</formula>
    </cfRule>
  </conditionalFormatting>
  <conditionalFormatting sqref="Q47">
    <cfRule type="expression" dxfId="996" priority="322">
      <formula>Q$12="CN"</formula>
    </cfRule>
  </conditionalFormatting>
  <conditionalFormatting sqref="R46">
    <cfRule type="expression" dxfId="995" priority="319">
      <formula>R$11=TODAY()</formula>
    </cfRule>
  </conditionalFormatting>
  <conditionalFormatting sqref="R46">
    <cfRule type="expression" dxfId="994" priority="320">
      <formula>R$12="CN"</formula>
    </cfRule>
  </conditionalFormatting>
  <conditionalFormatting sqref="U48:X48">
    <cfRule type="expression" dxfId="993" priority="317">
      <formula>U$11=TODAY()</formula>
    </cfRule>
  </conditionalFormatting>
  <conditionalFormatting sqref="U48:X48">
    <cfRule type="expression" dxfId="992" priority="318">
      <formula>U$12="CN"</formula>
    </cfRule>
  </conditionalFormatting>
  <conditionalFormatting sqref="U14:X40 W41:X47">
    <cfRule type="expression" dxfId="991" priority="315">
      <formula>U$11=TODAY()</formula>
    </cfRule>
  </conditionalFormatting>
  <conditionalFormatting sqref="U14:X40 W41:X47">
    <cfRule type="expression" dxfId="990" priority="316">
      <formula>U$12="CN"</formula>
    </cfRule>
  </conditionalFormatting>
  <conditionalFormatting sqref="Y48:AB48">
    <cfRule type="expression" dxfId="989" priority="309">
      <formula>Y$11=TODAY()</formula>
    </cfRule>
  </conditionalFormatting>
  <conditionalFormatting sqref="Y48:AB48">
    <cfRule type="expression" dxfId="988" priority="310">
      <formula>Y$12="CN"</formula>
    </cfRule>
  </conditionalFormatting>
  <conditionalFormatting sqref="Y14:AB40 AA41:AB47">
    <cfRule type="expression" dxfId="987" priority="307">
      <formula>Y$11=TODAY()</formula>
    </cfRule>
  </conditionalFormatting>
  <conditionalFormatting sqref="Y14:AB40 AA41:AB47">
    <cfRule type="expression" dxfId="986" priority="308">
      <formula>Y$12="CN"</formula>
    </cfRule>
  </conditionalFormatting>
  <conditionalFormatting sqref="AC48:AF48">
    <cfRule type="expression" dxfId="985" priority="301">
      <formula>AC$11=TODAY()</formula>
    </cfRule>
  </conditionalFormatting>
  <conditionalFormatting sqref="AC48:AF48">
    <cfRule type="expression" dxfId="984" priority="302">
      <formula>AC$12="CN"</formula>
    </cfRule>
  </conditionalFormatting>
  <conditionalFormatting sqref="AC14:AF40 AE41:AF47">
    <cfRule type="expression" dxfId="983" priority="299">
      <formula>AC$11=TODAY()</formula>
    </cfRule>
  </conditionalFormatting>
  <conditionalFormatting sqref="AC14:AF40 AE41:AF47">
    <cfRule type="expression" dxfId="982" priority="300">
      <formula>AC$12="CN"</formula>
    </cfRule>
  </conditionalFormatting>
  <conditionalFormatting sqref="AG48:AJ48">
    <cfRule type="expression" dxfId="981" priority="293">
      <formula>AG$11=TODAY()</formula>
    </cfRule>
  </conditionalFormatting>
  <conditionalFormatting sqref="AG48:AJ48">
    <cfRule type="expression" dxfId="980" priority="294">
      <formula>AG$12="CN"</formula>
    </cfRule>
  </conditionalFormatting>
  <conditionalFormatting sqref="AG14:AJ40 AI41:AJ47">
    <cfRule type="expression" dxfId="979" priority="291">
      <formula>AG$11=TODAY()</formula>
    </cfRule>
  </conditionalFormatting>
  <conditionalFormatting sqref="AG14:AJ40 AI41:AJ47">
    <cfRule type="expression" dxfId="978" priority="292">
      <formula>AG$12="CN"</formula>
    </cfRule>
  </conditionalFormatting>
  <conditionalFormatting sqref="AK48:AN48">
    <cfRule type="expression" dxfId="977" priority="285">
      <formula>AK$11=TODAY()</formula>
    </cfRule>
  </conditionalFormatting>
  <conditionalFormatting sqref="AK48:AN48">
    <cfRule type="expression" dxfId="976" priority="286">
      <formula>AK$12="CN"</formula>
    </cfRule>
  </conditionalFormatting>
  <conditionalFormatting sqref="AK14:AN40 AM41:AN47">
    <cfRule type="expression" dxfId="975" priority="283">
      <formula>AK$11=TODAY()</formula>
    </cfRule>
  </conditionalFormatting>
  <conditionalFormatting sqref="AK14:AN40 AM41:AN47">
    <cfRule type="expression" dxfId="974" priority="284">
      <formula>AK$12="CN"</formula>
    </cfRule>
  </conditionalFormatting>
  <conditionalFormatting sqref="AO48:AR48">
    <cfRule type="expression" dxfId="973" priority="277">
      <formula>AO$11=TODAY()</formula>
    </cfRule>
  </conditionalFormatting>
  <conditionalFormatting sqref="AO48:AR48">
    <cfRule type="expression" dxfId="972" priority="278">
      <formula>AO$12="CN"</formula>
    </cfRule>
  </conditionalFormatting>
  <conditionalFormatting sqref="AO14:AR40 AQ41:AR47">
    <cfRule type="expression" dxfId="971" priority="275">
      <formula>AO$11=TODAY()</formula>
    </cfRule>
  </conditionalFormatting>
  <conditionalFormatting sqref="AO14:AR40 AQ41:AR47">
    <cfRule type="expression" dxfId="970" priority="276">
      <formula>AO$12="CN"</formula>
    </cfRule>
  </conditionalFormatting>
  <conditionalFormatting sqref="AS48:AV48">
    <cfRule type="expression" dxfId="969" priority="269">
      <formula>AS$11=TODAY()</formula>
    </cfRule>
  </conditionalFormatting>
  <conditionalFormatting sqref="AS48:AV48">
    <cfRule type="expression" dxfId="968" priority="270">
      <formula>AS$12="CN"</formula>
    </cfRule>
  </conditionalFormatting>
  <conditionalFormatting sqref="AS14:AV40 AU41:AV47">
    <cfRule type="expression" dxfId="967" priority="267">
      <formula>AS$11=TODAY()</formula>
    </cfRule>
  </conditionalFormatting>
  <conditionalFormatting sqref="AS14:AV40 AU41:AV47">
    <cfRule type="expression" dxfId="966" priority="268">
      <formula>AS$12="CN"</formula>
    </cfRule>
  </conditionalFormatting>
  <conditionalFormatting sqref="AW48:AZ48">
    <cfRule type="expression" dxfId="965" priority="261">
      <formula>AW$11=TODAY()</formula>
    </cfRule>
  </conditionalFormatting>
  <conditionalFormatting sqref="AW48:AZ48">
    <cfRule type="expression" dxfId="964" priority="262">
      <formula>AW$12="CN"</formula>
    </cfRule>
  </conditionalFormatting>
  <conditionalFormatting sqref="AW14:AZ40 AY41:AZ47">
    <cfRule type="expression" dxfId="963" priority="259">
      <formula>AW$11=TODAY()</formula>
    </cfRule>
  </conditionalFormatting>
  <conditionalFormatting sqref="AW14:AZ40 AY41:AZ47">
    <cfRule type="expression" dxfId="962" priority="260">
      <formula>AW$12="CN"</formula>
    </cfRule>
  </conditionalFormatting>
  <conditionalFormatting sqref="BA48:BD48">
    <cfRule type="expression" dxfId="961" priority="253">
      <formula>BA$11=TODAY()</formula>
    </cfRule>
  </conditionalFormatting>
  <conditionalFormatting sqref="BA48:BD48">
    <cfRule type="expression" dxfId="960" priority="254">
      <formula>BA$12="CN"</formula>
    </cfRule>
  </conditionalFormatting>
  <conditionalFormatting sqref="BA14:BD40 BC41:BD47">
    <cfRule type="expression" dxfId="959" priority="251">
      <formula>BA$11=TODAY()</formula>
    </cfRule>
  </conditionalFormatting>
  <conditionalFormatting sqref="BA14:BD40 BC41:BD47">
    <cfRule type="expression" dxfId="958" priority="252">
      <formula>BA$12="CN"</formula>
    </cfRule>
  </conditionalFormatting>
  <conditionalFormatting sqref="BE48:BH48">
    <cfRule type="expression" dxfId="957" priority="245">
      <formula>BE$11=TODAY()</formula>
    </cfRule>
  </conditionalFormatting>
  <conditionalFormatting sqref="BE48:BH48">
    <cfRule type="expression" dxfId="956" priority="246">
      <formula>BE$12="CN"</formula>
    </cfRule>
  </conditionalFormatting>
  <conditionalFormatting sqref="BE14:BH40 BG41:BH47">
    <cfRule type="expression" dxfId="955" priority="243">
      <formula>BE$11=TODAY()</formula>
    </cfRule>
  </conditionalFormatting>
  <conditionalFormatting sqref="BE14:BH40 BG41:BH47">
    <cfRule type="expression" dxfId="954" priority="244">
      <formula>BE$12="CN"</formula>
    </cfRule>
  </conditionalFormatting>
  <conditionalFormatting sqref="BI48:BL48">
    <cfRule type="expression" dxfId="953" priority="237">
      <formula>BI$11=TODAY()</formula>
    </cfRule>
  </conditionalFormatting>
  <conditionalFormatting sqref="BI48:BL48">
    <cfRule type="expression" dxfId="952" priority="238">
      <formula>BI$12="CN"</formula>
    </cfRule>
  </conditionalFormatting>
  <conditionalFormatting sqref="BI14:BL40 BJ47:BL47 BI41:BI46 BK41:BL46">
    <cfRule type="expression" dxfId="951" priority="235">
      <formula>BI$11=TODAY()</formula>
    </cfRule>
  </conditionalFormatting>
  <conditionalFormatting sqref="BI14:BL40 BJ47:BL47 BI41:BI46 BK41:BL46">
    <cfRule type="expression" dxfId="950" priority="236">
      <formula>BI$12="CN"</formula>
    </cfRule>
  </conditionalFormatting>
  <conditionalFormatting sqref="BI47">
    <cfRule type="expression" dxfId="949" priority="233">
      <formula>BI$11=TODAY()</formula>
    </cfRule>
  </conditionalFormatting>
  <conditionalFormatting sqref="BI47">
    <cfRule type="expression" dxfId="948" priority="234">
      <formula>BI$12="CN"</formula>
    </cfRule>
  </conditionalFormatting>
  <conditionalFormatting sqref="BJ41:BJ46">
    <cfRule type="expression" dxfId="947" priority="231">
      <formula>BJ$11=TODAY()</formula>
    </cfRule>
  </conditionalFormatting>
  <conditionalFormatting sqref="BJ41:BJ46">
    <cfRule type="expression" dxfId="946" priority="232">
      <formula>BJ$12="CN"</formula>
    </cfRule>
  </conditionalFormatting>
  <conditionalFormatting sqref="BM48:BP48">
    <cfRule type="expression" dxfId="945" priority="229">
      <formula>BM$11=TODAY()</formula>
    </cfRule>
  </conditionalFormatting>
  <conditionalFormatting sqref="BM48:BP48">
    <cfRule type="expression" dxfId="944" priority="230">
      <formula>BM$12="CN"</formula>
    </cfRule>
  </conditionalFormatting>
  <conditionalFormatting sqref="BM14:BP40 BN47:BP47 BM41:BM46 BO41:BP46">
    <cfRule type="expression" dxfId="943" priority="227">
      <formula>BM$11=TODAY()</formula>
    </cfRule>
  </conditionalFormatting>
  <conditionalFormatting sqref="BM14:BP40 BN47:BP47 BM41:BM46 BO41:BP46">
    <cfRule type="expression" dxfId="942" priority="228">
      <formula>BM$12="CN"</formula>
    </cfRule>
  </conditionalFormatting>
  <conditionalFormatting sqref="BM47">
    <cfRule type="expression" dxfId="941" priority="225">
      <formula>BM$11=TODAY()</formula>
    </cfRule>
  </conditionalFormatting>
  <conditionalFormatting sqref="BM47">
    <cfRule type="expression" dxfId="940" priority="226">
      <formula>BM$12="CN"</formula>
    </cfRule>
  </conditionalFormatting>
  <conditionalFormatting sqref="BN41:BN46">
    <cfRule type="expression" dxfId="939" priority="223">
      <formula>BN$11=TODAY()</formula>
    </cfRule>
  </conditionalFormatting>
  <conditionalFormatting sqref="BN41:BN46">
    <cfRule type="expression" dxfId="938" priority="224">
      <formula>BN$12="CN"</formula>
    </cfRule>
  </conditionalFormatting>
  <conditionalFormatting sqref="BQ48:BT48">
    <cfRule type="expression" dxfId="937" priority="221">
      <formula>BQ$11=TODAY()</formula>
    </cfRule>
  </conditionalFormatting>
  <conditionalFormatting sqref="BQ48:BT48">
    <cfRule type="expression" dxfId="936" priority="222">
      <formula>BQ$12="CN"</formula>
    </cfRule>
  </conditionalFormatting>
  <conditionalFormatting sqref="BQ14:BT40 BR47:BT47 BQ41:BQ46 BS41:BT46">
    <cfRule type="expression" dxfId="935" priority="219">
      <formula>BQ$11=TODAY()</formula>
    </cfRule>
  </conditionalFormatting>
  <conditionalFormatting sqref="BQ14:BT40 BR47:BT47 BQ41:BQ46 BS41:BT46">
    <cfRule type="expression" dxfId="934" priority="220">
      <formula>BQ$12="CN"</formula>
    </cfRule>
  </conditionalFormatting>
  <conditionalFormatting sqref="BQ47">
    <cfRule type="expression" dxfId="933" priority="217">
      <formula>BQ$11=TODAY()</formula>
    </cfRule>
  </conditionalFormatting>
  <conditionalFormatting sqref="BQ47">
    <cfRule type="expression" dxfId="932" priority="218">
      <formula>BQ$12="CN"</formula>
    </cfRule>
  </conditionalFormatting>
  <conditionalFormatting sqref="BR41:BR46">
    <cfRule type="expression" dxfId="931" priority="215">
      <formula>BR$11=TODAY()</formula>
    </cfRule>
  </conditionalFormatting>
  <conditionalFormatting sqref="BR41:BR46">
    <cfRule type="expression" dxfId="930" priority="216">
      <formula>BR$12="CN"</formula>
    </cfRule>
  </conditionalFormatting>
  <conditionalFormatting sqref="BU48:BX48">
    <cfRule type="expression" dxfId="929" priority="213">
      <formula>BU$11=TODAY()</formula>
    </cfRule>
  </conditionalFormatting>
  <conditionalFormatting sqref="BU48:BX48">
    <cfRule type="expression" dxfId="928" priority="214">
      <formula>BU$12="CN"</formula>
    </cfRule>
  </conditionalFormatting>
  <conditionalFormatting sqref="BU14:BX40 BV47:BX47 BU41:BU46 BW41:BX46">
    <cfRule type="expression" dxfId="927" priority="211">
      <formula>BU$11=TODAY()</formula>
    </cfRule>
  </conditionalFormatting>
  <conditionalFormatting sqref="BU14:BX40 BV47:BX47 BU41:BU46 BW41:BX46">
    <cfRule type="expression" dxfId="926" priority="212">
      <formula>BU$12="CN"</formula>
    </cfRule>
  </conditionalFormatting>
  <conditionalFormatting sqref="BU47">
    <cfRule type="expression" dxfId="925" priority="209">
      <formula>BU$11=TODAY()</formula>
    </cfRule>
  </conditionalFormatting>
  <conditionalFormatting sqref="BU47">
    <cfRule type="expression" dxfId="924" priority="210">
      <formula>BU$12="CN"</formula>
    </cfRule>
  </conditionalFormatting>
  <conditionalFormatting sqref="BV41:BV46">
    <cfRule type="expression" dxfId="923" priority="207">
      <formula>BV$11=TODAY()</formula>
    </cfRule>
  </conditionalFormatting>
  <conditionalFormatting sqref="BV41:BV46">
    <cfRule type="expression" dxfId="922" priority="208">
      <formula>BV$12="CN"</formula>
    </cfRule>
  </conditionalFormatting>
  <conditionalFormatting sqref="BY48:CB48">
    <cfRule type="expression" dxfId="921" priority="205">
      <formula>BY$11=TODAY()</formula>
    </cfRule>
  </conditionalFormatting>
  <conditionalFormatting sqref="BY48:CB48">
    <cfRule type="expression" dxfId="920" priority="206">
      <formula>BY$12="CN"</formula>
    </cfRule>
  </conditionalFormatting>
  <conditionalFormatting sqref="BY14:CB40 BZ47:CB47 BY41:BY46 CA41:CB46">
    <cfRule type="expression" dxfId="919" priority="203">
      <formula>BY$11=TODAY()</formula>
    </cfRule>
  </conditionalFormatting>
  <conditionalFormatting sqref="BY14:CB40 BZ47:CB47 BY41:BY46 CA41:CB46">
    <cfRule type="expression" dxfId="918" priority="204">
      <formula>BY$12="CN"</formula>
    </cfRule>
  </conditionalFormatting>
  <conditionalFormatting sqref="BY47">
    <cfRule type="expression" dxfId="917" priority="201">
      <formula>BY$11=TODAY()</formula>
    </cfRule>
  </conditionalFormatting>
  <conditionalFormatting sqref="BY47">
    <cfRule type="expression" dxfId="916" priority="202">
      <formula>BY$12="CN"</formula>
    </cfRule>
  </conditionalFormatting>
  <conditionalFormatting sqref="BZ41:BZ46">
    <cfRule type="expression" dxfId="915" priority="199">
      <formula>BZ$11=TODAY()</formula>
    </cfRule>
  </conditionalFormatting>
  <conditionalFormatting sqref="BZ41:BZ46">
    <cfRule type="expression" dxfId="914" priority="200">
      <formula>BZ$12="CN"</formula>
    </cfRule>
  </conditionalFormatting>
  <conditionalFormatting sqref="CC48:CF48">
    <cfRule type="expression" dxfId="913" priority="197">
      <formula>CC$11=TODAY()</formula>
    </cfRule>
  </conditionalFormatting>
  <conditionalFormatting sqref="CC48:CF48">
    <cfRule type="expression" dxfId="912" priority="198">
      <formula>CC$12="CN"</formula>
    </cfRule>
  </conditionalFormatting>
  <conditionalFormatting sqref="CC14:CF40 CD47:CF47 CC41:CC46 CE41:CF46">
    <cfRule type="expression" dxfId="911" priority="195">
      <formula>CC$11=TODAY()</formula>
    </cfRule>
  </conditionalFormatting>
  <conditionalFormatting sqref="CC14:CF40 CD47:CF47 CC41:CC46 CE41:CF46">
    <cfRule type="expression" dxfId="910" priority="196">
      <formula>CC$12="CN"</formula>
    </cfRule>
  </conditionalFormatting>
  <conditionalFormatting sqref="CC47">
    <cfRule type="expression" dxfId="909" priority="193">
      <formula>CC$11=TODAY()</formula>
    </cfRule>
  </conditionalFormatting>
  <conditionalFormatting sqref="CC47">
    <cfRule type="expression" dxfId="908" priority="194">
      <formula>CC$12="CN"</formula>
    </cfRule>
  </conditionalFormatting>
  <conditionalFormatting sqref="CD41:CD46">
    <cfRule type="expression" dxfId="907" priority="191">
      <formula>CD$11=TODAY()</formula>
    </cfRule>
  </conditionalFormatting>
  <conditionalFormatting sqref="CD41:CD46">
    <cfRule type="expression" dxfId="906" priority="192">
      <formula>CD$12="CN"</formula>
    </cfRule>
  </conditionalFormatting>
  <conditionalFormatting sqref="CG48:CJ48">
    <cfRule type="expression" dxfId="905" priority="189">
      <formula>CG$11=TODAY()</formula>
    </cfRule>
  </conditionalFormatting>
  <conditionalFormatting sqref="CG48:CJ48">
    <cfRule type="expression" dxfId="904" priority="190">
      <formula>CG$12="CN"</formula>
    </cfRule>
  </conditionalFormatting>
  <conditionalFormatting sqref="CG14:CJ40 CH47:CJ47 CG41:CG46 CI41:CJ46">
    <cfRule type="expression" dxfId="903" priority="187">
      <formula>CG$11=TODAY()</formula>
    </cfRule>
  </conditionalFormatting>
  <conditionalFormatting sqref="CG14:CJ40 CH47:CJ47 CG41:CG46 CI41:CJ46">
    <cfRule type="expression" dxfId="902" priority="188">
      <formula>CG$12="CN"</formula>
    </cfRule>
  </conditionalFormatting>
  <conditionalFormatting sqref="CG47">
    <cfRule type="expression" dxfId="901" priority="185">
      <formula>CG$11=TODAY()</formula>
    </cfRule>
  </conditionalFormatting>
  <conditionalFormatting sqref="CG47">
    <cfRule type="expression" dxfId="900" priority="186">
      <formula>CG$12="CN"</formula>
    </cfRule>
  </conditionalFormatting>
  <conditionalFormatting sqref="CH41:CH46">
    <cfRule type="expression" dxfId="899" priority="183">
      <formula>CH$11=TODAY()</formula>
    </cfRule>
  </conditionalFormatting>
  <conditionalFormatting sqref="CH41:CH46">
    <cfRule type="expression" dxfId="898" priority="184">
      <formula>CH$12="CN"</formula>
    </cfRule>
  </conditionalFormatting>
  <conditionalFormatting sqref="CK48:CN48">
    <cfRule type="expression" dxfId="897" priority="181">
      <formula>CK$11=TODAY()</formula>
    </cfRule>
  </conditionalFormatting>
  <conditionalFormatting sqref="CK48:CN48">
    <cfRule type="expression" dxfId="896" priority="182">
      <formula>CK$12="CN"</formula>
    </cfRule>
  </conditionalFormatting>
  <conditionalFormatting sqref="CK14:CN40 CL47:CN47 CK41:CK46 CM41:CN46">
    <cfRule type="expression" dxfId="895" priority="179">
      <formula>CK$11=TODAY()</formula>
    </cfRule>
  </conditionalFormatting>
  <conditionalFormatting sqref="CK14:CN40 CL47:CN47 CK41:CK46 CM41:CN46">
    <cfRule type="expression" dxfId="894" priority="180">
      <formula>CK$12="CN"</formula>
    </cfRule>
  </conditionalFormatting>
  <conditionalFormatting sqref="CK47">
    <cfRule type="expression" dxfId="893" priority="177">
      <formula>CK$11=TODAY()</formula>
    </cfRule>
  </conditionalFormatting>
  <conditionalFormatting sqref="CK47">
    <cfRule type="expression" dxfId="892" priority="178">
      <formula>CK$12="CN"</formula>
    </cfRule>
  </conditionalFormatting>
  <conditionalFormatting sqref="CL41:CL46">
    <cfRule type="expression" dxfId="891" priority="175">
      <formula>CL$11=TODAY()</formula>
    </cfRule>
  </conditionalFormatting>
  <conditionalFormatting sqref="CL41:CL46">
    <cfRule type="expression" dxfId="890" priority="176">
      <formula>CL$12="CN"</formula>
    </cfRule>
  </conditionalFormatting>
  <conditionalFormatting sqref="CO48:CR48">
    <cfRule type="expression" dxfId="889" priority="173">
      <formula>CO$11=TODAY()</formula>
    </cfRule>
  </conditionalFormatting>
  <conditionalFormatting sqref="CO48:CR48">
    <cfRule type="expression" dxfId="888" priority="174">
      <formula>CO$12="CN"</formula>
    </cfRule>
  </conditionalFormatting>
  <conditionalFormatting sqref="CO14:CR40 CP47:CR47 CO41:CO46 CQ41:CR46">
    <cfRule type="expression" dxfId="887" priority="171">
      <formula>CO$11=TODAY()</formula>
    </cfRule>
  </conditionalFormatting>
  <conditionalFormatting sqref="CO14:CR40 CP47:CR47 CO41:CO46 CQ41:CR46">
    <cfRule type="expression" dxfId="886" priority="172">
      <formula>CO$12="CN"</formula>
    </cfRule>
  </conditionalFormatting>
  <conditionalFormatting sqref="CO47">
    <cfRule type="expression" dxfId="885" priority="169">
      <formula>CO$11=TODAY()</formula>
    </cfRule>
  </conditionalFormatting>
  <conditionalFormatting sqref="CO47">
    <cfRule type="expression" dxfId="884" priority="170">
      <formula>CO$12="CN"</formula>
    </cfRule>
  </conditionalFormatting>
  <conditionalFormatting sqref="CP41:CP46">
    <cfRule type="expression" dxfId="883" priority="167">
      <formula>CP$11=TODAY()</formula>
    </cfRule>
  </conditionalFormatting>
  <conditionalFormatting sqref="CP41:CP46">
    <cfRule type="expression" dxfId="882" priority="168">
      <formula>CP$12="CN"</formula>
    </cfRule>
  </conditionalFormatting>
  <conditionalFormatting sqref="CS48:CV48">
    <cfRule type="expression" dxfId="881" priority="165">
      <formula>CS$11=TODAY()</formula>
    </cfRule>
  </conditionalFormatting>
  <conditionalFormatting sqref="CS48:CV48">
    <cfRule type="expression" dxfId="880" priority="166">
      <formula>CS$12="CN"</formula>
    </cfRule>
  </conditionalFormatting>
  <conditionalFormatting sqref="CS14:CV40 CT47:CV47 CS41:CS46 CU41:CV46">
    <cfRule type="expression" dxfId="879" priority="163">
      <formula>CS$11=TODAY()</formula>
    </cfRule>
  </conditionalFormatting>
  <conditionalFormatting sqref="CS14:CV40 CT47:CV47 CS41:CS46 CU41:CV46">
    <cfRule type="expression" dxfId="878" priority="164">
      <formula>CS$12="CN"</formula>
    </cfRule>
  </conditionalFormatting>
  <conditionalFormatting sqref="CS47">
    <cfRule type="expression" dxfId="877" priority="161">
      <formula>CS$11=TODAY()</formula>
    </cfRule>
  </conditionalFormatting>
  <conditionalFormatting sqref="CS47">
    <cfRule type="expression" dxfId="876" priority="162">
      <formula>CS$12="CN"</formula>
    </cfRule>
  </conditionalFormatting>
  <conditionalFormatting sqref="CT41:CT46">
    <cfRule type="expression" dxfId="875" priority="159">
      <formula>CT$11=TODAY()</formula>
    </cfRule>
  </conditionalFormatting>
  <conditionalFormatting sqref="CT41:CT46">
    <cfRule type="expression" dxfId="874" priority="160">
      <formula>CT$12="CN"</formula>
    </cfRule>
  </conditionalFormatting>
  <conditionalFormatting sqref="CW48:CZ48">
    <cfRule type="expression" dxfId="873" priority="157">
      <formula>CW$11=TODAY()</formula>
    </cfRule>
  </conditionalFormatting>
  <conditionalFormatting sqref="CW48:CZ48">
    <cfRule type="expression" dxfId="872" priority="158">
      <formula>CW$12="CN"</formula>
    </cfRule>
  </conditionalFormatting>
  <conditionalFormatting sqref="CW14:CZ40 CX47:CZ47 CW41:CW46 CY41:CZ46">
    <cfRule type="expression" dxfId="871" priority="155">
      <formula>CW$11=TODAY()</formula>
    </cfRule>
  </conditionalFormatting>
  <conditionalFormatting sqref="CW14:CZ40 CX47:CZ47 CW41:CW46 CY41:CZ46">
    <cfRule type="expression" dxfId="870" priority="156">
      <formula>CW$12="CN"</formula>
    </cfRule>
  </conditionalFormatting>
  <conditionalFormatting sqref="CW47">
    <cfRule type="expression" dxfId="869" priority="153">
      <formula>CW$11=TODAY()</formula>
    </cfRule>
  </conditionalFormatting>
  <conditionalFormatting sqref="CW47">
    <cfRule type="expression" dxfId="868" priority="154">
      <formula>CW$12="CN"</formula>
    </cfRule>
  </conditionalFormatting>
  <conditionalFormatting sqref="CX41:CX46">
    <cfRule type="expression" dxfId="867" priority="151">
      <formula>CX$11=TODAY()</formula>
    </cfRule>
  </conditionalFormatting>
  <conditionalFormatting sqref="CX41:CX46">
    <cfRule type="expression" dxfId="866" priority="152">
      <formula>CX$12="CN"</formula>
    </cfRule>
  </conditionalFormatting>
  <conditionalFormatting sqref="DA48:DD48">
    <cfRule type="expression" dxfId="865" priority="149">
      <formula>DA$11=TODAY()</formula>
    </cfRule>
  </conditionalFormatting>
  <conditionalFormatting sqref="DA48:DD48">
    <cfRule type="expression" dxfId="864" priority="150">
      <formula>DA$12="CN"</formula>
    </cfRule>
  </conditionalFormatting>
  <conditionalFormatting sqref="DA14:DD40 DB47:DD47 DA41:DA46 DC41:DD46">
    <cfRule type="expression" dxfId="863" priority="147">
      <formula>DA$11=TODAY()</formula>
    </cfRule>
  </conditionalFormatting>
  <conditionalFormatting sqref="DA14:DD40 DB47:DD47 DA41:DA46 DC41:DD46">
    <cfRule type="expression" dxfId="862" priority="148">
      <formula>DA$12="CN"</formula>
    </cfRule>
  </conditionalFormatting>
  <conditionalFormatting sqref="DA47">
    <cfRule type="expression" dxfId="861" priority="145">
      <formula>DA$11=TODAY()</formula>
    </cfRule>
  </conditionalFormatting>
  <conditionalFormatting sqref="DA47">
    <cfRule type="expression" dxfId="860" priority="146">
      <formula>DA$12="CN"</formula>
    </cfRule>
  </conditionalFormatting>
  <conditionalFormatting sqref="DB41:DB46">
    <cfRule type="expression" dxfId="859" priority="143">
      <formula>DB$11=TODAY()</formula>
    </cfRule>
  </conditionalFormatting>
  <conditionalFormatting sqref="DB41:DB46">
    <cfRule type="expression" dxfId="858" priority="144">
      <formula>DB$12="CN"</formula>
    </cfRule>
  </conditionalFormatting>
  <conditionalFormatting sqref="DE48:DH48">
    <cfRule type="expression" dxfId="857" priority="141">
      <formula>DE$11=TODAY()</formula>
    </cfRule>
  </conditionalFormatting>
  <conditionalFormatting sqref="DE48:DH48">
    <cfRule type="expression" dxfId="856" priority="142">
      <formula>DE$12="CN"</formula>
    </cfRule>
  </conditionalFormatting>
  <conditionalFormatting sqref="DE14:DH40 DF47:DH47 DE41:DE46 DG41:DH46">
    <cfRule type="expression" dxfId="855" priority="139">
      <formula>DE$11=TODAY()</formula>
    </cfRule>
  </conditionalFormatting>
  <conditionalFormatting sqref="DE14:DH40 DF47:DH47 DE41:DE46 DG41:DH46">
    <cfRule type="expression" dxfId="854" priority="140">
      <formula>DE$12="CN"</formula>
    </cfRule>
  </conditionalFormatting>
  <conditionalFormatting sqref="DE47">
    <cfRule type="expression" dxfId="853" priority="137">
      <formula>DE$11=TODAY()</formula>
    </cfRule>
  </conditionalFormatting>
  <conditionalFormatting sqref="DE47">
    <cfRule type="expression" dxfId="852" priority="138">
      <formula>DE$12="CN"</formula>
    </cfRule>
  </conditionalFormatting>
  <conditionalFormatting sqref="DF41:DF46">
    <cfRule type="expression" dxfId="851" priority="135">
      <formula>DF$11=TODAY()</formula>
    </cfRule>
  </conditionalFormatting>
  <conditionalFormatting sqref="DF41:DF46">
    <cfRule type="expression" dxfId="850" priority="136">
      <formula>DF$12="CN"</formula>
    </cfRule>
  </conditionalFormatting>
  <conditionalFormatting sqref="DI48:DL48">
    <cfRule type="expression" dxfId="849" priority="133">
      <formula>DI$11=TODAY()</formula>
    </cfRule>
  </conditionalFormatting>
  <conditionalFormatting sqref="DI48:DL48">
    <cfRule type="expression" dxfId="848" priority="134">
      <formula>DI$12="CN"</formula>
    </cfRule>
  </conditionalFormatting>
  <conditionalFormatting sqref="DI14:DL40 DJ47:DL47 DI41:DI46 DK41:DL46">
    <cfRule type="expression" dxfId="847" priority="131">
      <formula>DI$11=TODAY()</formula>
    </cfRule>
  </conditionalFormatting>
  <conditionalFormatting sqref="DI14:DL40 DJ47:DL47 DI41:DI46 DK41:DL46">
    <cfRule type="expression" dxfId="846" priority="132">
      <formula>DI$12="CN"</formula>
    </cfRule>
  </conditionalFormatting>
  <conditionalFormatting sqref="DI47">
    <cfRule type="expression" dxfId="845" priority="129">
      <formula>DI$11=TODAY()</formula>
    </cfRule>
  </conditionalFormatting>
  <conditionalFormatting sqref="DI47">
    <cfRule type="expression" dxfId="844" priority="130">
      <formula>DI$12="CN"</formula>
    </cfRule>
  </conditionalFormatting>
  <conditionalFormatting sqref="DJ41:DJ46">
    <cfRule type="expression" dxfId="843" priority="127">
      <formula>DJ$11=TODAY()</formula>
    </cfRule>
  </conditionalFormatting>
  <conditionalFormatting sqref="DJ41:DJ46">
    <cfRule type="expression" dxfId="842" priority="128">
      <formula>DJ$12="CN"</formula>
    </cfRule>
  </conditionalFormatting>
  <conditionalFormatting sqref="DM48:DP48">
    <cfRule type="expression" dxfId="841" priority="125">
      <formula>DM$11=TODAY()</formula>
    </cfRule>
  </conditionalFormatting>
  <conditionalFormatting sqref="DM48:DP48">
    <cfRule type="expression" dxfId="840" priority="126">
      <formula>DM$12="CN"</formula>
    </cfRule>
  </conditionalFormatting>
  <conditionalFormatting sqref="DM14:DP40 DN47:DP47 DM41:DM46 DO41:DP46">
    <cfRule type="expression" dxfId="839" priority="123">
      <formula>DM$11=TODAY()</formula>
    </cfRule>
  </conditionalFormatting>
  <conditionalFormatting sqref="DM14:DP40 DN47:DP47 DM41:DM46 DO41:DP46">
    <cfRule type="expression" dxfId="838" priority="124">
      <formula>DM$12="CN"</formula>
    </cfRule>
  </conditionalFormatting>
  <conditionalFormatting sqref="DM47">
    <cfRule type="expression" dxfId="837" priority="121">
      <formula>DM$11=TODAY()</formula>
    </cfRule>
  </conditionalFormatting>
  <conditionalFormatting sqref="DM47">
    <cfRule type="expression" dxfId="836" priority="122">
      <formula>DM$12="CN"</formula>
    </cfRule>
  </conditionalFormatting>
  <conditionalFormatting sqref="DN41:DN46">
    <cfRule type="expression" dxfId="835" priority="119">
      <formula>DN$11=TODAY()</formula>
    </cfRule>
  </conditionalFormatting>
  <conditionalFormatting sqref="DN41:DN46">
    <cfRule type="expression" dxfId="834" priority="120">
      <formula>DN$12="CN"</formula>
    </cfRule>
  </conditionalFormatting>
  <conditionalFormatting sqref="DQ48:DT48">
    <cfRule type="expression" dxfId="833" priority="117">
      <formula>DQ$11=TODAY()</formula>
    </cfRule>
  </conditionalFormatting>
  <conditionalFormatting sqref="DQ48:DT48">
    <cfRule type="expression" dxfId="832" priority="118">
      <formula>DQ$12="CN"</formula>
    </cfRule>
  </conditionalFormatting>
  <conditionalFormatting sqref="DQ14:DT40 DR47:DT47 DQ41:DQ46 DS41:DT46">
    <cfRule type="expression" dxfId="831" priority="115">
      <formula>DQ$11=TODAY()</formula>
    </cfRule>
  </conditionalFormatting>
  <conditionalFormatting sqref="DQ14:DT40 DR47:DT47 DQ41:DQ46 DS41:DT46">
    <cfRule type="expression" dxfId="830" priority="116">
      <formula>DQ$12="CN"</formula>
    </cfRule>
  </conditionalFormatting>
  <conditionalFormatting sqref="DQ47">
    <cfRule type="expression" dxfId="829" priority="113">
      <formula>DQ$11=TODAY()</formula>
    </cfRule>
  </conditionalFormatting>
  <conditionalFormatting sqref="DQ47">
    <cfRule type="expression" dxfId="828" priority="114">
      <formula>DQ$12="CN"</formula>
    </cfRule>
  </conditionalFormatting>
  <conditionalFormatting sqref="DR41:DR46">
    <cfRule type="expression" dxfId="827" priority="111">
      <formula>DR$11=TODAY()</formula>
    </cfRule>
  </conditionalFormatting>
  <conditionalFormatting sqref="DR41:DR46">
    <cfRule type="expression" dxfId="826" priority="112">
      <formula>DR$12="CN"</formula>
    </cfRule>
  </conditionalFormatting>
  <conditionalFormatting sqref="DU48:DX48">
    <cfRule type="expression" dxfId="825" priority="109">
      <formula>DU$11=TODAY()</formula>
    </cfRule>
  </conditionalFormatting>
  <conditionalFormatting sqref="DU48:DX48">
    <cfRule type="expression" dxfId="824" priority="110">
      <formula>DU$12="CN"</formula>
    </cfRule>
  </conditionalFormatting>
  <conditionalFormatting sqref="DU14:DX40 DV47:DX47 DU41:DU46 DW41:DX46">
    <cfRule type="expression" dxfId="823" priority="107">
      <formula>DU$11=TODAY()</formula>
    </cfRule>
  </conditionalFormatting>
  <conditionalFormatting sqref="DU14:DX40 DV47:DX47 DU41:DU46 DW41:DX46">
    <cfRule type="expression" dxfId="822" priority="108">
      <formula>DU$12="CN"</formula>
    </cfRule>
  </conditionalFormatting>
  <conditionalFormatting sqref="DU47">
    <cfRule type="expression" dxfId="821" priority="105">
      <formula>DU$11=TODAY()</formula>
    </cfRule>
  </conditionalFormatting>
  <conditionalFormatting sqref="DU47">
    <cfRule type="expression" dxfId="820" priority="106">
      <formula>DU$12="CN"</formula>
    </cfRule>
  </conditionalFormatting>
  <conditionalFormatting sqref="DV41:DV46">
    <cfRule type="expression" dxfId="819" priority="103">
      <formula>DV$11=TODAY()</formula>
    </cfRule>
  </conditionalFormatting>
  <conditionalFormatting sqref="DV41:DV46">
    <cfRule type="expression" dxfId="818" priority="104">
      <formula>DV$12="CN"</formula>
    </cfRule>
  </conditionalFormatting>
  <conditionalFormatting sqref="DY48:EB48">
    <cfRule type="expression" dxfId="817" priority="101">
      <formula>DY$11=TODAY()</formula>
    </cfRule>
  </conditionalFormatting>
  <conditionalFormatting sqref="DY48:EB48">
    <cfRule type="expression" dxfId="816" priority="102">
      <formula>DY$12="CN"</formula>
    </cfRule>
  </conditionalFormatting>
  <conditionalFormatting sqref="DY14:EB40 DZ47:EB47 DY41:DY46 EA41:EB46">
    <cfRule type="expression" dxfId="815" priority="99">
      <formula>DY$11=TODAY()</formula>
    </cfRule>
  </conditionalFormatting>
  <conditionalFormatting sqref="DY14:EB40 DZ47:EB47 DY41:DY46 EA41:EB46">
    <cfRule type="expression" dxfId="814" priority="100">
      <formula>DY$12="CN"</formula>
    </cfRule>
  </conditionalFormatting>
  <conditionalFormatting sqref="DY47">
    <cfRule type="expression" dxfId="813" priority="97">
      <formula>DY$11=TODAY()</formula>
    </cfRule>
  </conditionalFormatting>
  <conditionalFormatting sqref="DY47">
    <cfRule type="expression" dxfId="812" priority="98">
      <formula>DY$12="CN"</formula>
    </cfRule>
  </conditionalFormatting>
  <conditionalFormatting sqref="DZ41:DZ46">
    <cfRule type="expression" dxfId="811" priority="95">
      <formula>DZ$11=TODAY()</formula>
    </cfRule>
  </conditionalFormatting>
  <conditionalFormatting sqref="DZ41:DZ46">
    <cfRule type="expression" dxfId="810" priority="96">
      <formula>DZ$12="CN"</formula>
    </cfRule>
  </conditionalFormatting>
  <conditionalFormatting sqref="EC48:EF48">
    <cfRule type="expression" dxfId="809" priority="93">
      <formula>EC$11=TODAY()</formula>
    </cfRule>
  </conditionalFormatting>
  <conditionalFormatting sqref="EC48:EF48">
    <cfRule type="expression" dxfId="808" priority="94">
      <formula>EC$12="CN"</formula>
    </cfRule>
  </conditionalFormatting>
  <conditionalFormatting sqref="EC14:EF40 ED47:EF47 EC41:EC46 EE41:EF46">
    <cfRule type="expression" dxfId="807" priority="91">
      <formula>EC$11=TODAY()</formula>
    </cfRule>
  </conditionalFormatting>
  <conditionalFormatting sqref="EC14:EF40 ED47:EF47 EC41:EC46 EE41:EF46">
    <cfRule type="expression" dxfId="806" priority="92">
      <formula>EC$12="CN"</formula>
    </cfRule>
  </conditionalFormatting>
  <conditionalFormatting sqref="EC47">
    <cfRule type="expression" dxfId="805" priority="89">
      <formula>EC$11=TODAY()</formula>
    </cfRule>
  </conditionalFormatting>
  <conditionalFormatting sqref="EC47">
    <cfRule type="expression" dxfId="804" priority="90">
      <formula>EC$12="CN"</formula>
    </cfRule>
  </conditionalFormatting>
  <conditionalFormatting sqref="ED41:ED46">
    <cfRule type="expression" dxfId="803" priority="87">
      <formula>ED$11=TODAY()</formula>
    </cfRule>
  </conditionalFormatting>
  <conditionalFormatting sqref="ED41:ED46">
    <cfRule type="expression" dxfId="802" priority="88">
      <formula>ED$12="CN"</formula>
    </cfRule>
  </conditionalFormatting>
  <conditionalFormatting sqref="R41:R45">
    <cfRule type="expression" dxfId="801" priority="85">
      <formula>R$11=TODAY()</formula>
    </cfRule>
  </conditionalFormatting>
  <conditionalFormatting sqref="R41:R45">
    <cfRule type="expression" dxfId="800" priority="86">
      <formula>R$12="CN"</formula>
    </cfRule>
  </conditionalFormatting>
  <conditionalFormatting sqref="V47 U41:U46">
    <cfRule type="expression" dxfId="799" priority="83">
      <formula>U$11=TODAY()</formula>
    </cfRule>
  </conditionalFormatting>
  <conditionalFormatting sqref="V47 U41:U46">
    <cfRule type="expression" dxfId="798" priority="84">
      <formula>U$12="CN"</formula>
    </cfRule>
  </conditionalFormatting>
  <conditionalFormatting sqref="U47">
    <cfRule type="expression" dxfId="797" priority="81">
      <formula>U$11=TODAY()</formula>
    </cfRule>
  </conditionalFormatting>
  <conditionalFormatting sqref="U47">
    <cfRule type="expression" dxfId="796" priority="82">
      <formula>U$12="CN"</formula>
    </cfRule>
  </conditionalFormatting>
  <conditionalFormatting sqref="V46">
    <cfRule type="expression" dxfId="795" priority="79">
      <formula>V$11=TODAY()</formula>
    </cfRule>
  </conditionalFormatting>
  <conditionalFormatting sqref="V46">
    <cfRule type="expression" dxfId="794" priority="80">
      <formula>V$12="CN"</formula>
    </cfRule>
  </conditionalFormatting>
  <conditionalFormatting sqref="V41:V45">
    <cfRule type="expression" dxfId="793" priority="77">
      <formula>V$11=TODAY()</formula>
    </cfRule>
  </conditionalFormatting>
  <conditionalFormatting sqref="V41:V45">
    <cfRule type="expression" dxfId="792" priority="78">
      <formula>V$12="CN"</formula>
    </cfRule>
  </conditionalFormatting>
  <conditionalFormatting sqref="Z47 Y41:Y46">
    <cfRule type="expression" dxfId="791" priority="75">
      <formula>Y$11=TODAY()</formula>
    </cfRule>
  </conditionalFormatting>
  <conditionalFormatting sqref="Z47 Y41:Y46">
    <cfRule type="expression" dxfId="790" priority="76">
      <formula>Y$12="CN"</formula>
    </cfRule>
  </conditionalFormatting>
  <conditionalFormatting sqref="Y47">
    <cfRule type="expression" dxfId="789" priority="73">
      <formula>Y$11=TODAY()</formula>
    </cfRule>
  </conditionalFormatting>
  <conditionalFormatting sqref="Y47">
    <cfRule type="expression" dxfId="788" priority="74">
      <formula>Y$12="CN"</formula>
    </cfRule>
  </conditionalFormatting>
  <conditionalFormatting sqref="Z46">
    <cfRule type="expression" dxfId="787" priority="71">
      <formula>Z$11=TODAY()</formula>
    </cfRule>
  </conditionalFormatting>
  <conditionalFormatting sqref="Z46">
    <cfRule type="expression" dxfId="786" priority="72">
      <formula>Z$12="CN"</formula>
    </cfRule>
  </conditionalFormatting>
  <conditionalFormatting sqref="AC47">
    <cfRule type="expression" dxfId="785" priority="65">
      <formula>AC$11=TODAY()</formula>
    </cfRule>
  </conditionalFormatting>
  <conditionalFormatting sqref="AC47">
    <cfRule type="expression" dxfId="784" priority="66">
      <formula>AC$12="CN"</formula>
    </cfRule>
  </conditionalFormatting>
  <conditionalFormatting sqref="AD47 AC41:AC46">
    <cfRule type="expression" dxfId="783" priority="67">
      <formula>AC$11=TODAY()</formula>
    </cfRule>
  </conditionalFormatting>
  <conditionalFormatting sqref="AD47 AC41:AC46">
    <cfRule type="expression" dxfId="782" priority="68">
      <formula>AC$12="CN"</formula>
    </cfRule>
  </conditionalFormatting>
  <conditionalFormatting sqref="AD46">
    <cfRule type="expression" dxfId="781" priority="63">
      <formula>AD$11=TODAY()</formula>
    </cfRule>
  </conditionalFormatting>
  <conditionalFormatting sqref="AD46">
    <cfRule type="expression" dxfId="780" priority="64">
      <formula>AD$12="CN"</formula>
    </cfRule>
  </conditionalFormatting>
  <conditionalFormatting sqref="AH47 AG41:AG46">
    <cfRule type="expression" dxfId="779" priority="59">
      <formula>AG$11=TODAY()</formula>
    </cfRule>
  </conditionalFormatting>
  <conditionalFormatting sqref="AH47 AG41:AG46">
    <cfRule type="expression" dxfId="778" priority="60">
      <formula>AG$12="CN"</formula>
    </cfRule>
  </conditionalFormatting>
  <conditionalFormatting sqref="AG47">
    <cfRule type="expression" dxfId="777" priority="57">
      <formula>AG$11=TODAY()</formula>
    </cfRule>
  </conditionalFormatting>
  <conditionalFormatting sqref="AG47">
    <cfRule type="expression" dxfId="776" priority="58">
      <formula>AG$12="CN"</formula>
    </cfRule>
  </conditionalFormatting>
  <conditionalFormatting sqref="AH46">
    <cfRule type="expression" dxfId="775" priority="55">
      <formula>AH$11=TODAY()</formula>
    </cfRule>
  </conditionalFormatting>
  <conditionalFormatting sqref="AH46">
    <cfRule type="expression" dxfId="774" priority="56">
      <formula>AH$12="CN"</formula>
    </cfRule>
  </conditionalFormatting>
  <conditionalFormatting sqref="AH41:AH45">
    <cfRule type="expression" dxfId="773" priority="53">
      <formula>AH$11=TODAY()</formula>
    </cfRule>
  </conditionalFormatting>
  <conditionalFormatting sqref="AH41:AH45">
    <cfRule type="expression" dxfId="772" priority="54">
      <formula>AH$12="CN"</formula>
    </cfRule>
  </conditionalFormatting>
  <conditionalFormatting sqref="AL47 AK41:AK46">
    <cfRule type="expression" dxfId="771" priority="51">
      <formula>AK$11=TODAY()</formula>
    </cfRule>
  </conditionalFormatting>
  <conditionalFormatting sqref="AL47 AK41:AK46">
    <cfRule type="expression" dxfId="770" priority="52">
      <formula>AK$12="CN"</formula>
    </cfRule>
  </conditionalFormatting>
  <conditionalFormatting sqref="AK47">
    <cfRule type="expression" dxfId="769" priority="49">
      <formula>AK$11=TODAY()</formula>
    </cfRule>
  </conditionalFormatting>
  <conditionalFormatting sqref="AK47">
    <cfRule type="expression" dxfId="768" priority="50">
      <formula>AK$12="CN"</formula>
    </cfRule>
  </conditionalFormatting>
  <conditionalFormatting sqref="AL46">
    <cfRule type="expression" dxfId="767" priority="47">
      <formula>AL$11=TODAY()</formula>
    </cfRule>
  </conditionalFormatting>
  <conditionalFormatting sqref="AL46">
    <cfRule type="expression" dxfId="766" priority="48">
      <formula>AL$12="CN"</formula>
    </cfRule>
  </conditionalFormatting>
  <conditionalFormatting sqref="AL41:AL45">
    <cfRule type="expression" dxfId="765" priority="45">
      <formula>AL$11=TODAY()</formula>
    </cfRule>
  </conditionalFormatting>
  <conditionalFormatting sqref="AL41:AL45">
    <cfRule type="expression" dxfId="764" priority="46">
      <formula>AL$12="CN"</formula>
    </cfRule>
  </conditionalFormatting>
  <conditionalFormatting sqref="AP47 AO41:AO46">
    <cfRule type="expression" dxfId="763" priority="43">
      <formula>AO$11=TODAY()</formula>
    </cfRule>
  </conditionalFormatting>
  <conditionalFormatting sqref="AP47 AO41:AO46">
    <cfRule type="expression" dxfId="762" priority="44">
      <formula>AO$12="CN"</formula>
    </cfRule>
  </conditionalFormatting>
  <conditionalFormatting sqref="AO47">
    <cfRule type="expression" dxfId="761" priority="41">
      <formula>AO$11=TODAY()</formula>
    </cfRule>
  </conditionalFormatting>
  <conditionalFormatting sqref="AO47">
    <cfRule type="expression" dxfId="760" priority="42">
      <formula>AO$12="CN"</formula>
    </cfRule>
  </conditionalFormatting>
  <conditionalFormatting sqref="AP46">
    <cfRule type="expression" dxfId="759" priority="39">
      <formula>AP$11=TODAY()</formula>
    </cfRule>
  </conditionalFormatting>
  <conditionalFormatting sqref="AP46">
    <cfRule type="expression" dxfId="758" priority="40">
      <formula>AP$12="CN"</formula>
    </cfRule>
  </conditionalFormatting>
  <conditionalFormatting sqref="AP41:AP45">
    <cfRule type="expression" dxfId="757" priority="37">
      <formula>AP$11=TODAY()</formula>
    </cfRule>
  </conditionalFormatting>
  <conditionalFormatting sqref="AP41:AP45">
    <cfRule type="expression" dxfId="756" priority="38">
      <formula>AP$12="CN"</formula>
    </cfRule>
  </conditionalFormatting>
  <conditionalFormatting sqref="AT47 AS41:AS46">
    <cfRule type="expression" dxfId="755" priority="35">
      <formula>AS$11=TODAY()</formula>
    </cfRule>
  </conditionalFormatting>
  <conditionalFormatting sqref="AT47 AS41:AS46">
    <cfRule type="expression" dxfId="754" priority="36">
      <formula>AS$12="CN"</formula>
    </cfRule>
  </conditionalFormatting>
  <conditionalFormatting sqref="AS47">
    <cfRule type="expression" dxfId="753" priority="33">
      <formula>AS$11=TODAY()</formula>
    </cfRule>
  </conditionalFormatting>
  <conditionalFormatting sqref="AS47">
    <cfRule type="expression" dxfId="752" priority="34">
      <formula>AS$12="CN"</formula>
    </cfRule>
  </conditionalFormatting>
  <conditionalFormatting sqref="AT46">
    <cfRule type="expression" dxfId="751" priority="31">
      <formula>AT$11=TODAY()</formula>
    </cfRule>
  </conditionalFormatting>
  <conditionalFormatting sqref="AT46">
    <cfRule type="expression" dxfId="750" priority="32">
      <formula>AT$12="CN"</formula>
    </cfRule>
  </conditionalFormatting>
  <conditionalFormatting sqref="AT41:AT45">
    <cfRule type="expression" dxfId="749" priority="29">
      <formula>AT$11=TODAY()</formula>
    </cfRule>
  </conditionalFormatting>
  <conditionalFormatting sqref="AT41:AT45">
    <cfRule type="expression" dxfId="748" priority="30">
      <formula>AT$12="CN"</formula>
    </cfRule>
  </conditionalFormatting>
  <conditionalFormatting sqref="AX47 AW41:AW46">
    <cfRule type="expression" dxfId="747" priority="27">
      <formula>AW$11=TODAY()</formula>
    </cfRule>
  </conditionalFormatting>
  <conditionalFormatting sqref="AX47 AW41:AW46">
    <cfRule type="expression" dxfId="746" priority="28">
      <formula>AW$12="CN"</formula>
    </cfRule>
  </conditionalFormatting>
  <conditionalFormatting sqref="AW47">
    <cfRule type="expression" dxfId="745" priority="25">
      <formula>AW$11=TODAY()</formula>
    </cfRule>
  </conditionalFormatting>
  <conditionalFormatting sqref="AW47">
    <cfRule type="expression" dxfId="744" priority="26">
      <formula>AW$12="CN"</formula>
    </cfRule>
  </conditionalFormatting>
  <conditionalFormatting sqref="AX46">
    <cfRule type="expression" dxfId="743" priority="23">
      <formula>AX$11=TODAY()</formula>
    </cfRule>
  </conditionalFormatting>
  <conditionalFormatting sqref="AX46">
    <cfRule type="expression" dxfId="742" priority="24">
      <formula>AX$12="CN"</formula>
    </cfRule>
  </conditionalFormatting>
  <conditionalFormatting sqref="AX41:AX45">
    <cfRule type="expression" dxfId="741" priority="21">
      <formula>AX$11=TODAY()</formula>
    </cfRule>
  </conditionalFormatting>
  <conditionalFormatting sqref="AX41:AX45">
    <cfRule type="expression" dxfId="740" priority="22">
      <formula>AX$12="CN"</formula>
    </cfRule>
  </conditionalFormatting>
  <conditionalFormatting sqref="BB47 BA41:BA46">
    <cfRule type="expression" dxfId="739" priority="19">
      <formula>BA$11=TODAY()</formula>
    </cfRule>
  </conditionalFormatting>
  <conditionalFormatting sqref="BB47 BA41:BA46">
    <cfRule type="expression" dxfId="738" priority="20">
      <formula>BA$12="CN"</formula>
    </cfRule>
  </conditionalFormatting>
  <conditionalFormatting sqref="BA47">
    <cfRule type="expression" dxfId="737" priority="17">
      <formula>BA$11=TODAY()</formula>
    </cfRule>
  </conditionalFormatting>
  <conditionalFormatting sqref="BA47">
    <cfRule type="expression" dxfId="736" priority="18">
      <formula>BA$12="CN"</formula>
    </cfRule>
  </conditionalFormatting>
  <conditionalFormatting sqref="BB46">
    <cfRule type="expression" dxfId="735" priority="15">
      <formula>BB$11=TODAY()</formula>
    </cfRule>
  </conditionalFormatting>
  <conditionalFormatting sqref="BB46">
    <cfRule type="expression" dxfId="734" priority="16">
      <formula>BB$12="CN"</formula>
    </cfRule>
  </conditionalFormatting>
  <conditionalFormatting sqref="BB41:BB45">
    <cfRule type="expression" dxfId="733" priority="13">
      <formula>BB$11=TODAY()</formula>
    </cfRule>
  </conditionalFormatting>
  <conditionalFormatting sqref="BB41:BB45">
    <cfRule type="expression" dxfId="732" priority="14">
      <formula>BB$12="CN"</formula>
    </cfRule>
  </conditionalFormatting>
  <conditionalFormatting sqref="BF47 BE41:BE46">
    <cfRule type="expression" dxfId="731" priority="11">
      <formula>BE$11=TODAY()</formula>
    </cfRule>
  </conditionalFormatting>
  <conditionalFormatting sqref="BF47 BE41:BE46">
    <cfRule type="expression" dxfId="730" priority="12">
      <formula>BE$12="CN"</formula>
    </cfRule>
  </conditionalFormatting>
  <conditionalFormatting sqref="BE47">
    <cfRule type="expression" dxfId="729" priority="9">
      <formula>BE$11=TODAY()</formula>
    </cfRule>
  </conditionalFormatting>
  <conditionalFormatting sqref="BE47">
    <cfRule type="expression" dxfId="728" priority="10">
      <formula>BE$12="CN"</formula>
    </cfRule>
  </conditionalFormatting>
  <conditionalFormatting sqref="BF46">
    <cfRule type="expression" dxfId="727" priority="7">
      <formula>BF$11=TODAY()</formula>
    </cfRule>
  </conditionalFormatting>
  <conditionalFormatting sqref="BF46">
    <cfRule type="expression" dxfId="726" priority="8">
      <formula>BF$12="CN"</formula>
    </cfRule>
  </conditionalFormatting>
  <conditionalFormatting sqref="BF41:BF45">
    <cfRule type="expression" dxfId="725" priority="5">
      <formula>BF$11=TODAY()</formula>
    </cfRule>
  </conditionalFormatting>
  <conditionalFormatting sqref="BF41:BF45">
    <cfRule type="expression" dxfId="724" priority="6">
      <formula>BF$12="CN"</formula>
    </cfRule>
  </conditionalFormatting>
  <conditionalFormatting sqref="Z41:Z45">
    <cfRule type="expression" dxfId="723" priority="3">
      <formula>Z$11=TODAY()</formula>
    </cfRule>
  </conditionalFormatting>
  <conditionalFormatting sqref="Z41:Z45">
    <cfRule type="expression" dxfId="722" priority="4">
      <formula>Z$12="CN"</formula>
    </cfRule>
  </conditionalFormatting>
  <conditionalFormatting sqref="AD41:AD45">
    <cfRule type="expression" dxfId="721" priority="1">
      <formula>AD$11=TODAY()</formula>
    </cfRule>
  </conditionalFormatting>
  <conditionalFormatting sqref="AD41:AD45">
    <cfRule type="expression" dxfId="720" priority="2">
      <formula>AD$12="CN"</formula>
    </cfRule>
  </conditionalFormatting>
  <dataValidations count="1">
    <dataValidation type="list" allowBlank="1" showInputMessage="1" showErrorMessage="1" sqref="E3:H3 M9 Q9 U9 Y9 AC9 AG9 AK9 AO9 AS9 AW9 BA9 BE9 BI9 BM9 BQ9 BU9 BY9 CC9 CG9 CK9 CO9 CS9 CW9 DA9 DE9 DI9 DM9 DQ9 DU9 DY9 EC9" xr:uid="{3D1538C2-1D31-ED46-86F5-C5FCC098C4CF}">
      <formula1>"TRUE, FALSE"</formula1>
    </dataValidation>
  </dataValidations>
  <pageMargins left="0.7" right="0.7" top="0.75" bottom="0.75" header="0.3" footer="0.3"/>
  <tableParts count="29">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144E1-DD1A-144E-912C-232828813BCE}">
  <sheetPr>
    <outlinePr summaryBelow="0" summaryRight="0"/>
  </sheetPr>
  <dimension ref="A1:EG166"/>
  <sheetViews>
    <sheetView zoomScaleNormal="100" workbookViewId="0">
      <pane xSplit="3" topLeftCell="D1" activePane="topRight" state="frozen"/>
      <selection pane="topRight" activeCell="H45" sqref="H45"/>
    </sheetView>
  </sheetViews>
  <sheetFormatPr baseColWidth="10" defaultColWidth="12.6640625" defaultRowHeight="15.75" customHeight="1" x14ac:dyDescent="0.15"/>
  <cols>
    <col min="1" max="1" width="26.33203125" style="979" customWidth="1"/>
    <col min="2" max="2" width="40.5" style="979" customWidth="1"/>
    <col min="3" max="4" width="29.33203125" style="979" customWidth="1"/>
    <col min="5" max="5" width="18.1640625" style="979" customWidth="1"/>
    <col min="6" max="6" width="17" style="979" customWidth="1"/>
    <col min="7" max="7" width="12.33203125" style="979" customWidth="1"/>
    <col min="8" max="8" width="19.33203125" style="979" customWidth="1"/>
    <col min="9" max="9" width="21.6640625" style="979" customWidth="1"/>
    <col min="10" max="10" width="24.1640625" style="979" customWidth="1"/>
    <col min="11" max="11" width="19.5" style="979" customWidth="1"/>
    <col min="12" max="12" width="21.33203125" style="979" customWidth="1"/>
    <col min="13" max="136" width="15.83203125" style="979" customWidth="1"/>
    <col min="137" max="16384" width="12.6640625" style="979"/>
  </cols>
  <sheetData>
    <row r="1" spans="1:136" ht="30" customHeight="1" x14ac:dyDescent="0.25">
      <c r="A1" s="1385" t="s">
        <v>190</v>
      </c>
      <c r="B1" s="1386"/>
      <c r="C1" s="1386"/>
      <c r="D1" s="16"/>
      <c r="E1" s="16"/>
      <c r="F1" s="80"/>
      <c r="G1" s="80"/>
      <c r="H1" s="80"/>
      <c r="I1" s="80"/>
      <c r="J1" s="80"/>
      <c r="K1" s="80"/>
      <c r="L1" s="874"/>
      <c r="M1" s="903">
        <f>M8-($D$15+$D$16)</f>
        <v>-337.90240474703307</v>
      </c>
      <c r="N1" s="877">
        <f>N8-(N2*$I$20+N3*$I$26+N4*$I$32+N5*I$35+N6*I$36+N7*I$39)</f>
        <v>29.385416666666668</v>
      </c>
      <c r="O1" s="1099">
        <f>O8-$I$19</f>
        <v>0.6004528985507247</v>
      </c>
      <c r="P1" s="880">
        <f>P8-$K$19</f>
        <v>-1607692.307692308</v>
      </c>
      <c r="Q1" s="903">
        <f t="shared" ref="Q1" si="0">Q8-($D$15+$D$16)</f>
        <v>-337.90240474703307</v>
      </c>
      <c r="R1" s="877">
        <f t="shared" ref="R1" si="1">R8-(R2*$I$20+R3*$I$26+R4*$I$32+R5*M$35+R6*M$36+R7*M$39)</f>
        <v>9.1875</v>
      </c>
      <c r="S1" s="1099">
        <f t="shared" ref="S1" si="2">S8-$I$19</f>
        <v>0.6004528985507247</v>
      </c>
      <c r="T1" s="880">
        <f t="shared" ref="T1" si="3">T8-$K$19</f>
        <v>-1607692.307692308</v>
      </c>
      <c r="U1" s="903">
        <f t="shared" ref="U1" si="4">U8-($D$15+$D$16)</f>
        <v>-337.90240474703307</v>
      </c>
      <c r="V1" s="877">
        <f t="shared" ref="V1" si="5">V8-(V2*$I$20+V3*$I$26+V4*$I$32+V5*Q$35+V6*Q$36+V7*Q$39)</f>
        <v>9.1875</v>
      </c>
      <c r="W1" s="1099">
        <f t="shared" ref="W1" si="6">W8-$I$19</f>
        <v>0.6004528985507247</v>
      </c>
      <c r="X1" s="880">
        <f t="shared" ref="X1" si="7">X8-$K$19</f>
        <v>-1607692.307692308</v>
      </c>
      <c r="Y1" s="903">
        <f t="shared" ref="Y1" si="8">Y8-($D$15+$D$16)</f>
        <v>-337.90240474703307</v>
      </c>
      <c r="Z1" s="877">
        <f t="shared" ref="Z1" si="9">Z8-(Z2*$I$20+Z3*$I$26+Z4*$I$32+Z5*U$35+Z6*U$36+Z7*U$39)</f>
        <v>9.1875</v>
      </c>
      <c r="AA1" s="1099">
        <f t="shared" ref="AA1" si="10">AA8-$I$19</f>
        <v>0.6004528985507247</v>
      </c>
      <c r="AB1" s="880">
        <f t="shared" ref="AB1" si="11">AB8-$K$19</f>
        <v>-1607692.307692308</v>
      </c>
      <c r="AC1" s="903">
        <f t="shared" ref="AC1" si="12">AC8-($D$15+$D$16)</f>
        <v>-337.90240474703307</v>
      </c>
      <c r="AD1" s="877">
        <f t="shared" ref="AD1" si="13">AD8-(AD2*$I$20+AD3*$I$26+AD4*$I$32+AD5*Y$35+AD6*Y$36+AD7*Y$39)</f>
        <v>9.1875</v>
      </c>
      <c r="AE1" s="1099">
        <f t="shared" ref="AE1" si="14">AE8-$I$19</f>
        <v>0.6004528985507247</v>
      </c>
      <c r="AF1" s="880">
        <f t="shared" ref="AF1" si="15">AF8-$K$19</f>
        <v>-1607692.307692308</v>
      </c>
      <c r="AG1" s="903">
        <f t="shared" ref="AG1" si="16">AG8-($D$15+$D$16)</f>
        <v>-337.90240474703307</v>
      </c>
      <c r="AH1" s="877">
        <f t="shared" ref="AH1" si="17">AH8-(AH2*$I$20+AH3*$I$26+AH4*$I$32+AH5*AC$35+AH6*AC$36+AH7*AC$39)</f>
        <v>9.1875</v>
      </c>
      <c r="AI1" s="1099">
        <f t="shared" ref="AI1" si="18">AI8-$I$19</f>
        <v>0.6004528985507247</v>
      </c>
      <c r="AJ1" s="880">
        <f t="shared" ref="AJ1" si="19">AJ8-$K$19</f>
        <v>-1607692.307692308</v>
      </c>
      <c r="AK1" s="903">
        <f t="shared" ref="AK1" si="20">AK8-($D$15+$D$16)</f>
        <v>-337.90240474703307</v>
      </c>
      <c r="AL1" s="877">
        <f t="shared" ref="AL1" si="21">AL8-(AL2*$I$20+AL3*$I$26+AL4*$I$32+AL5*AG$35+AL6*AG$36+AL7*AG$39)</f>
        <v>9.1875</v>
      </c>
      <c r="AM1" s="1099">
        <f t="shared" ref="AM1" si="22">AM8-$I$19</f>
        <v>0.6004528985507247</v>
      </c>
      <c r="AN1" s="880">
        <f t="shared" ref="AN1" si="23">AN8-$K$19</f>
        <v>-1607692.307692308</v>
      </c>
      <c r="AO1" s="903">
        <f t="shared" ref="AO1" si="24">AO8-($D$15+$D$16)</f>
        <v>-337.90240474703307</v>
      </c>
      <c r="AP1" s="877">
        <f t="shared" ref="AP1" si="25">AP8-(AP2*$I$20+AP3*$I$26+AP4*$I$32+AP5*AK$35+AP6*AK$36+AP7*AK$39)</f>
        <v>9.1875</v>
      </c>
      <c r="AQ1" s="1099">
        <f t="shared" ref="AQ1" si="26">AQ8-$I$19</f>
        <v>0.6004528985507247</v>
      </c>
      <c r="AR1" s="880">
        <f t="shared" ref="AR1" si="27">AR8-$K$19</f>
        <v>-1607692.307692308</v>
      </c>
      <c r="AS1" s="903">
        <f t="shared" ref="AS1" si="28">AS8-($D$15+$D$16)</f>
        <v>-337.90240474703307</v>
      </c>
      <c r="AT1" s="877">
        <f t="shared" ref="AT1" si="29">AT8-(AT2*$I$20+AT3*$I$26+AT4*$I$32+AT5*AO$35+AT6*AO$36+AT7*AO$39)</f>
        <v>9.1875</v>
      </c>
      <c r="AU1" s="1099">
        <f t="shared" ref="AU1" si="30">AU8-$I$19</f>
        <v>0.6004528985507247</v>
      </c>
      <c r="AV1" s="880">
        <f t="shared" ref="AV1" si="31">AV8-$K$19</f>
        <v>-1607692.307692308</v>
      </c>
      <c r="AW1" s="903">
        <f t="shared" ref="AW1" si="32">AW8-($D$15+$D$16)</f>
        <v>-337.90240474703307</v>
      </c>
      <c r="AX1" s="877">
        <f t="shared" ref="AX1" si="33">AX8-(AX2*$I$20+AX3*$I$26+AX4*$I$32+AX5*AS$35+AX6*AS$36+AX7*AS$39)</f>
        <v>9.1875</v>
      </c>
      <c r="AY1" s="1099">
        <f t="shared" ref="AY1" si="34">AY8-$I$19</f>
        <v>0.6004528985507247</v>
      </c>
      <c r="AZ1" s="880">
        <f t="shared" ref="AZ1" si="35">AZ8-$K$19</f>
        <v>-1607692.307692308</v>
      </c>
      <c r="BA1" s="903">
        <f t="shared" ref="BA1" si="36">BA8-($D$15+$D$16)</f>
        <v>-337.90240474703307</v>
      </c>
      <c r="BB1" s="877">
        <f t="shared" ref="BB1" si="37">BB8-(BB2*$I$20+BB3*$I$26+BB4*$I$32+BB5*AW$35+BB6*AW$36+BB7*AW$39)</f>
        <v>9.1875</v>
      </c>
      <c r="BC1" s="1099">
        <f t="shared" ref="BC1" si="38">BC8-$I$19</f>
        <v>0.6004528985507247</v>
      </c>
      <c r="BD1" s="880">
        <f t="shared" ref="BD1" si="39">BD8-$K$19</f>
        <v>-1607692.307692308</v>
      </c>
      <c r="BE1" s="903">
        <f t="shared" ref="BE1" si="40">BE8-($D$15+$D$16)</f>
        <v>-337.90240474703307</v>
      </c>
      <c r="BF1" s="877">
        <f t="shared" ref="BF1" si="41">BF8-(BF2*$I$20+BF3*$I$26+BF4*$I$32+BF5*BA$35+BF6*BA$36+BF7*BA$39)</f>
        <v>9.1875</v>
      </c>
      <c r="BG1" s="1099">
        <f t="shared" ref="BG1" si="42">BG8-$I$19</f>
        <v>0.6004528985507247</v>
      </c>
      <c r="BH1" s="880">
        <f t="shared" ref="BH1" si="43">BH8-$K$19</f>
        <v>-1607692.307692308</v>
      </c>
      <c r="BI1" s="903">
        <f t="shared" ref="BI1" si="44">BI8-($D$15+$D$16)</f>
        <v>-337.90240474703307</v>
      </c>
      <c r="BJ1" s="877">
        <f t="shared" ref="BJ1" si="45">BJ8-(BJ2*$I$20+BJ3*$I$26+BJ4*$I$32+BJ5*BE$35+BJ6*BE$36+BJ7*BE$39)</f>
        <v>9.1875</v>
      </c>
      <c r="BK1" s="1099">
        <f t="shared" ref="BK1" si="46">BK8-$I$19</f>
        <v>0.6004528985507247</v>
      </c>
      <c r="BL1" s="880">
        <f t="shared" ref="BL1" si="47">BL8-$K$19</f>
        <v>-1607692.307692308</v>
      </c>
      <c r="BM1" s="903">
        <f t="shared" ref="BM1" si="48">BM8-($D$15+$D$16)</f>
        <v>-337.90240474703307</v>
      </c>
      <c r="BN1" s="877">
        <f t="shared" ref="BN1" si="49">BN8-(BN2*$I$20+BN3*$I$26+BN4*$I$32+BN5*BI$35+BN6*BI$36+BN7*BI$39)</f>
        <v>9.1875</v>
      </c>
      <c r="BO1" s="1099">
        <f t="shared" ref="BO1" si="50">BO8-$I$19</f>
        <v>0.6004528985507247</v>
      </c>
      <c r="BP1" s="880">
        <f t="shared" ref="BP1" si="51">BP8-$K$19</f>
        <v>-1607692.307692308</v>
      </c>
      <c r="BQ1" s="903">
        <f t="shared" ref="BQ1" si="52">BQ8-($D$15+$D$16)</f>
        <v>-337.90240474703307</v>
      </c>
      <c r="BR1" s="877">
        <f t="shared" ref="BR1" si="53">BR8-(BR2*$I$20+BR3*$I$26+BR4*$I$32+BR5*BM$35+BR6*BM$36+BR7*BM$39)</f>
        <v>9.1875</v>
      </c>
      <c r="BS1" s="1099">
        <f t="shared" ref="BS1" si="54">BS8-$I$19</f>
        <v>0.6004528985507247</v>
      </c>
      <c r="BT1" s="880">
        <f t="shared" ref="BT1" si="55">BT8-$K$19</f>
        <v>-1607692.307692308</v>
      </c>
      <c r="BU1" s="903">
        <f t="shared" ref="BU1" si="56">BU8-($D$15+$D$16)</f>
        <v>-337.90240474703307</v>
      </c>
      <c r="BV1" s="877">
        <f t="shared" ref="BV1" si="57">BV8-(BV2*$I$20+BV3*$I$26+BV4*$I$32+BV5*BQ$35+BV6*BQ$36+BV7*BQ$39)</f>
        <v>9.1875</v>
      </c>
      <c r="BW1" s="1099">
        <f t="shared" ref="BW1" si="58">BW8-$I$19</f>
        <v>0.6004528985507247</v>
      </c>
      <c r="BX1" s="880">
        <f t="shared" ref="BX1" si="59">BX8-$K$19</f>
        <v>-1607692.307692308</v>
      </c>
      <c r="BY1" s="903">
        <f t="shared" ref="BY1" si="60">BY8-($D$15+$D$16)</f>
        <v>-337.90240474703307</v>
      </c>
      <c r="BZ1" s="877">
        <f t="shared" ref="BZ1" si="61">BZ8-(BZ2*$I$20+BZ3*$I$26+BZ4*$I$32+BZ5*BU$35+BZ6*BU$36+BZ7*BU$39)</f>
        <v>9.1875</v>
      </c>
      <c r="CA1" s="1099">
        <f t="shared" ref="CA1" si="62">CA8-$I$19</f>
        <v>0.6004528985507247</v>
      </c>
      <c r="CB1" s="880">
        <f t="shared" ref="CB1" si="63">CB8-$K$19</f>
        <v>-1607692.307692308</v>
      </c>
      <c r="CC1" s="903">
        <f t="shared" ref="CC1" si="64">CC8-($D$15+$D$16)</f>
        <v>-337.90240474703307</v>
      </c>
      <c r="CD1" s="877">
        <f t="shared" ref="CD1" si="65">CD8-(CD2*$I$20+CD3*$I$26+CD4*$I$32+CD5*BY$35+CD6*BY$36+CD7*BY$39)</f>
        <v>9.1875</v>
      </c>
      <c r="CE1" s="1099">
        <f t="shared" ref="CE1" si="66">CE8-$I$19</f>
        <v>0.6004528985507247</v>
      </c>
      <c r="CF1" s="880">
        <f t="shared" ref="CF1" si="67">CF8-$K$19</f>
        <v>-1607692.307692308</v>
      </c>
      <c r="CG1" s="903">
        <f t="shared" ref="CG1" si="68">CG8-($D$15+$D$16)</f>
        <v>-337.90240474703307</v>
      </c>
      <c r="CH1" s="877">
        <f t="shared" ref="CH1" si="69">CH8-(CH2*$I$20+CH3*$I$26+CH4*$I$32+CH5*CC$35+CH6*CC$36+CH7*CC$39)</f>
        <v>9.1875</v>
      </c>
      <c r="CI1" s="1099">
        <f t="shared" ref="CI1" si="70">CI8-$I$19</f>
        <v>0.6004528985507247</v>
      </c>
      <c r="CJ1" s="880">
        <f t="shared" ref="CJ1" si="71">CJ8-$K$19</f>
        <v>-1607692.307692308</v>
      </c>
      <c r="CK1" s="903">
        <f t="shared" ref="CK1" si="72">CK8-($D$15+$D$16)</f>
        <v>-337.90240474703307</v>
      </c>
      <c r="CL1" s="877">
        <f t="shared" ref="CL1" si="73">CL8-(CL2*$I$20+CL3*$I$26+CL4*$I$32+CL5*CG$35+CL6*CG$36+CL7*CG$39)</f>
        <v>9.1875</v>
      </c>
      <c r="CM1" s="1099">
        <f t="shared" ref="CM1" si="74">CM8-$I$19</f>
        <v>0.6004528985507247</v>
      </c>
      <c r="CN1" s="880">
        <f t="shared" ref="CN1" si="75">CN8-$K$19</f>
        <v>-1607692.307692308</v>
      </c>
      <c r="CO1" s="903">
        <f t="shared" ref="CO1" si="76">CO8-($D$15+$D$16)</f>
        <v>-337.90240474703307</v>
      </c>
      <c r="CP1" s="877">
        <f t="shared" ref="CP1" si="77">CP8-(CP2*$I$20+CP3*$I$26+CP4*$I$32+CP5*CK$35+CP6*CK$36+CP7*CK$39)</f>
        <v>9.1875</v>
      </c>
      <c r="CQ1" s="1099">
        <f t="shared" ref="CQ1" si="78">CQ8-$I$19</f>
        <v>0.6004528985507247</v>
      </c>
      <c r="CR1" s="880">
        <f t="shared" ref="CR1" si="79">CR8-$K$19</f>
        <v>-1607692.307692308</v>
      </c>
      <c r="CS1" s="903">
        <f t="shared" ref="CS1" si="80">CS8-($D$15+$D$16)</f>
        <v>-337.90240474703307</v>
      </c>
      <c r="CT1" s="877">
        <f t="shared" ref="CT1" si="81">CT8-(CT2*$I$20+CT3*$I$26+CT4*$I$32+CT5*CO$35+CT6*CO$36+CT7*CO$39)</f>
        <v>9.1875</v>
      </c>
      <c r="CU1" s="1099">
        <f t="shared" ref="CU1" si="82">CU8-$I$19</f>
        <v>0.6004528985507247</v>
      </c>
      <c r="CV1" s="880">
        <f t="shared" ref="CV1" si="83">CV8-$K$19</f>
        <v>-1607692.307692308</v>
      </c>
      <c r="CW1" s="903">
        <f t="shared" ref="CW1" si="84">CW8-($D$15+$D$16)</f>
        <v>-337.90240474703307</v>
      </c>
      <c r="CX1" s="877">
        <f t="shared" ref="CX1" si="85">CX8-(CX2*$I$20+CX3*$I$26+CX4*$I$32+CX5*CS$35+CX6*CS$36+CX7*CS$39)</f>
        <v>9.1875</v>
      </c>
      <c r="CY1" s="1099">
        <f t="shared" ref="CY1" si="86">CY8-$I$19</f>
        <v>0.6004528985507247</v>
      </c>
      <c r="CZ1" s="880">
        <f t="shared" ref="CZ1" si="87">CZ8-$K$19</f>
        <v>-1607692.307692308</v>
      </c>
      <c r="DA1" s="903">
        <f t="shared" ref="DA1" si="88">DA8-($D$15+$D$16)</f>
        <v>-337.90240474703307</v>
      </c>
      <c r="DB1" s="877">
        <f t="shared" ref="DB1" si="89">DB8-(DB2*$I$20+DB3*$I$26+DB4*$I$32+DB5*CW$35+DB6*CW$36+DB7*CW$39)</f>
        <v>9.1875</v>
      </c>
      <c r="DC1" s="1099">
        <f t="shared" ref="DC1" si="90">DC8-$I$19</f>
        <v>0.6004528985507247</v>
      </c>
      <c r="DD1" s="880">
        <f t="shared" ref="DD1" si="91">DD8-$K$19</f>
        <v>-1607692.307692308</v>
      </c>
      <c r="DE1" s="903">
        <f t="shared" ref="DE1" si="92">DE8-($D$15+$D$16)</f>
        <v>-337.90240474703307</v>
      </c>
      <c r="DF1" s="877">
        <f t="shared" ref="DF1" si="93">DF8-(DF2*$I$20+DF3*$I$26+DF4*$I$32+DF5*DA$35+DF6*DA$36+DF7*DA$39)</f>
        <v>9.1875</v>
      </c>
      <c r="DG1" s="1099">
        <f t="shared" ref="DG1" si="94">DG8-$I$19</f>
        <v>0.6004528985507247</v>
      </c>
      <c r="DH1" s="880">
        <f t="shared" ref="DH1" si="95">DH8-$K$19</f>
        <v>-1607692.307692308</v>
      </c>
      <c r="DI1" s="903">
        <f t="shared" ref="DI1" si="96">DI8-($D$15+$D$16)</f>
        <v>-337.90240474703307</v>
      </c>
      <c r="DJ1" s="877">
        <f t="shared" ref="DJ1" si="97">DJ8-(DJ2*$I$20+DJ3*$I$26+DJ4*$I$32+DJ5*DE$35+DJ6*DE$36+DJ7*DE$39)</f>
        <v>9.1875</v>
      </c>
      <c r="DK1" s="1099">
        <f t="shared" ref="DK1" si="98">DK8-$I$19</f>
        <v>0.6004528985507247</v>
      </c>
      <c r="DL1" s="880">
        <f t="shared" ref="DL1" si="99">DL8-$K$19</f>
        <v>-1607692.307692308</v>
      </c>
      <c r="DM1" s="903">
        <f t="shared" ref="DM1" si="100">DM8-($D$15+$D$16)</f>
        <v>-337.90240474703307</v>
      </c>
      <c r="DN1" s="877">
        <f t="shared" ref="DN1" si="101">DN8-(DN2*$I$20+DN3*$I$26+DN4*$I$32+DN5*DI$35+DN6*DI$36+DN7*DI$39)</f>
        <v>9.1875</v>
      </c>
      <c r="DO1" s="1099">
        <f t="shared" ref="DO1" si="102">DO8-$I$19</f>
        <v>0.6004528985507247</v>
      </c>
      <c r="DP1" s="880">
        <f t="shared" ref="DP1" si="103">DP8-$K$19</f>
        <v>-1607692.307692308</v>
      </c>
      <c r="DQ1" s="903">
        <f t="shared" ref="DQ1" si="104">DQ8-($D$15+$D$16)</f>
        <v>-337.90240474703307</v>
      </c>
      <c r="DR1" s="877">
        <f t="shared" ref="DR1" si="105">DR8-(DR2*$I$20+DR3*$I$26+DR4*$I$32+DR5*DM$35+DR6*DM$36+DR7*DM$39)</f>
        <v>9.1875</v>
      </c>
      <c r="DS1" s="1099">
        <f t="shared" ref="DS1" si="106">DS8-$I$19</f>
        <v>0.6004528985507247</v>
      </c>
      <c r="DT1" s="880">
        <f t="shared" ref="DT1" si="107">DT8-$K$19</f>
        <v>-1607692.307692308</v>
      </c>
      <c r="DU1" s="903">
        <f t="shared" ref="DU1" si="108">DU8-($D$15+$D$16)</f>
        <v>-337.90240474703307</v>
      </c>
      <c r="DV1" s="877">
        <f t="shared" ref="DV1" si="109">DV8-(DV2*$I$20+DV3*$I$26+DV4*$I$32+DV5*DQ$35+DV6*DQ$36+DV7*DQ$39)</f>
        <v>9.1875</v>
      </c>
      <c r="DW1" s="1099">
        <f t="shared" ref="DW1" si="110">DW8-$I$19</f>
        <v>0.6004528985507247</v>
      </c>
      <c r="DX1" s="880">
        <f t="shared" ref="DX1" si="111">DX8-$K$19</f>
        <v>-1607692.307692308</v>
      </c>
      <c r="DY1" s="903">
        <f t="shared" ref="DY1" si="112">DY8-($D$15+$D$16)</f>
        <v>-337.90240474703307</v>
      </c>
      <c r="DZ1" s="877">
        <f t="shared" ref="DZ1" si="113">DZ8-(DZ2*$I$20+DZ3*$I$26+DZ4*$I$32+DZ5*DU$35+DZ6*DU$36+DZ7*DU$39)</f>
        <v>9.1875</v>
      </c>
      <c r="EA1" s="1099">
        <f t="shared" ref="EA1" si="114">EA8-$I$19</f>
        <v>0.6004528985507247</v>
      </c>
      <c r="EB1" s="880">
        <f t="shared" ref="EB1" si="115">EB8-$K$19</f>
        <v>-1607692.307692308</v>
      </c>
      <c r="EC1" s="903">
        <f t="shared" ref="EC1" si="116">EC8-($D$15+$D$16)</f>
        <v>-337.90240474703307</v>
      </c>
      <c r="ED1" s="877">
        <f t="shared" ref="ED1" si="117">ED8-(ED2*$I$20+ED3*$I$26+ED4*$I$32+ED5*DY$35+ED6*DY$36+ED7*DY$39)</f>
        <v>9.1875</v>
      </c>
      <c r="EE1" s="1099">
        <f t="shared" ref="EE1" si="118">EE8-$I$19</f>
        <v>0.6004528985507247</v>
      </c>
      <c r="EF1" s="880">
        <f t="shared" ref="EF1" si="119">EF8-$K$19</f>
        <v>-1607692.307692308</v>
      </c>
    </row>
    <row r="2" spans="1:136" ht="20" customHeight="1" x14ac:dyDescent="0.15">
      <c r="A2" s="95" t="s">
        <v>113</v>
      </c>
      <c r="B2" s="97">
        <v>2024</v>
      </c>
      <c r="C2" s="781" t="str">
        <f>G4</f>
        <v>Person #3</v>
      </c>
      <c r="D2" s="16"/>
      <c r="E2" s="1387" t="str">
        <f>'Action Plan'!L2</f>
        <v>Person in charge</v>
      </c>
      <c r="F2" s="1311"/>
      <c r="G2" s="1311"/>
      <c r="H2" s="1311"/>
      <c r="I2" s="782">
        <f>$H$20</f>
        <v>1</v>
      </c>
      <c r="J2" s="1092">
        <f>IF($E$19=0,0,K2/$E$19)</f>
        <v>0.234375</v>
      </c>
      <c r="K2" s="871">
        <f>$E$20</f>
        <v>23250000</v>
      </c>
      <c r="L2" s="875" t="str">
        <f>C20</f>
        <v>FACEBOOK</v>
      </c>
      <c r="M2" s="901">
        <f t="shared" ref="M2:BX2" si="120">M$20</f>
        <v>15</v>
      </c>
      <c r="N2" s="878">
        <f t="shared" si="120"/>
        <v>15</v>
      </c>
      <c r="O2" s="1093">
        <f>O$20</f>
        <v>1</v>
      </c>
      <c r="P2" s="881">
        <f>P$20</f>
        <v>750000</v>
      </c>
      <c r="Q2" s="901">
        <f t="shared" si="120"/>
        <v>15</v>
      </c>
      <c r="R2" s="878">
        <f t="shared" si="120"/>
        <v>15</v>
      </c>
      <c r="S2" s="1093">
        <f t="shared" si="120"/>
        <v>1</v>
      </c>
      <c r="T2" s="881">
        <f t="shared" si="120"/>
        <v>750000</v>
      </c>
      <c r="U2" s="901">
        <f t="shared" si="120"/>
        <v>15</v>
      </c>
      <c r="V2" s="878">
        <f t="shared" si="120"/>
        <v>15</v>
      </c>
      <c r="W2" s="1093">
        <f t="shared" si="120"/>
        <v>1</v>
      </c>
      <c r="X2" s="881">
        <f t="shared" si="120"/>
        <v>750000</v>
      </c>
      <c r="Y2" s="901">
        <f t="shared" si="120"/>
        <v>15</v>
      </c>
      <c r="Z2" s="878">
        <f t="shared" si="120"/>
        <v>15</v>
      </c>
      <c r="AA2" s="1093">
        <f t="shared" si="120"/>
        <v>1</v>
      </c>
      <c r="AB2" s="881">
        <f t="shared" si="120"/>
        <v>750000</v>
      </c>
      <c r="AC2" s="901">
        <f t="shared" si="120"/>
        <v>15</v>
      </c>
      <c r="AD2" s="878">
        <f t="shared" si="120"/>
        <v>15</v>
      </c>
      <c r="AE2" s="1093">
        <f t="shared" si="120"/>
        <v>1</v>
      </c>
      <c r="AF2" s="881">
        <f t="shared" si="120"/>
        <v>750000</v>
      </c>
      <c r="AG2" s="901">
        <f t="shared" si="120"/>
        <v>15</v>
      </c>
      <c r="AH2" s="878">
        <f t="shared" si="120"/>
        <v>15</v>
      </c>
      <c r="AI2" s="1093">
        <f t="shared" si="120"/>
        <v>1</v>
      </c>
      <c r="AJ2" s="881">
        <f t="shared" si="120"/>
        <v>750000</v>
      </c>
      <c r="AK2" s="901">
        <f t="shared" si="120"/>
        <v>15</v>
      </c>
      <c r="AL2" s="878">
        <f t="shared" si="120"/>
        <v>15</v>
      </c>
      <c r="AM2" s="1093">
        <f t="shared" si="120"/>
        <v>1</v>
      </c>
      <c r="AN2" s="881">
        <f t="shared" si="120"/>
        <v>750000</v>
      </c>
      <c r="AO2" s="901">
        <f t="shared" si="120"/>
        <v>15</v>
      </c>
      <c r="AP2" s="878">
        <f t="shared" si="120"/>
        <v>15</v>
      </c>
      <c r="AQ2" s="1093">
        <f t="shared" si="120"/>
        <v>1</v>
      </c>
      <c r="AR2" s="881">
        <f t="shared" si="120"/>
        <v>750000</v>
      </c>
      <c r="AS2" s="901">
        <f t="shared" si="120"/>
        <v>15</v>
      </c>
      <c r="AT2" s="878">
        <f t="shared" si="120"/>
        <v>15</v>
      </c>
      <c r="AU2" s="1093">
        <f t="shared" si="120"/>
        <v>1</v>
      </c>
      <c r="AV2" s="881">
        <f t="shared" si="120"/>
        <v>750000</v>
      </c>
      <c r="AW2" s="901">
        <f t="shared" si="120"/>
        <v>15</v>
      </c>
      <c r="AX2" s="878">
        <f t="shared" si="120"/>
        <v>15</v>
      </c>
      <c r="AY2" s="1093">
        <f t="shared" si="120"/>
        <v>1</v>
      </c>
      <c r="AZ2" s="881">
        <f t="shared" si="120"/>
        <v>750000</v>
      </c>
      <c r="BA2" s="901">
        <f t="shared" si="120"/>
        <v>15</v>
      </c>
      <c r="BB2" s="878">
        <f t="shared" si="120"/>
        <v>15</v>
      </c>
      <c r="BC2" s="1093">
        <f t="shared" si="120"/>
        <v>1</v>
      </c>
      <c r="BD2" s="881">
        <f t="shared" si="120"/>
        <v>750000</v>
      </c>
      <c r="BE2" s="901">
        <f t="shared" si="120"/>
        <v>15</v>
      </c>
      <c r="BF2" s="878">
        <f t="shared" si="120"/>
        <v>15</v>
      </c>
      <c r="BG2" s="1093">
        <f t="shared" si="120"/>
        <v>1</v>
      </c>
      <c r="BH2" s="881">
        <f t="shared" si="120"/>
        <v>750000</v>
      </c>
      <c r="BI2" s="901">
        <f t="shared" si="120"/>
        <v>15</v>
      </c>
      <c r="BJ2" s="878">
        <f t="shared" si="120"/>
        <v>15</v>
      </c>
      <c r="BK2" s="1093">
        <f t="shared" si="120"/>
        <v>1</v>
      </c>
      <c r="BL2" s="881">
        <f t="shared" si="120"/>
        <v>750000</v>
      </c>
      <c r="BM2" s="901">
        <f t="shared" si="120"/>
        <v>15</v>
      </c>
      <c r="BN2" s="878">
        <f t="shared" si="120"/>
        <v>15</v>
      </c>
      <c r="BO2" s="1093">
        <f t="shared" si="120"/>
        <v>1</v>
      </c>
      <c r="BP2" s="881">
        <f t="shared" si="120"/>
        <v>750000</v>
      </c>
      <c r="BQ2" s="901">
        <f t="shared" si="120"/>
        <v>15</v>
      </c>
      <c r="BR2" s="878">
        <f t="shared" si="120"/>
        <v>15</v>
      </c>
      <c r="BS2" s="1093">
        <f t="shared" si="120"/>
        <v>1</v>
      </c>
      <c r="BT2" s="881">
        <f t="shared" si="120"/>
        <v>750000</v>
      </c>
      <c r="BU2" s="901">
        <f t="shared" si="120"/>
        <v>15</v>
      </c>
      <c r="BV2" s="878">
        <f t="shared" si="120"/>
        <v>15</v>
      </c>
      <c r="BW2" s="1093">
        <f t="shared" si="120"/>
        <v>1</v>
      </c>
      <c r="BX2" s="881">
        <f t="shared" si="120"/>
        <v>750000</v>
      </c>
      <c r="BY2" s="901">
        <f t="shared" ref="BY2:EE2" si="121">BY$20</f>
        <v>15</v>
      </c>
      <c r="BZ2" s="878">
        <f t="shared" si="121"/>
        <v>15</v>
      </c>
      <c r="CA2" s="1093">
        <f t="shared" si="121"/>
        <v>1</v>
      </c>
      <c r="CB2" s="881">
        <f t="shared" si="121"/>
        <v>750000</v>
      </c>
      <c r="CC2" s="901">
        <f t="shared" si="121"/>
        <v>15</v>
      </c>
      <c r="CD2" s="878">
        <f t="shared" si="121"/>
        <v>15</v>
      </c>
      <c r="CE2" s="1093">
        <f t="shared" si="121"/>
        <v>1</v>
      </c>
      <c r="CF2" s="881">
        <f t="shared" si="121"/>
        <v>750000</v>
      </c>
      <c r="CG2" s="901">
        <f t="shared" si="121"/>
        <v>15</v>
      </c>
      <c r="CH2" s="878">
        <f t="shared" si="121"/>
        <v>15</v>
      </c>
      <c r="CI2" s="1093">
        <f t="shared" si="121"/>
        <v>1</v>
      </c>
      <c r="CJ2" s="881">
        <f t="shared" si="121"/>
        <v>750000</v>
      </c>
      <c r="CK2" s="901">
        <f t="shared" si="121"/>
        <v>15</v>
      </c>
      <c r="CL2" s="878">
        <f t="shared" si="121"/>
        <v>15</v>
      </c>
      <c r="CM2" s="1093">
        <f t="shared" si="121"/>
        <v>1</v>
      </c>
      <c r="CN2" s="881">
        <f t="shared" si="121"/>
        <v>750000</v>
      </c>
      <c r="CO2" s="901">
        <f t="shared" si="121"/>
        <v>15</v>
      </c>
      <c r="CP2" s="878">
        <f t="shared" si="121"/>
        <v>15</v>
      </c>
      <c r="CQ2" s="1093">
        <f t="shared" si="121"/>
        <v>1</v>
      </c>
      <c r="CR2" s="881">
        <f t="shared" si="121"/>
        <v>750000</v>
      </c>
      <c r="CS2" s="901">
        <f t="shared" si="121"/>
        <v>15</v>
      </c>
      <c r="CT2" s="878">
        <f t="shared" si="121"/>
        <v>15</v>
      </c>
      <c r="CU2" s="1093">
        <f t="shared" si="121"/>
        <v>1</v>
      </c>
      <c r="CV2" s="881">
        <f t="shared" si="121"/>
        <v>750000</v>
      </c>
      <c r="CW2" s="901">
        <f t="shared" si="121"/>
        <v>15</v>
      </c>
      <c r="CX2" s="878">
        <f t="shared" si="121"/>
        <v>15</v>
      </c>
      <c r="CY2" s="1093">
        <f t="shared" si="121"/>
        <v>1</v>
      </c>
      <c r="CZ2" s="881">
        <f t="shared" si="121"/>
        <v>750000</v>
      </c>
      <c r="DA2" s="901">
        <f t="shared" si="121"/>
        <v>15</v>
      </c>
      <c r="DB2" s="878">
        <f t="shared" si="121"/>
        <v>15</v>
      </c>
      <c r="DC2" s="1093">
        <f t="shared" si="121"/>
        <v>1</v>
      </c>
      <c r="DD2" s="881">
        <f t="shared" si="121"/>
        <v>750000</v>
      </c>
      <c r="DE2" s="901">
        <f t="shared" si="121"/>
        <v>15</v>
      </c>
      <c r="DF2" s="878">
        <f t="shared" si="121"/>
        <v>15</v>
      </c>
      <c r="DG2" s="1093">
        <f t="shared" si="121"/>
        <v>1</v>
      </c>
      <c r="DH2" s="881">
        <f t="shared" si="121"/>
        <v>750000</v>
      </c>
      <c r="DI2" s="901">
        <f t="shared" si="121"/>
        <v>15</v>
      </c>
      <c r="DJ2" s="878">
        <f t="shared" si="121"/>
        <v>15</v>
      </c>
      <c r="DK2" s="1093">
        <f t="shared" si="121"/>
        <v>1</v>
      </c>
      <c r="DL2" s="881">
        <f t="shared" si="121"/>
        <v>750000</v>
      </c>
      <c r="DM2" s="901">
        <f t="shared" si="121"/>
        <v>15</v>
      </c>
      <c r="DN2" s="878">
        <f t="shared" si="121"/>
        <v>15</v>
      </c>
      <c r="DO2" s="1093">
        <f t="shared" si="121"/>
        <v>1</v>
      </c>
      <c r="DP2" s="881">
        <f t="shared" si="121"/>
        <v>750000</v>
      </c>
      <c r="DQ2" s="901">
        <f t="shared" si="121"/>
        <v>15</v>
      </c>
      <c r="DR2" s="878">
        <f t="shared" si="121"/>
        <v>15</v>
      </c>
      <c r="DS2" s="1093">
        <f t="shared" si="121"/>
        <v>1</v>
      </c>
      <c r="DT2" s="881">
        <f t="shared" si="121"/>
        <v>750000</v>
      </c>
      <c r="DU2" s="901">
        <f t="shared" si="121"/>
        <v>15</v>
      </c>
      <c r="DV2" s="878">
        <f t="shared" si="121"/>
        <v>15</v>
      </c>
      <c r="DW2" s="1093">
        <f t="shared" si="121"/>
        <v>1</v>
      </c>
      <c r="DX2" s="881">
        <f t="shared" si="121"/>
        <v>750000</v>
      </c>
      <c r="DY2" s="901">
        <f t="shared" si="121"/>
        <v>15</v>
      </c>
      <c r="DZ2" s="878">
        <f t="shared" si="121"/>
        <v>15</v>
      </c>
      <c r="EA2" s="1093">
        <f t="shared" si="121"/>
        <v>1</v>
      </c>
      <c r="EB2" s="881">
        <f t="shared" si="121"/>
        <v>750000</v>
      </c>
      <c r="EC2" s="901">
        <f t="shared" si="121"/>
        <v>15</v>
      </c>
      <c r="ED2" s="878">
        <f t="shared" si="121"/>
        <v>15</v>
      </c>
      <c r="EE2" s="1093">
        <f t="shared" si="121"/>
        <v>1</v>
      </c>
      <c r="EF2" s="881">
        <f>EF$20</f>
        <v>750000</v>
      </c>
    </row>
    <row r="3" spans="1:136" ht="20" customHeight="1" thickBot="1" x14ac:dyDescent="0.2">
      <c r="A3" s="95" t="s">
        <v>114</v>
      </c>
      <c r="B3" s="97">
        <v>12</v>
      </c>
      <c r="C3" s="799">
        <f>G6</f>
        <v>0.25</v>
      </c>
      <c r="D3" s="16"/>
      <c r="E3" s="808" t="b">
        <v>1</v>
      </c>
      <c r="F3" s="808" t="b">
        <v>1</v>
      </c>
      <c r="G3" s="808" t="b">
        <v>1</v>
      </c>
      <c r="H3" s="808" t="b">
        <v>1</v>
      </c>
      <c r="I3" s="782">
        <f>$H$26</f>
        <v>0.76666666666666605</v>
      </c>
      <c r="J3" s="1092">
        <f t="shared" ref="J3:J6" si="122">IF($E$19=0,0,K3/$E$19)</f>
        <v>0.15625</v>
      </c>
      <c r="K3" s="871">
        <f>$E$26</f>
        <v>15500000</v>
      </c>
      <c r="L3" s="876" t="str">
        <f>C26</f>
        <v>LANDING PAGE</v>
      </c>
      <c r="M3" s="901">
        <f t="shared" ref="M3:BX3" si="123">M$26</f>
        <v>15</v>
      </c>
      <c r="N3" s="878">
        <f t="shared" si="123"/>
        <v>12</v>
      </c>
      <c r="O3" s="1093">
        <f t="shared" si="123"/>
        <v>0.76666666666666661</v>
      </c>
      <c r="P3" s="881">
        <f t="shared" si="123"/>
        <v>500000</v>
      </c>
      <c r="Q3" s="901">
        <f t="shared" si="123"/>
        <v>15</v>
      </c>
      <c r="R3" s="878">
        <f t="shared" si="123"/>
        <v>12</v>
      </c>
      <c r="S3" s="1093">
        <f t="shared" si="123"/>
        <v>0.76666666666666661</v>
      </c>
      <c r="T3" s="881">
        <f t="shared" si="123"/>
        <v>500000</v>
      </c>
      <c r="U3" s="901">
        <f t="shared" si="123"/>
        <v>15</v>
      </c>
      <c r="V3" s="878">
        <f t="shared" si="123"/>
        <v>12</v>
      </c>
      <c r="W3" s="1093">
        <f t="shared" si="123"/>
        <v>0.76666666666666661</v>
      </c>
      <c r="X3" s="881">
        <f t="shared" si="123"/>
        <v>500000</v>
      </c>
      <c r="Y3" s="901">
        <f t="shared" si="123"/>
        <v>15</v>
      </c>
      <c r="Z3" s="878">
        <f t="shared" si="123"/>
        <v>12</v>
      </c>
      <c r="AA3" s="1093">
        <f t="shared" si="123"/>
        <v>0.76666666666666661</v>
      </c>
      <c r="AB3" s="881">
        <f t="shared" si="123"/>
        <v>500000</v>
      </c>
      <c r="AC3" s="901">
        <f t="shared" si="123"/>
        <v>15</v>
      </c>
      <c r="AD3" s="878">
        <f t="shared" si="123"/>
        <v>12</v>
      </c>
      <c r="AE3" s="1093">
        <f t="shared" si="123"/>
        <v>0.76666666666666661</v>
      </c>
      <c r="AF3" s="881">
        <f t="shared" si="123"/>
        <v>500000</v>
      </c>
      <c r="AG3" s="901">
        <f t="shared" si="123"/>
        <v>15</v>
      </c>
      <c r="AH3" s="878">
        <f t="shared" si="123"/>
        <v>12</v>
      </c>
      <c r="AI3" s="1093">
        <f t="shared" si="123"/>
        <v>0.76666666666666661</v>
      </c>
      <c r="AJ3" s="881">
        <f t="shared" si="123"/>
        <v>500000</v>
      </c>
      <c r="AK3" s="901">
        <f t="shared" si="123"/>
        <v>15</v>
      </c>
      <c r="AL3" s="878">
        <f t="shared" si="123"/>
        <v>12</v>
      </c>
      <c r="AM3" s="1093">
        <f t="shared" si="123"/>
        <v>0.76666666666666661</v>
      </c>
      <c r="AN3" s="881">
        <f t="shared" si="123"/>
        <v>500000</v>
      </c>
      <c r="AO3" s="901">
        <f t="shared" si="123"/>
        <v>15</v>
      </c>
      <c r="AP3" s="878">
        <f t="shared" si="123"/>
        <v>12</v>
      </c>
      <c r="AQ3" s="1093">
        <f t="shared" si="123"/>
        <v>0.76666666666666661</v>
      </c>
      <c r="AR3" s="881">
        <f t="shared" si="123"/>
        <v>500000</v>
      </c>
      <c r="AS3" s="901">
        <f t="shared" si="123"/>
        <v>15</v>
      </c>
      <c r="AT3" s="878">
        <f t="shared" si="123"/>
        <v>12</v>
      </c>
      <c r="AU3" s="1093">
        <f t="shared" si="123"/>
        <v>0.76666666666666661</v>
      </c>
      <c r="AV3" s="881">
        <f t="shared" si="123"/>
        <v>500000</v>
      </c>
      <c r="AW3" s="901">
        <f t="shared" si="123"/>
        <v>15</v>
      </c>
      <c r="AX3" s="878">
        <f t="shared" si="123"/>
        <v>12</v>
      </c>
      <c r="AY3" s="1093">
        <f t="shared" si="123"/>
        <v>0.76666666666666661</v>
      </c>
      <c r="AZ3" s="881">
        <f t="shared" si="123"/>
        <v>500000</v>
      </c>
      <c r="BA3" s="901">
        <f t="shared" si="123"/>
        <v>15</v>
      </c>
      <c r="BB3" s="878">
        <f t="shared" si="123"/>
        <v>12</v>
      </c>
      <c r="BC3" s="1093">
        <f t="shared" si="123"/>
        <v>0.76666666666666661</v>
      </c>
      <c r="BD3" s="881">
        <f t="shared" si="123"/>
        <v>500000</v>
      </c>
      <c r="BE3" s="901">
        <f t="shared" si="123"/>
        <v>15</v>
      </c>
      <c r="BF3" s="878">
        <f t="shared" si="123"/>
        <v>12</v>
      </c>
      <c r="BG3" s="1093">
        <f t="shared" si="123"/>
        <v>0.76666666666666661</v>
      </c>
      <c r="BH3" s="881">
        <f t="shared" si="123"/>
        <v>500000</v>
      </c>
      <c r="BI3" s="901">
        <f t="shared" si="123"/>
        <v>15</v>
      </c>
      <c r="BJ3" s="878">
        <f t="shared" si="123"/>
        <v>12</v>
      </c>
      <c r="BK3" s="1093">
        <f t="shared" si="123"/>
        <v>0.76666666666666661</v>
      </c>
      <c r="BL3" s="881">
        <f t="shared" si="123"/>
        <v>500000</v>
      </c>
      <c r="BM3" s="901">
        <f t="shared" si="123"/>
        <v>15</v>
      </c>
      <c r="BN3" s="878">
        <f t="shared" si="123"/>
        <v>12</v>
      </c>
      <c r="BO3" s="1093">
        <f t="shared" si="123"/>
        <v>0.76666666666666661</v>
      </c>
      <c r="BP3" s="881">
        <f t="shared" si="123"/>
        <v>500000</v>
      </c>
      <c r="BQ3" s="901">
        <f t="shared" si="123"/>
        <v>15</v>
      </c>
      <c r="BR3" s="878">
        <f t="shared" si="123"/>
        <v>12</v>
      </c>
      <c r="BS3" s="1093">
        <f t="shared" si="123"/>
        <v>0.76666666666666661</v>
      </c>
      <c r="BT3" s="881">
        <f t="shared" si="123"/>
        <v>500000</v>
      </c>
      <c r="BU3" s="901">
        <f t="shared" si="123"/>
        <v>15</v>
      </c>
      <c r="BV3" s="878">
        <f t="shared" si="123"/>
        <v>12</v>
      </c>
      <c r="BW3" s="1093">
        <f t="shared" si="123"/>
        <v>0.76666666666666661</v>
      </c>
      <c r="BX3" s="881">
        <f t="shared" si="123"/>
        <v>500000</v>
      </c>
      <c r="BY3" s="901">
        <f t="shared" ref="BY3:EE3" si="124">BY$26</f>
        <v>15</v>
      </c>
      <c r="BZ3" s="878">
        <f t="shared" si="124"/>
        <v>12</v>
      </c>
      <c r="CA3" s="1093">
        <f t="shared" si="124"/>
        <v>0.76666666666666661</v>
      </c>
      <c r="CB3" s="881">
        <f t="shared" si="124"/>
        <v>500000</v>
      </c>
      <c r="CC3" s="901">
        <f t="shared" si="124"/>
        <v>15</v>
      </c>
      <c r="CD3" s="878">
        <f t="shared" si="124"/>
        <v>12</v>
      </c>
      <c r="CE3" s="1093">
        <f t="shared" si="124"/>
        <v>0.76666666666666661</v>
      </c>
      <c r="CF3" s="881">
        <f t="shared" si="124"/>
        <v>500000</v>
      </c>
      <c r="CG3" s="901">
        <f t="shared" si="124"/>
        <v>15</v>
      </c>
      <c r="CH3" s="878">
        <f t="shared" si="124"/>
        <v>12</v>
      </c>
      <c r="CI3" s="1093">
        <f t="shared" si="124"/>
        <v>0.76666666666666661</v>
      </c>
      <c r="CJ3" s="881">
        <f t="shared" si="124"/>
        <v>500000</v>
      </c>
      <c r="CK3" s="901">
        <f t="shared" si="124"/>
        <v>15</v>
      </c>
      <c r="CL3" s="878">
        <f t="shared" si="124"/>
        <v>12</v>
      </c>
      <c r="CM3" s="1093">
        <f t="shared" si="124"/>
        <v>0.76666666666666661</v>
      </c>
      <c r="CN3" s="881">
        <f t="shared" si="124"/>
        <v>500000</v>
      </c>
      <c r="CO3" s="901">
        <f t="shared" si="124"/>
        <v>15</v>
      </c>
      <c r="CP3" s="878">
        <f t="shared" si="124"/>
        <v>12</v>
      </c>
      <c r="CQ3" s="1093">
        <f t="shared" si="124"/>
        <v>0.76666666666666661</v>
      </c>
      <c r="CR3" s="881">
        <f t="shared" si="124"/>
        <v>500000</v>
      </c>
      <c r="CS3" s="901">
        <f t="shared" si="124"/>
        <v>15</v>
      </c>
      <c r="CT3" s="878">
        <f t="shared" si="124"/>
        <v>12</v>
      </c>
      <c r="CU3" s="1093">
        <f t="shared" si="124"/>
        <v>0.76666666666666661</v>
      </c>
      <c r="CV3" s="881">
        <f t="shared" si="124"/>
        <v>500000</v>
      </c>
      <c r="CW3" s="901">
        <f t="shared" si="124"/>
        <v>15</v>
      </c>
      <c r="CX3" s="878">
        <f t="shared" si="124"/>
        <v>12</v>
      </c>
      <c r="CY3" s="1093">
        <f t="shared" si="124"/>
        <v>0.76666666666666661</v>
      </c>
      <c r="CZ3" s="881">
        <f t="shared" si="124"/>
        <v>500000</v>
      </c>
      <c r="DA3" s="901">
        <f t="shared" si="124"/>
        <v>15</v>
      </c>
      <c r="DB3" s="878">
        <f t="shared" si="124"/>
        <v>12</v>
      </c>
      <c r="DC3" s="1093">
        <f t="shared" si="124"/>
        <v>0.76666666666666661</v>
      </c>
      <c r="DD3" s="881">
        <f t="shared" si="124"/>
        <v>500000</v>
      </c>
      <c r="DE3" s="901">
        <f t="shared" si="124"/>
        <v>15</v>
      </c>
      <c r="DF3" s="878">
        <f t="shared" si="124"/>
        <v>12</v>
      </c>
      <c r="DG3" s="1093">
        <f t="shared" si="124"/>
        <v>0.76666666666666661</v>
      </c>
      <c r="DH3" s="881">
        <f t="shared" si="124"/>
        <v>500000</v>
      </c>
      <c r="DI3" s="901">
        <f t="shared" si="124"/>
        <v>15</v>
      </c>
      <c r="DJ3" s="878">
        <f t="shared" si="124"/>
        <v>12</v>
      </c>
      <c r="DK3" s="1093">
        <f t="shared" si="124"/>
        <v>0.76666666666666661</v>
      </c>
      <c r="DL3" s="881">
        <f t="shared" si="124"/>
        <v>500000</v>
      </c>
      <c r="DM3" s="901">
        <f t="shared" si="124"/>
        <v>15</v>
      </c>
      <c r="DN3" s="878">
        <f t="shared" si="124"/>
        <v>12</v>
      </c>
      <c r="DO3" s="1093">
        <f t="shared" si="124"/>
        <v>0.76666666666666661</v>
      </c>
      <c r="DP3" s="881">
        <f t="shared" si="124"/>
        <v>500000</v>
      </c>
      <c r="DQ3" s="901">
        <f t="shared" si="124"/>
        <v>15</v>
      </c>
      <c r="DR3" s="878">
        <f t="shared" si="124"/>
        <v>12</v>
      </c>
      <c r="DS3" s="1093">
        <f t="shared" si="124"/>
        <v>0.76666666666666661</v>
      </c>
      <c r="DT3" s="881">
        <f t="shared" si="124"/>
        <v>500000</v>
      </c>
      <c r="DU3" s="901">
        <f t="shared" si="124"/>
        <v>15</v>
      </c>
      <c r="DV3" s="878">
        <f t="shared" si="124"/>
        <v>12</v>
      </c>
      <c r="DW3" s="1093">
        <f t="shared" si="124"/>
        <v>0.76666666666666661</v>
      </c>
      <c r="DX3" s="881">
        <f t="shared" si="124"/>
        <v>500000</v>
      </c>
      <c r="DY3" s="901">
        <f t="shared" si="124"/>
        <v>15</v>
      </c>
      <c r="DZ3" s="878">
        <f t="shared" si="124"/>
        <v>12</v>
      </c>
      <c r="EA3" s="1093">
        <f t="shared" si="124"/>
        <v>0.76666666666666661</v>
      </c>
      <c r="EB3" s="881">
        <f t="shared" si="124"/>
        <v>500000</v>
      </c>
      <c r="EC3" s="901">
        <f t="shared" si="124"/>
        <v>15</v>
      </c>
      <c r="ED3" s="878">
        <f t="shared" si="124"/>
        <v>12</v>
      </c>
      <c r="EE3" s="1093">
        <f t="shared" si="124"/>
        <v>0.76666666666666661</v>
      </c>
      <c r="EF3" s="881">
        <f>EF$26</f>
        <v>500000</v>
      </c>
    </row>
    <row r="4" spans="1:136" ht="20" customHeight="1" thickBot="1" x14ac:dyDescent="0.2">
      <c r="A4" s="95" t="s">
        <v>79</v>
      </c>
      <c r="B4" s="98">
        <v>1000000</v>
      </c>
      <c r="C4" s="800" t="s">
        <v>191</v>
      </c>
      <c r="D4" s="16"/>
      <c r="E4" s="848" t="str">
        <f>Dashboard!P5</f>
        <v>Person #1</v>
      </c>
      <c r="F4" s="849" t="str">
        <f>Dashboard!Q5</f>
        <v>Person #2</v>
      </c>
      <c r="G4" s="849" t="str">
        <f>Dashboard!R5</f>
        <v>Person #3</v>
      </c>
      <c r="H4" s="850" t="str">
        <f>Dashboard!S5</f>
        <v>Person #4</v>
      </c>
      <c r="I4" s="782">
        <f>$H$32</f>
        <v>0.41666666666666652</v>
      </c>
      <c r="J4" s="1092">
        <f t="shared" si="122"/>
        <v>0.171875</v>
      </c>
      <c r="K4" s="871">
        <f>$E$32</f>
        <v>17050000</v>
      </c>
      <c r="L4" s="875" t="str">
        <f>C32</f>
        <v>WEBSITE</v>
      </c>
      <c r="M4" s="901">
        <f t="shared" ref="M4:BX4" si="125">M$32</f>
        <v>7</v>
      </c>
      <c r="N4" s="878">
        <f t="shared" si="125"/>
        <v>3</v>
      </c>
      <c r="O4" s="1093">
        <f t="shared" si="125"/>
        <v>0.41666666666666663</v>
      </c>
      <c r="P4" s="881">
        <f t="shared" si="125"/>
        <v>550000</v>
      </c>
      <c r="Q4" s="901">
        <f t="shared" si="125"/>
        <v>7</v>
      </c>
      <c r="R4" s="878">
        <f t="shared" si="125"/>
        <v>3</v>
      </c>
      <c r="S4" s="1093">
        <f t="shared" si="125"/>
        <v>0.41666666666666663</v>
      </c>
      <c r="T4" s="881">
        <f t="shared" si="125"/>
        <v>550000</v>
      </c>
      <c r="U4" s="901">
        <f t="shared" si="125"/>
        <v>7</v>
      </c>
      <c r="V4" s="878">
        <f t="shared" si="125"/>
        <v>3</v>
      </c>
      <c r="W4" s="1093">
        <f t="shared" si="125"/>
        <v>0.41666666666666663</v>
      </c>
      <c r="X4" s="881">
        <f t="shared" si="125"/>
        <v>550000</v>
      </c>
      <c r="Y4" s="901">
        <f t="shared" si="125"/>
        <v>7</v>
      </c>
      <c r="Z4" s="878">
        <f t="shared" si="125"/>
        <v>3</v>
      </c>
      <c r="AA4" s="1093">
        <f t="shared" si="125"/>
        <v>0.41666666666666663</v>
      </c>
      <c r="AB4" s="881">
        <f t="shared" si="125"/>
        <v>550000</v>
      </c>
      <c r="AC4" s="901">
        <f t="shared" si="125"/>
        <v>7</v>
      </c>
      <c r="AD4" s="878">
        <f t="shared" si="125"/>
        <v>3</v>
      </c>
      <c r="AE4" s="1093">
        <f t="shared" si="125"/>
        <v>0.41666666666666663</v>
      </c>
      <c r="AF4" s="881">
        <f t="shared" si="125"/>
        <v>550000</v>
      </c>
      <c r="AG4" s="901">
        <f t="shared" si="125"/>
        <v>7</v>
      </c>
      <c r="AH4" s="878">
        <f t="shared" si="125"/>
        <v>3</v>
      </c>
      <c r="AI4" s="1093">
        <f t="shared" si="125"/>
        <v>0.41666666666666663</v>
      </c>
      <c r="AJ4" s="881">
        <f t="shared" si="125"/>
        <v>550000</v>
      </c>
      <c r="AK4" s="901">
        <f t="shared" si="125"/>
        <v>7</v>
      </c>
      <c r="AL4" s="878">
        <f t="shared" si="125"/>
        <v>3</v>
      </c>
      <c r="AM4" s="1093">
        <f t="shared" si="125"/>
        <v>0.41666666666666663</v>
      </c>
      <c r="AN4" s="881">
        <f t="shared" si="125"/>
        <v>550000</v>
      </c>
      <c r="AO4" s="901">
        <f t="shared" si="125"/>
        <v>7</v>
      </c>
      <c r="AP4" s="878">
        <f t="shared" si="125"/>
        <v>3</v>
      </c>
      <c r="AQ4" s="1093">
        <f t="shared" si="125"/>
        <v>0.41666666666666663</v>
      </c>
      <c r="AR4" s="881">
        <f t="shared" si="125"/>
        <v>550000</v>
      </c>
      <c r="AS4" s="901">
        <f t="shared" si="125"/>
        <v>7</v>
      </c>
      <c r="AT4" s="878">
        <f t="shared" si="125"/>
        <v>3</v>
      </c>
      <c r="AU4" s="1093">
        <f t="shared" si="125"/>
        <v>0.41666666666666663</v>
      </c>
      <c r="AV4" s="881">
        <f t="shared" si="125"/>
        <v>550000</v>
      </c>
      <c r="AW4" s="901">
        <f t="shared" si="125"/>
        <v>7</v>
      </c>
      <c r="AX4" s="878">
        <f t="shared" si="125"/>
        <v>3</v>
      </c>
      <c r="AY4" s="1093">
        <f t="shared" si="125"/>
        <v>0.41666666666666663</v>
      </c>
      <c r="AZ4" s="881">
        <f t="shared" si="125"/>
        <v>550000</v>
      </c>
      <c r="BA4" s="901">
        <f t="shared" si="125"/>
        <v>7</v>
      </c>
      <c r="BB4" s="878">
        <f t="shared" si="125"/>
        <v>3</v>
      </c>
      <c r="BC4" s="1093">
        <f t="shared" si="125"/>
        <v>0.41666666666666663</v>
      </c>
      <c r="BD4" s="881">
        <f t="shared" si="125"/>
        <v>550000</v>
      </c>
      <c r="BE4" s="901">
        <f t="shared" si="125"/>
        <v>7</v>
      </c>
      <c r="BF4" s="878">
        <f t="shared" si="125"/>
        <v>3</v>
      </c>
      <c r="BG4" s="1093">
        <f t="shared" si="125"/>
        <v>0.41666666666666663</v>
      </c>
      <c r="BH4" s="881">
        <f t="shared" si="125"/>
        <v>550000</v>
      </c>
      <c r="BI4" s="901">
        <f t="shared" si="125"/>
        <v>7</v>
      </c>
      <c r="BJ4" s="878">
        <f t="shared" si="125"/>
        <v>3</v>
      </c>
      <c r="BK4" s="1093">
        <f t="shared" si="125"/>
        <v>0.41666666666666663</v>
      </c>
      <c r="BL4" s="881">
        <f t="shared" si="125"/>
        <v>550000</v>
      </c>
      <c r="BM4" s="901">
        <f t="shared" si="125"/>
        <v>7</v>
      </c>
      <c r="BN4" s="878">
        <f t="shared" si="125"/>
        <v>3</v>
      </c>
      <c r="BO4" s="1093">
        <f t="shared" si="125"/>
        <v>0.41666666666666663</v>
      </c>
      <c r="BP4" s="881">
        <f t="shared" si="125"/>
        <v>550000</v>
      </c>
      <c r="BQ4" s="901">
        <f t="shared" si="125"/>
        <v>7</v>
      </c>
      <c r="BR4" s="878">
        <f t="shared" si="125"/>
        <v>3</v>
      </c>
      <c r="BS4" s="1093">
        <f t="shared" si="125"/>
        <v>0.41666666666666663</v>
      </c>
      <c r="BT4" s="881">
        <f t="shared" si="125"/>
        <v>550000</v>
      </c>
      <c r="BU4" s="901">
        <f t="shared" si="125"/>
        <v>7</v>
      </c>
      <c r="BV4" s="878">
        <f t="shared" si="125"/>
        <v>3</v>
      </c>
      <c r="BW4" s="1093">
        <f t="shared" si="125"/>
        <v>0.41666666666666663</v>
      </c>
      <c r="BX4" s="881">
        <f t="shared" si="125"/>
        <v>550000</v>
      </c>
      <c r="BY4" s="901">
        <f t="shared" ref="BY4:EE4" si="126">BY$32</f>
        <v>7</v>
      </c>
      <c r="BZ4" s="878">
        <f t="shared" si="126"/>
        <v>3</v>
      </c>
      <c r="CA4" s="1093">
        <f t="shared" si="126"/>
        <v>0.41666666666666663</v>
      </c>
      <c r="CB4" s="881">
        <f t="shared" si="126"/>
        <v>550000</v>
      </c>
      <c r="CC4" s="901">
        <f t="shared" si="126"/>
        <v>7</v>
      </c>
      <c r="CD4" s="878">
        <f t="shared" si="126"/>
        <v>3</v>
      </c>
      <c r="CE4" s="1093">
        <f t="shared" si="126"/>
        <v>0.41666666666666663</v>
      </c>
      <c r="CF4" s="881">
        <f t="shared" si="126"/>
        <v>550000</v>
      </c>
      <c r="CG4" s="901">
        <f t="shared" si="126"/>
        <v>7</v>
      </c>
      <c r="CH4" s="878">
        <f t="shared" si="126"/>
        <v>3</v>
      </c>
      <c r="CI4" s="1093">
        <f t="shared" si="126"/>
        <v>0.41666666666666663</v>
      </c>
      <c r="CJ4" s="881">
        <f t="shared" si="126"/>
        <v>550000</v>
      </c>
      <c r="CK4" s="901">
        <f t="shared" si="126"/>
        <v>7</v>
      </c>
      <c r="CL4" s="878">
        <f t="shared" si="126"/>
        <v>3</v>
      </c>
      <c r="CM4" s="1093">
        <f t="shared" si="126"/>
        <v>0.41666666666666663</v>
      </c>
      <c r="CN4" s="881">
        <f t="shared" si="126"/>
        <v>550000</v>
      </c>
      <c r="CO4" s="901">
        <f t="shared" si="126"/>
        <v>7</v>
      </c>
      <c r="CP4" s="878">
        <f t="shared" si="126"/>
        <v>3</v>
      </c>
      <c r="CQ4" s="1093">
        <f t="shared" si="126"/>
        <v>0.41666666666666663</v>
      </c>
      <c r="CR4" s="881">
        <f t="shared" si="126"/>
        <v>550000</v>
      </c>
      <c r="CS4" s="901">
        <f t="shared" si="126"/>
        <v>7</v>
      </c>
      <c r="CT4" s="878">
        <f t="shared" si="126"/>
        <v>3</v>
      </c>
      <c r="CU4" s="1093">
        <f t="shared" si="126"/>
        <v>0.41666666666666663</v>
      </c>
      <c r="CV4" s="881">
        <f t="shared" si="126"/>
        <v>550000</v>
      </c>
      <c r="CW4" s="901">
        <f t="shared" si="126"/>
        <v>7</v>
      </c>
      <c r="CX4" s="878">
        <f t="shared" si="126"/>
        <v>3</v>
      </c>
      <c r="CY4" s="1093">
        <f t="shared" si="126"/>
        <v>0.41666666666666663</v>
      </c>
      <c r="CZ4" s="881">
        <f t="shared" si="126"/>
        <v>550000</v>
      </c>
      <c r="DA4" s="901">
        <f t="shared" si="126"/>
        <v>7</v>
      </c>
      <c r="DB4" s="878">
        <f t="shared" si="126"/>
        <v>3</v>
      </c>
      <c r="DC4" s="1093">
        <f t="shared" si="126"/>
        <v>0.41666666666666663</v>
      </c>
      <c r="DD4" s="881">
        <f t="shared" si="126"/>
        <v>550000</v>
      </c>
      <c r="DE4" s="901">
        <f t="shared" si="126"/>
        <v>7</v>
      </c>
      <c r="DF4" s="878">
        <f t="shared" si="126"/>
        <v>3</v>
      </c>
      <c r="DG4" s="1093">
        <f t="shared" si="126"/>
        <v>0.41666666666666663</v>
      </c>
      <c r="DH4" s="881">
        <f t="shared" si="126"/>
        <v>550000</v>
      </c>
      <c r="DI4" s="901">
        <f t="shared" si="126"/>
        <v>7</v>
      </c>
      <c r="DJ4" s="878">
        <f t="shared" si="126"/>
        <v>3</v>
      </c>
      <c r="DK4" s="1093">
        <f t="shared" si="126"/>
        <v>0.41666666666666663</v>
      </c>
      <c r="DL4" s="881">
        <f t="shared" si="126"/>
        <v>550000</v>
      </c>
      <c r="DM4" s="901">
        <f t="shared" si="126"/>
        <v>7</v>
      </c>
      <c r="DN4" s="878">
        <f t="shared" si="126"/>
        <v>3</v>
      </c>
      <c r="DO4" s="1093">
        <f t="shared" si="126"/>
        <v>0.41666666666666663</v>
      </c>
      <c r="DP4" s="881">
        <f t="shared" si="126"/>
        <v>550000</v>
      </c>
      <c r="DQ4" s="901">
        <f t="shared" si="126"/>
        <v>7</v>
      </c>
      <c r="DR4" s="878">
        <f t="shared" si="126"/>
        <v>3</v>
      </c>
      <c r="DS4" s="1093">
        <f t="shared" si="126"/>
        <v>0.41666666666666663</v>
      </c>
      <c r="DT4" s="881">
        <f t="shared" si="126"/>
        <v>550000</v>
      </c>
      <c r="DU4" s="901">
        <f t="shared" si="126"/>
        <v>7</v>
      </c>
      <c r="DV4" s="878">
        <f t="shared" si="126"/>
        <v>3</v>
      </c>
      <c r="DW4" s="1093">
        <f t="shared" si="126"/>
        <v>0.41666666666666663</v>
      </c>
      <c r="DX4" s="881">
        <f t="shared" si="126"/>
        <v>550000</v>
      </c>
      <c r="DY4" s="901">
        <f t="shared" si="126"/>
        <v>7</v>
      </c>
      <c r="DZ4" s="878">
        <f t="shared" si="126"/>
        <v>3</v>
      </c>
      <c r="EA4" s="1093">
        <f t="shared" si="126"/>
        <v>0.41666666666666663</v>
      </c>
      <c r="EB4" s="881">
        <f t="shared" si="126"/>
        <v>550000</v>
      </c>
      <c r="EC4" s="901">
        <f t="shared" si="126"/>
        <v>7</v>
      </c>
      <c r="ED4" s="878">
        <f t="shared" si="126"/>
        <v>3</v>
      </c>
      <c r="EE4" s="1093">
        <f t="shared" si="126"/>
        <v>0.41666666666666663</v>
      </c>
      <c r="EF4" s="881">
        <f>EF$32</f>
        <v>550000</v>
      </c>
    </row>
    <row r="5" spans="1:136" ht="20" customHeight="1" x14ac:dyDescent="0.15">
      <c r="A5" s="95"/>
      <c r="B5" s="98"/>
      <c r="C5" s="800"/>
      <c r="D5" s="16"/>
      <c r="E5" s="844"/>
      <c r="F5" s="845"/>
      <c r="G5" s="846"/>
      <c r="H5" s="847"/>
      <c r="I5" s="782">
        <f>$H$35</f>
        <v>0.5</v>
      </c>
      <c r="J5" s="1092">
        <f t="shared" si="122"/>
        <v>0.15625</v>
      </c>
      <c r="K5" s="871">
        <f>$E$35</f>
        <v>15500000</v>
      </c>
      <c r="L5" s="875" t="str">
        <f>C35</f>
        <v>TIKTOKSHOP</v>
      </c>
      <c r="M5" s="901">
        <f t="shared" ref="M5:BX5" si="127">M$35</f>
        <v>2</v>
      </c>
      <c r="N5" s="878">
        <f t="shared" si="127"/>
        <v>1</v>
      </c>
      <c r="O5" s="1093">
        <f t="shared" si="127"/>
        <v>0.5</v>
      </c>
      <c r="P5" s="881">
        <f t="shared" si="127"/>
        <v>500000</v>
      </c>
      <c r="Q5" s="901">
        <f t="shared" si="127"/>
        <v>2</v>
      </c>
      <c r="R5" s="878">
        <f t="shared" si="127"/>
        <v>1</v>
      </c>
      <c r="S5" s="1093">
        <f t="shared" si="127"/>
        <v>0.5</v>
      </c>
      <c r="T5" s="881">
        <f t="shared" si="127"/>
        <v>500000</v>
      </c>
      <c r="U5" s="901">
        <f t="shared" si="127"/>
        <v>2</v>
      </c>
      <c r="V5" s="878">
        <f t="shared" si="127"/>
        <v>1</v>
      </c>
      <c r="W5" s="1093">
        <f t="shared" si="127"/>
        <v>0.5</v>
      </c>
      <c r="X5" s="881">
        <f t="shared" si="127"/>
        <v>500000</v>
      </c>
      <c r="Y5" s="901">
        <f t="shared" si="127"/>
        <v>2</v>
      </c>
      <c r="Z5" s="878">
        <f t="shared" si="127"/>
        <v>1</v>
      </c>
      <c r="AA5" s="1093">
        <f t="shared" si="127"/>
        <v>0.5</v>
      </c>
      <c r="AB5" s="881">
        <f t="shared" si="127"/>
        <v>500000</v>
      </c>
      <c r="AC5" s="901">
        <f t="shared" si="127"/>
        <v>2</v>
      </c>
      <c r="AD5" s="878">
        <f t="shared" si="127"/>
        <v>1</v>
      </c>
      <c r="AE5" s="1093">
        <f t="shared" si="127"/>
        <v>0.5</v>
      </c>
      <c r="AF5" s="881">
        <f t="shared" si="127"/>
        <v>500000</v>
      </c>
      <c r="AG5" s="901">
        <f t="shared" si="127"/>
        <v>2</v>
      </c>
      <c r="AH5" s="878">
        <f t="shared" si="127"/>
        <v>1</v>
      </c>
      <c r="AI5" s="1093">
        <f t="shared" si="127"/>
        <v>0.5</v>
      </c>
      <c r="AJ5" s="881">
        <f t="shared" si="127"/>
        <v>500000</v>
      </c>
      <c r="AK5" s="901">
        <f t="shared" si="127"/>
        <v>2</v>
      </c>
      <c r="AL5" s="878">
        <f t="shared" si="127"/>
        <v>1</v>
      </c>
      <c r="AM5" s="1093">
        <f t="shared" si="127"/>
        <v>0.5</v>
      </c>
      <c r="AN5" s="881">
        <f t="shared" si="127"/>
        <v>500000</v>
      </c>
      <c r="AO5" s="901">
        <f t="shared" si="127"/>
        <v>2</v>
      </c>
      <c r="AP5" s="878">
        <f t="shared" si="127"/>
        <v>1</v>
      </c>
      <c r="AQ5" s="1093">
        <f t="shared" si="127"/>
        <v>0.5</v>
      </c>
      <c r="AR5" s="881">
        <f t="shared" si="127"/>
        <v>500000</v>
      </c>
      <c r="AS5" s="901">
        <f t="shared" si="127"/>
        <v>2</v>
      </c>
      <c r="AT5" s="878">
        <f t="shared" si="127"/>
        <v>1</v>
      </c>
      <c r="AU5" s="1093">
        <f t="shared" si="127"/>
        <v>0.5</v>
      </c>
      <c r="AV5" s="881">
        <f t="shared" si="127"/>
        <v>500000</v>
      </c>
      <c r="AW5" s="901">
        <f t="shared" si="127"/>
        <v>2</v>
      </c>
      <c r="AX5" s="878">
        <f t="shared" si="127"/>
        <v>1</v>
      </c>
      <c r="AY5" s="1093">
        <f t="shared" si="127"/>
        <v>0.5</v>
      </c>
      <c r="AZ5" s="881">
        <f t="shared" si="127"/>
        <v>500000</v>
      </c>
      <c r="BA5" s="901">
        <f t="shared" si="127"/>
        <v>2</v>
      </c>
      <c r="BB5" s="878">
        <f t="shared" si="127"/>
        <v>1</v>
      </c>
      <c r="BC5" s="1093">
        <f t="shared" si="127"/>
        <v>0.5</v>
      </c>
      <c r="BD5" s="881">
        <f t="shared" si="127"/>
        <v>500000</v>
      </c>
      <c r="BE5" s="901">
        <f t="shared" si="127"/>
        <v>2</v>
      </c>
      <c r="BF5" s="878">
        <f t="shared" si="127"/>
        <v>1</v>
      </c>
      <c r="BG5" s="1093">
        <f t="shared" si="127"/>
        <v>0.5</v>
      </c>
      <c r="BH5" s="881">
        <f t="shared" si="127"/>
        <v>500000</v>
      </c>
      <c r="BI5" s="901">
        <f t="shared" si="127"/>
        <v>2</v>
      </c>
      <c r="BJ5" s="878">
        <f t="shared" si="127"/>
        <v>1</v>
      </c>
      <c r="BK5" s="1093">
        <f t="shared" si="127"/>
        <v>0.5</v>
      </c>
      <c r="BL5" s="881">
        <f t="shared" si="127"/>
        <v>500000</v>
      </c>
      <c r="BM5" s="901">
        <f t="shared" si="127"/>
        <v>2</v>
      </c>
      <c r="BN5" s="878">
        <f t="shared" si="127"/>
        <v>1</v>
      </c>
      <c r="BO5" s="1093">
        <f t="shared" si="127"/>
        <v>0.5</v>
      </c>
      <c r="BP5" s="881">
        <f t="shared" si="127"/>
        <v>500000</v>
      </c>
      <c r="BQ5" s="901">
        <f t="shared" si="127"/>
        <v>2</v>
      </c>
      <c r="BR5" s="878">
        <f t="shared" si="127"/>
        <v>1</v>
      </c>
      <c r="BS5" s="1093">
        <f t="shared" si="127"/>
        <v>0.5</v>
      </c>
      <c r="BT5" s="881">
        <f t="shared" si="127"/>
        <v>500000</v>
      </c>
      <c r="BU5" s="901">
        <f t="shared" si="127"/>
        <v>2</v>
      </c>
      <c r="BV5" s="878">
        <f t="shared" si="127"/>
        <v>1</v>
      </c>
      <c r="BW5" s="1093">
        <f t="shared" si="127"/>
        <v>0.5</v>
      </c>
      <c r="BX5" s="881">
        <f t="shared" si="127"/>
        <v>500000</v>
      </c>
      <c r="BY5" s="901">
        <f t="shared" ref="BY5:EE5" si="128">BY$35</f>
        <v>2</v>
      </c>
      <c r="BZ5" s="878">
        <f t="shared" si="128"/>
        <v>1</v>
      </c>
      <c r="CA5" s="1093">
        <f t="shared" si="128"/>
        <v>0.5</v>
      </c>
      <c r="CB5" s="881">
        <f t="shared" si="128"/>
        <v>500000</v>
      </c>
      <c r="CC5" s="901">
        <f t="shared" si="128"/>
        <v>2</v>
      </c>
      <c r="CD5" s="878">
        <f t="shared" si="128"/>
        <v>1</v>
      </c>
      <c r="CE5" s="1093">
        <f t="shared" si="128"/>
        <v>0.5</v>
      </c>
      <c r="CF5" s="881">
        <f t="shared" si="128"/>
        <v>500000</v>
      </c>
      <c r="CG5" s="901">
        <f t="shared" si="128"/>
        <v>2</v>
      </c>
      <c r="CH5" s="878">
        <f t="shared" si="128"/>
        <v>1</v>
      </c>
      <c r="CI5" s="1093">
        <f t="shared" si="128"/>
        <v>0.5</v>
      </c>
      <c r="CJ5" s="881">
        <f t="shared" si="128"/>
        <v>500000</v>
      </c>
      <c r="CK5" s="901">
        <f t="shared" si="128"/>
        <v>2</v>
      </c>
      <c r="CL5" s="878">
        <f t="shared" si="128"/>
        <v>1</v>
      </c>
      <c r="CM5" s="1093">
        <f t="shared" si="128"/>
        <v>0.5</v>
      </c>
      <c r="CN5" s="881">
        <f t="shared" si="128"/>
        <v>500000</v>
      </c>
      <c r="CO5" s="901">
        <f t="shared" si="128"/>
        <v>2</v>
      </c>
      <c r="CP5" s="878">
        <f t="shared" si="128"/>
        <v>1</v>
      </c>
      <c r="CQ5" s="1093">
        <f t="shared" si="128"/>
        <v>0.5</v>
      </c>
      <c r="CR5" s="881">
        <f t="shared" si="128"/>
        <v>500000</v>
      </c>
      <c r="CS5" s="901">
        <f t="shared" si="128"/>
        <v>2</v>
      </c>
      <c r="CT5" s="878">
        <f t="shared" si="128"/>
        <v>1</v>
      </c>
      <c r="CU5" s="1093">
        <f t="shared" si="128"/>
        <v>0.5</v>
      </c>
      <c r="CV5" s="881">
        <f t="shared" si="128"/>
        <v>500000</v>
      </c>
      <c r="CW5" s="901">
        <f t="shared" si="128"/>
        <v>2</v>
      </c>
      <c r="CX5" s="878">
        <f t="shared" si="128"/>
        <v>1</v>
      </c>
      <c r="CY5" s="1093">
        <f t="shared" si="128"/>
        <v>0.5</v>
      </c>
      <c r="CZ5" s="881">
        <f t="shared" si="128"/>
        <v>500000</v>
      </c>
      <c r="DA5" s="901">
        <f t="shared" si="128"/>
        <v>2</v>
      </c>
      <c r="DB5" s="878">
        <f t="shared" si="128"/>
        <v>1</v>
      </c>
      <c r="DC5" s="1093">
        <f t="shared" si="128"/>
        <v>0.5</v>
      </c>
      <c r="DD5" s="881">
        <f t="shared" si="128"/>
        <v>500000</v>
      </c>
      <c r="DE5" s="901">
        <f t="shared" si="128"/>
        <v>2</v>
      </c>
      <c r="DF5" s="878">
        <f t="shared" si="128"/>
        <v>1</v>
      </c>
      <c r="DG5" s="1093">
        <f t="shared" si="128"/>
        <v>0.5</v>
      </c>
      <c r="DH5" s="881">
        <f t="shared" si="128"/>
        <v>500000</v>
      </c>
      <c r="DI5" s="901">
        <f t="shared" si="128"/>
        <v>2</v>
      </c>
      <c r="DJ5" s="878">
        <f t="shared" si="128"/>
        <v>1</v>
      </c>
      <c r="DK5" s="1093">
        <f t="shared" si="128"/>
        <v>0.5</v>
      </c>
      <c r="DL5" s="881">
        <f t="shared" si="128"/>
        <v>500000</v>
      </c>
      <c r="DM5" s="901">
        <f t="shared" si="128"/>
        <v>2</v>
      </c>
      <c r="DN5" s="878">
        <f t="shared" si="128"/>
        <v>1</v>
      </c>
      <c r="DO5" s="1093">
        <f t="shared" si="128"/>
        <v>0.5</v>
      </c>
      <c r="DP5" s="881">
        <f t="shared" si="128"/>
        <v>500000</v>
      </c>
      <c r="DQ5" s="901">
        <f t="shared" si="128"/>
        <v>2</v>
      </c>
      <c r="DR5" s="878">
        <f t="shared" si="128"/>
        <v>1</v>
      </c>
      <c r="DS5" s="1093">
        <f t="shared" si="128"/>
        <v>0.5</v>
      </c>
      <c r="DT5" s="881">
        <f t="shared" si="128"/>
        <v>500000</v>
      </c>
      <c r="DU5" s="901">
        <f t="shared" si="128"/>
        <v>2</v>
      </c>
      <c r="DV5" s="878">
        <f t="shared" si="128"/>
        <v>1</v>
      </c>
      <c r="DW5" s="1093">
        <f t="shared" si="128"/>
        <v>0.5</v>
      </c>
      <c r="DX5" s="881">
        <f t="shared" si="128"/>
        <v>500000</v>
      </c>
      <c r="DY5" s="901">
        <f t="shared" si="128"/>
        <v>2</v>
      </c>
      <c r="DZ5" s="878">
        <f t="shared" si="128"/>
        <v>1</v>
      </c>
      <c r="EA5" s="1093">
        <f t="shared" si="128"/>
        <v>0.5</v>
      </c>
      <c r="EB5" s="881">
        <f t="shared" si="128"/>
        <v>500000</v>
      </c>
      <c r="EC5" s="901">
        <f t="shared" si="128"/>
        <v>2</v>
      </c>
      <c r="ED5" s="878">
        <f t="shared" si="128"/>
        <v>1</v>
      </c>
      <c r="EE5" s="1093">
        <f t="shared" si="128"/>
        <v>0.5</v>
      </c>
      <c r="EF5" s="881">
        <f>EF$35</f>
        <v>500000</v>
      </c>
    </row>
    <row r="6" spans="1:136" ht="20" customHeight="1" thickBot="1" x14ac:dyDescent="0.2">
      <c r="A6" s="95"/>
      <c r="B6" s="98"/>
      <c r="C6" s="800"/>
      <c r="D6" s="16"/>
      <c r="E6" s="841">
        <f>Dashboard!P13</f>
        <v>0.35</v>
      </c>
      <c r="F6" s="842">
        <f>Dashboard!Q13</f>
        <v>0.3</v>
      </c>
      <c r="G6" s="842">
        <f>Dashboard!R13</f>
        <v>0.25</v>
      </c>
      <c r="H6" s="843">
        <f>Dashboard!S13</f>
        <v>0.2</v>
      </c>
      <c r="I6" s="782">
        <f>$H$36</f>
        <v>0.5</v>
      </c>
      <c r="J6" s="1092">
        <f t="shared" si="122"/>
        <v>0.1875</v>
      </c>
      <c r="K6" s="871">
        <f>$E$36</f>
        <v>18600000</v>
      </c>
      <c r="L6" s="875" t="str">
        <f>C36</f>
        <v>SHOPPEE</v>
      </c>
      <c r="M6" s="901">
        <f t="shared" ref="M6:BX6" si="129">M$36</f>
        <v>6</v>
      </c>
      <c r="N6" s="878">
        <f t="shared" si="129"/>
        <v>3</v>
      </c>
      <c r="O6" s="1093">
        <f t="shared" si="129"/>
        <v>0.5</v>
      </c>
      <c r="P6" s="881">
        <f t="shared" si="129"/>
        <v>600000</v>
      </c>
      <c r="Q6" s="901">
        <f t="shared" si="129"/>
        <v>6</v>
      </c>
      <c r="R6" s="878">
        <f t="shared" si="129"/>
        <v>3</v>
      </c>
      <c r="S6" s="1093">
        <f t="shared" si="129"/>
        <v>0.5</v>
      </c>
      <c r="T6" s="881">
        <f t="shared" si="129"/>
        <v>600000</v>
      </c>
      <c r="U6" s="901">
        <f t="shared" si="129"/>
        <v>6</v>
      </c>
      <c r="V6" s="878">
        <f t="shared" si="129"/>
        <v>3</v>
      </c>
      <c r="W6" s="1093">
        <f t="shared" si="129"/>
        <v>0.5</v>
      </c>
      <c r="X6" s="881">
        <f t="shared" si="129"/>
        <v>600000</v>
      </c>
      <c r="Y6" s="901">
        <f t="shared" si="129"/>
        <v>6</v>
      </c>
      <c r="Z6" s="878">
        <f t="shared" si="129"/>
        <v>3</v>
      </c>
      <c r="AA6" s="1093">
        <f t="shared" si="129"/>
        <v>0.5</v>
      </c>
      <c r="AB6" s="881">
        <f t="shared" si="129"/>
        <v>600000</v>
      </c>
      <c r="AC6" s="901">
        <f t="shared" si="129"/>
        <v>6</v>
      </c>
      <c r="AD6" s="878">
        <f t="shared" si="129"/>
        <v>3</v>
      </c>
      <c r="AE6" s="1093">
        <f t="shared" si="129"/>
        <v>0.5</v>
      </c>
      <c r="AF6" s="881">
        <f t="shared" si="129"/>
        <v>600000</v>
      </c>
      <c r="AG6" s="901">
        <f t="shared" si="129"/>
        <v>6</v>
      </c>
      <c r="AH6" s="878">
        <f t="shared" si="129"/>
        <v>3</v>
      </c>
      <c r="AI6" s="1093">
        <f t="shared" si="129"/>
        <v>0.5</v>
      </c>
      <c r="AJ6" s="881">
        <f t="shared" si="129"/>
        <v>600000</v>
      </c>
      <c r="AK6" s="901">
        <f t="shared" si="129"/>
        <v>6</v>
      </c>
      <c r="AL6" s="878">
        <f t="shared" si="129"/>
        <v>3</v>
      </c>
      <c r="AM6" s="1093">
        <f t="shared" si="129"/>
        <v>0.5</v>
      </c>
      <c r="AN6" s="881">
        <f t="shared" si="129"/>
        <v>600000</v>
      </c>
      <c r="AO6" s="901">
        <f t="shared" si="129"/>
        <v>6</v>
      </c>
      <c r="AP6" s="878">
        <f t="shared" si="129"/>
        <v>3</v>
      </c>
      <c r="AQ6" s="1093">
        <f t="shared" si="129"/>
        <v>0.5</v>
      </c>
      <c r="AR6" s="881">
        <f t="shared" si="129"/>
        <v>600000</v>
      </c>
      <c r="AS6" s="901">
        <f t="shared" si="129"/>
        <v>6</v>
      </c>
      <c r="AT6" s="878">
        <f t="shared" si="129"/>
        <v>3</v>
      </c>
      <c r="AU6" s="1093">
        <f t="shared" si="129"/>
        <v>0.5</v>
      </c>
      <c r="AV6" s="881">
        <f t="shared" si="129"/>
        <v>600000</v>
      </c>
      <c r="AW6" s="901">
        <f t="shared" si="129"/>
        <v>6</v>
      </c>
      <c r="AX6" s="878">
        <f t="shared" si="129"/>
        <v>3</v>
      </c>
      <c r="AY6" s="1093">
        <f t="shared" si="129"/>
        <v>0.5</v>
      </c>
      <c r="AZ6" s="881">
        <f t="shared" si="129"/>
        <v>600000</v>
      </c>
      <c r="BA6" s="901">
        <f t="shared" si="129"/>
        <v>6</v>
      </c>
      <c r="BB6" s="878">
        <f t="shared" si="129"/>
        <v>3</v>
      </c>
      <c r="BC6" s="1093">
        <f t="shared" si="129"/>
        <v>0.5</v>
      </c>
      <c r="BD6" s="881">
        <f t="shared" si="129"/>
        <v>600000</v>
      </c>
      <c r="BE6" s="901">
        <f t="shared" si="129"/>
        <v>6</v>
      </c>
      <c r="BF6" s="878">
        <f t="shared" si="129"/>
        <v>3</v>
      </c>
      <c r="BG6" s="1093">
        <f t="shared" si="129"/>
        <v>0.5</v>
      </c>
      <c r="BH6" s="881">
        <f t="shared" si="129"/>
        <v>600000</v>
      </c>
      <c r="BI6" s="901">
        <f t="shared" si="129"/>
        <v>6</v>
      </c>
      <c r="BJ6" s="878">
        <f t="shared" si="129"/>
        <v>3</v>
      </c>
      <c r="BK6" s="1093">
        <f t="shared" si="129"/>
        <v>0.5</v>
      </c>
      <c r="BL6" s="881">
        <f t="shared" si="129"/>
        <v>600000</v>
      </c>
      <c r="BM6" s="901">
        <f t="shared" si="129"/>
        <v>6</v>
      </c>
      <c r="BN6" s="878">
        <f t="shared" si="129"/>
        <v>3</v>
      </c>
      <c r="BO6" s="1093">
        <f t="shared" si="129"/>
        <v>0.5</v>
      </c>
      <c r="BP6" s="881">
        <f t="shared" si="129"/>
        <v>600000</v>
      </c>
      <c r="BQ6" s="901">
        <f t="shared" si="129"/>
        <v>6</v>
      </c>
      <c r="BR6" s="878">
        <f t="shared" si="129"/>
        <v>3</v>
      </c>
      <c r="BS6" s="1093">
        <f t="shared" si="129"/>
        <v>0.5</v>
      </c>
      <c r="BT6" s="881">
        <f t="shared" si="129"/>
        <v>600000</v>
      </c>
      <c r="BU6" s="901">
        <f t="shared" si="129"/>
        <v>6</v>
      </c>
      <c r="BV6" s="878">
        <f t="shared" si="129"/>
        <v>3</v>
      </c>
      <c r="BW6" s="1093">
        <f t="shared" si="129"/>
        <v>0.5</v>
      </c>
      <c r="BX6" s="881">
        <f t="shared" si="129"/>
        <v>600000</v>
      </c>
      <c r="BY6" s="901">
        <f t="shared" ref="BY6:EE6" si="130">BY$36</f>
        <v>6</v>
      </c>
      <c r="BZ6" s="878">
        <f t="shared" si="130"/>
        <v>3</v>
      </c>
      <c r="CA6" s="1093">
        <f t="shared" si="130"/>
        <v>0.5</v>
      </c>
      <c r="CB6" s="881">
        <f t="shared" si="130"/>
        <v>600000</v>
      </c>
      <c r="CC6" s="901">
        <f t="shared" si="130"/>
        <v>6</v>
      </c>
      <c r="CD6" s="878">
        <f t="shared" si="130"/>
        <v>3</v>
      </c>
      <c r="CE6" s="1093">
        <f t="shared" si="130"/>
        <v>0.5</v>
      </c>
      <c r="CF6" s="881">
        <f t="shared" si="130"/>
        <v>600000</v>
      </c>
      <c r="CG6" s="901">
        <f t="shared" si="130"/>
        <v>6</v>
      </c>
      <c r="CH6" s="878">
        <f t="shared" si="130"/>
        <v>3</v>
      </c>
      <c r="CI6" s="1093">
        <f t="shared" si="130"/>
        <v>0.5</v>
      </c>
      <c r="CJ6" s="881">
        <f t="shared" si="130"/>
        <v>600000</v>
      </c>
      <c r="CK6" s="901">
        <f t="shared" si="130"/>
        <v>6</v>
      </c>
      <c r="CL6" s="878">
        <f t="shared" si="130"/>
        <v>3</v>
      </c>
      <c r="CM6" s="1093">
        <f t="shared" si="130"/>
        <v>0.5</v>
      </c>
      <c r="CN6" s="881">
        <f t="shared" si="130"/>
        <v>600000</v>
      </c>
      <c r="CO6" s="901">
        <f t="shared" si="130"/>
        <v>6</v>
      </c>
      <c r="CP6" s="878">
        <f t="shared" si="130"/>
        <v>3</v>
      </c>
      <c r="CQ6" s="1093">
        <f t="shared" si="130"/>
        <v>0.5</v>
      </c>
      <c r="CR6" s="881">
        <f t="shared" si="130"/>
        <v>600000</v>
      </c>
      <c r="CS6" s="901">
        <f t="shared" si="130"/>
        <v>6</v>
      </c>
      <c r="CT6" s="878">
        <f t="shared" si="130"/>
        <v>3</v>
      </c>
      <c r="CU6" s="1093">
        <f t="shared" si="130"/>
        <v>0.5</v>
      </c>
      <c r="CV6" s="881">
        <f t="shared" si="130"/>
        <v>600000</v>
      </c>
      <c r="CW6" s="901">
        <f t="shared" si="130"/>
        <v>6</v>
      </c>
      <c r="CX6" s="878">
        <f t="shared" si="130"/>
        <v>3</v>
      </c>
      <c r="CY6" s="1093">
        <f t="shared" si="130"/>
        <v>0.5</v>
      </c>
      <c r="CZ6" s="881">
        <f t="shared" si="130"/>
        <v>600000</v>
      </c>
      <c r="DA6" s="901">
        <f t="shared" si="130"/>
        <v>6</v>
      </c>
      <c r="DB6" s="878">
        <f t="shared" si="130"/>
        <v>3</v>
      </c>
      <c r="DC6" s="1093">
        <f t="shared" si="130"/>
        <v>0.5</v>
      </c>
      <c r="DD6" s="881">
        <f t="shared" si="130"/>
        <v>600000</v>
      </c>
      <c r="DE6" s="901">
        <f t="shared" si="130"/>
        <v>6</v>
      </c>
      <c r="DF6" s="878">
        <f t="shared" si="130"/>
        <v>3</v>
      </c>
      <c r="DG6" s="1093">
        <f t="shared" si="130"/>
        <v>0.5</v>
      </c>
      <c r="DH6" s="881">
        <f t="shared" si="130"/>
        <v>600000</v>
      </c>
      <c r="DI6" s="901">
        <f t="shared" si="130"/>
        <v>6</v>
      </c>
      <c r="DJ6" s="878">
        <f t="shared" si="130"/>
        <v>3</v>
      </c>
      <c r="DK6" s="1093">
        <f t="shared" si="130"/>
        <v>0.5</v>
      </c>
      <c r="DL6" s="881">
        <f t="shared" si="130"/>
        <v>600000</v>
      </c>
      <c r="DM6" s="901">
        <f t="shared" si="130"/>
        <v>6</v>
      </c>
      <c r="DN6" s="878">
        <f t="shared" si="130"/>
        <v>3</v>
      </c>
      <c r="DO6" s="1093">
        <f t="shared" si="130"/>
        <v>0.5</v>
      </c>
      <c r="DP6" s="881">
        <f t="shared" si="130"/>
        <v>600000</v>
      </c>
      <c r="DQ6" s="901">
        <f t="shared" si="130"/>
        <v>6</v>
      </c>
      <c r="DR6" s="878">
        <f t="shared" si="130"/>
        <v>3</v>
      </c>
      <c r="DS6" s="1093">
        <f t="shared" si="130"/>
        <v>0.5</v>
      </c>
      <c r="DT6" s="881">
        <f t="shared" si="130"/>
        <v>600000</v>
      </c>
      <c r="DU6" s="901">
        <f t="shared" si="130"/>
        <v>6</v>
      </c>
      <c r="DV6" s="878">
        <f t="shared" si="130"/>
        <v>3</v>
      </c>
      <c r="DW6" s="1093">
        <f t="shared" si="130"/>
        <v>0.5</v>
      </c>
      <c r="DX6" s="881">
        <f t="shared" si="130"/>
        <v>600000</v>
      </c>
      <c r="DY6" s="901">
        <f t="shared" si="130"/>
        <v>6</v>
      </c>
      <c r="DZ6" s="878">
        <f t="shared" si="130"/>
        <v>3</v>
      </c>
      <c r="EA6" s="1093">
        <f t="shared" si="130"/>
        <v>0.5</v>
      </c>
      <c r="EB6" s="881">
        <f t="shared" si="130"/>
        <v>600000</v>
      </c>
      <c r="EC6" s="901">
        <f t="shared" si="130"/>
        <v>6</v>
      </c>
      <c r="ED6" s="878">
        <f t="shared" si="130"/>
        <v>3</v>
      </c>
      <c r="EE6" s="1093">
        <f t="shared" si="130"/>
        <v>0.5</v>
      </c>
      <c r="EF6" s="881">
        <f>EF$36</f>
        <v>600000</v>
      </c>
    </row>
    <row r="7" spans="1:136" ht="20" customHeight="1" x14ac:dyDescent="0.15">
      <c r="A7" s="809" t="s">
        <v>193</v>
      </c>
      <c r="B7" s="810">
        <v>1</v>
      </c>
      <c r="C7" s="783">
        <f>COUNTIF(M12:EF12,"T7")</f>
        <v>4</v>
      </c>
      <c r="D7" s="16"/>
      <c r="I7" s="782">
        <f>IF(ISNUMBER($H$39), $H$39, 0)</f>
        <v>1</v>
      </c>
      <c r="J7" s="1092">
        <f>IF($E$19=0,0,K7/$E$19)</f>
        <v>9.375E-2</v>
      </c>
      <c r="K7" s="871">
        <f>$E$39</f>
        <v>9300000</v>
      </c>
      <c r="L7" s="875" t="str">
        <f>C39</f>
        <v>ZALO</v>
      </c>
      <c r="M7" s="901">
        <f t="shared" ref="M7:BX7" si="131">M$39</f>
        <v>1</v>
      </c>
      <c r="N7" s="879">
        <f t="shared" si="131"/>
        <v>1</v>
      </c>
      <c r="O7" s="1093">
        <f t="shared" si="131"/>
        <v>1</v>
      </c>
      <c r="P7" s="881">
        <f t="shared" si="131"/>
        <v>300000</v>
      </c>
      <c r="Q7" s="901">
        <f t="shared" si="131"/>
        <v>1</v>
      </c>
      <c r="R7" s="879">
        <f t="shared" si="131"/>
        <v>1</v>
      </c>
      <c r="S7" s="1093">
        <f t="shared" si="131"/>
        <v>1</v>
      </c>
      <c r="T7" s="881">
        <f t="shared" si="131"/>
        <v>300000</v>
      </c>
      <c r="U7" s="901">
        <f t="shared" si="131"/>
        <v>1</v>
      </c>
      <c r="V7" s="879">
        <f t="shared" si="131"/>
        <v>1</v>
      </c>
      <c r="W7" s="1093">
        <f t="shared" si="131"/>
        <v>1</v>
      </c>
      <c r="X7" s="881">
        <f t="shared" si="131"/>
        <v>300000</v>
      </c>
      <c r="Y7" s="901">
        <f t="shared" si="131"/>
        <v>1</v>
      </c>
      <c r="Z7" s="879">
        <f t="shared" si="131"/>
        <v>1</v>
      </c>
      <c r="AA7" s="1093">
        <f t="shared" si="131"/>
        <v>1</v>
      </c>
      <c r="AB7" s="881">
        <f t="shared" si="131"/>
        <v>300000</v>
      </c>
      <c r="AC7" s="901">
        <f t="shared" si="131"/>
        <v>1</v>
      </c>
      <c r="AD7" s="879">
        <f t="shared" si="131"/>
        <v>1</v>
      </c>
      <c r="AE7" s="1093">
        <f t="shared" si="131"/>
        <v>1</v>
      </c>
      <c r="AF7" s="881">
        <f t="shared" si="131"/>
        <v>300000</v>
      </c>
      <c r="AG7" s="901">
        <f t="shared" si="131"/>
        <v>1</v>
      </c>
      <c r="AH7" s="879">
        <f t="shared" si="131"/>
        <v>1</v>
      </c>
      <c r="AI7" s="1093">
        <f t="shared" si="131"/>
        <v>1</v>
      </c>
      <c r="AJ7" s="881">
        <f t="shared" si="131"/>
        <v>300000</v>
      </c>
      <c r="AK7" s="901">
        <f t="shared" si="131"/>
        <v>1</v>
      </c>
      <c r="AL7" s="879">
        <f t="shared" si="131"/>
        <v>1</v>
      </c>
      <c r="AM7" s="1093">
        <f t="shared" si="131"/>
        <v>1</v>
      </c>
      <c r="AN7" s="881">
        <f t="shared" si="131"/>
        <v>300000</v>
      </c>
      <c r="AO7" s="901">
        <f t="shared" si="131"/>
        <v>1</v>
      </c>
      <c r="AP7" s="879">
        <f t="shared" si="131"/>
        <v>1</v>
      </c>
      <c r="AQ7" s="1093">
        <f t="shared" si="131"/>
        <v>1</v>
      </c>
      <c r="AR7" s="881">
        <f t="shared" si="131"/>
        <v>300000</v>
      </c>
      <c r="AS7" s="901">
        <f t="shared" si="131"/>
        <v>1</v>
      </c>
      <c r="AT7" s="879">
        <f t="shared" si="131"/>
        <v>1</v>
      </c>
      <c r="AU7" s="1093">
        <f t="shared" si="131"/>
        <v>1</v>
      </c>
      <c r="AV7" s="881">
        <f t="shared" si="131"/>
        <v>300000</v>
      </c>
      <c r="AW7" s="901">
        <f t="shared" si="131"/>
        <v>1</v>
      </c>
      <c r="AX7" s="879">
        <f t="shared" si="131"/>
        <v>1</v>
      </c>
      <c r="AY7" s="1093">
        <f t="shared" si="131"/>
        <v>1</v>
      </c>
      <c r="AZ7" s="881">
        <f t="shared" si="131"/>
        <v>300000</v>
      </c>
      <c r="BA7" s="901">
        <f t="shared" si="131"/>
        <v>1</v>
      </c>
      <c r="BB7" s="879">
        <f t="shared" si="131"/>
        <v>1</v>
      </c>
      <c r="BC7" s="1093">
        <f t="shared" si="131"/>
        <v>1</v>
      </c>
      <c r="BD7" s="881">
        <f t="shared" si="131"/>
        <v>300000</v>
      </c>
      <c r="BE7" s="901">
        <f t="shared" si="131"/>
        <v>1</v>
      </c>
      <c r="BF7" s="879">
        <f t="shared" si="131"/>
        <v>1</v>
      </c>
      <c r="BG7" s="1093">
        <f t="shared" si="131"/>
        <v>1</v>
      </c>
      <c r="BH7" s="881">
        <f t="shared" si="131"/>
        <v>300000</v>
      </c>
      <c r="BI7" s="901">
        <f t="shared" si="131"/>
        <v>1</v>
      </c>
      <c r="BJ7" s="879">
        <f t="shared" si="131"/>
        <v>1</v>
      </c>
      <c r="BK7" s="1093">
        <f t="shared" si="131"/>
        <v>1</v>
      </c>
      <c r="BL7" s="881">
        <f t="shared" si="131"/>
        <v>300000</v>
      </c>
      <c r="BM7" s="901">
        <f t="shared" si="131"/>
        <v>1</v>
      </c>
      <c r="BN7" s="879">
        <f t="shared" si="131"/>
        <v>1</v>
      </c>
      <c r="BO7" s="1093">
        <f t="shared" si="131"/>
        <v>1</v>
      </c>
      <c r="BP7" s="881">
        <f t="shared" si="131"/>
        <v>300000</v>
      </c>
      <c r="BQ7" s="901">
        <f t="shared" si="131"/>
        <v>1</v>
      </c>
      <c r="BR7" s="879">
        <f t="shared" si="131"/>
        <v>1</v>
      </c>
      <c r="BS7" s="1093">
        <f t="shared" si="131"/>
        <v>1</v>
      </c>
      <c r="BT7" s="881">
        <f t="shared" si="131"/>
        <v>300000</v>
      </c>
      <c r="BU7" s="901">
        <f t="shared" si="131"/>
        <v>1</v>
      </c>
      <c r="BV7" s="879">
        <f t="shared" si="131"/>
        <v>1</v>
      </c>
      <c r="BW7" s="1093">
        <f t="shared" si="131"/>
        <v>1</v>
      </c>
      <c r="BX7" s="881">
        <f t="shared" si="131"/>
        <v>300000</v>
      </c>
      <c r="BY7" s="901">
        <f t="shared" ref="BY7:ED7" si="132">BY$39</f>
        <v>1</v>
      </c>
      <c r="BZ7" s="879">
        <f t="shared" si="132"/>
        <v>1</v>
      </c>
      <c r="CA7" s="1093">
        <f t="shared" si="132"/>
        <v>1</v>
      </c>
      <c r="CB7" s="881">
        <f t="shared" si="132"/>
        <v>300000</v>
      </c>
      <c r="CC7" s="901">
        <f t="shared" si="132"/>
        <v>1</v>
      </c>
      <c r="CD7" s="879">
        <f t="shared" si="132"/>
        <v>1</v>
      </c>
      <c r="CE7" s="1093">
        <f t="shared" si="132"/>
        <v>1</v>
      </c>
      <c r="CF7" s="881">
        <f t="shared" si="132"/>
        <v>300000</v>
      </c>
      <c r="CG7" s="901">
        <f t="shared" si="132"/>
        <v>1</v>
      </c>
      <c r="CH7" s="879">
        <f t="shared" si="132"/>
        <v>1</v>
      </c>
      <c r="CI7" s="1093">
        <f t="shared" si="132"/>
        <v>1</v>
      </c>
      <c r="CJ7" s="881">
        <f t="shared" si="132"/>
        <v>300000</v>
      </c>
      <c r="CK7" s="901">
        <f t="shared" si="132"/>
        <v>1</v>
      </c>
      <c r="CL7" s="879">
        <f t="shared" si="132"/>
        <v>1</v>
      </c>
      <c r="CM7" s="1093">
        <f t="shared" si="132"/>
        <v>1</v>
      </c>
      <c r="CN7" s="881">
        <f t="shared" si="132"/>
        <v>300000</v>
      </c>
      <c r="CO7" s="901">
        <f t="shared" si="132"/>
        <v>1</v>
      </c>
      <c r="CP7" s="879">
        <f t="shared" si="132"/>
        <v>1</v>
      </c>
      <c r="CQ7" s="1093">
        <f t="shared" si="132"/>
        <v>1</v>
      </c>
      <c r="CR7" s="881">
        <f t="shared" si="132"/>
        <v>300000</v>
      </c>
      <c r="CS7" s="901">
        <f t="shared" si="132"/>
        <v>1</v>
      </c>
      <c r="CT7" s="879">
        <f t="shared" si="132"/>
        <v>1</v>
      </c>
      <c r="CU7" s="1093">
        <f t="shared" si="132"/>
        <v>1</v>
      </c>
      <c r="CV7" s="881">
        <f t="shared" si="132"/>
        <v>300000</v>
      </c>
      <c r="CW7" s="901">
        <f t="shared" si="132"/>
        <v>1</v>
      </c>
      <c r="CX7" s="879">
        <f t="shared" si="132"/>
        <v>1</v>
      </c>
      <c r="CY7" s="1093">
        <f t="shared" si="132"/>
        <v>1</v>
      </c>
      <c r="CZ7" s="881">
        <f t="shared" si="132"/>
        <v>300000</v>
      </c>
      <c r="DA7" s="901">
        <f t="shared" si="132"/>
        <v>1</v>
      </c>
      <c r="DB7" s="879">
        <f t="shared" si="132"/>
        <v>1</v>
      </c>
      <c r="DC7" s="1093">
        <f t="shared" si="132"/>
        <v>1</v>
      </c>
      <c r="DD7" s="881">
        <f t="shared" si="132"/>
        <v>300000</v>
      </c>
      <c r="DE7" s="901">
        <f t="shared" si="132"/>
        <v>1</v>
      </c>
      <c r="DF7" s="879">
        <f t="shared" si="132"/>
        <v>1</v>
      </c>
      <c r="DG7" s="1093">
        <f t="shared" si="132"/>
        <v>1</v>
      </c>
      <c r="DH7" s="881">
        <f t="shared" si="132"/>
        <v>300000</v>
      </c>
      <c r="DI7" s="901">
        <f t="shared" si="132"/>
        <v>1</v>
      </c>
      <c r="DJ7" s="879">
        <f t="shared" si="132"/>
        <v>1</v>
      </c>
      <c r="DK7" s="1093">
        <f t="shared" si="132"/>
        <v>1</v>
      </c>
      <c r="DL7" s="881">
        <f t="shared" si="132"/>
        <v>300000</v>
      </c>
      <c r="DM7" s="901">
        <f t="shared" si="132"/>
        <v>1</v>
      </c>
      <c r="DN7" s="879">
        <f t="shared" si="132"/>
        <v>1</v>
      </c>
      <c r="DO7" s="1093">
        <f t="shared" si="132"/>
        <v>1</v>
      </c>
      <c r="DP7" s="881">
        <f t="shared" si="132"/>
        <v>300000</v>
      </c>
      <c r="DQ7" s="901">
        <f t="shared" si="132"/>
        <v>1</v>
      </c>
      <c r="DR7" s="879">
        <f t="shared" si="132"/>
        <v>1</v>
      </c>
      <c r="DS7" s="1093">
        <f t="shared" si="132"/>
        <v>1</v>
      </c>
      <c r="DT7" s="881">
        <f t="shared" si="132"/>
        <v>300000</v>
      </c>
      <c r="DU7" s="901">
        <f t="shared" si="132"/>
        <v>1</v>
      </c>
      <c r="DV7" s="879">
        <f t="shared" si="132"/>
        <v>1</v>
      </c>
      <c r="DW7" s="1093">
        <f t="shared" si="132"/>
        <v>1</v>
      </c>
      <c r="DX7" s="881">
        <f t="shared" si="132"/>
        <v>300000</v>
      </c>
      <c r="DY7" s="901">
        <f t="shared" si="132"/>
        <v>1</v>
      </c>
      <c r="DZ7" s="879">
        <f t="shared" si="132"/>
        <v>1</v>
      </c>
      <c r="EA7" s="1093">
        <f t="shared" si="132"/>
        <v>1</v>
      </c>
      <c r="EB7" s="881">
        <f t="shared" si="132"/>
        <v>300000</v>
      </c>
      <c r="EC7" s="901">
        <f t="shared" si="132"/>
        <v>1</v>
      </c>
      <c r="ED7" s="879">
        <f t="shared" si="132"/>
        <v>1</v>
      </c>
      <c r="EE7" s="1093">
        <f>EE$39</f>
        <v>1</v>
      </c>
      <c r="EF7" s="881">
        <f>EF$39</f>
        <v>300000</v>
      </c>
    </row>
    <row r="8" spans="1:136" ht="20" customHeight="1" x14ac:dyDescent="0.15">
      <c r="A8" s="811" t="s">
        <v>192</v>
      </c>
      <c r="B8" s="151">
        <f>COUNTIF($L$9:$EE$9,"TRUE")</f>
        <v>31</v>
      </c>
      <c r="C8" s="784"/>
      <c r="D8" s="785"/>
      <c r="I8" s="1396" t="s">
        <v>209</v>
      </c>
      <c r="J8" s="1396" t="s">
        <v>210</v>
      </c>
      <c r="K8" s="1397" t="s">
        <v>211</v>
      </c>
      <c r="L8" s="893" t="s">
        <v>203</v>
      </c>
      <c r="M8" s="902">
        <f>SUM(M2:M7)</f>
        <v>46</v>
      </c>
      <c r="N8" s="894">
        <f>SUM(N2:N7)</f>
        <v>35</v>
      </c>
      <c r="O8" s="1094">
        <f>_xlfn.IFS(M8=0,0,N8&lt;=M8,N8/M8,N8&gt;M8,1)</f>
        <v>0.76086956521739135</v>
      </c>
      <c r="P8" s="895">
        <f>SUM(P2:P7)</f>
        <v>3200000</v>
      </c>
      <c r="Q8" s="902">
        <f t="shared" ref="Q8:R8" si="133">SUM(Q2:Q7)</f>
        <v>46</v>
      </c>
      <c r="R8" s="894">
        <f t="shared" si="133"/>
        <v>35</v>
      </c>
      <c r="S8" s="1094">
        <f t="shared" ref="S8" si="134">_xlfn.IFS(Q8=0,0,R8&lt;=Q8,R8/Q8,R8&gt;Q8,1)</f>
        <v>0.76086956521739135</v>
      </c>
      <c r="T8" s="895">
        <f t="shared" ref="T8:V8" si="135">SUM(T2:T7)</f>
        <v>3200000</v>
      </c>
      <c r="U8" s="902">
        <f t="shared" si="135"/>
        <v>46</v>
      </c>
      <c r="V8" s="894">
        <f t="shared" si="135"/>
        <v>35</v>
      </c>
      <c r="W8" s="1094">
        <f t="shared" ref="W8" si="136">_xlfn.IFS(U8=0,0,V8&lt;=U8,V8/U8,V8&gt;U8,1)</f>
        <v>0.76086956521739135</v>
      </c>
      <c r="X8" s="895">
        <f t="shared" ref="X8:Z8" si="137">SUM(X2:X7)</f>
        <v>3200000</v>
      </c>
      <c r="Y8" s="902">
        <f t="shared" si="137"/>
        <v>46</v>
      </c>
      <c r="Z8" s="894">
        <f t="shared" si="137"/>
        <v>35</v>
      </c>
      <c r="AA8" s="1094">
        <f t="shared" ref="AA8" si="138">_xlfn.IFS(Y8=0,0,Z8&lt;=Y8,Z8/Y8,Z8&gt;Y8,1)</f>
        <v>0.76086956521739135</v>
      </c>
      <c r="AB8" s="895">
        <f t="shared" ref="AB8:AD8" si="139">SUM(AB2:AB7)</f>
        <v>3200000</v>
      </c>
      <c r="AC8" s="902">
        <f t="shared" si="139"/>
        <v>46</v>
      </c>
      <c r="AD8" s="894">
        <f t="shared" si="139"/>
        <v>35</v>
      </c>
      <c r="AE8" s="1094">
        <f t="shared" ref="AE8" si="140">_xlfn.IFS(AC8=0,0,AD8&lt;=AC8,AD8/AC8,AD8&gt;AC8,1)</f>
        <v>0.76086956521739135</v>
      </c>
      <c r="AF8" s="895">
        <f t="shared" ref="AF8:AH8" si="141">SUM(AF2:AF7)</f>
        <v>3200000</v>
      </c>
      <c r="AG8" s="902">
        <f t="shared" si="141"/>
        <v>46</v>
      </c>
      <c r="AH8" s="894">
        <f t="shared" si="141"/>
        <v>35</v>
      </c>
      <c r="AI8" s="1094">
        <f t="shared" ref="AI8" si="142">_xlfn.IFS(AG8=0,0,AH8&lt;=AG8,AH8/AG8,AH8&gt;AG8,1)</f>
        <v>0.76086956521739135</v>
      </c>
      <c r="AJ8" s="895">
        <f t="shared" ref="AJ8:AL8" si="143">SUM(AJ2:AJ7)</f>
        <v>3200000</v>
      </c>
      <c r="AK8" s="902">
        <f t="shared" si="143"/>
        <v>46</v>
      </c>
      <c r="AL8" s="894">
        <f t="shared" si="143"/>
        <v>35</v>
      </c>
      <c r="AM8" s="1094">
        <f t="shared" ref="AM8" si="144">_xlfn.IFS(AK8=0,0,AL8&lt;=AK8,AL8/AK8,AL8&gt;AK8,1)</f>
        <v>0.76086956521739135</v>
      </c>
      <c r="AN8" s="895">
        <f t="shared" ref="AN8:AP8" si="145">SUM(AN2:AN7)</f>
        <v>3200000</v>
      </c>
      <c r="AO8" s="902">
        <f t="shared" si="145"/>
        <v>46</v>
      </c>
      <c r="AP8" s="894">
        <f t="shared" si="145"/>
        <v>35</v>
      </c>
      <c r="AQ8" s="1094">
        <f t="shared" ref="AQ8" si="146">_xlfn.IFS(AO8=0,0,AP8&lt;=AO8,AP8/AO8,AP8&gt;AO8,1)</f>
        <v>0.76086956521739135</v>
      </c>
      <c r="AR8" s="895">
        <f t="shared" ref="AR8:AT8" si="147">SUM(AR2:AR7)</f>
        <v>3200000</v>
      </c>
      <c r="AS8" s="902">
        <f t="shared" si="147"/>
        <v>46</v>
      </c>
      <c r="AT8" s="894">
        <f t="shared" si="147"/>
        <v>35</v>
      </c>
      <c r="AU8" s="1094">
        <f t="shared" ref="AU8" si="148">_xlfn.IFS(AS8=0,0,AT8&lt;=AS8,AT8/AS8,AT8&gt;AS8,1)</f>
        <v>0.76086956521739135</v>
      </c>
      <c r="AV8" s="895">
        <f t="shared" ref="AV8:AX8" si="149">SUM(AV2:AV7)</f>
        <v>3200000</v>
      </c>
      <c r="AW8" s="902">
        <f t="shared" si="149"/>
        <v>46</v>
      </c>
      <c r="AX8" s="894">
        <f t="shared" si="149"/>
        <v>35</v>
      </c>
      <c r="AY8" s="1094">
        <f t="shared" ref="AY8" si="150">_xlfn.IFS(AW8=0,0,AX8&lt;=AW8,AX8/AW8,AX8&gt;AW8,1)</f>
        <v>0.76086956521739135</v>
      </c>
      <c r="AZ8" s="895">
        <f t="shared" ref="AZ8:BB8" si="151">SUM(AZ2:AZ7)</f>
        <v>3200000</v>
      </c>
      <c r="BA8" s="902">
        <f t="shared" si="151"/>
        <v>46</v>
      </c>
      <c r="BB8" s="894">
        <f t="shared" si="151"/>
        <v>35</v>
      </c>
      <c r="BC8" s="1094">
        <f t="shared" ref="BC8" si="152">_xlfn.IFS(BA8=0,0,BB8&lt;=BA8,BB8/BA8,BB8&gt;BA8,1)</f>
        <v>0.76086956521739135</v>
      </c>
      <c r="BD8" s="895">
        <f t="shared" ref="BD8:BF8" si="153">SUM(BD2:BD7)</f>
        <v>3200000</v>
      </c>
      <c r="BE8" s="902">
        <f t="shared" si="153"/>
        <v>46</v>
      </c>
      <c r="BF8" s="894">
        <f t="shared" si="153"/>
        <v>35</v>
      </c>
      <c r="BG8" s="1094">
        <f t="shared" ref="BG8" si="154">_xlfn.IFS(BE8=0,0,BF8&lt;=BE8,BF8/BE8,BF8&gt;BE8,1)</f>
        <v>0.76086956521739135</v>
      </c>
      <c r="BH8" s="895">
        <f t="shared" ref="BH8:BJ8" si="155">SUM(BH2:BH7)</f>
        <v>3200000</v>
      </c>
      <c r="BI8" s="902">
        <f t="shared" si="155"/>
        <v>46</v>
      </c>
      <c r="BJ8" s="894">
        <f t="shared" si="155"/>
        <v>35</v>
      </c>
      <c r="BK8" s="1094">
        <f t="shared" ref="BK8" si="156">_xlfn.IFS(BI8=0,0,BJ8&lt;=BI8,BJ8/BI8,BJ8&gt;BI8,1)</f>
        <v>0.76086956521739135</v>
      </c>
      <c r="BL8" s="895">
        <f t="shared" ref="BL8:BN8" si="157">SUM(BL2:BL7)</f>
        <v>3200000</v>
      </c>
      <c r="BM8" s="902">
        <f t="shared" si="157"/>
        <v>46</v>
      </c>
      <c r="BN8" s="894">
        <f t="shared" si="157"/>
        <v>35</v>
      </c>
      <c r="BO8" s="1094">
        <f t="shared" ref="BO8" si="158">_xlfn.IFS(BM8=0,0,BN8&lt;=BM8,BN8/BM8,BN8&gt;BM8,1)</f>
        <v>0.76086956521739135</v>
      </c>
      <c r="BP8" s="895">
        <f t="shared" ref="BP8:BR8" si="159">SUM(BP2:BP7)</f>
        <v>3200000</v>
      </c>
      <c r="BQ8" s="902">
        <f t="shared" si="159"/>
        <v>46</v>
      </c>
      <c r="BR8" s="894">
        <f t="shared" si="159"/>
        <v>35</v>
      </c>
      <c r="BS8" s="1094">
        <f t="shared" ref="BS8" si="160">_xlfn.IFS(BQ8=0,0,BR8&lt;=BQ8,BR8/BQ8,BR8&gt;BQ8,1)</f>
        <v>0.76086956521739135</v>
      </c>
      <c r="BT8" s="895">
        <f t="shared" ref="BT8:BV8" si="161">SUM(BT2:BT7)</f>
        <v>3200000</v>
      </c>
      <c r="BU8" s="902">
        <f t="shared" si="161"/>
        <v>46</v>
      </c>
      <c r="BV8" s="894">
        <f t="shared" si="161"/>
        <v>35</v>
      </c>
      <c r="BW8" s="1094">
        <f t="shared" ref="BW8" si="162">_xlfn.IFS(BU8=0,0,BV8&lt;=BU8,BV8/BU8,BV8&gt;BU8,1)</f>
        <v>0.76086956521739135</v>
      </c>
      <c r="BX8" s="895">
        <f t="shared" ref="BX8:BZ8" si="163">SUM(BX2:BX7)</f>
        <v>3200000</v>
      </c>
      <c r="BY8" s="902">
        <f t="shared" si="163"/>
        <v>46</v>
      </c>
      <c r="BZ8" s="894">
        <f t="shared" si="163"/>
        <v>35</v>
      </c>
      <c r="CA8" s="1094">
        <f t="shared" ref="CA8" si="164">_xlfn.IFS(BY8=0,0,BZ8&lt;=BY8,BZ8/BY8,BZ8&gt;BY8,1)</f>
        <v>0.76086956521739135</v>
      </c>
      <c r="CB8" s="895">
        <f t="shared" ref="CB8:CD8" si="165">SUM(CB2:CB7)</f>
        <v>3200000</v>
      </c>
      <c r="CC8" s="902">
        <f t="shared" si="165"/>
        <v>46</v>
      </c>
      <c r="CD8" s="894">
        <f t="shared" si="165"/>
        <v>35</v>
      </c>
      <c r="CE8" s="1094">
        <f t="shared" ref="CE8" si="166">_xlfn.IFS(CC8=0,0,CD8&lt;=CC8,CD8/CC8,CD8&gt;CC8,1)</f>
        <v>0.76086956521739135</v>
      </c>
      <c r="CF8" s="895">
        <f t="shared" ref="CF8:CH8" si="167">SUM(CF2:CF7)</f>
        <v>3200000</v>
      </c>
      <c r="CG8" s="902">
        <f t="shared" si="167"/>
        <v>46</v>
      </c>
      <c r="CH8" s="894">
        <f t="shared" si="167"/>
        <v>35</v>
      </c>
      <c r="CI8" s="1094">
        <f t="shared" ref="CI8" si="168">_xlfn.IFS(CG8=0,0,CH8&lt;=CG8,CH8/CG8,CH8&gt;CG8,1)</f>
        <v>0.76086956521739135</v>
      </c>
      <c r="CJ8" s="895">
        <f t="shared" ref="CJ8:CL8" si="169">SUM(CJ2:CJ7)</f>
        <v>3200000</v>
      </c>
      <c r="CK8" s="902">
        <f t="shared" si="169"/>
        <v>46</v>
      </c>
      <c r="CL8" s="894">
        <f t="shared" si="169"/>
        <v>35</v>
      </c>
      <c r="CM8" s="1094">
        <f t="shared" ref="CM8" si="170">_xlfn.IFS(CK8=0,0,CL8&lt;=CK8,CL8/CK8,CL8&gt;CK8,1)</f>
        <v>0.76086956521739135</v>
      </c>
      <c r="CN8" s="895">
        <f t="shared" ref="CN8:CP8" si="171">SUM(CN2:CN7)</f>
        <v>3200000</v>
      </c>
      <c r="CO8" s="902">
        <f t="shared" si="171"/>
        <v>46</v>
      </c>
      <c r="CP8" s="894">
        <f t="shared" si="171"/>
        <v>35</v>
      </c>
      <c r="CQ8" s="1094">
        <f t="shared" ref="CQ8" si="172">_xlfn.IFS(CO8=0,0,CP8&lt;=CO8,CP8/CO8,CP8&gt;CO8,1)</f>
        <v>0.76086956521739135</v>
      </c>
      <c r="CR8" s="895">
        <f t="shared" ref="CR8:CT8" si="173">SUM(CR2:CR7)</f>
        <v>3200000</v>
      </c>
      <c r="CS8" s="902">
        <f t="shared" si="173"/>
        <v>46</v>
      </c>
      <c r="CT8" s="894">
        <f t="shared" si="173"/>
        <v>35</v>
      </c>
      <c r="CU8" s="1094">
        <f t="shared" ref="CU8" si="174">_xlfn.IFS(CS8=0,0,CT8&lt;=CS8,CT8/CS8,CT8&gt;CS8,1)</f>
        <v>0.76086956521739135</v>
      </c>
      <c r="CV8" s="895">
        <f t="shared" ref="CV8:CX8" si="175">SUM(CV2:CV7)</f>
        <v>3200000</v>
      </c>
      <c r="CW8" s="902">
        <f t="shared" si="175"/>
        <v>46</v>
      </c>
      <c r="CX8" s="894">
        <f t="shared" si="175"/>
        <v>35</v>
      </c>
      <c r="CY8" s="1094">
        <f t="shared" ref="CY8" si="176">_xlfn.IFS(CW8=0,0,CX8&lt;=CW8,CX8/CW8,CX8&gt;CW8,1)</f>
        <v>0.76086956521739135</v>
      </c>
      <c r="CZ8" s="895">
        <f t="shared" ref="CZ8:DB8" si="177">SUM(CZ2:CZ7)</f>
        <v>3200000</v>
      </c>
      <c r="DA8" s="902">
        <f t="shared" si="177"/>
        <v>46</v>
      </c>
      <c r="DB8" s="894">
        <f t="shared" si="177"/>
        <v>35</v>
      </c>
      <c r="DC8" s="1094">
        <f t="shared" ref="DC8" si="178">_xlfn.IFS(DA8=0,0,DB8&lt;=DA8,DB8/DA8,DB8&gt;DA8,1)</f>
        <v>0.76086956521739135</v>
      </c>
      <c r="DD8" s="895">
        <f t="shared" ref="DD8:DF8" si="179">SUM(DD2:DD7)</f>
        <v>3200000</v>
      </c>
      <c r="DE8" s="902">
        <f t="shared" si="179"/>
        <v>46</v>
      </c>
      <c r="DF8" s="894">
        <f t="shared" si="179"/>
        <v>35</v>
      </c>
      <c r="DG8" s="1094">
        <f t="shared" ref="DG8" si="180">_xlfn.IFS(DE8=0,0,DF8&lt;=DE8,DF8/DE8,DF8&gt;DE8,1)</f>
        <v>0.76086956521739135</v>
      </c>
      <c r="DH8" s="895">
        <f t="shared" ref="DH8:DJ8" si="181">SUM(DH2:DH7)</f>
        <v>3200000</v>
      </c>
      <c r="DI8" s="902">
        <f t="shared" si="181"/>
        <v>46</v>
      </c>
      <c r="DJ8" s="894">
        <f t="shared" si="181"/>
        <v>35</v>
      </c>
      <c r="DK8" s="1094">
        <f t="shared" ref="DK8" si="182">_xlfn.IFS(DI8=0,0,DJ8&lt;=DI8,DJ8/DI8,DJ8&gt;DI8,1)</f>
        <v>0.76086956521739135</v>
      </c>
      <c r="DL8" s="895">
        <f t="shared" ref="DL8:DN8" si="183">SUM(DL2:DL7)</f>
        <v>3200000</v>
      </c>
      <c r="DM8" s="902">
        <f t="shared" si="183"/>
        <v>46</v>
      </c>
      <c r="DN8" s="894">
        <f t="shared" si="183"/>
        <v>35</v>
      </c>
      <c r="DO8" s="1094">
        <f t="shared" ref="DO8" si="184">_xlfn.IFS(DM8=0,0,DN8&lt;=DM8,DN8/DM8,DN8&gt;DM8,1)</f>
        <v>0.76086956521739135</v>
      </c>
      <c r="DP8" s="895">
        <f t="shared" ref="DP8:DR8" si="185">SUM(DP2:DP7)</f>
        <v>3200000</v>
      </c>
      <c r="DQ8" s="902">
        <f t="shared" si="185"/>
        <v>46</v>
      </c>
      <c r="DR8" s="894">
        <f t="shared" si="185"/>
        <v>35</v>
      </c>
      <c r="DS8" s="1094">
        <f t="shared" ref="DS8" si="186">_xlfn.IFS(DQ8=0,0,DR8&lt;=DQ8,DR8/DQ8,DR8&gt;DQ8,1)</f>
        <v>0.76086956521739135</v>
      </c>
      <c r="DT8" s="895">
        <f t="shared" ref="DT8:DV8" si="187">SUM(DT2:DT7)</f>
        <v>3200000</v>
      </c>
      <c r="DU8" s="902">
        <f t="shared" si="187"/>
        <v>46</v>
      </c>
      <c r="DV8" s="894">
        <f t="shared" si="187"/>
        <v>35</v>
      </c>
      <c r="DW8" s="1094">
        <f t="shared" ref="DW8" si="188">_xlfn.IFS(DU8=0,0,DV8&lt;=DU8,DV8/DU8,DV8&gt;DU8,1)</f>
        <v>0.76086956521739135</v>
      </c>
      <c r="DX8" s="895">
        <f t="shared" ref="DX8:DZ8" si="189">SUM(DX2:DX7)</f>
        <v>3200000</v>
      </c>
      <c r="DY8" s="902">
        <f t="shared" si="189"/>
        <v>46</v>
      </c>
      <c r="DZ8" s="894">
        <f t="shared" si="189"/>
        <v>35</v>
      </c>
      <c r="EA8" s="1094">
        <f t="shared" ref="EA8" si="190">_xlfn.IFS(DY8=0,0,DZ8&lt;=DY8,DZ8/DY8,DZ8&gt;DY8,1)</f>
        <v>0.76086956521739135</v>
      </c>
      <c r="EB8" s="895">
        <f t="shared" ref="EB8:ED8" si="191">SUM(EB2:EB7)</f>
        <v>3200000</v>
      </c>
      <c r="EC8" s="902">
        <f t="shared" si="191"/>
        <v>46</v>
      </c>
      <c r="ED8" s="894">
        <f t="shared" si="191"/>
        <v>35</v>
      </c>
      <c r="EE8" s="1094">
        <f t="shared" ref="EE8" si="192">_xlfn.IFS(EC8=0,0,ED8&lt;=EC8,ED8/EC8,ED8&gt;EC8,1)</f>
        <v>0.76086956521739135</v>
      </c>
      <c r="EF8" s="895">
        <f t="shared" ref="EF8" si="193">SUM(EF2:EF7)</f>
        <v>3200000</v>
      </c>
    </row>
    <row r="9" spans="1:136" ht="20" customHeight="1" x14ac:dyDescent="0.15">
      <c r="A9" s="812" t="s">
        <v>194</v>
      </c>
      <c r="B9" s="939">
        <f>B8-B7/2-C7/2</f>
        <v>28.5</v>
      </c>
      <c r="C9" s="16"/>
      <c r="D9" s="786"/>
      <c r="I9" s="1396"/>
      <c r="J9" s="1396"/>
      <c r="K9" s="1397"/>
      <c r="L9" s="876" t="s">
        <v>212</v>
      </c>
      <c r="M9" s="1388" t="b">
        <v>1</v>
      </c>
      <c r="N9" s="1389"/>
      <c r="O9" s="1389"/>
      <c r="P9" s="1390"/>
      <c r="Q9" s="1388" t="b">
        <v>1</v>
      </c>
      <c r="R9" s="1389"/>
      <c r="S9" s="1389"/>
      <c r="T9" s="1390"/>
      <c r="U9" s="1388" t="b">
        <v>1</v>
      </c>
      <c r="V9" s="1389"/>
      <c r="W9" s="1389"/>
      <c r="X9" s="1390"/>
      <c r="Y9" s="1388" t="b">
        <v>1</v>
      </c>
      <c r="Z9" s="1389"/>
      <c r="AA9" s="1389"/>
      <c r="AB9" s="1390"/>
      <c r="AC9" s="1388" t="b">
        <v>1</v>
      </c>
      <c r="AD9" s="1389"/>
      <c r="AE9" s="1389"/>
      <c r="AF9" s="1390"/>
      <c r="AG9" s="1388" t="b">
        <v>1</v>
      </c>
      <c r="AH9" s="1389"/>
      <c r="AI9" s="1389"/>
      <c r="AJ9" s="1390"/>
      <c r="AK9" s="1388" t="b">
        <v>1</v>
      </c>
      <c r="AL9" s="1389"/>
      <c r="AM9" s="1389"/>
      <c r="AN9" s="1390"/>
      <c r="AO9" s="1388" t="b">
        <v>1</v>
      </c>
      <c r="AP9" s="1389"/>
      <c r="AQ9" s="1389"/>
      <c r="AR9" s="1390"/>
      <c r="AS9" s="1388" t="b">
        <v>1</v>
      </c>
      <c r="AT9" s="1389"/>
      <c r="AU9" s="1389"/>
      <c r="AV9" s="1390"/>
      <c r="AW9" s="1388" t="b">
        <v>1</v>
      </c>
      <c r="AX9" s="1389"/>
      <c r="AY9" s="1389"/>
      <c r="AZ9" s="1390"/>
      <c r="BA9" s="1388" t="b">
        <v>1</v>
      </c>
      <c r="BB9" s="1389"/>
      <c r="BC9" s="1389"/>
      <c r="BD9" s="1390"/>
      <c r="BE9" s="1388" t="b">
        <v>1</v>
      </c>
      <c r="BF9" s="1389"/>
      <c r="BG9" s="1389"/>
      <c r="BH9" s="1390"/>
      <c r="BI9" s="1388" t="b">
        <v>1</v>
      </c>
      <c r="BJ9" s="1389"/>
      <c r="BK9" s="1389"/>
      <c r="BL9" s="1390"/>
      <c r="BM9" s="1388" t="b">
        <v>1</v>
      </c>
      <c r="BN9" s="1389"/>
      <c r="BO9" s="1389"/>
      <c r="BP9" s="1390"/>
      <c r="BQ9" s="1388" t="b">
        <v>1</v>
      </c>
      <c r="BR9" s="1389"/>
      <c r="BS9" s="1389"/>
      <c r="BT9" s="1390"/>
      <c r="BU9" s="1388" t="b">
        <v>1</v>
      </c>
      <c r="BV9" s="1389"/>
      <c r="BW9" s="1389"/>
      <c r="BX9" s="1390"/>
      <c r="BY9" s="1388" t="b">
        <v>1</v>
      </c>
      <c r="BZ9" s="1389"/>
      <c r="CA9" s="1389"/>
      <c r="CB9" s="1390"/>
      <c r="CC9" s="1388" t="b">
        <v>1</v>
      </c>
      <c r="CD9" s="1389"/>
      <c r="CE9" s="1389"/>
      <c r="CF9" s="1390"/>
      <c r="CG9" s="1388" t="b">
        <v>1</v>
      </c>
      <c r="CH9" s="1389"/>
      <c r="CI9" s="1389"/>
      <c r="CJ9" s="1390"/>
      <c r="CK9" s="1388" t="b">
        <v>1</v>
      </c>
      <c r="CL9" s="1389"/>
      <c r="CM9" s="1389"/>
      <c r="CN9" s="1390"/>
      <c r="CO9" s="1388" t="b">
        <v>1</v>
      </c>
      <c r="CP9" s="1389"/>
      <c r="CQ9" s="1389"/>
      <c r="CR9" s="1390"/>
      <c r="CS9" s="1388" t="b">
        <v>1</v>
      </c>
      <c r="CT9" s="1389"/>
      <c r="CU9" s="1389"/>
      <c r="CV9" s="1390"/>
      <c r="CW9" s="1388" t="b">
        <v>1</v>
      </c>
      <c r="CX9" s="1389"/>
      <c r="CY9" s="1389"/>
      <c r="CZ9" s="1390"/>
      <c r="DA9" s="1388" t="b">
        <v>1</v>
      </c>
      <c r="DB9" s="1389"/>
      <c r="DC9" s="1389"/>
      <c r="DD9" s="1390"/>
      <c r="DE9" s="1388" t="b">
        <v>1</v>
      </c>
      <c r="DF9" s="1389"/>
      <c r="DG9" s="1389"/>
      <c r="DH9" s="1390"/>
      <c r="DI9" s="1388" t="b">
        <v>1</v>
      </c>
      <c r="DJ9" s="1389"/>
      <c r="DK9" s="1389"/>
      <c r="DL9" s="1390"/>
      <c r="DM9" s="1388" t="b">
        <v>1</v>
      </c>
      <c r="DN9" s="1389"/>
      <c r="DO9" s="1389"/>
      <c r="DP9" s="1390"/>
      <c r="DQ9" s="1388" t="b">
        <v>1</v>
      </c>
      <c r="DR9" s="1389"/>
      <c r="DS9" s="1389"/>
      <c r="DT9" s="1390"/>
      <c r="DU9" s="1388" t="b">
        <v>1</v>
      </c>
      <c r="DV9" s="1389"/>
      <c r="DW9" s="1389"/>
      <c r="DX9" s="1390"/>
      <c r="DY9" s="1388" t="b">
        <v>1</v>
      </c>
      <c r="DZ9" s="1389"/>
      <c r="EA9" s="1389"/>
      <c r="EB9" s="1390"/>
      <c r="EC9" s="1388" t="b">
        <v>1</v>
      </c>
      <c r="ED9" s="1389"/>
      <c r="EE9" s="1389"/>
      <c r="EF9" s="1390"/>
    </row>
    <row r="10" spans="1:136" ht="20" customHeight="1" x14ac:dyDescent="0.15">
      <c r="A10" s="1393" t="s">
        <v>195</v>
      </c>
      <c r="B10" s="1311"/>
      <c r="C10" s="1311"/>
      <c r="D10" s="786"/>
      <c r="E10" s="786"/>
      <c r="F10" s="80"/>
      <c r="G10" s="80"/>
      <c r="H10" s="80"/>
      <c r="I10" s="1396"/>
      <c r="J10" s="1396"/>
      <c r="K10" s="1397"/>
      <c r="L10" s="872"/>
      <c r="M10" s="1394">
        <v>45748</v>
      </c>
      <c r="N10" s="1394"/>
      <c r="O10" s="1394"/>
      <c r="P10" s="1394"/>
      <c r="Q10" s="1394">
        <f>M10+1</f>
        <v>45749</v>
      </c>
      <c r="R10" s="1394"/>
      <c r="S10" s="1394"/>
      <c r="T10" s="1394"/>
      <c r="U10" s="1394">
        <f>Q10+1</f>
        <v>45750</v>
      </c>
      <c r="V10" s="1395"/>
      <c r="W10" s="1395"/>
      <c r="X10" s="1395"/>
      <c r="Y10" s="1394">
        <f>U10+1</f>
        <v>45751</v>
      </c>
      <c r="Z10" s="1395"/>
      <c r="AA10" s="1395"/>
      <c r="AB10" s="1395"/>
      <c r="AC10" s="1394">
        <f>Y10+1</f>
        <v>45752</v>
      </c>
      <c r="AD10" s="1395"/>
      <c r="AE10" s="1395"/>
      <c r="AF10" s="1395"/>
      <c r="AG10" s="1394">
        <f>AC10+1</f>
        <v>45753</v>
      </c>
      <c r="AH10" s="1395"/>
      <c r="AI10" s="1395"/>
      <c r="AJ10" s="1395"/>
      <c r="AK10" s="1394">
        <f>AG10+1</f>
        <v>45754</v>
      </c>
      <c r="AL10" s="1395"/>
      <c r="AM10" s="1395"/>
      <c r="AN10" s="1395"/>
      <c r="AO10" s="1394">
        <f>AK10+1</f>
        <v>45755</v>
      </c>
      <c r="AP10" s="1395"/>
      <c r="AQ10" s="1395"/>
      <c r="AR10" s="1395"/>
      <c r="AS10" s="1394">
        <f>AO10+1</f>
        <v>45756</v>
      </c>
      <c r="AT10" s="1395"/>
      <c r="AU10" s="1395"/>
      <c r="AV10" s="1395"/>
      <c r="AW10" s="1394">
        <f>AS10+1</f>
        <v>45757</v>
      </c>
      <c r="AX10" s="1395"/>
      <c r="AY10" s="1395"/>
      <c r="AZ10" s="1395"/>
      <c r="BA10" s="1394">
        <f>AW10+1</f>
        <v>45758</v>
      </c>
      <c r="BB10" s="1395"/>
      <c r="BC10" s="1395"/>
      <c r="BD10" s="1395"/>
      <c r="BE10" s="1394">
        <f>BA10+1</f>
        <v>45759</v>
      </c>
      <c r="BF10" s="1395"/>
      <c r="BG10" s="1395"/>
      <c r="BH10" s="1395"/>
      <c r="BI10" s="1394">
        <f>BE10+1</f>
        <v>45760</v>
      </c>
      <c r="BJ10" s="1395"/>
      <c r="BK10" s="1395"/>
      <c r="BL10" s="1395"/>
      <c r="BM10" s="1394">
        <f>BI10+1</f>
        <v>45761</v>
      </c>
      <c r="BN10" s="1395"/>
      <c r="BO10" s="1395"/>
      <c r="BP10" s="1395"/>
      <c r="BQ10" s="1394">
        <f>BM10+1</f>
        <v>45762</v>
      </c>
      <c r="BR10" s="1395"/>
      <c r="BS10" s="1395"/>
      <c r="BT10" s="1395"/>
      <c r="BU10" s="1394">
        <f>BQ10+1</f>
        <v>45763</v>
      </c>
      <c r="BV10" s="1395"/>
      <c r="BW10" s="1395"/>
      <c r="BX10" s="1395"/>
      <c r="BY10" s="1394">
        <f>BU10+1</f>
        <v>45764</v>
      </c>
      <c r="BZ10" s="1395"/>
      <c r="CA10" s="1395"/>
      <c r="CB10" s="1395"/>
      <c r="CC10" s="1394">
        <f>BY10+1</f>
        <v>45765</v>
      </c>
      <c r="CD10" s="1395"/>
      <c r="CE10" s="1395"/>
      <c r="CF10" s="1395"/>
      <c r="CG10" s="1394">
        <f>CC10+1</f>
        <v>45766</v>
      </c>
      <c r="CH10" s="1395"/>
      <c r="CI10" s="1395"/>
      <c r="CJ10" s="1395"/>
      <c r="CK10" s="1394">
        <f>CG10+1</f>
        <v>45767</v>
      </c>
      <c r="CL10" s="1395"/>
      <c r="CM10" s="1395"/>
      <c r="CN10" s="1395"/>
      <c r="CO10" s="1394">
        <f>CK10+1</f>
        <v>45768</v>
      </c>
      <c r="CP10" s="1395"/>
      <c r="CQ10" s="1395"/>
      <c r="CR10" s="1395"/>
      <c r="CS10" s="1394">
        <f>CO10+1</f>
        <v>45769</v>
      </c>
      <c r="CT10" s="1395"/>
      <c r="CU10" s="1395"/>
      <c r="CV10" s="1395"/>
      <c r="CW10" s="1394">
        <f>CS10+1</f>
        <v>45770</v>
      </c>
      <c r="CX10" s="1395"/>
      <c r="CY10" s="1395"/>
      <c r="CZ10" s="1395"/>
      <c r="DA10" s="1394">
        <f>CW10+1</f>
        <v>45771</v>
      </c>
      <c r="DB10" s="1395"/>
      <c r="DC10" s="1395"/>
      <c r="DD10" s="1395"/>
      <c r="DE10" s="1394">
        <f>DA10+1</f>
        <v>45772</v>
      </c>
      <c r="DF10" s="1395"/>
      <c r="DG10" s="1395"/>
      <c r="DH10" s="1395"/>
      <c r="DI10" s="1394">
        <f>DE10+1</f>
        <v>45773</v>
      </c>
      <c r="DJ10" s="1395"/>
      <c r="DK10" s="1395"/>
      <c r="DL10" s="1395"/>
      <c r="DM10" s="1394">
        <f>DI10+1</f>
        <v>45774</v>
      </c>
      <c r="DN10" s="1395"/>
      <c r="DO10" s="1395"/>
      <c r="DP10" s="1395"/>
      <c r="DQ10" s="1394">
        <f>DM10+1</f>
        <v>45775</v>
      </c>
      <c r="DR10" s="1395"/>
      <c r="DS10" s="1395"/>
      <c r="DT10" s="1395"/>
      <c r="DU10" s="1394">
        <f>DQ10+1</f>
        <v>45776</v>
      </c>
      <c r="DV10" s="1395"/>
      <c r="DW10" s="1395"/>
      <c r="DX10" s="1395"/>
      <c r="DY10" s="1394">
        <f>DU10+1</f>
        <v>45777</v>
      </c>
      <c r="DZ10" s="1395"/>
      <c r="EA10" s="1395"/>
      <c r="EB10" s="1395"/>
      <c r="EC10" s="1394">
        <f>DY10+1</f>
        <v>45778</v>
      </c>
      <c r="ED10" s="1395"/>
      <c r="EE10" s="1395"/>
      <c r="EF10" s="1395"/>
    </row>
    <row r="11" spans="1:136" ht="20" customHeight="1" x14ac:dyDescent="0.15">
      <c r="A11" s="981" t="s">
        <v>196</v>
      </c>
      <c r="B11" s="981"/>
      <c r="C11" s="80"/>
      <c r="D11" s="786"/>
      <c r="E11" s="786"/>
      <c r="F11" s="786"/>
      <c r="G11" s="786"/>
      <c r="H11" s="786"/>
      <c r="I11" s="1396"/>
      <c r="J11" s="1396"/>
      <c r="K11" s="1397"/>
      <c r="L11" s="872"/>
      <c r="M11" s="932">
        <f>$M$10</f>
        <v>45748</v>
      </c>
      <c r="N11" s="932">
        <f t="shared" ref="N11:P11" si="194">$M$10</f>
        <v>45748</v>
      </c>
      <c r="O11" s="932">
        <f t="shared" si="194"/>
        <v>45748</v>
      </c>
      <c r="P11" s="932">
        <f t="shared" si="194"/>
        <v>45748</v>
      </c>
      <c r="Q11" s="932">
        <f>Q$10</f>
        <v>45749</v>
      </c>
      <c r="R11" s="932">
        <f>Q$10</f>
        <v>45749</v>
      </c>
      <c r="S11" s="932">
        <f>Q$10</f>
        <v>45749</v>
      </c>
      <c r="T11" s="932">
        <f>Q$10</f>
        <v>45749</v>
      </c>
      <c r="U11" s="932">
        <f>U$10</f>
        <v>45750</v>
      </c>
      <c r="V11" s="932">
        <f>U$10</f>
        <v>45750</v>
      </c>
      <c r="W11" s="932">
        <f>U$10</f>
        <v>45750</v>
      </c>
      <c r="X11" s="932">
        <f>U$10</f>
        <v>45750</v>
      </c>
      <c r="Y11" s="932">
        <f>Y$10</f>
        <v>45751</v>
      </c>
      <c r="Z11" s="932">
        <f>Y$10</f>
        <v>45751</v>
      </c>
      <c r="AA11" s="932">
        <f>Y$10</f>
        <v>45751</v>
      </c>
      <c r="AB11" s="932">
        <f>Y$10</f>
        <v>45751</v>
      </c>
      <c r="AC11" s="932">
        <f>AC$10</f>
        <v>45752</v>
      </c>
      <c r="AD11" s="932">
        <f>AC$10</f>
        <v>45752</v>
      </c>
      <c r="AE11" s="932">
        <f>AC$10</f>
        <v>45752</v>
      </c>
      <c r="AF11" s="932">
        <f>AC$10</f>
        <v>45752</v>
      </c>
      <c r="AG11" s="932">
        <f>AG$10</f>
        <v>45753</v>
      </c>
      <c r="AH11" s="932">
        <f>AG$10</f>
        <v>45753</v>
      </c>
      <c r="AI11" s="932">
        <f>AG$10</f>
        <v>45753</v>
      </c>
      <c r="AJ11" s="932">
        <f>AG$10</f>
        <v>45753</v>
      </c>
      <c r="AK11" s="932">
        <f>AK$10</f>
        <v>45754</v>
      </c>
      <c r="AL11" s="932">
        <f>AK$10</f>
        <v>45754</v>
      </c>
      <c r="AM11" s="932">
        <f>AK$10</f>
        <v>45754</v>
      </c>
      <c r="AN11" s="932">
        <f>AK$10</f>
        <v>45754</v>
      </c>
      <c r="AO11" s="932">
        <f>AO$10</f>
        <v>45755</v>
      </c>
      <c r="AP11" s="932">
        <f>AO$10</f>
        <v>45755</v>
      </c>
      <c r="AQ11" s="932">
        <f>AO$10</f>
        <v>45755</v>
      </c>
      <c r="AR11" s="932">
        <f>AO$10</f>
        <v>45755</v>
      </c>
      <c r="AS11" s="932">
        <f>AS$10</f>
        <v>45756</v>
      </c>
      <c r="AT11" s="932">
        <f>AS$10</f>
        <v>45756</v>
      </c>
      <c r="AU11" s="932">
        <f>AS$10</f>
        <v>45756</v>
      </c>
      <c r="AV11" s="932">
        <f>AS$10</f>
        <v>45756</v>
      </c>
      <c r="AW11" s="932">
        <f>AW$10</f>
        <v>45757</v>
      </c>
      <c r="AX11" s="932">
        <f>AW$10</f>
        <v>45757</v>
      </c>
      <c r="AY11" s="932">
        <f>AW$10</f>
        <v>45757</v>
      </c>
      <c r="AZ11" s="932">
        <f>AW$10</f>
        <v>45757</v>
      </c>
      <c r="BA11" s="932">
        <f>BA$10</f>
        <v>45758</v>
      </c>
      <c r="BB11" s="932">
        <f>BA$10</f>
        <v>45758</v>
      </c>
      <c r="BC11" s="932">
        <f>BA$10</f>
        <v>45758</v>
      </c>
      <c r="BD11" s="932">
        <f>BA$10</f>
        <v>45758</v>
      </c>
      <c r="BE11" s="932">
        <f>BE$10</f>
        <v>45759</v>
      </c>
      <c r="BF11" s="932">
        <f>BE$10</f>
        <v>45759</v>
      </c>
      <c r="BG11" s="932">
        <f>BE$10</f>
        <v>45759</v>
      </c>
      <c r="BH11" s="932">
        <f>BE$10</f>
        <v>45759</v>
      </c>
      <c r="BI11" s="932">
        <f>BI$10</f>
        <v>45760</v>
      </c>
      <c r="BJ11" s="932">
        <f>BI$10</f>
        <v>45760</v>
      </c>
      <c r="BK11" s="932">
        <f>BI$10</f>
        <v>45760</v>
      </c>
      <c r="BL11" s="932">
        <f>BI$10</f>
        <v>45760</v>
      </c>
      <c r="BM11" s="932">
        <f>BM$10</f>
        <v>45761</v>
      </c>
      <c r="BN11" s="932">
        <f>BM$10</f>
        <v>45761</v>
      </c>
      <c r="BO11" s="932">
        <f>BM$10</f>
        <v>45761</v>
      </c>
      <c r="BP11" s="932">
        <f>BM$10</f>
        <v>45761</v>
      </c>
      <c r="BQ11" s="932">
        <f>BQ$10</f>
        <v>45762</v>
      </c>
      <c r="BR11" s="932">
        <f>BQ$10</f>
        <v>45762</v>
      </c>
      <c r="BS11" s="932">
        <f>BQ$10</f>
        <v>45762</v>
      </c>
      <c r="BT11" s="932">
        <f>BQ$10</f>
        <v>45762</v>
      </c>
      <c r="BU11" s="932">
        <f>BU$10</f>
        <v>45763</v>
      </c>
      <c r="BV11" s="932">
        <f>BU$10</f>
        <v>45763</v>
      </c>
      <c r="BW11" s="932">
        <f>BU$10</f>
        <v>45763</v>
      </c>
      <c r="BX11" s="932">
        <f>BU$10</f>
        <v>45763</v>
      </c>
      <c r="BY11" s="932">
        <f>BY$10</f>
        <v>45764</v>
      </c>
      <c r="BZ11" s="932">
        <f>BY$10</f>
        <v>45764</v>
      </c>
      <c r="CA11" s="932">
        <f>BY$10</f>
        <v>45764</v>
      </c>
      <c r="CB11" s="932">
        <f>BY$10</f>
        <v>45764</v>
      </c>
      <c r="CC11" s="932">
        <f>CC$10</f>
        <v>45765</v>
      </c>
      <c r="CD11" s="932">
        <f>CC$10</f>
        <v>45765</v>
      </c>
      <c r="CE11" s="932">
        <f>CC$10</f>
        <v>45765</v>
      </c>
      <c r="CF11" s="932">
        <f>CC$10</f>
        <v>45765</v>
      </c>
      <c r="CG11" s="932">
        <f>CG$10</f>
        <v>45766</v>
      </c>
      <c r="CH11" s="932">
        <f>CG$10</f>
        <v>45766</v>
      </c>
      <c r="CI11" s="932">
        <f>CG$10</f>
        <v>45766</v>
      </c>
      <c r="CJ11" s="932">
        <f>CG$10</f>
        <v>45766</v>
      </c>
      <c r="CK11" s="932">
        <f>CK$10</f>
        <v>45767</v>
      </c>
      <c r="CL11" s="932">
        <f>CK$10</f>
        <v>45767</v>
      </c>
      <c r="CM11" s="932">
        <f>CK$10</f>
        <v>45767</v>
      </c>
      <c r="CN11" s="932">
        <f>CK$10</f>
        <v>45767</v>
      </c>
      <c r="CO11" s="932">
        <f>CO$10</f>
        <v>45768</v>
      </c>
      <c r="CP11" s="932">
        <f>CO$10</f>
        <v>45768</v>
      </c>
      <c r="CQ11" s="932">
        <f>CO$10</f>
        <v>45768</v>
      </c>
      <c r="CR11" s="932">
        <f>CO$10</f>
        <v>45768</v>
      </c>
      <c r="CS11" s="932">
        <f>CS$10</f>
        <v>45769</v>
      </c>
      <c r="CT11" s="932">
        <f>CS$10</f>
        <v>45769</v>
      </c>
      <c r="CU11" s="932">
        <f>CS$10</f>
        <v>45769</v>
      </c>
      <c r="CV11" s="932">
        <f>CS$10</f>
        <v>45769</v>
      </c>
      <c r="CW11" s="932">
        <f>CW$10</f>
        <v>45770</v>
      </c>
      <c r="CX11" s="932">
        <f>CW$10</f>
        <v>45770</v>
      </c>
      <c r="CY11" s="932">
        <f>CW$10</f>
        <v>45770</v>
      </c>
      <c r="CZ11" s="932">
        <f>CW$10</f>
        <v>45770</v>
      </c>
      <c r="DA11" s="932">
        <f>DA$10</f>
        <v>45771</v>
      </c>
      <c r="DB11" s="932">
        <f>DA$10</f>
        <v>45771</v>
      </c>
      <c r="DC11" s="932">
        <f>DA$10</f>
        <v>45771</v>
      </c>
      <c r="DD11" s="932">
        <f>DA$10</f>
        <v>45771</v>
      </c>
      <c r="DE11" s="932">
        <f>DE$10</f>
        <v>45772</v>
      </c>
      <c r="DF11" s="932">
        <f>DE$10</f>
        <v>45772</v>
      </c>
      <c r="DG11" s="932">
        <f>DE$10</f>
        <v>45772</v>
      </c>
      <c r="DH11" s="932">
        <f>DE$10</f>
        <v>45772</v>
      </c>
      <c r="DI11" s="932">
        <f>DI$10</f>
        <v>45773</v>
      </c>
      <c r="DJ11" s="932">
        <f>DI$10</f>
        <v>45773</v>
      </c>
      <c r="DK11" s="932">
        <f>DI$10</f>
        <v>45773</v>
      </c>
      <c r="DL11" s="932">
        <f>DI$10</f>
        <v>45773</v>
      </c>
      <c r="DM11" s="932">
        <f>DM$10</f>
        <v>45774</v>
      </c>
      <c r="DN11" s="932">
        <f>DM$10</f>
        <v>45774</v>
      </c>
      <c r="DO11" s="932">
        <f>DM$10</f>
        <v>45774</v>
      </c>
      <c r="DP11" s="932">
        <f>DM$10</f>
        <v>45774</v>
      </c>
      <c r="DQ11" s="932">
        <f>DQ$10</f>
        <v>45775</v>
      </c>
      <c r="DR11" s="932">
        <f>DQ$10</f>
        <v>45775</v>
      </c>
      <c r="DS11" s="932">
        <f>DQ$10</f>
        <v>45775</v>
      </c>
      <c r="DT11" s="932">
        <f>DQ$10</f>
        <v>45775</v>
      </c>
      <c r="DU11" s="932">
        <f>DU$10</f>
        <v>45776</v>
      </c>
      <c r="DV11" s="932">
        <f>DU$10</f>
        <v>45776</v>
      </c>
      <c r="DW11" s="932">
        <f>DU$10</f>
        <v>45776</v>
      </c>
      <c r="DX11" s="932">
        <f>DU$10</f>
        <v>45776</v>
      </c>
      <c r="DY11" s="932">
        <f>DY$10</f>
        <v>45777</v>
      </c>
      <c r="DZ11" s="932">
        <f>DY$10</f>
        <v>45777</v>
      </c>
      <c r="EA11" s="932">
        <f>DY$10</f>
        <v>45777</v>
      </c>
      <c r="EB11" s="932">
        <f>DY$10</f>
        <v>45777</v>
      </c>
      <c r="EC11" s="932">
        <f>EC$10</f>
        <v>45778</v>
      </c>
      <c r="ED11" s="932">
        <f>EC$10</f>
        <v>45778</v>
      </c>
      <c r="EE11" s="932">
        <f>EC$10</f>
        <v>45778</v>
      </c>
      <c r="EF11" s="932">
        <f>EC$10</f>
        <v>45778</v>
      </c>
    </row>
    <row r="12" spans="1:136" ht="20" customHeight="1" x14ac:dyDescent="0.15">
      <c r="A12" s="787"/>
      <c r="B12" s="1028"/>
      <c r="D12" s="1391" t="s">
        <v>113</v>
      </c>
      <c r="E12" s="1392"/>
      <c r="F12" s="1392"/>
      <c r="G12" s="1392"/>
      <c r="H12" s="1392"/>
      <c r="I12" s="941" t="s">
        <v>200</v>
      </c>
      <c r="J12" s="1383" t="s">
        <v>197</v>
      </c>
      <c r="K12" s="1384"/>
      <c r="L12" s="1384"/>
      <c r="M12" s="1380" t="str">
        <f>IF(WEEKDAY(M11)=1,"CN","T"&amp;WEEKDAY(M11))</f>
        <v>T3</v>
      </c>
      <c r="N12" s="1380"/>
      <c r="O12" s="1380"/>
      <c r="P12" s="1380"/>
      <c r="Q12" s="1380" t="str">
        <f>IF(WEEKDAY(Q11)=1,"CN","T"&amp;WEEKDAY(Q11))</f>
        <v>T4</v>
      </c>
      <c r="R12" s="1381"/>
      <c r="S12" s="1381"/>
      <c r="T12" s="1381"/>
      <c r="U12" s="1380" t="str">
        <f>IF(WEEKDAY(U11)=1,"CN","T"&amp;WEEKDAY(U11))</f>
        <v>T5</v>
      </c>
      <c r="V12" s="1381"/>
      <c r="W12" s="1381"/>
      <c r="X12" s="1381"/>
      <c r="Y12" s="1380" t="str">
        <f>IF(WEEKDAY(Y11)=1,"CN","T"&amp;WEEKDAY(Y11))</f>
        <v>T6</v>
      </c>
      <c r="Z12" s="1381"/>
      <c r="AA12" s="1381"/>
      <c r="AB12" s="1381"/>
      <c r="AC12" s="1380" t="str">
        <f>IF(WEEKDAY(AC11)=1,"CN","T"&amp;WEEKDAY(AC11))</f>
        <v>T7</v>
      </c>
      <c r="AD12" s="1381"/>
      <c r="AE12" s="1381"/>
      <c r="AF12" s="1381"/>
      <c r="AG12" s="1380" t="str">
        <f>IF(WEEKDAY(AG11)=1,"CN","T"&amp;WEEKDAY(AG11))</f>
        <v>CN</v>
      </c>
      <c r="AH12" s="1381"/>
      <c r="AI12" s="1381"/>
      <c r="AJ12" s="1381"/>
      <c r="AK12" s="1380" t="str">
        <f>IF(WEEKDAY(AK11)=1,"CN","T"&amp;WEEKDAY(AK11))</f>
        <v>T2</v>
      </c>
      <c r="AL12" s="1381"/>
      <c r="AM12" s="1381"/>
      <c r="AN12" s="1381"/>
      <c r="AO12" s="1380" t="str">
        <f>IF(WEEKDAY(AO11)=1,"CN","T"&amp;WEEKDAY(AO11))</f>
        <v>T3</v>
      </c>
      <c r="AP12" s="1381"/>
      <c r="AQ12" s="1381"/>
      <c r="AR12" s="1381"/>
      <c r="AS12" s="1380" t="str">
        <f>IF(WEEKDAY(AS11)=1,"CN","T"&amp;WEEKDAY(AS11))</f>
        <v>T4</v>
      </c>
      <c r="AT12" s="1381"/>
      <c r="AU12" s="1381"/>
      <c r="AV12" s="1381"/>
      <c r="AW12" s="1380" t="str">
        <f>IF(WEEKDAY(AW11)=1,"CN","T"&amp;WEEKDAY(AW11))</f>
        <v>T5</v>
      </c>
      <c r="AX12" s="1381"/>
      <c r="AY12" s="1381"/>
      <c r="AZ12" s="1381"/>
      <c r="BA12" s="1380" t="str">
        <f>IF(WEEKDAY(BA11)=1,"CN","T"&amp;WEEKDAY(BA11))</f>
        <v>T6</v>
      </c>
      <c r="BB12" s="1381"/>
      <c r="BC12" s="1381"/>
      <c r="BD12" s="1381"/>
      <c r="BE12" s="1380" t="str">
        <f>IF(WEEKDAY(BE11)=1,"CN","T"&amp;WEEKDAY(BE11))</f>
        <v>T7</v>
      </c>
      <c r="BF12" s="1381"/>
      <c r="BG12" s="1381"/>
      <c r="BH12" s="1381"/>
      <c r="BI12" s="1380" t="str">
        <f>IF(WEEKDAY(BI11)=1,"CN","T"&amp;WEEKDAY(BI11))</f>
        <v>CN</v>
      </c>
      <c r="BJ12" s="1381"/>
      <c r="BK12" s="1381"/>
      <c r="BL12" s="1381"/>
      <c r="BM12" s="1380" t="str">
        <f>IF(WEEKDAY(BM11)=1,"CN","T"&amp;WEEKDAY(BM11))</f>
        <v>T2</v>
      </c>
      <c r="BN12" s="1381"/>
      <c r="BO12" s="1381"/>
      <c r="BP12" s="1381"/>
      <c r="BQ12" s="1380" t="str">
        <f>IF(WEEKDAY(BQ11)=1,"CN","T"&amp;WEEKDAY(BQ11))</f>
        <v>T3</v>
      </c>
      <c r="BR12" s="1381"/>
      <c r="BS12" s="1381"/>
      <c r="BT12" s="1381"/>
      <c r="BU12" s="1380" t="str">
        <f>IF(WEEKDAY(BU11)=1,"CN","T"&amp;WEEKDAY(BU11))</f>
        <v>T4</v>
      </c>
      <c r="BV12" s="1381"/>
      <c r="BW12" s="1381"/>
      <c r="BX12" s="1381"/>
      <c r="BY12" s="1380" t="str">
        <f>IF(WEEKDAY(BY11)=1,"CN","T"&amp;WEEKDAY(BY11))</f>
        <v>T5</v>
      </c>
      <c r="BZ12" s="1381"/>
      <c r="CA12" s="1381"/>
      <c r="CB12" s="1381"/>
      <c r="CC12" s="1380" t="str">
        <f>IF(WEEKDAY(CC11)=1,"CN","T"&amp;WEEKDAY(CC11))</f>
        <v>T6</v>
      </c>
      <c r="CD12" s="1381"/>
      <c r="CE12" s="1381"/>
      <c r="CF12" s="1381"/>
      <c r="CG12" s="1380" t="str">
        <f>IF(WEEKDAY(CG11)=1,"CN","T"&amp;WEEKDAY(CG11))</f>
        <v>T7</v>
      </c>
      <c r="CH12" s="1381"/>
      <c r="CI12" s="1381"/>
      <c r="CJ12" s="1381"/>
      <c r="CK12" s="1380" t="str">
        <f>IF(WEEKDAY(CK11)=1,"CN","T"&amp;WEEKDAY(CK11))</f>
        <v>CN</v>
      </c>
      <c r="CL12" s="1381"/>
      <c r="CM12" s="1381"/>
      <c r="CN12" s="1381"/>
      <c r="CO12" s="1380" t="str">
        <f>IF(WEEKDAY(CO11)=1,"CN","T"&amp;WEEKDAY(CO11))</f>
        <v>T2</v>
      </c>
      <c r="CP12" s="1381"/>
      <c r="CQ12" s="1381"/>
      <c r="CR12" s="1381"/>
      <c r="CS12" s="1380" t="str">
        <f>IF(WEEKDAY(CS11)=1,"CN","T"&amp;WEEKDAY(CS11))</f>
        <v>T3</v>
      </c>
      <c r="CT12" s="1381"/>
      <c r="CU12" s="1381"/>
      <c r="CV12" s="1381"/>
      <c r="CW12" s="1380" t="str">
        <f>IF(WEEKDAY(CW11)=1,"CN","T"&amp;WEEKDAY(CW11))</f>
        <v>T4</v>
      </c>
      <c r="CX12" s="1381"/>
      <c r="CY12" s="1381"/>
      <c r="CZ12" s="1381"/>
      <c r="DA12" s="1380" t="str">
        <f>IF(WEEKDAY(DA11)=1,"CN","T"&amp;WEEKDAY(DA11))</f>
        <v>T5</v>
      </c>
      <c r="DB12" s="1381"/>
      <c r="DC12" s="1381"/>
      <c r="DD12" s="1381"/>
      <c r="DE12" s="1380" t="str">
        <f>IF(WEEKDAY(DE11)=1,"CN","T"&amp;WEEKDAY(DE11))</f>
        <v>T6</v>
      </c>
      <c r="DF12" s="1381"/>
      <c r="DG12" s="1381"/>
      <c r="DH12" s="1381"/>
      <c r="DI12" s="1380" t="str">
        <f>IF(WEEKDAY(DI11)=1,"CN","T"&amp;WEEKDAY(DI11))</f>
        <v>T7</v>
      </c>
      <c r="DJ12" s="1381"/>
      <c r="DK12" s="1381"/>
      <c r="DL12" s="1381"/>
      <c r="DM12" s="1380" t="str">
        <f>IF(WEEKDAY(DM11)=1,"CN","T"&amp;WEEKDAY(DM11))</f>
        <v>CN</v>
      </c>
      <c r="DN12" s="1381"/>
      <c r="DO12" s="1381"/>
      <c r="DP12" s="1381"/>
      <c r="DQ12" s="1380" t="str">
        <f>IF(WEEKDAY(DQ11)=1,"CN","T"&amp;WEEKDAY(DQ11))</f>
        <v>T2</v>
      </c>
      <c r="DR12" s="1381"/>
      <c r="DS12" s="1381"/>
      <c r="DT12" s="1381"/>
      <c r="DU12" s="1380" t="str">
        <f>IF(WEEKDAY(DU11)=1,"CN","T"&amp;WEEKDAY(DU11))</f>
        <v>T3</v>
      </c>
      <c r="DV12" s="1381"/>
      <c r="DW12" s="1381"/>
      <c r="DX12" s="1381"/>
      <c r="DY12" s="1380" t="str">
        <f>IF(WEEKDAY(DY11)=1,"CN","T"&amp;WEEKDAY(DY11))</f>
        <v>T4</v>
      </c>
      <c r="DZ12" s="1381"/>
      <c r="EA12" s="1381"/>
      <c r="EB12" s="1381"/>
      <c r="EC12" s="1380" t="str">
        <f>IF(WEEKDAY(EC11)=1,"CN","T"&amp;WEEKDAY(EC11))</f>
        <v>T5</v>
      </c>
      <c r="ED12" s="1381"/>
      <c r="EE12" s="1381"/>
      <c r="EF12" s="1381"/>
    </row>
    <row r="13" spans="1:136" ht="89" customHeight="1" thickBot="1" x14ac:dyDescent="0.2">
      <c r="A13" s="1378" t="s">
        <v>214</v>
      </c>
      <c r="B13" s="1379"/>
      <c r="C13" s="1379"/>
      <c r="D13" s="84" t="s">
        <v>107</v>
      </c>
      <c r="E13" s="85" t="s">
        <v>141</v>
      </c>
      <c r="F13" s="86" t="s">
        <v>108</v>
      </c>
      <c r="G13" s="87" t="s">
        <v>109</v>
      </c>
      <c r="H13" s="830" t="s">
        <v>198</v>
      </c>
      <c r="I13" s="830" t="s">
        <v>74</v>
      </c>
      <c r="J13" s="830" t="s">
        <v>199</v>
      </c>
      <c r="K13" s="88" t="s">
        <v>74</v>
      </c>
      <c r="L13" s="88" t="s">
        <v>110</v>
      </c>
      <c r="M13" s="955" t="s">
        <v>213</v>
      </c>
      <c r="N13" s="956" t="s">
        <v>202</v>
      </c>
      <c r="O13" s="956" t="s">
        <v>29</v>
      </c>
      <c r="P13" s="957" t="s">
        <v>201</v>
      </c>
      <c r="Q13" s="952" t="s">
        <v>213</v>
      </c>
      <c r="R13" s="911" t="s">
        <v>202</v>
      </c>
      <c r="S13" s="912" t="s">
        <v>29</v>
      </c>
      <c r="T13" s="912" t="s">
        <v>201</v>
      </c>
      <c r="U13" s="961" t="s">
        <v>213</v>
      </c>
      <c r="V13" s="962" t="s">
        <v>202</v>
      </c>
      <c r="W13" s="934" t="s">
        <v>29</v>
      </c>
      <c r="X13" s="963" t="s">
        <v>201</v>
      </c>
      <c r="Y13" s="952" t="s">
        <v>213</v>
      </c>
      <c r="Z13" s="911" t="s">
        <v>202</v>
      </c>
      <c r="AA13" s="912" t="s">
        <v>29</v>
      </c>
      <c r="AB13" s="913" t="s">
        <v>201</v>
      </c>
      <c r="AC13" s="952" t="s">
        <v>213</v>
      </c>
      <c r="AD13" s="911" t="s">
        <v>202</v>
      </c>
      <c r="AE13" s="912" t="s">
        <v>29</v>
      </c>
      <c r="AF13" s="965" t="s">
        <v>201</v>
      </c>
      <c r="AG13" s="964" t="s">
        <v>213</v>
      </c>
      <c r="AH13" s="911" t="s">
        <v>202</v>
      </c>
      <c r="AI13" s="912" t="s">
        <v>29</v>
      </c>
      <c r="AJ13" s="913" t="s">
        <v>201</v>
      </c>
      <c r="AK13" s="952" t="s">
        <v>213</v>
      </c>
      <c r="AL13" s="911" t="s">
        <v>202</v>
      </c>
      <c r="AM13" s="912" t="s">
        <v>29</v>
      </c>
      <c r="AN13" s="913" t="s">
        <v>201</v>
      </c>
      <c r="AO13" s="952" t="s">
        <v>213</v>
      </c>
      <c r="AP13" s="911" t="s">
        <v>202</v>
      </c>
      <c r="AQ13" s="912" t="s">
        <v>29</v>
      </c>
      <c r="AR13" s="913" t="s">
        <v>201</v>
      </c>
      <c r="AS13" s="952" t="s">
        <v>213</v>
      </c>
      <c r="AT13" s="911" t="s">
        <v>202</v>
      </c>
      <c r="AU13" s="912" t="s">
        <v>29</v>
      </c>
      <c r="AV13" s="913" t="s">
        <v>201</v>
      </c>
      <c r="AW13" s="952" t="s">
        <v>213</v>
      </c>
      <c r="AX13" s="911" t="s">
        <v>202</v>
      </c>
      <c r="AY13" s="912" t="s">
        <v>29</v>
      </c>
      <c r="AZ13" s="913" t="s">
        <v>201</v>
      </c>
      <c r="BA13" s="952" t="s">
        <v>213</v>
      </c>
      <c r="BB13" s="911" t="s">
        <v>202</v>
      </c>
      <c r="BC13" s="912" t="s">
        <v>29</v>
      </c>
      <c r="BD13" s="913" t="s">
        <v>201</v>
      </c>
      <c r="BE13" s="952" t="s">
        <v>213</v>
      </c>
      <c r="BF13" s="911" t="s">
        <v>202</v>
      </c>
      <c r="BG13" s="912" t="s">
        <v>29</v>
      </c>
      <c r="BH13" s="913" t="s">
        <v>201</v>
      </c>
      <c r="BI13" s="952" t="s">
        <v>213</v>
      </c>
      <c r="BJ13" s="911" t="s">
        <v>202</v>
      </c>
      <c r="BK13" s="912" t="s">
        <v>29</v>
      </c>
      <c r="BL13" s="913" t="s">
        <v>201</v>
      </c>
      <c r="BM13" s="952" t="s">
        <v>213</v>
      </c>
      <c r="BN13" s="911" t="s">
        <v>202</v>
      </c>
      <c r="BO13" s="912" t="s">
        <v>29</v>
      </c>
      <c r="BP13" s="913" t="s">
        <v>201</v>
      </c>
      <c r="BQ13" s="952" t="s">
        <v>213</v>
      </c>
      <c r="BR13" s="911" t="s">
        <v>202</v>
      </c>
      <c r="BS13" s="912" t="s">
        <v>29</v>
      </c>
      <c r="BT13" s="913" t="s">
        <v>201</v>
      </c>
      <c r="BU13" s="952" t="s">
        <v>213</v>
      </c>
      <c r="BV13" s="911" t="s">
        <v>202</v>
      </c>
      <c r="BW13" s="912" t="s">
        <v>29</v>
      </c>
      <c r="BX13" s="913" t="s">
        <v>201</v>
      </c>
      <c r="BY13" s="952" t="s">
        <v>213</v>
      </c>
      <c r="BZ13" s="911" t="s">
        <v>202</v>
      </c>
      <c r="CA13" s="912" t="s">
        <v>29</v>
      </c>
      <c r="CB13" s="913" t="s">
        <v>201</v>
      </c>
      <c r="CC13" s="952" t="s">
        <v>213</v>
      </c>
      <c r="CD13" s="911" t="s">
        <v>202</v>
      </c>
      <c r="CE13" s="912" t="s">
        <v>29</v>
      </c>
      <c r="CF13" s="913" t="s">
        <v>201</v>
      </c>
      <c r="CG13" s="952" t="s">
        <v>213</v>
      </c>
      <c r="CH13" s="911" t="s">
        <v>202</v>
      </c>
      <c r="CI13" s="912" t="s">
        <v>29</v>
      </c>
      <c r="CJ13" s="913" t="s">
        <v>201</v>
      </c>
      <c r="CK13" s="952" t="s">
        <v>213</v>
      </c>
      <c r="CL13" s="911" t="s">
        <v>202</v>
      </c>
      <c r="CM13" s="912" t="s">
        <v>29</v>
      </c>
      <c r="CN13" s="913" t="s">
        <v>201</v>
      </c>
      <c r="CO13" s="952" t="s">
        <v>213</v>
      </c>
      <c r="CP13" s="911" t="s">
        <v>202</v>
      </c>
      <c r="CQ13" s="912" t="s">
        <v>29</v>
      </c>
      <c r="CR13" s="913" t="s">
        <v>201</v>
      </c>
      <c r="CS13" s="952" t="s">
        <v>213</v>
      </c>
      <c r="CT13" s="911" t="s">
        <v>202</v>
      </c>
      <c r="CU13" s="912" t="s">
        <v>29</v>
      </c>
      <c r="CV13" s="913" t="s">
        <v>201</v>
      </c>
      <c r="CW13" s="952" t="s">
        <v>213</v>
      </c>
      <c r="CX13" s="911" t="s">
        <v>202</v>
      </c>
      <c r="CY13" s="912" t="s">
        <v>29</v>
      </c>
      <c r="CZ13" s="913" t="s">
        <v>201</v>
      </c>
      <c r="DA13" s="952" t="s">
        <v>213</v>
      </c>
      <c r="DB13" s="911" t="s">
        <v>202</v>
      </c>
      <c r="DC13" s="912" t="s">
        <v>29</v>
      </c>
      <c r="DD13" s="913" t="s">
        <v>201</v>
      </c>
      <c r="DE13" s="952" t="s">
        <v>213</v>
      </c>
      <c r="DF13" s="911" t="s">
        <v>202</v>
      </c>
      <c r="DG13" s="912" t="s">
        <v>29</v>
      </c>
      <c r="DH13" s="913" t="s">
        <v>201</v>
      </c>
      <c r="DI13" s="952" t="s">
        <v>213</v>
      </c>
      <c r="DJ13" s="911" t="s">
        <v>202</v>
      </c>
      <c r="DK13" s="912" t="s">
        <v>29</v>
      </c>
      <c r="DL13" s="913" t="s">
        <v>201</v>
      </c>
      <c r="DM13" s="952" t="s">
        <v>213</v>
      </c>
      <c r="DN13" s="911" t="s">
        <v>202</v>
      </c>
      <c r="DO13" s="912" t="s">
        <v>29</v>
      </c>
      <c r="DP13" s="913" t="s">
        <v>201</v>
      </c>
      <c r="DQ13" s="952" t="s">
        <v>213</v>
      </c>
      <c r="DR13" s="911" t="s">
        <v>202</v>
      </c>
      <c r="DS13" s="912" t="s">
        <v>29</v>
      </c>
      <c r="DT13" s="913" t="s">
        <v>201</v>
      </c>
      <c r="DU13" s="952" t="s">
        <v>213</v>
      </c>
      <c r="DV13" s="911" t="s">
        <v>202</v>
      </c>
      <c r="DW13" s="912" t="s">
        <v>29</v>
      </c>
      <c r="DX13" s="913" t="s">
        <v>201</v>
      </c>
      <c r="DY13" s="952" t="s">
        <v>213</v>
      </c>
      <c r="DZ13" s="911" t="s">
        <v>202</v>
      </c>
      <c r="EA13" s="912" t="s">
        <v>29</v>
      </c>
      <c r="EB13" s="913" t="s">
        <v>201</v>
      </c>
      <c r="EC13" s="952" t="s">
        <v>213</v>
      </c>
      <c r="ED13" s="911" t="s">
        <v>202</v>
      </c>
      <c r="EE13" s="912" t="s">
        <v>29</v>
      </c>
      <c r="EF13" s="913" t="s">
        <v>201</v>
      </c>
    </row>
    <row r="14" spans="1:136" s="978" customFormat="1" ht="20" customHeight="1" x14ac:dyDescent="0.15">
      <c r="A14" s="9"/>
      <c r="B14" s="9"/>
      <c r="C14" s="813" t="str">
        <f>Dashboard!K90</f>
        <v>P2</v>
      </c>
      <c r="D14" s="1091">
        <f>Dashboard!M90</f>
        <v>0.34999999999999992</v>
      </c>
      <c r="E14" s="834"/>
      <c r="F14" s="834"/>
      <c r="G14" s="834"/>
      <c r="H14" s="909"/>
      <c r="I14" s="909"/>
      <c r="J14" s="909"/>
      <c r="K14" s="910"/>
      <c r="L14" s="980"/>
      <c r="M14" s="892"/>
      <c r="N14" s="930"/>
      <c r="O14" s="873"/>
      <c r="P14" s="873"/>
      <c r="Q14" s="892"/>
      <c r="R14" s="930"/>
      <c r="S14" s="873"/>
      <c r="T14" s="873"/>
      <c r="U14" s="892"/>
      <c r="V14" s="930"/>
      <c r="W14" s="873"/>
      <c r="X14" s="873"/>
      <c r="Y14" s="892"/>
      <c r="Z14" s="930"/>
      <c r="AA14" s="873"/>
      <c r="AB14" s="873"/>
      <c r="AC14" s="892"/>
      <c r="AD14" s="930"/>
      <c r="AE14" s="873"/>
      <c r="AF14" s="873"/>
      <c r="AG14" s="892"/>
      <c r="AH14" s="930"/>
      <c r="AI14" s="873"/>
      <c r="AJ14" s="873"/>
      <c r="AK14" s="892"/>
      <c r="AL14" s="930"/>
      <c r="AM14" s="873"/>
      <c r="AN14" s="873"/>
      <c r="AO14" s="892"/>
      <c r="AP14" s="930"/>
      <c r="AQ14" s="873"/>
      <c r="AR14" s="873"/>
      <c r="AS14" s="892"/>
      <c r="AT14" s="930"/>
      <c r="AU14" s="873"/>
      <c r="AV14" s="873"/>
      <c r="AW14" s="892"/>
      <c r="AX14" s="930"/>
      <c r="AY14" s="873"/>
      <c r="AZ14" s="873"/>
      <c r="BA14" s="892"/>
      <c r="BB14" s="930"/>
      <c r="BC14" s="873"/>
      <c r="BD14" s="873"/>
      <c r="BE14" s="892"/>
      <c r="BF14" s="930"/>
      <c r="BG14" s="873"/>
      <c r="BH14" s="873"/>
      <c r="BI14" s="892"/>
      <c r="BJ14" s="930"/>
      <c r="BK14" s="873"/>
      <c r="BL14" s="873"/>
      <c r="BM14" s="892"/>
      <c r="BN14" s="930"/>
      <c r="BO14" s="873"/>
      <c r="BP14" s="873"/>
      <c r="BQ14" s="892"/>
      <c r="BR14" s="930"/>
      <c r="BS14" s="873"/>
      <c r="BT14" s="873"/>
      <c r="BU14" s="892"/>
      <c r="BV14" s="930"/>
      <c r="BW14" s="873"/>
      <c r="BX14" s="873"/>
      <c r="BY14" s="892"/>
      <c r="BZ14" s="930"/>
      <c r="CA14" s="873"/>
      <c r="CB14" s="873"/>
      <c r="CC14" s="892"/>
      <c r="CD14" s="930"/>
      <c r="CE14" s="873"/>
      <c r="CF14" s="873"/>
      <c r="CG14" s="892"/>
      <c r="CH14" s="930"/>
      <c r="CI14" s="873"/>
      <c r="CJ14" s="873"/>
      <c r="CK14" s="892"/>
      <c r="CL14" s="930"/>
      <c r="CM14" s="873"/>
      <c r="CN14" s="873"/>
      <c r="CO14" s="892"/>
      <c r="CP14" s="930"/>
      <c r="CQ14" s="873"/>
      <c r="CR14" s="873"/>
      <c r="CS14" s="892"/>
      <c r="CT14" s="930"/>
      <c r="CU14" s="873"/>
      <c r="CV14" s="873"/>
      <c r="CW14" s="892"/>
      <c r="CX14" s="930"/>
      <c r="CY14" s="873"/>
      <c r="CZ14" s="873"/>
      <c r="DA14" s="892"/>
      <c r="DB14" s="930"/>
      <c r="DC14" s="873"/>
      <c r="DD14" s="873"/>
      <c r="DE14" s="892"/>
      <c r="DF14" s="930"/>
      <c r="DG14" s="873"/>
      <c r="DH14" s="873"/>
      <c r="DI14" s="892"/>
      <c r="DJ14" s="930"/>
      <c r="DK14" s="873"/>
      <c r="DL14" s="873"/>
      <c r="DM14" s="892"/>
      <c r="DN14" s="930"/>
      <c r="DO14" s="873"/>
      <c r="DP14" s="873"/>
      <c r="DQ14" s="892"/>
      <c r="DR14" s="930"/>
      <c r="DS14" s="873"/>
      <c r="DT14" s="873"/>
      <c r="DU14" s="892"/>
      <c r="DV14" s="930"/>
      <c r="DW14" s="873"/>
      <c r="DX14" s="873"/>
      <c r="DY14" s="892"/>
      <c r="DZ14" s="930"/>
      <c r="EA14" s="873"/>
      <c r="EB14" s="873"/>
      <c r="EC14" s="892"/>
      <c r="ED14" s="930"/>
      <c r="EE14" s="873"/>
      <c r="EF14" s="873"/>
    </row>
    <row r="15" spans="1:136" s="916" customFormat="1" ht="20" customHeight="1" x14ac:dyDescent="0.15">
      <c r="A15" s="870">
        <f>_xlfn.IFS(B15=0,0,E15&gt;B15,1,E15&lt;=B15,E15/B15)</f>
        <v>0</v>
      </c>
      <c r="B15" s="833"/>
      <c r="C15" s="832" t="str">
        <f>Dashboard!K91</f>
        <v>CALL</v>
      </c>
      <c r="D15" s="185">
        <f>Dashboard!AC91</f>
        <v>305.65240474703307</v>
      </c>
      <c r="E15" s="1083">
        <f>SUMIF($M$13:$EF$13,$M$13,$M15:$EF15)</f>
        <v>682</v>
      </c>
      <c r="F15" s="185">
        <f>E15-D15</f>
        <v>376.34759525296693</v>
      </c>
      <c r="G15" s="789">
        <f>_xlfn.IFS(F15&gt;0,1,F15&lt;=0,E15/D15)</f>
        <v>1</v>
      </c>
      <c r="H15" s="978"/>
      <c r="I15" s="94"/>
      <c r="J15" s="978"/>
      <c r="K15" s="185">
        <f>D15/$B$9</f>
        <v>10.724645780597651</v>
      </c>
      <c r="L15" s="882">
        <f ca="1">SUMIFS($M15:$EF15,$M$11:$EF$11,TODAY()-1,$M$13:$EF$13,$M$13)</f>
        <v>0</v>
      </c>
      <c r="M15" s="897">
        <f>M26+M32</f>
        <v>22</v>
      </c>
      <c r="N15" s="931">
        <f>N26+N32</f>
        <v>15</v>
      </c>
      <c r="O15" s="857">
        <f>_xlfn.IFS(M15=0,0,N15&lt;=M15,N15/M15,N15&gt;M15,1)</f>
        <v>0.68181818181818177</v>
      </c>
      <c r="P15" s="889">
        <f>P26+P32</f>
        <v>1050000</v>
      </c>
      <c r="Q15" s="897">
        <f>Q26+Q32</f>
        <v>22</v>
      </c>
      <c r="R15" s="931">
        <f>R26+R32</f>
        <v>15</v>
      </c>
      <c r="S15" s="857">
        <f>_xlfn.IFS(Q15=0,0,R15&lt;=Q15,R15/Q15,R15&gt;Q15,1)</f>
        <v>0.68181818181818177</v>
      </c>
      <c r="T15" s="889">
        <f>T26+T32</f>
        <v>1050000</v>
      </c>
      <c r="U15" s="897">
        <f>U26+U32</f>
        <v>22</v>
      </c>
      <c r="V15" s="931">
        <f>V26+V32</f>
        <v>15</v>
      </c>
      <c r="W15" s="857">
        <f>_xlfn.IFS(U15=0,0,V15&lt;=U15,V15/U15,V15&gt;U15,1)</f>
        <v>0.68181818181818177</v>
      </c>
      <c r="X15" s="889">
        <f>X26+X32</f>
        <v>1050000</v>
      </c>
      <c r="Y15" s="897">
        <f>Y26+Y32</f>
        <v>22</v>
      </c>
      <c r="Z15" s="931">
        <f>Z26+Z32</f>
        <v>15</v>
      </c>
      <c r="AA15" s="857">
        <f>_xlfn.IFS(Y15=0,0,Z15&lt;=Y15,Z15/Y15,Z15&gt;Y15,1)</f>
        <v>0.68181818181818177</v>
      </c>
      <c r="AB15" s="889">
        <f>AB26+AB32</f>
        <v>1050000</v>
      </c>
      <c r="AC15" s="897">
        <f>AC26+AC32</f>
        <v>22</v>
      </c>
      <c r="AD15" s="931">
        <f>AD26+AD32</f>
        <v>15</v>
      </c>
      <c r="AE15" s="857">
        <f>_xlfn.IFS(AC15=0,0,AD15&lt;=AC15,AD15/AC15,AD15&gt;AC15,1)</f>
        <v>0.68181818181818177</v>
      </c>
      <c r="AF15" s="889">
        <f>AF26+AF32</f>
        <v>1050000</v>
      </c>
      <c r="AG15" s="897">
        <f>AG26+AG32</f>
        <v>22</v>
      </c>
      <c r="AH15" s="931">
        <f>AH26+AH32</f>
        <v>15</v>
      </c>
      <c r="AI15" s="857">
        <f>_xlfn.IFS(AG15=0,0,AH15&lt;=AG15,AH15/AG15,AH15&gt;AG15,1)</f>
        <v>0.68181818181818177</v>
      </c>
      <c r="AJ15" s="889">
        <f>AJ26+AJ32</f>
        <v>1050000</v>
      </c>
      <c r="AK15" s="897">
        <f>AK26+AK32</f>
        <v>22</v>
      </c>
      <c r="AL15" s="931">
        <f>AL26+AL32</f>
        <v>15</v>
      </c>
      <c r="AM15" s="857">
        <f>_xlfn.IFS(AK15=0,0,AL15&lt;=AK15,AL15/AK15,AL15&gt;AK15,1)</f>
        <v>0.68181818181818177</v>
      </c>
      <c r="AN15" s="889">
        <f>AN26+AN32</f>
        <v>1050000</v>
      </c>
      <c r="AO15" s="897">
        <f>AO26+AO32</f>
        <v>22</v>
      </c>
      <c r="AP15" s="931">
        <f>AP26+AP32</f>
        <v>15</v>
      </c>
      <c r="AQ15" s="857">
        <f>_xlfn.IFS(AO15=0,0,AP15&lt;=AO15,AP15/AO15,AP15&gt;AO15,1)</f>
        <v>0.68181818181818177</v>
      </c>
      <c r="AR15" s="889">
        <f>AR26+AR32</f>
        <v>1050000</v>
      </c>
      <c r="AS15" s="897">
        <f>AS26+AS32</f>
        <v>22</v>
      </c>
      <c r="AT15" s="931">
        <f>AT26+AT32</f>
        <v>15</v>
      </c>
      <c r="AU15" s="857">
        <f>_xlfn.IFS(AS15=0,0,AT15&lt;=AS15,AT15/AS15,AT15&gt;AS15,1)</f>
        <v>0.68181818181818177</v>
      </c>
      <c r="AV15" s="889">
        <f>AV26+AV32</f>
        <v>1050000</v>
      </c>
      <c r="AW15" s="897">
        <f>AW26+AW32</f>
        <v>22</v>
      </c>
      <c r="AX15" s="931">
        <f>AX26+AX32</f>
        <v>15</v>
      </c>
      <c r="AY15" s="857">
        <f>_xlfn.IFS(AW15=0,0,AX15&lt;=AW15,AX15/AW15,AX15&gt;AW15,1)</f>
        <v>0.68181818181818177</v>
      </c>
      <c r="AZ15" s="889">
        <f>AZ26+AZ32</f>
        <v>1050000</v>
      </c>
      <c r="BA15" s="897">
        <f>BA26+BA32</f>
        <v>22</v>
      </c>
      <c r="BB15" s="931">
        <f>BB26+BB32</f>
        <v>15</v>
      </c>
      <c r="BC15" s="857">
        <f>_xlfn.IFS(BA15=0,0,BB15&lt;=BA15,BB15/BA15,BB15&gt;BA15,1)</f>
        <v>0.68181818181818177</v>
      </c>
      <c r="BD15" s="889">
        <f>BD26+BD32</f>
        <v>1050000</v>
      </c>
      <c r="BE15" s="897">
        <f>BE26+BE32</f>
        <v>22</v>
      </c>
      <c r="BF15" s="931">
        <f>BF26+BF32</f>
        <v>15</v>
      </c>
      <c r="BG15" s="857">
        <f>_xlfn.IFS(BE15=0,0,BF15&lt;=BE15,BF15/BE15,BF15&gt;BE15,1)</f>
        <v>0.68181818181818177</v>
      </c>
      <c r="BH15" s="889">
        <f>BH26+BH32</f>
        <v>1050000</v>
      </c>
      <c r="BI15" s="897">
        <f>BI26+BI32</f>
        <v>22</v>
      </c>
      <c r="BJ15" s="931">
        <f>BJ26+BJ32</f>
        <v>15</v>
      </c>
      <c r="BK15" s="857">
        <f>_xlfn.IFS(BI15=0,0,BJ15&lt;=BI15,BJ15/BI15,BJ15&gt;BI15,1)</f>
        <v>0.68181818181818177</v>
      </c>
      <c r="BL15" s="889">
        <f>BL26+BL32</f>
        <v>1050000</v>
      </c>
      <c r="BM15" s="897">
        <f>BM26+BM32</f>
        <v>22</v>
      </c>
      <c r="BN15" s="931">
        <f>BN26+BN32</f>
        <v>15</v>
      </c>
      <c r="BO15" s="857">
        <f>_xlfn.IFS(BM15=0,0,BN15&lt;=BM15,BN15/BM15,BN15&gt;BM15,1)</f>
        <v>0.68181818181818177</v>
      </c>
      <c r="BP15" s="889">
        <f>BP26+BP32</f>
        <v>1050000</v>
      </c>
      <c r="BQ15" s="897">
        <f>BQ26+BQ32</f>
        <v>22</v>
      </c>
      <c r="BR15" s="931">
        <f>BR26+BR32</f>
        <v>15</v>
      </c>
      <c r="BS15" s="857">
        <f>_xlfn.IFS(BQ15=0,0,BR15&lt;=BQ15,BR15/BQ15,BR15&gt;BQ15,1)</f>
        <v>0.68181818181818177</v>
      </c>
      <c r="BT15" s="889">
        <f>BT26+BT32</f>
        <v>1050000</v>
      </c>
      <c r="BU15" s="897">
        <f>BU26+BU32</f>
        <v>22</v>
      </c>
      <c r="BV15" s="931">
        <f>BV26+BV32</f>
        <v>15</v>
      </c>
      <c r="BW15" s="857">
        <f>_xlfn.IFS(BU15=0,0,BV15&lt;=BU15,BV15/BU15,BV15&gt;BU15,1)</f>
        <v>0.68181818181818177</v>
      </c>
      <c r="BX15" s="889">
        <f>BX26+BX32</f>
        <v>1050000</v>
      </c>
      <c r="BY15" s="897">
        <f>BY26+BY32</f>
        <v>22</v>
      </c>
      <c r="BZ15" s="931">
        <f>BZ26+BZ32</f>
        <v>15</v>
      </c>
      <c r="CA15" s="857">
        <f>_xlfn.IFS(BY15=0,0,BZ15&lt;=BY15,BZ15/BY15,BZ15&gt;BY15,1)</f>
        <v>0.68181818181818177</v>
      </c>
      <c r="CB15" s="889">
        <f>CB26+CB32</f>
        <v>1050000</v>
      </c>
      <c r="CC15" s="897">
        <f>CC26+CC32</f>
        <v>22</v>
      </c>
      <c r="CD15" s="931">
        <f>CD26+CD32</f>
        <v>15</v>
      </c>
      <c r="CE15" s="857">
        <f>_xlfn.IFS(CC15=0,0,CD15&lt;=CC15,CD15/CC15,CD15&gt;CC15,1)</f>
        <v>0.68181818181818177</v>
      </c>
      <c r="CF15" s="889">
        <f>CF26+CF32</f>
        <v>1050000</v>
      </c>
      <c r="CG15" s="897">
        <f>CG26+CG32</f>
        <v>22</v>
      </c>
      <c r="CH15" s="931">
        <f>CH26+CH32</f>
        <v>15</v>
      </c>
      <c r="CI15" s="857">
        <f>_xlfn.IFS(CG15=0,0,CH15&lt;=CG15,CH15/CG15,CH15&gt;CG15,1)</f>
        <v>0.68181818181818177</v>
      </c>
      <c r="CJ15" s="889">
        <f>CJ26+CJ32</f>
        <v>1050000</v>
      </c>
      <c r="CK15" s="897">
        <f>CK26+CK32</f>
        <v>22</v>
      </c>
      <c r="CL15" s="931">
        <f>CL26+CL32</f>
        <v>15</v>
      </c>
      <c r="CM15" s="857">
        <f>_xlfn.IFS(CK15=0,0,CL15&lt;=CK15,CL15/CK15,CL15&gt;CK15,1)</f>
        <v>0.68181818181818177</v>
      </c>
      <c r="CN15" s="889">
        <f>CN26+CN32</f>
        <v>1050000</v>
      </c>
      <c r="CO15" s="897">
        <f>CO26+CO32</f>
        <v>22</v>
      </c>
      <c r="CP15" s="931">
        <f>CP26+CP32</f>
        <v>15</v>
      </c>
      <c r="CQ15" s="857">
        <f>_xlfn.IFS(CO15=0,0,CP15&lt;=CO15,CP15/CO15,CP15&gt;CO15,1)</f>
        <v>0.68181818181818177</v>
      </c>
      <c r="CR15" s="889">
        <f>CR26+CR32</f>
        <v>1050000</v>
      </c>
      <c r="CS15" s="897">
        <f>CS26+CS32</f>
        <v>22</v>
      </c>
      <c r="CT15" s="931">
        <f>CT26+CT32</f>
        <v>15</v>
      </c>
      <c r="CU15" s="857">
        <f>_xlfn.IFS(CS15=0,0,CT15&lt;=CS15,CT15/CS15,CT15&gt;CS15,1)</f>
        <v>0.68181818181818177</v>
      </c>
      <c r="CV15" s="889">
        <f>CV26+CV32</f>
        <v>1050000</v>
      </c>
      <c r="CW15" s="897">
        <f>CW26+CW32</f>
        <v>22</v>
      </c>
      <c r="CX15" s="931">
        <f>CX26+CX32</f>
        <v>15</v>
      </c>
      <c r="CY15" s="857">
        <f>_xlfn.IFS(CW15=0,0,CX15&lt;=CW15,CX15/CW15,CX15&gt;CW15,1)</f>
        <v>0.68181818181818177</v>
      </c>
      <c r="CZ15" s="889">
        <f>CZ26+CZ32</f>
        <v>1050000</v>
      </c>
      <c r="DA15" s="897">
        <f>DA26+DA32</f>
        <v>22</v>
      </c>
      <c r="DB15" s="931">
        <f>DB26+DB32</f>
        <v>15</v>
      </c>
      <c r="DC15" s="857">
        <f>_xlfn.IFS(DA15=0,0,DB15&lt;=DA15,DB15/DA15,DB15&gt;DA15,1)</f>
        <v>0.68181818181818177</v>
      </c>
      <c r="DD15" s="889">
        <f>DD26+DD32</f>
        <v>1050000</v>
      </c>
      <c r="DE15" s="897">
        <f>DE26+DE32</f>
        <v>22</v>
      </c>
      <c r="DF15" s="931">
        <f>DF26+DF32</f>
        <v>15</v>
      </c>
      <c r="DG15" s="857">
        <f>_xlfn.IFS(DE15=0,0,DF15&lt;=DE15,DF15/DE15,DF15&gt;DE15,1)</f>
        <v>0.68181818181818177</v>
      </c>
      <c r="DH15" s="889">
        <f>DH26+DH32</f>
        <v>1050000</v>
      </c>
      <c r="DI15" s="897">
        <f>DI26+DI32</f>
        <v>22</v>
      </c>
      <c r="DJ15" s="931">
        <f>DJ26+DJ32</f>
        <v>15</v>
      </c>
      <c r="DK15" s="857">
        <f>_xlfn.IFS(DI15=0,0,DJ15&lt;=DI15,DJ15/DI15,DJ15&gt;DI15,1)</f>
        <v>0.68181818181818177</v>
      </c>
      <c r="DL15" s="889">
        <f>DL26+DL32</f>
        <v>1050000</v>
      </c>
      <c r="DM15" s="897">
        <f>DM26+DM32</f>
        <v>22</v>
      </c>
      <c r="DN15" s="931">
        <f>DN26+DN32</f>
        <v>15</v>
      </c>
      <c r="DO15" s="857">
        <f>_xlfn.IFS(DM15=0,0,DN15&lt;=DM15,DN15/DM15,DN15&gt;DM15,1)</f>
        <v>0.68181818181818177</v>
      </c>
      <c r="DP15" s="889">
        <f>DP26+DP32</f>
        <v>1050000</v>
      </c>
      <c r="DQ15" s="897">
        <f>DQ26+DQ32</f>
        <v>22</v>
      </c>
      <c r="DR15" s="931">
        <f>DR26+DR32</f>
        <v>15</v>
      </c>
      <c r="DS15" s="857">
        <f>_xlfn.IFS(DQ15=0,0,DR15&lt;=DQ15,DR15/DQ15,DR15&gt;DQ15,1)</f>
        <v>0.68181818181818177</v>
      </c>
      <c r="DT15" s="889">
        <f>DT26+DT32</f>
        <v>1050000</v>
      </c>
      <c r="DU15" s="897">
        <f>DU26+DU32</f>
        <v>22</v>
      </c>
      <c r="DV15" s="931">
        <f>DV26+DV32</f>
        <v>15</v>
      </c>
      <c r="DW15" s="857">
        <f>_xlfn.IFS(DU15=0,0,DV15&lt;=DU15,DV15/DU15,DV15&gt;DU15,1)</f>
        <v>0.68181818181818177</v>
      </c>
      <c r="DX15" s="889">
        <f>DX26+DX32</f>
        <v>1050000</v>
      </c>
      <c r="DY15" s="897">
        <f>DY26+DY32</f>
        <v>22</v>
      </c>
      <c r="DZ15" s="931">
        <f>DZ26+DZ32</f>
        <v>15</v>
      </c>
      <c r="EA15" s="857">
        <f>_xlfn.IFS(DY15=0,0,DZ15&lt;=DY15,DZ15/DY15,DZ15&gt;DY15,1)</f>
        <v>0.68181818181818177</v>
      </c>
      <c r="EB15" s="889">
        <f>EB26+EB32</f>
        <v>1050000</v>
      </c>
      <c r="EC15" s="897">
        <f>EC26+EC32</f>
        <v>22</v>
      </c>
      <c r="ED15" s="931">
        <f>ED26+ED32</f>
        <v>15</v>
      </c>
      <c r="EE15" s="857">
        <f>_xlfn.IFS(EC15=0,0,ED15&lt;=EC15,ED15/EC15,ED15&gt;EC15,1)</f>
        <v>0.68181818181818177</v>
      </c>
      <c r="EF15" s="889">
        <f>EF26+EF32</f>
        <v>1050000</v>
      </c>
    </row>
    <row r="16" spans="1:136" s="916" customFormat="1" ht="20" customHeight="1" x14ac:dyDescent="0.15">
      <c r="A16" s="870">
        <f>_xlfn.IFS(B16=0,0,E16&gt;B16,1,E16&lt;=B16,E16/B16)</f>
        <v>0</v>
      </c>
      <c r="B16" s="833"/>
      <c r="C16" s="832" t="str">
        <f>Dashboard!K92</f>
        <v>SMS</v>
      </c>
      <c r="D16" s="185">
        <f>Dashboard!AC92</f>
        <v>78.25</v>
      </c>
      <c r="E16" s="1083">
        <f>SUMIF($M$13:$EF$13,$M$13,$M16:$EF16)</f>
        <v>744</v>
      </c>
      <c r="F16" s="185">
        <f>E16-D16</f>
        <v>665.75</v>
      </c>
      <c r="G16" s="789">
        <f>_xlfn.IFS(F16&gt;0,1,F16&lt;=0,E16/D16)</f>
        <v>1</v>
      </c>
      <c r="H16" s="978"/>
      <c r="I16" s="951"/>
      <c r="J16" s="978"/>
      <c r="K16" s="185">
        <f>D16/$B$9</f>
        <v>2.7456140350877192</v>
      </c>
      <c r="L16" s="882">
        <f ca="1">SUMIFS($M16:$EF16,$M$11:$EF$11,TODAY()-1,$M$13:$EF$13,$M$13)</f>
        <v>0</v>
      </c>
      <c r="M16" s="897">
        <f>M20+M35+M36+M39</f>
        <v>24</v>
      </c>
      <c r="N16" s="931">
        <f>N20+N35+N36+N39</f>
        <v>20</v>
      </c>
      <c r="O16" s="857">
        <f>_xlfn.IFS(M16=0,0,N16&lt;=M16,N16/M16,N16&gt;M16,1)</f>
        <v>0.83333333333333337</v>
      </c>
      <c r="P16" s="889">
        <f>P20+P35+P36+P39</f>
        <v>2150000</v>
      </c>
      <c r="Q16" s="897">
        <f>Q20+Q35+Q36+Q39</f>
        <v>24</v>
      </c>
      <c r="R16" s="931">
        <f>R20+R35+R36+R39</f>
        <v>20</v>
      </c>
      <c r="S16" s="857">
        <f>_xlfn.IFS(Q16=0,0,R16&lt;=Q16,R16/Q16,R16&gt;Q16,1)</f>
        <v>0.83333333333333337</v>
      </c>
      <c r="T16" s="889">
        <f>T20+T35+T36+T39</f>
        <v>2150000</v>
      </c>
      <c r="U16" s="897">
        <f>U20+U35+U36+U39</f>
        <v>24</v>
      </c>
      <c r="V16" s="931">
        <f>V20+V35+V36+V39</f>
        <v>20</v>
      </c>
      <c r="W16" s="857">
        <f>_xlfn.IFS(U16=0,0,V16&lt;=U16,V16/U16,V16&gt;U16,1)</f>
        <v>0.83333333333333337</v>
      </c>
      <c r="X16" s="889">
        <f>X20+X35+X36+X39</f>
        <v>2150000</v>
      </c>
      <c r="Y16" s="897">
        <f>Y20+Y35+Y36+Y39</f>
        <v>24</v>
      </c>
      <c r="Z16" s="931">
        <f>Z20+Z35+Z36+Z39</f>
        <v>20</v>
      </c>
      <c r="AA16" s="857">
        <f>_xlfn.IFS(Y16=0,0,Z16&lt;=Y16,Z16/Y16,Z16&gt;Y16,1)</f>
        <v>0.83333333333333337</v>
      </c>
      <c r="AB16" s="889">
        <f>AB20+AB35+AB36+AB39</f>
        <v>2150000</v>
      </c>
      <c r="AC16" s="897">
        <f>AC20+AC35+AC36+AC39</f>
        <v>24</v>
      </c>
      <c r="AD16" s="931">
        <f>AD20+AD35+AD36+AD39</f>
        <v>20</v>
      </c>
      <c r="AE16" s="857">
        <f>_xlfn.IFS(AC16=0,0,AD16&lt;=AC16,AD16/AC16,AD16&gt;AC16,1)</f>
        <v>0.83333333333333337</v>
      </c>
      <c r="AF16" s="889">
        <f>AF20+AF35+AF36+AF39</f>
        <v>2150000</v>
      </c>
      <c r="AG16" s="897">
        <f>AG20+AG35+AG36+AG39</f>
        <v>24</v>
      </c>
      <c r="AH16" s="931">
        <f>AH20+AH35+AH36+AH39</f>
        <v>20</v>
      </c>
      <c r="AI16" s="857">
        <f>_xlfn.IFS(AG16=0,0,AH16&lt;=AG16,AH16/AG16,AH16&gt;AG16,1)</f>
        <v>0.83333333333333337</v>
      </c>
      <c r="AJ16" s="889">
        <f>AJ20+AJ35+AJ36+AJ39</f>
        <v>2150000</v>
      </c>
      <c r="AK16" s="897">
        <f>AK20+AK35+AK36+AK39</f>
        <v>24</v>
      </c>
      <c r="AL16" s="931">
        <f>AL20+AL35+AL36+AL39</f>
        <v>20</v>
      </c>
      <c r="AM16" s="857">
        <f>_xlfn.IFS(AK16=0,0,AL16&lt;=AK16,AL16/AK16,AL16&gt;AK16,1)</f>
        <v>0.83333333333333337</v>
      </c>
      <c r="AN16" s="889">
        <f>AN20+AN35+AN36+AN39</f>
        <v>2150000</v>
      </c>
      <c r="AO16" s="897">
        <f>AO20+AO35+AO36+AO39</f>
        <v>24</v>
      </c>
      <c r="AP16" s="931">
        <f>AP20+AP35+AP36+AP39</f>
        <v>20</v>
      </c>
      <c r="AQ16" s="857">
        <f>_xlfn.IFS(AO16=0,0,AP16&lt;=AO16,AP16/AO16,AP16&gt;AO16,1)</f>
        <v>0.83333333333333337</v>
      </c>
      <c r="AR16" s="889">
        <f>AR20+AR35+AR36+AR39</f>
        <v>2150000</v>
      </c>
      <c r="AS16" s="897">
        <f>AS20+AS35+AS36+AS39</f>
        <v>24</v>
      </c>
      <c r="AT16" s="931">
        <f>AT20+AT35+AT36+AT39</f>
        <v>20</v>
      </c>
      <c r="AU16" s="857">
        <f>_xlfn.IFS(AS16=0,0,AT16&lt;=AS16,AT16/AS16,AT16&gt;AS16,1)</f>
        <v>0.83333333333333337</v>
      </c>
      <c r="AV16" s="889">
        <f>AV20+AV35+AV36+AV39</f>
        <v>2150000</v>
      </c>
      <c r="AW16" s="897">
        <f>AW20+AW35+AW36+AW39</f>
        <v>24</v>
      </c>
      <c r="AX16" s="931">
        <f>AX20+AX35+AX36+AX39</f>
        <v>20</v>
      </c>
      <c r="AY16" s="857">
        <f>_xlfn.IFS(AW16=0,0,AX16&lt;=AW16,AX16/AW16,AX16&gt;AW16,1)</f>
        <v>0.83333333333333337</v>
      </c>
      <c r="AZ16" s="889">
        <f>AZ20+AZ35+AZ36+AZ39</f>
        <v>2150000</v>
      </c>
      <c r="BA16" s="897">
        <f>BA20+BA35+BA36+BA39</f>
        <v>24</v>
      </c>
      <c r="BB16" s="931">
        <f>BB20+BB35+BB36+BB39</f>
        <v>20</v>
      </c>
      <c r="BC16" s="857">
        <f>_xlfn.IFS(BA16=0,0,BB16&lt;=BA16,BB16/BA16,BB16&gt;BA16,1)</f>
        <v>0.83333333333333337</v>
      </c>
      <c r="BD16" s="889">
        <f>BD20+BD35+BD36+BD39</f>
        <v>2150000</v>
      </c>
      <c r="BE16" s="897">
        <f>BE20+BE35+BE36+BE39</f>
        <v>24</v>
      </c>
      <c r="BF16" s="931">
        <f>BF20+BF35+BF36+BF39</f>
        <v>20</v>
      </c>
      <c r="BG16" s="857">
        <f>_xlfn.IFS(BE16=0,0,BF16&lt;=BE16,BF16/BE16,BF16&gt;BE16,1)</f>
        <v>0.83333333333333337</v>
      </c>
      <c r="BH16" s="889">
        <f>BH20+BH35+BH36+BH39</f>
        <v>2150000</v>
      </c>
      <c r="BI16" s="897">
        <f>BI20+BI35+BI36+BI39</f>
        <v>24</v>
      </c>
      <c r="BJ16" s="931">
        <f>BJ20+BJ35+BJ36+BJ39</f>
        <v>20</v>
      </c>
      <c r="BK16" s="857">
        <f>_xlfn.IFS(BI16=0,0,BJ16&lt;=BI16,BJ16/BI16,BJ16&gt;BI16,1)</f>
        <v>0.83333333333333337</v>
      </c>
      <c r="BL16" s="889">
        <f>BL20+BL35+BL36+BL39</f>
        <v>2150000</v>
      </c>
      <c r="BM16" s="897">
        <f>BM20+BM35+BM36+BM39</f>
        <v>24</v>
      </c>
      <c r="BN16" s="931">
        <f>BN20+BN35+BN36+BN39</f>
        <v>20</v>
      </c>
      <c r="BO16" s="857">
        <f>_xlfn.IFS(BM16=0,0,BN16&lt;=BM16,BN16/BM16,BN16&gt;BM16,1)</f>
        <v>0.83333333333333337</v>
      </c>
      <c r="BP16" s="889">
        <f>BP20+BP35+BP36+BP39</f>
        <v>2150000</v>
      </c>
      <c r="BQ16" s="897">
        <f>BQ20+BQ35+BQ36+BQ39</f>
        <v>24</v>
      </c>
      <c r="BR16" s="931">
        <f>BR20+BR35+BR36+BR39</f>
        <v>20</v>
      </c>
      <c r="BS16" s="857">
        <f>_xlfn.IFS(BQ16=0,0,BR16&lt;=BQ16,BR16/BQ16,BR16&gt;BQ16,1)</f>
        <v>0.83333333333333337</v>
      </c>
      <c r="BT16" s="889">
        <f>BT20+BT35+BT36+BT39</f>
        <v>2150000</v>
      </c>
      <c r="BU16" s="897">
        <f>BU20+BU35+BU36+BU39</f>
        <v>24</v>
      </c>
      <c r="BV16" s="931">
        <f>BV20+BV35+BV36+BV39</f>
        <v>20</v>
      </c>
      <c r="BW16" s="857">
        <f>_xlfn.IFS(BU16=0,0,BV16&lt;=BU16,BV16/BU16,BV16&gt;BU16,1)</f>
        <v>0.83333333333333337</v>
      </c>
      <c r="BX16" s="889">
        <f>BX20+BX35+BX36+BX39</f>
        <v>2150000</v>
      </c>
      <c r="BY16" s="897">
        <f>BY20+BY35+BY36+BY39</f>
        <v>24</v>
      </c>
      <c r="BZ16" s="931">
        <f>BZ20+BZ35+BZ36+BZ39</f>
        <v>20</v>
      </c>
      <c r="CA16" s="857">
        <f>_xlfn.IFS(BY16=0,0,BZ16&lt;=BY16,BZ16/BY16,BZ16&gt;BY16,1)</f>
        <v>0.83333333333333337</v>
      </c>
      <c r="CB16" s="889">
        <f>CB20+CB35+CB36+CB39</f>
        <v>2150000</v>
      </c>
      <c r="CC16" s="897">
        <f>CC20+CC35+CC36+CC39</f>
        <v>24</v>
      </c>
      <c r="CD16" s="931">
        <f>CD20+CD35+CD36+CD39</f>
        <v>20</v>
      </c>
      <c r="CE16" s="857">
        <f>_xlfn.IFS(CC16=0,0,CD16&lt;=CC16,CD16/CC16,CD16&gt;CC16,1)</f>
        <v>0.83333333333333337</v>
      </c>
      <c r="CF16" s="889">
        <f>CF20+CF35+CF36+CF39</f>
        <v>2150000</v>
      </c>
      <c r="CG16" s="897">
        <f>CG20+CG35+CG36+CG39</f>
        <v>24</v>
      </c>
      <c r="CH16" s="931">
        <f>CH20+CH35+CH36+CH39</f>
        <v>20</v>
      </c>
      <c r="CI16" s="857">
        <f>_xlfn.IFS(CG16=0,0,CH16&lt;=CG16,CH16/CG16,CH16&gt;CG16,1)</f>
        <v>0.83333333333333337</v>
      </c>
      <c r="CJ16" s="889">
        <f>CJ20+CJ35+CJ36+CJ39</f>
        <v>2150000</v>
      </c>
      <c r="CK16" s="897">
        <f>CK20+CK35+CK36+CK39</f>
        <v>24</v>
      </c>
      <c r="CL16" s="931">
        <f>CL20+CL35+CL36+CL39</f>
        <v>20</v>
      </c>
      <c r="CM16" s="857">
        <f>_xlfn.IFS(CK16=0,0,CL16&lt;=CK16,CL16/CK16,CL16&gt;CK16,1)</f>
        <v>0.83333333333333337</v>
      </c>
      <c r="CN16" s="889">
        <f>CN20+CN35+CN36+CN39</f>
        <v>2150000</v>
      </c>
      <c r="CO16" s="897">
        <f>CO20+CO35+CO36+CO39</f>
        <v>24</v>
      </c>
      <c r="CP16" s="931">
        <f>CP20+CP35+CP36+CP39</f>
        <v>20</v>
      </c>
      <c r="CQ16" s="857">
        <f>_xlfn.IFS(CO16=0,0,CP16&lt;=CO16,CP16/CO16,CP16&gt;CO16,1)</f>
        <v>0.83333333333333337</v>
      </c>
      <c r="CR16" s="889">
        <f>CR20+CR35+CR36+CR39</f>
        <v>2150000</v>
      </c>
      <c r="CS16" s="897">
        <f>CS20+CS35+CS36+CS39</f>
        <v>24</v>
      </c>
      <c r="CT16" s="931">
        <f>CT20+CT35+CT36+CT39</f>
        <v>20</v>
      </c>
      <c r="CU16" s="857">
        <f>_xlfn.IFS(CS16=0,0,CT16&lt;=CS16,CT16/CS16,CT16&gt;CS16,1)</f>
        <v>0.83333333333333337</v>
      </c>
      <c r="CV16" s="889">
        <f>CV20+CV35+CV36+CV39</f>
        <v>2150000</v>
      </c>
      <c r="CW16" s="897">
        <f>CW20+CW35+CW36+CW39</f>
        <v>24</v>
      </c>
      <c r="CX16" s="931">
        <f>CX20+CX35+CX36+CX39</f>
        <v>20</v>
      </c>
      <c r="CY16" s="857">
        <f>_xlfn.IFS(CW16=0,0,CX16&lt;=CW16,CX16/CW16,CX16&gt;CW16,1)</f>
        <v>0.83333333333333337</v>
      </c>
      <c r="CZ16" s="889">
        <f>CZ20+CZ35+CZ36+CZ39</f>
        <v>2150000</v>
      </c>
      <c r="DA16" s="897">
        <f>DA20+DA35+DA36+DA39</f>
        <v>24</v>
      </c>
      <c r="DB16" s="931">
        <f>DB20+DB35+DB36+DB39</f>
        <v>20</v>
      </c>
      <c r="DC16" s="857">
        <f>_xlfn.IFS(DA16=0,0,DB16&lt;=DA16,DB16/DA16,DB16&gt;DA16,1)</f>
        <v>0.83333333333333337</v>
      </c>
      <c r="DD16" s="889">
        <f>DD20+DD35+DD36+DD39</f>
        <v>2150000</v>
      </c>
      <c r="DE16" s="897">
        <f>DE20+DE35+DE36+DE39</f>
        <v>24</v>
      </c>
      <c r="DF16" s="931">
        <f>DF20+DF35+DF36+DF39</f>
        <v>20</v>
      </c>
      <c r="DG16" s="857">
        <f>_xlfn.IFS(DE16=0,0,DF16&lt;=DE16,DF16/DE16,DF16&gt;DE16,1)</f>
        <v>0.83333333333333337</v>
      </c>
      <c r="DH16" s="889">
        <f>DH20+DH35+DH36+DH39</f>
        <v>2150000</v>
      </c>
      <c r="DI16" s="897">
        <f>DI20+DI35+DI36+DI39</f>
        <v>24</v>
      </c>
      <c r="DJ16" s="931">
        <f>DJ20+DJ35+DJ36+DJ39</f>
        <v>20</v>
      </c>
      <c r="DK16" s="857">
        <f>_xlfn.IFS(DI16=0,0,DJ16&lt;=DI16,DJ16/DI16,DJ16&gt;DI16,1)</f>
        <v>0.83333333333333337</v>
      </c>
      <c r="DL16" s="889">
        <f>DL20+DL35+DL36+DL39</f>
        <v>2150000</v>
      </c>
      <c r="DM16" s="897">
        <f>DM20+DM35+DM36+DM39</f>
        <v>24</v>
      </c>
      <c r="DN16" s="931">
        <f>DN20+DN35+DN36+DN39</f>
        <v>20</v>
      </c>
      <c r="DO16" s="857">
        <f>_xlfn.IFS(DM16=0,0,DN16&lt;=DM16,DN16/DM16,DN16&gt;DM16,1)</f>
        <v>0.83333333333333337</v>
      </c>
      <c r="DP16" s="889">
        <f>DP20+DP35+DP36+DP39</f>
        <v>2150000</v>
      </c>
      <c r="DQ16" s="897">
        <f>DQ20+DQ35+DQ36+DQ39</f>
        <v>24</v>
      </c>
      <c r="DR16" s="931">
        <f>DR20+DR35+DR36+DR39</f>
        <v>20</v>
      </c>
      <c r="DS16" s="857">
        <f>_xlfn.IFS(DQ16=0,0,DR16&lt;=DQ16,DR16/DQ16,DR16&gt;DQ16,1)</f>
        <v>0.83333333333333337</v>
      </c>
      <c r="DT16" s="889">
        <f>DT20+DT35+DT36+DT39</f>
        <v>2150000</v>
      </c>
      <c r="DU16" s="897">
        <f>DU20+DU35+DU36+DU39</f>
        <v>24</v>
      </c>
      <c r="DV16" s="931">
        <f>DV20+DV35+DV36+DV39</f>
        <v>20</v>
      </c>
      <c r="DW16" s="857">
        <f>_xlfn.IFS(DU16=0,0,DV16&lt;=DU16,DV16/DU16,DV16&gt;DU16,1)</f>
        <v>0.83333333333333337</v>
      </c>
      <c r="DX16" s="889">
        <f>DX20+DX35+DX36+DX39</f>
        <v>2150000</v>
      </c>
      <c r="DY16" s="897">
        <f>DY20+DY35+DY36+DY39</f>
        <v>24</v>
      </c>
      <c r="DZ16" s="931">
        <f>DZ20+DZ35+DZ36+DZ39</f>
        <v>20</v>
      </c>
      <c r="EA16" s="857">
        <f>_xlfn.IFS(DY16=0,0,DZ16&lt;=DY16,DZ16/DY16,DZ16&gt;DY16,1)</f>
        <v>0.83333333333333337</v>
      </c>
      <c r="EB16" s="889">
        <f>EB20+EB35+EB36+EB39</f>
        <v>2150000</v>
      </c>
      <c r="EC16" s="897">
        <f>EC20+EC35+EC36+EC39</f>
        <v>24</v>
      </c>
      <c r="ED16" s="931">
        <f>ED20+ED35+ED36+ED39</f>
        <v>20</v>
      </c>
      <c r="EE16" s="857">
        <f>_xlfn.IFS(EC16=0,0,ED16&lt;=EC16,ED16/EC16,ED16&gt;EC16,1)</f>
        <v>0.83333333333333337</v>
      </c>
      <c r="EF16" s="889">
        <f>EF20+EF35+EF36+EF39</f>
        <v>2150000</v>
      </c>
    </row>
    <row r="17" spans="1:136" s="916" customFormat="1" ht="20" customHeight="1" x14ac:dyDescent="0.15">
      <c r="A17" s="870">
        <f>_xlfn.IFS(B17=0,0,E17&gt;B17,1,E17&lt;=B17,E17/B17)</f>
        <v>0</v>
      </c>
      <c r="B17" s="833"/>
      <c r="C17" s="832" t="str">
        <f>Dashboard!K93</f>
        <v>Q&amp;A</v>
      </c>
      <c r="D17" s="185">
        <f>Dashboard!AC93</f>
        <v>26</v>
      </c>
      <c r="E17" s="1083">
        <f>SUMIF($M$13:$EF$13,$M$13,$M17:$EF17)</f>
        <v>1426</v>
      </c>
      <c r="F17" s="185">
        <f>E17-D17</f>
        <v>1400</v>
      </c>
      <c r="G17" s="789">
        <f>_xlfn.IFS(F17&gt;0,1,F17&lt;=0,E17/D17)</f>
        <v>1</v>
      </c>
      <c r="H17" s="978"/>
      <c r="I17" s="978"/>
      <c r="J17" s="978"/>
      <c r="K17" s="185">
        <f>D17/$B$9</f>
        <v>0.91228070175438591</v>
      </c>
      <c r="L17" s="882">
        <f ca="1">SUMIFS($M17:$EF17,$M$11:$EF$11,TODAY()-1,$M$13:$EF$13,$N$13)</f>
        <v>0</v>
      </c>
      <c r="M17" s="897">
        <f>SUM(M15:M16)</f>
        <v>46</v>
      </c>
      <c r="N17" s="931">
        <f>SUM(N15:N16)</f>
        <v>35</v>
      </c>
      <c r="O17" s="857">
        <f>_xlfn.IFS(M17=0,0,N17&lt;=M17,N17/M17,N17&gt;M17,1)</f>
        <v>0.76086956521739135</v>
      </c>
      <c r="P17" s="889">
        <f>SUM(P15:P16)</f>
        <v>3200000</v>
      </c>
      <c r="Q17" s="897">
        <f>SUM(Q15:Q16)</f>
        <v>46</v>
      </c>
      <c r="R17" s="931">
        <f>SUM(R15:R16)</f>
        <v>35</v>
      </c>
      <c r="S17" s="857">
        <f>_xlfn.IFS(Q17=0,0,R17&lt;=Q17,R17/Q17,R17&gt;Q17,1)</f>
        <v>0.76086956521739135</v>
      </c>
      <c r="T17" s="889">
        <f>SUM(T15:T16)</f>
        <v>3200000</v>
      </c>
      <c r="U17" s="897">
        <f>SUM(U15:U16)</f>
        <v>46</v>
      </c>
      <c r="V17" s="931">
        <f>SUM(V15:V16)</f>
        <v>35</v>
      </c>
      <c r="W17" s="857">
        <f>_xlfn.IFS(U17=0,0,V17&lt;=U17,V17/U17,V17&gt;U17,1)</f>
        <v>0.76086956521739135</v>
      </c>
      <c r="X17" s="889">
        <f>SUM(X15:X16)</f>
        <v>3200000</v>
      </c>
      <c r="Y17" s="897">
        <f>SUM(Y15:Y16)</f>
        <v>46</v>
      </c>
      <c r="Z17" s="931">
        <f>SUM(Z15:Z16)</f>
        <v>35</v>
      </c>
      <c r="AA17" s="857">
        <f>_xlfn.IFS(Y17=0,0,Z17&lt;=Y17,Z17/Y17,Z17&gt;Y17,1)</f>
        <v>0.76086956521739135</v>
      </c>
      <c r="AB17" s="889">
        <f>SUM(AB15:AB16)</f>
        <v>3200000</v>
      </c>
      <c r="AC17" s="897">
        <f>SUM(AC15:AC16)</f>
        <v>46</v>
      </c>
      <c r="AD17" s="931">
        <f>SUM(AD15:AD16)</f>
        <v>35</v>
      </c>
      <c r="AE17" s="857">
        <f>_xlfn.IFS(AC17=0,0,AD17&lt;=AC17,AD17/AC17,AD17&gt;AC17,1)</f>
        <v>0.76086956521739135</v>
      </c>
      <c r="AF17" s="889">
        <f>SUM(AF15:AF16)</f>
        <v>3200000</v>
      </c>
      <c r="AG17" s="897">
        <f>SUM(AG15:AG16)</f>
        <v>46</v>
      </c>
      <c r="AH17" s="931">
        <f>SUM(AH15:AH16)</f>
        <v>35</v>
      </c>
      <c r="AI17" s="857">
        <f>_xlfn.IFS(AG17=0,0,AH17&lt;=AG17,AH17/AG17,AH17&gt;AG17,1)</f>
        <v>0.76086956521739135</v>
      </c>
      <c r="AJ17" s="889">
        <f>SUM(AJ15:AJ16)</f>
        <v>3200000</v>
      </c>
      <c r="AK17" s="897">
        <f>SUM(AK15:AK16)</f>
        <v>46</v>
      </c>
      <c r="AL17" s="931">
        <f>SUM(AL15:AL16)</f>
        <v>35</v>
      </c>
      <c r="AM17" s="857">
        <f>_xlfn.IFS(AK17=0,0,AL17&lt;=AK17,AL17/AK17,AL17&gt;AK17,1)</f>
        <v>0.76086956521739135</v>
      </c>
      <c r="AN17" s="889">
        <f>SUM(AN15:AN16)</f>
        <v>3200000</v>
      </c>
      <c r="AO17" s="897">
        <f>SUM(AO15:AO16)</f>
        <v>46</v>
      </c>
      <c r="AP17" s="931">
        <f>SUM(AP15:AP16)</f>
        <v>35</v>
      </c>
      <c r="AQ17" s="857">
        <f>_xlfn.IFS(AO17=0,0,AP17&lt;=AO17,AP17/AO17,AP17&gt;AO17,1)</f>
        <v>0.76086956521739135</v>
      </c>
      <c r="AR17" s="889">
        <f>SUM(AR15:AR16)</f>
        <v>3200000</v>
      </c>
      <c r="AS17" s="897">
        <f>SUM(AS15:AS16)</f>
        <v>46</v>
      </c>
      <c r="AT17" s="931">
        <f>SUM(AT15:AT16)</f>
        <v>35</v>
      </c>
      <c r="AU17" s="857">
        <f>_xlfn.IFS(AS17=0,0,AT17&lt;=AS17,AT17/AS17,AT17&gt;AS17,1)</f>
        <v>0.76086956521739135</v>
      </c>
      <c r="AV17" s="889">
        <f>SUM(AV15:AV16)</f>
        <v>3200000</v>
      </c>
      <c r="AW17" s="897">
        <f>SUM(AW15:AW16)</f>
        <v>46</v>
      </c>
      <c r="AX17" s="931">
        <f>SUM(AX15:AX16)</f>
        <v>35</v>
      </c>
      <c r="AY17" s="857">
        <f>_xlfn.IFS(AW17=0,0,AX17&lt;=AW17,AX17/AW17,AX17&gt;AW17,1)</f>
        <v>0.76086956521739135</v>
      </c>
      <c r="AZ17" s="889">
        <f>SUM(AZ15:AZ16)</f>
        <v>3200000</v>
      </c>
      <c r="BA17" s="897">
        <f>SUM(BA15:BA16)</f>
        <v>46</v>
      </c>
      <c r="BB17" s="931">
        <f>SUM(BB15:BB16)</f>
        <v>35</v>
      </c>
      <c r="BC17" s="857">
        <f>_xlfn.IFS(BA17=0,0,BB17&lt;=BA17,BB17/BA17,BB17&gt;BA17,1)</f>
        <v>0.76086956521739135</v>
      </c>
      <c r="BD17" s="889">
        <f>SUM(BD15:BD16)</f>
        <v>3200000</v>
      </c>
      <c r="BE17" s="897">
        <f>SUM(BE15:BE16)</f>
        <v>46</v>
      </c>
      <c r="BF17" s="931">
        <f>SUM(BF15:BF16)</f>
        <v>35</v>
      </c>
      <c r="BG17" s="857">
        <f>_xlfn.IFS(BE17=0,0,BF17&lt;=BE17,BF17/BE17,BF17&gt;BE17,1)</f>
        <v>0.76086956521739135</v>
      </c>
      <c r="BH17" s="889">
        <f>SUM(BH15:BH16)</f>
        <v>3200000</v>
      </c>
      <c r="BI17" s="897">
        <f>SUM(BI15:BI16)</f>
        <v>46</v>
      </c>
      <c r="BJ17" s="931">
        <f>SUM(BJ15:BJ16)</f>
        <v>35</v>
      </c>
      <c r="BK17" s="857">
        <f>_xlfn.IFS(BI17=0,0,BJ17&lt;=BI17,BJ17/BI17,BJ17&gt;BI17,1)</f>
        <v>0.76086956521739135</v>
      </c>
      <c r="BL17" s="889">
        <f>SUM(BL15:BL16)</f>
        <v>3200000</v>
      </c>
      <c r="BM17" s="897">
        <f>SUM(BM15:BM16)</f>
        <v>46</v>
      </c>
      <c r="BN17" s="931">
        <f>SUM(BN15:BN16)</f>
        <v>35</v>
      </c>
      <c r="BO17" s="857">
        <f>_xlfn.IFS(BM17=0,0,BN17&lt;=BM17,BN17/BM17,BN17&gt;BM17,1)</f>
        <v>0.76086956521739135</v>
      </c>
      <c r="BP17" s="889">
        <f>SUM(BP15:BP16)</f>
        <v>3200000</v>
      </c>
      <c r="BQ17" s="897">
        <f>SUM(BQ15:BQ16)</f>
        <v>46</v>
      </c>
      <c r="BR17" s="931">
        <f>SUM(BR15:BR16)</f>
        <v>35</v>
      </c>
      <c r="BS17" s="857">
        <f>_xlfn.IFS(BQ17=0,0,BR17&lt;=BQ17,BR17/BQ17,BR17&gt;BQ17,1)</f>
        <v>0.76086956521739135</v>
      </c>
      <c r="BT17" s="889">
        <f>SUM(BT15:BT16)</f>
        <v>3200000</v>
      </c>
      <c r="BU17" s="897">
        <f>SUM(BU15:BU16)</f>
        <v>46</v>
      </c>
      <c r="BV17" s="931">
        <f>SUM(BV15:BV16)</f>
        <v>35</v>
      </c>
      <c r="BW17" s="857">
        <f>_xlfn.IFS(BU17=0,0,BV17&lt;=BU17,BV17/BU17,BV17&gt;BU17,1)</f>
        <v>0.76086956521739135</v>
      </c>
      <c r="BX17" s="889">
        <f>SUM(BX15:BX16)</f>
        <v>3200000</v>
      </c>
      <c r="BY17" s="897">
        <f>SUM(BY15:BY16)</f>
        <v>46</v>
      </c>
      <c r="BZ17" s="931">
        <f>SUM(BZ15:BZ16)</f>
        <v>35</v>
      </c>
      <c r="CA17" s="857">
        <f>_xlfn.IFS(BY17=0,0,BZ17&lt;=BY17,BZ17/BY17,BZ17&gt;BY17,1)</f>
        <v>0.76086956521739135</v>
      </c>
      <c r="CB17" s="889">
        <f>SUM(CB15:CB16)</f>
        <v>3200000</v>
      </c>
      <c r="CC17" s="897">
        <f>SUM(CC15:CC16)</f>
        <v>46</v>
      </c>
      <c r="CD17" s="931">
        <f>SUM(CD15:CD16)</f>
        <v>35</v>
      </c>
      <c r="CE17" s="857">
        <f>_xlfn.IFS(CC17=0,0,CD17&lt;=CC17,CD17/CC17,CD17&gt;CC17,1)</f>
        <v>0.76086956521739135</v>
      </c>
      <c r="CF17" s="889">
        <f>SUM(CF15:CF16)</f>
        <v>3200000</v>
      </c>
      <c r="CG17" s="897">
        <f>SUM(CG15:CG16)</f>
        <v>46</v>
      </c>
      <c r="CH17" s="931">
        <f>SUM(CH15:CH16)</f>
        <v>35</v>
      </c>
      <c r="CI17" s="857">
        <f>_xlfn.IFS(CG17=0,0,CH17&lt;=CG17,CH17/CG17,CH17&gt;CG17,1)</f>
        <v>0.76086956521739135</v>
      </c>
      <c r="CJ17" s="889">
        <f>SUM(CJ15:CJ16)</f>
        <v>3200000</v>
      </c>
      <c r="CK17" s="897">
        <f>SUM(CK15:CK16)</f>
        <v>46</v>
      </c>
      <c r="CL17" s="931">
        <f>SUM(CL15:CL16)</f>
        <v>35</v>
      </c>
      <c r="CM17" s="857">
        <f>_xlfn.IFS(CK17=0,0,CL17&lt;=CK17,CL17/CK17,CL17&gt;CK17,1)</f>
        <v>0.76086956521739135</v>
      </c>
      <c r="CN17" s="889">
        <f>SUM(CN15:CN16)</f>
        <v>3200000</v>
      </c>
      <c r="CO17" s="897">
        <f>SUM(CO15:CO16)</f>
        <v>46</v>
      </c>
      <c r="CP17" s="931">
        <f>SUM(CP15:CP16)</f>
        <v>35</v>
      </c>
      <c r="CQ17" s="857">
        <f>_xlfn.IFS(CO17=0,0,CP17&lt;=CO17,CP17/CO17,CP17&gt;CO17,1)</f>
        <v>0.76086956521739135</v>
      </c>
      <c r="CR17" s="889">
        <f>SUM(CR15:CR16)</f>
        <v>3200000</v>
      </c>
      <c r="CS17" s="897">
        <f>SUM(CS15:CS16)</f>
        <v>46</v>
      </c>
      <c r="CT17" s="931">
        <f>SUM(CT15:CT16)</f>
        <v>35</v>
      </c>
      <c r="CU17" s="857">
        <f>_xlfn.IFS(CS17=0,0,CT17&lt;=CS17,CT17/CS17,CT17&gt;CS17,1)</f>
        <v>0.76086956521739135</v>
      </c>
      <c r="CV17" s="889">
        <f>SUM(CV15:CV16)</f>
        <v>3200000</v>
      </c>
      <c r="CW17" s="897">
        <f>SUM(CW15:CW16)</f>
        <v>46</v>
      </c>
      <c r="CX17" s="931">
        <f>SUM(CX15:CX16)</f>
        <v>35</v>
      </c>
      <c r="CY17" s="857">
        <f>_xlfn.IFS(CW17=0,0,CX17&lt;=CW17,CX17/CW17,CX17&gt;CW17,1)</f>
        <v>0.76086956521739135</v>
      </c>
      <c r="CZ17" s="889">
        <f>SUM(CZ15:CZ16)</f>
        <v>3200000</v>
      </c>
      <c r="DA17" s="897">
        <f>SUM(DA15:DA16)</f>
        <v>46</v>
      </c>
      <c r="DB17" s="931">
        <f>SUM(DB15:DB16)</f>
        <v>35</v>
      </c>
      <c r="DC17" s="857">
        <f>_xlfn.IFS(DA17=0,0,DB17&lt;=DA17,DB17/DA17,DB17&gt;DA17,1)</f>
        <v>0.76086956521739135</v>
      </c>
      <c r="DD17" s="889">
        <f>SUM(DD15:DD16)</f>
        <v>3200000</v>
      </c>
      <c r="DE17" s="897">
        <f>SUM(DE15:DE16)</f>
        <v>46</v>
      </c>
      <c r="DF17" s="931">
        <f>SUM(DF15:DF16)</f>
        <v>35</v>
      </c>
      <c r="DG17" s="857">
        <f>_xlfn.IFS(DE17=0,0,DF17&lt;=DE17,DF17/DE17,DF17&gt;DE17,1)</f>
        <v>0.76086956521739135</v>
      </c>
      <c r="DH17" s="889">
        <f>SUM(DH15:DH16)</f>
        <v>3200000</v>
      </c>
      <c r="DI17" s="897">
        <f>SUM(DI15:DI16)</f>
        <v>46</v>
      </c>
      <c r="DJ17" s="931">
        <f>SUM(DJ15:DJ16)</f>
        <v>35</v>
      </c>
      <c r="DK17" s="857">
        <f>_xlfn.IFS(DI17=0,0,DJ17&lt;=DI17,DJ17/DI17,DJ17&gt;DI17,1)</f>
        <v>0.76086956521739135</v>
      </c>
      <c r="DL17" s="889">
        <f>SUM(DL15:DL16)</f>
        <v>3200000</v>
      </c>
      <c r="DM17" s="897">
        <f>SUM(DM15:DM16)</f>
        <v>46</v>
      </c>
      <c r="DN17" s="931">
        <f>SUM(DN15:DN16)</f>
        <v>35</v>
      </c>
      <c r="DO17" s="857">
        <f>_xlfn.IFS(DM17=0,0,DN17&lt;=DM17,DN17/DM17,DN17&gt;DM17,1)</f>
        <v>0.76086956521739135</v>
      </c>
      <c r="DP17" s="889">
        <f>SUM(DP15:DP16)</f>
        <v>3200000</v>
      </c>
      <c r="DQ17" s="897">
        <f>SUM(DQ15:DQ16)</f>
        <v>46</v>
      </c>
      <c r="DR17" s="931">
        <f>SUM(DR15:DR16)</f>
        <v>35</v>
      </c>
      <c r="DS17" s="857">
        <f>_xlfn.IFS(DQ17=0,0,DR17&lt;=DQ17,DR17/DQ17,DR17&gt;DQ17,1)</f>
        <v>0.76086956521739135</v>
      </c>
      <c r="DT17" s="889">
        <f>SUM(DT15:DT16)</f>
        <v>3200000</v>
      </c>
      <c r="DU17" s="897">
        <f>SUM(DU15:DU16)</f>
        <v>46</v>
      </c>
      <c r="DV17" s="931">
        <f>SUM(DV15:DV16)</f>
        <v>35</v>
      </c>
      <c r="DW17" s="857">
        <f>_xlfn.IFS(DU17=0,0,DV17&lt;=DU17,DV17/DU17,DV17&gt;DU17,1)</f>
        <v>0.76086956521739135</v>
      </c>
      <c r="DX17" s="889">
        <f>SUM(DX15:DX16)</f>
        <v>3200000</v>
      </c>
      <c r="DY17" s="897">
        <f>SUM(DY15:DY16)</f>
        <v>46</v>
      </c>
      <c r="DZ17" s="931">
        <f>SUM(DZ15:DZ16)</f>
        <v>35</v>
      </c>
      <c r="EA17" s="857">
        <f>_xlfn.IFS(DY17=0,0,DZ17&lt;=DY17,DZ17/DY17,DZ17&gt;DY17,1)</f>
        <v>0.76086956521739135</v>
      </c>
      <c r="EB17" s="889">
        <f>SUM(EB15:EB16)</f>
        <v>3200000</v>
      </c>
      <c r="EC17" s="897">
        <f>SUM(EC15:EC16)</f>
        <v>46</v>
      </c>
      <c r="ED17" s="931">
        <f>SUM(ED15:ED16)</f>
        <v>35</v>
      </c>
      <c r="EE17" s="857">
        <f>_xlfn.IFS(EC17=0,0,ED17&lt;=EC17,ED17/EC17,ED17&gt;EC17,1)</f>
        <v>0.76086956521739135</v>
      </c>
      <c r="EF17" s="889">
        <f>SUM(EF15:EF16)</f>
        <v>3200000</v>
      </c>
    </row>
    <row r="18" spans="1:136" s="978" customFormat="1" ht="20" customHeight="1" x14ac:dyDescent="0.15">
      <c r="A18" s="870"/>
      <c r="B18" s="9"/>
      <c r="C18" s="813" t="str">
        <f>Dashboard!K94</f>
        <v>P3</v>
      </c>
      <c r="D18" s="1091">
        <f>Dashboard!M94</f>
        <v>0.35</v>
      </c>
      <c r="E18" s="834"/>
      <c r="F18" s="834"/>
      <c r="G18" s="834"/>
      <c r="K18" s="854"/>
      <c r="L18" s="980"/>
      <c r="M18" s="898"/>
      <c r="N18" s="859"/>
      <c r="O18" s="860"/>
      <c r="P18" s="890"/>
      <c r="Q18" s="898"/>
      <c r="R18" s="859"/>
      <c r="S18" s="860"/>
      <c r="T18" s="890"/>
      <c r="U18" s="898"/>
      <c r="V18" s="859"/>
      <c r="W18" s="860"/>
      <c r="X18" s="890"/>
      <c r="Y18" s="898"/>
      <c r="Z18" s="859"/>
      <c r="AA18" s="860"/>
      <c r="AB18" s="890"/>
      <c r="AC18" s="898"/>
      <c r="AD18" s="859"/>
      <c r="AE18" s="860"/>
      <c r="AF18" s="890"/>
      <c r="AG18" s="898"/>
      <c r="AH18" s="859"/>
      <c r="AI18" s="860"/>
      <c r="AJ18" s="890"/>
      <c r="AK18" s="898"/>
      <c r="AL18" s="859"/>
      <c r="AM18" s="860"/>
      <c r="AN18" s="890"/>
      <c r="AO18" s="898"/>
      <c r="AP18" s="859"/>
      <c r="AQ18" s="860"/>
      <c r="AR18" s="890"/>
      <c r="AS18" s="898"/>
      <c r="AT18" s="859"/>
      <c r="AU18" s="860"/>
      <c r="AV18" s="890"/>
      <c r="AW18" s="898"/>
      <c r="AX18" s="859"/>
      <c r="AY18" s="860"/>
      <c r="AZ18" s="890"/>
      <c r="BA18" s="898"/>
      <c r="BB18" s="859"/>
      <c r="BC18" s="860"/>
      <c r="BD18" s="890"/>
      <c r="BE18" s="898"/>
      <c r="BF18" s="859"/>
      <c r="BG18" s="860"/>
      <c r="BH18" s="890"/>
      <c r="BI18" s="898"/>
      <c r="BJ18" s="859"/>
      <c r="BK18" s="860"/>
      <c r="BL18" s="890"/>
      <c r="BM18" s="898"/>
      <c r="BN18" s="859"/>
      <c r="BO18" s="860"/>
      <c r="BP18" s="890"/>
      <c r="BQ18" s="898"/>
      <c r="BR18" s="859"/>
      <c r="BS18" s="860"/>
      <c r="BT18" s="890"/>
      <c r="BU18" s="898"/>
      <c r="BV18" s="859"/>
      <c r="BW18" s="860"/>
      <c r="BX18" s="890"/>
      <c r="BY18" s="898"/>
      <c r="BZ18" s="859"/>
      <c r="CA18" s="860"/>
      <c r="CB18" s="890"/>
      <c r="CC18" s="898"/>
      <c r="CD18" s="859"/>
      <c r="CE18" s="860"/>
      <c r="CF18" s="890"/>
      <c r="CG18" s="898"/>
      <c r="CH18" s="859"/>
      <c r="CI18" s="860"/>
      <c r="CJ18" s="890"/>
      <c r="CK18" s="898"/>
      <c r="CL18" s="859"/>
      <c r="CM18" s="860"/>
      <c r="CN18" s="890"/>
      <c r="CO18" s="898"/>
      <c r="CP18" s="859"/>
      <c r="CQ18" s="860"/>
      <c r="CR18" s="890"/>
      <c r="CS18" s="898"/>
      <c r="CT18" s="859"/>
      <c r="CU18" s="860"/>
      <c r="CV18" s="890"/>
      <c r="CW18" s="898"/>
      <c r="CX18" s="859"/>
      <c r="CY18" s="860"/>
      <c r="CZ18" s="890"/>
      <c r="DA18" s="898"/>
      <c r="DB18" s="859"/>
      <c r="DC18" s="860"/>
      <c r="DD18" s="890"/>
      <c r="DE18" s="898"/>
      <c r="DF18" s="859"/>
      <c r="DG18" s="860"/>
      <c r="DH18" s="890"/>
      <c r="DI18" s="898"/>
      <c r="DJ18" s="859"/>
      <c r="DK18" s="860"/>
      <c r="DL18" s="890"/>
      <c r="DM18" s="898"/>
      <c r="DN18" s="859"/>
      <c r="DO18" s="860"/>
      <c r="DP18" s="890"/>
      <c r="DQ18" s="898"/>
      <c r="DR18" s="859"/>
      <c r="DS18" s="860"/>
      <c r="DT18" s="890"/>
      <c r="DU18" s="898"/>
      <c r="DV18" s="859"/>
      <c r="DW18" s="860"/>
      <c r="DX18" s="890"/>
      <c r="DY18" s="898"/>
      <c r="DZ18" s="859"/>
      <c r="EA18" s="860"/>
      <c r="EB18" s="890"/>
      <c r="EC18" s="898"/>
      <c r="ED18" s="859"/>
      <c r="EE18" s="860"/>
      <c r="EF18" s="890"/>
    </row>
    <row r="19" spans="1:136" s="916" customFormat="1" ht="20" customHeight="1" x14ac:dyDescent="0.15">
      <c r="A19" s="870">
        <f>_xlfn.IFS(B19=0,0,E19&gt;B19,1,E19&lt;=B19,E19/B19)</f>
        <v>0</v>
      </c>
      <c r="B19" s="833"/>
      <c r="C19" s="831" t="str">
        <f>Dashboard!K95</f>
        <v>SALES REVENUE</v>
      </c>
      <c r="D19" s="840">
        <f>Dashboard!AC95</f>
        <v>125000000</v>
      </c>
      <c r="E19" s="1090">
        <f t="shared" ref="E19:E31" si="195">SUMIF($M$13:$EF$13,$P$13,$M19:$EF19)</f>
        <v>99200000</v>
      </c>
      <c r="F19" s="840">
        <f t="shared" ref="F19" si="196">E19-D19</f>
        <v>-25800000</v>
      </c>
      <c r="G19" s="789">
        <f>_xlfn.IFS(F19&gt;0,1,F19&lt;=0,E19/D19)</f>
        <v>0.79359999999999997</v>
      </c>
      <c r="H19" s="789">
        <f>IF(SUMIF($M$13:$EF$13,$M$13,M19:EF19)&gt;0,SUMIF($M$13:$EF$13,$N$13,M19:EF19)/SUMIF($M$13:$EF$13,$M$13,M19:EF19),0)</f>
        <v>0.47826086956521741</v>
      </c>
      <c r="I19" s="789">
        <f>Dashboard!M116</f>
        <v>0.16041666666666665</v>
      </c>
      <c r="J19" s="789">
        <f ca="1">SUMIFS($M19:$EF19,$M$11:$EF$11,TODAY()-1,$M$13:$EF$13,O$13)</f>
        <v>0</v>
      </c>
      <c r="K19" s="840">
        <f>D19/'Action Plan'!$C$6</f>
        <v>4807692.307692308</v>
      </c>
      <c r="L19" s="940">
        <f ca="1">SUMIFS($M19:$EF19,$M$11:$EF$11,TODAY()-1,$M$13:$EF$13,P$13)</f>
        <v>0</v>
      </c>
      <c r="M19" s="897">
        <f>(M20+M32+M36+M39+M26+M35)</f>
        <v>46</v>
      </c>
      <c r="N19" s="858">
        <f>(N20+N32+N36+N39)</f>
        <v>22</v>
      </c>
      <c r="O19" s="857">
        <f>O$8</f>
        <v>0.76086956521739135</v>
      </c>
      <c r="P19" s="889">
        <f>P20+P26+P32+P35+P36+P39</f>
        <v>3200000</v>
      </c>
      <c r="Q19" s="897">
        <f>(Q20+Q32+Q36+Q39+Q26+Q35)</f>
        <v>46</v>
      </c>
      <c r="R19" s="858">
        <f>(R20+R32+R36+R39)</f>
        <v>22</v>
      </c>
      <c r="S19" s="857">
        <f>S$8</f>
        <v>0.76086956521739135</v>
      </c>
      <c r="T19" s="889">
        <f>T20+T26+T32+T35+T36+T39</f>
        <v>3200000</v>
      </c>
      <c r="U19" s="897">
        <f>(U20+U32+U36+U39+U26+U35)</f>
        <v>46</v>
      </c>
      <c r="V19" s="858">
        <f>(V20+V32+V36+V39)</f>
        <v>22</v>
      </c>
      <c r="W19" s="857">
        <f>W$8</f>
        <v>0.76086956521739135</v>
      </c>
      <c r="X19" s="889">
        <f>X20+X26+X32+X35+X36+X39</f>
        <v>3200000</v>
      </c>
      <c r="Y19" s="897">
        <f>(Y20+Y32+Y36+Y39+Y26+Y35)</f>
        <v>46</v>
      </c>
      <c r="Z19" s="858">
        <f>(Z20+Z32+Z36+Z39)</f>
        <v>22</v>
      </c>
      <c r="AA19" s="857">
        <f>AA$8</f>
        <v>0.76086956521739135</v>
      </c>
      <c r="AB19" s="889">
        <f>AB20+AB26+AB32+AB35+AB36+AB39</f>
        <v>3200000</v>
      </c>
      <c r="AC19" s="897">
        <f>(AC20+AC32+AC36+AC39+AC26+AC35)</f>
        <v>46</v>
      </c>
      <c r="AD19" s="858">
        <f>(AD20+AD32+AD36+AD39)</f>
        <v>22</v>
      </c>
      <c r="AE19" s="857">
        <f>AE$8</f>
        <v>0.76086956521739135</v>
      </c>
      <c r="AF19" s="889">
        <f>AF20+AF26+AF32+AF35+AF36+AF39</f>
        <v>3200000</v>
      </c>
      <c r="AG19" s="897">
        <f>(AG20+AG32+AG36+AG39+AG26+AG35)</f>
        <v>46</v>
      </c>
      <c r="AH19" s="858">
        <f>(AH20+AH32+AH36+AH39)</f>
        <v>22</v>
      </c>
      <c r="AI19" s="857">
        <f>AI$8</f>
        <v>0.76086956521739135</v>
      </c>
      <c r="AJ19" s="889">
        <f>AJ20+AJ26+AJ32+AJ35+AJ36+AJ39</f>
        <v>3200000</v>
      </c>
      <c r="AK19" s="897">
        <f>(AK20+AK32+AK36+AK39+AK26+AK35)</f>
        <v>46</v>
      </c>
      <c r="AL19" s="858">
        <f>(AL20+AL32+AL36+AL39)</f>
        <v>22</v>
      </c>
      <c r="AM19" s="857">
        <f>AM$8</f>
        <v>0.76086956521739135</v>
      </c>
      <c r="AN19" s="889">
        <f>AN20+AN26+AN32+AN35+AN36+AN39</f>
        <v>3200000</v>
      </c>
      <c r="AO19" s="897">
        <f>(AO20+AO32+AO36+AO39+AO26+AO35)</f>
        <v>46</v>
      </c>
      <c r="AP19" s="858">
        <f>(AP20+AP32+AP36+AP39)</f>
        <v>22</v>
      </c>
      <c r="AQ19" s="857">
        <f>AQ$8</f>
        <v>0.76086956521739135</v>
      </c>
      <c r="AR19" s="889">
        <f>AR20+AR26+AR32+AR35+AR36+AR39</f>
        <v>3200000</v>
      </c>
      <c r="AS19" s="897">
        <f>(AS20+AS32+AS36+AS39+AS26+AS35)</f>
        <v>46</v>
      </c>
      <c r="AT19" s="858">
        <f>(AT20+AT32+AT36+AT39)</f>
        <v>22</v>
      </c>
      <c r="AU19" s="857">
        <f>AU$8</f>
        <v>0.76086956521739135</v>
      </c>
      <c r="AV19" s="889">
        <f>AV20+AV26+AV32+AV35+AV36+AV39</f>
        <v>3200000</v>
      </c>
      <c r="AW19" s="897">
        <f>(AW20+AW32+AW36+AW39+AW26+AW35)</f>
        <v>46</v>
      </c>
      <c r="AX19" s="858">
        <f>(AX20+AX32+AX36+AX39)</f>
        <v>22</v>
      </c>
      <c r="AY19" s="857">
        <f>AY$8</f>
        <v>0.76086956521739135</v>
      </c>
      <c r="AZ19" s="889">
        <f>AZ20+AZ26+AZ32+AZ35+AZ36+AZ39</f>
        <v>3200000</v>
      </c>
      <c r="BA19" s="897">
        <f>(BA20+BA32+BA36+BA39+BA26+BA35)</f>
        <v>46</v>
      </c>
      <c r="BB19" s="858">
        <f>(BB20+BB32+BB36+BB39)</f>
        <v>22</v>
      </c>
      <c r="BC19" s="857">
        <f>BC$8</f>
        <v>0.76086956521739135</v>
      </c>
      <c r="BD19" s="889">
        <f>BD20+BD26+BD32+BD35+BD36+BD39</f>
        <v>3200000</v>
      </c>
      <c r="BE19" s="897">
        <f>(BE20+BE32+BE36+BE39+BE26+BE35)</f>
        <v>46</v>
      </c>
      <c r="BF19" s="858">
        <f>(BF20+BF32+BF36+BF39)</f>
        <v>22</v>
      </c>
      <c r="BG19" s="857">
        <f>BG$8</f>
        <v>0.76086956521739135</v>
      </c>
      <c r="BH19" s="889">
        <f>BH20+BH26+BH32+BH35+BH36+BH39</f>
        <v>3200000</v>
      </c>
      <c r="BI19" s="897">
        <f>(BI20+BI32+BI36+BI39+BI26+BI35)</f>
        <v>46</v>
      </c>
      <c r="BJ19" s="858">
        <f>(BJ20+BJ32+BJ36+BJ39)</f>
        <v>22</v>
      </c>
      <c r="BK19" s="857">
        <f>BK$8</f>
        <v>0.76086956521739135</v>
      </c>
      <c r="BL19" s="889">
        <f>BL20+BL26+BL32+BL35+BL36+BL39</f>
        <v>3200000</v>
      </c>
      <c r="BM19" s="897">
        <f>(BM20+BM32+BM36+BM39+BM26+BM35)</f>
        <v>46</v>
      </c>
      <c r="BN19" s="858">
        <f>(BN20+BN32+BN36+BN39)</f>
        <v>22</v>
      </c>
      <c r="BO19" s="857">
        <f>BO$8</f>
        <v>0.76086956521739135</v>
      </c>
      <c r="BP19" s="889">
        <f>BP20+BP26+BP32+BP35+BP36+BP39</f>
        <v>3200000</v>
      </c>
      <c r="BQ19" s="897">
        <f>(BQ20+BQ32+BQ36+BQ39+BQ26+BQ35)</f>
        <v>46</v>
      </c>
      <c r="BR19" s="858">
        <f>(BR20+BR32+BR36+BR39)</f>
        <v>22</v>
      </c>
      <c r="BS19" s="857">
        <f>BS$8</f>
        <v>0.76086956521739135</v>
      </c>
      <c r="BT19" s="889">
        <f>BT20+BT26+BT32+BT35+BT36+BT39</f>
        <v>3200000</v>
      </c>
      <c r="BU19" s="897">
        <f>(BU20+BU32+BU36+BU39+BU26+BU35)</f>
        <v>46</v>
      </c>
      <c r="BV19" s="858">
        <f>(BV20+BV32+BV36+BV39)</f>
        <v>22</v>
      </c>
      <c r="BW19" s="857">
        <f>BW$8</f>
        <v>0.76086956521739135</v>
      </c>
      <c r="BX19" s="889">
        <f>BX20+BX26+BX32+BX35+BX36+BX39</f>
        <v>3200000</v>
      </c>
      <c r="BY19" s="897">
        <f>(BY20+BY32+BY36+BY39+BY26+BY35)</f>
        <v>46</v>
      </c>
      <c r="BZ19" s="858">
        <f>(BZ20+BZ32+BZ36+BZ39)</f>
        <v>22</v>
      </c>
      <c r="CA19" s="857">
        <f>CA$8</f>
        <v>0.76086956521739135</v>
      </c>
      <c r="CB19" s="889">
        <f>CB20+CB26+CB32+CB35+CB36+CB39</f>
        <v>3200000</v>
      </c>
      <c r="CC19" s="897">
        <f>(CC20+CC32+CC36+CC39+CC26+CC35)</f>
        <v>46</v>
      </c>
      <c r="CD19" s="858">
        <f>(CD20+CD32+CD36+CD39)</f>
        <v>22</v>
      </c>
      <c r="CE19" s="857">
        <f>CE$8</f>
        <v>0.76086956521739135</v>
      </c>
      <c r="CF19" s="889">
        <f>CF20+CF26+CF32+CF35+CF36+CF39</f>
        <v>3200000</v>
      </c>
      <c r="CG19" s="897">
        <f>(CG20+CG32+CG36+CG39+CG26+CG35)</f>
        <v>46</v>
      </c>
      <c r="CH19" s="858">
        <f>(CH20+CH32+CH36+CH39)</f>
        <v>22</v>
      </c>
      <c r="CI19" s="857">
        <f>CI$8</f>
        <v>0.76086956521739135</v>
      </c>
      <c r="CJ19" s="889">
        <f>CJ20+CJ26+CJ32+CJ35+CJ36+CJ39</f>
        <v>3200000</v>
      </c>
      <c r="CK19" s="897">
        <f>(CK20+CK32+CK36+CK39+CK26+CK35)</f>
        <v>46</v>
      </c>
      <c r="CL19" s="858">
        <f>(CL20+CL32+CL36+CL39)</f>
        <v>22</v>
      </c>
      <c r="CM19" s="857">
        <f>CM$8</f>
        <v>0.76086956521739135</v>
      </c>
      <c r="CN19" s="889">
        <f>CN20+CN26+CN32+CN35+CN36+CN39</f>
        <v>3200000</v>
      </c>
      <c r="CO19" s="897">
        <f>(CO20+CO32+CO36+CO39+CO26+CO35)</f>
        <v>46</v>
      </c>
      <c r="CP19" s="858">
        <f>(CP20+CP32+CP36+CP39)</f>
        <v>22</v>
      </c>
      <c r="CQ19" s="857">
        <f>CQ$8</f>
        <v>0.76086956521739135</v>
      </c>
      <c r="CR19" s="889">
        <f>CR20+CR26+CR32+CR35+CR36+CR39</f>
        <v>3200000</v>
      </c>
      <c r="CS19" s="897">
        <f>(CS20+CS32+CS36+CS39+CS26+CS35)</f>
        <v>46</v>
      </c>
      <c r="CT19" s="858">
        <f>(CT20+CT32+CT36+CT39)</f>
        <v>22</v>
      </c>
      <c r="CU19" s="857">
        <f>CU$8</f>
        <v>0.76086956521739135</v>
      </c>
      <c r="CV19" s="889">
        <f>CV20+CV26+CV32+CV35+CV36+CV39</f>
        <v>3200000</v>
      </c>
      <c r="CW19" s="897">
        <f>(CW20+CW32+CW36+CW39+CW26+CW35)</f>
        <v>46</v>
      </c>
      <c r="CX19" s="858">
        <f>(CX20+CX32+CX36+CX39)</f>
        <v>22</v>
      </c>
      <c r="CY19" s="857">
        <f>CY$8</f>
        <v>0.76086956521739135</v>
      </c>
      <c r="CZ19" s="889">
        <f>CZ20+CZ26+CZ32+CZ35+CZ36+CZ39</f>
        <v>3200000</v>
      </c>
      <c r="DA19" s="897">
        <f>(DA20+DA32+DA36+DA39+DA26+DA35)</f>
        <v>46</v>
      </c>
      <c r="DB19" s="858">
        <f>(DB20+DB32+DB36+DB39)</f>
        <v>22</v>
      </c>
      <c r="DC19" s="857">
        <f>DC$8</f>
        <v>0.76086956521739135</v>
      </c>
      <c r="DD19" s="889">
        <f>DD20+DD26+DD32+DD35+DD36+DD39</f>
        <v>3200000</v>
      </c>
      <c r="DE19" s="897">
        <f>(DE20+DE32+DE36+DE39+DE26+DE35)</f>
        <v>46</v>
      </c>
      <c r="DF19" s="858">
        <f>(DF20+DF32+DF36+DF39)</f>
        <v>22</v>
      </c>
      <c r="DG19" s="857">
        <f>DG$8</f>
        <v>0.76086956521739135</v>
      </c>
      <c r="DH19" s="889">
        <f>DH20+DH26+DH32+DH35+DH36+DH39</f>
        <v>3200000</v>
      </c>
      <c r="DI19" s="897">
        <f>(DI20+DI32+DI36+DI39+DI26+DI35)</f>
        <v>46</v>
      </c>
      <c r="DJ19" s="858">
        <f>(DJ20+DJ32+DJ36+DJ39)</f>
        <v>22</v>
      </c>
      <c r="DK19" s="857">
        <f>DK$8</f>
        <v>0.76086956521739135</v>
      </c>
      <c r="DL19" s="889">
        <f>DL20+DL26+DL32+DL35+DL36+DL39</f>
        <v>3200000</v>
      </c>
      <c r="DM19" s="897">
        <f>(DM20+DM32+DM36+DM39+DM26+DM35)</f>
        <v>46</v>
      </c>
      <c r="DN19" s="858">
        <f>(DN20+DN32+DN36+DN39)</f>
        <v>22</v>
      </c>
      <c r="DO19" s="857">
        <f>DO$8</f>
        <v>0.76086956521739135</v>
      </c>
      <c r="DP19" s="889">
        <f>DP20+DP26+DP32+DP35+DP36+DP39</f>
        <v>3200000</v>
      </c>
      <c r="DQ19" s="897">
        <f>(DQ20+DQ32+DQ36+DQ39+DQ26+DQ35)</f>
        <v>46</v>
      </c>
      <c r="DR19" s="858">
        <f>(DR20+DR32+DR36+DR39)</f>
        <v>22</v>
      </c>
      <c r="DS19" s="857">
        <f>DS$8</f>
        <v>0.76086956521739135</v>
      </c>
      <c r="DT19" s="889">
        <f>DT20+DT26+DT32+DT35+DT36+DT39</f>
        <v>3200000</v>
      </c>
      <c r="DU19" s="897">
        <f>(DU20+DU32+DU36+DU39+DU26+DU35)</f>
        <v>46</v>
      </c>
      <c r="DV19" s="858">
        <f>(DV20+DV32+DV36+DV39)</f>
        <v>22</v>
      </c>
      <c r="DW19" s="857">
        <f>DW$8</f>
        <v>0.76086956521739135</v>
      </c>
      <c r="DX19" s="889">
        <f>DX20+DX26+DX32+DX35+DX36+DX39</f>
        <v>3200000</v>
      </c>
      <c r="DY19" s="897">
        <f>(DY20+DY32+DY36+DY39+DY26+DY35)</f>
        <v>46</v>
      </c>
      <c r="DZ19" s="858">
        <f>(DZ20+DZ32+DZ36+DZ39)</f>
        <v>22</v>
      </c>
      <c r="EA19" s="857">
        <f>EA$8</f>
        <v>0.76086956521739135</v>
      </c>
      <c r="EB19" s="889">
        <f>EB20+EB26+EB32+EB35+EB36+EB39</f>
        <v>3200000</v>
      </c>
      <c r="EC19" s="897">
        <f>(EC20+EC32+EC36+EC39+EC26+EC35)</f>
        <v>46</v>
      </c>
      <c r="ED19" s="858">
        <f>(ED20+ED32+ED36+ED39)</f>
        <v>22</v>
      </c>
      <c r="EE19" s="857">
        <f>EE$8</f>
        <v>0.76086956521739135</v>
      </c>
      <c r="EF19" s="889">
        <f>EF20+EF26+EF32+EF35+EF36+EF39</f>
        <v>3200000</v>
      </c>
    </row>
    <row r="20" spans="1:136" ht="20" customHeight="1" x14ac:dyDescent="0.15">
      <c r="A20" s="870">
        <f>_xlfn.IFS(B20=0,0,E20&gt;B20,1,E20&lt;=B20,E20/B20)</f>
        <v>0</v>
      </c>
      <c r="B20" s="791"/>
      <c r="C20" s="883" t="str">
        <f>Dashboard!K96</f>
        <v>FACEBOOK</v>
      </c>
      <c r="D20" s="686">
        <f>Dashboard!AC96</f>
        <v>12500000</v>
      </c>
      <c r="E20" s="1065">
        <f t="shared" si="195"/>
        <v>23250000</v>
      </c>
      <c r="F20" s="686">
        <f>E20-D20</f>
        <v>10750000</v>
      </c>
      <c r="G20" s="788">
        <f>_xlfn.IFS(F20&gt;0,1,F20&lt;=0,E20/D20)</f>
        <v>1</v>
      </c>
      <c r="H20" s="788">
        <f>IF(SUMIF(M$13:EF$13,$O$13,M20:EF20)&gt;0,AVERAGEIFS(M20:EF20,M20:EF20,"&gt;0",M$13:EF$13,$O$13),"NO NEW ORDER")</f>
        <v>1</v>
      </c>
      <c r="I20" s="788">
        <f>Dashboard!M117</f>
        <v>0.16041666666666665</v>
      </c>
      <c r="J20" s="788">
        <f ca="1">IF(SUM(J21:J25)&gt;0,AVERAGEIF(J21:J25,"&gt;0"),0)</f>
        <v>0</v>
      </c>
      <c r="K20" s="686">
        <f>D20/'Action Plan'!$C$6</f>
        <v>480769.23076923075</v>
      </c>
      <c r="L20" s="933">
        <f ca="1">SUMIFS($M20:$EF20,$M$11:$EF$11,TODAY()-1,$M$13:$EF$13,P$13)</f>
        <v>0</v>
      </c>
      <c r="M20" s="899">
        <f>SUM(M21:M25)</f>
        <v>15</v>
      </c>
      <c r="N20" s="904">
        <f>SUM(N21:N25)</f>
        <v>15</v>
      </c>
      <c r="O20" s="788">
        <f>IF(SUM(O21:O25)&gt;0,AVERAGEIF(O21:O25,"&gt;0"),0)</f>
        <v>1</v>
      </c>
      <c r="P20" s="891">
        <f>SUM(P21:P25)</f>
        <v>750000</v>
      </c>
      <c r="Q20" s="899">
        <f>SUM(Q21:Q25)</f>
        <v>15</v>
      </c>
      <c r="R20" s="904">
        <f>SUM(R21:R25)</f>
        <v>15</v>
      </c>
      <c r="S20" s="788">
        <f>IF(SUM(S21:S25)&gt;0,AVERAGEIF(S21:S25,"&gt;0"),0)</f>
        <v>1</v>
      </c>
      <c r="T20" s="891">
        <f>SUM(T21:T25)</f>
        <v>750000</v>
      </c>
      <c r="U20" s="899">
        <f>SUM(U21:U25)</f>
        <v>15</v>
      </c>
      <c r="V20" s="904">
        <f>SUM(V21:V25)</f>
        <v>15</v>
      </c>
      <c r="W20" s="788">
        <f>IF(SUM(W21:W25)&gt;0,AVERAGEIF(W21:W25,"&gt;0"),0)</f>
        <v>1</v>
      </c>
      <c r="X20" s="891">
        <f>SUM(X21:X25)</f>
        <v>750000</v>
      </c>
      <c r="Y20" s="899">
        <f>SUM(Y21:Y25)</f>
        <v>15</v>
      </c>
      <c r="Z20" s="904">
        <f>SUM(Z21:Z25)</f>
        <v>15</v>
      </c>
      <c r="AA20" s="788">
        <f>IF(SUM(AA21:AA25)&gt;0,AVERAGEIF(AA21:AA25,"&gt;0"),0)</f>
        <v>1</v>
      </c>
      <c r="AB20" s="891">
        <f>SUM(AB21:AB25)</f>
        <v>750000</v>
      </c>
      <c r="AC20" s="899">
        <f>SUM(AC21:AC25)</f>
        <v>15</v>
      </c>
      <c r="AD20" s="904">
        <f>SUM(AD21:AD25)</f>
        <v>15</v>
      </c>
      <c r="AE20" s="788">
        <f>IF(SUM(AE21:AE25)&gt;0,AVERAGEIF(AE21:AE25,"&gt;0"),0)</f>
        <v>1</v>
      </c>
      <c r="AF20" s="891">
        <f>SUM(AF21:AF25)</f>
        <v>750000</v>
      </c>
      <c r="AG20" s="899">
        <f>SUM(AG21:AG25)</f>
        <v>15</v>
      </c>
      <c r="AH20" s="904">
        <f>SUM(AH21:AH25)</f>
        <v>15</v>
      </c>
      <c r="AI20" s="788">
        <f>IF(SUM(AI21:AI25)&gt;0,AVERAGEIF(AI21:AI25,"&gt;0"),0)</f>
        <v>1</v>
      </c>
      <c r="AJ20" s="891">
        <f>SUM(AJ21:AJ25)</f>
        <v>750000</v>
      </c>
      <c r="AK20" s="899">
        <f>SUM(AK21:AK25)</f>
        <v>15</v>
      </c>
      <c r="AL20" s="904">
        <f>SUM(AL21:AL25)</f>
        <v>15</v>
      </c>
      <c r="AM20" s="788">
        <f>IF(SUM(AM21:AM25)&gt;0,AVERAGEIF(AM21:AM25,"&gt;0"),0)</f>
        <v>1</v>
      </c>
      <c r="AN20" s="891">
        <f>SUM(AN21:AN25)</f>
        <v>750000</v>
      </c>
      <c r="AO20" s="899">
        <f>SUM(AO21:AO25)</f>
        <v>15</v>
      </c>
      <c r="AP20" s="904">
        <f>SUM(AP21:AP25)</f>
        <v>15</v>
      </c>
      <c r="AQ20" s="788">
        <f>IF(SUM(AQ21:AQ25)&gt;0,AVERAGEIF(AQ21:AQ25,"&gt;0"),0)</f>
        <v>1</v>
      </c>
      <c r="AR20" s="891">
        <f>SUM(AR21:AR25)</f>
        <v>750000</v>
      </c>
      <c r="AS20" s="899">
        <f>SUM(AS21:AS25)</f>
        <v>15</v>
      </c>
      <c r="AT20" s="904">
        <f>SUM(AT21:AT25)</f>
        <v>15</v>
      </c>
      <c r="AU20" s="788">
        <f>IF(SUM(AU21:AU25)&gt;0,AVERAGEIF(AU21:AU25,"&gt;0"),0)</f>
        <v>1</v>
      </c>
      <c r="AV20" s="891">
        <f>SUM(AV21:AV25)</f>
        <v>750000</v>
      </c>
      <c r="AW20" s="899">
        <f>SUM(AW21:AW25)</f>
        <v>15</v>
      </c>
      <c r="AX20" s="904">
        <f>SUM(AX21:AX25)</f>
        <v>15</v>
      </c>
      <c r="AY20" s="788">
        <f>IF(SUM(AY21:AY25)&gt;0,AVERAGEIF(AY21:AY25,"&gt;0"),0)</f>
        <v>1</v>
      </c>
      <c r="AZ20" s="891">
        <f>SUM(AZ21:AZ25)</f>
        <v>750000</v>
      </c>
      <c r="BA20" s="899">
        <f>SUM(BA21:BA25)</f>
        <v>15</v>
      </c>
      <c r="BB20" s="904">
        <f>SUM(BB21:BB25)</f>
        <v>15</v>
      </c>
      <c r="BC20" s="788">
        <f>IF(SUM(BC21:BC25)&gt;0,AVERAGEIF(BC21:BC25,"&gt;0"),0)</f>
        <v>1</v>
      </c>
      <c r="BD20" s="891">
        <f>SUM(BD21:BD25)</f>
        <v>750000</v>
      </c>
      <c r="BE20" s="899">
        <f>SUM(BE21:BE25)</f>
        <v>15</v>
      </c>
      <c r="BF20" s="904">
        <f>SUM(BF21:BF25)</f>
        <v>15</v>
      </c>
      <c r="BG20" s="788">
        <f>IF(SUM(BG21:BG25)&gt;0,AVERAGEIF(BG21:BG25,"&gt;0"),0)</f>
        <v>1</v>
      </c>
      <c r="BH20" s="891">
        <f>SUM(BH21:BH25)</f>
        <v>750000</v>
      </c>
      <c r="BI20" s="899">
        <f>SUM(BI21:BI25)</f>
        <v>15</v>
      </c>
      <c r="BJ20" s="904">
        <f>SUM(BJ21:BJ25)</f>
        <v>15</v>
      </c>
      <c r="BK20" s="788">
        <f>IF(SUM(BK21:BK25)&gt;0,AVERAGEIF(BK21:BK25,"&gt;0"),0)</f>
        <v>1</v>
      </c>
      <c r="BL20" s="891">
        <f>SUM(BL21:BL25)</f>
        <v>750000</v>
      </c>
      <c r="BM20" s="899">
        <f>SUM(BM21:BM25)</f>
        <v>15</v>
      </c>
      <c r="BN20" s="904">
        <f>SUM(BN21:BN25)</f>
        <v>15</v>
      </c>
      <c r="BO20" s="788">
        <f>IF(SUM(BO21:BO25)&gt;0,AVERAGEIF(BO21:BO25,"&gt;0"),0)</f>
        <v>1</v>
      </c>
      <c r="BP20" s="891">
        <f>SUM(BP21:BP25)</f>
        <v>750000</v>
      </c>
      <c r="BQ20" s="899">
        <f>SUM(BQ21:BQ25)</f>
        <v>15</v>
      </c>
      <c r="BR20" s="904">
        <f>SUM(BR21:BR25)</f>
        <v>15</v>
      </c>
      <c r="BS20" s="788">
        <f>IF(SUM(BS21:BS25)&gt;0,AVERAGEIF(BS21:BS25,"&gt;0"),0)</f>
        <v>1</v>
      </c>
      <c r="BT20" s="891">
        <f>SUM(BT21:BT25)</f>
        <v>750000</v>
      </c>
      <c r="BU20" s="899">
        <f>SUM(BU21:BU25)</f>
        <v>15</v>
      </c>
      <c r="BV20" s="904">
        <f>SUM(BV21:BV25)</f>
        <v>15</v>
      </c>
      <c r="BW20" s="788">
        <f>IF(SUM(BW21:BW25)&gt;0,AVERAGEIF(BW21:BW25,"&gt;0"),0)</f>
        <v>1</v>
      </c>
      <c r="BX20" s="891">
        <f>SUM(BX21:BX25)</f>
        <v>750000</v>
      </c>
      <c r="BY20" s="899">
        <f>SUM(BY21:BY25)</f>
        <v>15</v>
      </c>
      <c r="BZ20" s="904">
        <f>SUM(BZ21:BZ25)</f>
        <v>15</v>
      </c>
      <c r="CA20" s="788">
        <f>IF(SUM(CA21:CA25)&gt;0,AVERAGEIF(CA21:CA25,"&gt;0"),0)</f>
        <v>1</v>
      </c>
      <c r="CB20" s="891">
        <f>SUM(CB21:CB25)</f>
        <v>750000</v>
      </c>
      <c r="CC20" s="899">
        <f>SUM(CC21:CC25)</f>
        <v>15</v>
      </c>
      <c r="CD20" s="904">
        <f>SUM(CD21:CD25)</f>
        <v>15</v>
      </c>
      <c r="CE20" s="788">
        <f>IF(SUM(CE21:CE25)&gt;0,AVERAGEIF(CE21:CE25,"&gt;0"),0)</f>
        <v>1</v>
      </c>
      <c r="CF20" s="891">
        <f>SUM(CF21:CF25)</f>
        <v>750000</v>
      </c>
      <c r="CG20" s="899">
        <f>SUM(CG21:CG25)</f>
        <v>15</v>
      </c>
      <c r="CH20" s="904">
        <f>SUM(CH21:CH25)</f>
        <v>15</v>
      </c>
      <c r="CI20" s="788">
        <f>IF(SUM(CI21:CI25)&gt;0,AVERAGEIF(CI21:CI25,"&gt;0"),0)</f>
        <v>1</v>
      </c>
      <c r="CJ20" s="891">
        <f>SUM(CJ21:CJ25)</f>
        <v>750000</v>
      </c>
      <c r="CK20" s="899">
        <f>SUM(CK21:CK25)</f>
        <v>15</v>
      </c>
      <c r="CL20" s="904">
        <f>SUM(CL21:CL25)</f>
        <v>15</v>
      </c>
      <c r="CM20" s="788">
        <f>IF(SUM(CM21:CM25)&gt;0,AVERAGEIF(CM21:CM25,"&gt;0"),0)</f>
        <v>1</v>
      </c>
      <c r="CN20" s="891">
        <f>SUM(CN21:CN25)</f>
        <v>750000</v>
      </c>
      <c r="CO20" s="899">
        <f>SUM(CO21:CO25)</f>
        <v>15</v>
      </c>
      <c r="CP20" s="904">
        <f>SUM(CP21:CP25)</f>
        <v>15</v>
      </c>
      <c r="CQ20" s="788">
        <f>IF(SUM(CQ21:CQ25)&gt;0,AVERAGEIF(CQ21:CQ25,"&gt;0"),0)</f>
        <v>1</v>
      </c>
      <c r="CR20" s="891">
        <f>SUM(CR21:CR25)</f>
        <v>750000</v>
      </c>
      <c r="CS20" s="899">
        <f>SUM(CS21:CS25)</f>
        <v>15</v>
      </c>
      <c r="CT20" s="904">
        <f>SUM(CT21:CT25)</f>
        <v>15</v>
      </c>
      <c r="CU20" s="788">
        <f>IF(SUM(CU21:CU25)&gt;0,AVERAGEIF(CU21:CU25,"&gt;0"),0)</f>
        <v>1</v>
      </c>
      <c r="CV20" s="891">
        <f>SUM(CV21:CV25)</f>
        <v>750000</v>
      </c>
      <c r="CW20" s="899">
        <f>SUM(CW21:CW25)</f>
        <v>15</v>
      </c>
      <c r="CX20" s="904">
        <f>SUM(CX21:CX25)</f>
        <v>15</v>
      </c>
      <c r="CY20" s="788">
        <f>IF(SUM(CY21:CY25)&gt;0,AVERAGEIF(CY21:CY25,"&gt;0"),0)</f>
        <v>1</v>
      </c>
      <c r="CZ20" s="891">
        <f>SUM(CZ21:CZ25)</f>
        <v>750000</v>
      </c>
      <c r="DA20" s="899">
        <f>SUM(DA21:DA25)</f>
        <v>15</v>
      </c>
      <c r="DB20" s="904">
        <f>SUM(DB21:DB25)</f>
        <v>15</v>
      </c>
      <c r="DC20" s="788">
        <f>IF(SUM(DC21:DC25)&gt;0,AVERAGEIF(DC21:DC25,"&gt;0"),0)</f>
        <v>1</v>
      </c>
      <c r="DD20" s="891">
        <f>SUM(DD21:DD25)</f>
        <v>750000</v>
      </c>
      <c r="DE20" s="899">
        <f>SUM(DE21:DE25)</f>
        <v>15</v>
      </c>
      <c r="DF20" s="904">
        <f>SUM(DF21:DF25)</f>
        <v>15</v>
      </c>
      <c r="DG20" s="788">
        <f>IF(SUM(DG21:DG25)&gt;0,AVERAGEIF(DG21:DG25,"&gt;0"),0)</f>
        <v>1</v>
      </c>
      <c r="DH20" s="891">
        <f>SUM(DH21:DH25)</f>
        <v>750000</v>
      </c>
      <c r="DI20" s="899">
        <f>SUM(DI21:DI25)</f>
        <v>15</v>
      </c>
      <c r="DJ20" s="904">
        <f>SUM(DJ21:DJ25)</f>
        <v>15</v>
      </c>
      <c r="DK20" s="788">
        <f>IF(SUM(DK21:DK25)&gt;0,AVERAGEIF(DK21:DK25,"&gt;0"),0)</f>
        <v>1</v>
      </c>
      <c r="DL20" s="891">
        <f>SUM(DL21:DL25)</f>
        <v>750000</v>
      </c>
      <c r="DM20" s="899">
        <f>SUM(DM21:DM25)</f>
        <v>15</v>
      </c>
      <c r="DN20" s="904">
        <f>SUM(DN21:DN25)</f>
        <v>15</v>
      </c>
      <c r="DO20" s="788">
        <f>IF(SUM(DO21:DO25)&gt;0,AVERAGEIF(DO21:DO25,"&gt;0"),0)</f>
        <v>1</v>
      </c>
      <c r="DP20" s="891">
        <f>SUM(DP21:DP25)</f>
        <v>750000</v>
      </c>
      <c r="DQ20" s="899">
        <f>SUM(DQ21:DQ25)</f>
        <v>15</v>
      </c>
      <c r="DR20" s="904">
        <f>SUM(DR21:DR25)</f>
        <v>15</v>
      </c>
      <c r="DS20" s="788">
        <f>IF(SUM(DS21:DS25)&gt;0,AVERAGEIF(DS21:DS25,"&gt;0"),0)</f>
        <v>1</v>
      </c>
      <c r="DT20" s="891">
        <f>SUM(DT21:DT25)</f>
        <v>750000</v>
      </c>
      <c r="DU20" s="899">
        <f>SUM(DU21:DU25)</f>
        <v>15</v>
      </c>
      <c r="DV20" s="904">
        <f>SUM(DV21:DV25)</f>
        <v>15</v>
      </c>
      <c r="DW20" s="788">
        <f>IF(SUM(DW21:DW25)&gt;0,AVERAGEIF(DW21:DW25,"&gt;0"),0)</f>
        <v>1</v>
      </c>
      <c r="DX20" s="891">
        <f>SUM(DX21:DX25)</f>
        <v>750000</v>
      </c>
      <c r="DY20" s="899">
        <f>SUM(DY21:DY25)</f>
        <v>15</v>
      </c>
      <c r="DZ20" s="904">
        <f>SUM(DZ21:DZ25)</f>
        <v>15</v>
      </c>
      <c r="EA20" s="788">
        <f>IF(SUM(EA21:EA25)&gt;0,AVERAGEIF(EA21:EA25,"&gt;0"),0)</f>
        <v>1</v>
      </c>
      <c r="EB20" s="891">
        <f>SUM(EB21:EB25)</f>
        <v>750000</v>
      </c>
      <c r="EC20" s="899">
        <f>SUM(EC21:EC25)</f>
        <v>15</v>
      </c>
      <c r="ED20" s="904">
        <f>SUM(ED21:ED25)</f>
        <v>15</v>
      </c>
      <c r="EE20" s="788">
        <f>IF(SUM(EE21:EE25)&gt;0,AVERAGEIF(EE21:EE25,"&gt;0"),0)</f>
        <v>1</v>
      </c>
      <c r="EF20" s="891">
        <f>SUM(EF21:EF25)</f>
        <v>750000</v>
      </c>
    </row>
    <row r="21" spans="1:136" ht="20" customHeight="1" x14ac:dyDescent="0.15">
      <c r="A21" s="189">
        <f>_xlfn.IFS(B21=0,0,E21&gt;B21,1,E21&lt;=B21,E21/B21)</f>
        <v>0</v>
      </c>
      <c r="B21" s="946"/>
      <c r="C21" s="970" t="s">
        <v>134</v>
      </c>
      <c r="D21" s="610">
        <f>$D$20/5</f>
        <v>2500000</v>
      </c>
      <c r="E21" s="1082">
        <f>SUMIF($M$13:$EF$13,$P$13,$M21:$EF21)</f>
        <v>4650000</v>
      </c>
      <c r="F21" s="610">
        <f>E21-D21</f>
        <v>2150000</v>
      </c>
      <c r="G21" s="208">
        <f>_xlfn.IFS(F21&gt;0,1,F21&lt;=0,E21/D21)</f>
        <v>1</v>
      </c>
      <c r="H21" s="208">
        <f>IF(SUMIF(M$13:EF$13,$O$13,M21:EF21)&gt;0,AVERAGEIFS(M21:EF21,M21:EF21,"&gt;0",M$13:EF$13,$O$13),"NO NEW ORDER")</f>
        <v>1</v>
      </c>
      <c r="J21" s="208">
        <f ca="1">SUMIFS($M21:$EF21,$M$11:$EF$11,TODAY()-1,$M$13:$EF$13,O$13)</f>
        <v>0</v>
      </c>
      <c r="K21" s="953"/>
      <c r="L21" s="605">
        <f t="shared" ref="L21:L31" ca="1" si="197">SUMIFS($M21:$EF21,$M$11:$EF$11,TODAY()-1,$M$13:$EF$13,P$13)</f>
        <v>0</v>
      </c>
      <c r="M21" s="1026">
        <v>5</v>
      </c>
      <c r="N21" s="1027">
        <v>5</v>
      </c>
      <c r="O21" s="208">
        <f>_xlfn.IFS(M21=0,0,N21&lt;=M21,N21/M21,N21&gt;M21,1)</f>
        <v>1</v>
      </c>
      <c r="P21" s="1029">
        <v>150000</v>
      </c>
      <c r="Q21" s="1026">
        <v>5</v>
      </c>
      <c r="R21" s="1027">
        <v>5</v>
      </c>
      <c r="S21" s="208">
        <f>_xlfn.IFS(Q21=0,0,R21&lt;=Q21,R21/Q21,R21&gt;Q21,1)</f>
        <v>1</v>
      </c>
      <c r="T21" s="1029">
        <v>150000</v>
      </c>
      <c r="U21" s="1026">
        <v>5</v>
      </c>
      <c r="V21" s="1027">
        <v>5</v>
      </c>
      <c r="W21" s="208">
        <f>_xlfn.IFS(U21=0,0,V21&lt;=U21,V21/U21,V21&gt;U21,1)</f>
        <v>1</v>
      </c>
      <c r="X21" s="1029">
        <v>150000</v>
      </c>
      <c r="Y21" s="1026">
        <v>5</v>
      </c>
      <c r="Z21" s="1027">
        <v>5</v>
      </c>
      <c r="AA21" s="208">
        <f>_xlfn.IFS(Y21=0,0,Z21&lt;=Y21,Z21/Y21,Z21&gt;Y21,1)</f>
        <v>1</v>
      </c>
      <c r="AB21" s="1029">
        <v>150000</v>
      </c>
      <c r="AC21" s="1026">
        <v>5</v>
      </c>
      <c r="AD21" s="1027">
        <v>5</v>
      </c>
      <c r="AE21" s="208">
        <f>_xlfn.IFS(AC21=0,0,AD21&lt;=AC21,AD21/AC21,AD21&gt;AC21,1)</f>
        <v>1</v>
      </c>
      <c r="AF21" s="1029">
        <v>150000</v>
      </c>
      <c r="AG21" s="1026">
        <v>5</v>
      </c>
      <c r="AH21" s="1027">
        <v>5</v>
      </c>
      <c r="AI21" s="208">
        <f>_xlfn.IFS(AG21=0,0,AH21&lt;=AG21,AH21/AG21,AH21&gt;AG21,1)</f>
        <v>1</v>
      </c>
      <c r="AJ21" s="1029">
        <v>150000</v>
      </c>
      <c r="AK21" s="1026">
        <v>5</v>
      </c>
      <c r="AL21" s="1027">
        <v>5</v>
      </c>
      <c r="AM21" s="208">
        <f>_xlfn.IFS(AK21=0,0,AL21&lt;=AK21,AL21/AK21,AL21&gt;AK21,1)</f>
        <v>1</v>
      </c>
      <c r="AN21" s="1029">
        <v>150000</v>
      </c>
      <c r="AO21" s="1026">
        <v>5</v>
      </c>
      <c r="AP21" s="1027">
        <v>5</v>
      </c>
      <c r="AQ21" s="208">
        <f>_xlfn.IFS(AO21=0,0,AP21&lt;=AO21,AP21/AO21,AP21&gt;AO21,1)</f>
        <v>1</v>
      </c>
      <c r="AR21" s="1029">
        <v>150000</v>
      </c>
      <c r="AS21" s="1026">
        <v>5</v>
      </c>
      <c r="AT21" s="1027">
        <v>5</v>
      </c>
      <c r="AU21" s="208">
        <f>_xlfn.IFS(AS21=0,0,AT21&lt;=AS21,AT21/AS21,AT21&gt;AS21,1)</f>
        <v>1</v>
      </c>
      <c r="AV21" s="1029">
        <v>150000</v>
      </c>
      <c r="AW21" s="1026">
        <v>5</v>
      </c>
      <c r="AX21" s="1027">
        <v>5</v>
      </c>
      <c r="AY21" s="208">
        <f>_xlfn.IFS(AW21=0,0,AX21&lt;=AW21,AX21/AW21,AX21&gt;AW21,1)</f>
        <v>1</v>
      </c>
      <c r="AZ21" s="1029">
        <v>150000</v>
      </c>
      <c r="BA21" s="1026">
        <v>5</v>
      </c>
      <c r="BB21" s="1027">
        <v>5</v>
      </c>
      <c r="BC21" s="208">
        <f>_xlfn.IFS(BA21=0,0,BB21&lt;=BA21,BB21/BA21,BB21&gt;BA21,1)</f>
        <v>1</v>
      </c>
      <c r="BD21" s="1029">
        <v>150000</v>
      </c>
      <c r="BE21" s="1026">
        <v>5</v>
      </c>
      <c r="BF21" s="1027">
        <v>5</v>
      </c>
      <c r="BG21" s="208">
        <f>_xlfn.IFS(BE21=0,0,BF21&lt;=BE21,BF21/BE21,BF21&gt;BE21,1)</f>
        <v>1</v>
      </c>
      <c r="BH21" s="1029">
        <v>150000</v>
      </c>
      <c r="BI21" s="1026">
        <v>5</v>
      </c>
      <c r="BJ21" s="1027">
        <v>5</v>
      </c>
      <c r="BK21" s="208">
        <f>_xlfn.IFS(BI21=0,0,BJ21&lt;=BI21,BJ21/BI21,BJ21&gt;BI21,1)</f>
        <v>1</v>
      </c>
      <c r="BL21" s="1029">
        <v>150000</v>
      </c>
      <c r="BM21" s="1026">
        <v>5</v>
      </c>
      <c r="BN21" s="1027">
        <v>5</v>
      </c>
      <c r="BO21" s="208">
        <f>_xlfn.IFS(BM21=0,0,BN21&lt;=BM21,BN21/BM21,BN21&gt;BM21,1)</f>
        <v>1</v>
      </c>
      <c r="BP21" s="1029">
        <v>150000</v>
      </c>
      <c r="BQ21" s="1026">
        <v>5</v>
      </c>
      <c r="BR21" s="1027">
        <v>5</v>
      </c>
      <c r="BS21" s="208">
        <f>_xlfn.IFS(BQ21=0,0,BR21&lt;=BQ21,BR21/BQ21,BR21&gt;BQ21,1)</f>
        <v>1</v>
      </c>
      <c r="BT21" s="1029">
        <v>150000</v>
      </c>
      <c r="BU21" s="1026">
        <v>5</v>
      </c>
      <c r="BV21" s="1027">
        <v>5</v>
      </c>
      <c r="BW21" s="208">
        <f>_xlfn.IFS(BU21=0,0,BV21&lt;=BU21,BV21/BU21,BV21&gt;BU21,1)</f>
        <v>1</v>
      </c>
      <c r="BX21" s="1029">
        <v>150000</v>
      </c>
      <c r="BY21" s="1026">
        <v>5</v>
      </c>
      <c r="BZ21" s="1027">
        <v>5</v>
      </c>
      <c r="CA21" s="208">
        <f>_xlfn.IFS(BY21=0,0,BZ21&lt;=BY21,BZ21/BY21,BZ21&gt;BY21,1)</f>
        <v>1</v>
      </c>
      <c r="CB21" s="1029">
        <v>150000</v>
      </c>
      <c r="CC21" s="1026">
        <v>5</v>
      </c>
      <c r="CD21" s="1027">
        <v>5</v>
      </c>
      <c r="CE21" s="208">
        <f>_xlfn.IFS(CC21=0,0,CD21&lt;=CC21,CD21/CC21,CD21&gt;CC21,1)</f>
        <v>1</v>
      </c>
      <c r="CF21" s="1029">
        <v>150000</v>
      </c>
      <c r="CG21" s="1026">
        <v>5</v>
      </c>
      <c r="CH21" s="1027">
        <v>5</v>
      </c>
      <c r="CI21" s="208">
        <f>_xlfn.IFS(CG21=0,0,CH21&lt;=CG21,CH21/CG21,CH21&gt;CG21,1)</f>
        <v>1</v>
      </c>
      <c r="CJ21" s="1029">
        <v>150000</v>
      </c>
      <c r="CK21" s="1026">
        <v>5</v>
      </c>
      <c r="CL21" s="1027">
        <v>5</v>
      </c>
      <c r="CM21" s="208">
        <f>_xlfn.IFS(CK21=0,0,CL21&lt;=CK21,CL21/CK21,CL21&gt;CK21,1)</f>
        <v>1</v>
      </c>
      <c r="CN21" s="1029">
        <v>150000</v>
      </c>
      <c r="CO21" s="1026">
        <v>5</v>
      </c>
      <c r="CP21" s="1027">
        <v>5</v>
      </c>
      <c r="CQ21" s="208">
        <f>_xlfn.IFS(CO21=0,0,CP21&lt;=CO21,CP21/CO21,CP21&gt;CO21,1)</f>
        <v>1</v>
      </c>
      <c r="CR21" s="1029">
        <v>150000</v>
      </c>
      <c r="CS21" s="1026">
        <v>5</v>
      </c>
      <c r="CT21" s="1027">
        <v>5</v>
      </c>
      <c r="CU21" s="208">
        <f>_xlfn.IFS(CS21=0,0,CT21&lt;=CS21,CT21/CS21,CT21&gt;CS21,1)</f>
        <v>1</v>
      </c>
      <c r="CV21" s="1029">
        <v>150000</v>
      </c>
      <c r="CW21" s="1026">
        <v>5</v>
      </c>
      <c r="CX21" s="1027">
        <v>5</v>
      </c>
      <c r="CY21" s="208">
        <f>_xlfn.IFS(CW21=0,0,CX21&lt;=CW21,CX21/CW21,CX21&gt;CW21,1)</f>
        <v>1</v>
      </c>
      <c r="CZ21" s="1029">
        <v>150000</v>
      </c>
      <c r="DA21" s="1026">
        <v>5</v>
      </c>
      <c r="DB21" s="1027">
        <v>5</v>
      </c>
      <c r="DC21" s="208">
        <f>_xlfn.IFS(DA21=0,0,DB21&lt;=DA21,DB21/DA21,DB21&gt;DA21,1)</f>
        <v>1</v>
      </c>
      <c r="DD21" s="1029">
        <v>150000</v>
      </c>
      <c r="DE21" s="1026">
        <v>5</v>
      </c>
      <c r="DF21" s="1027">
        <v>5</v>
      </c>
      <c r="DG21" s="208">
        <f>_xlfn.IFS(DE21=0,0,DF21&lt;=DE21,DF21/DE21,DF21&gt;DE21,1)</f>
        <v>1</v>
      </c>
      <c r="DH21" s="1029">
        <v>150000</v>
      </c>
      <c r="DI21" s="1026">
        <v>5</v>
      </c>
      <c r="DJ21" s="1027">
        <v>5</v>
      </c>
      <c r="DK21" s="208">
        <f>_xlfn.IFS(DI21=0,0,DJ21&lt;=DI21,DJ21/DI21,DJ21&gt;DI21,1)</f>
        <v>1</v>
      </c>
      <c r="DL21" s="1029">
        <v>150000</v>
      </c>
      <c r="DM21" s="1026">
        <v>5</v>
      </c>
      <c r="DN21" s="1027">
        <v>5</v>
      </c>
      <c r="DO21" s="208">
        <f>_xlfn.IFS(DM21=0,0,DN21&lt;=DM21,DN21/DM21,DN21&gt;DM21,1)</f>
        <v>1</v>
      </c>
      <c r="DP21" s="1029">
        <v>150000</v>
      </c>
      <c r="DQ21" s="1026">
        <v>5</v>
      </c>
      <c r="DR21" s="1027">
        <v>5</v>
      </c>
      <c r="DS21" s="208">
        <f>_xlfn.IFS(DQ21=0,0,DR21&lt;=DQ21,DR21/DQ21,DR21&gt;DQ21,1)</f>
        <v>1</v>
      </c>
      <c r="DT21" s="1029">
        <v>150000</v>
      </c>
      <c r="DU21" s="1026">
        <v>5</v>
      </c>
      <c r="DV21" s="1027">
        <v>5</v>
      </c>
      <c r="DW21" s="208">
        <f>_xlfn.IFS(DU21=0,0,DV21&lt;=DU21,DV21/DU21,DV21&gt;DU21,1)</f>
        <v>1</v>
      </c>
      <c r="DX21" s="1029">
        <v>150000</v>
      </c>
      <c r="DY21" s="1026">
        <v>5</v>
      </c>
      <c r="DZ21" s="1027">
        <v>5</v>
      </c>
      <c r="EA21" s="208">
        <f>_xlfn.IFS(DY21=0,0,DZ21&lt;=DY21,DZ21/DY21,DZ21&gt;DY21,1)</f>
        <v>1</v>
      </c>
      <c r="EB21" s="1029">
        <v>150000</v>
      </c>
      <c r="EC21" s="1026">
        <v>5</v>
      </c>
      <c r="ED21" s="1027">
        <v>5</v>
      </c>
      <c r="EE21" s="208">
        <f>_xlfn.IFS(EC21=0,0,ED21&lt;=EC21,ED21/EC21,ED21&gt;EC21,1)</f>
        <v>1</v>
      </c>
      <c r="EF21" s="1029">
        <v>150000</v>
      </c>
    </row>
    <row r="22" spans="1:136" ht="20" customHeight="1" x14ac:dyDescent="0.15">
      <c r="A22" s="189">
        <f t="shared" ref="A22:A36" si="198">_xlfn.IFS(B22=0,0,E22&gt;B22,1,E22&lt;=B22,E22/B22)</f>
        <v>0</v>
      </c>
      <c r="B22" s="946"/>
      <c r="C22" s="970" t="s">
        <v>135</v>
      </c>
      <c r="D22" s="610">
        <f t="shared" ref="D22:D25" si="199">$D$20/5</f>
        <v>2500000</v>
      </c>
      <c r="E22" s="1082">
        <f t="shared" si="195"/>
        <v>4650000</v>
      </c>
      <c r="F22" s="610">
        <f t="shared" ref="F22:F31" si="200">E22-D22</f>
        <v>2150000</v>
      </c>
      <c r="G22" s="208">
        <f t="shared" ref="G22:G31" si="201">_xlfn.IFS(F22&gt;0,1,F22&lt;=0,E22/D22)</f>
        <v>1</v>
      </c>
      <c r="H22" s="208">
        <f t="shared" ref="H22:H25" si="202">IF(SUMIF(M$13:EF$13,$O$13,M22:EF22)&gt;0,AVERAGEIFS(M22:EF22,M22:EF22,"&gt;0",M$13:EF$13,$O$13),"NO NEW ORDER")</f>
        <v>1</v>
      </c>
      <c r="I22" s="954"/>
      <c r="J22" s="208">
        <f ca="1">SUMIFS($M22:$EF22,$M$11:$EF$11,TODAY()-1,$M$13:$EF$13,O$13)</f>
        <v>0</v>
      </c>
      <c r="K22" s="686"/>
      <c r="L22" s="605">
        <f t="shared" ca="1" si="197"/>
        <v>0</v>
      </c>
      <c r="M22" s="1026">
        <v>1</v>
      </c>
      <c r="N22" s="1027">
        <v>1</v>
      </c>
      <c r="O22" s="208">
        <f>_xlfn.IFS(M22=0,0,N22&lt;=M22,N22/M22,N22&gt;M22,1)</f>
        <v>1</v>
      </c>
      <c r="P22" s="1029">
        <v>150000</v>
      </c>
      <c r="Q22" s="1026">
        <v>1</v>
      </c>
      <c r="R22" s="1027">
        <v>1</v>
      </c>
      <c r="S22" s="208">
        <f t="shared" ref="S22:S25" si="203">_xlfn.IFS(Q22=0,0,R22&lt;=Q22,R22/Q22,R22&gt;Q22,1)</f>
        <v>1</v>
      </c>
      <c r="T22" s="1029">
        <v>150000</v>
      </c>
      <c r="U22" s="1026">
        <v>1</v>
      </c>
      <c r="V22" s="1027">
        <v>1</v>
      </c>
      <c r="W22" s="208">
        <f t="shared" ref="W22:W25" si="204">_xlfn.IFS(U22=0,0,V22&lt;=U22,V22/U22,V22&gt;U22,1)</f>
        <v>1</v>
      </c>
      <c r="X22" s="1029">
        <v>150000</v>
      </c>
      <c r="Y22" s="1026">
        <v>1</v>
      </c>
      <c r="Z22" s="1027">
        <v>1</v>
      </c>
      <c r="AA22" s="208">
        <f t="shared" ref="AA22:AA25" si="205">_xlfn.IFS(Y22=0,0,Z22&lt;=Y22,Z22/Y22,Z22&gt;Y22,1)</f>
        <v>1</v>
      </c>
      <c r="AB22" s="1029">
        <v>150000</v>
      </c>
      <c r="AC22" s="1026">
        <v>1</v>
      </c>
      <c r="AD22" s="1027">
        <v>1</v>
      </c>
      <c r="AE22" s="208">
        <f t="shared" ref="AE22:AE25" si="206">_xlfn.IFS(AC22=0,0,AD22&lt;=AC22,AD22/AC22,AD22&gt;AC22,1)</f>
        <v>1</v>
      </c>
      <c r="AF22" s="1029">
        <v>150000</v>
      </c>
      <c r="AG22" s="1026">
        <v>1</v>
      </c>
      <c r="AH22" s="1027">
        <v>1</v>
      </c>
      <c r="AI22" s="208">
        <f t="shared" ref="AI22:AI25" si="207">_xlfn.IFS(AG22=0,0,AH22&lt;=AG22,AH22/AG22,AH22&gt;AG22,1)</f>
        <v>1</v>
      </c>
      <c r="AJ22" s="1029">
        <v>150000</v>
      </c>
      <c r="AK22" s="1026">
        <v>1</v>
      </c>
      <c r="AL22" s="1027">
        <v>1</v>
      </c>
      <c r="AM22" s="208">
        <f t="shared" ref="AM22:AM25" si="208">_xlfn.IFS(AK22=0,0,AL22&lt;=AK22,AL22/AK22,AL22&gt;AK22,1)</f>
        <v>1</v>
      </c>
      <c r="AN22" s="1029">
        <v>150000</v>
      </c>
      <c r="AO22" s="1026">
        <v>1</v>
      </c>
      <c r="AP22" s="1027">
        <v>1</v>
      </c>
      <c r="AQ22" s="208">
        <f t="shared" ref="AQ22:AQ25" si="209">_xlfn.IFS(AO22=0,0,AP22&lt;=AO22,AP22/AO22,AP22&gt;AO22,1)</f>
        <v>1</v>
      </c>
      <c r="AR22" s="1029">
        <v>150000</v>
      </c>
      <c r="AS22" s="1026">
        <v>1</v>
      </c>
      <c r="AT22" s="1027">
        <v>1</v>
      </c>
      <c r="AU22" s="208">
        <f t="shared" ref="AU22:AU25" si="210">_xlfn.IFS(AS22=0,0,AT22&lt;=AS22,AT22/AS22,AT22&gt;AS22,1)</f>
        <v>1</v>
      </c>
      <c r="AV22" s="1029">
        <v>150000</v>
      </c>
      <c r="AW22" s="1026">
        <v>1</v>
      </c>
      <c r="AX22" s="1027">
        <v>1</v>
      </c>
      <c r="AY22" s="208">
        <f t="shared" ref="AY22:AY25" si="211">_xlfn.IFS(AW22=0,0,AX22&lt;=AW22,AX22/AW22,AX22&gt;AW22,1)</f>
        <v>1</v>
      </c>
      <c r="AZ22" s="1029">
        <v>150000</v>
      </c>
      <c r="BA22" s="1026">
        <v>1</v>
      </c>
      <c r="BB22" s="1027">
        <v>1</v>
      </c>
      <c r="BC22" s="208">
        <f t="shared" ref="BC22:BC25" si="212">_xlfn.IFS(BA22=0,0,BB22&lt;=BA22,BB22/BA22,BB22&gt;BA22,1)</f>
        <v>1</v>
      </c>
      <c r="BD22" s="1029">
        <v>150000</v>
      </c>
      <c r="BE22" s="1026">
        <v>1</v>
      </c>
      <c r="BF22" s="1027">
        <v>1</v>
      </c>
      <c r="BG22" s="208">
        <f t="shared" ref="BG22:BG25" si="213">_xlfn.IFS(BE22=0,0,BF22&lt;=BE22,BF22/BE22,BF22&gt;BE22,1)</f>
        <v>1</v>
      </c>
      <c r="BH22" s="1029">
        <v>150000</v>
      </c>
      <c r="BI22" s="1026">
        <v>1</v>
      </c>
      <c r="BJ22" s="1027">
        <v>1</v>
      </c>
      <c r="BK22" s="208">
        <f t="shared" ref="BK22:BK25" si="214">_xlfn.IFS(BI22=0,0,BJ22&lt;=BI22,BJ22/BI22,BJ22&gt;BI22,1)</f>
        <v>1</v>
      </c>
      <c r="BL22" s="1029">
        <v>150000</v>
      </c>
      <c r="BM22" s="1026">
        <v>1</v>
      </c>
      <c r="BN22" s="1027">
        <v>1</v>
      </c>
      <c r="BO22" s="208">
        <f t="shared" ref="BO22:BO25" si="215">_xlfn.IFS(BM22=0,0,BN22&lt;=BM22,BN22/BM22,BN22&gt;BM22,1)</f>
        <v>1</v>
      </c>
      <c r="BP22" s="1029">
        <v>150000</v>
      </c>
      <c r="BQ22" s="1026">
        <v>1</v>
      </c>
      <c r="BR22" s="1027">
        <v>1</v>
      </c>
      <c r="BS22" s="208">
        <f t="shared" ref="BS22:BS25" si="216">_xlfn.IFS(BQ22=0,0,BR22&lt;=BQ22,BR22/BQ22,BR22&gt;BQ22,1)</f>
        <v>1</v>
      </c>
      <c r="BT22" s="1029">
        <v>150000</v>
      </c>
      <c r="BU22" s="1026">
        <v>1</v>
      </c>
      <c r="BV22" s="1027">
        <v>1</v>
      </c>
      <c r="BW22" s="208">
        <f t="shared" ref="BW22:BW25" si="217">_xlfn.IFS(BU22=0,0,BV22&lt;=BU22,BV22/BU22,BV22&gt;BU22,1)</f>
        <v>1</v>
      </c>
      <c r="BX22" s="1029">
        <v>150000</v>
      </c>
      <c r="BY22" s="1026">
        <v>1</v>
      </c>
      <c r="BZ22" s="1027">
        <v>1</v>
      </c>
      <c r="CA22" s="208">
        <f t="shared" ref="CA22:CA25" si="218">_xlfn.IFS(BY22=0,0,BZ22&lt;=BY22,BZ22/BY22,BZ22&gt;BY22,1)</f>
        <v>1</v>
      </c>
      <c r="CB22" s="1029">
        <v>150000</v>
      </c>
      <c r="CC22" s="1026">
        <v>1</v>
      </c>
      <c r="CD22" s="1027">
        <v>1</v>
      </c>
      <c r="CE22" s="208">
        <f t="shared" ref="CE22:CE25" si="219">_xlfn.IFS(CC22=0,0,CD22&lt;=CC22,CD22/CC22,CD22&gt;CC22,1)</f>
        <v>1</v>
      </c>
      <c r="CF22" s="1029">
        <v>150000</v>
      </c>
      <c r="CG22" s="1026">
        <v>1</v>
      </c>
      <c r="CH22" s="1027">
        <v>1</v>
      </c>
      <c r="CI22" s="208">
        <f t="shared" ref="CI22:CI25" si="220">_xlfn.IFS(CG22=0,0,CH22&lt;=CG22,CH22/CG22,CH22&gt;CG22,1)</f>
        <v>1</v>
      </c>
      <c r="CJ22" s="1029">
        <v>150000</v>
      </c>
      <c r="CK22" s="1026">
        <v>1</v>
      </c>
      <c r="CL22" s="1027">
        <v>1</v>
      </c>
      <c r="CM22" s="208">
        <f t="shared" ref="CM22:CM25" si="221">_xlfn.IFS(CK22=0,0,CL22&lt;=CK22,CL22/CK22,CL22&gt;CK22,1)</f>
        <v>1</v>
      </c>
      <c r="CN22" s="1029">
        <v>150000</v>
      </c>
      <c r="CO22" s="1026">
        <v>1</v>
      </c>
      <c r="CP22" s="1027">
        <v>1</v>
      </c>
      <c r="CQ22" s="208">
        <f t="shared" ref="CQ22:CQ25" si="222">_xlfn.IFS(CO22=0,0,CP22&lt;=CO22,CP22/CO22,CP22&gt;CO22,1)</f>
        <v>1</v>
      </c>
      <c r="CR22" s="1029">
        <v>150000</v>
      </c>
      <c r="CS22" s="1026">
        <v>1</v>
      </c>
      <c r="CT22" s="1027">
        <v>1</v>
      </c>
      <c r="CU22" s="208">
        <f t="shared" ref="CU22:CU25" si="223">_xlfn.IFS(CS22=0,0,CT22&lt;=CS22,CT22/CS22,CT22&gt;CS22,1)</f>
        <v>1</v>
      </c>
      <c r="CV22" s="1029">
        <v>150000</v>
      </c>
      <c r="CW22" s="1026">
        <v>1</v>
      </c>
      <c r="CX22" s="1027">
        <v>1</v>
      </c>
      <c r="CY22" s="208">
        <f t="shared" ref="CY22:CY25" si="224">_xlfn.IFS(CW22=0,0,CX22&lt;=CW22,CX22/CW22,CX22&gt;CW22,1)</f>
        <v>1</v>
      </c>
      <c r="CZ22" s="1029">
        <v>150000</v>
      </c>
      <c r="DA22" s="1026">
        <v>1</v>
      </c>
      <c r="DB22" s="1027">
        <v>1</v>
      </c>
      <c r="DC22" s="208">
        <f t="shared" ref="DC22:DC25" si="225">_xlfn.IFS(DA22=0,0,DB22&lt;=DA22,DB22/DA22,DB22&gt;DA22,1)</f>
        <v>1</v>
      </c>
      <c r="DD22" s="1029">
        <v>150000</v>
      </c>
      <c r="DE22" s="1026">
        <v>1</v>
      </c>
      <c r="DF22" s="1027">
        <v>1</v>
      </c>
      <c r="DG22" s="208">
        <f t="shared" ref="DG22:DG25" si="226">_xlfn.IFS(DE22=0,0,DF22&lt;=DE22,DF22/DE22,DF22&gt;DE22,1)</f>
        <v>1</v>
      </c>
      <c r="DH22" s="1029">
        <v>150000</v>
      </c>
      <c r="DI22" s="1026">
        <v>1</v>
      </c>
      <c r="DJ22" s="1027">
        <v>1</v>
      </c>
      <c r="DK22" s="208">
        <f t="shared" ref="DK22:DK25" si="227">_xlfn.IFS(DI22=0,0,DJ22&lt;=DI22,DJ22/DI22,DJ22&gt;DI22,1)</f>
        <v>1</v>
      </c>
      <c r="DL22" s="1029">
        <v>150000</v>
      </c>
      <c r="DM22" s="1026">
        <v>1</v>
      </c>
      <c r="DN22" s="1027">
        <v>1</v>
      </c>
      <c r="DO22" s="208">
        <f t="shared" ref="DO22:DO25" si="228">_xlfn.IFS(DM22=0,0,DN22&lt;=DM22,DN22/DM22,DN22&gt;DM22,1)</f>
        <v>1</v>
      </c>
      <c r="DP22" s="1029">
        <v>150000</v>
      </c>
      <c r="DQ22" s="1026">
        <v>1</v>
      </c>
      <c r="DR22" s="1027">
        <v>1</v>
      </c>
      <c r="DS22" s="208">
        <f t="shared" ref="DS22:DS25" si="229">_xlfn.IFS(DQ22=0,0,DR22&lt;=DQ22,DR22/DQ22,DR22&gt;DQ22,1)</f>
        <v>1</v>
      </c>
      <c r="DT22" s="1029">
        <v>150000</v>
      </c>
      <c r="DU22" s="1026">
        <v>1</v>
      </c>
      <c r="DV22" s="1027">
        <v>1</v>
      </c>
      <c r="DW22" s="208">
        <f t="shared" ref="DW22:DW25" si="230">_xlfn.IFS(DU22=0,0,DV22&lt;=DU22,DV22/DU22,DV22&gt;DU22,1)</f>
        <v>1</v>
      </c>
      <c r="DX22" s="1029">
        <v>150000</v>
      </c>
      <c r="DY22" s="1026">
        <v>1</v>
      </c>
      <c r="DZ22" s="1027">
        <v>1</v>
      </c>
      <c r="EA22" s="208">
        <f t="shared" ref="EA22:EA25" si="231">_xlfn.IFS(DY22=0,0,DZ22&lt;=DY22,DZ22/DY22,DZ22&gt;DY22,1)</f>
        <v>1</v>
      </c>
      <c r="EB22" s="1029">
        <v>150000</v>
      </c>
      <c r="EC22" s="1026">
        <v>1</v>
      </c>
      <c r="ED22" s="1027">
        <v>1</v>
      </c>
      <c r="EE22" s="208">
        <f t="shared" ref="EE22:EE25" si="232">_xlfn.IFS(EC22=0,0,ED22&lt;=EC22,ED22/EC22,ED22&gt;EC22,1)</f>
        <v>1</v>
      </c>
      <c r="EF22" s="1029">
        <v>150000</v>
      </c>
    </row>
    <row r="23" spans="1:136" ht="20" customHeight="1" x14ac:dyDescent="0.15">
      <c r="A23" s="189">
        <f t="shared" si="198"/>
        <v>0</v>
      </c>
      <c r="B23" s="946"/>
      <c r="C23" s="971" t="s">
        <v>136</v>
      </c>
      <c r="D23" s="610">
        <f t="shared" si="199"/>
        <v>2500000</v>
      </c>
      <c r="E23" s="1082">
        <f t="shared" si="195"/>
        <v>4650000</v>
      </c>
      <c r="F23" s="610">
        <f t="shared" si="200"/>
        <v>2150000</v>
      </c>
      <c r="G23" s="208">
        <f t="shared" si="201"/>
        <v>1</v>
      </c>
      <c r="H23" s="208">
        <f t="shared" si="202"/>
        <v>1</v>
      </c>
      <c r="I23" s="954"/>
      <c r="J23" s="208">
        <f ca="1">SUMIFS($M23:$EF23,$M$11:$EF$11,TODAY()-1,$M$13:$EF$13,O$13)</f>
        <v>0</v>
      </c>
      <c r="K23" s="686"/>
      <c r="L23" s="605">
        <f t="shared" ca="1" si="197"/>
        <v>0</v>
      </c>
      <c r="M23" s="1026">
        <v>3</v>
      </c>
      <c r="N23" s="1027">
        <v>3</v>
      </c>
      <c r="O23" s="208">
        <f>_xlfn.IFS(M23=0,0,N23&lt;=M23,N23/M23,N23&gt;M23,1)</f>
        <v>1</v>
      </c>
      <c r="P23" s="1029">
        <v>150000</v>
      </c>
      <c r="Q23" s="1026">
        <v>3</v>
      </c>
      <c r="R23" s="1027">
        <v>3</v>
      </c>
      <c r="S23" s="208">
        <f t="shared" si="203"/>
        <v>1</v>
      </c>
      <c r="T23" s="1029">
        <v>150000</v>
      </c>
      <c r="U23" s="1026">
        <v>3</v>
      </c>
      <c r="V23" s="1027">
        <v>3</v>
      </c>
      <c r="W23" s="208">
        <f t="shared" si="204"/>
        <v>1</v>
      </c>
      <c r="X23" s="1029">
        <v>150000</v>
      </c>
      <c r="Y23" s="1026">
        <v>3</v>
      </c>
      <c r="Z23" s="1027">
        <v>3</v>
      </c>
      <c r="AA23" s="208">
        <f t="shared" si="205"/>
        <v>1</v>
      </c>
      <c r="AB23" s="1029">
        <v>150000</v>
      </c>
      <c r="AC23" s="1026">
        <v>3</v>
      </c>
      <c r="AD23" s="1027">
        <v>3</v>
      </c>
      <c r="AE23" s="208">
        <f t="shared" si="206"/>
        <v>1</v>
      </c>
      <c r="AF23" s="1029">
        <v>150000</v>
      </c>
      <c r="AG23" s="1026">
        <v>3</v>
      </c>
      <c r="AH23" s="1027">
        <v>3</v>
      </c>
      <c r="AI23" s="208">
        <f t="shared" si="207"/>
        <v>1</v>
      </c>
      <c r="AJ23" s="1029">
        <v>150000</v>
      </c>
      <c r="AK23" s="1026">
        <v>3</v>
      </c>
      <c r="AL23" s="1027">
        <v>3</v>
      </c>
      <c r="AM23" s="208">
        <f t="shared" si="208"/>
        <v>1</v>
      </c>
      <c r="AN23" s="1029">
        <v>150000</v>
      </c>
      <c r="AO23" s="1026">
        <v>3</v>
      </c>
      <c r="AP23" s="1027">
        <v>3</v>
      </c>
      <c r="AQ23" s="208">
        <f t="shared" si="209"/>
        <v>1</v>
      </c>
      <c r="AR23" s="1029">
        <v>150000</v>
      </c>
      <c r="AS23" s="1026">
        <v>3</v>
      </c>
      <c r="AT23" s="1027">
        <v>3</v>
      </c>
      <c r="AU23" s="208">
        <f t="shared" si="210"/>
        <v>1</v>
      </c>
      <c r="AV23" s="1029">
        <v>150000</v>
      </c>
      <c r="AW23" s="1026">
        <v>3</v>
      </c>
      <c r="AX23" s="1027">
        <v>3</v>
      </c>
      <c r="AY23" s="208">
        <f t="shared" si="211"/>
        <v>1</v>
      </c>
      <c r="AZ23" s="1029">
        <v>150000</v>
      </c>
      <c r="BA23" s="1026">
        <v>3</v>
      </c>
      <c r="BB23" s="1027">
        <v>3</v>
      </c>
      <c r="BC23" s="208">
        <f t="shared" si="212"/>
        <v>1</v>
      </c>
      <c r="BD23" s="1029">
        <v>150000</v>
      </c>
      <c r="BE23" s="1026">
        <v>3</v>
      </c>
      <c r="BF23" s="1027">
        <v>3</v>
      </c>
      <c r="BG23" s="208">
        <f t="shared" si="213"/>
        <v>1</v>
      </c>
      <c r="BH23" s="1029">
        <v>150000</v>
      </c>
      <c r="BI23" s="1026">
        <v>3</v>
      </c>
      <c r="BJ23" s="1027">
        <v>3</v>
      </c>
      <c r="BK23" s="208">
        <f t="shared" si="214"/>
        <v>1</v>
      </c>
      <c r="BL23" s="1029">
        <v>150000</v>
      </c>
      <c r="BM23" s="1026">
        <v>3</v>
      </c>
      <c r="BN23" s="1027">
        <v>3</v>
      </c>
      <c r="BO23" s="208">
        <f t="shared" si="215"/>
        <v>1</v>
      </c>
      <c r="BP23" s="1029">
        <v>150000</v>
      </c>
      <c r="BQ23" s="1026">
        <v>3</v>
      </c>
      <c r="BR23" s="1027">
        <v>3</v>
      </c>
      <c r="BS23" s="208">
        <f t="shared" si="216"/>
        <v>1</v>
      </c>
      <c r="BT23" s="1029">
        <v>150000</v>
      </c>
      <c r="BU23" s="1026">
        <v>3</v>
      </c>
      <c r="BV23" s="1027">
        <v>3</v>
      </c>
      <c r="BW23" s="208">
        <f t="shared" si="217"/>
        <v>1</v>
      </c>
      <c r="BX23" s="1029">
        <v>150000</v>
      </c>
      <c r="BY23" s="1026">
        <v>3</v>
      </c>
      <c r="BZ23" s="1027">
        <v>3</v>
      </c>
      <c r="CA23" s="208">
        <f t="shared" si="218"/>
        <v>1</v>
      </c>
      <c r="CB23" s="1029">
        <v>150000</v>
      </c>
      <c r="CC23" s="1026">
        <v>3</v>
      </c>
      <c r="CD23" s="1027">
        <v>3</v>
      </c>
      <c r="CE23" s="208">
        <f t="shared" si="219"/>
        <v>1</v>
      </c>
      <c r="CF23" s="1029">
        <v>150000</v>
      </c>
      <c r="CG23" s="1026">
        <v>3</v>
      </c>
      <c r="CH23" s="1027">
        <v>3</v>
      </c>
      <c r="CI23" s="208">
        <f t="shared" si="220"/>
        <v>1</v>
      </c>
      <c r="CJ23" s="1029">
        <v>150000</v>
      </c>
      <c r="CK23" s="1026">
        <v>3</v>
      </c>
      <c r="CL23" s="1027">
        <v>3</v>
      </c>
      <c r="CM23" s="208">
        <f t="shared" si="221"/>
        <v>1</v>
      </c>
      <c r="CN23" s="1029">
        <v>150000</v>
      </c>
      <c r="CO23" s="1026">
        <v>3</v>
      </c>
      <c r="CP23" s="1027">
        <v>3</v>
      </c>
      <c r="CQ23" s="208">
        <f t="shared" si="222"/>
        <v>1</v>
      </c>
      <c r="CR23" s="1029">
        <v>150000</v>
      </c>
      <c r="CS23" s="1026">
        <v>3</v>
      </c>
      <c r="CT23" s="1027">
        <v>3</v>
      </c>
      <c r="CU23" s="208">
        <f t="shared" si="223"/>
        <v>1</v>
      </c>
      <c r="CV23" s="1029">
        <v>150000</v>
      </c>
      <c r="CW23" s="1026">
        <v>3</v>
      </c>
      <c r="CX23" s="1027">
        <v>3</v>
      </c>
      <c r="CY23" s="208">
        <f t="shared" si="224"/>
        <v>1</v>
      </c>
      <c r="CZ23" s="1029">
        <v>150000</v>
      </c>
      <c r="DA23" s="1026">
        <v>3</v>
      </c>
      <c r="DB23" s="1027">
        <v>3</v>
      </c>
      <c r="DC23" s="208">
        <f t="shared" si="225"/>
        <v>1</v>
      </c>
      <c r="DD23" s="1029">
        <v>150000</v>
      </c>
      <c r="DE23" s="1026">
        <v>3</v>
      </c>
      <c r="DF23" s="1027">
        <v>3</v>
      </c>
      <c r="DG23" s="208">
        <f t="shared" si="226"/>
        <v>1</v>
      </c>
      <c r="DH23" s="1029">
        <v>150000</v>
      </c>
      <c r="DI23" s="1026">
        <v>3</v>
      </c>
      <c r="DJ23" s="1027">
        <v>3</v>
      </c>
      <c r="DK23" s="208">
        <f t="shared" si="227"/>
        <v>1</v>
      </c>
      <c r="DL23" s="1029">
        <v>150000</v>
      </c>
      <c r="DM23" s="1026">
        <v>3</v>
      </c>
      <c r="DN23" s="1027">
        <v>3</v>
      </c>
      <c r="DO23" s="208">
        <f t="shared" si="228"/>
        <v>1</v>
      </c>
      <c r="DP23" s="1029">
        <v>150000</v>
      </c>
      <c r="DQ23" s="1026">
        <v>3</v>
      </c>
      <c r="DR23" s="1027">
        <v>3</v>
      </c>
      <c r="DS23" s="208">
        <f t="shared" si="229"/>
        <v>1</v>
      </c>
      <c r="DT23" s="1029">
        <v>150000</v>
      </c>
      <c r="DU23" s="1026">
        <v>3</v>
      </c>
      <c r="DV23" s="1027">
        <v>3</v>
      </c>
      <c r="DW23" s="208">
        <f t="shared" si="230"/>
        <v>1</v>
      </c>
      <c r="DX23" s="1029">
        <v>150000</v>
      </c>
      <c r="DY23" s="1026">
        <v>3</v>
      </c>
      <c r="DZ23" s="1027">
        <v>3</v>
      </c>
      <c r="EA23" s="208">
        <f t="shared" si="231"/>
        <v>1</v>
      </c>
      <c r="EB23" s="1029">
        <v>150000</v>
      </c>
      <c r="EC23" s="1026">
        <v>3</v>
      </c>
      <c r="ED23" s="1027">
        <v>3</v>
      </c>
      <c r="EE23" s="208">
        <f t="shared" si="232"/>
        <v>1</v>
      </c>
      <c r="EF23" s="1029">
        <v>150000</v>
      </c>
    </row>
    <row r="24" spans="1:136" ht="20" customHeight="1" x14ac:dyDescent="0.15">
      <c r="A24" s="189">
        <f t="shared" si="198"/>
        <v>0</v>
      </c>
      <c r="B24" s="946"/>
      <c r="C24" s="971" t="s">
        <v>137</v>
      </c>
      <c r="D24" s="610">
        <f t="shared" si="199"/>
        <v>2500000</v>
      </c>
      <c r="E24" s="1082">
        <f t="shared" si="195"/>
        <v>4650000</v>
      </c>
      <c r="F24" s="610">
        <f t="shared" si="200"/>
        <v>2150000</v>
      </c>
      <c r="G24" s="208">
        <f t="shared" si="201"/>
        <v>1</v>
      </c>
      <c r="H24" s="208">
        <f t="shared" si="202"/>
        <v>1</v>
      </c>
      <c r="I24" s="954"/>
      <c r="J24" s="208">
        <f ca="1">SUMIFS($M24:$EF24,$M$11:$EF$11,TODAY()-1,$M$13:$EF$13,O$13)</f>
        <v>0</v>
      </c>
      <c r="K24" s="686"/>
      <c r="L24" s="605">
        <f t="shared" ca="1" si="197"/>
        <v>0</v>
      </c>
      <c r="M24" s="1026">
        <v>3</v>
      </c>
      <c r="N24" s="1027">
        <v>3</v>
      </c>
      <c r="O24" s="208">
        <f t="shared" ref="O24:O25" si="233">_xlfn.IFS(M24=0,0,N24&lt;=M24,N24/M24,N24&gt;M24,1)</f>
        <v>1</v>
      </c>
      <c r="P24" s="1029">
        <v>150000</v>
      </c>
      <c r="Q24" s="1026">
        <v>3</v>
      </c>
      <c r="R24" s="1027">
        <v>3</v>
      </c>
      <c r="S24" s="208">
        <f t="shared" si="203"/>
        <v>1</v>
      </c>
      <c r="T24" s="1029">
        <v>150000</v>
      </c>
      <c r="U24" s="1026">
        <v>3</v>
      </c>
      <c r="V24" s="1027">
        <v>3</v>
      </c>
      <c r="W24" s="208">
        <f t="shared" si="204"/>
        <v>1</v>
      </c>
      <c r="X24" s="1029">
        <v>150000</v>
      </c>
      <c r="Y24" s="1026">
        <v>3</v>
      </c>
      <c r="Z24" s="1027">
        <v>3</v>
      </c>
      <c r="AA24" s="208">
        <f t="shared" si="205"/>
        <v>1</v>
      </c>
      <c r="AB24" s="1029">
        <v>150000</v>
      </c>
      <c r="AC24" s="1026">
        <v>3</v>
      </c>
      <c r="AD24" s="1027">
        <v>3</v>
      </c>
      <c r="AE24" s="208">
        <f t="shared" si="206"/>
        <v>1</v>
      </c>
      <c r="AF24" s="1029">
        <v>150000</v>
      </c>
      <c r="AG24" s="1026">
        <v>3</v>
      </c>
      <c r="AH24" s="1027">
        <v>3</v>
      </c>
      <c r="AI24" s="208">
        <f t="shared" si="207"/>
        <v>1</v>
      </c>
      <c r="AJ24" s="1029">
        <v>150000</v>
      </c>
      <c r="AK24" s="1026">
        <v>3</v>
      </c>
      <c r="AL24" s="1027">
        <v>3</v>
      </c>
      <c r="AM24" s="208">
        <f t="shared" si="208"/>
        <v>1</v>
      </c>
      <c r="AN24" s="1029">
        <v>150000</v>
      </c>
      <c r="AO24" s="1026">
        <v>3</v>
      </c>
      <c r="AP24" s="1027">
        <v>3</v>
      </c>
      <c r="AQ24" s="208">
        <f t="shared" si="209"/>
        <v>1</v>
      </c>
      <c r="AR24" s="1029">
        <v>150000</v>
      </c>
      <c r="AS24" s="1026">
        <v>3</v>
      </c>
      <c r="AT24" s="1027">
        <v>3</v>
      </c>
      <c r="AU24" s="208">
        <f t="shared" si="210"/>
        <v>1</v>
      </c>
      <c r="AV24" s="1029">
        <v>150000</v>
      </c>
      <c r="AW24" s="1026">
        <v>3</v>
      </c>
      <c r="AX24" s="1027">
        <v>3</v>
      </c>
      <c r="AY24" s="208">
        <f t="shared" si="211"/>
        <v>1</v>
      </c>
      <c r="AZ24" s="1029">
        <v>150000</v>
      </c>
      <c r="BA24" s="1026">
        <v>3</v>
      </c>
      <c r="BB24" s="1027">
        <v>3</v>
      </c>
      <c r="BC24" s="208">
        <f t="shared" si="212"/>
        <v>1</v>
      </c>
      <c r="BD24" s="1029">
        <v>150000</v>
      </c>
      <c r="BE24" s="1026">
        <v>3</v>
      </c>
      <c r="BF24" s="1027">
        <v>3</v>
      </c>
      <c r="BG24" s="208">
        <f t="shared" si="213"/>
        <v>1</v>
      </c>
      <c r="BH24" s="1029">
        <v>150000</v>
      </c>
      <c r="BI24" s="1026">
        <v>3</v>
      </c>
      <c r="BJ24" s="1027">
        <v>3</v>
      </c>
      <c r="BK24" s="208">
        <f t="shared" si="214"/>
        <v>1</v>
      </c>
      <c r="BL24" s="1029">
        <v>150000</v>
      </c>
      <c r="BM24" s="1026">
        <v>3</v>
      </c>
      <c r="BN24" s="1027">
        <v>3</v>
      </c>
      <c r="BO24" s="208">
        <f t="shared" si="215"/>
        <v>1</v>
      </c>
      <c r="BP24" s="1029">
        <v>150000</v>
      </c>
      <c r="BQ24" s="1026">
        <v>3</v>
      </c>
      <c r="BR24" s="1027">
        <v>3</v>
      </c>
      <c r="BS24" s="208">
        <f t="shared" si="216"/>
        <v>1</v>
      </c>
      <c r="BT24" s="1029">
        <v>150000</v>
      </c>
      <c r="BU24" s="1026">
        <v>3</v>
      </c>
      <c r="BV24" s="1027">
        <v>3</v>
      </c>
      <c r="BW24" s="208">
        <f t="shared" si="217"/>
        <v>1</v>
      </c>
      <c r="BX24" s="1029">
        <v>150000</v>
      </c>
      <c r="BY24" s="1026">
        <v>3</v>
      </c>
      <c r="BZ24" s="1027">
        <v>3</v>
      </c>
      <c r="CA24" s="208">
        <f t="shared" si="218"/>
        <v>1</v>
      </c>
      <c r="CB24" s="1029">
        <v>150000</v>
      </c>
      <c r="CC24" s="1026">
        <v>3</v>
      </c>
      <c r="CD24" s="1027">
        <v>3</v>
      </c>
      <c r="CE24" s="208">
        <f t="shared" si="219"/>
        <v>1</v>
      </c>
      <c r="CF24" s="1029">
        <v>150000</v>
      </c>
      <c r="CG24" s="1026">
        <v>3</v>
      </c>
      <c r="CH24" s="1027">
        <v>3</v>
      </c>
      <c r="CI24" s="208">
        <f t="shared" si="220"/>
        <v>1</v>
      </c>
      <c r="CJ24" s="1029">
        <v>150000</v>
      </c>
      <c r="CK24" s="1026">
        <v>3</v>
      </c>
      <c r="CL24" s="1027">
        <v>3</v>
      </c>
      <c r="CM24" s="208">
        <f t="shared" si="221"/>
        <v>1</v>
      </c>
      <c r="CN24" s="1029">
        <v>150000</v>
      </c>
      <c r="CO24" s="1026">
        <v>3</v>
      </c>
      <c r="CP24" s="1027">
        <v>3</v>
      </c>
      <c r="CQ24" s="208">
        <f t="shared" si="222"/>
        <v>1</v>
      </c>
      <c r="CR24" s="1029">
        <v>150000</v>
      </c>
      <c r="CS24" s="1026">
        <v>3</v>
      </c>
      <c r="CT24" s="1027">
        <v>3</v>
      </c>
      <c r="CU24" s="208">
        <f t="shared" si="223"/>
        <v>1</v>
      </c>
      <c r="CV24" s="1029">
        <v>150000</v>
      </c>
      <c r="CW24" s="1026">
        <v>3</v>
      </c>
      <c r="CX24" s="1027">
        <v>3</v>
      </c>
      <c r="CY24" s="208">
        <f t="shared" si="224"/>
        <v>1</v>
      </c>
      <c r="CZ24" s="1029">
        <v>150000</v>
      </c>
      <c r="DA24" s="1026">
        <v>3</v>
      </c>
      <c r="DB24" s="1027">
        <v>3</v>
      </c>
      <c r="DC24" s="208">
        <f t="shared" si="225"/>
        <v>1</v>
      </c>
      <c r="DD24" s="1029">
        <v>150000</v>
      </c>
      <c r="DE24" s="1026">
        <v>3</v>
      </c>
      <c r="DF24" s="1027">
        <v>3</v>
      </c>
      <c r="DG24" s="208">
        <f t="shared" si="226"/>
        <v>1</v>
      </c>
      <c r="DH24" s="1029">
        <v>150000</v>
      </c>
      <c r="DI24" s="1026">
        <v>3</v>
      </c>
      <c r="DJ24" s="1027">
        <v>3</v>
      </c>
      <c r="DK24" s="208">
        <f t="shared" si="227"/>
        <v>1</v>
      </c>
      <c r="DL24" s="1029">
        <v>150000</v>
      </c>
      <c r="DM24" s="1026">
        <v>3</v>
      </c>
      <c r="DN24" s="1027">
        <v>3</v>
      </c>
      <c r="DO24" s="208">
        <f t="shared" si="228"/>
        <v>1</v>
      </c>
      <c r="DP24" s="1029">
        <v>150000</v>
      </c>
      <c r="DQ24" s="1026">
        <v>3</v>
      </c>
      <c r="DR24" s="1027">
        <v>3</v>
      </c>
      <c r="DS24" s="208">
        <f t="shared" si="229"/>
        <v>1</v>
      </c>
      <c r="DT24" s="1029">
        <v>150000</v>
      </c>
      <c r="DU24" s="1026">
        <v>3</v>
      </c>
      <c r="DV24" s="1027">
        <v>3</v>
      </c>
      <c r="DW24" s="208">
        <f t="shared" si="230"/>
        <v>1</v>
      </c>
      <c r="DX24" s="1029">
        <v>150000</v>
      </c>
      <c r="DY24" s="1026">
        <v>3</v>
      </c>
      <c r="DZ24" s="1027">
        <v>3</v>
      </c>
      <c r="EA24" s="208">
        <f t="shared" si="231"/>
        <v>1</v>
      </c>
      <c r="EB24" s="1029">
        <v>150000</v>
      </c>
      <c r="EC24" s="1026">
        <v>3</v>
      </c>
      <c r="ED24" s="1027">
        <v>3</v>
      </c>
      <c r="EE24" s="208">
        <f t="shared" si="232"/>
        <v>1</v>
      </c>
      <c r="EF24" s="1029">
        <v>150000</v>
      </c>
    </row>
    <row r="25" spans="1:136" ht="20" customHeight="1" x14ac:dyDescent="0.15">
      <c r="A25" s="189">
        <f t="shared" si="198"/>
        <v>0</v>
      </c>
      <c r="B25" s="946"/>
      <c r="C25" s="971" t="s">
        <v>138</v>
      </c>
      <c r="D25" s="610">
        <f t="shared" si="199"/>
        <v>2500000</v>
      </c>
      <c r="E25" s="1082">
        <f t="shared" si="195"/>
        <v>4650000</v>
      </c>
      <c r="F25" s="610">
        <f t="shared" si="200"/>
        <v>2150000</v>
      </c>
      <c r="G25" s="208">
        <f t="shared" si="201"/>
        <v>1</v>
      </c>
      <c r="H25" s="208">
        <f t="shared" si="202"/>
        <v>1</v>
      </c>
      <c r="I25" s="954"/>
      <c r="J25" s="208">
        <f ca="1">SUMIFS($M25:$EF25,$M$11:$EF$11,TODAY()-1,$M$13:$EF$13,O$13)</f>
        <v>0</v>
      </c>
      <c r="K25" s="686"/>
      <c r="L25" s="605">
        <f t="shared" ca="1" si="197"/>
        <v>0</v>
      </c>
      <c r="M25" s="1026">
        <v>3</v>
      </c>
      <c r="N25" s="1027">
        <v>3</v>
      </c>
      <c r="O25" s="208">
        <f t="shared" si="233"/>
        <v>1</v>
      </c>
      <c r="P25" s="1029">
        <v>150000</v>
      </c>
      <c r="Q25" s="1026">
        <v>3</v>
      </c>
      <c r="R25" s="1027">
        <v>3</v>
      </c>
      <c r="S25" s="208">
        <f t="shared" si="203"/>
        <v>1</v>
      </c>
      <c r="T25" s="1029">
        <v>150000</v>
      </c>
      <c r="U25" s="1026">
        <v>3</v>
      </c>
      <c r="V25" s="1027">
        <v>3</v>
      </c>
      <c r="W25" s="208">
        <f t="shared" si="204"/>
        <v>1</v>
      </c>
      <c r="X25" s="1029">
        <v>150000</v>
      </c>
      <c r="Y25" s="1026">
        <v>3</v>
      </c>
      <c r="Z25" s="1027">
        <v>3</v>
      </c>
      <c r="AA25" s="208">
        <f t="shared" si="205"/>
        <v>1</v>
      </c>
      <c r="AB25" s="1029">
        <v>150000</v>
      </c>
      <c r="AC25" s="1026">
        <v>3</v>
      </c>
      <c r="AD25" s="1027">
        <v>3</v>
      </c>
      <c r="AE25" s="208">
        <f t="shared" si="206"/>
        <v>1</v>
      </c>
      <c r="AF25" s="1029">
        <v>150000</v>
      </c>
      <c r="AG25" s="1026">
        <v>3</v>
      </c>
      <c r="AH25" s="1027">
        <v>3</v>
      </c>
      <c r="AI25" s="208">
        <f t="shared" si="207"/>
        <v>1</v>
      </c>
      <c r="AJ25" s="1029">
        <v>150000</v>
      </c>
      <c r="AK25" s="1026">
        <v>3</v>
      </c>
      <c r="AL25" s="1027">
        <v>3</v>
      </c>
      <c r="AM25" s="208">
        <f t="shared" si="208"/>
        <v>1</v>
      </c>
      <c r="AN25" s="1029">
        <v>150000</v>
      </c>
      <c r="AO25" s="1026">
        <v>3</v>
      </c>
      <c r="AP25" s="1027">
        <v>3</v>
      </c>
      <c r="AQ25" s="208">
        <f t="shared" si="209"/>
        <v>1</v>
      </c>
      <c r="AR25" s="1029">
        <v>150000</v>
      </c>
      <c r="AS25" s="1026">
        <v>3</v>
      </c>
      <c r="AT25" s="1027">
        <v>3</v>
      </c>
      <c r="AU25" s="208">
        <f t="shared" si="210"/>
        <v>1</v>
      </c>
      <c r="AV25" s="1029">
        <v>150000</v>
      </c>
      <c r="AW25" s="1026">
        <v>3</v>
      </c>
      <c r="AX25" s="1027">
        <v>3</v>
      </c>
      <c r="AY25" s="208">
        <f t="shared" si="211"/>
        <v>1</v>
      </c>
      <c r="AZ25" s="1029">
        <v>150000</v>
      </c>
      <c r="BA25" s="1026">
        <v>3</v>
      </c>
      <c r="BB25" s="1027">
        <v>3</v>
      </c>
      <c r="BC25" s="208">
        <f t="shared" si="212"/>
        <v>1</v>
      </c>
      <c r="BD25" s="1029">
        <v>150000</v>
      </c>
      <c r="BE25" s="1026">
        <v>3</v>
      </c>
      <c r="BF25" s="1027">
        <v>3</v>
      </c>
      <c r="BG25" s="208">
        <f t="shared" si="213"/>
        <v>1</v>
      </c>
      <c r="BH25" s="1029">
        <v>150000</v>
      </c>
      <c r="BI25" s="1026">
        <v>3</v>
      </c>
      <c r="BJ25" s="1027">
        <v>3</v>
      </c>
      <c r="BK25" s="208">
        <f t="shared" si="214"/>
        <v>1</v>
      </c>
      <c r="BL25" s="1029">
        <v>150000</v>
      </c>
      <c r="BM25" s="1026">
        <v>3</v>
      </c>
      <c r="BN25" s="1027">
        <v>3</v>
      </c>
      <c r="BO25" s="208">
        <f t="shared" si="215"/>
        <v>1</v>
      </c>
      <c r="BP25" s="1029">
        <v>150000</v>
      </c>
      <c r="BQ25" s="1026">
        <v>3</v>
      </c>
      <c r="BR25" s="1027">
        <v>3</v>
      </c>
      <c r="BS25" s="208">
        <f t="shared" si="216"/>
        <v>1</v>
      </c>
      <c r="BT25" s="1029">
        <v>150000</v>
      </c>
      <c r="BU25" s="1026">
        <v>3</v>
      </c>
      <c r="BV25" s="1027">
        <v>3</v>
      </c>
      <c r="BW25" s="208">
        <f t="shared" si="217"/>
        <v>1</v>
      </c>
      <c r="BX25" s="1029">
        <v>150000</v>
      </c>
      <c r="BY25" s="1026">
        <v>3</v>
      </c>
      <c r="BZ25" s="1027">
        <v>3</v>
      </c>
      <c r="CA25" s="208">
        <f t="shared" si="218"/>
        <v>1</v>
      </c>
      <c r="CB25" s="1029">
        <v>150000</v>
      </c>
      <c r="CC25" s="1026">
        <v>3</v>
      </c>
      <c r="CD25" s="1027">
        <v>3</v>
      </c>
      <c r="CE25" s="208">
        <f t="shared" si="219"/>
        <v>1</v>
      </c>
      <c r="CF25" s="1029">
        <v>150000</v>
      </c>
      <c r="CG25" s="1026">
        <v>3</v>
      </c>
      <c r="CH25" s="1027">
        <v>3</v>
      </c>
      <c r="CI25" s="208">
        <f t="shared" si="220"/>
        <v>1</v>
      </c>
      <c r="CJ25" s="1029">
        <v>150000</v>
      </c>
      <c r="CK25" s="1026">
        <v>3</v>
      </c>
      <c r="CL25" s="1027">
        <v>3</v>
      </c>
      <c r="CM25" s="208">
        <f t="shared" si="221"/>
        <v>1</v>
      </c>
      <c r="CN25" s="1029">
        <v>150000</v>
      </c>
      <c r="CO25" s="1026">
        <v>3</v>
      </c>
      <c r="CP25" s="1027">
        <v>3</v>
      </c>
      <c r="CQ25" s="208">
        <f t="shared" si="222"/>
        <v>1</v>
      </c>
      <c r="CR25" s="1029">
        <v>150000</v>
      </c>
      <c r="CS25" s="1026">
        <v>3</v>
      </c>
      <c r="CT25" s="1027">
        <v>3</v>
      </c>
      <c r="CU25" s="208">
        <f t="shared" si="223"/>
        <v>1</v>
      </c>
      <c r="CV25" s="1029">
        <v>150000</v>
      </c>
      <c r="CW25" s="1026">
        <v>3</v>
      </c>
      <c r="CX25" s="1027">
        <v>3</v>
      </c>
      <c r="CY25" s="208">
        <f t="shared" si="224"/>
        <v>1</v>
      </c>
      <c r="CZ25" s="1029">
        <v>150000</v>
      </c>
      <c r="DA25" s="1026">
        <v>3</v>
      </c>
      <c r="DB25" s="1027">
        <v>3</v>
      </c>
      <c r="DC25" s="208">
        <f t="shared" si="225"/>
        <v>1</v>
      </c>
      <c r="DD25" s="1029">
        <v>150000</v>
      </c>
      <c r="DE25" s="1026">
        <v>3</v>
      </c>
      <c r="DF25" s="1027">
        <v>3</v>
      </c>
      <c r="DG25" s="208">
        <f t="shared" si="226"/>
        <v>1</v>
      </c>
      <c r="DH25" s="1029">
        <v>150000</v>
      </c>
      <c r="DI25" s="1026">
        <v>3</v>
      </c>
      <c r="DJ25" s="1027">
        <v>3</v>
      </c>
      <c r="DK25" s="208">
        <f t="shared" si="227"/>
        <v>1</v>
      </c>
      <c r="DL25" s="1029">
        <v>150000</v>
      </c>
      <c r="DM25" s="1026">
        <v>3</v>
      </c>
      <c r="DN25" s="1027">
        <v>3</v>
      </c>
      <c r="DO25" s="208">
        <f t="shared" si="228"/>
        <v>1</v>
      </c>
      <c r="DP25" s="1029">
        <v>150000</v>
      </c>
      <c r="DQ25" s="1026">
        <v>3</v>
      </c>
      <c r="DR25" s="1027">
        <v>3</v>
      </c>
      <c r="DS25" s="208">
        <f t="shared" si="229"/>
        <v>1</v>
      </c>
      <c r="DT25" s="1029">
        <v>150000</v>
      </c>
      <c r="DU25" s="1026">
        <v>3</v>
      </c>
      <c r="DV25" s="1027">
        <v>3</v>
      </c>
      <c r="DW25" s="208">
        <f t="shared" si="230"/>
        <v>1</v>
      </c>
      <c r="DX25" s="1029">
        <v>150000</v>
      </c>
      <c r="DY25" s="1026">
        <v>3</v>
      </c>
      <c r="DZ25" s="1027">
        <v>3</v>
      </c>
      <c r="EA25" s="208">
        <f t="shared" si="231"/>
        <v>1</v>
      </c>
      <c r="EB25" s="1029">
        <v>150000</v>
      </c>
      <c r="EC25" s="1026">
        <v>3</v>
      </c>
      <c r="ED25" s="1027">
        <v>3</v>
      </c>
      <c r="EE25" s="208">
        <f t="shared" si="232"/>
        <v>1</v>
      </c>
      <c r="EF25" s="1029">
        <v>150000</v>
      </c>
    </row>
    <row r="26" spans="1:136" ht="20" customHeight="1" x14ac:dyDescent="0.15">
      <c r="A26" s="870">
        <f t="shared" si="198"/>
        <v>0</v>
      </c>
      <c r="B26" s="947"/>
      <c r="C26" s="942" t="str">
        <f>Dashboard!K97</f>
        <v>LANDING PAGE</v>
      </c>
      <c r="D26" s="686">
        <f>Dashboard!AC97</f>
        <v>62500000</v>
      </c>
      <c r="E26" s="1065">
        <f>SUMIF($M$13:$EF$13,$P$13,$M26:$EF26)</f>
        <v>15500000</v>
      </c>
      <c r="F26" s="686">
        <f t="shared" si="200"/>
        <v>-47000000</v>
      </c>
      <c r="G26" s="788">
        <f>_xlfn.IFS(F26&gt;0,1,F26&lt;=0,E26/D26)</f>
        <v>0.248</v>
      </c>
      <c r="H26" s="788">
        <f>IF(SUMIF(M$13:EF$13,$O$13,M26:EF26)&gt;0,AVERAGEIFS(M26:EF26,M26:EF26,"&gt;0",M$13:EF$13,$O$13),"NO NEW ORDER")</f>
        <v>0.76666666666666605</v>
      </c>
      <c r="I26" s="788">
        <f>Dashboard!M118</f>
        <v>0.16041666666666665</v>
      </c>
      <c r="J26" s="1109">
        <f ca="1">IF(SUM(J27:J31)&gt;0,AVERAGEIF(J27:J31,"&gt;0"),0)</f>
        <v>0</v>
      </c>
      <c r="K26" s="984">
        <f>D26/'Action Plan'!$C$6</f>
        <v>2403846.153846154</v>
      </c>
      <c r="L26" s="933">
        <f t="shared" ca="1" si="197"/>
        <v>0</v>
      </c>
      <c r="M26" s="900">
        <f>SUM(M27:M31)</f>
        <v>15</v>
      </c>
      <c r="N26" s="905">
        <f>SUM(N27:N31)</f>
        <v>12</v>
      </c>
      <c r="O26" s="860">
        <f>IF(SUM(O27:O31)&gt;0,AVERAGEIF(O27:O31,"&gt;0"),0)</f>
        <v>0.76666666666666661</v>
      </c>
      <c r="P26" s="896">
        <f>SUM(P27:P31)</f>
        <v>500000</v>
      </c>
      <c r="Q26" s="900">
        <f>SUM(Q27:Q31)</f>
        <v>15</v>
      </c>
      <c r="R26" s="905">
        <f>SUM(R27:R31)</f>
        <v>12</v>
      </c>
      <c r="S26" s="860">
        <f>IF(SUM(S27:S31)&gt;0,AVERAGEIF(S27:S31,"&gt;0"),0)</f>
        <v>0.76666666666666661</v>
      </c>
      <c r="T26" s="896">
        <f>SUM(T27:T31)</f>
        <v>500000</v>
      </c>
      <c r="U26" s="900">
        <f>SUM(U27:U31)</f>
        <v>15</v>
      </c>
      <c r="V26" s="905">
        <f>SUM(V27:V31)</f>
        <v>12</v>
      </c>
      <c r="W26" s="860">
        <f>IF(SUM(W27:W31)&gt;0,AVERAGEIF(W27:W31,"&gt;0"),0)</f>
        <v>0.76666666666666661</v>
      </c>
      <c r="X26" s="896">
        <f>SUM(X27:X31)</f>
        <v>500000</v>
      </c>
      <c r="Y26" s="900">
        <f>SUM(Y27:Y31)</f>
        <v>15</v>
      </c>
      <c r="Z26" s="905">
        <f>SUM(Z27:Z31)</f>
        <v>12</v>
      </c>
      <c r="AA26" s="860">
        <f>IF(SUM(AA27:AA31)&gt;0,AVERAGEIF(AA27:AA31,"&gt;0"),0)</f>
        <v>0.76666666666666661</v>
      </c>
      <c r="AB26" s="896">
        <f>SUM(AB27:AB31)</f>
        <v>500000</v>
      </c>
      <c r="AC26" s="900">
        <f>SUM(AC27:AC31)</f>
        <v>15</v>
      </c>
      <c r="AD26" s="905">
        <f>SUM(AD27:AD31)</f>
        <v>12</v>
      </c>
      <c r="AE26" s="860">
        <f>IF(SUM(AE27:AE31)&gt;0,AVERAGEIF(AE27:AE31,"&gt;0"),0)</f>
        <v>0.76666666666666661</v>
      </c>
      <c r="AF26" s="896">
        <f>SUM(AF27:AF31)</f>
        <v>500000</v>
      </c>
      <c r="AG26" s="900">
        <f>SUM(AG27:AG31)</f>
        <v>15</v>
      </c>
      <c r="AH26" s="905">
        <f>SUM(AH27:AH31)</f>
        <v>12</v>
      </c>
      <c r="AI26" s="860">
        <f>IF(SUM(AI27:AI31)&gt;0,AVERAGEIF(AI27:AI31,"&gt;0"),0)</f>
        <v>0.76666666666666661</v>
      </c>
      <c r="AJ26" s="896">
        <f>SUM(AJ27:AJ31)</f>
        <v>500000</v>
      </c>
      <c r="AK26" s="900">
        <f>SUM(AK27:AK31)</f>
        <v>15</v>
      </c>
      <c r="AL26" s="905">
        <f>SUM(AL27:AL31)</f>
        <v>12</v>
      </c>
      <c r="AM26" s="860">
        <f>IF(SUM(AM27:AM31)&gt;0,AVERAGEIF(AM27:AM31,"&gt;0"),0)</f>
        <v>0.76666666666666661</v>
      </c>
      <c r="AN26" s="896">
        <f>SUM(AN27:AN31)</f>
        <v>500000</v>
      </c>
      <c r="AO26" s="900">
        <f>SUM(AO27:AO31)</f>
        <v>15</v>
      </c>
      <c r="AP26" s="905">
        <f>SUM(AP27:AP31)</f>
        <v>12</v>
      </c>
      <c r="AQ26" s="860">
        <f>IF(SUM(AQ27:AQ31)&gt;0,AVERAGEIF(AQ27:AQ31,"&gt;0"),0)</f>
        <v>0.76666666666666661</v>
      </c>
      <c r="AR26" s="896">
        <f>SUM(AR27:AR31)</f>
        <v>500000</v>
      </c>
      <c r="AS26" s="900">
        <f>SUM(AS27:AS31)</f>
        <v>15</v>
      </c>
      <c r="AT26" s="905">
        <f>SUM(AT27:AT31)</f>
        <v>12</v>
      </c>
      <c r="AU26" s="860">
        <f>IF(SUM(AU27:AU31)&gt;0,AVERAGEIF(AU27:AU31,"&gt;0"),0)</f>
        <v>0.76666666666666661</v>
      </c>
      <c r="AV26" s="896">
        <f>SUM(AV27:AV31)</f>
        <v>500000</v>
      </c>
      <c r="AW26" s="900">
        <f>SUM(AW27:AW31)</f>
        <v>15</v>
      </c>
      <c r="AX26" s="905">
        <f>SUM(AX27:AX31)</f>
        <v>12</v>
      </c>
      <c r="AY26" s="860">
        <f>IF(SUM(AY27:AY31)&gt;0,AVERAGEIF(AY27:AY31,"&gt;0"),0)</f>
        <v>0.76666666666666661</v>
      </c>
      <c r="AZ26" s="896">
        <f>SUM(AZ27:AZ31)</f>
        <v>500000</v>
      </c>
      <c r="BA26" s="900">
        <f>SUM(BA27:BA31)</f>
        <v>15</v>
      </c>
      <c r="BB26" s="905">
        <f>SUM(BB27:BB31)</f>
        <v>12</v>
      </c>
      <c r="BC26" s="860">
        <f>IF(SUM(BC27:BC31)&gt;0,AVERAGEIF(BC27:BC31,"&gt;0"),0)</f>
        <v>0.76666666666666661</v>
      </c>
      <c r="BD26" s="896">
        <f>SUM(BD27:BD31)</f>
        <v>500000</v>
      </c>
      <c r="BE26" s="900">
        <f>SUM(BE27:BE31)</f>
        <v>15</v>
      </c>
      <c r="BF26" s="905">
        <f>SUM(BF27:BF31)</f>
        <v>12</v>
      </c>
      <c r="BG26" s="860">
        <f>IF(SUM(BG27:BG31)&gt;0,AVERAGEIF(BG27:BG31,"&gt;0"),0)</f>
        <v>0.76666666666666661</v>
      </c>
      <c r="BH26" s="896">
        <f>SUM(BH27:BH31)</f>
        <v>500000</v>
      </c>
      <c r="BI26" s="900">
        <f>SUM(BI27:BI31)</f>
        <v>15</v>
      </c>
      <c r="BJ26" s="905">
        <f>SUM(BJ27:BJ31)</f>
        <v>12</v>
      </c>
      <c r="BK26" s="860">
        <f>IF(SUM(BK27:BK31)&gt;0,AVERAGEIF(BK27:BK31,"&gt;0"),0)</f>
        <v>0.76666666666666661</v>
      </c>
      <c r="BL26" s="896">
        <f>SUM(BL27:BL31)</f>
        <v>500000</v>
      </c>
      <c r="BM26" s="900">
        <f>SUM(BM27:BM31)</f>
        <v>15</v>
      </c>
      <c r="BN26" s="905">
        <f>SUM(BN27:BN31)</f>
        <v>12</v>
      </c>
      <c r="BO26" s="860">
        <f>IF(SUM(BO27:BO31)&gt;0,AVERAGEIF(BO27:BO31,"&gt;0"),0)</f>
        <v>0.76666666666666661</v>
      </c>
      <c r="BP26" s="896">
        <f>SUM(BP27:BP31)</f>
        <v>500000</v>
      </c>
      <c r="BQ26" s="900">
        <f>SUM(BQ27:BQ31)</f>
        <v>15</v>
      </c>
      <c r="BR26" s="905">
        <f>SUM(BR27:BR31)</f>
        <v>12</v>
      </c>
      <c r="BS26" s="860">
        <f>IF(SUM(BS27:BS31)&gt;0,AVERAGEIF(BS27:BS31,"&gt;0"),0)</f>
        <v>0.76666666666666661</v>
      </c>
      <c r="BT26" s="896">
        <f>SUM(BT27:BT31)</f>
        <v>500000</v>
      </c>
      <c r="BU26" s="900">
        <f>SUM(BU27:BU31)</f>
        <v>15</v>
      </c>
      <c r="BV26" s="905">
        <f>SUM(BV27:BV31)</f>
        <v>12</v>
      </c>
      <c r="BW26" s="860">
        <f>IF(SUM(BW27:BW31)&gt;0,AVERAGEIF(BW27:BW31,"&gt;0"),0)</f>
        <v>0.76666666666666661</v>
      </c>
      <c r="BX26" s="896">
        <f>SUM(BX27:BX31)</f>
        <v>500000</v>
      </c>
      <c r="BY26" s="900">
        <f>SUM(BY27:BY31)</f>
        <v>15</v>
      </c>
      <c r="BZ26" s="905">
        <f>SUM(BZ27:BZ31)</f>
        <v>12</v>
      </c>
      <c r="CA26" s="860">
        <f>IF(SUM(CA27:CA31)&gt;0,AVERAGEIF(CA27:CA31,"&gt;0"),0)</f>
        <v>0.76666666666666661</v>
      </c>
      <c r="CB26" s="896">
        <f>SUM(CB27:CB31)</f>
        <v>500000</v>
      </c>
      <c r="CC26" s="900">
        <f>SUM(CC27:CC31)</f>
        <v>15</v>
      </c>
      <c r="CD26" s="905">
        <f>SUM(CD27:CD31)</f>
        <v>12</v>
      </c>
      <c r="CE26" s="860">
        <f>IF(SUM(CE27:CE31)&gt;0,AVERAGEIF(CE27:CE31,"&gt;0"),0)</f>
        <v>0.76666666666666661</v>
      </c>
      <c r="CF26" s="896">
        <f>SUM(CF27:CF31)</f>
        <v>500000</v>
      </c>
      <c r="CG26" s="900">
        <f>SUM(CG27:CG31)</f>
        <v>15</v>
      </c>
      <c r="CH26" s="905">
        <f>SUM(CH27:CH31)</f>
        <v>12</v>
      </c>
      <c r="CI26" s="860">
        <f>IF(SUM(CI27:CI31)&gt;0,AVERAGEIF(CI27:CI31,"&gt;0"),0)</f>
        <v>0.76666666666666661</v>
      </c>
      <c r="CJ26" s="896">
        <f>SUM(CJ27:CJ31)</f>
        <v>500000</v>
      </c>
      <c r="CK26" s="900">
        <f>SUM(CK27:CK31)</f>
        <v>15</v>
      </c>
      <c r="CL26" s="905">
        <f>SUM(CL27:CL31)</f>
        <v>12</v>
      </c>
      <c r="CM26" s="860">
        <f>IF(SUM(CM27:CM31)&gt;0,AVERAGEIF(CM27:CM31,"&gt;0"),0)</f>
        <v>0.76666666666666661</v>
      </c>
      <c r="CN26" s="896">
        <f>SUM(CN27:CN31)</f>
        <v>500000</v>
      </c>
      <c r="CO26" s="900">
        <f>SUM(CO27:CO31)</f>
        <v>15</v>
      </c>
      <c r="CP26" s="905">
        <f>SUM(CP27:CP31)</f>
        <v>12</v>
      </c>
      <c r="CQ26" s="860">
        <f>IF(SUM(CQ27:CQ31)&gt;0,AVERAGEIF(CQ27:CQ31,"&gt;0"),0)</f>
        <v>0.76666666666666661</v>
      </c>
      <c r="CR26" s="896">
        <f>SUM(CR27:CR31)</f>
        <v>500000</v>
      </c>
      <c r="CS26" s="900">
        <f>SUM(CS27:CS31)</f>
        <v>15</v>
      </c>
      <c r="CT26" s="905">
        <f>SUM(CT27:CT31)</f>
        <v>12</v>
      </c>
      <c r="CU26" s="860">
        <f>IF(SUM(CU27:CU31)&gt;0,AVERAGEIF(CU27:CU31,"&gt;0"),0)</f>
        <v>0.76666666666666661</v>
      </c>
      <c r="CV26" s="896">
        <f>SUM(CV27:CV31)</f>
        <v>500000</v>
      </c>
      <c r="CW26" s="900">
        <f>SUM(CW27:CW31)</f>
        <v>15</v>
      </c>
      <c r="CX26" s="905">
        <f>SUM(CX27:CX31)</f>
        <v>12</v>
      </c>
      <c r="CY26" s="860">
        <f>IF(SUM(CY27:CY31)&gt;0,AVERAGEIF(CY27:CY31,"&gt;0"),0)</f>
        <v>0.76666666666666661</v>
      </c>
      <c r="CZ26" s="896">
        <f>SUM(CZ27:CZ31)</f>
        <v>500000</v>
      </c>
      <c r="DA26" s="900">
        <f>SUM(DA27:DA31)</f>
        <v>15</v>
      </c>
      <c r="DB26" s="905">
        <f>SUM(DB27:DB31)</f>
        <v>12</v>
      </c>
      <c r="DC26" s="860">
        <f>IF(SUM(DC27:DC31)&gt;0,AVERAGEIF(DC27:DC31,"&gt;0"),0)</f>
        <v>0.76666666666666661</v>
      </c>
      <c r="DD26" s="896">
        <f>SUM(DD27:DD31)</f>
        <v>500000</v>
      </c>
      <c r="DE26" s="900">
        <f>SUM(DE27:DE31)</f>
        <v>15</v>
      </c>
      <c r="DF26" s="905">
        <f>SUM(DF27:DF31)</f>
        <v>12</v>
      </c>
      <c r="DG26" s="860">
        <f>IF(SUM(DG27:DG31)&gt;0,AVERAGEIF(DG27:DG31,"&gt;0"),0)</f>
        <v>0.76666666666666661</v>
      </c>
      <c r="DH26" s="896">
        <f>SUM(DH27:DH31)</f>
        <v>500000</v>
      </c>
      <c r="DI26" s="900">
        <f>SUM(DI27:DI31)</f>
        <v>15</v>
      </c>
      <c r="DJ26" s="905">
        <f>SUM(DJ27:DJ31)</f>
        <v>12</v>
      </c>
      <c r="DK26" s="860">
        <f>IF(SUM(DK27:DK31)&gt;0,AVERAGEIF(DK27:DK31,"&gt;0"),0)</f>
        <v>0.76666666666666661</v>
      </c>
      <c r="DL26" s="896">
        <f>SUM(DL27:DL31)</f>
        <v>500000</v>
      </c>
      <c r="DM26" s="900">
        <f>SUM(DM27:DM31)</f>
        <v>15</v>
      </c>
      <c r="DN26" s="905">
        <f>SUM(DN27:DN31)</f>
        <v>12</v>
      </c>
      <c r="DO26" s="860">
        <f>IF(SUM(DO27:DO31)&gt;0,AVERAGEIF(DO27:DO31,"&gt;0"),0)</f>
        <v>0.76666666666666661</v>
      </c>
      <c r="DP26" s="896">
        <f>SUM(DP27:DP31)</f>
        <v>500000</v>
      </c>
      <c r="DQ26" s="900">
        <f>SUM(DQ27:DQ31)</f>
        <v>15</v>
      </c>
      <c r="DR26" s="905">
        <f>SUM(DR27:DR31)</f>
        <v>12</v>
      </c>
      <c r="DS26" s="860">
        <f>IF(SUM(DS27:DS31)&gt;0,AVERAGEIF(DS27:DS31,"&gt;0"),0)</f>
        <v>0.76666666666666661</v>
      </c>
      <c r="DT26" s="896">
        <f>SUM(DT27:DT31)</f>
        <v>500000</v>
      </c>
      <c r="DU26" s="900">
        <f>SUM(DU27:DU31)</f>
        <v>15</v>
      </c>
      <c r="DV26" s="905">
        <f>SUM(DV27:DV31)</f>
        <v>12</v>
      </c>
      <c r="DW26" s="860">
        <f>IF(SUM(DW27:DW31)&gt;0,AVERAGEIF(DW27:DW31,"&gt;0"),0)</f>
        <v>0.76666666666666661</v>
      </c>
      <c r="DX26" s="896">
        <f>SUM(DX27:DX31)</f>
        <v>500000</v>
      </c>
      <c r="DY26" s="900">
        <f>SUM(DY27:DY31)</f>
        <v>15</v>
      </c>
      <c r="DZ26" s="905">
        <f>SUM(DZ27:DZ31)</f>
        <v>12</v>
      </c>
      <c r="EA26" s="860">
        <f>IF(SUM(EA27:EA31)&gt;0,AVERAGEIF(EA27:EA31,"&gt;0"),0)</f>
        <v>0.76666666666666661</v>
      </c>
      <c r="EB26" s="896">
        <f>SUM(EB27:EB31)</f>
        <v>500000</v>
      </c>
      <c r="EC26" s="900">
        <f>SUM(EC27:EC31)</f>
        <v>15</v>
      </c>
      <c r="ED26" s="905">
        <f>SUM(ED27:ED31)</f>
        <v>12</v>
      </c>
      <c r="EE26" s="860">
        <f>IF(SUM(EE27:EE31)&gt;0,AVERAGEIF(EE27:EE31,"&gt;0"),0)</f>
        <v>0.76666666666666661</v>
      </c>
      <c r="EF26" s="896">
        <f>SUM(EF27:EF31)</f>
        <v>500000</v>
      </c>
    </row>
    <row r="27" spans="1:136" ht="20" customHeight="1" x14ac:dyDescent="0.15">
      <c r="A27" s="189">
        <f t="shared" si="198"/>
        <v>0</v>
      </c>
      <c r="B27" s="947"/>
      <c r="C27" s="970" t="s">
        <v>134</v>
      </c>
      <c r="D27" s="851">
        <f>$D$26/5</f>
        <v>12500000</v>
      </c>
      <c r="E27" s="1082">
        <f t="shared" si="195"/>
        <v>3100000</v>
      </c>
      <c r="F27" s="610">
        <f t="shared" si="200"/>
        <v>-9400000</v>
      </c>
      <c r="G27" s="208">
        <f>_xlfn.IFS(F27&gt;0,1,F27&lt;=0,E27/D27)</f>
        <v>0.248</v>
      </c>
      <c r="H27" s="208">
        <f>IF(SUMIF(M$13:EF$13,$O$13,M27:EF27)&gt;0,AVERAGEIFS(M27:EF27,M27:EF27,"&gt;0",M$13:EF$13,$O$13),"NO NEW ORDER")</f>
        <v>0.66666666666666674</v>
      </c>
      <c r="I27" s="836"/>
      <c r="J27" s="1110">
        <f ca="1">SUMIFS($M27:$EF27,$M$11:$EF$11,TODAY()-1,$M$13:$EF$13,O$13)</f>
        <v>0</v>
      </c>
      <c r="K27" s="851"/>
      <c r="L27" s="605">
        <f t="shared" ca="1" si="197"/>
        <v>0</v>
      </c>
      <c r="M27" s="1026">
        <v>3</v>
      </c>
      <c r="N27" s="1027">
        <v>2</v>
      </c>
      <c r="O27" s="906">
        <f>_xlfn.IFS(M27=0,0,N27&lt;=M27,N27/M27,N27&gt;M27,1)</f>
        <v>0.66666666666666663</v>
      </c>
      <c r="P27" s="1029">
        <v>100000</v>
      </c>
      <c r="Q27" s="1026">
        <v>3</v>
      </c>
      <c r="R27" s="1027">
        <v>2</v>
      </c>
      <c r="S27" s="906">
        <f>_xlfn.IFS(Q27=0,0,R27&lt;=Q27,R27/Q27,R27&gt;Q27,1)</f>
        <v>0.66666666666666663</v>
      </c>
      <c r="T27" s="1029">
        <v>100000</v>
      </c>
      <c r="U27" s="1026">
        <v>3</v>
      </c>
      <c r="V27" s="1027">
        <v>2</v>
      </c>
      <c r="W27" s="906">
        <f>_xlfn.IFS(U27=0,0,V27&lt;=U27,V27/U27,V27&gt;U27,1)</f>
        <v>0.66666666666666663</v>
      </c>
      <c r="X27" s="1029">
        <v>100000</v>
      </c>
      <c r="Y27" s="1026">
        <v>3</v>
      </c>
      <c r="Z27" s="1027">
        <v>2</v>
      </c>
      <c r="AA27" s="906">
        <f>_xlfn.IFS(Y27=0,0,Z27&lt;=Y27,Z27/Y27,Z27&gt;Y27,1)</f>
        <v>0.66666666666666663</v>
      </c>
      <c r="AB27" s="1029">
        <v>100000</v>
      </c>
      <c r="AC27" s="1026">
        <v>3</v>
      </c>
      <c r="AD27" s="1027">
        <v>2</v>
      </c>
      <c r="AE27" s="906">
        <f>_xlfn.IFS(AC27=0,0,AD27&lt;=AC27,AD27/AC27,AD27&gt;AC27,1)</f>
        <v>0.66666666666666663</v>
      </c>
      <c r="AF27" s="1029">
        <v>100000</v>
      </c>
      <c r="AG27" s="1026">
        <v>3</v>
      </c>
      <c r="AH27" s="1027">
        <v>2</v>
      </c>
      <c r="AI27" s="906">
        <f>_xlfn.IFS(AG27=0,0,AH27&lt;=AG27,AH27/AG27,AH27&gt;AG27,1)</f>
        <v>0.66666666666666663</v>
      </c>
      <c r="AJ27" s="1029">
        <v>100000</v>
      </c>
      <c r="AK27" s="1026">
        <v>3</v>
      </c>
      <c r="AL27" s="1027">
        <v>2</v>
      </c>
      <c r="AM27" s="906">
        <f>_xlfn.IFS(AK27=0,0,AL27&lt;=AK27,AL27/AK27,AL27&gt;AK27,1)</f>
        <v>0.66666666666666663</v>
      </c>
      <c r="AN27" s="1029">
        <v>100000</v>
      </c>
      <c r="AO27" s="1026">
        <v>3</v>
      </c>
      <c r="AP27" s="1027">
        <v>2</v>
      </c>
      <c r="AQ27" s="906">
        <f>_xlfn.IFS(AO27=0,0,AP27&lt;=AO27,AP27/AO27,AP27&gt;AO27,1)</f>
        <v>0.66666666666666663</v>
      </c>
      <c r="AR27" s="1029">
        <v>100000</v>
      </c>
      <c r="AS27" s="1026">
        <v>3</v>
      </c>
      <c r="AT27" s="1027">
        <v>2</v>
      </c>
      <c r="AU27" s="906">
        <f>_xlfn.IFS(AS27=0,0,AT27&lt;=AS27,AT27/AS27,AT27&gt;AS27,1)</f>
        <v>0.66666666666666663</v>
      </c>
      <c r="AV27" s="1029">
        <v>100000</v>
      </c>
      <c r="AW27" s="1026">
        <v>3</v>
      </c>
      <c r="AX27" s="1027">
        <v>2</v>
      </c>
      <c r="AY27" s="906">
        <f>_xlfn.IFS(AW27=0,0,AX27&lt;=AW27,AX27/AW27,AX27&gt;AW27,1)</f>
        <v>0.66666666666666663</v>
      </c>
      <c r="AZ27" s="1029">
        <v>100000</v>
      </c>
      <c r="BA27" s="1026">
        <v>3</v>
      </c>
      <c r="BB27" s="1027">
        <v>2</v>
      </c>
      <c r="BC27" s="906">
        <f>_xlfn.IFS(BA27=0,0,BB27&lt;=BA27,BB27/BA27,BB27&gt;BA27,1)</f>
        <v>0.66666666666666663</v>
      </c>
      <c r="BD27" s="1029">
        <v>100000</v>
      </c>
      <c r="BE27" s="1026">
        <v>3</v>
      </c>
      <c r="BF27" s="1027">
        <v>2</v>
      </c>
      <c r="BG27" s="906">
        <f>_xlfn.IFS(BE27=0,0,BF27&lt;=BE27,BF27/BE27,BF27&gt;BE27,1)</f>
        <v>0.66666666666666663</v>
      </c>
      <c r="BH27" s="1029">
        <v>100000</v>
      </c>
      <c r="BI27" s="1026">
        <v>3</v>
      </c>
      <c r="BJ27" s="1027">
        <v>2</v>
      </c>
      <c r="BK27" s="906">
        <f>_xlfn.IFS(BI27=0,0,BJ27&lt;=BI27,BJ27/BI27,BJ27&gt;BI27,1)</f>
        <v>0.66666666666666663</v>
      </c>
      <c r="BL27" s="1029">
        <v>100000</v>
      </c>
      <c r="BM27" s="1026">
        <v>3</v>
      </c>
      <c r="BN27" s="1027">
        <v>2</v>
      </c>
      <c r="BO27" s="906">
        <f>_xlfn.IFS(BM27=0,0,BN27&lt;=BM27,BN27/BM27,BN27&gt;BM27,1)</f>
        <v>0.66666666666666663</v>
      </c>
      <c r="BP27" s="1029">
        <v>100000</v>
      </c>
      <c r="BQ27" s="1026">
        <v>3</v>
      </c>
      <c r="BR27" s="1027">
        <v>2</v>
      </c>
      <c r="BS27" s="906">
        <f>_xlfn.IFS(BQ27=0,0,BR27&lt;=BQ27,BR27/BQ27,BR27&gt;BQ27,1)</f>
        <v>0.66666666666666663</v>
      </c>
      <c r="BT27" s="1029">
        <v>100000</v>
      </c>
      <c r="BU27" s="1026">
        <v>3</v>
      </c>
      <c r="BV27" s="1027">
        <v>2</v>
      </c>
      <c r="BW27" s="906">
        <f>_xlfn.IFS(BU27=0,0,BV27&lt;=BU27,BV27/BU27,BV27&gt;BU27,1)</f>
        <v>0.66666666666666663</v>
      </c>
      <c r="BX27" s="1029">
        <v>100000</v>
      </c>
      <c r="BY27" s="1026">
        <v>3</v>
      </c>
      <c r="BZ27" s="1027">
        <v>2</v>
      </c>
      <c r="CA27" s="906">
        <f>_xlfn.IFS(BY27=0,0,BZ27&lt;=BY27,BZ27/BY27,BZ27&gt;BY27,1)</f>
        <v>0.66666666666666663</v>
      </c>
      <c r="CB27" s="1029">
        <v>100000</v>
      </c>
      <c r="CC27" s="1026">
        <v>3</v>
      </c>
      <c r="CD27" s="1027">
        <v>2</v>
      </c>
      <c r="CE27" s="906">
        <f>_xlfn.IFS(CC27=0,0,CD27&lt;=CC27,CD27/CC27,CD27&gt;CC27,1)</f>
        <v>0.66666666666666663</v>
      </c>
      <c r="CF27" s="1029">
        <v>100000</v>
      </c>
      <c r="CG27" s="1026">
        <v>3</v>
      </c>
      <c r="CH27" s="1027">
        <v>2</v>
      </c>
      <c r="CI27" s="906">
        <f>_xlfn.IFS(CG27=0,0,CH27&lt;=CG27,CH27/CG27,CH27&gt;CG27,1)</f>
        <v>0.66666666666666663</v>
      </c>
      <c r="CJ27" s="1029">
        <v>100000</v>
      </c>
      <c r="CK27" s="1026">
        <v>3</v>
      </c>
      <c r="CL27" s="1027">
        <v>2</v>
      </c>
      <c r="CM27" s="906">
        <f>_xlfn.IFS(CK27=0,0,CL27&lt;=CK27,CL27/CK27,CL27&gt;CK27,1)</f>
        <v>0.66666666666666663</v>
      </c>
      <c r="CN27" s="1029">
        <v>100000</v>
      </c>
      <c r="CO27" s="1026">
        <v>3</v>
      </c>
      <c r="CP27" s="1027">
        <v>2</v>
      </c>
      <c r="CQ27" s="906">
        <f>_xlfn.IFS(CO27=0,0,CP27&lt;=CO27,CP27/CO27,CP27&gt;CO27,1)</f>
        <v>0.66666666666666663</v>
      </c>
      <c r="CR27" s="1029">
        <v>100000</v>
      </c>
      <c r="CS27" s="1026">
        <v>3</v>
      </c>
      <c r="CT27" s="1027">
        <v>2</v>
      </c>
      <c r="CU27" s="906">
        <f>_xlfn.IFS(CS27=0,0,CT27&lt;=CS27,CT27/CS27,CT27&gt;CS27,1)</f>
        <v>0.66666666666666663</v>
      </c>
      <c r="CV27" s="1029">
        <v>100000</v>
      </c>
      <c r="CW27" s="1026">
        <v>3</v>
      </c>
      <c r="CX27" s="1027">
        <v>2</v>
      </c>
      <c r="CY27" s="906">
        <f>_xlfn.IFS(CW27=0,0,CX27&lt;=CW27,CX27/CW27,CX27&gt;CW27,1)</f>
        <v>0.66666666666666663</v>
      </c>
      <c r="CZ27" s="1029">
        <v>100000</v>
      </c>
      <c r="DA27" s="1026">
        <v>3</v>
      </c>
      <c r="DB27" s="1027">
        <v>2</v>
      </c>
      <c r="DC27" s="906">
        <f>_xlfn.IFS(DA27=0,0,DB27&lt;=DA27,DB27/DA27,DB27&gt;DA27,1)</f>
        <v>0.66666666666666663</v>
      </c>
      <c r="DD27" s="1029">
        <v>100000</v>
      </c>
      <c r="DE27" s="1026">
        <v>3</v>
      </c>
      <c r="DF27" s="1027">
        <v>2</v>
      </c>
      <c r="DG27" s="906">
        <f>_xlfn.IFS(DE27=0,0,DF27&lt;=DE27,DF27/DE27,DF27&gt;DE27,1)</f>
        <v>0.66666666666666663</v>
      </c>
      <c r="DH27" s="1029">
        <v>100000</v>
      </c>
      <c r="DI27" s="1026">
        <v>3</v>
      </c>
      <c r="DJ27" s="1027">
        <v>2</v>
      </c>
      <c r="DK27" s="906">
        <f>_xlfn.IFS(DI27=0,0,DJ27&lt;=DI27,DJ27/DI27,DJ27&gt;DI27,1)</f>
        <v>0.66666666666666663</v>
      </c>
      <c r="DL27" s="1029">
        <v>100000</v>
      </c>
      <c r="DM27" s="1026">
        <v>3</v>
      </c>
      <c r="DN27" s="1027">
        <v>2</v>
      </c>
      <c r="DO27" s="906">
        <f>_xlfn.IFS(DM27=0,0,DN27&lt;=DM27,DN27/DM27,DN27&gt;DM27,1)</f>
        <v>0.66666666666666663</v>
      </c>
      <c r="DP27" s="1029">
        <v>100000</v>
      </c>
      <c r="DQ27" s="1026">
        <v>3</v>
      </c>
      <c r="DR27" s="1027">
        <v>2</v>
      </c>
      <c r="DS27" s="906">
        <f>_xlfn.IFS(DQ27=0,0,DR27&lt;=DQ27,DR27/DQ27,DR27&gt;DQ27,1)</f>
        <v>0.66666666666666663</v>
      </c>
      <c r="DT27" s="1029">
        <v>100000</v>
      </c>
      <c r="DU27" s="1026">
        <v>3</v>
      </c>
      <c r="DV27" s="1027">
        <v>2</v>
      </c>
      <c r="DW27" s="906">
        <f>_xlfn.IFS(DU27=0,0,DV27&lt;=DU27,DV27/DU27,DV27&gt;DU27,1)</f>
        <v>0.66666666666666663</v>
      </c>
      <c r="DX27" s="1029">
        <v>100000</v>
      </c>
      <c r="DY27" s="1026">
        <v>3</v>
      </c>
      <c r="DZ27" s="1027">
        <v>2</v>
      </c>
      <c r="EA27" s="906">
        <f>_xlfn.IFS(DY27=0,0,DZ27&lt;=DY27,DZ27/DY27,DZ27&gt;DY27,1)</f>
        <v>0.66666666666666663</v>
      </c>
      <c r="EB27" s="1029">
        <v>100000</v>
      </c>
      <c r="EC27" s="1026">
        <v>3</v>
      </c>
      <c r="ED27" s="1027">
        <v>2</v>
      </c>
      <c r="EE27" s="906">
        <f>_xlfn.IFS(EC27=0,0,ED27&lt;=EC27,ED27/EC27,ED27&gt;EC27,1)</f>
        <v>0.66666666666666663</v>
      </c>
      <c r="EF27" s="1029">
        <v>100000</v>
      </c>
    </row>
    <row r="28" spans="1:136" ht="20" customHeight="1" x14ac:dyDescent="0.15">
      <c r="A28" s="189">
        <f t="shared" si="198"/>
        <v>0</v>
      </c>
      <c r="B28" s="947"/>
      <c r="C28" s="970" t="s">
        <v>135</v>
      </c>
      <c r="D28" s="851">
        <f>$D$26/5</f>
        <v>12500000</v>
      </c>
      <c r="E28" s="1082">
        <f t="shared" si="195"/>
        <v>3100000</v>
      </c>
      <c r="F28" s="610">
        <f t="shared" si="200"/>
        <v>-9400000</v>
      </c>
      <c r="G28" s="208">
        <f>_xlfn.IFS(F28&gt;0,1,F28&lt;=0,E28/D28)</f>
        <v>0.248</v>
      </c>
      <c r="H28" s="208">
        <f t="shared" ref="H28:H30" si="234">IF(SUMIF(M$13:EF$13,$O$13,M28:EF28)&gt;0,AVERAGEIFS(M28:EF28,M28:EF28,"&gt;0",M$13:EF$13,$O$13),"NO NEW ORDER")</f>
        <v>0.5</v>
      </c>
      <c r="I28" s="836"/>
      <c r="J28" s="1110">
        <f ca="1">SUMIFS($M28:$EF28,$M$11:$EF$11,TODAY()-1,$M$13:$EF$13,O$13)</f>
        <v>0</v>
      </c>
      <c r="K28" s="851"/>
      <c r="L28" s="605">
        <f t="shared" ca="1" si="197"/>
        <v>0</v>
      </c>
      <c r="M28" s="1026">
        <v>2</v>
      </c>
      <c r="N28" s="1027">
        <v>1</v>
      </c>
      <c r="O28" s="906">
        <f>_xlfn.IFS(M28=0,0,N28&lt;=M28,N28/M28,N28&gt;M28,1)</f>
        <v>0.5</v>
      </c>
      <c r="P28" s="1029">
        <v>100000</v>
      </c>
      <c r="Q28" s="1026">
        <v>2</v>
      </c>
      <c r="R28" s="1027">
        <v>1</v>
      </c>
      <c r="S28" s="906">
        <f>_xlfn.IFS(Q28=0,0,R28&lt;=Q28,R28/Q28,R28&gt;Q28,1)</f>
        <v>0.5</v>
      </c>
      <c r="T28" s="1029">
        <v>100000</v>
      </c>
      <c r="U28" s="1026">
        <v>2</v>
      </c>
      <c r="V28" s="1027">
        <v>1</v>
      </c>
      <c r="W28" s="906">
        <f>_xlfn.IFS(U28=0,0,V28&lt;=U28,V28/U28,V28&gt;U28,1)</f>
        <v>0.5</v>
      </c>
      <c r="X28" s="1029">
        <v>100000</v>
      </c>
      <c r="Y28" s="1026">
        <v>2</v>
      </c>
      <c r="Z28" s="1027">
        <v>1</v>
      </c>
      <c r="AA28" s="906">
        <f>_xlfn.IFS(Y28=0,0,Z28&lt;=Y28,Z28/Y28,Z28&gt;Y28,1)</f>
        <v>0.5</v>
      </c>
      <c r="AB28" s="1029">
        <v>100000</v>
      </c>
      <c r="AC28" s="1026">
        <v>2</v>
      </c>
      <c r="AD28" s="1027">
        <v>1</v>
      </c>
      <c r="AE28" s="906">
        <f>_xlfn.IFS(AC28=0,0,AD28&lt;=AC28,AD28/AC28,AD28&gt;AC28,1)</f>
        <v>0.5</v>
      </c>
      <c r="AF28" s="1029">
        <v>100000</v>
      </c>
      <c r="AG28" s="1026">
        <v>2</v>
      </c>
      <c r="AH28" s="1027">
        <v>1</v>
      </c>
      <c r="AI28" s="906">
        <f>_xlfn.IFS(AG28=0,0,AH28&lt;=AG28,AH28/AG28,AH28&gt;AG28,1)</f>
        <v>0.5</v>
      </c>
      <c r="AJ28" s="1029">
        <v>100000</v>
      </c>
      <c r="AK28" s="1026">
        <v>2</v>
      </c>
      <c r="AL28" s="1027">
        <v>1</v>
      </c>
      <c r="AM28" s="906">
        <f>_xlfn.IFS(AK28=0,0,AL28&lt;=AK28,AL28/AK28,AL28&gt;AK28,1)</f>
        <v>0.5</v>
      </c>
      <c r="AN28" s="1029">
        <v>100000</v>
      </c>
      <c r="AO28" s="1026">
        <v>2</v>
      </c>
      <c r="AP28" s="1027">
        <v>1</v>
      </c>
      <c r="AQ28" s="906">
        <f>_xlfn.IFS(AO28=0,0,AP28&lt;=AO28,AP28/AO28,AP28&gt;AO28,1)</f>
        <v>0.5</v>
      </c>
      <c r="AR28" s="1029">
        <v>100000</v>
      </c>
      <c r="AS28" s="1026">
        <v>2</v>
      </c>
      <c r="AT28" s="1027">
        <v>1</v>
      </c>
      <c r="AU28" s="906">
        <f>_xlfn.IFS(AS28=0,0,AT28&lt;=AS28,AT28/AS28,AT28&gt;AS28,1)</f>
        <v>0.5</v>
      </c>
      <c r="AV28" s="1029">
        <v>100000</v>
      </c>
      <c r="AW28" s="1026">
        <v>2</v>
      </c>
      <c r="AX28" s="1027">
        <v>1</v>
      </c>
      <c r="AY28" s="906">
        <f>_xlfn.IFS(AW28=0,0,AX28&lt;=AW28,AX28/AW28,AX28&gt;AW28,1)</f>
        <v>0.5</v>
      </c>
      <c r="AZ28" s="1029">
        <v>100000</v>
      </c>
      <c r="BA28" s="1026">
        <v>2</v>
      </c>
      <c r="BB28" s="1027">
        <v>1</v>
      </c>
      <c r="BC28" s="906">
        <f>_xlfn.IFS(BA28=0,0,BB28&lt;=BA28,BB28/BA28,BB28&gt;BA28,1)</f>
        <v>0.5</v>
      </c>
      <c r="BD28" s="1029">
        <v>100000</v>
      </c>
      <c r="BE28" s="1026">
        <v>2</v>
      </c>
      <c r="BF28" s="1027">
        <v>1</v>
      </c>
      <c r="BG28" s="906">
        <f>_xlfn.IFS(BE28=0,0,BF28&lt;=BE28,BF28/BE28,BF28&gt;BE28,1)</f>
        <v>0.5</v>
      </c>
      <c r="BH28" s="1029">
        <v>100000</v>
      </c>
      <c r="BI28" s="1026">
        <v>2</v>
      </c>
      <c r="BJ28" s="1027">
        <v>1</v>
      </c>
      <c r="BK28" s="906">
        <f>_xlfn.IFS(BI28=0,0,BJ28&lt;=BI28,BJ28/BI28,BJ28&gt;BI28,1)</f>
        <v>0.5</v>
      </c>
      <c r="BL28" s="1029">
        <v>100000</v>
      </c>
      <c r="BM28" s="1026">
        <v>2</v>
      </c>
      <c r="BN28" s="1027">
        <v>1</v>
      </c>
      <c r="BO28" s="906">
        <f>_xlfn.IFS(BM28=0,0,BN28&lt;=BM28,BN28/BM28,BN28&gt;BM28,1)</f>
        <v>0.5</v>
      </c>
      <c r="BP28" s="1029">
        <v>100000</v>
      </c>
      <c r="BQ28" s="1026">
        <v>2</v>
      </c>
      <c r="BR28" s="1027">
        <v>1</v>
      </c>
      <c r="BS28" s="906">
        <f>_xlfn.IFS(BQ28=0,0,BR28&lt;=BQ28,BR28/BQ28,BR28&gt;BQ28,1)</f>
        <v>0.5</v>
      </c>
      <c r="BT28" s="1029">
        <v>100000</v>
      </c>
      <c r="BU28" s="1026">
        <v>2</v>
      </c>
      <c r="BV28" s="1027">
        <v>1</v>
      </c>
      <c r="BW28" s="906">
        <f>_xlfn.IFS(BU28=0,0,BV28&lt;=BU28,BV28/BU28,BV28&gt;BU28,1)</f>
        <v>0.5</v>
      </c>
      <c r="BX28" s="1029">
        <v>100000</v>
      </c>
      <c r="BY28" s="1026">
        <v>2</v>
      </c>
      <c r="BZ28" s="1027">
        <v>1</v>
      </c>
      <c r="CA28" s="906">
        <f>_xlfn.IFS(BY28=0,0,BZ28&lt;=BY28,BZ28/BY28,BZ28&gt;BY28,1)</f>
        <v>0.5</v>
      </c>
      <c r="CB28" s="1029">
        <v>100000</v>
      </c>
      <c r="CC28" s="1026">
        <v>2</v>
      </c>
      <c r="CD28" s="1027">
        <v>1</v>
      </c>
      <c r="CE28" s="906">
        <f>_xlfn.IFS(CC28=0,0,CD28&lt;=CC28,CD28/CC28,CD28&gt;CC28,1)</f>
        <v>0.5</v>
      </c>
      <c r="CF28" s="1029">
        <v>100000</v>
      </c>
      <c r="CG28" s="1026">
        <v>2</v>
      </c>
      <c r="CH28" s="1027">
        <v>1</v>
      </c>
      <c r="CI28" s="906">
        <f>_xlfn.IFS(CG28=0,0,CH28&lt;=CG28,CH28/CG28,CH28&gt;CG28,1)</f>
        <v>0.5</v>
      </c>
      <c r="CJ28" s="1029">
        <v>100000</v>
      </c>
      <c r="CK28" s="1026">
        <v>2</v>
      </c>
      <c r="CL28" s="1027">
        <v>1</v>
      </c>
      <c r="CM28" s="906">
        <f>_xlfn.IFS(CK28=0,0,CL28&lt;=CK28,CL28/CK28,CL28&gt;CK28,1)</f>
        <v>0.5</v>
      </c>
      <c r="CN28" s="1029">
        <v>100000</v>
      </c>
      <c r="CO28" s="1026">
        <v>2</v>
      </c>
      <c r="CP28" s="1027">
        <v>1</v>
      </c>
      <c r="CQ28" s="906">
        <f>_xlfn.IFS(CO28=0,0,CP28&lt;=CO28,CP28/CO28,CP28&gt;CO28,1)</f>
        <v>0.5</v>
      </c>
      <c r="CR28" s="1029">
        <v>100000</v>
      </c>
      <c r="CS28" s="1026">
        <v>2</v>
      </c>
      <c r="CT28" s="1027">
        <v>1</v>
      </c>
      <c r="CU28" s="906">
        <f>_xlfn.IFS(CS28=0,0,CT28&lt;=CS28,CT28/CS28,CT28&gt;CS28,1)</f>
        <v>0.5</v>
      </c>
      <c r="CV28" s="1029">
        <v>100000</v>
      </c>
      <c r="CW28" s="1026">
        <v>2</v>
      </c>
      <c r="CX28" s="1027">
        <v>1</v>
      </c>
      <c r="CY28" s="906">
        <f>_xlfn.IFS(CW28=0,0,CX28&lt;=CW28,CX28/CW28,CX28&gt;CW28,1)</f>
        <v>0.5</v>
      </c>
      <c r="CZ28" s="1029">
        <v>100000</v>
      </c>
      <c r="DA28" s="1026">
        <v>2</v>
      </c>
      <c r="DB28" s="1027">
        <v>1</v>
      </c>
      <c r="DC28" s="906">
        <f>_xlfn.IFS(DA28=0,0,DB28&lt;=DA28,DB28/DA28,DB28&gt;DA28,1)</f>
        <v>0.5</v>
      </c>
      <c r="DD28" s="1029">
        <v>100000</v>
      </c>
      <c r="DE28" s="1026">
        <v>2</v>
      </c>
      <c r="DF28" s="1027">
        <v>1</v>
      </c>
      <c r="DG28" s="906">
        <f>_xlfn.IFS(DE28=0,0,DF28&lt;=DE28,DF28/DE28,DF28&gt;DE28,1)</f>
        <v>0.5</v>
      </c>
      <c r="DH28" s="1029">
        <v>100000</v>
      </c>
      <c r="DI28" s="1026">
        <v>2</v>
      </c>
      <c r="DJ28" s="1027">
        <v>1</v>
      </c>
      <c r="DK28" s="906">
        <f>_xlfn.IFS(DI28=0,0,DJ28&lt;=DI28,DJ28/DI28,DJ28&gt;DI28,1)</f>
        <v>0.5</v>
      </c>
      <c r="DL28" s="1029">
        <v>100000</v>
      </c>
      <c r="DM28" s="1026">
        <v>2</v>
      </c>
      <c r="DN28" s="1027">
        <v>1</v>
      </c>
      <c r="DO28" s="906">
        <f>_xlfn.IFS(DM28=0,0,DN28&lt;=DM28,DN28/DM28,DN28&gt;DM28,1)</f>
        <v>0.5</v>
      </c>
      <c r="DP28" s="1029">
        <v>100000</v>
      </c>
      <c r="DQ28" s="1026">
        <v>2</v>
      </c>
      <c r="DR28" s="1027">
        <v>1</v>
      </c>
      <c r="DS28" s="906">
        <f>_xlfn.IFS(DQ28=0,0,DR28&lt;=DQ28,DR28/DQ28,DR28&gt;DQ28,1)</f>
        <v>0.5</v>
      </c>
      <c r="DT28" s="1029">
        <v>100000</v>
      </c>
      <c r="DU28" s="1026">
        <v>2</v>
      </c>
      <c r="DV28" s="1027">
        <v>1</v>
      </c>
      <c r="DW28" s="906">
        <f>_xlfn.IFS(DU28=0,0,DV28&lt;=DU28,DV28/DU28,DV28&gt;DU28,1)</f>
        <v>0.5</v>
      </c>
      <c r="DX28" s="1029">
        <v>100000</v>
      </c>
      <c r="DY28" s="1026">
        <v>2</v>
      </c>
      <c r="DZ28" s="1027">
        <v>1</v>
      </c>
      <c r="EA28" s="906">
        <f>_xlfn.IFS(DY28=0,0,DZ28&lt;=DY28,DZ28/DY28,DZ28&gt;DY28,1)</f>
        <v>0.5</v>
      </c>
      <c r="EB28" s="1029">
        <v>100000</v>
      </c>
      <c r="EC28" s="1026">
        <v>2</v>
      </c>
      <c r="ED28" s="1027">
        <v>1</v>
      </c>
      <c r="EE28" s="906">
        <f>_xlfn.IFS(EC28=0,0,ED28&lt;=EC28,ED28/EC28,ED28&gt;EC28,1)</f>
        <v>0.5</v>
      </c>
      <c r="EF28" s="1029">
        <v>100000</v>
      </c>
    </row>
    <row r="29" spans="1:136" ht="20" customHeight="1" x14ac:dyDescent="0.15">
      <c r="A29" s="189">
        <f t="shared" si="198"/>
        <v>0</v>
      </c>
      <c r="B29" s="947"/>
      <c r="C29" s="971" t="s">
        <v>136</v>
      </c>
      <c r="D29" s="851">
        <f>$D$26/5</f>
        <v>12500000</v>
      </c>
      <c r="E29" s="1082">
        <f t="shared" si="195"/>
        <v>3100000</v>
      </c>
      <c r="F29" s="610">
        <f t="shared" si="200"/>
        <v>-9400000</v>
      </c>
      <c r="G29" s="208">
        <f t="shared" si="201"/>
        <v>0.248</v>
      </c>
      <c r="H29" s="208">
        <f t="shared" si="234"/>
        <v>0.66666666666666674</v>
      </c>
      <c r="I29" s="836"/>
      <c r="J29" s="1110">
        <f t="shared" ref="J29:J31" ca="1" si="235">SUMIFS($M29:$EF29,$M$11:$EF$11,TODAY()-1,$M$13:$EF$13,O$13)</f>
        <v>0</v>
      </c>
      <c r="K29" s="851"/>
      <c r="L29" s="605">
        <f t="shared" ca="1" si="197"/>
        <v>0</v>
      </c>
      <c r="M29" s="1026">
        <v>3</v>
      </c>
      <c r="N29" s="1027">
        <v>2</v>
      </c>
      <c r="O29" s="906">
        <f t="shared" ref="O29:O31" si="236">_xlfn.IFS(M29=0,0,N29&lt;=M29,N29/M29,N29&gt;M29,1)</f>
        <v>0.66666666666666663</v>
      </c>
      <c r="P29" s="1029">
        <v>100000</v>
      </c>
      <c r="Q29" s="1026">
        <v>3</v>
      </c>
      <c r="R29" s="1027">
        <v>2</v>
      </c>
      <c r="S29" s="906">
        <f t="shared" ref="S29:S31" si="237">_xlfn.IFS(Q29=0,0,R29&lt;=Q29,R29/Q29,R29&gt;Q29,1)</f>
        <v>0.66666666666666663</v>
      </c>
      <c r="T29" s="1029">
        <v>100000</v>
      </c>
      <c r="U29" s="1026">
        <v>3</v>
      </c>
      <c r="V29" s="1027">
        <v>2</v>
      </c>
      <c r="W29" s="906">
        <f t="shared" ref="W29:W31" si="238">_xlfn.IFS(U29=0,0,V29&lt;=U29,V29/U29,V29&gt;U29,1)</f>
        <v>0.66666666666666663</v>
      </c>
      <c r="X29" s="1029">
        <v>100000</v>
      </c>
      <c r="Y29" s="1026">
        <v>3</v>
      </c>
      <c r="Z29" s="1027">
        <v>2</v>
      </c>
      <c r="AA29" s="906">
        <f t="shared" ref="AA29:AA31" si="239">_xlfn.IFS(Y29=0,0,Z29&lt;=Y29,Z29/Y29,Z29&gt;Y29,1)</f>
        <v>0.66666666666666663</v>
      </c>
      <c r="AB29" s="1029">
        <v>100000</v>
      </c>
      <c r="AC29" s="1026">
        <v>3</v>
      </c>
      <c r="AD29" s="1027">
        <v>2</v>
      </c>
      <c r="AE29" s="906">
        <f t="shared" ref="AE29:AE31" si="240">_xlfn.IFS(AC29=0,0,AD29&lt;=AC29,AD29/AC29,AD29&gt;AC29,1)</f>
        <v>0.66666666666666663</v>
      </c>
      <c r="AF29" s="1029">
        <v>100000</v>
      </c>
      <c r="AG29" s="1026">
        <v>3</v>
      </c>
      <c r="AH29" s="1027">
        <v>2</v>
      </c>
      <c r="AI29" s="906">
        <f t="shared" ref="AI29:AI31" si="241">_xlfn.IFS(AG29=0,0,AH29&lt;=AG29,AH29/AG29,AH29&gt;AG29,1)</f>
        <v>0.66666666666666663</v>
      </c>
      <c r="AJ29" s="1029">
        <v>100000</v>
      </c>
      <c r="AK29" s="1026">
        <v>3</v>
      </c>
      <c r="AL29" s="1027">
        <v>2</v>
      </c>
      <c r="AM29" s="906">
        <f t="shared" ref="AM29:AM31" si="242">_xlfn.IFS(AK29=0,0,AL29&lt;=AK29,AL29/AK29,AL29&gt;AK29,1)</f>
        <v>0.66666666666666663</v>
      </c>
      <c r="AN29" s="1029">
        <v>100000</v>
      </c>
      <c r="AO29" s="1026">
        <v>3</v>
      </c>
      <c r="AP29" s="1027">
        <v>2</v>
      </c>
      <c r="AQ29" s="906">
        <f t="shared" ref="AQ29:AQ31" si="243">_xlfn.IFS(AO29=0,0,AP29&lt;=AO29,AP29/AO29,AP29&gt;AO29,1)</f>
        <v>0.66666666666666663</v>
      </c>
      <c r="AR29" s="1029">
        <v>100000</v>
      </c>
      <c r="AS29" s="1026">
        <v>3</v>
      </c>
      <c r="AT29" s="1027">
        <v>2</v>
      </c>
      <c r="AU29" s="906">
        <f t="shared" ref="AU29:AU31" si="244">_xlfn.IFS(AS29=0,0,AT29&lt;=AS29,AT29/AS29,AT29&gt;AS29,1)</f>
        <v>0.66666666666666663</v>
      </c>
      <c r="AV29" s="1029">
        <v>100000</v>
      </c>
      <c r="AW29" s="1026">
        <v>3</v>
      </c>
      <c r="AX29" s="1027">
        <v>2</v>
      </c>
      <c r="AY29" s="906">
        <f t="shared" ref="AY29:AY31" si="245">_xlfn.IFS(AW29=0,0,AX29&lt;=AW29,AX29/AW29,AX29&gt;AW29,1)</f>
        <v>0.66666666666666663</v>
      </c>
      <c r="AZ29" s="1029">
        <v>100000</v>
      </c>
      <c r="BA29" s="1026">
        <v>3</v>
      </c>
      <c r="BB29" s="1027">
        <v>2</v>
      </c>
      <c r="BC29" s="906">
        <f t="shared" ref="BC29:BC31" si="246">_xlfn.IFS(BA29=0,0,BB29&lt;=BA29,BB29/BA29,BB29&gt;BA29,1)</f>
        <v>0.66666666666666663</v>
      </c>
      <c r="BD29" s="1029">
        <v>100000</v>
      </c>
      <c r="BE29" s="1026">
        <v>3</v>
      </c>
      <c r="BF29" s="1027">
        <v>2</v>
      </c>
      <c r="BG29" s="906">
        <f t="shared" ref="BG29:BG31" si="247">_xlfn.IFS(BE29=0,0,BF29&lt;=BE29,BF29/BE29,BF29&gt;BE29,1)</f>
        <v>0.66666666666666663</v>
      </c>
      <c r="BH29" s="1029">
        <v>100000</v>
      </c>
      <c r="BI29" s="1026">
        <v>3</v>
      </c>
      <c r="BJ29" s="1027">
        <v>2</v>
      </c>
      <c r="BK29" s="906">
        <f t="shared" ref="BK29:BK31" si="248">_xlfn.IFS(BI29=0,0,BJ29&lt;=BI29,BJ29/BI29,BJ29&gt;BI29,1)</f>
        <v>0.66666666666666663</v>
      </c>
      <c r="BL29" s="1029">
        <v>100000</v>
      </c>
      <c r="BM29" s="1026">
        <v>3</v>
      </c>
      <c r="BN29" s="1027">
        <v>2</v>
      </c>
      <c r="BO29" s="906">
        <f t="shared" ref="BO29:BO31" si="249">_xlfn.IFS(BM29=0,0,BN29&lt;=BM29,BN29/BM29,BN29&gt;BM29,1)</f>
        <v>0.66666666666666663</v>
      </c>
      <c r="BP29" s="1029">
        <v>100000</v>
      </c>
      <c r="BQ29" s="1026">
        <v>3</v>
      </c>
      <c r="BR29" s="1027">
        <v>2</v>
      </c>
      <c r="BS29" s="906">
        <f t="shared" ref="BS29:BS31" si="250">_xlfn.IFS(BQ29=0,0,BR29&lt;=BQ29,BR29/BQ29,BR29&gt;BQ29,1)</f>
        <v>0.66666666666666663</v>
      </c>
      <c r="BT29" s="1029">
        <v>100000</v>
      </c>
      <c r="BU29" s="1026">
        <v>3</v>
      </c>
      <c r="BV29" s="1027">
        <v>2</v>
      </c>
      <c r="BW29" s="906">
        <f t="shared" ref="BW29:BW31" si="251">_xlfn.IFS(BU29=0,0,BV29&lt;=BU29,BV29/BU29,BV29&gt;BU29,1)</f>
        <v>0.66666666666666663</v>
      </c>
      <c r="BX29" s="1029">
        <v>100000</v>
      </c>
      <c r="BY29" s="1026">
        <v>3</v>
      </c>
      <c r="BZ29" s="1027">
        <v>2</v>
      </c>
      <c r="CA29" s="906">
        <f t="shared" ref="CA29:CA31" si="252">_xlfn.IFS(BY29=0,0,BZ29&lt;=BY29,BZ29/BY29,BZ29&gt;BY29,1)</f>
        <v>0.66666666666666663</v>
      </c>
      <c r="CB29" s="1029">
        <v>100000</v>
      </c>
      <c r="CC29" s="1026">
        <v>3</v>
      </c>
      <c r="CD29" s="1027">
        <v>2</v>
      </c>
      <c r="CE29" s="906">
        <f t="shared" ref="CE29:CE31" si="253">_xlfn.IFS(CC29=0,0,CD29&lt;=CC29,CD29/CC29,CD29&gt;CC29,1)</f>
        <v>0.66666666666666663</v>
      </c>
      <c r="CF29" s="1029">
        <v>100000</v>
      </c>
      <c r="CG29" s="1026">
        <v>3</v>
      </c>
      <c r="CH29" s="1027">
        <v>2</v>
      </c>
      <c r="CI29" s="906">
        <f t="shared" ref="CI29:CI31" si="254">_xlfn.IFS(CG29=0,0,CH29&lt;=CG29,CH29/CG29,CH29&gt;CG29,1)</f>
        <v>0.66666666666666663</v>
      </c>
      <c r="CJ29" s="1029">
        <v>100000</v>
      </c>
      <c r="CK29" s="1026">
        <v>3</v>
      </c>
      <c r="CL29" s="1027">
        <v>2</v>
      </c>
      <c r="CM29" s="906">
        <f t="shared" ref="CM29:CM31" si="255">_xlfn.IFS(CK29=0,0,CL29&lt;=CK29,CL29/CK29,CL29&gt;CK29,1)</f>
        <v>0.66666666666666663</v>
      </c>
      <c r="CN29" s="1029">
        <v>100000</v>
      </c>
      <c r="CO29" s="1026">
        <v>3</v>
      </c>
      <c r="CP29" s="1027">
        <v>2</v>
      </c>
      <c r="CQ29" s="906">
        <f t="shared" ref="CQ29:CQ31" si="256">_xlfn.IFS(CO29=0,0,CP29&lt;=CO29,CP29/CO29,CP29&gt;CO29,1)</f>
        <v>0.66666666666666663</v>
      </c>
      <c r="CR29" s="1029">
        <v>100000</v>
      </c>
      <c r="CS29" s="1026">
        <v>3</v>
      </c>
      <c r="CT29" s="1027">
        <v>2</v>
      </c>
      <c r="CU29" s="906">
        <f t="shared" ref="CU29:CU31" si="257">_xlfn.IFS(CS29=0,0,CT29&lt;=CS29,CT29/CS29,CT29&gt;CS29,1)</f>
        <v>0.66666666666666663</v>
      </c>
      <c r="CV29" s="1029">
        <v>100000</v>
      </c>
      <c r="CW29" s="1026">
        <v>3</v>
      </c>
      <c r="CX29" s="1027">
        <v>2</v>
      </c>
      <c r="CY29" s="906">
        <f t="shared" ref="CY29:CY31" si="258">_xlfn.IFS(CW29=0,0,CX29&lt;=CW29,CX29/CW29,CX29&gt;CW29,1)</f>
        <v>0.66666666666666663</v>
      </c>
      <c r="CZ29" s="1029">
        <v>100000</v>
      </c>
      <c r="DA29" s="1026">
        <v>3</v>
      </c>
      <c r="DB29" s="1027">
        <v>2</v>
      </c>
      <c r="DC29" s="906">
        <f t="shared" ref="DC29:DC31" si="259">_xlfn.IFS(DA29=0,0,DB29&lt;=DA29,DB29/DA29,DB29&gt;DA29,1)</f>
        <v>0.66666666666666663</v>
      </c>
      <c r="DD29" s="1029">
        <v>100000</v>
      </c>
      <c r="DE29" s="1026">
        <v>3</v>
      </c>
      <c r="DF29" s="1027">
        <v>2</v>
      </c>
      <c r="DG29" s="906">
        <f t="shared" ref="DG29:DG31" si="260">_xlfn.IFS(DE29=0,0,DF29&lt;=DE29,DF29/DE29,DF29&gt;DE29,1)</f>
        <v>0.66666666666666663</v>
      </c>
      <c r="DH29" s="1029">
        <v>100000</v>
      </c>
      <c r="DI29" s="1026">
        <v>3</v>
      </c>
      <c r="DJ29" s="1027">
        <v>2</v>
      </c>
      <c r="DK29" s="906">
        <f t="shared" ref="DK29:DK31" si="261">_xlfn.IFS(DI29=0,0,DJ29&lt;=DI29,DJ29/DI29,DJ29&gt;DI29,1)</f>
        <v>0.66666666666666663</v>
      </c>
      <c r="DL29" s="1029">
        <v>100000</v>
      </c>
      <c r="DM29" s="1026">
        <v>3</v>
      </c>
      <c r="DN29" s="1027">
        <v>2</v>
      </c>
      <c r="DO29" s="906">
        <f t="shared" ref="DO29:DO31" si="262">_xlfn.IFS(DM29=0,0,DN29&lt;=DM29,DN29/DM29,DN29&gt;DM29,1)</f>
        <v>0.66666666666666663</v>
      </c>
      <c r="DP29" s="1029">
        <v>100000</v>
      </c>
      <c r="DQ29" s="1026">
        <v>3</v>
      </c>
      <c r="DR29" s="1027">
        <v>2</v>
      </c>
      <c r="DS29" s="906">
        <f t="shared" ref="DS29:DS31" si="263">_xlfn.IFS(DQ29=0,0,DR29&lt;=DQ29,DR29/DQ29,DR29&gt;DQ29,1)</f>
        <v>0.66666666666666663</v>
      </c>
      <c r="DT29" s="1029">
        <v>100000</v>
      </c>
      <c r="DU29" s="1026">
        <v>3</v>
      </c>
      <c r="DV29" s="1027">
        <v>2</v>
      </c>
      <c r="DW29" s="906">
        <f t="shared" ref="DW29:DW31" si="264">_xlfn.IFS(DU29=0,0,DV29&lt;=DU29,DV29/DU29,DV29&gt;DU29,1)</f>
        <v>0.66666666666666663</v>
      </c>
      <c r="DX29" s="1029">
        <v>100000</v>
      </c>
      <c r="DY29" s="1026">
        <v>3</v>
      </c>
      <c r="DZ29" s="1027">
        <v>2</v>
      </c>
      <c r="EA29" s="906">
        <f t="shared" ref="EA29:EA31" si="265">_xlfn.IFS(DY29=0,0,DZ29&lt;=DY29,DZ29/DY29,DZ29&gt;DY29,1)</f>
        <v>0.66666666666666663</v>
      </c>
      <c r="EB29" s="1029">
        <v>100000</v>
      </c>
      <c r="EC29" s="1026">
        <v>3</v>
      </c>
      <c r="ED29" s="1027">
        <v>2</v>
      </c>
      <c r="EE29" s="906">
        <f t="shared" ref="EE29:EE31" si="266">_xlfn.IFS(EC29=0,0,ED29&lt;=EC29,ED29/EC29,ED29&gt;EC29,1)</f>
        <v>0.66666666666666663</v>
      </c>
      <c r="EF29" s="1029">
        <v>100000</v>
      </c>
    </row>
    <row r="30" spans="1:136" ht="20" customHeight="1" x14ac:dyDescent="0.15">
      <c r="A30" s="189">
        <f t="shared" si="198"/>
        <v>0</v>
      </c>
      <c r="B30" s="947"/>
      <c r="C30" s="971" t="s">
        <v>137</v>
      </c>
      <c r="D30" s="851">
        <f>$D$26/5</f>
        <v>12500000</v>
      </c>
      <c r="E30" s="1082">
        <f t="shared" si="195"/>
        <v>3100000</v>
      </c>
      <c r="F30" s="610">
        <f t="shared" si="200"/>
        <v>-9400000</v>
      </c>
      <c r="G30" s="208">
        <f t="shared" si="201"/>
        <v>0.248</v>
      </c>
      <c r="H30" s="208">
        <f t="shared" si="234"/>
        <v>1</v>
      </c>
      <c r="I30" s="836"/>
      <c r="J30" s="1110">
        <f t="shared" ca="1" si="235"/>
        <v>0</v>
      </c>
      <c r="K30" s="851"/>
      <c r="L30" s="605">
        <f t="shared" ca="1" si="197"/>
        <v>0</v>
      </c>
      <c r="M30" s="1026">
        <v>5</v>
      </c>
      <c r="N30" s="1027">
        <v>5</v>
      </c>
      <c r="O30" s="906">
        <f t="shared" si="236"/>
        <v>1</v>
      </c>
      <c r="P30" s="1029">
        <v>100000</v>
      </c>
      <c r="Q30" s="1026">
        <v>5</v>
      </c>
      <c r="R30" s="1027">
        <v>5</v>
      </c>
      <c r="S30" s="906">
        <f t="shared" si="237"/>
        <v>1</v>
      </c>
      <c r="T30" s="1029">
        <v>100000</v>
      </c>
      <c r="U30" s="1026">
        <v>5</v>
      </c>
      <c r="V30" s="1027">
        <v>5</v>
      </c>
      <c r="W30" s="906">
        <f t="shared" si="238"/>
        <v>1</v>
      </c>
      <c r="X30" s="1029">
        <v>100000</v>
      </c>
      <c r="Y30" s="1026">
        <v>5</v>
      </c>
      <c r="Z30" s="1027">
        <v>5</v>
      </c>
      <c r="AA30" s="906">
        <f t="shared" si="239"/>
        <v>1</v>
      </c>
      <c r="AB30" s="1029">
        <v>100000</v>
      </c>
      <c r="AC30" s="1026">
        <v>5</v>
      </c>
      <c r="AD30" s="1027">
        <v>5</v>
      </c>
      <c r="AE30" s="906">
        <f t="shared" si="240"/>
        <v>1</v>
      </c>
      <c r="AF30" s="1029">
        <v>100000</v>
      </c>
      <c r="AG30" s="1026">
        <v>5</v>
      </c>
      <c r="AH30" s="1027">
        <v>5</v>
      </c>
      <c r="AI30" s="906">
        <f t="shared" si="241"/>
        <v>1</v>
      </c>
      <c r="AJ30" s="1029">
        <v>100000</v>
      </c>
      <c r="AK30" s="1026">
        <v>5</v>
      </c>
      <c r="AL30" s="1027">
        <v>5</v>
      </c>
      <c r="AM30" s="906">
        <f t="shared" si="242"/>
        <v>1</v>
      </c>
      <c r="AN30" s="1029">
        <v>100000</v>
      </c>
      <c r="AO30" s="1026">
        <v>5</v>
      </c>
      <c r="AP30" s="1027">
        <v>5</v>
      </c>
      <c r="AQ30" s="906">
        <f t="shared" si="243"/>
        <v>1</v>
      </c>
      <c r="AR30" s="1029">
        <v>100000</v>
      </c>
      <c r="AS30" s="1026">
        <v>5</v>
      </c>
      <c r="AT30" s="1027">
        <v>5</v>
      </c>
      <c r="AU30" s="906">
        <f t="shared" si="244"/>
        <v>1</v>
      </c>
      <c r="AV30" s="1029">
        <v>100000</v>
      </c>
      <c r="AW30" s="1026">
        <v>5</v>
      </c>
      <c r="AX30" s="1027">
        <v>5</v>
      </c>
      <c r="AY30" s="906">
        <f t="shared" si="245"/>
        <v>1</v>
      </c>
      <c r="AZ30" s="1029">
        <v>100000</v>
      </c>
      <c r="BA30" s="1026">
        <v>5</v>
      </c>
      <c r="BB30" s="1027">
        <v>5</v>
      </c>
      <c r="BC30" s="906">
        <f t="shared" si="246"/>
        <v>1</v>
      </c>
      <c r="BD30" s="1029">
        <v>100000</v>
      </c>
      <c r="BE30" s="1026">
        <v>5</v>
      </c>
      <c r="BF30" s="1027">
        <v>5</v>
      </c>
      <c r="BG30" s="906">
        <f t="shared" si="247"/>
        <v>1</v>
      </c>
      <c r="BH30" s="1029">
        <v>100000</v>
      </c>
      <c r="BI30" s="1026">
        <v>5</v>
      </c>
      <c r="BJ30" s="1027">
        <v>5</v>
      </c>
      <c r="BK30" s="906">
        <f t="shared" si="248"/>
        <v>1</v>
      </c>
      <c r="BL30" s="1029">
        <v>100000</v>
      </c>
      <c r="BM30" s="1026">
        <v>5</v>
      </c>
      <c r="BN30" s="1027">
        <v>5</v>
      </c>
      <c r="BO30" s="906">
        <f t="shared" si="249"/>
        <v>1</v>
      </c>
      <c r="BP30" s="1029">
        <v>100000</v>
      </c>
      <c r="BQ30" s="1026">
        <v>5</v>
      </c>
      <c r="BR30" s="1027">
        <v>5</v>
      </c>
      <c r="BS30" s="906">
        <f t="shared" si="250"/>
        <v>1</v>
      </c>
      <c r="BT30" s="1029">
        <v>100000</v>
      </c>
      <c r="BU30" s="1026">
        <v>5</v>
      </c>
      <c r="BV30" s="1027">
        <v>5</v>
      </c>
      <c r="BW30" s="906">
        <f t="shared" si="251"/>
        <v>1</v>
      </c>
      <c r="BX30" s="1029">
        <v>100000</v>
      </c>
      <c r="BY30" s="1026">
        <v>5</v>
      </c>
      <c r="BZ30" s="1027">
        <v>5</v>
      </c>
      <c r="CA30" s="906">
        <f t="shared" si="252"/>
        <v>1</v>
      </c>
      <c r="CB30" s="1029">
        <v>100000</v>
      </c>
      <c r="CC30" s="1026">
        <v>5</v>
      </c>
      <c r="CD30" s="1027">
        <v>5</v>
      </c>
      <c r="CE30" s="906">
        <f t="shared" si="253"/>
        <v>1</v>
      </c>
      <c r="CF30" s="1029">
        <v>100000</v>
      </c>
      <c r="CG30" s="1026">
        <v>5</v>
      </c>
      <c r="CH30" s="1027">
        <v>5</v>
      </c>
      <c r="CI30" s="906">
        <f t="shared" si="254"/>
        <v>1</v>
      </c>
      <c r="CJ30" s="1029">
        <v>100000</v>
      </c>
      <c r="CK30" s="1026">
        <v>5</v>
      </c>
      <c r="CL30" s="1027">
        <v>5</v>
      </c>
      <c r="CM30" s="906">
        <f t="shared" si="255"/>
        <v>1</v>
      </c>
      <c r="CN30" s="1029">
        <v>100000</v>
      </c>
      <c r="CO30" s="1026">
        <v>5</v>
      </c>
      <c r="CP30" s="1027">
        <v>5</v>
      </c>
      <c r="CQ30" s="906">
        <f t="shared" si="256"/>
        <v>1</v>
      </c>
      <c r="CR30" s="1029">
        <v>100000</v>
      </c>
      <c r="CS30" s="1026">
        <v>5</v>
      </c>
      <c r="CT30" s="1027">
        <v>5</v>
      </c>
      <c r="CU30" s="906">
        <f t="shared" si="257"/>
        <v>1</v>
      </c>
      <c r="CV30" s="1029">
        <v>100000</v>
      </c>
      <c r="CW30" s="1026">
        <v>5</v>
      </c>
      <c r="CX30" s="1027">
        <v>5</v>
      </c>
      <c r="CY30" s="906">
        <f t="shared" si="258"/>
        <v>1</v>
      </c>
      <c r="CZ30" s="1029">
        <v>100000</v>
      </c>
      <c r="DA30" s="1026">
        <v>5</v>
      </c>
      <c r="DB30" s="1027">
        <v>5</v>
      </c>
      <c r="DC30" s="906">
        <f t="shared" si="259"/>
        <v>1</v>
      </c>
      <c r="DD30" s="1029">
        <v>100000</v>
      </c>
      <c r="DE30" s="1026">
        <v>5</v>
      </c>
      <c r="DF30" s="1027">
        <v>5</v>
      </c>
      <c r="DG30" s="906">
        <f t="shared" si="260"/>
        <v>1</v>
      </c>
      <c r="DH30" s="1029">
        <v>100000</v>
      </c>
      <c r="DI30" s="1026">
        <v>5</v>
      </c>
      <c r="DJ30" s="1027">
        <v>5</v>
      </c>
      <c r="DK30" s="906">
        <f t="shared" si="261"/>
        <v>1</v>
      </c>
      <c r="DL30" s="1029">
        <v>100000</v>
      </c>
      <c r="DM30" s="1026">
        <v>5</v>
      </c>
      <c r="DN30" s="1027">
        <v>5</v>
      </c>
      <c r="DO30" s="906">
        <f t="shared" si="262"/>
        <v>1</v>
      </c>
      <c r="DP30" s="1029">
        <v>100000</v>
      </c>
      <c r="DQ30" s="1026">
        <v>5</v>
      </c>
      <c r="DR30" s="1027">
        <v>5</v>
      </c>
      <c r="DS30" s="906">
        <f t="shared" si="263"/>
        <v>1</v>
      </c>
      <c r="DT30" s="1029">
        <v>100000</v>
      </c>
      <c r="DU30" s="1026">
        <v>5</v>
      </c>
      <c r="DV30" s="1027">
        <v>5</v>
      </c>
      <c r="DW30" s="906">
        <f t="shared" si="264"/>
        <v>1</v>
      </c>
      <c r="DX30" s="1029">
        <v>100000</v>
      </c>
      <c r="DY30" s="1026">
        <v>5</v>
      </c>
      <c r="DZ30" s="1027">
        <v>5</v>
      </c>
      <c r="EA30" s="906">
        <f t="shared" si="265"/>
        <v>1</v>
      </c>
      <c r="EB30" s="1029">
        <v>100000</v>
      </c>
      <c r="EC30" s="1026">
        <v>5</v>
      </c>
      <c r="ED30" s="1027">
        <v>5</v>
      </c>
      <c r="EE30" s="906">
        <f t="shared" si="266"/>
        <v>1</v>
      </c>
      <c r="EF30" s="1029">
        <v>100000</v>
      </c>
    </row>
    <row r="31" spans="1:136" ht="20" customHeight="1" x14ac:dyDescent="0.15">
      <c r="A31" s="189">
        <f t="shared" si="198"/>
        <v>0</v>
      </c>
      <c r="B31" s="947"/>
      <c r="C31" s="971" t="s">
        <v>138</v>
      </c>
      <c r="D31" s="851">
        <f>$D$26/5</f>
        <v>12500000</v>
      </c>
      <c r="E31" s="1082">
        <f t="shared" si="195"/>
        <v>3100000</v>
      </c>
      <c r="F31" s="610">
        <f t="shared" si="200"/>
        <v>-9400000</v>
      </c>
      <c r="G31" s="208">
        <f t="shared" si="201"/>
        <v>0.248</v>
      </c>
      <c r="H31" s="208">
        <f>IF(SUMIF(M$13:EF$13,$O$13,M31:EF31)&gt;0,AVERAGEIFS(M31:EF31,M31:EF31,"&gt;0",M$13:EF$13,$O$13),"NO NEW ORDER")</f>
        <v>1</v>
      </c>
      <c r="I31" s="836"/>
      <c r="J31" s="1110">
        <f t="shared" ca="1" si="235"/>
        <v>0</v>
      </c>
      <c r="K31" s="851"/>
      <c r="L31" s="605">
        <f t="shared" ca="1" si="197"/>
        <v>0</v>
      </c>
      <c r="M31" s="1026">
        <v>2</v>
      </c>
      <c r="N31" s="1027">
        <v>2</v>
      </c>
      <c r="O31" s="906">
        <f t="shared" si="236"/>
        <v>1</v>
      </c>
      <c r="P31" s="1029">
        <v>100000</v>
      </c>
      <c r="Q31" s="1026">
        <v>2</v>
      </c>
      <c r="R31" s="1027">
        <v>2</v>
      </c>
      <c r="S31" s="906">
        <f t="shared" si="237"/>
        <v>1</v>
      </c>
      <c r="T31" s="1029">
        <v>100000</v>
      </c>
      <c r="U31" s="1026">
        <v>2</v>
      </c>
      <c r="V31" s="1027">
        <v>2</v>
      </c>
      <c r="W31" s="906">
        <f t="shared" si="238"/>
        <v>1</v>
      </c>
      <c r="X31" s="1029">
        <v>100000</v>
      </c>
      <c r="Y31" s="1026">
        <v>2</v>
      </c>
      <c r="Z31" s="1027">
        <v>2</v>
      </c>
      <c r="AA31" s="906">
        <f t="shared" si="239"/>
        <v>1</v>
      </c>
      <c r="AB31" s="1029">
        <v>100000</v>
      </c>
      <c r="AC31" s="1026">
        <v>2</v>
      </c>
      <c r="AD31" s="1027">
        <v>2</v>
      </c>
      <c r="AE31" s="906">
        <f t="shared" si="240"/>
        <v>1</v>
      </c>
      <c r="AF31" s="1029">
        <v>100000</v>
      </c>
      <c r="AG31" s="1026">
        <v>2</v>
      </c>
      <c r="AH31" s="1027">
        <v>2</v>
      </c>
      <c r="AI31" s="906">
        <f t="shared" si="241"/>
        <v>1</v>
      </c>
      <c r="AJ31" s="1029">
        <v>100000</v>
      </c>
      <c r="AK31" s="1026">
        <v>2</v>
      </c>
      <c r="AL31" s="1027">
        <v>2</v>
      </c>
      <c r="AM31" s="906">
        <f t="shared" si="242"/>
        <v>1</v>
      </c>
      <c r="AN31" s="1029">
        <v>100000</v>
      </c>
      <c r="AO31" s="1026">
        <v>2</v>
      </c>
      <c r="AP31" s="1027">
        <v>2</v>
      </c>
      <c r="AQ31" s="906">
        <f t="shared" si="243"/>
        <v>1</v>
      </c>
      <c r="AR31" s="1029">
        <v>100000</v>
      </c>
      <c r="AS31" s="1026">
        <v>2</v>
      </c>
      <c r="AT31" s="1027">
        <v>2</v>
      </c>
      <c r="AU31" s="906">
        <f t="shared" si="244"/>
        <v>1</v>
      </c>
      <c r="AV31" s="1029">
        <v>100000</v>
      </c>
      <c r="AW31" s="1026">
        <v>2</v>
      </c>
      <c r="AX31" s="1027">
        <v>2</v>
      </c>
      <c r="AY31" s="906">
        <f t="shared" si="245"/>
        <v>1</v>
      </c>
      <c r="AZ31" s="1029">
        <v>100000</v>
      </c>
      <c r="BA31" s="1026">
        <v>2</v>
      </c>
      <c r="BB31" s="1027">
        <v>2</v>
      </c>
      <c r="BC31" s="906">
        <f t="shared" si="246"/>
        <v>1</v>
      </c>
      <c r="BD31" s="1029">
        <v>100000</v>
      </c>
      <c r="BE31" s="1026">
        <v>2</v>
      </c>
      <c r="BF31" s="1027">
        <v>2</v>
      </c>
      <c r="BG31" s="906">
        <f t="shared" si="247"/>
        <v>1</v>
      </c>
      <c r="BH31" s="1029">
        <v>100000</v>
      </c>
      <c r="BI31" s="1026">
        <v>2</v>
      </c>
      <c r="BJ31" s="1027">
        <v>2</v>
      </c>
      <c r="BK31" s="906">
        <f t="shared" si="248"/>
        <v>1</v>
      </c>
      <c r="BL31" s="1029">
        <v>100000</v>
      </c>
      <c r="BM31" s="1026">
        <v>2</v>
      </c>
      <c r="BN31" s="1027">
        <v>2</v>
      </c>
      <c r="BO31" s="906">
        <f t="shared" si="249"/>
        <v>1</v>
      </c>
      <c r="BP31" s="1029">
        <v>100000</v>
      </c>
      <c r="BQ31" s="1026">
        <v>2</v>
      </c>
      <c r="BR31" s="1027">
        <v>2</v>
      </c>
      <c r="BS31" s="906">
        <f t="shared" si="250"/>
        <v>1</v>
      </c>
      <c r="BT31" s="1029">
        <v>100000</v>
      </c>
      <c r="BU31" s="1026">
        <v>2</v>
      </c>
      <c r="BV31" s="1027">
        <v>2</v>
      </c>
      <c r="BW31" s="906">
        <f t="shared" si="251"/>
        <v>1</v>
      </c>
      <c r="BX31" s="1029">
        <v>100000</v>
      </c>
      <c r="BY31" s="1026">
        <v>2</v>
      </c>
      <c r="BZ31" s="1027">
        <v>2</v>
      </c>
      <c r="CA31" s="906">
        <f t="shared" si="252"/>
        <v>1</v>
      </c>
      <c r="CB31" s="1029">
        <v>100000</v>
      </c>
      <c r="CC31" s="1026">
        <v>2</v>
      </c>
      <c r="CD31" s="1027">
        <v>2</v>
      </c>
      <c r="CE31" s="906">
        <f t="shared" si="253"/>
        <v>1</v>
      </c>
      <c r="CF31" s="1029">
        <v>100000</v>
      </c>
      <c r="CG31" s="1026">
        <v>2</v>
      </c>
      <c r="CH31" s="1027">
        <v>2</v>
      </c>
      <c r="CI31" s="906">
        <f t="shared" si="254"/>
        <v>1</v>
      </c>
      <c r="CJ31" s="1029">
        <v>100000</v>
      </c>
      <c r="CK31" s="1026">
        <v>2</v>
      </c>
      <c r="CL31" s="1027">
        <v>2</v>
      </c>
      <c r="CM31" s="906">
        <f t="shared" si="255"/>
        <v>1</v>
      </c>
      <c r="CN31" s="1029">
        <v>100000</v>
      </c>
      <c r="CO31" s="1026">
        <v>2</v>
      </c>
      <c r="CP31" s="1027">
        <v>2</v>
      </c>
      <c r="CQ31" s="906">
        <f t="shared" si="256"/>
        <v>1</v>
      </c>
      <c r="CR31" s="1029">
        <v>100000</v>
      </c>
      <c r="CS31" s="1026">
        <v>2</v>
      </c>
      <c r="CT31" s="1027">
        <v>2</v>
      </c>
      <c r="CU31" s="906">
        <f t="shared" si="257"/>
        <v>1</v>
      </c>
      <c r="CV31" s="1029">
        <v>100000</v>
      </c>
      <c r="CW31" s="1026">
        <v>2</v>
      </c>
      <c r="CX31" s="1027">
        <v>2</v>
      </c>
      <c r="CY31" s="906">
        <f t="shared" si="258"/>
        <v>1</v>
      </c>
      <c r="CZ31" s="1029">
        <v>100000</v>
      </c>
      <c r="DA31" s="1026">
        <v>2</v>
      </c>
      <c r="DB31" s="1027">
        <v>2</v>
      </c>
      <c r="DC31" s="906">
        <f t="shared" si="259"/>
        <v>1</v>
      </c>
      <c r="DD31" s="1029">
        <v>100000</v>
      </c>
      <c r="DE31" s="1026">
        <v>2</v>
      </c>
      <c r="DF31" s="1027">
        <v>2</v>
      </c>
      <c r="DG31" s="906">
        <f t="shared" si="260"/>
        <v>1</v>
      </c>
      <c r="DH31" s="1029">
        <v>100000</v>
      </c>
      <c r="DI31" s="1026">
        <v>2</v>
      </c>
      <c r="DJ31" s="1027">
        <v>2</v>
      </c>
      <c r="DK31" s="906">
        <f t="shared" si="261"/>
        <v>1</v>
      </c>
      <c r="DL31" s="1029">
        <v>100000</v>
      </c>
      <c r="DM31" s="1026">
        <v>2</v>
      </c>
      <c r="DN31" s="1027">
        <v>2</v>
      </c>
      <c r="DO31" s="906">
        <f t="shared" si="262"/>
        <v>1</v>
      </c>
      <c r="DP31" s="1029">
        <v>100000</v>
      </c>
      <c r="DQ31" s="1026">
        <v>2</v>
      </c>
      <c r="DR31" s="1027">
        <v>2</v>
      </c>
      <c r="DS31" s="906">
        <f t="shared" si="263"/>
        <v>1</v>
      </c>
      <c r="DT31" s="1029">
        <v>100000</v>
      </c>
      <c r="DU31" s="1026">
        <v>2</v>
      </c>
      <c r="DV31" s="1027">
        <v>2</v>
      </c>
      <c r="DW31" s="906">
        <f t="shared" si="264"/>
        <v>1</v>
      </c>
      <c r="DX31" s="1029">
        <v>100000</v>
      </c>
      <c r="DY31" s="1026">
        <v>2</v>
      </c>
      <c r="DZ31" s="1027">
        <v>2</v>
      </c>
      <c r="EA31" s="906">
        <f t="shared" si="265"/>
        <v>1</v>
      </c>
      <c r="EB31" s="1029">
        <v>100000</v>
      </c>
      <c r="EC31" s="1026">
        <v>2</v>
      </c>
      <c r="ED31" s="1027">
        <v>2</v>
      </c>
      <c r="EE31" s="906">
        <f t="shared" si="266"/>
        <v>1</v>
      </c>
      <c r="EF31" s="1029">
        <v>100000</v>
      </c>
    </row>
    <row r="32" spans="1:136" ht="20" customHeight="1" x14ac:dyDescent="0.15">
      <c r="A32" s="870">
        <f t="shared" si="198"/>
        <v>0</v>
      </c>
      <c r="B32" s="948"/>
      <c r="C32" s="883" t="str">
        <f>Dashboard!K98</f>
        <v>WEBSITE</v>
      </c>
      <c r="D32" s="686">
        <f>Dashboard!AC98</f>
        <v>12500000</v>
      </c>
      <c r="E32" s="1065">
        <f>SUMIF($M$13:$EF$13,$P$13,$M32:$EF32)</f>
        <v>17050000</v>
      </c>
      <c r="F32" s="686">
        <f>E32-D32</f>
        <v>4550000</v>
      </c>
      <c r="G32" s="788">
        <f>_xlfn.IFS(F32&gt;0,1,F32&lt;=0,E32/D32)</f>
        <v>1</v>
      </c>
      <c r="H32" s="788">
        <f>IF(SUMIF(M$13:EF$13,$O$13,M32:EF32)&gt;0,AVERAGEIFS(M32:EF32,M32:EF32,"&gt;0",M$13:EF$13,$O$13),"NO NEW ORDER")</f>
        <v>0.41666666666666652</v>
      </c>
      <c r="I32" s="788">
        <f>Dashboard!M119</f>
        <v>0.16041666666666665</v>
      </c>
      <c r="J32" s="788">
        <f ca="1">IF(SUM(J33:J34)&gt;0,AVERAGEIF(J33:J34,"&gt;0"),0)</f>
        <v>0</v>
      </c>
      <c r="K32" s="686">
        <f>D32/'Action Plan'!$C$6</f>
        <v>480769.23076923075</v>
      </c>
      <c r="L32" s="933">
        <f ca="1">SUMIFS($M32:$EF32,$M$11:$EF$11,TODAY()-1,$M$13:$EF$13,P$13)</f>
        <v>0</v>
      </c>
      <c r="M32" s="899">
        <f>SUM(M33:M34)</f>
        <v>7</v>
      </c>
      <c r="N32" s="904">
        <f>SUM(N33:N34)</f>
        <v>3</v>
      </c>
      <c r="O32" s="788">
        <f>IF(SUM(O33:O34)&gt;0,AVERAGEIF(O33:O34,"&gt;0"),0)</f>
        <v>0.41666666666666663</v>
      </c>
      <c r="P32" s="891">
        <f>SUM(P33:P34)</f>
        <v>550000</v>
      </c>
      <c r="Q32" s="899">
        <f>SUM(Q33:Q34)</f>
        <v>7</v>
      </c>
      <c r="R32" s="904">
        <f>SUM(R33:R34)</f>
        <v>3</v>
      </c>
      <c r="S32" s="788">
        <f>IF(SUM(S33:S34)&gt;0,AVERAGEIF(S33:S34,"&gt;0"),0)</f>
        <v>0.41666666666666663</v>
      </c>
      <c r="T32" s="891">
        <f>SUM(T33:T34)</f>
        <v>550000</v>
      </c>
      <c r="U32" s="899">
        <f>SUM(U33:U34)</f>
        <v>7</v>
      </c>
      <c r="V32" s="904">
        <f>SUM(V33:V34)</f>
        <v>3</v>
      </c>
      <c r="W32" s="788">
        <f>IF(SUM(W33:W34)&gt;0,AVERAGEIF(W33:W34,"&gt;0"),0)</f>
        <v>0.41666666666666663</v>
      </c>
      <c r="X32" s="891">
        <f>SUM(X33:X34)</f>
        <v>550000</v>
      </c>
      <c r="Y32" s="899">
        <f>SUM(Y33:Y34)</f>
        <v>7</v>
      </c>
      <c r="Z32" s="904">
        <f>SUM(Z33:Z34)</f>
        <v>3</v>
      </c>
      <c r="AA32" s="788">
        <f>IF(SUM(AA33:AA34)&gt;0,AVERAGEIF(AA33:AA34,"&gt;0"),0)</f>
        <v>0.41666666666666663</v>
      </c>
      <c r="AB32" s="891">
        <f>SUM(AB33:AB34)</f>
        <v>550000</v>
      </c>
      <c r="AC32" s="899">
        <f>SUM(AC33:AC34)</f>
        <v>7</v>
      </c>
      <c r="AD32" s="904">
        <f>SUM(AD33:AD34)</f>
        <v>3</v>
      </c>
      <c r="AE32" s="788">
        <f>IF(SUM(AE33:AE34)&gt;0,AVERAGEIF(AE33:AE34,"&gt;0"),0)</f>
        <v>0.41666666666666663</v>
      </c>
      <c r="AF32" s="891">
        <f>SUM(AF33:AF34)</f>
        <v>550000</v>
      </c>
      <c r="AG32" s="899">
        <f>SUM(AG33:AG34)</f>
        <v>7</v>
      </c>
      <c r="AH32" s="904">
        <f>SUM(AH33:AH34)</f>
        <v>3</v>
      </c>
      <c r="AI32" s="788">
        <f>IF(SUM(AI33:AI34)&gt;0,AVERAGEIF(AI33:AI34,"&gt;0"),0)</f>
        <v>0.41666666666666663</v>
      </c>
      <c r="AJ32" s="891">
        <f>SUM(AJ33:AJ34)</f>
        <v>550000</v>
      </c>
      <c r="AK32" s="899">
        <f>SUM(AK33:AK34)</f>
        <v>7</v>
      </c>
      <c r="AL32" s="904">
        <f>SUM(AL33:AL34)</f>
        <v>3</v>
      </c>
      <c r="AM32" s="788">
        <f>IF(SUM(AM33:AM34)&gt;0,AVERAGEIF(AM33:AM34,"&gt;0"),0)</f>
        <v>0.41666666666666663</v>
      </c>
      <c r="AN32" s="891">
        <f>SUM(AN33:AN34)</f>
        <v>550000</v>
      </c>
      <c r="AO32" s="899">
        <f>SUM(AO33:AO34)</f>
        <v>7</v>
      </c>
      <c r="AP32" s="904">
        <f>SUM(AP33:AP34)</f>
        <v>3</v>
      </c>
      <c r="AQ32" s="788">
        <f>IF(SUM(AQ33:AQ34)&gt;0,AVERAGEIF(AQ33:AQ34,"&gt;0"),0)</f>
        <v>0.41666666666666663</v>
      </c>
      <c r="AR32" s="891">
        <f>SUM(AR33:AR34)</f>
        <v>550000</v>
      </c>
      <c r="AS32" s="899">
        <f>SUM(AS33:AS34)</f>
        <v>7</v>
      </c>
      <c r="AT32" s="904">
        <f>SUM(AT33:AT34)</f>
        <v>3</v>
      </c>
      <c r="AU32" s="788">
        <f>IF(SUM(AU33:AU34)&gt;0,AVERAGEIF(AU33:AU34,"&gt;0"),0)</f>
        <v>0.41666666666666663</v>
      </c>
      <c r="AV32" s="891">
        <f>SUM(AV33:AV34)</f>
        <v>550000</v>
      </c>
      <c r="AW32" s="899">
        <f>SUM(AW33:AW34)</f>
        <v>7</v>
      </c>
      <c r="AX32" s="904">
        <f>SUM(AX33:AX34)</f>
        <v>3</v>
      </c>
      <c r="AY32" s="788">
        <f>IF(SUM(AY33:AY34)&gt;0,AVERAGEIF(AY33:AY34,"&gt;0"),0)</f>
        <v>0.41666666666666663</v>
      </c>
      <c r="AZ32" s="891">
        <f>SUM(AZ33:AZ34)</f>
        <v>550000</v>
      </c>
      <c r="BA32" s="899">
        <f>SUM(BA33:BA34)</f>
        <v>7</v>
      </c>
      <c r="BB32" s="904">
        <f>SUM(BB33:BB34)</f>
        <v>3</v>
      </c>
      <c r="BC32" s="788">
        <f>IF(SUM(BC33:BC34)&gt;0,AVERAGEIF(BC33:BC34,"&gt;0"),0)</f>
        <v>0.41666666666666663</v>
      </c>
      <c r="BD32" s="891">
        <f>SUM(BD33:BD34)</f>
        <v>550000</v>
      </c>
      <c r="BE32" s="899">
        <f>SUM(BE33:BE34)</f>
        <v>7</v>
      </c>
      <c r="BF32" s="904">
        <f>SUM(BF33:BF34)</f>
        <v>3</v>
      </c>
      <c r="BG32" s="788">
        <f>IF(SUM(BG33:BG34)&gt;0,AVERAGEIF(BG33:BG34,"&gt;0"),0)</f>
        <v>0.41666666666666663</v>
      </c>
      <c r="BH32" s="891">
        <f>SUM(BH33:BH34)</f>
        <v>550000</v>
      </c>
      <c r="BI32" s="899">
        <f>SUM(BI33:BI34)</f>
        <v>7</v>
      </c>
      <c r="BJ32" s="904">
        <f>SUM(BJ33:BJ34)</f>
        <v>3</v>
      </c>
      <c r="BK32" s="788">
        <f>IF(SUM(BK33:BK34)&gt;0,AVERAGEIF(BK33:BK34,"&gt;0"),0)</f>
        <v>0.41666666666666663</v>
      </c>
      <c r="BL32" s="891">
        <f>SUM(BL33:BL34)</f>
        <v>550000</v>
      </c>
      <c r="BM32" s="899">
        <f>SUM(BM33:BM34)</f>
        <v>7</v>
      </c>
      <c r="BN32" s="904">
        <f>SUM(BN33:BN34)</f>
        <v>3</v>
      </c>
      <c r="BO32" s="788">
        <f>IF(SUM(BO33:BO34)&gt;0,AVERAGEIF(BO33:BO34,"&gt;0"),0)</f>
        <v>0.41666666666666663</v>
      </c>
      <c r="BP32" s="891">
        <f>SUM(BP33:BP34)</f>
        <v>550000</v>
      </c>
      <c r="BQ32" s="899">
        <f>SUM(BQ33:BQ34)</f>
        <v>7</v>
      </c>
      <c r="BR32" s="904">
        <f>SUM(BR33:BR34)</f>
        <v>3</v>
      </c>
      <c r="BS32" s="788">
        <f>IF(SUM(BS33:BS34)&gt;0,AVERAGEIF(BS33:BS34,"&gt;0"),0)</f>
        <v>0.41666666666666663</v>
      </c>
      <c r="BT32" s="891">
        <f>SUM(BT33:BT34)</f>
        <v>550000</v>
      </c>
      <c r="BU32" s="899">
        <f>SUM(BU33:BU34)</f>
        <v>7</v>
      </c>
      <c r="BV32" s="904">
        <f>SUM(BV33:BV34)</f>
        <v>3</v>
      </c>
      <c r="BW32" s="788">
        <f>IF(SUM(BW33:BW34)&gt;0,AVERAGEIF(BW33:BW34,"&gt;0"),0)</f>
        <v>0.41666666666666663</v>
      </c>
      <c r="BX32" s="891">
        <f>SUM(BX33:BX34)</f>
        <v>550000</v>
      </c>
      <c r="BY32" s="899">
        <f>SUM(BY33:BY34)</f>
        <v>7</v>
      </c>
      <c r="BZ32" s="904">
        <f>SUM(BZ33:BZ34)</f>
        <v>3</v>
      </c>
      <c r="CA32" s="788">
        <f>IF(SUM(CA33:CA34)&gt;0,AVERAGEIF(CA33:CA34,"&gt;0"),0)</f>
        <v>0.41666666666666663</v>
      </c>
      <c r="CB32" s="891">
        <f>SUM(CB33:CB34)</f>
        <v>550000</v>
      </c>
      <c r="CC32" s="899">
        <f>SUM(CC33:CC34)</f>
        <v>7</v>
      </c>
      <c r="CD32" s="904">
        <f>SUM(CD33:CD34)</f>
        <v>3</v>
      </c>
      <c r="CE32" s="788">
        <f>IF(SUM(CE33:CE34)&gt;0,AVERAGEIF(CE33:CE34,"&gt;0"),0)</f>
        <v>0.41666666666666663</v>
      </c>
      <c r="CF32" s="891">
        <f>SUM(CF33:CF34)</f>
        <v>550000</v>
      </c>
      <c r="CG32" s="899">
        <f>SUM(CG33:CG34)</f>
        <v>7</v>
      </c>
      <c r="CH32" s="904">
        <f>SUM(CH33:CH34)</f>
        <v>3</v>
      </c>
      <c r="CI32" s="788">
        <f>IF(SUM(CI33:CI34)&gt;0,AVERAGEIF(CI33:CI34,"&gt;0"),0)</f>
        <v>0.41666666666666663</v>
      </c>
      <c r="CJ32" s="891">
        <f>SUM(CJ33:CJ34)</f>
        <v>550000</v>
      </c>
      <c r="CK32" s="899">
        <f>SUM(CK33:CK34)</f>
        <v>7</v>
      </c>
      <c r="CL32" s="904">
        <f>SUM(CL33:CL34)</f>
        <v>3</v>
      </c>
      <c r="CM32" s="788">
        <f>IF(SUM(CM33:CM34)&gt;0,AVERAGEIF(CM33:CM34,"&gt;0"),0)</f>
        <v>0.41666666666666663</v>
      </c>
      <c r="CN32" s="891">
        <f>SUM(CN33:CN34)</f>
        <v>550000</v>
      </c>
      <c r="CO32" s="899">
        <f>SUM(CO33:CO34)</f>
        <v>7</v>
      </c>
      <c r="CP32" s="904">
        <f>SUM(CP33:CP34)</f>
        <v>3</v>
      </c>
      <c r="CQ32" s="788">
        <f>IF(SUM(CQ33:CQ34)&gt;0,AVERAGEIF(CQ33:CQ34,"&gt;0"),0)</f>
        <v>0.41666666666666663</v>
      </c>
      <c r="CR32" s="891">
        <f>SUM(CR33:CR34)</f>
        <v>550000</v>
      </c>
      <c r="CS32" s="899">
        <f>SUM(CS33:CS34)</f>
        <v>7</v>
      </c>
      <c r="CT32" s="904">
        <f>SUM(CT33:CT34)</f>
        <v>3</v>
      </c>
      <c r="CU32" s="788">
        <f>IF(SUM(CU33:CU34)&gt;0,AVERAGEIF(CU33:CU34,"&gt;0"),0)</f>
        <v>0.41666666666666663</v>
      </c>
      <c r="CV32" s="891">
        <f>SUM(CV33:CV34)</f>
        <v>550000</v>
      </c>
      <c r="CW32" s="899">
        <f>SUM(CW33:CW34)</f>
        <v>7</v>
      </c>
      <c r="CX32" s="904">
        <f>SUM(CX33:CX34)</f>
        <v>3</v>
      </c>
      <c r="CY32" s="788">
        <f>IF(SUM(CY33:CY34)&gt;0,AVERAGEIF(CY33:CY34,"&gt;0"),0)</f>
        <v>0.41666666666666663</v>
      </c>
      <c r="CZ32" s="891">
        <f>SUM(CZ33:CZ34)</f>
        <v>550000</v>
      </c>
      <c r="DA32" s="899">
        <f>SUM(DA33:DA34)</f>
        <v>7</v>
      </c>
      <c r="DB32" s="904">
        <f>SUM(DB33:DB34)</f>
        <v>3</v>
      </c>
      <c r="DC32" s="788">
        <f>IF(SUM(DC33:DC34)&gt;0,AVERAGEIF(DC33:DC34,"&gt;0"),0)</f>
        <v>0.41666666666666663</v>
      </c>
      <c r="DD32" s="891">
        <f>SUM(DD33:DD34)</f>
        <v>550000</v>
      </c>
      <c r="DE32" s="899">
        <f>SUM(DE33:DE34)</f>
        <v>7</v>
      </c>
      <c r="DF32" s="904">
        <f>SUM(DF33:DF34)</f>
        <v>3</v>
      </c>
      <c r="DG32" s="788">
        <f>IF(SUM(DG33:DG34)&gt;0,AVERAGEIF(DG33:DG34,"&gt;0"),0)</f>
        <v>0.41666666666666663</v>
      </c>
      <c r="DH32" s="891">
        <f>SUM(DH33:DH34)</f>
        <v>550000</v>
      </c>
      <c r="DI32" s="899">
        <f>SUM(DI33:DI34)</f>
        <v>7</v>
      </c>
      <c r="DJ32" s="904">
        <f>SUM(DJ33:DJ34)</f>
        <v>3</v>
      </c>
      <c r="DK32" s="788">
        <f>IF(SUM(DK33:DK34)&gt;0,AVERAGEIF(DK33:DK34,"&gt;0"),0)</f>
        <v>0.41666666666666663</v>
      </c>
      <c r="DL32" s="891">
        <f>SUM(DL33:DL34)</f>
        <v>550000</v>
      </c>
      <c r="DM32" s="899">
        <f>SUM(DM33:DM34)</f>
        <v>7</v>
      </c>
      <c r="DN32" s="904">
        <f>SUM(DN33:DN34)</f>
        <v>3</v>
      </c>
      <c r="DO32" s="788">
        <f>IF(SUM(DO33:DO34)&gt;0,AVERAGEIF(DO33:DO34,"&gt;0"),0)</f>
        <v>0.41666666666666663</v>
      </c>
      <c r="DP32" s="891">
        <f>SUM(DP33:DP34)</f>
        <v>550000</v>
      </c>
      <c r="DQ32" s="899">
        <f>SUM(DQ33:DQ34)</f>
        <v>7</v>
      </c>
      <c r="DR32" s="904">
        <f>SUM(DR33:DR34)</f>
        <v>3</v>
      </c>
      <c r="DS32" s="788">
        <f>IF(SUM(DS33:DS34)&gt;0,AVERAGEIF(DS33:DS34,"&gt;0"),0)</f>
        <v>0.41666666666666663</v>
      </c>
      <c r="DT32" s="891">
        <f>SUM(DT33:DT34)</f>
        <v>550000</v>
      </c>
      <c r="DU32" s="899">
        <f>SUM(DU33:DU34)</f>
        <v>7</v>
      </c>
      <c r="DV32" s="904">
        <f>SUM(DV33:DV34)</f>
        <v>3</v>
      </c>
      <c r="DW32" s="788">
        <f>IF(SUM(DW33:DW34)&gt;0,AVERAGEIF(DW33:DW34,"&gt;0"),0)</f>
        <v>0.41666666666666663</v>
      </c>
      <c r="DX32" s="891">
        <f>SUM(DX33:DX34)</f>
        <v>550000</v>
      </c>
      <c r="DY32" s="899">
        <f>SUM(DY33:DY34)</f>
        <v>7</v>
      </c>
      <c r="DZ32" s="904">
        <f>SUM(DZ33:DZ34)</f>
        <v>3</v>
      </c>
      <c r="EA32" s="788">
        <f>IF(SUM(EA33:EA34)&gt;0,AVERAGEIF(EA33:EA34,"&gt;0"),0)</f>
        <v>0.41666666666666663</v>
      </c>
      <c r="EB32" s="891">
        <f>SUM(EB33:EB34)</f>
        <v>550000</v>
      </c>
      <c r="EC32" s="899">
        <f>SUM(EC33:EC34)</f>
        <v>7</v>
      </c>
      <c r="ED32" s="904">
        <f>SUM(ED33:ED34)</f>
        <v>3</v>
      </c>
      <c r="EE32" s="788">
        <f>IF(SUM(EE33:EE34)&gt;0,AVERAGEIF(EE33:EE34,"&gt;0"),0)</f>
        <v>0.41666666666666663</v>
      </c>
      <c r="EF32" s="891">
        <f>SUM(EF33:EF34)</f>
        <v>550000</v>
      </c>
    </row>
    <row r="33" spans="1:136" ht="20" customHeight="1" x14ac:dyDescent="0.15">
      <c r="A33" s="189">
        <f t="shared" si="198"/>
        <v>0</v>
      </c>
      <c r="B33" s="948"/>
      <c r="C33" s="970" t="s">
        <v>132</v>
      </c>
      <c r="D33" s="610">
        <f>$D$32/2</f>
        <v>6250000</v>
      </c>
      <c r="E33" s="1082">
        <f t="shared" ref="E33:E34" si="267">SUMIF($M$13:$EF$13,$P$13,$M33:$EF33)</f>
        <v>6200000</v>
      </c>
      <c r="F33" s="610">
        <f t="shared" ref="F33:F35" si="268">E33-D33</f>
        <v>-50000</v>
      </c>
      <c r="G33" s="208">
        <f t="shared" ref="G33:G35" si="269">_xlfn.IFS(F33&gt;0,1,F33&lt;=0,E33/D33)</f>
        <v>0.99199999999999999</v>
      </c>
      <c r="H33" s="208">
        <f>IF(SUMIF(M$13:EF$13,$O$13,M33:EF33)&gt;0,AVERAGEIFS(M33:EF33,M33:EF33,"&gt;0",M$13:EF$13,$O$13),"NO NEW ORDER")</f>
        <v>0.33333333333333337</v>
      </c>
      <c r="I33" s="788"/>
      <c r="J33" s="208">
        <f ca="1">SUMIFS($M33:$EF33,$M$11:$EF$11,TODAY()-1,$M$13:$EF$13,O$13)</f>
        <v>0</v>
      </c>
      <c r="K33" s="686"/>
      <c r="L33" s="605">
        <f ca="1">SUMIFS($M33:$EF33,$M$11:$EF$11,TODAY()-1,$M$13:$EF$13,P$13)</f>
        <v>0</v>
      </c>
      <c r="M33" s="1026">
        <v>3</v>
      </c>
      <c r="N33" s="1027">
        <v>1</v>
      </c>
      <c r="O33" s="208">
        <f>_xlfn.IFS(M33=0,0,N33&lt;=M33,N33/M33,N33&gt;M33,1)</f>
        <v>0.33333333333333331</v>
      </c>
      <c r="P33" s="1029">
        <v>200000</v>
      </c>
      <c r="Q33" s="1026">
        <v>3</v>
      </c>
      <c r="R33" s="1027">
        <v>1</v>
      </c>
      <c r="S33" s="208">
        <f>_xlfn.IFS(Q33=0,0,R33&lt;=Q33,R33/Q33,R33&gt;Q33,1)</f>
        <v>0.33333333333333331</v>
      </c>
      <c r="T33" s="1029">
        <v>200000</v>
      </c>
      <c r="U33" s="1026">
        <v>3</v>
      </c>
      <c r="V33" s="1027">
        <v>1</v>
      </c>
      <c r="W33" s="208">
        <f>_xlfn.IFS(U33=0,0,V33&lt;=U33,V33/U33,V33&gt;U33,1)</f>
        <v>0.33333333333333331</v>
      </c>
      <c r="X33" s="1029">
        <v>200000</v>
      </c>
      <c r="Y33" s="1026">
        <v>3</v>
      </c>
      <c r="Z33" s="1027">
        <v>1</v>
      </c>
      <c r="AA33" s="208">
        <f>_xlfn.IFS(Y33=0,0,Z33&lt;=Y33,Z33/Y33,Z33&gt;Y33,1)</f>
        <v>0.33333333333333331</v>
      </c>
      <c r="AB33" s="1029">
        <v>200000</v>
      </c>
      <c r="AC33" s="1026">
        <v>3</v>
      </c>
      <c r="AD33" s="1027">
        <v>1</v>
      </c>
      <c r="AE33" s="208">
        <f>_xlfn.IFS(AC33=0,0,AD33&lt;=AC33,AD33/AC33,AD33&gt;AC33,1)</f>
        <v>0.33333333333333331</v>
      </c>
      <c r="AF33" s="1029">
        <v>200000</v>
      </c>
      <c r="AG33" s="1026">
        <v>3</v>
      </c>
      <c r="AH33" s="1027">
        <v>1</v>
      </c>
      <c r="AI33" s="208">
        <f>_xlfn.IFS(AG33=0,0,AH33&lt;=AG33,AH33/AG33,AH33&gt;AG33,1)</f>
        <v>0.33333333333333331</v>
      </c>
      <c r="AJ33" s="1029">
        <v>200000</v>
      </c>
      <c r="AK33" s="1026">
        <v>3</v>
      </c>
      <c r="AL33" s="1027">
        <v>1</v>
      </c>
      <c r="AM33" s="208">
        <f>_xlfn.IFS(AK33=0,0,AL33&lt;=AK33,AL33/AK33,AL33&gt;AK33,1)</f>
        <v>0.33333333333333331</v>
      </c>
      <c r="AN33" s="1029">
        <v>200000</v>
      </c>
      <c r="AO33" s="1026">
        <v>3</v>
      </c>
      <c r="AP33" s="1027">
        <v>1</v>
      </c>
      <c r="AQ33" s="208">
        <f>_xlfn.IFS(AO33=0,0,AP33&lt;=AO33,AP33/AO33,AP33&gt;AO33,1)</f>
        <v>0.33333333333333331</v>
      </c>
      <c r="AR33" s="1029">
        <v>200000</v>
      </c>
      <c r="AS33" s="1026">
        <v>3</v>
      </c>
      <c r="AT33" s="1027">
        <v>1</v>
      </c>
      <c r="AU33" s="208">
        <f>_xlfn.IFS(AS33=0,0,AT33&lt;=AS33,AT33/AS33,AT33&gt;AS33,1)</f>
        <v>0.33333333333333331</v>
      </c>
      <c r="AV33" s="1029">
        <v>200000</v>
      </c>
      <c r="AW33" s="1026">
        <v>3</v>
      </c>
      <c r="AX33" s="1027">
        <v>1</v>
      </c>
      <c r="AY33" s="208">
        <f>_xlfn.IFS(AW33=0,0,AX33&lt;=AW33,AX33/AW33,AX33&gt;AW33,1)</f>
        <v>0.33333333333333331</v>
      </c>
      <c r="AZ33" s="1029">
        <v>200000</v>
      </c>
      <c r="BA33" s="1026">
        <v>3</v>
      </c>
      <c r="BB33" s="1027">
        <v>1</v>
      </c>
      <c r="BC33" s="208">
        <f>_xlfn.IFS(BA33=0,0,BB33&lt;=BA33,BB33/BA33,BB33&gt;BA33,1)</f>
        <v>0.33333333333333331</v>
      </c>
      <c r="BD33" s="1029">
        <v>200000</v>
      </c>
      <c r="BE33" s="1026">
        <v>3</v>
      </c>
      <c r="BF33" s="1027">
        <v>1</v>
      </c>
      <c r="BG33" s="208">
        <f>_xlfn.IFS(BE33=0,0,BF33&lt;=BE33,BF33/BE33,BF33&gt;BE33,1)</f>
        <v>0.33333333333333331</v>
      </c>
      <c r="BH33" s="1029">
        <v>200000</v>
      </c>
      <c r="BI33" s="1026">
        <v>3</v>
      </c>
      <c r="BJ33" s="1027">
        <v>1</v>
      </c>
      <c r="BK33" s="208">
        <f>_xlfn.IFS(BI33=0,0,BJ33&lt;=BI33,BJ33/BI33,BJ33&gt;BI33,1)</f>
        <v>0.33333333333333331</v>
      </c>
      <c r="BL33" s="1029">
        <v>200000</v>
      </c>
      <c r="BM33" s="1026">
        <v>3</v>
      </c>
      <c r="BN33" s="1027">
        <v>1</v>
      </c>
      <c r="BO33" s="208">
        <f>_xlfn.IFS(BM33=0,0,BN33&lt;=BM33,BN33/BM33,BN33&gt;BM33,1)</f>
        <v>0.33333333333333331</v>
      </c>
      <c r="BP33" s="1029">
        <v>200000</v>
      </c>
      <c r="BQ33" s="1026">
        <v>3</v>
      </c>
      <c r="BR33" s="1027">
        <v>1</v>
      </c>
      <c r="BS33" s="208">
        <f>_xlfn.IFS(BQ33=0,0,BR33&lt;=BQ33,BR33/BQ33,BR33&gt;BQ33,1)</f>
        <v>0.33333333333333331</v>
      </c>
      <c r="BT33" s="1029">
        <v>200000</v>
      </c>
      <c r="BU33" s="1026">
        <v>3</v>
      </c>
      <c r="BV33" s="1027">
        <v>1</v>
      </c>
      <c r="BW33" s="208">
        <f>_xlfn.IFS(BU33=0,0,BV33&lt;=BU33,BV33/BU33,BV33&gt;BU33,1)</f>
        <v>0.33333333333333331</v>
      </c>
      <c r="BX33" s="1029">
        <v>200000</v>
      </c>
      <c r="BY33" s="1026">
        <v>3</v>
      </c>
      <c r="BZ33" s="1027">
        <v>1</v>
      </c>
      <c r="CA33" s="208">
        <f>_xlfn.IFS(BY33=0,0,BZ33&lt;=BY33,BZ33/BY33,BZ33&gt;BY33,1)</f>
        <v>0.33333333333333331</v>
      </c>
      <c r="CB33" s="1029">
        <v>200000</v>
      </c>
      <c r="CC33" s="1026">
        <v>3</v>
      </c>
      <c r="CD33" s="1027">
        <v>1</v>
      </c>
      <c r="CE33" s="208">
        <f>_xlfn.IFS(CC33=0,0,CD33&lt;=CC33,CD33/CC33,CD33&gt;CC33,1)</f>
        <v>0.33333333333333331</v>
      </c>
      <c r="CF33" s="1029">
        <v>200000</v>
      </c>
      <c r="CG33" s="1026">
        <v>3</v>
      </c>
      <c r="CH33" s="1027">
        <v>1</v>
      </c>
      <c r="CI33" s="208">
        <f>_xlfn.IFS(CG33=0,0,CH33&lt;=CG33,CH33/CG33,CH33&gt;CG33,1)</f>
        <v>0.33333333333333331</v>
      </c>
      <c r="CJ33" s="1029">
        <v>200000</v>
      </c>
      <c r="CK33" s="1026">
        <v>3</v>
      </c>
      <c r="CL33" s="1027">
        <v>1</v>
      </c>
      <c r="CM33" s="208">
        <f>_xlfn.IFS(CK33=0,0,CL33&lt;=CK33,CL33/CK33,CL33&gt;CK33,1)</f>
        <v>0.33333333333333331</v>
      </c>
      <c r="CN33" s="1029">
        <v>200000</v>
      </c>
      <c r="CO33" s="1026">
        <v>3</v>
      </c>
      <c r="CP33" s="1027">
        <v>1</v>
      </c>
      <c r="CQ33" s="208">
        <f>_xlfn.IFS(CO33=0,0,CP33&lt;=CO33,CP33/CO33,CP33&gt;CO33,1)</f>
        <v>0.33333333333333331</v>
      </c>
      <c r="CR33" s="1029">
        <v>200000</v>
      </c>
      <c r="CS33" s="1026">
        <v>3</v>
      </c>
      <c r="CT33" s="1027">
        <v>1</v>
      </c>
      <c r="CU33" s="208">
        <f>_xlfn.IFS(CS33=0,0,CT33&lt;=CS33,CT33/CS33,CT33&gt;CS33,1)</f>
        <v>0.33333333333333331</v>
      </c>
      <c r="CV33" s="1029">
        <v>200000</v>
      </c>
      <c r="CW33" s="1026">
        <v>3</v>
      </c>
      <c r="CX33" s="1027">
        <v>1</v>
      </c>
      <c r="CY33" s="208">
        <f>_xlfn.IFS(CW33=0,0,CX33&lt;=CW33,CX33/CW33,CX33&gt;CW33,1)</f>
        <v>0.33333333333333331</v>
      </c>
      <c r="CZ33" s="1029">
        <v>200000</v>
      </c>
      <c r="DA33" s="1026">
        <v>3</v>
      </c>
      <c r="DB33" s="1027">
        <v>1</v>
      </c>
      <c r="DC33" s="208">
        <f>_xlfn.IFS(DA33=0,0,DB33&lt;=DA33,DB33/DA33,DB33&gt;DA33,1)</f>
        <v>0.33333333333333331</v>
      </c>
      <c r="DD33" s="1029">
        <v>200000</v>
      </c>
      <c r="DE33" s="1026">
        <v>3</v>
      </c>
      <c r="DF33" s="1027">
        <v>1</v>
      </c>
      <c r="DG33" s="208">
        <f>_xlfn.IFS(DE33=0,0,DF33&lt;=DE33,DF33/DE33,DF33&gt;DE33,1)</f>
        <v>0.33333333333333331</v>
      </c>
      <c r="DH33" s="1029">
        <v>200000</v>
      </c>
      <c r="DI33" s="1026">
        <v>3</v>
      </c>
      <c r="DJ33" s="1027">
        <v>1</v>
      </c>
      <c r="DK33" s="208">
        <f>_xlfn.IFS(DI33=0,0,DJ33&lt;=DI33,DJ33/DI33,DJ33&gt;DI33,1)</f>
        <v>0.33333333333333331</v>
      </c>
      <c r="DL33" s="1029">
        <v>200000</v>
      </c>
      <c r="DM33" s="1026">
        <v>3</v>
      </c>
      <c r="DN33" s="1027">
        <v>1</v>
      </c>
      <c r="DO33" s="208">
        <f>_xlfn.IFS(DM33=0,0,DN33&lt;=DM33,DN33/DM33,DN33&gt;DM33,1)</f>
        <v>0.33333333333333331</v>
      </c>
      <c r="DP33" s="1029">
        <v>200000</v>
      </c>
      <c r="DQ33" s="1026">
        <v>3</v>
      </c>
      <c r="DR33" s="1027">
        <v>1</v>
      </c>
      <c r="DS33" s="208">
        <f>_xlfn.IFS(DQ33=0,0,DR33&lt;=DQ33,DR33/DQ33,DR33&gt;DQ33,1)</f>
        <v>0.33333333333333331</v>
      </c>
      <c r="DT33" s="1029">
        <v>200000</v>
      </c>
      <c r="DU33" s="1026">
        <v>3</v>
      </c>
      <c r="DV33" s="1027">
        <v>1</v>
      </c>
      <c r="DW33" s="208">
        <f>_xlfn.IFS(DU33=0,0,DV33&lt;=DU33,DV33/DU33,DV33&gt;DU33,1)</f>
        <v>0.33333333333333331</v>
      </c>
      <c r="DX33" s="1029">
        <v>200000</v>
      </c>
      <c r="DY33" s="1026">
        <v>3</v>
      </c>
      <c r="DZ33" s="1027">
        <v>1</v>
      </c>
      <c r="EA33" s="208">
        <f>_xlfn.IFS(DY33=0,0,DZ33&lt;=DY33,DZ33/DY33,DZ33&gt;DY33,1)</f>
        <v>0.33333333333333331</v>
      </c>
      <c r="EB33" s="1029">
        <v>200000</v>
      </c>
      <c r="EC33" s="1026">
        <v>3</v>
      </c>
      <c r="ED33" s="1027">
        <v>1</v>
      </c>
      <c r="EE33" s="208">
        <f>_xlfn.IFS(EC33=0,0,ED33&lt;=EC33,ED33/EC33,ED33&gt;EC33,1)</f>
        <v>0.33333333333333331</v>
      </c>
      <c r="EF33" s="1029">
        <v>200000</v>
      </c>
    </row>
    <row r="34" spans="1:136" ht="20" customHeight="1" x14ac:dyDescent="0.15">
      <c r="A34" s="189">
        <f t="shared" si="198"/>
        <v>0</v>
      </c>
      <c r="B34" s="948"/>
      <c r="C34" s="970" t="s">
        <v>133</v>
      </c>
      <c r="D34" s="610">
        <f>$D$32/2</f>
        <v>6250000</v>
      </c>
      <c r="E34" s="1082">
        <f t="shared" si="267"/>
        <v>10850000</v>
      </c>
      <c r="F34" s="610">
        <f t="shared" si="268"/>
        <v>4600000</v>
      </c>
      <c r="G34" s="208">
        <f t="shared" si="269"/>
        <v>1</v>
      </c>
      <c r="H34" s="208">
        <f t="shared" ref="H34" si="270">IF(SUMIF(M$13:EF$13,$O$13,M34:EF34)&gt;0,AVERAGEIFS(M34:EF34,M34:EF34,"&gt;0",M$13:EF$13,$O$13),"NO NEW ORDER")</f>
        <v>0.5</v>
      </c>
      <c r="I34" s="788"/>
      <c r="J34" s="208">
        <f ca="1">SUMIFS($M34:$EF34,$M$11:$EF$11,TODAY()-1,$M$13:$EF$13,O$13)</f>
        <v>0</v>
      </c>
      <c r="K34" s="958"/>
      <c r="L34" s="605">
        <f t="shared" ref="L34" ca="1" si="271">SUMIFS($M34:$EF34,$M$11:$EF$11,TODAY()-1,$M$13:$EF$13,P$13)</f>
        <v>0</v>
      </c>
      <c r="M34" s="1026">
        <v>4</v>
      </c>
      <c r="N34" s="1027">
        <v>2</v>
      </c>
      <c r="O34" s="208">
        <f t="shared" ref="O34" si="272">_xlfn.IFS(M34=0,0,N34&lt;=M34,N34/M34,N34&gt;M34,1)</f>
        <v>0.5</v>
      </c>
      <c r="P34" s="1029">
        <v>350000</v>
      </c>
      <c r="Q34" s="1026">
        <v>4</v>
      </c>
      <c r="R34" s="1027">
        <v>2</v>
      </c>
      <c r="S34" s="208">
        <f t="shared" ref="S34" si="273">_xlfn.IFS(Q34=0,0,R34&lt;=Q34,R34/Q34,R34&gt;Q34,1)</f>
        <v>0.5</v>
      </c>
      <c r="T34" s="1029">
        <v>350000</v>
      </c>
      <c r="U34" s="1026">
        <v>4</v>
      </c>
      <c r="V34" s="1027">
        <v>2</v>
      </c>
      <c r="W34" s="208">
        <f t="shared" ref="W34" si="274">_xlfn.IFS(U34=0,0,V34&lt;=U34,V34/U34,V34&gt;U34,1)</f>
        <v>0.5</v>
      </c>
      <c r="X34" s="1029">
        <v>350000</v>
      </c>
      <c r="Y34" s="1026">
        <v>4</v>
      </c>
      <c r="Z34" s="1027">
        <v>2</v>
      </c>
      <c r="AA34" s="208">
        <f t="shared" ref="AA34" si="275">_xlfn.IFS(Y34=0,0,Z34&lt;=Y34,Z34/Y34,Z34&gt;Y34,1)</f>
        <v>0.5</v>
      </c>
      <c r="AB34" s="1029">
        <v>350000</v>
      </c>
      <c r="AC34" s="1026">
        <v>4</v>
      </c>
      <c r="AD34" s="1027">
        <v>2</v>
      </c>
      <c r="AE34" s="208">
        <f t="shared" ref="AE34" si="276">_xlfn.IFS(AC34=0,0,AD34&lt;=AC34,AD34/AC34,AD34&gt;AC34,1)</f>
        <v>0.5</v>
      </c>
      <c r="AF34" s="1029">
        <v>350000</v>
      </c>
      <c r="AG34" s="1026">
        <v>4</v>
      </c>
      <c r="AH34" s="1027">
        <v>2</v>
      </c>
      <c r="AI34" s="208">
        <f t="shared" ref="AI34" si="277">_xlfn.IFS(AG34=0,0,AH34&lt;=AG34,AH34/AG34,AH34&gt;AG34,1)</f>
        <v>0.5</v>
      </c>
      <c r="AJ34" s="1029">
        <v>350000</v>
      </c>
      <c r="AK34" s="1026">
        <v>4</v>
      </c>
      <c r="AL34" s="1027">
        <v>2</v>
      </c>
      <c r="AM34" s="208">
        <f t="shared" ref="AM34" si="278">_xlfn.IFS(AK34=0,0,AL34&lt;=AK34,AL34/AK34,AL34&gt;AK34,1)</f>
        <v>0.5</v>
      </c>
      <c r="AN34" s="1029">
        <v>350000</v>
      </c>
      <c r="AO34" s="1026">
        <v>4</v>
      </c>
      <c r="AP34" s="1027">
        <v>2</v>
      </c>
      <c r="AQ34" s="208">
        <f t="shared" ref="AQ34" si="279">_xlfn.IFS(AO34=0,0,AP34&lt;=AO34,AP34/AO34,AP34&gt;AO34,1)</f>
        <v>0.5</v>
      </c>
      <c r="AR34" s="1029">
        <v>350000</v>
      </c>
      <c r="AS34" s="1026">
        <v>4</v>
      </c>
      <c r="AT34" s="1027">
        <v>2</v>
      </c>
      <c r="AU34" s="208">
        <f t="shared" ref="AU34" si="280">_xlfn.IFS(AS34=0,0,AT34&lt;=AS34,AT34/AS34,AT34&gt;AS34,1)</f>
        <v>0.5</v>
      </c>
      <c r="AV34" s="1029">
        <v>350000</v>
      </c>
      <c r="AW34" s="1026">
        <v>4</v>
      </c>
      <c r="AX34" s="1027">
        <v>2</v>
      </c>
      <c r="AY34" s="208">
        <f t="shared" ref="AY34" si="281">_xlfn.IFS(AW34=0,0,AX34&lt;=AW34,AX34/AW34,AX34&gt;AW34,1)</f>
        <v>0.5</v>
      </c>
      <c r="AZ34" s="1029">
        <v>350000</v>
      </c>
      <c r="BA34" s="1026">
        <v>4</v>
      </c>
      <c r="BB34" s="1027">
        <v>2</v>
      </c>
      <c r="BC34" s="208">
        <f t="shared" ref="BC34" si="282">_xlfn.IFS(BA34=0,0,BB34&lt;=BA34,BB34/BA34,BB34&gt;BA34,1)</f>
        <v>0.5</v>
      </c>
      <c r="BD34" s="1029">
        <v>350000</v>
      </c>
      <c r="BE34" s="1026">
        <v>4</v>
      </c>
      <c r="BF34" s="1027">
        <v>2</v>
      </c>
      <c r="BG34" s="208">
        <f t="shared" ref="BG34" si="283">_xlfn.IFS(BE34=0,0,BF34&lt;=BE34,BF34/BE34,BF34&gt;BE34,1)</f>
        <v>0.5</v>
      </c>
      <c r="BH34" s="1029">
        <v>350000</v>
      </c>
      <c r="BI34" s="1026">
        <v>4</v>
      </c>
      <c r="BJ34" s="1027">
        <v>2</v>
      </c>
      <c r="BK34" s="208">
        <f t="shared" ref="BK34" si="284">_xlfn.IFS(BI34=0,0,BJ34&lt;=BI34,BJ34/BI34,BJ34&gt;BI34,1)</f>
        <v>0.5</v>
      </c>
      <c r="BL34" s="1029">
        <v>350000</v>
      </c>
      <c r="BM34" s="1026">
        <v>4</v>
      </c>
      <c r="BN34" s="1027">
        <v>2</v>
      </c>
      <c r="BO34" s="208">
        <f t="shared" ref="BO34" si="285">_xlfn.IFS(BM34=0,0,BN34&lt;=BM34,BN34/BM34,BN34&gt;BM34,1)</f>
        <v>0.5</v>
      </c>
      <c r="BP34" s="1029">
        <v>350000</v>
      </c>
      <c r="BQ34" s="1026">
        <v>4</v>
      </c>
      <c r="BR34" s="1027">
        <v>2</v>
      </c>
      <c r="BS34" s="208">
        <f t="shared" ref="BS34" si="286">_xlfn.IFS(BQ34=0,0,BR34&lt;=BQ34,BR34/BQ34,BR34&gt;BQ34,1)</f>
        <v>0.5</v>
      </c>
      <c r="BT34" s="1029">
        <v>350000</v>
      </c>
      <c r="BU34" s="1026">
        <v>4</v>
      </c>
      <c r="BV34" s="1027">
        <v>2</v>
      </c>
      <c r="BW34" s="208">
        <f t="shared" ref="BW34" si="287">_xlfn.IFS(BU34=0,0,BV34&lt;=BU34,BV34/BU34,BV34&gt;BU34,1)</f>
        <v>0.5</v>
      </c>
      <c r="BX34" s="1029">
        <v>350000</v>
      </c>
      <c r="BY34" s="1026">
        <v>4</v>
      </c>
      <c r="BZ34" s="1027">
        <v>2</v>
      </c>
      <c r="CA34" s="208">
        <f t="shared" ref="CA34" si="288">_xlfn.IFS(BY34=0,0,BZ34&lt;=BY34,BZ34/BY34,BZ34&gt;BY34,1)</f>
        <v>0.5</v>
      </c>
      <c r="CB34" s="1029">
        <v>350000</v>
      </c>
      <c r="CC34" s="1026">
        <v>4</v>
      </c>
      <c r="CD34" s="1027">
        <v>2</v>
      </c>
      <c r="CE34" s="208">
        <f t="shared" ref="CE34" si="289">_xlfn.IFS(CC34=0,0,CD34&lt;=CC34,CD34/CC34,CD34&gt;CC34,1)</f>
        <v>0.5</v>
      </c>
      <c r="CF34" s="1029">
        <v>350000</v>
      </c>
      <c r="CG34" s="1026">
        <v>4</v>
      </c>
      <c r="CH34" s="1027">
        <v>2</v>
      </c>
      <c r="CI34" s="208">
        <f t="shared" ref="CI34" si="290">_xlfn.IFS(CG34=0,0,CH34&lt;=CG34,CH34/CG34,CH34&gt;CG34,1)</f>
        <v>0.5</v>
      </c>
      <c r="CJ34" s="1029">
        <v>350000</v>
      </c>
      <c r="CK34" s="1026">
        <v>4</v>
      </c>
      <c r="CL34" s="1027">
        <v>2</v>
      </c>
      <c r="CM34" s="208">
        <f t="shared" ref="CM34" si="291">_xlfn.IFS(CK34=0,0,CL34&lt;=CK34,CL34/CK34,CL34&gt;CK34,1)</f>
        <v>0.5</v>
      </c>
      <c r="CN34" s="1029">
        <v>350000</v>
      </c>
      <c r="CO34" s="1026">
        <v>4</v>
      </c>
      <c r="CP34" s="1027">
        <v>2</v>
      </c>
      <c r="CQ34" s="208">
        <f t="shared" ref="CQ34" si="292">_xlfn.IFS(CO34=0,0,CP34&lt;=CO34,CP34/CO34,CP34&gt;CO34,1)</f>
        <v>0.5</v>
      </c>
      <c r="CR34" s="1029">
        <v>350000</v>
      </c>
      <c r="CS34" s="1026">
        <v>4</v>
      </c>
      <c r="CT34" s="1027">
        <v>2</v>
      </c>
      <c r="CU34" s="208">
        <f t="shared" ref="CU34" si="293">_xlfn.IFS(CS34=0,0,CT34&lt;=CS34,CT34/CS34,CT34&gt;CS34,1)</f>
        <v>0.5</v>
      </c>
      <c r="CV34" s="1029">
        <v>350000</v>
      </c>
      <c r="CW34" s="1026">
        <v>4</v>
      </c>
      <c r="CX34" s="1027">
        <v>2</v>
      </c>
      <c r="CY34" s="208">
        <f t="shared" ref="CY34" si="294">_xlfn.IFS(CW34=0,0,CX34&lt;=CW34,CX34/CW34,CX34&gt;CW34,1)</f>
        <v>0.5</v>
      </c>
      <c r="CZ34" s="1029">
        <v>350000</v>
      </c>
      <c r="DA34" s="1026">
        <v>4</v>
      </c>
      <c r="DB34" s="1027">
        <v>2</v>
      </c>
      <c r="DC34" s="208">
        <f t="shared" ref="DC34" si="295">_xlfn.IFS(DA34=0,0,DB34&lt;=DA34,DB34/DA34,DB34&gt;DA34,1)</f>
        <v>0.5</v>
      </c>
      <c r="DD34" s="1029">
        <v>350000</v>
      </c>
      <c r="DE34" s="1026">
        <v>4</v>
      </c>
      <c r="DF34" s="1027">
        <v>2</v>
      </c>
      <c r="DG34" s="208">
        <f t="shared" ref="DG34" si="296">_xlfn.IFS(DE34=0,0,DF34&lt;=DE34,DF34/DE34,DF34&gt;DE34,1)</f>
        <v>0.5</v>
      </c>
      <c r="DH34" s="1029">
        <v>350000</v>
      </c>
      <c r="DI34" s="1026">
        <v>4</v>
      </c>
      <c r="DJ34" s="1027">
        <v>2</v>
      </c>
      <c r="DK34" s="208">
        <f t="shared" ref="DK34" si="297">_xlfn.IFS(DI34=0,0,DJ34&lt;=DI34,DJ34/DI34,DJ34&gt;DI34,1)</f>
        <v>0.5</v>
      </c>
      <c r="DL34" s="1029">
        <v>350000</v>
      </c>
      <c r="DM34" s="1026">
        <v>4</v>
      </c>
      <c r="DN34" s="1027">
        <v>2</v>
      </c>
      <c r="DO34" s="208">
        <f t="shared" ref="DO34" si="298">_xlfn.IFS(DM34=0,0,DN34&lt;=DM34,DN34/DM34,DN34&gt;DM34,1)</f>
        <v>0.5</v>
      </c>
      <c r="DP34" s="1029">
        <v>350000</v>
      </c>
      <c r="DQ34" s="1026">
        <v>4</v>
      </c>
      <c r="DR34" s="1027">
        <v>2</v>
      </c>
      <c r="DS34" s="208">
        <f t="shared" ref="DS34" si="299">_xlfn.IFS(DQ34=0,0,DR34&lt;=DQ34,DR34/DQ34,DR34&gt;DQ34,1)</f>
        <v>0.5</v>
      </c>
      <c r="DT34" s="1029">
        <v>350000</v>
      </c>
      <c r="DU34" s="1026">
        <v>4</v>
      </c>
      <c r="DV34" s="1027">
        <v>2</v>
      </c>
      <c r="DW34" s="208">
        <f t="shared" ref="DW34" si="300">_xlfn.IFS(DU34=0,0,DV34&lt;=DU34,DV34/DU34,DV34&gt;DU34,1)</f>
        <v>0.5</v>
      </c>
      <c r="DX34" s="1029">
        <v>350000</v>
      </c>
      <c r="DY34" s="1026">
        <v>4</v>
      </c>
      <c r="DZ34" s="1027">
        <v>2</v>
      </c>
      <c r="EA34" s="208">
        <f t="shared" ref="EA34" si="301">_xlfn.IFS(DY34=0,0,DZ34&lt;=DY34,DZ34/DY34,DZ34&gt;DY34,1)</f>
        <v>0.5</v>
      </c>
      <c r="EB34" s="1029">
        <v>350000</v>
      </c>
      <c r="EC34" s="1026">
        <v>4</v>
      </c>
      <c r="ED34" s="1027">
        <v>2</v>
      </c>
      <c r="EE34" s="208">
        <f t="shared" ref="EE34" si="302">_xlfn.IFS(EC34=0,0,ED34&lt;=EC34,ED34/EC34,ED34&gt;EC34,1)</f>
        <v>0.5</v>
      </c>
      <c r="EF34" s="1029">
        <v>350000</v>
      </c>
    </row>
    <row r="35" spans="1:136" ht="20" customHeight="1" x14ac:dyDescent="0.15">
      <c r="A35" s="870">
        <f t="shared" si="198"/>
        <v>0</v>
      </c>
      <c r="B35" s="948"/>
      <c r="C35" s="883" t="str">
        <f>Dashboard!K99</f>
        <v>TIKTOKSHOP</v>
      </c>
      <c r="D35" s="686">
        <f>Dashboard!AC99</f>
        <v>12500000</v>
      </c>
      <c r="E35" s="1065">
        <f>SUMIF($M$13:$EF$13,$P$13,$M35:$EF35)</f>
        <v>15500000</v>
      </c>
      <c r="F35" s="610">
        <f t="shared" si="268"/>
        <v>3000000</v>
      </c>
      <c r="G35" s="208">
        <f t="shared" si="269"/>
        <v>1</v>
      </c>
      <c r="H35" s="788">
        <f>IF(SUMIF(M$13:EF$13,$O$13,M35:EF35)&gt;0,AVERAGEIFS(M35:EF35,M35:EF35,"&gt;0",M$13:EF$13,$O$13),"NO NEW ORDER")</f>
        <v>0.5</v>
      </c>
      <c r="I35" s="788">
        <f>Dashboard!M120</f>
        <v>0.16041666666666665</v>
      </c>
      <c r="J35" s="788">
        <f ca="1">SUMIFS($M35:$EF35,$M$11:$EF$11,TODAY()-1,$M$13:$EF$13,O$13)</f>
        <v>0</v>
      </c>
      <c r="K35" s="686">
        <f>D35/'Action Plan'!$C$6</f>
        <v>480769.23076923075</v>
      </c>
      <c r="L35" s="933">
        <f ca="1">SUMIFS($M35:$EF35,$M$11:$EF$11,TODAY()-1,$M$13:$EF$13,P$13)</f>
        <v>0</v>
      </c>
      <c r="M35" s="899">
        <v>2</v>
      </c>
      <c r="N35" s="904">
        <v>1</v>
      </c>
      <c r="O35" s="788">
        <f>_xlfn.IFS(M35=0,0,N35&lt;=M35,N35/M35,N35&gt;M35,1)</f>
        <v>0.5</v>
      </c>
      <c r="P35" s="891">
        <v>500000</v>
      </c>
      <c r="Q35" s="899">
        <v>2</v>
      </c>
      <c r="R35" s="904">
        <v>1</v>
      </c>
      <c r="S35" s="788">
        <f>_xlfn.IFS(Q35=0,0,R35&lt;=Q35,R35/Q35,R35&gt;Q35,1)</f>
        <v>0.5</v>
      </c>
      <c r="T35" s="891">
        <v>500000</v>
      </c>
      <c r="U35" s="899">
        <v>2</v>
      </c>
      <c r="V35" s="904">
        <v>1</v>
      </c>
      <c r="W35" s="788">
        <f>_xlfn.IFS(U35=0,0,V35&lt;=U35,V35/U35,V35&gt;U35,1)</f>
        <v>0.5</v>
      </c>
      <c r="X35" s="891">
        <v>500000</v>
      </c>
      <c r="Y35" s="899">
        <v>2</v>
      </c>
      <c r="Z35" s="904">
        <v>1</v>
      </c>
      <c r="AA35" s="788">
        <f>_xlfn.IFS(Y35=0,0,Z35&lt;=Y35,Z35/Y35,Z35&gt;Y35,1)</f>
        <v>0.5</v>
      </c>
      <c r="AB35" s="891">
        <v>500000</v>
      </c>
      <c r="AC35" s="899">
        <v>2</v>
      </c>
      <c r="AD35" s="904">
        <v>1</v>
      </c>
      <c r="AE35" s="788">
        <f>_xlfn.IFS(AC35=0,0,AD35&lt;=AC35,AD35/AC35,AD35&gt;AC35,1)</f>
        <v>0.5</v>
      </c>
      <c r="AF35" s="891">
        <v>500000</v>
      </c>
      <c r="AG35" s="899">
        <v>2</v>
      </c>
      <c r="AH35" s="904">
        <v>1</v>
      </c>
      <c r="AI35" s="788">
        <f>_xlfn.IFS(AG35=0,0,AH35&lt;=AG35,AH35/AG35,AH35&gt;AG35,1)</f>
        <v>0.5</v>
      </c>
      <c r="AJ35" s="891">
        <v>500000</v>
      </c>
      <c r="AK35" s="899">
        <v>2</v>
      </c>
      <c r="AL35" s="904">
        <v>1</v>
      </c>
      <c r="AM35" s="788">
        <f>_xlfn.IFS(AK35=0,0,AL35&lt;=AK35,AL35/AK35,AL35&gt;AK35,1)</f>
        <v>0.5</v>
      </c>
      <c r="AN35" s="891">
        <v>500000</v>
      </c>
      <c r="AO35" s="899">
        <v>2</v>
      </c>
      <c r="AP35" s="904">
        <v>1</v>
      </c>
      <c r="AQ35" s="788">
        <f>_xlfn.IFS(AO35=0,0,AP35&lt;=AO35,AP35/AO35,AP35&gt;AO35,1)</f>
        <v>0.5</v>
      </c>
      <c r="AR35" s="891">
        <v>500000</v>
      </c>
      <c r="AS35" s="899">
        <v>2</v>
      </c>
      <c r="AT35" s="904">
        <v>1</v>
      </c>
      <c r="AU35" s="788">
        <f>_xlfn.IFS(AS35=0,0,AT35&lt;=AS35,AT35/AS35,AT35&gt;AS35,1)</f>
        <v>0.5</v>
      </c>
      <c r="AV35" s="891">
        <v>500000</v>
      </c>
      <c r="AW35" s="899">
        <v>2</v>
      </c>
      <c r="AX35" s="904">
        <v>1</v>
      </c>
      <c r="AY35" s="788">
        <f>_xlfn.IFS(AW35=0,0,AX35&lt;=AW35,AX35/AW35,AX35&gt;AW35,1)</f>
        <v>0.5</v>
      </c>
      <c r="AZ35" s="891">
        <v>500000</v>
      </c>
      <c r="BA35" s="899">
        <v>2</v>
      </c>
      <c r="BB35" s="904">
        <v>1</v>
      </c>
      <c r="BC35" s="788">
        <f>_xlfn.IFS(BA35=0,0,BB35&lt;=BA35,BB35/BA35,BB35&gt;BA35,1)</f>
        <v>0.5</v>
      </c>
      <c r="BD35" s="891">
        <v>500000</v>
      </c>
      <c r="BE35" s="899">
        <v>2</v>
      </c>
      <c r="BF35" s="904">
        <v>1</v>
      </c>
      <c r="BG35" s="788">
        <f>_xlfn.IFS(BE35=0,0,BF35&lt;=BE35,BF35/BE35,BF35&gt;BE35,1)</f>
        <v>0.5</v>
      </c>
      <c r="BH35" s="891">
        <v>500000</v>
      </c>
      <c r="BI35" s="899">
        <v>2</v>
      </c>
      <c r="BJ35" s="904">
        <v>1</v>
      </c>
      <c r="BK35" s="788">
        <f>_xlfn.IFS(BI35=0,0,BJ35&lt;=BI35,BJ35/BI35,BJ35&gt;BI35,1)</f>
        <v>0.5</v>
      </c>
      <c r="BL35" s="891">
        <v>500000</v>
      </c>
      <c r="BM35" s="899">
        <v>2</v>
      </c>
      <c r="BN35" s="904">
        <v>1</v>
      </c>
      <c r="BO35" s="788">
        <f>_xlfn.IFS(BM35=0,0,BN35&lt;=BM35,BN35/BM35,BN35&gt;BM35,1)</f>
        <v>0.5</v>
      </c>
      <c r="BP35" s="891">
        <v>500000</v>
      </c>
      <c r="BQ35" s="899">
        <v>2</v>
      </c>
      <c r="BR35" s="904">
        <v>1</v>
      </c>
      <c r="BS35" s="788">
        <f>_xlfn.IFS(BQ35=0,0,BR35&lt;=BQ35,BR35/BQ35,BR35&gt;BQ35,1)</f>
        <v>0.5</v>
      </c>
      <c r="BT35" s="891">
        <v>500000</v>
      </c>
      <c r="BU35" s="899">
        <v>2</v>
      </c>
      <c r="BV35" s="904">
        <v>1</v>
      </c>
      <c r="BW35" s="788">
        <f>_xlfn.IFS(BU35=0,0,BV35&lt;=BU35,BV35/BU35,BV35&gt;BU35,1)</f>
        <v>0.5</v>
      </c>
      <c r="BX35" s="891">
        <v>500000</v>
      </c>
      <c r="BY35" s="899">
        <v>2</v>
      </c>
      <c r="BZ35" s="904">
        <v>1</v>
      </c>
      <c r="CA35" s="788">
        <f>_xlfn.IFS(BY35=0,0,BZ35&lt;=BY35,BZ35/BY35,BZ35&gt;BY35,1)</f>
        <v>0.5</v>
      </c>
      <c r="CB35" s="891">
        <v>500000</v>
      </c>
      <c r="CC35" s="899">
        <v>2</v>
      </c>
      <c r="CD35" s="904">
        <v>1</v>
      </c>
      <c r="CE35" s="788">
        <f>_xlfn.IFS(CC35=0,0,CD35&lt;=CC35,CD35/CC35,CD35&gt;CC35,1)</f>
        <v>0.5</v>
      </c>
      <c r="CF35" s="891">
        <v>500000</v>
      </c>
      <c r="CG35" s="899">
        <v>2</v>
      </c>
      <c r="CH35" s="904">
        <v>1</v>
      </c>
      <c r="CI35" s="788">
        <f>_xlfn.IFS(CG35=0,0,CH35&lt;=CG35,CH35/CG35,CH35&gt;CG35,1)</f>
        <v>0.5</v>
      </c>
      <c r="CJ35" s="891">
        <v>500000</v>
      </c>
      <c r="CK35" s="899">
        <v>2</v>
      </c>
      <c r="CL35" s="904">
        <v>1</v>
      </c>
      <c r="CM35" s="788">
        <f>_xlfn.IFS(CK35=0,0,CL35&lt;=CK35,CL35/CK35,CL35&gt;CK35,1)</f>
        <v>0.5</v>
      </c>
      <c r="CN35" s="891">
        <v>500000</v>
      </c>
      <c r="CO35" s="899">
        <v>2</v>
      </c>
      <c r="CP35" s="904">
        <v>1</v>
      </c>
      <c r="CQ35" s="788">
        <f>_xlfn.IFS(CO35=0,0,CP35&lt;=CO35,CP35/CO35,CP35&gt;CO35,1)</f>
        <v>0.5</v>
      </c>
      <c r="CR35" s="891">
        <v>500000</v>
      </c>
      <c r="CS35" s="899">
        <v>2</v>
      </c>
      <c r="CT35" s="904">
        <v>1</v>
      </c>
      <c r="CU35" s="788">
        <f>_xlfn.IFS(CS35=0,0,CT35&lt;=CS35,CT35/CS35,CT35&gt;CS35,1)</f>
        <v>0.5</v>
      </c>
      <c r="CV35" s="891">
        <v>500000</v>
      </c>
      <c r="CW35" s="899">
        <v>2</v>
      </c>
      <c r="CX35" s="904">
        <v>1</v>
      </c>
      <c r="CY35" s="788">
        <f>_xlfn.IFS(CW35=0,0,CX35&lt;=CW35,CX35/CW35,CX35&gt;CW35,1)</f>
        <v>0.5</v>
      </c>
      <c r="CZ35" s="891">
        <v>500000</v>
      </c>
      <c r="DA35" s="899">
        <v>2</v>
      </c>
      <c r="DB35" s="904">
        <v>1</v>
      </c>
      <c r="DC35" s="788">
        <f>_xlfn.IFS(DA35=0,0,DB35&lt;=DA35,DB35/DA35,DB35&gt;DA35,1)</f>
        <v>0.5</v>
      </c>
      <c r="DD35" s="891">
        <v>500000</v>
      </c>
      <c r="DE35" s="899">
        <v>2</v>
      </c>
      <c r="DF35" s="904">
        <v>1</v>
      </c>
      <c r="DG35" s="788">
        <f>_xlfn.IFS(DE35=0,0,DF35&lt;=DE35,DF35/DE35,DF35&gt;DE35,1)</f>
        <v>0.5</v>
      </c>
      <c r="DH35" s="891">
        <v>500000</v>
      </c>
      <c r="DI35" s="899">
        <v>2</v>
      </c>
      <c r="DJ35" s="904">
        <v>1</v>
      </c>
      <c r="DK35" s="788">
        <f>_xlfn.IFS(DI35=0,0,DJ35&lt;=DI35,DJ35/DI35,DJ35&gt;DI35,1)</f>
        <v>0.5</v>
      </c>
      <c r="DL35" s="891">
        <v>500000</v>
      </c>
      <c r="DM35" s="899">
        <v>2</v>
      </c>
      <c r="DN35" s="904">
        <v>1</v>
      </c>
      <c r="DO35" s="788">
        <f>_xlfn.IFS(DM35=0,0,DN35&lt;=DM35,DN35/DM35,DN35&gt;DM35,1)</f>
        <v>0.5</v>
      </c>
      <c r="DP35" s="891">
        <v>500000</v>
      </c>
      <c r="DQ35" s="899">
        <v>2</v>
      </c>
      <c r="DR35" s="904">
        <v>1</v>
      </c>
      <c r="DS35" s="788">
        <f>_xlfn.IFS(DQ35=0,0,DR35&lt;=DQ35,DR35/DQ35,DR35&gt;DQ35,1)</f>
        <v>0.5</v>
      </c>
      <c r="DT35" s="891">
        <v>500000</v>
      </c>
      <c r="DU35" s="899">
        <v>2</v>
      </c>
      <c r="DV35" s="904">
        <v>1</v>
      </c>
      <c r="DW35" s="788">
        <f>_xlfn.IFS(DU35=0,0,DV35&lt;=DU35,DV35/DU35,DV35&gt;DU35,1)</f>
        <v>0.5</v>
      </c>
      <c r="DX35" s="891">
        <v>500000</v>
      </c>
      <c r="DY35" s="899">
        <v>2</v>
      </c>
      <c r="DZ35" s="904">
        <v>1</v>
      </c>
      <c r="EA35" s="788">
        <f>_xlfn.IFS(DY35=0,0,DZ35&lt;=DY35,DZ35/DY35,DZ35&gt;DY35,1)</f>
        <v>0.5</v>
      </c>
      <c r="EB35" s="891">
        <v>500000</v>
      </c>
      <c r="EC35" s="899">
        <v>2</v>
      </c>
      <c r="ED35" s="904">
        <v>1</v>
      </c>
      <c r="EE35" s="788">
        <f>_xlfn.IFS(EC35=0,0,ED35&lt;=EC35,ED35/EC35,ED35&gt;EC35,1)</f>
        <v>0.5</v>
      </c>
      <c r="EF35" s="891">
        <v>500000</v>
      </c>
    </row>
    <row r="36" spans="1:136" ht="20" customHeight="1" x14ac:dyDescent="0.15">
      <c r="A36" s="870">
        <f t="shared" si="198"/>
        <v>0</v>
      </c>
      <c r="B36" s="949"/>
      <c r="C36" s="883" t="str">
        <f>Dashboard!K100</f>
        <v>SHOPPEE</v>
      </c>
      <c r="D36" s="686">
        <f>Dashboard!AC100</f>
        <v>12500000</v>
      </c>
      <c r="E36" s="1065">
        <f t="shared" ref="E36:E38" si="303">SUMIF($M$13:$EF$13,$P$13,$M36:$EF36)</f>
        <v>18600000</v>
      </c>
      <c r="F36" s="686">
        <f>E36-D36</f>
        <v>6100000</v>
      </c>
      <c r="G36" s="788">
        <f>_xlfn.IFS(F36&gt;0,1,F36&lt;=0,E36/D36)</f>
        <v>1</v>
      </c>
      <c r="H36" s="788">
        <f>IF(SUMIF(M$13:EF$13,$O$13,M36:EF36)&gt;0,AVERAGEIFS(M36:EF36,M36:EF36,"&gt;0",M$13:EF$13,$O$13),"NO NEW ORDER")</f>
        <v>0.5</v>
      </c>
      <c r="I36" s="788">
        <f>Dashboard!M121</f>
        <v>0.16041666666666665</v>
      </c>
      <c r="J36" s="788">
        <f ca="1">IF(SUM(J37:J38)&gt;0,AVERAGEIF(J37:J38,"&gt;0"),0)</f>
        <v>0</v>
      </c>
      <c r="K36" s="686">
        <f>D36/'Action Plan'!$C$6</f>
        <v>480769.23076923075</v>
      </c>
      <c r="L36" s="933">
        <f ca="1">SUMIFS($M36:$EF36,$M$11:$EF$11,TODAY()-1,$M$13:$EF$13,P$13)</f>
        <v>0</v>
      </c>
      <c r="M36" s="899">
        <f>SUM(M37:M38)</f>
        <v>6</v>
      </c>
      <c r="N36" s="904">
        <f>SUM(N37:N38)</f>
        <v>3</v>
      </c>
      <c r="O36" s="788">
        <f>IF(SUM(O37:O38)&gt;0,AVERAGEIF(O37:O38,"&gt;0"),0)</f>
        <v>0.5</v>
      </c>
      <c r="P36" s="891">
        <f>SUM(P37:P38)</f>
        <v>600000</v>
      </c>
      <c r="Q36" s="899">
        <f>SUM(Q37:Q38)</f>
        <v>6</v>
      </c>
      <c r="R36" s="904">
        <f>SUM(R37:R38)</f>
        <v>3</v>
      </c>
      <c r="S36" s="788">
        <f>IF(SUM(S37:S38)&gt;0,AVERAGEIF(S37:S38,"&gt;0"),0)</f>
        <v>0.5</v>
      </c>
      <c r="T36" s="891">
        <f>SUM(T37:T38)</f>
        <v>600000</v>
      </c>
      <c r="U36" s="899">
        <f>SUM(U37:U38)</f>
        <v>6</v>
      </c>
      <c r="V36" s="904">
        <f>SUM(V37:V38)</f>
        <v>3</v>
      </c>
      <c r="W36" s="788">
        <f>IF(SUM(W37:W38)&gt;0,AVERAGEIF(W37:W38,"&gt;0"),0)</f>
        <v>0.5</v>
      </c>
      <c r="X36" s="891">
        <f>SUM(X37:X38)</f>
        <v>600000</v>
      </c>
      <c r="Y36" s="899">
        <f>SUM(Y37:Y38)</f>
        <v>6</v>
      </c>
      <c r="Z36" s="904">
        <f>SUM(Z37:Z38)</f>
        <v>3</v>
      </c>
      <c r="AA36" s="788">
        <f>IF(SUM(AA37:AA38)&gt;0,AVERAGEIF(AA37:AA38,"&gt;0"),0)</f>
        <v>0.5</v>
      </c>
      <c r="AB36" s="891">
        <f>SUM(AB37:AB38)</f>
        <v>600000</v>
      </c>
      <c r="AC36" s="899">
        <f>SUM(AC37:AC38)</f>
        <v>6</v>
      </c>
      <c r="AD36" s="904">
        <f>SUM(AD37:AD38)</f>
        <v>3</v>
      </c>
      <c r="AE36" s="788">
        <f>IF(SUM(AE37:AE38)&gt;0,AVERAGEIF(AE37:AE38,"&gt;0"),0)</f>
        <v>0.5</v>
      </c>
      <c r="AF36" s="891">
        <f>SUM(AF37:AF38)</f>
        <v>600000</v>
      </c>
      <c r="AG36" s="899">
        <f>SUM(AG37:AG38)</f>
        <v>6</v>
      </c>
      <c r="AH36" s="904">
        <f>SUM(AH37:AH38)</f>
        <v>3</v>
      </c>
      <c r="AI36" s="788">
        <f>IF(SUM(AI37:AI38)&gt;0,AVERAGEIF(AI37:AI38,"&gt;0"),0)</f>
        <v>0.5</v>
      </c>
      <c r="AJ36" s="891">
        <f>SUM(AJ37:AJ38)</f>
        <v>600000</v>
      </c>
      <c r="AK36" s="899">
        <f>SUM(AK37:AK38)</f>
        <v>6</v>
      </c>
      <c r="AL36" s="904">
        <f>SUM(AL37:AL38)</f>
        <v>3</v>
      </c>
      <c r="AM36" s="788">
        <f>IF(SUM(AM37:AM38)&gt;0,AVERAGEIF(AM37:AM38,"&gt;0"),0)</f>
        <v>0.5</v>
      </c>
      <c r="AN36" s="891">
        <f>SUM(AN37:AN38)</f>
        <v>600000</v>
      </c>
      <c r="AO36" s="899">
        <f>SUM(AO37:AO38)</f>
        <v>6</v>
      </c>
      <c r="AP36" s="904">
        <f>SUM(AP37:AP38)</f>
        <v>3</v>
      </c>
      <c r="AQ36" s="788">
        <f>IF(SUM(AQ37:AQ38)&gt;0,AVERAGEIF(AQ37:AQ38,"&gt;0"),0)</f>
        <v>0.5</v>
      </c>
      <c r="AR36" s="891">
        <f>SUM(AR37:AR38)</f>
        <v>600000</v>
      </c>
      <c r="AS36" s="899">
        <f>SUM(AS37:AS38)</f>
        <v>6</v>
      </c>
      <c r="AT36" s="904">
        <f>SUM(AT37:AT38)</f>
        <v>3</v>
      </c>
      <c r="AU36" s="788">
        <f>IF(SUM(AU37:AU38)&gt;0,AVERAGEIF(AU37:AU38,"&gt;0"),0)</f>
        <v>0.5</v>
      </c>
      <c r="AV36" s="891">
        <f>SUM(AV37:AV38)</f>
        <v>600000</v>
      </c>
      <c r="AW36" s="899">
        <f>SUM(AW37:AW38)</f>
        <v>6</v>
      </c>
      <c r="AX36" s="904">
        <f>SUM(AX37:AX38)</f>
        <v>3</v>
      </c>
      <c r="AY36" s="788">
        <f>IF(SUM(AY37:AY38)&gt;0,AVERAGEIF(AY37:AY38,"&gt;0"),0)</f>
        <v>0.5</v>
      </c>
      <c r="AZ36" s="891">
        <f>SUM(AZ37:AZ38)</f>
        <v>600000</v>
      </c>
      <c r="BA36" s="899">
        <f>SUM(BA37:BA38)</f>
        <v>6</v>
      </c>
      <c r="BB36" s="904">
        <f>SUM(BB37:BB38)</f>
        <v>3</v>
      </c>
      <c r="BC36" s="788">
        <f>IF(SUM(BC37:BC38)&gt;0,AVERAGEIF(BC37:BC38,"&gt;0"),0)</f>
        <v>0.5</v>
      </c>
      <c r="BD36" s="891">
        <f>SUM(BD37:BD38)</f>
        <v>600000</v>
      </c>
      <c r="BE36" s="899">
        <f>SUM(BE37:BE38)</f>
        <v>6</v>
      </c>
      <c r="BF36" s="904">
        <f>SUM(BF37:BF38)</f>
        <v>3</v>
      </c>
      <c r="BG36" s="788">
        <f>IF(SUM(BG37:BG38)&gt;0,AVERAGEIF(BG37:BG38,"&gt;0"),0)</f>
        <v>0.5</v>
      </c>
      <c r="BH36" s="891">
        <f>SUM(BH37:BH38)</f>
        <v>600000</v>
      </c>
      <c r="BI36" s="899">
        <f>SUM(BI37:BI38)</f>
        <v>6</v>
      </c>
      <c r="BJ36" s="904">
        <f>SUM(BJ37:BJ38)</f>
        <v>3</v>
      </c>
      <c r="BK36" s="788">
        <f>IF(SUM(BK37:BK38)&gt;0,AVERAGEIF(BK37:BK38,"&gt;0"),0)</f>
        <v>0.5</v>
      </c>
      <c r="BL36" s="891">
        <f>SUM(BL37:BL38)</f>
        <v>600000</v>
      </c>
      <c r="BM36" s="899">
        <f>SUM(BM37:BM38)</f>
        <v>6</v>
      </c>
      <c r="BN36" s="904">
        <f>SUM(BN37:BN38)</f>
        <v>3</v>
      </c>
      <c r="BO36" s="788">
        <f>IF(SUM(BO37:BO38)&gt;0,AVERAGEIF(BO37:BO38,"&gt;0"),0)</f>
        <v>0.5</v>
      </c>
      <c r="BP36" s="891">
        <f>SUM(BP37:BP38)</f>
        <v>600000</v>
      </c>
      <c r="BQ36" s="899">
        <f>SUM(BQ37:BQ38)</f>
        <v>6</v>
      </c>
      <c r="BR36" s="904">
        <f>SUM(BR37:BR38)</f>
        <v>3</v>
      </c>
      <c r="BS36" s="788">
        <f>IF(SUM(BS37:BS38)&gt;0,AVERAGEIF(BS37:BS38,"&gt;0"),0)</f>
        <v>0.5</v>
      </c>
      <c r="BT36" s="891">
        <f>SUM(BT37:BT38)</f>
        <v>600000</v>
      </c>
      <c r="BU36" s="899">
        <f>SUM(BU37:BU38)</f>
        <v>6</v>
      </c>
      <c r="BV36" s="904">
        <f>SUM(BV37:BV38)</f>
        <v>3</v>
      </c>
      <c r="BW36" s="788">
        <f>IF(SUM(BW37:BW38)&gt;0,AVERAGEIF(BW37:BW38,"&gt;0"),0)</f>
        <v>0.5</v>
      </c>
      <c r="BX36" s="891">
        <f>SUM(BX37:BX38)</f>
        <v>600000</v>
      </c>
      <c r="BY36" s="899">
        <f>SUM(BY37:BY38)</f>
        <v>6</v>
      </c>
      <c r="BZ36" s="904">
        <f>SUM(BZ37:BZ38)</f>
        <v>3</v>
      </c>
      <c r="CA36" s="788">
        <f>IF(SUM(CA37:CA38)&gt;0,AVERAGEIF(CA37:CA38,"&gt;0"),0)</f>
        <v>0.5</v>
      </c>
      <c r="CB36" s="891">
        <f>SUM(CB37:CB38)</f>
        <v>600000</v>
      </c>
      <c r="CC36" s="899">
        <f>SUM(CC37:CC38)</f>
        <v>6</v>
      </c>
      <c r="CD36" s="904">
        <f>SUM(CD37:CD38)</f>
        <v>3</v>
      </c>
      <c r="CE36" s="788">
        <f>IF(SUM(CE37:CE38)&gt;0,AVERAGEIF(CE37:CE38,"&gt;0"),0)</f>
        <v>0.5</v>
      </c>
      <c r="CF36" s="891">
        <f>SUM(CF37:CF38)</f>
        <v>600000</v>
      </c>
      <c r="CG36" s="899">
        <f>SUM(CG37:CG38)</f>
        <v>6</v>
      </c>
      <c r="CH36" s="904">
        <f>SUM(CH37:CH38)</f>
        <v>3</v>
      </c>
      <c r="CI36" s="788">
        <f>IF(SUM(CI37:CI38)&gt;0,AVERAGEIF(CI37:CI38,"&gt;0"),0)</f>
        <v>0.5</v>
      </c>
      <c r="CJ36" s="891">
        <f>SUM(CJ37:CJ38)</f>
        <v>600000</v>
      </c>
      <c r="CK36" s="899">
        <f>SUM(CK37:CK38)</f>
        <v>6</v>
      </c>
      <c r="CL36" s="904">
        <f>SUM(CL37:CL38)</f>
        <v>3</v>
      </c>
      <c r="CM36" s="788">
        <f>IF(SUM(CM37:CM38)&gt;0,AVERAGEIF(CM37:CM38,"&gt;0"),0)</f>
        <v>0.5</v>
      </c>
      <c r="CN36" s="891">
        <f>SUM(CN37:CN38)</f>
        <v>600000</v>
      </c>
      <c r="CO36" s="899">
        <f>SUM(CO37:CO38)</f>
        <v>6</v>
      </c>
      <c r="CP36" s="904">
        <f>SUM(CP37:CP38)</f>
        <v>3</v>
      </c>
      <c r="CQ36" s="788">
        <f>IF(SUM(CQ37:CQ38)&gt;0,AVERAGEIF(CQ37:CQ38,"&gt;0"),0)</f>
        <v>0.5</v>
      </c>
      <c r="CR36" s="891">
        <f>SUM(CR37:CR38)</f>
        <v>600000</v>
      </c>
      <c r="CS36" s="899">
        <f>SUM(CS37:CS38)</f>
        <v>6</v>
      </c>
      <c r="CT36" s="904">
        <f>SUM(CT37:CT38)</f>
        <v>3</v>
      </c>
      <c r="CU36" s="788">
        <f>IF(SUM(CU37:CU38)&gt;0,AVERAGEIF(CU37:CU38,"&gt;0"),0)</f>
        <v>0.5</v>
      </c>
      <c r="CV36" s="891">
        <f>SUM(CV37:CV38)</f>
        <v>600000</v>
      </c>
      <c r="CW36" s="899">
        <f>SUM(CW37:CW38)</f>
        <v>6</v>
      </c>
      <c r="CX36" s="904">
        <f>SUM(CX37:CX38)</f>
        <v>3</v>
      </c>
      <c r="CY36" s="788">
        <f>IF(SUM(CY37:CY38)&gt;0,AVERAGEIF(CY37:CY38,"&gt;0"),0)</f>
        <v>0.5</v>
      </c>
      <c r="CZ36" s="891">
        <f>SUM(CZ37:CZ38)</f>
        <v>600000</v>
      </c>
      <c r="DA36" s="899">
        <f>SUM(DA37:DA38)</f>
        <v>6</v>
      </c>
      <c r="DB36" s="904">
        <f>SUM(DB37:DB38)</f>
        <v>3</v>
      </c>
      <c r="DC36" s="788">
        <f>IF(SUM(DC37:DC38)&gt;0,AVERAGEIF(DC37:DC38,"&gt;0"),0)</f>
        <v>0.5</v>
      </c>
      <c r="DD36" s="891">
        <f>SUM(DD37:DD38)</f>
        <v>600000</v>
      </c>
      <c r="DE36" s="899">
        <f>SUM(DE37:DE38)</f>
        <v>6</v>
      </c>
      <c r="DF36" s="904">
        <f>SUM(DF37:DF38)</f>
        <v>3</v>
      </c>
      <c r="DG36" s="788">
        <f>IF(SUM(DG37:DG38)&gt;0,AVERAGEIF(DG37:DG38,"&gt;0"),0)</f>
        <v>0.5</v>
      </c>
      <c r="DH36" s="891">
        <f>SUM(DH37:DH38)</f>
        <v>600000</v>
      </c>
      <c r="DI36" s="899">
        <f>SUM(DI37:DI38)</f>
        <v>6</v>
      </c>
      <c r="DJ36" s="904">
        <f>SUM(DJ37:DJ38)</f>
        <v>3</v>
      </c>
      <c r="DK36" s="788">
        <f>IF(SUM(DK37:DK38)&gt;0,AVERAGEIF(DK37:DK38,"&gt;0"),0)</f>
        <v>0.5</v>
      </c>
      <c r="DL36" s="891">
        <f>SUM(DL37:DL38)</f>
        <v>600000</v>
      </c>
      <c r="DM36" s="899">
        <f>SUM(DM37:DM38)</f>
        <v>6</v>
      </c>
      <c r="DN36" s="904">
        <f>SUM(DN37:DN38)</f>
        <v>3</v>
      </c>
      <c r="DO36" s="788">
        <f>IF(SUM(DO37:DO38)&gt;0,AVERAGEIF(DO37:DO38,"&gt;0"),0)</f>
        <v>0.5</v>
      </c>
      <c r="DP36" s="891">
        <f>SUM(DP37:DP38)</f>
        <v>600000</v>
      </c>
      <c r="DQ36" s="899">
        <f>SUM(DQ37:DQ38)</f>
        <v>6</v>
      </c>
      <c r="DR36" s="904">
        <f>SUM(DR37:DR38)</f>
        <v>3</v>
      </c>
      <c r="DS36" s="788">
        <f>IF(SUM(DS37:DS38)&gt;0,AVERAGEIF(DS37:DS38,"&gt;0"),0)</f>
        <v>0.5</v>
      </c>
      <c r="DT36" s="891">
        <f>SUM(DT37:DT38)</f>
        <v>600000</v>
      </c>
      <c r="DU36" s="899">
        <f>SUM(DU37:DU38)</f>
        <v>6</v>
      </c>
      <c r="DV36" s="904">
        <f>SUM(DV37:DV38)</f>
        <v>3</v>
      </c>
      <c r="DW36" s="788">
        <f>IF(SUM(DW37:DW38)&gt;0,AVERAGEIF(DW37:DW38,"&gt;0"),0)</f>
        <v>0.5</v>
      </c>
      <c r="DX36" s="891">
        <f>SUM(DX37:DX38)</f>
        <v>600000</v>
      </c>
      <c r="DY36" s="899">
        <f>SUM(DY37:DY38)</f>
        <v>6</v>
      </c>
      <c r="DZ36" s="904">
        <f>SUM(DZ37:DZ38)</f>
        <v>3</v>
      </c>
      <c r="EA36" s="788">
        <f>IF(SUM(EA37:EA38)&gt;0,AVERAGEIF(EA37:EA38,"&gt;0"),0)</f>
        <v>0.5</v>
      </c>
      <c r="EB36" s="891">
        <f>SUM(EB37:EB38)</f>
        <v>600000</v>
      </c>
      <c r="EC36" s="899">
        <f>SUM(EC37:EC38)</f>
        <v>6</v>
      </c>
      <c r="ED36" s="904">
        <f>SUM(ED37:ED38)</f>
        <v>3</v>
      </c>
      <c r="EE36" s="788">
        <f>IF(SUM(EE37:EE38)&gt;0,AVERAGEIF(EE37:EE38,"&gt;0"),0)</f>
        <v>0.5</v>
      </c>
      <c r="EF36" s="891">
        <f>SUM(EF37:EF38)</f>
        <v>600000</v>
      </c>
    </row>
    <row r="37" spans="1:136" ht="20" customHeight="1" x14ac:dyDescent="0.15">
      <c r="A37" s="189">
        <f>_xlfn.IFS(B37=0,0,E37&gt;B37,1,E37&lt;=B37,E37/B37)</f>
        <v>0</v>
      </c>
      <c r="B37" s="183"/>
      <c r="C37" s="943" t="str">
        <f>Dashboard!K100</f>
        <v>SHOPPEE</v>
      </c>
      <c r="D37" s="610">
        <f>$D$36/2</f>
        <v>6250000</v>
      </c>
      <c r="E37" s="1082">
        <f t="shared" si="303"/>
        <v>9300000</v>
      </c>
      <c r="F37" s="610">
        <f>E37-D37</f>
        <v>3050000</v>
      </c>
      <c r="G37" s="208">
        <f t="shared" ref="G37:G38" si="304">_xlfn.IFS(F37&gt;0,1,F37&lt;=0,E37/D37)</f>
        <v>1</v>
      </c>
      <c r="H37" s="208">
        <f>IF(SUMIF(M$13:EF$13,$O$13,M37:EF37)&gt;0,AVERAGEIFS(M37:EF37,M37:EF37,"&gt;0",M$13:EF$13,$O$13),"NO NEW ORDER")</f>
        <v>0.33333333333333337</v>
      </c>
      <c r="I37" s="17"/>
      <c r="J37" s="208">
        <f ca="1">SUMIFS($M37:$EF37,$M$11:$EF$11,TODAY()-1,$M$13:$EF$13,O$13)</f>
        <v>0</v>
      </c>
      <c r="K37" s="852"/>
      <c r="L37" s="605">
        <f ca="1">SUMIFS($M37:$EF37,$M$11:$EF$11,TODAY()-1,$M$13:$EF$13,P$13)</f>
        <v>0</v>
      </c>
      <c r="M37" s="1026">
        <v>3</v>
      </c>
      <c r="N37" s="1027">
        <v>1</v>
      </c>
      <c r="O37" s="906">
        <f>_xlfn.IFS(M37=0,0,N37&lt;=M37,N37/M37,N37&gt;M37,1)</f>
        <v>0.33333333333333331</v>
      </c>
      <c r="P37" s="1029">
        <v>300000</v>
      </c>
      <c r="Q37" s="1026">
        <v>3</v>
      </c>
      <c r="R37" s="1027">
        <v>1</v>
      </c>
      <c r="S37" s="906">
        <f>_xlfn.IFS(Q37=0,0,R37&lt;=Q37,R37/Q37,R37&gt;Q37,1)</f>
        <v>0.33333333333333331</v>
      </c>
      <c r="T37" s="1029">
        <v>300000</v>
      </c>
      <c r="U37" s="1026">
        <v>3</v>
      </c>
      <c r="V37" s="1027">
        <v>1</v>
      </c>
      <c r="W37" s="906">
        <f>_xlfn.IFS(U37=0,0,V37&lt;=U37,V37/U37,V37&gt;U37,1)</f>
        <v>0.33333333333333331</v>
      </c>
      <c r="X37" s="1029">
        <v>300000</v>
      </c>
      <c r="Y37" s="1026">
        <v>3</v>
      </c>
      <c r="Z37" s="1027">
        <v>1</v>
      </c>
      <c r="AA37" s="906">
        <f>_xlfn.IFS(Y37=0,0,Z37&lt;=Y37,Z37/Y37,Z37&gt;Y37,1)</f>
        <v>0.33333333333333331</v>
      </c>
      <c r="AB37" s="1029">
        <v>300000</v>
      </c>
      <c r="AC37" s="1026">
        <v>3</v>
      </c>
      <c r="AD37" s="1027">
        <v>1</v>
      </c>
      <c r="AE37" s="906">
        <f>_xlfn.IFS(AC37=0,0,AD37&lt;=AC37,AD37/AC37,AD37&gt;AC37,1)</f>
        <v>0.33333333333333331</v>
      </c>
      <c r="AF37" s="1029">
        <v>300000</v>
      </c>
      <c r="AG37" s="1026">
        <v>3</v>
      </c>
      <c r="AH37" s="1027">
        <v>1</v>
      </c>
      <c r="AI37" s="906">
        <f>_xlfn.IFS(AG37=0,0,AH37&lt;=AG37,AH37/AG37,AH37&gt;AG37,1)</f>
        <v>0.33333333333333331</v>
      </c>
      <c r="AJ37" s="1029">
        <v>300000</v>
      </c>
      <c r="AK37" s="1026">
        <v>3</v>
      </c>
      <c r="AL37" s="1027">
        <v>1</v>
      </c>
      <c r="AM37" s="906">
        <f>_xlfn.IFS(AK37=0,0,AL37&lt;=AK37,AL37/AK37,AL37&gt;AK37,1)</f>
        <v>0.33333333333333331</v>
      </c>
      <c r="AN37" s="1029">
        <v>300000</v>
      </c>
      <c r="AO37" s="1026">
        <v>3</v>
      </c>
      <c r="AP37" s="1027">
        <v>1</v>
      </c>
      <c r="AQ37" s="906">
        <f>_xlfn.IFS(AO37=0,0,AP37&lt;=AO37,AP37/AO37,AP37&gt;AO37,1)</f>
        <v>0.33333333333333331</v>
      </c>
      <c r="AR37" s="1029">
        <v>300000</v>
      </c>
      <c r="AS37" s="1026">
        <v>3</v>
      </c>
      <c r="AT37" s="1027">
        <v>1</v>
      </c>
      <c r="AU37" s="906">
        <f>_xlfn.IFS(AS37=0,0,AT37&lt;=AS37,AT37/AS37,AT37&gt;AS37,1)</f>
        <v>0.33333333333333331</v>
      </c>
      <c r="AV37" s="1029">
        <v>300000</v>
      </c>
      <c r="AW37" s="1026">
        <v>3</v>
      </c>
      <c r="AX37" s="1027">
        <v>1</v>
      </c>
      <c r="AY37" s="906">
        <f>_xlfn.IFS(AW37=0,0,AX37&lt;=AW37,AX37/AW37,AX37&gt;AW37,1)</f>
        <v>0.33333333333333331</v>
      </c>
      <c r="AZ37" s="1029">
        <v>300000</v>
      </c>
      <c r="BA37" s="1026">
        <v>3</v>
      </c>
      <c r="BB37" s="1027">
        <v>1</v>
      </c>
      <c r="BC37" s="906">
        <f>_xlfn.IFS(BA37=0,0,BB37&lt;=BA37,BB37/BA37,BB37&gt;BA37,1)</f>
        <v>0.33333333333333331</v>
      </c>
      <c r="BD37" s="1029">
        <v>300000</v>
      </c>
      <c r="BE37" s="1026">
        <v>3</v>
      </c>
      <c r="BF37" s="1027">
        <v>1</v>
      </c>
      <c r="BG37" s="906">
        <f>_xlfn.IFS(BE37=0,0,BF37&lt;=BE37,BF37/BE37,BF37&gt;BE37,1)</f>
        <v>0.33333333333333331</v>
      </c>
      <c r="BH37" s="1029">
        <v>300000</v>
      </c>
      <c r="BI37" s="1026">
        <v>3</v>
      </c>
      <c r="BJ37" s="1027">
        <v>1</v>
      </c>
      <c r="BK37" s="906">
        <f>_xlfn.IFS(BI37=0,0,BJ37&lt;=BI37,BJ37/BI37,BJ37&gt;BI37,1)</f>
        <v>0.33333333333333331</v>
      </c>
      <c r="BL37" s="1029">
        <v>300000</v>
      </c>
      <c r="BM37" s="1026">
        <v>3</v>
      </c>
      <c r="BN37" s="1027">
        <v>1</v>
      </c>
      <c r="BO37" s="906">
        <f>_xlfn.IFS(BM37=0,0,BN37&lt;=BM37,BN37/BM37,BN37&gt;BM37,1)</f>
        <v>0.33333333333333331</v>
      </c>
      <c r="BP37" s="1029">
        <v>300000</v>
      </c>
      <c r="BQ37" s="1026">
        <v>3</v>
      </c>
      <c r="BR37" s="1027">
        <v>1</v>
      </c>
      <c r="BS37" s="906">
        <f>_xlfn.IFS(BQ37=0,0,BR37&lt;=BQ37,BR37/BQ37,BR37&gt;BQ37,1)</f>
        <v>0.33333333333333331</v>
      </c>
      <c r="BT37" s="1029">
        <v>300000</v>
      </c>
      <c r="BU37" s="1026">
        <v>3</v>
      </c>
      <c r="BV37" s="1027">
        <v>1</v>
      </c>
      <c r="BW37" s="906">
        <f>_xlfn.IFS(BU37=0,0,BV37&lt;=BU37,BV37/BU37,BV37&gt;BU37,1)</f>
        <v>0.33333333333333331</v>
      </c>
      <c r="BX37" s="1029">
        <v>300000</v>
      </c>
      <c r="BY37" s="1026">
        <v>3</v>
      </c>
      <c r="BZ37" s="1027">
        <v>1</v>
      </c>
      <c r="CA37" s="906">
        <f>_xlfn.IFS(BY37=0,0,BZ37&lt;=BY37,BZ37/BY37,BZ37&gt;BY37,1)</f>
        <v>0.33333333333333331</v>
      </c>
      <c r="CB37" s="1029">
        <v>300000</v>
      </c>
      <c r="CC37" s="1026">
        <v>3</v>
      </c>
      <c r="CD37" s="1027">
        <v>1</v>
      </c>
      <c r="CE37" s="906">
        <f>_xlfn.IFS(CC37=0,0,CD37&lt;=CC37,CD37/CC37,CD37&gt;CC37,1)</f>
        <v>0.33333333333333331</v>
      </c>
      <c r="CF37" s="1029">
        <v>300000</v>
      </c>
      <c r="CG37" s="1026">
        <v>3</v>
      </c>
      <c r="CH37" s="1027">
        <v>1</v>
      </c>
      <c r="CI37" s="906">
        <f>_xlfn.IFS(CG37=0,0,CH37&lt;=CG37,CH37/CG37,CH37&gt;CG37,1)</f>
        <v>0.33333333333333331</v>
      </c>
      <c r="CJ37" s="1029">
        <v>300000</v>
      </c>
      <c r="CK37" s="1026">
        <v>3</v>
      </c>
      <c r="CL37" s="1027">
        <v>1</v>
      </c>
      <c r="CM37" s="906">
        <f>_xlfn.IFS(CK37=0,0,CL37&lt;=CK37,CL37/CK37,CL37&gt;CK37,1)</f>
        <v>0.33333333333333331</v>
      </c>
      <c r="CN37" s="1029">
        <v>300000</v>
      </c>
      <c r="CO37" s="1026">
        <v>3</v>
      </c>
      <c r="CP37" s="1027">
        <v>1</v>
      </c>
      <c r="CQ37" s="906">
        <f>_xlfn.IFS(CO37=0,0,CP37&lt;=CO37,CP37/CO37,CP37&gt;CO37,1)</f>
        <v>0.33333333333333331</v>
      </c>
      <c r="CR37" s="1029">
        <v>300000</v>
      </c>
      <c r="CS37" s="1026">
        <v>3</v>
      </c>
      <c r="CT37" s="1027">
        <v>1</v>
      </c>
      <c r="CU37" s="906">
        <f>_xlfn.IFS(CS37=0,0,CT37&lt;=CS37,CT37/CS37,CT37&gt;CS37,1)</f>
        <v>0.33333333333333331</v>
      </c>
      <c r="CV37" s="1029">
        <v>300000</v>
      </c>
      <c r="CW37" s="1026">
        <v>3</v>
      </c>
      <c r="CX37" s="1027">
        <v>1</v>
      </c>
      <c r="CY37" s="906">
        <f>_xlfn.IFS(CW37=0,0,CX37&lt;=CW37,CX37/CW37,CX37&gt;CW37,1)</f>
        <v>0.33333333333333331</v>
      </c>
      <c r="CZ37" s="1029">
        <v>300000</v>
      </c>
      <c r="DA37" s="1026">
        <v>3</v>
      </c>
      <c r="DB37" s="1027">
        <v>1</v>
      </c>
      <c r="DC37" s="906">
        <f>_xlfn.IFS(DA37=0,0,DB37&lt;=DA37,DB37/DA37,DB37&gt;DA37,1)</f>
        <v>0.33333333333333331</v>
      </c>
      <c r="DD37" s="1029">
        <v>300000</v>
      </c>
      <c r="DE37" s="1026">
        <v>3</v>
      </c>
      <c r="DF37" s="1027">
        <v>1</v>
      </c>
      <c r="DG37" s="906">
        <f>_xlfn.IFS(DE37=0,0,DF37&lt;=DE37,DF37/DE37,DF37&gt;DE37,1)</f>
        <v>0.33333333333333331</v>
      </c>
      <c r="DH37" s="1029">
        <v>300000</v>
      </c>
      <c r="DI37" s="1026">
        <v>3</v>
      </c>
      <c r="DJ37" s="1027">
        <v>1</v>
      </c>
      <c r="DK37" s="906">
        <f>_xlfn.IFS(DI37=0,0,DJ37&lt;=DI37,DJ37/DI37,DJ37&gt;DI37,1)</f>
        <v>0.33333333333333331</v>
      </c>
      <c r="DL37" s="1029">
        <v>300000</v>
      </c>
      <c r="DM37" s="1026">
        <v>3</v>
      </c>
      <c r="DN37" s="1027">
        <v>1</v>
      </c>
      <c r="DO37" s="906">
        <f>_xlfn.IFS(DM37=0,0,DN37&lt;=DM37,DN37/DM37,DN37&gt;DM37,1)</f>
        <v>0.33333333333333331</v>
      </c>
      <c r="DP37" s="1029">
        <v>300000</v>
      </c>
      <c r="DQ37" s="1026">
        <v>3</v>
      </c>
      <c r="DR37" s="1027">
        <v>1</v>
      </c>
      <c r="DS37" s="906">
        <f>_xlfn.IFS(DQ37=0,0,DR37&lt;=DQ37,DR37/DQ37,DR37&gt;DQ37,1)</f>
        <v>0.33333333333333331</v>
      </c>
      <c r="DT37" s="1029">
        <v>300000</v>
      </c>
      <c r="DU37" s="1026">
        <v>3</v>
      </c>
      <c r="DV37" s="1027">
        <v>1</v>
      </c>
      <c r="DW37" s="906">
        <f>_xlfn.IFS(DU37=0,0,DV37&lt;=DU37,DV37/DU37,DV37&gt;DU37,1)</f>
        <v>0.33333333333333331</v>
      </c>
      <c r="DX37" s="1029">
        <v>300000</v>
      </c>
      <c r="DY37" s="1026">
        <v>3</v>
      </c>
      <c r="DZ37" s="1027">
        <v>1</v>
      </c>
      <c r="EA37" s="906">
        <f>_xlfn.IFS(DY37=0,0,DZ37&lt;=DY37,DZ37/DY37,DZ37&gt;DY37,1)</f>
        <v>0.33333333333333331</v>
      </c>
      <c r="EB37" s="1029">
        <v>300000</v>
      </c>
      <c r="EC37" s="1026">
        <v>3</v>
      </c>
      <c r="ED37" s="1027">
        <v>1</v>
      </c>
      <c r="EE37" s="906">
        <f>_xlfn.IFS(EC37=0,0,ED37&lt;=EC37,ED37/EC37,ED37&gt;EC37,1)</f>
        <v>0.33333333333333331</v>
      </c>
      <c r="EF37" s="1029">
        <v>300000</v>
      </c>
    </row>
    <row r="38" spans="1:136" ht="20" customHeight="1" x14ac:dyDescent="0.15">
      <c r="A38" s="189">
        <f>_xlfn.IFS(B38=0,0,E38&gt;B38,1,E38&lt;=B38,E38/B38)</f>
        <v>0</v>
      </c>
      <c r="B38" s="262"/>
      <c r="C38" s="944" t="s">
        <v>133</v>
      </c>
      <c r="D38" s="610">
        <f>$D$36/2</f>
        <v>6250000</v>
      </c>
      <c r="E38" s="1082">
        <f t="shared" si="303"/>
        <v>9300000</v>
      </c>
      <c r="F38" s="610">
        <f t="shared" ref="F38" si="305">E38-D38</f>
        <v>3050000</v>
      </c>
      <c r="G38" s="208">
        <f t="shared" si="304"/>
        <v>1</v>
      </c>
      <c r="H38" s="208">
        <f>IF(SUMIF(M$13:EF$13,$O$13,M38:EF38)&gt;0,AVERAGEIFS(M38:EF38,M38:EF38,"&gt;0",M$13:EF$13,$O$13),"NO NEW ORDER")</f>
        <v>0.66666666666666674</v>
      </c>
      <c r="I38" s="978"/>
      <c r="J38" s="208">
        <f ca="1">SUMIFS($M38:$EF38,$M$11:$EF$11,TODAY()-1,$M$13:$EF$13,O$13)</f>
        <v>0</v>
      </c>
      <c r="K38" s="853"/>
      <c r="L38" s="605">
        <f ca="1">SUMIFS($M38:$EF38,$M$11:$EF$11,TODAY()-1,$M$13:$EF$13,P$13)</f>
        <v>0</v>
      </c>
      <c r="M38" s="1026">
        <v>3</v>
      </c>
      <c r="N38" s="1027">
        <v>2</v>
      </c>
      <c r="O38" s="906">
        <f>_xlfn.IFS(M38=0,0,N38&lt;=M38,N38/M38,N38&gt;M38,1)</f>
        <v>0.66666666666666663</v>
      </c>
      <c r="P38" s="1029">
        <v>300000</v>
      </c>
      <c r="Q38" s="1026">
        <v>3</v>
      </c>
      <c r="R38" s="1027">
        <v>2</v>
      </c>
      <c r="S38" s="906">
        <f>_xlfn.IFS(Q38=0,0,R38&lt;=Q38,R38/Q38,R38&gt;Q38,1)</f>
        <v>0.66666666666666663</v>
      </c>
      <c r="T38" s="1029">
        <v>300000</v>
      </c>
      <c r="U38" s="1026">
        <v>3</v>
      </c>
      <c r="V38" s="1027">
        <v>2</v>
      </c>
      <c r="W38" s="906">
        <f>_xlfn.IFS(U38=0,0,V38&lt;=U38,V38/U38,V38&gt;U38,1)</f>
        <v>0.66666666666666663</v>
      </c>
      <c r="X38" s="1029">
        <v>300000</v>
      </c>
      <c r="Y38" s="1026">
        <v>3</v>
      </c>
      <c r="Z38" s="1027">
        <v>2</v>
      </c>
      <c r="AA38" s="906">
        <f>_xlfn.IFS(Y38=0,0,Z38&lt;=Y38,Z38/Y38,Z38&gt;Y38,1)</f>
        <v>0.66666666666666663</v>
      </c>
      <c r="AB38" s="1029">
        <v>300000</v>
      </c>
      <c r="AC38" s="1026">
        <v>3</v>
      </c>
      <c r="AD38" s="1027">
        <v>2</v>
      </c>
      <c r="AE38" s="906">
        <f>_xlfn.IFS(AC38=0,0,AD38&lt;=AC38,AD38/AC38,AD38&gt;AC38,1)</f>
        <v>0.66666666666666663</v>
      </c>
      <c r="AF38" s="1029">
        <v>300000</v>
      </c>
      <c r="AG38" s="1026">
        <v>3</v>
      </c>
      <c r="AH38" s="1027">
        <v>2</v>
      </c>
      <c r="AI38" s="906">
        <f>_xlfn.IFS(AG38=0,0,AH38&lt;=AG38,AH38/AG38,AH38&gt;AG38,1)</f>
        <v>0.66666666666666663</v>
      </c>
      <c r="AJ38" s="1029">
        <v>300000</v>
      </c>
      <c r="AK38" s="1026">
        <v>3</v>
      </c>
      <c r="AL38" s="1027">
        <v>2</v>
      </c>
      <c r="AM38" s="906">
        <f>_xlfn.IFS(AK38=0,0,AL38&lt;=AK38,AL38/AK38,AL38&gt;AK38,1)</f>
        <v>0.66666666666666663</v>
      </c>
      <c r="AN38" s="1029">
        <v>300000</v>
      </c>
      <c r="AO38" s="1026">
        <v>3</v>
      </c>
      <c r="AP38" s="1027">
        <v>2</v>
      </c>
      <c r="AQ38" s="906">
        <f>_xlfn.IFS(AO38=0,0,AP38&lt;=AO38,AP38/AO38,AP38&gt;AO38,1)</f>
        <v>0.66666666666666663</v>
      </c>
      <c r="AR38" s="1029">
        <v>300000</v>
      </c>
      <c r="AS38" s="1026">
        <v>3</v>
      </c>
      <c r="AT38" s="1027">
        <v>2</v>
      </c>
      <c r="AU38" s="906">
        <f>_xlfn.IFS(AS38=0,0,AT38&lt;=AS38,AT38/AS38,AT38&gt;AS38,1)</f>
        <v>0.66666666666666663</v>
      </c>
      <c r="AV38" s="1029">
        <v>300000</v>
      </c>
      <c r="AW38" s="1026">
        <v>3</v>
      </c>
      <c r="AX38" s="1027">
        <v>2</v>
      </c>
      <c r="AY38" s="906">
        <f>_xlfn.IFS(AW38=0,0,AX38&lt;=AW38,AX38/AW38,AX38&gt;AW38,1)</f>
        <v>0.66666666666666663</v>
      </c>
      <c r="AZ38" s="1029">
        <v>300000</v>
      </c>
      <c r="BA38" s="1026">
        <v>3</v>
      </c>
      <c r="BB38" s="1027">
        <v>2</v>
      </c>
      <c r="BC38" s="906">
        <f>_xlfn.IFS(BA38=0,0,BB38&lt;=BA38,BB38/BA38,BB38&gt;BA38,1)</f>
        <v>0.66666666666666663</v>
      </c>
      <c r="BD38" s="1029">
        <v>300000</v>
      </c>
      <c r="BE38" s="1026">
        <v>3</v>
      </c>
      <c r="BF38" s="1027">
        <v>2</v>
      </c>
      <c r="BG38" s="906">
        <f>_xlfn.IFS(BE38=0,0,BF38&lt;=BE38,BF38/BE38,BF38&gt;BE38,1)</f>
        <v>0.66666666666666663</v>
      </c>
      <c r="BH38" s="1029">
        <v>300000</v>
      </c>
      <c r="BI38" s="1026">
        <v>3</v>
      </c>
      <c r="BJ38" s="1027">
        <v>2</v>
      </c>
      <c r="BK38" s="906">
        <f>_xlfn.IFS(BI38=0,0,BJ38&lt;=BI38,BJ38/BI38,BJ38&gt;BI38,1)</f>
        <v>0.66666666666666663</v>
      </c>
      <c r="BL38" s="1029">
        <v>300000</v>
      </c>
      <c r="BM38" s="1026">
        <v>3</v>
      </c>
      <c r="BN38" s="1027">
        <v>2</v>
      </c>
      <c r="BO38" s="906">
        <f>_xlfn.IFS(BM38=0,0,BN38&lt;=BM38,BN38/BM38,BN38&gt;BM38,1)</f>
        <v>0.66666666666666663</v>
      </c>
      <c r="BP38" s="1029">
        <v>300000</v>
      </c>
      <c r="BQ38" s="1026">
        <v>3</v>
      </c>
      <c r="BR38" s="1027">
        <v>2</v>
      </c>
      <c r="BS38" s="906">
        <f>_xlfn.IFS(BQ38=0,0,BR38&lt;=BQ38,BR38/BQ38,BR38&gt;BQ38,1)</f>
        <v>0.66666666666666663</v>
      </c>
      <c r="BT38" s="1029">
        <v>300000</v>
      </c>
      <c r="BU38" s="1026">
        <v>3</v>
      </c>
      <c r="BV38" s="1027">
        <v>2</v>
      </c>
      <c r="BW38" s="906">
        <f>_xlfn.IFS(BU38=0,0,BV38&lt;=BU38,BV38/BU38,BV38&gt;BU38,1)</f>
        <v>0.66666666666666663</v>
      </c>
      <c r="BX38" s="1029">
        <v>300000</v>
      </c>
      <c r="BY38" s="1026">
        <v>3</v>
      </c>
      <c r="BZ38" s="1027">
        <v>2</v>
      </c>
      <c r="CA38" s="906">
        <f>_xlfn.IFS(BY38=0,0,BZ38&lt;=BY38,BZ38/BY38,BZ38&gt;BY38,1)</f>
        <v>0.66666666666666663</v>
      </c>
      <c r="CB38" s="1029">
        <v>300000</v>
      </c>
      <c r="CC38" s="1026">
        <v>3</v>
      </c>
      <c r="CD38" s="1027">
        <v>2</v>
      </c>
      <c r="CE38" s="906">
        <f>_xlfn.IFS(CC38=0,0,CD38&lt;=CC38,CD38/CC38,CD38&gt;CC38,1)</f>
        <v>0.66666666666666663</v>
      </c>
      <c r="CF38" s="1029">
        <v>300000</v>
      </c>
      <c r="CG38" s="1026">
        <v>3</v>
      </c>
      <c r="CH38" s="1027">
        <v>2</v>
      </c>
      <c r="CI38" s="906">
        <f>_xlfn.IFS(CG38=0,0,CH38&lt;=CG38,CH38/CG38,CH38&gt;CG38,1)</f>
        <v>0.66666666666666663</v>
      </c>
      <c r="CJ38" s="1029">
        <v>300000</v>
      </c>
      <c r="CK38" s="1026">
        <v>3</v>
      </c>
      <c r="CL38" s="1027">
        <v>2</v>
      </c>
      <c r="CM38" s="906">
        <f>_xlfn.IFS(CK38=0,0,CL38&lt;=CK38,CL38/CK38,CL38&gt;CK38,1)</f>
        <v>0.66666666666666663</v>
      </c>
      <c r="CN38" s="1029">
        <v>300000</v>
      </c>
      <c r="CO38" s="1026">
        <v>3</v>
      </c>
      <c r="CP38" s="1027">
        <v>2</v>
      </c>
      <c r="CQ38" s="906">
        <f>_xlfn.IFS(CO38=0,0,CP38&lt;=CO38,CP38/CO38,CP38&gt;CO38,1)</f>
        <v>0.66666666666666663</v>
      </c>
      <c r="CR38" s="1029">
        <v>300000</v>
      </c>
      <c r="CS38" s="1026">
        <v>3</v>
      </c>
      <c r="CT38" s="1027">
        <v>2</v>
      </c>
      <c r="CU38" s="906">
        <f>_xlfn.IFS(CS38=0,0,CT38&lt;=CS38,CT38/CS38,CT38&gt;CS38,1)</f>
        <v>0.66666666666666663</v>
      </c>
      <c r="CV38" s="1029">
        <v>300000</v>
      </c>
      <c r="CW38" s="1026">
        <v>3</v>
      </c>
      <c r="CX38" s="1027">
        <v>2</v>
      </c>
      <c r="CY38" s="906">
        <f>_xlfn.IFS(CW38=0,0,CX38&lt;=CW38,CX38/CW38,CX38&gt;CW38,1)</f>
        <v>0.66666666666666663</v>
      </c>
      <c r="CZ38" s="1029">
        <v>300000</v>
      </c>
      <c r="DA38" s="1026">
        <v>3</v>
      </c>
      <c r="DB38" s="1027">
        <v>2</v>
      </c>
      <c r="DC38" s="906">
        <f>_xlfn.IFS(DA38=0,0,DB38&lt;=DA38,DB38/DA38,DB38&gt;DA38,1)</f>
        <v>0.66666666666666663</v>
      </c>
      <c r="DD38" s="1029">
        <v>300000</v>
      </c>
      <c r="DE38" s="1026">
        <v>3</v>
      </c>
      <c r="DF38" s="1027">
        <v>2</v>
      </c>
      <c r="DG38" s="906">
        <f>_xlfn.IFS(DE38=0,0,DF38&lt;=DE38,DF38/DE38,DF38&gt;DE38,1)</f>
        <v>0.66666666666666663</v>
      </c>
      <c r="DH38" s="1029">
        <v>300000</v>
      </c>
      <c r="DI38" s="1026">
        <v>3</v>
      </c>
      <c r="DJ38" s="1027">
        <v>2</v>
      </c>
      <c r="DK38" s="906">
        <f>_xlfn.IFS(DI38=0,0,DJ38&lt;=DI38,DJ38/DI38,DJ38&gt;DI38,1)</f>
        <v>0.66666666666666663</v>
      </c>
      <c r="DL38" s="1029">
        <v>300000</v>
      </c>
      <c r="DM38" s="1026">
        <v>3</v>
      </c>
      <c r="DN38" s="1027">
        <v>2</v>
      </c>
      <c r="DO38" s="906">
        <f>_xlfn.IFS(DM38=0,0,DN38&lt;=DM38,DN38/DM38,DN38&gt;DM38,1)</f>
        <v>0.66666666666666663</v>
      </c>
      <c r="DP38" s="1029">
        <v>300000</v>
      </c>
      <c r="DQ38" s="1026">
        <v>3</v>
      </c>
      <c r="DR38" s="1027">
        <v>2</v>
      </c>
      <c r="DS38" s="906">
        <f>_xlfn.IFS(DQ38=0,0,DR38&lt;=DQ38,DR38/DQ38,DR38&gt;DQ38,1)</f>
        <v>0.66666666666666663</v>
      </c>
      <c r="DT38" s="1029">
        <v>300000</v>
      </c>
      <c r="DU38" s="1026">
        <v>3</v>
      </c>
      <c r="DV38" s="1027">
        <v>2</v>
      </c>
      <c r="DW38" s="906">
        <f>_xlfn.IFS(DU38=0,0,DV38&lt;=DU38,DV38/DU38,DV38&gt;DU38,1)</f>
        <v>0.66666666666666663</v>
      </c>
      <c r="DX38" s="1029">
        <v>300000</v>
      </c>
      <c r="DY38" s="1026">
        <v>3</v>
      </c>
      <c r="DZ38" s="1027">
        <v>2</v>
      </c>
      <c r="EA38" s="906">
        <f>_xlfn.IFS(DY38=0,0,DZ38&lt;=DY38,DZ38/DY38,DZ38&gt;DY38,1)</f>
        <v>0.66666666666666663</v>
      </c>
      <c r="EB38" s="1029">
        <v>300000</v>
      </c>
      <c r="EC38" s="1026">
        <v>3</v>
      </c>
      <c r="ED38" s="1027">
        <v>2</v>
      </c>
      <c r="EE38" s="906">
        <f>_xlfn.IFS(EC38=0,0,ED38&lt;=EC38,ED38/EC38,ED38&gt;EC38,1)</f>
        <v>0.66666666666666663</v>
      </c>
      <c r="EF38" s="1029">
        <v>300000</v>
      </c>
    </row>
    <row r="39" spans="1:136" ht="20" customHeight="1" x14ac:dyDescent="0.15">
      <c r="A39" s="870">
        <f>_xlfn.IFS(B39=0,0,E39&gt;B39,1,E39&lt;=B39,E39/B39)</f>
        <v>0</v>
      </c>
      <c r="B39" s="949"/>
      <c r="C39" s="883" t="str">
        <f>Dashboard!K101</f>
        <v>ZALO</v>
      </c>
      <c r="D39" s="686">
        <f>Dashboard!AC101</f>
        <v>12500000</v>
      </c>
      <c r="E39" s="1065">
        <f>SUMIF($M$13:$EF$13,$P$13,$M39:$EF39)</f>
        <v>9300000</v>
      </c>
      <c r="F39" s="686">
        <f>E39-D39</f>
        <v>-3200000</v>
      </c>
      <c r="G39" s="788">
        <f>_xlfn.IFS(F39&gt;0,1,F39&lt;=0,E39/D39)</f>
        <v>0.74399999999999999</v>
      </c>
      <c r="H39" s="788">
        <f>IF(SUMIF(M$13:EF$13,$O$13,M39:EF39)&gt;0,AVERAGEIFS(M39:EF39,M39:EF39,"&gt;0",M$13:EF$13,$O$13),"NO NEW ORDER")</f>
        <v>1</v>
      </c>
      <c r="I39" s="855">
        <f>Dashboard!M122</f>
        <v>0.16041666666666665</v>
      </c>
      <c r="J39" s="788">
        <f ca="1">SUMIFS($M39:$EF39,$M$11:$EF$11,TODAY()-1,$M$13:$EF$13,O$13)</f>
        <v>0</v>
      </c>
      <c r="K39" s="686">
        <f>D39/'Action Plan'!$C$6</f>
        <v>480769.23076923075</v>
      </c>
      <c r="L39" s="933">
        <f ca="1">SUMIFS($M39:$EF39,$M$11:$EF$11,TODAY()-1,$M$13:$EF$13,P$13)</f>
        <v>0</v>
      </c>
      <c r="M39" s="1111">
        <v>1</v>
      </c>
      <c r="N39" s="1112">
        <v>1</v>
      </c>
      <c r="O39" s="788">
        <f>_xlfn.IFS(M39=0,0,N39&lt;=M39,N39/M39,N39&gt;M39,1)</f>
        <v>1</v>
      </c>
      <c r="P39" s="1113">
        <v>300000</v>
      </c>
      <c r="Q39" s="1111">
        <v>1</v>
      </c>
      <c r="R39" s="1112">
        <v>1</v>
      </c>
      <c r="S39" s="788">
        <f>_xlfn.IFS(Q39=0,0,R39&lt;=Q39,R39/Q39,R39&gt;Q39,1)</f>
        <v>1</v>
      </c>
      <c r="T39" s="1113">
        <v>300000</v>
      </c>
      <c r="U39" s="1111">
        <v>1</v>
      </c>
      <c r="V39" s="1112">
        <v>1</v>
      </c>
      <c r="W39" s="788">
        <f>_xlfn.IFS(U39=0,0,V39&lt;=U39,V39/U39,V39&gt;U39,1)</f>
        <v>1</v>
      </c>
      <c r="X39" s="1113">
        <v>300000</v>
      </c>
      <c r="Y39" s="1111">
        <v>1</v>
      </c>
      <c r="Z39" s="1112">
        <v>1</v>
      </c>
      <c r="AA39" s="788">
        <f>_xlfn.IFS(Y39=0,0,Z39&lt;=Y39,Z39/Y39,Z39&gt;Y39,1)</f>
        <v>1</v>
      </c>
      <c r="AB39" s="1113">
        <v>300000</v>
      </c>
      <c r="AC39" s="1111">
        <v>1</v>
      </c>
      <c r="AD39" s="1112">
        <v>1</v>
      </c>
      <c r="AE39" s="788">
        <f>_xlfn.IFS(AC39=0,0,AD39&lt;=AC39,AD39/AC39,AD39&gt;AC39,1)</f>
        <v>1</v>
      </c>
      <c r="AF39" s="1113">
        <v>300000</v>
      </c>
      <c r="AG39" s="1111">
        <v>1</v>
      </c>
      <c r="AH39" s="1112">
        <v>1</v>
      </c>
      <c r="AI39" s="788">
        <f>_xlfn.IFS(AG39=0,0,AH39&lt;=AG39,AH39/AG39,AH39&gt;AG39,1)</f>
        <v>1</v>
      </c>
      <c r="AJ39" s="1113">
        <v>300000</v>
      </c>
      <c r="AK39" s="1111">
        <v>1</v>
      </c>
      <c r="AL39" s="1112">
        <v>1</v>
      </c>
      <c r="AM39" s="788">
        <f>_xlfn.IFS(AK39=0,0,AL39&lt;=AK39,AL39/AK39,AL39&gt;AK39,1)</f>
        <v>1</v>
      </c>
      <c r="AN39" s="1113">
        <v>300000</v>
      </c>
      <c r="AO39" s="1111">
        <v>1</v>
      </c>
      <c r="AP39" s="1112">
        <v>1</v>
      </c>
      <c r="AQ39" s="788">
        <f>_xlfn.IFS(AO39=0,0,AP39&lt;=AO39,AP39/AO39,AP39&gt;AO39,1)</f>
        <v>1</v>
      </c>
      <c r="AR39" s="1113">
        <v>300000</v>
      </c>
      <c r="AS39" s="1111">
        <v>1</v>
      </c>
      <c r="AT39" s="1112">
        <v>1</v>
      </c>
      <c r="AU39" s="788">
        <f>_xlfn.IFS(AS39=0,0,AT39&lt;=AS39,AT39/AS39,AT39&gt;AS39,1)</f>
        <v>1</v>
      </c>
      <c r="AV39" s="1113">
        <v>300000</v>
      </c>
      <c r="AW39" s="1111">
        <v>1</v>
      </c>
      <c r="AX39" s="1112">
        <v>1</v>
      </c>
      <c r="AY39" s="788">
        <f>_xlfn.IFS(AW39=0,0,AX39&lt;=AW39,AX39/AW39,AX39&gt;AW39,1)</f>
        <v>1</v>
      </c>
      <c r="AZ39" s="1113">
        <v>300000</v>
      </c>
      <c r="BA39" s="1111">
        <v>1</v>
      </c>
      <c r="BB39" s="1112">
        <v>1</v>
      </c>
      <c r="BC39" s="788">
        <f>_xlfn.IFS(BA39=0,0,BB39&lt;=BA39,BB39/BA39,BB39&gt;BA39,1)</f>
        <v>1</v>
      </c>
      <c r="BD39" s="1113">
        <v>300000</v>
      </c>
      <c r="BE39" s="1111">
        <v>1</v>
      </c>
      <c r="BF39" s="1112">
        <v>1</v>
      </c>
      <c r="BG39" s="788">
        <f>_xlfn.IFS(BE39=0,0,BF39&lt;=BE39,BF39/BE39,BF39&gt;BE39,1)</f>
        <v>1</v>
      </c>
      <c r="BH39" s="1113">
        <v>300000</v>
      </c>
      <c r="BI39" s="1111">
        <v>1</v>
      </c>
      <c r="BJ39" s="1112">
        <v>1</v>
      </c>
      <c r="BK39" s="788">
        <f>_xlfn.IFS(BI39=0,0,BJ39&lt;=BI39,BJ39/BI39,BJ39&gt;BI39,1)</f>
        <v>1</v>
      </c>
      <c r="BL39" s="1113">
        <v>300000</v>
      </c>
      <c r="BM39" s="1111">
        <v>1</v>
      </c>
      <c r="BN39" s="1112">
        <v>1</v>
      </c>
      <c r="BO39" s="788">
        <f>_xlfn.IFS(BM39=0,0,BN39&lt;=BM39,BN39/BM39,BN39&gt;BM39,1)</f>
        <v>1</v>
      </c>
      <c r="BP39" s="1113">
        <v>300000</v>
      </c>
      <c r="BQ39" s="1111">
        <v>1</v>
      </c>
      <c r="BR39" s="1112">
        <v>1</v>
      </c>
      <c r="BS39" s="788">
        <f>_xlfn.IFS(BQ39=0,0,BR39&lt;=BQ39,BR39/BQ39,BR39&gt;BQ39,1)</f>
        <v>1</v>
      </c>
      <c r="BT39" s="1113">
        <v>300000</v>
      </c>
      <c r="BU39" s="1111">
        <v>1</v>
      </c>
      <c r="BV39" s="1112">
        <v>1</v>
      </c>
      <c r="BW39" s="788">
        <f>_xlfn.IFS(BU39=0,0,BV39&lt;=BU39,BV39/BU39,BV39&gt;BU39,1)</f>
        <v>1</v>
      </c>
      <c r="BX39" s="1113">
        <v>300000</v>
      </c>
      <c r="BY39" s="1111">
        <v>1</v>
      </c>
      <c r="BZ39" s="1112">
        <v>1</v>
      </c>
      <c r="CA39" s="788">
        <f>_xlfn.IFS(BY39=0,0,BZ39&lt;=BY39,BZ39/BY39,BZ39&gt;BY39,1)</f>
        <v>1</v>
      </c>
      <c r="CB39" s="1113">
        <v>300000</v>
      </c>
      <c r="CC39" s="1111">
        <v>1</v>
      </c>
      <c r="CD39" s="1112">
        <v>1</v>
      </c>
      <c r="CE39" s="788">
        <f>_xlfn.IFS(CC39=0,0,CD39&lt;=CC39,CD39/CC39,CD39&gt;CC39,1)</f>
        <v>1</v>
      </c>
      <c r="CF39" s="1113">
        <v>300000</v>
      </c>
      <c r="CG39" s="1111">
        <v>1</v>
      </c>
      <c r="CH39" s="1112">
        <v>1</v>
      </c>
      <c r="CI39" s="788">
        <f>_xlfn.IFS(CG39=0,0,CH39&lt;=CG39,CH39/CG39,CH39&gt;CG39,1)</f>
        <v>1</v>
      </c>
      <c r="CJ39" s="1113">
        <v>300000</v>
      </c>
      <c r="CK39" s="1111">
        <v>1</v>
      </c>
      <c r="CL39" s="1112">
        <v>1</v>
      </c>
      <c r="CM39" s="788">
        <f>_xlfn.IFS(CK39=0,0,CL39&lt;=CK39,CL39/CK39,CL39&gt;CK39,1)</f>
        <v>1</v>
      </c>
      <c r="CN39" s="1113">
        <v>300000</v>
      </c>
      <c r="CO39" s="1111">
        <v>1</v>
      </c>
      <c r="CP39" s="1112">
        <v>1</v>
      </c>
      <c r="CQ39" s="788">
        <f>_xlfn.IFS(CO39=0,0,CP39&lt;=CO39,CP39/CO39,CP39&gt;CO39,1)</f>
        <v>1</v>
      </c>
      <c r="CR39" s="1113">
        <v>300000</v>
      </c>
      <c r="CS39" s="1111">
        <v>1</v>
      </c>
      <c r="CT39" s="1112">
        <v>1</v>
      </c>
      <c r="CU39" s="788">
        <f>_xlfn.IFS(CS39=0,0,CT39&lt;=CS39,CT39/CS39,CT39&gt;CS39,1)</f>
        <v>1</v>
      </c>
      <c r="CV39" s="1113">
        <v>300000</v>
      </c>
      <c r="CW39" s="1111">
        <v>1</v>
      </c>
      <c r="CX39" s="1112">
        <v>1</v>
      </c>
      <c r="CY39" s="788">
        <f>_xlfn.IFS(CW39=0,0,CX39&lt;=CW39,CX39/CW39,CX39&gt;CW39,1)</f>
        <v>1</v>
      </c>
      <c r="CZ39" s="1113">
        <v>300000</v>
      </c>
      <c r="DA39" s="1111">
        <v>1</v>
      </c>
      <c r="DB39" s="1112">
        <v>1</v>
      </c>
      <c r="DC39" s="788">
        <f>_xlfn.IFS(DA39=0,0,DB39&lt;=DA39,DB39/DA39,DB39&gt;DA39,1)</f>
        <v>1</v>
      </c>
      <c r="DD39" s="1113">
        <v>300000</v>
      </c>
      <c r="DE39" s="1111">
        <v>1</v>
      </c>
      <c r="DF39" s="1112">
        <v>1</v>
      </c>
      <c r="DG39" s="788">
        <f>_xlfn.IFS(DE39=0,0,DF39&lt;=DE39,DF39/DE39,DF39&gt;DE39,1)</f>
        <v>1</v>
      </c>
      <c r="DH39" s="1113">
        <v>300000</v>
      </c>
      <c r="DI39" s="1111">
        <v>1</v>
      </c>
      <c r="DJ39" s="1112">
        <v>1</v>
      </c>
      <c r="DK39" s="788">
        <f>_xlfn.IFS(DI39=0,0,DJ39&lt;=DI39,DJ39/DI39,DJ39&gt;DI39,1)</f>
        <v>1</v>
      </c>
      <c r="DL39" s="1113">
        <v>300000</v>
      </c>
      <c r="DM39" s="1111">
        <v>1</v>
      </c>
      <c r="DN39" s="1112">
        <v>1</v>
      </c>
      <c r="DO39" s="788">
        <f>_xlfn.IFS(DM39=0,0,DN39&lt;=DM39,DN39/DM39,DN39&gt;DM39,1)</f>
        <v>1</v>
      </c>
      <c r="DP39" s="1113">
        <v>300000</v>
      </c>
      <c r="DQ39" s="1111">
        <v>1</v>
      </c>
      <c r="DR39" s="1112">
        <v>1</v>
      </c>
      <c r="DS39" s="788">
        <f>_xlfn.IFS(DQ39=0,0,DR39&lt;=DQ39,DR39/DQ39,DR39&gt;DQ39,1)</f>
        <v>1</v>
      </c>
      <c r="DT39" s="1113">
        <v>300000</v>
      </c>
      <c r="DU39" s="1111">
        <v>1</v>
      </c>
      <c r="DV39" s="1112">
        <v>1</v>
      </c>
      <c r="DW39" s="788">
        <f>_xlfn.IFS(DU39=0,0,DV39&lt;=DU39,DV39/DU39,DV39&gt;DU39,1)</f>
        <v>1</v>
      </c>
      <c r="DX39" s="1113">
        <v>300000</v>
      </c>
      <c r="DY39" s="1111">
        <v>1</v>
      </c>
      <c r="DZ39" s="1112">
        <v>1</v>
      </c>
      <c r="EA39" s="788">
        <f>_xlfn.IFS(DY39=0,0,DZ39&lt;=DY39,DZ39/DY39,DZ39&gt;DY39,1)</f>
        <v>1</v>
      </c>
      <c r="EB39" s="1113">
        <v>300000</v>
      </c>
      <c r="EC39" s="1111">
        <v>1</v>
      </c>
      <c r="ED39" s="1112">
        <v>1</v>
      </c>
      <c r="EE39" s="788">
        <f>_xlfn.IFS(EC39=0,0,ED39&lt;=EC39,ED39/EC39,ED39&gt;EC39,1)</f>
        <v>1</v>
      </c>
      <c r="EF39" s="1113">
        <v>300000</v>
      </c>
    </row>
    <row r="40" spans="1:136" ht="20" customHeight="1" x14ac:dyDescent="0.15">
      <c r="A40" s="870">
        <f>_xlfn.IFS(B40=0,0,E40&gt;B40,1,E40&lt;=B40,E40/B40)</f>
        <v>0</v>
      </c>
      <c r="B40" s="950"/>
      <c r="C40" s="945" t="str">
        <f>Dashboard!K109</f>
        <v>NON-FULFILLMENT RATE</v>
      </c>
      <c r="D40" s="789">
        <f>Dashboard!AC109</f>
        <v>2.4999999999999998E-2</v>
      </c>
      <c r="E40" s="857">
        <f>IF(SUM(E41:E46)&gt;0,AVERAGEIF(E41:E46,"&gt;0"),0)</f>
        <v>0.36333333333333334</v>
      </c>
      <c r="F40" s="789">
        <f>D40-E40</f>
        <v>-0.33833333333333332</v>
      </c>
      <c r="G40" s="789">
        <f>_xlfn.IFS(F40&gt;=0,1,F40&lt;0,D40/E40)</f>
        <v>6.8807339449541274E-2</v>
      </c>
      <c r="H40" s="935"/>
      <c r="I40" s="936"/>
      <c r="J40" s="935"/>
      <c r="K40" s="831">
        <f t="shared" ref="K40:K46" si="306">D40</f>
        <v>2.4999999999999998E-2</v>
      </c>
      <c r="L40" s="945">
        <f ca="1">IF(SUM(L44:L46)&gt;0,AVERAGEIF(L44:L46,"&gt;0"),0)</f>
        <v>0</v>
      </c>
      <c r="M40" s="929"/>
      <c r="N40" s="928">
        <f>SUM(N41:N46)</f>
        <v>5</v>
      </c>
      <c r="O40" s="857">
        <f>IF(SUM(O41:O46)&gt;0,AVERAGEIF(O41:O46,"&gt;0"),0)</f>
        <v>0.36333333333333334</v>
      </c>
      <c r="P40" s="1024">
        <f>AVERAGE(P41:P46)</f>
        <v>0.30277777777777776</v>
      </c>
      <c r="Q40" s="929"/>
      <c r="R40" s="928">
        <f>SUM(R41:R46)</f>
        <v>5</v>
      </c>
      <c r="S40" s="857">
        <f>IF(SUM(S41:S46)&gt;0,AVERAGEIF(S41:S46,"&gt;0"),0)</f>
        <v>0.36333333333333334</v>
      </c>
      <c r="T40" s="1024">
        <f>AVERAGE(T41:T46)</f>
        <v>0.30277777777777776</v>
      </c>
      <c r="U40" s="929"/>
      <c r="V40" s="928">
        <f>SUM(V41:V46)</f>
        <v>5</v>
      </c>
      <c r="W40" s="857">
        <f>IF(SUM(W41:W46)&gt;0,AVERAGEIF(W41:W46,"&gt;0"),0)</f>
        <v>0.36333333333333334</v>
      </c>
      <c r="X40" s="1024">
        <f>AVERAGE(X41:X46)</f>
        <v>0.30277777777777776</v>
      </c>
      <c r="Y40" s="929"/>
      <c r="Z40" s="928">
        <f>SUM(Z41:Z46)</f>
        <v>5</v>
      </c>
      <c r="AA40" s="857">
        <f>IF(SUM(AA41:AA46)&gt;0,AVERAGEIF(AA41:AA46,"&gt;0"),0)</f>
        <v>0.36333333333333334</v>
      </c>
      <c r="AB40" s="1024">
        <f>AVERAGE(AB41:AB46)</f>
        <v>0.30277777777777776</v>
      </c>
      <c r="AC40" s="929"/>
      <c r="AD40" s="928">
        <f>SUM(AD41:AD46)</f>
        <v>5</v>
      </c>
      <c r="AE40" s="857">
        <f>IF(SUM(AE41:AE46)&gt;0,AVERAGEIF(AE41:AE46,"&gt;0"),0)</f>
        <v>0.36333333333333334</v>
      </c>
      <c r="AF40" s="1024">
        <f>AVERAGE(AF41:AF46)</f>
        <v>0.30277777777777776</v>
      </c>
      <c r="AG40" s="929"/>
      <c r="AH40" s="928">
        <f>SUM(AH41:AH46)</f>
        <v>5</v>
      </c>
      <c r="AI40" s="857">
        <f>IF(SUM(AI41:AI46)&gt;0,AVERAGEIF(AI41:AI46,"&gt;0"),0)</f>
        <v>0.36333333333333334</v>
      </c>
      <c r="AJ40" s="1024">
        <f>AVERAGE(AJ41:AJ46)</f>
        <v>0.30277777777777776</v>
      </c>
      <c r="AK40" s="929"/>
      <c r="AL40" s="928">
        <f>SUM(AL41:AL46)</f>
        <v>5</v>
      </c>
      <c r="AM40" s="857">
        <f>IF(SUM(AM41:AM46)&gt;0,AVERAGEIF(AM41:AM46,"&gt;0"),0)</f>
        <v>0.36333333333333334</v>
      </c>
      <c r="AN40" s="1024">
        <f>AVERAGE(AN41:AN46)</f>
        <v>0.30277777777777776</v>
      </c>
      <c r="AO40" s="929"/>
      <c r="AP40" s="928">
        <f>SUM(AP41:AP46)</f>
        <v>5</v>
      </c>
      <c r="AQ40" s="857">
        <f>IF(SUM(AQ41:AQ46)&gt;0,AVERAGEIF(AQ41:AQ46,"&gt;0"),0)</f>
        <v>0.36333333333333334</v>
      </c>
      <c r="AR40" s="1024">
        <f>AVERAGE(AR41:AR46)</f>
        <v>0.30277777777777776</v>
      </c>
      <c r="AS40" s="929"/>
      <c r="AT40" s="928">
        <f>SUM(AT41:AT46)</f>
        <v>5</v>
      </c>
      <c r="AU40" s="857">
        <f>IF(SUM(AU41:AU46)&gt;0,AVERAGEIF(AU41:AU46,"&gt;0"),0)</f>
        <v>0.36333333333333334</v>
      </c>
      <c r="AV40" s="1024">
        <f>AVERAGE(AV41:AV46)</f>
        <v>0.30277777777777776</v>
      </c>
      <c r="AW40" s="929"/>
      <c r="AX40" s="928">
        <f>SUM(AX41:AX46)</f>
        <v>5</v>
      </c>
      <c r="AY40" s="857">
        <f>IF(SUM(AY41:AY46)&gt;0,AVERAGEIF(AY41:AY46,"&gt;0"),0)</f>
        <v>0.36333333333333334</v>
      </c>
      <c r="AZ40" s="1024">
        <f>AVERAGE(AZ41:AZ46)</f>
        <v>0.30277777777777776</v>
      </c>
      <c r="BA40" s="929"/>
      <c r="BB40" s="928">
        <f>SUM(BB41:BB46)</f>
        <v>5</v>
      </c>
      <c r="BC40" s="857">
        <f>IF(SUM(BC41:BC46)&gt;0,AVERAGEIF(BC41:BC46,"&gt;0"),0)</f>
        <v>0.36333333333333334</v>
      </c>
      <c r="BD40" s="1024">
        <f>AVERAGE(BD41:BD46)</f>
        <v>0.30277777777777776</v>
      </c>
      <c r="BE40" s="929"/>
      <c r="BF40" s="928">
        <f>SUM(BF41:BF46)</f>
        <v>5</v>
      </c>
      <c r="BG40" s="857">
        <f>IF(SUM(BG41:BG46)&gt;0,AVERAGEIF(BG41:BG46,"&gt;0"),0)</f>
        <v>0.36333333333333334</v>
      </c>
      <c r="BH40" s="1024">
        <f>AVERAGE(BH41:BH46)</f>
        <v>0.30277777777777776</v>
      </c>
      <c r="BI40" s="929"/>
      <c r="BJ40" s="928">
        <f>SUM(BJ41:BJ46)</f>
        <v>5</v>
      </c>
      <c r="BK40" s="857">
        <f>IF(SUM(BK41:BK46)&gt;0,AVERAGEIF(BK41:BK46,"&gt;0"),0)</f>
        <v>0.21666666666666665</v>
      </c>
      <c r="BL40" s="1024">
        <f>AVERAGE(BL41:BL46)</f>
        <v>8.0555555555555547E-2</v>
      </c>
      <c r="BM40" s="929"/>
      <c r="BN40" s="928">
        <f>SUM(BN41:BN46)</f>
        <v>5</v>
      </c>
      <c r="BO40" s="857">
        <f>IF(SUM(BO41:BO46)&gt;0,AVERAGEIF(BO41:BO46,"&gt;0"),0)</f>
        <v>0.21666666666666665</v>
      </c>
      <c r="BP40" s="1024">
        <f>AVERAGE(BP41:BP46)</f>
        <v>8.0555555555555547E-2</v>
      </c>
      <c r="BQ40" s="929"/>
      <c r="BR40" s="928">
        <f>SUM(BR41:BR46)</f>
        <v>5</v>
      </c>
      <c r="BS40" s="857">
        <f>IF(SUM(BS41:BS46)&gt;0,AVERAGEIF(BS41:BS46,"&gt;0"),0)</f>
        <v>0.21666666666666665</v>
      </c>
      <c r="BT40" s="1024">
        <f>AVERAGE(BT41:BT46)</f>
        <v>8.0555555555555547E-2</v>
      </c>
      <c r="BU40" s="929"/>
      <c r="BV40" s="928">
        <f>SUM(BV41:BV46)</f>
        <v>5</v>
      </c>
      <c r="BW40" s="857">
        <f>IF(SUM(BW41:BW46)&gt;0,AVERAGEIF(BW41:BW46,"&gt;0"),0)</f>
        <v>0.21666666666666665</v>
      </c>
      <c r="BX40" s="1024">
        <f>AVERAGE(BX41:BX46)</f>
        <v>8.0555555555555547E-2</v>
      </c>
      <c r="BY40" s="929"/>
      <c r="BZ40" s="928">
        <f>SUM(BZ41:BZ46)</f>
        <v>5</v>
      </c>
      <c r="CA40" s="857">
        <f>IF(SUM(CA41:CA46)&gt;0,AVERAGEIF(CA41:CA46,"&gt;0"),0)</f>
        <v>0.21666666666666665</v>
      </c>
      <c r="CB40" s="1024">
        <f>AVERAGE(CB41:CB46)</f>
        <v>8.0555555555555547E-2</v>
      </c>
      <c r="CC40" s="929"/>
      <c r="CD40" s="928">
        <f>SUM(CD41:CD46)</f>
        <v>5</v>
      </c>
      <c r="CE40" s="857">
        <f>IF(SUM(CE41:CE46)&gt;0,AVERAGEIF(CE41:CE46,"&gt;0"),0)</f>
        <v>0.21666666666666665</v>
      </c>
      <c r="CF40" s="1024">
        <f>AVERAGE(CF41:CF46)</f>
        <v>8.0555555555555547E-2</v>
      </c>
      <c r="CG40" s="929"/>
      <c r="CH40" s="928">
        <f>SUM(CH41:CH46)</f>
        <v>5</v>
      </c>
      <c r="CI40" s="857">
        <f>IF(SUM(CI41:CI46)&gt;0,AVERAGEIF(CI41:CI46,"&gt;0"),0)</f>
        <v>0.21666666666666665</v>
      </c>
      <c r="CJ40" s="1024">
        <f>AVERAGE(CJ41:CJ46)</f>
        <v>8.0555555555555547E-2</v>
      </c>
      <c r="CK40" s="929"/>
      <c r="CL40" s="928">
        <f>SUM(CL41:CL46)</f>
        <v>5</v>
      </c>
      <c r="CM40" s="857">
        <f>IF(SUM(CM41:CM46)&gt;0,AVERAGEIF(CM41:CM46,"&gt;0"),0)</f>
        <v>0.21666666666666665</v>
      </c>
      <c r="CN40" s="1024">
        <f>AVERAGE(CN41:CN46)</f>
        <v>8.0555555555555547E-2</v>
      </c>
      <c r="CO40" s="929"/>
      <c r="CP40" s="928">
        <f>SUM(CP41:CP46)</f>
        <v>5</v>
      </c>
      <c r="CQ40" s="857">
        <f>IF(SUM(CQ41:CQ46)&gt;0,AVERAGEIF(CQ41:CQ46,"&gt;0"),0)</f>
        <v>0.21666666666666665</v>
      </c>
      <c r="CR40" s="1024">
        <f>AVERAGE(CR41:CR46)</f>
        <v>8.0555555555555547E-2</v>
      </c>
      <c r="CS40" s="929"/>
      <c r="CT40" s="928">
        <f>SUM(CT41:CT46)</f>
        <v>5</v>
      </c>
      <c r="CU40" s="857">
        <f>IF(SUM(CU41:CU46)&gt;0,AVERAGEIF(CU41:CU46,"&gt;0"),0)</f>
        <v>0.21666666666666665</v>
      </c>
      <c r="CV40" s="1024">
        <f>AVERAGE(CV41:CV46)</f>
        <v>8.0555555555555547E-2</v>
      </c>
      <c r="CW40" s="929"/>
      <c r="CX40" s="928">
        <f>SUM(CX41:CX46)</f>
        <v>5</v>
      </c>
      <c r="CY40" s="857">
        <f>IF(SUM(CY41:CY46)&gt;0,AVERAGEIF(CY41:CY46,"&gt;0"),0)</f>
        <v>0.21666666666666665</v>
      </c>
      <c r="CZ40" s="1024">
        <f>AVERAGE(CZ41:CZ46)</f>
        <v>8.0555555555555547E-2</v>
      </c>
      <c r="DA40" s="929"/>
      <c r="DB40" s="928">
        <f>SUM(DB41:DB46)</f>
        <v>5</v>
      </c>
      <c r="DC40" s="857">
        <f>IF(SUM(DC41:DC46)&gt;0,AVERAGEIF(DC41:DC46,"&gt;0"),0)</f>
        <v>0.21666666666666665</v>
      </c>
      <c r="DD40" s="1024">
        <f>AVERAGE(DD41:DD46)</f>
        <v>8.0555555555555547E-2</v>
      </c>
      <c r="DE40" s="929"/>
      <c r="DF40" s="928">
        <f>SUM(DF41:DF46)</f>
        <v>5</v>
      </c>
      <c r="DG40" s="857">
        <f>IF(SUM(DG41:DG46)&gt;0,AVERAGEIF(DG41:DG46,"&gt;0"),0)</f>
        <v>0.21666666666666665</v>
      </c>
      <c r="DH40" s="1024">
        <f>AVERAGE(DH41:DH46)</f>
        <v>8.0555555555555547E-2</v>
      </c>
      <c r="DI40" s="929"/>
      <c r="DJ40" s="928">
        <f>SUM(DJ41:DJ46)</f>
        <v>5</v>
      </c>
      <c r="DK40" s="857">
        <f>IF(SUM(DK41:DK46)&gt;0,AVERAGEIF(DK41:DK46,"&gt;0"),0)</f>
        <v>0.21666666666666665</v>
      </c>
      <c r="DL40" s="1024">
        <f>AVERAGE(DL41:DL46)</f>
        <v>8.0555555555555547E-2</v>
      </c>
      <c r="DM40" s="929"/>
      <c r="DN40" s="928">
        <f>SUM(DN41:DN46)</f>
        <v>5</v>
      </c>
      <c r="DO40" s="857">
        <f>IF(SUM(DO41:DO46)&gt;0,AVERAGEIF(DO41:DO46,"&gt;0"),0)</f>
        <v>0.21666666666666665</v>
      </c>
      <c r="DP40" s="1024">
        <f>AVERAGE(DP41:DP46)</f>
        <v>8.0555555555555547E-2</v>
      </c>
      <c r="DQ40" s="929"/>
      <c r="DR40" s="928">
        <f>SUM(DR41:DR46)</f>
        <v>5</v>
      </c>
      <c r="DS40" s="857">
        <f>IF(SUM(DS41:DS46)&gt;0,AVERAGEIF(DS41:DS46,"&gt;0"),0)</f>
        <v>0.21666666666666665</v>
      </c>
      <c r="DT40" s="1024">
        <f>AVERAGE(DT41:DT46)</f>
        <v>8.0555555555555547E-2</v>
      </c>
      <c r="DU40" s="929"/>
      <c r="DV40" s="928">
        <f>SUM(DV41:DV46)</f>
        <v>5</v>
      </c>
      <c r="DW40" s="857">
        <f>IF(SUM(DW41:DW46)&gt;0,AVERAGEIF(DW41:DW46,"&gt;0"),0)</f>
        <v>0.21666666666666665</v>
      </c>
      <c r="DX40" s="1024">
        <f>AVERAGE(DX41:DX46)</f>
        <v>8.0555555555555547E-2</v>
      </c>
      <c r="DY40" s="929"/>
      <c r="DZ40" s="928">
        <f>SUM(DZ41:DZ46)</f>
        <v>5</v>
      </c>
      <c r="EA40" s="857">
        <f>IF(SUM(EA41:EA46)&gt;0,AVERAGEIF(EA41:EA46,"&gt;0"),0)</f>
        <v>0.21666666666666665</v>
      </c>
      <c r="EB40" s="1024">
        <f>AVERAGE(EB41:EB46)</f>
        <v>8.0555555555555547E-2</v>
      </c>
      <c r="EC40" s="929"/>
      <c r="ED40" s="928">
        <f>SUM(ED41:ED46)</f>
        <v>5</v>
      </c>
      <c r="EE40" s="857">
        <f>IF(SUM(EE41:EE46)&gt;0,AVERAGEIF(EE41:EE46,"&gt;0"),0)</f>
        <v>0.21666666666666665</v>
      </c>
      <c r="EF40" s="1024">
        <f>AVERAGE(EF41:EF46)</f>
        <v>8.0555555555555547E-2</v>
      </c>
    </row>
    <row r="41" spans="1:136" ht="20" customHeight="1" x14ac:dyDescent="0.15">
      <c r="A41" s="189">
        <f t="shared" ref="A41:A43" si="307">_xlfn.IFS(B41=0,0,E41&gt;B41,1,E41&lt;=B41,E41/B41)</f>
        <v>0</v>
      </c>
      <c r="B41" s="950"/>
      <c r="C41" s="391" t="str">
        <f>Dashboard!K110</f>
        <v>FACEBOOK</v>
      </c>
      <c r="D41" s="208">
        <f>Dashboard!AC110</f>
        <v>2.5000000000000001E-2</v>
      </c>
      <c r="E41" s="1088">
        <f>IF(SUMIF($M$13:$EF$13,$N$13,M41:EF41)&gt;0,SUMIF($M$13:$EF$13,$O$13,M41:EF41)/SUMIF($M$13:$EF$13,$N$13,M41:EF41),0)</f>
        <v>6.6666666666666666E-2</v>
      </c>
      <c r="F41" s="208">
        <f>D41-E41</f>
        <v>-4.1666666666666664E-2</v>
      </c>
      <c r="G41" s="208">
        <f>_xlfn.IFS(F41&gt;=0,1,F41&lt;0,D41/E41)</f>
        <v>0.375</v>
      </c>
      <c r="H41" s="935"/>
      <c r="I41" s="935"/>
      <c r="J41" s="935"/>
      <c r="K41" s="831"/>
      <c r="L41" s="945"/>
      <c r="M41" s="929"/>
      <c r="N41" s="1226">
        <v>1</v>
      </c>
      <c r="O41" s="906">
        <f>N41/N20</f>
        <v>6.6666666666666666E-2</v>
      </c>
      <c r="P41" s="1227">
        <f>_xlfn.IFS(N41=0,0,O41&lt;=N41,O41/N41,O41&gt;N41,1)</f>
        <v>6.6666666666666666E-2</v>
      </c>
      <c r="Q41" s="929"/>
      <c r="R41" s="1226">
        <v>1</v>
      </c>
      <c r="S41" s="906">
        <f>R41/R20</f>
        <v>6.6666666666666666E-2</v>
      </c>
      <c r="T41" s="1025">
        <f>_xlfn.IFS(R41=0,0,S41&lt;=R41,S41/R41,S41&gt;R41,1)</f>
        <v>6.6666666666666666E-2</v>
      </c>
      <c r="U41" s="929"/>
      <c r="V41" s="1226">
        <v>1</v>
      </c>
      <c r="W41" s="906">
        <f>V41/V20</f>
        <v>6.6666666666666666E-2</v>
      </c>
      <c r="X41" s="1025">
        <f>_xlfn.IFS(V41=0,0,W41&lt;=V41,W41/V41,W41&gt;V41,1)</f>
        <v>6.6666666666666666E-2</v>
      </c>
      <c r="Y41" s="929"/>
      <c r="Z41" s="1226">
        <v>1</v>
      </c>
      <c r="AA41" s="906">
        <f>Z41/Z20</f>
        <v>6.6666666666666666E-2</v>
      </c>
      <c r="AB41" s="1025">
        <f>_xlfn.IFS(Z41=0,0,AA41&lt;=Z41,AA41/Z41,AA41&gt;Z41,1)</f>
        <v>6.6666666666666666E-2</v>
      </c>
      <c r="AC41" s="929"/>
      <c r="AD41" s="1226">
        <v>1</v>
      </c>
      <c r="AE41" s="906">
        <f>AD41/AD20</f>
        <v>6.6666666666666666E-2</v>
      </c>
      <c r="AF41" s="1025">
        <f>_xlfn.IFS(AD41=0,0,AE41&lt;=AD41,AE41/AD41,AE41&gt;AD41,1)</f>
        <v>6.6666666666666666E-2</v>
      </c>
      <c r="AG41" s="929"/>
      <c r="AH41" s="1226">
        <v>1</v>
      </c>
      <c r="AI41" s="906">
        <f>AH41/AH20</f>
        <v>6.6666666666666666E-2</v>
      </c>
      <c r="AJ41" s="1025">
        <f>_xlfn.IFS(AH41=0,0,AI41&lt;=AH41,AI41/AH41,AI41&gt;AH41,1)</f>
        <v>6.6666666666666666E-2</v>
      </c>
      <c r="AK41" s="929"/>
      <c r="AL41" s="1226">
        <v>1</v>
      </c>
      <c r="AM41" s="906">
        <f>AL41/AL20</f>
        <v>6.6666666666666666E-2</v>
      </c>
      <c r="AN41" s="1025">
        <f>_xlfn.IFS(AL41=0,0,AM41&lt;=AL41,AM41/AL41,AM41&gt;AL41,1)</f>
        <v>6.6666666666666666E-2</v>
      </c>
      <c r="AO41" s="929"/>
      <c r="AP41" s="1226">
        <v>1</v>
      </c>
      <c r="AQ41" s="906">
        <f>AP41/AP20</f>
        <v>6.6666666666666666E-2</v>
      </c>
      <c r="AR41" s="1025">
        <f>_xlfn.IFS(AP41=0,0,AQ41&lt;=AP41,AQ41/AP41,AQ41&gt;AP41,1)</f>
        <v>6.6666666666666666E-2</v>
      </c>
      <c r="AS41" s="929"/>
      <c r="AT41" s="1226">
        <v>1</v>
      </c>
      <c r="AU41" s="906">
        <f>AT41/AT20</f>
        <v>6.6666666666666666E-2</v>
      </c>
      <c r="AV41" s="1025">
        <f>_xlfn.IFS(AT41=0,0,AU41&lt;=AT41,AU41/AT41,AU41&gt;AT41,1)</f>
        <v>6.6666666666666666E-2</v>
      </c>
      <c r="AW41" s="929"/>
      <c r="AX41" s="1226">
        <v>1</v>
      </c>
      <c r="AY41" s="906">
        <f>AX41/AX20</f>
        <v>6.6666666666666666E-2</v>
      </c>
      <c r="AZ41" s="1025">
        <f>_xlfn.IFS(AX41=0,0,AY41&lt;=AX41,AY41/AX41,AY41&gt;AX41,1)</f>
        <v>6.6666666666666666E-2</v>
      </c>
      <c r="BA41" s="929"/>
      <c r="BB41" s="1226">
        <v>1</v>
      </c>
      <c r="BC41" s="906">
        <f>BB41/BB20</f>
        <v>6.6666666666666666E-2</v>
      </c>
      <c r="BD41" s="1025">
        <f>_xlfn.IFS(BB41=0,0,BC41&lt;=BB41,BC41/BB41,BC41&gt;BB41,1)</f>
        <v>6.6666666666666666E-2</v>
      </c>
      <c r="BE41" s="929"/>
      <c r="BF41" s="1226">
        <v>1</v>
      </c>
      <c r="BG41" s="906">
        <f>BF41/BF20</f>
        <v>6.6666666666666666E-2</v>
      </c>
      <c r="BH41" s="1025">
        <f>_xlfn.IFS(BF41=0,0,BG41&lt;=BF41,BG41/BF41,BG41&gt;BF41,1)</f>
        <v>6.6666666666666666E-2</v>
      </c>
      <c r="BI41" s="929"/>
      <c r="BJ41" s="1226">
        <v>1</v>
      </c>
      <c r="BK41" s="906">
        <f>BJ41/BJ20</f>
        <v>6.6666666666666666E-2</v>
      </c>
      <c r="BL41" s="1025">
        <f>_xlfn.IFS(BJ41=0,0,BK41&lt;=BJ41,BK41/BJ41,BK41&gt;BJ41,1)</f>
        <v>6.6666666666666666E-2</v>
      </c>
      <c r="BM41" s="929"/>
      <c r="BN41" s="1226">
        <v>1</v>
      </c>
      <c r="BO41" s="906">
        <f>BN41/BN20</f>
        <v>6.6666666666666666E-2</v>
      </c>
      <c r="BP41" s="1025">
        <f>_xlfn.IFS(BN41=0,0,BO41&lt;=BN41,BO41/BN41,BO41&gt;BN41,1)</f>
        <v>6.6666666666666666E-2</v>
      </c>
      <c r="BQ41" s="929"/>
      <c r="BR41" s="1226">
        <v>1</v>
      </c>
      <c r="BS41" s="906">
        <f>BR41/BR20</f>
        <v>6.6666666666666666E-2</v>
      </c>
      <c r="BT41" s="1025">
        <f>_xlfn.IFS(BR41=0,0,BS41&lt;=BR41,BS41/BR41,BS41&gt;BR41,1)</f>
        <v>6.6666666666666666E-2</v>
      </c>
      <c r="BU41" s="929"/>
      <c r="BV41" s="1226">
        <v>1</v>
      </c>
      <c r="BW41" s="906">
        <f>BV41/BV20</f>
        <v>6.6666666666666666E-2</v>
      </c>
      <c r="BX41" s="1025">
        <f>_xlfn.IFS(BV41=0,0,BW41&lt;=BV41,BW41/BV41,BW41&gt;BV41,1)</f>
        <v>6.6666666666666666E-2</v>
      </c>
      <c r="BY41" s="929"/>
      <c r="BZ41" s="1226">
        <v>1</v>
      </c>
      <c r="CA41" s="906">
        <f>BZ41/BZ20</f>
        <v>6.6666666666666666E-2</v>
      </c>
      <c r="CB41" s="1025">
        <f>_xlfn.IFS(BZ41=0,0,CA41&lt;=BZ41,CA41/BZ41,CA41&gt;BZ41,1)</f>
        <v>6.6666666666666666E-2</v>
      </c>
      <c r="CC41" s="929"/>
      <c r="CD41" s="1226">
        <v>1</v>
      </c>
      <c r="CE41" s="906">
        <f>CD41/CD20</f>
        <v>6.6666666666666666E-2</v>
      </c>
      <c r="CF41" s="1025">
        <f>_xlfn.IFS(CD41=0,0,CE41&lt;=CD41,CE41/CD41,CE41&gt;CD41,1)</f>
        <v>6.6666666666666666E-2</v>
      </c>
      <c r="CG41" s="929"/>
      <c r="CH41" s="1226">
        <v>1</v>
      </c>
      <c r="CI41" s="906">
        <f>CH41/CH20</f>
        <v>6.6666666666666666E-2</v>
      </c>
      <c r="CJ41" s="1025">
        <f>_xlfn.IFS(CH41=0,0,CI41&lt;=CH41,CI41/CH41,CI41&gt;CH41,1)</f>
        <v>6.6666666666666666E-2</v>
      </c>
      <c r="CK41" s="929"/>
      <c r="CL41" s="1226">
        <v>1</v>
      </c>
      <c r="CM41" s="906">
        <f>CL41/CL20</f>
        <v>6.6666666666666666E-2</v>
      </c>
      <c r="CN41" s="1025">
        <f>_xlfn.IFS(CL41=0,0,CM41&lt;=CL41,CM41/CL41,CM41&gt;CL41,1)</f>
        <v>6.6666666666666666E-2</v>
      </c>
      <c r="CO41" s="929"/>
      <c r="CP41" s="1226">
        <v>1</v>
      </c>
      <c r="CQ41" s="906">
        <f>CP41/CP20</f>
        <v>6.6666666666666666E-2</v>
      </c>
      <c r="CR41" s="1025">
        <f>_xlfn.IFS(CP41=0,0,CQ41&lt;=CP41,CQ41/CP41,CQ41&gt;CP41,1)</f>
        <v>6.6666666666666666E-2</v>
      </c>
      <c r="CS41" s="929"/>
      <c r="CT41" s="1226">
        <v>1</v>
      </c>
      <c r="CU41" s="906">
        <f>CT41/CT20</f>
        <v>6.6666666666666666E-2</v>
      </c>
      <c r="CV41" s="1025">
        <f>_xlfn.IFS(CT41=0,0,CU41&lt;=CT41,CU41/CT41,CU41&gt;CT41,1)</f>
        <v>6.6666666666666666E-2</v>
      </c>
      <c r="CW41" s="929"/>
      <c r="CX41" s="1226">
        <v>1</v>
      </c>
      <c r="CY41" s="906">
        <f>CX41/CX20</f>
        <v>6.6666666666666666E-2</v>
      </c>
      <c r="CZ41" s="1025">
        <f>_xlfn.IFS(CX41=0,0,CY41&lt;=CX41,CY41/CX41,CY41&gt;CX41,1)</f>
        <v>6.6666666666666666E-2</v>
      </c>
      <c r="DA41" s="929"/>
      <c r="DB41" s="1226">
        <v>1</v>
      </c>
      <c r="DC41" s="906">
        <f>DB41/DB20</f>
        <v>6.6666666666666666E-2</v>
      </c>
      <c r="DD41" s="1025">
        <f>_xlfn.IFS(DB41=0,0,DC41&lt;=DB41,DC41/DB41,DC41&gt;DB41,1)</f>
        <v>6.6666666666666666E-2</v>
      </c>
      <c r="DE41" s="929"/>
      <c r="DF41" s="1226">
        <v>1</v>
      </c>
      <c r="DG41" s="906">
        <f>DF41/DF20</f>
        <v>6.6666666666666666E-2</v>
      </c>
      <c r="DH41" s="1025">
        <f>_xlfn.IFS(DF41=0,0,DG41&lt;=DF41,DG41/DF41,DG41&gt;DF41,1)</f>
        <v>6.6666666666666666E-2</v>
      </c>
      <c r="DI41" s="929"/>
      <c r="DJ41" s="1226">
        <v>1</v>
      </c>
      <c r="DK41" s="906">
        <f>DJ41/DJ20</f>
        <v>6.6666666666666666E-2</v>
      </c>
      <c r="DL41" s="1025">
        <f>_xlfn.IFS(DJ41=0,0,DK41&lt;=DJ41,DK41/DJ41,DK41&gt;DJ41,1)</f>
        <v>6.6666666666666666E-2</v>
      </c>
      <c r="DM41" s="929"/>
      <c r="DN41" s="1226">
        <v>1</v>
      </c>
      <c r="DO41" s="906">
        <f>DN41/DN20</f>
        <v>6.6666666666666666E-2</v>
      </c>
      <c r="DP41" s="1025">
        <f>_xlfn.IFS(DN41=0,0,DO41&lt;=DN41,DO41/DN41,DO41&gt;DN41,1)</f>
        <v>6.6666666666666666E-2</v>
      </c>
      <c r="DQ41" s="929"/>
      <c r="DR41" s="1226">
        <v>1</v>
      </c>
      <c r="DS41" s="906">
        <f>DR41/DR20</f>
        <v>6.6666666666666666E-2</v>
      </c>
      <c r="DT41" s="1025">
        <f>_xlfn.IFS(DR41=0,0,DS41&lt;=DR41,DS41/DR41,DS41&gt;DR41,1)</f>
        <v>6.6666666666666666E-2</v>
      </c>
      <c r="DU41" s="929"/>
      <c r="DV41" s="1226">
        <v>1</v>
      </c>
      <c r="DW41" s="906">
        <f>DV41/DV20</f>
        <v>6.6666666666666666E-2</v>
      </c>
      <c r="DX41" s="1025">
        <f>_xlfn.IFS(DV41=0,0,DW41&lt;=DV41,DW41/DV41,DW41&gt;DV41,1)</f>
        <v>6.6666666666666666E-2</v>
      </c>
      <c r="DY41" s="929"/>
      <c r="DZ41" s="1226">
        <v>1</v>
      </c>
      <c r="EA41" s="906">
        <f>DZ41/DZ20</f>
        <v>6.6666666666666666E-2</v>
      </c>
      <c r="EB41" s="1025">
        <f>_xlfn.IFS(DZ41=0,0,EA41&lt;=DZ41,EA41/DZ41,EA41&gt;DZ41,1)</f>
        <v>6.6666666666666666E-2</v>
      </c>
      <c r="EC41" s="929"/>
      <c r="ED41" s="1226">
        <v>1</v>
      </c>
      <c r="EE41" s="906">
        <f>ED41/ED20</f>
        <v>6.6666666666666666E-2</v>
      </c>
      <c r="EF41" s="1025">
        <f>_xlfn.IFS(ED41=0,0,EE41&lt;=ED41,EE41/ED41,EE41&gt;ED41,1)</f>
        <v>6.6666666666666666E-2</v>
      </c>
    </row>
    <row r="42" spans="1:136" ht="20" customHeight="1" x14ac:dyDescent="0.15">
      <c r="A42" s="189">
        <f t="shared" si="307"/>
        <v>0</v>
      </c>
      <c r="B42" s="950"/>
      <c r="C42" s="391" t="str">
        <f>Dashboard!K111</f>
        <v>LANDING PAGE</v>
      </c>
      <c r="D42" s="208">
        <f>Dashboard!AC111</f>
        <v>2.5000000000000001E-2</v>
      </c>
      <c r="E42" s="1088">
        <f t="shared" ref="E42:E46" si="308">IF(SUMIF($M$13:$EF$13,$N$13,M42:EF42)&gt;0,SUMIF($M$13:$EF$13,$O$13,M42:EF42)/SUMIF($M$13:$EF$13,$N$13,M42:EF42),0)</f>
        <v>8.3333333333333329E-2</v>
      </c>
      <c r="F42" s="208">
        <f t="shared" ref="F42:F46" si="309">D42-E42</f>
        <v>-5.8333333333333327E-2</v>
      </c>
      <c r="G42" s="208">
        <f t="shared" ref="G42:G46" si="310">_xlfn.IFS(F42&gt;=0,1,F42&lt;0,D42/E42)</f>
        <v>0.30000000000000004</v>
      </c>
      <c r="H42" s="935"/>
      <c r="I42" s="935"/>
      <c r="J42" s="935"/>
      <c r="K42" s="831"/>
      <c r="L42" s="945"/>
      <c r="M42" s="929"/>
      <c r="N42" s="1226">
        <v>1</v>
      </c>
      <c r="O42" s="906">
        <f>N42/N26</f>
        <v>8.3333333333333329E-2</v>
      </c>
      <c r="P42" s="1227">
        <f>_xlfn.IFS(N42=0,0,O42&lt;=N42,O42/N42,O42&gt;N42,1)</f>
        <v>8.3333333333333329E-2</v>
      </c>
      <c r="Q42" s="929"/>
      <c r="R42" s="1226">
        <v>1</v>
      </c>
      <c r="S42" s="906">
        <f>R42/R26</f>
        <v>8.3333333333333329E-2</v>
      </c>
      <c r="T42" s="1025">
        <f>_xlfn.IFS(R42=0,0,S42&lt;=R42,S42/R42,S42&gt;R42,1)</f>
        <v>8.3333333333333329E-2</v>
      </c>
      <c r="U42" s="929"/>
      <c r="V42" s="1226">
        <v>1</v>
      </c>
      <c r="W42" s="906">
        <f>V42/V26</f>
        <v>8.3333333333333329E-2</v>
      </c>
      <c r="X42" s="1025">
        <f>_xlfn.IFS(V42=0,0,W42&lt;=V42,W42/V42,W42&gt;V42,1)</f>
        <v>8.3333333333333329E-2</v>
      </c>
      <c r="Y42" s="929"/>
      <c r="Z42" s="1226">
        <v>1</v>
      </c>
      <c r="AA42" s="906">
        <f>Z42/Z26</f>
        <v>8.3333333333333329E-2</v>
      </c>
      <c r="AB42" s="1025">
        <f>_xlfn.IFS(Z42=0,0,AA42&lt;=Z42,AA42/Z42,AA42&gt;Z42,1)</f>
        <v>8.3333333333333329E-2</v>
      </c>
      <c r="AC42" s="929"/>
      <c r="AD42" s="1226">
        <v>1</v>
      </c>
      <c r="AE42" s="906">
        <f>AD42/AD26</f>
        <v>8.3333333333333329E-2</v>
      </c>
      <c r="AF42" s="1025">
        <f>_xlfn.IFS(AD42=0,0,AE42&lt;=AD42,AE42/AD42,AE42&gt;AD42,1)</f>
        <v>8.3333333333333329E-2</v>
      </c>
      <c r="AG42" s="929"/>
      <c r="AH42" s="1226">
        <v>1</v>
      </c>
      <c r="AI42" s="906">
        <f>AH42/AH26</f>
        <v>8.3333333333333329E-2</v>
      </c>
      <c r="AJ42" s="1025">
        <f>_xlfn.IFS(AH42=0,0,AI42&lt;=AH42,AI42/AH42,AI42&gt;AH42,1)</f>
        <v>8.3333333333333329E-2</v>
      </c>
      <c r="AK42" s="929"/>
      <c r="AL42" s="1226">
        <v>1</v>
      </c>
      <c r="AM42" s="906">
        <f>AL42/AL26</f>
        <v>8.3333333333333329E-2</v>
      </c>
      <c r="AN42" s="1025">
        <f>_xlfn.IFS(AL42=0,0,AM42&lt;=AL42,AM42/AL42,AM42&gt;AL42,1)</f>
        <v>8.3333333333333329E-2</v>
      </c>
      <c r="AO42" s="929"/>
      <c r="AP42" s="1226">
        <v>1</v>
      </c>
      <c r="AQ42" s="906">
        <f>AP42/AP26</f>
        <v>8.3333333333333329E-2</v>
      </c>
      <c r="AR42" s="1025">
        <f>_xlfn.IFS(AP42=0,0,AQ42&lt;=AP42,AQ42/AP42,AQ42&gt;AP42,1)</f>
        <v>8.3333333333333329E-2</v>
      </c>
      <c r="AS42" s="929"/>
      <c r="AT42" s="1226">
        <v>1</v>
      </c>
      <c r="AU42" s="906">
        <f>AT42/AT26</f>
        <v>8.3333333333333329E-2</v>
      </c>
      <c r="AV42" s="1025">
        <f>_xlfn.IFS(AT42=0,0,AU42&lt;=AT42,AU42/AT42,AU42&gt;AT42,1)</f>
        <v>8.3333333333333329E-2</v>
      </c>
      <c r="AW42" s="929"/>
      <c r="AX42" s="1226">
        <v>1</v>
      </c>
      <c r="AY42" s="906">
        <f>AX42/AX26</f>
        <v>8.3333333333333329E-2</v>
      </c>
      <c r="AZ42" s="1025">
        <f>_xlfn.IFS(AX42=0,0,AY42&lt;=AX42,AY42/AX42,AY42&gt;AX42,1)</f>
        <v>8.3333333333333329E-2</v>
      </c>
      <c r="BA42" s="929"/>
      <c r="BB42" s="1226">
        <v>1</v>
      </c>
      <c r="BC42" s="906">
        <f>BB42/BB26</f>
        <v>8.3333333333333329E-2</v>
      </c>
      <c r="BD42" s="1025">
        <f>_xlfn.IFS(BB42=0,0,BC42&lt;=BB42,BC42/BB42,BC42&gt;BB42,1)</f>
        <v>8.3333333333333329E-2</v>
      </c>
      <c r="BE42" s="929"/>
      <c r="BF42" s="1226">
        <v>1</v>
      </c>
      <c r="BG42" s="906">
        <f>BF42/BF26</f>
        <v>8.3333333333333329E-2</v>
      </c>
      <c r="BH42" s="1025">
        <f>_xlfn.IFS(BF42=0,0,BG42&lt;=BF42,BG42/BF42,BG42&gt;BF42,1)</f>
        <v>8.3333333333333329E-2</v>
      </c>
      <c r="BI42" s="929"/>
      <c r="BJ42" s="1226">
        <v>3</v>
      </c>
      <c r="BK42" s="906">
        <f>BJ42/BJ26</f>
        <v>0.25</v>
      </c>
      <c r="BL42" s="1025">
        <f>_xlfn.IFS(BJ42=0,0,BK42&lt;=BJ42,BK42/BJ42,BK42&gt;BJ42,1)</f>
        <v>8.3333333333333329E-2</v>
      </c>
      <c r="BM42" s="929"/>
      <c r="BN42" s="1226">
        <v>3</v>
      </c>
      <c r="BO42" s="906">
        <f>BN42/BN26</f>
        <v>0.25</v>
      </c>
      <c r="BP42" s="1025">
        <f>_xlfn.IFS(BN42=0,0,BO42&lt;=BN42,BO42/BN42,BO42&gt;BN42,1)</f>
        <v>8.3333333333333329E-2</v>
      </c>
      <c r="BQ42" s="929"/>
      <c r="BR42" s="1226">
        <v>3</v>
      </c>
      <c r="BS42" s="906">
        <f>BR42/BR26</f>
        <v>0.25</v>
      </c>
      <c r="BT42" s="1025">
        <f>_xlfn.IFS(BR42=0,0,BS42&lt;=BR42,BS42/BR42,BS42&gt;BR42,1)</f>
        <v>8.3333333333333329E-2</v>
      </c>
      <c r="BU42" s="929"/>
      <c r="BV42" s="1226">
        <v>3</v>
      </c>
      <c r="BW42" s="906">
        <f>BV42/BV26</f>
        <v>0.25</v>
      </c>
      <c r="BX42" s="1025">
        <f>_xlfn.IFS(BV42=0,0,BW42&lt;=BV42,BW42/BV42,BW42&gt;BV42,1)</f>
        <v>8.3333333333333329E-2</v>
      </c>
      <c r="BY42" s="929"/>
      <c r="BZ42" s="1226">
        <v>3</v>
      </c>
      <c r="CA42" s="906">
        <f>BZ42/BZ26</f>
        <v>0.25</v>
      </c>
      <c r="CB42" s="1025">
        <f>_xlfn.IFS(BZ42=0,0,CA42&lt;=BZ42,CA42/BZ42,CA42&gt;BZ42,1)</f>
        <v>8.3333333333333329E-2</v>
      </c>
      <c r="CC42" s="929"/>
      <c r="CD42" s="1226">
        <v>3</v>
      </c>
      <c r="CE42" s="906">
        <f>CD42/CD26</f>
        <v>0.25</v>
      </c>
      <c r="CF42" s="1025">
        <f>_xlfn.IFS(CD42=0,0,CE42&lt;=CD42,CE42/CD42,CE42&gt;CD42,1)</f>
        <v>8.3333333333333329E-2</v>
      </c>
      <c r="CG42" s="929"/>
      <c r="CH42" s="1226">
        <v>3</v>
      </c>
      <c r="CI42" s="906">
        <f>CH42/CH26</f>
        <v>0.25</v>
      </c>
      <c r="CJ42" s="1025">
        <f>_xlfn.IFS(CH42=0,0,CI42&lt;=CH42,CI42/CH42,CI42&gt;CH42,1)</f>
        <v>8.3333333333333329E-2</v>
      </c>
      <c r="CK42" s="929"/>
      <c r="CL42" s="1226">
        <v>3</v>
      </c>
      <c r="CM42" s="906">
        <f>CL42/CL26</f>
        <v>0.25</v>
      </c>
      <c r="CN42" s="1025">
        <f>_xlfn.IFS(CL42=0,0,CM42&lt;=CL42,CM42/CL42,CM42&gt;CL42,1)</f>
        <v>8.3333333333333329E-2</v>
      </c>
      <c r="CO42" s="929"/>
      <c r="CP42" s="1226">
        <v>3</v>
      </c>
      <c r="CQ42" s="906">
        <f>CP42/CP26</f>
        <v>0.25</v>
      </c>
      <c r="CR42" s="1025">
        <f>_xlfn.IFS(CP42=0,0,CQ42&lt;=CP42,CQ42/CP42,CQ42&gt;CP42,1)</f>
        <v>8.3333333333333329E-2</v>
      </c>
      <c r="CS42" s="929"/>
      <c r="CT42" s="1226">
        <v>3</v>
      </c>
      <c r="CU42" s="906">
        <f>CT42/CT26</f>
        <v>0.25</v>
      </c>
      <c r="CV42" s="1025">
        <f>_xlfn.IFS(CT42=0,0,CU42&lt;=CT42,CU42/CT42,CU42&gt;CT42,1)</f>
        <v>8.3333333333333329E-2</v>
      </c>
      <c r="CW42" s="929"/>
      <c r="CX42" s="1226">
        <v>3</v>
      </c>
      <c r="CY42" s="906">
        <f>CX42/CX26</f>
        <v>0.25</v>
      </c>
      <c r="CZ42" s="1025">
        <f>_xlfn.IFS(CX42=0,0,CY42&lt;=CX42,CY42/CX42,CY42&gt;CX42,1)</f>
        <v>8.3333333333333329E-2</v>
      </c>
      <c r="DA42" s="929"/>
      <c r="DB42" s="1226">
        <v>3</v>
      </c>
      <c r="DC42" s="906">
        <f>DB42/DB26</f>
        <v>0.25</v>
      </c>
      <c r="DD42" s="1025">
        <f>_xlfn.IFS(DB42=0,0,DC42&lt;=DB42,DC42/DB42,DC42&gt;DB42,1)</f>
        <v>8.3333333333333329E-2</v>
      </c>
      <c r="DE42" s="929"/>
      <c r="DF42" s="1226">
        <v>3</v>
      </c>
      <c r="DG42" s="906">
        <f>DF42/DF26</f>
        <v>0.25</v>
      </c>
      <c r="DH42" s="1025">
        <f>_xlfn.IFS(DF42=0,0,DG42&lt;=DF42,DG42/DF42,DG42&gt;DF42,1)</f>
        <v>8.3333333333333329E-2</v>
      </c>
      <c r="DI42" s="929"/>
      <c r="DJ42" s="1226">
        <v>3</v>
      </c>
      <c r="DK42" s="906">
        <f>DJ42/DJ26</f>
        <v>0.25</v>
      </c>
      <c r="DL42" s="1025">
        <f>_xlfn.IFS(DJ42=0,0,DK42&lt;=DJ42,DK42/DJ42,DK42&gt;DJ42,1)</f>
        <v>8.3333333333333329E-2</v>
      </c>
      <c r="DM42" s="929"/>
      <c r="DN42" s="1226">
        <v>3</v>
      </c>
      <c r="DO42" s="906">
        <f>DN42/DN26</f>
        <v>0.25</v>
      </c>
      <c r="DP42" s="1025">
        <f>_xlfn.IFS(DN42=0,0,DO42&lt;=DN42,DO42/DN42,DO42&gt;DN42,1)</f>
        <v>8.3333333333333329E-2</v>
      </c>
      <c r="DQ42" s="929"/>
      <c r="DR42" s="1226">
        <v>3</v>
      </c>
      <c r="DS42" s="906">
        <f>DR42/DR26</f>
        <v>0.25</v>
      </c>
      <c r="DT42" s="1025">
        <f>_xlfn.IFS(DR42=0,0,DS42&lt;=DR42,DS42/DR42,DS42&gt;DR42,1)</f>
        <v>8.3333333333333329E-2</v>
      </c>
      <c r="DU42" s="929"/>
      <c r="DV42" s="1226">
        <v>3</v>
      </c>
      <c r="DW42" s="906">
        <f>DV42/DV26</f>
        <v>0.25</v>
      </c>
      <c r="DX42" s="1025">
        <f>_xlfn.IFS(DV42=0,0,DW42&lt;=DV42,DW42/DV42,DW42&gt;DV42,1)</f>
        <v>8.3333333333333329E-2</v>
      </c>
      <c r="DY42" s="929"/>
      <c r="DZ42" s="1226">
        <v>3</v>
      </c>
      <c r="EA42" s="906">
        <f>DZ42/DZ26</f>
        <v>0.25</v>
      </c>
      <c r="EB42" s="1025">
        <f>_xlfn.IFS(DZ42=0,0,EA42&lt;=DZ42,EA42/DZ42,EA42&gt;DZ42,1)</f>
        <v>8.3333333333333329E-2</v>
      </c>
      <c r="EC42" s="929"/>
      <c r="ED42" s="1226">
        <v>3</v>
      </c>
      <c r="EE42" s="906">
        <f>ED42/ED26</f>
        <v>0.25</v>
      </c>
      <c r="EF42" s="1025">
        <f>_xlfn.IFS(ED42=0,0,EE42&lt;=ED42,EE42/ED42,EE42&gt;ED42,1)</f>
        <v>8.3333333333333329E-2</v>
      </c>
    </row>
    <row r="43" spans="1:136" ht="20" customHeight="1" x14ac:dyDescent="0.15">
      <c r="A43" s="189">
        <f t="shared" si="307"/>
        <v>0</v>
      </c>
      <c r="B43" s="950"/>
      <c r="C43" s="391" t="str">
        <f>Dashboard!K112</f>
        <v>WEBSITE</v>
      </c>
      <c r="D43" s="208">
        <f>Dashboard!AC112</f>
        <v>2.5000000000000001E-2</v>
      </c>
      <c r="E43" s="1088">
        <f t="shared" si="308"/>
        <v>0.33333333333333337</v>
      </c>
      <c r="F43" s="208">
        <f t="shared" si="309"/>
        <v>-0.30833333333333335</v>
      </c>
      <c r="G43" s="208">
        <f t="shared" si="310"/>
        <v>7.4999999999999997E-2</v>
      </c>
      <c r="H43" s="935"/>
      <c r="I43" s="935"/>
      <c r="J43" s="935"/>
      <c r="K43" s="831"/>
      <c r="L43" s="945"/>
      <c r="M43" s="929"/>
      <c r="N43" s="1226">
        <v>1</v>
      </c>
      <c r="O43" s="906">
        <f>N43/N32</f>
        <v>0.33333333333333331</v>
      </c>
      <c r="P43" s="1227">
        <f t="shared" ref="P43" si="311">_xlfn.IFS(N43=0,0,O43&lt;=N43,O43/N43,O43&gt;N43,1)</f>
        <v>0.33333333333333331</v>
      </c>
      <c r="Q43" s="929"/>
      <c r="R43" s="1226">
        <v>1</v>
      </c>
      <c r="S43" s="906">
        <f>R43/R32</f>
        <v>0.33333333333333331</v>
      </c>
      <c r="T43" s="1025">
        <f t="shared" ref="T43" si="312">_xlfn.IFS(R43=0,0,S43&lt;=R43,S43/R43,S43&gt;R43,1)</f>
        <v>0.33333333333333331</v>
      </c>
      <c r="U43" s="929"/>
      <c r="V43" s="1226">
        <v>1</v>
      </c>
      <c r="W43" s="906">
        <f>V43/V32</f>
        <v>0.33333333333333331</v>
      </c>
      <c r="X43" s="1025">
        <f t="shared" ref="X43" si="313">_xlfn.IFS(V43=0,0,W43&lt;=V43,W43/V43,W43&gt;V43,1)</f>
        <v>0.33333333333333331</v>
      </c>
      <c r="Y43" s="929"/>
      <c r="Z43" s="1226">
        <v>1</v>
      </c>
      <c r="AA43" s="906">
        <f>Z43/Z32</f>
        <v>0.33333333333333331</v>
      </c>
      <c r="AB43" s="1025">
        <f t="shared" ref="AB43" si="314">_xlfn.IFS(Z43=0,0,AA43&lt;=Z43,AA43/Z43,AA43&gt;Z43,1)</f>
        <v>0.33333333333333331</v>
      </c>
      <c r="AC43" s="929"/>
      <c r="AD43" s="1226">
        <v>1</v>
      </c>
      <c r="AE43" s="906">
        <f>AD43/AD32</f>
        <v>0.33333333333333331</v>
      </c>
      <c r="AF43" s="1025">
        <f t="shared" ref="AF43" si="315">_xlfn.IFS(AD43=0,0,AE43&lt;=AD43,AE43/AD43,AE43&gt;AD43,1)</f>
        <v>0.33333333333333331</v>
      </c>
      <c r="AG43" s="929"/>
      <c r="AH43" s="1226">
        <v>1</v>
      </c>
      <c r="AI43" s="906">
        <f>AH43/AH32</f>
        <v>0.33333333333333331</v>
      </c>
      <c r="AJ43" s="1025">
        <f t="shared" ref="AJ43" si="316">_xlfn.IFS(AH43=0,0,AI43&lt;=AH43,AI43/AH43,AI43&gt;AH43,1)</f>
        <v>0.33333333333333331</v>
      </c>
      <c r="AK43" s="929"/>
      <c r="AL43" s="1226">
        <v>1</v>
      </c>
      <c r="AM43" s="906">
        <f>AL43/AL32</f>
        <v>0.33333333333333331</v>
      </c>
      <c r="AN43" s="1025">
        <f t="shared" ref="AN43" si="317">_xlfn.IFS(AL43=0,0,AM43&lt;=AL43,AM43/AL43,AM43&gt;AL43,1)</f>
        <v>0.33333333333333331</v>
      </c>
      <c r="AO43" s="929"/>
      <c r="AP43" s="1226">
        <v>1</v>
      </c>
      <c r="AQ43" s="906">
        <f>AP43/AP32</f>
        <v>0.33333333333333331</v>
      </c>
      <c r="AR43" s="1025">
        <f t="shared" ref="AR43" si="318">_xlfn.IFS(AP43=0,0,AQ43&lt;=AP43,AQ43/AP43,AQ43&gt;AP43,1)</f>
        <v>0.33333333333333331</v>
      </c>
      <c r="AS43" s="929"/>
      <c r="AT43" s="1226">
        <v>1</v>
      </c>
      <c r="AU43" s="906">
        <f>AT43/AT32</f>
        <v>0.33333333333333331</v>
      </c>
      <c r="AV43" s="1025">
        <f t="shared" ref="AV43" si="319">_xlfn.IFS(AT43=0,0,AU43&lt;=AT43,AU43/AT43,AU43&gt;AT43,1)</f>
        <v>0.33333333333333331</v>
      </c>
      <c r="AW43" s="929"/>
      <c r="AX43" s="1226">
        <v>1</v>
      </c>
      <c r="AY43" s="906">
        <f>AX43/AX32</f>
        <v>0.33333333333333331</v>
      </c>
      <c r="AZ43" s="1025">
        <f t="shared" ref="AZ43" si="320">_xlfn.IFS(AX43=0,0,AY43&lt;=AX43,AY43/AX43,AY43&gt;AX43,1)</f>
        <v>0.33333333333333331</v>
      </c>
      <c r="BA43" s="929"/>
      <c r="BB43" s="1226">
        <v>1</v>
      </c>
      <c r="BC43" s="906">
        <f>BB43/BB32</f>
        <v>0.33333333333333331</v>
      </c>
      <c r="BD43" s="1025">
        <f t="shared" ref="BD43" si="321">_xlfn.IFS(BB43=0,0,BC43&lt;=BB43,BC43/BB43,BC43&gt;BB43,1)</f>
        <v>0.33333333333333331</v>
      </c>
      <c r="BE43" s="929"/>
      <c r="BF43" s="1226">
        <v>1</v>
      </c>
      <c r="BG43" s="906">
        <f>BF43/BF32</f>
        <v>0.33333333333333331</v>
      </c>
      <c r="BH43" s="1025">
        <f t="shared" ref="BH43" si="322">_xlfn.IFS(BF43=0,0,BG43&lt;=BF43,BG43/BF43,BG43&gt;BF43,1)</f>
        <v>0.33333333333333331</v>
      </c>
      <c r="BI43" s="929"/>
      <c r="BJ43" s="1226">
        <v>1</v>
      </c>
      <c r="BK43" s="906">
        <f>BJ43/BJ32</f>
        <v>0.33333333333333331</v>
      </c>
      <c r="BL43" s="1025">
        <f t="shared" ref="BL43" si="323">_xlfn.IFS(BJ43=0,0,BK43&lt;=BJ43,BK43/BJ43,BK43&gt;BJ43,1)</f>
        <v>0.33333333333333331</v>
      </c>
      <c r="BM43" s="929"/>
      <c r="BN43" s="1226">
        <v>1</v>
      </c>
      <c r="BO43" s="906">
        <f>BN43/BN32</f>
        <v>0.33333333333333331</v>
      </c>
      <c r="BP43" s="1025">
        <f t="shared" ref="BP43" si="324">_xlfn.IFS(BN43=0,0,BO43&lt;=BN43,BO43/BN43,BO43&gt;BN43,1)</f>
        <v>0.33333333333333331</v>
      </c>
      <c r="BQ43" s="929"/>
      <c r="BR43" s="1226">
        <v>1</v>
      </c>
      <c r="BS43" s="906">
        <f>BR43/BR32</f>
        <v>0.33333333333333331</v>
      </c>
      <c r="BT43" s="1025">
        <f t="shared" ref="BT43" si="325">_xlfn.IFS(BR43=0,0,BS43&lt;=BR43,BS43/BR43,BS43&gt;BR43,1)</f>
        <v>0.33333333333333331</v>
      </c>
      <c r="BU43" s="929"/>
      <c r="BV43" s="1226">
        <v>1</v>
      </c>
      <c r="BW43" s="906">
        <f>BV43/BV32</f>
        <v>0.33333333333333331</v>
      </c>
      <c r="BX43" s="1025">
        <f t="shared" ref="BX43" si="326">_xlfn.IFS(BV43=0,0,BW43&lt;=BV43,BW43/BV43,BW43&gt;BV43,1)</f>
        <v>0.33333333333333331</v>
      </c>
      <c r="BY43" s="929"/>
      <c r="BZ43" s="1226">
        <v>1</v>
      </c>
      <c r="CA43" s="906">
        <f>BZ43/BZ32</f>
        <v>0.33333333333333331</v>
      </c>
      <c r="CB43" s="1025">
        <f t="shared" ref="CB43" si="327">_xlfn.IFS(BZ43=0,0,CA43&lt;=BZ43,CA43/BZ43,CA43&gt;BZ43,1)</f>
        <v>0.33333333333333331</v>
      </c>
      <c r="CC43" s="929"/>
      <c r="CD43" s="1226">
        <v>1</v>
      </c>
      <c r="CE43" s="906">
        <f>CD43/CD32</f>
        <v>0.33333333333333331</v>
      </c>
      <c r="CF43" s="1025">
        <f t="shared" ref="CF43" si="328">_xlfn.IFS(CD43=0,0,CE43&lt;=CD43,CE43/CD43,CE43&gt;CD43,1)</f>
        <v>0.33333333333333331</v>
      </c>
      <c r="CG43" s="929"/>
      <c r="CH43" s="1226">
        <v>1</v>
      </c>
      <c r="CI43" s="906">
        <f>CH43/CH32</f>
        <v>0.33333333333333331</v>
      </c>
      <c r="CJ43" s="1025">
        <f t="shared" ref="CJ43" si="329">_xlfn.IFS(CH43=0,0,CI43&lt;=CH43,CI43/CH43,CI43&gt;CH43,1)</f>
        <v>0.33333333333333331</v>
      </c>
      <c r="CK43" s="929"/>
      <c r="CL43" s="1226">
        <v>1</v>
      </c>
      <c r="CM43" s="906">
        <f>CL43/CL32</f>
        <v>0.33333333333333331</v>
      </c>
      <c r="CN43" s="1025">
        <f t="shared" ref="CN43" si="330">_xlfn.IFS(CL43=0,0,CM43&lt;=CL43,CM43/CL43,CM43&gt;CL43,1)</f>
        <v>0.33333333333333331</v>
      </c>
      <c r="CO43" s="929"/>
      <c r="CP43" s="1226">
        <v>1</v>
      </c>
      <c r="CQ43" s="906">
        <f>CP43/CP32</f>
        <v>0.33333333333333331</v>
      </c>
      <c r="CR43" s="1025">
        <f t="shared" ref="CR43" si="331">_xlfn.IFS(CP43=0,0,CQ43&lt;=CP43,CQ43/CP43,CQ43&gt;CP43,1)</f>
        <v>0.33333333333333331</v>
      </c>
      <c r="CS43" s="929"/>
      <c r="CT43" s="1226">
        <v>1</v>
      </c>
      <c r="CU43" s="906">
        <f>CT43/CT32</f>
        <v>0.33333333333333331</v>
      </c>
      <c r="CV43" s="1025">
        <f t="shared" ref="CV43" si="332">_xlfn.IFS(CT43=0,0,CU43&lt;=CT43,CU43/CT43,CU43&gt;CT43,1)</f>
        <v>0.33333333333333331</v>
      </c>
      <c r="CW43" s="929"/>
      <c r="CX43" s="1226">
        <v>1</v>
      </c>
      <c r="CY43" s="906">
        <f>CX43/CX32</f>
        <v>0.33333333333333331</v>
      </c>
      <c r="CZ43" s="1025">
        <f t="shared" ref="CZ43" si="333">_xlfn.IFS(CX43=0,0,CY43&lt;=CX43,CY43/CX43,CY43&gt;CX43,1)</f>
        <v>0.33333333333333331</v>
      </c>
      <c r="DA43" s="929"/>
      <c r="DB43" s="1226">
        <v>1</v>
      </c>
      <c r="DC43" s="906">
        <f>DB43/DB32</f>
        <v>0.33333333333333331</v>
      </c>
      <c r="DD43" s="1025">
        <f t="shared" ref="DD43" si="334">_xlfn.IFS(DB43=0,0,DC43&lt;=DB43,DC43/DB43,DC43&gt;DB43,1)</f>
        <v>0.33333333333333331</v>
      </c>
      <c r="DE43" s="929"/>
      <c r="DF43" s="1226">
        <v>1</v>
      </c>
      <c r="DG43" s="906">
        <f>DF43/DF32</f>
        <v>0.33333333333333331</v>
      </c>
      <c r="DH43" s="1025">
        <f t="shared" ref="DH43" si="335">_xlfn.IFS(DF43=0,0,DG43&lt;=DF43,DG43/DF43,DG43&gt;DF43,1)</f>
        <v>0.33333333333333331</v>
      </c>
      <c r="DI43" s="929"/>
      <c r="DJ43" s="1226">
        <v>1</v>
      </c>
      <c r="DK43" s="906">
        <f>DJ43/DJ32</f>
        <v>0.33333333333333331</v>
      </c>
      <c r="DL43" s="1025">
        <f t="shared" ref="DL43" si="336">_xlfn.IFS(DJ43=0,0,DK43&lt;=DJ43,DK43/DJ43,DK43&gt;DJ43,1)</f>
        <v>0.33333333333333331</v>
      </c>
      <c r="DM43" s="929"/>
      <c r="DN43" s="1226">
        <v>1</v>
      </c>
      <c r="DO43" s="906">
        <f>DN43/DN32</f>
        <v>0.33333333333333331</v>
      </c>
      <c r="DP43" s="1025">
        <f t="shared" ref="DP43" si="337">_xlfn.IFS(DN43=0,0,DO43&lt;=DN43,DO43/DN43,DO43&gt;DN43,1)</f>
        <v>0.33333333333333331</v>
      </c>
      <c r="DQ43" s="929"/>
      <c r="DR43" s="1226">
        <v>1</v>
      </c>
      <c r="DS43" s="906">
        <f>DR43/DR32</f>
        <v>0.33333333333333331</v>
      </c>
      <c r="DT43" s="1025">
        <f t="shared" ref="DT43" si="338">_xlfn.IFS(DR43=0,0,DS43&lt;=DR43,DS43/DR43,DS43&gt;DR43,1)</f>
        <v>0.33333333333333331</v>
      </c>
      <c r="DU43" s="929"/>
      <c r="DV43" s="1226">
        <v>1</v>
      </c>
      <c r="DW43" s="906">
        <f>DV43/DV32</f>
        <v>0.33333333333333331</v>
      </c>
      <c r="DX43" s="1025">
        <f t="shared" ref="DX43" si="339">_xlfn.IFS(DV43=0,0,DW43&lt;=DV43,DW43/DV43,DW43&gt;DV43,1)</f>
        <v>0.33333333333333331</v>
      </c>
      <c r="DY43" s="929"/>
      <c r="DZ43" s="1226">
        <v>1</v>
      </c>
      <c r="EA43" s="906">
        <f>DZ43/DZ32</f>
        <v>0.33333333333333331</v>
      </c>
      <c r="EB43" s="1025">
        <f t="shared" ref="EB43" si="340">_xlfn.IFS(DZ43=0,0,EA43&lt;=DZ43,EA43/DZ43,EA43&gt;DZ43,1)</f>
        <v>0.33333333333333331</v>
      </c>
      <c r="EC43" s="929"/>
      <c r="ED43" s="1226">
        <v>1</v>
      </c>
      <c r="EE43" s="906">
        <f>ED43/ED32</f>
        <v>0.33333333333333331</v>
      </c>
      <c r="EF43" s="1025">
        <f t="shared" ref="EF43" si="341">_xlfn.IFS(ED43=0,0,EE43&lt;=ED43,EE43/ED43,EE43&gt;ED43,1)</f>
        <v>0.33333333333333331</v>
      </c>
    </row>
    <row r="44" spans="1:136" ht="20" customHeight="1" x14ac:dyDescent="0.15">
      <c r="A44" s="189">
        <f>_xlfn.IFS(B44=0,0,E44&gt;B44,1,E44&lt;=B44,E44/B44)</f>
        <v>0</v>
      </c>
      <c r="B44" s="948"/>
      <c r="C44" s="391" t="str">
        <f>Dashboard!K113</f>
        <v>TIKTOKSHOP</v>
      </c>
      <c r="D44" s="208">
        <f>Dashboard!AC113</f>
        <v>2.5000000000000001E-2</v>
      </c>
      <c r="E44" s="1088">
        <f t="shared" si="308"/>
        <v>1</v>
      </c>
      <c r="F44" s="208">
        <f t="shared" si="309"/>
        <v>-0.97499999999999998</v>
      </c>
      <c r="G44" s="208">
        <f t="shared" si="310"/>
        <v>2.5000000000000001E-2</v>
      </c>
      <c r="H44" s="935"/>
      <c r="I44" s="935"/>
      <c r="J44" s="935"/>
      <c r="K44" s="837">
        <f t="shared" si="306"/>
        <v>2.5000000000000001E-2</v>
      </c>
      <c r="L44" s="883">
        <f t="shared" ref="L44:L46" ca="1" si="342">SUMIFS($M44:$EF44,$M$11:$EF$11,TODAY()-1,$M$13:$EF$13,P$13)</f>
        <v>0</v>
      </c>
      <c r="M44" s="937"/>
      <c r="N44" s="1042">
        <v>1</v>
      </c>
      <c r="O44" s="906">
        <f>N44/N35</f>
        <v>1</v>
      </c>
      <c r="P44" s="1227">
        <f>_xlfn.IFS(N44=0,0,O44&lt;=N44,O44/N44,O44&gt;N44,1)</f>
        <v>1</v>
      </c>
      <c r="Q44" s="937"/>
      <c r="R44" s="1042">
        <v>1</v>
      </c>
      <c r="S44" s="906">
        <f>R44/R35</f>
        <v>1</v>
      </c>
      <c r="T44" s="1025">
        <f>_xlfn.IFS(R44=0,0,S44&lt;=R44,S44/R44,S44&gt;R44,1)</f>
        <v>1</v>
      </c>
      <c r="U44" s="937"/>
      <c r="V44" s="1042">
        <v>1</v>
      </c>
      <c r="W44" s="906">
        <f>V44/V35</f>
        <v>1</v>
      </c>
      <c r="X44" s="1025">
        <f>_xlfn.IFS(V44=0,0,W44&lt;=V44,W44/V44,W44&gt;V44,1)</f>
        <v>1</v>
      </c>
      <c r="Y44" s="937"/>
      <c r="Z44" s="1042">
        <v>1</v>
      </c>
      <c r="AA44" s="906">
        <f>Z44/Z35</f>
        <v>1</v>
      </c>
      <c r="AB44" s="1025">
        <f>_xlfn.IFS(Z44=0,0,AA44&lt;=Z44,AA44/Z44,AA44&gt;Z44,1)</f>
        <v>1</v>
      </c>
      <c r="AC44" s="937"/>
      <c r="AD44" s="1042">
        <v>1</v>
      </c>
      <c r="AE44" s="906">
        <f>AD44/AD35</f>
        <v>1</v>
      </c>
      <c r="AF44" s="1025">
        <f>_xlfn.IFS(AD44=0,0,AE44&lt;=AD44,AE44/AD44,AE44&gt;AD44,1)</f>
        <v>1</v>
      </c>
      <c r="AG44" s="937"/>
      <c r="AH44" s="1042">
        <v>1</v>
      </c>
      <c r="AI44" s="906">
        <f>AH44/AH35</f>
        <v>1</v>
      </c>
      <c r="AJ44" s="1025">
        <f>_xlfn.IFS(AH44=0,0,AI44&lt;=AH44,AI44/AH44,AI44&gt;AH44,1)</f>
        <v>1</v>
      </c>
      <c r="AK44" s="937"/>
      <c r="AL44" s="1042">
        <v>1</v>
      </c>
      <c r="AM44" s="906">
        <f>AL44/AL35</f>
        <v>1</v>
      </c>
      <c r="AN44" s="1025">
        <f>_xlfn.IFS(AL44=0,0,AM44&lt;=AL44,AM44/AL44,AM44&gt;AL44,1)</f>
        <v>1</v>
      </c>
      <c r="AO44" s="937"/>
      <c r="AP44" s="1042">
        <v>1</v>
      </c>
      <c r="AQ44" s="906">
        <f>AP44/AP35</f>
        <v>1</v>
      </c>
      <c r="AR44" s="1025">
        <f>_xlfn.IFS(AP44=0,0,AQ44&lt;=AP44,AQ44/AP44,AQ44&gt;AP44,1)</f>
        <v>1</v>
      </c>
      <c r="AS44" s="937"/>
      <c r="AT44" s="1042">
        <v>1</v>
      </c>
      <c r="AU44" s="906">
        <f>AT44/AT35</f>
        <v>1</v>
      </c>
      <c r="AV44" s="1025">
        <f>_xlfn.IFS(AT44=0,0,AU44&lt;=AT44,AU44/AT44,AU44&gt;AT44,1)</f>
        <v>1</v>
      </c>
      <c r="AW44" s="937"/>
      <c r="AX44" s="1042">
        <v>1</v>
      </c>
      <c r="AY44" s="906">
        <f>AX44/AX35</f>
        <v>1</v>
      </c>
      <c r="AZ44" s="1025">
        <f>_xlfn.IFS(AX44=0,0,AY44&lt;=AX44,AY44/AX44,AY44&gt;AX44,1)</f>
        <v>1</v>
      </c>
      <c r="BA44" s="937"/>
      <c r="BB44" s="1042">
        <v>1</v>
      </c>
      <c r="BC44" s="906">
        <f>BB44/BB35</f>
        <v>1</v>
      </c>
      <c r="BD44" s="1025">
        <f>_xlfn.IFS(BB44=0,0,BC44&lt;=BB44,BC44/BB44,BC44&gt;BB44,1)</f>
        <v>1</v>
      </c>
      <c r="BE44" s="937"/>
      <c r="BF44" s="1042">
        <v>1</v>
      </c>
      <c r="BG44" s="906">
        <f>BF44/BF35</f>
        <v>1</v>
      </c>
      <c r="BH44" s="1025">
        <f>_xlfn.IFS(BF44=0,0,BG44&lt;=BF44,BG44/BF44,BG44&gt;BF44,1)</f>
        <v>1</v>
      </c>
      <c r="BI44" s="937"/>
      <c r="BJ44" s="1042">
        <v>0</v>
      </c>
      <c r="BK44" s="906">
        <f>BJ44/BJ35</f>
        <v>0</v>
      </c>
      <c r="BL44" s="1025">
        <f>_xlfn.IFS(BJ44=0,0,BK44&lt;=BJ44,BK44/BJ44,BK44&gt;BJ44,1)</f>
        <v>0</v>
      </c>
      <c r="BM44" s="937"/>
      <c r="BN44" s="1042">
        <v>0</v>
      </c>
      <c r="BO44" s="906">
        <f>BN44/BN35</f>
        <v>0</v>
      </c>
      <c r="BP44" s="1025">
        <f>_xlfn.IFS(BN44=0,0,BO44&lt;=BN44,BO44/BN44,BO44&gt;BN44,1)</f>
        <v>0</v>
      </c>
      <c r="BQ44" s="937"/>
      <c r="BR44" s="1042">
        <v>0</v>
      </c>
      <c r="BS44" s="906">
        <f>BR44/BR35</f>
        <v>0</v>
      </c>
      <c r="BT44" s="1025">
        <f>_xlfn.IFS(BR44=0,0,BS44&lt;=BR44,BS44/BR44,BS44&gt;BR44,1)</f>
        <v>0</v>
      </c>
      <c r="BU44" s="937"/>
      <c r="BV44" s="1042">
        <v>0</v>
      </c>
      <c r="BW44" s="906">
        <f>BV44/BV35</f>
        <v>0</v>
      </c>
      <c r="BX44" s="1025">
        <f>_xlfn.IFS(BV44=0,0,BW44&lt;=BV44,BW44/BV44,BW44&gt;BV44,1)</f>
        <v>0</v>
      </c>
      <c r="BY44" s="937"/>
      <c r="BZ44" s="1042">
        <v>0</v>
      </c>
      <c r="CA44" s="906">
        <f>BZ44/BZ35</f>
        <v>0</v>
      </c>
      <c r="CB44" s="1025">
        <f>_xlfn.IFS(BZ44=0,0,CA44&lt;=BZ44,CA44/BZ44,CA44&gt;BZ44,1)</f>
        <v>0</v>
      </c>
      <c r="CC44" s="937"/>
      <c r="CD44" s="1042">
        <v>0</v>
      </c>
      <c r="CE44" s="906">
        <f>CD44/CD35</f>
        <v>0</v>
      </c>
      <c r="CF44" s="1025">
        <f>_xlfn.IFS(CD44=0,0,CE44&lt;=CD44,CE44/CD44,CE44&gt;CD44,1)</f>
        <v>0</v>
      </c>
      <c r="CG44" s="937"/>
      <c r="CH44" s="1042">
        <v>0</v>
      </c>
      <c r="CI44" s="906">
        <f>CH44/CH35</f>
        <v>0</v>
      </c>
      <c r="CJ44" s="1025">
        <f>_xlfn.IFS(CH44=0,0,CI44&lt;=CH44,CI44/CH44,CI44&gt;CH44,1)</f>
        <v>0</v>
      </c>
      <c r="CK44" s="937"/>
      <c r="CL44" s="1042">
        <v>0</v>
      </c>
      <c r="CM44" s="906">
        <f>CL44/CL35</f>
        <v>0</v>
      </c>
      <c r="CN44" s="1025">
        <f>_xlfn.IFS(CL44=0,0,CM44&lt;=CL44,CM44/CL44,CM44&gt;CL44,1)</f>
        <v>0</v>
      </c>
      <c r="CO44" s="937"/>
      <c r="CP44" s="1042">
        <v>0</v>
      </c>
      <c r="CQ44" s="906">
        <f>CP44/CP35</f>
        <v>0</v>
      </c>
      <c r="CR44" s="1025">
        <f>_xlfn.IFS(CP44=0,0,CQ44&lt;=CP44,CQ44/CP44,CQ44&gt;CP44,1)</f>
        <v>0</v>
      </c>
      <c r="CS44" s="937"/>
      <c r="CT44" s="1042">
        <v>0</v>
      </c>
      <c r="CU44" s="906">
        <f>CT44/CT35</f>
        <v>0</v>
      </c>
      <c r="CV44" s="1025">
        <f>_xlfn.IFS(CT44=0,0,CU44&lt;=CT44,CU44/CT44,CU44&gt;CT44,1)</f>
        <v>0</v>
      </c>
      <c r="CW44" s="937"/>
      <c r="CX44" s="1042">
        <v>0</v>
      </c>
      <c r="CY44" s="906">
        <f>CX44/CX35</f>
        <v>0</v>
      </c>
      <c r="CZ44" s="1025">
        <f>_xlfn.IFS(CX44=0,0,CY44&lt;=CX44,CY44/CX44,CY44&gt;CX44,1)</f>
        <v>0</v>
      </c>
      <c r="DA44" s="937"/>
      <c r="DB44" s="1042">
        <v>0</v>
      </c>
      <c r="DC44" s="906">
        <f>DB44/DB35</f>
        <v>0</v>
      </c>
      <c r="DD44" s="1025">
        <f>_xlfn.IFS(DB44=0,0,DC44&lt;=DB44,DC44/DB44,DC44&gt;DB44,1)</f>
        <v>0</v>
      </c>
      <c r="DE44" s="937"/>
      <c r="DF44" s="1042">
        <v>0</v>
      </c>
      <c r="DG44" s="906">
        <f>DF44/DF35</f>
        <v>0</v>
      </c>
      <c r="DH44" s="1025">
        <f>_xlfn.IFS(DF44=0,0,DG44&lt;=DF44,DG44/DF44,DG44&gt;DF44,1)</f>
        <v>0</v>
      </c>
      <c r="DI44" s="937"/>
      <c r="DJ44" s="1042">
        <v>0</v>
      </c>
      <c r="DK44" s="906">
        <f>DJ44/DJ35</f>
        <v>0</v>
      </c>
      <c r="DL44" s="1025">
        <f>_xlfn.IFS(DJ44=0,0,DK44&lt;=DJ44,DK44/DJ44,DK44&gt;DJ44,1)</f>
        <v>0</v>
      </c>
      <c r="DM44" s="937"/>
      <c r="DN44" s="1042">
        <v>0</v>
      </c>
      <c r="DO44" s="906">
        <f>DN44/DN35</f>
        <v>0</v>
      </c>
      <c r="DP44" s="1025">
        <f>_xlfn.IFS(DN44=0,0,DO44&lt;=DN44,DO44/DN44,DO44&gt;DN44,1)</f>
        <v>0</v>
      </c>
      <c r="DQ44" s="937"/>
      <c r="DR44" s="1042">
        <v>0</v>
      </c>
      <c r="DS44" s="906">
        <f>DR44/DR35</f>
        <v>0</v>
      </c>
      <c r="DT44" s="1025">
        <f>_xlfn.IFS(DR44=0,0,DS44&lt;=DR44,DS44/DR44,DS44&gt;DR44,1)</f>
        <v>0</v>
      </c>
      <c r="DU44" s="937"/>
      <c r="DV44" s="1042">
        <v>0</v>
      </c>
      <c r="DW44" s="906">
        <f>DV44/DV35</f>
        <v>0</v>
      </c>
      <c r="DX44" s="1025">
        <f>_xlfn.IFS(DV44=0,0,DW44&lt;=DV44,DW44/DV44,DW44&gt;DV44,1)</f>
        <v>0</v>
      </c>
      <c r="DY44" s="937"/>
      <c r="DZ44" s="1042">
        <v>0</v>
      </c>
      <c r="EA44" s="906">
        <f>DZ44/DZ35</f>
        <v>0</v>
      </c>
      <c r="EB44" s="1025">
        <f>_xlfn.IFS(DZ44=0,0,EA44&lt;=DZ44,EA44/DZ44,EA44&gt;DZ44,1)</f>
        <v>0</v>
      </c>
      <c r="EC44" s="937"/>
      <c r="ED44" s="1042">
        <v>0</v>
      </c>
      <c r="EE44" s="906">
        <f>ED44/ED35</f>
        <v>0</v>
      </c>
      <c r="EF44" s="1025">
        <f>_xlfn.IFS(ED44=0,0,EE44&lt;=ED44,EE44/ED44,EE44&gt;ED44,1)</f>
        <v>0</v>
      </c>
    </row>
    <row r="45" spans="1:136" ht="20" customHeight="1" x14ac:dyDescent="0.15">
      <c r="A45" s="189">
        <f>_xlfn.IFS(B45=0,0,E45&gt;B45,1,E45&lt;=B45,E45/B45)</f>
        <v>0</v>
      </c>
      <c r="B45" s="948"/>
      <c r="C45" s="391" t="str">
        <f>Dashboard!K114</f>
        <v>SHOPPEE</v>
      </c>
      <c r="D45" s="208">
        <f>Dashboard!AC114</f>
        <v>2.5000000000000001E-2</v>
      </c>
      <c r="E45" s="1088">
        <f t="shared" si="308"/>
        <v>0.33333333333333331</v>
      </c>
      <c r="F45" s="208">
        <f t="shared" si="309"/>
        <v>-0.30833333333333329</v>
      </c>
      <c r="G45" s="208">
        <f t="shared" si="310"/>
        <v>7.5000000000000011E-2</v>
      </c>
      <c r="H45" s="935"/>
      <c r="I45" s="935"/>
      <c r="J45" s="935"/>
      <c r="K45" s="837">
        <f t="shared" si="306"/>
        <v>2.5000000000000001E-2</v>
      </c>
      <c r="L45" s="883">
        <f t="shared" ca="1" si="342"/>
        <v>0</v>
      </c>
      <c r="M45" s="937"/>
      <c r="N45" s="1042">
        <v>1</v>
      </c>
      <c r="O45" s="906">
        <f>N45/N36</f>
        <v>0.33333333333333331</v>
      </c>
      <c r="P45" s="1227">
        <f>_xlfn.IFS(N45=0,0,O45&lt;=N45,O45/N45,O45&gt;N45,1)</f>
        <v>0.33333333333333331</v>
      </c>
      <c r="Q45" s="937"/>
      <c r="R45" s="1042">
        <v>1</v>
      </c>
      <c r="S45" s="906">
        <f>R45/R36</f>
        <v>0.33333333333333331</v>
      </c>
      <c r="T45" s="1025">
        <f>_xlfn.IFS(R45=0,0,S45&lt;=R45,S45/R45,S45&gt;R45,1)</f>
        <v>0.33333333333333331</v>
      </c>
      <c r="U45" s="937"/>
      <c r="V45" s="1042">
        <v>1</v>
      </c>
      <c r="W45" s="906">
        <f>V45/V36</f>
        <v>0.33333333333333331</v>
      </c>
      <c r="X45" s="1025">
        <f>_xlfn.IFS(V45=0,0,W45&lt;=V45,W45/V45,W45&gt;V45,1)</f>
        <v>0.33333333333333331</v>
      </c>
      <c r="Y45" s="937"/>
      <c r="Z45" s="1042">
        <v>1</v>
      </c>
      <c r="AA45" s="906">
        <f>Z45/Z36</f>
        <v>0.33333333333333331</v>
      </c>
      <c r="AB45" s="1025">
        <f>_xlfn.IFS(Z45=0,0,AA45&lt;=Z45,AA45/Z45,AA45&gt;Z45,1)</f>
        <v>0.33333333333333331</v>
      </c>
      <c r="AC45" s="937"/>
      <c r="AD45" s="1042">
        <v>1</v>
      </c>
      <c r="AE45" s="906">
        <f>AD45/AD36</f>
        <v>0.33333333333333331</v>
      </c>
      <c r="AF45" s="1025">
        <f>_xlfn.IFS(AD45=0,0,AE45&lt;=AD45,AE45/AD45,AE45&gt;AD45,1)</f>
        <v>0.33333333333333331</v>
      </c>
      <c r="AG45" s="937"/>
      <c r="AH45" s="1042">
        <v>1</v>
      </c>
      <c r="AI45" s="906">
        <f>AH45/AH36</f>
        <v>0.33333333333333331</v>
      </c>
      <c r="AJ45" s="1025">
        <f>_xlfn.IFS(AH45=0,0,AI45&lt;=AH45,AI45/AH45,AI45&gt;AH45,1)</f>
        <v>0.33333333333333331</v>
      </c>
      <c r="AK45" s="937"/>
      <c r="AL45" s="1042">
        <v>1</v>
      </c>
      <c r="AM45" s="906">
        <f>AL45/AL36</f>
        <v>0.33333333333333331</v>
      </c>
      <c r="AN45" s="1025">
        <f>_xlfn.IFS(AL45=0,0,AM45&lt;=AL45,AM45/AL45,AM45&gt;AL45,1)</f>
        <v>0.33333333333333331</v>
      </c>
      <c r="AO45" s="937"/>
      <c r="AP45" s="1042">
        <v>1</v>
      </c>
      <c r="AQ45" s="906">
        <f>AP45/AP36</f>
        <v>0.33333333333333331</v>
      </c>
      <c r="AR45" s="1025">
        <f>_xlfn.IFS(AP45=0,0,AQ45&lt;=AP45,AQ45/AP45,AQ45&gt;AP45,1)</f>
        <v>0.33333333333333331</v>
      </c>
      <c r="AS45" s="937"/>
      <c r="AT45" s="1042">
        <v>1</v>
      </c>
      <c r="AU45" s="906">
        <f>AT45/AT36</f>
        <v>0.33333333333333331</v>
      </c>
      <c r="AV45" s="1025">
        <f>_xlfn.IFS(AT45=0,0,AU45&lt;=AT45,AU45/AT45,AU45&gt;AT45,1)</f>
        <v>0.33333333333333331</v>
      </c>
      <c r="AW45" s="937"/>
      <c r="AX45" s="1042">
        <v>1</v>
      </c>
      <c r="AY45" s="906">
        <f>AX45/AX36</f>
        <v>0.33333333333333331</v>
      </c>
      <c r="AZ45" s="1025">
        <f>_xlfn.IFS(AX45=0,0,AY45&lt;=AX45,AY45/AX45,AY45&gt;AX45,1)</f>
        <v>0.33333333333333331</v>
      </c>
      <c r="BA45" s="937"/>
      <c r="BB45" s="1042">
        <v>1</v>
      </c>
      <c r="BC45" s="906">
        <f>BB45/BB36</f>
        <v>0.33333333333333331</v>
      </c>
      <c r="BD45" s="1025">
        <f>_xlfn.IFS(BB45=0,0,BC45&lt;=BB45,BC45/BB45,BC45&gt;BB45,1)</f>
        <v>0.33333333333333331</v>
      </c>
      <c r="BE45" s="937"/>
      <c r="BF45" s="1042">
        <v>1</v>
      </c>
      <c r="BG45" s="906">
        <f>BF45/BF36</f>
        <v>0.33333333333333331</v>
      </c>
      <c r="BH45" s="1025">
        <f>_xlfn.IFS(BF45=0,0,BG45&lt;=BF45,BG45/BF45,BG45&gt;BF45,1)</f>
        <v>0.33333333333333331</v>
      </c>
      <c r="BI45" s="937"/>
      <c r="BJ45" s="1042">
        <v>0</v>
      </c>
      <c r="BK45" s="906">
        <f>BJ45/BJ36</f>
        <v>0</v>
      </c>
      <c r="BL45" s="1025">
        <f>_xlfn.IFS(BJ45=0,0,BK45&lt;=BJ45,BK45/BJ45,BK45&gt;BJ45,1)</f>
        <v>0</v>
      </c>
      <c r="BM45" s="937"/>
      <c r="BN45" s="1042">
        <v>0</v>
      </c>
      <c r="BO45" s="906">
        <f>BN45/BN36</f>
        <v>0</v>
      </c>
      <c r="BP45" s="1025">
        <f>_xlfn.IFS(BN45=0,0,BO45&lt;=BN45,BO45/BN45,BO45&gt;BN45,1)</f>
        <v>0</v>
      </c>
      <c r="BQ45" s="937"/>
      <c r="BR45" s="1042">
        <v>0</v>
      </c>
      <c r="BS45" s="906">
        <f>BR45/BR36</f>
        <v>0</v>
      </c>
      <c r="BT45" s="1025">
        <f>_xlfn.IFS(BR45=0,0,BS45&lt;=BR45,BS45/BR45,BS45&gt;BR45,1)</f>
        <v>0</v>
      </c>
      <c r="BU45" s="937"/>
      <c r="BV45" s="1042">
        <v>0</v>
      </c>
      <c r="BW45" s="906">
        <f>BV45/BV36</f>
        <v>0</v>
      </c>
      <c r="BX45" s="1025">
        <f>_xlfn.IFS(BV45=0,0,BW45&lt;=BV45,BW45/BV45,BW45&gt;BV45,1)</f>
        <v>0</v>
      </c>
      <c r="BY45" s="937"/>
      <c r="BZ45" s="1042">
        <v>0</v>
      </c>
      <c r="CA45" s="906">
        <f>BZ45/BZ36</f>
        <v>0</v>
      </c>
      <c r="CB45" s="1025">
        <f>_xlfn.IFS(BZ45=0,0,CA45&lt;=BZ45,CA45/BZ45,CA45&gt;BZ45,1)</f>
        <v>0</v>
      </c>
      <c r="CC45" s="937"/>
      <c r="CD45" s="1042">
        <v>0</v>
      </c>
      <c r="CE45" s="906">
        <f>CD45/CD36</f>
        <v>0</v>
      </c>
      <c r="CF45" s="1025">
        <f>_xlfn.IFS(CD45=0,0,CE45&lt;=CD45,CE45/CD45,CE45&gt;CD45,1)</f>
        <v>0</v>
      </c>
      <c r="CG45" s="937"/>
      <c r="CH45" s="1042">
        <v>0</v>
      </c>
      <c r="CI45" s="906">
        <f>CH45/CH36</f>
        <v>0</v>
      </c>
      <c r="CJ45" s="1025">
        <f>_xlfn.IFS(CH45=0,0,CI45&lt;=CH45,CI45/CH45,CI45&gt;CH45,1)</f>
        <v>0</v>
      </c>
      <c r="CK45" s="937"/>
      <c r="CL45" s="1042">
        <v>0</v>
      </c>
      <c r="CM45" s="906">
        <f>CL45/CL36</f>
        <v>0</v>
      </c>
      <c r="CN45" s="1025">
        <f>_xlfn.IFS(CL45=0,0,CM45&lt;=CL45,CM45/CL45,CM45&gt;CL45,1)</f>
        <v>0</v>
      </c>
      <c r="CO45" s="937"/>
      <c r="CP45" s="1042">
        <v>0</v>
      </c>
      <c r="CQ45" s="906">
        <f>CP45/CP36</f>
        <v>0</v>
      </c>
      <c r="CR45" s="1025">
        <f>_xlfn.IFS(CP45=0,0,CQ45&lt;=CP45,CQ45/CP45,CQ45&gt;CP45,1)</f>
        <v>0</v>
      </c>
      <c r="CS45" s="937"/>
      <c r="CT45" s="1042">
        <v>0</v>
      </c>
      <c r="CU45" s="906">
        <f>CT45/CT36</f>
        <v>0</v>
      </c>
      <c r="CV45" s="1025">
        <f>_xlfn.IFS(CT45=0,0,CU45&lt;=CT45,CU45/CT45,CU45&gt;CT45,1)</f>
        <v>0</v>
      </c>
      <c r="CW45" s="937"/>
      <c r="CX45" s="1042">
        <v>0</v>
      </c>
      <c r="CY45" s="906">
        <f>CX45/CX36</f>
        <v>0</v>
      </c>
      <c r="CZ45" s="1025">
        <f>_xlfn.IFS(CX45=0,0,CY45&lt;=CX45,CY45/CX45,CY45&gt;CX45,1)</f>
        <v>0</v>
      </c>
      <c r="DA45" s="937"/>
      <c r="DB45" s="1042">
        <v>0</v>
      </c>
      <c r="DC45" s="906">
        <f>DB45/DB36</f>
        <v>0</v>
      </c>
      <c r="DD45" s="1025">
        <f>_xlfn.IFS(DB45=0,0,DC45&lt;=DB45,DC45/DB45,DC45&gt;DB45,1)</f>
        <v>0</v>
      </c>
      <c r="DE45" s="937"/>
      <c r="DF45" s="1042">
        <v>0</v>
      </c>
      <c r="DG45" s="906">
        <f>DF45/DF36</f>
        <v>0</v>
      </c>
      <c r="DH45" s="1025">
        <f>_xlfn.IFS(DF45=0,0,DG45&lt;=DF45,DG45/DF45,DG45&gt;DF45,1)</f>
        <v>0</v>
      </c>
      <c r="DI45" s="937"/>
      <c r="DJ45" s="1042">
        <v>0</v>
      </c>
      <c r="DK45" s="906">
        <f>DJ45/DJ36</f>
        <v>0</v>
      </c>
      <c r="DL45" s="1025">
        <f>_xlfn.IFS(DJ45=0,0,DK45&lt;=DJ45,DK45/DJ45,DK45&gt;DJ45,1)</f>
        <v>0</v>
      </c>
      <c r="DM45" s="937"/>
      <c r="DN45" s="1042">
        <v>0</v>
      </c>
      <c r="DO45" s="906">
        <f>DN45/DN36</f>
        <v>0</v>
      </c>
      <c r="DP45" s="1025">
        <f>_xlfn.IFS(DN45=0,0,DO45&lt;=DN45,DO45/DN45,DO45&gt;DN45,1)</f>
        <v>0</v>
      </c>
      <c r="DQ45" s="937"/>
      <c r="DR45" s="1042">
        <v>0</v>
      </c>
      <c r="DS45" s="906">
        <f>DR45/DR36</f>
        <v>0</v>
      </c>
      <c r="DT45" s="1025">
        <f>_xlfn.IFS(DR45=0,0,DS45&lt;=DR45,DS45/DR45,DS45&gt;DR45,1)</f>
        <v>0</v>
      </c>
      <c r="DU45" s="937"/>
      <c r="DV45" s="1042">
        <v>0</v>
      </c>
      <c r="DW45" s="906">
        <f>DV45/DV36</f>
        <v>0</v>
      </c>
      <c r="DX45" s="1025">
        <f>_xlfn.IFS(DV45=0,0,DW45&lt;=DV45,DW45/DV45,DW45&gt;DV45,1)</f>
        <v>0</v>
      </c>
      <c r="DY45" s="937"/>
      <c r="DZ45" s="1042">
        <v>0</v>
      </c>
      <c r="EA45" s="906">
        <f>DZ45/DZ36</f>
        <v>0</v>
      </c>
      <c r="EB45" s="1025">
        <f>_xlfn.IFS(DZ45=0,0,EA45&lt;=DZ45,EA45/DZ45,EA45&gt;DZ45,1)</f>
        <v>0</v>
      </c>
      <c r="EC45" s="937"/>
      <c r="ED45" s="1042">
        <v>0</v>
      </c>
      <c r="EE45" s="906">
        <f>ED45/ED36</f>
        <v>0</v>
      </c>
      <c r="EF45" s="1025">
        <f>_xlfn.IFS(ED45=0,0,EE45&lt;=ED45,EE45/ED45,EE45&gt;ED45,1)</f>
        <v>0</v>
      </c>
    </row>
    <row r="46" spans="1:136" ht="20" customHeight="1" x14ac:dyDescent="0.15">
      <c r="A46" s="189">
        <f>_xlfn.IFS(B46=0,0,E46&gt;B46,1,E46&lt;=B46,E46/B46)</f>
        <v>0</v>
      </c>
      <c r="B46" s="948"/>
      <c r="C46" s="391" t="str">
        <f>Dashboard!K115</f>
        <v>ZALO</v>
      </c>
      <c r="D46" s="208">
        <f>Dashboard!AC115</f>
        <v>2.5000000000000001E-2</v>
      </c>
      <c r="E46" s="1088">
        <f t="shared" si="308"/>
        <v>0</v>
      </c>
      <c r="F46" s="208">
        <f t="shared" si="309"/>
        <v>2.5000000000000001E-2</v>
      </c>
      <c r="G46" s="208">
        <f t="shared" si="310"/>
        <v>1</v>
      </c>
      <c r="H46" s="935"/>
      <c r="I46" s="935"/>
      <c r="J46" s="935"/>
      <c r="K46" s="837">
        <f t="shared" si="306"/>
        <v>2.5000000000000001E-2</v>
      </c>
      <c r="L46" s="883">
        <f t="shared" ca="1" si="342"/>
        <v>0</v>
      </c>
      <c r="M46" s="937"/>
      <c r="N46" s="1042">
        <v>0</v>
      </c>
      <c r="O46" s="906">
        <f>N46/N39</f>
        <v>0</v>
      </c>
      <c r="P46" s="1227">
        <f>_xlfn.IFS(N46=0,0,O46&lt;=N46,O46/N46,O46&gt;N46,1)</f>
        <v>0</v>
      </c>
      <c r="Q46" s="937"/>
      <c r="R46" s="1042">
        <v>0</v>
      </c>
      <c r="S46" s="906">
        <f>R46/R39</f>
        <v>0</v>
      </c>
      <c r="T46" s="1025">
        <f>_xlfn.IFS(R46=0,0,S46&lt;=R46,S46/R46,S46&gt;R46,1)</f>
        <v>0</v>
      </c>
      <c r="U46" s="937"/>
      <c r="V46" s="1042">
        <v>0</v>
      </c>
      <c r="W46" s="906">
        <f>V46/V39</f>
        <v>0</v>
      </c>
      <c r="X46" s="1025">
        <f>_xlfn.IFS(V46=0,0,W46&lt;=V46,W46/V46,W46&gt;V46,1)</f>
        <v>0</v>
      </c>
      <c r="Y46" s="937"/>
      <c r="Z46" s="1042">
        <v>0</v>
      </c>
      <c r="AA46" s="906">
        <f>Z46/Z39</f>
        <v>0</v>
      </c>
      <c r="AB46" s="1025">
        <f>_xlfn.IFS(Z46=0,0,AA46&lt;=Z46,AA46/Z46,AA46&gt;Z46,1)</f>
        <v>0</v>
      </c>
      <c r="AC46" s="937"/>
      <c r="AD46" s="1042">
        <v>0</v>
      </c>
      <c r="AE46" s="906">
        <f>AD46/AD39</f>
        <v>0</v>
      </c>
      <c r="AF46" s="1025">
        <f>_xlfn.IFS(AD46=0,0,AE46&lt;=AD46,AE46/AD46,AE46&gt;AD46,1)</f>
        <v>0</v>
      </c>
      <c r="AG46" s="937"/>
      <c r="AH46" s="1042">
        <v>0</v>
      </c>
      <c r="AI46" s="906">
        <f>AH46/AH39</f>
        <v>0</v>
      </c>
      <c r="AJ46" s="1025">
        <f>_xlfn.IFS(AH46=0,0,AI46&lt;=AH46,AI46/AH46,AI46&gt;AH46,1)</f>
        <v>0</v>
      </c>
      <c r="AK46" s="937"/>
      <c r="AL46" s="1042">
        <v>0</v>
      </c>
      <c r="AM46" s="906">
        <f>AL46/AL39</f>
        <v>0</v>
      </c>
      <c r="AN46" s="1025">
        <f>_xlfn.IFS(AL46=0,0,AM46&lt;=AL46,AM46/AL46,AM46&gt;AL46,1)</f>
        <v>0</v>
      </c>
      <c r="AO46" s="937"/>
      <c r="AP46" s="1042">
        <v>0</v>
      </c>
      <c r="AQ46" s="906">
        <f>AP46/AP39</f>
        <v>0</v>
      </c>
      <c r="AR46" s="1025">
        <f>_xlfn.IFS(AP46=0,0,AQ46&lt;=AP46,AQ46/AP46,AQ46&gt;AP46,1)</f>
        <v>0</v>
      </c>
      <c r="AS46" s="937"/>
      <c r="AT46" s="1042">
        <v>0</v>
      </c>
      <c r="AU46" s="906">
        <f>AT46/AT39</f>
        <v>0</v>
      </c>
      <c r="AV46" s="1025">
        <f>_xlfn.IFS(AT46=0,0,AU46&lt;=AT46,AU46/AT46,AU46&gt;AT46,1)</f>
        <v>0</v>
      </c>
      <c r="AW46" s="937"/>
      <c r="AX46" s="1042">
        <v>0</v>
      </c>
      <c r="AY46" s="906">
        <f>AX46/AX39</f>
        <v>0</v>
      </c>
      <c r="AZ46" s="1025">
        <f>_xlfn.IFS(AX46=0,0,AY46&lt;=AX46,AY46/AX46,AY46&gt;AX46,1)</f>
        <v>0</v>
      </c>
      <c r="BA46" s="937"/>
      <c r="BB46" s="1042">
        <v>0</v>
      </c>
      <c r="BC46" s="906">
        <f>BB46/BB39</f>
        <v>0</v>
      </c>
      <c r="BD46" s="1025">
        <f>_xlfn.IFS(BB46=0,0,BC46&lt;=BB46,BC46/BB46,BC46&gt;BB46,1)</f>
        <v>0</v>
      </c>
      <c r="BE46" s="937"/>
      <c r="BF46" s="1042">
        <v>0</v>
      </c>
      <c r="BG46" s="906">
        <f>BF46/BF39</f>
        <v>0</v>
      </c>
      <c r="BH46" s="1025">
        <f>_xlfn.IFS(BF46=0,0,BG46&lt;=BF46,BG46/BF46,BG46&gt;BF46,1)</f>
        <v>0</v>
      </c>
      <c r="BI46" s="937"/>
      <c r="BJ46" s="1042">
        <v>0</v>
      </c>
      <c r="BK46" s="906">
        <f>BJ46/BJ39</f>
        <v>0</v>
      </c>
      <c r="BL46" s="1025">
        <f>_xlfn.IFS(BJ46=0,0,BK46&lt;=BJ46,BK46/BJ46,BK46&gt;BJ46,1)</f>
        <v>0</v>
      </c>
      <c r="BM46" s="937"/>
      <c r="BN46" s="1042">
        <v>0</v>
      </c>
      <c r="BO46" s="906">
        <f>BN46/BN39</f>
        <v>0</v>
      </c>
      <c r="BP46" s="1025">
        <f>_xlfn.IFS(BN46=0,0,BO46&lt;=BN46,BO46/BN46,BO46&gt;BN46,1)</f>
        <v>0</v>
      </c>
      <c r="BQ46" s="937"/>
      <c r="BR46" s="1042">
        <v>0</v>
      </c>
      <c r="BS46" s="906">
        <f>BR46/BR39</f>
        <v>0</v>
      </c>
      <c r="BT46" s="1025">
        <f>_xlfn.IFS(BR46=0,0,BS46&lt;=BR46,BS46/BR46,BS46&gt;BR46,1)</f>
        <v>0</v>
      </c>
      <c r="BU46" s="937"/>
      <c r="BV46" s="1042">
        <v>0</v>
      </c>
      <c r="BW46" s="906">
        <f>BV46/BV39</f>
        <v>0</v>
      </c>
      <c r="BX46" s="1025">
        <f>_xlfn.IFS(BV46=0,0,BW46&lt;=BV46,BW46/BV46,BW46&gt;BV46,1)</f>
        <v>0</v>
      </c>
      <c r="BY46" s="937"/>
      <c r="BZ46" s="1042">
        <v>0</v>
      </c>
      <c r="CA46" s="906">
        <f>BZ46/BZ39</f>
        <v>0</v>
      </c>
      <c r="CB46" s="1025">
        <f>_xlfn.IFS(BZ46=0,0,CA46&lt;=BZ46,CA46/BZ46,CA46&gt;BZ46,1)</f>
        <v>0</v>
      </c>
      <c r="CC46" s="937"/>
      <c r="CD46" s="1042">
        <v>0</v>
      </c>
      <c r="CE46" s="906">
        <f>CD46/CD39</f>
        <v>0</v>
      </c>
      <c r="CF46" s="1025">
        <f>_xlfn.IFS(CD46=0,0,CE46&lt;=CD46,CE46/CD46,CE46&gt;CD46,1)</f>
        <v>0</v>
      </c>
      <c r="CG46" s="937"/>
      <c r="CH46" s="1042">
        <v>0</v>
      </c>
      <c r="CI46" s="906">
        <f>CH46/CH39</f>
        <v>0</v>
      </c>
      <c r="CJ46" s="1025">
        <f>_xlfn.IFS(CH46=0,0,CI46&lt;=CH46,CI46/CH46,CI46&gt;CH46,1)</f>
        <v>0</v>
      </c>
      <c r="CK46" s="937"/>
      <c r="CL46" s="1042">
        <v>0</v>
      </c>
      <c r="CM46" s="906">
        <f>CL46/CL39</f>
        <v>0</v>
      </c>
      <c r="CN46" s="1025">
        <f>_xlfn.IFS(CL46=0,0,CM46&lt;=CL46,CM46/CL46,CM46&gt;CL46,1)</f>
        <v>0</v>
      </c>
      <c r="CO46" s="937"/>
      <c r="CP46" s="1042">
        <v>0</v>
      </c>
      <c r="CQ46" s="906">
        <f>CP46/CP39</f>
        <v>0</v>
      </c>
      <c r="CR46" s="1025">
        <f>_xlfn.IFS(CP46=0,0,CQ46&lt;=CP46,CQ46/CP46,CQ46&gt;CP46,1)</f>
        <v>0</v>
      </c>
      <c r="CS46" s="937"/>
      <c r="CT46" s="1042">
        <v>0</v>
      </c>
      <c r="CU46" s="906">
        <f>CT46/CT39</f>
        <v>0</v>
      </c>
      <c r="CV46" s="1025">
        <f>_xlfn.IFS(CT46=0,0,CU46&lt;=CT46,CU46/CT46,CU46&gt;CT46,1)</f>
        <v>0</v>
      </c>
      <c r="CW46" s="937"/>
      <c r="CX46" s="1042">
        <v>0</v>
      </c>
      <c r="CY46" s="906">
        <f>CX46/CX39</f>
        <v>0</v>
      </c>
      <c r="CZ46" s="1025">
        <f>_xlfn.IFS(CX46=0,0,CY46&lt;=CX46,CY46/CX46,CY46&gt;CX46,1)</f>
        <v>0</v>
      </c>
      <c r="DA46" s="937"/>
      <c r="DB46" s="1042">
        <v>0</v>
      </c>
      <c r="DC46" s="906">
        <f>DB46/DB39</f>
        <v>0</v>
      </c>
      <c r="DD46" s="1025">
        <f>_xlfn.IFS(DB46=0,0,DC46&lt;=DB46,DC46/DB46,DC46&gt;DB46,1)</f>
        <v>0</v>
      </c>
      <c r="DE46" s="937"/>
      <c r="DF46" s="1042">
        <v>0</v>
      </c>
      <c r="DG46" s="906">
        <f>DF46/DF39</f>
        <v>0</v>
      </c>
      <c r="DH46" s="1025">
        <f>_xlfn.IFS(DF46=0,0,DG46&lt;=DF46,DG46/DF46,DG46&gt;DF46,1)</f>
        <v>0</v>
      </c>
      <c r="DI46" s="937"/>
      <c r="DJ46" s="1042">
        <v>0</v>
      </c>
      <c r="DK46" s="906">
        <f>DJ46/DJ39</f>
        <v>0</v>
      </c>
      <c r="DL46" s="1025">
        <f>_xlfn.IFS(DJ46=0,0,DK46&lt;=DJ46,DK46/DJ46,DK46&gt;DJ46,1)</f>
        <v>0</v>
      </c>
      <c r="DM46" s="937"/>
      <c r="DN46" s="1042">
        <v>0</v>
      </c>
      <c r="DO46" s="906">
        <f>DN46/DN39</f>
        <v>0</v>
      </c>
      <c r="DP46" s="1025">
        <f>_xlfn.IFS(DN46=0,0,DO46&lt;=DN46,DO46/DN46,DO46&gt;DN46,1)</f>
        <v>0</v>
      </c>
      <c r="DQ46" s="937"/>
      <c r="DR46" s="1042">
        <v>0</v>
      </c>
      <c r="DS46" s="906">
        <f>DR46/DR39</f>
        <v>0</v>
      </c>
      <c r="DT46" s="1025">
        <f>_xlfn.IFS(DR46=0,0,DS46&lt;=DR46,DS46/DR46,DS46&gt;DR46,1)</f>
        <v>0</v>
      </c>
      <c r="DU46" s="937"/>
      <c r="DV46" s="1042">
        <v>0</v>
      </c>
      <c r="DW46" s="906">
        <f>DV46/DV39</f>
        <v>0</v>
      </c>
      <c r="DX46" s="1025">
        <f>_xlfn.IFS(DV46=0,0,DW46&lt;=DV46,DW46/DV46,DW46&gt;DV46,1)</f>
        <v>0</v>
      </c>
      <c r="DY46" s="937"/>
      <c r="DZ46" s="1042">
        <v>0</v>
      </c>
      <c r="EA46" s="906">
        <f>DZ46/DZ39</f>
        <v>0</v>
      </c>
      <c r="EB46" s="1025">
        <f>_xlfn.IFS(DZ46=0,0,EA46&lt;=DZ46,EA46/DZ46,EA46&gt;DZ46,1)</f>
        <v>0</v>
      </c>
      <c r="EC46" s="937"/>
      <c r="ED46" s="1042">
        <v>0</v>
      </c>
      <c r="EE46" s="906">
        <f>ED46/ED39</f>
        <v>0</v>
      </c>
      <c r="EF46" s="1025">
        <f>_xlfn.IFS(ED46=0,0,EE46&lt;=ED46,EE46/ED46,EE46&gt;ED46,1)</f>
        <v>0</v>
      </c>
    </row>
    <row r="47" spans="1:136" ht="20" customHeight="1" x14ac:dyDescent="0.15">
      <c r="A47" s="870">
        <f>_xlfn.IFS(B47=0,0,E47&gt;B47,1,E47&lt;=B47,E47/B47)</f>
        <v>0</v>
      </c>
      <c r="B47" s="790"/>
      <c r="C47" s="831" t="str">
        <f>Dashboard!K123</f>
        <v>REPEAT PURCHASE RATE</v>
      </c>
      <c r="D47" s="789">
        <f>Dashboard!AC123</f>
        <v>2.5000000000000001E-2</v>
      </c>
      <c r="E47" s="857">
        <f>AVERAGE(SUMIF($M$13:$EF$13,$M$13,$M47:$EF47))/100</f>
        <v>0.65</v>
      </c>
      <c r="F47" s="789">
        <f>E47-D47</f>
        <v>0.625</v>
      </c>
      <c r="G47" s="789">
        <f>_xlfn.IFS(F47&gt;0,1,F47&lt;=0,E47/D47)</f>
        <v>1</v>
      </c>
      <c r="H47" s="935"/>
      <c r="I47" s="935"/>
      <c r="J47" s="935"/>
      <c r="K47" s="831">
        <f>D47</f>
        <v>2.5000000000000001E-2</v>
      </c>
      <c r="L47" s="945">
        <f ca="1">SUMIFS($M47:$EF47,$M$11:$EF$11,TODAY(),$M$13:$EF$13,$M$13)</f>
        <v>0</v>
      </c>
      <c r="M47" s="1111">
        <v>5</v>
      </c>
      <c r="N47" s="856"/>
      <c r="O47" s="857"/>
      <c r="P47" s="938">
        <f>_xlfn.IFS(P19=0,0,P39&lt;=P19,P39/P19,P39&gt;P19,1)</f>
        <v>9.375E-2</v>
      </c>
      <c r="Q47" s="1111">
        <v>2</v>
      </c>
      <c r="R47" s="856"/>
      <c r="S47" s="857"/>
      <c r="T47" s="938">
        <f>_xlfn.IFS(T19=0,0,T39&lt;=T19,T39/T19,T39&gt;T19,1)</f>
        <v>9.375E-2</v>
      </c>
      <c r="U47" s="1111">
        <v>2</v>
      </c>
      <c r="V47" s="856"/>
      <c r="W47" s="857"/>
      <c r="X47" s="938">
        <f>_xlfn.IFS(X19=0,0,X39&lt;=X19,X39/X19,X39&gt;X19,1)</f>
        <v>9.375E-2</v>
      </c>
      <c r="Y47" s="1111">
        <v>2</v>
      </c>
      <c r="Z47" s="856"/>
      <c r="AA47" s="857"/>
      <c r="AB47" s="938">
        <f>_xlfn.IFS(AB19=0,0,AB39&lt;=AB19,AB39/AB19,AB39&gt;AB19,1)</f>
        <v>9.375E-2</v>
      </c>
      <c r="AC47" s="1111">
        <v>2</v>
      </c>
      <c r="AD47" s="856"/>
      <c r="AE47" s="857"/>
      <c r="AF47" s="938">
        <f>_xlfn.IFS(AF19=0,0,AF39&lt;=AF19,AF39/AF19,AF39&gt;AF19,1)</f>
        <v>9.375E-2</v>
      </c>
      <c r="AG47" s="1111">
        <v>2</v>
      </c>
      <c r="AH47" s="856"/>
      <c r="AI47" s="857"/>
      <c r="AJ47" s="938">
        <f>_xlfn.IFS(AJ19=0,0,AJ39&lt;=AJ19,AJ39/AJ19,AJ39&gt;AJ19,1)</f>
        <v>9.375E-2</v>
      </c>
      <c r="AK47" s="1111">
        <v>2</v>
      </c>
      <c r="AL47" s="856"/>
      <c r="AM47" s="857"/>
      <c r="AN47" s="938">
        <f>_xlfn.IFS(AN19=0,0,AN39&lt;=AN19,AN39/AN19,AN39&gt;AN19,1)</f>
        <v>9.375E-2</v>
      </c>
      <c r="AO47" s="1111">
        <v>2</v>
      </c>
      <c r="AP47" s="856"/>
      <c r="AQ47" s="857"/>
      <c r="AR47" s="938">
        <f>_xlfn.IFS(AR19=0,0,AR39&lt;=AR19,AR39/AR19,AR39&gt;AR19,1)</f>
        <v>9.375E-2</v>
      </c>
      <c r="AS47" s="1111">
        <v>2</v>
      </c>
      <c r="AT47" s="856"/>
      <c r="AU47" s="857"/>
      <c r="AV47" s="938">
        <f>_xlfn.IFS(AV19=0,0,AV39&lt;=AV19,AV39/AV19,AV39&gt;AV19,1)</f>
        <v>9.375E-2</v>
      </c>
      <c r="AW47" s="1111">
        <v>2</v>
      </c>
      <c r="AX47" s="856"/>
      <c r="AY47" s="857"/>
      <c r="AZ47" s="938">
        <f>_xlfn.IFS(AZ19=0,0,AZ39&lt;=AZ19,AZ39/AZ19,AZ39&gt;AZ19,1)</f>
        <v>9.375E-2</v>
      </c>
      <c r="BA47" s="1111">
        <v>2</v>
      </c>
      <c r="BB47" s="856"/>
      <c r="BC47" s="857"/>
      <c r="BD47" s="938">
        <f>_xlfn.IFS(BD19=0,0,BD39&lt;=BD19,BD39/BD19,BD39&gt;BD19,1)</f>
        <v>9.375E-2</v>
      </c>
      <c r="BE47" s="1111">
        <v>2</v>
      </c>
      <c r="BF47" s="856"/>
      <c r="BG47" s="857"/>
      <c r="BH47" s="938">
        <f>_xlfn.IFS(BH19=0,0,BH39&lt;=BH19,BH39/BH19,BH39&gt;BH19,1)</f>
        <v>9.375E-2</v>
      </c>
      <c r="BI47" s="1111">
        <v>2</v>
      </c>
      <c r="BJ47" s="856"/>
      <c r="BK47" s="857"/>
      <c r="BL47" s="938">
        <f>_xlfn.IFS(BL19=0,0,BL39&lt;=BL19,BL39/BL19,BL39&gt;BL19,1)</f>
        <v>9.375E-2</v>
      </c>
      <c r="BM47" s="1111">
        <v>2</v>
      </c>
      <c r="BN47" s="856"/>
      <c r="BO47" s="857"/>
      <c r="BP47" s="938">
        <f>_xlfn.IFS(BP19=0,0,BP39&lt;=BP19,BP39/BP19,BP39&gt;BP19,1)</f>
        <v>9.375E-2</v>
      </c>
      <c r="BQ47" s="1111">
        <v>2</v>
      </c>
      <c r="BR47" s="856"/>
      <c r="BS47" s="857"/>
      <c r="BT47" s="938">
        <f>_xlfn.IFS(BT19=0,0,BT39&lt;=BT19,BT39/BT19,BT39&gt;BT19,1)</f>
        <v>9.375E-2</v>
      </c>
      <c r="BU47" s="1111">
        <v>2</v>
      </c>
      <c r="BV47" s="856"/>
      <c r="BW47" s="857"/>
      <c r="BX47" s="938">
        <f>_xlfn.IFS(BX19=0,0,BX39&lt;=BX19,BX39/BX19,BX39&gt;BX19,1)</f>
        <v>9.375E-2</v>
      </c>
      <c r="BY47" s="1111">
        <v>2</v>
      </c>
      <c r="BZ47" s="856"/>
      <c r="CA47" s="857"/>
      <c r="CB47" s="938">
        <f>_xlfn.IFS(CB19=0,0,CB39&lt;=CB19,CB39/CB19,CB39&gt;CB19,1)</f>
        <v>9.375E-2</v>
      </c>
      <c r="CC47" s="1111">
        <v>2</v>
      </c>
      <c r="CD47" s="856"/>
      <c r="CE47" s="857"/>
      <c r="CF47" s="938">
        <f>_xlfn.IFS(CF19=0,0,CF39&lt;=CF19,CF39/CF19,CF39&gt;CF19,1)</f>
        <v>9.375E-2</v>
      </c>
      <c r="CG47" s="1111">
        <v>2</v>
      </c>
      <c r="CH47" s="856"/>
      <c r="CI47" s="857"/>
      <c r="CJ47" s="938">
        <f>_xlfn.IFS(CJ19=0,0,CJ39&lt;=CJ19,CJ39/CJ19,CJ39&gt;CJ19,1)</f>
        <v>9.375E-2</v>
      </c>
      <c r="CK47" s="1111">
        <v>2</v>
      </c>
      <c r="CL47" s="856"/>
      <c r="CM47" s="857"/>
      <c r="CN47" s="938">
        <f>_xlfn.IFS(CN19=0,0,CN39&lt;=CN19,CN39/CN19,CN39&gt;CN19,1)</f>
        <v>9.375E-2</v>
      </c>
      <c r="CO47" s="1111">
        <v>2</v>
      </c>
      <c r="CP47" s="856"/>
      <c r="CQ47" s="857"/>
      <c r="CR47" s="938">
        <f>_xlfn.IFS(CR19=0,0,CR39&lt;=CR19,CR39/CR19,CR39&gt;CR19,1)</f>
        <v>9.375E-2</v>
      </c>
      <c r="CS47" s="1111">
        <v>2</v>
      </c>
      <c r="CT47" s="856"/>
      <c r="CU47" s="857"/>
      <c r="CV47" s="938">
        <f>_xlfn.IFS(CV19=0,0,CV39&lt;=CV19,CV39/CV19,CV39&gt;CV19,1)</f>
        <v>9.375E-2</v>
      </c>
      <c r="CW47" s="1111">
        <v>2</v>
      </c>
      <c r="CX47" s="856"/>
      <c r="CY47" s="857"/>
      <c r="CZ47" s="938">
        <f>_xlfn.IFS(CZ19=0,0,CZ39&lt;=CZ19,CZ39/CZ19,CZ39&gt;CZ19,1)</f>
        <v>9.375E-2</v>
      </c>
      <c r="DA47" s="1111">
        <v>2</v>
      </c>
      <c r="DB47" s="856"/>
      <c r="DC47" s="857"/>
      <c r="DD47" s="938">
        <f>_xlfn.IFS(DD19=0,0,DD39&lt;=DD19,DD39/DD19,DD39&gt;DD19,1)</f>
        <v>9.375E-2</v>
      </c>
      <c r="DE47" s="1111">
        <v>2</v>
      </c>
      <c r="DF47" s="856"/>
      <c r="DG47" s="857"/>
      <c r="DH47" s="938">
        <f>_xlfn.IFS(DH19=0,0,DH39&lt;=DH19,DH39/DH19,DH39&gt;DH19,1)</f>
        <v>9.375E-2</v>
      </c>
      <c r="DI47" s="1111">
        <v>2</v>
      </c>
      <c r="DJ47" s="856"/>
      <c r="DK47" s="857"/>
      <c r="DL47" s="938">
        <f>_xlfn.IFS(DL19=0,0,DL39&lt;=DL19,DL39/DL19,DL39&gt;DL19,1)</f>
        <v>9.375E-2</v>
      </c>
      <c r="DM47" s="1111">
        <v>2</v>
      </c>
      <c r="DN47" s="856"/>
      <c r="DO47" s="857"/>
      <c r="DP47" s="938">
        <f>_xlfn.IFS(DP19=0,0,DP39&lt;=DP19,DP39/DP19,DP39&gt;DP19,1)</f>
        <v>9.375E-2</v>
      </c>
      <c r="DQ47" s="1111">
        <v>2</v>
      </c>
      <c r="DR47" s="856"/>
      <c r="DS47" s="857"/>
      <c r="DT47" s="938">
        <f>_xlfn.IFS(DT19=0,0,DT39&lt;=DT19,DT39/DT19,DT39&gt;DT19,1)</f>
        <v>9.375E-2</v>
      </c>
      <c r="DU47" s="1111">
        <v>2</v>
      </c>
      <c r="DV47" s="856"/>
      <c r="DW47" s="857"/>
      <c r="DX47" s="938">
        <f>_xlfn.IFS(DX19=0,0,DX39&lt;=DX19,DX39/DX19,DX39&gt;DX19,1)</f>
        <v>9.375E-2</v>
      </c>
      <c r="DY47" s="1111">
        <v>2</v>
      </c>
      <c r="DZ47" s="856"/>
      <c r="EA47" s="857"/>
      <c r="EB47" s="938">
        <f>_xlfn.IFS(EB19=0,0,EB39&lt;=EB19,EB39/EB19,EB39&gt;EB19,1)</f>
        <v>9.375E-2</v>
      </c>
      <c r="EC47" s="1111">
        <v>2</v>
      </c>
      <c r="ED47" s="856"/>
      <c r="EE47" s="857"/>
      <c r="EF47" s="938">
        <f>_xlfn.IFS(EF19=0,0,EF39&lt;=EF19,EF39/EF19,EF39&gt;EF19,1)</f>
        <v>9.375E-2</v>
      </c>
    </row>
    <row r="48" spans="1:136" ht="20" customHeight="1" x14ac:dyDescent="0.15">
      <c r="A48" s="861" t="s">
        <v>205</v>
      </c>
      <c r="B48" s="862" t="s">
        <v>204</v>
      </c>
      <c r="C48" s="23"/>
      <c r="D48" s="838"/>
      <c r="E48" s="838"/>
      <c r="F48" s="838"/>
      <c r="G48" s="838"/>
      <c r="H48" s="978"/>
      <c r="I48" s="978"/>
      <c r="J48" s="978"/>
      <c r="K48" s="839"/>
      <c r="L48" s="884"/>
      <c r="M48" s="888"/>
      <c r="N48" s="835"/>
      <c r="O48" s="907" t="s">
        <v>30</v>
      </c>
      <c r="P48" s="908">
        <f>P50-$K$19</f>
        <v>-2407692.307692308</v>
      </c>
      <c r="Q48" s="888"/>
      <c r="R48" s="835"/>
      <c r="S48" s="907" t="s">
        <v>30</v>
      </c>
      <c r="T48" s="908">
        <f>T50-$K$19</f>
        <v>-2407692.307692308</v>
      </c>
      <c r="U48" s="888"/>
      <c r="V48" s="835"/>
      <c r="W48" s="907" t="s">
        <v>30</v>
      </c>
      <c r="X48" s="908">
        <f>X50-$K$19</f>
        <v>-2407692.307692308</v>
      </c>
      <c r="Y48" s="888"/>
      <c r="Z48" s="835"/>
      <c r="AA48" s="907" t="s">
        <v>30</v>
      </c>
      <c r="AB48" s="908">
        <f>AB50-$K$19</f>
        <v>-2407692.307692308</v>
      </c>
      <c r="AC48" s="888"/>
      <c r="AD48" s="835"/>
      <c r="AE48" s="907" t="s">
        <v>30</v>
      </c>
      <c r="AF48" s="908">
        <f>AF50-$K$19</f>
        <v>-2407692.307692308</v>
      </c>
      <c r="AG48" s="888"/>
      <c r="AH48" s="835"/>
      <c r="AI48" s="907" t="s">
        <v>30</v>
      </c>
      <c r="AJ48" s="908">
        <f>AJ50-$K$19</f>
        <v>-2407692.307692308</v>
      </c>
      <c r="AK48" s="888"/>
      <c r="AL48" s="835"/>
      <c r="AM48" s="907" t="s">
        <v>30</v>
      </c>
      <c r="AN48" s="908">
        <f>AN50-$K$19</f>
        <v>-2407692.307692308</v>
      </c>
      <c r="AO48" s="888"/>
      <c r="AP48" s="835"/>
      <c r="AQ48" s="907" t="s">
        <v>30</v>
      </c>
      <c r="AR48" s="908">
        <f>AR50-$K$19</f>
        <v>-2407692.307692308</v>
      </c>
      <c r="AS48" s="888"/>
      <c r="AT48" s="835"/>
      <c r="AU48" s="907" t="s">
        <v>30</v>
      </c>
      <c r="AV48" s="908">
        <f>AV50-$K$19</f>
        <v>-2407692.307692308</v>
      </c>
      <c r="AW48" s="888"/>
      <c r="AX48" s="835"/>
      <c r="AY48" s="907" t="s">
        <v>30</v>
      </c>
      <c r="AZ48" s="908">
        <f>AZ50-$K$19</f>
        <v>-2407692.307692308</v>
      </c>
      <c r="BA48" s="888"/>
      <c r="BB48" s="835"/>
      <c r="BC48" s="907" t="s">
        <v>30</v>
      </c>
      <c r="BD48" s="908">
        <f>BD50-$K$19</f>
        <v>-2407692.307692308</v>
      </c>
      <c r="BE48" s="888"/>
      <c r="BF48" s="835"/>
      <c r="BG48" s="907" t="s">
        <v>30</v>
      </c>
      <c r="BH48" s="908">
        <f>BH50-$K$19</f>
        <v>-2407692.307692308</v>
      </c>
      <c r="BI48" s="888"/>
      <c r="BJ48" s="835"/>
      <c r="BK48" s="907" t="s">
        <v>30</v>
      </c>
      <c r="BL48" s="908">
        <f>BL50-$K$19</f>
        <v>-2407692.307692308</v>
      </c>
      <c r="BM48" s="888"/>
      <c r="BN48" s="835"/>
      <c r="BO48" s="907" t="s">
        <v>30</v>
      </c>
      <c r="BP48" s="908">
        <f>BP50-$K$19</f>
        <v>-2407692.307692308</v>
      </c>
      <c r="BQ48" s="888"/>
      <c r="BR48" s="835"/>
      <c r="BS48" s="907" t="s">
        <v>30</v>
      </c>
      <c r="BT48" s="908">
        <f>BT50-$K$19</f>
        <v>-2407692.307692308</v>
      </c>
      <c r="BU48" s="888"/>
      <c r="BV48" s="835"/>
      <c r="BW48" s="907" t="s">
        <v>30</v>
      </c>
      <c r="BX48" s="908">
        <f>BX50-$K$19</f>
        <v>-2407692.307692308</v>
      </c>
      <c r="BY48" s="888"/>
      <c r="BZ48" s="835"/>
      <c r="CA48" s="907" t="s">
        <v>30</v>
      </c>
      <c r="CB48" s="908">
        <f>CB50-$K$19</f>
        <v>-2407692.307692308</v>
      </c>
      <c r="CC48" s="888"/>
      <c r="CD48" s="835"/>
      <c r="CE48" s="907" t="s">
        <v>30</v>
      </c>
      <c r="CF48" s="908">
        <f>CF50-$K$19</f>
        <v>-2407692.307692308</v>
      </c>
      <c r="CG48" s="888"/>
      <c r="CH48" s="835"/>
      <c r="CI48" s="907" t="s">
        <v>30</v>
      </c>
      <c r="CJ48" s="908">
        <f>CJ50-$K$19</f>
        <v>-2407692.307692308</v>
      </c>
      <c r="CK48" s="888"/>
      <c r="CL48" s="835"/>
      <c r="CM48" s="907" t="s">
        <v>30</v>
      </c>
      <c r="CN48" s="908">
        <f>CN50-$K$19</f>
        <v>-2407692.307692308</v>
      </c>
      <c r="CO48" s="888"/>
      <c r="CP48" s="835"/>
      <c r="CQ48" s="907" t="s">
        <v>30</v>
      </c>
      <c r="CR48" s="908">
        <f>CR50-$K$19</f>
        <v>-2407692.307692308</v>
      </c>
      <c r="CS48" s="888"/>
      <c r="CT48" s="835"/>
      <c r="CU48" s="907" t="s">
        <v>30</v>
      </c>
      <c r="CV48" s="908">
        <f>CV50-$K$19</f>
        <v>-2407692.307692308</v>
      </c>
      <c r="CW48" s="888"/>
      <c r="CX48" s="835"/>
      <c r="CY48" s="907" t="s">
        <v>30</v>
      </c>
      <c r="CZ48" s="908">
        <f>CZ50-$K$19</f>
        <v>-2407692.307692308</v>
      </c>
      <c r="DA48" s="888"/>
      <c r="DB48" s="835"/>
      <c r="DC48" s="907" t="s">
        <v>30</v>
      </c>
      <c r="DD48" s="908">
        <f>DD50-$K$19</f>
        <v>-2407692.307692308</v>
      </c>
      <c r="DE48" s="888"/>
      <c r="DF48" s="835"/>
      <c r="DG48" s="907" t="s">
        <v>30</v>
      </c>
      <c r="DH48" s="908">
        <f>DH50-$K$19</f>
        <v>-2407692.307692308</v>
      </c>
      <c r="DI48" s="888"/>
      <c r="DJ48" s="835"/>
      <c r="DK48" s="907" t="s">
        <v>30</v>
      </c>
      <c r="DL48" s="908">
        <f>DL50-$K$19</f>
        <v>-2407692.307692308</v>
      </c>
      <c r="DM48" s="888"/>
      <c r="DN48" s="835"/>
      <c r="DO48" s="907" t="s">
        <v>30</v>
      </c>
      <c r="DP48" s="908">
        <f>DP50-$K$19</f>
        <v>-2407692.307692308</v>
      </c>
      <c r="DQ48" s="888"/>
      <c r="DR48" s="835"/>
      <c r="DS48" s="907" t="s">
        <v>30</v>
      </c>
      <c r="DT48" s="908">
        <f>DT50-$K$19</f>
        <v>-2407692.307692308</v>
      </c>
      <c r="DU48" s="888"/>
      <c r="DV48" s="835"/>
      <c r="DW48" s="907" t="s">
        <v>30</v>
      </c>
      <c r="DX48" s="908">
        <f>DX50-$K$19</f>
        <v>-2407692.307692308</v>
      </c>
      <c r="DY48" s="888"/>
      <c r="DZ48" s="835"/>
      <c r="EA48" s="907" t="s">
        <v>30</v>
      </c>
      <c r="EB48" s="908">
        <f>EB50-$K$19</f>
        <v>-2407692.307692308</v>
      </c>
      <c r="EC48" s="888"/>
      <c r="ED48" s="835"/>
      <c r="EE48" s="907" t="s">
        <v>30</v>
      </c>
      <c r="EF48" s="908">
        <f>EF50-$K$19</f>
        <v>-2407692.307692308</v>
      </c>
    </row>
    <row r="49" spans="1:137" ht="20" customHeight="1" x14ac:dyDescent="0.15">
      <c r="A49" s="792" t="s">
        <v>206</v>
      </c>
      <c r="B49" s="792" t="s">
        <v>207</v>
      </c>
      <c r="C49" s="793" t="s">
        <v>208</v>
      </c>
      <c r="D49" s="794" t="s">
        <v>64</v>
      </c>
      <c r="E49" s="794" t="s">
        <v>13</v>
      </c>
      <c r="F49" s="794" t="s">
        <v>201</v>
      </c>
      <c r="G49" s="794" t="s">
        <v>109</v>
      </c>
      <c r="H49" s="792" t="s">
        <v>207</v>
      </c>
      <c r="I49" s="793" t="s">
        <v>208</v>
      </c>
      <c r="J49" s="794" t="s">
        <v>64</v>
      </c>
      <c r="K49" s="794" t="s">
        <v>13</v>
      </c>
      <c r="L49" s="885" t="s">
        <v>201</v>
      </c>
      <c r="M49" s="914" t="s">
        <v>207</v>
      </c>
      <c r="N49" s="794" t="s">
        <v>64</v>
      </c>
      <c r="O49" s="794" t="s">
        <v>13</v>
      </c>
      <c r="P49" s="885" t="s">
        <v>201</v>
      </c>
      <c r="Q49" s="914" t="s">
        <v>207</v>
      </c>
      <c r="R49" s="794" t="s">
        <v>64</v>
      </c>
      <c r="S49" s="794" t="s">
        <v>13</v>
      </c>
      <c r="T49" s="885" t="s">
        <v>201</v>
      </c>
      <c r="U49" s="914" t="s">
        <v>207</v>
      </c>
      <c r="V49" s="794" t="s">
        <v>64</v>
      </c>
      <c r="W49" s="794" t="s">
        <v>13</v>
      </c>
      <c r="X49" s="885" t="s">
        <v>201</v>
      </c>
      <c r="Y49" s="914" t="s">
        <v>207</v>
      </c>
      <c r="Z49" s="794" t="s">
        <v>64</v>
      </c>
      <c r="AA49" s="794" t="s">
        <v>13</v>
      </c>
      <c r="AB49" s="885" t="s">
        <v>201</v>
      </c>
      <c r="AC49" s="914" t="s">
        <v>207</v>
      </c>
      <c r="AD49" s="794" t="s">
        <v>64</v>
      </c>
      <c r="AE49" s="794" t="s">
        <v>13</v>
      </c>
      <c r="AF49" s="885" t="s">
        <v>201</v>
      </c>
      <c r="AG49" s="914" t="s">
        <v>207</v>
      </c>
      <c r="AH49" s="794" t="s">
        <v>64</v>
      </c>
      <c r="AI49" s="794" t="s">
        <v>13</v>
      </c>
      <c r="AJ49" s="885" t="s">
        <v>201</v>
      </c>
      <c r="AK49" s="914" t="s">
        <v>207</v>
      </c>
      <c r="AL49" s="794" t="s">
        <v>64</v>
      </c>
      <c r="AM49" s="794" t="s">
        <v>13</v>
      </c>
      <c r="AN49" s="885" t="s">
        <v>201</v>
      </c>
      <c r="AO49" s="914" t="s">
        <v>207</v>
      </c>
      <c r="AP49" s="794" t="s">
        <v>64</v>
      </c>
      <c r="AQ49" s="794" t="s">
        <v>13</v>
      </c>
      <c r="AR49" s="885" t="s">
        <v>201</v>
      </c>
      <c r="AS49" s="914" t="s">
        <v>207</v>
      </c>
      <c r="AT49" s="794" t="s">
        <v>64</v>
      </c>
      <c r="AU49" s="794" t="s">
        <v>13</v>
      </c>
      <c r="AV49" s="885" t="s">
        <v>201</v>
      </c>
      <c r="AW49" s="914" t="s">
        <v>207</v>
      </c>
      <c r="AX49" s="794" t="s">
        <v>64</v>
      </c>
      <c r="AY49" s="794" t="s">
        <v>13</v>
      </c>
      <c r="AZ49" s="885" t="s">
        <v>201</v>
      </c>
      <c r="BA49" s="914" t="s">
        <v>207</v>
      </c>
      <c r="BB49" s="794" t="s">
        <v>64</v>
      </c>
      <c r="BC49" s="794" t="s">
        <v>13</v>
      </c>
      <c r="BD49" s="885" t="s">
        <v>201</v>
      </c>
      <c r="BE49" s="914" t="s">
        <v>207</v>
      </c>
      <c r="BF49" s="794" t="s">
        <v>64</v>
      </c>
      <c r="BG49" s="794" t="s">
        <v>13</v>
      </c>
      <c r="BH49" s="885" t="s">
        <v>201</v>
      </c>
      <c r="BI49" s="914" t="s">
        <v>207</v>
      </c>
      <c r="BJ49" s="794" t="s">
        <v>64</v>
      </c>
      <c r="BK49" s="794" t="s">
        <v>13</v>
      </c>
      <c r="BL49" s="885" t="s">
        <v>201</v>
      </c>
      <c r="BM49" s="914" t="s">
        <v>207</v>
      </c>
      <c r="BN49" s="794" t="s">
        <v>64</v>
      </c>
      <c r="BO49" s="794" t="s">
        <v>13</v>
      </c>
      <c r="BP49" s="885" t="s">
        <v>201</v>
      </c>
      <c r="BQ49" s="914" t="s">
        <v>207</v>
      </c>
      <c r="BR49" s="794" t="s">
        <v>64</v>
      </c>
      <c r="BS49" s="794" t="s">
        <v>13</v>
      </c>
      <c r="BT49" s="885" t="s">
        <v>201</v>
      </c>
      <c r="BU49" s="914" t="s">
        <v>207</v>
      </c>
      <c r="BV49" s="794" t="s">
        <v>64</v>
      </c>
      <c r="BW49" s="794" t="s">
        <v>13</v>
      </c>
      <c r="BX49" s="885" t="s">
        <v>201</v>
      </c>
      <c r="BY49" s="914" t="s">
        <v>207</v>
      </c>
      <c r="BZ49" s="794" t="s">
        <v>64</v>
      </c>
      <c r="CA49" s="794" t="s">
        <v>13</v>
      </c>
      <c r="CB49" s="885" t="s">
        <v>201</v>
      </c>
      <c r="CC49" s="914" t="s">
        <v>207</v>
      </c>
      <c r="CD49" s="794" t="s">
        <v>64</v>
      </c>
      <c r="CE49" s="794" t="s">
        <v>13</v>
      </c>
      <c r="CF49" s="885" t="s">
        <v>201</v>
      </c>
      <c r="CG49" s="914" t="s">
        <v>207</v>
      </c>
      <c r="CH49" s="794" t="s">
        <v>64</v>
      </c>
      <c r="CI49" s="794" t="s">
        <v>13</v>
      </c>
      <c r="CJ49" s="885" t="s">
        <v>201</v>
      </c>
      <c r="CK49" s="914" t="s">
        <v>207</v>
      </c>
      <c r="CL49" s="794" t="s">
        <v>64</v>
      </c>
      <c r="CM49" s="794" t="s">
        <v>13</v>
      </c>
      <c r="CN49" s="885" t="s">
        <v>201</v>
      </c>
      <c r="CO49" s="914" t="s">
        <v>207</v>
      </c>
      <c r="CP49" s="794" t="s">
        <v>64</v>
      </c>
      <c r="CQ49" s="794" t="s">
        <v>13</v>
      </c>
      <c r="CR49" s="885" t="s">
        <v>201</v>
      </c>
      <c r="CS49" s="914" t="s">
        <v>207</v>
      </c>
      <c r="CT49" s="794" t="s">
        <v>64</v>
      </c>
      <c r="CU49" s="794" t="s">
        <v>13</v>
      </c>
      <c r="CV49" s="885" t="s">
        <v>201</v>
      </c>
      <c r="CW49" s="914" t="s">
        <v>207</v>
      </c>
      <c r="CX49" s="794" t="s">
        <v>64</v>
      </c>
      <c r="CY49" s="794" t="s">
        <v>13</v>
      </c>
      <c r="CZ49" s="885" t="s">
        <v>201</v>
      </c>
      <c r="DA49" s="914" t="s">
        <v>207</v>
      </c>
      <c r="DB49" s="794" t="s">
        <v>64</v>
      </c>
      <c r="DC49" s="794" t="s">
        <v>13</v>
      </c>
      <c r="DD49" s="885" t="s">
        <v>201</v>
      </c>
      <c r="DE49" s="914" t="s">
        <v>207</v>
      </c>
      <c r="DF49" s="794" t="s">
        <v>64</v>
      </c>
      <c r="DG49" s="794" t="s">
        <v>13</v>
      </c>
      <c r="DH49" s="885" t="s">
        <v>201</v>
      </c>
      <c r="DI49" s="914" t="s">
        <v>207</v>
      </c>
      <c r="DJ49" s="794" t="s">
        <v>64</v>
      </c>
      <c r="DK49" s="794" t="s">
        <v>13</v>
      </c>
      <c r="DL49" s="885" t="s">
        <v>201</v>
      </c>
      <c r="DM49" s="914" t="s">
        <v>207</v>
      </c>
      <c r="DN49" s="794" t="s">
        <v>64</v>
      </c>
      <c r="DO49" s="794" t="s">
        <v>13</v>
      </c>
      <c r="DP49" s="885" t="s">
        <v>201</v>
      </c>
      <c r="DQ49" s="914" t="s">
        <v>207</v>
      </c>
      <c r="DR49" s="794" t="s">
        <v>64</v>
      </c>
      <c r="DS49" s="794" t="s">
        <v>13</v>
      </c>
      <c r="DT49" s="885" t="s">
        <v>201</v>
      </c>
      <c r="DU49" s="914" t="s">
        <v>207</v>
      </c>
      <c r="DV49" s="794" t="s">
        <v>64</v>
      </c>
      <c r="DW49" s="794" t="s">
        <v>13</v>
      </c>
      <c r="DX49" s="885" t="s">
        <v>201</v>
      </c>
      <c r="DY49" s="914" t="s">
        <v>207</v>
      </c>
      <c r="DZ49" s="794" t="s">
        <v>64</v>
      </c>
      <c r="EA49" s="794" t="s">
        <v>13</v>
      </c>
      <c r="EB49" s="885" t="s">
        <v>201</v>
      </c>
      <c r="EC49" s="914" t="s">
        <v>207</v>
      </c>
      <c r="ED49" s="794" t="s">
        <v>64</v>
      </c>
      <c r="EE49" s="794" t="s">
        <v>13</v>
      </c>
      <c r="EF49" s="885" t="s">
        <v>201</v>
      </c>
    </row>
    <row r="50" spans="1:137" ht="20" customHeight="1" x14ac:dyDescent="0.15">
      <c r="A50" s="868">
        <f>Dashboard!F36</f>
        <v>331700000</v>
      </c>
      <c r="B50" s="863" t="str">
        <f>Dashboard!$B36</f>
        <v>TOTAL</v>
      </c>
      <c r="C50" s="866" t="s">
        <v>79</v>
      </c>
      <c r="D50" s="795">
        <f>SUM(D51:D58)</f>
        <v>248</v>
      </c>
      <c r="E50" s="795">
        <f>SUM(E51:E58)</f>
        <v>248</v>
      </c>
      <c r="F50" s="868">
        <f>SUM(F51:F58)</f>
        <v>74400000</v>
      </c>
      <c r="G50" s="1171">
        <f>SUM(G51:G58)</f>
        <v>1</v>
      </c>
      <c r="H50" s="865" t="str">
        <f>Dashboard!$B36</f>
        <v>TOTAL</v>
      </c>
      <c r="I50" s="866" t="s">
        <v>79</v>
      </c>
      <c r="J50" s="795">
        <f ca="1">SUM(J51:J58)</f>
        <v>0</v>
      </c>
      <c r="K50" s="795">
        <f ca="1">SUM(K51:K58)</f>
        <v>0</v>
      </c>
      <c r="L50" s="886">
        <f ca="1">SUM(L51:L58)</f>
        <v>0</v>
      </c>
      <c r="M50" s="915" t="str">
        <f>Dashboard!$B36</f>
        <v>TOTAL</v>
      </c>
      <c r="N50" s="959">
        <f t="shared" ref="N50:O50" si="343">SUM(N51:N58)</f>
        <v>8</v>
      </c>
      <c r="O50" s="959">
        <f t="shared" si="343"/>
        <v>8</v>
      </c>
      <c r="P50" s="960">
        <f>SUM(P51:P58)</f>
        <v>2400000</v>
      </c>
      <c r="Q50" s="915" t="str">
        <f>Dashboard!$B36</f>
        <v>TOTAL</v>
      </c>
      <c r="R50" s="959">
        <f t="shared" ref="R50:S50" si="344">SUM(R51:R58)</f>
        <v>8</v>
      </c>
      <c r="S50" s="959">
        <f t="shared" si="344"/>
        <v>8</v>
      </c>
      <c r="T50" s="960">
        <f>SUM(T51:T58)</f>
        <v>2400000</v>
      </c>
      <c r="U50" s="915" t="str">
        <f>Dashboard!$B36</f>
        <v>TOTAL</v>
      </c>
      <c r="V50" s="959">
        <f t="shared" ref="V50:W50" si="345">SUM(V51:V58)</f>
        <v>8</v>
      </c>
      <c r="W50" s="959">
        <f t="shared" si="345"/>
        <v>8</v>
      </c>
      <c r="X50" s="960">
        <f>SUM(X51:X58)</f>
        <v>2400000</v>
      </c>
      <c r="Y50" s="915" t="str">
        <f>Dashboard!$B36</f>
        <v>TOTAL</v>
      </c>
      <c r="Z50" s="959">
        <f t="shared" ref="Z50:AA50" si="346">SUM(Z51:Z58)</f>
        <v>8</v>
      </c>
      <c r="AA50" s="959">
        <f t="shared" si="346"/>
        <v>8</v>
      </c>
      <c r="AB50" s="960">
        <f>SUM(AB51:AB58)</f>
        <v>2400000</v>
      </c>
      <c r="AC50" s="915" t="str">
        <f>Dashboard!$B36</f>
        <v>TOTAL</v>
      </c>
      <c r="AD50" s="959">
        <f t="shared" ref="AD50:AE50" si="347">SUM(AD51:AD58)</f>
        <v>8</v>
      </c>
      <c r="AE50" s="959">
        <f t="shared" si="347"/>
        <v>8</v>
      </c>
      <c r="AF50" s="960">
        <f>SUM(AF51:AF58)</f>
        <v>2400000</v>
      </c>
      <c r="AG50" s="915" t="str">
        <f>Dashboard!$B36</f>
        <v>TOTAL</v>
      </c>
      <c r="AH50" s="959">
        <f t="shared" ref="AH50:AI50" si="348">SUM(AH51:AH58)</f>
        <v>8</v>
      </c>
      <c r="AI50" s="959">
        <f t="shared" si="348"/>
        <v>8</v>
      </c>
      <c r="AJ50" s="960">
        <f>SUM(AJ51:AJ58)</f>
        <v>2400000</v>
      </c>
      <c r="AK50" s="915" t="str">
        <f>Dashboard!$B36</f>
        <v>TOTAL</v>
      </c>
      <c r="AL50" s="959">
        <f t="shared" ref="AL50:AM50" si="349">SUM(AL51:AL58)</f>
        <v>8</v>
      </c>
      <c r="AM50" s="959">
        <f t="shared" si="349"/>
        <v>8</v>
      </c>
      <c r="AN50" s="960">
        <f>SUM(AN51:AN58)</f>
        <v>2400000</v>
      </c>
      <c r="AO50" s="915" t="str">
        <f>Dashboard!$B36</f>
        <v>TOTAL</v>
      </c>
      <c r="AP50" s="959">
        <f t="shared" ref="AP50:AQ50" si="350">SUM(AP51:AP58)</f>
        <v>8</v>
      </c>
      <c r="AQ50" s="959">
        <f t="shared" si="350"/>
        <v>8</v>
      </c>
      <c r="AR50" s="960">
        <f>SUM(AR51:AR58)</f>
        <v>2400000</v>
      </c>
      <c r="AS50" s="915" t="str">
        <f>Dashboard!$B36</f>
        <v>TOTAL</v>
      </c>
      <c r="AT50" s="959">
        <f t="shared" ref="AT50:AU50" si="351">SUM(AT51:AT58)</f>
        <v>8</v>
      </c>
      <c r="AU50" s="959">
        <f t="shared" si="351"/>
        <v>8</v>
      </c>
      <c r="AV50" s="960">
        <f>SUM(AV51:AV58)</f>
        <v>2400000</v>
      </c>
      <c r="AW50" s="915" t="str">
        <f>Dashboard!$B36</f>
        <v>TOTAL</v>
      </c>
      <c r="AX50" s="959">
        <f t="shared" ref="AX50:AY50" si="352">SUM(AX51:AX58)</f>
        <v>8</v>
      </c>
      <c r="AY50" s="959">
        <f t="shared" si="352"/>
        <v>8</v>
      </c>
      <c r="AZ50" s="960">
        <f>SUM(AZ51:AZ58)</f>
        <v>2400000</v>
      </c>
      <c r="BA50" s="915" t="str">
        <f>Dashboard!$B36</f>
        <v>TOTAL</v>
      </c>
      <c r="BB50" s="959">
        <f t="shared" ref="BB50:BC50" si="353">SUM(BB51:BB58)</f>
        <v>8</v>
      </c>
      <c r="BC50" s="959">
        <f t="shared" si="353"/>
        <v>8</v>
      </c>
      <c r="BD50" s="960">
        <f>SUM(BD51:BD58)</f>
        <v>2400000</v>
      </c>
      <c r="BE50" s="915" t="str">
        <f>Dashboard!$B36</f>
        <v>TOTAL</v>
      </c>
      <c r="BF50" s="959">
        <f t="shared" ref="BF50:BG50" si="354">SUM(BF51:BF58)</f>
        <v>8</v>
      </c>
      <c r="BG50" s="959">
        <f t="shared" si="354"/>
        <v>8</v>
      </c>
      <c r="BH50" s="960">
        <f>SUM(BH51:BH58)</f>
        <v>2400000</v>
      </c>
      <c r="BI50" s="915" t="str">
        <f>Dashboard!$B36</f>
        <v>TOTAL</v>
      </c>
      <c r="BJ50" s="959">
        <f t="shared" ref="BJ50:BK50" si="355">SUM(BJ51:BJ58)</f>
        <v>8</v>
      </c>
      <c r="BK50" s="959">
        <f t="shared" si="355"/>
        <v>8</v>
      </c>
      <c r="BL50" s="960">
        <f>SUM(BL51:BL58)</f>
        <v>2400000</v>
      </c>
      <c r="BM50" s="915" t="str">
        <f>Dashboard!$B36</f>
        <v>TOTAL</v>
      </c>
      <c r="BN50" s="959">
        <f t="shared" ref="BN50:BO50" si="356">SUM(BN51:BN58)</f>
        <v>8</v>
      </c>
      <c r="BO50" s="959">
        <f t="shared" si="356"/>
        <v>8</v>
      </c>
      <c r="BP50" s="960">
        <f>SUM(BP51:BP58)</f>
        <v>2400000</v>
      </c>
      <c r="BQ50" s="915" t="str">
        <f>Dashboard!$B36</f>
        <v>TOTAL</v>
      </c>
      <c r="BR50" s="959">
        <f t="shared" ref="BR50:BS50" si="357">SUM(BR51:BR58)</f>
        <v>8</v>
      </c>
      <c r="BS50" s="959">
        <f t="shared" si="357"/>
        <v>8</v>
      </c>
      <c r="BT50" s="960">
        <f>SUM(BT51:BT58)</f>
        <v>2400000</v>
      </c>
      <c r="BU50" s="915" t="str">
        <f>Dashboard!$B36</f>
        <v>TOTAL</v>
      </c>
      <c r="BV50" s="959">
        <f t="shared" ref="BV50:BW50" si="358">SUM(BV51:BV58)</f>
        <v>8</v>
      </c>
      <c r="BW50" s="959">
        <f t="shared" si="358"/>
        <v>8</v>
      </c>
      <c r="BX50" s="960">
        <f>SUM(BX51:BX58)</f>
        <v>2400000</v>
      </c>
      <c r="BY50" s="915" t="str">
        <f>Dashboard!$B36</f>
        <v>TOTAL</v>
      </c>
      <c r="BZ50" s="959">
        <f t="shared" ref="BZ50:CA50" si="359">SUM(BZ51:BZ58)</f>
        <v>8</v>
      </c>
      <c r="CA50" s="959">
        <f t="shared" si="359"/>
        <v>8</v>
      </c>
      <c r="CB50" s="960">
        <f>SUM(CB51:CB58)</f>
        <v>2400000</v>
      </c>
      <c r="CC50" s="915" t="str">
        <f>Dashboard!$B36</f>
        <v>TOTAL</v>
      </c>
      <c r="CD50" s="959">
        <f t="shared" ref="CD50:CE50" si="360">SUM(CD51:CD58)</f>
        <v>8</v>
      </c>
      <c r="CE50" s="959">
        <f t="shared" si="360"/>
        <v>8</v>
      </c>
      <c r="CF50" s="960">
        <f>SUM(CF51:CF58)</f>
        <v>2400000</v>
      </c>
      <c r="CG50" s="915" t="str">
        <f>Dashboard!$B36</f>
        <v>TOTAL</v>
      </c>
      <c r="CH50" s="959">
        <f t="shared" ref="CH50:CI50" si="361">SUM(CH51:CH58)</f>
        <v>8</v>
      </c>
      <c r="CI50" s="959">
        <f t="shared" si="361"/>
        <v>8</v>
      </c>
      <c r="CJ50" s="960">
        <f>SUM(CJ51:CJ58)</f>
        <v>2400000</v>
      </c>
      <c r="CK50" s="915" t="str">
        <f>Dashboard!$B36</f>
        <v>TOTAL</v>
      </c>
      <c r="CL50" s="959">
        <f t="shared" ref="CL50:CM50" si="362">SUM(CL51:CL58)</f>
        <v>8</v>
      </c>
      <c r="CM50" s="959">
        <f t="shared" si="362"/>
        <v>8</v>
      </c>
      <c r="CN50" s="960">
        <f>SUM(CN51:CN58)</f>
        <v>2400000</v>
      </c>
      <c r="CO50" s="915" t="str">
        <f>Dashboard!$B36</f>
        <v>TOTAL</v>
      </c>
      <c r="CP50" s="959">
        <f t="shared" ref="CP50:CQ50" si="363">SUM(CP51:CP58)</f>
        <v>8</v>
      </c>
      <c r="CQ50" s="959">
        <f t="shared" si="363"/>
        <v>8</v>
      </c>
      <c r="CR50" s="960">
        <f>SUM(CR51:CR58)</f>
        <v>2400000</v>
      </c>
      <c r="CS50" s="915" t="str">
        <f>Dashboard!$B36</f>
        <v>TOTAL</v>
      </c>
      <c r="CT50" s="959">
        <f t="shared" ref="CT50:CU50" si="364">SUM(CT51:CT58)</f>
        <v>8</v>
      </c>
      <c r="CU50" s="959">
        <f t="shared" si="364"/>
        <v>8</v>
      </c>
      <c r="CV50" s="960">
        <f>SUM(CV51:CV58)</f>
        <v>2400000</v>
      </c>
      <c r="CW50" s="915" t="str">
        <f>Dashboard!$B36</f>
        <v>TOTAL</v>
      </c>
      <c r="CX50" s="959">
        <f t="shared" ref="CX50:CY50" si="365">SUM(CX51:CX58)</f>
        <v>8</v>
      </c>
      <c r="CY50" s="959">
        <f t="shared" si="365"/>
        <v>8</v>
      </c>
      <c r="CZ50" s="960">
        <f>SUM(CZ51:CZ58)</f>
        <v>2400000</v>
      </c>
      <c r="DA50" s="915" t="str">
        <f>Dashboard!$B36</f>
        <v>TOTAL</v>
      </c>
      <c r="DB50" s="959">
        <f t="shared" ref="DB50:DC50" si="366">SUM(DB51:DB58)</f>
        <v>8</v>
      </c>
      <c r="DC50" s="959">
        <f t="shared" si="366"/>
        <v>8</v>
      </c>
      <c r="DD50" s="960">
        <f>SUM(DD51:DD58)</f>
        <v>2400000</v>
      </c>
      <c r="DE50" s="915" t="str">
        <f>Dashboard!$B36</f>
        <v>TOTAL</v>
      </c>
      <c r="DF50" s="959">
        <f t="shared" ref="DF50:DG50" si="367">SUM(DF51:DF58)</f>
        <v>8</v>
      </c>
      <c r="DG50" s="959">
        <f t="shared" si="367"/>
        <v>8</v>
      </c>
      <c r="DH50" s="960">
        <f>SUM(DH51:DH58)</f>
        <v>2400000</v>
      </c>
      <c r="DI50" s="915" t="str">
        <f>Dashboard!$B36</f>
        <v>TOTAL</v>
      </c>
      <c r="DJ50" s="959">
        <f t="shared" ref="DJ50:DK50" si="368">SUM(DJ51:DJ58)</f>
        <v>8</v>
      </c>
      <c r="DK50" s="959">
        <f t="shared" si="368"/>
        <v>8</v>
      </c>
      <c r="DL50" s="960">
        <f>SUM(DL51:DL58)</f>
        <v>2400000</v>
      </c>
      <c r="DM50" s="915" t="str">
        <f>Dashboard!$B36</f>
        <v>TOTAL</v>
      </c>
      <c r="DN50" s="959">
        <f t="shared" ref="DN50:DO50" si="369">SUM(DN51:DN58)</f>
        <v>8</v>
      </c>
      <c r="DO50" s="959">
        <f t="shared" si="369"/>
        <v>8</v>
      </c>
      <c r="DP50" s="960">
        <f>SUM(DP51:DP58)</f>
        <v>2400000</v>
      </c>
      <c r="DQ50" s="915" t="str">
        <f>Dashboard!$B36</f>
        <v>TOTAL</v>
      </c>
      <c r="DR50" s="959">
        <f t="shared" ref="DR50:DS50" si="370">SUM(DR51:DR58)</f>
        <v>8</v>
      </c>
      <c r="DS50" s="959">
        <f t="shared" si="370"/>
        <v>8</v>
      </c>
      <c r="DT50" s="960">
        <f>SUM(DT51:DT58)</f>
        <v>2400000</v>
      </c>
      <c r="DU50" s="915" t="str">
        <f>Dashboard!$B36</f>
        <v>TOTAL</v>
      </c>
      <c r="DV50" s="959">
        <f t="shared" ref="DV50:DW50" si="371">SUM(DV51:DV58)</f>
        <v>8</v>
      </c>
      <c r="DW50" s="959">
        <f t="shared" si="371"/>
        <v>8</v>
      </c>
      <c r="DX50" s="960">
        <f>SUM(DX51:DX58)</f>
        <v>2400000</v>
      </c>
      <c r="DY50" s="915" t="str">
        <f>Dashboard!$B36</f>
        <v>TOTAL</v>
      </c>
      <c r="DZ50" s="959">
        <f t="shared" ref="DZ50:EA50" si="372">SUM(DZ51:DZ58)</f>
        <v>8</v>
      </c>
      <c r="EA50" s="959">
        <f t="shared" si="372"/>
        <v>8</v>
      </c>
      <c r="EB50" s="960">
        <f>SUM(EB51:EB58)</f>
        <v>2400000</v>
      </c>
      <c r="EC50" s="915" t="str">
        <f>Dashboard!$B36</f>
        <v>TOTAL</v>
      </c>
      <c r="ED50" s="959">
        <f t="shared" ref="ED50:EE50" si="373">SUM(ED51:ED58)</f>
        <v>8</v>
      </c>
      <c r="EE50" s="959">
        <f t="shared" si="373"/>
        <v>8</v>
      </c>
      <c r="EF50" s="960">
        <f>SUM(EF51:EF58)</f>
        <v>2400000</v>
      </c>
    </row>
    <row r="51" spans="1:137" ht="20" customHeight="1" x14ac:dyDescent="0.15">
      <c r="A51" s="869">
        <f>Dashboard!F37</f>
        <v>40300000</v>
      </c>
      <c r="B51" s="864" t="str">
        <f>Dashboard!$B37</f>
        <v>BONE &amp; JOINT HEALTH</v>
      </c>
      <c r="C51" s="867" t="s">
        <v>79</v>
      </c>
      <c r="D51" s="797">
        <f>SUMIF($M$49:$EF$49,$D$49,$M51:$EF51)</f>
        <v>31</v>
      </c>
      <c r="E51" s="797">
        <f>SUMIF($M$49:$EF$49,$E$49,$M51:$EF51)</f>
        <v>31</v>
      </c>
      <c r="F51" s="869">
        <f>SUMIF($M$49:$EF$49,$F$49,$M51:$EF51)</f>
        <v>9300000</v>
      </c>
      <c r="G51" s="1172">
        <f>_xlfn.IFS($F$50=0,0,F51&lt;=$F$50,F51/$F$50,F51&gt;$F$50,1)</f>
        <v>0.125</v>
      </c>
      <c r="H51" s="864" t="str">
        <f>Dashboard!$B37</f>
        <v>BONE &amp; JOINT HEALTH</v>
      </c>
      <c r="I51" s="867" t="s">
        <v>79</v>
      </c>
      <c r="J51" s="797">
        <f ca="1">SUMIFS($M51:$EF51,$M$11:$EF$11,TODAY(),$M$49:$EF$49,J$49)</f>
        <v>0</v>
      </c>
      <c r="K51" s="797">
        <f t="shared" ref="J51:L58" ca="1" si="374">SUMIFS($M51:$EF51,$M$11:$EF$11,TODAY(),$M$49:$EF$49,K$49)</f>
        <v>0</v>
      </c>
      <c r="L51" s="887">
        <f ca="1">SUMIFS($M51:$EF51,$M$11:$EF$11,TODAY(),$M$49:$EF$49,L$49)</f>
        <v>0</v>
      </c>
      <c r="M51" s="1175" t="str">
        <f>Dashboard!$B37</f>
        <v>BONE &amp; JOINT HEALTH</v>
      </c>
      <c r="N51" s="1030">
        <v>1</v>
      </c>
      <c r="O51" s="1030">
        <v>1</v>
      </c>
      <c r="P51" s="1029">
        <v>300000</v>
      </c>
      <c r="Q51" s="1175" t="str">
        <f>Dashboard!$B37</f>
        <v>BONE &amp; JOINT HEALTH</v>
      </c>
      <c r="R51" s="1030">
        <v>1</v>
      </c>
      <c r="S51" s="1030">
        <v>1</v>
      </c>
      <c r="T51" s="1029">
        <v>300000</v>
      </c>
      <c r="U51" s="1175" t="str">
        <f>Dashboard!$B37</f>
        <v>BONE &amp; JOINT HEALTH</v>
      </c>
      <c r="V51" s="1030">
        <v>1</v>
      </c>
      <c r="W51" s="1030">
        <v>1</v>
      </c>
      <c r="X51" s="1029">
        <v>300000</v>
      </c>
      <c r="Y51" s="1175" t="str">
        <f>Dashboard!$B37</f>
        <v>BONE &amp; JOINT HEALTH</v>
      </c>
      <c r="Z51" s="1030">
        <v>1</v>
      </c>
      <c r="AA51" s="1030">
        <v>1</v>
      </c>
      <c r="AB51" s="1029">
        <v>300000</v>
      </c>
      <c r="AC51" s="1175" t="str">
        <f>Dashboard!$B37</f>
        <v>BONE &amp; JOINT HEALTH</v>
      </c>
      <c r="AD51" s="1030">
        <v>1</v>
      </c>
      <c r="AE51" s="1030">
        <v>1</v>
      </c>
      <c r="AF51" s="1029">
        <v>300000</v>
      </c>
      <c r="AG51" s="1175" t="str">
        <f>Dashboard!$B37</f>
        <v>BONE &amp; JOINT HEALTH</v>
      </c>
      <c r="AH51" s="1030">
        <v>1</v>
      </c>
      <c r="AI51" s="1030">
        <v>1</v>
      </c>
      <c r="AJ51" s="1029">
        <v>300000</v>
      </c>
      <c r="AK51" s="1175" t="str">
        <f>Dashboard!$B37</f>
        <v>BONE &amp; JOINT HEALTH</v>
      </c>
      <c r="AL51" s="1030">
        <v>1</v>
      </c>
      <c r="AM51" s="1030">
        <v>1</v>
      </c>
      <c r="AN51" s="1029">
        <v>300000</v>
      </c>
      <c r="AO51" s="1175" t="str">
        <f>Dashboard!$B37</f>
        <v>BONE &amp; JOINT HEALTH</v>
      </c>
      <c r="AP51" s="1030">
        <v>1</v>
      </c>
      <c r="AQ51" s="1030">
        <v>1</v>
      </c>
      <c r="AR51" s="1029">
        <v>300000</v>
      </c>
      <c r="AS51" s="1175" t="str">
        <f>Dashboard!$B37</f>
        <v>BONE &amp; JOINT HEALTH</v>
      </c>
      <c r="AT51" s="1030">
        <v>1</v>
      </c>
      <c r="AU51" s="1030">
        <v>1</v>
      </c>
      <c r="AV51" s="1029">
        <v>300000</v>
      </c>
      <c r="AW51" s="1175" t="str">
        <f>Dashboard!$B37</f>
        <v>BONE &amp; JOINT HEALTH</v>
      </c>
      <c r="AX51" s="1030">
        <v>1</v>
      </c>
      <c r="AY51" s="1030">
        <v>1</v>
      </c>
      <c r="AZ51" s="1029">
        <v>300000</v>
      </c>
      <c r="BA51" s="1175" t="str">
        <f>Dashboard!$B37</f>
        <v>BONE &amp; JOINT HEALTH</v>
      </c>
      <c r="BB51" s="1030">
        <v>1</v>
      </c>
      <c r="BC51" s="1030">
        <v>1</v>
      </c>
      <c r="BD51" s="1029">
        <v>300000</v>
      </c>
      <c r="BE51" s="1175" t="str">
        <f>Dashboard!$B37</f>
        <v>BONE &amp; JOINT HEALTH</v>
      </c>
      <c r="BF51" s="1030">
        <v>1</v>
      </c>
      <c r="BG51" s="1030">
        <v>1</v>
      </c>
      <c r="BH51" s="1029">
        <v>300000</v>
      </c>
      <c r="BI51" s="1175" t="str">
        <f>Dashboard!$B37</f>
        <v>BONE &amp; JOINT HEALTH</v>
      </c>
      <c r="BJ51" s="1030">
        <v>1</v>
      </c>
      <c r="BK51" s="1030">
        <v>1</v>
      </c>
      <c r="BL51" s="1029">
        <v>300000</v>
      </c>
      <c r="BM51" s="1175" t="str">
        <f>Dashboard!$B37</f>
        <v>BONE &amp; JOINT HEALTH</v>
      </c>
      <c r="BN51" s="1030">
        <v>1</v>
      </c>
      <c r="BO51" s="1030">
        <v>1</v>
      </c>
      <c r="BP51" s="1029">
        <v>300000</v>
      </c>
      <c r="BQ51" s="1175" t="str">
        <f>Dashboard!$B37</f>
        <v>BONE &amp; JOINT HEALTH</v>
      </c>
      <c r="BR51" s="1030">
        <v>1</v>
      </c>
      <c r="BS51" s="1030">
        <v>1</v>
      </c>
      <c r="BT51" s="1029">
        <v>300000</v>
      </c>
      <c r="BU51" s="1175" t="str">
        <f>Dashboard!$B37</f>
        <v>BONE &amp; JOINT HEALTH</v>
      </c>
      <c r="BV51" s="1030">
        <v>1</v>
      </c>
      <c r="BW51" s="1030">
        <v>1</v>
      </c>
      <c r="BX51" s="1029">
        <v>300000</v>
      </c>
      <c r="BY51" s="1175" t="str">
        <f>Dashboard!$B37</f>
        <v>BONE &amp; JOINT HEALTH</v>
      </c>
      <c r="BZ51" s="1030">
        <v>1</v>
      </c>
      <c r="CA51" s="1030">
        <v>1</v>
      </c>
      <c r="CB51" s="1029">
        <v>300000</v>
      </c>
      <c r="CC51" s="1175" t="str">
        <f>Dashboard!$B37</f>
        <v>BONE &amp; JOINT HEALTH</v>
      </c>
      <c r="CD51" s="1030">
        <v>1</v>
      </c>
      <c r="CE51" s="1030">
        <v>1</v>
      </c>
      <c r="CF51" s="1029">
        <v>300000</v>
      </c>
      <c r="CG51" s="1175" t="str">
        <f>Dashboard!$B37</f>
        <v>BONE &amp; JOINT HEALTH</v>
      </c>
      <c r="CH51" s="1030">
        <v>1</v>
      </c>
      <c r="CI51" s="1030">
        <v>1</v>
      </c>
      <c r="CJ51" s="1029">
        <v>300000</v>
      </c>
      <c r="CK51" s="1175" t="str">
        <f>Dashboard!$B37</f>
        <v>BONE &amp; JOINT HEALTH</v>
      </c>
      <c r="CL51" s="1030">
        <v>1</v>
      </c>
      <c r="CM51" s="1030">
        <v>1</v>
      </c>
      <c r="CN51" s="1029">
        <v>300000</v>
      </c>
      <c r="CO51" s="1175" t="str">
        <f>Dashboard!$B37</f>
        <v>BONE &amp; JOINT HEALTH</v>
      </c>
      <c r="CP51" s="1030">
        <v>1</v>
      </c>
      <c r="CQ51" s="1030">
        <v>1</v>
      </c>
      <c r="CR51" s="1029">
        <v>300000</v>
      </c>
      <c r="CS51" s="1175" t="str">
        <f>Dashboard!$B37</f>
        <v>BONE &amp; JOINT HEALTH</v>
      </c>
      <c r="CT51" s="1030">
        <v>1</v>
      </c>
      <c r="CU51" s="1030">
        <v>1</v>
      </c>
      <c r="CV51" s="1029">
        <v>300000</v>
      </c>
      <c r="CW51" s="1175" t="str">
        <f>Dashboard!$B37</f>
        <v>BONE &amp; JOINT HEALTH</v>
      </c>
      <c r="CX51" s="1030">
        <v>1</v>
      </c>
      <c r="CY51" s="1030">
        <v>1</v>
      </c>
      <c r="CZ51" s="1029">
        <v>300000</v>
      </c>
      <c r="DA51" s="1175" t="str">
        <f>Dashboard!$B37</f>
        <v>BONE &amp; JOINT HEALTH</v>
      </c>
      <c r="DB51" s="1030">
        <v>1</v>
      </c>
      <c r="DC51" s="1030">
        <v>1</v>
      </c>
      <c r="DD51" s="1029">
        <v>300000</v>
      </c>
      <c r="DE51" s="1175" t="str">
        <f>Dashboard!$B37</f>
        <v>BONE &amp; JOINT HEALTH</v>
      </c>
      <c r="DF51" s="1030">
        <v>1</v>
      </c>
      <c r="DG51" s="1030">
        <v>1</v>
      </c>
      <c r="DH51" s="1029">
        <v>300000</v>
      </c>
      <c r="DI51" s="1175" t="str">
        <f>Dashboard!$B37</f>
        <v>BONE &amp; JOINT HEALTH</v>
      </c>
      <c r="DJ51" s="1030">
        <v>1</v>
      </c>
      <c r="DK51" s="1030">
        <v>1</v>
      </c>
      <c r="DL51" s="1029">
        <v>300000</v>
      </c>
      <c r="DM51" s="1175" t="str">
        <f>Dashboard!$B37</f>
        <v>BONE &amp; JOINT HEALTH</v>
      </c>
      <c r="DN51" s="1030">
        <v>1</v>
      </c>
      <c r="DO51" s="1030">
        <v>1</v>
      </c>
      <c r="DP51" s="1029">
        <v>300000</v>
      </c>
      <c r="DQ51" s="1175" t="str">
        <f>Dashboard!$B37</f>
        <v>BONE &amp; JOINT HEALTH</v>
      </c>
      <c r="DR51" s="1030">
        <v>1</v>
      </c>
      <c r="DS51" s="1030">
        <v>1</v>
      </c>
      <c r="DT51" s="1029">
        <v>300000</v>
      </c>
      <c r="DU51" s="1175" t="str">
        <f>Dashboard!$B37</f>
        <v>BONE &amp; JOINT HEALTH</v>
      </c>
      <c r="DV51" s="1030">
        <v>1</v>
      </c>
      <c r="DW51" s="1030">
        <v>1</v>
      </c>
      <c r="DX51" s="1029">
        <v>300000</v>
      </c>
      <c r="DY51" s="1175" t="str">
        <f>Dashboard!$B37</f>
        <v>BONE &amp; JOINT HEALTH</v>
      </c>
      <c r="DZ51" s="1030">
        <v>1</v>
      </c>
      <c r="EA51" s="1030">
        <v>1</v>
      </c>
      <c r="EB51" s="1029">
        <v>300000</v>
      </c>
      <c r="EC51" s="1175" t="str">
        <f>Dashboard!$B37</f>
        <v>BONE &amp; JOINT HEALTH</v>
      </c>
      <c r="ED51" s="1030">
        <v>1</v>
      </c>
      <c r="EE51" s="1030">
        <v>1</v>
      </c>
      <c r="EF51" s="1029">
        <v>300000</v>
      </c>
    </row>
    <row r="52" spans="1:137" ht="20" customHeight="1" x14ac:dyDescent="0.15">
      <c r="A52" s="869">
        <f>Dashboard!F38</f>
        <v>40300000</v>
      </c>
      <c r="B52" s="864" t="str">
        <f>Dashboard!$B38</f>
        <v>LIVER, DIGESTION, ALLERGIES</v>
      </c>
      <c r="C52" s="867" t="s">
        <v>79</v>
      </c>
      <c r="D52" s="797">
        <f>SUMIF($M$49:$EF$49,$D$49,$M52:$EF52)</f>
        <v>31</v>
      </c>
      <c r="E52" s="797">
        <f t="shared" ref="E52:E58" si="375">SUMIF($M$49:$EF$49,$E$49,$M52:$EF52)</f>
        <v>31</v>
      </c>
      <c r="F52" s="869">
        <f>SUMIF($M$49:$EF$49,$F$49,$M52:$EF52)</f>
        <v>9300000</v>
      </c>
      <c r="G52" s="1172">
        <f>_xlfn.IFS($F$50=0,0,F52&lt;=$F$50,F52/$F$50,F52&gt;$F$50,1)</f>
        <v>0.125</v>
      </c>
      <c r="H52" s="864" t="str">
        <f>Dashboard!$B38</f>
        <v>LIVER, DIGESTION, ALLERGIES</v>
      </c>
      <c r="I52" s="867" t="s">
        <v>79</v>
      </c>
      <c r="J52" s="797">
        <f t="shared" ca="1" si="374"/>
        <v>0</v>
      </c>
      <c r="K52" s="797">
        <f t="shared" ca="1" si="374"/>
        <v>0</v>
      </c>
      <c r="L52" s="887">
        <f t="shared" ca="1" si="374"/>
        <v>0</v>
      </c>
      <c r="M52" s="1175" t="str">
        <f>Dashboard!$B38</f>
        <v>LIVER, DIGESTION, ALLERGIES</v>
      </c>
      <c r="N52" s="1030">
        <v>1</v>
      </c>
      <c r="O52" s="1030">
        <v>1</v>
      </c>
      <c r="P52" s="1029">
        <v>300000</v>
      </c>
      <c r="Q52" s="1175" t="str">
        <f>Dashboard!$B38</f>
        <v>LIVER, DIGESTION, ALLERGIES</v>
      </c>
      <c r="R52" s="1030">
        <v>1</v>
      </c>
      <c r="S52" s="1030">
        <v>1</v>
      </c>
      <c r="T52" s="1029">
        <v>300000</v>
      </c>
      <c r="U52" s="1175" t="str">
        <f>Dashboard!$B38</f>
        <v>LIVER, DIGESTION, ALLERGIES</v>
      </c>
      <c r="V52" s="1030">
        <v>1</v>
      </c>
      <c r="W52" s="1030">
        <v>1</v>
      </c>
      <c r="X52" s="1029">
        <v>300000</v>
      </c>
      <c r="Y52" s="1175" t="str">
        <f>Dashboard!$B38</f>
        <v>LIVER, DIGESTION, ALLERGIES</v>
      </c>
      <c r="Z52" s="1030">
        <v>1</v>
      </c>
      <c r="AA52" s="1030">
        <v>1</v>
      </c>
      <c r="AB52" s="1029">
        <v>300000</v>
      </c>
      <c r="AC52" s="1175" t="str">
        <f>Dashboard!$B38</f>
        <v>LIVER, DIGESTION, ALLERGIES</v>
      </c>
      <c r="AD52" s="1030">
        <v>1</v>
      </c>
      <c r="AE52" s="1030">
        <v>1</v>
      </c>
      <c r="AF52" s="1029">
        <v>300000</v>
      </c>
      <c r="AG52" s="1175" t="str">
        <f>Dashboard!$B38</f>
        <v>LIVER, DIGESTION, ALLERGIES</v>
      </c>
      <c r="AH52" s="1030">
        <v>1</v>
      </c>
      <c r="AI52" s="1030">
        <v>1</v>
      </c>
      <c r="AJ52" s="1029">
        <v>300000</v>
      </c>
      <c r="AK52" s="1175" t="str">
        <f>Dashboard!$B38</f>
        <v>LIVER, DIGESTION, ALLERGIES</v>
      </c>
      <c r="AL52" s="1030">
        <v>1</v>
      </c>
      <c r="AM52" s="1030">
        <v>1</v>
      </c>
      <c r="AN52" s="1029">
        <v>300000</v>
      </c>
      <c r="AO52" s="1175" t="str">
        <f>Dashboard!$B38</f>
        <v>LIVER, DIGESTION, ALLERGIES</v>
      </c>
      <c r="AP52" s="1030">
        <v>1</v>
      </c>
      <c r="AQ52" s="1030">
        <v>1</v>
      </c>
      <c r="AR52" s="1029">
        <v>300000</v>
      </c>
      <c r="AS52" s="1175" t="str">
        <f>Dashboard!$B38</f>
        <v>LIVER, DIGESTION, ALLERGIES</v>
      </c>
      <c r="AT52" s="1030">
        <v>1</v>
      </c>
      <c r="AU52" s="1030">
        <v>1</v>
      </c>
      <c r="AV52" s="1029">
        <v>300000</v>
      </c>
      <c r="AW52" s="1175" t="str">
        <f>Dashboard!$B38</f>
        <v>LIVER, DIGESTION, ALLERGIES</v>
      </c>
      <c r="AX52" s="1030">
        <v>1</v>
      </c>
      <c r="AY52" s="1030">
        <v>1</v>
      </c>
      <c r="AZ52" s="1029">
        <v>300000</v>
      </c>
      <c r="BA52" s="1175" t="str">
        <f>Dashboard!$B38</f>
        <v>LIVER, DIGESTION, ALLERGIES</v>
      </c>
      <c r="BB52" s="1030">
        <v>1</v>
      </c>
      <c r="BC52" s="1030">
        <v>1</v>
      </c>
      <c r="BD52" s="1029">
        <v>300000</v>
      </c>
      <c r="BE52" s="1175" t="str">
        <f>Dashboard!$B38</f>
        <v>LIVER, DIGESTION, ALLERGIES</v>
      </c>
      <c r="BF52" s="1030">
        <v>1</v>
      </c>
      <c r="BG52" s="1030">
        <v>1</v>
      </c>
      <c r="BH52" s="1029">
        <v>300000</v>
      </c>
      <c r="BI52" s="1175" t="str">
        <f>Dashboard!$B38</f>
        <v>LIVER, DIGESTION, ALLERGIES</v>
      </c>
      <c r="BJ52" s="1030">
        <v>1</v>
      </c>
      <c r="BK52" s="1030">
        <v>1</v>
      </c>
      <c r="BL52" s="1029">
        <v>300000</v>
      </c>
      <c r="BM52" s="1175" t="str">
        <f>Dashboard!$B38</f>
        <v>LIVER, DIGESTION, ALLERGIES</v>
      </c>
      <c r="BN52" s="1030">
        <v>1</v>
      </c>
      <c r="BO52" s="1030">
        <v>1</v>
      </c>
      <c r="BP52" s="1029">
        <v>300000</v>
      </c>
      <c r="BQ52" s="1175" t="str">
        <f>Dashboard!$B38</f>
        <v>LIVER, DIGESTION, ALLERGIES</v>
      </c>
      <c r="BR52" s="1030">
        <v>1</v>
      </c>
      <c r="BS52" s="1030">
        <v>1</v>
      </c>
      <c r="BT52" s="1029">
        <v>300000</v>
      </c>
      <c r="BU52" s="1175" t="str">
        <f>Dashboard!$B38</f>
        <v>LIVER, DIGESTION, ALLERGIES</v>
      </c>
      <c r="BV52" s="1030">
        <v>1</v>
      </c>
      <c r="BW52" s="1030">
        <v>1</v>
      </c>
      <c r="BX52" s="1029">
        <v>300000</v>
      </c>
      <c r="BY52" s="1175" t="str">
        <f>Dashboard!$B38</f>
        <v>LIVER, DIGESTION, ALLERGIES</v>
      </c>
      <c r="BZ52" s="1030">
        <v>1</v>
      </c>
      <c r="CA52" s="1030">
        <v>1</v>
      </c>
      <c r="CB52" s="1029">
        <v>300000</v>
      </c>
      <c r="CC52" s="1175" t="str">
        <f>Dashboard!$B38</f>
        <v>LIVER, DIGESTION, ALLERGIES</v>
      </c>
      <c r="CD52" s="1030">
        <v>1</v>
      </c>
      <c r="CE52" s="1030">
        <v>1</v>
      </c>
      <c r="CF52" s="1029">
        <v>300000</v>
      </c>
      <c r="CG52" s="1175" t="str">
        <f>Dashboard!$B38</f>
        <v>LIVER, DIGESTION, ALLERGIES</v>
      </c>
      <c r="CH52" s="1030">
        <v>1</v>
      </c>
      <c r="CI52" s="1030">
        <v>1</v>
      </c>
      <c r="CJ52" s="1029">
        <v>300000</v>
      </c>
      <c r="CK52" s="1175" t="str">
        <f>Dashboard!$B38</f>
        <v>LIVER, DIGESTION, ALLERGIES</v>
      </c>
      <c r="CL52" s="1030">
        <v>1</v>
      </c>
      <c r="CM52" s="1030">
        <v>1</v>
      </c>
      <c r="CN52" s="1029">
        <v>300000</v>
      </c>
      <c r="CO52" s="1175" t="str">
        <f>Dashboard!$B38</f>
        <v>LIVER, DIGESTION, ALLERGIES</v>
      </c>
      <c r="CP52" s="1030">
        <v>1</v>
      </c>
      <c r="CQ52" s="1030">
        <v>1</v>
      </c>
      <c r="CR52" s="1029">
        <v>300000</v>
      </c>
      <c r="CS52" s="1175" t="str">
        <f>Dashboard!$B38</f>
        <v>LIVER, DIGESTION, ALLERGIES</v>
      </c>
      <c r="CT52" s="1030">
        <v>1</v>
      </c>
      <c r="CU52" s="1030">
        <v>1</v>
      </c>
      <c r="CV52" s="1029">
        <v>300000</v>
      </c>
      <c r="CW52" s="1175" t="str">
        <f>Dashboard!$B38</f>
        <v>LIVER, DIGESTION, ALLERGIES</v>
      </c>
      <c r="CX52" s="1030">
        <v>1</v>
      </c>
      <c r="CY52" s="1030">
        <v>1</v>
      </c>
      <c r="CZ52" s="1029">
        <v>300000</v>
      </c>
      <c r="DA52" s="1175" t="str">
        <f>Dashboard!$B38</f>
        <v>LIVER, DIGESTION, ALLERGIES</v>
      </c>
      <c r="DB52" s="1030">
        <v>1</v>
      </c>
      <c r="DC52" s="1030">
        <v>1</v>
      </c>
      <c r="DD52" s="1029">
        <v>300000</v>
      </c>
      <c r="DE52" s="1175" t="str">
        <f>Dashboard!$B38</f>
        <v>LIVER, DIGESTION, ALLERGIES</v>
      </c>
      <c r="DF52" s="1030">
        <v>1</v>
      </c>
      <c r="DG52" s="1030">
        <v>1</v>
      </c>
      <c r="DH52" s="1029">
        <v>300000</v>
      </c>
      <c r="DI52" s="1175" t="str">
        <f>Dashboard!$B38</f>
        <v>LIVER, DIGESTION, ALLERGIES</v>
      </c>
      <c r="DJ52" s="1030">
        <v>1</v>
      </c>
      <c r="DK52" s="1030">
        <v>1</v>
      </c>
      <c r="DL52" s="1029">
        <v>300000</v>
      </c>
      <c r="DM52" s="1175" t="str">
        <f>Dashboard!$B38</f>
        <v>LIVER, DIGESTION, ALLERGIES</v>
      </c>
      <c r="DN52" s="1030">
        <v>1</v>
      </c>
      <c r="DO52" s="1030">
        <v>1</v>
      </c>
      <c r="DP52" s="1029">
        <v>300000</v>
      </c>
      <c r="DQ52" s="1175" t="str">
        <f>Dashboard!$B38</f>
        <v>LIVER, DIGESTION, ALLERGIES</v>
      </c>
      <c r="DR52" s="1030">
        <v>1</v>
      </c>
      <c r="DS52" s="1030">
        <v>1</v>
      </c>
      <c r="DT52" s="1029">
        <v>300000</v>
      </c>
      <c r="DU52" s="1175" t="str">
        <f>Dashboard!$B38</f>
        <v>LIVER, DIGESTION, ALLERGIES</v>
      </c>
      <c r="DV52" s="1030">
        <v>1</v>
      </c>
      <c r="DW52" s="1030">
        <v>1</v>
      </c>
      <c r="DX52" s="1029">
        <v>300000</v>
      </c>
      <c r="DY52" s="1175" t="str">
        <f>Dashboard!$B38</f>
        <v>LIVER, DIGESTION, ALLERGIES</v>
      </c>
      <c r="DZ52" s="1030">
        <v>1</v>
      </c>
      <c r="EA52" s="1030">
        <v>1</v>
      </c>
      <c r="EB52" s="1029">
        <v>300000</v>
      </c>
      <c r="EC52" s="1175" t="str">
        <f>Dashboard!$B38</f>
        <v>LIVER, DIGESTION, ALLERGIES</v>
      </c>
      <c r="ED52" s="1030">
        <v>1</v>
      </c>
      <c r="EE52" s="1030">
        <v>1</v>
      </c>
      <c r="EF52" s="1029">
        <v>300000</v>
      </c>
    </row>
    <row r="53" spans="1:137" ht="20" customHeight="1" x14ac:dyDescent="0.15">
      <c r="A53" s="869">
        <f>Dashboard!F39</f>
        <v>40300000</v>
      </c>
      <c r="B53" s="864" t="str">
        <f>Dashboard!$B39</f>
        <v>BRAIN &amp; EYE HEALTH</v>
      </c>
      <c r="C53" s="867" t="s">
        <v>79</v>
      </c>
      <c r="D53" s="797">
        <f>SUMIF($M$49:$EF$49,$D$49,$M53:$EF53)</f>
        <v>31</v>
      </c>
      <c r="E53" s="797">
        <f>SUMIF($M$49:$EF$49,$E$49,$M53:$EF53)</f>
        <v>31</v>
      </c>
      <c r="F53" s="869">
        <f t="shared" ref="F53:F56" si="376">SUMIF($M$49:$EF$49,$F$49,$M53:$EF53)</f>
        <v>9300000</v>
      </c>
      <c r="G53" s="1172">
        <f>_xlfn.IFS($F$50=0,0,F53&lt;=$F$50,F53/$F$50,F53&gt;$F$50,1)</f>
        <v>0.125</v>
      </c>
      <c r="H53" s="864" t="str">
        <f>Dashboard!$B39</f>
        <v>BRAIN &amp; EYE HEALTH</v>
      </c>
      <c r="I53" s="867" t="s">
        <v>79</v>
      </c>
      <c r="J53" s="797">
        <f t="shared" ca="1" si="374"/>
        <v>0</v>
      </c>
      <c r="K53" s="797">
        <f t="shared" ca="1" si="374"/>
        <v>0</v>
      </c>
      <c r="L53" s="887">
        <f t="shared" ca="1" si="374"/>
        <v>0</v>
      </c>
      <c r="M53" s="1175" t="str">
        <f>Dashboard!$B39</f>
        <v>BRAIN &amp; EYE HEALTH</v>
      </c>
      <c r="N53" s="1030">
        <v>1</v>
      </c>
      <c r="O53" s="1030">
        <v>1</v>
      </c>
      <c r="P53" s="1029">
        <v>300000</v>
      </c>
      <c r="Q53" s="1175" t="str">
        <f>Dashboard!$B39</f>
        <v>BRAIN &amp; EYE HEALTH</v>
      </c>
      <c r="R53" s="1030">
        <v>1</v>
      </c>
      <c r="S53" s="1030">
        <v>1</v>
      </c>
      <c r="T53" s="1029">
        <v>300000</v>
      </c>
      <c r="U53" s="1175" t="str">
        <f>Dashboard!$B39</f>
        <v>BRAIN &amp; EYE HEALTH</v>
      </c>
      <c r="V53" s="1030">
        <v>1</v>
      </c>
      <c r="W53" s="1030">
        <v>1</v>
      </c>
      <c r="X53" s="1029">
        <v>300000</v>
      </c>
      <c r="Y53" s="1175" t="str">
        <f>Dashboard!$B39</f>
        <v>BRAIN &amp; EYE HEALTH</v>
      </c>
      <c r="Z53" s="1030">
        <v>1</v>
      </c>
      <c r="AA53" s="1030">
        <v>1</v>
      </c>
      <c r="AB53" s="1029">
        <v>300000</v>
      </c>
      <c r="AC53" s="1175" t="str">
        <f>Dashboard!$B39</f>
        <v>BRAIN &amp; EYE HEALTH</v>
      </c>
      <c r="AD53" s="1030">
        <v>1</v>
      </c>
      <c r="AE53" s="1030">
        <v>1</v>
      </c>
      <c r="AF53" s="1029">
        <v>300000</v>
      </c>
      <c r="AG53" s="1175" t="str">
        <f>Dashboard!$B39</f>
        <v>BRAIN &amp; EYE HEALTH</v>
      </c>
      <c r="AH53" s="1030">
        <v>1</v>
      </c>
      <c r="AI53" s="1030">
        <v>1</v>
      </c>
      <c r="AJ53" s="1029">
        <v>300000</v>
      </c>
      <c r="AK53" s="1175" t="str">
        <f>Dashboard!$B39</f>
        <v>BRAIN &amp; EYE HEALTH</v>
      </c>
      <c r="AL53" s="1030">
        <v>1</v>
      </c>
      <c r="AM53" s="1030">
        <v>1</v>
      </c>
      <c r="AN53" s="1029">
        <v>300000</v>
      </c>
      <c r="AO53" s="1175" t="str">
        <f>Dashboard!$B39</f>
        <v>BRAIN &amp; EYE HEALTH</v>
      </c>
      <c r="AP53" s="1030">
        <v>1</v>
      </c>
      <c r="AQ53" s="1030">
        <v>1</v>
      </c>
      <c r="AR53" s="1029">
        <v>300000</v>
      </c>
      <c r="AS53" s="1175" t="str">
        <f>Dashboard!$B39</f>
        <v>BRAIN &amp; EYE HEALTH</v>
      </c>
      <c r="AT53" s="1030">
        <v>1</v>
      </c>
      <c r="AU53" s="1030">
        <v>1</v>
      </c>
      <c r="AV53" s="1029">
        <v>300000</v>
      </c>
      <c r="AW53" s="1175" t="str">
        <f>Dashboard!$B39</f>
        <v>BRAIN &amp; EYE HEALTH</v>
      </c>
      <c r="AX53" s="1030">
        <v>1</v>
      </c>
      <c r="AY53" s="1030">
        <v>1</v>
      </c>
      <c r="AZ53" s="1029">
        <v>300000</v>
      </c>
      <c r="BA53" s="1175" t="str">
        <f>Dashboard!$B39</f>
        <v>BRAIN &amp; EYE HEALTH</v>
      </c>
      <c r="BB53" s="1030">
        <v>1</v>
      </c>
      <c r="BC53" s="1030">
        <v>1</v>
      </c>
      <c r="BD53" s="1029">
        <v>300000</v>
      </c>
      <c r="BE53" s="1175" t="str">
        <f>Dashboard!$B39</f>
        <v>BRAIN &amp; EYE HEALTH</v>
      </c>
      <c r="BF53" s="1030">
        <v>1</v>
      </c>
      <c r="BG53" s="1030">
        <v>1</v>
      </c>
      <c r="BH53" s="1029">
        <v>300000</v>
      </c>
      <c r="BI53" s="1175" t="str">
        <f>Dashboard!$B39</f>
        <v>BRAIN &amp; EYE HEALTH</v>
      </c>
      <c r="BJ53" s="1030">
        <v>1</v>
      </c>
      <c r="BK53" s="1030">
        <v>1</v>
      </c>
      <c r="BL53" s="1029">
        <v>300000</v>
      </c>
      <c r="BM53" s="1175" t="str">
        <f>Dashboard!$B39</f>
        <v>BRAIN &amp; EYE HEALTH</v>
      </c>
      <c r="BN53" s="1030">
        <v>1</v>
      </c>
      <c r="BO53" s="1030">
        <v>1</v>
      </c>
      <c r="BP53" s="1029">
        <v>300000</v>
      </c>
      <c r="BQ53" s="1175" t="str">
        <f>Dashboard!$B39</f>
        <v>BRAIN &amp; EYE HEALTH</v>
      </c>
      <c r="BR53" s="1030">
        <v>1</v>
      </c>
      <c r="BS53" s="1030">
        <v>1</v>
      </c>
      <c r="BT53" s="1029">
        <v>300000</v>
      </c>
      <c r="BU53" s="1175" t="str">
        <f>Dashboard!$B39</f>
        <v>BRAIN &amp; EYE HEALTH</v>
      </c>
      <c r="BV53" s="1030">
        <v>1</v>
      </c>
      <c r="BW53" s="1030">
        <v>1</v>
      </c>
      <c r="BX53" s="1029">
        <v>300000</v>
      </c>
      <c r="BY53" s="1175" t="str">
        <f>Dashboard!$B39</f>
        <v>BRAIN &amp; EYE HEALTH</v>
      </c>
      <c r="BZ53" s="1030">
        <v>1</v>
      </c>
      <c r="CA53" s="1030">
        <v>1</v>
      </c>
      <c r="CB53" s="1029">
        <v>300000</v>
      </c>
      <c r="CC53" s="1175" t="str">
        <f>Dashboard!$B39</f>
        <v>BRAIN &amp; EYE HEALTH</v>
      </c>
      <c r="CD53" s="1030">
        <v>1</v>
      </c>
      <c r="CE53" s="1030">
        <v>1</v>
      </c>
      <c r="CF53" s="1029">
        <v>300000</v>
      </c>
      <c r="CG53" s="1175" t="str">
        <f>Dashboard!$B39</f>
        <v>BRAIN &amp; EYE HEALTH</v>
      </c>
      <c r="CH53" s="1030">
        <v>1</v>
      </c>
      <c r="CI53" s="1030">
        <v>1</v>
      </c>
      <c r="CJ53" s="1029">
        <v>300000</v>
      </c>
      <c r="CK53" s="1175" t="str">
        <f>Dashboard!$B39</f>
        <v>BRAIN &amp; EYE HEALTH</v>
      </c>
      <c r="CL53" s="1030">
        <v>1</v>
      </c>
      <c r="CM53" s="1030">
        <v>1</v>
      </c>
      <c r="CN53" s="1029">
        <v>300000</v>
      </c>
      <c r="CO53" s="1175" t="str">
        <f>Dashboard!$B39</f>
        <v>BRAIN &amp; EYE HEALTH</v>
      </c>
      <c r="CP53" s="1030">
        <v>1</v>
      </c>
      <c r="CQ53" s="1030">
        <v>1</v>
      </c>
      <c r="CR53" s="1029">
        <v>300000</v>
      </c>
      <c r="CS53" s="1175" t="str">
        <f>Dashboard!$B39</f>
        <v>BRAIN &amp; EYE HEALTH</v>
      </c>
      <c r="CT53" s="1030">
        <v>1</v>
      </c>
      <c r="CU53" s="1030">
        <v>1</v>
      </c>
      <c r="CV53" s="1029">
        <v>300000</v>
      </c>
      <c r="CW53" s="1175" t="str">
        <f>Dashboard!$B39</f>
        <v>BRAIN &amp; EYE HEALTH</v>
      </c>
      <c r="CX53" s="1030">
        <v>1</v>
      </c>
      <c r="CY53" s="1030">
        <v>1</v>
      </c>
      <c r="CZ53" s="1029">
        <v>300000</v>
      </c>
      <c r="DA53" s="1175" t="str">
        <f>Dashboard!$B39</f>
        <v>BRAIN &amp; EYE HEALTH</v>
      </c>
      <c r="DB53" s="1030">
        <v>1</v>
      </c>
      <c r="DC53" s="1030">
        <v>1</v>
      </c>
      <c r="DD53" s="1029">
        <v>300000</v>
      </c>
      <c r="DE53" s="1175" t="str">
        <f>Dashboard!$B39</f>
        <v>BRAIN &amp; EYE HEALTH</v>
      </c>
      <c r="DF53" s="1030">
        <v>1</v>
      </c>
      <c r="DG53" s="1030">
        <v>1</v>
      </c>
      <c r="DH53" s="1029">
        <v>300000</v>
      </c>
      <c r="DI53" s="1175" t="str">
        <f>Dashboard!$B39</f>
        <v>BRAIN &amp; EYE HEALTH</v>
      </c>
      <c r="DJ53" s="1030">
        <v>1</v>
      </c>
      <c r="DK53" s="1030">
        <v>1</v>
      </c>
      <c r="DL53" s="1029">
        <v>300000</v>
      </c>
      <c r="DM53" s="1175" t="str">
        <f>Dashboard!$B39</f>
        <v>BRAIN &amp; EYE HEALTH</v>
      </c>
      <c r="DN53" s="1030">
        <v>1</v>
      </c>
      <c r="DO53" s="1030">
        <v>1</v>
      </c>
      <c r="DP53" s="1029">
        <v>300000</v>
      </c>
      <c r="DQ53" s="1175" t="str">
        <f>Dashboard!$B39</f>
        <v>BRAIN &amp; EYE HEALTH</v>
      </c>
      <c r="DR53" s="1030">
        <v>1</v>
      </c>
      <c r="DS53" s="1030">
        <v>1</v>
      </c>
      <c r="DT53" s="1029">
        <v>300000</v>
      </c>
      <c r="DU53" s="1175" t="str">
        <f>Dashboard!$B39</f>
        <v>BRAIN &amp; EYE HEALTH</v>
      </c>
      <c r="DV53" s="1030">
        <v>1</v>
      </c>
      <c r="DW53" s="1030">
        <v>1</v>
      </c>
      <c r="DX53" s="1029">
        <v>300000</v>
      </c>
      <c r="DY53" s="1175" t="str">
        <f>Dashboard!$B39</f>
        <v>BRAIN &amp; EYE HEALTH</v>
      </c>
      <c r="DZ53" s="1030">
        <v>1</v>
      </c>
      <c r="EA53" s="1030">
        <v>1</v>
      </c>
      <c r="EB53" s="1029">
        <v>300000</v>
      </c>
      <c r="EC53" s="1175" t="str">
        <f>Dashboard!$B39</f>
        <v>BRAIN &amp; EYE HEALTH</v>
      </c>
      <c r="ED53" s="1030">
        <v>1</v>
      </c>
      <c r="EE53" s="1030">
        <v>1</v>
      </c>
      <c r="EF53" s="1029">
        <v>300000</v>
      </c>
    </row>
    <row r="54" spans="1:137" ht="20" customHeight="1" x14ac:dyDescent="0.15">
      <c r="A54" s="869">
        <f>Dashboard!F40</f>
        <v>40300000</v>
      </c>
      <c r="B54" s="864" t="str">
        <f>Dashboard!$B40</f>
        <v>CARDIOVASCULAR HEALTH</v>
      </c>
      <c r="C54" s="867" t="s">
        <v>79</v>
      </c>
      <c r="D54" s="797">
        <f>SUMIF($M$49:$EF$49,$D$49,$M54:$EF54)</f>
        <v>31</v>
      </c>
      <c r="E54" s="797">
        <f t="shared" si="375"/>
        <v>31</v>
      </c>
      <c r="F54" s="869">
        <f t="shared" si="376"/>
        <v>9300000</v>
      </c>
      <c r="G54" s="1172">
        <f>_xlfn.IFS($F$50=0,0,F54&lt;=$F$50,F54/$F$50,F54&gt;$F$50,1)</f>
        <v>0.125</v>
      </c>
      <c r="H54" s="864" t="str">
        <f>Dashboard!$B40</f>
        <v>CARDIOVASCULAR HEALTH</v>
      </c>
      <c r="I54" s="867" t="s">
        <v>79</v>
      </c>
      <c r="J54" s="797">
        <f t="shared" ca="1" si="374"/>
        <v>0</v>
      </c>
      <c r="K54" s="797">
        <f t="shared" ca="1" si="374"/>
        <v>0</v>
      </c>
      <c r="L54" s="887">
        <f t="shared" ca="1" si="374"/>
        <v>0</v>
      </c>
      <c r="M54" s="1175" t="str">
        <f>Dashboard!$B40</f>
        <v>CARDIOVASCULAR HEALTH</v>
      </c>
      <c r="N54" s="1030">
        <v>1</v>
      </c>
      <c r="O54" s="1030">
        <v>1</v>
      </c>
      <c r="P54" s="1029">
        <v>300000</v>
      </c>
      <c r="Q54" s="1175" t="str">
        <f>Dashboard!$B40</f>
        <v>CARDIOVASCULAR HEALTH</v>
      </c>
      <c r="R54" s="1030">
        <v>1</v>
      </c>
      <c r="S54" s="1030">
        <v>1</v>
      </c>
      <c r="T54" s="1029">
        <v>300000</v>
      </c>
      <c r="U54" s="1175" t="str">
        <f>Dashboard!$B40</f>
        <v>CARDIOVASCULAR HEALTH</v>
      </c>
      <c r="V54" s="1030">
        <v>1</v>
      </c>
      <c r="W54" s="1030">
        <v>1</v>
      </c>
      <c r="X54" s="1029">
        <v>300000</v>
      </c>
      <c r="Y54" s="1175" t="str">
        <f>Dashboard!$B40</f>
        <v>CARDIOVASCULAR HEALTH</v>
      </c>
      <c r="Z54" s="1030">
        <v>1</v>
      </c>
      <c r="AA54" s="1030">
        <v>1</v>
      </c>
      <c r="AB54" s="1029">
        <v>300000</v>
      </c>
      <c r="AC54" s="1175" t="str">
        <f>Dashboard!$B40</f>
        <v>CARDIOVASCULAR HEALTH</v>
      </c>
      <c r="AD54" s="1030">
        <v>1</v>
      </c>
      <c r="AE54" s="1030">
        <v>1</v>
      </c>
      <c r="AF54" s="1029">
        <v>300000</v>
      </c>
      <c r="AG54" s="1175" t="str">
        <f>Dashboard!$B40</f>
        <v>CARDIOVASCULAR HEALTH</v>
      </c>
      <c r="AH54" s="1030">
        <v>1</v>
      </c>
      <c r="AI54" s="1030">
        <v>1</v>
      </c>
      <c r="AJ54" s="1029">
        <v>300000</v>
      </c>
      <c r="AK54" s="1175" t="str">
        <f>Dashboard!$B40</f>
        <v>CARDIOVASCULAR HEALTH</v>
      </c>
      <c r="AL54" s="1030">
        <v>1</v>
      </c>
      <c r="AM54" s="1030">
        <v>1</v>
      </c>
      <c r="AN54" s="1029">
        <v>300000</v>
      </c>
      <c r="AO54" s="1175" t="str">
        <f>Dashboard!$B40</f>
        <v>CARDIOVASCULAR HEALTH</v>
      </c>
      <c r="AP54" s="1030">
        <v>1</v>
      </c>
      <c r="AQ54" s="1030">
        <v>1</v>
      </c>
      <c r="AR54" s="1029">
        <v>300000</v>
      </c>
      <c r="AS54" s="1175" t="str">
        <f>Dashboard!$B40</f>
        <v>CARDIOVASCULAR HEALTH</v>
      </c>
      <c r="AT54" s="1030">
        <v>1</v>
      </c>
      <c r="AU54" s="1030">
        <v>1</v>
      </c>
      <c r="AV54" s="1029">
        <v>300000</v>
      </c>
      <c r="AW54" s="1175" t="str">
        <f>Dashboard!$B40</f>
        <v>CARDIOVASCULAR HEALTH</v>
      </c>
      <c r="AX54" s="1030">
        <v>1</v>
      </c>
      <c r="AY54" s="1030">
        <v>1</v>
      </c>
      <c r="AZ54" s="1029">
        <v>300000</v>
      </c>
      <c r="BA54" s="1175" t="str">
        <f>Dashboard!$B40</f>
        <v>CARDIOVASCULAR HEALTH</v>
      </c>
      <c r="BB54" s="1030">
        <v>1</v>
      </c>
      <c r="BC54" s="1030">
        <v>1</v>
      </c>
      <c r="BD54" s="1029">
        <v>300000</v>
      </c>
      <c r="BE54" s="1175" t="str">
        <f>Dashboard!$B40</f>
        <v>CARDIOVASCULAR HEALTH</v>
      </c>
      <c r="BF54" s="1030">
        <v>1</v>
      </c>
      <c r="BG54" s="1030">
        <v>1</v>
      </c>
      <c r="BH54" s="1029">
        <v>300000</v>
      </c>
      <c r="BI54" s="1175" t="str">
        <f>Dashboard!$B40</f>
        <v>CARDIOVASCULAR HEALTH</v>
      </c>
      <c r="BJ54" s="1030">
        <v>1</v>
      </c>
      <c r="BK54" s="1030">
        <v>1</v>
      </c>
      <c r="BL54" s="1029">
        <v>300000</v>
      </c>
      <c r="BM54" s="1175" t="str">
        <f>Dashboard!$B40</f>
        <v>CARDIOVASCULAR HEALTH</v>
      </c>
      <c r="BN54" s="1030">
        <v>1</v>
      </c>
      <c r="BO54" s="1030">
        <v>1</v>
      </c>
      <c r="BP54" s="1029">
        <v>300000</v>
      </c>
      <c r="BQ54" s="1175" t="str">
        <f>Dashboard!$B40</f>
        <v>CARDIOVASCULAR HEALTH</v>
      </c>
      <c r="BR54" s="1030">
        <v>1</v>
      </c>
      <c r="BS54" s="1030">
        <v>1</v>
      </c>
      <c r="BT54" s="1029">
        <v>300000</v>
      </c>
      <c r="BU54" s="1175" t="str">
        <f>Dashboard!$B40</f>
        <v>CARDIOVASCULAR HEALTH</v>
      </c>
      <c r="BV54" s="1030">
        <v>1</v>
      </c>
      <c r="BW54" s="1030">
        <v>1</v>
      </c>
      <c r="BX54" s="1029">
        <v>300000</v>
      </c>
      <c r="BY54" s="1175" t="str">
        <f>Dashboard!$B40</f>
        <v>CARDIOVASCULAR HEALTH</v>
      </c>
      <c r="BZ54" s="1030">
        <v>1</v>
      </c>
      <c r="CA54" s="1030">
        <v>1</v>
      </c>
      <c r="CB54" s="1029">
        <v>300000</v>
      </c>
      <c r="CC54" s="1175" t="str">
        <f>Dashboard!$B40</f>
        <v>CARDIOVASCULAR HEALTH</v>
      </c>
      <c r="CD54" s="1030">
        <v>1</v>
      </c>
      <c r="CE54" s="1030">
        <v>1</v>
      </c>
      <c r="CF54" s="1029">
        <v>300000</v>
      </c>
      <c r="CG54" s="1175" t="str">
        <f>Dashboard!$B40</f>
        <v>CARDIOVASCULAR HEALTH</v>
      </c>
      <c r="CH54" s="1030">
        <v>1</v>
      </c>
      <c r="CI54" s="1030">
        <v>1</v>
      </c>
      <c r="CJ54" s="1029">
        <v>300000</v>
      </c>
      <c r="CK54" s="1175" t="str">
        <f>Dashboard!$B40</f>
        <v>CARDIOVASCULAR HEALTH</v>
      </c>
      <c r="CL54" s="1030">
        <v>1</v>
      </c>
      <c r="CM54" s="1030">
        <v>1</v>
      </c>
      <c r="CN54" s="1029">
        <v>300000</v>
      </c>
      <c r="CO54" s="1175" t="str">
        <f>Dashboard!$B40</f>
        <v>CARDIOVASCULAR HEALTH</v>
      </c>
      <c r="CP54" s="1030">
        <v>1</v>
      </c>
      <c r="CQ54" s="1030">
        <v>1</v>
      </c>
      <c r="CR54" s="1029">
        <v>300000</v>
      </c>
      <c r="CS54" s="1175" t="str">
        <f>Dashboard!$B40</f>
        <v>CARDIOVASCULAR HEALTH</v>
      </c>
      <c r="CT54" s="1030">
        <v>1</v>
      </c>
      <c r="CU54" s="1030">
        <v>1</v>
      </c>
      <c r="CV54" s="1029">
        <v>300000</v>
      </c>
      <c r="CW54" s="1175" t="str">
        <f>Dashboard!$B40</f>
        <v>CARDIOVASCULAR HEALTH</v>
      </c>
      <c r="CX54" s="1030">
        <v>1</v>
      </c>
      <c r="CY54" s="1030">
        <v>1</v>
      </c>
      <c r="CZ54" s="1029">
        <v>300000</v>
      </c>
      <c r="DA54" s="1175" t="str">
        <f>Dashboard!$B40</f>
        <v>CARDIOVASCULAR HEALTH</v>
      </c>
      <c r="DB54" s="1030">
        <v>1</v>
      </c>
      <c r="DC54" s="1030">
        <v>1</v>
      </c>
      <c r="DD54" s="1029">
        <v>300000</v>
      </c>
      <c r="DE54" s="1175" t="str">
        <f>Dashboard!$B40</f>
        <v>CARDIOVASCULAR HEALTH</v>
      </c>
      <c r="DF54" s="1030">
        <v>1</v>
      </c>
      <c r="DG54" s="1030">
        <v>1</v>
      </c>
      <c r="DH54" s="1029">
        <v>300000</v>
      </c>
      <c r="DI54" s="1175" t="str">
        <f>Dashboard!$B40</f>
        <v>CARDIOVASCULAR HEALTH</v>
      </c>
      <c r="DJ54" s="1030">
        <v>1</v>
      </c>
      <c r="DK54" s="1030">
        <v>1</v>
      </c>
      <c r="DL54" s="1029">
        <v>300000</v>
      </c>
      <c r="DM54" s="1175" t="str">
        <f>Dashboard!$B40</f>
        <v>CARDIOVASCULAR HEALTH</v>
      </c>
      <c r="DN54" s="1030">
        <v>1</v>
      </c>
      <c r="DO54" s="1030">
        <v>1</v>
      </c>
      <c r="DP54" s="1029">
        <v>300000</v>
      </c>
      <c r="DQ54" s="1175" t="str">
        <f>Dashboard!$B40</f>
        <v>CARDIOVASCULAR HEALTH</v>
      </c>
      <c r="DR54" s="1030">
        <v>1</v>
      </c>
      <c r="DS54" s="1030">
        <v>1</v>
      </c>
      <c r="DT54" s="1029">
        <v>300000</v>
      </c>
      <c r="DU54" s="1175" t="str">
        <f>Dashboard!$B40</f>
        <v>CARDIOVASCULAR HEALTH</v>
      </c>
      <c r="DV54" s="1030">
        <v>1</v>
      </c>
      <c r="DW54" s="1030">
        <v>1</v>
      </c>
      <c r="DX54" s="1029">
        <v>300000</v>
      </c>
      <c r="DY54" s="1175" t="str">
        <f>Dashboard!$B40</f>
        <v>CARDIOVASCULAR HEALTH</v>
      </c>
      <c r="DZ54" s="1030">
        <v>1</v>
      </c>
      <c r="EA54" s="1030">
        <v>1</v>
      </c>
      <c r="EB54" s="1029">
        <v>300000</v>
      </c>
      <c r="EC54" s="1175" t="str">
        <f>Dashboard!$B40</f>
        <v>CARDIOVASCULAR HEALTH</v>
      </c>
      <c r="ED54" s="1030">
        <v>1</v>
      </c>
      <c r="EE54" s="1030">
        <v>1</v>
      </c>
      <c r="EF54" s="1029">
        <v>300000</v>
      </c>
    </row>
    <row r="55" spans="1:137" ht="20" customHeight="1" x14ac:dyDescent="0.15">
      <c r="A55" s="869">
        <f>Dashboard!F41</f>
        <v>40300000</v>
      </c>
      <c r="B55" s="864" t="str">
        <f>Dashboard!$B41</f>
        <v>SKIN, HAIR, AND WEIGHT MANAGEMENT</v>
      </c>
      <c r="C55" s="867" t="s">
        <v>79</v>
      </c>
      <c r="D55" s="797">
        <f>SUMIF($M$49:$EF$49,$D$49,$M55:$EF55)</f>
        <v>31</v>
      </c>
      <c r="E55" s="797">
        <f>SUMIF($M$49:$EF$49,$E$49,$M55:$EF55)</f>
        <v>31</v>
      </c>
      <c r="F55" s="869">
        <f t="shared" si="376"/>
        <v>9300000</v>
      </c>
      <c r="G55" s="1172">
        <f t="shared" ref="G55:G56" si="377">_xlfn.IFS($F$50=0,0,F55&lt;=$F$50,F55/$F$50,F55&gt;$F$50,1)</f>
        <v>0.125</v>
      </c>
      <c r="H55" s="864" t="str">
        <f>Dashboard!$B41</f>
        <v>SKIN, HAIR, AND WEIGHT MANAGEMENT</v>
      </c>
      <c r="I55" s="867" t="s">
        <v>79</v>
      </c>
      <c r="J55" s="797">
        <f t="shared" ca="1" si="374"/>
        <v>0</v>
      </c>
      <c r="K55" s="797">
        <f t="shared" ca="1" si="374"/>
        <v>0</v>
      </c>
      <c r="L55" s="887">
        <f t="shared" ca="1" si="374"/>
        <v>0</v>
      </c>
      <c r="M55" s="1175" t="str">
        <f>Dashboard!$B41</f>
        <v>SKIN, HAIR, AND WEIGHT MANAGEMENT</v>
      </c>
      <c r="N55" s="1030">
        <v>1</v>
      </c>
      <c r="O55" s="1030">
        <v>1</v>
      </c>
      <c r="P55" s="1029">
        <v>300000</v>
      </c>
      <c r="Q55" s="1175" t="str">
        <f>Dashboard!$B41</f>
        <v>SKIN, HAIR, AND WEIGHT MANAGEMENT</v>
      </c>
      <c r="R55" s="1030">
        <v>1</v>
      </c>
      <c r="S55" s="1030">
        <v>1</v>
      </c>
      <c r="T55" s="1029">
        <v>300000</v>
      </c>
      <c r="U55" s="1175" t="str">
        <f>Dashboard!$B41</f>
        <v>SKIN, HAIR, AND WEIGHT MANAGEMENT</v>
      </c>
      <c r="V55" s="1030">
        <v>1</v>
      </c>
      <c r="W55" s="1030">
        <v>1</v>
      </c>
      <c r="X55" s="1029">
        <v>300000</v>
      </c>
      <c r="Y55" s="1175" t="str">
        <f>Dashboard!$B41</f>
        <v>SKIN, HAIR, AND WEIGHT MANAGEMENT</v>
      </c>
      <c r="Z55" s="1030">
        <v>1</v>
      </c>
      <c r="AA55" s="1030">
        <v>1</v>
      </c>
      <c r="AB55" s="1029">
        <v>300000</v>
      </c>
      <c r="AC55" s="1175" t="str">
        <f>Dashboard!$B41</f>
        <v>SKIN, HAIR, AND WEIGHT MANAGEMENT</v>
      </c>
      <c r="AD55" s="1030">
        <v>1</v>
      </c>
      <c r="AE55" s="1030">
        <v>1</v>
      </c>
      <c r="AF55" s="1029">
        <v>300000</v>
      </c>
      <c r="AG55" s="1175" t="str">
        <f>Dashboard!$B41</f>
        <v>SKIN, HAIR, AND WEIGHT MANAGEMENT</v>
      </c>
      <c r="AH55" s="1030">
        <v>1</v>
      </c>
      <c r="AI55" s="1030">
        <v>1</v>
      </c>
      <c r="AJ55" s="1029">
        <v>300000</v>
      </c>
      <c r="AK55" s="1175" t="str">
        <f>Dashboard!$B41</f>
        <v>SKIN, HAIR, AND WEIGHT MANAGEMENT</v>
      </c>
      <c r="AL55" s="1030">
        <v>1</v>
      </c>
      <c r="AM55" s="1030">
        <v>1</v>
      </c>
      <c r="AN55" s="1029">
        <v>300000</v>
      </c>
      <c r="AO55" s="1175" t="str">
        <f>Dashboard!$B41</f>
        <v>SKIN, HAIR, AND WEIGHT MANAGEMENT</v>
      </c>
      <c r="AP55" s="1030">
        <v>1</v>
      </c>
      <c r="AQ55" s="1030">
        <v>1</v>
      </c>
      <c r="AR55" s="1029">
        <v>300000</v>
      </c>
      <c r="AS55" s="1175" t="str">
        <f>Dashboard!$B41</f>
        <v>SKIN, HAIR, AND WEIGHT MANAGEMENT</v>
      </c>
      <c r="AT55" s="1030">
        <v>1</v>
      </c>
      <c r="AU55" s="1030">
        <v>1</v>
      </c>
      <c r="AV55" s="1029">
        <v>300000</v>
      </c>
      <c r="AW55" s="1175" t="str">
        <f>Dashboard!$B41</f>
        <v>SKIN, HAIR, AND WEIGHT MANAGEMENT</v>
      </c>
      <c r="AX55" s="1030">
        <v>1</v>
      </c>
      <c r="AY55" s="1030">
        <v>1</v>
      </c>
      <c r="AZ55" s="1029">
        <v>300000</v>
      </c>
      <c r="BA55" s="1175" t="str">
        <f>Dashboard!$B41</f>
        <v>SKIN, HAIR, AND WEIGHT MANAGEMENT</v>
      </c>
      <c r="BB55" s="1030">
        <v>1</v>
      </c>
      <c r="BC55" s="1030">
        <v>1</v>
      </c>
      <c r="BD55" s="1029">
        <v>300000</v>
      </c>
      <c r="BE55" s="1175" t="str">
        <f>Dashboard!$B41</f>
        <v>SKIN, HAIR, AND WEIGHT MANAGEMENT</v>
      </c>
      <c r="BF55" s="1030">
        <v>1</v>
      </c>
      <c r="BG55" s="1030">
        <v>1</v>
      </c>
      <c r="BH55" s="1029">
        <v>300000</v>
      </c>
      <c r="BI55" s="1175" t="str">
        <f>Dashboard!$B41</f>
        <v>SKIN, HAIR, AND WEIGHT MANAGEMENT</v>
      </c>
      <c r="BJ55" s="1030">
        <v>1</v>
      </c>
      <c r="BK55" s="1030">
        <v>1</v>
      </c>
      <c r="BL55" s="1029">
        <v>300000</v>
      </c>
      <c r="BM55" s="1175" t="str">
        <f>Dashboard!$B41</f>
        <v>SKIN, HAIR, AND WEIGHT MANAGEMENT</v>
      </c>
      <c r="BN55" s="1030">
        <v>1</v>
      </c>
      <c r="BO55" s="1030">
        <v>1</v>
      </c>
      <c r="BP55" s="1029">
        <v>300000</v>
      </c>
      <c r="BQ55" s="1175" t="str">
        <f>Dashboard!$B41</f>
        <v>SKIN, HAIR, AND WEIGHT MANAGEMENT</v>
      </c>
      <c r="BR55" s="1030">
        <v>1</v>
      </c>
      <c r="BS55" s="1030">
        <v>1</v>
      </c>
      <c r="BT55" s="1029">
        <v>300000</v>
      </c>
      <c r="BU55" s="1175" t="str">
        <f>Dashboard!$B41</f>
        <v>SKIN, HAIR, AND WEIGHT MANAGEMENT</v>
      </c>
      <c r="BV55" s="1030">
        <v>1</v>
      </c>
      <c r="BW55" s="1030">
        <v>1</v>
      </c>
      <c r="BX55" s="1029">
        <v>300000</v>
      </c>
      <c r="BY55" s="1175" t="str">
        <f>Dashboard!$B41</f>
        <v>SKIN, HAIR, AND WEIGHT MANAGEMENT</v>
      </c>
      <c r="BZ55" s="1030">
        <v>1</v>
      </c>
      <c r="CA55" s="1030">
        <v>1</v>
      </c>
      <c r="CB55" s="1029">
        <v>300000</v>
      </c>
      <c r="CC55" s="1175" t="str">
        <f>Dashboard!$B41</f>
        <v>SKIN, HAIR, AND WEIGHT MANAGEMENT</v>
      </c>
      <c r="CD55" s="1030">
        <v>1</v>
      </c>
      <c r="CE55" s="1030">
        <v>1</v>
      </c>
      <c r="CF55" s="1029">
        <v>300000</v>
      </c>
      <c r="CG55" s="1175" t="str">
        <f>Dashboard!$B41</f>
        <v>SKIN, HAIR, AND WEIGHT MANAGEMENT</v>
      </c>
      <c r="CH55" s="1030">
        <v>1</v>
      </c>
      <c r="CI55" s="1030">
        <v>1</v>
      </c>
      <c r="CJ55" s="1029">
        <v>300000</v>
      </c>
      <c r="CK55" s="1175" t="str">
        <f>Dashboard!$B41</f>
        <v>SKIN, HAIR, AND WEIGHT MANAGEMENT</v>
      </c>
      <c r="CL55" s="1030">
        <v>1</v>
      </c>
      <c r="CM55" s="1030">
        <v>1</v>
      </c>
      <c r="CN55" s="1029">
        <v>300000</v>
      </c>
      <c r="CO55" s="1175" t="str">
        <f>Dashboard!$B41</f>
        <v>SKIN, HAIR, AND WEIGHT MANAGEMENT</v>
      </c>
      <c r="CP55" s="1030">
        <v>1</v>
      </c>
      <c r="CQ55" s="1030">
        <v>1</v>
      </c>
      <c r="CR55" s="1029">
        <v>300000</v>
      </c>
      <c r="CS55" s="1175" t="str">
        <f>Dashboard!$B41</f>
        <v>SKIN, HAIR, AND WEIGHT MANAGEMENT</v>
      </c>
      <c r="CT55" s="1030">
        <v>1</v>
      </c>
      <c r="CU55" s="1030">
        <v>1</v>
      </c>
      <c r="CV55" s="1029">
        <v>300000</v>
      </c>
      <c r="CW55" s="1175" t="str">
        <f>Dashboard!$B41</f>
        <v>SKIN, HAIR, AND WEIGHT MANAGEMENT</v>
      </c>
      <c r="CX55" s="1030">
        <v>1</v>
      </c>
      <c r="CY55" s="1030">
        <v>1</v>
      </c>
      <c r="CZ55" s="1029">
        <v>300000</v>
      </c>
      <c r="DA55" s="1175" t="str">
        <f>Dashboard!$B41</f>
        <v>SKIN, HAIR, AND WEIGHT MANAGEMENT</v>
      </c>
      <c r="DB55" s="1030">
        <v>1</v>
      </c>
      <c r="DC55" s="1030">
        <v>1</v>
      </c>
      <c r="DD55" s="1029">
        <v>300000</v>
      </c>
      <c r="DE55" s="1175" t="str">
        <f>Dashboard!$B41</f>
        <v>SKIN, HAIR, AND WEIGHT MANAGEMENT</v>
      </c>
      <c r="DF55" s="1030">
        <v>1</v>
      </c>
      <c r="DG55" s="1030">
        <v>1</v>
      </c>
      <c r="DH55" s="1029">
        <v>300000</v>
      </c>
      <c r="DI55" s="1175" t="str">
        <f>Dashboard!$B41</f>
        <v>SKIN, HAIR, AND WEIGHT MANAGEMENT</v>
      </c>
      <c r="DJ55" s="1030">
        <v>1</v>
      </c>
      <c r="DK55" s="1030">
        <v>1</v>
      </c>
      <c r="DL55" s="1029">
        <v>300000</v>
      </c>
      <c r="DM55" s="1175" t="str">
        <f>Dashboard!$B41</f>
        <v>SKIN, HAIR, AND WEIGHT MANAGEMENT</v>
      </c>
      <c r="DN55" s="1030">
        <v>1</v>
      </c>
      <c r="DO55" s="1030">
        <v>1</v>
      </c>
      <c r="DP55" s="1029">
        <v>300000</v>
      </c>
      <c r="DQ55" s="1175" t="str">
        <f>Dashboard!$B41</f>
        <v>SKIN, HAIR, AND WEIGHT MANAGEMENT</v>
      </c>
      <c r="DR55" s="1030">
        <v>1</v>
      </c>
      <c r="DS55" s="1030">
        <v>1</v>
      </c>
      <c r="DT55" s="1029">
        <v>300000</v>
      </c>
      <c r="DU55" s="1175" t="str">
        <f>Dashboard!$B41</f>
        <v>SKIN, HAIR, AND WEIGHT MANAGEMENT</v>
      </c>
      <c r="DV55" s="1030">
        <v>1</v>
      </c>
      <c r="DW55" s="1030">
        <v>1</v>
      </c>
      <c r="DX55" s="1029">
        <v>300000</v>
      </c>
      <c r="DY55" s="1175" t="str">
        <f>Dashboard!$B41</f>
        <v>SKIN, HAIR, AND WEIGHT MANAGEMENT</v>
      </c>
      <c r="DZ55" s="1030">
        <v>1</v>
      </c>
      <c r="EA55" s="1030">
        <v>1</v>
      </c>
      <c r="EB55" s="1029">
        <v>300000</v>
      </c>
      <c r="EC55" s="1175" t="str">
        <f>Dashboard!$B41</f>
        <v>SKIN, HAIR, AND WEIGHT MANAGEMENT</v>
      </c>
      <c r="ED55" s="1030">
        <v>1</v>
      </c>
      <c r="EE55" s="1030">
        <v>1</v>
      </c>
      <c r="EF55" s="1029">
        <v>300000</v>
      </c>
    </row>
    <row r="56" spans="1:137" ht="20" customHeight="1" x14ac:dyDescent="0.15">
      <c r="A56" s="869">
        <f>Dashboard!F42</f>
        <v>40300000</v>
      </c>
      <c r="B56" s="864" t="str">
        <f>Dashboard!$B42</f>
        <v>HORMONAL HEALTH</v>
      </c>
      <c r="C56" s="867" t="s">
        <v>79</v>
      </c>
      <c r="D56" s="797">
        <f t="shared" ref="D56:D58" si="378">SUMIF($M$49:$EF$49,$D$49,$M56:$EF56)</f>
        <v>31</v>
      </c>
      <c r="E56" s="797">
        <f t="shared" si="375"/>
        <v>31</v>
      </c>
      <c r="F56" s="869">
        <f t="shared" si="376"/>
        <v>9300000</v>
      </c>
      <c r="G56" s="1172">
        <f t="shared" si="377"/>
        <v>0.125</v>
      </c>
      <c r="H56" s="864" t="str">
        <f>Dashboard!$B42</f>
        <v>HORMONAL HEALTH</v>
      </c>
      <c r="I56" s="867" t="s">
        <v>79</v>
      </c>
      <c r="J56" s="797">
        <f t="shared" ca="1" si="374"/>
        <v>0</v>
      </c>
      <c r="K56" s="797">
        <f t="shared" ca="1" si="374"/>
        <v>0</v>
      </c>
      <c r="L56" s="887">
        <f t="shared" ca="1" si="374"/>
        <v>0</v>
      </c>
      <c r="M56" s="1175" t="str">
        <f>Dashboard!$B42</f>
        <v>HORMONAL HEALTH</v>
      </c>
      <c r="N56" s="1030">
        <v>1</v>
      </c>
      <c r="O56" s="1030">
        <v>1</v>
      </c>
      <c r="P56" s="1029">
        <v>300000</v>
      </c>
      <c r="Q56" s="1175" t="str">
        <f>Dashboard!$B42</f>
        <v>HORMONAL HEALTH</v>
      </c>
      <c r="R56" s="1030">
        <v>1</v>
      </c>
      <c r="S56" s="1030">
        <v>1</v>
      </c>
      <c r="T56" s="1029">
        <v>300000</v>
      </c>
      <c r="U56" s="1175" t="str">
        <f>Dashboard!$B42</f>
        <v>HORMONAL HEALTH</v>
      </c>
      <c r="V56" s="1030">
        <v>1</v>
      </c>
      <c r="W56" s="1030">
        <v>1</v>
      </c>
      <c r="X56" s="1029">
        <v>300000</v>
      </c>
      <c r="Y56" s="1175" t="str">
        <f>Dashboard!$B42</f>
        <v>HORMONAL HEALTH</v>
      </c>
      <c r="Z56" s="1030">
        <v>1</v>
      </c>
      <c r="AA56" s="1030">
        <v>1</v>
      </c>
      <c r="AB56" s="1029">
        <v>300000</v>
      </c>
      <c r="AC56" s="1175" t="str">
        <f>Dashboard!$B42</f>
        <v>HORMONAL HEALTH</v>
      </c>
      <c r="AD56" s="1030">
        <v>1</v>
      </c>
      <c r="AE56" s="1030">
        <v>1</v>
      </c>
      <c r="AF56" s="1029">
        <v>300000</v>
      </c>
      <c r="AG56" s="1175" t="str">
        <f>Dashboard!$B42</f>
        <v>HORMONAL HEALTH</v>
      </c>
      <c r="AH56" s="1030">
        <v>1</v>
      </c>
      <c r="AI56" s="1030">
        <v>1</v>
      </c>
      <c r="AJ56" s="1029">
        <v>300000</v>
      </c>
      <c r="AK56" s="1175" t="str">
        <f>Dashboard!$B42</f>
        <v>HORMONAL HEALTH</v>
      </c>
      <c r="AL56" s="1030">
        <v>1</v>
      </c>
      <c r="AM56" s="1030">
        <v>1</v>
      </c>
      <c r="AN56" s="1029">
        <v>300000</v>
      </c>
      <c r="AO56" s="1175" t="str">
        <f>Dashboard!$B42</f>
        <v>HORMONAL HEALTH</v>
      </c>
      <c r="AP56" s="1030">
        <v>1</v>
      </c>
      <c r="AQ56" s="1030">
        <v>1</v>
      </c>
      <c r="AR56" s="1029">
        <v>300000</v>
      </c>
      <c r="AS56" s="1175" t="str">
        <f>Dashboard!$B42</f>
        <v>HORMONAL HEALTH</v>
      </c>
      <c r="AT56" s="1030">
        <v>1</v>
      </c>
      <c r="AU56" s="1030">
        <v>1</v>
      </c>
      <c r="AV56" s="1029">
        <v>300000</v>
      </c>
      <c r="AW56" s="1175" t="str">
        <f>Dashboard!$B42</f>
        <v>HORMONAL HEALTH</v>
      </c>
      <c r="AX56" s="1030">
        <v>1</v>
      </c>
      <c r="AY56" s="1030">
        <v>1</v>
      </c>
      <c r="AZ56" s="1029">
        <v>300000</v>
      </c>
      <c r="BA56" s="1175" t="str">
        <f>Dashboard!$B42</f>
        <v>HORMONAL HEALTH</v>
      </c>
      <c r="BB56" s="1030">
        <v>1</v>
      </c>
      <c r="BC56" s="1030">
        <v>1</v>
      </c>
      <c r="BD56" s="1029">
        <v>300000</v>
      </c>
      <c r="BE56" s="1175" t="str">
        <f>Dashboard!$B42</f>
        <v>HORMONAL HEALTH</v>
      </c>
      <c r="BF56" s="1030">
        <v>1</v>
      </c>
      <c r="BG56" s="1030">
        <v>1</v>
      </c>
      <c r="BH56" s="1029">
        <v>300000</v>
      </c>
      <c r="BI56" s="1175" t="str">
        <f>Dashboard!$B42</f>
        <v>HORMONAL HEALTH</v>
      </c>
      <c r="BJ56" s="1030">
        <v>1</v>
      </c>
      <c r="BK56" s="1030">
        <v>1</v>
      </c>
      <c r="BL56" s="1029">
        <v>300000</v>
      </c>
      <c r="BM56" s="1175" t="str">
        <f>Dashboard!$B42</f>
        <v>HORMONAL HEALTH</v>
      </c>
      <c r="BN56" s="1030">
        <v>1</v>
      </c>
      <c r="BO56" s="1030">
        <v>1</v>
      </c>
      <c r="BP56" s="1029">
        <v>300000</v>
      </c>
      <c r="BQ56" s="1175" t="str">
        <f>Dashboard!$B42</f>
        <v>HORMONAL HEALTH</v>
      </c>
      <c r="BR56" s="1030">
        <v>1</v>
      </c>
      <c r="BS56" s="1030">
        <v>1</v>
      </c>
      <c r="BT56" s="1029">
        <v>300000</v>
      </c>
      <c r="BU56" s="1175" t="str">
        <f>Dashboard!$B42</f>
        <v>HORMONAL HEALTH</v>
      </c>
      <c r="BV56" s="1030">
        <v>1</v>
      </c>
      <c r="BW56" s="1030">
        <v>1</v>
      </c>
      <c r="BX56" s="1029">
        <v>300000</v>
      </c>
      <c r="BY56" s="1175" t="str">
        <f>Dashboard!$B42</f>
        <v>HORMONAL HEALTH</v>
      </c>
      <c r="BZ56" s="1030">
        <v>1</v>
      </c>
      <c r="CA56" s="1030">
        <v>1</v>
      </c>
      <c r="CB56" s="1029">
        <v>300000</v>
      </c>
      <c r="CC56" s="1175" t="str">
        <f>Dashboard!$B42</f>
        <v>HORMONAL HEALTH</v>
      </c>
      <c r="CD56" s="1030">
        <v>1</v>
      </c>
      <c r="CE56" s="1030">
        <v>1</v>
      </c>
      <c r="CF56" s="1029">
        <v>300000</v>
      </c>
      <c r="CG56" s="1175" t="str">
        <f>Dashboard!$B42</f>
        <v>HORMONAL HEALTH</v>
      </c>
      <c r="CH56" s="1030">
        <v>1</v>
      </c>
      <c r="CI56" s="1030">
        <v>1</v>
      </c>
      <c r="CJ56" s="1029">
        <v>300000</v>
      </c>
      <c r="CK56" s="1175" t="str">
        <f>Dashboard!$B42</f>
        <v>HORMONAL HEALTH</v>
      </c>
      <c r="CL56" s="1030">
        <v>1</v>
      </c>
      <c r="CM56" s="1030">
        <v>1</v>
      </c>
      <c r="CN56" s="1029">
        <v>300000</v>
      </c>
      <c r="CO56" s="1175" t="str">
        <f>Dashboard!$B42</f>
        <v>HORMONAL HEALTH</v>
      </c>
      <c r="CP56" s="1030">
        <v>1</v>
      </c>
      <c r="CQ56" s="1030">
        <v>1</v>
      </c>
      <c r="CR56" s="1029">
        <v>300000</v>
      </c>
      <c r="CS56" s="1175" t="str">
        <f>Dashboard!$B42</f>
        <v>HORMONAL HEALTH</v>
      </c>
      <c r="CT56" s="1030">
        <v>1</v>
      </c>
      <c r="CU56" s="1030">
        <v>1</v>
      </c>
      <c r="CV56" s="1029">
        <v>300000</v>
      </c>
      <c r="CW56" s="1175" t="str">
        <f>Dashboard!$B42</f>
        <v>HORMONAL HEALTH</v>
      </c>
      <c r="CX56" s="1030">
        <v>1</v>
      </c>
      <c r="CY56" s="1030">
        <v>1</v>
      </c>
      <c r="CZ56" s="1029">
        <v>300000</v>
      </c>
      <c r="DA56" s="1175" t="str">
        <f>Dashboard!$B42</f>
        <v>HORMONAL HEALTH</v>
      </c>
      <c r="DB56" s="1030">
        <v>1</v>
      </c>
      <c r="DC56" s="1030">
        <v>1</v>
      </c>
      <c r="DD56" s="1029">
        <v>300000</v>
      </c>
      <c r="DE56" s="1175" t="str">
        <f>Dashboard!$B42</f>
        <v>HORMONAL HEALTH</v>
      </c>
      <c r="DF56" s="1030">
        <v>1</v>
      </c>
      <c r="DG56" s="1030">
        <v>1</v>
      </c>
      <c r="DH56" s="1029">
        <v>300000</v>
      </c>
      <c r="DI56" s="1175" t="str">
        <f>Dashboard!$B42</f>
        <v>HORMONAL HEALTH</v>
      </c>
      <c r="DJ56" s="1030">
        <v>1</v>
      </c>
      <c r="DK56" s="1030">
        <v>1</v>
      </c>
      <c r="DL56" s="1029">
        <v>300000</v>
      </c>
      <c r="DM56" s="1175" t="str">
        <f>Dashboard!$B42</f>
        <v>HORMONAL HEALTH</v>
      </c>
      <c r="DN56" s="1030">
        <v>1</v>
      </c>
      <c r="DO56" s="1030">
        <v>1</v>
      </c>
      <c r="DP56" s="1029">
        <v>300000</v>
      </c>
      <c r="DQ56" s="1175" t="str">
        <f>Dashboard!$B42</f>
        <v>HORMONAL HEALTH</v>
      </c>
      <c r="DR56" s="1030">
        <v>1</v>
      </c>
      <c r="DS56" s="1030">
        <v>1</v>
      </c>
      <c r="DT56" s="1029">
        <v>300000</v>
      </c>
      <c r="DU56" s="1175" t="str">
        <f>Dashboard!$B42</f>
        <v>HORMONAL HEALTH</v>
      </c>
      <c r="DV56" s="1030">
        <v>1</v>
      </c>
      <c r="DW56" s="1030">
        <v>1</v>
      </c>
      <c r="DX56" s="1029">
        <v>300000</v>
      </c>
      <c r="DY56" s="1175" t="str">
        <f>Dashboard!$B42</f>
        <v>HORMONAL HEALTH</v>
      </c>
      <c r="DZ56" s="1030">
        <v>1</v>
      </c>
      <c r="EA56" s="1030">
        <v>1</v>
      </c>
      <c r="EB56" s="1029">
        <v>300000</v>
      </c>
      <c r="EC56" s="1175" t="str">
        <f>Dashboard!$B42</f>
        <v>HORMONAL HEALTH</v>
      </c>
      <c r="ED56" s="1030">
        <v>1</v>
      </c>
      <c r="EE56" s="1030">
        <v>1</v>
      </c>
      <c r="EF56" s="1029">
        <v>300000</v>
      </c>
    </row>
    <row r="57" spans="1:137" ht="20" customHeight="1" x14ac:dyDescent="0.15">
      <c r="A57" s="869">
        <f>Dashboard!F43</f>
        <v>40300000</v>
      </c>
      <c r="B57" s="864" t="str">
        <f>Dashboard!$B43</f>
        <v>IMMUNE SUPPORT</v>
      </c>
      <c r="C57" s="867" t="s">
        <v>79</v>
      </c>
      <c r="D57" s="797">
        <f t="shared" si="378"/>
        <v>31</v>
      </c>
      <c r="E57" s="797">
        <f t="shared" si="375"/>
        <v>31</v>
      </c>
      <c r="F57" s="869">
        <f>SUMIF($M$49:$EF$49,$F$49,$M57:$EF57)</f>
        <v>9300000</v>
      </c>
      <c r="G57" s="1172">
        <f>_xlfn.IFS($F$50=0,0,F57&lt;=$F$50,F57/$F$50,F57&gt;$F$50,1)</f>
        <v>0.125</v>
      </c>
      <c r="H57" s="864" t="str">
        <f>Dashboard!$B43</f>
        <v>IMMUNE SUPPORT</v>
      </c>
      <c r="I57" s="867" t="s">
        <v>79</v>
      </c>
      <c r="J57" s="797">
        <f t="shared" ca="1" si="374"/>
        <v>0</v>
      </c>
      <c r="K57" s="797">
        <f t="shared" ca="1" si="374"/>
        <v>0</v>
      </c>
      <c r="L57" s="887">
        <f t="shared" ca="1" si="374"/>
        <v>0</v>
      </c>
      <c r="M57" s="1175" t="str">
        <f>Dashboard!$B43</f>
        <v>IMMUNE SUPPORT</v>
      </c>
      <c r="N57" s="1030">
        <v>1</v>
      </c>
      <c r="O57" s="1030">
        <v>1</v>
      </c>
      <c r="P57" s="1029">
        <v>300000</v>
      </c>
      <c r="Q57" s="1175" t="str">
        <f>Dashboard!$B43</f>
        <v>IMMUNE SUPPORT</v>
      </c>
      <c r="R57" s="1030">
        <v>1</v>
      </c>
      <c r="S57" s="1030">
        <v>1</v>
      </c>
      <c r="T57" s="1029">
        <v>300000</v>
      </c>
      <c r="U57" s="1175" t="str">
        <f>Dashboard!$B43</f>
        <v>IMMUNE SUPPORT</v>
      </c>
      <c r="V57" s="1030">
        <v>1</v>
      </c>
      <c r="W57" s="1030">
        <v>1</v>
      </c>
      <c r="X57" s="1029">
        <v>300000</v>
      </c>
      <c r="Y57" s="1175" t="str">
        <f>Dashboard!$B43</f>
        <v>IMMUNE SUPPORT</v>
      </c>
      <c r="Z57" s="1030">
        <v>1</v>
      </c>
      <c r="AA57" s="1030">
        <v>1</v>
      </c>
      <c r="AB57" s="1029">
        <v>300000</v>
      </c>
      <c r="AC57" s="1175" t="str">
        <f>Dashboard!$B43</f>
        <v>IMMUNE SUPPORT</v>
      </c>
      <c r="AD57" s="1030">
        <v>1</v>
      </c>
      <c r="AE57" s="1030">
        <v>1</v>
      </c>
      <c r="AF57" s="1029">
        <v>300000</v>
      </c>
      <c r="AG57" s="1175" t="str">
        <f>Dashboard!$B43</f>
        <v>IMMUNE SUPPORT</v>
      </c>
      <c r="AH57" s="1030">
        <v>1</v>
      </c>
      <c r="AI57" s="1030">
        <v>1</v>
      </c>
      <c r="AJ57" s="1029">
        <v>300000</v>
      </c>
      <c r="AK57" s="1175" t="str">
        <f>Dashboard!$B43</f>
        <v>IMMUNE SUPPORT</v>
      </c>
      <c r="AL57" s="1030">
        <v>1</v>
      </c>
      <c r="AM57" s="1030">
        <v>1</v>
      </c>
      <c r="AN57" s="1029">
        <v>300000</v>
      </c>
      <c r="AO57" s="1175" t="str">
        <f>Dashboard!$B43</f>
        <v>IMMUNE SUPPORT</v>
      </c>
      <c r="AP57" s="1030">
        <v>1</v>
      </c>
      <c r="AQ57" s="1030">
        <v>1</v>
      </c>
      <c r="AR57" s="1029">
        <v>300000</v>
      </c>
      <c r="AS57" s="1175" t="str">
        <f>Dashboard!$B43</f>
        <v>IMMUNE SUPPORT</v>
      </c>
      <c r="AT57" s="1030">
        <v>1</v>
      </c>
      <c r="AU57" s="1030">
        <v>1</v>
      </c>
      <c r="AV57" s="1029">
        <v>300000</v>
      </c>
      <c r="AW57" s="1175" t="str">
        <f>Dashboard!$B43</f>
        <v>IMMUNE SUPPORT</v>
      </c>
      <c r="AX57" s="1030">
        <v>1</v>
      </c>
      <c r="AY57" s="1030">
        <v>1</v>
      </c>
      <c r="AZ57" s="1029">
        <v>300000</v>
      </c>
      <c r="BA57" s="1175" t="str">
        <f>Dashboard!$B43</f>
        <v>IMMUNE SUPPORT</v>
      </c>
      <c r="BB57" s="1030">
        <v>1</v>
      </c>
      <c r="BC57" s="1030">
        <v>1</v>
      </c>
      <c r="BD57" s="1029">
        <v>300000</v>
      </c>
      <c r="BE57" s="1175" t="str">
        <f>Dashboard!$B43</f>
        <v>IMMUNE SUPPORT</v>
      </c>
      <c r="BF57" s="1030">
        <v>1</v>
      </c>
      <c r="BG57" s="1030">
        <v>1</v>
      </c>
      <c r="BH57" s="1029">
        <v>300000</v>
      </c>
      <c r="BI57" s="1175" t="str">
        <f>Dashboard!$B43</f>
        <v>IMMUNE SUPPORT</v>
      </c>
      <c r="BJ57" s="1030">
        <v>1</v>
      </c>
      <c r="BK57" s="1030">
        <v>1</v>
      </c>
      <c r="BL57" s="1029">
        <v>300000</v>
      </c>
      <c r="BM57" s="1175" t="str">
        <f>Dashboard!$B43</f>
        <v>IMMUNE SUPPORT</v>
      </c>
      <c r="BN57" s="1030">
        <v>1</v>
      </c>
      <c r="BO57" s="1030">
        <v>1</v>
      </c>
      <c r="BP57" s="1029">
        <v>300000</v>
      </c>
      <c r="BQ57" s="1175" t="str">
        <f>Dashboard!$B43</f>
        <v>IMMUNE SUPPORT</v>
      </c>
      <c r="BR57" s="1030">
        <v>1</v>
      </c>
      <c r="BS57" s="1030">
        <v>1</v>
      </c>
      <c r="BT57" s="1029">
        <v>300000</v>
      </c>
      <c r="BU57" s="1175" t="str">
        <f>Dashboard!$B43</f>
        <v>IMMUNE SUPPORT</v>
      </c>
      <c r="BV57" s="1030">
        <v>1</v>
      </c>
      <c r="BW57" s="1030">
        <v>1</v>
      </c>
      <c r="BX57" s="1029">
        <v>300000</v>
      </c>
      <c r="BY57" s="1175" t="str">
        <f>Dashboard!$B43</f>
        <v>IMMUNE SUPPORT</v>
      </c>
      <c r="BZ57" s="1030">
        <v>1</v>
      </c>
      <c r="CA57" s="1030">
        <v>1</v>
      </c>
      <c r="CB57" s="1029">
        <v>300000</v>
      </c>
      <c r="CC57" s="1175" t="str">
        <f>Dashboard!$B43</f>
        <v>IMMUNE SUPPORT</v>
      </c>
      <c r="CD57" s="1030">
        <v>1</v>
      </c>
      <c r="CE57" s="1030">
        <v>1</v>
      </c>
      <c r="CF57" s="1029">
        <v>300000</v>
      </c>
      <c r="CG57" s="1175" t="str">
        <f>Dashboard!$B43</f>
        <v>IMMUNE SUPPORT</v>
      </c>
      <c r="CH57" s="1030">
        <v>1</v>
      </c>
      <c r="CI57" s="1030">
        <v>1</v>
      </c>
      <c r="CJ57" s="1029">
        <v>300000</v>
      </c>
      <c r="CK57" s="1175" t="str">
        <f>Dashboard!$B43</f>
        <v>IMMUNE SUPPORT</v>
      </c>
      <c r="CL57" s="1030">
        <v>1</v>
      </c>
      <c r="CM57" s="1030">
        <v>1</v>
      </c>
      <c r="CN57" s="1029">
        <v>300000</v>
      </c>
      <c r="CO57" s="1175" t="str">
        <f>Dashboard!$B43</f>
        <v>IMMUNE SUPPORT</v>
      </c>
      <c r="CP57" s="1030">
        <v>1</v>
      </c>
      <c r="CQ57" s="1030">
        <v>1</v>
      </c>
      <c r="CR57" s="1029">
        <v>300000</v>
      </c>
      <c r="CS57" s="1175" t="str">
        <f>Dashboard!$B43</f>
        <v>IMMUNE SUPPORT</v>
      </c>
      <c r="CT57" s="1030">
        <v>1</v>
      </c>
      <c r="CU57" s="1030">
        <v>1</v>
      </c>
      <c r="CV57" s="1029">
        <v>300000</v>
      </c>
      <c r="CW57" s="1175" t="str">
        <f>Dashboard!$B43</f>
        <v>IMMUNE SUPPORT</v>
      </c>
      <c r="CX57" s="1030">
        <v>1</v>
      </c>
      <c r="CY57" s="1030">
        <v>1</v>
      </c>
      <c r="CZ57" s="1029">
        <v>300000</v>
      </c>
      <c r="DA57" s="1175" t="str">
        <f>Dashboard!$B43</f>
        <v>IMMUNE SUPPORT</v>
      </c>
      <c r="DB57" s="1030">
        <v>1</v>
      </c>
      <c r="DC57" s="1030">
        <v>1</v>
      </c>
      <c r="DD57" s="1029">
        <v>300000</v>
      </c>
      <c r="DE57" s="1175" t="str">
        <f>Dashboard!$B43</f>
        <v>IMMUNE SUPPORT</v>
      </c>
      <c r="DF57" s="1030">
        <v>1</v>
      </c>
      <c r="DG57" s="1030">
        <v>1</v>
      </c>
      <c r="DH57" s="1029">
        <v>300000</v>
      </c>
      <c r="DI57" s="1175" t="str">
        <f>Dashboard!$B43</f>
        <v>IMMUNE SUPPORT</v>
      </c>
      <c r="DJ57" s="1030">
        <v>1</v>
      </c>
      <c r="DK57" s="1030">
        <v>1</v>
      </c>
      <c r="DL57" s="1029">
        <v>300000</v>
      </c>
      <c r="DM57" s="1175" t="str">
        <f>Dashboard!$B43</f>
        <v>IMMUNE SUPPORT</v>
      </c>
      <c r="DN57" s="1030">
        <v>1</v>
      </c>
      <c r="DO57" s="1030">
        <v>1</v>
      </c>
      <c r="DP57" s="1029">
        <v>300000</v>
      </c>
      <c r="DQ57" s="1175" t="str">
        <f>Dashboard!$B43</f>
        <v>IMMUNE SUPPORT</v>
      </c>
      <c r="DR57" s="1030">
        <v>1</v>
      </c>
      <c r="DS57" s="1030">
        <v>1</v>
      </c>
      <c r="DT57" s="1029">
        <v>300000</v>
      </c>
      <c r="DU57" s="1175" t="str">
        <f>Dashboard!$B43</f>
        <v>IMMUNE SUPPORT</v>
      </c>
      <c r="DV57" s="1030">
        <v>1</v>
      </c>
      <c r="DW57" s="1030">
        <v>1</v>
      </c>
      <c r="DX57" s="1029">
        <v>300000</v>
      </c>
      <c r="DY57" s="1175" t="str">
        <f>Dashboard!$B43</f>
        <v>IMMUNE SUPPORT</v>
      </c>
      <c r="DZ57" s="1030">
        <v>1</v>
      </c>
      <c r="EA57" s="1030">
        <v>1</v>
      </c>
      <c r="EB57" s="1029">
        <v>300000</v>
      </c>
      <c r="EC57" s="1175" t="str">
        <f>Dashboard!$B43</f>
        <v>IMMUNE SUPPORT</v>
      </c>
      <c r="ED57" s="1030">
        <v>1</v>
      </c>
      <c r="EE57" s="1030">
        <v>1</v>
      </c>
      <c r="EF57" s="1029">
        <v>300000</v>
      </c>
    </row>
    <row r="58" spans="1:137" ht="20" customHeight="1" thickBot="1" x14ac:dyDescent="0.2">
      <c r="A58" s="1020">
        <f>Dashboard!F44</f>
        <v>49600000</v>
      </c>
      <c r="B58" s="1021" t="str">
        <f>Dashboard!$B44</f>
        <v>MATERNITY &amp; CHILDREN’S HEALTH</v>
      </c>
      <c r="C58" s="1022" t="s">
        <v>79</v>
      </c>
      <c r="D58" s="1023">
        <f t="shared" si="378"/>
        <v>31</v>
      </c>
      <c r="E58" s="1023">
        <f t="shared" si="375"/>
        <v>31</v>
      </c>
      <c r="F58" s="1020">
        <f>SUMIF($M$49:$EF$49,$F$49,$M58:$EF58)</f>
        <v>9300000</v>
      </c>
      <c r="G58" s="1173">
        <f>_xlfn.IFS($F$50=0,0,F58&lt;=$F$50,F58/$F$50,F58&gt;$F$50,1)</f>
        <v>0.125</v>
      </c>
      <c r="H58" s="1021" t="str">
        <f>Dashboard!$B44</f>
        <v>MATERNITY &amp; CHILDREN’S HEALTH</v>
      </c>
      <c r="I58" s="1022" t="s">
        <v>79</v>
      </c>
      <c r="J58" s="1023">
        <f t="shared" ca="1" si="374"/>
        <v>0</v>
      </c>
      <c r="K58" s="1023">
        <f t="shared" ca="1" si="374"/>
        <v>0</v>
      </c>
      <c r="L58" s="1020">
        <f t="shared" ca="1" si="374"/>
        <v>0</v>
      </c>
      <c r="M58" s="1176" t="str">
        <f>Dashboard!$B44</f>
        <v>MATERNITY &amp; CHILDREN’S HEALTH</v>
      </c>
      <c r="N58" s="1174">
        <v>1</v>
      </c>
      <c r="O58" s="1174">
        <v>1</v>
      </c>
      <c r="P58" s="1114">
        <v>300000</v>
      </c>
      <c r="Q58" s="1176" t="str">
        <f>Dashboard!$B44</f>
        <v>MATERNITY &amp; CHILDREN’S HEALTH</v>
      </c>
      <c r="R58" s="1174">
        <v>1</v>
      </c>
      <c r="S58" s="1174">
        <v>1</v>
      </c>
      <c r="T58" s="1114">
        <v>300000</v>
      </c>
      <c r="U58" s="1176" t="str">
        <f>Dashboard!$B44</f>
        <v>MATERNITY &amp; CHILDREN’S HEALTH</v>
      </c>
      <c r="V58" s="1174">
        <v>1</v>
      </c>
      <c r="W58" s="1174">
        <v>1</v>
      </c>
      <c r="X58" s="1114">
        <v>300000</v>
      </c>
      <c r="Y58" s="1176" t="str">
        <f>Dashboard!$B44</f>
        <v>MATERNITY &amp; CHILDREN’S HEALTH</v>
      </c>
      <c r="Z58" s="1174">
        <v>1</v>
      </c>
      <c r="AA58" s="1174">
        <v>1</v>
      </c>
      <c r="AB58" s="1114">
        <v>300000</v>
      </c>
      <c r="AC58" s="1176" t="str">
        <f>Dashboard!$B44</f>
        <v>MATERNITY &amp; CHILDREN’S HEALTH</v>
      </c>
      <c r="AD58" s="1174">
        <v>1</v>
      </c>
      <c r="AE58" s="1174">
        <v>1</v>
      </c>
      <c r="AF58" s="1114">
        <v>300000</v>
      </c>
      <c r="AG58" s="1176" t="str">
        <f>Dashboard!$B44</f>
        <v>MATERNITY &amp; CHILDREN’S HEALTH</v>
      </c>
      <c r="AH58" s="1174">
        <v>1</v>
      </c>
      <c r="AI58" s="1174">
        <v>1</v>
      </c>
      <c r="AJ58" s="1114">
        <v>300000</v>
      </c>
      <c r="AK58" s="1176" t="str">
        <f>Dashboard!$B44</f>
        <v>MATERNITY &amp; CHILDREN’S HEALTH</v>
      </c>
      <c r="AL58" s="1174">
        <v>1</v>
      </c>
      <c r="AM58" s="1174">
        <v>1</v>
      </c>
      <c r="AN58" s="1114">
        <v>300000</v>
      </c>
      <c r="AO58" s="1176" t="str">
        <f>Dashboard!$B44</f>
        <v>MATERNITY &amp; CHILDREN’S HEALTH</v>
      </c>
      <c r="AP58" s="1174">
        <v>1</v>
      </c>
      <c r="AQ58" s="1174">
        <v>1</v>
      </c>
      <c r="AR58" s="1114">
        <v>300000</v>
      </c>
      <c r="AS58" s="1176" t="str">
        <f>Dashboard!$B44</f>
        <v>MATERNITY &amp; CHILDREN’S HEALTH</v>
      </c>
      <c r="AT58" s="1174">
        <v>1</v>
      </c>
      <c r="AU58" s="1174">
        <v>1</v>
      </c>
      <c r="AV58" s="1114">
        <v>300000</v>
      </c>
      <c r="AW58" s="1176" t="str">
        <f>Dashboard!$B44</f>
        <v>MATERNITY &amp; CHILDREN’S HEALTH</v>
      </c>
      <c r="AX58" s="1174">
        <v>1</v>
      </c>
      <c r="AY58" s="1174">
        <v>1</v>
      </c>
      <c r="AZ58" s="1114">
        <v>300000</v>
      </c>
      <c r="BA58" s="1176" t="str">
        <f>Dashboard!$B44</f>
        <v>MATERNITY &amp; CHILDREN’S HEALTH</v>
      </c>
      <c r="BB58" s="1174">
        <v>1</v>
      </c>
      <c r="BC58" s="1174">
        <v>1</v>
      </c>
      <c r="BD58" s="1114">
        <v>300000</v>
      </c>
      <c r="BE58" s="1176" t="str">
        <f>Dashboard!$B44</f>
        <v>MATERNITY &amp; CHILDREN’S HEALTH</v>
      </c>
      <c r="BF58" s="1174">
        <v>1</v>
      </c>
      <c r="BG58" s="1174">
        <v>1</v>
      </c>
      <c r="BH58" s="1114">
        <v>300000</v>
      </c>
      <c r="BI58" s="1176" t="str">
        <f>Dashboard!$B44</f>
        <v>MATERNITY &amp; CHILDREN’S HEALTH</v>
      </c>
      <c r="BJ58" s="1174">
        <v>1</v>
      </c>
      <c r="BK58" s="1174">
        <v>1</v>
      </c>
      <c r="BL58" s="1114">
        <v>300000</v>
      </c>
      <c r="BM58" s="1176" t="str">
        <f>Dashboard!$B44</f>
        <v>MATERNITY &amp; CHILDREN’S HEALTH</v>
      </c>
      <c r="BN58" s="1174">
        <v>1</v>
      </c>
      <c r="BO58" s="1174">
        <v>1</v>
      </c>
      <c r="BP58" s="1114">
        <v>300000</v>
      </c>
      <c r="BQ58" s="1176" t="str">
        <f>Dashboard!$B44</f>
        <v>MATERNITY &amp; CHILDREN’S HEALTH</v>
      </c>
      <c r="BR58" s="1174">
        <v>1</v>
      </c>
      <c r="BS58" s="1174">
        <v>1</v>
      </c>
      <c r="BT58" s="1114">
        <v>300000</v>
      </c>
      <c r="BU58" s="1176" t="str">
        <f>Dashboard!$B44</f>
        <v>MATERNITY &amp; CHILDREN’S HEALTH</v>
      </c>
      <c r="BV58" s="1174">
        <v>1</v>
      </c>
      <c r="BW58" s="1174">
        <v>1</v>
      </c>
      <c r="BX58" s="1114">
        <v>300000</v>
      </c>
      <c r="BY58" s="1176" t="str">
        <f>Dashboard!$B44</f>
        <v>MATERNITY &amp; CHILDREN’S HEALTH</v>
      </c>
      <c r="BZ58" s="1174">
        <v>1</v>
      </c>
      <c r="CA58" s="1174">
        <v>1</v>
      </c>
      <c r="CB58" s="1114">
        <v>300000</v>
      </c>
      <c r="CC58" s="1176" t="str">
        <f>Dashboard!$B44</f>
        <v>MATERNITY &amp; CHILDREN’S HEALTH</v>
      </c>
      <c r="CD58" s="1174">
        <v>1</v>
      </c>
      <c r="CE58" s="1174">
        <v>1</v>
      </c>
      <c r="CF58" s="1114">
        <v>300000</v>
      </c>
      <c r="CG58" s="1176" t="str">
        <f>Dashboard!$B44</f>
        <v>MATERNITY &amp; CHILDREN’S HEALTH</v>
      </c>
      <c r="CH58" s="1174">
        <v>1</v>
      </c>
      <c r="CI58" s="1174">
        <v>1</v>
      </c>
      <c r="CJ58" s="1114">
        <v>300000</v>
      </c>
      <c r="CK58" s="1176" t="str">
        <f>Dashboard!$B44</f>
        <v>MATERNITY &amp; CHILDREN’S HEALTH</v>
      </c>
      <c r="CL58" s="1174">
        <v>1</v>
      </c>
      <c r="CM58" s="1174">
        <v>1</v>
      </c>
      <c r="CN58" s="1114">
        <v>300000</v>
      </c>
      <c r="CO58" s="1176" t="str">
        <f>Dashboard!$B44</f>
        <v>MATERNITY &amp; CHILDREN’S HEALTH</v>
      </c>
      <c r="CP58" s="1174">
        <v>1</v>
      </c>
      <c r="CQ58" s="1174">
        <v>1</v>
      </c>
      <c r="CR58" s="1114">
        <v>300000</v>
      </c>
      <c r="CS58" s="1176" t="str">
        <f>Dashboard!$B44</f>
        <v>MATERNITY &amp; CHILDREN’S HEALTH</v>
      </c>
      <c r="CT58" s="1174">
        <v>1</v>
      </c>
      <c r="CU58" s="1174">
        <v>1</v>
      </c>
      <c r="CV58" s="1114">
        <v>300000</v>
      </c>
      <c r="CW58" s="1176" t="str">
        <f>Dashboard!$B44</f>
        <v>MATERNITY &amp; CHILDREN’S HEALTH</v>
      </c>
      <c r="CX58" s="1174">
        <v>1</v>
      </c>
      <c r="CY58" s="1174">
        <v>1</v>
      </c>
      <c r="CZ58" s="1114">
        <v>300000</v>
      </c>
      <c r="DA58" s="1176" t="str">
        <f>Dashboard!$B44</f>
        <v>MATERNITY &amp; CHILDREN’S HEALTH</v>
      </c>
      <c r="DB58" s="1174">
        <v>1</v>
      </c>
      <c r="DC58" s="1174">
        <v>1</v>
      </c>
      <c r="DD58" s="1114">
        <v>300000</v>
      </c>
      <c r="DE58" s="1176" t="str">
        <f>Dashboard!$B44</f>
        <v>MATERNITY &amp; CHILDREN’S HEALTH</v>
      </c>
      <c r="DF58" s="1174">
        <v>1</v>
      </c>
      <c r="DG58" s="1174">
        <v>1</v>
      </c>
      <c r="DH58" s="1114">
        <v>300000</v>
      </c>
      <c r="DI58" s="1176" t="str">
        <f>Dashboard!$B44</f>
        <v>MATERNITY &amp; CHILDREN’S HEALTH</v>
      </c>
      <c r="DJ58" s="1174">
        <v>1</v>
      </c>
      <c r="DK58" s="1174">
        <v>1</v>
      </c>
      <c r="DL58" s="1114">
        <v>300000</v>
      </c>
      <c r="DM58" s="1176" t="str">
        <f>Dashboard!$B44</f>
        <v>MATERNITY &amp; CHILDREN’S HEALTH</v>
      </c>
      <c r="DN58" s="1174">
        <v>1</v>
      </c>
      <c r="DO58" s="1174">
        <v>1</v>
      </c>
      <c r="DP58" s="1114">
        <v>300000</v>
      </c>
      <c r="DQ58" s="1176" t="str">
        <f>Dashboard!$B44</f>
        <v>MATERNITY &amp; CHILDREN’S HEALTH</v>
      </c>
      <c r="DR58" s="1174">
        <v>1</v>
      </c>
      <c r="DS58" s="1174">
        <v>1</v>
      </c>
      <c r="DT58" s="1114">
        <v>300000</v>
      </c>
      <c r="DU58" s="1176" t="str">
        <f>Dashboard!$B44</f>
        <v>MATERNITY &amp; CHILDREN’S HEALTH</v>
      </c>
      <c r="DV58" s="1174">
        <v>1</v>
      </c>
      <c r="DW58" s="1174">
        <v>1</v>
      </c>
      <c r="DX58" s="1114">
        <v>300000</v>
      </c>
      <c r="DY58" s="1176" t="str">
        <f>Dashboard!$B44</f>
        <v>MATERNITY &amp; CHILDREN’S HEALTH</v>
      </c>
      <c r="DZ58" s="1174">
        <v>1</v>
      </c>
      <c r="EA58" s="1174">
        <v>1</v>
      </c>
      <c r="EB58" s="1114">
        <v>300000</v>
      </c>
      <c r="EC58" s="1176" t="str">
        <f>Dashboard!$B44</f>
        <v>MATERNITY &amp; CHILDREN’S HEALTH</v>
      </c>
      <c r="ED58" s="1174">
        <v>1</v>
      </c>
      <c r="EE58" s="1174">
        <v>1</v>
      </c>
      <c r="EF58" s="1114">
        <v>300000</v>
      </c>
      <c r="EG58" s="446"/>
    </row>
    <row r="59" spans="1:137" ht="13" x14ac:dyDescent="0.15">
      <c r="A59" s="917"/>
      <c r="B59" s="917"/>
      <c r="C59" s="918"/>
      <c r="D59" s="919"/>
      <c r="E59" s="920"/>
      <c r="F59" s="921"/>
      <c r="G59" s="922"/>
      <c r="H59" s="917"/>
      <c r="I59" s="922"/>
      <c r="J59" s="923"/>
      <c r="K59" s="923"/>
      <c r="L59" s="924"/>
      <c r="M59" s="925"/>
      <c r="N59" s="925"/>
      <c r="O59" s="925"/>
      <c r="P59" s="925"/>
      <c r="Q59" s="925"/>
      <c r="R59" s="925"/>
      <c r="S59" s="925"/>
      <c r="T59" s="925"/>
      <c r="U59" s="925"/>
      <c r="V59" s="925"/>
      <c r="W59" s="925"/>
      <c r="X59" s="925"/>
      <c r="Y59" s="925"/>
      <c r="Z59" s="925"/>
      <c r="AA59" s="925"/>
      <c r="AB59" s="925"/>
      <c r="AC59" s="925"/>
      <c r="AD59" s="925"/>
      <c r="AE59" s="925"/>
      <c r="AF59" s="925"/>
      <c r="AG59" s="925"/>
      <c r="AH59" s="925"/>
      <c r="AI59" s="925"/>
      <c r="AJ59" s="925"/>
      <c r="AK59" s="925"/>
      <c r="AL59" s="925"/>
      <c r="AM59" s="925"/>
      <c r="AN59" s="925"/>
      <c r="AO59" s="925"/>
      <c r="AP59" s="925"/>
      <c r="AQ59" s="925"/>
      <c r="AR59" s="925"/>
      <c r="AS59" s="925"/>
      <c r="AT59" s="925"/>
      <c r="AU59" s="925"/>
      <c r="AV59" s="925"/>
      <c r="AW59" s="925"/>
      <c r="AX59" s="925"/>
      <c r="AY59" s="925"/>
      <c r="AZ59" s="925"/>
      <c r="BA59" s="925"/>
      <c r="BB59" s="925"/>
      <c r="BC59" s="925"/>
      <c r="BD59" s="925"/>
      <c r="BE59" s="925"/>
      <c r="BF59" s="925"/>
      <c r="BG59" s="925"/>
      <c r="BH59" s="925"/>
      <c r="BI59" s="925"/>
      <c r="BJ59" s="925"/>
      <c r="BK59" s="925"/>
      <c r="BL59" s="925"/>
      <c r="BM59" s="925"/>
      <c r="BN59" s="925"/>
      <c r="BO59" s="925"/>
      <c r="BP59" s="925"/>
      <c r="BQ59" s="925"/>
      <c r="BR59" s="925"/>
      <c r="BS59" s="925"/>
      <c r="BT59" s="925"/>
      <c r="BU59" s="925"/>
      <c r="BV59" s="925"/>
      <c r="BW59" s="925"/>
      <c r="BX59" s="925"/>
      <c r="BY59" s="925"/>
      <c r="BZ59" s="925"/>
      <c r="CA59" s="925"/>
      <c r="CB59" s="925"/>
      <c r="CC59" s="925"/>
      <c r="CD59" s="925"/>
      <c r="CE59" s="925"/>
      <c r="CF59" s="925"/>
      <c r="CG59" s="925"/>
      <c r="CH59" s="925"/>
      <c r="CI59" s="925"/>
      <c r="CJ59" s="925"/>
      <c r="CK59" s="925"/>
      <c r="CL59" s="925"/>
      <c r="CM59" s="925"/>
      <c r="CN59" s="925"/>
      <c r="CO59" s="925"/>
      <c r="CP59" s="925"/>
      <c r="CQ59" s="925"/>
      <c r="CR59" s="925"/>
      <c r="CS59" s="925"/>
      <c r="CT59" s="925"/>
      <c r="CU59" s="925"/>
      <c r="CV59" s="925"/>
      <c r="CW59" s="925"/>
      <c r="CX59" s="925"/>
      <c r="CY59" s="925"/>
      <c r="CZ59" s="925"/>
      <c r="DA59" s="925"/>
      <c r="DB59" s="925"/>
      <c r="DC59" s="925"/>
      <c r="DD59" s="925"/>
      <c r="DE59" s="925"/>
      <c r="DF59" s="925"/>
      <c r="DG59" s="925"/>
      <c r="DH59" s="925"/>
      <c r="DI59" s="925"/>
      <c r="DJ59" s="925"/>
      <c r="DK59" s="925"/>
      <c r="DL59" s="925"/>
      <c r="DM59" s="925"/>
      <c r="DN59" s="925"/>
      <c r="DO59" s="925"/>
      <c r="DP59" s="925"/>
      <c r="DQ59" s="925"/>
      <c r="DR59" s="925"/>
      <c r="DS59" s="925"/>
      <c r="DT59" s="925"/>
      <c r="DU59" s="925"/>
      <c r="DV59" s="925"/>
      <c r="DW59" s="925"/>
      <c r="DX59" s="925"/>
      <c r="DY59" s="925"/>
      <c r="DZ59" s="925"/>
      <c r="EA59" s="925"/>
      <c r="EB59" s="925"/>
      <c r="EC59" s="925"/>
      <c r="ED59" s="925"/>
      <c r="EE59" s="925"/>
      <c r="EF59" s="925"/>
      <c r="EG59" s="446"/>
    </row>
    <row r="60" spans="1:137" ht="13" x14ac:dyDescent="0.15">
      <c r="A60" s="917"/>
      <c r="B60" s="917"/>
      <c r="C60" s="918"/>
      <c r="D60" s="919"/>
      <c r="E60" s="920"/>
      <c r="F60" s="921"/>
      <c r="G60" s="922"/>
      <c r="H60" s="922"/>
      <c r="I60" s="922"/>
      <c r="J60" s="923"/>
      <c r="K60" s="923"/>
      <c r="L60" s="924"/>
      <c r="M60" s="925"/>
      <c r="N60" s="925"/>
      <c r="O60" s="925"/>
      <c r="P60" s="925"/>
      <c r="Q60" s="925"/>
      <c r="R60" s="925"/>
      <c r="S60" s="925"/>
      <c r="T60" s="925"/>
      <c r="U60" s="925"/>
      <c r="V60" s="925"/>
      <c r="W60" s="925"/>
      <c r="X60" s="925"/>
      <c r="Y60" s="925"/>
      <c r="Z60" s="925"/>
      <c r="AA60" s="925"/>
      <c r="AB60" s="925"/>
      <c r="AC60" s="925"/>
      <c r="AD60" s="925"/>
      <c r="AE60" s="925"/>
      <c r="AF60" s="925"/>
      <c r="AG60" s="925"/>
      <c r="AH60" s="925"/>
      <c r="AI60" s="925"/>
      <c r="AJ60" s="925"/>
      <c r="AK60" s="925"/>
      <c r="AL60" s="925"/>
      <c r="AM60" s="925"/>
      <c r="AN60" s="925"/>
      <c r="AO60" s="925"/>
      <c r="AP60" s="925"/>
      <c r="AQ60" s="925"/>
      <c r="AR60" s="925"/>
      <c r="AS60" s="925"/>
      <c r="AT60" s="925"/>
      <c r="AU60" s="925"/>
      <c r="AV60" s="925"/>
      <c r="AW60" s="925"/>
      <c r="AX60" s="925"/>
      <c r="AY60" s="925"/>
      <c r="AZ60" s="925"/>
      <c r="BA60" s="925"/>
      <c r="BB60" s="925"/>
      <c r="BC60" s="925"/>
      <c r="BD60" s="925"/>
      <c r="BE60" s="925"/>
      <c r="BF60" s="925"/>
      <c r="BG60" s="925"/>
      <c r="BH60" s="925"/>
      <c r="BI60" s="925"/>
      <c r="BJ60" s="925"/>
      <c r="BK60" s="925"/>
      <c r="BL60" s="925"/>
      <c r="BM60" s="925"/>
      <c r="BN60" s="925"/>
      <c r="BO60" s="925"/>
      <c r="BP60" s="925"/>
      <c r="BQ60" s="925"/>
      <c r="BR60" s="925"/>
      <c r="BS60" s="925"/>
      <c r="BT60" s="925"/>
      <c r="BU60" s="925"/>
      <c r="BV60" s="925"/>
      <c r="BW60" s="925"/>
      <c r="BX60" s="925"/>
      <c r="BY60" s="925"/>
      <c r="BZ60" s="925"/>
      <c r="CA60" s="925"/>
      <c r="CB60" s="925"/>
      <c r="CC60" s="925"/>
      <c r="CD60" s="925"/>
      <c r="CE60" s="925"/>
      <c r="CF60" s="925"/>
      <c r="CG60" s="925"/>
      <c r="CH60" s="925"/>
      <c r="CI60" s="925"/>
      <c r="CJ60" s="925"/>
      <c r="CK60" s="925"/>
      <c r="CL60" s="925"/>
      <c r="CM60" s="925"/>
      <c r="CN60" s="925"/>
      <c r="CO60" s="925"/>
      <c r="CP60" s="925"/>
      <c r="CQ60" s="925"/>
      <c r="CR60" s="925"/>
      <c r="CS60" s="925"/>
      <c r="CT60" s="925"/>
      <c r="CU60" s="925"/>
      <c r="CV60" s="925"/>
      <c r="CW60" s="925"/>
      <c r="CX60" s="925"/>
      <c r="CY60" s="925"/>
      <c r="CZ60" s="925"/>
      <c r="DA60" s="925"/>
      <c r="DB60" s="925"/>
      <c r="DC60" s="925"/>
      <c r="DD60" s="925"/>
      <c r="DE60" s="925"/>
      <c r="DF60" s="925"/>
      <c r="DG60" s="925"/>
      <c r="DH60" s="925"/>
      <c r="DI60" s="925"/>
      <c r="DJ60" s="925"/>
      <c r="DK60" s="925"/>
      <c r="DL60" s="925"/>
      <c r="DM60" s="925"/>
      <c r="DN60" s="925"/>
      <c r="DO60" s="925"/>
      <c r="DP60" s="925"/>
      <c r="DQ60" s="925"/>
      <c r="DR60" s="925"/>
      <c r="DS60" s="925"/>
      <c r="DT60" s="925"/>
      <c r="DU60" s="925"/>
      <c r="DV60" s="925"/>
      <c r="DW60" s="925"/>
      <c r="DX60" s="925"/>
      <c r="DY60" s="925"/>
      <c r="DZ60" s="925"/>
      <c r="EA60" s="925"/>
      <c r="EB60" s="925"/>
      <c r="EC60" s="925"/>
      <c r="ED60" s="925"/>
      <c r="EE60" s="925"/>
      <c r="EF60" s="925"/>
      <c r="EG60" s="446"/>
    </row>
    <row r="61" spans="1:137" ht="13" x14ac:dyDescent="0.15">
      <c r="A61" s="917"/>
      <c r="B61" s="917"/>
      <c r="C61" s="918"/>
      <c r="D61" s="919"/>
      <c r="E61" s="920"/>
      <c r="F61" s="921"/>
      <c r="G61" s="922"/>
      <c r="H61" s="922"/>
      <c r="I61" s="922"/>
      <c r="J61" s="923"/>
      <c r="K61" s="923"/>
      <c r="L61" s="924"/>
      <c r="M61" s="925"/>
      <c r="N61" s="925"/>
      <c r="O61" s="925"/>
      <c r="P61" s="925"/>
      <c r="Q61" s="925"/>
      <c r="R61" s="925"/>
      <c r="S61" s="925"/>
      <c r="T61" s="925"/>
      <c r="U61" s="925"/>
      <c r="V61" s="925"/>
      <c r="W61" s="925"/>
      <c r="X61" s="925"/>
      <c r="Y61" s="925"/>
      <c r="Z61" s="925"/>
      <c r="AA61" s="925"/>
      <c r="AB61" s="925"/>
      <c r="AC61" s="925"/>
      <c r="AD61" s="925"/>
      <c r="AE61" s="925"/>
      <c r="AF61" s="925"/>
      <c r="AG61" s="925"/>
      <c r="AH61" s="925"/>
      <c r="AI61" s="925"/>
      <c r="AJ61" s="925"/>
      <c r="AK61" s="925"/>
      <c r="AL61" s="925"/>
      <c r="AM61" s="925"/>
      <c r="AN61" s="925"/>
      <c r="AO61" s="925"/>
      <c r="AP61" s="925"/>
      <c r="AQ61" s="925"/>
      <c r="AR61" s="925"/>
      <c r="AS61" s="925"/>
      <c r="AT61" s="925"/>
      <c r="AU61" s="925"/>
      <c r="AV61" s="925"/>
      <c r="AW61" s="925"/>
      <c r="AX61" s="925"/>
      <c r="AY61" s="925"/>
      <c r="AZ61" s="925"/>
      <c r="BA61" s="925"/>
      <c r="BB61" s="925"/>
      <c r="BC61" s="925"/>
      <c r="BD61" s="925"/>
      <c r="BE61" s="925"/>
      <c r="BF61" s="925"/>
      <c r="BG61" s="925"/>
      <c r="BH61" s="925"/>
      <c r="BI61" s="925"/>
      <c r="BJ61" s="925"/>
      <c r="BK61" s="925"/>
      <c r="BL61" s="925"/>
      <c r="BM61" s="925"/>
      <c r="BN61" s="925"/>
      <c r="BO61" s="925"/>
      <c r="BP61" s="925"/>
      <c r="BQ61" s="925"/>
      <c r="BR61" s="925"/>
      <c r="BS61" s="925"/>
      <c r="BT61" s="925"/>
      <c r="BU61" s="925"/>
      <c r="BV61" s="925"/>
      <c r="BW61" s="925"/>
      <c r="BX61" s="925"/>
      <c r="BY61" s="925"/>
      <c r="BZ61" s="925"/>
      <c r="CA61" s="925"/>
      <c r="CB61" s="925"/>
      <c r="CC61" s="925"/>
      <c r="CD61" s="925"/>
      <c r="CE61" s="925"/>
      <c r="CF61" s="925"/>
      <c r="CG61" s="925"/>
      <c r="CH61" s="925"/>
      <c r="CI61" s="925"/>
      <c r="CJ61" s="925"/>
      <c r="CK61" s="925"/>
      <c r="CL61" s="925"/>
      <c r="CM61" s="925"/>
      <c r="CN61" s="925"/>
      <c r="CO61" s="925"/>
      <c r="CP61" s="925"/>
      <c r="CQ61" s="925"/>
      <c r="CR61" s="925"/>
      <c r="CS61" s="925"/>
      <c r="CT61" s="925"/>
      <c r="CU61" s="925"/>
      <c r="CV61" s="925"/>
      <c r="CW61" s="925"/>
      <c r="CX61" s="925"/>
      <c r="CY61" s="925"/>
      <c r="CZ61" s="925"/>
      <c r="DA61" s="925"/>
      <c r="DB61" s="925"/>
      <c r="DC61" s="925"/>
      <c r="DD61" s="925"/>
      <c r="DE61" s="925"/>
      <c r="DF61" s="925"/>
      <c r="DG61" s="925"/>
      <c r="DH61" s="925"/>
      <c r="DI61" s="925"/>
      <c r="DJ61" s="925"/>
      <c r="DK61" s="925"/>
      <c r="DL61" s="925"/>
      <c r="DM61" s="925"/>
      <c r="DN61" s="925"/>
      <c r="DO61" s="925"/>
      <c r="DP61" s="925"/>
      <c r="DQ61" s="925"/>
      <c r="DR61" s="925"/>
      <c r="DS61" s="925"/>
      <c r="DT61" s="925"/>
      <c r="DU61" s="925"/>
      <c r="DV61" s="925"/>
      <c r="DW61" s="925"/>
      <c r="DX61" s="925"/>
      <c r="DY61" s="925"/>
      <c r="DZ61" s="925"/>
      <c r="EA61" s="925"/>
      <c r="EB61" s="925"/>
      <c r="EC61" s="925"/>
      <c r="ED61" s="925"/>
      <c r="EE61" s="925"/>
      <c r="EF61" s="925"/>
      <c r="EG61" s="446"/>
    </row>
    <row r="62" spans="1:137" ht="13" x14ac:dyDescent="0.15">
      <c r="A62" s="917"/>
      <c r="B62" s="917"/>
      <c r="C62" s="918"/>
      <c r="D62" s="919"/>
      <c r="E62" s="920"/>
      <c r="F62" s="921"/>
      <c r="G62" s="922"/>
      <c r="H62" s="922"/>
      <c r="I62" s="922"/>
      <c r="J62" s="923"/>
      <c r="K62" s="923"/>
      <c r="L62" s="924"/>
      <c r="M62" s="925"/>
      <c r="N62" s="925"/>
      <c r="O62" s="925"/>
      <c r="P62" s="925"/>
      <c r="Q62" s="925"/>
      <c r="R62" s="925"/>
      <c r="S62" s="925"/>
      <c r="T62" s="925"/>
      <c r="U62" s="925"/>
      <c r="V62" s="925"/>
      <c r="W62" s="925"/>
      <c r="X62" s="925"/>
      <c r="Y62" s="925"/>
      <c r="Z62" s="925"/>
      <c r="AA62" s="925"/>
      <c r="AB62" s="925"/>
      <c r="AC62" s="925"/>
      <c r="AD62" s="925"/>
      <c r="AE62" s="925"/>
      <c r="AF62" s="925"/>
      <c r="AG62" s="925"/>
      <c r="AH62" s="925"/>
      <c r="AI62" s="925"/>
      <c r="AJ62" s="925"/>
      <c r="AK62" s="925"/>
      <c r="AL62" s="925"/>
      <c r="AM62" s="925"/>
      <c r="AN62" s="925"/>
      <c r="AO62" s="925"/>
      <c r="AP62" s="925"/>
      <c r="AQ62" s="925"/>
      <c r="AR62" s="925"/>
      <c r="AS62" s="925"/>
      <c r="AT62" s="925"/>
      <c r="AU62" s="925"/>
      <c r="AV62" s="925"/>
      <c r="AW62" s="925"/>
      <c r="AX62" s="925"/>
      <c r="AY62" s="925"/>
      <c r="AZ62" s="925"/>
      <c r="BA62" s="925"/>
      <c r="BB62" s="925"/>
      <c r="BC62" s="925"/>
      <c r="BD62" s="925"/>
      <c r="BE62" s="925"/>
      <c r="BF62" s="925"/>
      <c r="BG62" s="925"/>
      <c r="BH62" s="925"/>
      <c r="BI62" s="925"/>
      <c r="BJ62" s="925"/>
      <c r="BK62" s="925"/>
      <c r="BL62" s="925"/>
      <c r="BM62" s="925"/>
      <c r="BN62" s="925"/>
      <c r="BO62" s="925"/>
      <c r="BP62" s="925"/>
      <c r="BQ62" s="925"/>
      <c r="BR62" s="925"/>
      <c r="BS62" s="925"/>
      <c r="BT62" s="925"/>
      <c r="BU62" s="925"/>
      <c r="BV62" s="925"/>
      <c r="BW62" s="925"/>
      <c r="BX62" s="925"/>
      <c r="BY62" s="925"/>
      <c r="BZ62" s="925"/>
      <c r="CA62" s="925"/>
      <c r="CB62" s="925"/>
      <c r="CC62" s="925"/>
      <c r="CD62" s="925"/>
      <c r="CE62" s="925"/>
      <c r="CF62" s="925"/>
      <c r="CG62" s="925"/>
      <c r="CH62" s="925"/>
      <c r="CI62" s="925"/>
      <c r="CJ62" s="925"/>
      <c r="CK62" s="925"/>
      <c r="CL62" s="925"/>
      <c r="CM62" s="925"/>
      <c r="CN62" s="925"/>
      <c r="CO62" s="925"/>
      <c r="CP62" s="925"/>
      <c r="CQ62" s="925"/>
      <c r="CR62" s="925"/>
      <c r="CS62" s="925"/>
      <c r="CT62" s="925"/>
      <c r="CU62" s="925"/>
      <c r="CV62" s="925"/>
      <c r="CW62" s="925"/>
      <c r="CX62" s="925"/>
      <c r="CY62" s="925"/>
      <c r="CZ62" s="925"/>
      <c r="DA62" s="925"/>
      <c r="DB62" s="925"/>
      <c r="DC62" s="925"/>
      <c r="DD62" s="925"/>
      <c r="DE62" s="925"/>
      <c r="DF62" s="925"/>
      <c r="DG62" s="925"/>
      <c r="DH62" s="925"/>
      <c r="DI62" s="925"/>
      <c r="DJ62" s="925"/>
      <c r="DK62" s="925"/>
      <c r="DL62" s="925"/>
      <c r="DM62" s="925"/>
      <c r="DN62" s="925"/>
      <c r="DO62" s="925"/>
      <c r="DP62" s="925"/>
      <c r="DQ62" s="925"/>
      <c r="DR62" s="925"/>
      <c r="DS62" s="925"/>
      <c r="DT62" s="925"/>
      <c r="DU62" s="925"/>
      <c r="DV62" s="925"/>
      <c r="DW62" s="925"/>
      <c r="DX62" s="925"/>
      <c r="DY62" s="925"/>
      <c r="DZ62" s="925"/>
      <c r="EA62" s="925"/>
      <c r="EB62" s="925"/>
      <c r="EC62" s="925"/>
      <c r="ED62" s="925"/>
      <c r="EE62" s="925"/>
      <c r="EF62" s="925"/>
      <c r="EG62" s="446"/>
    </row>
    <row r="63" spans="1:137" ht="13" x14ac:dyDescent="0.15">
      <c r="A63" s="917"/>
      <c r="B63" s="917"/>
      <c r="C63" s="918"/>
      <c r="D63" s="919"/>
      <c r="E63" s="920"/>
      <c r="F63" s="921"/>
      <c r="G63" s="922"/>
      <c r="H63" s="922"/>
      <c r="I63" s="922"/>
      <c r="J63" s="923"/>
      <c r="K63" s="923"/>
      <c r="L63" s="924"/>
      <c r="M63" s="925"/>
      <c r="N63" s="925"/>
      <c r="O63" s="925"/>
      <c r="P63" s="925"/>
      <c r="Q63" s="925"/>
      <c r="R63" s="925"/>
      <c r="S63" s="925"/>
      <c r="T63" s="925"/>
      <c r="U63" s="925"/>
      <c r="V63" s="925"/>
      <c r="W63" s="925"/>
      <c r="X63" s="925"/>
      <c r="Y63" s="925"/>
      <c r="Z63" s="925"/>
      <c r="AA63" s="925"/>
      <c r="AB63" s="925"/>
      <c r="AC63" s="925"/>
      <c r="AD63" s="925"/>
      <c r="AE63" s="925"/>
      <c r="AF63" s="925"/>
      <c r="AG63" s="925"/>
      <c r="AH63" s="925"/>
      <c r="AI63" s="925"/>
      <c r="AJ63" s="925"/>
      <c r="AK63" s="925"/>
      <c r="AL63" s="925"/>
      <c r="AM63" s="925"/>
      <c r="AN63" s="925"/>
      <c r="AO63" s="925"/>
      <c r="AP63" s="925"/>
      <c r="AQ63" s="925"/>
      <c r="AR63" s="925"/>
      <c r="AS63" s="925"/>
      <c r="AT63" s="925"/>
      <c r="AU63" s="925"/>
      <c r="AV63" s="925"/>
      <c r="AW63" s="925"/>
      <c r="AX63" s="925"/>
      <c r="AY63" s="925"/>
      <c r="AZ63" s="925"/>
      <c r="BA63" s="925"/>
      <c r="BB63" s="925"/>
      <c r="BC63" s="925"/>
      <c r="BD63" s="925"/>
      <c r="BE63" s="925"/>
      <c r="BF63" s="925"/>
      <c r="BG63" s="925"/>
      <c r="BH63" s="925"/>
      <c r="BI63" s="925"/>
      <c r="BJ63" s="925"/>
      <c r="BK63" s="925"/>
      <c r="BL63" s="925"/>
      <c r="BM63" s="925"/>
      <c r="BN63" s="925"/>
      <c r="BO63" s="925"/>
      <c r="BP63" s="925"/>
      <c r="BQ63" s="925"/>
      <c r="BR63" s="925"/>
      <c r="BS63" s="925"/>
      <c r="BT63" s="925"/>
      <c r="BU63" s="925"/>
      <c r="BV63" s="925"/>
      <c r="BW63" s="925"/>
      <c r="BX63" s="925"/>
      <c r="BY63" s="925"/>
      <c r="BZ63" s="925"/>
      <c r="CA63" s="925"/>
      <c r="CB63" s="925"/>
      <c r="CC63" s="925"/>
      <c r="CD63" s="925"/>
      <c r="CE63" s="925"/>
      <c r="CF63" s="925"/>
      <c r="CG63" s="925"/>
      <c r="CH63" s="925"/>
      <c r="CI63" s="925"/>
      <c r="CJ63" s="925"/>
      <c r="CK63" s="925"/>
      <c r="CL63" s="925"/>
      <c r="CM63" s="925"/>
      <c r="CN63" s="925"/>
      <c r="CO63" s="925"/>
      <c r="CP63" s="925"/>
      <c r="CQ63" s="925"/>
      <c r="CR63" s="925"/>
      <c r="CS63" s="925"/>
      <c r="CT63" s="925"/>
      <c r="CU63" s="925"/>
      <c r="CV63" s="925"/>
      <c r="CW63" s="925"/>
      <c r="CX63" s="925"/>
      <c r="CY63" s="925"/>
      <c r="CZ63" s="925"/>
      <c r="DA63" s="925"/>
      <c r="DB63" s="925"/>
      <c r="DC63" s="925"/>
      <c r="DD63" s="925"/>
      <c r="DE63" s="925"/>
      <c r="DF63" s="925"/>
      <c r="DG63" s="925"/>
      <c r="DH63" s="925"/>
      <c r="DI63" s="925"/>
      <c r="DJ63" s="925"/>
      <c r="DK63" s="925"/>
      <c r="DL63" s="925"/>
      <c r="DM63" s="925"/>
      <c r="DN63" s="925"/>
      <c r="DO63" s="925"/>
      <c r="DP63" s="925"/>
      <c r="DQ63" s="925"/>
      <c r="DR63" s="925"/>
      <c r="DS63" s="925"/>
      <c r="DT63" s="925"/>
      <c r="DU63" s="925"/>
      <c r="DV63" s="925"/>
      <c r="DW63" s="925"/>
      <c r="DX63" s="925"/>
      <c r="DY63" s="925"/>
      <c r="DZ63" s="925"/>
      <c r="EA63" s="925"/>
      <c r="EB63" s="925"/>
      <c r="EC63" s="925"/>
      <c r="ED63" s="925"/>
      <c r="EE63" s="925"/>
      <c r="EF63" s="925"/>
      <c r="EG63" s="446"/>
    </row>
    <row r="64" spans="1:137" ht="13" x14ac:dyDescent="0.15">
      <c r="A64" s="917"/>
      <c r="B64" s="917"/>
      <c r="C64" s="918"/>
      <c r="D64" s="919"/>
      <c r="E64" s="920"/>
      <c r="F64" s="921"/>
      <c r="G64" s="922"/>
      <c r="H64" s="922"/>
      <c r="I64" s="922"/>
      <c r="J64" s="923"/>
      <c r="K64" s="923"/>
      <c r="L64" s="924"/>
      <c r="M64" s="925"/>
      <c r="N64" s="925"/>
      <c r="O64" s="925"/>
      <c r="Q64" s="925"/>
      <c r="S64" s="925"/>
      <c r="T64" s="925"/>
      <c r="U64" s="925"/>
      <c r="V64" s="925"/>
      <c r="W64" s="925"/>
      <c r="X64" s="925"/>
      <c r="Y64" s="925"/>
      <c r="Z64" s="925"/>
      <c r="AA64" s="925"/>
      <c r="AB64" s="925"/>
      <c r="AC64" s="925"/>
      <c r="AD64" s="925"/>
      <c r="AE64" s="925"/>
      <c r="AF64" s="925"/>
      <c r="AG64" s="925"/>
      <c r="AH64" s="925"/>
      <c r="AI64" s="925"/>
      <c r="AJ64" s="925"/>
      <c r="AK64" s="925"/>
      <c r="AL64" s="925"/>
      <c r="AM64" s="925"/>
      <c r="AN64" s="925"/>
      <c r="AO64" s="925"/>
      <c r="AP64" s="925"/>
      <c r="AQ64" s="925"/>
      <c r="AR64" s="925"/>
      <c r="AS64" s="925"/>
      <c r="AT64" s="925"/>
      <c r="AU64" s="925"/>
      <c r="AV64" s="925"/>
      <c r="AW64" s="925"/>
      <c r="AX64" s="925"/>
      <c r="AY64" s="925"/>
      <c r="AZ64" s="925"/>
      <c r="BA64" s="925"/>
      <c r="BB64" s="925"/>
      <c r="BC64" s="925"/>
      <c r="BD64" s="925"/>
      <c r="BE64" s="925"/>
      <c r="BF64" s="925"/>
      <c r="BG64" s="925"/>
      <c r="BH64" s="925"/>
      <c r="BI64" s="925"/>
      <c r="BJ64" s="925"/>
      <c r="BK64" s="925"/>
      <c r="BL64" s="925"/>
      <c r="BM64" s="925"/>
      <c r="BN64" s="925"/>
      <c r="BO64" s="925"/>
      <c r="BP64" s="925"/>
      <c r="BQ64" s="925"/>
      <c r="BR64" s="925"/>
      <c r="BS64" s="925"/>
      <c r="BT64" s="925"/>
      <c r="BU64" s="925"/>
      <c r="BV64" s="925"/>
      <c r="BW64" s="925"/>
      <c r="BX64" s="925"/>
      <c r="BY64" s="925"/>
      <c r="BZ64" s="925"/>
      <c r="CA64" s="925"/>
      <c r="CB64" s="925"/>
      <c r="CC64" s="925"/>
      <c r="CD64" s="925"/>
      <c r="CE64" s="925"/>
      <c r="CF64" s="925"/>
      <c r="CG64" s="925"/>
      <c r="CH64" s="925"/>
      <c r="CI64" s="925"/>
      <c r="CJ64" s="925"/>
      <c r="CK64" s="925"/>
      <c r="CL64" s="925"/>
      <c r="CM64" s="925"/>
      <c r="CN64" s="925"/>
      <c r="CO64" s="925"/>
      <c r="CP64" s="925"/>
      <c r="CQ64" s="925"/>
      <c r="CR64" s="925"/>
      <c r="CS64" s="925"/>
      <c r="CT64" s="925"/>
      <c r="CU64" s="925"/>
      <c r="CV64" s="925"/>
      <c r="CW64" s="925"/>
      <c r="CX64" s="925"/>
      <c r="CY64" s="925"/>
      <c r="CZ64" s="925"/>
      <c r="DA64" s="925"/>
      <c r="DB64" s="925"/>
      <c r="DC64" s="925"/>
      <c r="DD64" s="925"/>
      <c r="DE64" s="925"/>
      <c r="DF64" s="925"/>
      <c r="DG64" s="925"/>
      <c r="DH64" s="925"/>
      <c r="DI64" s="925"/>
      <c r="DJ64" s="925"/>
      <c r="DK64" s="925"/>
      <c r="DL64" s="925"/>
      <c r="DM64" s="925"/>
      <c r="DN64" s="925"/>
      <c r="DO64" s="925"/>
      <c r="DP64" s="925"/>
      <c r="DQ64" s="925"/>
      <c r="DR64" s="925"/>
      <c r="DS64" s="925"/>
      <c r="DT64" s="925"/>
      <c r="DU64" s="925"/>
      <c r="DV64" s="925"/>
      <c r="DW64" s="925"/>
      <c r="DX64" s="925"/>
      <c r="DY64" s="925"/>
      <c r="DZ64" s="925"/>
      <c r="EA64" s="925"/>
      <c r="EB64" s="925"/>
      <c r="EC64" s="925"/>
      <c r="ED64" s="925"/>
      <c r="EE64" s="925"/>
      <c r="EF64" s="925"/>
      <c r="EG64" s="446"/>
    </row>
    <row r="65" spans="1:137" ht="13" x14ac:dyDescent="0.15">
      <c r="A65" s="917"/>
      <c r="B65" s="917"/>
      <c r="C65" s="918"/>
      <c r="D65" s="919"/>
      <c r="E65" s="920"/>
      <c r="F65" s="921"/>
      <c r="G65" s="922"/>
      <c r="H65" s="922"/>
      <c r="I65" s="922"/>
      <c r="J65" s="923"/>
      <c r="K65" s="923"/>
      <c r="L65" s="924"/>
      <c r="M65" s="925"/>
      <c r="N65" s="925"/>
      <c r="O65" s="925"/>
      <c r="P65" s="925"/>
      <c r="Q65" s="925"/>
      <c r="R65" s="925"/>
      <c r="S65" s="925"/>
      <c r="T65" s="925"/>
      <c r="U65" s="925"/>
      <c r="V65" s="925"/>
      <c r="W65" s="925"/>
      <c r="X65" s="925"/>
      <c r="Y65" s="925"/>
      <c r="Z65" s="925"/>
      <c r="AA65" s="925"/>
      <c r="AB65" s="925"/>
      <c r="AC65" s="925"/>
      <c r="AD65" s="925"/>
      <c r="AE65" s="925"/>
      <c r="AF65" s="925"/>
      <c r="AG65" s="925"/>
      <c r="AH65" s="925"/>
      <c r="AI65" s="925"/>
      <c r="AJ65" s="925"/>
      <c r="AK65" s="925"/>
      <c r="AL65" s="925"/>
      <c r="AM65" s="925"/>
      <c r="AN65" s="925"/>
      <c r="AO65" s="925"/>
      <c r="AP65" s="925"/>
      <c r="AQ65" s="925"/>
      <c r="AR65" s="925"/>
      <c r="AS65" s="925"/>
      <c r="AT65" s="925"/>
      <c r="AU65" s="925"/>
      <c r="AV65" s="925"/>
      <c r="AW65" s="925"/>
      <c r="AX65" s="925"/>
      <c r="AY65" s="925"/>
      <c r="AZ65" s="925"/>
      <c r="BA65" s="925"/>
      <c r="BB65" s="925"/>
      <c r="BC65" s="925"/>
      <c r="BD65" s="925"/>
      <c r="BE65" s="925"/>
      <c r="BF65" s="925"/>
      <c r="BG65" s="925"/>
      <c r="BH65" s="925"/>
      <c r="BI65" s="925"/>
      <c r="BJ65" s="925"/>
      <c r="BK65" s="925"/>
      <c r="BL65" s="925"/>
      <c r="BM65" s="925"/>
      <c r="BN65" s="925"/>
      <c r="BO65" s="925"/>
      <c r="BP65" s="925"/>
      <c r="BQ65" s="925"/>
      <c r="BR65" s="925"/>
      <c r="BS65" s="925"/>
      <c r="BT65" s="925"/>
      <c r="BU65" s="925"/>
      <c r="BV65" s="925"/>
      <c r="BW65" s="925"/>
      <c r="BX65" s="925"/>
      <c r="BY65" s="925"/>
      <c r="BZ65" s="925"/>
      <c r="CA65" s="925"/>
      <c r="CB65" s="925"/>
      <c r="CC65" s="925"/>
      <c r="CD65" s="925"/>
      <c r="CE65" s="925"/>
      <c r="CF65" s="925"/>
      <c r="CG65" s="925"/>
      <c r="CH65" s="925"/>
      <c r="CI65" s="925"/>
      <c r="CJ65" s="925"/>
      <c r="CK65" s="925"/>
      <c r="CL65" s="925"/>
      <c r="CM65" s="925"/>
      <c r="CN65" s="925"/>
      <c r="CO65" s="925"/>
      <c r="CP65" s="925"/>
      <c r="CQ65" s="925"/>
      <c r="CR65" s="925"/>
      <c r="CS65" s="925"/>
      <c r="CT65" s="925"/>
      <c r="CU65" s="925"/>
      <c r="CV65" s="925"/>
      <c r="CW65" s="925"/>
      <c r="CX65" s="925"/>
      <c r="CY65" s="925"/>
      <c r="CZ65" s="925"/>
      <c r="DA65" s="925"/>
      <c r="DB65" s="925"/>
      <c r="DC65" s="925"/>
      <c r="DD65" s="925"/>
      <c r="DE65" s="925"/>
      <c r="DF65" s="925"/>
      <c r="DG65" s="925"/>
      <c r="DH65" s="925"/>
      <c r="DI65" s="925"/>
      <c r="DJ65" s="925"/>
      <c r="DK65" s="925"/>
      <c r="DL65" s="925"/>
      <c r="DM65" s="925"/>
      <c r="DN65" s="925"/>
      <c r="DO65" s="925"/>
      <c r="DP65" s="925"/>
      <c r="DQ65" s="925"/>
      <c r="DR65" s="925"/>
      <c r="DS65" s="925"/>
      <c r="DT65" s="925"/>
      <c r="DU65" s="925"/>
      <c r="DV65" s="925"/>
      <c r="DW65" s="925"/>
      <c r="DX65" s="925"/>
      <c r="DY65" s="925"/>
      <c r="DZ65" s="925"/>
      <c r="EA65" s="925"/>
      <c r="EB65" s="925"/>
      <c r="EC65" s="925"/>
      <c r="ED65" s="446"/>
      <c r="EE65" s="925"/>
      <c r="EF65" s="925"/>
      <c r="EG65" s="446"/>
    </row>
    <row r="66" spans="1:137" ht="13" x14ac:dyDescent="0.15">
      <c r="A66" s="917"/>
      <c r="B66" s="917"/>
      <c r="C66" s="918"/>
      <c r="D66" s="919"/>
      <c r="E66" s="920"/>
      <c r="F66" s="921"/>
      <c r="G66" s="922"/>
      <c r="H66" s="922"/>
      <c r="I66" s="922"/>
      <c r="J66" s="923"/>
      <c r="K66" s="923"/>
      <c r="L66" s="924"/>
      <c r="M66" s="925"/>
      <c r="N66" s="925"/>
      <c r="O66" s="925"/>
      <c r="P66" s="925"/>
      <c r="Q66" s="925"/>
      <c r="R66" s="925"/>
      <c r="S66" s="925"/>
      <c r="T66" s="925"/>
      <c r="U66" s="925"/>
      <c r="V66" s="925"/>
      <c r="W66" s="925"/>
      <c r="X66" s="925"/>
      <c r="Y66" s="925"/>
      <c r="Z66" s="925"/>
      <c r="AA66" s="925"/>
      <c r="AB66" s="925"/>
      <c r="AC66" s="925"/>
      <c r="AD66" s="925"/>
      <c r="AE66" s="925"/>
      <c r="AF66" s="925"/>
      <c r="AG66" s="925"/>
      <c r="AH66" s="925"/>
      <c r="AI66" s="925"/>
      <c r="AJ66" s="925"/>
      <c r="AK66" s="925"/>
      <c r="AL66" s="925"/>
      <c r="AM66" s="925"/>
      <c r="AN66" s="925"/>
      <c r="AO66" s="925"/>
      <c r="AP66" s="925"/>
      <c r="AQ66" s="925"/>
      <c r="AR66" s="925"/>
      <c r="AS66" s="925"/>
      <c r="AT66" s="925"/>
      <c r="AU66" s="925"/>
      <c r="AV66" s="925"/>
      <c r="AW66" s="925"/>
      <c r="AX66" s="925"/>
      <c r="AY66" s="925"/>
      <c r="AZ66" s="925"/>
      <c r="BA66" s="925"/>
      <c r="BB66" s="925"/>
      <c r="BC66" s="925"/>
      <c r="BD66" s="925"/>
      <c r="BE66" s="925"/>
      <c r="BF66" s="925"/>
      <c r="BG66" s="925"/>
      <c r="BH66" s="925"/>
      <c r="BI66" s="925"/>
      <c r="BJ66" s="925"/>
      <c r="BK66" s="925"/>
      <c r="BL66" s="925"/>
      <c r="BM66" s="925"/>
      <c r="BN66" s="925"/>
      <c r="BO66" s="925"/>
      <c r="BP66" s="925"/>
      <c r="BQ66" s="925"/>
      <c r="BR66" s="925"/>
      <c r="BS66" s="925"/>
      <c r="BT66" s="925"/>
      <c r="BU66" s="925"/>
      <c r="BV66" s="925"/>
      <c r="BW66" s="925"/>
      <c r="BX66" s="925"/>
      <c r="BY66" s="925"/>
      <c r="BZ66" s="925"/>
      <c r="CA66" s="925"/>
      <c r="CB66" s="925"/>
      <c r="CC66" s="925"/>
      <c r="CD66" s="925"/>
      <c r="CE66" s="925"/>
      <c r="CF66" s="925"/>
      <c r="CG66" s="925"/>
      <c r="CH66" s="925"/>
      <c r="CI66" s="925"/>
      <c r="CJ66" s="925"/>
      <c r="CK66" s="925"/>
      <c r="CL66" s="925"/>
      <c r="CM66" s="925"/>
      <c r="CN66" s="925"/>
      <c r="CO66" s="925"/>
      <c r="CP66" s="925"/>
      <c r="CQ66" s="925"/>
      <c r="CR66" s="925"/>
      <c r="CS66" s="925"/>
      <c r="CT66" s="925"/>
      <c r="CU66" s="925"/>
      <c r="CV66" s="925"/>
      <c r="CW66" s="925"/>
      <c r="CX66" s="925"/>
      <c r="CY66" s="925"/>
      <c r="CZ66" s="925"/>
      <c r="DA66" s="925"/>
      <c r="DB66" s="925"/>
      <c r="DC66" s="925"/>
      <c r="DD66" s="925"/>
      <c r="DE66" s="925"/>
      <c r="DF66" s="925"/>
      <c r="DG66" s="925"/>
      <c r="DH66" s="925"/>
      <c r="DI66" s="925"/>
      <c r="DJ66" s="925"/>
      <c r="DK66" s="925"/>
      <c r="DL66" s="925"/>
      <c r="DM66" s="925"/>
      <c r="DN66" s="925"/>
      <c r="DO66" s="925"/>
      <c r="DP66" s="925"/>
      <c r="DQ66" s="925"/>
      <c r="DR66" s="925"/>
      <c r="DS66" s="925"/>
      <c r="DT66" s="925"/>
      <c r="DU66" s="925"/>
      <c r="DV66" s="925"/>
      <c r="DW66" s="925"/>
      <c r="DX66" s="925"/>
      <c r="DY66" s="925"/>
      <c r="DZ66" s="925"/>
      <c r="EA66" s="925"/>
      <c r="EB66" s="925"/>
      <c r="EC66" s="925"/>
      <c r="ED66" s="925"/>
      <c r="EE66" s="925"/>
      <c r="EF66" s="925"/>
      <c r="EG66" s="446"/>
    </row>
    <row r="67" spans="1:137" ht="13" x14ac:dyDescent="0.15">
      <c r="A67" s="917"/>
      <c r="B67" s="917"/>
      <c r="C67" s="918"/>
      <c r="D67" s="919"/>
      <c r="E67" s="920"/>
      <c r="F67" s="921"/>
      <c r="G67" s="922"/>
      <c r="H67" s="922"/>
      <c r="I67" s="922"/>
      <c r="J67" s="923"/>
      <c r="K67" s="923"/>
      <c r="L67" s="924"/>
      <c r="M67" s="925"/>
      <c r="N67" s="925"/>
      <c r="O67" s="925"/>
      <c r="P67" s="925"/>
      <c r="Q67" s="925"/>
      <c r="R67" s="925"/>
      <c r="S67" s="925"/>
      <c r="T67" s="925"/>
      <c r="U67" s="925"/>
      <c r="V67" s="925"/>
      <c r="W67" s="925"/>
      <c r="X67" s="925"/>
      <c r="Y67" s="925"/>
      <c r="Z67" s="925"/>
      <c r="AA67" s="925"/>
      <c r="AB67" s="925"/>
      <c r="AC67" s="925"/>
      <c r="AD67" s="925"/>
      <c r="AE67" s="925"/>
      <c r="AF67" s="925"/>
      <c r="AG67" s="925"/>
      <c r="AH67" s="925"/>
      <c r="AI67" s="925"/>
      <c r="AJ67" s="925"/>
      <c r="AK67" s="925"/>
      <c r="AL67" s="925"/>
      <c r="AM67" s="925"/>
      <c r="AN67" s="925"/>
      <c r="AO67" s="925"/>
      <c r="AP67" s="925"/>
      <c r="AQ67" s="925"/>
      <c r="AR67" s="925"/>
      <c r="AS67" s="925"/>
      <c r="AT67" s="925"/>
      <c r="AU67" s="925"/>
      <c r="AV67" s="925"/>
      <c r="AW67" s="925"/>
      <c r="AX67" s="925"/>
      <c r="AY67" s="925"/>
      <c r="AZ67" s="925"/>
      <c r="BA67" s="925"/>
      <c r="BB67" s="925"/>
      <c r="BC67" s="925"/>
      <c r="BD67" s="925"/>
      <c r="BE67" s="925"/>
      <c r="BF67" s="925"/>
      <c r="BG67" s="925"/>
      <c r="BH67" s="925"/>
      <c r="BI67" s="925"/>
      <c r="BJ67" s="925"/>
      <c r="BK67" s="925"/>
      <c r="BL67" s="925"/>
      <c r="BM67" s="925"/>
      <c r="BN67" s="925"/>
      <c r="BO67" s="925"/>
      <c r="BP67" s="925"/>
      <c r="BQ67" s="925"/>
      <c r="BR67" s="925"/>
      <c r="BS67" s="925"/>
      <c r="BT67" s="925"/>
      <c r="BU67" s="925"/>
      <c r="BV67" s="925"/>
      <c r="BW67" s="925"/>
      <c r="BX67" s="925"/>
      <c r="BY67" s="925"/>
      <c r="BZ67" s="925"/>
      <c r="CA67" s="925"/>
      <c r="CB67" s="925"/>
      <c r="CC67" s="925"/>
      <c r="CD67" s="925"/>
      <c r="CE67" s="925"/>
      <c r="CF67" s="925"/>
      <c r="CG67" s="925"/>
      <c r="CH67" s="925"/>
      <c r="CI67" s="925"/>
      <c r="CJ67" s="925"/>
      <c r="CK67" s="925"/>
      <c r="CL67" s="925"/>
      <c r="CM67" s="925"/>
      <c r="CN67" s="925"/>
      <c r="CO67" s="925"/>
      <c r="CP67" s="925"/>
      <c r="CQ67" s="925"/>
      <c r="CR67" s="925"/>
      <c r="CS67" s="925"/>
      <c r="CT67" s="925"/>
      <c r="CU67" s="925"/>
      <c r="CV67" s="925"/>
      <c r="CW67" s="925"/>
      <c r="CX67" s="925"/>
      <c r="CY67" s="925"/>
      <c r="CZ67" s="925"/>
      <c r="DA67" s="925"/>
      <c r="DB67" s="925"/>
      <c r="DC67" s="925"/>
      <c r="DD67" s="925"/>
      <c r="DE67" s="925"/>
      <c r="DF67" s="925"/>
      <c r="DG67" s="925"/>
      <c r="DH67" s="925"/>
      <c r="DI67" s="925"/>
      <c r="DJ67" s="925"/>
      <c r="DK67" s="925"/>
      <c r="DL67" s="925"/>
      <c r="DM67" s="925"/>
      <c r="DN67" s="925"/>
      <c r="DO67" s="925"/>
      <c r="DP67" s="925"/>
      <c r="DQ67" s="925"/>
      <c r="DR67" s="925"/>
      <c r="DS67" s="925"/>
      <c r="DT67" s="925"/>
      <c r="DU67" s="925"/>
      <c r="DV67" s="925"/>
      <c r="DW67" s="925"/>
      <c r="DX67" s="925"/>
      <c r="DY67" s="925"/>
      <c r="DZ67" s="925"/>
      <c r="EA67" s="925"/>
      <c r="EB67" s="925"/>
      <c r="EC67" s="925"/>
      <c r="ED67" s="925"/>
      <c r="EE67" s="925"/>
      <c r="EF67" s="925"/>
      <c r="EG67" s="446"/>
    </row>
    <row r="68" spans="1:137" ht="13" x14ac:dyDescent="0.15">
      <c r="A68" s="917"/>
      <c r="B68" s="917"/>
      <c r="C68" s="918"/>
      <c r="D68" s="919"/>
      <c r="E68" s="920"/>
      <c r="F68" s="921"/>
      <c r="G68" s="922"/>
      <c r="H68" s="922"/>
      <c r="I68" s="922"/>
      <c r="J68" s="923"/>
      <c r="K68" s="923"/>
      <c r="L68" s="924"/>
      <c r="M68" s="925"/>
      <c r="N68" s="925"/>
      <c r="O68" s="925"/>
      <c r="P68" s="925"/>
      <c r="Q68" s="925"/>
      <c r="R68" s="925"/>
      <c r="S68" s="925"/>
      <c r="T68" s="925"/>
      <c r="U68" s="925"/>
      <c r="V68" s="925"/>
      <c r="W68" s="925"/>
      <c r="X68" s="925"/>
      <c r="Y68" s="925"/>
      <c r="Z68" s="925"/>
      <c r="AA68" s="925"/>
      <c r="AB68" s="925"/>
      <c r="AC68" s="925"/>
      <c r="AD68" s="925"/>
      <c r="AE68" s="925"/>
      <c r="AF68" s="925"/>
      <c r="AG68" s="925"/>
      <c r="AH68" s="925"/>
      <c r="AI68" s="925"/>
      <c r="AJ68" s="925"/>
      <c r="AK68" s="925"/>
      <c r="AL68" s="925"/>
      <c r="AM68" s="925"/>
      <c r="AN68" s="925"/>
      <c r="AO68" s="925"/>
      <c r="AP68" s="925"/>
      <c r="AQ68" s="925"/>
      <c r="AR68" s="925"/>
      <c r="AS68" s="925"/>
      <c r="AT68" s="925"/>
      <c r="AU68" s="925"/>
      <c r="AV68" s="925"/>
      <c r="AW68" s="925"/>
      <c r="AX68" s="925"/>
      <c r="AY68" s="925"/>
      <c r="AZ68" s="925"/>
      <c r="BA68" s="925"/>
      <c r="BB68" s="925"/>
      <c r="BC68" s="925"/>
      <c r="BD68" s="925"/>
      <c r="BE68" s="925"/>
      <c r="BF68" s="925"/>
      <c r="BG68" s="925"/>
      <c r="BH68" s="925"/>
      <c r="BI68" s="925"/>
      <c r="BJ68" s="925"/>
      <c r="BK68" s="925"/>
      <c r="BL68" s="925"/>
      <c r="BM68" s="925"/>
      <c r="BN68" s="925"/>
      <c r="BO68" s="925"/>
      <c r="BP68" s="925"/>
      <c r="BQ68" s="925"/>
      <c r="BR68" s="925"/>
      <c r="BS68" s="925"/>
      <c r="BT68" s="925"/>
      <c r="BU68" s="925"/>
      <c r="BV68" s="925"/>
      <c r="BW68" s="925"/>
      <c r="BX68" s="925"/>
      <c r="BY68" s="925"/>
      <c r="BZ68" s="925"/>
      <c r="CA68" s="925"/>
      <c r="CB68" s="925"/>
      <c r="CC68" s="925"/>
      <c r="CD68" s="925"/>
      <c r="CE68" s="925"/>
      <c r="CF68" s="925"/>
      <c r="CG68" s="925"/>
      <c r="CH68" s="925"/>
      <c r="CI68" s="925"/>
      <c r="CJ68" s="925"/>
      <c r="CK68" s="925"/>
      <c r="CL68" s="925"/>
      <c r="CM68" s="925"/>
      <c r="CN68" s="925"/>
      <c r="CO68" s="925"/>
      <c r="CP68" s="925"/>
      <c r="CQ68" s="925"/>
      <c r="CR68" s="925"/>
      <c r="CS68" s="925"/>
      <c r="CT68" s="925"/>
      <c r="CU68" s="925"/>
      <c r="CV68" s="925"/>
      <c r="CW68" s="925"/>
      <c r="CX68" s="925"/>
      <c r="CY68" s="925"/>
      <c r="CZ68" s="925"/>
      <c r="DA68" s="925"/>
      <c r="DB68" s="925"/>
      <c r="DC68" s="925"/>
      <c r="DD68" s="925"/>
      <c r="DE68" s="925"/>
      <c r="DF68" s="925"/>
      <c r="DG68" s="925"/>
      <c r="DH68" s="925"/>
      <c r="DI68" s="925"/>
      <c r="DJ68" s="925"/>
      <c r="DK68" s="925"/>
      <c r="DL68" s="925"/>
      <c r="DM68" s="925"/>
      <c r="DN68" s="925"/>
      <c r="DO68" s="925"/>
      <c r="DP68" s="925"/>
      <c r="DQ68" s="925"/>
      <c r="DR68" s="925"/>
      <c r="DS68" s="925"/>
      <c r="DT68" s="925"/>
      <c r="DU68" s="925"/>
      <c r="DV68" s="925"/>
      <c r="DW68" s="925"/>
      <c r="DX68" s="925"/>
      <c r="DY68" s="925"/>
      <c r="DZ68" s="925"/>
      <c r="EA68" s="925"/>
      <c r="EB68" s="925"/>
      <c r="EC68" s="925"/>
      <c r="ED68" s="925"/>
      <c r="EE68" s="925"/>
      <c r="EF68" s="925"/>
      <c r="EG68" s="446"/>
    </row>
    <row r="69" spans="1:137" ht="13" x14ac:dyDescent="0.15">
      <c r="A69" s="917"/>
      <c r="B69" s="917"/>
      <c r="C69" s="918"/>
      <c r="D69" s="919"/>
      <c r="E69" s="920"/>
      <c r="F69" s="921"/>
      <c r="G69" s="922"/>
      <c r="H69" s="922"/>
      <c r="I69" s="922"/>
      <c r="J69" s="923"/>
      <c r="K69" s="923"/>
      <c r="L69" s="924"/>
      <c r="M69" s="925"/>
      <c r="N69" s="925"/>
      <c r="O69" s="925"/>
      <c r="P69" s="925"/>
      <c r="Q69" s="925"/>
      <c r="R69" s="926"/>
      <c r="S69" s="926"/>
      <c r="T69" s="925"/>
      <c r="U69" s="925"/>
      <c r="V69" s="925"/>
      <c r="W69" s="925"/>
      <c r="X69" s="925"/>
      <c r="Y69" s="925"/>
      <c r="Z69" s="925"/>
      <c r="AA69" s="925"/>
      <c r="AB69" s="925"/>
      <c r="AC69" s="925"/>
      <c r="AD69" s="925"/>
      <c r="AE69" s="925"/>
      <c r="AF69" s="925"/>
      <c r="AG69" s="925"/>
      <c r="AH69" s="925"/>
      <c r="AI69" s="925"/>
      <c r="AJ69" s="925"/>
      <c r="AK69" s="925"/>
      <c r="AL69" s="925"/>
      <c r="AM69" s="925"/>
      <c r="AN69" s="925"/>
      <c r="AO69" s="925"/>
      <c r="AP69" s="925"/>
      <c r="AQ69" s="925"/>
      <c r="AR69" s="925"/>
      <c r="AS69" s="925"/>
      <c r="AT69" s="925"/>
      <c r="AU69" s="925"/>
      <c r="AV69" s="925"/>
      <c r="AW69" s="925"/>
      <c r="AX69" s="925"/>
      <c r="AY69" s="925"/>
      <c r="AZ69" s="925"/>
      <c r="BA69" s="925"/>
      <c r="BB69" s="925"/>
      <c r="BC69" s="925"/>
      <c r="BD69" s="925"/>
      <c r="BE69" s="925"/>
      <c r="BF69" s="925"/>
      <c r="BG69" s="925"/>
      <c r="BH69" s="925"/>
      <c r="BI69" s="925"/>
      <c r="BJ69" s="925"/>
      <c r="BK69" s="925"/>
      <c r="BL69" s="925"/>
      <c r="BM69" s="925"/>
      <c r="BN69" s="925"/>
      <c r="BO69" s="925"/>
      <c r="BP69" s="925"/>
      <c r="BQ69" s="925"/>
      <c r="BR69" s="925"/>
      <c r="BS69" s="925"/>
      <c r="BT69" s="925"/>
      <c r="BU69" s="925"/>
      <c r="BV69" s="925"/>
      <c r="BW69" s="925"/>
      <c r="BX69" s="925"/>
      <c r="BY69" s="925"/>
      <c r="BZ69" s="925"/>
      <c r="CA69" s="925"/>
      <c r="CB69" s="925"/>
      <c r="CC69" s="925"/>
      <c r="CD69" s="925"/>
      <c r="CE69" s="925"/>
      <c r="CF69" s="925"/>
      <c r="CG69" s="925"/>
      <c r="CH69" s="925"/>
      <c r="CI69" s="925"/>
      <c r="CJ69" s="925"/>
      <c r="CK69" s="925"/>
      <c r="CL69" s="925"/>
      <c r="CM69" s="925"/>
      <c r="CN69" s="925"/>
      <c r="CO69" s="925"/>
      <c r="CP69" s="925"/>
      <c r="CQ69" s="925"/>
      <c r="CR69" s="925"/>
      <c r="CS69" s="925"/>
      <c r="CT69" s="925"/>
      <c r="CU69" s="925"/>
      <c r="CV69" s="925"/>
      <c r="CW69" s="925"/>
      <c r="CX69" s="925"/>
      <c r="CY69" s="925"/>
      <c r="CZ69" s="925"/>
      <c r="DA69" s="925"/>
      <c r="DB69" s="925"/>
      <c r="DC69" s="925"/>
      <c r="DD69" s="925"/>
      <c r="DE69" s="925"/>
      <c r="DF69" s="925"/>
      <c r="DG69" s="925"/>
      <c r="DH69" s="925"/>
      <c r="DI69" s="925"/>
      <c r="DJ69" s="925"/>
      <c r="DK69" s="925"/>
      <c r="DL69" s="925"/>
      <c r="DM69" s="925"/>
      <c r="DN69" s="925"/>
      <c r="DO69" s="925"/>
      <c r="DP69" s="925"/>
      <c r="DQ69" s="925"/>
      <c r="DR69" s="925"/>
      <c r="DS69" s="925"/>
      <c r="DT69" s="925"/>
      <c r="DU69" s="925"/>
      <c r="DV69" s="925"/>
      <c r="DW69" s="925"/>
      <c r="DX69" s="925"/>
      <c r="DY69" s="925"/>
      <c r="DZ69" s="925"/>
      <c r="EA69" s="925"/>
      <c r="EB69" s="925"/>
      <c r="EC69" s="925"/>
      <c r="ED69" s="925"/>
      <c r="EE69" s="925"/>
      <c r="EF69" s="925"/>
      <c r="EG69" s="446"/>
    </row>
    <row r="70" spans="1:137" ht="13" x14ac:dyDescent="0.15">
      <c r="A70" s="917"/>
      <c r="B70" s="917"/>
      <c r="C70" s="918"/>
      <c r="D70" s="919"/>
      <c r="E70" s="920"/>
      <c r="F70" s="921"/>
      <c r="G70" s="922"/>
      <c r="H70" s="922"/>
      <c r="I70" s="922"/>
      <c r="J70" s="923"/>
      <c r="K70" s="923"/>
      <c r="L70" s="924"/>
      <c r="M70" s="925"/>
      <c r="N70" s="925"/>
      <c r="O70" s="925"/>
      <c r="P70" s="925"/>
      <c r="Q70" s="925"/>
      <c r="R70" s="926"/>
      <c r="S70" s="926"/>
      <c r="T70" s="925"/>
      <c r="U70" s="925"/>
      <c r="V70" s="925"/>
      <c r="W70" s="925"/>
      <c r="X70" s="925"/>
      <c r="Y70" s="925"/>
      <c r="Z70" s="925"/>
      <c r="AA70" s="925"/>
      <c r="AB70" s="925"/>
      <c r="AC70" s="925"/>
      <c r="AD70" s="925"/>
      <c r="AE70" s="925"/>
      <c r="AF70" s="925"/>
      <c r="AG70" s="925"/>
      <c r="AH70" s="925"/>
      <c r="AI70" s="925"/>
      <c r="AJ70" s="925"/>
      <c r="AK70" s="925"/>
      <c r="AL70" s="925"/>
      <c r="AM70" s="925"/>
      <c r="AN70" s="925"/>
      <c r="AO70" s="925"/>
      <c r="AP70" s="925"/>
      <c r="AQ70" s="925"/>
      <c r="AR70" s="925"/>
      <c r="AS70" s="925"/>
      <c r="AT70" s="925"/>
      <c r="AU70" s="925"/>
      <c r="AV70" s="925"/>
      <c r="AW70" s="925"/>
      <c r="AX70" s="925"/>
      <c r="AY70" s="925"/>
      <c r="AZ70" s="925"/>
      <c r="BA70" s="925"/>
      <c r="BB70" s="925"/>
      <c r="BC70" s="925"/>
      <c r="BD70" s="925"/>
      <c r="BE70" s="925"/>
      <c r="BF70" s="925"/>
      <c r="BG70" s="925"/>
      <c r="BH70" s="925"/>
      <c r="BI70" s="925"/>
      <c r="BJ70" s="925"/>
      <c r="BK70" s="925"/>
      <c r="BL70" s="925"/>
      <c r="BM70" s="925"/>
      <c r="BN70" s="925"/>
      <c r="BO70" s="925"/>
      <c r="BP70" s="925"/>
      <c r="BQ70" s="925"/>
      <c r="BR70" s="925"/>
      <c r="BS70" s="925"/>
      <c r="BT70" s="925"/>
      <c r="BU70" s="925"/>
      <c r="BV70" s="925"/>
      <c r="BW70" s="925"/>
      <c r="BX70" s="925"/>
      <c r="BY70" s="925"/>
      <c r="BZ70" s="925"/>
      <c r="CA70" s="925"/>
      <c r="CB70" s="925"/>
      <c r="CC70" s="925"/>
      <c r="CD70" s="925"/>
      <c r="CE70" s="925"/>
      <c r="CF70" s="925"/>
      <c r="CG70" s="925"/>
      <c r="CH70" s="925"/>
      <c r="CI70" s="925"/>
      <c r="CJ70" s="925"/>
      <c r="CK70" s="925"/>
      <c r="CL70" s="925"/>
      <c r="CM70" s="925"/>
      <c r="CN70" s="925"/>
      <c r="CO70" s="925"/>
      <c r="CP70" s="925"/>
      <c r="CQ70" s="925"/>
      <c r="CR70" s="925"/>
      <c r="CS70" s="925"/>
      <c r="CT70" s="925"/>
      <c r="CU70" s="925"/>
      <c r="CV70" s="925"/>
      <c r="CW70" s="925"/>
      <c r="CX70" s="925"/>
      <c r="CY70" s="925"/>
      <c r="CZ70" s="925"/>
      <c r="DA70" s="925"/>
      <c r="DB70" s="925"/>
      <c r="DC70" s="925"/>
      <c r="DD70" s="925"/>
      <c r="DE70" s="925"/>
      <c r="DF70" s="925"/>
      <c r="DG70" s="925"/>
      <c r="DH70" s="925"/>
      <c r="DI70" s="925"/>
      <c r="DJ70" s="925"/>
      <c r="DK70" s="925"/>
      <c r="DL70" s="925"/>
      <c r="DM70" s="925"/>
      <c r="DN70" s="925"/>
      <c r="DO70" s="925"/>
      <c r="DP70" s="925"/>
      <c r="DQ70" s="925"/>
      <c r="DR70" s="925"/>
      <c r="DS70" s="925"/>
      <c r="DT70" s="925"/>
      <c r="DU70" s="925"/>
      <c r="DV70" s="925"/>
      <c r="DW70" s="925"/>
      <c r="DX70" s="925"/>
      <c r="DY70" s="925"/>
      <c r="DZ70" s="925"/>
      <c r="EA70" s="925"/>
      <c r="EB70" s="925"/>
      <c r="EC70" s="925"/>
      <c r="ED70" s="925"/>
      <c r="EE70" s="925"/>
      <c r="EF70" s="925"/>
      <c r="EG70" s="446"/>
    </row>
    <row r="71" spans="1:137" ht="13" x14ac:dyDescent="0.15">
      <c r="A71" s="917"/>
      <c r="B71" s="917"/>
      <c r="C71" s="918"/>
      <c r="D71" s="919"/>
      <c r="E71" s="920"/>
      <c r="F71" s="921"/>
      <c r="G71" s="922"/>
      <c r="H71" s="922"/>
      <c r="I71" s="922"/>
      <c r="J71" s="923"/>
      <c r="K71" s="923"/>
      <c r="L71" s="924"/>
      <c r="M71" s="925"/>
      <c r="N71" s="925"/>
      <c r="O71" s="925"/>
      <c r="P71" s="925"/>
      <c r="Q71" s="925"/>
      <c r="R71" s="926"/>
      <c r="S71" s="926"/>
      <c r="T71" s="925"/>
      <c r="U71" s="925"/>
      <c r="V71" s="925"/>
      <c r="W71" s="925"/>
      <c r="X71" s="925"/>
      <c r="Y71" s="925"/>
      <c r="Z71" s="925"/>
      <c r="AA71" s="925"/>
      <c r="AB71" s="925"/>
      <c r="AC71" s="925"/>
      <c r="AD71" s="925"/>
      <c r="AE71" s="925"/>
      <c r="AF71" s="925"/>
      <c r="AG71" s="925"/>
      <c r="AH71" s="925"/>
      <c r="AI71" s="925"/>
      <c r="AJ71" s="925"/>
      <c r="AK71" s="925"/>
      <c r="AL71" s="925"/>
      <c r="AM71" s="925"/>
      <c r="AN71" s="925"/>
      <c r="AO71" s="925"/>
      <c r="AP71" s="925"/>
      <c r="AQ71" s="925"/>
      <c r="AR71" s="925"/>
      <c r="AS71" s="925"/>
      <c r="AT71" s="925"/>
      <c r="AU71" s="925"/>
      <c r="AV71" s="925"/>
      <c r="AW71" s="925"/>
      <c r="AX71" s="925"/>
      <c r="AY71" s="925"/>
      <c r="AZ71" s="925"/>
      <c r="BA71" s="925"/>
      <c r="BB71" s="925"/>
      <c r="BC71" s="925"/>
      <c r="BD71" s="925"/>
      <c r="BE71" s="925"/>
      <c r="BF71" s="925"/>
      <c r="BG71" s="925"/>
      <c r="BH71" s="925"/>
      <c r="BI71" s="925"/>
      <c r="BJ71" s="925"/>
      <c r="BK71" s="925"/>
      <c r="BL71" s="925"/>
      <c r="BM71" s="925"/>
      <c r="BN71" s="925"/>
      <c r="BO71" s="925"/>
      <c r="BP71" s="925"/>
      <c r="BQ71" s="925"/>
      <c r="BR71" s="925"/>
      <c r="BS71" s="925"/>
      <c r="BT71" s="925"/>
      <c r="BU71" s="925"/>
      <c r="BV71" s="925"/>
      <c r="BW71" s="925"/>
      <c r="BX71" s="925"/>
      <c r="BY71" s="925"/>
      <c r="BZ71" s="925"/>
      <c r="CA71" s="925"/>
      <c r="CB71" s="925"/>
      <c r="CC71" s="925"/>
      <c r="CD71" s="925"/>
      <c r="CE71" s="925"/>
      <c r="CF71" s="925"/>
      <c r="CG71" s="925"/>
      <c r="CH71" s="925"/>
      <c r="CI71" s="925"/>
      <c r="CJ71" s="925"/>
      <c r="CK71" s="925"/>
      <c r="CL71" s="925"/>
      <c r="CM71" s="925"/>
      <c r="CN71" s="925"/>
      <c r="CO71" s="925"/>
      <c r="CP71" s="925"/>
      <c r="CQ71" s="925"/>
      <c r="CR71" s="925"/>
      <c r="CS71" s="925"/>
      <c r="CT71" s="925"/>
      <c r="CU71" s="925"/>
      <c r="CV71" s="925"/>
      <c r="CW71" s="925"/>
      <c r="CX71" s="925"/>
      <c r="CY71" s="925"/>
      <c r="CZ71" s="925"/>
      <c r="DA71" s="925"/>
      <c r="DB71" s="925"/>
      <c r="DC71" s="925"/>
      <c r="DD71" s="925"/>
      <c r="DE71" s="925"/>
      <c r="DF71" s="925"/>
      <c r="DG71" s="925"/>
      <c r="DH71" s="925"/>
      <c r="DI71" s="925"/>
      <c r="DJ71" s="925"/>
      <c r="DK71" s="925"/>
      <c r="DL71" s="925"/>
      <c r="DM71" s="925"/>
      <c r="DN71" s="925"/>
      <c r="DO71" s="925"/>
      <c r="DP71" s="925"/>
      <c r="DQ71" s="925"/>
      <c r="DR71" s="925"/>
      <c r="DS71" s="925"/>
      <c r="DT71" s="925"/>
      <c r="DU71" s="925"/>
      <c r="DV71" s="925"/>
      <c r="DW71" s="925"/>
      <c r="DX71" s="925"/>
      <c r="DY71" s="925"/>
      <c r="DZ71" s="925"/>
      <c r="EA71" s="925"/>
      <c r="EB71" s="925"/>
      <c r="EC71" s="925"/>
      <c r="ED71" s="925"/>
      <c r="EE71" s="925"/>
      <c r="EF71" s="925"/>
      <c r="EG71" s="446"/>
    </row>
    <row r="72" spans="1:137" ht="13" x14ac:dyDescent="0.15">
      <c r="A72" s="917"/>
      <c r="B72" s="917"/>
      <c r="C72" s="918"/>
      <c r="D72" s="919"/>
      <c r="E72" s="920"/>
      <c r="F72" s="921"/>
      <c r="G72" s="922"/>
      <c r="H72" s="922"/>
      <c r="I72" s="922"/>
      <c r="J72" s="923"/>
      <c r="K72" s="923"/>
      <c r="L72" s="924"/>
      <c r="M72" s="925"/>
      <c r="N72" s="925"/>
      <c r="O72" s="925"/>
      <c r="P72" s="925"/>
      <c r="Q72" s="925"/>
      <c r="R72" s="926"/>
      <c r="S72" s="926"/>
      <c r="T72" s="925"/>
      <c r="U72" s="925"/>
      <c r="V72" s="925"/>
      <c r="W72" s="925"/>
      <c r="X72" s="925"/>
      <c r="Y72" s="925"/>
      <c r="Z72" s="925"/>
      <c r="AA72" s="925"/>
      <c r="AB72" s="925"/>
      <c r="AC72" s="925"/>
      <c r="AD72" s="925"/>
      <c r="AE72" s="925"/>
      <c r="AF72" s="925"/>
      <c r="AG72" s="925"/>
      <c r="AH72" s="925"/>
      <c r="AI72" s="925"/>
      <c r="AJ72" s="925"/>
      <c r="AK72" s="925"/>
      <c r="AL72" s="925"/>
      <c r="AM72" s="925"/>
      <c r="AN72" s="925"/>
      <c r="AO72" s="925"/>
      <c r="AP72" s="925"/>
      <c r="AQ72" s="925"/>
      <c r="AR72" s="925"/>
      <c r="AS72" s="925"/>
      <c r="AT72" s="925"/>
      <c r="AU72" s="925"/>
      <c r="AV72" s="925"/>
      <c r="AW72" s="925"/>
      <c r="AX72" s="925"/>
      <c r="AY72" s="925"/>
      <c r="AZ72" s="925"/>
      <c r="BA72" s="925"/>
      <c r="BB72" s="925"/>
      <c r="BC72" s="925"/>
      <c r="BD72" s="925"/>
      <c r="BE72" s="925"/>
      <c r="BF72" s="925"/>
      <c r="BG72" s="925"/>
      <c r="BH72" s="925"/>
      <c r="BI72" s="925"/>
      <c r="BJ72" s="925"/>
      <c r="BK72" s="925"/>
      <c r="BL72" s="925"/>
      <c r="BM72" s="925"/>
      <c r="BN72" s="925"/>
      <c r="BO72" s="925"/>
      <c r="BP72" s="925"/>
      <c r="BQ72" s="925"/>
      <c r="BR72" s="925"/>
      <c r="BS72" s="925"/>
      <c r="BT72" s="925"/>
      <c r="BU72" s="925"/>
      <c r="BV72" s="925"/>
      <c r="BW72" s="925"/>
      <c r="BX72" s="925"/>
      <c r="BY72" s="925"/>
      <c r="BZ72" s="925"/>
      <c r="CA72" s="925"/>
      <c r="CB72" s="925"/>
      <c r="CC72" s="925"/>
      <c r="CD72" s="925"/>
      <c r="CE72" s="925"/>
      <c r="CF72" s="925"/>
      <c r="CG72" s="925"/>
      <c r="CH72" s="925"/>
      <c r="CI72" s="925"/>
      <c r="CJ72" s="925"/>
      <c r="CK72" s="925"/>
      <c r="CL72" s="925"/>
      <c r="CM72" s="925"/>
      <c r="CN72" s="925"/>
      <c r="CO72" s="925"/>
      <c r="CP72" s="925"/>
      <c r="CQ72" s="925"/>
      <c r="CR72" s="925"/>
      <c r="CS72" s="925"/>
      <c r="CT72" s="925"/>
      <c r="CU72" s="925"/>
      <c r="CV72" s="925"/>
      <c r="CW72" s="925"/>
      <c r="CX72" s="925"/>
      <c r="CY72" s="925"/>
      <c r="CZ72" s="925"/>
      <c r="DA72" s="925"/>
      <c r="DB72" s="925"/>
      <c r="DC72" s="925"/>
      <c r="DD72" s="925"/>
      <c r="DE72" s="925"/>
      <c r="DF72" s="925"/>
      <c r="DG72" s="925"/>
      <c r="DH72" s="925"/>
      <c r="DI72" s="925"/>
      <c r="DJ72" s="925"/>
      <c r="DK72" s="925"/>
      <c r="DL72" s="925"/>
      <c r="DM72" s="925"/>
      <c r="DN72" s="925"/>
      <c r="DO72" s="925"/>
      <c r="DP72" s="925"/>
      <c r="DQ72" s="925"/>
      <c r="DR72" s="925"/>
      <c r="DS72" s="925"/>
      <c r="DT72" s="925"/>
      <c r="DU72" s="925"/>
      <c r="DV72" s="925"/>
      <c r="DW72" s="925"/>
      <c r="DX72" s="925"/>
      <c r="DY72" s="925"/>
      <c r="DZ72" s="925"/>
      <c r="EA72" s="925"/>
      <c r="EB72" s="925"/>
      <c r="EC72" s="925"/>
      <c r="ED72" s="925"/>
      <c r="EE72" s="925"/>
      <c r="EF72" s="925"/>
      <c r="EG72" s="446"/>
    </row>
    <row r="73" spans="1:137" ht="13" x14ac:dyDescent="0.15">
      <c r="A73" s="917"/>
      <c r="B73" s="917"/>
      <c r="C73" s="918"/>
      <c r="D73" s="919"/>
      <c r="E73" s="920"/>
      <c r="F73" s="921"/>
      <c r="G73" s="922"/>
      <c r="H73" s="922"/>
      <c r="I73" s="922"/>
      <c r="J73" s="923"/>
      <c r="K73" s="923"/>
      <c r="L73" s="924"/>
      <c r="M73" s="925"/>
      <c r="N73" s="925"/>
      <c r="O73" s="925"/>
      <c r="P73" s="925"/>
      <c r="Q73" s="925"/>
      <c r="R73" s="926"/>
      <c r="S73" s="926"/>
      <c r="T73" s="925"/>
      <c r="U73" s="925"/>
      <c r="V73" s="925"/>
      <c r="W73" s="925"/>
      <c r="X73" s="925"/>
      <c r="Y73" s="925"/>
      <c r="Z73" s="925"/>
      <c r="AA73" s="925"/>
      <c r="AB73" s="925"/>
      <c r="AC73" s="925"/>
      <c r="AD73" s="925"/>
      <c r="AE73" s="925"/>
      <c r="AF73" s="925"/>
      <c r="AG73" s="925"/>
      <c r="AH73" s="925"/>
      <c r="AI73" s="925"/>
      <c r="AJ73" s="925"/>
      <c r="AK73" s="925"/>
      <c r="AL73" s="925"/>
      <c r="AM73" s="925"/>
      <c r="AN73" s="925"/>
      <c r="AO73" s="925"/>
      <c r="AP73" s="925"/>
      <c r="AQ73" s="925"/>
      <c r="AR73" s="925"/>
      <c r="AS73" s="925"/>
      <c r="AT73" s="925"/>
      <c r="AU73" s="925"/>
      <c r="AV73" s="925"/>
      <c r="AW73" s="925"/>
      <c r="AX73" s="925"/>
      <c r="AY73" s="925"/>
      <c r="AZ73" s="925"/>
      <c r="BA73" s="925"/>
      <c r="BB73" s="925"/>
      <c r="BC73" s="925"/>
      <c r="BD73" s="925"/>
      <c r="BE73" s="925"/>
      <c r="BF73" s="925"/>
      <c r="BG73" s="925"/>
      <c r="BH73" s="925"/>
      <c r="BI73" s="925"/>
      <c r="BJ73" s="925"/>
      <c r="BK73" s="925"/>
      <c r="BL73" s="925"/>
      <c r="BM73" s="925"/>
      <c r="BN73" s="925"/>
      <c r="BO73" s="925"/>
      <c r="BP73" s="925"/>
      <c r="BQ73" s="925"/>
      <c r="BR73" s="925"/>
      <c r="BS73" s="925"/>
      <c r="BT73" s="925"/>
      <c r="BU73" s="925"/>
      <c r="BV73" s="925"/>
      <c r="BW73" s="925"/>
      <c r="BX73" s="925"/>
      <c r="BY73" s="925"/>
      <c r="BZ73" s="925"/>
      <c r="CA73" s="925"/>
      <c r="CB73" s="925"/>
      <c r="CC73" s="925"/>
      <c r="CD73" s="925"/>
      <c r="CE73" s="925"/>
      <c r="CF73" s="925"/>
      <c r="CG73" s="925"/>
      <c r="CH73" s="925"/>
      <c r="CI73" s="925"/>
      <c r="CJ73" s="925"/>
      <c r="CK73" s="925"/>
      <c r="CL73" s="925"/>
      <c r="CM73" s="925"/>
      <c r="CN73" s="925"/>
      <c r="CO73" s="925"/>
      <c r="CP73" s="925"/>
      <c r="CQ73" s="925"/>
      <c r="CR73" s="925"/>
      <c r="CS73" s="925"/>
      <c r="CT73" s="925"/>
      <c r="CU73" s="925"/>
      <c r="CV73" s="925"/>
      <c r="CW73" s="925"/>
      <c r="CX73" s="925"/>
      <c r="CY73" s="925"/>
      <c r="CZ73" s="925"/>
      <c r="DA73" s="925"/>
      <c r="DB73" s="925"/>
      <c r="DC73" s="925"/>
      <c r="DD73" s="925"/>
      <c r="DE73" s="925"/>
      <c r="DF73" s="925"/>
      <c r="DG73" s="925"/>
      <c r="DH73" s="925"/>
      <c r="DI73" s="925"/>
      <c r="DJ73" s="925"/>
      <c r="DK73" s="925"/>
      <c r="DL73" s="925"/>
      <c r="DM73" s="925"/>
      <c r="DN73" s="925"/>
      <c r="DO73" s="925"/>
      <c r="DP73" s="925"/>
      <c r="DQ73" s="925"/>
      <c r="DR73" s="925"/>
      <c r="DS73" s="925"/>
      <c r="DT73" s="925"/>
      <c r="DU73" s="925"/>
      <c r="DV73" s="925"/>
      <c r="DW73" s="925"/>
      <c r="DX73" s="925"/>
      <c r="DY73" s="925"/>
      <c r="DZ73" s="925"/>
      <c r="EA73" s="925"/>
      <c r="EB73" s="925"/>
      <c r="EC73" s="925"/>
      <c r="ED73" s="925"/>
      <c r="EE73" s="925"/>
      <c r="EF73" s="925"/>
      <c r="EG73" s="446"/>
    </row>
    <row r="74" spans="1:137" ht="13" x14ac:dyDescent="0.15">
      <c r="A74" s="917"/>
      <c r="B74" s="917"/>
      <c r="C74" s="918"/>
      <c r="D74" s="919"/>
      <c r="E74" s="920"/>
      <c r="F74" s="921"/>
      <c r="G74" s="922"/>
      <c r="H74" s="922"/>
      <c r="I74" s="922"/>
      <c r="J74" s="923"/>
      <c r="K74" s="923"/>
      <c r="L74" s="924"/>
      <c r="M74" s="925"/>
      <c r="N74" s="925"/>
      <c r="O74" s="925"/>
      <c r="P74" s="925"/>
      <c r="Q74" s="925"/>
      <c r="R74" s="926"/>
      <c r="S74" s="926"/>
      <c r="T74" s="925"/>
      <c r="U74" s="925"/>
      <c r="V74" s="925"/>
      <c r="W74" s="925"/>
      <c r="X74" s="925"/>
      <c r="Y74" s="925"/>
      <c r="Z74" s="925"/>
      <c r="AA74" s="925"/>
      <c r="AB74" s="925"/>
      <c r="AC74" s="925"/>
      <c r="AD74" s="925"/>
      <c r="AE74" s="925"/>
      <c r="AF74" s="925"/>
      <c r="AG74" s="925"/>
      <c r="AH74" s="925"/>
      <c r="AI74" s="925"/>
      <c r="AJ74" s="925"/>
      <c r="AK74" s="925"/>
      <c r="AL74" s="925"/>
      <c r="AM74" s="925"/>
      <c r="AN74" s="925"/>
      <c r="AO74" s="925"/>
      <c r="AP74" s="925"/>
      <c r="AQ74" s="925"/>
      <c r="AR74" s="925"/>
      <c r="AS74" s="925"/>
      <c r="AT74" s="925"/>
      <c r="AU74" s="925"/>
      <c r="AV74" s="925"/>
      <c r="AW74" s="925"/>
      <c r="AX74" s="925"/>
      <c r="AY74" s="925"/>
      <c r="AZ74" s="925"/>
      <c r="BA74" s="925"/>
      <c r="BB74" s="925"/>
      <c r="BC74" s="925"/>
      <c r="BD74" s="925"/>
      <c r="BE74" s="925"/>
      <c r="BF74" s="925"/>
      <c r="BG74" s="925"/>
      <c r="BH74" s="925"/>
      <c r="BI74" s="925"/>
      <c r="BJ74" s="925"/>
      <c r="BK74" s="925"/>
      <c r="BL74" s="925"/>
      <c r="BM74" s="925"/>
      <c r="BN74" s="925"/>
      <c r="BO74" s="925"/>
      <c r="BP74" s="925"/>
      <c r="BQ74" s="925"/>
      <c r="BR74" s="925"/>
      <c r="BS74" s="925"/>
      <c r="BT74" s="925"/>
      <c r="BU74" s="925"/>
      <c r="BV74" s="925"/>
      <c r="BW74" s="925"/>
      <c r="BX74" s="925"/>
      <c r="BY74" s="925"/>
      <c r="BZ74" s="925"/>
      <c r="CA74" s="925"/>
      <c r="CB74" s="925"/>
      <c r="CC74" s="925"/>
      <c r="CD74" s="925"/>
      <c r="CE74" s="925"/>
      <c r="CF74" s="925"/>
      <c r="CG74" s="925"/>
      <c r="CH74" s="925"/>
      <c r="CI74" s="925"/>
      <c r="CJ74" s="925"/>
      <c r="CK74" s="925"/>
      <c r="CL74" s="925"/>
      <c r="CM74" s="925"/>
      <c r="CN74" s="925"/>
      <c r="CO74" s="925"/>
      <c r="CP74" s="925"/>
      <c r="CQ74" s="925"/>
      <c r="CR74" s="925"/>
      <c r="CS74" s="925"/>
      <c r="CT74" s="925"/>
      <c r="CU74" s="925"/>
      <c r="CV74" s="925"/>
      <c r="CW74" s="925"/>
      <c r="CX74" s="925"/>
      <c r="CY74" s="925"/>
      <c r="CZ74" s="925"/>
      <c r="DA74" s="925"/>
      <c r="DB74" s="925"/>
      <c r="DC74" s="925"/>
      <c r="DD74" s="925"/>
      <c r="DE74" s="925"/>
      <c r="DF74" s="925"/>
      <c r="DG74" s="925"/>
      <c r="DH74" s="925"/>
      <c r="DI74" s="925"/>
      <c r="DJ74" s="925"/>
      <c r="DK74" s="925"/>
      <c r="DL74" s="925"/>
      <c r="DM74" s="925"/>
      <c r="DN74" s="925"/>
      <c r="DO74" s="925"/>
      <c r="DP74" s="925"/>
      <c r="DQ74" s="925"/>
      <c r="DR74" s="925"/>
      <c r="DS74" s="925"/>
      <c r="DT74" s="925"/>
      <c r="DU74" s="925"/>
      <c r="DV74" s="925"/>
      <c r="DW74" s="925"/>
      <c r="DX74" s="925"/>
      <c r="DY74" s="925"/>
      <c r="DZ74" s="925"/>
      <c r="EA74" s="925"/>
      <c r="EB74" s="925"/>
      <c r="EC74" s="925"/>
      <c r="ED74" s="925"/>
      <c r="EE74" s="925"/>
      <c r="EF74" s="925"/>
      <c r="EG74" s="446"/>
    </row>
    <row r="75" spans="1:137" ht="13" x14ac:dyDescent="0.15">
      <c r="A75" s="917"/>
      <c r="B75" s="917"/>
      <c r="C75" s="918"/>
      <c r="D75" s="919"/>
      <c r="E75" s="920"/>
      <c r="F75" s="921"/>
      <c r="G75" s="922"/>
      <c r="H75" s="922"/>
      <c r="I75" s="922"/>
      <c r="J75" s="923"/>
      <c r="K75" s="923"/>
      <c r="L75" s="924"/>
      <c r="M75" s="925"/>
      <c r="N75" s="925"/>
      <c r="O75" s="925"/>
      <c r="P75" s="925"/>
      <c r="Q75" s="925"/>
      <c r="R75" s="926"/>
      <c r="S75" s="926"/>
      <c r="T75" s="925"/>
      <c r="U75" s="925"/>
      <c r="V75" s="925"/>
      <c r="W75" s="925"/>
      <c r="X75" s="925"/>
      <c r="Y75" s="925"/>
      <c r="Z75" s="925"/>
      <c r="AA75" s="925"/>
      <c r="AB75" s="925"/>
      <c r="AC75" s="925"/>
      <c r="AD75" s="925"/>
      <c r="AE75" s="925"/>
      <c r="AF75" s="925"/>
      <c r="AG75" s="925"/>
      <c r="AH75" s="925"/>
      <c r="AI75" s="925"/>
      <c r="AJ75" s="925"/>
      <c r="AK75" s="925"/>
      <c r="AL75" s="925"/>
      <c r="AM75" s="925"/>
      <c r="AN75" s="925"/>
      <c r="AO75" s="925"/>
      <c r="AP75" s="925"/>
      <c r="AQ75" s="925"/>
      <c r="AR75" s="925"/>
      <c r="AS75" s="925"/>
      <c r="AT75" s="925"/>
      <c r="AU75" s="925"/>
      <c r="AV75" s="925"/>
      <c r="AW75" s="925"/>
      <c r="AX75" s="925"/>
      <c r="AY75" s="925"/>
      <c r="AZ75" s="925"/>
      <c r="BA75" s="925"/>
      <c r="BB75" s="925"/>
      <c r="BC75" s="925"/>
      <c r="BD75" s="925"/>
      <c r="BE75" s="925"/>
      <c r="BF75" s="925"/>
      <c r="BG75" s="925"/>
      <c r="BH75" s="925"/>
      <c r="BI75" s="925"/>
      <c r="BJ75" s="925"/>
      <c r="BK75" s="925"/>
      <c r="BL75" s="925"/>
      <c r="BM75" s="925"/>
      <c r="BN75" s="925"/>
      <c r="BO75" s="925"/>
      <c r="BP75" s="925"/>
      <c r="BQ75" s="925"/>
      <c r="BR75" s="925"/>
      <c r="BS75" s="925"/>
      <c r="BT75" s="925"/>
      <c r="BU75" s="925"/>
      <c r="BV75" s="925"/>
      <c r="BW75" s="925"/>
      <c r="BX75" s="925"/>
      <c r="BY75" s="925"/>
      <c r="BZ75" s="925"/>
      <c r="CA75" s="925"/>
      <c r="CB75" s="925"/>
      <c r="CC75" s="925"/>
      <c r="CD75" s="925"/>
      <c r="CE75" s="925"/>
      <c r="CF75" s="925"/>
      <c r="CG75" s="925"/>
      <c r="CH75" s="925"/>
      <c r="CI75" s="925"/>
      <c r="CJ75" s="925"/>
      <c r="CK75" s="925"/>
      <c r="CL75" s="925"/>
      <c r="CM75" s="925"/>
      <c r="CN75" s="925"/>
      <c r="CO75" s="925"/>
      <c r="CP75" s="925"/>
      <c r="CQ75" s="925"/>
      <c r="CR75" s="925"/>
      <c r="CS75" s="925"/>
      <c r="CT75" s="925"/>
      <c r="CU75" s="925"/>
      <c r="CV75" s="925"/>
      <c r="CW75" s="925"/>
      <c r="CX75" s="925"/>
      <c r="CY75" s="925"/>
      <c r="CZ75" s="925"/>
      <c r="DA75" s="925"/>
      <c r="DB75" s="925"/>
      <c r="DC75" s="925"/>
      <c r="DD75" s="925"/>
      <c r="DE75" s="925"/>
      <c r="DF75" s="925"/>
      <c r="DG75" s="925"/>
      <c r="DH75" s="925"/>
      <c r="DI75" s="925"/>
      <c r="DJ75" s="925"/>
      <c r="DK75" s="925"/>
      <c r="DL75" s="925"/>
      <c r="DM75" s="925"/>
      <c r="DN75" s="925"/>
      <c r="DO75" s="925"/>
      <c r="DP75" s="925"/>
      <c r="DQ75" s="925"/>
      <c r="DR75" s="925"/>
      <c r="DS75" s="925"/>
      <c r="DT75" s="925"/>
      <c r="DU75" s="925"/>
      <c r="DV75" s="925"/>
      <c r="DW75" s="925"/>
      <c r="DX75" s="925"/>
      <c r="DY75" s="925"/>
      <c r="DZ75" s="925"/>
      <c r="EA75" s="925"/>
      <c r="EB75" s="925"/>
      <c r="EC75" s="925"/>
      <c r="ED75" s="925"/>
      <c r="EE75" s="925"/>
      <c r="EF75" s="925"/>
      <c r="EG75" s="446"/>
    </row>
    <row r="76" spans="1:137" ht="13" x14ac:dyDescent="0.15">
      <c r="A76" s="917"/>
      <c r="B76" s="917"/>
      <c r="C76" s="918"/>
      <c r="D76" s="919"/>
      <c r="E76" s="920"/>
      <c r="F76" s="921"/>
      <c r="G76" s="922"/>
      <c r="H76" s="922"/>
      <c r="I76" s="922"/>
      <c r="J76" s="923"/>
      <c r="K76" s="923"/>
      <c r="L76" s="924"/>
      <c r="M76" s="925"/>
      <c r="N76" s="925"/>
      <c r="O76" s="925"/>
      <c r="P76" s="925"/>
      <c r="Q76" s="925"/>
      <c r="R76" s="926"/>
      <c r="S76" s="926"/>
      <c r="T76" s="925"/>
      <c r="U76" s="925"/>
      <c r="V76" s="925"/>
      <c r="W76" s="925"/>
      <c r="X76" s="925"/>
      <c r="Y76" s="925"/>
      <c r="Z76" s="925"/>
      <c r="AA76" s="925"/>
      <c r="AB76" s="925"/>
      <c r="AC76" s="925"/>
      <c r="AD76" s="925"/>
      <c r="AE76" s="925"/>
      <c r="AF76" s="925"/>
      <c r="AG76" s="925"/>
      <c r="AH76" s="925"/>
      <c r="AI76" s="925"/>
      <c r="AJ76" s="925"/>
      <c r="AK76" s="925"/>
      <c r="AL76" s="925"/>
      <c r="AM76" s="925"/>
      <c r="AN76" s="925"/>
      <c r="AO76" s="925"/>
      <c r="AP76" s="925"/>
      <c r="AQ76" s="925"/>
      <c r="AR76" s="925"/>
      <c r="AS76" s="925"/>
      <c r="AT76" s="925"/>
      <c r="AU76" s="925"/>
      <c r="AV76" s="925"/>
      <c r="AW76" s="925"/>
      <c r="AX76" s="925"/>
      <c r="AY76" s="925"/>
      <c r="AZ76" s="925"/>
      <c r="BA76" s="925"/>
      <c r="BB76" s="925"/>
      <c r="BC76" s="925"/>
      <c r="BD76" s="925"/>
      <c r="BE76" s="925"/>
      <c r="BF76" s="925"/>
      <c r="BG76" s="925"/>
      <c r="BH76" s="925"/>
      <c r="BI76" s="925"/>
      <c r="BJ76" s="925"/>
      <c r="BK76" s="925"/>
      <c r="BL76" s="925"/>
      <c r="BM76" s="925"/>
      <c r="BN76" s="925"/>
      <c r="BO76" s="925"/>
      <c r="BP76" s="925"/>
      <c r="BQ76" s="925"/>
      <c r="BR76" s="925"/>
      <c r="BS76" s="925"/>
      <c r="BT76" s="925"/>
      <c r="BU76" s="925"/>
      <c r="BV76" s="925"/>
      <c r="BW76" s="925"/>
      <c r="BX76" s="925"/>
      <c r="BY76" s="925"/>
      <c r="BZ76" s="925"/>
      <c r="CA76" s="925"/>
      <c r="CB76" s="925"/>
      <c r="CC76" s="925"/>
      <c r="CD76" s="925"/>
      <c r="CE76" s="925"/>
      <c r="CF76" s="925"/>
      <c r="CG76" s="925"/>
      <c r="CH76" s="925"/>
      <c r="CI76" s="925"/>
      <c r="CJ76" s="925"/>
      <c r="CK76" s="925"/>
      <c r="CL76" s="925"/>
      <c r="CM76" s="925"/>
      <c r="CN76" s="925"/>
      <c r="CO76" s="925"/>
      <c r="CP76" s="925"/>
      <c r="CQ76" s="925"/>
      <c r="CR76" s="925"/>
      <c r="CS76" s="925"/>
      <c r="CT76" s="925"/>
      <c r="CU76" s="925"/>
      <c r="CV76" s="925"/>
      <c r="CW76" s="925"/>
      <c r="CX76" s="925"/>
      <c r="CY76" s="925"/>
      <c r="CZ76" s="925"/>
      <c r="DA76" s="925"/>
      <c r="DB76" s="925"/>
      <c r="DC76" s="925"/>
      <c r="DD76" s="925"/>
      <c r="DE76" s="925"/>
      <c r="DF76" s="925"/>
      <c r="DG76" s="925"/>
      <c r="DH76" s="925"/>
      <c r="DI76" s="925"/>
      <c r="DJ76" s="925"/>
      <c r="DK76" s="925"/>
      <c r="DL76" s="925"/>
      <c r="DM76" s="925"/>
      <c r="DN76" s="925"/>
      <c r="DO76" s="925"/>
      <c r="DP76" s="925"/>
      <c r="DQ76" s="925"/>
      <c r="DR76" s="925"/>
      <c r="DS76" s="925"/>
      <c r="DT76" s="925"/>
      <c r="DU76" s="925"/>
      <c r="DV76" s="925"/>
      <c r="DW76" s="925"/>
      <c r="DX76" s="925"/>
      <c r="DY76" s="925"/>
      <c r="DZ76" s="925"/>
      <c r="EA76" s="925"/>
      <c r="EB76" s="925"/>
      <c r="EC76" s="925"/>
      <c r="ED76" s="925"/>
      <c r="EE76" s="925"/>
      <c r="EF76" s="925"/>
      <c r="EG76" s="446"/>
    </row>
    <row r="77" spans="1:137" ht="13" x14ac:dyDescent="0.15">
      <c r="A77" s="917"/>
      <c r="B77" s="917"/>
      <c r="C77" s="918"/>
      <c r="D77" s="919"/>
      <c r="E77" s="920"/>
      <c r="F77" s="921"/>
      <c r="G77" s="922"/>
      <c r="H77" s="922"/>
      <c r="I77" s="922"/>
      <c r="J77" s="923"/>
      <c r="K77" s="923"/>
      <c r="L77" s="924"/>
      <c r="M77" s="925"/>
      <c r="N77" s="925"/>
      <c r="O77" s="925"/>
      <c r="P77" s="925"/>
      <c r="Q77" s="925"/>
      <c r="R77" s="926"/>
      <c r="S77" s="926"/>
      <c r="T77" s="925"/>
      <c r="U77" s="925"/>
      <c r="V77" s="925"/>
      <c r="W77" s="925"/>
      <c r="X77" s="925"/>
      <c r="Y77" s="925"/>
      <c r="Z77" s="925"/>
      <c r="AA77" s="925"/>
      <c r="AB77" s="925"/>
      <c r="AC77" s="925"/>
      <c r="AD77" s="925"/>
      <c r="AE77" s="925"/>
      <c r="AF77" s="925"/>
      <c r="AG77" s="925"/>
      <c r="AH77" s="925"/>
      <c r="AI77" s="925"/>
      <c r="AJ77" s="925"/>
      <c r="AK77" s="925"/>
      <c r="AL77" s="925"/>
      <c r="AM77" s="925"/>
      <c r="AN77" s="925"/>
      <c r="AO77" s="925"/>
      <c r="AP77" s="925"/>
      <c r="AQ77" s="925"/>
      <c r="AR77" s="925"/>
      <c r="AS77" s="925"/>
      <c r="AT77" s="925"/>
      <c r="AU77" s="925"/>
      <c r="AV77" s="925"/>
      <c r="AW77" s="925"/>
      <c r="AX77" s="925"/>
      <c r="AY77" s="925"/>
      <c r="AZ77" s="925"/>
      <c r="BA77" s="925"/>
      <c r="BB77" s="925"/>
      <c r="BC77" s="925"/>
      <c r="BD77" s="925"/>
      <c r="BE77" s="925"/>
      <c r="BF77" s="925"/>
      <c r="BG77" s="925"/>
      <c r="BH77" s="925"/>
      <c r="BI77" s="925"/>
      <c r="BJ77" s="925"/>
      <c r="BK77" s="925"/>
      <c r="BL77" s="925"/>
      <c r="BM77" s="925"/>
      <c r="BN77" s="925"/>
      <c r="BO77" s="925"/>
      <c r="BP77" s="925"/>
      <c r="BQ77" s="925"/>
      <c r="BR77" s="925"/>
      <c r="BS77" s="925"/>
      <c r="BT77" s="925"/>
      <c r="BU77" s="925"/>
      <c r="BV77" s="925"/>
      <c r="BW77" s="925"/>
      <c r="BX77" s="925"/>
      <c r="BY77" s="925"/>
      <c r="BZ77" s="925"/>
      <c r="CA77" s="925"/>
      <c r="CB77" s="925"/>
      <c r="CC77" s="925"/>
      <c r="CD77" s="925"/>
      <c r="CE77" s="925"/>
      <c r="CF77" s="925"/>
      <c r="CG77" s="925"/>
      <c r="CH77" s="925"/>
      <c r="CI77" s="925"/>
      <c r="CJ77" s="925"/>
      <c r="CK77" s="925"/>
      <c r="CL77" s="925"/>
      <c r="CM77" s="925"/>
      <c r="CN77" s="925"/>
      <c r="CO77" s="925"/>
      <c r="CP77" s="925"/>
      <c r="CQ77" s="925"/>
      <c r="CR77" s="925"/>
      <c r="CS77" s="925"/>
      <c r="CT77" s="925"/>
      <c r="CU77" s="925"/>
      <c r="CV77" s="925"/>
      <c r="CW77" s="925"/>
      <c r="CX77" s="925"/>
      <c r="CY77" s="925"/>
      <c r="CZ77" s="925"/>
      <c r="DA77" s="925"/>
      <c r="DB77" s="925"/>
      <c r="DC77" s="925"/>
      <c r="DD77" s="925"/>
      <c r="DE77" s="925"/>
      <c r="DF77" s="925"/>
      <c r="DG77" s="925"/>
      <c r="DH77" s="925"/>
      <c r="DI77" s="925"/>
      <c r="DJ77" s="925"/>
      <c r="DK77" s="925"/>
      <c r="DL77" s="925"/>
      <c r="DM77" s="925"/>
      <c r="DN77" s="925"/>
      <c r="DO77" s="925"/>
      <c r="DP77" s="925"/>
      <c r="DQ77" s="925"/>
      <c r="DR77" s="925"/>
      <c r="DS77" s="925"/>
      <c r="DT77" s="925"/>
      <c r="DU77" s="925"/>
      <c r="DV77" s="925"/>
      <c r="DW77" s="925"/>
      <c r="DX77" s="925"/>
      <c r="DY77" s="925"/>
      <c r="DZ77" s="925"/>
      <c r="EA77" s="925"/>
      <c r="EB77" s="925"/>
      <c r="EC77" s="925"/>
      <c r="ED77" s="925"/>
      <c r="EE77" s="925"/>
      <c r="EF77" s="925"/>
      <c r="EG77" s="446"/>
    </row>
    <row r="78" spans="1:137" ht="13" x14ac:dyDescent="0.15">
      <c r="A78" s="917"/>
      <c r="B78" s="917"/>
      <c r="C78" s="918"/>
      <c r="D78" s="919"/>
      <c r="E78" s="920"/>
      <c r="F78" s="921"/>
      <c r="G78" s="922"/>
      <c r="H78" s="922"/>
      <c r="I78" s="922"/>
      <c r="J78" s="923"/>
      <c r="K78" s="923"/>
      <c r="L78" s="924"/>
      <c r="M78" s="925"/>
      <c r="N78" s="925"/>
      <c r="O78" s="925"/>
      <c r="P78" s="925"/>
      <c r="Q78" s="925"/>
      <c r="R78" s="926"/>
      <c r="S78" s="926"/>
      <c r="T78" s="925"/>
      <c r="U78" s="925"/>
      <c r="V78" s="925"/>
      <c r="W78" s="925"/>
      <c r="X78" s="925"/>
      <c r="Y78" s="925"/>
      <c r="Z78" s="925"/>
      <c r="AA78" s="925"/>
      <c r="AB78" s="925"/>
      <c r="AC78" s="925"/>
      <c r="AD78" s="925"/>
      <c r="AE78" s="925"/>
      <c r="AF78" s="925"/>
      <c r="AG78" s="925"/>
      <c r="AH78" s="925"/>
      <c r="AI78" s="925"/>
      <c r="AJ78" s="925"/>
      <c r="AK78" s="925"/>
      <c r="AL78" s="925"/>
      <c r="AM78" s="925"/>
      <c r="AN78" s="925"/>
      <c r="AO78" s="925"/>
      <c r="AP78" s="925"/>
      <c r="AQ78" s="925"/>
      <c r="AR78" s="925"/>
      <c r="AS78" s="925"/>
      <c r="AT78" s="925"/>
      <c r="AU78" s="925"/>
      <c r="AV78" s="925"/>
      <c r="AW78" s="925"/>
      <c r="AX78" s="925"/>
      <c r="AY78" s="925"/>
      <c r="AZ78" s="925"/>
      <c r="BA78" s="925"/>
      <c r="BB78" s="925"/>
      <c r="BC78" s="925"/>
      <c r="BD78" s="925"/>
      <c r="BE78" s="925"/>
      <c r="BF78" s="925"/>
      <c r="BG78" s="925"/>
      <c r="BH78" s="925"/>
      <c r="BI78" s="925"/>
      <c r="BJ78" s="925"/>
      <c r="BK78" s="925"/>
      <c r="BL78" s="925"/>
      <c r="BM78" s="925"/>
      <c r="BN78" s="925"/>
      <c r="BO78" s="925"/>
      <c r="BP78" s="925"/>
      <c r="BQ78" s="925"/>
      <c r="BR78" s="925"/>
      <c r="BS78" s="925"/>
      <c r="BT78" s="925"/>
      <c r="BU78" s="925"/>
      <c r="BV78" s="925"/>
      <c r="BW78" s="925"/>
      <c r="BX78" s="925"/>
      <c r="BY78" s="925"/>
      <c r="BZ78" s="925"/>
      <c r="CA78" s="925"/>
      <c r="CB78" s="925"/>
      <c r="CC78" s="925"/>
      <c r="CD78" s="925"/>
      <c r="CE78" s="925"/>
      <c r="CF78" s="925"/>
      <c r="CG78" s="925"/>
      <c r="CH78" s="925"/>
      <c r="CI78" s="925"/>
      <c r="CJ78" s="925"/>
      <c r="CK78" s="925"/>
      <c r="CL78" s="925"/>
      <c r="CM78" s="925"/>
      <c r="CN78" s="925"/>
      <c r="CO78" s="925"/>
      <c r="CP78" s="925"/>
      <c r="CQ78" s="925"/>
      <c r="CR78" s="925"/>
      <c r="CS78" s="925"/>
      <c r="CT78" s="925"/>
      <c r="CU78" s="925"/>
      <c r="CV78" s="925"/>
      <c r="CW78" s="925"/>
      <c r="CX78" s="925"/>
      <c r="CY78" s="925"/>
      <c r="CZ78" s="925"/>
      <c r="DA78" s="925"/>
      <c r="DB78" s="925"/>
      <c r="DC78" s="925"/>
      <c r="DD78" s="925"/>
      <c r="DE78" s="925"/>
      <c r="DF78" s="925"/>
      <c r="DG78" s="925"/>
      <c r="DH78" s="925"/>
      <c r="DI78" s="925"/>
      <c r="DJ78" s="925"/>
      <c r="DK78" s="925"/>
      <c r="DL78" s="925"/>
      <c r="DM78" s="925"/>
      <c r="DN78" s="925"/>
      <c r="DO78" s="925"/>
      <c r="DP78" s="925"/>
      <c r="DQ78" s="925"/>
      <c r="DR78" s="925"/>
      <c r="DS78" s="925"/>
      <c r="DT78" s="925"/>
      <c r="DU78" s="925"/>
      <c r="DV78" s="925"/>
      <c r="DW78" s="925"/>
      <c r="DX78" s="925"/>
      <c r="DY78" s="925"/>
      <c r="DZ78" s="925"/>
      <c r="EA78" s="925"/>
      <c r="EB78" s="925"/>
      <c r="EC78" s="925"/>
      <c r="ED78" s="925"/>
      <c r="EE78" s="925"/>
      <c r="EF78" s="925"/>
      <c r="EG78" s="446"/>
    </row>
    <row r="79" spans="1:137" ht="13" x14ac:dyDescent="0.15">
      <c r="A79" s="917"/>
      <c r="B79" s="917"/>
      <c r="C79" s="918"/>
      <c r="D79" s="919"/>
      <c r="E79" s="920"/>
      <c r="F79" s="921"/>
      <c r="G79" s="922"/>
      <c r="H79" s="922"/>
      <c r="I79" s="922"/>
      <c r="J79" s="923"/>
      <c r="K79" s="923"/>
      <c r="L79" s="924"/>
      <c r="M79" s="925"/>
      <c r="N79" s="925"/>
      <c r="O79" s="925"/>
      <c r="P79" s="925"/>
      <c r="Q79" s="925"/>
      <c r="R79" s="926"/>
      <c r="S79" s="926"/>
      <c r="T79" s="925"/>
      <c r="U79" s="925"/>
      <c r="V79" s="925"/>
      <c r="W79" s="925"/>
      <c r="X79" s="925"/>
      <c r="Y79" s="925"/>
      <c r="Z79" s="925"/>
      <c r="AA79" s="925"/>
      <c r="AB79" s="925"/>
      <c r="AC79" s="925"/>
      <c r="AD79" s="925"/>
      <c r="AE79" s="925"/>
      <c r="AF79" s="925"/>
      <c r="AG79" s="925"/>
      <c r="AH79" s="925"/>
      <c r="AI79" s="925"/>
      <c r="AJ79" s="925"/>
      <c r="AK79" s="925"/>
      <c r="AL79" s="925"/>
      <c r="AM79" s="925"/>
      <c r="AN79" s="925"/>
      <c r="AO79" s="925"/>
      <c r="AP79" s="925"/>
      <c r="AQ79" s="925"/>
      <c r="AR79" s="925"/>
      <c r="AS79" s="925"/>
      <c r="AT79" s="925"/>
      <c r="AU79" s="925"/>
      <c r="AV79" s="925"/>
      <c r="AW79" s="925"/>
      <c r="AX79" s="925"/>
      <c r="AY79" s="925"/>
      <c r="AZ79" s="925"/>
      <c r="BA79" s="925"/>
      <c r="BB79" s="925"/>
      <c r="BC79" s="925"/>
      <c r="BD79" s="925"/>
      <c r="BE79" s="925"/>
      <c r="BF79" s="925"/>
      <c r="BG79" s="925"/>
      <c r="BH79" s="925"/>
      <c r="BI79" s="925"/>
      <c r="BJ79" s="925"/>
      <c r="BK79" s="925"/>
      <c r="BL79" s="925"/>
      <c r="BM79" s="925"/>
      <c r="BN79" s="925"/>
      <c r="BO79" s="925"/>
      <c r="BP79" s="925"/>
      <c r="BQ79" s="925"/>
      <c r="BR79" s="925"/>
      <c r="BS79" s="925"/>
      <c r="BT79" s="925"/>
      <c r="BU79" s="925"/>
      <c r="BV79" s="925"/>
      <c r="BW79" s="925"/>
      <c r="BX79" s="925"/>
      <c r="BY79" s="925"/>
      <c r="BZ79" s="925"/>
      <c r="CA79" s="925"/>
      <c r="CB79" s="925"/>
      <c r="CC79" s="925"/>
      <c r="CD79" s="925"/>
      <c r="CE79" s="925"/>
      <c r="CF79" s="925"/>
      <c r="CG79" s="925"/>
      <c r="CH79" s="925"/>
      <c r="CI79" s="925"/>
      <c r="CJ79" s="925"/>
      <c r="CK79" s="925"/>
      <c r="CL79" s="925"/>
      <c r="CM79" s="925"/>
      <c r="CN79" s="925"/>
      <c r="CO79" s="925"/>
      <c r="CP79" s="925"/>
      <c r="CQ79" s="925"/>
      <c r="CR79" s="925"/>
      <c r="CS79" s="925"/>
      <c r="CT79" s="925"/>
      <c r="CU79" s="925"/>
      <c r="CV79" s="925"/>
      <c r="CW79" s="925"/>
      <c r="CX79" s="925"/>
      <c r="CY79" s="925"/>
      <c r="CZ79" s="925"/>
      <c r="DA79" s="925"/>
      <c r="DB79" s="925"/>
      <c r="DC79" s="925"/>
      <c r="DD79" s="925"/>
      <c r="DE79" s="925"/>
      <c r="DF79" s="925"/>
      <c r="DG79" s="925"/>
      <c r="DH79" s="925"/>
      <c r="DI79" s="925"/>
      <c r="DJ79" s="925"/>
      <c r="DK79" s="925"/>
      <c r="DL79" s="925"/>
      <c r="DM79" s="925"/>
      <c r="DN79" s="925"/>
      <c r="DO79" s="925"/>
      <c r="DP79" s="925"/>
      <c r="DQ79" s="925"/>
      <c r="DR79" s="925"/>
      <c r="DS79" s="925"/>
      <c r="DT79" s="925"/>
      <c r="DU79" s="925"/>
      <c r="DV79" s="925"/>
      <c r="DW79" s="925"/>
      <c r="DX79" s="925"/>
      <c r="DY79" s="925"/>
      <c r="DZ79" s="925"/>
      <c r="EA79" s="925"/>
      <c r="EB79" s="925"/>
      <c r="EC79" s="925"/>
      <c r="ED79" s="925"/>
      <c r="EE79" s="925"/>
      <c r="EF79" s="925"/>
      <c r="EG79" s="446"/>
    </row>
    <row r="80" spans="1:137" ht="13" x14ac:dyDescent="0.15">
      <c r="A80" s="917"/>
      <c r="B80" s="917"/>
      <c r="C80" s="918"/>
      <c r="D80" s="919"/>
      <c r="E80" s="920"/>
      <c r="F80" s="921"/>
      <c r="G80" s="922"/>
      <c r="H80" s="922"/>
      <c r="I80" s="922"/>
      <c r="J80" s="923"/>
      <c r="K80" s="923"/>
      <c r="L80" s="924"/>
      <c r="M80" s="925"/>
      <c r="N80" s="925"/>
      <c r="O80" s="925"/>
      <c r="P80" s="925"/>
      <c r="Q80" s="925"/>
      <c r="R80" s="926"/>
      <c r="S80" s="926"/>
      <c r="T80" s="925"/>
      <c r="U80" s="925"/>
      <c r="V80" s="925"/>
      <c r="W80" s="925"/>
      <c r="X80" s="925"/>
      <c r="Y80" s="925"/>
      <c r="Z80" s="925"/>
      <c r="AA80" s="925"/>
      <c r="AB80" s="925"/>
      <c r="AC80" s="925"/>
      <c r="AD80" s="925"/>
      <c r="AE80" s="925"/>
      <c r="AF80" s="925"/>
      <c r="AG80" s="925"/>
      <c r="AH80" s="925"/>
      <c r="AI80" s="925"/>
      <c r="AJ80" s="925"/>
      <c r="AK80" s="925"/>
      <c r="AL80" s="925"/>
      <c r="AM80" s="925"/>
      <c r="AN80" s="925"/>
      <c r="AO80" s="925"/>
      <c r="AP80" s="925"/>
      <c r="AQ80" s="925"/>
      <c r="AR80" s="925"/>
      <c r="AS80" s="925"/>
      <c r="AT80" s="925"/>
      <c r="AU80" s="925"/>
      <c r="AV80" s="925"/>
      <c r="AW80" s="925"/>
      <c r="AX80" s="925"/>
      <c r="AY80" s="925"/>
      <c r="AZ80" s="925"/>
      <c r="BA80" s="925"/>
      <c r="BB80" s="925"/>
      <c r="BC80" s="925"/>
      <c r="BD80" s="925"/>
      <c r="BE80" s="925"/>
      <c r="BF80" s="925"/>
      <c r="BG80" s="925"/>
      <c r="BH80" s="925"/>
      <c r="BI80" s="925"/>
      <c r="BJ80" s="925"/>
      <c r="BK80" s="925"/>
      <c r="BL80" s="925"/>
      <c r="BM80" s="925"/>
      <c r="BN80" s="925"/>
      <c r="BO80" s="925"/>
      <c r="BP80" s="925"/>
      <c r="BQ80" s="925"/>
      <c r="BR80" s="925"/>
      <c r="BS80" s="925"/>
      <c r="BT80" s="925"/>
      <c r="BU80" s="925"/>
      <c r="BV80" s="925"/>
      <c r="BW80" s="925"/>
      <c r="BX80" s="925"/>
      <c r="BY80" s="925"/>
      <c r="BZ80" s="925"/>
      <c r="CA80" s="925"/>
      <c r="CB80" s="925"/>
      <c r="CC80" s="925"/>
      <c r="CD80" s="925"/>
      <c r="CE80" s="925"/>
      <c r="CF80" s="925"/>
      <c r="CG80" s="925"/>
      <c r="CH80" s="925"/>
      <c r="CI80" s="925"/>
      <c r="CJ80" s="925"/>
      <c r="CK80" s="925"/>
      <c r="CL80" s="925"/>
      <c r="CM80" s="925"/>
      <c r="CN80" s="925"/>
      <c r="CO80" s="925"/>
      <c r="CP80" s="925"/>
      <c r="CQ80" s="925"/>
      <c r="CR80" s="925"/>
      <c r="CS80" s="925"/>
      <c r="CT80" s="925"/>
      <c r="CU80" s="925"/>
      <c r="CV80" s="925"/>
      <c r="CW80" s="925"/>
      <c r="CX80" s="925"/>
      <c r="CY80" s="925"/>
      <c r="CZ80" s="925"/>
      <c r="DA80" s="925"/>
      <c r="DB80" s="925"/>
      <c r="DC80" s="925"/>
      <c r="DD80" s="925"/>
      <c r="DE80" s="925"/>
      <c r="DF80" s="925"/>
      <c r="DG80" s="925"/>
      <c r="DH80" s="925"/>
      <c r="DI80" s="925"/>
      <c r="DJ80" s="925"/>
      <c r="DK80" s="925"/>
      <c r="DL80" s="925"/>
      <c r="DM80" s="925"/>
      <c r="DN80" s="925"/>
      <c r="DO80" s="925"/>
      <c r="DP80" s="925"/>
      <c r="DQ80" s="925"/>
      <c r="DR80" s="925"/>
      <c r="DS80" s="925"/>
      <c r="DT80" s="925"/>
      <c r="DU80" s="925"/>
      <c r="DV80" s="925"/>
      <c r="DW80" s="925"/>
      <c r="DX80" s="925"/>
      <c r="DY80" s="925"/>
      <c r="DZ80" s="925"/>
      <c r="EA80" s="925"/>
      <c r="EB80" s="925"/>
      <c r="EC80" s="925"/>
      <c r="ED80" s="925"/>
      <c r="EE80" s="925"/>
      <c r="EF80" s="925"/>
      <c r="EG80" s="446"/>
    </row>
    <row r="81" spans="1:137" ht="13" x14ac:dyDescent="0.15">
      <c r="A81" s="917"/>
      <c r="B81" s="917"/>
      <c r="C81" s="918"/>
      <c r="D81" s="919"/>
      <c r="E81" s="920"/>
      <c r="F81" s="921"/>
      <c r="G81" s="922"/>
      <c r="H81" s="922"/>
      <c r="I81" s="922"/>
      <c r="J81" s="923"/>
      <c r="K81" s="923"/>
      <c r="L81" s="924"/>
      <c r="M81" s="925"/>
      <c r="N81" s="925"/>
      <c r="O81" s="925"/>
      <c r="P81" s="925"/>
      <c r="Q81" s="925"/>
      <c r="R81" s="926"/>
      <c r="S81" s="926"/>
      <c r="T81" s="925"/>
      <c r="U81" s="925"/>
      <c r="V81" s="925"/>
      <c r="W81" s="925"/>
      <c r="X81" s="925"/>
      <c r="Y81" s="925"/>
      <c r="Z81" s="925"/>
      <c r="AA81" s="925"/>
      <c r="AB81" s="925"/>
      <c r="AC81" s="925"/>
      <c r="AD81" s="925"/>
      <c r="AE81" s="925"/>
      <c r="AF81" s="925"/>
      <c r="AG81" s="925"/>
      <c r="AH81" s="925"/>
      <c r="AI81" s="925"/>
      <c r="AJ81" s="925"/>
      <c r="AK81" s="925"/>
      <c r="AL81" s="925"/>
      <c r="AM81" s="925"/>
      <c r="AN81" s="925"/>
      <c r="AO81" s="925"/>
      <c r="AP81" s="925"/>
      <c r="AQ81" s="925"/>
      <c r="AR81" s="925"/>
      <c r="AS81" s="925"/>
      <c r="AT81" s="925"/>
      <c r="AU81" s="925"/>
      <c r="AV81" s="925"/>
      <c r="AW81" s="925"/>
      <c r="AX81" s="925"/>
      <c r="AY81" s="925"/>
      <c r="AZ81" s="925"/>
      <c r="BA81" s="925"/>
      <c r="BB81" s="925"/>
      <c r="BC81" s="925"/>
      <c r="BD81" s="925"/>
      <c r="BE81" s="925"/>
      <c r="BF81" s="925"/>
      <c r="BG81" s="925"/>
      <c r="BH81" s="925"/>
      <c r="BI81" s="925"/>
      <c r="BJ81" s="925"/>
      <c r="BK81" s="925"/>
      <c r="BL81" s="925"/>
      <c r="BM81" s="925"/>
      <c r="BN81" s="925"/>
      <c r="BO81" s="925"/>
      <c r="BP81" s="925"/>
      <c r="BQ81" s="925"/>
      <c r="BR81" s="925"/>
      <c r="BS81" s="925"/>
      <c r="BT81" s="925"/>
      <c r="BU81" s="925"/>
      <c r="BV81" s="925"/>
      <c r="BW81" s="925"/>
      <c r="BX81" s="925"/>
      <c r="BY81" s="925"/>
      <c r="BZ81" s="925"/>
      <c r="CA81" s="925"/>
      <c r="CB81" s="925"/>
      <c r="CC81" s="925"/>
      <c r="CD81" s="925"/>
      <c r="CE81" s="925"/>
      <c r="CF81" s="925"/>
      <c r="CG81" s="925"/>
      <c r="CH81" s="925"/>
      <c r="CI81" s="925"/>
      <c r="CJ81" s="925"/>
      <c r="CK81" s="925"/>
      <c r="CL81" s="925"/>
      <c r="CM81" s="925"/>
      <c r="CN81" s="925"/>
      <c r="CO81" s="925"/>
      <c r="CP81" s="925"/>
      <c r="CQ81" s="925"/>
      <c r="CR81" s="925"/>
      <c r="CS81" s="925"/>
      <c r="CT81" s="925"/>
      <c r="CU81" s="925"/>
      <c r="CV81" s="925"/>
      <c r="CW81" s="925"/>
      <c r="CX81" s="925"/>
      <c r="CY81" s="925"/>
      <c r="CZ81" s="925"/>
      <c r="DA81" s="925"/>
      <c r="DB81" s="925"/>
      <c r="DC81" s="925"/>
      <c r="DD81" s="925"/>
      <c r="DE81" s="925"/>
      <c r="DF81" s="925"/>
      <c r="DG81" s="925"/>
      <c r="DH81" s="925"/>
      <c r="DI81" s="925"/>
      <c r="DJ81" s="925"/>
      <c r="DK81" s="925"/>
      <c r="DL81" s="925"/>
      <c r="DM81" s="925"/>
      <c r="DN81" s="925"/>
      <c r="DO81" s="925"/>
      <c r="DP81" s="925"/>
      <c r="DQ81" s="925"/>
      <c r="DR81" s="925"/>
      <c r="DS81" s="925"/>
      <c r="DT81" s="925"/>
      <c r="DU81" s="925"/>
      <c r="DV81" s="925"/>
      <c r="DW81" s="925"/>
      <c r="DX81" s="925"/>
      <c r="DY81" s="925"/>
      <c r="DZ81" s="925"/>
      <c r="EA81" s="925"/>
      <c r="EB81" s="925"/>
      <c r="EC81" s="925"/>
      <c r="ED81" s="925"/>
      <c r="EE81" s="925"/>
      <c r="EF81" s="925"/>
      <c r="EG81" s="446"/>
    </row>
    <row r="82" spans="1:137" ht="13" x14ac:dyDescent="0.15">
      <c r="A82" s="917"/>
      <c r="B82" s="917"/>
      <c r="C82" s="918"/>
      <c r="D82" s="919"/>
      <c r="E82" s="920"/>
      <c r="F82" s="921"/>
      <c r="G82" s="922"/>
      <c r="H82" s="922"/>
      <c r="I82" s="922"/>
      <c r="J82" s="923"/>
      <c r="K82" s="923"/>
      <c r="L82" s="924"/>
      <c r="M82" s="925"/>
      <c r="N82" s="925"/>
      <c r="O82" s="925"/>
      <c r="P82" s="925"/>
      <c r="Q82" s="925"/>
      <c r="R82" s="926"/>
      <c r="S82" s="926"/>
      <c r="T82" s="925"/>
      <c r="U82" s="925"/>
      <c r="V82" s="925"/>
      <c r="W82" s="925"/>
      <c r="X82" s="925"/>
      <c r="Y82" s="925"/>
      <c r="Z82" s="925"/>
      <c r="AA82" s="925"/>
      <c r="AB82" s="925"/>
      <c r="AC82" s="925"/>
      <c r="AD82" s="925"/>
      <c r="AE82" s="925"/>
      <c r="AF82" s="925"/>
      <c r="AG82" s="925"/>
      <c r="AH82" s="925"/>
      <c r="AI82" s="925"/>
      <c r="AJ82" s="925"/>
      <c r="AK82" s="925"/>
      <c r="AL82" s="925"/>
      <c r="AM82" s="925"/>
      <c r="AN82" s="925"/>
      <c r="AO82" s="925"/>
      <c r="AP82" s="925"/>
      <c r="AQ82" s="925"/>
      <c r="AR82" s="925"/>
      <c r="AS82" s="925"/>
      <c r="AT82" s="925"/>
      <c r="AU82" s="925"/>
      <c r="AV82" s="925"/>
      <c r="AW82" s="925"/>
      <c r="AX82" s="925"/>
      <c r="AY82" s="925"/>
      <c r="AZ82" s="925"/>
      <c r="BA82" s="925"/>
      <c r="BB82" s="925"/>
      <c r="BC82" s="925"/>
      <c r="BD82" s="925"/>
      <c r="BE82" s="925"/>
      <c r="BF82" s="925"/>
      <c r="BG82" s="925"/>
      <c r="BH82" s="925"/>
      <c r="BI82" s="925"/>
      <c r="BJ82" s="925"/>
      <c r="BK82" s="925"/>
      <c r="BL82" s="925"/>
      <c r="BM82" s="925"/>
      <c r="BN82" s="925"/>
      <c r="BO82" s="925"/>
      <c r="BP82" s="925"/>
      <c r="BQ82" s="925"/>
      <c r="BR82" s="925"/>
      <c r="BS82" s="925"/>
      <c r="BT82" s="925"/>
      <c r="BU82" s="925"/>
      <c r="BV82" s="925"/>
      <c r="BW82" s="925"/>
      <c r="BX82" s="925"/>
      <c r="BY82" s="925"/>
      <c r="BZ82" s="925"/>
      <c r="CA82" s="925"/>
      <c r="CB82" s="925"/>
      <c r="CC82" s="925"/>
      <c r="CD82" s="925"/>
      <c r="CE82" s="925"/>
      <c r="CF82" s="925"/>
      <c r="CG82" s="925"/>
      <c r="CH82" s="925"/>
      <c r="CI82" s="925"/>
      <c r="CJ82" s="925"/>
      <c r="CK82" s="925"/>
      <c r="CL82" s="925"/>
      <c r="CM82" s="925"/>
      <c r="CN82" s="925"/>
      <c r="CO82" s="925"/>
      <c r="CP82" s="925"/>
      <c r="CQ82" s="925"/>
      <c r="CR82" s="925"/>
      <c r="CS82" s="925"/>
      <c r="CT82" s="925"/>
      <c r="CU82" s="925"/>
      <c r="CV82" s="925"/>
      <c r="CW82" s="925"/>
      <c r="CX82" s="925"/>
      <c r="CY82" s="925"/>
      <c r="CZ82" s="925"/>
      <c r="DA82" s="925"/>
      <c r="DB82" s="925"/>
      <c r="DC82" s="925"/>
      <c r="DD82" s="925"/>
      <c r="DE82" s="925"/>
      <c r="DF82" s="925"/>
      <c r="DG82" s="925"/>
      <c r="DH82" s="925"/>
      <c r="DI82" s="925"/>
      <c r="DJ82" s="925"/>
      <c r="DK82" s="925"/>
      <c r="DL82" s="925"/>
      <c r="DM82" s="925"/>
      <c r="DN82" s="925"/>
      <c r="DO82" s="925"/>
      <c r="DP82" s="925"/>
      <c r="DQ82" s="925"/>
      <c r="DR82" s="925"/>
      <c r="DS82" s="925"/>
      <c r="DT82" s="925"/>
      <c r="DU82" s="925"/>
      <c r="DV82" s="925"/>
      <c r="DW82" s="925"/>
      <c r="DX82" s="925"/>
      <c r="DY82" s="925"/>
      <c r="DZ82" s="925"/>
      <c r="EA82" s="925"/>
      <c r="EB82" s="925"/>
      <c r="EC82" s="925"/>
      <c r="ED82" s="925"/>
      <c r="EE82" s="925"/>
      <c r="EF82" s="925"/>
      <c r="EG82" s="446"/>
    </row>
    <row r="83" spans="1:137" ht="13" x14ac:dyDescent="0.15">
      <c r="A83" s="917"/>
      <c r="B83" s="917"/>
      <c r="C83" s="918"/>
      <c r="D83" s="919"/>
      <c r="E83" s="920"/>
      <c r="F83" s="921"/>
      <c r="G83" s="922"/>
      <c r="H83" s="922"/>
      <c r="I83" s="922"/>
      <c r="J83" s="923"/>
      <c r="K83" s="923"/>
      <c r="L83" s="924"/>
      <c r="M83" s="925"/>
      <c r="N83" s="925"/>
      <c r="O83" s="925"/>
      <c r="P83" s="925"/>
      <c r="Q83" s="925"/>
      <c r="R83" s="926"/>
      <c r="S83" s="926"/>
      <c r="T83" s="925"/>
      <c r="U83" s="925"/>
      <c r="V83" s="925"/>
      <c r="W83" s="925"/>
      <c r="X83" s="925"/>
      <c r="Y83" s="925"/>
      <c r="Z83" s="925"/>
      <c r="AA83" s="925"/>
      <c r="AB83" s="925"/>
      <c r="AC83" s="925"/>
      <c r="AD83" s="925"/>
      <c r="AE83" s="925"/>
      <c r="AF83" s="925"/>
      <c r="AG83" s="925"/>
      <c r="AH83" s="925"/>
      <c r="AI83" s="925"/>
      <c r="AJ83" s="925"/>
      <c r="AK83" s="925"/>
      <c r="AL83" s="925"/>
      <c r="AM83" s="925"/>
      <c r="AN83" s="925"/>
      <c r="AO83" s="925"/>
      <c r="AP83" s="925"/>
      <c r="AQ83" s="925"/>
      <c r="AR83" s="925"/>
      <c r="AS83" s="925"/>
      <c r="AT83" s="925"/>
      <c r="AU83" s="925"/>
      <c r="AV83" s="925"/>
      <c r="AW83" s="925"/>
      <c r="AX83" s="925"/>
      <c r="AY83" s="925"/>
      <c r="AZ83" s="925"/>
      <c r="BA83" s="925"/>
      <c r="BB83" s="925"/>
      <c r="BC83" s="925"/>
      <c r="BD83" s="925"/>
      <c r="BE83" s="925"/>
      <c r="BF83" s="925"/>
      <c r="BG83" s="925"/>
      <c r="BH83" s="925"/>
      <c r="BI83" s="925"/>
      <c r="BJ83" s="925"/>
      <c r="BK83" s="925"/>
      <c r="BL83" s="925"/>
      <c r="BM83" s="925"/>
      <c r="BN83" s="925"/>
      <c r="BO83" s="925"/>
      <c r="BP83" s="925"/>
      <c r="BQ83" s="925"/>
      <c r="BR83" s="925"/>
      <c r="BS83" s="925"/>
      <c r="BT83" s="925"/>
      <c r="BU83" s="925"/>
      <c r="BV83" s="925"/>
      <c r="BW83" s="925"/>
      <c r="BX83" s="925"/>
      <c r="BY83" s="925"/>
      <c r="BZ83" s="925"/>
      <c r="CA83" s="925"/>
      <c r="CB83" s="925"/>
      <c r="CC83" s="925"/>
      <c r="CD83" s="925"/>
      <c r="CE83" s="925"/>
      <c r="CF83" s="925"/>
      <c r="CG83" s="925"/>
      <c r="CH83" s="925"/>
      <c r="CI83" s="925"/>
      <c r="CJ83" s="925"/>
      <c r="CK83" s="925"/>
      <c r="CL83" s="925"/>
      <c r="CM83" s="925"/>
      <c r="CN83" s="925"/>
      <c r="CO83" s="925"/>
      <c r="CP83" s="925"/>
      <c r="CQ83" s="925"/>
      <c r="CR83" s="925"/>
      <c r="CS83" s="925"/>
      <c r="CT83" s="925"/>
      <c r="CU83" s="925"/>
      <c r="CV83" s="925"/>
      <c r="CW83" s="925"/>
      <c r="CX83" s="925"/>
      <c r="CY83" s="925"/>
      <c r="CZ83" s="925"/>
      <c r="DA83" s="925"/>
      <c r="DB83" s="925"/>
      <c r="DC83" s="925"/>
      <c r="DD83" s="925"/>
      <c r="DE83" s="925"/>
      <c r="DF83" s="925"/>
      <c r="DG83" s="925"/>
      <c r="DH83" s="925"/>
      <c r="DI83" s="925"/>
      <c r="DJ83" s="925"/>
      <c r="DK83" s="925"/>
      <c r="DL83" s="925"/>
      <c r="DM83" s="925"/>
      <c r="DN83" s="925"/>
      <c r="DO83" s="925"/>
      <c r="DP83" s="925"/>
      <c r="DQ83" s="925"/>
      <c r="DR83" s="925"/>
      <c r="DS83" s="925"/>
      <c r="DT83" s="925"/>
      <c r="DU83" s="925"/>
      <c r="DV83" s="925"/>
      <c r="DW83" s="925"/>
      <c r="DX83" s="925"/>
      <c r="DY83" s="925"/>
      <c r="DZ83" s="925"/>
      <c r="EA83" s="925"/>
      <c r="EB83" s="925"/>
      <c r="EC83" s="925"/>
      <c r="ED83" s="925"/>
      <c r="EE83" s="925"/>
      <c r="EF83" s="925"/>
      <c r="EG83" s="446"/>
    </row>
    <row r="84" spans="1:137" ht="13" x14ac:dyDescent="0.15">
      <c r="A84" s="917"/>
      <c r="B84" s="917"/>
      <c r="C84" s="918"/>
      <c r="D84" s="919"/>
      <c r="E84" s="920"/>
      <c r="F84" s="921"/>
      <c r="G84" s="922"/>
      <c r="H84" s="922"/>
      <c r="I84" s="922"/>
      <c r="J84" s="923"/>
      <c r="K84" s="923"/>
      <c r="L84" s="924"/>
      <c r="M84" s="925"/>
      <c r="N84" s="925"/>
      <c r="O84" s="925"/>
      <c r="P84" s="925"/>
      <c r="Q84" s="925"/>
      <c r="R84" s="926"/>
      <c r="S84" s="926"/>
      <c r="T84" s="925"/>
      <c r="U84" s="925"/>
      <c r="V84" s="925"/>
      <c r="W84" s="925"/>
      <c r="X84" s="925"/>
      <c r="Y84" s="925"/>
      <c r="Z84" s="925"/>
      <c r="AA84" s="925"/>
      <c r="AB84" s="925"/>
      <c r="AC84" s="925"/>
      <c r="AD84" s="925"/>
      <c r="AE84" s="925"/>
      <c r="AF84" s="925"/>
      <c r="AG84" s="925"/>
      <c r="AH84" s="925"/>
      <c r="AI84" s="925"/>
      <c r="AJ84" s="925"/>
      <c r="AK84" s="925"/>
      <c r="AL84" s="925"/>
      <c r="AM84" s="925"/>
      <c r="AN84" s="925"/>
      <c r="AO84" s="925"/>
      <c r="AP84" s="925"/>
      <c r="AQ84" s="925"/>
      <c r="AR84" s="925"/>
      <c r="AS84" s="925"/>
      <c r="AT84" s="925"/>
      <c r="AU84" s="925"/>
      <c r="AV84" s="925"/>
      <c r="AW84" s="925"/>
      <c r="AX84" s="925"/>
      <c r="AY84" s="925"/>
      <c r="AZ84" s="925"/>
      <c r="BA84" s="925"/>
      <c r="BB84" s="925"/>
      <c r="BC84" s="925"/>
      <c r="BD84" s="925"/>
      <c r="BE84" s="925"/>
      <c r="BF84" s="925"/>
      <c r="BG84" s="925"/>
      <c r="BH84" s="925"/>
      <c r="BI84" s="925"/>
      <c r="BJ84" s="925"/>
      <c r="BK84" s="925"/>
      <c r="BL84" s="925"/>
      <c r="BM84" s="925"/>
      <c r="BN84" s="925"/>
      <c r="BO84" s="925"/>
      <c r="BP84" s="925"/>
      <c r="BQ84" s="925"/>
      <c r="BR84" s="925"/>
      <c r="BS84" s="925"/>
      <c r="BT84" s="925"/>
      <c r="BU84" s="925"/>
      <c r="BV84" s="925"/>
      <c r="BW84" s="925"/>
      <c r="BX84" s="925"/>
      <c r="BY84" s="925"/>
      <c r="BZ84" s="925"/>
      <c r="CA84" s="925"/>
      <c r="CB84" s="925"/>
      <c r="CC84" s="925"/>
      <c r="CD84" s="925"/>
      <c r="CE84" s="925"/>
      <c r="CF84" s="925"/>
      <c r="CG84" s="925"/>
      <c r="CH84" s="925"/>
      <c r="CI84" s="925"/>
      <c r="CJ84" s="925"/>
      <c r="CK84" s="925"/>
      <c r="CL84" s="925"/>
      <c r="CM84" s="925"/>
      <c r="CN84" s="925"/>
      <c r="CO84" s="925"/>
      <c r="CP84" s="925"/>
      <c r="CQ84" s="925"/>
      <c r="CR84" s="925"/>
      <c r="CS84" s="925"/>
      <c r="CT84" s="925"/>
      <c r="CU84" s="925"/>
      <c r="CV84" s="925"/>
      <c r="CW84" s="925"/>
      <c r="CX84" s="925"/>
      <c r="CY84" s="925"/>
      <c r="CZ84" s="925"/>
      <c r="DA84" s="925"/>
      <c r="DB84" s="925"/>
      <c r="DC84" s="925"/>
      <c r="DD84" s="925"/>
      <c r="DE84" s="925"/>
      <c r="DF84" s="925"/>
      <c r="DG84" s="925"/>
      <c r="DH84" s="925"/>
      <c r="DI84" s="925"/>
      <c r="DJ84" s="925"/>
      <c r="DK84" s="925"/>
      <c r="DL84" s="925"/>
      <c r="DM84" s="925"/>
      <c r="DN84" s="925"/>
      <c r="DO84" s="925"/>
      <c r="DP84" s="925"/>
      <c r="DQ84" s="925"/>
      <c r="DR84" s="925"/>
      <c r="DS84" s="925"/>
      <c r="DT84" s="925"/>
      <c r="DU84" s="925"/>
      <c r="DV84" s="925"/>
      <c r="DW84" s="925"/>
      <c r="DX84" s="925"/>
      <c r="DY84" s="925"/>
      <c r="DZ84" s="925"/>
      <c r="EA84" s="925"/>
      <c r="EB84" s="925"/>
      <c r="EC84" s="925"/>
      <c r="ED84" s="925"/>
      <c r="EE84" s="925"/>
      <c r="EF84" s="925"/>
      <c r="EG84" s="446"/>
    </row>
    <row r="85" spans="1:137" ht="13" x14ac:dyDescent="0.15">
      <c r="A85" s="917"/>
      <c r="B85" s="917"/>
      <c r="C85" s="918"/>
      <c r="D85" s="919"/>
      <c r="E85" s="920"/>
      <c r="F85" s="921"/>
      <c r="G85" s="922"/>
      <c r="H85" s="922"/>
      <c r="I85" s="922"/>
      <c r="J85" s="923"/>
      <c r="K85" s="923"/>
      <c r="L85" s="924"/>
      <c r="M85" s="925"/>
      <c r="N85" s="925"/>
      <c r="O85" s="925"/>
      <c r="P85" s="925"/>
      <c r="Q85" s="925"/>
      <c r="R85" s="926"/>
      <c r="S85" s="926"/>
      <c r="T85" s="925"/>
      <c r="U85" s="925"/>
      <c r="V85" s="925"/>
      <c r="W85" s="925"/>
      <c r="X85" s="925"/>
      <c r="Y85" s="925"/>
      <c r="Z85" s="925"/>
      <c r="AA85" s="925"/>
      <c r="AB85" s="925"/>
      <c r="AC85" s="925"/>
      <c r="AD85" s="925"/>
      <c r="AE85" s="925"/>
      <c r="AF85" s="925"/>
      <c r="AG85" s="925"/>
      <c r="AH85" s="925"/>
      <c r="AI85" s="925"/>
      <c r="AJ85" s="925"/>
      <c r="AK85" s="925"/>
      <c r="AL85" s="925"/>
      <c r="AM85" s="925"/>
      <c r="AN85" s="925"/>
      <c r="AO85" s="925"/>
      <c r="AP85" s="925"/>
      <c r="AQ85" s="925"/>
      <c r="AR85" s="925"/>
      <c r="AS85" s="925"/>
      <c r="AT85" s="925"/>
      <c r="AU85" s="925"/>
      <c r="AV85" s="925"/>
      <c r="AW85" s="925"/>
      <c r="AX85" s="925"/>
      <c r="AY85" s="925"/>
      <c r="AZ85" s="925"/>
      <c r="BA85" s="925"/>
      <c r="BB85" s="925"/>
      <c r="BC85" s="925"/>
      <c r="BD85" s="925"/>
      <c r="BE85" s="925"/>
      <c r="BF85" s="925"/>
      <c r="BG85" s="925"/>
      <c r="BH85" s="925"/>
      <c r="BI85" s="925"/>
      <c r="BJ85" s="925"/>
      <c r="BK85" s="925"/>
      <c r="BL85" s="925"/>
      <c r="BM85" s="925"/>
      <c r="BN85" s="925"/>
      <c r="BO85" s="925"/>
      <c r="BP85" s="925"/>
      <c r="BQ85" s="925"/>
      <c r="BR85" s="925"/>
      <c r="BS85" s="925"/>
      <c r="BT85" s="925"/>
      <c r="BU85" s="925"/>
      <c r="BV85" s="925"/>
      <c r="BW85" s="925"/>
      <c r="BX85" s="925"/>
      <c r="BY85" s="925"/>
      <c r="BZ85" s="925"/>
      <c r="CA85" s="925"/>
      <c r="CB85" s="925"/>
      <c r="CC85" s="925"/>
      <c r="CD85" s="925"/>
      <c r="CE85" s="925"/>
      <c r="CF85" s="925"/>
      <c r="CG85" s="925"/>
      <c r="CH85" s="925"/>
      <c r="CI85" s="925"/>
      <c r="CJ85" s="925"/>
      <c r="CK85" s="925"/>
      <c r="CL85" s="925"/>
      <c r="CM85" s="925"/>
      <c r="CN85" s="925"/>
      <c r="CO85" s="925"/>
      <c r="CP85" s="925"/>
      <c r="CQ85" s="925"/>
      <c r="CR85" s="925"/>
      <c r="CS85" s="925"/>
      <c r="CT85" s="925"/>
      <c r="CU85" s="925"/>
      <c r="CV85" s="925"/>
      <c r="CW85" s="925"/>
      <c r="CX85" s="925"/>
      <c r="CY85" s="925"/>
      <c r="CZ85" s="925"/>
      <c r="DA85" s="925"/>
      <c r="DB85" s="925"/>
      <c r="DC85" s="925"/>
      <c r="DD85" s="925"/>
      <c r="DE85" s="925"/>
      <c r="DF85" s="925"/>
      <c r="DG85" s="925"/>
      <c r="DH85" s="925"/>
      <c r="DI85" s="925"/>
      <c r="DJ85" s="925"/>
      <c r="DK85" s="925"/>
      <c r="DL85" s="925"/>
      <c r="DM85" s="925"/>
      <c r="DN85" s="925"/>
      <c r="DO85" s="925"/>
      <c r="DP85" s="925"/>
      <c r="DQ85" s="925"/>
      <c r="DR85" s="925"/>
      <c r="DS85" s="925"/>
      <c r="DT85" s="925"/>
      <c r="DU85" s="925"/>
      <c r="DV85" s="925"/>
      <c r="DW85" s="925"/>
      <c r="DX85" s="925"/>
      <c r="DY85" s="925"/>
      <c r="DZ85" s="925"/>
      <c r="EA85" s="925"/>
      <c r="EB85" s="925"/>
      <c r="EC85" s="925"/>
      <c r="ED85" s="925"/>
      <c r="EE85" s="925"/>
      <c r="EF85" s="925"/>
      <c r="EG85" s="446"/>
    </row>
    <row r="86" spans="1:137" ht="13" x14ac:dyDescent="0.15">
      <c r="A86" s="917"/>
      <c r="B86" s="917"/>
      <c r="C86" s="918"/>
      <c r="D86" s="919"/>
      <c r="E86" s="920"/>
      <c r="F86" s="921"/>
      <c r="G86" s="922"/>
      <c r="H86" s="922"/>
      <c r="I86" s="922"/>
      <c r="J86" s="923"/>
      <c r="K86" s="923"/>
      <c r="L86" s="924"/>
      <c r="M86" s="925"/>
      <c r="N86" s="925"/>
      <c r="O86" s="925"/>
      <c r="P86" s="925"/>
      <c r="Q86" s="925"/>
      <c r="R86" s="926"/>
      <c r="S86" s="926"/>
      <c r="T86" s="925"/>
      <c r="U86" s="925"/>
      <c r="V86" s="925"/>
      <c r="W86" s="925"/>
      <c r="X86" s="925"/>
      <c r="Y86" s="925"/>
      <c r="Z86" s="925"/>
      <c r="AA86" s="925"/>
      <c r="AB86" s="925"/>
      <c r="AC86" s="925"/>
      <c r="AD86" s="925"/>
      <c r="AE86" s="925"/>
      <c r="AF86" s="925"/>
      <c r="AG86" s="925"/>
      <c r="AH86" s="925"/>
      <c r="AI86" s="925"/>
      <c r="AJ86" s="925"/>
      <c r="AK86" s="925"/>
      <c r="AL86" s="925"/>
      <c r="AM86" s="925"/>
      <c r="AN86" s="925"/>
      <c r="AO86" s="925"/>
      <c r="AP86" s="925"/>
      <c r="AQ86" s="925"/>
      <c r="AR86" s="925"/>
      <c r="AS86" s="925"/>
      <c r="AT86" s="925"/>
      <c r="AU86" s="925"/>
      <c r="AV86" s="925"/>
      <c r="AW86" s="925"/>
      <c r="AX86" s="925"/>
      <c r="AY86" s="925"/>
      <c r="AZ86" s="925"/>
      <c r="BA86" s="925"/>
      <c r="BB86" s="925"/>
      <c r="BC86" s="925"/>
      <c r="BD86" s="925"/>
      <c r="BE86" s="925"/>
      <c r="BF86" s="925"/>
      <c r="BG86" s="925"/>
      <c r="BH86" s="925"/>
      <c r="BI86" s="925"/>
      <c r="BJ86" s="925"/>
      <c r="BK86" s="925"/>
      <c r="BL86" s="925"/>
      <c r="BM86" s="925"/>
      <c r="BN86" s="925"/>
      <c r="BO86" s="925"/>
      <c r="BP86" s="925"/>
      <c r="BQ86" s="925"/>
      <c r="BR86" s="925"/>
      <c r="BS86" s="925"/>
      <c r="BT86" s="925"/>
      <c r="BU86" s="925"/>
      <c r="BV86" s="925"/>
      <c r="BW86" s="925"/>
      <c r="BX86" s="925"/>
      <c r="BY86" s="925"/>
      <c r="BZ86" s="925"/>
      <c r="CA86" s="925"/>
      <c r="CB86" s="925"/>
      <c r="CC86" s="925"/>
      <c r="CD86" s="925"/>
      <c r="CE86" s="925"/>
      <c r="CF86" s="925"/>
      <c r="CG86" s="925"/>
      <c r="CH86" s="925"/>
      <c r="CI86" s="925"/>
      <c r="CJ86" s="925"/>
      <c r="CK86" s="925"/>
      <c r="CL86" s="925"/>
      <c r="CM86" s="925"/>
      <c r="CN86" s="925"/>
      <c r="CO86" s="925"/>
      <c r="CP86" s="925"/>
      <c r="CQ86" s="925"/>
      <c r="CR86" s="925"/>
      <c r="CS86" s="925"/>
      <c r="CT86" s="925"/>
      <c r="CU86" s="925"/>
      <c r="CV86" s="925"/>
      <c r="CW86" s="925"/>
      <c r="CX86" s="925"/>
      <c r="CY86" s="925"/>
      <c r="CZ86" s="925"/>
      <c r="DA86" s="925"/>
      <c r="DB86" s="925"/>
      <c r="DC86" s="925"/>
      <c r="DD86" s="925"/>
      <c r="DE86" s="925"/>
      <c r="DF86" s="925"/>
      <c r="DG86" s="925"/>
      <c r="DH86" s="925"/>
      <c r="DI86" s="925"/>
      <c r="DJ86" s="925"/>
      <c r="DK86" s="925"/>
      <c r="DL86" s="925"/>
      <c r="DM86" s="925"/>
      <c r="DN86" s="925"/>
      <c r="DO86" s="925"/>
      <c r="DP86" s="925"/>
      <c r="DQ86" s="925"/>
      <c r="DR86" s="925"/>
      <c r="DS86" s="925"/>
      <c r="DT86" s="925"/>
      <c r="DU86" s="925"/>
      <c r="DV86" s="925"/>
      <c r="DW86" s="925"/>
      <c r="DX86" s="925"/>
      <c r="DY86" s="925"/>
      <c r="DZ86" s="925"/>
      <c r="EA86" s="925"/>
      <c r="EB86" s="925"/>
      <c r="EC86" s="925"/>
      <c r="ED86" s="925"/>
      <c r="EE86" s="925"/>
      <c r="EF86" s="925"/>
      <c r="EG86" s="446"/>
    </row>
    <row r="87" spans="1:137" ht="13" x14ac:dyDescent="0.15">
      <c r="A87" s="917"/>
      <c r="B87" s="917"/>
      <c r="C87" s="918"/>
      <c r="D87" s="919"/>
      <c r="E87" s="920"/>
      <c r="F87" s="921"/>
      <c r="G87" s="922"/>
      <c r="H87" s="922"/>
      <c r="I87" s="922"/>
      <c r="J87" s="923"/>
      <c r="K87" s="923"/>
      <c r="L87" s="924"/>
      <c r="M87" s="925"/>
      <c r="N87" s="925"/>
      <c r="O87" s="925"/>
      <c r="P87" s="925"/>
      <c r="Q87" s="925"/>
      <c r="R87" s="926"/>
      <c r="S87" s="926"/>
      <c r="T87" s="925"/>
      <c r="U87" s="925"/>
      <c r="V87" s="925"/>
      <c r="W87" s="925"/>
      <c r="X87" s="925"/>
      <c r="Y87" s="925"/>
      <c r="Z87" s="925"/>
      <c r="AA87" s="925"/>
      <c r="AB87" s="925"/>
      <c r="AC87" s="925"/>
      <c r="AD87" s="925"/>
      <c r="AE87" s="925"/>
      <c r="AF87" s="925"/>
      <c r="AG87" s="925"/>
      <c r="AH87" s="925"/>
      <c r="AI87" s="925"/>
      <c r="AJ87" s="925"/>
      <c r="AK87" s="925"/>
      <c r="AL87" s="925"/>
      <c r="AM87" s="925"/>
      <c r="AN87" s="925"/>
      <c r="AO87" s="925"/>
      <c r="AP87" s="925"/>
      <c r="AQ87" s="925"/>
      <c r="AR87" s="925"/>
      <c r="AS87" s="925"/>
      <c r="AT87" s="925"/>
      <c r="AU87" s="925"/>
      <c r="AV87" s="925"/>
      <c r="AW87" s="925"/>
      <c r="AX87" s="925"/>
      <c r="AY87" s="925"/>
      <c r="AZ87" s="925"/>
      <c r="BA87" s="925"/>
      <c r="BB87" s="925"/>
      <c r="BC87" s="925"/>
      <c r="BD87" s="925"/>
      <c r="BE87" s="925"/>
      <c r="BF87" s="925"/>
      <c r="BG87" s="925"/>
      <c r="BH87" s="925"/>
      <c r="BI87" s="925"/>
      <c r="BJ87" s="925"/>
      <c r="BK87" s="925"/>
      <c r="BL87" s="925"/>
      <c r="BM87" s="925"/>
      <c r="BN87" s="925"/>
      <c r="BO87" s="925"/>
      <c r="BP87" s="925"/>
      <c r="BQ87" s="925"/>
      <c r="BR87" s="925"/>
      <c r="BS87" s="925"/>
      <c r="BT87" s="925"/>
      <c r="BU87" s="925"/>
      <c r="BV87" s="925"/>
      <c r="BW87" s="925"/>
      <c r="BX87" s="925"/>
      <c r="BY87" s="925"/>
      <c r="BZ87" s="925"/>
      <c r="CA87" s="925"/>
      <c r="CB87" s="925"/>
      <c r="CC87" s="925"/>
      <c r="CD87" s="925"/>
      <c r="CE87" s="925"/>
      <c r="CF87" s="925"/>
      <c r="CG87" s="925"/>
      <c r="CH87" s="925"/>
      <c r="CI87" s="925"/>
      <c r="CJ87" s="925"/>
      <c r="CK87" s="925"/>
      <c r="CL87" s="925"/>
      <c r="CM87" s="925"/>
      <c r="CN87" s="925"/>
      <c r="CO87" s="925"/>
      <c r="CP87" s="925"/>
      <c r="CQ87" s="925"/>
      <c r="CR87" s="925"/>
      <c r="CS87" s="925"/>
      <c r="CT87" s="925"/>
      <c r="CU87" s="925"/>
      <c r="CV87" s="925"/>
      <c r="CW87" s="925"/>
      <c r="CX87" s="925"/>
      <c r="CY87" s="925"/>
      <c r="CZ87" s="925"/>
      <c r="DA87" s="925"/>
      <c r="DB87" s="925"/>
      <c r="DC87" s="925"/>
      <c r="DD87" s="925"/>
      <c r="DE87" s="925"/>
      <c r="DF87" s="925"/>
      <c r="DG87" s="925"/>
      <c r="DH87" s="925"/>
      <c r="DI87" s="925"/>
      <c r="DJ87" s="925"/>
      <c r="DK87" s="925"/>
      <c r="DL87" s="925"/>
      <c r="DM87" s="925"/>
      <c r="DN87" s="925"/>
      <c r="DO87" s="925"/>
      <c r="DP87" s="925"/>
      <c r="DQ87" s="925"/>
      <c r="DR87" s="925"/>
      <c r="DS87" s="925"/>
      <c r="DT87" s="925"/>
      <c r="DU87" s="925"/>
      <c r="DV87" s="925"/>
      <c r="DW87" s="925"/>
      <c r="DX87" s="925"/>
      <c r="DY87" s="925"/>
      <c r="DZ87" s="925"/>
      <c r="EA87" s="925"/>
      <c r="EB87" s="925"/>
      <c r="EC87" s="925"/>
      <c r="ED87" s="925"/>
      <c r="EE87" s="925"/>
      <c r="EF87" s="925"/>
      <c r="EG87" s="446"/>
    </row>
    <row r="88" spans="1:137" ht="13" x14ac:dyDescent="0.15">
      <c r="A88" s="917"/>
      <c r="B88" s="917"/>
      <c r="C88" s="918"/>
      <c r="D88" s="919"/>
      <c r="E88" s="920"/>
      <c r="F88" s="921"/>
      <c r="G88" s="922"/>
      <c r="H88" s="922"/>
      <c r="I88" s="922"/>
      <c r="J88" s="923"/>
      <c r="K88" s="923"/>
      <c r="L88" s="924"/>
      <c r="M88" s="925"/>
      <c r="N88" s="925"/>
      <c r="O88" s="925"/>
      <c r="P88" s="925"/>
      <c r="Q88" s="925"/>
      <c r="R88" s="926"/>
      <c r="S88" s="926"/>
      <c r="T88" s="925"/>
      <c r="U88" s="925"/>
      <c r="V88" s="925"/>
      <c r="W88" s="925"/>
      <c r="X88" s="925"/>
      <c r="Y88" s="925"/>
      <c r="Z88" s="925"/>
      <c r="AA88" s="925"/>
      <c r="AB88" s="925"/>
      <c r="AC88" s="925"/>
      <c r="AD88" s="925"/>
      <c r="AE88" s="925"/>
      <c r="AF88" s="925"/>
      <c r="AG88" s="925"/>
      <c r="AH88" s="925"/>
      <c r="AI88" s="925"/>
      <c r="AJ88" s="925"/>
      <c r="AK88" s="925"/>
      <c r="AL88" s="925"/>
      <c r="AM88" s="925"/>
      <c r="AN88" s="925"/>
      <c r="AO88" s="925"/>
      <c r="AP88" s="925"/>
      <c r="AQ88" s="925"/>
      <c r="AR88" s="925"/>
      <c r="AS88" s="925"/>
      <c r="AT88" s="925"/>
      <c r="AU88" s="925"/>
      <c r="AV88" s="925"/>
      <c r="AW88" s="925"/>
      <c r="AX88" s="925"/>
      <c r="AY88" s="925"/>
      <c r="AZ88" s="925"/>
      <c r="BA88" s="925"/>
      <c r="BB88" s="925"/>
      <c r="BC88" s="925"/>
      <c r="BD88" s="925"/>
      <c r="BE88" s="925"/>
      <c r="BF88" s="925"/>
      <c r="BG88" s="925"/>
      <c r="BH88" s="925"/>
      <c r="BI88" s="925"/>
      <c r="BJ88" s="925"/>
      <c r="BK88" s="925"/>
      <c r="BL88" s="925"/>
      <c r="BM88" s="925"/>
      <c r="BN88" s="925"/>
      <c r="BO88" s="925"/>
      <c r="BP88" s="925"/>
      <c r="BQ88" s="925"/>
      <c r="BR88" s="925"/>
      <c r="BS88" s="925"/>
      <c r="BT88" s="925"/>
      <c r="BU88" s="925"/>
      <c r="BV88" s="925"/>
      <c r="BW88" s="925"/>
      <c r="BX88" s="925"/>
      <c r="BY88" s="925"/>
      <c r="BZ88" s="925"/>
      <c r="CA88" s="925"/>
      <c r="CB88" s="925"/>
      <c r="CC88" s="925"/>
      <c r="CD88" s="925"/>
      <c r="CE88" s="925"/>
      <c r="CF88" s="925"/>
      <c r="CG88" s="925"/>
      <c r="CH88" s="925"/>
      <c r="CI88" s="925"/>
      <c r="CJ88" s="925"/>
      <c r="CK88" s="925"/>
      <c r="CL88" s="925"/>
      <c r="CM88" s="925"/>
      <c r="CN88" s="925"/>
      <c r="CO88" s="925"/>
      <c r="CP88" s="925"/>
      <c r="CQ88" s="925"/>
      <c r="CR88" s="925"/>
      <c r="CS88" s="925"/>
      <c r="CT88" s="925"/>
      <c r="CU88" s="925"/>
      <c r="CV88" s="925"/>
      <c r="CW88" s="925"/>
      <c r="CX88" s="925"/>
      <c r="CY88" s="925"/>
      <c r="CZ88" s="925"/>
      <c r="DA88" s="925"/>
      <c r="DB88" s="925"/>
      <c r="DC88" s="925"/>
      <c r="DD88" s="925"/>
      <c r="DE88" s="925"/>
      <c r="DF88" s="925"/>
      <c r="DG88" s="925"/>
      <c r="DH88" s="925"/>
      <c r="DI88" s="925"/>
      <c r="DJ88" s="925"/>
      <c r="DK88" s="925"/>
      <c r="DL88" s="925"/>
      <c r="DM88" s="925"/>
      <c r="DN88" s="925"/>
      <c r="DO88" s="925"/>
      <c r="DP88" s="925"/>
      <c r="DQ88" s="925"/>
      <c r="DR88" s="925"/>
      <c r="DS88" s="925"/>
      <c r="DT88" s="925"/>
      <c r="DU88" s="925"/>
      <c r="DV88" s="925"/>
      <c r="DW88" s="925"/>
      <c r="DX88" s="925"/>
      <c r="DY88" s="925"/>
      <c r="DZ88" s="925"/>
      <c r="EA88" s="925"/>
      <c r="EB88" s="925"/>
      <c r="EC88" s="925"/>
      <c r="ED88" s="925"/>
      <c r="EE88" s="925"/>
      <c r="EF88" s="925"/>
      <c r="EG88" s="446"/>
    </row>
    <row r="89" spans="1:137" ht="13" x14ac:dyDescent="0.15">
      <c r="A89" s="917"/>
      <c r="B89" s="917"/>
      <c r="C89" s="918"/>
      <c r="D89" s="919"/>
      <c r="E89" s="920"/>
      <c r="F89" s="921"/>
      <c r="G89" s="922"/>
      <c r="H89" s="922"/>
      <c r="I89" s="922"/>
      <c r="J89" s="923"/>
      <c r="K89" s="923"/>
      <c r="L89" s="924"/>
      <c r="M89" s="925"/>
      <c r="N89" s="925"/>
      <c r="O89" s="925"/>
      <c r="P89" s="925"/>
      <c r="Q89" s="925"/>
      <c r="R89" s="926"/>
      <c r="S89" s="926"/>
      <c r="T89" s="925"/>
      <c r="U89" s="925"/>
      <c r="V89" s="925"/>
      <c r="W89" s="925"/>
      <c r="X89" s="925"/>
      <c r="Y89" s="925"/>
      <c r="Z89" s="925"/>
      <c r="AA89" s="925"/>
      <c r="AB89" s="925"/>
      <c r="AC89" s="925"/>
      <c r="AD89" s="925"/>
      <c r="AE89" s="925"/>
      <c r="AF89" s="925"/>
      <c r="AG89" s="925"/>
      <c r="AH89" s="925"/>
      <c r="AI89" s="925"/>
      <c r="AJ89" s="925"/>
      <c r="AK89" s="925"/>
      <c r="AL89" s="925"/>
      <c r="AM89" s="925"/>
      <c r="AN89" s="925"/>
      <c r="AO89" s="925"/>
      <c r="AP89" s="925"/>
      <c r="AQ89" s="925"/>
      <c r="AR89" s="925"/>
      <c r="AS89" s="925"/>
      <c r="AT89" s="925"/>
      <c r="AU89" s="925"/>
      <c r="AV89" s="925"/>
      <c r="AW89" s="925"/>
      <c r="AX89" s="925"/>
      <c r="AY89" s="925"/>
      <c r="AZ89" s="925"/>
      <c r="BA89" s="925"/>
      <c r="BB89" s="925"/>
      <c r="BC89" s="925"/>
      <c r="BD89" s="925"/>
      <c r="BE89" s="925"/>
      <c r="BF89" s="925"/>
      <c r="BG89" s="925"/>
      <c r="BH89" s="925"/>
      <c r="BI89" s="925"/>
      <c r="BJ89" s="925"/>
      <c r="BK89" s="925"/>
      <c r="BL89" s="925"/>
      <c r="BM89" s="925"/>
      <c r="BN89" s="925"/>
      <c r="BO89" s="925"/>
      <c r="BP89" s="925"/>
      <c r="BQ89" s="925"/>
      <c r="BR89" s="925"/>
      <c r="BS89" s="925"/>
      <c r="BT89" s="925"/>
      <c r="BU89" s="925"/>
      <c r="BV89" s="925"/>
      <c r="BW89" s="925"/>
      <c r="BX89" s="925"/>
      <c r="BY89" s="925"/>
      <c r="BZ89" s="925"/>
      <c r="CA89" s="925"/>
      <c r="CB89" s="925"/>
      <c r="CC89" s="925"/>
      <c r="CD89" s="925"/>
      <c r="CE89" s="925"/>
      <c r="CF89" s="925"/>
      <c r="CG89" s="925"/>
      <c r="CH89" s="925"/>
      <c r="CI89" s="925"/>
      <c r="CJ89" s="925"/>
      <c r="CK89" s="925"/>
      <c r="CL89" s="925"/>
      <c r="CM89" s="925"/>
      <c r="CN89" s="925"/>
      <c r="CO89" s="925"/>
      <c r="CP89" s="925"/>
      <c r="CQ89" s="925"/>
      <c r="CR89" s="925"/>
      <c r="CS89" s="925"/>
      <c r="CT89" s="925"/>
      <c r="CU89" s="925"/>
      <c r="CV89" s="925"/>
      <c r="CW89" s="925"/>
      <c r="CX89" s="925"/>
      <c r="CY89" s="925"/>
      <c r="CZ89" s="925"/>
      <c r="DA89" s="925"/>
      <c r="DB89" s="925"/>
      <c r="DC89" s="925"/>
      <c r="DD89" s="925"/>
      <c r="DE89" s="925"/>
      <c r="DF89" s="925"/>
      <c r="DG89" s="925"/>
      <c r="DH89" s="925"/>
      <c r="DI89" s="925"/>
      <c r="DJ89" s="925"/>
      <c r="DK89" s="925"/>
      <c r="DL89" s="925"/>
      <c r="DM89" s="925"/>
      <c r="DN89" s="925"/>
      <c r="DO89" s="925"/>
      <c r="DP89" s="925"/>
      <c r="DQ89" s="925"/>
      <c r="DR89" s="925"/>
      <c r="DS89" s="925"/>
      <c r="DT89" s="925"/>
      <c r="DU89" s="925"/>
      <c r="DV89" s="925"/>
      <c r="DW89" s="925"/>
      <c r="DX89" s="925"/>
      <c r="DY89" s="925"/>
      <c r="DZ89" s="925"/>
      <c r="EA89" s="925"/>
      <c r="EB89" s="925"/>
      <c r="EC89" s="925"/>
      <c r="ED89" s="925"/>
      <c r="EE89" s="925"/>
      <c r="EF89" s="925"/>
      <c r="EG89" s="446"/>
    </row>
    <row r="90" spans="1:137" ht="13" x14ac:dyDescent="0.15">
      <c r="A90" s="917"/>
      <c r="B90" s="917"/>
      <c r="C90" s="918"/>
      <c r="D90" s="919"/>
      <c r="E90" s="920"/>
      <c r="F90" s="921"/>
      <c r="G90" s="922"/>
      <c r="H90" s="922"/>
      <c r="I90" s="922"/>
      <c r="J90" s="923"/>
      <c r="K90" s="923"/>
      <c r="L90" s="924"/>
      <c r="M90" s="925"/>
      <c r="N90" s="925"/>
      <c r="O90" s="925"/>
      <c r="P90" s="925"/>
      <c r="Q90" s="925"/>
      <c r="R90" s="926"/>
      <c r="S90" s="926"/>
      <c r="T90" s="925"/>
      <c r="U90" s="925"/>
      <c r="V90" s="925"/>
      <c r="W90" s="925"/>
      <c r="X90" s="925"/>
      <c r="Y90" s="925"/>
      <c r="Z90" s="925"/>
      <c r="AA90" s="925"/>
      <c r="AB90" s="925"/>
      <c r="AC90" s="925"/>
      <c r="AD90" s="925"/>
      <c r="AE90" s="925"/>
      <c r="AF90" s="925"/>
      <c r="AG90" s="925"/>
      <c r="AH90" s="925"/>
      <c r="AI90" s="925"/>
      <c r="AJ90" s="925"/>
      <c r="AK90" s="925"/>
      <c r="AL90" s="925"/>
      <c r="AM90" s="925"/>
      <c r="AN90" s="925"/>
      <c r="AO90" s="925"/>
      <c r="AP90" s="925"/>
      <c r="AQ90" s="925"/>
      <c r="AR90" s="925"/>
      <c r="AS90" s="925"/>
      <c r="AT90" s="925"/>
      <c r="AU90" s="925"/>
      <c r="AV90" s="925"/>
      <c r="AW90" s="925"/>
      <c r="AX90" s="925"/>
      <c r="AY90" s="925"/>
      <c r="AZ90" s="925"/>
      <c r="BA90" s="925"/>
      <c r="BB90" s="925"/>
      <c r="BC90" s="925"/>
      <c r="BD90" s="925"/>
      <c r="BE90" s="925"/>
      <c r="BF90" s="925"/>
      <c r="BG90" s="925"/>
      <c r="BH90" s="925"/>
      <c r="BI90" s="925"/>
      <c r="BJ90" s="925"/>
      <c r="BK90" s="925"/>
      <c r="BL90" s="925"/>
      <c r="BM90" s="925"/>
      <c r="BN90" s="925"/>
      <c r="BO90" s="925"/>
      <c r="BP90" s="925"/>
      <c r="BQ90" s="925"/>
      <c r="BR90" s="925"/>
      <c r="BS90" s="925"/>
      <c r="BT90" s="925"/>
      <c r="BU90" s="925"/>
      <c r="BV90" s="925"/>
      <c r="BW90" s="925"/>
      <c r="BX90" s="925"/>
      <c r="BY90" s="925"/>
      <c r="BZ90" s="925"/>
      <c r="CA90" s="925"/>
      <c r="CB90" s="925"/>
      <c r="CC90" s="925"/>
      <c r="CD90" s="925"/>
      <c r="CE90" s="925"/>
      <c r="CF90" s="925"/>
      <c r="CG90" s="925"/>
      <c r="CH90" s="925"/>
      <c r="CI90" s="925"/>
      <c r="CJ90" s="925"/>
      <c r="CK90" s="925"/>
      <c r="CL90" s="925"/>
      <c r="CM90" s="925"/>
      <c r="CN90" s="925"/>
      <c r="CO90" s="925"/>
      <c r="CP90" s="925"/>
      <c r="CQ90" s="925"/>
      <c r="CR90" s="925"/>
      <c r="CS90" s="925"/>
      <c r="CT90" s="925"/>
      <c r="CU90" s="925"/>
      <c r="CV90" s="925"/>
      <c r="CW90" s="925"/>
      <c r="CX90" s="925"/>
      <c r="CY90" s="925"/>
      <c r="CZ90" s="925"/>
      <c r="DA90" s="925"/>
      <c r="DB90" s="925"/>
      <c r="DC90" s="925"/>
      <c r="DD90" s="925"/>
      <c r="DE90" s="925"/>
      <c r="DF90" s="925"/>
      <c r="DG90" s="925"/>
      <c r="DH90" s="925"/>
      <c r="DI90" s="925"/>
      <c r="DJ90" s="925"/>
      <c r="DK90" s="925"/>
      <c r="DL90" s="925"/>
      <c r="DM90" s="925"/>
      <c r="DN90" s="925"/>
      <c r="DO90" s="925"/>
      <c r="DP90" s="925"/>
      <c r="DQ90" s="925"/>
      <c r="DR90" s="925"/>
      <c r="DS90" s="925"/>
      <c r="DT90" s="925"/>
      <c r="DU90" s="925"/>
      <c r="DV90" s="925"/>
      <c r="DW90" s="925"/>
      <c r="DX90" s="925"/>
      <c r="DY90" s="925"/>
      <c r="DZ90" s="925"/>
      <c r="EA90" s="925"/>
      <c r="EB90" s="925"/>
      <c r="EC90" s="925"/>
      <c r="ED90" s="925"/>
      <c r="EE90" s="925"/>
      <c r="EF90" s="925"/>
      <c r="EG90" s="446"/>
    </row>
    <row r="91" spans="1:137" ht="13" x14ac:dyDescent="0.15">
      <c r="A91" s="917"/>
      <c r="B91" s="917"/>
      <c r="C91" s="918"/>
      <c r="D91" s="919"/>
      <c r="E91" s="920"/>
      <c r="F91" s="921"/>
      <c r="G91" s="922"/>
      <c r="H91" s="922"/>
      <c r="I91" s="922"/>
      <c r="J91" s="923"/>
      <c r="K91" s="923"/>
      <c r="L91" s="924"/>
      <c r="M91" s="925"/>
      <c r="N91" s="925"/>
      <c r="O91" s="925"/>
      <c r="P91" s="925"/>
      <c r="Q91" s="925"/>
      <c r="R91" s="926"/>
      <c r="S91" s="926"/>
      <c r="T91" s="925"/>
      <c r="U91" s="925"/>
      <c r="V91" s="925"/>
      <c r="W91" s="925"/>
      <c r="X91" s="925"/>
      <c r="Y91" s="925"/>
      <c r="Z91" s="925"/>
      <c r="AA91" s="925"/>
      <c r="AB91" s="925"/>
      <c r="AC91" s="925"/>
      <c r="AD91" s="925"/>
      <c r="AE91" s="925"/>
      <c r="AF91" s="925"/>
      <c r="AG91" s="925"/>
      <c r="AH91" s="925"/>
      <c r="AI91" s="925"/>
      <c r="AJ91" s="925"/>
      <c r="AK91" s="925"/>
      <c r="AL91" s="925"/>
      <c r="AM91" s="925"/>
      <c r="AN91" s="925"/>
      <c r="AO91" s="925"/>
      <c r="AP91" s="925"/>
      <c r="AQ91" s="925"/>
      <c r="AR91" s="925"/>
      <c r="AS91" s="925"/>
      <c r="AT91" s="925"/>
      <c r="AU91" s="925"/>
      <c r="AV91" s="925"/>
      <c r="AW91" s="925"/>
      <c r="AX91" s="925"/>
      <c r="AY91" s="925"/>
      <c r="AZ91" s="925"/>
      <c r="BA91" s="925"/>
      <c r="BB91" s="925"/>
      <c r="BC91" s="925"/>
      <c r="BD91" s="925"/>
      <c r="BE91" s="925"/>
      <c r="BF91" s="925"/>
      <c r="BG91" s="925"/>
      <c r="BH91" s="925"/>
      <c r="BI91" s="925"/>
      <c r="BJ91" s="925"/>
      <c r="BK91" s="925"/>
      <c r="BL91" s="925"/>
      <c r="BM91" s="925"/>
      <c r="BN91" s="925"/>
      <c r="BO91" s="925"/>
      <c r="BP91" s="925"/>
      <c r="BQ91" s="925"/>
      <c r="BR91" s="925"/>
      <c r="BS91" s="925"/>
      <c r="BT91" s="925"/>
      <c r="BU91" s="925"/>
      <c r="BV91" s="925"/>
      <c r="BW91" s="925"/>
      <c r="BX91" s="925"/>
      <c r="BY91" s="925"/>
      <c r="BZ91" s="925"/>
      <c r="CA91" s="925"/>
      <c r="CB91" s="925"/>
      <c r="CC91" s="925"/>
      <c r="CD91" s="925"/>
      <c r="CE91" s="925"/>
      <c r="CF91" s="925"/>
      <c r="CG91" s="925"/>
      <c r="CH91" s="925"/>
      <c r="CI91" s="925"/>
      <c r="CJ91" s="925"/>
      <c r="CK91" s="925"/>
      <c r="CL91" s="925"/>
      <c r="CM91" s="925"/>
      <c r="CN91" s="925"/>
      <c r="CO91" s="925"/>
      <c r="CP91" s="925"/>
      <c r="CQ91" s="925"/>
      <c r="CR91" s="925"/>
      <c r="CS91" s="925"/>
      <c r="CT91" s="925"/>
      <c r="CU91" s="925"/>
      <c r="CV91" s="925"/>
      <c r="CW91" s="925"/>
      <c r="CX91" s="925"/>
      <c r="CY91" s="925"/>
      <c r="CZ91" s="925"/>
      <c r="DA91" s="925"/>
      <c r="DB91" s="925"/>
      <c r="DC91" s="925"/>
      <c r="DD91" s="925"/>
      <c r="DE91" s="925"/>
      <c r="DF91" s="925"/>
      <c r="DG91" s="925"/>
      <c r="DH91" s="925"/>
      <c r="DI91" s="925"/>
      <c r="DJ91" s="925"/>
      <c r="DK91" s="925"/>
      <c r="DL91" s="925"/>
      <c r="DM91" s="925"/>
      <c r="DN91" s="925"/>
      <c r="DO91" s="925"/>
      <c r="DP91" s="925"/>
      <c r="DQ91" s="925"/>
      <c r="DR91" s="925"/>
      <c r="DS91" s="925"/>
      <c r="DT91" s="925"/>
      <c r="DU91" s="925"/>
      <c r="DV91" s="925"/>
      <c r="DW91" s="925"/>
      <c r="DX91" s="925"/>
      <c r="DY91" s="925"/>
      <c r="DZ91" s="925"/>
      <c r="EA91" s="925"/>
      <c r="EB91" s="925"/>
      <c r="EC91" s="925"/>
      <c r="ED91" s="925"/>
      <c r="EE91" s="925"/>
      <c r="EF91" s="925"/>
      <c r="EG91" s="446"/>
    </row>
    <row r="92" spans="1:137" ht="13" x14ac:dyDescent="0.15">
      <c r="A92" s="917"/>
      <c r="B92" s="917"/>
      <c r="C92" s="918"/>
      <c r="D92" s="919"/>
      <c r="E92" s="920"/>
      <c r="F92" s="921"/>
      <c r="G92" s="922"/>
      <c r="H92" s="922"/>
      <c r="I92" s="922"/>
      <c r="J92" s="923"/>
      <c r="K92" s="923"/>
      <c r="L92" s="924"/>
      <c r="M92" s="925"/>
      <c r="N92" s="925"/>
      <c r="O92" s="925"/>
      <c r="P92" s="925"/>
      <c r="Q92" s="925"/>
      <c r="R92" s="926"/>
      <c r="S92" s="926"/>
      <c r="T92" s="925"/>
      <c r="U92" s="925"/>
      <c r="V92" s="925"/>
      <c r="W92" s="925"/>
      <c r="X92" s="925"/>
      <c r="Y92" s="925"/>
      <c r="Z92" s="925"/>
      <c r="AA92" s="925"/>
      <c r="AB92" s="925"/>
      <c r="AC92" s="925"/>
      <c r="AD92" s="925"/>
      <c r="AE92" s="925"/>
      <c r="AF92" s="925"/>
      <c r="AG92" s="925"/>
      <c r="AH92" s="925"/>
      <c r="AI92" s="925"/>
      <c r="AJ92" s="925"/>
      <c r="AK92" s="925"/>
      <c r="AL92" s="925"/>
      <c r="AM92" s="925"/>
      <c r="AN92" s="925"/>
      <c r="AO92" s="925"/>
      <c r="AP92" s="925"/>
      <c r="AQ92" s="925"/>
      <c r="AR92" s="925"/>
      <c r="AS92" s="925"/>
      <c r="AT92" s="925"/>
      <c r="AU92" s="925"/>
      <c r="AV92" s="925"/>
      <c r="AW92" s="925"/>
      <c r="AX92" s="925"/>
      <c r="AY92" s="925"/>
      <c r="AZ92" s="925"/>
      <c r="BA92" s="925"/>
      <c r="BB92" s="925"/>
      <c r="BC92" s="925"/>
      <c r="BD92" s="925"/>
      <c r="BE92" s="925"/>
      <c r="BF92" s="925"/>
      <c r="BG92" s="925"/>
      <c r="BH92" s="925"/>
      <c r="BI92" s="925"/>
      <c r="BJ92" s="925"/>
      <c r="BK92" s="925"/>
      <c r="BL92" s="925"/>
      <c r="BM92" s="925"/>
      <c r="BN92" s="925"/>
      <c r="BO92" s="925"/>
      <c r="BP92" s="925"/>
      <c r="BQ92" s="925"/>
      <c r="BR92" s="925"/>
      <c r="BS92" s="925"/>
      <c r="BT92" s="925"/>
      <c r="BU92" s="925"/>
      <c r="BV92" s="925"/>
      <c r="BW92" s="925"/>
      <c r="BX92" s="925"/>
      <c r="BY92" s="925"/>
      <c r="BZ92" s="925"/>
      <c r="CA92" s="925"/>
      <c r="CB92" s="925"/>
      <c r="CC92" s="925"/>
      <c r="CD92" s="925"/>
      <c r="CE92" s="925"/>
      <c r="CF92" s="925"/>
      <c r="CG92" s="925"/>
      <c r="CH92" s="925"/>
      <c r="CI92" s="925"/>
      <c r="CJ92" s="925"/>
      <c r="CK92" s="925"/>
      <c r="CL92" s="925"/>
      <c r="CM92" s="925"/>
      <c r="CN92" s="925"/>
      <c r="CO92" s="925"/>
      <c r="CP92" s="925"/>
      <c r="CQ92" s="925"/>
      <c r="CR92" s="925"/>
      <c r="CS92" s="925"/>
      <c r="CT92" s="925"/>
      <c r="CU92" s="925"/>
      <c r="CV92" s="925"/>
      <c r="CW92" s="925"/>
      <c r="CX92" s="925"/>
      <c r="CY92" s="925"/>
      <c r="CZ92" s="925"/>
      <c r="DA92" s="925"/>
      <c r="DB92" s="925"/>
      <c r="DC92" s="925"/>
      <c r="DD92" s="925"/>
      <c r="DE92" s="925"/>
      <c r="DF92" s="925"/>
      <c r="DG92" s="925"/>
      <c r="DH92" s="925"/>
      <c r="DI92" s="925"/>
      <c r="DJ92" s="925"/>
      <c r="DK92" s="925"/>
      <c r="DL92" s="925"/>
      <c r="DM92" s="925"/>
      <c r="DN92" s="925"/>
      <c r="DO92" s="925"/>
      <c r="DP92" s="925"/>
      <c r="DQ92" s="925"/>
      <c r="DR92" s="925"/>
      <c r="DS92" s="925"/>
      <c r="DT92" s="925"/>
      <c r="DU92" s="925"/>
      <c r="DV92" s="925"/>
      <c r="DW92" s="925"/>
      <c r="DX92" s="925"/>
      <c r="DY92" s="925"/>
      <c r="DZ92" s="925"/>
      <c r="EA92" s="925"/>
      <c r="EB92" s="925"/>
      <c r="EC92" s="925"/>
      <c r="ED92" s="925"/>
      <c r="EE92" s="925"/>
      <c r="EF92" s="925"/>
      <c r="EG92" s="446"/>
    </row>
    <row r="93" spans="1:137" ht="13" x14ac:dyDescent="0.15">
      <c r="A93" s="917"/>
      <c r="B93" s="917"/>
      <c r="C93" s="918"/>
      <c r="D93" s="919"/>
      <c r="E93" s="920"/>
      <c r="F93" s="921"/>
      <c r="G93" s="922"/>
      <c r="H93" s="922"/>
      <c r="I93" s="922"/>
      <c r="J93" s="923"/>
      <c r="K93" s="923"/>
      <c r="L93" s="924"/>
      <c r="M93" s="925"/>
      <c r="N93" s="925"/>
      <c r="O93" s="925"/>
      <c r="P93" s="925"/>
      <c r="Q93" s="925"/>
      <c r="R93" s="926"/>
      <c r="S93" s="926"/>
      <c r="T93" s="925"/>
      <c r="U93" s="925"/>
      <c r="V93" s="925"/>
      <c r="W93" s="925"/>
      <c r="X93" s="925"/>
      <c r="Y93" s="925"/>
      <c r="Z93" s="925"/>
      <c r="AA93" s="925"/>
      <c r="AB93" s="925"/>
      <c r="AC93" s="925"/>
      <c r="AD93" s="925"/>
      <c r="AE93" s="925"/>
      <c r="AF93" s="925"/>
      <c r="AG93" s="925"/>
      <c r="AH93" s="925"/>
      <c r="AI93" s="925"/>
      <c r="AJ93" s="925"/>
      <c r="AK93" s="925"/>
      <c r="AL93" s="925"/>
      <c r="AM93" s="925"/>
      <c r="AN93" s="925"/>
      <c r="AO93" s="925"/>
      <c r="AP93" s="925"/>
      <c r="AQ93" s="925"/>
      <c r="AR93" s="925"/>
      <c r="AS93" s="925"/>
      <c r="AT93" s="925"/>
      <c r="AU93" s="925"/>
      <c r="AV93" s="925"/>
      <c r="AW93" s="925"/>
      <c r="AX93" s="925"/>
      <c r="AY93" s="925"/>
      <c r="AZ93" s="925"/>
      <c r="BA93" s="925"/>
      <c r="BB93" s="925"/>
      <c r="BC93" s="925"/>
      <c r="BD93" s="925"/>
      <c r="BE93" s="925"/>
      <c r="BF93" s="925"/>
      <c r="BG93" s="925"/>
      <c r="BH93" s="925"/>
      <c r="BI93" s="925"/>
      <c r="BJ93" s="925"/>
      <c r="BK93" s="925"/>
      <c r="BL93" s="925"/>
      <c r="BM93" s="925"/>
      <c r="BN93" s="925"/>
      <c r="BO93" s="925"/>
      <c r="BP93" s="925"/>
      <c r="BQ93" s="925"/>
      <c r="BR93" s="925"/>
      <c r="BS93" s="925"/>
      <c r="BT93" s="925"/>
      <c r="BU93" s="925"/>
      <c r="BV93" s="925"/>
      <c r="BW93" s="925"/>
      <c r="BX93" s="925"/>
      <c r="BY93" s="925"/>
      <c r="BZ93" s="925"/>
      <c r="CA93" s="925"/>
      <c r="CB93" s="925"/>
      <c r="CC93" s="925"/>
      <c r="CD93" s="925"/>
      <c r="CE93" s="925"/>
      <c r="CF93" s="925"/>
      <c r="CG93" s="925"/>
      <c r="CH93" s="925"/>
      <c r="CI93" s="925"/>
      <c r="CJ93" s="925"/>
      <c r="CK93" s="925"/>
      <c r="CL93" s="925"/>
      <c r="CM93" s="925"/>
      <c r="CN93" s="925"/>
      <c r="CO93" s="925"/>
      <c r="CP93" s="925"/>
      <c r="CQ93" s="925"/>
      <c r="CR93" s="925"/>
      <c r="CS93" s="925"/>
      <c r="CT93" s="925"/>
      <c r="CU93" s="925"/>
      <c r="CV93" s="925"/>
      <c r="CW93" s="925"/>
      <c r="CX93" s="925"/>
      <c r="CY93" s="925"/>
      <c r="CZ93" s="925"/>
      <c r="DA93" s="925"/>
      <c r="DB93" s="925"/>
      <c r="DC93" s="925"/>
      <c r="DD93" s="925"/>
      <c r="DE93" s="925"/>
      <c r="DF93" s="925"/>
      <c r="DG93" s="925"/>
      <c r="DH93" s="925"/>
      <c r="DI93" s="925"/>
      <c r="DJ93" s="925"/>
      <c r="DK93" s="925"/>
      <c r="DL93" s="925"/>
      <c r="DM93" s="925"/>
      <c r="DN93" s="925"/>
      <c r="DO93" s="925"/>
      <c r="DP93" s="925"/>
      <c r="DQ93" s="925"/>
      <c r="DR93" s="925"/>
      <c r="DS93" s="925"/>
      <c r="DT93" s="925"/>
      <c r="DU93" s="925"/>
      <c r="DV93" s="925"/>
      <c r="DW93" s="925"/>
      <c r="DX93" s="925"/>
      <c r="DY93" s="925"/>
      <c r="DZ93" s="925"/>
      <c r="EA93" s="925"/>
      <c r="EB93" s="925"/>
      <c r="EC93" s="925"/>
      <c r="ED93" s="925"/>
      <c r="EE93" s="925"/>
      <c r="EF93" s="925"/>
      <c r="EG93" s="446"/>
    </row>
    <row r="94" spans="1:137" ht="13" x14ac:dyDescent="0.15">
      <c r="A94" s="917"/>
      <c r="B94" s="917"/>
      <c r="C94" s="918"/>
      <c r="D94" s="919"/>
      <c r="E94" s="920"/>
      <c r="F94" s="921"/>
      <c r="G94" s="922"/>
      <c r="H94" s="922"/>
      <c r="I94" s="922"/>
      <c r="J94" s="923"/>
      <c r="K94" s="923"/>
      <c r="L94" s="924"/>
      <c r="M94" s="925"/>
      <c r="N94" s="925"/>
      <c r="O94" s="925"/>
      <c r="P94" s="925"/>
      <c r="Q94" s="925"/>
      <c r="R94" s="926"/>
      <c r="S94" s="926"/>
      <c r="T94" s="925"/>
      <c r="U94" s="925"/>
      <c r="V94" s="925"/>
      <c r="W94" s="925"/>
      <c r="X94" s="925"/>
      <c r="Y94" s="925"/>
      <c r="Z94" s="925"/>
      <c r="AA94" s="925"/>
      <c r="AB94" s="925"/>
      <c r="AC94" s="925"/>
      <c r="AD94" s="925"/>
      <c r="AE94" s="925"/>
      <c r="AF94" s="925"/>
      <c r="AG94" s="925"/>
      <c r="AH94" s="925"/>
      <c r="AI94" s="925"/>
      <c r="AJ94" s="925"/>
      <c r="AK94" s="925"/>
      <c r="AL94" s="925"/>
      <c r="AM94" s="925"/>
      <c r="AN94" s="925"/>
      <c r="AO94" s="925"/>
      <c r="AP94" s="925"/>
      <c r="AQ94" s="925"/>
      <c r="AR94" s="925"/>
      <c r="AS94" s="925"/>
      <c r="AT94" s="925"/>
      <c r="AU94" s="925"/>
      <c r="AV94" s="925"/>
      <c r="AW94" s="925"/>
      <c r="AX94" s="925"/>
      <c r="AY94" s="925"/>
      <c r="AZ94" s="925"/>
      <c r="BA94" s="925"/>
      <c r="BB94" s="925"/>
      <c r="BC94" s="925"/>
      <c r="BD94" s="925"/>
      <c r="BE94" s="925"/>
      <c r="BF94" s="925"/>
      <c r="BG94" s="925"/>
      <c r="BH94" s="925"/>
      <c r="BI94" s="925"/>
      <c r="BJ94" s="925"/>
      <c r="BK94" s="925"/>
      <c r="BL94" s="925"/>
      <c r="BM94" s="925"/>
      <c r="BN94" s="925"/>
      <c r="BO94" s="925"/>
      <c r="BP94" s="925"/>
      <c r="BQ94" s="925"/>
      <c r="BR94" s="925"/>
      <c r="BS94" s="925"/>
      <c r="BT94" s="925"/>
      <c r="BU94" s="925"/>
      <c r="BV94" s="925"/>
      <c r="BW94" s="925"/>
      <c r="BX94" s="925"/>
      <c r="BY94" s="925"/>
      <c r="BZ94" s="925"/>
      <c r="CA94" s="925"/>
      <c r="CB94" s="925"/>
      <c r="CC94" s="925"/>
      <c r="CD94" s="925"/>
      <c r="CE94" s="925"/>
      <c r="CF94" s="925"/>
      <c r="CG94" s="925"/>
      <c r="CH94" s="925"/>
      <c r="CI94" s="925"/>
      <c r="CJ94" s="925"/>
      <c r="CK94" s="925"/>
      <c r="CL94" s="925"/>
      <c r="CM94" s="925"/>
      <c r="CN94" s="925"/>
      <c r="CO94" s="925"/>
      <c r="CP94" s="925"/>
      <c r="CQ94" s="925"/>
      <c r="CR94" s="925"/>
      <c r="CS94" s="925"/>
      <c r="CT94" s="925"/>
      <c r="CU94" s="925"/>
      <c r="CV94" s="925"/>
      <c r="CW94" s="925"/>
      <c r="CX94" s="925"/>
      <c r="CY94" s="925"/>
      <c r="CZ94" s="925"/>
      <c r="DA94" s="925"/>
      <c r="DB94" s="925"/>
      <c r="DC94" s="925"/>
      <c r="DD94" s="925"/>
      <c r="DE94" s="925"/>
      <c r="DF94" s="925"/>
      <c r="DG94" s="925"/>
      <c r="DH94" s="925"/>
      <c r="DI94" s="925"/>
      <c r="DJ94" s="925"/>
      <c r="DK94" s="925"/>
      <c r="DL94" s="925"/>
      <c r="DM94" s="925"/>
      <c r="DN94" s="925"/>
      <c r="DO94" s="925"/>
      <c r="DP94" s="925"/>
      <c r="DQ94" s="925"/>
      <c r="DR94" s="925"/>
      <c r="DS94" s="925"/>
      <c r="DT94" s="925"/>
      <c r="DU94" s="925"/>
      <c r="DV94" s="925"/>
      <c r="DW94" s="925"/>
      <c r="DX94" s="925"/>
      <c r="DY94" s="925"/>
      <c r="DZ94" s="925"/>
      <c r="EA94" s="925"/>
      <c r="EB94" s="925"/>
      <c r="EC94" s="925"/>
      <c r="ED94" s="925"/>
      <c r="EE94" s="925"/>
      <c r="EF94" s="925"/>
      <c r="EG94" s="446"/>
    </row>
    <row r="95" spans="1:137" ht="13" x14ac:dyDescent="0.15">
      <c r="A95" s="917"/>
      <c r="B95" s="917"/>
      <c r="C95" s="918"/>
      <c r="D95" s="919"/>
      <c r="E95" s="920"/>
      <c r="F95" s="921"/>
      <c r="G95" s="922"/>
      <c r="H95" s="922"/>
      <c r="I95" s="922"/>
      <c r="J95" s="923"/>
      <c r="K95" s="923"/>
      <c r="L95" s="924"/>
      <c r="M95" s="925"/>
      <c r="N95" s="925"/>
      <c r="O95" s="925"/>
      <c r="P95" s="925"/>
      <c r="Q95" s="925"/>
      <c r="R95" s="926"/>
      <c r="S95" s="926"/>
      <c r="T95" s="925"/>
      <c r="U95" s="925"/>
      <c r="V95" s="925"/>
      <c r="W95" s="925"/>
      <c r="X95" s="925"/>
      <c r="Y95" s="925"/>
      <c r="Z95" s="925"/>
      <c r="AA95" s="925"/>
      <c r="AB95" s="925"/>
      <c r="AC95" s="925"/>
      <c r="AD95" s="925"/>
      <c r="AE95" s="925"/>
      <c r="AF95" s="925"/>
      <c r="AG95" s="925"/>
      <c r="AH95" s="925"/>
      <c r="AI95" s="925"/>
      <c r="AJ95" s="925"/>
      <c r="AK95" s="925"/>
      <c r="AL95" s="925"/>
      <c r="AM95" s="925"/>
      <c r="AN95" s="925"/>
      <c r="AO95" s="925"/>
      <c r="AP95" s="925"/>
      <c r="AQ95" s="925"/>
      <c r="AR95" s="925"/>
      <c r="AS95" s="925"/>
      <c r="AT95" s="925"/>
      <c r="AU95" s="925"/>
      <c r="AV95" s="925"/>
      <c r="AW95" s="925"/>
      <c r="AX95" s="925"/>
      <c r="AY95" s="925"/>
      <c r="AZ95" s="925"/>
      <c r="BA95" s="925"/>
      <c r="BB95" s="925"/>
      <c r="BC95" s="925"/>
      <c r="BD95" s="925"/>
      <c r="BE95" s="925"/>
      <c r="BF95" s="925"/>
      <c r="BG95" s="925"/>
      <c r="BH95" s="925"/>
      <c r="BI95" s="925"/>
      <c r="BJ95" s="925"/>
      <c r="BK95" s="925"/>
      <c r="BL95" s="925"/>
      <c r="BM95" s="925"/>
      <c r="BN95" s="925"/>
      <c r="BO95" s="925"/>
      <c r="BP95" s="925"/>
      <c r="BQ95" s="925"/>
      <c r="BR95" s="925"/>
      <c r="BS95" s="925"/>
      <c r="BT95" s="925"/>
      <c r="BU95" s="925"/>
      <c r="BV95" s="925"/>
      <c r="BW95" s="925"/>
      <c r="BX95" s="925"/>
      <c r="BY95" s="925"/>
      <c r="BZ95" s="925"/>
      <c r="CA95" s="925"/>
      <c r="CB95" s="925"/>
      <c r="CC95" s="925"/>
      <c r="CD95" s="925"/>
      <c r="CE95" s="925"/>
      <c r="CF95" s="925"/>
      <c r="CG95" s="925"/>
      <c r="CH95" s="925"/>
      <c r="CI95" s="925"/>
      <c r="CJ95" s="925"/>
      <c r="CK95" s="925"/>
      <c r="CL95" s="925"/>
      <c r="CM95" s="925"/>
      <c r="CN95" s="925"/>
      <c r="CO95" s="925"/>
      <c r="CP95" s="925"/>
      <c r="CQ95" s="925"/>
      <c r="CR95" s="925"/>
      <c r="CS95" s="925"/>
      <c r="CT95" s="925"/>
      <c r="CU95" s="925"/>
      <c r="CV95" s="925"/>
      <c r="CW95" s="925"/>
      <c r="CX95" s="925"/>
      <c r="CY95" s="925"/>
      <c r="CZ95" s="925"/>
      <c r="DA95" s="925"/>
      <c r="DB95" s="925"/>
      <c r="DC95" s="925"/>
      <c r="DD95" s="925"/>
      <c r="DE95" s="925"/>
      <c r="DF95" s="925"/>
      <c r="DG95" s="925"/>
      <c r="DH95" s="925"/>
      <c r="DI95" s="925"/>
      <c r="DJ95" s="925"/>
      <c r="DK95" s="925"/>
      <c r="DL95" s="925"/>
      <c r="DM95" s="925"/>
      <c r="DN95" s="925"/>
      <c r="DO95" s="925"/>
      <c r="DP95" s="925"/>
      <c r="DQ95" s="925"/>
      <c r="DR95" s="925"/>
      <c r="DS95" s="925"/>
      <c r="DT95" s="925"/>
      <c r="DU95" s="925"/>
      <c r="DV95" s="925"/>
      <c r="DW95" s="925"/>
      <c r="DX95" s="925"/>
      <c r="DY95" s="925"/>
      <c r="DZ95" s="925"/>
      <c r="EA95" s="925"/>
      <c r="EB95" s="925"/>
      <c r="EC95" s="925"/>
      <c r="ED95" s="925"/>
      <c r="EE95" s="925"/>
      <c r="EF95" s="925"/>
      <c r="EG95" s="446"/>
    </row>
    <row r="96" spans="1:137" ht="13" x14ac:dyDescent="0.15">
      <c r="A96" s="917"/>
      <c r="B96" s="917"/>
      <c r="C96" s="918"/>
      <c r="D96" s="919"/>
      <c r="E96" s="920"/>
      <c r="F96" s="921"/>
      <c r="G96" s="922"/>
      <c r="H96" s="922"/>
      <c r="I96" s="922"/>
      <c r="J96" s="923"/>
      <c r="K96" s="923"/>
      <c r="L96" s="924"/>
      <c r="M96" s="925"/>
      <c r="N96" s="925"/>
      <c r="O96" s="925"/>
      <c r="P96" s="925"/>
      <c r="Q96" s="925"/>
      <c r="R96" s="926"/>
      <c r="S96" s="926"/>
      <c r="T96" s="925"/>
      <c r="U96" s="925"/>
      <c r="V96" s="925"/>
      <c r="W96" s="925"/>
      <c r="X96" s="925"/>
      <c r="Y96" s="925"/>
      <c r="Z96" s="925"/>
      <c r="AA96" s="925"/>
      <c r="AB96" s="925"/>
      <c r="AC96" s="925"/>
      <c r="AD96" s="925"/>
      <c r="AE96" s="925"/>
      <c r="AF96" s="925"/>
      <c r="AG96" s="925"/>
      <c r="AH96" s="925"/>
      <c r="AI96" s="925"/>
      <c r="AJ96" s="925"/>
      <c r="AK96" s="925"/>
      <c r="AL96" s="925"/>
      <c r="AM96" s="925"/>
      <c r="AN96" s="925"/>
      <c r="AO96" s="925"/>
      <c r="AP96" s="925"/>
      <c r="AQ96" s="925"/>
      <c r="AR96" s="925"/>
      <c r="AS96" s="925"/>
      <c r="AT96" s="925"/>
      <c r="AU96" s="925"/>
      <c r="AV96" s="925"/>
      <c r="AW96" s="925"/>
      <c r="AX96" s="925"/>
      <c r="AY96" s="925"/>
      <c r="AZ96" s="925"/>
      <c r="BA96" s="925"/>
      <c r="BB96" s="925"/>
      <c r="BC96" s="925"/>
      <c r="BD96" s="925"/>
      <c r="BE96" s="925"/>
      <c r="BF96" s="925"/>
      <c r="BG96" s="925"/>
      <c r="BH96" s="925"/>
      <c r="BI96" s="925"/>
      <c r="BJ96" s="925"/>
      <c r="BK96" s="925"/>
      <c r="BL96" s="925"/>
      <c r="BM96" s="925"/>
      <c r="BN96" s="925"/>
      <c r="BO96" s="925"/>
      <c r="BP96" s="925"/>
      <c r="BQ96" s="925"/>
      <c r="BR96" s="925"/>
      <c r="BS96" s="925"/>
      <c r="BT96" s="925"/>
      <c r="BU96" s="925"/>
      <c r="BV96" s="925"/>
      <c r="BW96" s="925"/>
      <c r="BX96" s="925"/>
      <c r="BY96" s="925"/>
      <c r="BZ96" s="925"/>
      <c r="CA96" s="925"/>
      <c r="CB96" s="925"/>
      <c r="CC96" s="925"/>
      <c r="CD96" s="925"/>
      <c r="CE96" s="925"/>
      <c r="CF96" s="925"/>
      <c r="CG96" s="925"/>
      <c r="CH96" s="925"/>
      <c r="CI96" s="925"/>
      <c r="CJ96" s="925"/>
      <c r="CK96" s="925"/>
      <c r="CL96" s="925"/>
      <c r="CM96" s="925"/>
      <c r="CN96" s="925"/>
      <c r="CO96" s="925"/>
      <c r="CP96" s="925"/>
      <c r="CQ96" s="925"/>
      <c r="CR96" s="925"/>
      <c r="CS96" s="925"/>
      <c r="CT96" s="925"/>
      <c r="CU96" s="925"/>
      <c r="CV96" s="925"/>
      <c r="CW96" s="925"/>
      <c r="CX96" s="925"/>
      <c r="CY96" s="925"/>
      <c r="CZ96" s="925"/>
      <c r="DA96" s="925"/>
      <c r="DB96" s="925"/>
      <c r="DC96" s="925"/>
      <c r="DD96" s="925"/>
      <c r="DE96" s="925"/>
      <c r="DF96" s="925"/>
      <c r="DG96" s="925"/>
      <c r="DH96" s="925"/>
      <c r="DI96" s="925"/>
      <c r="DJ96" s="925"/>
      <c r="DK96" s="925"/>
      <c r="DL96" s="925"/>
      <c r="DM96" s="925"/>
      <c r="DN96" s="925"/>
      <c r="DO96" s="925"/>
      <c r="DP96" s="925"/>
      <c r="DQ96" s="925"/>
      <c r="DR96" s="925"/>
      <c r="DS96" s="925"/>
      <c r="DT96" s="925"/>
      <c r="DU96" s="925"/>
      <c r="DV96" s="925"/>
      <c r="DW96" s="925"/>
      <c r="DX96" s="925"/>
      <c r="DY96" s="925"/>
      <c r="DZ96" s="925"/>
      <c r="EA96" s="925"/>
      <c r="EB96" s="925"/>
      <c r="EC96" s="925"/>
      <c r="ED96" s="925"/>
      <c r="EE96" s="925"/>
      <c r="EF96" s="925"/>
      <c r="EG96" s="446"/>
    </row>
    <row r="97" spans="1:137" ht="13" x14ac:dyDescent="0.15">
      <c r="A97" s="917"/>
      <c r="B97" s="917"/>
      <c r="C97" s="918"/>
      <c r="D97" s="919"/>
      <c r="E97" s="920"/>
      <c r="F97" s="921"/>
      <c r="G97" s="922"/>
      <c r="H97" s="922"/>
      <c r="I97" s="922"/>
      <c r="J97" s="923"/>
      <c r="K97" s="923"/>
      <c r="L97" s="924"/>
      <c r="M97" s="925"/>
      <c r="N97" s="925"/>
      <c r="O97" s="925"/>
      <c r="P97" s="925"/>
      <c r="Q97" s="925"/>
      <c r="R97" s="926"/>
      <c r="S97" s="926"/>
      <c r="T97" s="925"/>
      <c r="U97" s="925"/>
      <c r="V97" s="925"/>
      <c r="W97" s="925"/>
      <c r="X97" s="925"/>
      <c r="Y97" s="925"/>
      <c r="Z97" s="925"/>
      <c r="AA97" s="925"/>
      <c r="AB97" s="925"/>
      <c r="AC97" s="925"/>
      <c r="AD97" s="925"/>
      <c r="AE97" s="925"/>
      <c r="AF97" s="925"/>
      <c r="AG97" s="925"/>
      <c r="AH97" s="925"/>
      <c r="AI97" s="925"/>
      <c r="AJ97" s="925"/>
      <c r="AK97" s="925"/>
      <c r="AL97" s="925"/>
      <c r="AM97" s="925"/>
      <c r="AN97" s="925"/>
      <c r="AO97" s="925"/>
      <c r="AP97" s="925"/>
      <c r="AQ97" s="925"/>
      <c r="AR97" s="925"/>
      <c r="AS97" s="925"/>
      <c r="AT97" s="925"/>
      <c r="AU97" s="925"/>
      <c r="AV97" s="925"/>
      <c r="AW97" s="925"/>
      <c r="AX97" s="925"/>
      <c r="AY97" s="925"/>
      <c r="AZ97" s="925"/>
      <c r="BA97" s="925"/>
      <c r="BB97" s="925"/>
      <c r="BC97" s="925"/>
      <c r="BD97" s="925"/>
      <c r="BE97" s="925"/>
      <c r="BF97" s="925"/>
      <c r="BG97" s="925"/>
      <c r="BH97" s="925"/>
      <c r="BI97" s="925"/>
      <c r="BJ97" s="925"/>
      <c r="BK97" s="925"/>
      <c r="BL97" s="925"/>
      <c r="BM97" s="925"/>
      <c r="BN97" s="925"/>
      <c r="BO97" s="925"/>
      <c r="BP97" s="925"/>
      <c r="BQ97" s="925"/>
      <c r="BR97" s="925"/>
      <c r="BS97" s="925"/>
      <c r="BT97" s="925"/>
      <c r="BU97" s="925"/>
      <c r="BV97" s="925"/>
      <c r="BW97" s="925"/>
      <c r="BX97" s="925"/>
      <c r="BY97" s="925"/>
      <c r="BZ97" s="925"/>
      <c r="CA97" s="925"/>
      <c r="CB97" s="925"/>
      <c r="CC97" s="925"/>
      <c r="CD97" s="925"/>
      <c r="CE97" s="925"/>
      <c r="CF97" s="925"/>
      <c r="CG97" s="925"/>
      <c r="CH97" s="925"/>
      <c r="CI97" s="925"/>
      <c r="CJ97" s="925"/>
      <c r="CK97" s="925"/>
      <c r="CL97" s="925"/>
      <c r="CM97" s="925"/>
      <c r="CN97" s="925"/>
      <c r="CO97" s="925"/>
      <c r="CP97" s="925"/>
      <c r="CQ97" s="925"/>
      <c r="CR97" s="925"/>
      <c r="CS97" s="925"/>
      <c r="CT97" s="925"/>
      <c r="CU97" s="925"/>
      <c r="CV97" s="925"/>
      <c r="CW97" s="925"/>
      <c r="CX97" s="925"/>
      <c r="CY97" s="925"/>
      <c r="CZ97" s="925"/>
      <c r="DA97" s="925"/>
      <c r="DB97" s="925"/>
      <c r="DC97" s="925"/>
      <c r="DD97" s="925"/>
      <c r="DE97" s="925"/>
      <c r="DF97" s="925"/>
      <c r="DG97" s="925"/>
      <c r="DH97" s="925"/>
      <c r="DI97" s="925"/>
      <c r="DJ97" s="925"/>
      <c r="DK97" s="925"/>
      <c r="DL97" s="925"/>
      <c r="DM97" s="925"/>
      <c r="DN97" s="925"/>
      <c r="DO97" s="925"/>
      <c r="DP97" s="925"/>
      <c r="DQ97" s="925"/>
      <c r="DR97" s="925"/>
      <c r="DS97" s="925"/>
      <c r="DT97" s="925"/>
      <c r="DU97" s="925"/>
      <c r="DV97" s="925"/>
      <c r="DW97" s="925"/>
      <c r="DX97" s="925"/>
      <c r="DY97" s="925"/>
      <c r="DZ97" s="925"/>
      <c r="EA97" s="925"/>
      <c r="EB97" s="925"/>
      <c r="EC97" s="925"/>
      <c r="ED97" s="925"/>
      <c r="EE97" s="925"/>
      <c r="EF97" s="925"/>
      <c r="EG97" s="446"/>
    </row>
    <row r="98" spans="1:137" ht="13" x14ac:dyDescent="0.15">
      <c r="A98" s="917"/>
      <c r="B98" s="917"/>
      <c r="C98" s="918"/>
      <c r="D98" s="919"/>
      <c r="E98" s="920"/>
      <c r="F98" s="921"/>
      <c r="G98" s="922"/>
      <c r="H98" s="922"/>
      <c r="I98" s="922"/>
      <c r="J98" s="923"/>
      <c r="K98" s="923"/>
      <c r="L98" s="924"/>
      <c r="M98" s="925"/>
      <c r="N98" s="925"/>
      <c r="O98" s="925"/>
      <c r="P98" s="925"/>
      <c r="Q98" s="925"/>
      <c r="R98" s="926"/>
      <c r="S98" s="926"/>
      <c r="T98" s="925"/>
      <c r="U98" s="925"/>
      <c r="V98" s="925"/>
      <c r="W98" s="925"/>
      <c r="X98" s="925"/>
      <c r="Y98" s="925"/>
      <c r="Z98" s="925"/>
      <c r="AA98" s="925"/>
      <c r="AB98" s="925"/>
      <c r="AC98" s="925"/>
      <c r="AD98" s="925"/>
      <c r="AE98" s="925"/>
      <c r="AF98" s="925"/>
      <c r="AG98" s="925"/>
      <c r="AH98" s="925"/>
      <c r="AI98" s="925"/>
      <c r="AJ98" s="925"/>
      <c r="AK98" s="925"/>
      <c r="AL98" s="925"/>
      <c r="AM98" s="925"/>
      <c r="AN98" s="925"/>
      <c r="AO98" s="925"/>
      <c r="AP98" s="925"/>
      <c r="AQ98" s="925"/>
      <c r="AR98" s="925"/>
      <c r="AS98" s="925"/>
      <c r="AT98" s="925"/>
      <c r="AU98" s="925"/>
      <c r="AV98" s="925"/>
      <c r="AW98" s="925"/>
      <c r="AX98" s="925"/>
      <c r="AY98" s="925"/>
      <c r="AZ98" s="925"/>
      <c r="BA98" s="925"/>
      <c r="BB98" s="925"/>
      <c r="BC98" s="925"/>
      <c r="BD98" s="925"/>
      <c r="BE98" s="925"/>
      <c r="BF98" s="925"/>
      <c r="BG98" s="925"/>
      <c r="BH98" s="925"/>
      <c r="BI98" s="925"/>
      <c r="BJ98" s="925"/>
      <c r="BK98" s="925"/>
      <c r="BL98" s="925"/>
      <c r="BM98" s="925"/>
      <c r="BN98" s="925"/>
      <c r="BO98" s="925"/>
      <c r="BP98" s="925"/>
      <c r="BQ98" s="925"/>
      <c r="BR98" s="925"/>
      <c r="BS98" s="925"/>
      <c r="BT98" s="925"/>
      <c r="BU98" s="925"/>
      <c r="BV98" s="925"/>
      <c r="BW98" s="925"/>
      <c r="BX98" s="925"/>
      <c r="BY98" s="925"/>
      <c r="BZ98" s="925"/>
      <c r="CA98" s="925"/>
      <c r="CB98" s="925"/>
      <c r="CC98" s="925"/>
      <c r="CD98" s="925"/>
      <c r="CE98" s="925"/>
      <c r="CF98" s="925"/>
      <c r="CG98" s="925"/>
      <c r="CH98" s="925"/>
      <c r="CI98" s="925"/>
      <c r="CJ98" s="925"/>
      <c r="CK98" s="925"/>
      <c r="CL98" s="925"/>
      <c r="CM98" s="925"/>
      <c r="CN98" s="925"/>
      <c r="CO98" s="925"/>
      <c r="CP98" s="925"/>
      <c r="CQ98" s="925"/>
      <c r="CR98" s="925"/>
      <c r="CS98" s="925"/>
      <c r="CT98" s="925"/>
      <c r="CU98" s="925"/>
      <c r="CV98" s="925"/>
      <c r="CW98" s="925"/>
      <c r="CX98" s="925"/>
      <c r="CY98" s="925"/>
      <c r="CZ98" s="925"/>
      <c r="DA98" s="925"/>
      <c r="DB98" s="925"/>
      <c r="DC98" s="925"/>
      <c r="DD98" s="925"/>
      <c r="DE98" s="925"/>
      <c r="DF98" s="925"/>
      <c r="DG98" s="925"/>
      <c r="DH98" s="925"/>
      <c r="DI98" s="925"/>
      <c r="DJ98" s="925"/>
      <c r="DK98" s="925"/>
      <c r="DL98" s="925"/>
      <c r="DM98" s="925"/>
      <c r="DN98" s="925"/>
      <c r="DO98" s="925"/>
      <c r="DP98" s="925"/>
      <c r="DQ98" s="925"/>
      <c r="DR98" s="925"/>
      <c r="DS98" s="925"/>
      <c r="DT98" s="925"/>
      <c r="DU98" s="925"/>
      <c r="DV98" s="925"/>
      <c r="DW98" s="925"/>
      <c r="DX98" s="925"/>
      <c r="DY98" s="925"/>
      <c r="DZ98" s="925"/>
      <c r="EA98" s="925"/>
      <c r="EB98" s="925"/>
      <c r="EC98" s="925"/>
      <c r="ED98" s="925"/>
      <c r="EE98" s="925"/>
      <c r="EF98" s="925"/>
      <c r="EG98" s="446"/>
    </row>
    <row r="99" spans="1:137" ht="13" x14ac:dyDescent="0.15">
      <c r="A99" s="917"/>
      <c r="B99" s="917"/>
      <c r="C99" s="918"/>
      <c r="D99" s="919"/>
      <c r="E99" s="920"/>
      <c r="F99" s="921"/>
      <c r="G99" s="922"/>
      <c r="H99" s="922"/>
      <c r="I99" s="922"/>
      <c r="J99" s="923"/>
      <c r="K99" s="923"/>
      <c r="L99" s="924"/>
      <c r="M99" s="925"/>
      <c r="N99" s="925"/>
      <c r="O99" s="925"/>
      <c r="P99" s="925"/>
      <c r="Q99" s="925"/>
      <c r="R99" s="926"/>
      <c r="S99" s="926"/>
      <c r="T99" s="925"/>
      <c r="U99" s="925"/>
      <c r="V99" s="925"/>
      <c r="W99" s="925"/>
      <c r="X99" s="925"/>
      <c r="Y99" s="925"/>
      <c r="Z99" s="925"/>
      <c r="AA99" s="925"/>
      <c r="AB99" s="925"/>
      <c r="AC99" s="925"/>
      <c r="AD99" s="925"/>
      <c r="AE99" s="925"/>
      <c r="AF99" s="925"/>
      <c r="AG99" s="925"/>
      <c r="AH99" s="925"/>
      <c r="AI99" s="925"/>
      <c r="AJ99" s="925"/>
      <c r="AK99" s="925"/>
      <c r="AL99" s="925"/>
      <c r="AM99" s="925"/>
      <c r="AN99" s="925"/>
      <c r="AO99" s="925"/>
      <c r="AP99" s="925"/>
      <c r="AQ99" s="925"/>
      <c r="AR99" s="925"/>
      <c r="AS99" s="925"/>
      <c r="AT99" s="925"/>
      <c r="AU99" s="925"/>
      <c r="AV99" s="925"/>
      <c r="AW99" s="925"/>
      <c r="AX99" s="925"/>
      <c r="AY99" s="925"/>
      <c r="AZ99" s="925"/>
      <c r="BA99" s="925"/>
      <c r="BB99" s="925"/>
      <c r="BC99" s="925"/>
      <c r="BD99" s="925"/>
      <c r="BE99" s="925"/>
      <c r="BF99" s="925"/>
      <c r="BG99" s="925"/>
      <c r="BH99" s="925"/>
      <c r="BI99" s="925"/>
      <c r="BJ99" s="925"/>
      <c r="BK99" s="925"/>
      <c r="BL99" s="925"/>
      <c r="BM99" s="925"/>
      <c r="BN99" s="925"/>
      <c r="BO99" s="925"/>
      <c r="BP99" s="925"/>
      <c r="BQ99" s="925"/>
      <c r="BR99" s="925"/>
      <c r="BS99" s="925"/>
      <c r="BT99" s="925"/>
      <c r="BU99" s="925"/>
      <c r="BV99" s="925"/>
      <c r="BW99" s="925"/>
      <c r="BX99" s="925"/>
      <c r="BY99" s="925"/>
      <c r="BZ99" s="925"/>
      <c r="CA99" s="925"/>
      <c r="CB99" s="925"/>
      <c r="CC99" s="925"/>
      <c r="CD99" s="925"/>
      <c r="CE99" s="925"/>
      <c r="CF99" s="925"/>
      <c r="CG99" s="925"/>
      <c r="CH99" s="925"/>
      <c r="CI99" s="925"/>
      <c r="CJ99" s="925"/>
      <c r="CK99" s="925"/>
      <c r="CL99" s="925"/>
      <c r="CM99" s="925"/>
      <c r="CN99" s="925"/>
      <c r="CO99" s="925"/>
      <c r="CP99" s="925"/>
      <c r="CQ99" s="925"/>
      <c r="CR99" s="925"/>
      <c r="CS99" s="925"/>
      <c r="CT99" s="925"/>
      <c r="CU99" s="925"/>
      <c r="CV99" s="925"/>
      <c r="CW99" s="925"/>
      <c r="CX99" s="925"/>
      <c r="CY99" s="925"/>
      <c r="CZ99" s="925"/>
      <c r="DA99" s="925"/>
      <c r="DB99" s="925"/>
      <c r="DC99" s="925"/>
      <c r="DD99" s="925"/>
      <c r="DE99" s="925"/>
      <c r="DF99" s="925"/>
      <c r="DG99" s="925"/>
      <c r="DH99" s="925"/>
      <c r="DI99" s="925"/>
      <c r="DJ99" s="925"/>
      <c r="DK99" s="925"/>
      <c r="DL99" s="925"/>
      <c r="DM99" s="925"/>
      <c r="DN99" s="925"/>
      <c r="DO99" s="925"/>
      <c r="DP99" s="925"/>
      <c r="DQ99" s="925"/>
      <c r="DR99" s="925"/>
      <c r="DS99" s="925"/>
      <c r="DT99" s="925"/>
      <c r="DU99" s="925"/>
      <c r="DV99" s="925"/>
      <c r="DW99" s="925"/>
      <c r="DX99" s="925"/>
      <c r="DY99" s="925"/>
      <c r="DZ99" s="925"/>
      <c r="EA99" s="925"/>
      <c r="EB99" s="925"/>
      <c r="EC99" s="925"/>
      <c r="ED99" s="925"/>
      <c r="EE99" s="925"/>
      <c r="EF99" s="925"/>
      <c r="EG99" s="446"/>
    </row>
    <row r="100" spans="1:137" ht="13" x14ac:dyDescent="0.15">
      <c r="A100" s="917"/>
      <c r="B100" s="917"/>
      <c r="C100" s="918"/>
      <c r="D100" s="919"/>
      <c r="E100" s="920"/>
      <c r="F100" s="921"/>
      <c r="G100" s="922"/>
      <c r="H100" s="922"/>
      <c r="I100" s="922"/>
      <c r="J100" s="923"/>
      <c r="K100" s="923"/>
      <c r="L100" s="924"/>
      <c r="M100" s="925"/>
      <c r="N100" s="925"/>
      <c r="O100" s="925"/>
      <c r="P100" s="925"/>
      <c r="Q100" s="925"/>
      <c r="R100" s="926"/>
      <c r="S100" s="926"/>
      <c r="T100" s="925"/>
      <c r="U100" s="925"/>
      <c r="V100" s="925"/>
      <c r="W100" s="925"/>
      <c r="X100" s="925"/>
      <c r="Y100" s="925"/>
      <c r="Z100" s="925"/>
      <c r="AA100" s="925"/>
      <c r="AB100" s="925"/>
      <c r="AC100" s="925"/>
      <c r="AD100" s="925"/>
      <c r="AE100" s="925"/>
      <c r="AF100" s="925"/>
      <c r="AG100" s="925"/>
      <c r="AH100" s="925"/>
      <c r="AI100" s="925"/>
      <c r="AJ100" s="925"/>
      <c r="AK100" s="925"/>
      <c r="AL100" s="925"/>
      <c r="AM100" s="925"/>
      <c r="AN100" s="925"/>
      <c r="AO100" s="925"/>
      <c r="AP100" s="925"/>
      <c r="AQ100" s="925"/>
      <c r="AR100" s="925"/>
      <c r="AS100" s="925"/>
      <c r="AT100" s="925"/>
      <c r="AU100" s="925"/>
      <c r="AV100" s="925"/>
      <c r="AW100" s="925"/>
      <c r="AX100" s="925"/>
      <c r="AY100" s="925"/>
      <c r="AZ100" s="925"/>
      <c r="BA100" s="925"/>
      <c r="BB100" s="925"/>
      <c r="BC100" s="925"/>
      <c r="BD100" s="925"/>
      <c r="BE100" s="925"/>
      <c r="BF100" s="925"/>
      <c r="BG100" s="925"/>
      <c r="BH100" s="925"/>
      <c r="BI100" s="925"/>
      <c r="BJ100" s="925"/>
      <c r="BK100" s="925"/>
      <c r="BL100" s="925"/>
      <c r="BM100" s="925"/>
      <c r="BN100" s="925"/>
      <c r="BO100" s="925"/>
      <c r="BP100" s="925"/>
      <c r="BQ100" s="925"/>
      <c r="BR100" s="925"/>
      <c r="BS100" s="925"/>
      <c r="BT100" s="925"/>
      <c r="BU100" s="925"/>
      <c r="BV100" s="925"/>
      <c r="BW100" s="925"/>
      <c r="BX100" s="925"/>
      <c r="BY100" s="925"/>
      <c r="BZ100" s="925"/>
      <c r="CA100" s="925"/>
      <c r="CB100" s="925"/>
      <c r="CC100" s="925"/>
      <c r="CD100" s="925"/>
      <c r="CE100" s="925"/>
      <c r="CF100" s="925"/>
      <c r="CG100" s="925"/>
      <c r="CH100" s="925"/>
      <c r="CI100" s="925"/>
      <c r="CJ100" s="925"/>
      <c r="CK100" s="925"/>
      <c r="CL100" s="925"/>
      <c r="CM100" s="925"/>
      <c r="CN100" s="925"/>
      <c r="CO100" s="925"/>
      <c r="CP100" s="925"/>
      <c r="CQ100" s="925"/>
      <c r="CR100" s="925"/>
      <c r="CS100" s="925"/>
      <c r="CT100" s="925"/>
      <c r="CU100" s="925"/>
      <c r="CV100" s="925"/>
      <c r="CW100" s="925"/>
      <c r="CX100" s="925"/>
      <c r="CY100" s="925"/>
      <c r="CZ100" s="925"/>
      <c r="DA100" s="925"/>
      <c r="DB100" s="925"/>
      <c r="DC100" s="925"/>
      <c r="DD100" s="925"/>
      <c r="DE100" s="925"/>
      <c r="DF100" s="925"/>
      <c r="DG100" s="925"/>
      <c r="DH100" s="925"/>
      <c r="DI100" s="925"/>
      <c r="DJ100" s="925"/>
      <c r="DK100" s="925"/>
      <c r="DL100" s="925"/>
      <c r="DM100" s="925"/>
      <c r="DN100" s="925"/>
      <c r="DO100" s="925"/>
      <c r="DP100" s="925"/>
      <c r="DQ100" s="925"/>
      <c r="DR100" s="925"/>
      <c r="DS100" s="925"/>
      <c r="DT100" s="925"/>
      <c r="DU100" s="925"/>
      <c r="DV100" s="925"/>
      <c r="DW100" s="925"/>
      <c r="DX100" s="925"/>
      <c r="DY100" s="925"/>
      <c r="DZ100" s="925"/>
      <c r="EA100" s="925"/>
      <c r="EB100" s="925"/>
      <c r="EC100" s="925"/>
      <c r="ED100" s="925"/>
      <c r="EE100" s="925"/>
      <c r="EF100" s="925"/>
      <c r="EG100" s="446"/>
    </row>
    <row r="101" spans="1:137" ht="13" x14ac:dyDescent="0.15">
      <c r="A101" s="917"/>
      <c r="B101" s="917"/>
      <c r="C101" s="918"/>
      <c r="D101" s="919"/>
      <c r="E101" s="920"/>
      <c r="F101" s="921"/>
      <c r="G101" s="922"/>
      <c r="H101" s="922"/>
      <c r="I101" s="922"/>
      <c r="J101" s="923"/>
      <c r="K101" s="923"/>
      <c r="L101" s="924"/>
      <c r="M101" s="925"/>
      <c r="N101" s="925"/>
      <c r="O101" s="925"/>
      <c r="P101" s="925"/>
      <c r="Q101" s="925"/>
      <c r="R101" s="926"/>
      <c r="S101" s="926"/>
      <c r="T101" s="925"/>
      <c r="U101" s="925"/>
      <c r="V101" s="925"/>
      <c r="W101" s="925"/>
      <c r="X101" s="925"/>
      <c r="Y101" s="925"/>
      <c r="Z101" s="925"/>
      <c r="AA101" s="925"/>
      <c r="AB101" s="925"/>
      <c r="AC101" s="925"/>
      <c r="AD101" s="925"/>
      <c r="AE101" s="925"/>
      <c r="AF101" s="925"/>
      <c r="AG101" s="925"/>
      <c r="AH101" s="925"/>
      <c r="AI101" s="925"/>
      <c r="AJ101" s="925"/>
      <c r="AK101" s="925"/>
      <c r="AL101" s="925"/>
      <c r="AM101" s="925"/>
      <c r="AN101" s="925"/>
      <c r="AO101" s="925"/>
      <c r="AP101" s="925"/>
      <c r="AQ101" s="925"/>
      <c r="AR101" s="925"/>
      <c r="AS101" s="925"/>
      <c r="AT101" s="925"/>
      <c r="AU101" s="925"/>
      <c r="AV101" s="925"/>
      <c r="AW101" s="925"/>
      <c r="AX101" s="925"/>
      <c r="AY101" s="925"/>
      <c r="AZ101" s="925"/>
      <c r="BA101" s="925"/>
      <c r="BB101" s="925"/>
      <c r="BC101" s="925"/>
      <c r="BD101" s="925"/>
      <c r="BE101" s="925"/>
      <c r="BF101" s="925"/>
      <c r="BG101" s="925"/>
      <c r="BH101" s="925"/>
      <c r="BI101" s="925"/>
      <c r="BJ101" s="925"/>
      <c r="BK101" s="925"/>
      <c r="BL101" s="925"/>
      <c r="BM101" s="925"/>
      <c r="BN101" s="925"/>
      <c r="BO101" s="925"/>
      <c r="BP101" s="925"/>
      <c r="BQ101" s="925"/>
      <c r="BR101" s="925"/>
      <c r="BS101" s="925"/>
      <c r="BT101" s="925"/>
      <c r="BU101" s="925"/>
      <c r="BV101" s="925"/>
      <c r="BW101" s="925"/>
      <c r="BX101" s="925"/>
      <c r="BY101" s="925"/>
      <c r="BZ101" s="925"/>
      <c r="CA101" s="925"/>
      <c r="CB101" s="925"/>
      <c r="CC101" s="925"/>
      <c r="CD101" s="925"/>
      <c r="CE101" s="925"/>
      <c r="CF101" s="925"/>
      <c r="CG101" s="925"/>
      <c r="CH101" s="925"/>
      <c r="CI101" s="925"/>
      <c r="CJ101" s="925"/>
      <c r="CK101" s="925"/>
      <c r="CL101" s="925"/>
      <c r="CM101" s="925"/>
      <c r="CN101" s="925"/>
      <c r="CO101" s="925"/>
      <c r="CP101" s="925"/>
      <c r="CQ101" s="925"/>
      <c r="CR101" s="925"/>
      <c r="CS101" s="925"/>
      <c r="CT101" s="925"/>
      <c r="CU101" s="925"/>
      <c r="CV101" s="925"/>
      <c r="CW101" s="925"/>
      <c r="CX101" s="925"/>
      <c r="CY101" s="925"/>
      <c r="CZ101" s="925"/>
      <c r="DA101" s="925"/>
      <c r="DB101" s="925"/>
      <c r="DC101" s="925"/>
      <c r="DD101" s="925"/>
      <c r="DE101" s="925"/>
      <c r="DF101" s="925"/>
      <c r="DG101" s="925"/>
      <c r="DH101" s="925"/>
      <c r="DI101" s="925"/>
      <c r="DJ101" s="925"/>
      <c r="DK101" s="925"/>
      <c r="DL101" s="925"/>
      <c r="DM101" s="925"/>
      <c r="DN101" s="925"/>
      <c r="DO101" s="925"/>
      <c r="DP101" s="925"/>
      <c r="DQ101" s="925"/>
      <c r="DR101" s="925"/>
      <c r="DS101" s="925"/>
      <c r="DT101" s="925"/>
      <c r="DU101" s="925"/>
      <c r="DV101" s="925"/>
      <c r="DW101" s="925"/>
      <c r="DX101" s="925"/>
      <c r="DY101" s="925"/>
      <c r="DZ101" s="925"/>
      <c r="EA101" s="925"/>
      <c r="EB101" s="925"/>
      <c r="EC101" s="925"/>
      <c r="ED101" s="925"/>
      <c r="EE101" s="925"/>
      <c r="EF101" s="925"/>
      <c r="EG101" s="446"/>
    </row>
    <row r="102" spans="1:137" ht="13" x14ac:dyDescent="0.15">
      <c r="A102" s="917"/>
      <c r="B102" s="917"/>
      <c r="C102" s="918"/>
      <c r="D102" s="919"/>
      <c r="E102" s="920"/>
      <c r="F102" s="921"/>
      <c r="G102" s="922"/>
      <c r="H102" s="922"/>
      <c r="I102" s="922"/>
      <c r="J102" s="923"/>
      <c r="K102" s="923"/>
      <c r="L102" s="924"/>
      <c r="M102" s="925"/>
      <c r="N102" s="925"/>
      <c r="O102" s="925"/>
      <c r="P102" s="925"/>
      <c r="Q102" s="925"/>
      <c r="R102" s="926"/>
      <c r="S102" s="926"/>
      <c r="T102" s="925"/>
      <c r="U102" s="925"/>
      <c r="V102" s="925"/>
      <c r="W102" s="925"/>
      <c r="X102" s="925"/>
      <c r="Y102" s="925"/>
      <c r="Z102" s="925"/>
      <c r="AA102" s="925"/>
      <c r="AB102" s="925"/>
      <c r="AC102" s="925"/>
      <c r="AD102" s="925"/>
      <c r="AE102" s="925"/>
      <c r="AF102" s="925"/>
      <c r="AG102" s="925"/>
      <c r="AH102" s="925"/>
      <c r="AI102" s="925"/>
      <c r="AJ102" s="925"/>
      <c r="AK102" s="925"/>
      <c r="AL102" s="925"/>
      <c r="AM102" s="925"/>
      <c r="AN102" s="925"/>
      <c r="AO102" s="925"/>
      <c r="AP102" s="925"/>
      <c r="AQ102" s="925"/>
      <c r="AR102" s="925"/>
      <c r="AS102" s="925"/>
      <c r="AT102" s="925"/>
      <c r="AU102" s="925"/>
      <c r="AV102" s="925"/>
      <c r="AW102" s="925"/>
      <c r="AX102" s="925"/>
      <c r="AY102" s="925"/>
      <c r="AZ102" s="925"/>
      <c r="BA102" s="925"/>
      <c r="BB102" s="925"/>
      <c r="BC102" s="925"/>
      <c r="BD102" s="925"/>
      <c r="BE102" s="925"/>
      <c r="BF102" s="925"/>
      <c r="BG102" s="925"/>
      <c r="BH102" s="925"/>
      <c r="BI102" s="925"/>
      <c r="BJ102" s="925"/>
      <c r="BK102" s="925"/>
      <c r="BL102" s="925"/>
      <c r="BM102" s="925"/>
      <c r="BN102" s="925"/>
      <c r="BO102" s="925"/>
      <c r="BP102" s="925"/>
      <c r="BQ102" s="925"/>
      <c r="BR102" s="925"/>
      <c r="BS102" s="925"/>
      <c r="BT102" s="925"/>
      <c r="BU102" s="925"/>
      <c r="BV102" s="925"/>
      <c r="BW102" s="925"/>
      <c r="BX102" s="925"/>
      <c r="BY102" s="925"/>
      <c r="BZ102" s="925"/>
      <c r="CA102" s="925"/>
      <c r="CB102" s="925"/>
      <c r="CC102" s="925"/>
      <c r="CD102" s="925"/>
      <c r="CE102" s="925"/>
      <c r="CF102" s="925"/>
      <c r="CG102" s="925"/>
      <c r="CH102" s="925"/>
      <c r="CI102" s="925"/>
      <c r="CJ102" s="925"/>
      <c r="CK102" s="925"/>
      <c r="CL102" s="925"/>
      <c r="CM102" s="925"/>
      <c r="CN102" s="925"/>
      <c r="CO102" s="925"/>
      <c r="CP102" s="925"/>
      <c r="CQ102" s="925"/>
      <c r="CR102" s="925"/>
      <c r="CS102" s="925"/>
      <c r="CT102" s="925"/>
      <c r="CU102" s="925"/>
      <c r="CV102" s="925"/>
      <c r="CW102" s="925"/>
      <c r="CX102" s="925"/>
      <c r="CY102" s="925"/>
      <c r="CZ102" s="925"/>
      <c r="DA102" s="925"/>
      <c r="DB102" s="925"/>
      <c r="DC102" s="925"/>
      <c r="DD102" s="925"/>
      <c r="DE102" s="925"/>
      <c r="DF102" s="925"/>
      <c r="DG102" s="925"/>
      <c r="DH102" s="925"/>
      <c r="DI102" s="925"/>
      <c r="DJ102" s="925"/>
      <c r="DK102" s="925"/>
      <c r="DL102" s="925"/>
      <c r="DM102" s="925"/>
      <c r="DN102" s="925"/>
      <c r="DO102" s="925"/>
      <c r="DP102" s="925"/>
      <c r="DQ102" s="925"/>
      <c r="DR102" s="925"/>
      <c r="DS102" s="925"/>
      <c r="DT102" s="925"/>
      <c r="DU102" s="925"/>
      <c r="DV102" s="925"/>
      <c r="DW102" s="925"/>
      <c r="DX102" s="925"/>
      <c r="DY102" s="925"/>
      <c r="DZ102" s="925"/>
      <c r="EA102" s="925"/>
      <c r="EB102" s="925"/>
      <c r="EC102" s="925"/>
      <c r="ED102" s="925"/>
      <c r="EE102" s="925"/>
      <c r="EF102" s="925"/>
      <c r="EG102" s="446"/>
    </row>
    <row r="103" spans="1:137" ht="13" x14ac:dyDescent="0.15">
      <c r="A103" s="917"/>
      <c r="B103" s="917"/>
      <c r="C103" s="918"/>
      <c r="D103" s="919"/>
      <c r="E103" s="920"/>
      <c r="F103" s="921"/>
      <c r="G103" s="922"/>
      <c r="H103" s="922"/>
      <c r="I103" s="922"/>
      <c r="J103" s="923"/>
      <c r="K103" s="923"/>
      <c r="L103" s="924"/>
      <c r="M103" s="925"/>
      <c r="N103" s="925"/>
      <c r="O103" s="925"/>
      <c r="P103" s="925"/>
      <c r="Q103" s="925"/>
      <c r="R103" s="926"/>
      <c r="S103" s="926"/>
      <c r="T103" s="925"/>
      <c r="U103" s="925"/>
      <c r="V103" s="925"/>
      <c r="W103" s="925"/>
      <c r="X103" s="925"/>
      <c r="Y103" s="925"/>
      <c r="Z103" s="925"/>
      <c r="AA103" s="925"/>
      <c r="AB103" s="925"/>
      <c r="AC103" s="925"/>
      <c r="AD103" s="925"/>
      <c r="AE103" s="925"/>
      <c r="AF103" s="925"/>
      <c r="AG103" s="925"/>
      <c r="AH103" s="925"/>
      <c r="AI103" s="925"/>
      <c r="AJ103" s="925"/>
      <c r="AK103" s="925"/>
      <c r="AL103" s="925"/>
      <c r="AM103" s="925"/>
      <c r="AN103" s="925"/>
      <c r="AO103" s="925"/>
      <c r="AP103" s="925"/>
      <c r="AQ103" s="925"/>
      <c r="AR103" s="925"/>
      <c r="AS103" s="925"/>
      <c r="AT103" s="925"/>
      <c r="AU103" s="925"/>
      <c r="AV103" s="925"/>
      <c r="AW103" s="925"/>
      <c r="AX103" s="925"/>
      <c r="AY103" s="925"/>
      <c r="AZ103" s="925"/>
      <c r="BA103" s="925"/>
      <c r="BB103" s="925"/>
      <c r="BC103" s="925"/>
      <c r="BD103" s="925"/>
      <c r="BE103" s="925"/>
      <c r="BF103" s="925"/>
      <c r="BG103" s="925"/>
      <c r="BH103" s="925"/>
      <c r="BI103" s="925"/>
      <c r="BJ103" s="925"/>
      <c r="BK103" s="925"/>
      <c r="BL103" s="925"/>
      <c r="BM103" s="925"/>
      <c r="BN103" s="925"/>
      <c r="BO103" s="925"/>
      <c r="BP103" s="925"/>
      <c r="BQ103" s="925"/>
      <c r="BR103" s="925"/>
      <c r="BS103" s="925"/>
      <c r="BT103" s="925"/>
      <c r="BU103" s="925"/>
      <c r="BV103" s="925"/>
      <c r="BW103" s="925"/>
      <c r="BX103" s="925"/>
      <c r="BY103" s="925"/>
      <c r="BZ103" s="925"/>
      <c r="CA103" s="925"/>
      <c r="CB103" s="925"/>
      <c r="CC103" s="925"/>
      <c r="CD103" s="925"/>
      <c r="CE103" s="925"/>
      <c r="CF103" s="925"/>
      <c r="CG103" s="925"/>
      <c r="CH103" s="925"/>
      <c r="CI103" s="925"/>
      <c r="CJ103" s="925"/>
      <c r="CK103" s="925"/>
      <c r="CL103" s="925"/>
      <c r="CM103" s="925"/>
      <c r="CN103" s="925"/>
      <c r="CO103" s="925"/>
      <c r="CP103" s="925"/>
      <c r="CQ103" s="925"/>
      <c r="CR103" s="925"/>
      <c r="CS103" s="925"/>
      <c r="CT103" s="925"/>
      <c r="CU103" s="925"/>
      <c r="CV103" s="925"/>
      <c r="CW103" s="925"/>
      <c r="CX103" s="925"/>
      <c r="CY103" s="925"/>
      <c r="CZ103" s="925"/>
      <c r="DA103" s="925"/>
      <c r="DB103" s="925"/>
      <c r="DC103" s="925"/>
      <c r="DD103" s="925"/>
      <c r="DE103" s="925"/>
      <c r="DF103" s="925"/>
      <c r="DG103" s="925"/>
      <c r="DH103" s="925"/>
      <c r="DI103" s="925"/>
      <c r="DJ103" s="925"/>
      <c r="DK103" s="925"/>
      <c r="DL103" s="925"/>
      <c r="DM103" s="925"/>
      <c r="DN103" s="925"/>
      <c r="DO103" s="925"/>
      <c r="DP103" s="925"/>
      <c r="DQ103" s="925"/>
      <c r="DR103" s="925"/>
      <c r="DS103" s="925"/>
      <c r="DT103" s="925"/>
      <c r="DU103" s="925"/>
      <c r="DV103" s="925"/>
      <c r="DW103" s="925"/>
      <c r="DX103" s="925"/>
      <c r="DY103" s="925"/>
      <c r="DZ103" s="925"/>
      <c r="EA103" s="925"/>
      <c r="EB103" s="925"/>
      <c r="EC103" s="925"/>
      <c r="ED103" s="925"/>
      <c r="EE103" s="925"/>
      <c r="EF103" s="925"/>
      <c r="EG103" s="446"/>
    </row>
    <row r="104" spans="1:137" ht="13" x14ac:dyDescent="0.15">
      <c r="A104" s="917"/>
      <c r="B104" s="917"/>
      <c r="C104" s="918"/>
      <c r="D104" s="919"/>
      <c r="E104" s="920"/>
      <c r="F104" s="921"/>
      <c r="G104" s="922"/>
      <c r="H104" s="922"/>
      <c r="I104" s="922"/>
      <c r="J104" s="923"/>
      <c r="K104" s="923"/>
      <c r="L104" s="924"/>
      <c r="M104" s="925"/>
      <c r="N104" s="925"/>
      <c r="O104" s="925"/>
      <c r="P104" s="925"/>
      <c r="Q104" s="925"/>
      <c r="R104" s="926"/>
      <c r="S104" s="926"/>
      <c r="T104" s="925"/>
      <c r="U104" s="925"/>
      <c r="V104" s="925"/>
      <c r="W104" s="925"/>
      <c r="X104" s="925"/>
      <c r="Y104" s="925"/>
      <c r="Z104" s="925"/>
      <c r="AA104" s="925"/>
      <c r="AB104" s="925"/>
      <c r="AC104" s="925"/>
      <c r="AD104" s="925"/>
      <c r="AE104" s="925"/>
      <c r="AF104" s="925"/>
      <c r="AG104" s="925"/>
      <c r="AH104" s="925"/>
      <c r="AI104" s="925"/>
      <c r="AJ104" s="925"/>
      <c r="AK104" s="925"/>
      <c r="AL104" s="925"/>
      <c r="AM104" s="925"/>
      <c r="AN104" s="925"/>
      <c r="AO104" s="925"/>
      <c r="AP104" s="925"/>
      <c r="AQ104" s="925"/>
      <c r="AR104" s="925"/>
      <c r="AS104" s="925"/>
      <c r="AT104" s="925"/>
      <c r="AU104" s="925"/>
      <c r="AV104" s="925"/>
      <c r="AW104" s="925"/>
      <c r="AX104" s="925"/>
      <c r="AY104" s="925"/>
      <c r="AZ104" s="925"/>
      <c r="BA104" s="925"/>
      <c r="BB104" s="925"/>
      <c r="BC104" s="925"/>
      <c r="BD104" s="925"/>
      <c r="BE104" s="925"/>
      <c r="BF104" s="925"/>
      <c r="BG104" s="925"/>
      <c r="BH104" s="925"/>
      <c r="BI104" s="925"/>
      <c r="BJ104" s="925"/>
      <c r="BK104" s="925"/>
      <c r="BL104" s="925"/>
      <c r="BM104" s="925"/>
      <c r="BN104" s="925"/>
      <c r="BO104" s="925"/>
      <c r="BP104" s="925"/>
      <c r="BQ104" s="925"/>
      <c r="BR104" s="925"/>
      <c r="BS104" s="925"/>
      <c r="BT104" s="925"/>
      <c r="BU104" s="925"/>
      <c r="BV104" s="925"/>
      <c r="BW104" s="925"/>
      <c r="BX104" s="925"/>
      <c r="BY104" s="925"/>
      <c r="BZ104" s="925"/>
      <c r="CA104" s="925"/>
      <c r="CB104" s="925"/>
      <c r="CC104" s="925"/>
      <c r="CD104" s="925"/>
      <c r="CE104" s="925"/>
      <c r="CF104" s="925"/>
      <c r="CG104" s="925"/>
      <c r="CH104" s="925"/>
      <c r="CI104" s="925"/>
      <c r="CJ104" s="925"/>
      <c r="CK104" s="925"/>
      <c r="CL104" s="925"/>
      <c r="CM104" s="925"/>
      <c r="CN104" s="925"/>
      <c r="CO104" s="925"/>
      <c r="CP104" s="925"/>
      <c r="CQ104" s="925"/>
      <c r="CR104" s="925"/>
      <c r="CS104" s="925"/>
      <c r="CT104" s="925"/>
      <c r="CU104" s="925"/>
      <c r="CV104" s="925"/>
      <c r="CW104" s="925"/>
      <c r="CX104" s="925"/>
      <c r="CY104" s="925"/>
      <c r="CZ104" s="925"/>
      <c r="DA104" s="925"/>
      <c r="DB104" s="925"/>
      <c r="DC104" s="925"/>
      <c r="DD104" s="925"/>
      <c r="DE104" s="925"/>
      <c r="DF104" s="925"/>
      <c r="DG104" s="925"/>
      <c r="DH104" s="925"/>
      <c r="DI104" s="925"/>
      <c r="DJ104" s="925"/>
      <c r="DK104" s="925"/>
      <c r="DL104" s="925"/>
      <c r="DM104" s="925"/>
      <c r="DN104" s="925"/>
      <c r="DO104" s="925"/>
      <c r="DP104" s="925"/>
      <c r="DQ104" s="925"/>
      <c r="DR104" s="925"/>
      <c r="DS104" s="925"/>
      <c r="DT104" s="925"/>
      <c r="DU104" s="925"/>
      <c r="DV104" s="925"/>
      <c r="DW104" s="925"/>
      <c r="DX104" s="925"/>
      <c r="DY104" s="925"/>
      <c r="DZ104" s="925"/>
      <c r="EA104" s="925"/>
      <c r="EB104" s="925"/>
      <c r="EC104" s="925"/>
      <c r="ED104" s="925"/>
      <c r="EE104" s="925"/>
      <c r="EF104" s="925"/>
      <c r="EG104" s="446"/>
    </row>
    <row r="105" spans="1:137" ht="13" x14ac:dyDescent="0.15">
      <c r="A105" s="917"/>
      <c r="B105" s="917"/>
      <c r="C105" s="918"/>
      <c r="D105" s="919"/>
      <c r="E105" s="920"/>
      <c r="F105" s="921"/>
      <c r="G105" s="922"/>
      <c r="H105" s="922"/>
      <c r="I105" s="922"/>
      <c r="J105" s="923"/>
      <c r="K105" s="923"/>
      <c r="L105" s="924"/>
      <c r="M105" s="925"/>
      <c r="N105" s="925"/>
      <c r="O105" s="925"/>
      <c r="P105" s="925"/>
      <c r="Q105" s="925"/>
      <c r="R105" s="926"/>
      <c r="S105" s="926"/>
      <c r="T105" s="925"/>
      <c r="U105" s="925"/>
      <c r="V105" s="925"/>
      <c r="W105" s="925"/>
      <c r="X105" s="925"/>
      <c r="Y105" s="925"/>
      <c r="Z105" s="925"/>
      <c r="AA105" s="925"/>
      <c r="AB105" s="925"/>
      <c r="AC105" s="925"/>
      <c r="AD105" s="925"/>
      <c r="AE105" s="925"/>
      <c r="AF105" s="925"/>
      <c r="AG105" s="925"/>
      <c r="AH105" s="925"/>
      <c r="AI105" s="925"/>
      <c r="AJ105" s="925"/>
      <c r="AK105" s="925"/>
      <c r="AL105" s="925"/>
      <c r="AM105" s="925"/>
      <c r="AN105" s="925"/>
      <c r="AO105" s="925"/>
      <c r="AP105" s="925"/>
      <c r="AQ105" s="925"/>
      <c r="AR105" s="925"/>
      <c r="AS105" s="925"/>
      <c r="AT105" s="925"/>
      <c r="AU105" s="925"/>
      <c r="AV105" s="925"/>
      <c r="AW105" s="925"/>
      <c r="AX105" s="925"/>
      <c r="AY105" s="925"/>
      <c r="AZ105" s="925"/>
      <c r="BA105" s="925"/>
      <c r="BB105" s="925"/>
      <c r="BC105" s="925"/>
      <c r="BD105" s="925"/>
      <c r="BE105" s="925"/>
      <c r="BF105" s="925"/>
      <c r="BG105" s="925"/>
      <c r="BH105" s="925"/>
      <c r="BI105" s="925"/>
      <c r="BJ105" s="925"/>
      <c r="BK105" s="925"/>
      <c r="BL105" s="925"/>
      <c r="BM105" s="925"/>
      <c r="BN105" s="925"/>
      <c r="BO105" s="925"/>
      <c r="BP105" s="925"/>
      <c r="BQ105" s="925"/>
      <c r="BR105" s="925"/>
      <c r="BS105" s="925"/>
      <c r="BT105" s="925"/>
      <c r="BU105" s="925"/>
      <c r="BV105" s="925"/>
      <c r="BW105" s="925"/>
      <c r="BX105" s="925"/>
      <c r="BY105" s="925"/>
      <c r="BZ105" s="925"/>
      <c r="CA105" s="925"/>
      <c r="CB105" s="925"/>
      <c r="CC105" s="925"/>
      <c r="CD105" s="925"/>
      <c r="CE105" s="925"/>
      <c r="CF105" s="925"/>
      <c r="CG105" s="925"/>
      <c r="CH105" s="925"/>
      <c r="CI105" s="925"/>
      <c r="CJ105" s="925"/>
      <c r="CK105" s="925"/>
      <c r="CL105" s="925"/>
      <c r="CM105" s="925"/>
      <c r="CN105" s="925"/>
      <c r="CO105" s="925"/>
      <c r="CP105" s="925"/>
      <c r="CQ105" s="925"/>
      <c r="CR105" s="925"/>
      <c r="CS105" s="925"/>
      <c r="CT105" s="925"/>
      <c r="CU105" s="925"/>
      <c r="CV105" s="925"/>
      <c r="CW105" s="925"/>
      <c r="CX105" s="925"/>
      <c r="CY105" s="925"/>
      <c r="CZ105" s="925"/>
      <c r="DA105" s="925"/>
      <c r="DB105" s="925"/>
      <c r="DC105" s="925"/>
      <c r="DD105" s="925"/>
      <c r="DE105" s="925"/>
      <c r="DF105" s="925"/>
      <c r="DG105" s="925"/>
      <c r="DH105" s="925"/>
      <c r="DI105" s="925"/>
      <c r="DJ105" s="925"/>
      <c r="DK105" s="925"/>
      <c r="DL105" s="925"/>
      <c r="DM105" s="925"/>
      <c r="DN105" s="925"/>
      <c r="DO105" s="925"/>
      <c r="DP105" s="925"/>
      <c r="DQ105" s="925"/>
      <c r="DR105" s="925"/>
      <c r="DS105" s="925"/>
      <c r="DT105" s="925"/>
      <c r="DU105" s="925"/>
      <c r="DV105" s="925"/>
      <c r="DW105" s="925"/>
      <c r="DX105" s="925"/>
      <c r="DY105" s="925"/>
      <c r="DZ105" s="925"/>
      <c r="EA105" s="925"/>
      <c r="EB105" s="925"/>
      <c r="EC105" s="925"/>
      <c r="ED105" s="925"/>
      <c r="EE105" s="925"/>
      <c r="EF105" s="925"/>
      <c r="EG105" s="446"/>
    </row>
    <row r="106" spans="1:137" ht="13" x14ac:dyDescent="0.15">
      <c r="A106" s="917"/>
      <c r="B106" s="917"/>
      <c r="C106" s="918"/>
      <c r="D106" s="919"/>
      <c r="E106" s="920"/>
      <c r="F106" s="921"/>
      <c r="G106" s="922"/>
      <c r="H106" s="922"/>
      <c r="I106" s="922"/>
      <c r="J106" s="923"/>
      <c r="K106" s="923"/>
      <c r="L106" s="924"/>
      <c r="M106" s="925"/>
      <c r="N106" s="925"/>
      <c r="O106" s="925"/>
      <c r="P106" s="925"/>
      <c r="Q106" s="925"/>
      <c r="R106" s="926"/>
      <c r="S106" s="926"/>
      <c r="T106" s="925"/>
      <c r="U106" s="925"/>
      <c r="V106" s="925"/>
      <c r="W106" s="925"/>
      <c r="X106" s="925"/>
      <c r="Y106" s="925"/>
      <c r="Z106" s="925"/>
      <c r="AA106" s="925"/>
      <c r="AB106" s="925"/>
      <c r="AC106" s="925"/>
      <c r="AD106" s="925"/>
      <c r="AE106" s="925"/>
      <c r="AF106" s="925"/>
      <c r="AG106" s="925"/>
      <c r="AH106" s="925"/>
      <c r="AI106" s="925"/>
      <c r="AJ106" s="925"/>
      <c r="AK106" s="925"/>
      <c r="AL106" s="925"/>
      <c r="AM106" s="925"/>
      <c r="AN106" s="925"/>
      <c r="AO106" s="925"/>
      <c r="AP106" s="925"/>
      <c r="AQ106" s="925"/>
      <c r="AR106" s="925"/>
      <c r="AS106" s="925"/>
      <c r="AT106" s="925"/>
      <c r="AU106" s="925"/>
      <c r="AV106" s="925"/>
      <c r="AW106" s="925"/>
      <c r="AX106" s="925"/>
      <c r="AY106" s="925"/>
      <c r="AZ106" s="925"/>
      <c r="BA106" s="925"/>
      <c r="BB106" s="925"/>
      <c r="BC106" s="925"/>
      <c r="BD106" s="925"/>
      <c r="BE106" s="925"/>
      <c r="BF106" s="925"/>
      <c r="BG106" s="925"/>
      <c r="BH106" s="925"/>
      <c r="BI106" s="925"/>
      <c r="BJ106" s="925"/>
      <c r="BK106" s="925"/>
      <c r="BL106" s="925"/>
      <c r="BM106" s="925"/>
      <c r="BN106" s="925"/>
      <c r="BO106" s="925"/>
      <c r="BP106" s="925"/>
      <c r="BQ106" s="925"/>
      <c r="BR106" s="925"/>
      <c r="BS106" s="925"/>
      <c r="BT106" s="925"/>
      <c r="BU106" s="925"/>
      <c r="BV106" s="925"/>
      <c r="BW106" s="925"/>
      <c r="BX106" s="925"/>
      <c r="BY106" s="925"/>
      <c r="BZ106" s="925"/>
      <c r="CA106" s="925"/>
      <c r="CB106" s="925"/>
      <c r="CC106" s="925"/>
      <c r="CD106" s="925"/>
      <c r="CE106" s="925"/>
      <c r="CF106" s="925"/>
      <c r="CG106" s="925"/>
      <c r="CH106" s="925"/>
      <c r="CI106" s="925"/>
      <c r="CJ106" s="925"/>
      <c r="CK106" s="925"/>
      <c r="CL106" s="925"/>
      <c r="CM106" s="925"/>
      <c r="CN106" s="925"/>
      <c r="CO106" s="925"/>
      <c r="CP106" s="925"/>
      <c r="CQ106" s="925"/>
      <c r="CR106" s="925"/>
      <c r="CS106" s="925"/>
      <c r="CT106" s="925"/>
      <c r="CU106" s="925"/>
      <c r="CV106" s="925"/>
      <c r="CW106" s="925"/>
      <c r="CX106" s="925"/>
      <c r="CY106" s="925"/>
      <c r="CZ106" s="925"/>
      <c r="DA106" s="925"/>
      <c r="DB106" s="925"/>
      <c r="DC106" s="925"/>
      <c r="DD106" s="925"/>
      <c r="DE106" s="925"/>
      <c r="DF106" s="925"/>
      <c r="DG106" s="925"/>
      <c r="DH106" s="925"/>
      <c r="DI106" s="925"/>
      <c r="DJ106" s="925"/>
      <c r="DK106" s="925"/>
      <c r="DL106" s="925"/>
      <c r="DM106" s="925"/>
      <c r="DN106" s="925"/>
      <c r="DO106" s="925"/>
      <c r="DP106" s="925"/>
      <c r="DQ106" s="925"/>
      <c r="DR106" s="925"/>
      <c r="DS106" s="925"/>
      <c r="DT106" s="925"/>
      <c r="DU106" s="925"/>
      <c r="DV106" s="925"/>
      <c r="DW106" s="925"/>
      <c r="DX106" s="925"/>
      <c r="DY106" s="925"/>
      <c r="DZ106" s="925"/>
      <c r="EA106" s="925"/>
      <c r="EB106" s="925"/>
      <c r="EC106" s="925"/>
      <c r="ED106" s="925"/>
      <c r="EE106" s="925"/>
      <c r="EF106" s="925"/>
      <c r="EG106" s="446"/>
    </row>
    <row r="107" spans="1:137" ht="13" x14ac:dyDescent="0.15">
      <c r="A107" s="917"/>
      <c r="B107" s="917"/>
      <c r="C107" s="918"/>
      <c r="D107" s="919"/>
      <c r="E107" s="920"/>
      <c r="F107" s="921"/>
      <c r="G107" s="922"/>
      <c r="H107" s="922"/>
      <c r="I107" s="922"/>
      <c r="J107" s="923"/>
      <c r="K107" s="923"/>
      <c r="L107" s="924"/>
      <c r="M107" s="925"/>
      <c r="N107" s="925"/>
      <c r="O107" s="925"/>
      <c r="P107" s="925"/>
      <c r="Q107" s="925"/>
      <c r="R107" s="926"/>
      <c r="S107" s="926"/>
      <c r="T107" s="925"/>
      <c r="U107" s="925"/>
      <c r="V107" s="925"/>
      <c r="W107" s="925"/>
      <c r="X107" s="925"/>
      <c r="Y107" s="925"/>
      <c r="Z107" s="925"/>
      <c r="AA107" s="925"/>
      <c r="AB107" s="925"/>
      <c r="AC107" s="925"/>
      <c r="AD107" s="925"/>
      <c r="AE107" s="925"/>
      <c r="AF107" s="925"/>
      <c r="AG107" s="925"/>
      <c r="AH107" s="925"/>
      <c r="AI107" s="925"/>
      <c r="AJ107" s="925"/>
      <c r="AK107" s="925"/>
      <c r="AL107" s="925"/>
      <c r="AM107" s="925"/>
      <c r="AN107" s="925"/>
      <c r="AO107" s="925"/>
      <c r="AP107" s="925"/>
      <c r="AQ107" s="925"/>
      <c r="AR107" s="925"/>
      <c r="AS107" s="925"/>
      <c r="AT107" s="925"/>
      <c r="AU107" s="925"/>
      <c r="AV107" s="925"/>
      <c r="AW107" s="925"/>
      <c r="AX107" s="925"/>
      <c r="AY107" s="925"/>
      <c r="AZ107" s="925"/>
      <c r="BA107" s="925"/>
      <c r="BB107" s="925"/>
      <c r="BC107" s="925"/>
      <c r="BD107" s="925"/>
      <c r="BE107" s="925"/>
      <c r="BF107" s="925"/>
      <c r="BG107" s="925"/>
      <c r="BH107" s="925"/>
      <c r="BI107" s="925"/>
      <c r="BJ107" s="925"/>
      <c r="BK107" s="925"/>
      <c r="BL107" s="925"/>
      <c r="BM107" s="925"/>
      <c r="BN107" s="925"/>
      <c r="BO107" s="925"/>
      <c r="BP107" s="925"/>
      <c r="BQ107" s="925"/>
      <c r="BR107" s="925"/>
      <c r="BS107" s="925"/>
      <c r="BT107" s="925"/>
      <c r="BU107" s="925"/>
      <c r="BV107" s="925"/>
      <c r="BW107" s="925"/>
      <c r="BX107" s="925"/>
      <c r="BY107" s="925"/>
      <c r="BZ107" s="925"/>
      <c r="CA107" s="925"/>
      <c r="CB107" s="925"/>
      <c r="CC107" s="925"/>
      <c r="CD107" s="925"/>
      <c r="CE107" s="925"/>
      <c r="CF107" s="925"/>
      <c r="CG107" s="925"/>
      <c r="CH107" s="925"/>
      <c r="CI107" s="925"/>
      <c r="CJ107" s="925"/>
      <c r="CK107" s="925"/>
      <c r="CL107" s="925"/>
      <c r="CM107" s="925"/>
      <c r="CN107" s="925"/>
      <c r="CO107" s="925"/>
      <c r="CP107" s="925"/>
      <c r="CQ107" s="925"/>
      <c r="CR107" s="925"/>
      <c r="CS107" s="925"/>
      <c r="CT107" s="925"/>
      <c r="CU107" s="925"/>
      <c r="CV107" s="925"/>
      <c r="CW107" s="925"/>
      <c r="CX107" s="925"/>
      <c r="CY107" s="925"/>
      <c r="CZ107" s="925"/>
      <c r="DA107" s="925"/>
      <c r="DB107" s="925"/>
      <c r="DC107" s="925"/>
      <c r="DD107" s="925"/>
      <c r="DE107" s="925"/>
      <c r="DF107" s="925"/>
      <c r="DG107" s="925"/>
      <c r="DH107" s="925"/>
      <c r="DI107" s="925"/>
      <c r="DJ107" s="925"/>
      <c r="DK107" s="925"/>
      <c r="DL107" s="925"/>
      <c r="DM107" s="925"/>
      <c r="DN107" s="925"/>
      <c r="DO107" s="925"/>
      <c r="DP107" s="925"/>
      <c r="DQ107" s="925"/>
      <c r="DR107" s="925"/>
      <c r="DS107" s="925"/>
      <c r="DT107" s="925"/>
      <c r="DU107" s="925"/>
      <c r="DV107" s="925"/>
      <c r="DW107" s="925"/>
      <c r="DX107" s="925"/>
      <c r="DY107" s="925"/>
      <c r="DZ107" s="925"/>
      <c r="EA107" s="925"/>
      <c r="EB107" s="925"/>
      <c r="EC107" s="925"/>
      <c r="ED107" s="925"/>
      <c r="EE107" s="925"/>
      <c r="EF107" s="925"/>
      <c r="EG107" s="446"/>
    </row>
    <row r="108" spans="1:137" ht="13" x14ac:dyDescent="0.15">
      <c r="A108" s="917"/>
      <c r="B108" s="917"/>
      <c r="C108" s="918"/>
      <c r="D108" s="919"/>
      <c r="E108" s="920"/>
      <c r="F108" s="921"/>
      <c r="G108" s="922"/>
      <c r="H108" s="922"/>
      <c r="I108" s="922"/>
      <c r="J108" s="923"/>
      <c r="K108" s="923"/>
      <c r="L108" s="924"/>
      <c r="M108" s="925"/>
      <c r="N108" s="925"/>
      <c r="O108" s="925"/>
      <c r="P108" s="925"/>
      <c r="Q108" s="925"/>
      <c r="R108" s="926"/>
      <c r="S108" s="926"/>
      <c r="T108" s="925"/>
      <c r="U108" s="925"/>
      <c r="V108" s="925"/>
      <c r="W108" s="925"/>
      <c r="X108" s="925"/>
      <c r="Y108" s="925"/>
      <c r="Z108" s="925"/>
      <c r="AA108" s="925"/>
      <c r="AB108" s="925"/>
      <c r="AC108" s="925"/>
      <c r="AD108" s="925"/>
      <c r="AE108" s="925"/>
      <c r="AF108" s="925"/>
      <c r="AG108" s="925"/>
      <c r="AH108" s="925"/>
      <c r="AI108" s="925"/>
      <c r="AJ108" s="925"/>
      <c r="AK108" s="925"/>
      <c r="AL108" s="925"/>
      <c r="AM108" s="925"/>
      <c r="AN108" s="925"/>
      <c r="AO108" s="925"/>
      <c r="AP108" s="925"/>
      <c r="AQ108" s="925"/>
      <c r="AR108" s="925"/>
      <c r="AS108" s="925"/>
      <c r="AT108" s="925"/>
      <c r="AU108" s="925"/>
      <c r="AV108" s="925"/>
      <c r="AW108" s="925"/>
      <c r="AX108" s="925"/>
      <c r="AY108" s="925"/>
      <c r="AZ108" s="925"/>
      <c r="BA108" s="925"/>
      <c r="BB108" s="925"/>
      <c r="BC108" s="925"/>
      <c r="BD108" s="925"/>
      <c r="BE108" s="925"/>
      <c r="BF108" s="925"/>
      <c r="BG108" s="925"/>
      <c r="BH108" s="925"/>
      <c r="BI108" s="925"/>
      <c r="BJ108" s="925"/>
      <c r="BK108" s="925"/>
      <c r="BL108" s="925"/>
      <c r="BM108" s="925"/>
      <c r="BN108" s="925"/>
      <c r="BO108" s="925"/>
      <c r="BP108" s="925"/>
      <c r="BQ108" s="925"/>
      <c r="BR108" s="925"/>
      <c r="BS108" s="925"/>
      <c r="BT108" s="925"/>
      <c r="BU108" s="925"/>
      <c r="BV108" s="925"/>
      <c r="BW108" s="925"/>
      <c r="BX108" s="925"/>
      <c r="BY108" s="925"/>
      <c r="BZ108" s="925"/>
      <c r="CA108" s="925"/>
      <c r="CB108" s="925"/>
      <c r="CC108" s="925"/>
      <c r="CD108" s="925"/>
      <c r="CE108" s="925"/>
      <c r="CF108" s="925"/>
      <c r="CG108" s="925"/>
      <c r="CH108" s="925"/>
      <c r="CI108" s="925"/>
      <c r="CJ108" s="925"/>
      <c r="CK108" s="925"/>
      <c r="CL108" s="925"/>
      <c r="CM108" s="925"/>
      <c r="CN108" s="925"/>
      <c r="CO108" s="925"/>
      <c r="CP108" s="925"/>
      <c r="CQ108" s="925"/>
      <c r="CR108" s="925"/>
      <c r="CS108" s="925"/>
      <c r="CT108" s="925"/>
      <c r="CU108" s="925"/>
      <c r="CV108" s="925"/>
      <c r="CW108" s="925"/>
      <c r="CX108" s="925"/>
      <c r="CY108" s="925"/>
      <c r="CZ108" s="925"/>
      <c r="DA108" s="925"/>
      <c r="DB108" s="925"/>
      <c r="DC108" s="925"/>
      <c r="DD108" s="925"/>
      <c r="DE108" s="925"/>
      <c r="DF108" s="925"/>
      <c r="DG108" s="925"/>
      <c r="DH108" s="925"/>
      <c r="DI108" s="925"/>
      <c r="DJ108" s="925"/>
      <c r="DK108" s="925"/>
      <c r="DL108" s="925"/>
      <c r="DM108" s="925"/>
      <c r="DN108" s="925"/>
      <c r="DO108" s="925"/>
      <c r="DP108" s="925"/>
      <c r="DQ108" s="925"/>
      <c r="DR108" s="925"/>
      <c r="DS108" s="925"/>
      <c r="DT108" s="925"/>
      <c r="DU108" s="925"/>
      <c r="DV108" s="925"/>
      <c r="DW108" s="925"/>
      <c r="DX108" s="925"/>
      <c r="DY108" s="925"/>
      <c r="DZ108" s="925"/>
      <c r="EA108" s="925"/>
      <c r="EB108" s="925"/>
      <c r="EC108" s="925"/>
      <c r="ED108" s="925"/>
      <c r="EE108" s="925"/>
      <c r="EF108" s="925"/>
      <c r="EG108" s="446"/>
    </row>
    <row r="109" spans="1:137" ht="13" x14ac:dyDescent="0.15">
      <c r="A109" s="917"/>
      <c r="B109" s="917"/>
      <c r="C109" s="918"/>
      <c r="D109" s="919"/>
      <c r="E109" s="920"/>
      <c r="F109" s="921"/>
      <c r="G109" s="922"/>
      <c r="H109" s="922"/>
      <c r="I109" s="922"/>
      <c r="J109" s="923"/>
      <c r="K109" s="923"/>
      <c r="L109" s="924"/>
      <c r="M109" s="925"/>
      <c r="N109" s="925"/>
      <c r="O109" s="925"/>
      <c r="P109" s="925"/>
      <c r="Q109" s="925"/>
      <c r="R109" s="926"/>
      <c r="S109" s="926"/>
      <c r="T109" s="925"/>
      <c r="U109" s="925"/>
      <c r="V109" s="925"/>
      <c r="W109" s="925"/>
      <c r="X109" s="925"/>
      <c r="Y109" s="925"/>
      <c r="Z109" s="925"/>
      <c r="AA109" s="925"/>
      <c r="AB109" s="925"/>
      <c r="AC109" s="925"/>
      <c r="AD109" s="925"/>
      <c r="AE109" s="925"/>
      <c r="AF109" s="925"/>
      <c r="AG109" s="925"/>
      <c r="AH109" s="925"/>
      <c r="AI109" s="925"/>
      <c r="AJ109" s="925"/>
      <c r="AK109" s="925"/>
      <c r="AL109" s="925"/>
      <c r="AM109" s="925"/>
      <c r="AN109" s="925"/>
      <c r="AO109" s="925"/>
      <c r="AP109" s="925"/>
      <c r="AQ109" s="925"/>
      <c r="AR109" s="925"/>
      <c r="AS109" s="925"/>
      <c r="AT109" s="925"/>
      <c r="AU109" s="925"/>
      <c r="AV109" s="925"/>
      <c r="AW109" s="925"/>
      <c r="AX109" s="925"/>
      <c r="AY109" s="925"/>
      <c r="AZ109" s="925"/>
      <c r="BA109" s="925"/>
      <c r="BB109" s="925"/>
      <c r="BC109" s="925"/>
      <c r="BD109" s="925"/>
      <c r="BE109" s="925"/>
      <c r="BF109" s="925"/>
      <c r="BG109" s="925"/>
      <c r="BH109" s="925"/>
      <c r="BI109" s="925"/>
      <c r="BJ109" s="925"/>
      <c r="BK109" s="925"/>
      <c r="BL109" s="925"/>
      <c r="BM109" s="925"/>
      <c r="BN109" s="925"/>
      <c r="BO109" s="925"/>
      <c r="BP109" s="925"/>
      <c r="BQ109" s="925"/>
      <c r="BR109" s="925"/>
      <c r="BS109" s="925"/>
      <c r="BT109" s="925"/>
      <c r="BU109" s="925"/>
      <c r="BV109" s="925"/>
      <c r="BW109" s="925"/>
      <c r="BX109" s="925"/>
      <c r="BY109" s="925"/>
      <c r="BZ109" s="925"/>
      <c r="CA109" s="925"/>
      <c r="CB109" s="925"/>
      <c r="CC109" s="925"/>
      <c r="CD109" s="925"/>
      <c r="CE109" s="925"/>
      <c r="CF109" s="925"/>
      <c r="CG109" s="925"/>
      <c r="CH109" s="925"/>
      <c r="CI109" s="925"/>
      <c r="CJ109" s="925"/>
      <c r="CK109" s="925"/>
      <c r="CL109" s="925"/>
      <c r="CM109" s="925"/>
      <c r="CN109" s="925"/>
      <c r="CO109" s="925"/>
      <c r="CP109" s="925"/>
      <c r="CQ109" s="925"/>
      <c r="CR109" s="925"/>
      <c r="CS109" s="925"/>
      <c r="CT109" s="925"/>
      <c r="CU109" s="925"/>
      <c r="CV109" s="925"/>
      <c r="CW109" s="925"/>
      <c r="CX109" s="925"/>
      <c r="CY109" s="925"/>
      <c r="CZ109" s="925"/>
      <c r="DA109" s="925"/>
      <c r="DB109" s="925"/>
      <c r="DC109" s="925"/>
      <c r="DD109" s="925"/>
      <c r="DE109" s="925"/>
      <c r="DF109" s="925"/>
      <c r="DG109" s="925"/>
      <c r="DH109" s="925"/>
      <c r="DI109" s="925"/>
      <c r="DJ109" s="925"/>
      <c r="DK109" s="925"/>
      <c r="DL109" s="925"/>
      <c r="DM109" s="925"/>
      <c r="DN109" s="925"/>
      <c r="DO109" s="925"/>
      <c r="DP109" s="925"/>
      <c r="DQ109" s="925"/>
      <c r="DR109" s="925"/>
      <c r="DS109" s="925"/>
      <c r="DT109" s="925"/>
      <c r="DU109" s="925"/>
      <c r="DV109" s="925"/>
      <c r="DW109" s="925"/>
      <c r="DX109" s="925"/>
      <c r="DY109" s="925"/>
      <c r="DZ109" s="925"/>
      <c r="EA109" s="925"/>
      <c r="EB109" s="925"/>
      <c r="EC109" s="925"/>
      <c r="ED109" s="925"/>
      <c r="EE109" s="925"/>
      <c r="EF109" s="925"/>
      <c r="EG109" s="446"/>
    </row>
    <row r="110" spans="1:137" ht="13" x14ac:dyDescent="0.15">
      <c r="A110" s="917"/>
      <c r="B110" s="917"/>
      <c r="C110" s="918"/>
      <c r="D110" s="919"/>
      <c r="E110" s="920"/>
      <c r="F110" s="921"/>
      <c r="G110" s="922"/>
      <c r="H110" s="922"/>
      <c r="I110" s="922"/>
      <c r="J110" s="923"/>
      <c r="K110" s="923"/>
      <c r="L110" s="924"/>
      <c r="M110" s="925"/>
      <c r="N110" s="925"/>
      <c r="O110" s="925"/>
      <c r="P110" s="925"/>
      <c r="Q110" s="925"/>
      <c r="R110" s="926"/>
      <c r="S110" s="926"/>
      <c r="T110" s="925"/>
      <c r="U110" s="925"/>
      <c r="V110" s="925"/>
      <c r="W110" s="925"/>
      <c r="X110" s="925"/>
      <c r="Y110" s="925"/>
      <c r="Z110" s="925"/>
      <c r="AA110" s="925"/>
      <c r="AB110" s="925"/>
      <c r="AC110" s="925"/>
      <c r="AD110" s="925"/>
      <c r="AE110" s="925"/>
      <c r="AF110" s="925"/>
      <c r="AG110" s="925"/>
      <c r="AH110" s="925"/>
      <c r="AI110" s="925"/>
      <c r="AJ110" s="925"/>
      <c r="AK110" s="925"/>
      <c r="AL110" s="925"/>
      <c r="AM110" s="925"/>
      <c r="AN110" s="925"/>
      <c r="AO110" s="925"/>
      <c r="AP110" s="925"/>
      <c r="AQ110" s="925"/>
      <c r="AR110" s="925"/>
      <c r="AS110" s="925"/>
      <c r="AT110" s="925"/>
      <c r="AU110" s="925"/>
      <c r="AV110" s="925"/>
      <c r="AW110" s="925"/>
      <c r="AX110" s="925"/>
      <c r="AY110" s="925"/>
      <c r="AZ110" s="925"/>
      <c r="BA110" s="925"/>
      <c r="BB110" s="925"/>
      <c r="BC110" s="925"/>
      <c r="BD110" s="925"/>
      <c r="BE110" s="925"/>
      <c r="BF110" s="925"/>
      <c r="BG110" s="925"/>
      <c r="BH110" s="925"/>
      <c r="BI110" s="925"/>
      <c r="BJ110" s="925"/>
      <c r="BK110" s="925"/>
      <c r="BL110" s="925"/>
      <c r="BM110" s="925"/>
      <c r="BN110" s="925"/>
      <c r="BO110" s="925"/>
      <c r="BP110" s="925"/>
      <c r="BQ110" s="925"/>
      <c r="BR110" s="925"/>
      <c r="BS110" s="925"/>
      <c r="BT110" s="925"/>
      <c r="BU110" s="925"/>
      <c r="BV110" s="925"/>
      <c r="BW110" s="925"/>
      <c r="BX110" s="925"/>
      <c r="BY110" s="925"/>
      <c r="BZ110" s="925"/>
      <c r="CA110" s="925"/>
      <c r="CB110" s="925"/>
      <c r="CC110" s="925"/>
      <c r="CD110" s="925"/>
      <c r="CE110" s="925"/>
      <c r="CF110" s="925"/>
      <c r="CG110" s="925"/>
      <c r="CH110" s="925"/>
      <c r="CI110" s="925"/>
      <c r="CJ110" s="925"/>
      <c r="CK110" s="925"/>
      <c r="CL110" s="925"/>
      <c r="CM110" s="925"/>
      <c r="CN110" s="925"/>
      <c r="CO110" s="925"/>
      <c r="CP110" s="925"/>
      <c r="CQ110" s="925"/>
      <c r="CR110" s="925"/>
      <c r="CS110" s="925"/>
      <c r="CT110" s="925"/>
      <c r="CU110" s="925"/>
      <c r="CV110" s="925"/>
      <c r="CW110" s="925"/>
      <c r="CX110" s="925"/>
      <c r="CY110" s="925"/>
      <c r="CZ110" s="925"/>
      <c r="DA110" s="925"/>
      <c r="DB110" s="925"/>
      <c r="DC110" s="925"/>
      <c r="DD110" s="925"/>
      <c r="DE110" s="925"/>
      <c r="DF110" s="925"/>
      <c r="DG110" s="925"/>
      <c r="DH110" s="925"/>
      <c r="DI110" s="925"/>
      <c r="DJ110" s="925"/>
      <c r="DK110" s="925"/>
      <c r="DL110" s="925"/>
      <c r="DM110" s="925"/>
      <c r="DN110" s="925"/>
      <c r="DO110" s="925"/>
      <c r="DP110" s="925"/>
      <c r="DQ110" s="925"/>
      <c r="DR110" s="925"/>
      <c r="DS110" s="925"/>
      <c r="DT110" s="925"/>
      <c r="DU110" s="925"/>
      <c r="DV110" s="925"/>
      <c r="DW110" s="925"/>
      <c r="DX110" s="925"/>
      <c r="DY110" s="925"/>
      <c r="DZ110" s="925"/>
      <c r="EA110" s="925"/>
      <c r="EB110" s="925"/>
      <c r="EC110" s="925"/>
      <c r="ED110" s="925"/>
      <c r="EE110" s="925"/>
      <c r="EF110" s="925"/>
      <c r="EG110" s="446"/>
    </row>
    <row r="111" spans="1:137" ht="13" x14ac:dyDescent="0.15">
      <c r="A111" s="917"/>
      <c r="B111" s="917"/>
      <c r="C111" s="918"/>
      <c r="D111" s="919"/>
      <c r="E111" s="920"/>
      <c r="F111" s="921"/>
      <c r="G111" s="922"/>
      <c r="H111" s="922"/>
      <c r="I111" s="922"/>
      <c r="J111" s="923"/>
      <c r="K111" s="923"/>
      <c r="L111" s="924"/>
      <c r="M111" s="925"/>
      <c r="N111" s="925"/>
      <c r="O111" s="925"/>
      <c r="P111" s="925"/>
      <c r="Q111" s="925"/>
      <c r="R111" s="926"/>
      <c r="S111" s="926"/>
      <c r="T111" s="925"/>
      <c r="U111" s="925"/>
      <c r="V111" s="925"/>
      <c r="W111" s="925"/>
      <c r="X111" s="925"/>
      <c r="Y111" s="925"/>
      <c r="Z111" s="925"/>
      <c r="AA111" s="925"/>
      <c r="AB111" s="925"/>
      <c r="AC111" s="925"/>
      <c r="AD111" s="925"/>
      <c r="AE111" s="925"/>
      <c r="AF111" s="925"/>
      <c r="AG111" s="925"/>
      <c r="AH111" s="925"/>
      <c r="AI111" s="925"/>
      <c r="AJ111" s="925"/>
      <c r="AK111" s="925"/>
      <c r="AL111" s="925"/>
      <c r="AM111" s="925"/>
      <c r="AN111" s="925"/>
      <c r="AO111" s="925"/>
      <c r="AP111" s="925"/>
      <c r="AQ111" s="925"/>
      <c r="AR111" s="925"/>
      <c r="AS111" s="925"/>
      <c r="AT111" s="925"/>
      <c r="AU111" s="925"/>
      <c r="AV111" s="925"/>
      <c r="AW111" s="925"/>
      <c r="AX111" s="925"/>
      <c r="AY111" s="925"/>
      <c r="AZ111" s="925"/>
      <c r="BA111" s="925"/>
      <c r="BB111" s="925"/>
      <c r="BC111" s="925"/>
      <c r="BD111" s="925"/>
      <c r="BE111" s="925"/>
      <c r="BF111" s="925"/>
      <c r="BG111" s="925"/>
      <c r="BH111" s="925"/>
      <c r="BI111" s="925"/>
      <c r="BJ111" s="925"/>
      <c r="BK111" s="925"/>
      <c r="BL111" s="925"/>
      <c r="BM111" s="925"/>
      <c r="BN111" s="925"/>
      <c r="BO111" s="925"/>
      <c r="BP111" s="925"/>
      <c r="BQ111" s="925"/>
      <c r="BR111" s="925"/>
      <c r="BS111" s="925"/>
      <c r="BT111" s="925"/>
      <c r="BU111" s="925"/>
      <c r="BV111" s="925"/>
      <c r="BW111" s="925"/>
      <c r="BX111" s="925"/>
      <c r="BY111" s="925"/>
      <c r="BZ111" s="925"/>
      <c r="CA111" s="925"/>
      <c r="CB111" s="925"/>
      <c r="CC111" s="925"/>
      <c r="CD111" s="925"/>
      <c r="CE111" s="925"/>
      <c r="CF111" s="925"/>
      <c r="CG111" s="925"/>
      <c r="CH111" s="925"/>
      <c r="CI111" s="925"/>
      <c r="CJ111" s="925"/>
      <c r="CK111" s="925"/>
      <c r="CL111" s="925"/>
      <c r="CM111" s="925"/>
      <c r="CN111" s="925"/>
      <c r="CO111" s="925"/>
      <c r="CP111" s="925"/>
      <c r="CQ111" s="925"/>
      <c r="CR111" s="925"/>
      <c r="CS111" s="925"/>
      <c r="CT111" s="925"/>
      <c r="CU111" s="925"/>
      <c r="CV111" s="925"/>
      <c r="CW111" s="925"/>
      <c r="CX111" s="925"/>
      <c r="CY111" s="925"/>
      <c r="CZ111" s="925"/>
      <c r="DA111" s="925"/>
      <c r="DB111" s="925"/>
      <c r="DC111" s="925"/>
      <c r="DD111" s="925"/>
      <c r="DE111" s="925"/>
      <c r="DF111" s="925"/>
      <c r="DG111" s="925"/>
      <c r="DH111" s="925"/>
      <c r="DI111" s="925"/>
      <c r="DJ111" s="925"/>
      <c r="DK111" s="925"/>
      <c r="DL111" s="925"/>
      <c r="DM111" s="925"/>
      <c r="DN111" s="925"/>
      <c r="DO111" s="925"/>
      <c r="DP111" s="925"/>
      <c r="DQ111" s="925"/>
      <c r="DR111" s="925"/>
      <c r="DS111" s="925"/>
      <c r="DT111" s="925"/>
      <c r="DU111" s="925"/>
      <c r="DV111" s="925"/>
      <c r="DW111" s="925"/>
      <c r="DX111" s="925"/>
      <c r="DY111" s="925"/>
      <c r="DZ111" s="925"/>
      <c r="EA111" s="925"/>
      <c r="EB111" s="925"/>
      <c r="EC111" s="925"/>
      <c r="ED111" s="925"/>
      <c r="EE111" s="925"/>
      <c r="EF111" s="925"/>
      <c r="EG111" s="446"/>
    </row>
    <row r="112" spans="1:137" ht="13" x14ac:dyDescent="0.15">
      <c r="A112" s="917"/>
      <c r="B112" s="917"/>
      <c r="C112" s="918"/>
      <c r="D112" s="919"/>
      <c r="E112" s="920"/>
      <c r="F112" s="921"/>
      <c r="G112" s="922"/>
      <c r="H112" s="922"/>
      <c r="I112" s="922"/>
      <c r="J112" s="923"/>
      <c r="K112" s="923"/>
      <c r="L112" s="924"/>
      <c r="M112" s="925"/>
      <c r="N112" s="925"/>
      <c r="O112" s="925"/>
      <c r="P112" s="925"/>
      <c r="Q112" s="925"/>
      <c r="R112" s="926"/>
      <c r="S112" s="926"/>
      <c r="T112" s="925"/>
      <c r="U112" s="925"/>
      <c r="V112" s="925"/>
      <c r="W112" s="925"/>
      <c r="X112" s="925"/>
      <c r="Y112" s="925"/>
      <c r="Z112" s="925"/>
      <c r="AA112" s="925"/>
      <c r="AB112" s="925"/>
      <c r="AC112" s="925"/>
      <c r="AD112" s="925"/>
      <c r="AE112" s="925"/>
      <c r="AF112" s="925"/>
      <c r="AG112" s="925"/>
      <c r="AH112" s="925"/>
      <c r="AI112" s="925"/>
      <c r="AJ112" s="925"/>
      <c r="AK112" s="925"/>
      <c r="AL112" s="925"/>
      <c r="AM112" s="925"/>
      <c r="AN112" s="925"/>
      <c r="AO112" s="925"/>
      <c r="AP112" s="925"/>
      <c r="AQ112" s="925"/>
      <c r="AR112" s="925"/>
      <c r="AS112" s="925"/>
      <c r="AT112" s="925"/>
      <c r="AU112" s="925"/>
      <c r="AV112" s="925"/>
      <c r="AW112" s="925"/>
      <c r="AX112" s="925"/>
      <c r="AY112" s="925"/>
      <c r="AZ112" s="925"/>
      <c r="BA112" s="925"/>
      <c r="BB112" s="925"/>
      <c r="BC112" s="925"/>
      <c r="BD112" s="925"/>
      <c r="BE112" s="925"/>
      <c r="BF112" s="925"/>
      <c r="BG112" s="925"/>
      <c r="BH112" s="925"/>
      <c r="BI112" s="925"/>
      <c r="BJ112" s="925"/>
      <c r="BK112" s="925"/>
      <c r="BL112" s="925"/>
      <c r="BM112" s="925"/>
      <c r="BN112" s="925"/>
      <c r="BO112" s="925"/>
      <c r="BP112" s="925"/>
      <c r="BQ112" s="925"/>
      <c r="BR112" s="925"/>
      <c r="BS112" s="925"/>
      <c r="BT112" s="925"/>
      <c r="BU112" s="925"/>
      <c r="BV112" s="925"/>
      <c r="BW112" s="925"/>
      <c r="BX112" s="925"/>
      <c r="BY112" s="925"/>
      <c r="BZ112" s="925"/>
      <c r="CA112" s="925"/>
      <c r="CB112" s="925"/>
      <c r="CC112" s="925"/>
      <c r="CD112" s="925"/>
      <c r="CE112" s="925"/>
      <c r="CF112" s="925"/>
      <c r="CG112" s="925"/>
      <c r="CH112" s="925"/>
      <c r="CI112" s="925"/>
      <c r="CJ112" s="925"/>
      <c r="CK112" s="925"/>
      <c r="CL112" s="925"/>
      <c r="CM112" s="925"/>
      <c r="CN112" s="925"/>
      <c r="CO112" s="925"/>
      <c r="CP112" s="925"/>
      <c r="CQ112" s="925"/>
      <c r="CR112" s="925"/>
      <c r="CS112" s="925"/>
      <c r="CT112" s="925"/>
      <c r="CU112" s="925"/>
      <c r="CV112" s="925"/>
      <c r="CW112" s="925"/>
      <c r="CX112" s="925"/>
      <c r="CY112" s="925"/>
      <c r="CZ112" s="925"/>
      <c r="DA112" s="925"/>
      <c r="DB112" s="925"/>
      <c r="DC112" s="925"/>
      <c r="DD112" s="925"/>
      <c r="DE112" s="925"/>
      <c r="DF112" s="925"/>
      <c r="DG112" s="925"/>
      <c r="DH112" s="925"/>
      <c r="DI112" s="925"/>
      <c r="DJ112" s="925"/>
      <c r="DK112" s="925"/>
      <c r="DL112" s="925"/>
      <c r="DM112" s="925"/>
      <c r="DN112" s="925"/>
      <c r="DO112" s="925"/>
      <c r="DP112" s="925"/>
      <c r="DQ112" s="925"/>
      <c r="DR112" s="925"/>
      <c r="DS112" s="925"/>
      <c r="DT112" s="925"/>
      <c r="DU112" s="925"/>
      <c r="DV112" s="925"/>
      <c r="DW112" s="925"/>
      <c r="DX112" s="925"/>
      <c r="DY112" s="925"/>
      <c r="DZ112" s="925"/>
      <c r="EA112" s="925"/>
      <c r="EB112" s="925"/>
      <c r="EC112" s="925"/>
      <c r="ED112" s="925"/>
      <c r="EE112" s="925"/>
      <c r="EF112" s="925"/>
      <c r="EG112" s="446"/>
    </row>
    <row r="113" spans="1:137" ht="13" x14ac:dyDescent="0.15">
      <c r="A113" s="917"/>
      <c r="B113" s="917"/>
      <c r="C113" s="918"/>
      <c r="D113" s="919"/>
      <c r="E113" s="920"/>
      <c r="F113" s="921"/>
      <c r="G113" s="922"/>
      <c r="H113" s="922"/>
      <c r="I113" s="922"/>
      <c r="J113" s="923"/>
      <c r="K113" s="923"/>
      <c r="L113" s="924"/>
      <c r="M113" s="925"/>
      <c r="N113" s="925"/>
      <c r="O113" s="925"/>
      <c r="P113" s="925"/>
      <c r="Q113" s="925"/>
      <c r="R113" s="926"/>
      <c r="S113" s="926"/>
      <c r="T113" s="925"/>
      <c r="U113" s="925"/>
      <c r="V113" s="925"/>
      <c r="W113" s="925"/>
      <c r="X113" s="925"/>
      <c r="Y113" s="925"/>
      <c r="Z113" s="925"/>
      <c r="AA113" s="925"/>
      <c r="AB113" s="925"/>
      <c r="AC113" s="925"/>
      <c r="AD113" s="925"/>
      <c r="AE113" s="925"/>
      <c r="AF113" s="925"/>
      <c r="AG113" s="925"/>
      <c r="AH113" s="925"/>
      <c r="AI113" s="925"/>
      <c r="AJ113" s="925"/>
      <c r="AK113" s="925"/>
      <c r="AL113" s="925"/>
      <c r="AM113" s="925"/>
      <c r="AN113" s="925"/>
      <c r="AO113" s="925"/>
      <c r="AP113" s="925"/>
      <c r="AQ113" s="925"/>
      <c r="AR113" s="925"/>
      <c r="AS113" s="925"/>
      <c r="AT113" s="925"/>
      <c r="AU113" s="925"/>
      <c r="AV113" s="925"/>
      <c r="AW113" s="925"/>
      <c r="AX113" s="925"/>
      <c r="AY113" s="925"/>
      <c r="AZ113" s="925"/>
      <c r="BA113" s="925"/>
      <c r="BB113" s="925"/>
      <c r="BC113" s="925"/>
      <c r="BD113" s="925"/>
      <c r="BE113" s="925"/>
      <c r="BF113" s="925"/>
      <c r="BG113" s="925"/>
      <c r="BH113" s="925"/>
      <c r="BI113" s="925"/>
      <c r="BJ113" s="925"/>
      <c r="BK113" s="925"/>
      <c r="BL113" s="925"/>
      <c r="BM113" s="925"/>
      <c r="BN113" s="925"/>
      <c r="BO113" s="925"/>
      <c r="BP113" s="925"/>
      <c r="BQ113" s="925"/>
      <c r="BR113" s="925"/>
      <c r="BS113" s="925"/>
      <c r="BT113" s="925"/>
      <c r="BU113" s="925"/>
      <c r="BV113" s="925"/>
      <c r="BW113" s="925"/>
      <c r="BX113" s="925"/>
      <c r="BY113" s="925"/>
      <c r="BZ113" s="925"/>
      <c r="CA113" s="925"/>
      <c r="CB113" s="925"/>
      <c r="CC113" s="925"/>
      <c r="CD113" s="925"/>
      <c r="CE113" s="925"/>
      <c r="CF113" s="925"/>
      <c r="CG113" s="925"/>
      <c r="CH113" s="925"/>
      <c r="CI113" s="925"/>
      <c r="CJ113" s="925"/>
      <c r="CK113" s="925"/>
      <c r="CL113" s="925"/>
      <c r="CM113" s="925"/>
      <c r="CN113" s="925"/>
      <c r="CO113" s="925"/>
      <c r="CP113" s="925"/>
      <c r="CQ113" s="925"/>
      <c r="CR113" s="925"/>
      <c r="CS113" s="925"/>
      <c r="CT113" s="925"/>
      <c r="CU113" s="925"/>
      <c r="CV113" s="925"/>
      <c r="CW113" s="925"/>
      <c r="CX113" s="925"/>
      <c r="CY113" s="925"/>
      <c r="CZ113" s="925"/>
      <c r="DA113" s="925"/>
      <c r="DB113" s="925"/>
      <c r="DC113" s="925"/>
      <c r="DD113" s="925"/>
      <c r="DE113" s="925"/>
      <c r="DF113" s="925"/>
      <c r="DG113" s="925"/>
      <c r="DH113" s="925"/>
      <c r="DI113" s="925"/>
      <c r="DJ113" s="925"/>
      <c r="DK113" s="925"/>
      <c r="DL113" s="925"/>
      <c r="DM113" s="925"/>
      <c r="DN113" s="925"/>
      <c r="DO113" s="925"/>
      <c r="DP113" s="925"/>
      <c r="DQ113" s="925"/>
      <c r="DR113" s="925"/>
      <c r="DS113" s="925"/>
      <c r="DT113" s="925"/>
      <c r="DU113" s="925"/>
      <c r="DV113" s="925"/>
      <c r="DW113" s="925"/>
      <c r="DX113" s="925"/>
      <c r="DY113" s="925"/>
      <c r="DZ113" s="925"/>
      <c r="EA113" s="925"/>
      <c r="EB113" s="925"/>
      <c r="EC113" s="925"/>
      <c r="ED113" s="925"/>
      <c r="EE113" s="925"/>
      <c r="EF113" s="925"/>
      <c r="EG113" s="446"/>
    </row>
    <row r="114" spans="1:137" ht="13" x14ac:dyDescent="0.15">
      <c r="A114" s="917"/>
      <c r="B114" s="917"/>
      <c r="C114" s="918"/>
      <c r="D114" s="919"/>
      <c r="E114" s="920"/>
      <c r="F114" s="921"/>
      <c r="G114" s="922"/>
      <c r="H114" s="922"/>
      <c r="I114" s="922"/>
      <c r="J114" s="923"/>
      <c r="K114" s="923"/>
      <c r="L114" s="924"/>
      <c r="M114" s="925"/>
      <c r="N114" s="925"/>
      <c r="O114" s="925"/>
      <c r="P114" s="925"/>
      <c r="Q114" s="925"/>
      <c r="R114" s="926"/>
      <c r="S114" s="926"/>
      <c r="T114" s="925"/>
      <c r="U114" s="925"/>
      <c r="V114" s="925"/>
      <c r="W114" s="925"/>
      <c r="X114" s="925"/>
      <c r="Y114" s="925"/>
      <c r="Z114" s="925"/>
      <c r="AA114" s="925"/>
      <c r="AB114" s="925"/>
      <c r="AC114" s="925"/>
      <c r="AD114" s="925"/>
      <c r="AE114" s="925"/>
      <c r="AF114" s="925"/>
      <c r="AG114" s="925"/>
      <c r="AH114" s="925"/>
      <c r="AI114" s="925"/>
      <c r="AJ114" s="925"/>
      <c r="AK114" s="925"/>
      <c r="AL114" s="925"/>
      <c r="AM114" s="925"/>
      <c r="AN114" s="925"/>
      <c r="AO114" s="925"/>
      <c r="AP114" s="925"/>
      <c r="AQ114" s="925"/>
      <c r="AR114" s="925"/>
      <c r="AS114" s="925"/>
      <c r="AT114" s="925"/>
      <c r="AU114" s="925"/>
      <c r="AV114" s="925"/>
      <c r="AW114" s="925"/>
      <c r="AX114" s="925"/>
      <c r="AY114" s="925"/>
      <c r="AZ114" s="925"/>
      <c r="BA114" s="925"/>
      <c r="BB114" s="925"/>
      <c r="BC114" s="925"/>
      <c r="BD114" s="925"/>
      <c r="BE114" s="925"/>
      <c r="BF114" s="925"/>
      <c r="BG114" s="925"/>
      <c r="BH114" s="925"/>
      <c r="BI114" s="925"/>
      <c r="BJ114" s="925"/>
      <c r="BK114" s="925"/>
      <c r="BL114" s="925"/>
      <c r="BM114" s="925"/>
      <c r="BN114" s="925"/>
      <c r="BO114" s="925"/>
      <c r="BP114" s="925"/>
      <c r="BQ114" s="925"/>
      <c r="BR114" s="925"/>
      <c r="BS114" s="925"/>
      <c r="BT114" s="925"/>
      <c r="BU114" s="925"/>
      <c r="BV114" s="925"/>
      <c r="BW114" s="925"/>
      <c r="BX114" s="925"/>
      <c r="BY114" s="925"/>
      <c r="BZ114" s="925"/>
      <c r="CA114" s="925"/>
      <c r="CB114" s="925"/>
      <c r="CC114" s="925"/>
      <c r="CD114" s="925"/>
      <c r="CE114" s="925"/>
      <c r="CF114" s="925"/>
      <c r="CG114" s="925"/>
      <c r="CH114" s="925"/>
      <c r="CI114" s="925"/>
      <c r="CJ114" s="925"/>
      <c r="CK114" s="925"/>
      <c r="CL114" s="925"/>
      <c r="CM114" s="925"/>
      <c r="CN114" s="925"/>
      <c r="CO114" s="925"/>
      <c r="CP114" s="925"/>
      <c r="CQ114" s="925"/>
      <c r="CR114" s="925"/>
      <c r="CS114" s="925"/>
      <c r="CT114" s="925"/>
      <c r="CU114" s="925"/>
      <c r="CV114" s="925"/>
      <c r="CW114" s="925"/>
      <c r="CX114" s="925"/>
      <c r="CY114" s="925"/>
      <c r="CZ114" s="925"/>
      <c r="DA114" s="925"/>
      <c r="DB114" s="925"/>
      <c r="DC114" s="925"/>
      <c r="DD114" s="925"/>
      <c r="DE114" s="925"/>
      <c r="DF114" s="925"/>
      <c r="DG114" s="925"/>
      <c r="DH114" s="925"/>
      <c r="DI114" s="925"/>
      <c r="DJ114" s="925"/>
      <c r="DK114" s="925"/>
      <c r="DL114" s="925"/>
      <c r="DM114" s="925"/>
      <c r="DN114" s="925"/>
      <c r="DO114" s="925"/>
      <c r="DP114" s="925"/>
      <c r="DQ114" s="925"/>
      <c r="DR114" s="925"/>
      <c r="DS114" s="925"/>
      <c r="DT114" s="925"/>
      <c r="DU114" s="925"/>
      <c r="DV114" s="925"/>
      <c r="DW114" s="925"/>
      <c r="DX114" s="925"/>
      <c r="DY114" s="925"/>
      <c r="DZ114" s="925"/>
      <c r="EA114" s="925"/>
      <c r="EB114" s="925"/>
      <c r="EC114" s="925"/>
      <c r="ED114" s="925"/>
      <c r="EE114" s="925"/>
      <c r="EF114" s="925"/>
      <c r="EG114" s="446"/>
    </row>
    <row r="115" spans="1:137" ht="13" x14ac:dyDescent="0.15">
      <c r="A115" s="917"/>
      <c r="B115" s="917"/>
      <c r="C115" s="918"/>
      <c r="D115" s="919"/>
      <c r="E115" s="920"/>
      <c r="F115" s="921"/>
      <c r="G115" s="922"/>
      <c r="H115" s="922"/>
      <c r="I115" s="922"/>
      <c r="J115" s="923"/>
      <c r="K115" s="923"/>
      <c r="L115" s="924"/>
      <c r="M115" s="925"/>
      <c r="N115" s="925"/>
      <c r="O115" s="925"/>
      <c r="P115" s="925"/>
      <c r="Q115" s="925"/>
      <c r="R115" s="926"/>
      <c r="S115" s="926"/>
      <c r="T115" s="925"/>
      <c r="U115" s="925"/>
      <c r="V115" s="925"/>
      <c r="W115" s="925"/>
      <c r="X115" s="925"/>
      <c r="Y115" s="925"/>
      <c r="Z115" s="925"/>
      <c r="AA115" s="925"/>
      <c r="AB115" s="925"/>
      <c r="AC115" s="925"/>
      <c r="AD115" s="925"/>
      <c r="AE115" s="925"/>
      <c r="AF115" s="925"/>
      <c r="AG115" s="925"/>
      <c r="AH115" s="925"/>
      <c r="AI115" s="925"/>
      <c r="AJ115" s="925"/>
      <c r="AK115" s="925"/>
      <c r="AL115" s="925"/>
      <c r="AM115" s="925"/>
      <c r="AN115" s="925"/>
      <c r="AO115" s="925"/>
      <c r="AP115" s="925"/>
      <c r="AQ115" s="925"/>
      <c r="AR115" s="925"/>
      <c r="AS115" s="925"/>
      <c r="AT115" s="925"/>
      <c r="AU115" s="925"/>
      <c r="AV115" s="925"/>
      <c r="AW115" s="925"/>
      <c r="AX115" s="925"/>
      <c r="AY115" s="925"/>
      <c r="AZ115" s="925"/>
      <c r="BA115" s="925"/>
      <c r="BB115" s="925"/>
      <c r="BC115" s="925"/>
      <c r="BD115" s="925"/>
      <c r="BE115" s="925"/>
      <c r="BF115" s="925"/>
      <c r="BG115" s="925"/>
      <c r="BH115" s="925"/>
      <c r="BI115" s="925"/>
      <c r="BJ115" s="925"/>
      <c r="BK115" s="925"/>
      <c r="BL115" s="925"/>
      <c r="BM115" s="925"/>
      <c r="BN115" s="925"/>
      <c r="BO115" s="925"/>
      <c r="BP115" s="925"/>
      <c r="BQ115" s="925"/>
      <c r="BR115" s="925"/>
      <c r="BS115" s="925"/>
      <c r="BT115" s="925"/>
      <c r="BU115" s="925"/>
      <c r="BV115" s="925"/>
      <c r="BW115" s="925"/>
      <c r="BX115" s="925"/>
      <c r="BY115" s="925"/>
      <c r="BZ115" s="925"/>
      <c r="CA115" s="925"/>
      <c r="CB115" s="925"/>
      <c r="CC115" s="925"/>
      <c r="CD115" s="925"/>
      <c r="CE115" s="925"/>
      <c r="CF115" s="925"/>
      <c r="CG115" s="925"/>
      <c r="CH115" s="925"/>
      <c r="CI115" s="925"/>
      <c r="CJ115" s="925"/>
      <c r="CK115" s="925"/>
      <c r="CL115" s="925"/>
      <c r="CM115" s="925"/>
      <c r="CN115" s="925"/>
      <c r="CO115" s="925"/>
      <c r="CP115" s="925"/>
      <c r="CQ115" s="925"/>
      <c r="CR115" s="925"/>
      <c r="CS115" s="925"/>
      <c r="CT115" s="925"/>
      <c r="CU115" s="925"/>
      <c r="CV115" s="925"/>
      <c r="CW115" s="925"/>
      <c r="CX115" s="925"/>
      <c r="CY115" s="925"/>
      <c r="CZ115" s="925"/>
      <c r="DA115" s="925"/>
      <c r="DB115" s="925"/>
      <c r="DC115" s="925"/>
      <c r="DD115" s="925"/>
      <c r="DE115" s="925"/>
      <c r="DF115" s="925"/>
      <c r="DG115" s="925"/>
      <c r="DH115" s="925"/>
      <c r="DI115" s="925"/>
      <c r="DJ115" s="925"/>
      <c r="DK115" s="925"/>
      <c r="DL115" s="925"/>
      <c r="DM115" s="925"/>
      <c r="DN115" s="925"/>
      <c r="DO115" s="925"/>
      <c r="DP115" s="925"/>
      <c r="DQ115" s="925"/>
      <c r="DR115" s="925"/>
      <c r="DS115" s="925"/>
      <c r="DT115" s="925"/>
      <c r="DU115" s="925"/>
      <c r="DV115" s="925"/>
      <c r="DW115" s="925"/>
      <c r="DX115" s="925"/>
      <c r="DY115" s="925"/>
      <c r="DZ115" s="925"/>
      <c r="EA115" s="925"/>
      <c r="EB115" s="925"/>
      <c r="EC115" s="925"/>
      <c r="ED115" s="925"/>
      <c r="EE115" s="925"/>
      <c r="EF115" s="925"/>
      <c r="EG115" s="446"/>
    </row>
    <row r="116" spans="1:137" ht="13" x14ac:dyDescent="0.15">
      <c r="A116" s="917"/>
      <c r="B116" s="917"/>
      <c r="C116" s="918"/>
      <c r="D116" s="919"/>
      <c r="E116" s="920"/>
      <c r="F116" s="921"/>
      <c r="G116" s="922"/>
      <c r="H116" s="922"/>
      <c r="I116" s="922"/>
      <c r="J116" s="923"/>
      <c r="K116" s="923"/>
      <c r="L116" s="924"/>
      <c r="M116" s="925"/>
      <c r="N116" s="925"/>
      <c r="O116" s="925"/>
      <c r="P116" s="925"/>
      <c r="Q116" s="925"/>
      <c r="R116" s="926"/>
      <c r="S116" s="926"/>
      <c r="T116" s="925"/>
      <c r="U116" s="925"/>
      <c r="V116" s="925"/>
      <c r="W116" s="925"/>
      <c r="X116" s="925"/>
      <c r="Y116" s="925"/>
      <c r="Z116" s="925"/>
      <c r="AA116" s="925"/>
      <c r="AB116" s="925"/>
      <c r="AC116" s="925"/>
      <c r="AD116" s="925"/>
      <c r="AE116" s="925"/>
      <c r="AF116" s="925"/>
      <c r="AG116" s="925"/>
      <c r="AH116" s="925"/>
      <c r="AI116" s="925"/>
      <c r="AJ116" s="925"/>
      <c r="AK116" s="925"/>
      <c r="AL116" s="925"/>
      <c r="AM116" s="925"/>
      <c r="AN116" s="925"/>
      <c r="AO116" s="925"/>
      <c r="AP116" s="925"/>
      <c r="AQ116" s="925"/>
      <c r="AR116" s="925"/>
      <c r="AS116" s="925"/>
      <c r="AT116" s="925"/>
      <c r="AU116" s="925"/>
      <c r="AV116" s="925"/>
      <c r="AW116" s="925"/>
      <c r="AX116" s="925"/>
      <c r="AY116" s="925"/>
      <c r="AZ116" s="925"/>
      <c r="BA116" s="925"/>
      <c r="BB116" s="925"/>
      <c r="BC116" s="925"/>
      <c r="BD116" s="925"/>
      <c r="BE116" s="925"/>
      <c r="BF116" s="925"/>
      <c r="BG116" s="925"/>
      <c r="BH116" s="925"/>
      <c r="BI116" s="925"/>
      <c r="BJ116" s="925"/>
      <c r="BK116" s="925"/>
      <c r="BL116" s="925"/>
      <c r="BM116" s="925"/>
      <c r="BN116" s="925"/>
      <c r="BO116" s="925"/>
      <c r="BP116" s="925"/>
      <c r="BQ116" s="925"/>
      <c r="BR116" s="925"/>
      <c r="BS116" s="925"/>
      <c r="BT116" s="925"/>
      <c r="BU116" s="925"/>
      <c r="BV116" s="925"/>
      <c r="BW116" s="925"/>
      <c r="BX116" s="925"/>
      <c r="BY116" s="925"/>
      <c r="BZ116" s="925"/>
      <c r="CA116" s="925"/>
      <c r="CB116" s="925"/>
      <c r="CC116" s="925"/>
      <c r="CD116" s="925"/>
      <c r="CE116" s="925"/>
      <c r="CF116" s="925"/>
      <c r="CG116" s="925"/>
      <c r="CH116" s="925"/>
      <c r="CI116" s="925"/>
      <c r="CJ116" s="925"/>
      <c r="CK116" s="925"/>
      <c r="CL116" s="925"/>
      <c r="CM116" s="925"/>
      <c r="CN116" s="925"/>
      <c r="CO116" s="925"/>
      <c r="CP116" s="925"/>
      <c r="CQ116" s="925"/>
      <c r="CR116" s="925"/>
      <c r="CS116" s="925"/>
      <c r="CT116" s="925"/>
      <c r="CU116" s="925"/>
      <c r="CV116" s="925"/>
      <c r="CW116" s="925"/>
      <c r="CX116" s="925"/>
      <c r="CY116" s="925"/>
      <c r="CZ116" s="925"/>
      <c r="DA116" s="925"/>
      <c r="DB116" s="925"/>
      <c r="DC116" s="925"/>
      <c r="DD116" s="925"/>
      <c r="DE116" s="925"/>
      <c r="DF116" s="925"/>
      <c r="DG116" s="925"/>
      <c r="DH116" s="925"/>
      <c r="DI116" s="925"/>
      <c r="DJ116" s="925"/>
      <c r="DK116" s="925"/>
      <c r="DL116" s="925"/>
      <c r="DM116" s="925"/>
      <c r="DN116" s="925"/>
      <c r="DO116" s="925"/>
      <c r="DP116" s="925"/>
      <c r="DQ116" s="925"/>
      <c r="DR116" s="925"/>
      <c r="DS116" s="925"/>
      <c r="DT116" s="925"/>
      <c r="DU116" s="925"/>
      <c r="DV116" s="925"/>
      <c r="DW116" s="925"/>
      <c r="DX116" s="925"/>
      <c r="DY116" s="925"/>
      <c r="DZ116" s="925"/>
      <c r="EA116" s="925"/>
      <c r="EB116" s="925"/>
      <c r="EC116" s="925"/>
      <c r="ED116" s="925"/>
      <c r="EE116" s="925"/>
      <c r="EF116" s="925"/>
      <c r="EG116" s="446"/>
    </row>
    <row r="117" spans="1:137" ht="13" x14ac:dyDescent="0.15">
      <c r="A117" s="917"/>
      <c r="B117" s="917"/>
      <c r="C117" s="918"/>
      <c r="D117" s="919"/>
      <c r="E117" s="920"/>
      <c r="F117" s="921"/>
      <c r="G117" s="922"/>
      <c r="H117" s="922"/>
      <c r="I117" s="922"/>
      <c r="J117" s="923"/>
      <c r="K117" s="923"/>
      <c r="L117" s="924"/>
      <c r="M117" s="925"/>
      <c r="N117" s="925"/>
      <c r="O117" s="925"/>
      <c r="P117" s="925"/>
      <c r="Q117" s="925"/>
      <c r="R117" s="926"/>
      <c r="S117" s="926"/>
      <c r="T117" s="925"/>
      <c r="U117" s="925"/>
      <c r="V117" s="925"/>
      <c r="W117" s="925"/>
      <c r="X117" s="925"/>
      <c r="Y117" s="925"/>
      <c r="Z117" s="925"/>
      <c r="AA117" s="925"/>
      <c r="AB117" s="925"/>
      <c r="AC117" s="925"/>
      <c r="AD117" s="925"/>
      <c r="AE117" s="925"/>
      <c r="AF117" s="925"/>
      <c r="AG117" s="925"/>
      <c r="AH117" s="925"/>
      <c r="AI117" s="925"/>
      <c r="AJ117" s="925"/>
      <c r="AK117" s="925"/>
      <c r="AL117" s="925"/>
      <c r="AM117" s="925"/>
      <c r="AN117" s="925"/>
      <c r="AO117" s="925"/>
      <c r="AP117" s="925"/>
      <c r="AQ117" s="925"/>
      <c r="AR117" s="925"/>
      <c r="AS117" s="925"/>
      <c r="AT117" s="925"/>
      <c r="AU117" s="925"/>
      <c r="AV117" s="925"/>
      <c r="AW117" s="925"/>
      <c r="AX117" s="925"/>
      <c r="AY117" s="925"/>
      <c r="AZ117" s="925"/>
      <c r="BA117" s="925"/>
      <c r="BB117" s="925"/>
      <c r="BC117" s="925"/>
      <c r="BD117" s="925"/>
      <c r="BE117" s="925"/>
      <c r="BF117" s="925"/>
      <c r="BG117" s="925"/>
      <c r="BH117" s="925"/>
      <c r="BI117" s="925"/>
      <c r="BJ117" s="925"/>
      <c r="BK117" s="925"/>
      <c r="BL117" s="925"/>
      <c r="BM117" s="925"/>
      <c r="BN117" s="925"/>
      <c r="BO117" s="925"/>
      <c r="BP117" s="925"/>
      <c r="BQ117" s="925"/>
      <c r="BR117" s="925"/>
      <c r="BS117" s="925"/>
      <c r="BT117" s="925"/>
      <c r="BU117" s="925"/>
      <c r="BV117" s="925"/>
      <c r="BW117" s="925"/>
      <c r="BX117" s="925"/>
      <c r="BY117" s="925"/>
      <c r="BZ117" s="925"/>
      <c r="CA117" s="925"/>
      <c r="CB117" s="925"/>
      <c r="CC117" s="925"/>
      <c r="CD117" s="925"/>
      <c r="CE117" s="925"/>
      <c r="CF117" s="925"/>
      <c r="CG117" s="925"/>
      <c r="CH117" s="925"/>
      <c r="CI117" s="925"/>
      <c r="CJ117" s="925"/>
      <c r="CK117" s="925"/>
      <c r="CL117" s="925"/>
      <c r="CM117" s="925"/>
      <c r="CN117" s="925"/>
      <c r="CO117" s="925"/>
      <c r="CP117" s="925"/>
      <c r="CQ117" s="925"/>
      <c r="CR117" s="925"/>
      <c r="CS117" s="925"/>
      <c r="CT117" s="925"/>
      <c r="CU117" s="925"/>
      <c r="CV117" s="925"/>
      <c r="CW117" s="925"/>
      <c r="CX117" s="925"/>
      <c r="CY117" s="925"/>
      <c r="CZ117" s="925"/>
      <c r="DA117" s="925"/>
      <c r="DB117" s="925"/>
      <c r="DC117" s="925"/>
      <c r="DD117" s="925"/>
      <c r="DE117" s="925"/>
      <c r="DF117" s="925"/>
      <c r="DG117" s="925"/>
      <c r="DH117" s="925"/>
      <c r="DI117" s="925"/>
      <c r="DJ117" s="925"/>
      <c r="DK117" s="925"/>
      <c r="DL117" s="925"/>
      <c r="DM117" s="925"/>
      <c r="DN117" s="925"/>
      <c r="DO117" s="925"/>
      <c r="DP117" s="925"/>
      <c r="DQ117" s="925"/>
      <c r="DR117" s="925"/>
      <c r="DS117" s="925"/>
      <c r="DT117" s="925"/>
      <c r="DU117" s="925"/>
      <c r="DV117" s="925"/>
      <c r="DW117" s="925"/>
      <c r="DX117" s="925"/>
      <c r="DY117" s="925"/>
      <c r="DZ117" s="925"/>
      <c r="EA117" s="925"/>
      <c r="EB117" s="925"/>
      <c r="EC117" s="925"/>
      <c r="ED117" s="925"/>
      <c r="EE117" s="925"/>
      <c r="EF117" s="925"/>
      <c r="EG117" s="446"/>
    </row>
    <row r="118" spans="1:137" ht="13" x14ac:dyDescent="0.15">
      <c r="A118" s="917"/>
      <c r="B118" s="917"/>
      <c r="C118" s="918"/>
      <c r="D118" s="919"/>
      <c r="E118" s="920"/>
      <c r="F118" s="921"/>
      <c r="G118" s="922"/>
      <c r="H118" s="922"/>
      <c r="I118" s="922"/>
      <c r="J118" s="923"/>
      <c r="K118" s="923"/>
      <c r="L118" s="924"/>
      <c r="M118" s="925"/>
      <c r="N118" s="925"/>
      <c r="O118" s="925"/>
      <c r="P118" s="925"/>
      <c r="Q118" s="925"/>
      <c r="R118" s="926"/>
      <c r="S118" s="926"/>
      <c r="T118" s="925"/>
      <c r="U118" s="925"/>
      <c r="V118" s="925"/>
      <c r="W118" s="925"/>
      <c r="X118" s="925"/>
      <c r="Y118" s="925"/>
      <c r="Z118" s="925"/>
      <c r="AA118" s="925"/>
      <c r="AB118" s="925"/>
      <c r="AC118" s="925"/>
      <c r="AD118" s="925"/>
      <c r="AE118" s="925"/>
      <c r="AF118" s="925"/>
      <c r="AG118" s="925"/>
      <c r="AH118" s="925"/>
      <c r="AI118" s="925"/>
      <c r="AJ118" s="925"/>
      <c r="AK118" s="925"/>
      <c r="AL118" s="925"/>
      <c r="AM118" s="925"/>
      <c r="AN118" s="925"/>
      <c r="AO118" s="925"/>
      <c r="AP118" s="925"/>
      <c r="AQ118" s="925"/>
      <c r="AR118" s="925"/>
      <c r="AS118" s="925"/>
      <c r="AT118" s="925"/>
      <c r="AU118" s="925"/>
      <c r="AV118" s="925"/>
      <c r="AW118" s="925"/>
      <c r="AX118" s="925"/>
      <c r="AY118" s="925"/>
      <c r="AZ118" s="925"/>
      <c r="BA118" s="925"/>
      <c r="BB118" s="925"/>
      <c r="BC118" s="925"/>
      <c r="BD118" s="925"/>
      <c r="BE118" s="925"/>
      <c r="BF118" s="925"/>
      <c r="BG118" s="925"/>
      <c r="BH118" s="925"/>
      <c r="BI118" s="925"/>
      <c r="BJ118" s="925"/>
      <c r="BK118" s="925"/>
      <c r="BL118" s="925"/>
      <c r="BM118" s="925"/>
      <c r="BN118" s="925"/>
      <c r="BO118" s="925"/>
      <c r="BP118" s="925"/>
      <c r="BQ118" s="925"/>
      <c r="BR118" s="925"/>
      <c r="BS118" s="925"/>
      <c r="BT118" s="925"/>
      <c r="BU118" s="925"/>
      <c r="BV118" s="925"/>
      <c r="BW118" s="925"/>
      <c r="BX118" s="925"/>
      <c r="BY118" s="925"/>
      <c r="BZ118" s="925"/>
      <c r="CA118" s="925"/>
      <c r="CB118" s="925"/>
      <c r="CC118" s="925"/>
      <c r="CD118" s="925"/>
      <c r="CE118" s="925"/>
      <c r="CF118" s="925"/>
      <c r="CG118" s="925"/>
      <c r="CH118" s="925"/>
      <c r="CI118" s="925"/>
      <c r="CJ118" s="925"/>
      <c r="CK118" s="925"/>
      <c r="CL118" s="925"/>
      <c r="CM118" s="925"/>
      <c r="CN118" s="925"/>
      <c r="CO118" s="925"/>
      <c r="CP118" s="925"/>
      <c r="CQ118" s="925"/>
      <c r="CR118" s="925"/>
      <c r="CS118" s="925"/>
      <c r="CT118" s="925"/>
      <c r="CU118" s="925"/>
      <c r="CV118" s="925"/>
      <c r="CW118" s="925"/>
      <c r="CX118" s="925"/>
      <c r="CY118" s="925"/>
      <c r="CZ118" s="925"/>
      <c r="DA118" s="925"/>
      <c r="DB118" s="925"/>
      <c r="DC118" s="925"/>
      <c r="DD118" s="925"/>
      <c r="DE118" s="925"/>
      <c r="DF118" s="925"/>
      <c r="DG118" s="925"/>
      <c r="DH118" s="925"/>
      <c r="DI118" s="925"/>
      <c r="DJ118" s="925"/>
      <c r="DK118" s="925"/>
      <c r="DL118" s="925"/>
      <c r="DM118" s="925"/>
      <c r="DN118" s="925"/>
      <c r="DO118" s="925"/>
      <c r="DP118" s="925"/>
      <c r="DQ118" s="925"/>
      <c r="DR118" s="925"/>
      <c r="DS118" s="925"/>
      <c r="DT118" s="925"/>
      <c r="DU118" s="925"/>
      <c r="DV118" s="925"/>
      <c r="DW118" s="925"/>
      <c r="DX118" s="925"/>
      <c r="DY118" s="925"/>
      <c r="DZ118" s="925"/>
      <c r="EA118" s="925"/>
      <c r="EB118" s="925"/>
      <c r="EC118" s="925"/>
      <c r="ED118" s="925"/>
      <c r="EE118" s="925"/>
      <c r="EF118" s="925"/>
      <c r="EG118" s="446"/>
    </row>
    <row r="119" spans="1:137" ht="13" x14ac:dyDescent="0.15">
      <c r="A119" s="917"/>
      <c r="B119" s="917"/>
      <c r="C119" s="918"/>
      <c r="D119" s="919"/>
      <c r="E119" s="920"/>
      <c r="F119" s="921"/>
      <c r="G119" s="922"/>
      <c r="H119" s="922"/>
      <c r="I119" s="922"/>
      <c r="J119" s="923"/>
      <c r="K119" s="923"/>
      <c r="L119" s="924"/>
      <c r="M119" s="925"/>
      <c r="N119" s="925"/>
      <c r="O119" s="925"/>
      <c r="P119" s="925"/>
      <c r="Q119" s="925"/>
      <c r="R119" s="926"/>
      <c r="S119" s="926"/>
      <c r="T119" s="925"/>
      <c r="U119" s="925"/>
      <c r="V119" s="925"/>
      <c r="W119" s="925"/>
      <c r="X119" s="925"/>
      <c r="Y119" s="925"/>
      <c r="Z119" s="925"/>
      <c r="AA119" s="925"/>
      <c r="AB119" s="925"/>
      <c r="AC119" s="925"/>
      <c r="AD119" s="925"/>
      <c r="AE119" s="925"/>
      <c r="AF119" s="925"/>
      <c r="AG119" s="925"/>
      <c r="AH119" s="925"/>
      <c r="AI119" s="925"/>
      <c r="AJ119" s="925"/>
      <c r="AK119" s="925"/>
      <c r="AL119" s="925"/>
      <c r="AM119" s="925"/>
      <c r="AN119" s="925"/>
      <c r="AO119" s="925"/>
      <c r="AP119" s="925"/>
      <c r="AQ119" s="925"/>
      <c r="AR119" s="925"/>
      <c r="AS119" s="925"/>
      <c r="AT119" s="925"/>
      <c r="AU119" s="925"/>
      <c r="AV119" s="925"/>
      <c r="AW119" s="925"/>
      <c r="AX119" s="925"/>
      <c r="AY119" s="925"/>
      <c r="AZ119" s="925"/>
      <c r="BA119" s="925"/>
      <c r="BB119" s="925"/>
      <c r="BC119" s="925"/>
      <c r="BD119" s="925"/>
      <c r="BE119" s="925"/>
      <c r="BF119" s="925"/>
      <c r="BG119" s="925"/>
      <c r="BH119" s="925"/>
      <c r="BI119" s="925"/>
      <c r="BJ119" s="925"/>
      <c r="BK119" s="925"/>
      <c r="BL119" s="925"/>
      <c r="BM119" s="925"/>
      <c r="BN119" s="925"/>
      <c r="BO119" s="925"/>
      <c r="BP119" s="925"/>
      <c r="BQ119" s="925"/>
      <c r="BR119" s="925"/>
      <c r="BS119" s="925"/>
      <c r="BT119" s="925"/>
      <c r="BU119" s="925"/>
      <c r="BV119" s="925"/>
      <c r="BW119" s="925"/>
      <c r="BX119" s="925"/>
      <c r="BY119" s="925"/>
      <c r="BZ119" s="925"/>
      <c r="CA119" s="925"/>
      <c r="CB119" s="925"/>
      <c r="CC119" s="925"/>
      <c r="CD119" s="925"/>
      <c r="CE119" s="925"/>
      <c r="CF119" s="925"/>
      <c r="CG119" s="925"/>
      <c r="CH119" s="925"/>
      <c r="CI119" s="925"/>
      <c r="CJ119" s="925"/>
      <c r="CK119" s="925"/>
      <c r="CL119" s="925"/>
      <c r="CM119" s="925"/>
      <c r="CN119" s="925"/>
      <c r="CO119" s="925"/>
      <c r="CP119" s="925"/>
      <c r="CQ119" s="925"/>
      <c r="CR119" s="925"/>
      <c r="CS119" s="925"/>
      <c r="CT119" s="925"/>
      <c r="CU119" s="925"/>
      <c r="CV119" s="925"/>
      <c r="CW119" s="925"/>
      <c r="CX119" s="925"/>
      <c r="CY119" s="925"/>
      <c r="CZ119" s="925"/>
      <c r="DA119" s="925"/>
      <c r="DB119" s="925"/>
      <c r="DC119" s="925"/>
      <c r="DD119" s="925"/>
      <c r="DE119" s="925"/>
      <c r="DF119" s="925"/>
      <c r="DG119" s="925"/>
      <c r="DH119" s="925"/>
      <c r="DI119" s="925"/>
      <c r="DJ119" s="925"/>
      <c r="DK119" s="925"/>
      <c r="DL119" s="925"/>
      <c r="DM119" s="925"/>
      <c r="DN119" s="925"/>
      <c r="DO119" s="925"/>
      <c r="DP119" s="925"/>
      <c r="DQ119" s="925"/>
      <c r="DR119" s="925"/>
      <c r="DS119" s="925"/>
      <c r="DT119" s="925"/>
      <c r="DU119" s="925"/>
      <c r="DV119" s="925"/>
      <c r="DW119" s="925"/>
      <c r="DX119" s="925"/>
      <c r="DY119" s="925"/>
      <c r="DZ119" s="925"/>
      <c r="EA119" s="925"/>
      <c r="EB119" s="925"/>
      <c r="EC119" s="925"/>
      <c r="ED119" s="925"/>
      <c r="EE119" s="925"/>
      <c r="EF119" s="925"/>
      <c r="EG119" s="446"/>
    </row>
    <row r="120" spans="1:137" ht="13" x14ac:dyDescent="0.15">
      <c r="A120" s="917"/>
      <c r="B120" s="917"/>
      <c r="C120" s="918"/>
      <c r="D120" s="919"/>
      <c r="E120" s="920"/>
      <c r="F120" s="921"/>
      <c r="G120" s="922"/>
      <c r="H120" s="922"/>
      <c r="I120" s="922"/>
      <c r="J120" s="923"/>
      <c r="K120" s="923"/>
      <c r="L120" s="924"/>
      <c r="M120" s="925"/>
      <c r="N120" s="925"/>
      <c r="O120" s="925"/>
      <c r="P120" s="925"/>
      <c r="Q120" s="925"/>
      <c r="R120" s="926"/>
      <c r="S120" s="926"/>
      <c r="T120" s="925"/>
      <c r="U120" s="925"/>
      <c r="V120" s="925"/>
      <c r="W120" s="925"/>
      <c r="X120" s="925"/>
      <c r="Y120" s="925"/>
      <c r="Z120" s="925"/>
      <c r="AA120" s="925"/>
      <c r="AB120" s="925"/>
      <c r="AC120" s="925"/>
      <c r="AD120" s="925"/>
      <c r="AE120" s="925"/>
      <c r="AF120" s="925"/>
      <c r="AG120" s="925"/>
      <c r="AH120" s="925"/>
      <c r="AI120" s="925"/>
      <c r="AJ120" s="925"/>
      <c r="AK120" s="925"/>
      <c r="AL120" s="925"/>
      <c r="AM120" s="925"/>
      <c r="AN120" s="925"/>
      <c r="AO120" s="925"/>
      <c r="AP120" s="925"/>
      <c r="AQ120" s="925"/>
      <c r="AR120" s="925"/>
      <c r="AS120" s="925"/>
      <c r="AT120" s="925"/>
      <c r="AU120" s="925"/>
      <c r="AV120" s="925"/>
      <c r="AW120" s="925"/>
      <c r="AX120" s="925"/>
      <c r="AY120" s="925"/>
      <c r="AZ120" s="925"/>
      <c r="BA120" s="925"/>
      <c r="BB120" s="925"/>
      <c r="BC120" s="925"/>
      <c r="BD120" s="925"/>
      <c r="BE120" s="925"/>
      <c r="BF120" s="925"/>
      <c r="BG120" s="925"/>
      <c r="BH120" s="925"/>
      <c r="BI120" s="925"/>
      <c r="BJ120" s="925"/>
      <c r="BK120" s="925"/>
      <c r="BL120" s="925"/>
      <c r="BM120" s="925"/>
      <c r="BN120" s="925"/>
      <c r="BO120" s="925"/>
      <c r="BP120" s="925"/>
      <c r="BQ120" s="925"/>
      <c r="BR120" s="925"/>
      <c r="BS120" s="925"/>
      <c r="BT120" s="925"/>
      <c r="BU120" s="925"/>
      <c r="BV120" s="925"/>
      <c r="BW120" s="925"/>
      <c r="BX120" s="925"/>
      <c r="BY120" s="925"/>
      <c r="BZ120" s="925"/>
      <c r="CA120" s="925"/>
      <c r="CB120" s="925"/>
      <c r="CC120" s="925"/>
      <c r="CD120" s="925"/>
      <c r="CE120" s="925"/>
      <c r="CF120" s="925"/>
      <c r="CG120" s="925"/>
      <c r="CH120" s="925"/>
      <c r="CI120" s="925"/>
      <c r="CJ120" s="925"/>
      <c r="CK120" s="925"/>
      <c r="CL120" s="925"/>
      <c r="CM120" s="925"/>
      <c r="CN120" s="925"/>
      <c r="CO120" s="925"/>
      <c r="CP120" s="925"/>
      <c r="CQ120" s="925"/>
      <c r="CR120" s="925"/>
      <c r="CS120" s="925"/>
      <c r="CT120" s="925"/>
      <c r="CU120" s="925"/>
      <c r="CV120" s="925"/>
      <c r="CW120" s="925"/>
      <c r="CX120" s="925"/>
      <c r="CY120" s="925"/>
      <c r="CZ120" s="925"/>
      <c r="DA120" s="925"/>
      <c r="DB120" s="925"/>
      <c r="DC120" s="925"/>
      <c r="DD120" s="925"/>
      <c r="DE120" s="925"/>
      <c r="DF120" s="925"/>
      <c r="DG120" s="925"/>
      <c r="DH120" s="925"/>
      <c r="DI120" s="925"/>
      <c r="DJ120" s="925"/>
      <c r="DK120" s="925"/>
      <c r="DL120" s="925"/>
      <c r="DM120" s="925"/>
      <c r="DN120" s="925"/>
      <c r="DO120" s="925"/>
      <c r="DP120" s="925"/>
      <c r="DQ120" s="925"/>
      <c r="DR120" s="925"/>
      <c r="DS120" s="925"/>
      <c r="DT120" s="925"/>
      <c r="DU120" s="925"/>
      <c r="DV120" s="925"/>
      <c r="DW120" s="925"/>
      <c r="DX120" s="925"/>
      <c r="DY120" s="925"/>
      <c r="DZ120" s="925"/>
      <c r="EA120" s="925"/>
      <c r="EB120" s="925"/>
      <c r="EC120" s="925"/>
      <c r="ED120" s="925"/>
      <c r="EE120" s="925"/>
      <c r="EF120" s="925"/>
      <c r="EG120" s="446"/>
    </row>
    <row r="121" spans="1:137" ht="13" x14ac:dyDescent="0.15">
      <c r="A121" s="917"/>
      <c r="B121" s="917"/>
      <c r="C121" s="918"/>
      <c r="D121" s="919"/>
      <c r="E121" s="920"/>
      <c r="F121" s="921"/>
      <c r="G121" s="922"/>
      <c r="H121" s="922"/>
      <c r="I121" s="922"/>
      <c r="J121" s="923"/>
      <c r="K121" s="923"/>
      <c r="L121" s="924"/>
      <c r="M121" s="925"/>
      <c r="N121" s="925"/>
      <c r="O121" s="925"/>
      <c r="P121" s="925"/>
      <c r="Q121" s="925"/>
      <c r="R121" s="926"/>
      <c r="S121" s="926"/>
      <c r="T121" s="925"/>
      <c r="U121" s="925"/>
      <c r="V121" s="925"/>
      <c r="W121" s="925"/>
      <c r="X121" s="925"/>
      <c r="Y121" s="925"/>
      <c r="Z121" s="925"/>
      <c r="AA121" s="925"/>
      <c r="AB121" s="925"/>
      <c r="AC121" s="925"/>
      <c r="AD121" s="925"/>
      <c r="AE121" s="925"/>
      <c r="AF121" s="925"/>
      <c r="AG121" s="925"/>
      <c r="AH121" s="925"/>
      <c r="AI121" s="925"/>
      <c r="AJ121" s="925"/>
      <c r="AK121" s="925"/>
      <c r="AL121" s="925"/>
      <c r="AM121" s="925"/>
      <c r="AN121" s="925"/>
      <c r="AO121" s="925"/>
      <c r="AP121" s="925"/>
      <c r="AQ121" s="925"/>
      <c r="AR121" s="925"/>
      <c r="AS121" s="925"/>
      <c r="AT121" s="925"/>
      <c r="AU121" s="925"/>
      <c r="AV121" s="925"/>
      <c r="AW121" s="925"/>
      <c r="AX121" s="925"/>
      <c r="AY121" s="925"/>
      <c r="AZ121" s="925"/>
      <c r="BA121" s="925"/>
      <c r="BB121" s="925"/>
      <c r="BC121" s="925"/>
      <c r="BD121" s="925"/>
      <c r="BE121" s="925"/>
      <c r="BF121" s="925"/>
      <c r="BG121" s="925"/>
      <c r="BH121" s="925"/>
      <c r="BI121" s="925"/>
      <c r="BJ121" s="925"/>
      <c r="BK121" s="925"/>
      <c r="BL121" s="925"/>
      <c r="BM121" s="925"/>
      <c r="BN121" s="925"/>
      <c r="BO121" s="925"/>
      <c r="BP121" s="925"/>
      <c r="BQ121" s="925"/>
      <c r="BR121" s="925"/>
      <c r="BS121" s="925"/>
      <c r="BT121" s="925"/>
      <c r="BU121" s="925"/>
      <c r="BV121" s="925"/>
      <c r="BW121" s="925"/>
      <c r="BX121" s="925"/>
      <c r="BY121" s="925"/>
      <c r="BZ121" s="925"/>
      <c r="CA121" s="925"/>
      <c r="CB121" s="925"/>
      <c r="CC121" s="925"/>
      <c r="CD121" s="925"/>
      <c r="CE121" s="925"/>
      <c r="CF121" s="925"/>
      <c r="CG121" s="925"/>
      <c r="CH121" s="925"/>
      <c r="CI121" s="925"/>
      <c r="CJ121" s="925"/>
      <c r="CK121" s="925"/>
      <c r="CL121" s="925"/>
      <c r="CM121" s="925"/>
      <c r="CN121" s="925"/>
      <c r="CO121" s="925"/>
      <c r="CP121" s="925"/>
      <c r="CQ121" s="925"/>
      <c r="CR121" s="925"/>
      <c r="CS121" s="925"/>
      <c r="CT121" s="925"/>
      <c r="CU121" s="925"/>
      <c r="CV121" s="925"/>
      <c r="CW121" s="925"/>
      <c r="CX121" s="925"/>
      <c r="CY121" s="925"/>
      <c r="CZ121" s="925"/>
      <c r="DA121" s="925"/>
      <c r="DB121" s="925"/>
      <c r="DC121" s="925"/>
      <c r="DD121" s="925"/>
      <c r="DE121" s="925"/>
      <c r="DF121" s="925"/>
      <c r="DG121" s="925"/>
      <c r="DH121" s="925"/>
      <c r="DI121" s="925"/>
      <c r="DJ121" s="925"/>
      <c r="DK121" s="925"/>
      <c r="DL121" s="925"/>
      <c r="DM121" s="925"/>
      <c r="DN121" s="925"/>
      <c r="DO121" s="925"/>
      <c r="DP121" s="925"/>
      <c r="DQ121" s="925"/>
      <c r="DR121" s="925"/>
      <c r="DS121" s="925"/>
      <c r="DT121" s="925"/>
      <c r="DU121" s="925"/>
      <c r="DV121" s="925"/>
      <c r="DW121" s="925"/>
      <c r="DX121" s="925"/>
      <c r="DY121" s="925"/>
      <c r="DZ121" s="925"/>
      <c r="EA121" s="925"/>
      <c r="EB121" s="925"/>
      <c r="EC121" s="925"/>
      <c r="ED121" s="925"/>
      <c r="EE121" s="925"/>
      <c r="EF121" s="925"/>
      <c r="EG121" s="446"/>
    </row>
    <row r="122" spans="1:137" ht="13" x14ac:dyDescent="0.15">
      <c r="A122" s="917"/>
      <c r="B122" s="917"/>
      <c r="C122" s="918"/>
      <c r="D122" s="919"/>
      <c r="E122" s="920"/>
      <c r="F122" s="921"/>
      <c r="G122" s="922"/>
      <c r="H122" s="922"/>
      <c r="I122" s="922"/>
      <c r="J122" s="923"/>
      <c r="K122" s="923"/>
      <c r="L122" s="924"/>
      <c r="M122" s="925"/>
      <c r="N122" s="925"/>
      <c r="O122" s="925"/>
      <c r="P122" s="925"/>
      <c r="Q122" s="925"/>
      <c r="R122" s="926"/>
      <c r="S122" s="926"/>
      <c r="T122" s="925"/>
      <c r="U122" s="925"/>
      <c r="V122" s="925"/>
      <c r="W122" s="925"/>
      <c r="X122" s="925"/>
      <c r="Y122" s="925"/>
      <c r="Z122" s="925"/>
      <c r="AA122" s="925"/>
      <c r="AB122" s="925"/>
      <c r="AC122" s="925"/>
      <c r="AD122" s="925"/>
      <c r="AE122" s="925"/>
      <c r="AF122" s="925"/>
      <c r="AG122" s="925"/>
      <c r="AH122" s="925"/>
      <c r="AI122" s="925"/>
      <c r="AJ122" s="925"/>
      <c r="AK122" s="925"/>
      <c r="AL122" s="925"/>
      <c r="AM122" s="925"/>
      <c r="AN122" s="925"/>
      <c r="AO122" s="925"/>
      <c r="AP122" s="925"/>
      <c r="AQ122" s="925"/>
      <c r="AR122" s="925"/>
      <c r="AS122" s="925"/>
      <c r="AT122" s="925"/>
      <c r="AU122" s="925"/>
      <c r="AV122" s="925"/>
      <c r="AW122" s="925"/>
      <c r="AX122" s="925"/>
      <c r="AY122" s="925"/>
      <c r="AZ122" s="925"/>
      <c r="BA122" s="925"/>
      <c r="BB122" s="925"/>
      <c r="BC122" s="925"/>
      <c r="BD122" s="925"/>
      <c r="BE122" s="925"/>
      <c r="BF122" s="925"/>
      <c r="BG122" s="925"/>
      <c r="BH122" s="925"/>
      <c r="BI122" s="925"/>
      <c r="BJ122" s="925"/>
      <c r="BK122" s="925"/>
      <c r="BL122" s="925"/>
      <c r="BM122" s="925"/>
      <c r="BN122" s="925"/>
      <c r="BO122" s="925"/>
      <c r="BP122" s="925"/>
      <c r="BQ122" s="925"/>
      <c r="BR122" s="925"/>
      <c r="BS122" s="925"/>
      <c r="BT122" s="925"/>
      <c r="BU122" s="925"/>
      <c r="BV122" s="925"/>
      <c r="BW122" s="925"/>
      <c r="BX122" s="925"/>
      <c r="BY122" s="925"/>
      <c r="BZ122" s="925"/>
      <c r="CA122" s="925"/>
      <c r="CB122" s="925"/>
      <c r="CC122" s="925"/>
      <c r="CD122" s="925"/>
      <c r="CE122" s="925"/>
      <c r="CF122" s="925"/>
      <c r="CG122" s="925"/>
      <c r="CH122" s="925"/>
      <c r="CI122" s="925"/>
      <c r="CJ122" s="925"/>
      <c r="CK122" s="925"/>
      <c r="CL122" s="925"/>
      <c r="CM122" s="925"/>
      <c r="CN122" s="925"/>
      <c r="CO122" s="925"/>
      <c r="CP122" s="925"/>
      <c r="CQ122" s="925"/>
      <c r="CR122" s="925"/>
      <c r="CS122" s="925"/>
      <c r="CT122" s="925"/>
      <c r="CU122" s="925"/>
      <c r="CV122" s="925"/>
      <c r="CW122" s="925"/>
      <c r="CX122" s="925"/>
      <c r="CY122" s="925"/>
      <c r="CZ122" s="925"/>
      <c r="DA122" s="925"/>
      <c r="DB122" s="925"/>
      <c r="DC122" s="925"/>
      <c r="DD122" s="925"/>
      <c r="DE122" s="925"/>
      <c r="DF122" s="925"/>
      <c r="DG122" s="925"/>
      <c r="DH122" s="925"/>
      <c r="DI122" s="925"/>
      <c r="DJ122" s="925"/>
      <c r="DK122" s="925"/>
      <c r="DL122" s="925"/>
      <c r="DM122" s="925"/>
      <c r="DN122" s="925"/>
      <c r="DO122" s="925"/>
      <c r="DP122" s="925"/>
      <c r="DQ122" s="925"/>
      <c r="DR122" s="925"/>
      <c r="DS122" s="925"/>
      <c r="DT122" s="925"/>
      <c r="DU122" s="925"/>
      <c r="DV122" s="925"/>
      <c r="DW122" s="925"/>
      <c r="DX122" s="925"/>
      <c r="DY122" s="925"/>
      <c r="DZ122" s="925"/>
      <c r="EA122" s="925"/>
      <c r="EB122" s="925"/>
      <c r="EC122" s="925"/>
      <c r="ED122" s="925"/>
      <c r="EE122" s="925"/>
      <c r="EF122" s="925"/>
      <c r="EG122" s="446"/>
    </row>
    <row r="123" spans="1:137" ht="13" x14ac:dyDescent="0.15">
      <c r="A123" s="917"/>
      <c r="B123" s="917"/>
      <c r="C123" s="918"/>
      <c r="D123" s="919"/>
      <c r="E123" s="920"/>
      <c r="F123" s="921"/>
      <c r="G123" s="922"/>
      <c r="H123" s="922"/>
      <c r="I123" s="922"/>
      <c r="J123" s="923"/>
      <c r="K123" s="923"/>
      <c r="L123" s="924"/>
      <c r="M123" s="925"/>
      <c r="N123" s="925"/>
      <c r="O123" s="925"/>
      <c r="P123" s="925"/>
      <c r="Q123" s="925"/>
      <c r="R123" s="926"/>
      <c r="S123" s="926"/>
      <c r="T123" s="925"/>
      <c r="U123" s="925"/>
      <c r="V123" s="925"/>
      <c r="W123" s="925"/>
      <c r="X123" s="925"/>
      <c r="Y123" s="925"/>
      <c r="Z123" s="925"/>
      <c r="AA123" s="925"/>
      <c r="AB123" s="925"/>
      <c r="AC123" s="925"/>
      <c r="AD123" s="925"/>
      <c r="AE123" s="925"/>
      <c r="AF123" s="925"/>
      <c r="AG123" s="925"/>
      <c r="AH123" s="925"/>
      <c r="AI123" s="925"/>
      <c r="AJ123" s="925"/>
      <c r="AK123" s="925"/>
      <c r="AL123" s="925"/>
      <c r="AM123" s="925"/>
      <c r="AN123" s="925"/>
      <c r="AO123" s="925"/>
      <c r="AP123" s="925"/>
      <c r="AQ123" s="925"/>
      <c r="AR123" s="925"/>
      <c r="AS123" s="925"/>
      <c r="AT123" s="925"/>
      <c r="AU123" s="925"/>
      <c r="AV123" s="925"/>
      <c r="AW123" s="925"/>
      <c r="AX123" s="925"/>
      <c r="AY123" s="925"/>
      <c r="AZ123" s="925"/>
      <c r="BA123" s="925"/>
      <c r="BB123" s="925"/>
      <c r="BC123" s="925"/>
      <c r="BD123" s="925"/>
      <c r="BE123" s="925"/>
      <c r="BF123" s="925"/>
      <c r="BG123" s="925"/>
      <c r="BH123" s="925"/>
      <c r="BI123" s="925"/>
      <c r="BJ123" s="925"/>
      <c r="BK123" s="925"/>
      <c r="BL123" s="925"/>
      <c r="BM123" s="925"/>
      <c r="BN123" s="925"/>
      <c r="BO123" s="925"/>
      <c r="BP123" s="925"/>
      <c r="BQ123" s="925"/>
      <c r="BR123" s="925"/>
      <c r="BS123" s="925"/>
      <c r="BT123" s="925"/>
      <c r="BU123" s="925"/>
      <c r="BV123" s="925"/>
      <c r="BW123" s="925"/>
      <c r="BX123" s="925"/>
      <c r="BY123" s="925"/>
      <c r="BZ123" s="925"/>
      <c r="CA123" s="925"/>
      <c r="CB123" s="925"/>
      <c r="CC123" s="925"/>
      <c r="CD123" s="925"/>
      <c r="CE123" s="925"/>
      <c r="CF123" s="925"/>
      <c r="CG123" s="925"/>
      <c r="CH123" s="925"/>
      <c r="CI123" s="925"/>
      <c r="CJ123" s="925"/>
      <c r="CK123" s="925"/>
      <c r="CL123" s="925"/>
      <c r="CM123" s="925"/>
      <c r="CN123" s="925"/>
      <c r="CO123" s="925"/>
      <c r="CP123" s="925"/>
      <c r="CQ123" s="925"/>
      <c r="CR123" s="925"/>
      <c r="CS123" s="925"/>
      <c r="CT123" s="925"/>
      <c r="CU123" s="925"/>
      <c r="CV123" s="925"/>
      <c r="CW123" s="925"/>
      <c r="CX123" s="925"/>
      <c r="CY123" s="925"/>
      <c r="CZ123" s="925"/>
      <c r="DA123" s="925"/>
      <c r="DB123" s="925"/>
      <c r="DC123" s="925"/>
      <c r="DD123" s="925"/>
      <c r="DE123" s="925"/>
      <c r="DF123" s="925"/>
      <c r="DG123" s="925"/>
      <c r="DH123" s="925"/>
      <c r="DI123" s="925"/>
      <c r="DJ123" s="925"/>
      <c r="DK123" s="925"/>
      <c r="DL123" s="925"/>
      <c r="DM123" s="925"/>
      <c r="DN123" s="925"/>
      <c r="DO123" s="925"/>
      <c r="DP123" s="925"/>
      <c r="DQ123" s="925"/>
      <c r="DR123" s="925"/>
      <c r="DS123" s="925"/>
      <c r="DT123" s="925"/>
      <c r="DU123" s="925"/>
      <c r="DV123" s="925"/>
      <c r="DW123" s="925"/>
      <c r="DX123" s="925"/>
      <c r="DY123" s="925"/>
      <c r="DZ123" s="925"/>
      <c r="EA123" s="925"/>
      <c r="EB123" s="925"/>
      <c r="EC123" s="925"/>
      <c r="ED123" s="925"/>
      <c r="EE123" s="925"/>
      <c r="EF123" s="925"/>
      <c r="EG123" s="446"/>
    </row>
    <row r="124" spans="1:137" ht="13" x14ac:dyDescent="0.15">
      <c r="A124" s="917"/>
      <c r="B124" s="917"/>
      <c r="C124" s="918"/>
      <c r="D124" s="919"/>
      <c r="E124" s="920"/>
      <c r="F124" s="921"/>
      <c r="G124" s="922"/>
      <c r="H124" s="922"/>
      <c r="I124" s="922"/>
      <c r="J124" s="923"/>
      <c r="K124" s="923"/>
      <c r="L124" s="924"/>
      <c r="M124" s="925"/>
      <c r="N124" s="925"/>
      <c r="O124" s="925"/>
      <c r="P124" s="925"/>
      <c r="Q124" s="925"/>
      <c r="R124" s="926"/>
      <c r="S124" s="926"/>
      <c r="T124" s="925"/>
      <c r="U124" s="925"/>
      <c r="V124" s="925"/>
      <c r="W124" s="925"/>
      <c r="X124" s="925"/>
      <c r="Y124" s="925"/>
      <c r="Z124" s="925"/>
      <c r="AA124" s="925"/>
      <c r="AB124" s="925"/>
      <c r="AC124" s="925"/>
      <c r="AD124" s="925"/>
      <c r="AE124" s="925"/>
      <c r="AF124" s="925"/>
      <c r="AG124" s="925"/>
      <c r="AH124" s="925"/>
      <c r="AI124" s="925"/>
      <c r="AJ124" s="925"/>
      <c r="AK124" s="925"/>
      <c r="AL124" s="925"/>
      <c r="AM124" s="925"/>
      <c r="AN124" s="925"/>
      <c r="AO124" s="925"/>
      <c r="AP124" s="925"/>
      <c r="AQ124" s="925"/>
      <c r="AR124" s="925"/>
      <c r="AS124" s="925"/>
      <c r="AT124" s="925"/>
      <c r="AU124" s="925"/>
      <c r="AV124" s="925"/>
      <c r="AW124" s="925"/>
      <c r="AX124" s="925"/>
      <c r="AY124" s="925"/>
      <c r="AZ124" s="925"/>
      <c r="BA124" s="925"/>
      <c r="BB124" s="925"/>
      <c r="BC124" s="925"/>
      <c r="BD124" s="925"/>
      <c r="BE124" s="925"/>
      <c r="BF124" s="925"/>
      <c r="BG124" s="925"/>
      <c r="BH124" s="925"/>
      <c r="BI124" s="925"/>
      <c r="BJ124" s="925"/>
      <c r="BK124" s="925"/>
      <c r="BL124" s="925"/>
      <c r="BM124" s="925"/>
      <c r="BN124" s="925"/>
      <c r="BO124" s="925"/>
      <c r="BP124" s="925"/>
      <c r="BQ124" s="925"/>
      <c r="BR124" s="925"/>
      <c r="BS124" s="925"/>
      <c r="BT124" s="925"/>
      <c r="BU124" s="925"/>
      <c r="BV124" s="925"/>
      <c r="BW124" s="925"/>
      <c r="BX124" s="925"/>
      <c r="BY124" s="925"/>
      <c r="BZ124" s="925"/>
      <c r="CA124" s="925"/>
      <c r="CB124" s="925"/>
      <c r="CC124" s="925"/>
      <c r="CD124" s="925"/>
      <c r="CE124" s="925"/>
      <c r="CF124" s="925"/>
      <c r="CG124" s="925"/>
      <c r="CH124" s="925"/>
      <c r="CI124" s="925"/>
      <c r="CJ124" s="925"/>
      <c r="CK124" s="925"/>
      <c r="CL124" s="925"/>
      <c r="CM124" s="925"/>
      <c r="CN124" s="925"/>
      <c r="CO124" s="925"/>
      <c r="CP124" s="925"/>
      <c r="CQ124" s="925"/>
      <c r="CR124" s="925"/>
      <c r="CS124" s="925"/>
      <c r="CT124" s="925"/>
      <c r="CU124" s="925"/>
      <c r="CV124" s="925"/>
      <c r="CW124" s="925"/>
      <c r="CX124" s="925"/>
      <c r="CY124" s="925"/>
      <c r="CZ124" s="925"/>
      <c r="DA124" s="925"/>
      <c r="DB124" s="925"/>
      <c r="DC124" s="925"/>
      <c r="DD124" s="925"/>
      <c r="DE124" s="925"/>
      <c r="DF124" s="925"/>
      <c r="DG124" s="925"/>
      <c r="DH124" s="925"/>
      <c r="DI124" s="925"/>
      <c r="DJ124" s="925"/>
      <c r="DK124" s="925"/>
      <c r="DL124" s="925"/>
      <c r="DM124" s="925"/>
      <c r="DN124" s="925"/>
      <c r="DO124" s="925"/>
      <c r="DP124" s="925"/>
      <c r="DQ124" s="925"/>
      <c r="DR124" s="925"/>
      <c r="DS124" s="925"/>
      <c r="DT124" s="925"/>
      <c r="DU124" s="925"/>
      <c r="DV124" s="925"/>
      <c r="DW124" s="925"/>
      <c r="DX124" s="925"/>
      <c r="DY124" s="925"/>
      <c r="DZ124" s="925"/>
      <c r="EA124" s="925"/>
      <c r="EB124" s="925"/>
      <c r="EC124" s="925"/>
      <c r="ED124" s="925"/>
      <c r="EE124" s="925"/>
      <c r="EF124" s="925"/>
      <c r="EG124" s="446"/>
    </row>
    <row r="125" spans="1:137" ht="13" x14ac:dyDescent="0.15">
      <c r="A125" s="917"/>
      <c r="B125" s="917"/>
      <c r="C125" s="918"/>
      <c r="D125" s="919"/>
      <c r="E125" s="920"/>
      <c r="F125" s="921"/>
      <c r="G125" s="922"/>
      <c r="H125" s="922"/>
      <c r="I125" s="922"/>
      <c r="J125" s="923"/>
      <c r="K125" s="923"/>
      <c r="L125" s="924"/>
      <c r="M125" s="925"/>
      <c r="N125" s="925"/>
      <c r="O125" s="925"/>
      <c r="P125" s="925"/>
      <c r="Q125" s="925"/>
      <c r="R125" s="926"/>
      <c r="S125" s="926"/>
      <c r="T125" s="925"/>
      <c r="U125" s="925"/>
      <c r="V125" s="925"/>
      <c r="W125" s="925"/>
      <c r="X125" s="925"/>
      <c r="Y125" s="925"/>
      <c r="Z125" s="925"/>
      <c r="AA125" s="925"/>
      <c r="AB125" s="925"/>
      <c r="AC125" s="925"/>
      <c r="AD125" s="925"/>
      <c r="AE125" s="925"/>
      <c r="AF125" s="925"/>
      <c r="AG125" s="925"/>
      <c r="AH125" s="925"/>
      <c r="AI125" s="925"/>
      <c r="AJ125" s="925"/>
      <c r="AK125" s="925"/>
      <c r="AL125" s="925"/>
      <c r="AM125" s="925"/>
      <c r="AN125" s="925"/>
      <c r="AO125" s="925"/>
      <c r="AP125" s="925"/>
      <c r="AQ125" s="925"/>
      <c r="AR125" s="925"/>
      <c r="AS125" s="925"/>
      <c r="AT125" s="925"/>
      <c r="AU125" s="925"/>
      <c r="AV125" s="925"/>
      <c r="AW125" s="925"/>
      <c r="AX125" s="925"/>
      <c r="AY125" s="925"/>
      <c r="AZ125" s="925"/>
      <c r="BA125" s="925"/>
      <c r="BB125" s="925"/>
      <c r="BC125" s="925"/>
      <c r="BD125" s="925"/>
      <c r="BE125" s="925"/>
      <c r="BF125" s="925"/>
      <c r="BG125" s="925"/>
      <c r="BH125" s="925"/>
      <c r="BI125" s="925"/>
      <c r="BJ125" s="925"/>
      <c r="BK125" s="925"/>
      <c r="BL125" s="925"/>
      <c r="BM125" s="925"/>
      <c r="BN125" s="925"/>
      <c r="BO125" s="925"/>
      <c r="BP125" s="925"/>
      <c r="BQ125" s="925"/>
      <c r="BR125" s="925"/>
      <c r="BS125" s="925"/>
      <c r="BT125" s="925"/>
      <c r="BU125" s="925"/>
      <c r="BV125" s="925"/>
      <c r="BW125" s="925"/>
      <c r="BX125" s="925"/>
      <c r="BY125" s="925"/>
      <c r="BZ125" s="925"/>
      <c r="CA125" s="925"/>
      <c r="CB125" s="925"/>
      <c r="CC125" s="925"/>
      <c r="CD125" s="925"/>
      <c r="CE125" s="925"/>
      <c r="CF125" s="925"/>
      <c r="CG125" s="925"/>
      <c r="CH125" s="925"/>
      <c r="CI125" s="925"/>
      <c r="CJ125" s="925"/>
      <c r="CK125" s="925"/>
      <c r="CL125" s="925"/>
      <c r="CM125" s="925"/>
      <c r="CN125" s="925"/>
      <c r="CO125" s="925"/>
      <c r="CP125" s="925"/>
      <c r="CQ125" s="925"/>
      <c r="CR125" s="925"/>
      <c r="CS125" s="925"/>
      <c r="CT125" s="925"/>
      <c r="CU125" s="925"/>
      <c r="CV125" s="925"/>
      <c r="CW125" s="925"/>
      <c r="CX125" s="925"/>
      <c r="CY125" s="925"/>
      <c r="CZ125" s="925"/>
      <c r="DA125" s="925"/>
      <c r="DB125" s="925"/>
      <c r="DC125" s="925"/>
      <c r="DD125" s="925"/>
      <c r="DE125" s="925"/>
      <c r="DF125" s="925"/>
      <c r="DG125" s="925"/>
      <c r="DH125" s="925"/>
      <c r="DI125" s="925"/>
      <c r="DJ125" s="925"/>
      <c r="DK125" s="925"/>
      <c r="DL125" s="925"/>
      <c r="DM125" s="925"/>
      <c r="DN125" s="925"/>
      <c r="DO125" s="925"/>
      <c r="DP125" s="925"/>
      <c r="DQ125" s="925"/>
      <c r="DR125" s="925"/>
      <c r="DS125" s="925"/>
      <c r="DT125" s="925"/>
      <c r="DU125" s="925"/>
      <c r="DV125" s="925"/>
      <c r="DW125" s="925"/>
      <c r="DX125" s="925"/>
      <c r="DY125" s="925"/>
      <c r="DZ125" s="925"/>
      <c r="EA125" s="925"/>
      <c r="EB125" s="925"/>
      <c r="EC125" s="925"/>
      <c r="ED125" s="925"/>
      <c r="EE125" s="925"/>
      <c r="EF125" s="925"/>
      <c r="EG125" s="446"/>
    </row>
    <row r="126" spans="1:137" ht="13" x14ac:dyDescent="0.15">
      <c r="A126" s="917"/>
      <c r="B126" s="917"/>
      <c r="C126" s="918"/>
      <c r="D126" s="919"/>
      <c r="E126" s="920"/>
      <c r="F126" s="921"/>
      <c r="G126" s="922"/>
      <c r="H126" s="922"/>
      <c r="I126" s="922"/>
      <c r="J126" s="923"/>
      <c r="K126" s="923"/>
      <c r="L126" s="924"/>
      <c r="M126" s="925"/>
      <c r="N126" s="925"/>
      <c r="O126" s="925"/>
      <c r="P126" s="925"/>
      <c r="Q126" s="925"/>
      <c r="R126" s="926"/>
      <c r="S126" s="926"/>
      <c r="T126" s="925"/>
      <c r="U126" s="925"/>
      <c r="V126" s="925"/>
      <c r="W126" s="925"/>
      <c r="X126" s="925"/>
      <c r="Y126" s="925"/>
      <c r="Z126" s="925"/>
      <c r="AA126" s="925"/>
      <c r="AB126" s="925"/>
      <c r="AC126" s="925"/>
      <c r="AD126" s="925"/>
      <c r="AE126" s="925"/>
      <c r="AF126" s="925"/>
      <c r="AG126" s="925"/>
      <c r="AH126" s="925"/>
      <c r="AI126" s="925"/>
      <c r="AJ126" s="925"/>
      <c r="AK126" s="925"/>
      <c r="AL126" s="925"/>
      <c r="AM126" s="925"/>
      <c r="AN126" s="925"/>
      <c r="AO126" s="925"/>
      <c r="AP126" s="925"/>
      <c r="AQ126" s="925"/>
      <c r="AR126" s="925"/>
      <c r="AS126" s="925"/>
      <c r="AT126" s="925"/>
      <c r="AU126" s="925"/>
      <c r="AV126" s="925"/>
      <c r="AW126" s="925"/>
      <c r="AX126" s="925"/>
      <c r="AY126" s="925"/>
      <c r="AZ126" s="925"/>
      <c r="BA126" s="925"/>
      <c r="BB126" s="925"/>
      <c r="BC126" s="925"/>
      <c r="BD126" s="925"/>
      <c r="BE126" s="925"/>
      <c r="BF126" s="925"/>
      <c r="BG126" s="925"/>
      <c r="BH126" s="925"/>
      <c r="BI126" s="925"/>
      <c r="BJ126" s="925"/>
      <c r="BK126" s="925"/>
      <c r="BL126" s="925"/>
      <c r="BM126" s="925"/>
      <c r="BN126" s="925"/>
      <c r="BO126" s="925"/>
      <c r="BP126" s="925"/>
      <c r="BQ126" s="925"/>
      <c r="BR126" s="925"/>
      <c r="BS126" s="925"/>
      <c r="BT126" s="925"/>
      <c r="BU126" s="925"/>
      <c r="BV126" s="925"/>
      <c r="BW126" s="925"/>
      <c r="BX126" s="925"/>
      <c r="BY126" s="925"/>
      <c r="BZ126" s="925"/>
      <c r="CA126" s="925"/>
      <c r="CB126" s="925"/>
      <c r="CC126" s="925"/>
      <c r="CD126" s="925"/>
      <c r="CE126" s="925"/>
      <c r="CF126" s="925"/>
      <c r="CG126" s="925"/>
      <c r="CH126" s="925"/>
      <c r="CI126" s="925"/>
      <c r="CJ126" s="925"/>
      <c r="CK126" s="925"/>
      <c r="CL126" s="925"/>
      <c r="CM126" s="925"/>
      <c r="CN126" s="925"/>
      <c r="CO126" s="925"/>
      <c r="CP126" s="925"/>
      <c r="CQ126" s="925"/>
      <c r="CR126" s="925"/>
      <c r="CS126" s="925"/>
      <c r="CT126" s="925"/>
      <c r="CU126" s="925"/>
      <c r="CV126" s="925"/>
      <c r="CW126" s="925"/>
      <c r="CX126" s="925"/>
      <c r="CY126" s="925"/>
      <c r="CZ126" s="925"/>
      <c r="DA126" s="925"/>
      <c r="DB126" s="925"/>
      <c r="DC126" s="925"/>
      <c r="DD126" s="925"/>
      <c r="DE126" s="925"/>
      <c r="DF126" s="925"/>
      <c r="DG126" s="925"/>
      <c r="DH126" s="925"/>
      <c r="DI126" s="925"/>
      <c r="DJ126" s="925"/>
      <c r="DK126" s="925"/>
      <c r="DL126" s="925"/>
      <c r="DM126" s="925"/>
      <c r="DN126" s="925"/>
      <c r="DO126" s="925"/>
      <c r="DP126" s="925"/>
      <c r="DQ126" s="925"/>
      <c r="DR126" s="925"/>
      <c r="DS126" s="925"/>
      <c r="DT126" s="925"/>
      <c r="DU126" s="925"/>
      <c r="DV126" s="925"/>
      <c r="DW126" s="925"/>
      <c r="DX126" s="925"/>
      <c r="DY126" s="925"/>
      <c r="DZ126" s="925"/>
      <c r="EA126" s="925"/>
      <c r="EB126" s="925"/>
      <c r="EC126" s="925"/>
      <c r="ED126" s="925"/>
      <c r="EE126" s="925"/>
      <c r="EF126" s="925"/>
      <c r="EG126" s="446"/>
    </row>
    <row r="127" spans="1:137" ht="13" x14ac:dyDescent="0.15">
      <c r="A127" s="917"/>
      <c r="B127" s="917"/>
      <c r="C127" s="918"/>
      <c r="D127" s="919"/>
      <c r="E127" s="920"/>
      <c r="F127" s="921"/>
      <c r="G127" s="922"/>
      <c r="H127" s="922"/>
      <c r="I127" s="922"/>
      <c r="J127" s="923"/>
      <c r="K127" s="923"/>
      <c r="L127" s="924"/>
      <c r="M127" s="925"/>
      <c r="N127" s="925"/>
      <c r="O127" s="925"/>
      <c r="P127" s="925"/>
      <c r="Q127" s="925"/>
      <c r="R127" s="926"/>
      <c r="S127" s="926"/>
      <c r="T127" s="925"/>
      <c r="U127" s="925"/>
      <c r="V127" s="925"/>
      <c r="W127" s="925"/>
      <c r="X127" s="925"/>
      <c r="Y127" s="925"/>
      <c r="Z127" s="925"/>
      <c r="AA127" s="925"/>
      <c r="AB127" s="925"/>
      <c r="AC127" s="925"/>
      <c r="AD127" s="925"/>
      <c r="AE127" s="925"/>
      <c r="AF127" s="925"/>
      <c r="AG127" s="925"/>
      <c r="AH127" s="925"/>
      <c r="AI127" s="925"/>
      <c r="AJ127" s="925"/>
      <c r="AK127" s="925"/>
      <c r="AL127" s="925"/>
      <c r="AM127" s="925"/>
      <c r="AN127" s="925"/>
      <c r="AO127" s="925"/>
      <c r="AP127" s="925"/>
      <c r="AQ127" s="925"/>
      <c r="AR127" s="925"/>
      <c r="AS127" s="925"/>
      <c r="AT127" s="925"/>
      <c r="AU127" s="925"/>
      <c r="AV127" s="925"/>
      <c r="AW127" s="925"/>
      <c r="AX127" s="925"/>
      <c r="AY127" s="925"/>
      <c r="AZ127" s="925"/>
      <c r="BA127" s="925"/>
      <c r="BB127" s="925"/>
      <c r="BC127" s="925"/>
      <c r="BD127" s="925"/>
      <c r="BE127" s="925"/>
      <c r="BF127" s="925"/>
      <c r="BG127" s="925"/>
      <c r="BH127" s="925"/>
      <c r="BI127" s="925"/>
      <c r="BJ127" s="925"/>
      <c r="BK127" s="925"/>
      <c r="BL127" s="925"/>
      <c r="BM127" s="925"/>
      <c r="BN127" s="925"/>
      <c r="BO127" s="925"/>
      <c r="BP127" s="925"/>
      <c r="BQ127" s="925"/>
      <c r="BR127" s="925"/>
      <c r="BS127" s="925"/>
      <c r="BT127" s="925"/>
      <c r="BU127" s="925"/>
      <c r="BV127" s="925"/>
      <c r="BW127" s="925"/>
      <c r="BX127" s="925"/>
      <c r="BY127" s="925"/>
      <c r="BZ127" s="925"/>
      <c r="CA127" s="925"/>
      <c r="CB127" s="925"/>
      <c r="CC127" s="925"/>
      <c r="CD127" s="925"/>
      <c r="CE127" s="925"/>
      <c r="CF127" s="925"/>
      <c r="CG127" s="925"/>
      <c r="CH127" s="925"/>
      <c r="CI127" s="925"/>
      <c r="CJ127" s="925"/>
      <c r="CK127" s="925"/>
      <c r="CL127" s="925"/>
      <c r="CM127" s="925"/>
      <c r="CN127" s="925"/>
      <c r="CO127" s="925"/>
      <c r="CP127" s="925"/>
      <c r="CQ127" s="925"/>
      <c r="CR127" s="925"/>
      <c r="CS127" s="925"/>
      <c r="CT127" s="925"/>
      <c r="CU127" s="925"/>
      <c r="CV127" s="925"/>
      <c r="CW127" s="925"/>
      <c r="CX127" s="925"/>
      <c r="CY127" s="925"/>
      <c r="CZ127" s="925"/>
      <c r="DA127" s="925"/>
      <c r="DB127" s="925"/>
      <c r="DC127" s="925"/>
      <c r="DD127" s="925"/>
      <c r="DE127" s="925"/>
      <c r="DF127" s="925"/>
      <c r="DG127" s="925"/>
      <c r="DH127" s="925"/>
      <c r="DI127" s="925"/>
      <c r="DJ127" s="925"/>
      <c r="DK127" s="925"/>
      <c r="DL127" s="925"/>
      <c r="DM127" s="925"/>
      <c r="DN127" s="925"/>
      <c r="DO127" s="925"/>
      <c r="DP127" s="925"/>
      <c r="DQ127" s="925"/>
      <c r="DR127" s="925"/>
      <c r="DS127" s="925"/>
      <c r="DT127" s="925"/>
      <c r="DU127" s="925"/>
      <c r="DV127" s="925"/>
      <c r="DW127" s="925"/>
      <c r="DX127" s="925"/>
      <c r="DY127" s="925"/>
      <c r="DZ127" s="925"/>
      <c r="EA127" s="925"/>
      <c r="EB127" s="925"/>
      <c r="EC127" s="925"/>
      <c r="ED127" s="925"/>
      <c r="EE127" s="925"/>
      <c r="EF127" s="925"/>
      <c r="EG127" s="446"/>
    </row>
    <row r="128" spans="1:137" ht="13" x14ac:dyDescent="0.15">
      <c r="A128" s="917"/>
      <c r="B128" s="917"/>
      <c r="C128" s="918"/>
      <c r="D128" s="919"/>
      <c r="E128" s="920"/>
      <c r="F128" s="921"/>
      <c r="G128" s="922"/>
      <c r="H128" s="922"/>
      <c r="I128" s="922"/>
      <c r="J128" s="923"/>
      <c r="K128" s="923"/>
      <c r="L128" s="924"/>
      <c r="M128" s="925"/>
      <c r="N128" s="925"/>
      <c r="O128" s="925"/>
      <c r="P128" s="925"/>
      <c r="Q128" s="925"/>
      <c r="R128" s="926"/>
      <c r="S128" s="926"/>
      <c r="T128" s="925"/>
      <c r="U128" s="925"/>
      <c r="V128" s="925"/>
      <c r="W128" s="925"/>
      <c r="X128" s="925"/>
      <c r="Y128" s="925"/>
      <c r="Z128" s="925"/>
      <c r="AA128" s="925"/>
      <c r="AB128" s="925"/>
      <c r="AC128" s="925"/>
      <c r="AD128" s="925"/>
      <c r="AE128" s="925"/>
      <c r="AF128" s="925"/>
      <c r="AG128" s="925"/>
      <c r="AH128" s="925"/>
      <c r="AI128" s="925"/>
      <c r="AJ128" s="925"/>
      <c r="AK128" s="925"/>
      <c r="AL128" s="925"/>
      <c r="AM128" s="925"/>
      <c r="AN128" s="925"/>
      <c r="AO128" s="925"/>
      <c r="AP128" s="925"/>
      <c r="AQ128" s="925"/>
      <c r="AR128" s="925"/>
      <c r="AS128" s="925"/>
      <c r="AT128" s="925"/>
      <c r="AU128" s="925"/>
      <c r="AV128" s="925"/>
      <c r="AW128" s="925"/>
      <c r="AX128" s="925"/>
      <c r="AY128" s="925"/>
      <c r="AZ128" s="925"/>
      <c r="BA128" s="925"/>
      <c r="BB128" s="925"/>
      <c r="BC128" s="925"/>
      <c r="BD128" s="925"/>
      <c r="BE128" s="925"/>
      <c r="BF128" s="925"/>
      <c r="BG128" s="925"/>
      <c r="BH128" s="925"/>
      <c r="BI128" s="925"/>
      <c r="BJ128" s="925"/>
      <c r="BK128" s="925"/>
      <c r="BL128" s="925"/>
      <c r="BM128" s="925"/>
      <c r="BN128" s="925"/>
      <c r="BO128" s="925"/>
      <c r="BP128" s="925"/>
      <c r="BQ128" s="925"/>
      <c r="BR128" s="925"/>
      <c r="BS128" s="925"/>
      <c r="BT128" s="925"/>
      <c r="BU128" s="925"/>
      <c r="BV128" s="925"/>
      <c r="BW128" s="925"/>
      <c r="BX128" s="925"/>
      <c r="BY128" s="925"/>
      <c r="BZ128" s="925"/>
      <c r="CA128" s="925"/>
      <c r="CB128" s="925"/>
      <c r="CC128" s="925"/>
      <c r="CD128" s="925"/>
      <c r="CE128" s="925"/>
      <c r="CF128" s="925"/>
      <c r="CG128" s="925"/>
      <c r="CH128" s="925"/>
      <c r="CI128" s="925"/>
      <c r="CJ128" s="925"/>
      <c r="CK128" s="925"/>
      <c r="CL128" s="925"/>
      <c r="CM128" s="925"/>
      <c r="CN128" s="925"/>
      <c r="CO128" s="925"/>
      <c r="CP128" s="925"/>
      <c r="CQ128" s="925"/>
      <c r="CR128" s="925"/>
      <c r="CS128" s="925"/>
      <c r="CT128" s="925"/>
      <c r="CU128" s="925"/>
      <c r="CV128" s="925"/>
      <c r="CW128" s="925"/>
      <c r="CX128" s="925"/>
      <c r="CY128" s="925"/>
      <c r="CZ128" s="925"/>
      <c r="DA128" s="925"/>
      <c r="DB128" s="925"/>
      <c r="DC128" s="925"/>
      <c r="DD128" s="925"/>
      <c r="DE128" s="925"/>
      <c r="DF128" s="925"/>
      <c r="DG128" s="925"/>
      <c r="DH128" s="925"/>
      <c r="DI128" s="925"/>
      <c r="DJ128" s="925"/>
      <c r="DK128" s="925"/>
      <c r="DL128" s="925"/>
      <c r="DM128" s="925"/>
      <c r="DN128" s="925"/>
      <c r="DO128" s="925"/>
      <c r="DP128" s="925"/>
      <c r="DQ128" s="925"/>
      <c r="DR128" s="925"/>
      <c r="DS128" s="925"/>
      <c r="DT128" s="925"/>
      <c r="DU128" s="925"/>
      <c r="DV128" s="925"/>
      <c r="DW128" s="925"/>
      <c r="DX128" s="925"/>
      <c r="DY128" s="925"/>
      <c r="DZ128" s="925"/>
      <c r="EA128" s="925"/>
      <c r="EB128" s="925"/>
      <c r="EC128" s="925"/>
      <c r="ED128" s="925"/>
      <c r="EE128" s="925"/>
      <c r="EF128" s="925"/>
      <c r="EG128" s="446"/>
    </row>
    <row r="129" spans="1:137" ht="13" x14ac:dyDescent="0.15">
      <c r="A129" s="917"/>
      <c r="B129" s="917"/>
      <c r="C129" s="918"/>
      <c r="D129" s="919"/>
      <c r="E129" s="920"/>
      <c r="F129" s="921"/>
      <c r="G129" s="922"/>
      <c r="H129" s="922"/>
      <c r="I129" s="922"/>
      <c r="J129" s="923"/>
      <c r="K129" s="923"/>
      <c r="L129" s="924"/>
      <c r="M129" s="925"/>
      <c r="N129" s="925"/>
      <c r="O129" s="925"/>
      <c r="P129" s="925"/>
      <c r="Q129" s="925"/>
      <c r="R129" s="926"/>
      <c r="S129" s="926"/>
      <c r="T129" s="925"/>
      <c r="U129" s="925"/>
      <c r="V129" s="925"/>
      <c r="W129" s="925"/>
      <c r="X129" s="925"/>
      <c r="Y129" s="925"/>
      <c r="Z129" s="925"/>
      <c r="AA129" s="925"/>
      <c r="AB129" s="925"/>
      <c r="AC129" s="925"/>
      <c r="AD129" s="925"/>
      <c r="AE129" s="925"/>
      <c r="AF129" s="925"/>
      <c r="AG129" s="925"/>
      <c r="AH129" s="925"/>
      <c r="AI129" s="925"/>
      <c r="AJ129" s="925"/>
      <c r="AK129" s="925"/>
      <c r="AL129" s="925"/>
      <c r="AM129" s="925"/>
      <c r="AN129" s="925"/>
      <c r="AO129" s="925"/>
      <c r="AP129" s="925"/>
      <c r="AQ129" s="925"/>
      <c r="AR129" s="925"/>
      <c r="AS129" s="925"/>
      <c r="AT129" s="925"/>
      <c r="AU129" s="925"/>
      <c r="AV129" s="925"/>
      <c r="AW129" s="925"/>
      <c r="AX129" s="925"/>
      <c r="AY129" s="925"/>
      <c r="AZ129" s="925"/>
      <c r="BA129" s="925"/>
      <c r="BB129" s="925"/>
      <c r="BC129" s="925"/>
      <c r="BD129" s="925"/>
      <c r="BE129" s="925"/>
      <c r="BF129" s="925"/>
      <c r="BG129" s="925"/>
      <c r="BH129" s="925"/>
      <c r="BI129" s="925"/>
      <c r="BJ129" s="925"/>
      <c r="BK129" s="925"/>
      <c r="BL129" s="925"/>
      <c r="BM129" s="925"/>
      <c r="BN129" s="925"/>
      <c r="BO129" s="925"/>
      <c r="BP129" s="925"/>
      <c r="BQ129" s="925"/>
      <c r="BR129" s="925"/>
      <c r="BS129" s="925"/>
      <c r="BT129" s="925"/>
      <c r="BU129" s="925"/>
      <c r="BV129" s="925"/>
      <c r="BW129" s="925"/>
      <c r="BX129" s="925"/>
      <c r="BY129" s="925"/>
      <c r="BZ129" s="925"/>
      <c r="CA129" s="925"/>
      <c r="CB129" s="925"/>
      <c r="CC129" s="925"/>
      <c r="CD129" s="925"/>
      <c r="CE129" s="925"/>
      <c r="CF129" s="925"/>
      <c r="CG129" s="925"/>
      <c r="CH129" s="925"/>
      <c r="CI129" s="925"/>
      <c r="CJ129" s="925"/>
      <c r="CK129" s="925"/>
      <c r="CL129" s="925"/>
      <c r="CM129" s="925"/>
      <c r="CN129" s="925"/>
      <c r="CO129" s="925"/>
      <c r="CP129" s="925"/>
      <c r="CQ129" s="925"/>
      <c r="CR129" s="925"/>
      <c r="CS129" s="925"/>
      <c r="CT129" s="925"/>
      <c r="CU129" s="925"/>
      <c r="CV129" s="925"/>
      <c r="CW129" s="925"/>
      <c r="CX129" s="925"/>
      <c r="CY129" s="925"/>
      <c r="CZ129" s="925"/>
      <c r="DA129" s="925"/>
      <c r="DB129" s="925"/>
      <c r="DC129" s="925"/>
      <c r="DD129" s="925"/>
      <c r="DE129" s="925"/>
      <c r="DF129" s="925"/>
      <c r="DG129" s="925"/>
      <c r="DH129" s="925"/>
      <c r="DI129" s="925"/>
      <c r="DJ129" s="925"/>
      <c r="DK129" s="925"/>
      <c r="DL129" s="925"/>
      <c r="DM129" s="925"/>
      <c r="DN129" s="925"/>
      <c r="DO129" s="925"/>
      <c r="DP129" s="925"/>
      <c r="DQ129" s="925"/>
      <c r="DR129" s="925"/>
      <c r="DS129" s="925"/>
      <c r="DT129" s="925"/>
      <c r="DU129" s="925"/>
      <c r="DV129" s="925"/>
      <c r="DW129" s="925"/>
      <c r="DX129" s="925"/>
      <c r="DY129" s="925"/>
      <c r="DZ129" s="925"/>
      <c r="EA129" s="925"/>
      <c r="EB129" s="925"/>
      <c r="EC129" s="925"/>
      <c r="ED129" s="925"/>
      <c r="EE129" s="925"/>
      <c r="EF129" s="925"/>
      <c r="EG129" s="446"/>
    </row>
    <row r="130" spans="1:137" ht="13" x14ac:dyDescent="0.15">
      <c r="A130" s="917"/>
      <c r="B130" s="917"/>
      <c r="C130" s="918"/>
      <c r="D130" s="919"/>
      <c r="E130" s="920"/>
      <c r="F130" s="921"/>
      <c r="G130" s="922"/>
      <c r="H130" s="922"/>
      <c r="I130" s="922"/>
      <c r="J130" s="923"/>
      <c r="K130" s="923"/>
      <c r="L130" s="924"/>
      <c r="M130" s="925"/>
      <c r="N130" s="925"/>
      <c r="O130" s="925"/>
      <c r="P130" s="925"/>
      <c r="Q130" s="925"/>
      <c r="R130" s="926"/>
      <c r="S130" s="926"/>
      <c r="T130" s="925"/>
      <c r="U130" s="925"/>
      <c r="V130" s="925"/>
      <c r="W130" s="925"/>
      <c r="X130" s="925"/>
      <c r="Y130" s="925"/>
      <c r="Z130" s="925"/>
      <c r="AA130" s="925"/>
      <c r="AB130" s="925"/>
      <c r="AC130" s="925"/>
      <c r="AD130" s="925"/>
      <c r="AE130" s="925"/>
      <c r="AF130" s="925"/>
      <c r="AG130" s="925"/>
      <c r="AH130" s="925"/>
      <c r="AI130" s="925"/>
      <c r="AJ130" s="925"/>
      <c r="AK130" s="925"/>
      <c r="AL130" s="925"/>
      <c r="AM130" s="925"/>
      <c r="AN130" s="925"/>
      <c r="AO130" s="925"/>
      <c r="AP130" s="925"/>
      <c r="AQ130" s="925"/>
      <c r="AR130" s="925"/>
      <c r="AS130" s="925"/>
      <c r="AT130" s="925"/>
      <c r="AU130" s="925"/>
      <c r="AV130" s="925"/>
      <c r="AW130" s="925"/>
      <c r="AX130" s="925"/>
      <c r="AY130" s="925"/>
      <c r="AZ130" s="925"/>
      <c r="BA130" s="925"/>
      <c r="BB130" s="925"/>
      <c r="BC130" s="925"/>
      <c r="BD130" s="925"/>
      <c r="BE130" s="925"/>
      <c r="BF130" s="925"/>
      <c r="BG130" s="925"/>
      <c r="BH130" s="925"/>
      <c r="BI130" s="925"/>
      <c r="BJ130" s="925"/>
      <c r="BK130" s="925"/>
      <c r="BL130" s="925"/>
      <c r="BM130" s="925"/>
      <c r="BN130" s="925"/>
      <c r="BO130" s="925"/>
      <c r="BP130" s="925"/>
      <c r="BQ130" s="925"/>
      <c r="BR130" s="925"/>
      <c r="BS130" s="925"/>
      <c r="BT130" s="925"/>
      <c r="BU130" s="925"/>
      <c r="BV130" s="925"/>
      <c r="BW130" s="925"/>
      <c r="BX130" s="925"/>
      <c r="BY130" s="925"/>
      <c r="BZ130" s="925"/>
      <c r="CA130" s="925"/>
      <c r="CB130" s="925"/>
      <c r="CC130" s="925"/>
      <c r="CD130" s="925"/>
      <c r="CE130" s="925"/>
      <c r="CF130" s="925"/>
      <c r="CG130" s="925"/>
      <c r="CH130" s="925"/>
      <c r="CI130" s="925"/>
      <c r="CJ130" s="925"/>
      <c r="CK130" s="925"/>
      <c r="CL130" s="925"/>
      <c r="CM130" s="925"/>
      <c r="CN130" s="925"/>
      <c r="CO130" s="925"/>
      <c r="CP130" s="925"/>
      <c r="CQ130" s="925"/>
      <c r="CR130" s="925"/>
      <c r="CS130" s="925"/>
      <c r="CT130" s="925"/>
      <c r="CU130" s="925"/>
      <c r="CV130" s="925"/>
      <c r="CW130" s="925"/>
      <c r="CX130" s="925"/>
      <c r="CY130" s="925"/>
      <c r="CZ130" s="925"/>
      <c r="DA130" s="925"/>
      <c r="DB130" s="925"/>
      <c r="DC130" s="925"/>
      <c r="DD130" s="925"/>
      <c r="DE130" s="925"/>
      <c r="DF130" s="925"/>
      <c r="DG130" s="925"/>
      <c r="DH130" s="925"/>
      <c r="DI130" s="925"/>
      <c r="DJ130" s="925"/>
      <c r="DK130" s="925"/>
      <c r="DL130" s="925"/>
      <c r="DM130" s="925"/>
      <c r="DN130" s="925"/>
      <c r="DO130" s="925"/>
      <c r="DP130" s="925"/>
      <c r="DQ130" s="925"/>
      <c r="DR130" s="925"/>
      <c r="DS130" s="925"/>
      <c r="DT130" s="925"/>
      <c r="DU130" s="925"/>
      <c r="DV130" s="925"/>
      <c r="DW130" s="925"/>
      <c r="DX130" s="925"/>
      <c r="DY130" s="925"/>
      <c r="DZ130" s="925"/>
      <c r="EA130" s="925"/>
      <c r="EB130" s="925"/>
      <c r="EC130" s="925"/>
      <c r="ED130" s="925"/>
      <c r="EE130" s="925"/>
      <c r="EF130" s="925"/>
      <c r="EG130" s="446"/>
    </row>
    <row r="131" spans="1:137" ht="13" x14ac:dyDescent="0.15">
      <c r="A131" s="917"/>
      <c r="B131" s="917"/>
      <c r="C131" s="918"/>
      <c r="D131" s="919"/>
      <c r="E131" s="920"/>
      <c r="F131" s="921"/>
      <c r="G131" s="922"/>
      <c r="H131" s="922"/>
      <c r="I131" s="922"/>
      <c r="J131" s="923"/>
      <c r="K131" s="923"/>
      <c r="L131" s="924"/>
      <c r="M131" s="925"/>
      <c r="N131" s="925"/>
      <c r="O131" s="925"/>
      <c r="P131" s="925"/>
      <c r="Q131" s="925"/>
      <c r="R131" s="926"/>
      <c r="S131" s="926"/>
      <c r="T131" s="925"/>
      <c r="U131" s="925"/>
      <c r="V131" s="925"/>
      <c r="W131" s="925"/>
      <c r="X131" s="925"/>
      <c r="Y131" s="925"/>
      <c r="Z131" s="925"/>
      <c r="AA131" s="925"/>
      <c r="AB131" s="925"/>
      <c r="AC131" s="925"/>
      <c r="AD131" s="925"/>
      <c r="AE131" s="925"/>
      <c r="AF131" s="925"/>
      <c r="AG131" s="925"/>
      <c r="AH131" s="925"/>
      <c r="AI131" s="925"/>
      <c r="AJ131" s="925"/>
      <c r="AK131" s="925"/>
      <c r="AL131" s="925"/>
      <c r="AM131" s="925"/>
      <c r="AN131" s="925"/>
      <c r="AO131" s="925"/>
      <c r="AP131" s="925"/>
      <c r="AQ131" s="925"/>
      <c r="AR131" s="925"/>
      <c r="AS131" s="925"/>
      <c r="AT131" s="925"/>
      <c r="AU131" s="925"/>
      <c r="AV131" s="925"/>
      <c r="AW131" s="925"/>
      <c r="AX131" s="925"/>
      <c r="AY131" s="925"/>
      <c r="AZ131" s="925"/>
      <c r="BA131" s="925"/>
      <c r="BB131" s="925"/>
      <c r="BC131" s="925"/>
      <c r="BD131" s="925"/>
      <c r="BE131" s="925"/>
      <c r="BF131" s="925"/>
      <c r="BG131" s="925"/>
      <c r="BH131" s="925"/>
      <c r="BI131" s="925"/>
      <c r="BJ131" s="925"/>
      <c r="BK131" s="925"/>
      <c r="BL131" s="925"/>
      <c r="BM131" s="925"/>
      <c r="BN131" s="925"/>
      <c r="BO131" s="925"/>
      <c r="BP131" s="925"/>
      <c r="BQ131" s="925"/>
      <c r="BR131" s="925"/>
      <c r="BS131" s="925"/>
      <c r="BT131" s="925"/>
      <c r="BU131" s="925"/>
      <c r="BV131" s="925"/>
      <c r="BW131" s="925"/>
      <c r="BX131" s="925"/>
      <c r="BY131" s="925"/>
      <c r="BZ131" s="925"/>
      <c r="CA131" s="925"/>
      <c r="CB131" s="925"/>
      <c r="CC131" s="925"/>
      <c r="CD131" s="925"/>
      <c r="CE131" s="925"/>
      <c r="CF131" s="925"/>
      <c r="CG131" s="925"/>
      <c r="CH131" s="925"/>
      <c r="CI131" s="925"/>
      <c r="CJ131" s="925"/>
      <c r="CK131" s="925"/>
      <c r="CL131" s="925"/>
      <c r="CM131" s="925"/>
      <c r="CN131" s="925"/>
      <c r="CO131" s="925"/>
      <c r="CP131" s="925"/>
      <c r="CQ131" s="925"/>
      <c r="CR131" s="925"/>
      <c r="CS131" s="925"/>
      <c r="CT131" s="925"/>
      <c r="CU131" s="925"/>
      <c r="CV131" s="925"/>
      <c r="CW131" s="925"/>
      <c r="CX131" s="925"/>
      <c r="CY131" s="925"/>
      <c r="CZ131" s="925"/>
      <c r="DA131" s="925"/>
      <c r="DB131" s="925"/>
      <c r="DC131" s="925"/>
      <c r="DD131" s="925"/>
      <c r="DE131" s="925"/>
      <c r="DF131" s="925"/>
      <c r="DG131" s="925"/>
      <c r="DH131" s="925"/>
      <c r="DI131" s="925"/>
      <c r="DJ131" s="925"/>
      <c r="DK131" s="925"/>
      <c r="DL131" s="925"/>
      <c r="DM131" s="925"/>
      <c r="DN131" s="925"/>
      <c r="DO131" s="925"/>
      <c r="DP131" s="925"/>
      <c r="DQ131" s="925"/>
      <c r="DR131" s="925"/>
      <c r="DS131" s="925"/>
      <c r="DT131" s="925"/>
      <c r="DU131" s="925"/>
      <c r="DV131" s="925"/>
      <c r="DW131" s="925"/>
      <c r="DX131" s="925"/>
      <c r="DY131" s="925"/>
      <c r="DZ131" s="925"/>
      <c r="EA131" s="925"/>
      <c r="EB131" s="925"/>
      <c r="EC131" s="925"/>
      <c r="ED131" s="925"/>
      <c r="EE131" s="925"/>
      <c r="EF131" s="925"/>
      <c r="EG131" s="446"/>
    </row>
    <row r="132" spans="1:137" ht="13" x14ac:dyDescent="0.15">
      <c r="A132" s="917"/>
      <c r="B132" s="917"/>
      <c r="C132" s="918"/>
      <c r="D132" s="919"/>
      <c r="E132" s="920"/>
      <c r="F132" s="921"/>
      <c r="G132" s="922"/>
      <c r="H132" s="922"/>
      <c r="I132" s="922"/>
      <c r="J132" s="923"/>
      <c r="K132" s="923"/>
      <c r="L132" s="924"/>
      <c r="M132" s="925"/>
      <c r="N132" s="925"/>
      <c r="O132" s="925"/>
      <c r="P132" s="925"/>
      <c r="Q132" s="925"/>
      <c r="R132" s="926"/>
      <c r="S132" s="926"/>
      <c r="T132" s="925"/>
      <c r="U132" s="925"/>
      <c r="V132" s="925"/>
      <c r="W132" s="925"/>
      <c r="X132" s="925"/>
      <c r="Y132" s="925"/>
      <c r="Z132" s="925"/>
      <c r="AA132" s="925"/>
      <c r="AB132" s="925"/>
      <c r="AC132" s="925"/>
      <c r="AD132" s="925"/>
      <c r="AE132" s="925"/>
      <c r="AF132" s="925"/>
      <c r="AG132" s="925"/>
      <c r="AH132" s="925"/>
      <c r="AI132" s="925"/>
      <c r="AJ132" s="925"/>
      <c r="AK132" s="925"/>
      <c r="AL132" s="925"/>
      <c r="AM132" s="925"/>
      <c r="AN132" s="925"/>
      <c r="AO132" s="925"/>
      <c r="AP132" s="925"/>
      <c r="AQ132" s="925"/>
      <c r="AR132" s="925"/>
      <c r="AS132" s="925"/>
      <c r="AT132" s="925"/>
      <c r="AU132" s="925"/>
      <c r="AV132" s="925"/>
      <c r="AW132" s="925"/>
      <c r="AX132" s="925"/>
      <c r="AY132" s="925"/>
      <c r="AZ132" s="925"/>
      <c r="BA132" s="925"/>
      <c r="BB132" s="925"/>
      <c r="BC132" s="925"/>
      <c r="BD132" s="925"/>
      <c r="BE132" s="925"/>
      <c r="BF132" s="925"/>
      <c r="BG132" s="925"/>
      <c r="BH132" s="925"/>
      <c r="BI132" s="925"/>
      <c r="BJ132" s="925"/>
      <c r="BK132" s="925"/>
      <c r="BL132" s="925"/>
      <c r="BM132" s="925"/>
      <c r="BN132" s="925"/>
      <c r="BO132" s="925"/>
      <c r="BP132" s="925"/>
      <c r="BQ132" s="925"/>
      <c r="BR132" s="925"/>
      <c r="BS132" s="925"/>
      <c r="BT132" s="925"/>
      <c r="BU132" s="925"/>
      <c r="BV132" s="925"/>
      <c r="BW132" s="925"/>
      <c r="BX132" s="925"/>
      <c r="BY132" s="925"/>
      <c r="BZ132" s="925"/>
      <c r="CA132" s="925"/>
      <c r="CB132" s="925"/>
      <c r="CC132" s="925"/>
      <c r="CD132" s="925"/>
      <c r="CE132" s="925"/>
      <c r="CF132" s="925"/>
      <c r="CG132" s="925"/>
      <c r="CH132" s="925"/>
      <c r="CI132" s="925"/>
      <c r="CJ132" s="925"/>
      <c r="CK132" s="925"/>
      <c r="CL132" s="925"/>
      <c r="CM132" s="925"/>
      <c r="CN132" s="925"/>
      <c r="CO132" s="925"/>
      <c r="CP132" s="925"/>
      <c r="CQ132" s="925"/>
      <c r="CR132" s="925"/>
      <c r="CS132" s="925"/>
      <c r="CT132" s="925"/>
      <c r="CU132" s="925"/>
      <c r="CV132" s="925"/>
      <c r="CW132" s="925"/>
      <c r="CX132" s="925"/>
      <c r="CY132" s="925"/>
      <c r="CZ132" s="925"/>
      <c r="DA132" s="925"/>
      <c r="DB132" s="925"/>
      <c r="DC132" s="925"/>
      <c r="DD132" s="925"/>
      <c r="DE132" s="925"/>
      <c r="DF132" s="925"/>
      <c r="DG132" s="925"/>
      <c r="DH132" s="925"/>
      <c r="DI132" s="925"/>
      <c r="DJ132" s="925"/>
      <c r="DK132" s="925"/>
      <c r="DL132" s="925"/>
      <c r="DM132" s="925"/>
      <c r="DN132" s="925"/>
      <c r="DO132" s="925"/>
      <c r="DP132" s="925"/>
      <c r="DQ132" s="925"/>
      <c r="DR132" s="925"/>
      <c r="DS132" s="925"/>
      <c r="DT132" s="925"/>
      <c r="DU132" s="925"/>
      <c r="DV132" s="925"/>
      <c r="DW132" s="925"/>
      <c r="DX132" s="925"/>
      <c r="DY132" s="925"/>
      <c r="DZ132" s="925"/>
      <c r="EA132" s="925"/>
      <c r="EB132" s="925"/>
      <c r="EC132" s="925"/>
      <c r="ED132" s="925"/>
      <c r="EE132" s="925"/>
      <c r="EF132" s="925"/>
      <c r="EG132" s="446"/>
    </row>
    <row r="133" spans="1:137" ht="13" x14ac:dyDescent="0.15">
      <c r="A133" s="917"/>
      <c r="B133" s="917"/>
      <c r="C133" s="918"/>
      <c r="D133" s="919"/>
      <c r="E133" s="920"/>
      <c r="F133" s="921"/>
      <c r="G133" s="922"/>
      <c r="H133" s="922"/>
      <c r="I133" s="922"/>
      <c r="J133" s="923"/>
      <c r="K133" s="923"/>
      <c r="L133" s="924"/>
      <c r="M133" s="925"/>
      <c r="N133" s="925"/>
      <c r="O133" s="925"/>
      <c r="P133" s="925"/>
      <c r="Q133" s="925"/>
      <c r="R133" s="926"/>
      <c r="S133" s="926"/>
      <c r="T133" s="925"/>
      <c r="U133" s="925"/>
      <c r="V133" s="925"/>
      <c r="W133" s="925"/>
      <c r="X133" s="925"/>
      <c r="Y133" s="925"/>
      <c r="Z133" s="925"/>
      <c r="AA133" s="925"/>
      <c r="AB133" s="925"/>
      <c r="AC133" s="925"/>
      <c r="AD133" s="925"/>
      <c r="AE133" s="925"/>
      <c r="AF133" s="925"/>
      <c r="AG133" s="925"/>
      <c r="AH133" s="925"/>
      <c r="AI133" s="925"/>
      <c r="AJ133" s="925"/>
      <c r="AK133" s="925"/>
      <c r="AL133" s="925"/>
      <c r="AM133" s="925"/>
      <c r="AN133" s="925"/>
      <c r="AO133" s="925"/>
      <c r="AP133" s="925"/>
      <c r="AQ133" s="925"/>
      <c r="AR133" s="925"/>
      <c r="AS133" s="925"/>
      <c r="AT133" s="925"/>
      <c r="AU133" s="925"/>
      <c r="AV133" s="925"/>
      <c r="AW133" s="925"/>
      <c r="AX133" s="925"/>
      <c r="AY133" s="925"/>
      <c r="AZ133" s="925"/>
      <c r="BA133" s="925"/>
      <c r="BB133" s="925"/>
      <c r="BC133" s="925"/>
      <c r="BD133" s="925"/>
      <c r="BE133" s="925"/>
      <c r="BF133" s="925"/>
      <c r="BG133" s="925"/>
      <c r="BH133" s="925"/>
      <c r="BI133" s="925"/>
      <c r="BJ133" s="925"/>
      <c r="BK133" s="925"/>
      <c r="BL133" s="925"/>
      <c r="BM133" s="925"/>
      <c r="BN133" s="925"/>
      <c r="BO133" s="925"/>
      <c r="BP133" s="925"/>
      <c r="BQ133" s="925"/>
      <c r="BR133" s="925"/>
      <c r="BS133" s="925"/>
      <c r="BT133" s="925"/>
      <c r="BU133" s="925"/>
      <c r="BV133" s="925"/>
      <c r="BW133" s="925"/>
      <c r="BX133" s="925"/>
      <c r="BY133" s="925"/>
      <c r="BZ133" s="925"/>
      <c r="CA133" s="925"/>
      <c r="CB133" s="925"/>
      <c r="CC133" s="925"/>
      <c r="CD133" s="925"/>
      <c r="CE133" s="925"/>
      <c r="CF133" s="925"/>
      <c r="CG133" s="925"/>
      <c r="CH133" s="925"/>
      <c r="CI133" s="925"/>
      <c r="CJ133" s="925"/>
      <c r="CK133" s="925"/>
      <c r="CL133" s="925"/>
      <c r="CM133" s="925"/>
      <c r="CN133" s="925"/>
      <c r="CO133" s="925"/>
      <c r="CP133" s="925"/>
      <c r="CQ133" s="925"/>
      <c r="CR133" s="925"/>
      <c r="CS133" s="925"/>
      <c r="CT133" s="925"/>
      <c r="CU133" s="925"/>
      <c r="CV133" s="925"/>
      <c r="CW133" s="925"/>
      <c r="CX133" s="925"/>
      <c r="CY133" s="925"/>
      <c r="CZ133" s="925"/>
      <c r="DA133" s="925"/>
      <c r="DB133" s="925"/>
      <c r="DC133" s="925"/>
      <c r="DD133" s="925"/>
      <c r="DE133" s="925"/>
      <c r="DF133" s="925"/>
      <c r="DG133" s="925"/>
      <c r="DH133" s="925"/>
      <c r="DI133" s="925"/>
      <c r="DJ133" s="925"/>
      <c r="DK133" s="925"/>
      <c r="DL133" s="925"/>
      <c r="DM133" s="925"/>
      <c r="DN133" s="925"/>
      <c r="DO133" s="925"/>
      <c r="DP133" s="925"/>
      <c r="DQ133" s="925"/>
      <c r="DR133" s="925"/>
      <c r="DS133" s="925"/>
      <c r="DT133" s="925"/>
      <c r="DU133" s="925"/>
      <c r="DV133" s="925"/>
      <c r="DW133" s="925"/>
      <c r="DX133" s="925"/>
      <c r="DY133" s="925"/>
      <c r="DZ133" s="925"/>
      <c r="EA133" s="925"/>
      <c r="EB133" s="925"/>
      <c r="EC133" s="925"/>
      <c r="ED133" s="925"/>
      <c r="EE133" s="925"/>
      <c r="EF133" s="925"/>
      <c r="EG133" s="446"/>
    </row>
    <row r="134" spans="1:137" ht="13" x14ac:dyDescent="0.15">
      <c r="A134" s="917"/>
      <c r="B134" s="917"/>
      <c r="C134" s="918"/>
      <c r="D134" s="919"/>
      <c r="E134" s="920"/>
      <c r="F134" s="921"/>
      <c r="G134" s="922"/>
      <c r="H134" s="922"/>
      <c r="I134" s="922"/>
      <c r="J134" s="923"/>
      <c r="K134" s="923"/>
      <c r="L134" s="924"/>
      <c r="M134" s="925"/>
      <c r="N134" s="925"/>
      <c r="O134" s="925"/>
      <c r="P134" s="925"/>
      <c r="Q134" s="925"/>
      <c r="R134" s="926"/>
      <c r="S134" s="926"/>
      <c r="T134" s="925"/>
      <c r="U134" s="925"/>
      <c r="V134" s="925"/>
      <c r="W134" s="925"/>
      <c r="X134" s="925"/>
      <c r="Y134" s="925"/>
      <c r="Z134" s="925"/>
      <c r="AA134" s="925"/>
      <c r="AB134" s="925"/>
      <c r="AC134" s="925"/>
      <c r="AD134" s="925"/>
      <c r="AE134" s="925"/>
      <c r="AF134" s="925"/>
      <c r="AG134" s="925"/>
      <c r="AH134" s="925"/>
      <c r="AI134" s="925"/>
      <c r="AJ134" s="925"/>
      <c r="AK134" s="925"/>
      <c r="AL134" s="925"/>
      <c r="AM134" s="925"/>
      <c r="AN134" s="925"/>
      <c r="AO134" s="925"/>
      <c r="AP134" s="925"/>
      <c r="AQ134" s="925"/>
      <c r="AR134" s="925"/>
      <c r="AS134" s="925"/>
      <c r="AT134" s="925"/>
      <c r="AU134" s="925"/>
      <c r="AV134" s="925"/>
      <c r="AW134" s="925"/>
      <c r="AX134" s="925"/>
      <c r="AY134" s="925"/>
      <c r="AZ134" s="925"/>
      <c r="BA134" s="925"/>
      <c r="BB134" s="925"/>
      <c r="BC134" s="925"/>
      <c r="BD134" s="925"/>
      <c r="BE134" s="925"/>
      <c r="BF134" s="925"/>
      <c r="BG134" s="925"/>
      <c r="BH134" s="925"/>
      <c r="BI134" s="925"/>
      <c r="BJ134" s="925"/>
      <c r="BK134" s="925"/>
      <c r="BL134" s="925"/>
      <c r="BM134" s="925"/>
      <c r="BN134" s="925"/>
      <c r="BO134" s="925"/>
      <c r="BP134" s="925"/>
      <c r="BQ134" s="925"/>
      <c r="BR134" s="925"/>
      <c r="BS134" s="925"/>
      <c r="BT134" s="925"/>
      <c r="BU134" s="925"/>
      <c r="BV134" s="925"/>
      <c r="BW134" s="925"/>
      <c r="BX134" s="925"/>
      <c r="BY134" s="925"/>
      <c r="BZ134" s="925"/>
      <c r="CA134" s="925"/>
      <c r="CB134" s="925"/>
      <c r="CC134" s="925"/>
      <c r="CD134" s="925"/>
      <c r="CE134" s="925"/>
      <c r="CF134" s="925"/>
      <c r="CG134" s="925"/>
      <c r="CH134" s="925"/>
      <c r="CI134" s="925"/>
      <c r="CJ134" s="925"/>
      <c r="CK134" s="925"/>
      <c r="CL134" s="925"/>
      <c r="CM134" s="925"/>
      <c r="CN134" s="925"/>
      <c r="CO134" s="925"/>
      <c r="CP134" s="925"/>
      <c r="CQ134" s="925"/>
      <c r="CR134" s="925"/>
      <c r="CS134" s="925"/>
      <c r="CT134" s="925"/>
      <c r="CU134" s="925"/>
      <c r="CV134" s="925"/>
      <c r="CW134" s="925"/>
      <c r="CX134" s="925"/>
      <c r="CY134" s="925"/>
      <c r="CZ134" s="925"/>
      <c r="DA134" s="925"/>
      <c r="DB134" s="925"/>
      <c r="DC134" s="925"/>
      <c r="DD134" s="925"/>
      <c r="DE134" s="925"/>
      <c r="DF134" s="925"/>
      <c r="DG134" s="925"/>
      <c r="DH134" s="925"/>
      <c r="DI134" s="925"/>
      <c r="DJ134" s="925"/>
      <c r="DK134" s="925"/>
      <c r="DL134" s="925"/>
      <c r="DM134" s="925"/>
      <c r="DN134" s="925"/>
      <c r="DO134" s="925"/>
      <c r="DP134" s="925"/>
      <c r="DQ134" s="925"/>
      <c r="DR134" s="925"/>
      <c r="DS134" s="925"/>
      <c r="DT134" s="925"/>
      <c r="DU134" s="925"/>
      <c r="DV134" s="925"/>
      <c r="DW134" s="925"/>
      <c r="DX134" s="925"/>
      <c r="DY134" s="925"/>
      <c r="DZ134" s="925"/>
      <c r="EA134" s="925"/>
      <c r="EB134" s="925"/>
      <c r="EC134" s="925"/>
      <c r="ED134" s="925"/>
      <c r="EE134" s="925"/>
      <c r="EF134" s="925"/>
      <c r="EG134" s="446"/>
    </row>
    <row r="135" spans="1:137" ht="13" x14ac:dyDescent="0.15">
      <c r="A135" s="917"/>
      <c r="B135" s="917"/>
      <c r="C135" s="918"/>
      <c r="D135" s="919"/>
      <c r="E135" s="920"/>
      <c r="F135" s="921"/>
      <c r="G135" s="922"/>
      <c r="H135" s="922"/>
      <c r="I135" s="922"/>
      <c r="J135" s="923"/>
      <c r="K135" s="923"/>
      <c r="L135" s="924"/>
      <c r="M135" s="925"/>
      <c r="N135" s="925"/>
      <c r="O135" s="925"/>
      <c r="P135" s="925"/>
      <c r="Q135" s="925"/>
      <c r="R135" s="926"/>
      <c r="S135" s="926"/>
      <c r="T135" s="925"/>
      <c r="U135" s="925"/>
      <c r="V135" s="925"/>
      <c r="W135" s="925"/>
      <c r="X135" s="925"/>
      <c r="Y135" s="925"/>
      <c r="Z135" s="925"/>
      <c r="AA135" s="925"/>
      <c r="AB135" s="925"/>
      <c r="AC135" s="925"/>
      <c r="AD135" s="925"/>
      <c r="AE135" s="925"/>
      <c r="AF135" s="925"/>
      <c r="AG135" s="925"/>
      <c r="AH135" s="925"/>
      <c r="AI135" s="925"/>
      <c r="AJ135" s="925"/>
      <c r="AK135" s="925"/>
      <c r="AL135" s="925"/>
      <c r="AM135" s="925"/>
      <c r="AN135" s="925"/>
      <c r="AO135" s="925"/>
      <c r="AP135" s="925"/>
      <c r="AQ135" s="925"/>
      <c r="AR135" s="925"/>
      <c r="AS135" s="925"/>
      <c r="AT135" s="925"/>
      <c r="AU135" s="925"/>
      <c r="AV135" s="925"/>
      <c r="AW135" s="925"/>
      <c r="AX135" s="925"/>
      <c r="AY135" s="925"/>
      <c r="AZ135" s="925"/>
      <c r="BA135" s="925"/>
      <c r="BB135" s="925"/>
      <c r="BC135" s="925"/>
      <c r="BD135" s="925"/>
      <c r="BE135" s="925"/>
      <c r="BF135" s="925"/>
      <c r="BG135" s="925"/>
      <c r="BH135" s="925"/>
      <c r="BI135" s="925"/>
      <c r="BJ135" s="925"/>
      <c r="BK135" s="925"/>
      <c r="BL135" s="925"/>
      <c r="BM135" s="925"/>
      <c r="BN135" s="925"/>
      <c r="BO135" s="925"/>
      <c r="BP135" s="925"/>
      <c r="BQ135" s="925"/>
      <c r="BR135" s="925"/>
      <c r="BS135" s="925"/>
      <c r="BT135" s="925"/>
      <c r="BU135" s="925"/>
      <c r="BV135" s="925"/>
      <c r="BW135" s="925"/>
      <c r="BX135" s="925"/>
      <c r="BY135" s="925"/>
      <c r="BZ135" s="925"/>
      <c r="CA135" s="925"/>
      <c r="CB135" s="925"/>
      <c r="CC135" s="925"/>
      <c r="CD135" s="925"/>
      <c r="CE135" s="925"/>
      <c r="CF135" s="925"/>
      <c r="CG135" s="925"/>
      <c r="CH135" s="925"/>
      <c r="CI135" s="925"/>
      <c r="CJ135" s="925"/>
      <c r="CK135" s="925"/>
      <c r="CL135" s="925"/>
      <c r="CM135" s="925"/>
      <c r="CN135" s="925"/>
      <c r="CO135" s="925"/>
      <c r="CP135" s="925"/>
      <c r="CQ135" s="925"/>
      <c r="CR135" s="925"/>
      <c r="CS135" s="925"/>
      <c r="CT135" s="925"/>
      <c r="CU135" s="925"/>
      <c r="CV135" s="925"/>
      <c r="CW135" s="925"/>
      <c r="CX135" s="925"/>
      <c r="CY135" s="925"/>
      <c r="CZ135" s="925"/>
      <c r="DA135" s="925"/>
      <c r="DB135" s="925"/>
      <c r="DC135" s="925"/>
      <c r="DD135" s="925"/>
      <c r="DE135" s="925"/>
      <c r="DF135" s="925"/>
      <c r="DG135" s="925"/>
      <c r="DH135" s="925"/>
      <c r="DI135" s="925"/>
      <c r="DJ135" s="925"/>
      <c r="DK135" s="925"/>
      <c r="DL135" s="925"/>
      <c r="DM135" s="925"/>
      <c r="DN135" s="925"/>
      <c r="DO135" s="925"/>
      <c r="DP135" s="925"/>
      <c r="DQ135" s="925"/>
      <c r="DR135" s="925"/>
      <c r="DS135" s="925"/>
      <c r="DT135" s="925"/>
      <c r="DU135" s="925"/>
      <c r="DV135" s="925"/>
      <c r="DW135" s="925"/>
      <c r="DX135" s="925"/>
      <c r="DY135" s="925"/>
      <c r="DZ135" s="925"/>
      <c r="EA135" s="925"/>
      <c r="EB135" s="925"/>
      <c r="EC135" s="925"/>
      <c r="ED135" s="925"/>
      <c r="EE135" s="925"/>
      <c r="EF135" s="925"/>
      <c r="EG135" s="446"/>
    </row>
    <row r="136" spans="1:137" ht="13" x14ac:dyDescent="0.15">
      <c r="A136" s="917"/>
      <c r="B136" s="917"/>
      <c r="C136" s="918"/>
      <c r="D136" s="919"/>
      <c r="E136" s="920"/>
      <c r="F136" s="921"/>
      <c r="G136" s="922"/>
      <c r="H136" s="922"/>
      <c r="I136" s="922"/>
      <c r="J136" s="923"/>
      <c r="K136" s="923"/>
      <c r="L136" s="924"/>
      <c r="M136" s="925"/>
      <c r="N136" s="925"/>
      <c r="O136" s="925"/>
      <c r="P136" s="925"/>
      <c r="Q136" s="925"/>
      <c r="R136" s="926"/>
      <c r="S136" s="926"/>
      <c r="T136" s="925"/>
      <c r="U136" s="925"/>
      <c r="V136" s="925"/>
      <c r="W136" s="925"/>
      <c r="X136" s="925"/>
      <c r="Y136" s="925"/>
      <c r="Z136" s="925"/>
      <c r="AA136" s="925"/>
      <c r="AB136" s="925"/>
      <c r="AC136" s="925"/>
      <c r="AD136" s="925"/>
      <c r="AE136" s="925"/>
      <c r="AF136" s="925"/>
      <c r="AG136" s="925"/>
      <c r="AH136" s="925"/>
      <c r="AI136" s="925"/>
      <c r="AJ136" s="925"/>
      <c r="AK136" s="925"/>
      <c r="AL136" s="925"/>
      <c r="AM136" s="925"/>
      <c r="AN136" s="925"/>
      <c r="AO136" s="925"/>
      <c r="AP136" s="925"/>
      <c r="AQ136" s="925"/>
      <c r="AR136" s="925"/>
      <c r="AS136" s="925"/>
      <c r="AT136" s="925"/>
      <c r="AU136" s="925"/>
      <c r="AV136" s="925"/>
      <c r="AW136" s="925"/>
      <c r="AX136" s="925"/>
      <c r="AY136" s="925"/>
      <c r="AZ136" s="925"/>
      <c r="BA136" s="925"/>
      <c r="BB136" s="925"/>
      <c r="BC136" s="925"/>
      <c r="BD136" s="925"/>
      <c r="BE136" s="925"/>
      <c r="BF136" s="925"/>
      <c r="BG136" s="925"/>
      <c r="BH136" s="925"/>
      <c r="BI136" s="925"/>
      <c r="BJ136" s="925"/>
      <c r="BK136" s="925"/>
      <c r="BL136" s="925"/>
      <c r="BM136" s="925"/>
      <c r="BN136" s="925"/>
      <c r="BO136" s="925"/>
      <c r="BP136" s="925"/>
      <c r="BQ136" s="925"/>
      <c r="BR136" s="925"/>
      <c r="BS136" s="925"/>
      <c r="BT136" s="925"/>
      <c r="BU136" s="925"/>
      <c r="BV136" s="925"/>
      <c r="BW136" s="925"/>
      <c r="BX136" s="925"/>
      <c r="BY136" s="925"/>
      <c r="BZ136" s="925"/>
      <c r="CA136" s="925"/>
      <c r="CB136" s="925"/>
      <c r="CC136" s="925"/>
      <c r="CD136" s="925"/>
      <c r="CE136" s="925"/>
      <c r="CF136" s="925"/>
      <c r="CG136" s="925"/>
      <c r="CH136" s="925"/>
      <c r="CI136" s="925"/>
      <c r="CJ136" s="925"/>
      <c r="CK136" s="925"/>
      <c r="CL136" s="925"/>
      <c r="CM136" s="925"/>
      <c r="CN136" s="925"/>
      <c r="CO136" s="925"/>
      <c r="CP136" s="925"/>
      <c r="CQ136" s="925"/>
      <c r="CR136" s="925"/>
      <c r="CS136" s="925"/>
      <c r="CT136" s="925"/>
      <c r="CU136" s="925"/>
      <c r="CV136" s="925"/>
      <c r="CW136" s="925"/>
      <c r="CX136" s="925"/>
      <c r="CY136" s="925"/>
      <c r="CZ136" s="925"/>
      <c r="DA136" s="925"/>
      <c r="DB136" s="925"/>
      <c r="DC136" s="925"/>
      <c r="DD136" s="925"/>
      <c r="DE136" s="925"/>
      <c r="DF136" s="925"/>
      <c r="DG136" s="925"/>
      <c r="DH136" s="925"/>
      <c r="DI136" s="925"/>
      <c r="DJ136" s="925"/>
      <c r="DK136" s="925"/>
      <c r="DL136" s="925"/>
      <c r="DM136" s="925"/>
      <c r="DN136" s="925"/>
      <c r="DO136" s="925"/>
      <c r="DP136" s="925"/>
      <c r="DQ136" s="925"/>
      <c r="DR136" s="925"/>
      <c r="DS136" s="925"/>
      <c r="DT136" s="925"/>
      <c r="DU136" s="925"/>
      <c r="DV136" s="925"/>
      <c r="DW136" s="925"/>
      <c r="DX136" s="925"/>
      <c r="DY136" s="925"/>
      <c r="DZ136" s="925"/>
      <c r="EA136" s="925"/>
      <c r="EB136" s="925"/>
      <c r="EC136" s="925"/>
      <c r="ED136" s="925"/>
      <c r="EE136" s="925"/>
      <c r="EF136" s="925"/>
      <c r="EG136" s="446"/>
    </row>
    <row r="137" spans="1:137" ht="13" x14ac:dyDescent="0.15">
      <c r="A137" s="917"/>
      <c r="B137" s="917"/>
      <c r="C137" s="918"/>
      <c r="D137" s="919"/>
      <c r="E137" s="920"/>
      <c r="F137" s="921"/>
      <c r="G137" s="922"/>
      <c r="H137" s="922"/>
      <c r="I137" s="922"/>
      <c r="J137" s="923"/>
      <c r="K137" s="923"/>
      <c r="L137" s="924"/>
      <c r="M137" s="925"/>
      <c r="N137" s="925"/>
      <c r="O137" s="925"/>
      <c r="P137" s="925"/>
      <c r="Q137" s="925"/>
      <c r="R137" s="926"/>
      <c r="S137" s="926"/>
      <c r="T137" s="925"/>
      <c r="U137" s="925"/>
      <c r="V137" s="925"/>
      <c r="W137" s="925"/>
      <c r="X137" s="925"/>
      <c r="Y137" s="925"/>
      <c r="Z137" s="925"/>
      <c r="AA137" s="925"/>
      <c r="AB137" s="925"/>
      <c r="AC137" s="925"/>
      <c r="AD137" s="925"/>
      <c r="AE137" s="925"/>
      <c r="AF137" s="925"/>
      <c r="AG137" s="925"/>
      <c r="AH137" s="925"/>
      <c r="AI137" s="925"/>
      <c r="AJ137" s="925"/>
      <c r="AK137" s="925"/>
      <c r="AL137" s="925"/>
      <c r="AM137" s="925"/>
      <c r="AN137" s="925"/>
      <c r="AO137" s="925"/>
      <c r="AP137" s="925"/>
      <c r="AQ137" s="925"/>
      <c r="AR137" s="925"/>
      <c r="AS137" s="925"/>
      <c r="AT137" s="925"/>
      <c r="AU137" s="925"/>
      <c r="AV137" s="925"/>
      <c r="AW137" s="925"/>
      <c r="AX137" s="925"/>
      <c r="AY137" s="925"/>
      <c r="AZ137" s="925"/>
      <c r="BA137" s="925"/>
      <c r="BB137" s="925"/>
      <c r="BC137" s="925"/>
      <c r="BD137" s="925"/>
      <c r="BE137" s="925"/>
      <c r="BF137" s="925"/>
      <c r="BG137" s="925"/>
      <c r="BH137" s="925"/>
      <c r="BI137" s="925"/>
      <c r="BJ137" s="925"/>
      <c r="BK137" s="925"/>
      <c r="BL137" s="925"/>
      <c r="BM137" s="925"/>
      <c r="BN137" s="925"/>
      <c r="BO137" s="925"/>
      <c r="BP137" s="925"/>
      <c r="BQ137" s="925"/>
      <c r="BR137" s="925"/>
      <c r="BS137" s="925"/>
      <c r="BT137" s="925"/>
      <c r="BU137" s="925"/>
      <c r="BV137" s="925"/>
      <c r="BW137" s="925"/>
      <c r="BX137" s="925"/>
      <c r="BY137" s="925"/>
      <c r="BZ137" s="925"/>
      <c r="CA137" s="925"/>
      <c r="CB137" s="925"/>
      <c r="CC137" s="925"/>
      <c r="CD137" s="925"/>
      <c r="CE137" s="925"/>
      <c r="CF137" s="925"/>
      <c r="CG137" s="925"/>
      <c r="CH137" s="925"/>
      <c r="CI137" s="925"/>
      <c r="CJ137" s="925"/>
      <c r="CK137" s="925"/>
      <c r="CL137" s="925"/>
      <c r="CM137" s="925"/>
      <c r="CN137" s="925"/>
      <c r="CO137" s="925"/>
      <c r="CP137" s="925"/>
      <c r="CQ137" s="925"/>
      <c r="CR137" s="925"/>
      <c r="CS137" s="925"/>
      <c r="CT137" s="925"/>
      <c r="CU137" s="925"/>
      <c r="CV137" s="925"/>
      <c r="CW137" s="925"/>
      <c r="CX137" s="925"/>
      <c r="CY137" s="925"/>
      <c r="CZ137" s="925"/>
      <c r="DA137" s="925"/>
      <c r="DB137" s="925"/>
      <c r="DC137" s="925"/>
      <c r="DD137" s="925"/>
      <c r="DE137" s="925"/>
      <c r="DF137" s="925"/>
      <c r="DG137" s="925"/>
      <c r="DH137" s="925"/>
      <c r="DI137" s="925"/>
      <c r="DJ137" s="925"/>
      <c r="DK137" s="925"/>
      <c r="DL137" s="925"/>
      <c r="DM137" s="925"/>
      <c r="DN137" s="925"/>
      <c r="DO137" s="925"/>
      <c r="DP137" s="925"/>
      <c r="DQ137" s="925"/>
      <c r="DR137" s="925"/>
      <c r="DS137" s="925"/>
      <c r="DT137" s="925"/>
      <c r="DU137" s="925"/>
      <c r="DV137" s="925"/>
      <c r="DW137" s="925"/>
      <c r="DX137" s="925"/>
      <c r="DY137" s="925"/>
      <c r="DZ137" s="925"/>
      <c r="EA137" s="925"/>
      <c r="EB137" s="925"/>
      <c r="EC137" s="925"/>
      <c r="ED137" s="925"/>
      <c r="EE137" s="925"/>
      <c r="EF137" s="925"/>
      <c r="EG137" s="446"/>
    </row>
    <row r="138" spans="1:137" ht="13" x14ac:dyDescent="0.15">
      <c r="A138" s="917"/>
      <c r="B138" s="917"/>
      <c r="C138" s="918"/>
      <c r="D138" s="919"/>
      <c r="E138" s="920"/>
      <c r="F138" s="921"/>
      <c r="G138" s="922"/>
      <c r="H138" s="922"/>
      <c r="I138" s="922"/>
      <c r="J138" s="923"/>
      <c r="K138" s="923"/>
      <c r="L138" s="924"/>
      <c r="M138" s="925"/>
      <c r="N138" s="925"/>
      <c r="O138" s="925"/>
      <c r="P138" s="925"/>
      <c r="Q138" s="925"/>
      <c r="R138" s="926"/>
      <c r="S138" s="926"/>
      <c r="T138" s="925"/>
      <c r="U138" s="925"/>
      <c r="V138" s="925"/>
      <c r="W138" s="925"/>
      <c r="X138" s="925"/>
      <c r="Y138" s="925"/>
      <c r="Z138" s="925"/>
      <c r="AA138" s="925"/>
      <c r="AB138" s="925"/>
      <c r="AC138" s="925"/>
      <c r="AD138" s="925"/>
      <c r="AE138" s="925"/>
      <c r="AF138" s="925"/>
      <c r="AG138" s="925"/>
      <c r="AH138" s="925"/>
      <c r="AI138" s="925"/>
      <c r="AJ138" s="925"/>
      <c r="AK138" s="925"/>
      <c r="AL138" s="925"/>
      <c r="AM138" s="925"/>
      <c r="AN138" s="925"/>
      <c r="AO138" s="925"/>
      <c r="AP138" s="925"/>
      <c r="AQ138" s="925"/>
      <c r="AR138" s="925"/>
      <c r="AS138" s="925"/>
      <c r="AT138" s="925"/>
      <c r="AU138" s="925"/>
      <c r="AV138" s="925"/>
      <c r="AW138" s="925"/>
      <c r="AX138" s="925"/>
      <c r="AY138" s="925"/>
      <c r="AZ138" s="925"/>
      <c r="BA138" s="925"/>
      <c r="BB138" s="925"/>
      <c r="BC138" s="925"/>
      <c r="BD138" s="925"/>
      <c r="BE138" s="925"/>
      <c r="BF138" s="925"/>
      <c r="BG138" s="925"/>
      <c r="BH138" s="925"/>
      <c r="BI138" s="925"/>
      <c r="BJ138" s="925"/>
      <c r="BK138" s="925"/>
      <c r="BL138" s="925"/>
      <c r="BM138" s="925"/>
      <c r="BN138" s="925"/>
      <c r="BO138" s="925"/>
      <c r="BP138" s="925"/>
      <c r="BQ138" s="925"/>
      <c r="BR138" s="925"/>
      <c r="BS138" s="925"/>
      <c r="BT138" s="925"/>
      <c r="BU138" s="925"/>
      <c r="BV138" s="925"/>
      <c r="BW138" s="925"/>
      <c r="BX138" s="925"/>
      <c r="BY138" s="925"/>
      <c r="BZ138" s="925"/>
      <c r="CA138" s="925"/>
      <c r="CB138" s="925"/>
      <c r="CC138" s="925"/>
      <c r="CD138" s="925"/>
      <c r="CE138" s="925"/>
      <c r="CF138" s="925"/>
      <c r="CG138" s="925"/>
      <c r="CH138" s="925"/>
      <c r="CI138" s="925"/>
      <c r="CJ138" s="925"/>
      <c r="CK138" s="925"/>
      <c r="CL138" s="925"/>
      <c r="CM138" s="925"/>
      <c r="CN138" s="925"/>
      <c r="CO138" s="925"/>
      <c r="CP138" s="925"/>
      <c r="CQ138" s="925"/>
      <c r="CR138" s="925"/>
      <c r="CS138" s="925"/>
      <c r="CT138" s="925"/>
      <c r="CU138" s="925"/>
      <c r="CV138" s="925"/>
      <c r="CW138" s="925"/>
      <c r="CX138" s="925"/>
      <c r="CY138" s="925"/>
      <c r="CZ138" s="925"/>
      <c r="DA138" s="925"/>
      <c r="DB138" s="925"/>
      <c r="DC138" s="925"/>
      <c r="DD138" s="925"/>
      <c r="DE138" s="925"/>
      <c r="DF138" s="925"/>
      <c r="DG138" s="925"/>
      <c r="DH138" s="925"/>
      <c r="DI138" s="925"/>
      <c r="DJ138" s="925"/>
      <c r="DK138" s="925"/>
      <c r="DL138" s="925"/>
      <c r="DM138" s="925"/>
      <c r="DN138" s="925"/>
      <c r="DO138" s="925"/>
      <c r="DP138" s="925"/>
      <c r="DQ138" s="925"/>
      <c r="DR138" s="925"/>
      <c r="DS138" s="925"/>
      <c r="DT138" s="925"/>
      <c r="DU138" s="925"/>
      <c r="DV138" s="925"/>
      <c r="DW138" s="925"/>
      <c r="DX138" s="925"/>
      <c r="DY138" s="925"/>
      <c r="DZ138" s="925"/>
      <c r="EA138" s="925"/>
      <c r="EB138" s="925"/>
      <c r="EC138" s="925"/>
      <c r="ED138" s="925"/>
      <c r="EE138" s="925"/>
      <c r="EF138" s="925"/>
      <c r="EG138" s="446"/>
    </row>
    <row r="139" spans="1:137" ht="13" x14ac:dyDescent="0.15">
      <c r="A139" s="917"/>
      <c r="B139" s="917"/>
      <c r="C139" s="918"/>
      <c r="D139" s="919"/>
      <c r="E139" s="920"/>
      <c r="F139" s="921"/>
      <c r="G139" s="922"/>
      <c r="H139" s="922"/>
      <c r="I139" s="922"/>
      <c r="J139" s="923"/>
      <c r="K139" s="923"/>
      <c r="L139" s="924"/>
      <c r="M139" s="925"/>
      <c r="N139" s="925"/>
      <c r="O139" s="925"/>
      <c r="P139" s="925"/>
      <c r="Q139" s="925"/>
      <c r="R139" s="926"/>
      <c r="S139" s="926"/>
      <c r="T139" s="925"/>
      <c r="U139" s="925"/>
      <c r="V139" s="925"/>
      <c r="W139" s="925"/>
      <c r="X139" s="925"/>
      <c r="Y139" s="925"/>
      <c r="Z139" s="925"/>
      <c r="AA139" s="925"/>
      <c r="AB139" s="925"/>
      <c r="AC139" s="925"/>
      <c r="AD139" s="925"/>
      <c r="AE139" s="925"/>
      <c r="AF139" s="925"/>
      <c r="AG139" s="925"/>
      <c r="AH139" s="925"/>
      <c r="AI139" s="925"/>
      <c r="AJ139" s="925"/>
      <c r="AK139" s="925"/>
      <c r="AL139" s="925"/>
      <c r="AM139" s="925"/>
      <c r="AN139" s="925"/>
      <c r="AO139" s="925"/>
      <c r="AP139" s="925"/>
      <c r="AQ139" s="925"/>
      <c r="AR139" s="925"/>
      <c r="AS139" s="925"/>
      <c r="AT139" s="925"/>
      <c r="AU139" s="925"/>
      <c r="AV139" s="925"/>
      <c r="AW139" s="925"/>
      <c r="AX139" s="925"/>
      <c r="AY139" s="925"/>
      <c r="AZ139" s="925"/>
      <c r="BA139" s="925"/>
      <c r="BB139" s="925"/>
      <c r="BC139" s="925"/>
      <c r="BD139" s="925"/>
      <c r="BE139" s="925"/>
      <c r="BF139" s="925"/>
      <c r="BG139" s="925"/>
      <c r="BH139" s="925"/>
      <c r="BI139" s="925"/>
      <c r="BJ139" s="925"/>
      <c r="BK139" s="925"/>
      <c r="BL139" s="925"/>
      <c r="BM139" s="925"/>
      <c r="BN139" s="925"/>
      <c r="BO139" s="925"/>
      <c r="BP139" s="925"/>
      <c r="BQ139" s="925"/>
      <c r="BR139" s="925"/>
      <c r="BS139" s="925"/>
      <c r="BT139" s="925"/>
      <c r="BU139" s="925"/>
      <c r="BV139" s="925"/>
      <c r="BW139" s="925"/>
      <c r="BX139" s="925"/>
      <c r="BY139" s="925"/>
      <c r="BZ139" s="925"/>
      <c r="CA139" s="925"/>
      <c r="CB139" s="925"/>
      <c r="CC139" s="925"/>
      <c r="CD139" s="925"/>
      <c r="CE139" s="925"/>
      <c r="CF139" s="925"/>
      <c r="CG139" s="925"/>
      <c r="CH139" s="925"/>
      <c r="CI139" s="925"/>
      <c r="CJ139" s="925"/>
      <c r="CK139" s="925"/>
      <c r="CL139" s="925"/>
      <c r="CM139" s="925"/>
      <c r="CN139" s="925"/>
      <c r="CO139" s="925"/>
      <c r="CP139" s="925"/>
      <c r="CQ139" s="925"/>
      <c r="CR139" s="925"/>
      <c r="CS139" s="925"/>
      <c r="CT139" s="925"/>
      <c r="CU139" s="925"/>
      <c r="CV139" s="925"/>
      <c r="CW139" s="925"/>
      <c r="CX139" s="925"/>
      <c r="CY139" s="925"/>
      <c r="CZ139" s="925"/>
      <c r="DA139" s="925"/>
      <c r="DB139" s="925"/>
      <c r="DC139" s="925"/>
      <c r="DD139" s="925"/>
      <c r="DE139" s="925"/>
      <c r="DF139" s="925"/>
      <c r="DG139" s="925"/>
      <c r="DH139" s="925"/>
      <c r="DI139" s="925"/>
      <c r="DJ139" s="925"/>
      <c r="DK139" s="925"/>
      <c r="DL139" s="925"/>
      <c r="DM139" s="925"/>
      <c r="DN139" s="925"/>
      <c r="DO139" s="925"/>
      <c r="DP139" s="925"/>
      <c r="DQ139" s="925"/>
      <c r="DR139" s="925"/>
      <c r="DS139" s="925"/>
      <c r="DT139" s="925"/>
      <c r="DU139" s="925"/>
      <c r="DV139" s="925"/>
      <c r="DW139" s="925"/>
      <c r="DX139" s="925"/>
      <c r="DY139" s="925"/>
      <c r="DZ139" s="925"/>
      <c r="EA139" s="925"/>
      <c r="EB139" s="925"/>
      <c r="EC139" s="925"/>
      <c r="ED139" s="925"/>
      <c r="EE139" s="925"/>
      <c r="EF139" s="925"/>
      <c r="EG139" s="446"/>
    </row>
    <row r="140" spans="1:137" ht="13" x14ac:dyDescent="0.15">
      <c r="A140" s="917"/>
      <c r="B140" s="917"/>
      <c r="C140" s="918"/>
      <c r="D140" s="919"/>
      <c r="E140" s="920"/>
      <c r="F140" s="921"/>
      <c r="G140" s="922"/>
      <c r="H140" s="922"/>
      <c r="I140" s="922"/>
      <c r="J140" s="923"/>
      <c r="K140" s="923"/>
      <c r="L140" s="924"/>
      <c r="M140" s="925"/>
      <c r="N140" s="925"/>
      <c r="O140" s="925"/>
      <c r="P140" s="925"/>
      <c r="Q140" s="925"/>
      <c r="R140" s="926"/>
      <c r="S140" s="926"/>
      <c r="T140" s="925"/>
      <c r="U140" s="925"/>
      <c r="V140" s="925"/>
      <c r="W140" s="925"/>
      <c r="X140" s="925"/>
      <c r="Y140" s="925"/>
      <c r="Z140" s="925"/>
      <c r="AA140" s="925"/>
      <c r="AB140" s="925"/>
      <c r="AC140" s="925"/>
      <c r="AD140" s="925"/>
      <c r="AE140" s="925"/>
      <c r="AF140" s="925"/>
      <c r="AG140" s="925"/>
      <c r="AH140" s="925"/>
      <c r="AI140" s="925"/>
      <c r="AJ140" s="925"/>
      <c r="AK140" s="925"/>
      <c r="AL140" s="925"/>
      <c r="AM140" s="925"/>
      <c r="AN140" s="925"/>
      <c r="AO140" s="925"/>
      <c r="AP140" s="925"/>
      <c r="AQ140" s="925"/>
      <c r="AR140" s="925"/>
      <c r="AS140" s="925"/>
      <c r="AT140" s="925"/>
      <c r="AU140" s="925"/>
      <c r="AV140" s="925"/>
      <c r="AW140" s="925"/>
      <c r="AX140" s="925"/>
      <c r="AY140" s="925"/>
      <c r="AZ140" s="925"/>
      <c r="BA140" s="925"/>
      <c r="BB140" s="925"/>
      <c r="BC140" s="925"/>
      <c r="BD140" s="925"/>
      <c r="BE140" s="925"/>
      <c r="BF140" s="925"/>
      <c r="BG140" s="925"/>
      <c r="BH140" s="925"/>
      <c r="BI140" s="925"/>
      <c r="BJ140" s="925"/>
      <c r="BK140" s="925"/>
      <c r="BL140" s="925"/>
      <c r="BM140" s="925"/>
      <c r="BN140" s="925"/>
      <c r="BO140" s="925"/>
      <c r="BP140" s="925"/>
      <c r="BQ140" s="925"/>
      <c r="BR140" s="925"/>
      <c r="BS140" s="925"/>
      <c r="BT140" s="925"/>
      <c r="BU140" s="925"/>
      <c r="BV140" s="925"/>
      <c r="BW140" s="925"/>
      <c r="BX140" s="925"/>
      <c r="BY140" s="925"/>
      <c r="BZ140" s="925"/>
      <c r="CA140" s="925"/>
      <c r="CB140" s="925"/>
      <c r="CC140" s="925"/>
      <c r="CD140" s="925"/>
      <c r="CE140" s="925"/>
      <c r="CF140" s="925"/>
      <c r="CG140" s="925"/>
      <c r="CH140" s="925"/>
      <c r="CI140" s="925"/>
      <c r="CJ140" s="925"/>
      <c r="CK140" s="925"/>
      <c r="CL140" s="925"/>
      <c r="CM140" s="925"/>
      <c r="CN140" s="925"/>
      <c r="CO140" s="925"/>
      <c r="CP140" s="925"/>
      <c r="CQ140" s="925"/>
      <c r="CR140" s="925"/>
      <c r="CS140" s="925"/>
      <c r="CT140" s="925"/>
      <c r="CU140" s="925"/>
      <c r="CV140" s="925"/>
      <c r="CW140" s="925"/>
      <c r="CX140" s="925"/>
      <c r="CY140" s="925"/>
      <c r="CZ140" s="925"/>
      <c r="DA140" s="925"/>
      <c r="DB140" s="925"/>
      <c r="DC140" s="925"/>
      <c r="DD140" s="925"/>
      <c r="DE140" s="925"/>
      <c r="DF140" s="925"/>
      <c r="DG140" s="925"/>
      <c r="DH140" s="925"/>
      <c r="DI140" s="925"/>
      <c r="DJ140" s="925"/>
      <c r="DK140" s="925"/>
      <c r="DL140" s="925"/>
      <c r="DM140" s="925"/>
      <c r="DN140" s="925"/>
      <c r="DO140" s="925"/>
      <c r="DP140" s="925"/>
      <c r="DQ140" s="925"/>
      <c r="DR140" s="925"/>
      <c r="DS140" s="925"/>
      <c r="DT140" s="925"/>
      <c r="DU140" s="925"/>
      <c r="DV140" s="925"/>
      <c r="DW140" s="925"/>
      <c r="DX140" s="925"/>
      <c r="DY140" s="925"/>
      <c r="DZ140" s="925"/>
      <c r="EA140" s="925"/>
      <c r="EB140" s="925"/>
      <c r="EC140" s="925"/>
      <c r="ED140" s="925"/>
      <c r="EE140" s="925"/>
      <c r="EF140" s="925"/>
      <c r="EG140" s="446"/>
    </row>
    <row r="141" spans="1:137" ht="13" x14ac:dyDescent="0.15">
      <c r="A141" s="917"/>
      <c r="B141" s="917"/>
      <c r="C141" s="918"/>
      <c r="D141" s="919"/>
      <c r="E141" s="920"/>
      <c r="F141" s="921"/>
      <c r="G141" s="922"/>
      <c r="H141" s="922"/>
      <c r="I141" s="922"/>
      <c r="J141" s="923"/>
      <c r="K141" s="923"/>
      <c r="L141" s="924"/>
      <c r="M141" s="925"/>
      <c r="N141" s="925"/>
      <c r="O141" s="925"/>
      <c r="P141" s="925"/>
      <c r="Q141" s="925"/>
      <c r="R141" s="926"/>
      <c r="S141" s="926"/>
      <c r="T141" s="925"/>
      <c r="U141" s="925"/>
      <c r="V141" s="925"/>
      <c r="W141" s="925"/>
      <c r="X141" s="925"/>
      <c r="Y141" s="925"/>
      <c r="Z141" s="925"/>
      <c r="AA141" s="925"/>
      <c r="AB141" s="925"/>
      <c r="AC141" s="925"/>
      <c r="AD141" s="925"/>
      <c r="AE141" s="925"/>
      <c r="AF141" s="925"/>
      <c r="AG141" s="925"/>
      <c r="AH141" s="925"/>
      <c r="AI141" s="925"/>
      <c r="AJ141" s="925"/>
      <c r="AK141" s="925"/>
      <c r="AL141" s="925"/>
      <c r="AM141" s="925"/>
      <c r="AN141" s="925"/>
      <c r="AO141" s="925"/>
      <c r="AP141" s="925"/>
      <c r="AQ141" s="925"/>
      <c r="AR141" s="925"/>
      <c r="AS141" s="925"/>
      <c r="AT141" s="925"/>
      <c r="AU141" s="925"/>
      <c r="AV141" s="925"/>
      <c r="AW141" s="925"/>
      <c r="AX141" s="925"/>
      <c r="AY141" s="925"/>
      <c r="AZ141" s="925"/>
      <c r="BA141" s="925"/>
      <c r="BB141" s="925"/>
      <c r="BC141" s="925"/>
      <c r="BD141" s="925"/>
      <c r="BE141" s="925"/>
      <c r="BF141" s="925"/>
      <c r="BG141" s="925"/>
      <c r="BH141" s="925"/>
      <c r="BI141" s="925"/>
      <c r="BJ141" s="925"/>
      <c r="BK141" s="925"/>
      <c r="BL141" s="925"/>
      <c r="BM141" s="925"/>
      <c r="BN141" s="925"/>
      <c r="BO141" s="925"/>
      <c r="BP141" s="925"/>
      <c r="BQ141" s="925"/>
      <c r="BR141" s="925"/>
      <c r="BS141" s="925"/>
      <c r="BT141" s="925"/>
      <c r="BU141" s="925"/>
      <c r="BV141" s="925"/>
      <c r="BW141" s="925"/>
      <c r="BX141" s="925"/>
      <c r="BY141" s="925"/>
      <c r="BZ141" s="925"/>
      <c r="CA141" s="925"/>
      <c r="CB141" s="925"/>
      <c r="CC141" s="925"/>
      <c r="CD141" s="925"/>
      <c r="CE141" s="925"/>
      <c r="CF141" s="925"/>
      <c r="CG141" s="925"/>
      <c r="CH141" s="925"/>
      <c r="CI141" s="925"/>
      <c r="CJ141" s="925"/>
      <c r="CK141" s="925"/>
      <c r="CL141" s="925"/>
      <c r="CM141" s="925"/>
      <c r="CN141" s="925"/>
      <c r="CO141" s="925"/>
      <c r="CP141" s="925"/>
      <c r="CQ141" s="925"/>
      <c r="CR141" s="925"/>
      <c r="CS141" s="925"/>
      <c r="CT141" s="925"/>
      <c r="CU141" s="925"/>
      <c r="CV141" s="925"/>
      <c r="CW141" s="925"/>
      <c r="CX141" s="925"/>
      <c r="CY141" s="925"/>
      <c r="CZ141" s="925"/>
      <c r="DA141" s="925"/>
      <c r="DB141" s="925"/>
      <c r="DC141" s="925"/>
      <c r="DD141" s="925"/>
      <c r="DE141" s="925"/>
      <c r="DF141" s="925"/>
      <c r="DG141" s="925"/>
      <c r="DH141" s="925"/>
      <c r="DI141" s="925"/>
      <c r="DJ141" s="925"/>
      <c r="DK141" s="925"/>
      <c r="DL141" s="925"/>
      <c r="DM141" s="925"/>
      <c r="DN141" s="925"/>
      <c r="DO141" s="925"/>
      <c r="DP141" s="925"/>
      <c r="DQ141" s="925"/>
      <c r="DR141" s="925"/>
      <c r="DS141" s="925"/>
      <c r="DT141" s="925"/>
      <c r="DU141" s="925"/>
      <c r="DV141" s="925"/>
      <c r="DW141" s="925"/>
      <c r="DX141" s="925"/>
      <c r="DY141" s="925"/>
      <c r="DZ141" s="925"/>
      <c r="EA141" s="925"/>
      <c r="EB141" s="925"/>
      <c r="EC141" s="925"/>
      <c r="ED141" s="925"/>
      <c r="EE141" s="925"/>
      <c r="EF141" s="925"/>
      <c r="EG141" s="446"/>
    </row>
    <row r="142" spans="1:137" ht="13" x14ac:dyDescent="0.15">
      <c r="A142" s="917"/>
      <c r="B142" s="917"/>
      <c r="C142" s="918"/>
      <c r="D142" s="919"/>
      <c r="E142" s="920"/>
      <c r="F142" s="921"/>
      <c r="G142" s="922"/>
      <c r="H142" s="922"/>
      <c r="I142" s="922"/>
      <c r="J142" s="923"/>
      <c r="K142" s="923"/>
      <c r="L142" s="924"/>
      <c r="M142" s="925"/>
      <c r="N142" s="925"/>
      <c r="O142" s="925"/>
      <c r="P142" s="925"/>
      <c r="Q142" s="925"/>
      <c r="R142" s="926"/>
      <c r="S142" s="926"/>
      <c r="T142" s="925"/>
      <c r="U142" s="925"/>
      <c r="V142" s="925"/>
      <c r="W142" s="925"/>
      <c r="X142" s="925"/>
      <c r="Y142" s="925"/>
      <c r="Z142" s="925"/>
      <c r="AA142" s="925"/>
      <c r="AB142" s="925"/>
      <c r="AC142" s="925"/>
      <c r="AD142" s="925"/>
      <c r="AE142" s="925"/>
      <c r="AF142" s="925"/>
      <c r="AG142" s="925"/>
      <c r="AH142" s="925"/>
      <c r="AI142" s="925"/>
      <c r="AJ142" s="925"/>
      <c r="AK142" s="925"/>
      <c r="AL142" s="925"/>
      <c r="AM142" s="925"/>
      <c r="AN142" s="925"/>
      <c r="AO142" s="925"/>
      <c r="AP142" s="925"/>
      <c r="AQ142" s="925"/>
      <c r="AR142" s="925"/>
      <c r="AS142" s="925"/>
      <c r="AT142" s="925"/>
      <c r="AU142" s="925"/>
      <c r="AV142" s="925"/>
      <c r="AW142" s="925"/>
      <c r="AX142" s="925"/>
      <c r="AY142" s="925"/>
      <c r="AZ142" s="925"/>
      <c r="BA142" s="925"/>
      <c r="BB142" s="925"/>
      <c r="BC142" s="925"/>
      <c r="BD142" s="925"/>
      <c r="BE142" s="925"/>
      <c r="BF142" s="925"/>
      <c r="BG142" s="925"/>
      <c r="BH142" s="925"/>
      <c r="BI142" s="925"/>
      <c r="BJ142" s="925"/>
      <c r="BK142" s="925"/>
      <c r="BL142" s="925"/>
      <c r="BM142" s="925"/>
      <c r="BN142" s="925"/>
      <c r="BO142" s="925"/>
      <c r="BP142" s="925"/>
      <c r="BQ142" s="925"/>
      <c r="BR142" s="925"/>
      <c r="BS142" s="925"/>
      <c r="BT142" s="925"/>
      <c r="BU142" s="925"/>
      <c r="BV142" s="925"/>
      <c r="BW142" s="925"/>
      <c r="BX142" s="925"/>
      <c r="BY142" s="925"/>
      <c r="BZ142" s="925"/>
      <c r="CA142" s="925"/>
      <c r="CB142" s="925"/>
      <c r="CC142" s="925"/>
      <c r="CD142" s="925"/>
      <c r="CE142" s="925"/>
      <c r="CF142" s="925"/>
      <c r="CG142" s="925"/>
      <c r="CH142" s="925"/>
      <c r="CI142" s="925"/>
      <c r="CJ142" s="925"/>
      <c r="CK142" s="925"/>
      <c r="CL142" s="925"/>
      <c r="CM142" s="925"/>
      <c r="CN142" s="925"/>
      <c r="CO142" s="925"/>
      <c r="CP142" s="925"/>
      <c r="CQ142" s="925"/>
      <c r="CR142" s="925"/>
      <c r="CS142" s="925"/>
      <c r="CT142" s="925"/>
      <c r="CU142" s="925"/>
      <c r="CV142" s="925"/>
      <c r="CW142" s="925"/>
      <c r="CX142" s="925"/>
      <c r="CY142" s="925"/>
      <c r="CZ142" s="925"/>
      <c r="DA142" s="925"/>
      <c r="DB142" s="925"/>
      <c r="DC142" s="925"/>
      <c r="DD142" s="925"/>
      <c r="DE142" s="925"/>
      <c r="DF142" s="925"/>
      <c r="DG142" s="925"/>
      <c r="DH142" s="925"/>
      <c r="DI142" s="925"/>
      <c r="DJ142" s="925"/>
      <c r="DK142" s="925"/>
      <c r="DL142" s="925"/>
      <c r="DM142" s="925"/>
      <c r="DN142" s="925"/>
      <c r="DO142" s="925"/>
      <c r="DP142" s="925"/>
      <c r="DQ142" s="925"/>
      <c r="DR142" s="925"/>
      <c r="DS142" s="925"/>
      <c r="DT142" s="925"/>
      <c r="DU142" s="925"/>
      <c r="DV142" s="925"/>
      <c r="DW142" s="925"/>
      <c r="DX142" s="925"/>
      <c r="DY142" s="925"/>
      <c r="DZ142" s="925"/>
      <c r="EA142" s="925"/>
      <c r="EB142" s="925"/>
      <c r="EC142" s="925"/>
      <c r="ED142" s="925"/>
      <c r="EE142" s="925"/>
      <c r="EF142" s="925"/>
      <c r="EG142" s="446"/>
    </row>
    <row r="143" spans="1:137" ht="13" x14ac:dyDescent="0.15">
      <c r="A143" s="917"/>
      <c r="B143" s="917"/>
      <c r="C143" s="918"/>
      <c r="D143" s="919"/>
      <c r="E143" s="920"/>
      <c r="F143" s="921"/>
      <c r="G143" s="922"/>
      <c r="H143" s="922"/>
      <c r="I143" s="922"/>
      <c r="J143" s="923"/>
      <c r="K143" s="923"/>
      <c r="L143" s="924"/>
      <c r="M143" s="925"/>
      <c r="N143" s="925"/>
      <c r="O143" s="925"/>
      <c r="P143" s="925"/>
      <c r="Q143" s="925"/>
      <c r="R143" s="926"/>
      <c r="S143" s="926"/>
      <c r="T143" s="925"/>
      <c r="U143" s="925"/>
      <c r="V143" s="925"/>
      <c r="W143" s="925"/>
      <c r="X143" s="925"/>
      <c r="Y143" s="925"/>
      <c r="Z143" s="925"/>
      <c r="AA143" s="925"/>
      <c r="AB143" s="925"/>
      <c r="AC143" s="925"/>
      <c r="AD143" s="925"/>
      <c r="AE143" s="925"/>
      <c r="AF143" s="925"/>
      <c r="AG143" s="925"/>
      <c r="AH143" s="925"/>
      <c r="AI143" s="925"/>
      <c r="AJ143" s="925"/>
      <c r="AK143" s="925"/>
      <c r="AL143" s="925"/>
      <c r="AM143" s="925"/>
      <c r="AN143" s="925"/>
      <c r="AO143" s="925"/>
      <c r="AP143" s="925"/>
      <c r="AQ143" s="925"/>
      <c r="AR143" s="925"/>
      <c r="AS143" s="925"/>
      <c r="AT143" s="925"/>
      <c r="AU143" s="925"/>
      <c r="AV143" s="925"/>
      <c r="AW143" s="925"/>
      <c r="AX143" s="925"/>
      <c r="AY143" s="925"/>
      <c r="AZ143" s="925"/>
      <c r="BA143" s="925"/>
      <c r="BB143" s="925"/>
      <c r="BC143" s="925"/>
      <c r="BD143" s="925"/>
      <c r="BE143" s="925"/>
      <c r="BF143" s="925"/>
      <c r="BG143" s="925"/>
      <c r="BH143" s="925"/>
      <c r="BI143" s="925"/>
      <c r="BJ143" s="925"/>
      <c r="BK143" s="925"/>
      <c r="BL143" s="925"/>
      <c r="BM143" s="925"/>
      <c r="BN143" s="925"/>
      <c r="BO143" s="925"/>
      <c r="BP143" s="925"/>
      <c r="BQ143" s="925"/>
      <c r="BR143" s="925"/>
      <c r="BS143" s="925"/>
      <c r="BT143" s="925"/>
      <c r="BU143" s="925"/>
      <c r="BV143" s="925"/>
      <c r="BW143" s="925"/>
      <c r="BX143" s="925"/>
      <c r="BY143" s="925"/>
      <c r="BZ143" s="925"/>
      <c r="CA143" s="925"/>
      <c r="CB143" s="925"/>
      <c r="CC143" s="925"/>
      <c r="CD143" s="925"/>
      <c r="CE143" s="925"/>
      <c r="CF143" s="925"/>
      <c r="CG143" s="925"/>
      <c r="CH143" s="925"/>
      <c r="CI143" s="925"/>
      <c r="CJ143" s="925"/>
      <c r="CK143" s="925"/>
      <c r="CL143" s="925"/>
      <c r="CM143" s="925"/>
      <c r="CN143" s="925"/>
      <c r="CO143" s="925"/>
      <c r="CP143" s="925"/>
      <c r="CQ143" s="925"/>
      <c r="CR143" s="925"/>
      <c r="CS143" s="925"/>
      <c r="CT143" s="925"/>
      <c r="CU143" s="925"/>
      <c r="CV143" s="925"/>
      <c r="CW143" s="925"/>
      <c r="CX143" s="925"/>
      <c r="CY143" s="925"/>
      <c r="CZ143" s="925"/>
      <c r="DA143" s="925"/>
      <c r="DB143" s="925"/>
      <c r="DC143" s="925"/>
      <c r="DD143" s="925"/>
      <c r="DE143" s="925"/>
      <c r="DF143" s="925"/>
      <c r="DG143" s="925"/>
      <c r="DH143" s="925"/>
      <c r="DI143" s="925"/>
      <c r="DJ143" s="925"/>
      <c r="DK143" s="925"/>
      <c r="DL143" s="925"/>
      <c r="DM143" s="925"/>
      <c r="DN143" s="925"/>
      <c r="DO143" s="925"/>
      <c r="DP143" s="925"/>
      <c r="DQ143" s="925"/>
      <c r="DR143" s="925"/>
      <c r="DS143" s="925"/>
      <c r="DT143" s="925"/>
      <c r="DU143" s="925"/>
      <c r="DV143" s="925"/>
      <c r="DW143" s="925"/>
      <c r="DX143" s="925"/>
      <c r="DY143" s="925"/>
      <c r="DZ143" s="925"/>
      <c r="EA143" s="925"/>
      <c r="EB143" s="925"/>
      <c r="EC143" s="925"/>
      <c r="ED143" s="925"/>
      <c r="EE143" s="925"/>
      <c r="EF143" s="925"/>
      <c r="EG143" s="446"/>
    </row>
    <row r="144" spans="1:137" ht="13" x14ac:dyDescent="0.15">
      <c r="A144" s="917"/>
      <c r="B144" s="917"/>
      <c r="C144" s="918"/>
      <c r="D144" s="919"/>
      <c r="E144" s="920"/>
      <c r="F144" s="921"/>
      <c r="G144" s="922"/>
      <c r="H144" s="922"/>
      <c r="I144" s="922"/>
      <c r="J144" s="923"/>
      <c r="K144" s="923"/>
      <c r="L144" s="924"/>
      <c r="M144" s="925"/>
      <c r="N144" s="925"/>
      <c r="O144" s="925"/>
      <c r="P144" s="925"/>
      <c r="Q144" s="925"/>
      <c r="R144" s="926"/>
      <c r="S144" s="926"/>
      <c r="T144" s="925"/>
      <c r="U144" s="925"/>
      <c r="V144" s="925"/>
      <c r="W144" s="925"/>
      <c r="X144" s="925"/>
      <c r="Y144" s="925"/>
      <c r="Z144" s="925"/>
      <c r="AA144" s="925"/>
      <c r="AB144" s="925"/>
      <c r="AC144" s="925"/>
      <c r="AD144" s="925"/>
      <c r="AE144" s="925"/>
      <c r="AF144" s="925"/>
      <c r="AG144" s="925"/>
      <c r="AH144" s="925"/>
      <c r="AI144" s="925"/>
      <c r="AJ144" s="925"/>
      <c r="AK144" s="925"/>
      <c r="AL144" s="925"/>
      <c r="AM144" s="925"/>
      <c r="AN144" s="925"/>
      <c r="AO144" s="925"/>
      <c r="AP144" s="925"/>
      <c r="AQ144" s="925"/>
      <c r="AR144" s="925"/>
      <c r="AS144" s="925"/>
      <c r="AT144" s="925"/>
      <c r="AU144" s="925"/>
      <c r="AV144" s="925"/>
      <c r="AW144" s="925"/>
      <c r="AX144" s="925"/>
      <c r="AY144" s="925"/>
      <c r="AZ144" s="925"/>
      <c r="BA144" s="925"/>
      <c r="BB144" s="925"/>
      <c r="BC144" s="925"/>
      <c r="BD144" s="925"/>
      <c r="BE144" s="925"/>
      <c r="BF144" s="925"/>
      <c r="BG144" s="925"/>
      <c r="BH144" s="925"/>
      <c r="BI144" s="925"/>
      <c r="BJ144" s="925"/>
      <c r="BK144" s="925"/>
      <c r="BL144" s="925"/>
      <c r="BM144" s="925"/>
      <c r="BN144" s="925"/>
      <c r="BO144" s="925"/>
      <c r="BP144" s="925"/>
      <c r="BQ144" s="925"/>
      <c r="BR144" s="925"/>
      <c r="BS144" s="925"/>
      <c r="BT144" s="925"/>
      <c r="BU144" s="925"/>
      <c r="BV144" s="925"/>
      <c r="BW144" s="925"/>
      <c r="BX144" s="925"/>
      <c r="BY144" s="925"/>
      <c r="BZ144" s="925"/>
      <c r="CA144" s="925"/>
      <c r="CB144" s="925"/>
      <c r="CC144" s="925"/>
      <c r="CD144" s="925"/>
      <c r="CE144" s="925"/>
      <c r="CF144" s="925"/>
      <c r="CG144" s="925"/>
      <c r="CH144" s="925"/>
      <c r="CI144" s="925"/>
      <c r="CJ144" s="925"/>
      <c r="CK144" s="925"/>
      <c r="CL144" s="925"/>
      <c r="CM144" s="925"/>
      <c r="CN144" s="925"/>
      <c r="CO144" s="925"/>
      <c r="CP144" s="925"/>
      <c r="CQ144" s="925"/>
      <c r="CR144" s="925"/>
      <c r="CS144" s="925"/>
      <c r="CT144" s="925"/>
      <c r="CU144" s="925"/>
      <c r="CV144" s="925"/>
      <c r="CW144" s="925"/>
      <c r="CX144" s="925"/>
      <c r="CY144" s="925"/>
      <c r="CZ144" s="925"/>
      <c r="DA144" s="925"/>
      <c r="DB144" s="925"/>
      <c r="DC144" s="925"/>
      <c r="DD144" s="925"/>
      <c r="DE144" s="925"/>
      <c r="DF144" s="925"/>
      <c r="DG144" s="925"/>
      <c r="DH144" s="925"/>
      <c r="DI144" s="925"/>
      <c r="DJ144" s="925"/>
      <c r="DK144" s="925"/>
      <c r="DL144" s="925"/>
      <c r="DM144" s="925"/>
      <c r="DN144" s="925"/>
      <c r="DO144" s="925"/>
      <c r="DP144" s="925"/>
      <c r="DQ144" s="925"/>
      <c r="DR144" s="925"/>
      <c r="DS144" s="925"/>
      <c r="DT144" s="925"/>
      <c r="DU144" s="925"/>
      <c r="DV144" s="925"/>
      <c r="DW144" s="925"/>
      <c r="DX144" s="925"/>
      <c r="DY144" s="925"/>
      <c r="DZ144" s="925"/>
      <c r="EA144" s="925"/>
      <c r="EB144" s="925"/>
      <c r="EC144" s="925"/>
      <c r="ED144" s="925"/>
      <c r="EE144" s="925"/>
      <c r="EF144" s="925"/>
      <c r="EG144" s="446"/>
    </row>
    <row r="145" spans="1:137" ht="13" x14ac:dyDescent="0.15">
      <c r="A145" s="917"/>
      <c r="B145" s="917"/>
      <c r="C145" s="918"/>
      <c r="D145" s="919"/>
      <c r="E145" s="920"/>
      <c r="F145" s="921"/>
      <c r="G145" s="922"/>
      <c r="H145" s="922"/>
      <c r="I145" s="922"/>
      <c r="J145" s="923"/>
      <c r="K145" s="923"/>
      <c r="L145" s="924"/>
      <c r="M145" s="925"/>
      <c r="N145" s="925"/>
      <c r="O145" s="925"/>
      <c r="P145" s="925"/>
      <c r="Q145" s="925"/>
      <c r="R145" s="926"/>
      <c r="S145" s="926"/>
      <c r="T145" s="925"/>
      <c r="U145" s="925"/>
      <c r="V145" s="925"/>
      <c r="W145" s="925"/>
      <c r="X145" s="925"/>
      <c r="Y145" s="925"/>
      <c r="Z145" s="925"/>
      <c r="AA145" s="925"/>
      <c r="AB145" s="925"/>
      <c r="AC145" s="925"/>
      <c r="AD145" s="925"/>
      <c r="AE145" s="925"/>
      <c r="AF145" s="925"/>
      <c r="AG145" s="925"/>
      <c r="AH145" s="925"/>
      <c r="AI145" s="925"/>
      <c r="AJ145" s="925"/>
      <c r="AK145" s="925"/>
      <c r="AL145" s="925"/>
      <c r="AM145" s="925"/>
      <c r="AN145" s="925"/>
      <c r="AO145" s="925"/>
      <c r="AP145" s="925"/>
      <c r="AQ145" s="925"/>
      <c r="AR145" s="925"/>
      <c r="AS145" s="925"/>
      <c r="AT145" s="925"/>
      <c r="AU145" s="925"/>
      <c r="AV145" s="925"/>
      <c r="AW145" s="925"/>
      <c r="AX145" s="925"/>
      <c r="AY145" s="925"/>
      <c r="AZ145" s="925"/>
      <c r="BA145" s="925"/>
      <c r="BB145" s="925"/>
      <c r="BC145" s="925"/>
      <c r="BD145" s="925"/>
      <c r="BE145" s="925"/>
      <c r="BF145" s="925"/>
      <c r="BG145" s="925"/>
      <c r="BH145" s="925"/>
      <c r="BI145" s="925"/>
      <c r="BJ145" s="925"/>
      <c r="BK145" s="925"/>
      <c r="BL145" s="925"/>
      <c r="BM145" s="925"/>
      <c r="BN145" s="925"/>
      <c r="BO145" s="925"/>
      <c r="BP145" s="925"/>
      <c r="BQ145" s="925"/>
      <c r="BR145" s="925"/>
      <c r="BS145" s="925"/>
      <c r="BT145" s="925"/>
      <c r="BU145" s="925"/>
      <c r="BV145" s="925"/>
      <c r="BW145" s="925"/>
      <c r="BX145" s="925"/>
      <c r="BY145" s="925"/>
      <c r="BZ145" s="925"/>
      <c r="CA145" s="925"/>
      <c r="CB145" s="925"/>
      <c r="CC145" s="925"/>
      <c r="CD145" s="925"/>
      <c r="CE145" s="925"/>
      <c r="CF145" s="925"/>
      <c r="CG145" s="925"/>
      <c r="CH145" s="925"/>
      <c r="CI145" s="925"/>
      <c r="CJ145" s="925"/>
      <c r="CK145" s="925"/>
      <c r="CL145" s="925"/>
      <c r="CM145" s="925"/>
      <c r="CN145" s="925"/>
      <c r="CO145" s="925"/>
      <c r="CP145" s="925"/>
      <c r="CQ145" s="925"/>
      <c r="CR145" s="925"/>
      <c r="CS145" s="925"/>
      <c r="CT145" s="925"/>
      <c r="CU145" s="925"/>
      <c r="CV145" s="925"/>
      <c r="CW145" s="925"/>
      <c r="CX145" s="925"/>
      <c r="CY145" s="925"/>
      <c r="CZ145" s="925"/>
      <c r="DA145" s="925"/>
      <c r="DB145" s="925"/>
      <c r="DC145" s="925"/>
      <c r="DD145" s="925"/>
      <c r="DE145" s="925"/>
      <c r="DF145" s="925"/>
      <c r="DG145" s="925"/>
      <c r="DH145" s="925"/>
      <c r="DI145" s="925"/>
      <c r="DJ145" s="925"/>
      <c r="DK145" s="925"/>
      <c r="DL145" s="925"/>
      <c r="DM145" s="925"/>
      <c r="DN145" s="925"/>
      <c r="DO145" s="925"/>
      <c r="DP145" s="925"/>
      <c r="DQ145" s="925"/>
      <c r="DR145" s="925"/>
      <c r="DS145" s="925"/>
      <c r="DT145" s="925"/>
      <c r="DU145" s="925"/>
      <c r="DV145" s="925"/>
      <c r="DW145" s="925"/>
      <c r="DX145" s="925"/>
      <c r="DY145" s="925"/>
      <c r="DZ145" s="925"/>
      <c r="EA145" s="925"/>
      <c r="EB145" s="925"/>
      <c r="EC145" s="925"/>
      <c r="ED145" s="925"/>
      <c r="EE145" s="925"/>
      <c r="EF145" s="925"/>
      <c r="EG145" s="446"/>
    </row>
    <row r="146" spans="1:137" ht="13" x14ac:dyDescent="0.15">
      <c r="A146" s="917"/>
      <c r="B146" s="917"/>
      <c r="C146" s="918"/>
      <c r="D146" s="919"/>
      <c r="E146" s="920"/>
      <c r="F146" s="921"/>
      <c r="G146" s="922"/>
      <c r="H146" s="922"/>
      <c r="I146" s="922"/>
      <c r="J146" s="923"/>
      <c r="K146" s="923"/>
      <c r="L146" s="924"/>
      <c r="M146" s="925"/>
      <c r="N146" s="925"/>
      <c r="O146" s="925"/>
      <c r="P146" s="925"/>
      <c r="Q146" s="925"/>
      <c r="R146" s="926"/>
      <c r="S146" s="926"/>
      <c r="T146" s="925"/>
      <c r="U146" s="925"/>
      <c r="V146" s="925"/>
      <c r="W146" s="925"/>
      <c r="X146" s="925"/>
      <c r="Y146" s="925"/>
      <c r="Z146" s="925"/>
      <c r="AA146" s="925"/>
      <c r="AB146" s="925"/>
      <c r="AC146" s="925"/>
      <c r="AD146" s="925"/>
      <c r="AE146" s="925"/>
      <c r="AF146" s="925"/>
      <c r="AG146" s="925"/>
      <c r="AH146" s="925"/>
      <c r="AI146" s="925"/>
      <c r="AJ146" s="925"/>
      <c r="AK146" s="925"/>
      <c r="AL146" s="925"/>
      <c r="AM146" s="925"/>
      <c r="AN146" s="925"/>
      <c r="AO146" s="925"/>
      <c r="AP146" s="925"/>
      <c r="AQ146" s="925"/>
      <c r="AR146" s="925"/>
      <c r="AS146" s="925"/>
      <c r="AT146" s="925"/>
      <c r="AU146" s="925"/>
      <c r="AV146" s="925"/>
      <c r="AW146" s="925"/>
      <c r="AX146" s="925"/>
      <c r="AY146" s="925"/>
      <c r="AZ146" s="925"/>
      <c r="BA146" s="925"/>
      <c r="BB146" s="925"/>
      <c r="BC146" s="925"/>
      <c r="BD146" s="925"/>
      <c r="BE146" s="925"/>
      <c r="BF146" s="925"/>
      <c r="BG146" s="925"/>
      <c r="BH146" s="925"/>
      <c r="BI146" s="925"/>
      <c r="BJ146" s="925"/>
      <c r="BK146" s="925"/>
      <c r="BL146" s="925"/>
      <c r="BM146" s="925"/>
      <c r="BN146" s="925"/>
      <c r="BO146" s="925"/>
      <c r="BP146" s="925"/>
      <c r="BQ146" s="925"/>
      <c r="BR146" s="925"/>
      <c r="BS146" s="925"/>
      <c r="BT146" s="925"/>
      <c r="BU146" s="925"/>
      <c r="BV146" s="925"/>
      <c r="BW146" s="925"/>
      <c r="BX146" s="925"/>
      <c r="BY146" s="925"/>
      <c r="BZ146" s="925"/>
      <c r="CA146" s="925"/>
      <c r="CB146" s="925"/>
      <c r="CC146" s="925"/>
      <c r="CD146" s="925"/>
      <c r="CE146" s="925"/>
      <c r="CF146" s="925"/>
      <c r="CG146" s="925"/>
      <c r="CH146" s="925"/>
      <c r="CI146" s="925"/>
      <c r="CJ146" s="925"/>
      <c r="CK146" s="925"/>
      <c r="CL146" s="925"/>
      <c r="CM146" s="925"/>
      <c r="CN146" s="925"/>
      <c r="CO146" s="925"/>
      <c r="CP146" s="925"/>
      <c r="CQ146" s="925"/>
      <c r="CR146" s="925"/>
      <c r="CS146" s="925"/>
      <c r="CT146" s="925"/>
      <c r="CU146" s="925"/>
      <c r="CV146" s="925"/>
      <c r="CW146" s="925"/>
      <c r="CX146" s="925"/>
      <c r="CY146" s="925"/>
      <c r="CZ146" s="925"/>
      <c r="DA146" s="925"/>
      <c r="DB146" s="925"/>
      <c r="DC146" s="925"/>
      <c r="DD146" s="925"/>
      <c r="DE146" s="925"/>
      <c r="DF146" s="925"/>
      <c r="DG146" s="925"/>
      <c r="DH146" s="925"/>
      <c r="DI146" s="925"/>
      <c r="DJ146" s="925"/>
      <c r="DK146" s="925"/>
      <c r="DL146" s="925"/>
      <c r="DM146" s="925"/>
      <c r="DN146" s="925"/>
      <c r="DO146" s="925"/>
      <c r="DP146" s="925"/>
      <c r="DQ146" s="925"/>
      <c r="DR146" s="925"/>
      <c r="DS146" s="925"/>
      <c r="DT146" s="925"/>
      <c r="DU146" s="925"/>
      <c r="DV146" s="925"/>
      <c r="DW146" s="925"/>
      <c r="DX146" s="925"/>
      <c r="DY146" s="925"/>
      <c r="DZ146" s="925"/>
      <c r="EA146" s="925"/>
      <c r="EB146" s="925"/>
      <c r="EC146" s="925"/>
      <c r="ED146" s="925"/>
      <c r="EE146" s="925"/>
      <c r="EF146" s="925"/>
      <c r="EG146" s="446"/>
    </row>
    <row r="147" spans="1:137" ht="13" x14ac:dyDescent="0.15">
      <c r="A147" s="917"/>
      <c r="B147" s="917"/>
      <c r="C147" s="918"/>
      <c r="D147" s="919"/>
      <c r="E147" s="920"/>
      <c r="F147" s="921"/>
      <c r="G147" s="922"/>
      <c r="H147" s="922"/>
      <c r="I147" s="922"/>
      <c r="J147" s="923"/>
      <c r="K147" s="923"/>
      <c r="L147" s="924"/>
      <c r="M147" s="925"/>
      <c r="N147" s="925"/>
      <c r="O147" s="925"/>
      <c r="P147" s="925"/>
      <c r="Q147" s="925"/>
      <c r="R147" s="926"/>
      <c r="S147" s="926"/>
      <c r="T147" s="925"/>
      <c r="U147" s="925"/>
      <c r="V147" s="925"/>
      <c r="W147" s="925"/>
      <c r="X147" s="925"/>
      <c r="Y147" s="925"/>
      <c r="Z147" s="925"/>
      <c r="AA147" s="925"/>
      <c r="AB147" s="925"/>
      <c r="AC147" s="925"/>
      <c r="AD147" s="925"/>
      <c r="AE147" s="925"/>
      <c r="AF147" s="925"/>
      <c r="AG147" s="925"/>
      <c r="AH147" s="925"/>
      <c r="AI147" s="925"/>
      <c r="AJ147" s="925"/>
      <c r="AK147" s="925"/>
      <c r="AL147" s="925"/>
      <c r="AM147" s="925"/>
      <c r="AN147" s="925"/>
      <c r="AO147" s="925"/>
      <c r="AP147" s="925"/>
      <c r="AQ147" s="925"/>
      <c r="AR147" s="925"/>
      <c r="AS147" s="925"/>
      <c r="AT147" s="925"/>
      <c r="AU147" s="925"/>
      <c r="AV147" s="925"/>
      <c r="AW147" s="925"/>
      <c r="AX147" s="925"/>
      <c r="AY147" s="925"/>
      <c r="AZ147" s="925"/>
      <c r="BA147" s="925"/>
      <c r="BB147" s="925"/>
      <c r="BC147" s="925"/>
      <c r="BD147" s="925"/>
      <c r="BE147" s="925"/>
      <c r="BF147" s="925"/>
      <c r="BG147" s="925"/>
      <c r="BH147" s="925"/>
      <c r="BI147" s="925"/>
      <c r="BJ147" s="925"/>
      <c r="BK147" s="925"/>
      <c r="BL147" s="925"/>
      <c r="BM147" s="925"/>
      <c r="BN147" s="925"/>
      <c r="BO147" s="925"/>
      <c r="BP147" s="925"/>
      <c r="BQ147" s="925"/>
      <c r="BR147" s="925"/>
      <c r="BS147" s="925"/>
      <c r="BT147" s="925"/>
      <c r="BU147" s="925"/>
      <c r="BV147" s="925"/>
      <c r="BW147" s="925"/>
      <c r="BX147" s="925"/>
      <c r="BY147" s="925"/>
      <c r="BZ147" s="925"/>
      <c r="CA147" s="925"/>
      <c r="CB147" s="925"/>
      <c r="CC147" s="925"/>
      <c r="CD147" s="925"/>
      <c r="CE147" s="925"/>
      <c r="CF147" s="925"/>
      <c r="CG147" s="925"/>
      <c r="CH147" s="925"/>
      <c r="CI147" s="925"/>
      <c r="CJ147" s="925"/>
      <c r="CK147" s="925"/>
      <c r="CL147" s="925"/>
      <c r="CM147" s="925"/>
      <c r="CN147" s="925"/>
      <c r="CO147" s="925"/>
      <c r="CP147" s="925"/>
      <c r="CQ147" s="925"/>
      <c r="CR147" s="925"/>
      <c r="CS147" s="925"/>
      <c r="CT147" s="925"/>
      <c r="CU147" s="925"/>
      <c r="CV147" s="925"/>
      <c r="CW147" s="925"/>
      <c r="CX147" s="925"/>
      <c r="CY147" s="925"/>
      <c r="CZ147" s="925"/>
      <c r="DA147" s="925"/>
      <c r="DB147" s="925"/>
      <c r="DC147" s="925"/>
      <c r="DD147" s="925"/>
      <c r="DE147" s="925"/>
      <c r="DF147" s="925"/>
      <c r="DG147" s="925"/>
      <c r="DH147" s="925"/>
      <c r="DI147" s="925"/>
      <c r="DJ147" s="925"/>
      <c r="DK147" s="925"/>
      <c r="DL147" s="925"/>
      <c r="DM147" s="925"/>
      <c r="DN147" s="925"/>
      <c r="DO147" s="925"/>
      <c r="DP147" s="925"/>
      <c r="DQ147" s="925"/>
      <c r="DR147" s="925"/>
      <c r="DS147" s="925"/>
      <c r="DT147" s="925"/>
      <c r="DU147" s="925"/>
      <c r="DV147" s="925"/>
      <c r="DW147" s="925"/>
      <c r="DX147" s="925"/>
      <c r="DY147" s="925"/>
      <c r="DZ147" s="925"/>
      <c r="EA147" s="925"/>
      <c r="EB147" s="925"/>
      <c r="EC147" s="925"/>
      <c r="ED147" s="925"/>
      <c r="EE147" s="925"/>
      <c r="EF147" s="925"/>
      <c r="EG147" s="446"/>
    </row>
    <row r="148" spans="1:137" ht="13" x14ac:dyDescent="0.15">
      <c r="A148" s="917"/>
      <c r="B148" s="917"/>
      <c r="C148" s="918"/>
      <c r="D148" s="919"/>
      <c r="E148" s="920"/>
      <c r="F148" s="921"/>
      <c r="G148" s="922"/>
      <c r="H148" s="922"/>
      <c r="I148" s="922"/>
      <c r="J148" s="923"/>
      <c r="K148" s="923"/>
      <c r="L148" s="924"/>
      <c r="M148" s="925"/>
      <c r="N148" s="925"/>
      <c r="O148" s="925"/>
      <c r="P148" s="925"/>
      <c r="Q148" s="925"/>
      <c r="R148" s="926"/>
      <c r="S148" s="926"/>
      <c r="T148" s="925"/>
      <c r="U148" s="925"/>
      <c r="V148" s="925"/>
      <c r="W148" s="925"/>
      <c r="X148" s="925"/>
      <c r="Y148" s="925"/>
      <c r="Z148" s="925"/>
      <c r="AA148" s="925"/>
      <c r="AB148" s="925"/>
      <c r="AC148" s="925"/>
      <c r="AD148" s="925"/>
      <c r="AE148" s="925"/>
      <c r="AF148" s="925"/>
      <c r="AG148" s="925"/>
      <c r="AH148" s="925"/>
      <c r="AI148" s="925"/>
      <c r="AJ148" s="925"/>
      <c r="AK148" s="925"/>
      <c r="AL148" s="925"/>
      <c r="AM148" s="925"/>
      <c r="AN148" s="925"/>
      <c r="AO148" s="925"/>
      <c r="AP148" s="925"/>
      <c r="AQ148" s="925"/>
      <c r="AR148" s="925"/>
      <c r="AS148" s="925"/>
      <c r="AT148" s="925"/>
      <c r="AU148" s="925"/>
      <c r="AV148" s="925"/>
      <c r="AW148" s="925"/>
      <c r="AX148" s="925"/>
      <c r="AY148" s="925"/>
      <c r="AZ148" s="925"/>
      <c r="BA148" s="925"/>
      <c r="BB148" s="925"/>
      <c r="BC148" s="925"/>
      <c r="BD148" s="925"/>
      <c r="BE148" s="925"/>
      <c r="BF148" s="925"/>
      <c r="BG148" s="925"/>
      <c r="BH148" s="925"/>
      <c r="BI148" s="925"/>
      <c r="BJ148" s="925"/>
      <c r="BK148" s="925"/>
      <c r="BL148" s="925"/>
      <c r="BM148" s="925"/>
      <c r="BN148" s="925"/>
      <c r="BO148" s="925"/>
      <c r="BP148" s="925"/>
      <c r="BQ148" s="925"/>
      <c r="BR148" s="925"/>
      <c r="BS148" s="925"/>
      <c r="BT148" s="925"/>
      <c r="BU148" s="925"/>
      <c r="BV148" s="925"/>
      <c r="BW148" s="925"/>
      <c r="BX148" s="925"/>
      <c r="BY148" s="925"/>
      <c r="BZ148" s="925"/>
      <c r="CA148" s="925"/>
      <c r="CB148" s="925"/>
      <c r="CC148" s="925"/>
      <c r="CD148" s="925"/>
      <c r="CE148" s="925"/>
      <c r="CF148" s="925"/>
      <c r="CG148" s="925"/>
      <c r="CH148" s="925"/>
      <c r="CI148" s="925"/>
      <c r="CJ148" s="925"/>
      <c r="CK148" s="925"/>
      <c r="CL148" s="925"/>
      <c r="CM148" s="925"/>
      <c r="CN148" s="925"/>
      <c r="CO148" s="925"/>
      <c r="CP148" s="925"/>
      <c r="CQ148" s="925"/>
      <c r="CR148" s="925"/>
      <c r="CS148" s="925"/>
      <c r="CT148" s="925"/>
      <c r="CU148" s="925"/>
      <c r="CV148" s="925"/>
      <c r="CW148" s="925"/>
      <c r="CX148" s="925"/>
      <c r="CY148" s="925"/>
      <c r="CZ148" s="925"/>
      <c r="DA148" s="925"/>
      <c r="DB148" s="925"/>
      <c r="DC148" s="925"/>
      <c r="DD148" s="925"/>
      <c r="DE148" s="925"/>
      <c r="DF148" s="925"/>
      <c r="DG148" s="925"/>
      <c r="DH148" s="925"/>
      <c r="DI148" s="925"/>
      <c r="DJ148" s="925"/>
      <c r="DK148" s="925"/>
      <c r="DL148" s="925"/>
      <c r="DM148" s="925"/>
      <c r="DN148" s="925"/>
      <c r="DO148" s="925"/>
      <c r="DP148" s="925"/>
      <c r="DQ148" s="925"/>
      <c r="DR148" s="925"/>
      <c r="DS148" s="925"/>
      <c r="DT148" s="925"/>
      <c r="DU148" s="925"/>
      <c r="DV148" s="925"/>
      <c r="DW148" s="925"/>
      <c r="DX148" s="925"/>
      <c r="DY148" s="925"/>
      <c r="DZ148" s="925"/>
      <c r="EA148" s="925"/>
      <c r="EB148" s="925"/>
      <c r="EC148" s="925"/>
      <c r="ED148" s="925"/>
      <c r="EE148" s="925"/>
      <c r="EF148" s="925"/>
      <c r="EG148" s="446"/>
    </row>
    <row r="149" spans="1:137" ht="13" x14ac:dyDescent="0.15">
      <c r="A149" s="917"/>
      <c r="B149" s="917"/>
      <c r="C149" s="918"/>
      <c r="D149" s="919"/>
      <c r="E149" s="920"/>
      <c r="F149" s="921"/>
      <c r="G149" s="922"/>
      <c r="H149" s="922"/>
      <c r="I149" s="922"/>
      <c r="J149" s="923"/>
      <c r="K149" s="923"/>
      <c r="L149" s="924"/>
      <c r="M149" s="925"/>
      <c r="N149" s="925"/>
      <c r="O149" s="925"/>
      <c r="P149" s="925"/>
      <c r="Q149" s="925"/>
      <c r="R149" s="926"/>
      <c r="S149" s="926"/>
      <c r="T149" s="925"/>
      <c r="U149" s="925"/>
      <c r="V149" s="925"/>
      <c r="W149" s="925"/>
      <c r="X149" s="925"/>
      <c r="Y149" s="925"/>
      <c r="Z149" s="925"/>
      <c r="AA149" s="925"/>
      <c r="AB149" s="925"/>
      <c r="AC149" s="925"/>
      <c r="AD149" s="925"/>
      <c r="AE149" s="925"/>
      <c r="AF149" s="925"/>
      <c r="AG149" s="925"/>
      <c r="AH149" s="925"/>
      <c r="AI149" s="925"/>
      <c r="AJ149" s="925"/>
      <c r="AK149" s="925"/>
      <c r="AL149" s="925"/>
      <c r="AM149" s="925"/>
      <c r="AN149" s="925"/>
      <c r="AO149" s="925"/>
      <c r="AP149" s="925"/>
      <c r="AQ149" s="925"/>
      <c r="AR149" s="925"/>
      <c r="AS149" s="925"/>
      <c r="AT149" s="925"/>
      <c r="AU149" s="925"/>
      <c r="AV149" s="925"/>
      <c r="AW149" s="925"/>
      <c r="AX149" s="925"/>
      <c r="AY149" s="925"/>
      <c r="AZ149" s="925"/>
      <c r="BA149" s="925"/>
      <c r="BB149" s="925"/>
      <c r="BC149" s="925"/>
      <c r="BD149" s="925"/>
      <c r="BE149" s="925"/>
      <c r="BF149" s="925"/>
      <c r="BG149" s="925"/>
      <c r="BH149" s="925"/>
      <c r="BI149" s="925"/>
      <c r="BJ149" s="925"/>
      <c r="BK149" s="925"/>
      <c r="BL149" s="925"/>
      <c r="BM149" s="925"/>
      <c r="BN149" s="925"/>
      <c r="BO149" s="925"/>
      <c r="BP149" s="925"/>
      <c r="BQ149" s="925"/>
      <c r="BR149" s="925"/>
      <c r="BS149" s="925"/>
      <c r="BT149" s="925"/>
      <c r="BU149" s="925"/>
      <c r="BV149" s="925"/>
      <c r="BW149" s="925"/>
      <c r="BX149" s="925"/>
      <c r="BY149" s="925"/>
      <c r="BZ149" s="925"/>
      <c r="CA149" s="925"/>
      <c r="CB149" s="925"/>
      <c r="CC149" s="925"/>
      <c r="CD149" s="925"/>
      <c r="CE149" s="925"/>
      <c r="CF149" s="925"/>
      <c r="CG149" s="925"/>
      <c r="CH149" s="925"/>
      <c r="CI149" s="925"/>
      <c r="CJ149" s="925"/>
      <c r="CK149" s="925"/>
      <c r="CL149" s="925"/>
      <c r="CM149" s="925"/>
      <c r="CN149" s="925"/>
      <c r="CO149" s="925"/>
      <c r="CP149" s="925"/>
      <c r="CQ149" s="925"/>
      <c r="CR149" s="925"/>
      <c r="CS149" s="925"/>
      <c r="CT149" s="925"/>
      <c r="CU149" s="925"/>
      <c r="CV149" s="925"/>
      <c r="CW149" s="925"/>
      <c r="CX149" s="925"/>
      <c r="CY149" s="925"/>
      <c r="CZ149" s="925"/>
      <c r="DA149" s="925"/>
      <c r="DB149" s="925"/>
      <c r="DC149" s="925"/>
      <c r="DD149" s="925"/>
      <c r="DE149" s="925"/>
      <c r="DF149" s="925"/>
      <c r="DG149" s="925"/>
      <c r="DH149" s="925"/>
      <c r="DI149" s="925"/>
      <c r="DJ149" s="925"/>
      <c r="DK149" s="925"/>
      <c r="DL149" s="925"/>
      <c r="DM149" s="925"/>
      <c r="DN149" s="925"/>
      <c r="DO149" s="925"/>
      <c r="DP149" s="925"/>
      <c r="DQ149" s="925"/>
      <c r="DR149" s="925"/>
      <c r="DS149" s="925"/>
      <c r="DT149" s="925"/>
      <c r="DU149" s="925"/>
      <c r="DV149" s="925"/>
      <c r="DW149" s="925"/>
      <c r="DX149" s="925"/>
      <c r="DY149" s="925"/>
      <c r="DZ149" s="925"/>
      <c r="EA149" s="925"/>
      <c r="EB149" s="925"/>
      <c r="EC149" s="925"/>
      <c r="ED149" s="925"/>
      <c r="EE149" s="925"/>
      <c r="EF149" s="925"/>
      <c r="EG149" s="446"/>
    </row>
    <row r="150" spans="1:137" ht="13" x14ac:dyDescent="0.15">
      <c r="A150" s="917"/>
      <c r="B150" s="917"/>
      <c r="C150" s="918"/>
      <c r="D150" s="919"/>
      <c r="E150" s="920"/>
      <c r="F150" s="921"/>
      <c r="G150" s="922"/>
      <c r="H150" s="922"/>
      <c r="I150" s="922"/>
      <c r="J150" s="923"/>
      <c r="K150" s="923"/>
      <c r="L150" s="924"/>
      <c r="M150" s="925"/>
      <c r="N150" s="925"/>
      <c r="O150" s="925"/>
      <c r="P150" s="925"/>
      <c r="Q150" s="925"/>
      <c r="R150" s="926"/>
      <c r="S150" s="926"/>
      <c r="T150" s="925"/>
      <c r="U150" s="925"/>
      <c r="V150" s="925"/>
      <c r="W150" s="925"/>
      <c r="X150" s="925"/>
      <c r="Y150" s="925"/>
      <c r="Z150" s="925"/>
      <c r="AA150" s="925"/>
      <c r="AB150" s="925"/>
      <c r="AC150" s="925"/>
      <c r="AD150" s="925"/>
      <c r="AE150" s="925"/>
      <c r="AF150" s="925"/>
      <c r="AG150" s="925"/>
      <c r="AH150" s="925"/>
      <c r="AI150" s="925"/>
      <c r="AJ150" s="925"/>
      <c r="AK150" s="925"/>
      <c r="AL150" s="925"/>
      <c r="AM150" s="925"/>
      <c r="AN150" s="925"/>
      <c r="AO150" s="925"/>
      <c r="AP150" s="925"/>
      <c r="AQ150" s="925"/>
      <c r="AR150" s="925"/>
      <c r="AS150" s="925"/>
      <c r="AT150" s="925"/>
      <c r="AU150" s="925"/>
      <c r="AV150" s="925"/>
      <c r="AW150" s="925"/>
      <c r="AX150" s="925"/>
      <c r="AY150" s="925"/>
      <c r="AZ150" s="925"/>
      <c r="BA150" s="925"/>
      <c r="BB150" s="925"/>
      <c r="BC150" s="925"/>
      <c r="BD150" s="925"/>
      <c r="BE150" s="925"/>
      <c r="BF150" s="925"/>
      <c r="BG150" s="925"/>
      <c r="BH150" s="925"/>
      <c r="BI150" s="925"/>
      <c r="BJ150" s="925"/>
      <c r="BK150" s="925"/>
      <c r="BL150" s="925"/>
      <c r="BM150" s="925"/>
      <c r="BN150" s="925"/>
      <c r="BO150" s="925"/>
      <c r="BP150" s="925"/>
      <c r="BQ150" s="925"/>
      <c r="BR150" s="925"/>
      <c r="BS150" s="925"/>
      <c r="BT150" s="925"/>
      <c r="BU150" s="925"/>
      <c r="BV150" s="925"/>
      <c r="BW150" s="925"/>
      <c r="BX150" s="925"/>
      <c r="BY150" s="925"/>
      <c r="BZ150" s="925"/>
      <c r="CA150" s="925"/>
      <c r="CB150" s="925"/>
      <c r="CC150" s="925"/>
      <c r="CD150" s="925"/>
      <c r="CE150" s="925"/>
      <c r="CF150" s="925"/>
      <c r="CG150" s="925"/>
      <c r="CH150" s="925"/>
      <c r="CI150" s="925"/>
      <c r="CJ150" s="925"/>
      <c r="CK150" s="925"/>
      <c r="CL150" s="925"/>
      <c r="CM150" s="925"/>
      <c r="CN150" s="925"/>
      <c r="CO150" s="925"/>
      <c r="CP150" s="925"/>
      <c r="CQ150" s="925"/>
      <c r="CR150" s="925"/>
      <c r="CS150" s="925"/>
      <c r="CT150" s="925"/>
      <c r="CU150" s="925"/>
      <c r="CV150" s="925"/>
      <c r="CW150" s="925"/>
      <c r="CX150" s="925"/>
      <c r="CY150" s="925"/>
      <c r="CZ150" s="925"/>
      <c r="DA150" s="925"/>
      <c r="DB150" s="925"/>
      <c r="DC150" s="925"/>
      <c r="DD150" s="925"/>
      <c r="DE150" s="925"/>
      <c r="DF150" s="925"/>
      <c r="DG150" s="925"/>
      <c r="DH150" s="925"/>
      <c r="DI150" s="925"/>
      <c r="DJ150" s="925"/>
      <c r="DK150" s="925"/>
      <c r="DL150" s="925"/>
      <c r="DM150" s="925"/>
      <c r="DN150" s="925"/>
      <c r="DO150" s="925"/>
      <c r="DP150" s="925"/>
      <c r="DQ150" s="925"/>
      <c r="DR150" s="925"/>
      <c r="DS150" s="925"/>
      <c r="DT150" s="925"/>
      <c r="DU150" s="925"/>
      <c r="DV150" s="925"/>
      <c r="DW150" s="925"/>
      <c r="DX150" s="925"/>
      <c r="DY150" s="925"/>
      <c r="DZ150" s="925"/>
      <c r="EA150" s="925"/>
      <c r="EB150" s="925"/>
      <c r="EC150" s="925"/>
      <c r="ED150" s="925"/>
      <c r="EE150" s="925"/>
      <c r="EF150" s="925"/>
      <c r="EG150" s="446"/>
    </row>
    <row r="151" spans="1:137" ht="13" x14ac:dyDescent="0.15">
      <c r="A151" s="917"/>
      <c r="B151" s="917"/>
      <c r="C151" s="918"/>
      <c r="D151" s="919"/>
      <c r="E151" s="920"/>
      <c r="F151" s="921"/>
      <c r="G151" s="922"/>
      <c r="H151" s="922"/>
      <c r="I151" s="922"/>
      <c r="J151" s="923"/>
      <c r="K151" s="923"/>
      <c r="L151" s="924"/>
      <c r="M151" s="925"/>
      <c r="N151" s="925"/>
      <c r="O151" s="925"/>
      <c r="P151" s="925"/>
      <c r="Q151" s="925"/>
      <c r="R151" s="926"/>
      <c r="S151" s="926"/>
      <c r="T151" s="925"/>
      <c r="U151" s="925"/>
      <c r="V151" s="925"/>
      <c r="W151" s="925"/>
      <c r="X151" s="925"/>
      <c r="Y151" s="925"/>
      <c r="Z151" s="925"/>
      <c r="AA151" s="925"/>
      <c r="AB151" s="925"/>
      <c r="AC151" s="925"/>
      <c r="AD151" s="925"/>
      <c r="AE151" s="925"/>
      <c r="AF151" s="925"/>
      <c r="AG151" s="925"/>
      <c r="AH151" s="925"/>
      <c r="AI151" s="925"/>
      <c r="AJ151" s="925"/>
      <c r="AK151" s="925"/>
      <c r="AL151" s="925"/>
      <c r="AM151" s="925"/>
      <c r="AN151" s="925"/>
      <c r="AO151" s="925"/>
      <c r="AP151" s="925"/>
      <c r="AQ151" s="925"/>
      <c r="AR151" s="925"/>
      <c r="AS151" s="925"/>
      <c r="AT151" s="925"/>
      <c r="AU151" s="925"/>
      <c r="AV151" s="925"/>
      <c r="AW151" s="925"/>
      <c r="AX151" s="925"/>
      <c r="AY151" s="925"/>
      <c r="AZ151" s="925"/>
      <c r="BA151" s="925"/>
      <c r="BB151" s="925"/>
      <c r="BC151" s="925"/>
      <c r="BD151" s="925"/>
      <c r="BE151" s="925"/>
      <c r="BF151" s="925"/>
      <c r="BG151" s="925"/>
      <c r="BH151" s="925"/>
      <c r="BI151" s="925"/>
      <c r="BJ151" s="925"/>
      <c r="BK151" s="925"/>
      <c r="BL151" s="925"/>
      <c r="BM151" s="925"/>
      <c r="BN151" s="925"/>
      <c r="BO151" s="925"/>
      <c r="BP151" s="925"/>
      <c r="BQ151" s="925"/>
      <c r="BR151" s="925"/>
      <c r="BS151" s="925"/>
      <c r="BT151" s="925"/>
      <c r="BU151" s="925"/>
      <c r="BV151" s="925"/>
      <c r="BW151" s="925"/>
      <c r="BX151" s="925"/>
      <c r="BY151" s="925"/>
      <c r="BZ151" s="925"/>
      <c r="CA151" s="925"/>
      <c r="CB151" s="925"/>
      <c r="CC151" s="925"/>
      <c r="CD151" s="925"/>
      <c r="CE151" s="925"/>
      <c r="CF151" s="925"/>
      <c r="CG151" s="925"/>
      <c r="CH151" s="925"/>
      <c r="CI151" s="925"/>
      <c r="CJ151" s="925"/>
      <c r="CK151" s="925"/>
      <c r="CL151" s="925"/>
      <c r="CM151" s="925"/>
      <c r="CN151" s="925"/>
      <c r="CO151" s="925"/>
      <c r="CP151" s="925"/>
      <c r="CQ151" s="925"/>
      <c r="CR151" s="925"/>
      <c r="CS151" s="925"/>
      <c r="CT151" s="925"/>
      <c r="CU151" s="925"/>
      <c r="CV151" s="925"/>
      <c r="CW151" s="925"/>
      <c r="CX151" s="925"/>
      <c r="CY151" s="925"/>
      <c r="CZ151" s="925"/>
      <c r="DA151" s="925"/>
      <c r="DB151" s="925"/>
      <c r="DC151" s="925"/>
      <c r="DD151" s="925"/>
      <c r="DE151" s="925"/>
      <c r="DF151" s="925"/>
      <c r="DG151" s="925"/>
      <c r="DH151" s="925"/>
      <c r="DI151" s="925"/>
      <c r="DJ151" s="925"/>
      <c r="DK151" s="925"/>
      <c r="DL151" s="925"/>
      <c r="DM151" s="925"/>
      <c r="DN151" s="925"/>
      <c r="DO151" s="925"/>
      <c r="DP151" s="925"/>
      <c r="DQ151" s="925"/>
      <c r="DR151" s="925"/>
      <c r="DS151" s="925"/>
      <c r="DT151" s="925"/>
      <c r="DU151" s="925"/>
      <c r="DV151" s="925"/>
      <c r="DW151" s="925"/>
      <c r="DX151" s="925"/>
      <c r="DY151" s="925"/>
      <c r="DZ151" s="925"/>
      <c r="EA151" s="925"/>
      <c r="EB151" s="925"/>
      <c r="EC151" s="925"/>
      <c r="ED151" s="925"/>
      <c r="EE151" s="925"/>
      <c r="EF151" s="925"/>
      <c r="EG151" s="446"/>
    </row>
    <row r="152" spans="1:137" ht="13" x14ac:dyDescent="0.15">
      <c r="A152" s="917"/>
      <c r="B152" s="917"/>
      <c r="C152" s="918"/>
      <c r="D152" s="919"/>
      <c r="E152" s="920"/>
      <c r="F152" s="921"/>
      <c r="G152" s="922"/>
      <c r="H152" s="922"/>
      <c r="I152" s="922"/>
      <c r="J152" s="923"/>
      <c r="K152" s="923"/>
      <c r="L152" s="924"/>
      <c r="M152" s="925"/>
      <c r="N152" s="925"/>
      <c r="O152" s="925"/>
      <c r="P152" s="925"/>
      <c r="Q152" s="925"/>
      <c r="R152" s="926"/>
      <c r="S152" s="926"/>
      <c r="T152" s="925"/>
      <c r="U152" s="925"/>
      <c r="V152" s="925"/>
      <c r="W152" s="925"/>
      <c r="X152" s="925"/>
      <c r="Y152" s="925"/>
      <c r="Z152" s="925"/>
      <c r="AA152" s="925"/>
      <c r="AB152" s="925"/>
      <c r="AC152" s="925"/>
      <c r="AD152" s="925"/>
      <c r="AE152" s="925"/>
      <c r="AF152" s="925"/>
      <c r="AG152" s="925"/>
      <c r="AH152" s="925"/>
      <c r="AI152" s="925"/>
      <c r="AJ152" s="925"/>
      <c r="AK152" s="925"/>
      <c r="AL152" s="925"/>
      <c r="AM152" s="925"/>
      <c r="AN152" s="925"/>
      <c r="AO152" s="925"/>
      <c r="AP152" s="925"/>
      <c r="AQ152" s="925"/>
      <c r="AR152" s="925"/>
      <c r="AS152" s="925"/>
      <c r="AT152" s="925"/>
      <c r="AU152" s="925"/>
      <c r="AV152" s="925"/>
      <c r="AW152" s="925"/>
      <c r="AX152" s="925"/>
      <c r="AY152" s="925"/>
      <c r="AZ152" s="925"/>
      <c r="BA152" s="925"/>
      <c r="BB152" s="925"/>
      <c r="BC152" s="925"/>
      <c r="BD152" s="925"/>
      <c r="BE152" s="925"/>
      <c r="BF152" s="925"/>
      <c r="BG152" s="925"/>
      <c r="BH152" s="925"/>
      <c r="BI152" s="925"/>
      <c r="BJ152" s="925"/>
      <c r="BK152" s="925"/>
      <c r="BL152" s="925"/>
      <c r="BM152" s="925"/>
      <c r="BN152" s="925"/>
      <c r="BO152" s="925"/>
      <c r="BP152" s="925"/>
      <c r="BQ152" s="925"/>
      <c r="BR152" s="925"/>
      <c r="BS152" s="925"/>
      <c r="BT152" s="925"/>
      <c r="BU152" s="925"/>
      <c r="BV152" s="925"/>
      <c r="BW152" s="925"/>
      <c r="BX152" s="925"/>
      <c r="BY152" s="925"/>
      <c r="BZ152" s="925"/>
      <c r="CA152" s="925"/>
      <c r="CB152" s="925"/>
      <c r="CC152" s="925"/>
      <c r="CD152" s="925"/>
      <c r="CE152" s="925"/>
      <c r="CF152" s="925"/>
      <c r="CG152" s="925"/>
      <c r="CH152" s="925"/>
      <c r="CI152" s="925"/>
      <c r="CJ152" s="925"/>
      <c r="CK152" s="925"/>
      <c r="CL152" s="925"/>
      <c r="CM152" s="925"/>
      <c r="CN152" s="925"/>
      <c r="CO152" s="925"/>
      <c r="CP152" s="925"/>
      <c r="CQ152" s="925"/>
      <c r="CR152" s="925"/>
      <c r="CS152" s="925"/>
      <c r="CT152" s="925"/>
      <c r="CU152" s="925"/>
      <c r="CV152" s="925"/>
      <c r="CW152" s="925"/>
      <c r="CX152" s="925"/>
      <c r="CY152" s="925"/>
      <c r="CZ152" s="925"/>
      <c r="DA152" s="925"/>
      <c r="DB152" s="925"/>
      <c r="DC152" s="925"/>
      <c r="DD152" s="925"/>
      <c r="DE152" s="925"/>
      <c r="DF152" s="925"/>
      <c r="DG152" s="925"/>
      <c r="DH152" s="925"/>
      <c r="DI152" s="925"/>
      <c r="DJ152" s="925"/>
      <c r="DK152" s="925"/>
      <c r="DL152" s="925"/>
      <c r="DM152" s="925"/>
      <c r="DN152" s="925"/>
      <c r="DO152" s="925"/>
      <c r="DP152" s="925"/>
      <c r="DQ152" s="925"/>
      <c r="DR152" s="925"/>
      <c r="DS152" s="925"/>
      <c r="DT152" s="925"/>
      <c r="DU152" s="925"/>
      <c r="DV152" s="925"/>
      <c r="DW152" s="925"/>
      <c r="DX152" s="925"/>
      <c r="DY152" s="925"/>
      <c r="DZ152" s="925"/>
      <c r="EA152" s="925"/>
      <c r="EB152" s="925"/>
      <c r="EC152" s="925"/>
      <c r="ED152" s="925"/>
      <c r="EE152" s="925"/>
      <c r="EF152" s="925"/>
      <c r="EG152" s="446"/>
    </row>
    <row r="153" spans="1:137" ht="13" x14ac:dyDescent="0.15">
      <c r="A153" s="917"/>
      <c r="B153" s="917"/>
      <c r="C153" s="918"/>
      <c r="D153" s="919"/>
      <c r="E153" s="920"/>
      <c r="F153" s="921"/>
      <c r="G153" s="922"/>
      <c r="H153" s="922"/>
      <c r="I153" s="922"/>
      <c r="J153" s="923"/>
      <c r="K153" s="923"/>
      <c r="L153" s="924"/>
      <c r="M153" s="925"/>
      <c r="N153" s="925"/>
      <c r="O153" s="925"/>
      <c r="P153" s="925"/>
      <c r="Q153" s="925"/>
      <c r="R153" s="926"/>
      <c r="S153" s="926"/>
      <c r="T153" s="925"/>
      <c r="U153" s="925"/>
      <c r="V153" s="925"/>
      <c r="W153" s="925"/>
      <c r="X153" s="925"/>
      <c r="Y153" s="925"/>
      <c r="Z153" s="925"/>
      <c r="AA153" s="925"/>
      <c r="AB153" s="925"/>
      <c r="AC153" s="925"/>
      <c r="AD153" s="925"/>
      <c r="AE153" s="925"/>
      <c r="AF153" s="925"/>
      <c r="AG153" s="925"/>
      <c r="AH153" s="925"/>
      <c r="AI153" s="925"/>
      <c r="AJ153" s="925"/>
      <c r="AK153" s="925"/>
      <c r="AL153" s="925"/>
      <c r="AM153" s="925"/>
      <c r="AN153" s="925"/>
      <c r="AO153" s="925"/>
      <c r="AP153" s="925"/>
      <c r="AQ153" s="925"/>
      <c r="AR153" s="925"/>
      <c r="AS153" s="925"/>
      <c r="AT153" s="925"/>
      <c r="AU153" s="925"/>
      <c r="AV153" s="925"/>
      <c r="AW153" s="925"/>
      <c r="AX153" s="925"/>
      <c r="AY153" s="925"/>
      <c r="AZ153" s="925"/>
      <c r="BA153" s="925"/>
      <c r="BB153" s="925"/>
      <c r="BC153" s="925"/>
      <c r="BD153" s="925"/>
      <c r="BE153" s="925"/>
      <c r="BF153" s="925"/>
      <c r="BG153" s="925"/>
      <c r="BH153" s="925"/>
      <c r="BI153" s="925"/>
      <c r="BJ153" s="925"/>
      <c r="BK153" s="925"/>
      <c r="BL153" s="925"/>
      <c r="BM153" s="925"/>
      <c r="BN153" s="925"/>
      <c r="BO153" s="925"/>
      <c r="BP153" s="925"/>
      <c r="BQ153" s="925"/>
      <c r="BR153" s="925"/>
      <c r="BS153" s="925"/>
      <c r="BT153" s="925"/>
      <c r="BU153" s="925"/>
      <c r="BV153" s="925"/>
      <c r="BW153" s="925"/>
      <c r="BX153" s="925"/>
      <c r="BY153" s="925"/>
      <c r="BZ153" s="925"/>
      <c r="CA153" s="925"/>
      <c r="CB153" s="925"/>
      <c r="CC153" s="925"/>
      <c r="CD153" s="925"/>
      <c r="CE153" s="925"/>
      <c r="CF153" s="925"/>
      <c r="CG153" s="925"/>
      <c r="CH153" s="925"/>
      <c r="CI153" s="925"/>
      <c r="CJ153" s="925"/>
      <c r="CK153" s="925"/>
      <c r="CL153" s="925"/>
      <c r="CM153" s="925"/>
      <c r="CN153" s="925"/>
      <c r="CO153" s="925"/>
      <c r="CP153" s="925"/>
      <c r="CQ153" s="925"/>
      <c r="CR153" s="925"/>
      <c r="CS153" s="925"/>
      <c r="CT153" s="925"/>
      <c r="CU153" s="925"/>
      <c r="CV153" s="925"/>
      <c r="CW153" s="925"/>
      <c r="CX153" s="925"/>
      <c r="CY153" s="925"/>
      <c r="CZ153" s="925"/>
      <c r="DA153" s="925"/>
      <c r="DB153" s="925"/>
      <c r="DC153" s="925"/>
      <c r="DD153" s="925"/>
      <c r="DE153" s="925"/>
      <c r="DF153" s="925"/>
      <c r="DG153" s="925"/>
      <c r="DH153" s="925"/>
      <c r="DI153" s="925"/>
      <c r="DJ153" s="925"/>
      <c r="DK153" s="925"/>
      <c r="DL153" s="925"/>
      <c r="DM153" s="925"/>
      <c r="DN153" s="925"/>
      <c r="DO153" s="925"/>
      <c r="DP153" s="925"/>
      <c r="DQ153" s="925"/>
      <c r="DR153" s="925"/>
      <c r="DS153" s="925"/>
      <c r="DT153" s="925"/>
      <c r="DU153" s="925"/>
      <c r="DV153" s="925"/>
      <c r="DW153" s="925"/>
      <c r="DX153" s="925"/>
      <c r="DY153" s="925"/>
      <c r="DZ153" s="925"/>
      <c r="EA153" s="925"/>
      <c r="EB153" s="925"/>
      <c r="EC153" s="925"/>
      <c r="ED153" s="925"/>
      <c r="EE153" s="925"/>
      <c r="EF153" s="925"/>
      <c r="EG153" s="446"/>
    </row>
    <row r="154" spans="1:137" ht="13" x14ac:dyDescent="0.15">
      <c r="A154" s="917"/>
      <c r="B154" s="917"/>
      <c r="C154" s="918"/>
      <c r="D154" s="919"/>
      <c r="E154" s="920"/>
      <c r="F154" s="921"/>
      <c r="G154" s="922"/>
      <c r="H154" s="922"/>
      <c r="I154" s="922"/>
      <c r="J154" s="923"/>
      <c r="K154" s="923"/>
      <c r="L154" s="924"/>
      <c r="M154" s="925"/>
      <c r="N154" s="925"/>
      <c r="O154" s="925"/>
      <c r="P154" s="925"/>
      <c r="Q154" s="925"/>
      <c r="R154" s="926"/>
      <c r="S154" s="926"/>
      <c r="T154" s="925"/>
      <c r="U154" s="925"/>
      <c r="V154" s="925"/>
      <c r="W154" s="925"/>
      <c r="X154" s="925"/>
      <c r="Y154" s="925"/>
      <c r="Z154" s="925"/>
      <c r="AA154" s="925"/>
      <c r="AB154" s="925"/>
      <c r="AC154" s="925"/>
      <c r="AD154" s="925"/>
      <c r="AE154" s="925"/>
      <c r="AF154" s="925"/>
      <c r="AG154" s="925"/>
      <c r="AH154" s="925"/>
      <c r="AI154" s="925"/>
      <c r="AJ154" s="925"/>
      <c r="AK154" s="925"/>
      <c r="AL154" s="925"/>
      <c r="AM154" s="925"/>
      <c r="AN154" s="925"/>
      <c r="AO154" s="925"/>
      <c r="AP154" s="925"/>
      <c r="AQ154" s="925"/>
      <c r="AR154" s="925"/>
      <c r="AS154" s="925"/>
      <c r="AT154" s="925"/>
      <c r="AU154" s="925"/>
      <c r="AV154" s="925"/>
      <c r="AW154" s="925"/>
      <c r="AX154" s="925"/>
      <c r="AY154" s="925"/>
      <c r="AZ154" s="925"/>
      <c r="BA154" s="925"/>
      <c r="BB154" s="925"/>
      <c r="BC154" s="925"/>
      <c r="BD154" s="925"/>
      <c r="BE154" s="925"/>
      <c r="BF154" s="925"/>
      <c r="BG154" s="925"/>
      <c r="BH154" s="925"/>
      <c r="BI154" s="925"/>
      <c r="BJ154" s="925"/>
      <c r="BK154" s="925"/>
      <c r="BL154" s="925"/>
      <c r="BM154" s="925"/>
      <c r="BN154" s="925"/>
      <c r="BO154" s="925"/>
      <c r="BP154" s="925"/>
      <c r="BQ154" s="925"/>
      <c r="BR154" s="925"/>
      <c r="BS154" s="925"/>
      <c r="BT154" s="925"/>
      <c r="BU154" s="925"/>
      <c r="BV154" s="925"/>
      <c r="BW154" s="925"/>
      <c r="BX154" s="925"/>
      <c r="BY154" s="925"/>
      <c r="BZ154" s="925"/>
      <c r="CA154" s="925"/>
      <c r="CB154" s="925"/>
      <c r="CC154" s="925"/>
      <c r="CD154" s="925"/>
      <c r="CE154" s="925"/>
      <c r="CF154" s="925"/>
      <c r="CG154" s="925"/>
      <c r="CH154" s="925"/>
      <c r="CI154" s="925"/>
      <c r="CJ154" s="925"/>
      <c r="CK154" s="925"/>
      <c r="CL154" s="925"/>
      <c r="CM154" s="925"/>
      <c r="CN154" s="925"/>
      <c r="CO154" s="925"/>
      <c r="CP154" s="925"/>
      <c r="CQ154" s="925"/>
      <c r="CR154" s="925"/>
      <c r="CS154" s="925"/>
      <c r="CT154" s="925"/>
      <c r="CU154" s="925"/>
      <c r="CV154" s="925"/>
      <c r="CW154" s="925"/>
      <c r="CX154" s="925"/>
      <c r="CY154" s="925"/>
      <c r="CZ154" s="925"/>
      <c r="DA154" s="925"/>
      <c r="DB154" s="925"/>
      <c r="DC154" s="925"/>
      <c r="DD154" s="925"/>
      <c r="DE154" s="925"/>
      <c r="DF154" s="925"/>
      <c r="DG154" s="925"/>
      <c r="DH154" s="925"/>
      <c r="DI154" s="925"/>
      <c r="DJ154" s="925"/>
      <c r="DK154" s="925"/>
      <c r="DL154" s="925"/>
      <c r="DM154" s="925"/>
      <c r="DN154" s="925"/>
      <c r="DO154" s="925"/>
      <c r="DP154" s="925"/>
      <c r="DQ154" s="925"/>
      <c r="DR154" s="925"/>
      <c r="DS154" s="925"/>
      <c r="DT154" s="925"/>
      <c r="DU154" s="925"/>
      <c r="DV154" s="925"/>
      <c r="DW154" s="925"/>
      <c r="DX154" s="925"/>
      <c r="DY154" s="925"/>
      <c r="DZ154" s="925"/>
      <c r="EA154" s="925"/>
      <c r="EB154" s="925"/>
      <c r="EC154" s="925"/>
      <c r="ED154" s="925"/>
      <c r="EE154" s="925"/>
      <c r="EF154" s="925"/>
      <c r="EG154" s="446"/>
    </row>
    <row r="155" spans="1:137" ht="13" x14ac:dyDescent="0.15">
      <c r="A155" s="917"/>
      <c r="B155" s="917"/>
      <c r="C155" s="918"/>
      <c r="D155" s="919"/>
      <c r="E155" s="920"/>
      <c r="F155" s="921"/>
      <c r="G155" s="922"/>
      <c r="H155" s="922"/>
      <c r="I155" s="922"/>
      <c r="J155" s="923"/>
      <c r="K155" s="923"/>
      <c r="L155" s="924"/>
      <c r="M155" s="925"/>
      <c r="N155" s="925"/>
      <c r="O155" s="925"/>
      <c r="P155" s="925"/>
      <c r="Q155" s="925"/>
      <c r="R155" s="926"/>
      <c r="S155" s="926"/>
      <c r="T155" s="925"/>
      <c r="U155" s="925"/>
      <c r="V155" s="925"/>
      <c r="W155" s="925"/>
      <c r="X155" s="925"/>
      <c r="Y155" s="925"/>
      <c r="Z155" s="925"/>
      <c r="AA155" s="925"/>
      <c r="AB155" s="925"/>
      <c r="AC155" s="925"/>
      <c r="AD155" s="925"/>
      <c r="AE155" s="925"/>
      <c r="AF155" s="925"/>
      <c r="AG155" s="925"/>
      <c r="AH155" s="925"/>
      <c r="AI155" s="925"/>
      <c r="AJ155" s="925"/>
      <c r="AK155" s="925"/>
      <c r="AL155" s="925"/>
      <c r="AM155" s="925"/>
      <c r="AN155" s="925"/>
      <c r="AO155" s="925"/>
      <c r="AP155" s="925"/>
      <c r="AQ155" s="925"/>
      <c r="AR155" s="925"/>
      <c r="AS155" s="925"/>
      <c r="AT155" s="925"/>
      <c r="AU155" s="925"/>
      <c r="AV155" s="925"/>
      <c r="AW155" s="925"/>
      <c r="AX155" s="925"/>
      <c r="AY155" s="925"/>
      <c r="AZ155" s="925"/>
      <c r="BA155" s="925"/>
      <c r="BB155" s="925"/>
      <c r="BC155" s="925"/>
      <c r="BD155" s="925"/>
      <c r="BE155" s="925"/>
      <c r="BF155" s="925"/>
      <c r="BG155" s="925"/>
      <c r="BH155" s="925"/>
      <c r="BI155" s="925"/>
      <c r="BJ155" s="925"/>
      <c r="BK155" s="925"/>
      <c r="BL155" s="925"/>
      <c r="BM155" s="925"/>
      <c r="BN155" s="925"/>
      <c r="BO155" s="925"/>
      <c r="BP155" s="925"/>
      <c r="BQ155" s="925"/>
      <c r="BR155" s="925"/>
      <c r="BS155" s="925"/>
      <c r="BT155" s="925"/>
      <c r="BU155" s="925"/>
      <c r="BV155" s="925"/>
      <c r="BW155" s="925"/>
      <c r="BX155" s="925"/>
      <c r="BY155" s="925"/>
      <c r="BZ155" s="925"/>
      <c r="CA155" s="925"/>
      <c r="CB155" s="925"/>
      <c r="CC155" s="925"/>
      <c r="CD155" s="925"/>
      <c r="CE155" s="925"/>
      <c r="CF155" s="925"/>
      <c r="CG155" s="925"/>
      <c r="CH155" s="925"/>
      <c r="CI155" s="925"/>
      <c r="CJ155" s="925"/>
      <c r="CK155" s="925"/>
      <c r="CL155" s="925"/>
      <c r="CM155" s="925"/>
      <c r="CN155" s="925"/>
      <c r="CO155" s="925"/>
      <c r="CP155" s="925"/>
      <c r="CQ155" s="925"/>
      <c r="CR155" s="925"/>
      <c r="CS155" s="925"/>
      <c r="CT155" s="925"/>
      <c r="CU155" s="925"/>
      <c r="CV155" s="925"/>
      <c r="CW155" s="925"/>
      <c r="CX155" s="925"/>
      <c r="CY155" s="925"/>
      <c r="CZ155" s="925"/>
      <c r="DA155" s="925"/>
      <c r="DB155" s="925"/>
      <c r="DC155" s="925"/>
      <c r="DD155" s="925"/>
      <c r="DE155" s="925"/>
      <c r="DF155" s="925"/>
      <c r="DG155" s="925"/>
      <c r="DH155" s="925"/>
      <c r="DI155" s="925"/>
      <c r="DJ155" s="925"/>
      <c r="DK155" s="925"/>
      <c r="DL155" s="925"/>
      <c r="DM155" s="925"/>
      <c r="DN155" s="925"/>
      <c r="DO155" s="925"/>
      <c r="DP155" s="925"/>
      <c r="DQ155" s="925"/>
      <c r="DR155" s="925"/>
      <c r="DS155" s="925"/>
      <c r="DT155" s="925"/>
      <c r="DU155" s="925"/>
      <c r="DV155" s="925"/>
      <c r="DW155" s="925"/>
      <c r="DX155" s="925"/>
      <c r="DY155" s="925"/>
      <c r="DZ155" s="925"/>
      <c r="EA155" s="925"/>
      <c r="EB155" s="925"/>
      <c r="EC155" s="925"/>
      <c r="ED155" s="925"/>
      <c r="EE155" s="925"/>
      <c r="EF155" s="925"/>
      <c r="EG155" s="446"/>
    </row>
    <row r="156" spans="1:137" ht="15.75" customHeight="1" x14ac:dyDescent="0.15">
      <c r="L156" s="446"/>
      <c r="M156" s="446"/>
      <c r="N156" s="446"/>
      <c r="O156" s="446"/>
      <c r="P156" s="446"/>
      <c r="Q156" s="925"/>
      <c r="T156" s="446"/>
      <c r="U156" s="446"/>
      <c r="V156" s="446"/>
      <c r="W156" s="446"/>
      <c r="X156" s="446"/>
      <c r="Y156" s="446"/>
      <c r="Z156" s="446"/>
      <c r="AA156" s="446"/>
      <c r="AB156" s="446"/>
      <c r="AC156" s="446"/>
      <c r="AD156" s="446"/>
      <c r="AE156" s="446"/>
      <c r="AF156" s="446"/>
      <c r="AG156" s="446"/>
      <c r="AH156" s="446"/>
      <c r="AI156" s="446"/>
      <c r="AJ156" s="446"/>
      <c r="AK156" s="446"/>
      <c r="AL156" s="446"/>
      <c r="AM156" s="446"/>
      <c r="AN156" s="446"/>
      <c r="AO156" s="446"/>
      <c r="AP156" s="446"/>
      <c r="AQ156" s="446"/>
      <c r="AR156" s="446"/>
      <c r="AS156" s="446"/>
      <c r="AT156" s="446"/>
      <c r="AU156" s="446"/>
      <c r="AV156" s="446"/>
      <c r="AW156" s="446"/>
      <c r="AX156" s="446"/>
      <c r="AY156" s="446"/>
      <c r="AZ156" s="446"/>
      <c r="BA156" s="446"/>
      <c r="BB156" s="446"/>
      <c r="BC156" s="446"/>
      <c r="BD156" s="446"/>
      <c r="BE156" s="446"/>
      <c r="BF156" s="446"/>
      <c r="BG156" s="446"/>
      <c r="BH156" s="446"/>
      <c r="BI156" s="446"/>
      <c r="BJ156" s="446"/>
      <c r="BK156" s="446"/>
      <c r="BL156" s="446"/>
      <c r="BM156" s="446"/>
      <c r="BN156" s="446"/>
      <c r="BO156" s="446"/>
      <c r="BP156" s="446"/>
      <c r="BQ156" s="446"/>
      <c r="BR156" s="446"/>
      <c r="BS156" s="446"/>
      <c r="BT156" s="446"/>
      <c r="BU156" s="446"/>
      <c r="BV156" s="446"/>
      <c r="BW156" s="446"/>
      <c r="BX156" s="446"/>
      <c r="BY156" s="446"/>
      <c r="BZ156" s="446"/>
      <c r="CA156" s="446"/>
      <c r="CB156" s="446"/>
      <c r="CC156" s="446"/>
      <c r="CD156" s="446"/>
      <c r="CE156" s="446"/>
      <c r="CF156" s="446"/>
      <c r="CG156" s="446"/>
      <c r="CH156" s="446"/>
      <c r="CI156" s="446"/>
      <c r="CJ156" s="446"/>
      <c r="CK156" s="446"/>
      <c r="CL156" s="446"/>
      <c r="CM156" s="446"/>
      <c r="CN156" s="446"/>
      <c r="CO156" s="446"/>
      <c r="CP156" s="446"/>
      <c r="CQ156" s="446"/>
      <c r="CR156" s="446"/>
      <c r="CS156" s="446"/>
      <c r="CT156" s="446"/>
      <c r="CU156" s="446"/>
      <c r="CV156" s="446"/>
      <c r="CW156" s="446"/>
      <c r="CX156" s="446"/>
      <c r="CY156" s="446"/>
      <c r="CZ156" s="446"/>
      <c r="DA156" s="446"/>
      <c r="DB156" s="446"/>
      <c r="DC156" s="446"/>
      <c r="DD156" s="446"/>
      <c r="DE156" s="446"/>
      <c r="DF156" s="446"/>
      <c r="DG156" s="446"/>
      <c r="DH156" s="446"/>
      <c r="DI156" s="446"/>
      <c r="DJ156" s="446"/>
      <c r="DK156" s="446"/>
      <c r="DL156" s="446"/>
      <c r="DM156" s="446"/>
      <c r="DN156" s="446"/>
      <c r="DO156" s="446"/>
      <c r="DP156" s="446"/>
      <c r="DQ156" s="446"/>
      <c r="DR156" s="446"/>
      <c r="DS156" s="446"/>
      <c r="DT156" s="446"/>
      <c r="DU156" s="446"/>
      <c r="DV156" s="446"/>
      <c r="DW156" s="446"/>
      <c r="DX156" s="446"/>
      <c r="DY156" s="446"/>
      <c r="DZ156" s="446"/>
      <c r="EA156" s="446"/>
      <c r="EB156" s="446"/>
      <c r="EC156" s="446"/>
      <c r="ED156" s="446"/>
      <c r="EE156" s="446"/>
      <c r="EF156" s="446"/>
      <c r="EG156" s="446"/>
    </row>
    <row r="157" spans="1:137" ht="15.75" customHeight="1" x14ac:dyDescent="0.15">
      <c r="Q157" s="925"/>
    </row>
    <row r="158" spans="1:137" ht="15.75" customHeight="1" x14ac:dyDescent="0.15">
      <c r="Q158" s="925"/>
    </row>
    <row r="159" spans="1:137" ht="15.75" customHeight="1" x14ac:dyDescent="0.15">
      <c r="Q159" s="925"/>
    </row>
    <row r="160" spans="1:137" ht="15.75" customHeight="1" x14ac:dyDescent="0.15">
      <c r="Q160" s="925"/>
    </row>
    <row r="161" spans="17:17" ht="15.75" customHeight="1" x14ac:dyDescent="0.15">
      <c r="Q161" s="925"/>
    </row>
    <row r="162" spans="17:17" ht="15.75" customHeight="1" x14ac:dyDescent="0.15">
      <c r="Q162" s="925"/>
    </row>
    <row r="163" spans="17:17" ht="15.75" customHeight="1" x14ac:dyDescent="0.15">
      <c r="Q163" s="925"/>
    </row>
    <row r="164" spans="17:17" ht="15.75" customHeight="1" x14ac:dyDescent="0.15">
      <c r="Q164" s="925"/>
    </row>
    <row r="165" spans="17:17" ht="15.75" customHeight="1" x14ac:dyDescent="0.15">
      <c r="Q165" s="925"/>
    </row>
    <row r="166" spans="17:17" ht="15.75" customHeight="1" x14ac:dyDescent="0.15">
      <c r="Q166" s="446"/>
    </row>
  </sheetData>
  <mergeCells count="102">
    <mergeCell ref="DU12:DX12"/>
    <mergeCell ref="DY12:EB12"/>
    <mergeCell ref="EC12:EF12"/>
    <mergeCell ref="A13:C13"/>
    <mergeCell ref="CW12:CZ12"/>
    <mergeCell ref="DA12:DD12"/>
    <mergeCell ref="DE12:DH12"/>
    <mergeCell ref="DI12:DL12"/>
    <mergeCell ref="DM12:DP12"/>
    <mergeCell ref="DQ12:DT12"/>
    <mergeCell ref="BY12:CB12"/>
    <mergeCell ref="CC12:CF12"/>
    <mergeCell ref="CG12:CJ12"/>
    <mergeCell ref="CK12:CN12"/>
    <mergeCell ref="CO12:CR12"/>
    <mergeCell ref="CS12:CV12"/>
    <mergeCell ref="BA12:BD12"/>
    <mergeCell ref="BE12:BH12"/>
    <mergeCell ref="BI12:BL12"/>
    <mergeCell ref="BM12:BP12"/>
    <mergeCell ref="BQ12:BT12"/>
    <mergeCell ref="BU12:BX12"/>
    <mergeCell ref="AC12:AF12"/>
    <mergeCell ref="AG12:AJ12"/>
    <mergeCell ref="AK12:AN12"/>
    <mergeCell ref="AO12:AR12"/>
    <mergeCell ref="AS12:AV12"/>
    <mergeCell ref="AW12:AZ12"/>
    <mergeCell ref="D12:H12"/>
    <mergeCell ref="J12:L12"/>
    <mergeCell ref="M12:P12"/>
    <mergeCell ref="Q12:T12"/>
    <mergeCell ref="U12:X12"/>
    <mergeCell ref="Y12:AB12"/>
    <mergeCell ref="DI10:DL10"/>
    <mergeCell ref="DM10:DP10"/>
    <mergeCell ref="DQ10:DT10"/>
    <mergeCell ref="DU10:DX10"/>
    <mergeCell ref="DY10:EB10"/>
    <mergeCell ref="EC10:EF10"/>
    <mergeCell ref="CK10:CN10"/>
    <mergeCell ref="CO10:CR10"/>
    <mergeCell ref="CS10:CV10"/>
    <mergeCell ref="CW10:CZ10"/>
    <mergeCell ref="DA10:DD10"/>
    <mergeCell ref="DE10:DH10"/>
    <mergeCell ref="BM10:BP10"/>
    <mergeCell ref="BQ10:BT10"/>
    <mergeCell ref="BU10:BX10"/>
    <mergeCell ref="BY10:CB10"/>
    <mergeCell ref="CC10:CF10"/>
    <mergeCell ref="CG10:CJ10"/>
    <mergeCell ref="AO10:AR10"/>
    <mergeCell ref="AS10:AV10"/>
    <mergeCell ref="AW10:AZ10"/>
    <mergeCell ref="BA10:BD10"/>
    <mergeCell ref="BE10:BH10"/>
    <mergeCell ref="BI10:BL10"/>
    <mergeCell ref="BM9:BP9"/>
    <mergeCell ref="BQ9:BT9"/>
    <mergeCell ref="BU9:BX9"/>
    <mergeCell ref="BY9:CB9"/>
    <mergeCell ref="CC9:CF9"/>
    <mergeCell ref="CG9:CJ9"/>
    <mergeCell ref="AO9:AR9"/>
    <mergeCell ref="AS9:AV9"/>
    <mergeCell ref="AW9:AZ9"/>
    <mergeCell ref="BA9:BD9"/>
    <mergeCell ref="BE9:BH9"/>
    <mergeCell ref="BI9:BL9"/>
    <mergeCell ref="DU9:DX9"/>
    <mergeCell ref="DY9:EB9"/>
    <mergeCell ref="EC9:EF9"/>
    <mergeCell ref="CK9:CN9"/>
    <mergeCell ref="CO9:CR9"/>
    <mergeCell ref="CS9:CV9"/>
    <mergeCell ref="CW9:CZ9"/>
    <mergeCell ref="DA9:DD9"/>
    <mergeCell ref="DE9:DH9"/>
    <mergeCell ref="DI9:DL9"/>
    <mergeCell ref="DM9:DP9"/>
    <mergeCell ref="DQ9:DT9"/>
    <mergeCell ref="AC9:AF9"/>
    <mergeCell ref="AG9:AJ9"/>
    <mergeCell ref="AK9:AN9"/>
    <mergeCell ref="A1:C1"/>
    <mergeCell ref="E2:H2"/>
    <mergeCell ref="I8:I11"/>
    <mergeCell ref="J8:J11"/>
    <mergeCell ref="K8:K11"/>
    <mergeCell ref="M9:P9"/>
    <mergeCell ref="A10:C10"/>
    <mergeCell ref="M10:P10"/>
    <mergeCell ref="Q10:T10"/>
    <mergeCell ref="U10:X10"/>
    <mergeCell ref="Y10:AB10"/>
    <mergeCell ref="AC10:AF10"/>
    <mergeCell ref="AG10:AJ10"/>
    <mergeCell ref="AK10:AN10"/>
    <mergeCell ref="Q9:T9"/>
    <mergeCell ref="U9:X9"/>
    <mergeCell ref="Y9:AB9"/>
  </mergeCells>
  <conditionalFormatting sqref="M12 Q12:EF12 M13:EF13">
    <cfRule type="expression" dxfId="719" priority="357">
      <formula>$T13="CN"</formula>
    </cfRule>
  </conditionalFormatting>
  <conditionalFormatting sqref="M49 M11:EF11 M12 Q12:EF12 M9:M10 Q10:EF10 M50:P50 M13:EF13 M1:EF8 Q9 U9 Y9 AC9 AG9 AK9 AO9 AS9 AW9 BA9 BE9 BI9 BM9 BQ9 BU9 BY9 CC9 CG9 CK9 CO9 CS9 CW9 DA9 DE9 DI9 DM9 DQ9 DU9 DY9 EC9 N51:P58">
    <cfRule type="expression" dxfId="718" priority="358">
      <formula>M$11=TODAY()</formula>
    </cfRule>
  </conditionalFormatting>
  <conditionalFormatting sqref="M49 M11:EF11 M12 Q12:EF12 M9:M10 Q10:EF10 M50:P50 M13:EF13 M1:EF8 Q9 U9 Y9 AC9 AG9 AK9 AO9 AS9 AW9 BA9 BE9 BI9 BM9 BQ9 BU9 BY9 CC9 CG9 CK9 CO9 CS9 CW9 DA9 DE9 DI9 DM9 DQ9 DU9 DY9 EC9 N51:P58">
    <cfRule type="expression" dxfId="717" priority="359">
      <formula>M$12="CN"</formula>
    </cfRule>
  </conditionalFormatting>
  <conditionalFormatting sqref="U49 U50:X50 V51:X58">
    <cfRule type="expression" dxfId="716" priority="339">
      <formula>U$11=TODAY()</formula>
    </cfRule>
  </conditionalFormatting>
  <conditionalFormatting sqref="U49 U50:X50 V51:X58">
    <cfRule type="expression" dxfId="715" priority="340">
      <formula>U$12="CN"</formula>
    </cfRule>
  </conditionalFormatting>
  <conditionalFormatting sqref="Q49 Q50:T50 R51:T58">
    <cfRule type="expression" dxfId="714" priority="341">
      <formula>Q$11=TODAY()</formula>
    </cfRule>
  </conditionalFormatting>
  <conditionalFormatting sqref="Q49 Q50:T50 R51:T58">
    <cfRule type="expression" dxfId="713" priority="342">
      <formula>Q$12="CN"</formula>
    </cfRule>
  </conditionalFormatting>
  <conditionalFormatting sqref="EC49 EC50:EF50 ED51:EF58">
    <cfRule type="expression" dxfId="712" priority="283">
      <formula>EC$11=TODAY()</formula>
    </cfRule>
  </conditionalFormatting>
  <conditionalFormatting sqref="Y49 Y50:AB50 Z51:AB58">
    <cfRule type="expression" dxfId="711" priority="337">
      <formula>Y$11=TODAY()</formula>
    </cfRule>
  </conditionalFormatting>
  <conditionalFormatting sqref="Y49 Y50:AB50 Z51:AB58">
    <cfRule type="expression" dxfId="710" priority="338">
      <formula>Y$12="CN"</formula>
    </cfRule>
  </conditionalFormatting>
  <conditionalFormatting sqref="AC49 AC50:AF50 AD51:AF58">
    <cfRule type="expression" dxfId="709" priority="335">
      <formula>AC$11=TODAY()</formula>
    </cfRule>
  </conditionalFormatting>
  <conditionalFormatting sqref="AC49 AC50:AF50 AD51:AF58">
    <cfRule type="expression" dxfId="708" priority="336">
      <formula>AC$12="CN"</formula>
    </cfRule>
  </conditionalFormatting>
  <conditionalFormatting sqref="AG49 AG50:AJ50 AH51:AJ58">
    <cfRule type="expression" dxfId="707" priority="333">
      <formula>AG$11=TODAY()</formula>
    </cfRule>
  </conditionalFormatting>
  <conditionalFormatting sqref="AG49 AG50:AJ50 AH51:AJ58">
    <cfRule type="expression" dxfId="706" priority="334">
      <formula>AG$12="CN"</formula>
    </cfRule>
  </conditionalFormatting>
  <conditionalFormatting sqref="AK49 AK50:AN50 AL51:AN58">
    <cfRule type="expression" dxfId="705" priority="331">
      <formula>AK$11=TODAY()</formula>
    </cfRule>
  </conditionalFormatting>
  <conditionalFormatting sqref="AK49 AK50:AN50 AL51:AN58">
    <cfRule type="expression" dxfId="704" priority="332">
      <formula>AK$12="CN"</formula>
    </cfRule>
  </conditionalFormatting>
  <conditionalFormatting sqref="AO49 AO50:AR50 AP51:AR58">
    <cfRule type="expression" dxfId="703" priority="329">
      <formula>AO$11=TODAY()</formula>
    </cfRule>
  </conditionalFormatting>
  <conditionalFormatting sqref="AO49 AO50:AR50 AP51:AR58">
    <cfRule type="expression" dxfId="702" priority="330">
      <formula>AO$12="CN"</formula>
    </cfRule>
  </conditionalFormatting>
  <conditionalFormatting sqref="AS49 AS50:AV50 AT51:AV58">
    <cfRule type="expression" dxfId="701" priority="327">
      <formula>AS$11=TODAY()</formula>
    </cfRule>
  </conditionalFormatting>
  <conditionalFormatting sqref="AS49 AS50:AV50 AT51:AV58">
    <cfRule type="expression" dxfId="700" priority="328">
      <formula>AS$12="CN"</formula>
    </cfRule>
  </conditionalFormatting>
  <conditionalFormatting sqref="AW49 AW50:AZ50 AX51:AZ58">
    <cfRule type="expression" dxfId="699" priority="325">
      <formula>AW$11=TODAY()</formula>
    </cfRule>
  </conditionalFormatting>
  <conditionalFormatting sqref="AW49 AW50:AZ50 AX51:AZ58">
    <cfRule type="expression" dxfId="698" priority="326">
      <formula>AW$12="CN"</formula>
    </cfRule>
  </conditionalFormatting>
  <conditionalFormatting sqref="BA49 BA50:BD50 BB51:BD58">
    <cfRule type="expression" dxfId="697" priority="323">
      <formula>BA$11=TODAY()</formula>
    </cfRule>
  </conditionalFormatting>
  <conditionalFormatting sqref="BA49 BA50:BD50 BB51:BD58">
    <cfRule type="expression" dxfId="696" priority="324">
      <formula>BA$12="CN"</formula>
    </cfRule>
  </conditionalFormatting>
  <conditionalFormatting sqref="BE49 BE50:BH50 BF51:BH58">
    <cfRule type="expression" dxfId="695" priority="321">
      <formula>BE$11=TODAY()</formula>
    </cfRule>
  </conditionalFormatting>
  <conditionalFormatting sqref="BE49 BE50:BH50 BF51:BH58">
    <cfRule type="expression" dxfId="694" priority="322">
      <formula>BE$12="CN"</formula>
    </cfRule>
  </conditionalFormatting>
  <conditionalFormatting sqref="BI49 BI50:BL50 BJ51:BL58">
    <cfRule type="expression" dxfId="693" priority="319">
      <formula>BI$11=TODAY()</formula>
    </cfRule>
  </conditionalFormatting>
  <conditionalFormatting sqref="BI49 BI50:BL50 BJ51:BL58">
    <cfRule type="expression" dxfId="692" priority="320">
      <formula>BI$12="CN"</formula>
    </cfRule>
  </conditionalFormatting>
  <conditionalFormatting sqref="BM49 BM50:BP50 BN51:BP58">
    <cfRule type="expression" dxfId="691" priority="317">
      <formula>BM$11=TODAY()</formula>
    </cfRule>
  </conditionalFormatting>
  <conditionalFormatting sqref="BM49 BM50:BP50 BN51:BP58">
    <cfRule type="expression" dxfId="690" priority="318">
      <formula>BM$12="CN"</formula>
    </cfRule>
  </conditionalFormatting>
  <conditionalFormatting sqref="BQ49 BQ50:BT50 BR51:BT58">
    <cfRule type="expression" dxfId="689" priority="315">
      <formula>BQ$11=TODAY()</formula>
    </cfRule>
  </conditionalFormatting>
  <conditionalFormatting sqref="BQ49 BQ50:BT50 BR51:BT58">
    <cfRule type="expression" dxfId="688" priority="316">
      <formula>BQ$12="CN"</formula>
    </cfRule>
  </conditionalFormatting>
  <conditionalFormatting sqref="BU49 BU50:BX50 BV51:BX58">
    <cfRule type="expression" dxfId="687" priority="313">
      <formula>BU$11=TODAY()</formula>
    </cfRule>
  </conditionalFormatting>
  <conditionalFormatting sqref="BU49 BU50:BX50 BV51:BX58">
    <cfRule type="expression" dxfId="686" priority="314">
      <formula>BU$12="CN"</formula>
    </cfRule>
  </conditionalFormatting>
  <conditionalFormatting sqref="BY49 BY50:CB50 BZ51:CB58">
    <cfRule type="expression" dxfId="685" priority="311">
      <formula>BY$11=TODAY()</formula>
    </cfRule>
  </conditionalFormatting>
  <conditionalFormatting sqref="BY49 BY50:CB50 BZ51:CB58">
    <cfRule type="expression" dxfId="684" priority="312">
      <formula>BY$12="CN"</formula>
    </cfRule>
  </conditionalFormatting>
  <conditionalFormatting sqref="CC49 CC50:CF50 CD51:CF58">
    <cfRule type="expression" dxfId="683" priority="309">
      <formula>CC$11=TODAY()</formula>
    </cfRule>
  </conditionalFormatting>
  <conditionalFormatting sqref="CC49 CC50:CF50 CD51:CF58">
    <cfRule type="expression" dxfId="682" priority="310">
      <formula>CC$12="CN"</formula>
    </cfRule>
  </conditionalFormatting>
  <conditionalFormatting sqref="CG49 CG50:CJ50 CH51:CJ58">
    <cfRule type="expression" dxfId="681" priority="307">
      <formula>CG$11=TODAY()</formula>
    </cfRule>
  </conditionalFormatting>
  <conditionalFormatting sqref="CG49 CG50:CJ50 CH51:CJ58">
    <cfRule type="expression" dxfId="680" priority="308">
      <formula>CG$12="CN"</formula>
    </cfRule>
  </conditionalFormatting>
  <conditionalFormatting sqref="CK49 CK50:CN50 CL51:CN58">
    <cfRule type="expression" dxfId="679" priority="305">
      <formula>CK$11=TODAY()</formula>
    </cfRule>
  </conditionalFormatting>
  <conditionalFormatting sqref="CK49 CK50:CN50 CL51:CN58">
    <cfRule type="expression" dxfId="678" priority="306">
      <formula>CK$12="CN"</formula>
    </cfRule>
  </conditionalFormatting>
  <conditionalFormatting sqref="CO49 CO50:CR50 CP51:CR58">
    <cfRule type="expression" dxfId="677" priority="303">
      <formula>CO$11=TODAY()</formula>
    </cfRule>
  </conditionalFormatting>
  <conditionalFormatting sqref="CO49 CO50:CR50 CP51:CR58">
    <cfRule type="expression" dxfId="676" priority="304">
      <formula>CO$12="CN"</formula>
    </cfRule>
  </conditionalFormatting>
  <conditionalFormatting sqref="CS49 CS50:CV50 CT51:CV58">
    <cfRule type="expression" dxfId="675" priority="301">
      <formula>CS$11=TODAY()</formula>
    </cfRule>
  </conditionalFormatting>
  <conditionalFormatting sqref="CS49 CS50:CV50 CT51:CV58">
    <cfRule type="expression" dxfId="674" priority="302">
      <formula>CS$12="CN"</formula>
    </cfRule>
  </conditionalFormatting>
  <conditionalFormatting sqref="CW49 CW50:CZ50 CX51:CZ58">
    <cfRule type="expression" dxfId="673" priority="299">
      <formula>CW$11=TODAY()</formula>
    </cfRule>
  </conditionalFormatting>
  <conditionalFormatting sqref="CW49 CW50:CZ50 CX51:CZ58">
    <cfRule type="expression" dxfId="672" priority="300">
      <formula>CW$12="CN"</formula>
    </cfRule>
  </conditionalFormatting>
  <conditionalFormatting sqref="DA49 DA50:DD50 DB51:DD58">
    <cfRule type="expression" dxfId="671" priority="297">
      <formula>DA$11=TODAY()</formula>
    </cfRule>
  </conditionalFormatting>
  <conditionalFormatting sqref="DA49 DA50:DD50 DB51:DD58">
    <cfRule type="expression" dxfId="670" priority="298">
      <formula>DA$12="CN"</formula>
    </cfRule>
  </conditionalFormatting>
  <conditionalFormatting sqref="DE49 DE50:DH50 DF51:DH58">
    <cfRule type="expression" dxfId="669" priority="295">
      <formula>DE$11=TODAY()</formula>
    </cfRule>
  </conditionalFormatting>
  <conditionalFormatting sqref="DE49 DE50:DH50 DF51:DH58">
    <cfRule type="expression" dxfId="668" priority="296">
      <formula>DE$12="CN"</formula>
    </cfRule>
  </conditionalFormatting>
  <conditionalFormatting sqref="DI49 DI50:DL50 DJ51:DL58">
    <cfRule type="expression" dxfId="667" priority="293">
      <formula>DI$11=TODAY()</formula>
    </cfRule>
  </conditionalFormatting>
  <conditionalFormatting sqref="DI49 DI50:DL50 DJ51:DL58">
    <cfRule type="expression" dxfId="666" priority="294">
      <formula>DI$12="CN"</formula>
    </cfRule>
  </conditionalFormatting>
  <conditionalFormatting sqref="DM49 DM50:DP50 DN51:DP58">
    <cfRule type="expression" dxfId="665" priority="291">
      <formula>DM$11=TODAY()</formula>
    </cfRule>
  </conditionalFormatting>
  <conditionalFormatting sqref="DM49 DM50:DP50 DN51:DP58">
    <cfRule type="expression" dxfId="664" priority="292">
      <formula>DM$12="CN"</formula>
    </cfRule>
  </conditionalFormatting>
  <conditionalFormatting sqref="DQ49 DQ50:DT50 DR51:DT58">
    <cfRule type="expression" dxfId="663" priority="289">
      <formula>DQ$11=TODAY()</formula>
    </cfRule>
  </conditionalFormatting>
  <conditionalFormatting sqref="DQ49 DQ50:DT50 DR51:DT58">
    <cfRule type="expression" dxfId="662" priority="290">
      <formula>DQ$12="CN"</formula>
    </cfRule>
  </conditionalFormatting>
  <conditionalFormatting sqref="DU49 DU50:DX50 DV51:DX58">
    <cfRule type="expression" dxfId="661" priority="287">
      <formula>DU$11=TODAY()</formula>
    </cfRule>
  </conditionalFormatting>
  <conditionalFormatting sqref="DU49 DU50:DX50 DV51:DX58">
    <cfRule type="expression" dxfId="660" priority="288">
      <formula>DU$12="CN"</formula>
    </cfRule>
  </conditionalFormatting>
  <conditionalFormatting sqref="DY49 DY50:EB50 DZ51:EB58">
    <cfRule type="expression" dxfId="659" priority="285">
      <formula>DY$11=TODAY()</formula>
    </cfRule>
  </conditionalFormatting>
  <conditionalFormatting sqref="DY49 DY50:EB50 DZ51:EB58">
    <cfRule type="expression" dxfId="658" priority="286">
      <formula>DY$12="CN"</formula>
    </cfRule>
  </conditionalFormatting>
  <conditionalFormatting sqref="EC49 EC50:EF50 ED51:EF58">
    <cfRule type="expression" dxfId="657" priority="284">
      <formula>EC$12="CN"</formula>
    </cfRule>
  </conditionalFormatting>
  <conditionalFormatting sqref="M14:P48">
    <cfRule type="expression" dxfId="656" priority="281">
      <formula>M$11=TODAY()</formula>
    </cfRule>
  </conditionalFormatting>
  <conditionalFormatting sqref="M14:P48">
    <cfRule type="expression" dxfId="655" priority="282">
      <formula>M$12="CN"</formula>
    </cfRule>
  </conditionalFormatting>
  <conditionalFormatting sqref="Q14:T40 Q48:T48 R47:T47 Q41:Q46 S41:T46">
    <cfRule type="expression" dxfId="654" priority="279">
      <formula>Q$11=TODAY()</formula>
    </cfRule>
  </conditionalFormatting>
  <conditionalFormatting sqref="Q14:T40 Q48:T48 R47:T47 Q41:Q46 S41:T46">
    <cfRule type="expression" dxfId="653" priority="280">
      <formula>Q$12="CN"</formula>
    </cfRule>
  </conditionalFormatting>
  <conditionalFormatting sqref="Q47">
    <cfRule type="expression" dxfId="652" priority="277">
      <formula>Q$11=TODAY()</formula>
    </cfRule>
  </conditionalFormatting>
  <conditionalFormatting sqref="Q47">
    <cfRule type="expression" dxfId="651" priority="278">
      <formula>Q$12="CN"</formula>
    </cfRule>
  </conditionalFormatting>
  <conditionalFormatting sqref="R46">
    <cfRule type="expression" dxfId="650" priority="275">
      <formula>R$11=TODAY()</formula>
    </cfRule>
  </conditionalFormatting>
  <conditionalFormatting sqref="R46">
    <cfRule type="expression" dxfId="649" priority="276">
      <formula>R$12="CN"</formula>
    </cfRule>
  </conditionalFormatting>
  <conditionalFormatting sqref="U48:X48">
    <cfRule type="expression" dxfId="648" priority="273">
      <formula>U$11=TODAY()</formula>
    </cfRule>
  </conditionalFormatting>
  <conditionalFormatting sqref="U48:X48">
    <cfRule type="expression" dxfId="647" priority="274">
      <formula>U$12="CN"</formula>
    </cfRule>
  </conditionalFormatting>
  <conditionalFormatting sqref="U14:X40 W41:X47">
    <cfRule type="expression" dxfId="646" priority="271">
      <formula>U$11=TODAY()</formula>
    </cfRule>
  </conditionalFormatting>
  <conditionalFormatting sqref="U14:X40 W41:X47">
    <cfRule type="expression" dxfId="645" priority="272">
      <formula>U$12="CN"</formula>
    </cfRule>
  </conditionalFormatting>
  <conditionalFormatting sqref="Y48:AB48">
    <cfRule type="expression" dxfId="644" priority="269">
      <formula>Y$11=TODAY()</formula>
    </cfRule>
  </conditionalFormatting>
  <conditionalFormatting sqref="Y48:AB48">
    <cfRule type="expression" dxfId="643" priority="270">
      <formula>Y$12="CN"</formula>
    </cfRule>
  </conditionalFormatting>
  <conditionalFormatting sqref="Y14:AB40 AA41:AB47">
    <cfRule type="expression" dxfId="642" priority="267">
      <formula>Y$11=TODAY()</formula>
    </cfRule>
  </conditionalFormatting>
  <conditionalFormatting sqref="Y14:AB40 AA41:AB47">
    <cfRule type="expression" dxfId="641" priority="268">
      <formula>Y$12="CN"</formula>
    </cfRule>
  </conditionalFormatting>
  <conditionalFormatting sqref="AC48:AF48">
    <cfRule type="expression" dxfId="640" priority="265">
      <formula>AC$11=TODAY()</formula>
    </cfRule>
  </conditionalFormatting>
  <conditionalFormatting sqref="AC48:AF48">
    <cfRule type="expression" dxfId="639" priority="266">
      <formula>AC$12="CN"</formula>
    </cfRule>
  </conditionalFormatting>
  <conditionalFormatting sqref="AC14:AF40 AE41:AF47">
    <cfRule type="expression" dxfId="638" priority="263">
      <formula>AC$11=TODAY()</formula>
    </cfRule>
  </conditionalFormatting>
  <conditionalFormatting sqref="AC14:AF40 AE41:AF47">
    <cfRule type="expression" dxfId="637" priority="264">
      <formula>AC$12="CN"</formula>
    </cfRule>
  </conditionalFormatting>
  <conditionalFormatting sqref="AG48:AJ48">
    <cfRule type="expression" dxfId="636" priority="261">
      <formula>AG$11=TODAY()</formula>
    </cfRule>
  </conditionalFormatting>
  <conditionalFormatting sqref="AG48:AJ48">
    <cfRule type="expression" dxfId="635" priority="262">
      <formula>AG$12="CN"</formula>
    </cfRule>
  </conditionalFormatting>
  <conditionalFormatting sqref="AG14:AJ40 AI41:AJ47">
    <cfRule type="expression" dxfId="634" priority="259">
      <formula>AG$11=TODAY()</formula>
    </cfRule>
  </conditionalFormatting>
  <conditionalFormatting sqref="AG14:AJ40 AI41:AJ47">
    <cfRule type="expression" dxfId="633" priority="260">
      <formula>AG$12="CN"</formula>
    </cfRule>
  </conditionalFormatting>
  <conditionalFormatting sqref="AK48:AN48">
    <cfRule type="expression" dxfId="632" priority="257">
      <formula>AK$11=TODAY()</formula>
    </cfRule>
  </conditionalFormatting>
  <conditionalFormatting sqref="AK48:AN48">
    <cfRule type="expression" dxfId="631" priority="258">
      <formula>AK$12="CN"</formula>
    </cfRule>
  </conditionalFormatting>
  <conditionalFormatting sqref="AK14:AN40 AM41:AN47">
    <cfRule type="expression" dxfId="630" priority="255">
      <formula>AK$11=TODAY()</formula>
    </cfRule>
  </conditionalFormatting>
  <conditionalFormatting sqref="AK14:AN40 AM41:AN47">
    <cfRule type="expression" dxfId="629" priority="256">
      <formula>AK$12="CN"</formula>
    </cfRule>
  </conditionalFormatting>
  <conditionalFormatting sqref="AO48:AR48">
    <cfRule type="expression" dxfId="628" priority="253">
      <formula>AO$11=TODAY()</formula>
    </cfRule>
  </conditionalFormatting>
  <conditionalFormatting sqref="AO48:AR48">
    <cfRule type="expression" dxfId="627" priority="254">
      <formula>AO$12="CN"</formula>
    </cfRule>
  </conditionalFormatting>
  <conditionalFormatting sqref="AO14:AR40 AQ41:AR47">
    <cfRule type="expression" dxfId="626" priority="251">
      <formula>AO$11=TODAY()</formula>
    </cfRule>
  </conditionalFormatting>
  <conditionalFormatting sqref="AO14:AR40 AQ41:AR47">
    <cfRule type="expression" dxfId="625" priority="252">
      <formula>AO$12="CN"</formula>
    </cfRule>
  </conditionalFormatting>
  <conditionalFormatting sqref="AS48:AV48">
    <cfRule type="expression" dxfId="624" priority="249">
      <formula>AS$11=TODAY()</formula>
    </cfRule>
  </conditionalFormatting>
  <conditionalFormatting sqref="AS48:AV48">
    <cfRule type="expression" dxfId="623" priority="250">
      <formula>AS$12="CN"</formula>
    </cfRule>
  </conditionalFormatting>
  <conditionalFormatting sqref="AS14:AV40 AU41:AV47">
    <cfRule type="expression" dxfId="622" priority="247">
      <formula>AS$11=TODAY()</formula>
    </cfRule>
  </conditionalFormatting>
  <conditionalFormatting sqref="AS14:AV40 AU41:AV47">
    <cfRule type="expression" dxfId="621" priority="248">
      <formula>AS$12="CN"</formula>
    </cfRule>
  </conditionalFormatting>
  <conditionalFormatting sqref="AW48:AZ48">
    <cfRule type="expression" dxfId="620" priority="245">
      <formula>AW$11=TODAY()</formula>
    </cfRule>
  </conditionalFormatting>
  <conditionalFormatting sqref="AW48:AZ48">
    <cfRule type="expression" dxfId="619" priority="246">
      <formula>AW$12="CN"</formula>
    </cfRule>
  </conditionalFormatting>
  <conditionalFormatting sqref="AW14:AZ40 AY41:AZ47">
    <cfRule type="expression" dxfId="618" priority="243">
      <formula>AW$11=TODAY()</formula>
    </cfRule>
  </conditionalFormatting>
  <conditionalFormatting sqref="AW14:AZ40 AY41:AZ47">
    <cfRule type="expression" dxfId="617" priority="244">
      <formula>AW$12="CN"</formula>
    </cfRule>
  </conditionalFormatting>
  <conditionalFormatting sqref="BA48:BD48">
    <cfRule type="expression" dxfId="616" priority="241">
      <formula>BA$11=TODAY()</formula>
    </cfRule>
  </conditionalFormatting>
  <conditionalFormatting sqref="BA48:BD48">
    <cfRule type="expression" dxfId="615" priority="242">
      <formula>BA$12="CN"</formula>
    </cfRule>
  </conditionalFormatting>
  <conditionalFormatting sqref="BA14:BD40 BC41:BD47">
    <cfRule type="expression" dxfId="614" priority="239">
      <formula>BA$11=TODAY()</formula>
    </cfRule>
  </conditionalFormatting>
  <conditionalFormatting sqref="BA14:BD40 BC41:BD47">
    <cfRule type="expression" dxfId="613" priority="240">
      <formula>BA$12="CN"</formula>
    </cfRule>
  </conditionalFormatting>
  <conditionalFormatting sqref="BE48:BH48">
    <cfRule type="expression" dxfId="612" priority="237">
      <formula>BE$11=TODAY()</formula>
    </cfRule>
  </conditionalFormatting>
  <conditionalFormatting sqref="BE48:BH48">
    <cfRule type="expression" dxfId="611" priority="238">
      <formula>BE$12="CN"</formula>
    </cfRule>
  </conditionalFormatting>
  <conditionalFormatting sqref="BE14:BH40 BG41:BH47">
    <cfRule type="expression" dxfId="610" priority="235">
      <formula>BE$11=TODAY()</formula>
    </cfRule>
  </conditionalFormatting>
  <conditionalFormatting sqref="BE14:BH40 BG41:BH47">
    <cfRule type="expression" dxfId="609" priority="236">
      <formula>BE$12="CN"</formula>
    </cfRule>
  </conditionalFormatting>
  <conditionalFormatting sqref="BI48:BL48">
    <cfRule type="expression" dxfId="608" priority="233">
      <formula>BI$11=TODAY()</formula>
    </cfRule>
  </conditionalFormatting>
  <conditionalFormatting sqref="BI48:BL48">
    <cfRule type="expression" dxfId="607" priority="234">
      <formula>BI$12="CN"</formula>
    </cfRule>
  </conditionalFormatting>
  <conditionalFormatting sqref="BI14:BL40 BJ47:BL47 BI41:BI46 BK41:BL46">
    <cfRule type="expression" dxfId="606" priority="231">
      <formula>BI$11=TODAY()</formula>
    </cfRule>
  </conditionalFormatting>
  <conditionalFormatting sqref="BI14:BL40 BJ47:BL47 BI41:BI46 BK41:BL46">
    <cfRule type="expression" dxfId="605" priority="232">
      <formula>BI$12="CN"</formula>
    </cfRule>
  </conditionalFormatting>
  <conditionalFormatting sqref="BI47">
    <cfRule type="expression" dxfId="604" priority="229">
      <formula>BI$11=TODAY()</formula>
    </cfRule>
  </conditionalFormatting>
  <conditionalFormatting sqref="BI47">
    <cfRule type="expression" dxfId="603" priority="230">
      <formula>BI$12="CN"</formula>
    </cfRule>
  </conditionalFormatting>
  <conditionalFormatting sqref="BJ41:BJ46">
    <cfRule type="expression" dxfId="602" priority="227">
      <formula>BJ$11=TODAY()</formula>
    </cfRule>
  </conditionalFormatting>
  <conditionalFormatting sqref="BJ41:BJ46">
    <cfRule type="expression" dxfId="601" priority="228">
      <formula>BJ$12="CN"</formula>
    </cfRule>
  </conditionalFormatting>
  <conditionalFormatting sqref="BM48:BP48">
    <cfRule type="expression" dxfId="600" priority="225">
      <formula>BM$11=TODAY()</formula>
    </cfRule>
  </conditionalFormatting>
  <conditionalFormatting sqref="BM48:BP48">
    <cfRule type="expression" dxfId="599" priority="226">
      <formula>BM$12="CN"</formula>
    </cfRule>
  </conditionalFormatting>
  <conditionalFormatting sqref="BM14:BP40 BN47:BP47 BM41:BM46 BO41:BP46">
    <cfRule type="expression" dxfId="598" priority="223">
      <formula>BM$11=TODAY()</formula>
    </cfRule>
  </conditionalFormatting>
  <conditionalFormatting sqref="BM14:BP40 BN47:BP47 BM41:BM46 BO41:BP46">
    <cfRule type="expression" dxfId="597" priority="224">
      <formula>BM$12="CN"</formula>
    </cfRule>
  </conditionalFormatting>
  <conditionalFormatting sqref="BM47">
    <cfRule type="expression" dxfId="596" priority="221">
      <formula>BM$11=TODAY()</formula>
    </cfRule>
  </conditionalFormatting>
  <conditionalFormatting sqref="BM47">
    <cfRule type="expression" dxfId="595" priority="222">
      <formula>BM$12="CN"</formula>
    </cfRule>
  </conditionalFormatting>
  <conditionalFormatting sqref="BN41:BN46">
    <cfRule type="expression" dxfId="594" priority="219">
      <formula>BN$11=TODAY()</formula>
    </cfRule>
  </conditionalFormatting>
  <conditionalFormatting sqref="BN41:BN46">
    <cfRule type="expression" dxfId="593" priority="220">
      <formula>BN$12="CN"</formula>
    </cfRule>
  </conditionalFormatting>
  <conditionalFormatting sqref="BQ48:BT48">
    <cfRule type="expression" dxfId="592" priority="217">
      <formula>BQ$11=TODAY()</formula>
    </cfRule>
  </conditionalFormatting>
  <conditionalFormatting sqref="BQ48:BT48">
    <cfRule type="expression" dxfId="591" priority="218">
      <formula>BQ$12="CN"</formula>
    </cfRule>
  </conditionalFormatting>
  <conditionalFormatting sqref="BQ14:BT40 BR47:BT47 BQ41:BQ46 BS41:BT46">
    <cfRule type="expression" dxfId="590" priority="215">
      <formula>BQ$11=TODAY()</formula>
    </cfRule>
  </conditionalFormatting>
  <conditionalFormatting sqref="BQ14:BT40 BR47:BT47 BQ41:BQ46 BS41:BT46">
    <cfRule type="expression" dxfId="589" priority="216">
      <formula>BQ$12="CN"</formula>
    </cfRule>
  </conditionalFormatting>
  <conditionalFormatting sqref="BQ47">
    <cfRule type="expression" dxfId="588" priority="213">
      <formula>BQ$11=TODAY()</formula>
    </cfRule>
  </conditionalFormatting>
  <conditionalFormatting sqref="BQ47">
    <cfRule type="expression" dxfId="587" priority="214">
      <formula>BQ$12="CN"</formula>
    </cfRule>
  </conditionalFormatting>
  <conditionalFormatting sqref="BR41:BR46">
    <cfRule type="expression" dxfId="586" priority="211">
      <formula>BR$11=TODAY()</formula>
    </cfRule>
  </conditionalFormatting>
  <conditionalFormatting sqref="BR41:BR46">
    <cfRule type="expression" dxfId="585" priority="212">
      <formula>BR$12="CN"</formula>
    </cfRule>
  </conditionalFormatting>
  <conditionalFormatting sqref="BU48:BX48">
    <cfRule type="expression" dxfId="584" priority="209">
      <formula>BU$11=TODAY()</formula>
    </cfRule>
  </conditionalFormatting>
  <conditionalFormatting sqref="BU48:BX48">
    <cfRule type="expression" dxfId="583" priority="210">
      <formula>BU$12="CN"</formula>
    </cfRule>
  </conditionalFormatting>
  <conditionalFormatting sqref="BU14:BX40 BV47:BX47 BU41:BU46 BW41:BX46">
    <cfRule type="expression" dxfId="582" priority="207">
      <formula>BU$11=TODAY()</formula>
    </cfRule>
  </conditionalFormatting>
  <conditionalFormatting sqref="BU14:BX40 BV47:BX47 BU41:BU46 BW41:BX46">
    <cfRule type="expression" dxfId="581" priority="208">
      <formula>BU$12="CN"</formula>
    </cfRule>
  </conditionalFormatting>
  <conditionalFormatting sqref="BU47">
    <cfRule type="expression" dxfId="580" priority="205">
      <formula>BU$11=TODAY()</formula>
    </cfRule>
  </conditionalFormatting>
  <conditionalFormatting sqref="BU47">
    <cfRule type="expression" dxfId="579" priority="206">
      <formula>BU$12="CN"</formula>
    </cfRule>
  </conditionalFormatting>
  <conditionalFormatting sqref="BV41:BV46">
    <cfRule type="expression" dxfId="578" priority="203">
      <formula>BV$11=TODAY()</formula>
    </cfRule>
  </conditionalFormatting>
  <conditionalFormatting sqref="BV41:BV46">
    <cfRule type="expression" dxfId="577" priority="204">
      <formula>BV$12="CN"</formula>
    </cfRule>
  </conditionalFormatting>
  <conditionalFormatting sqref="BY48:CB48">
    <cfRule type="expression" dxfId="576" priority="201">
      <formula>BY$11=TODAY()</formula>
    </cfRule>
  </conditionalFormatting>
  <conditionalFormatting sqref="BY48:CB48">
    <cfRule type="expression" dxfId="575" priority="202">
      <formula>BY$12="CN"</formula>
    </cfRule>
  </conditionalFormatting>
  <conditionalFormatting sqref="BY14:CB40 BZ47:CB47 BY41:BY46 CA41:CB46">
    <cfRule type="expression" dxfId="574" priority="199">
      <formula>BY$11=TODAY()</formula>
    </cfRule>
  </conditionalFormatting>
  <conditionalFormatting sqref="BY14:CB40 BZ47:CB47 BY41:BY46 CA41:CB46">
    <cfRule type="expression" dxfId="573" priority="200">
      <formula>BY$12="CN"</formula>
    </cfRule>
  </conditionalFormatting>
  <conditionalFormatting sqref="BY47">
    <cfRule type="expression" dxfId="572" priority="197">
      <formula>BY$11=TODAY()</formula>
    </cfRule>
  </conditionalFormatting>
  <conditionalFormatting sqref="BY47">
    <cfRule type="expression" dxfId="571" priority="198">
      <formula>BY$12="CN"</formula>
    </cfRule>
  </conditionalFormatting>
  <conditionalFormatting sqref="BZ41:BZ46">
    <cfRule type="expression" dxfId="570" priority="195">
      <formula>BZ$11=TODAY()</formula>
    </cfRule>
  </conditionalFormatting>
  <conditionalFormatting sqref="BZ41:BZ46">
    <cfRule type="expression" dxfId="569" priority="196">
      <formula>BZ$12="CN"</formula>
    </cfRule>
  </conditionalFormatting>
  <conditionalFormatting sqref="CC48:CF48">
    <cfRule type="expression" dxfId="568" priority="193">
      <formula>CC$11=TODAY()</formula>
    </cfRule>
  </conditionalFormatting>
  <conditionalFormatting sqref="CC48:CF48">
    <cfRule type="expression" dxfId="567" priority="194">
      <formula>CC$12="CN"</formula>
    </cfRule>
  </conditionalFormatting>
  <conditionalFormatting sqref="CC14:CF40 CD47:CF47 CC41:CC46 CE41:CF46">
    <cfRule type="expression" dxfId="566" priority="191">
      <formula>CC$11=TODAY()</formula>
    </cfRule>
  </conditionalFormatting>
  <conditionalFormatting sqref="CC14:CF40 CD47:CF47 CC41:CC46 CE41:CF46">
    <cfRule type="expression" dxfId="565" priority="192">
      <formula>CC$12="CN"</formula>
    </cfRule>
  </conditionalFormatting>
  <conditionalFormatting sqref="CC47">
    <cfRule type="expression" dxfId="564" priority="189">
      <formula>CC$11=TODAY()</formula>
    </cfRule>
  </conditionalFormatting>
  <conditionalFormatting sqref="CC47">
    <cfRule type="expression" dxfId="563" priority="190">
      <formula>CC$12="CN"</formula>
    </cfRule>
  </conditionalFormatting>
  <conditionalFormatting sqref="CD41:CD46">
    <cfRule type="expression" dxfId="562" priority="187">
      <formula>CD$11=TODAY()</formula>
    </cfRule>
  </conditionalFormatting>
  <conditionalFormatting sqref="CD41:CD46">
    <cfRule type="expression" dxfId="561" priority="188">
      <formula>CD$12="CN"</formula>
    </cfRule>
  </conditionalFormatting>
  <conditionalFormatting sqref="CG48:CJ48">
    <cfRule type="expression" dxfId="560" priority="185">
      <formula>CG$11=TODAY()</formula>
    </cfRule>
  </conditionalFormatting>
  <conditionalFormatting sqref="CG48:CJ48">
    <cfRule type="expression" dxfId="559" priority="186">
      <formula>CG$12="CN"</formula>
    </cfRule>
  </conditionalFormatting>
  <conditionalFormatting sqref="CG14:CJ40 CH47:CJ47 CG41:CG46 CI41:CJ46">
    <cfRule type="expression" dxfId="558" priority="183">
      <formula>CG$11=TODAY()</formula>
    </cfRule>
  </conditionalFormatting>
  <conditionalFormatting sqref="CG14:CJ40 CH47:CJ47 CG41:CG46 CI41:CJ46">
    <cfRule type="expression" dxfId="557" priority="184">
      <formula>CG$12="CN"</formula>
    </cfRule>
  </conditionalFormatting>
  <conditionalFormatting sqref="CG47">
    <cfRule type="expression" dxfId="556" priority="181">
      <formula>CG$11=TODAY()</formula>
    </cfRule>
  </conditionalFormatting>
  <conditionalFormatting sqref="CG47">
    <cfRule type="expression" dxfId="555" priority="182">
      <formula>CG$12="CN"</formula>
    </cfRule>
  </conditionalFormatting>
  <conditionalFormatting sqref="CH41:CH46">
    <cfRule type="expression" dxfId="554" priority="179">
      <formula>CH$11=TODAY()</formula>
    </cfRule>
  </conditionalFormatting>
  <conditionalFormatting sqref="CH41:CH46">
    <cfRule type="expression" dxfId="553" priority="180">
      <formula>CH$12="CN"</formula>
    </cfRule>
  </conditionalFormatting>
  <conditionalFormatting sqref="CK48:CN48">
    <cfRule type="expression" dxfId="552" priority="177">
      <formula>CK$11=TODAY()</formula>
    </cfRule>
  </conditionalFormatting>
  <conditionalFormatting sqref="CK48:CN48">
    <cfRule type="expression" dxfId="551" priority="178">
      <formula>CK$12="CN"</formula>
    </cfRule>
  </conditionalFormatting>
  <conditionalFormatting sqref="CK14:CN40 CL47:CN47 CK41:CK46 CM41:CN46">
    <cfRule type="expression" dxfId="550" priority="175">
      <formula>CK$11=TODAY()</formula>
    </cfRule>
  </conditionalFormatting>
  <conditionalFormatting sqref="CK14:CN40 CL47:CN47 CK41:CK46 CM41:CN46">
    <cfRule type="expression" dxfId="549" priority="176">
      <formula>CK$12="CN"</formula>
    </cfRule>
  </conditionalFormatting>
  <conditionalFormatting sqref="CK47">
    <cfRule type="expression" dxfId="548" priority="173">
      <formula>CK$11=TODAY()</formula>
    </cfRule>
  </conditionalFormatting>
  <conditionalFormatting sqref="CK47">
    <cfRule type="expression" dxfId="547" priority="174">
      <formula>CK$12="CN"</formula>
    </cfRule>
  </conditionalFormatting>
  <conditionalFormatting sqref="CL41:CL46">
    <cfRule type="expression" dxfId="546" priority="171">
      <formula>CL$11=TODAY()</formula>
    </cfRule>
  </conditionalFormatting>
  <conditionalFormatting sqref="CL41:CL46">
    <cfRule type="expression" dxfId="545" priority="172">
      <formula>CL$12="CN"</formula>
    </cfRule>
  </conditionalFormatting>
  <conditionalFormatting sqref="CO48:CR48">
    <cfRule type="expression" dxfId="544" priority="169">
      <formula>CO$11=TODAY()</formula>
    </cfRule>
  </conditionalFormatting>
  <conditionalFormatting sqref="CO48:CR48">
    <cfRule type="expression" dxfId="543" priority="170">
      <formula>CO$12="CN"</formula>
    </cfRule>
  </conditionalFormatting>
  <conditionalFormatting sqref="CO14:CR40 CP47:CR47 CO41:CO46 CQ41:CR46">
    <cfRule type="expression" dxfId="542" priority="167">
      <formula>CO$11=TODAY()</formula>
    </cfRule>
  </conditionalFormatting>
  <conditionalFormatting sqref="CO14:CR40 CP47:CR47 CO41:CO46 CQ41:CR46">
    <cfRule type="expression" dxfId="541" priority="168">
      <formula>CO$12="CN"</formula>
    </cfRule>
  </conditionalFormatting>
  <conditionalFormatting sqref="CO47">
    <cfRule type="expression" dxfId="540" priority="165">
      <formula>CO$11=TODAY()</formula>
    </cfRule>
  </conditionalFormatting>
  <conditionalFormatting sqref="CO47">
    <cfRule type="expression" dxfId="539" priority="166">
      <formula>CO$12="CN"</formula>
    </cfRule>
  </conditionalFormatting>
  <conditionalFormatting sqref="CP41:CP46">
    <cfRule type="expression" dxfId="538" priority="163">
      <formula>CP$11=TODAY()</formula>
    </cfRule>
  </conditionalFormatting>
  <conditionalFormatting sqref="CP41:CP46">
    <cfRule type="expression" dxfId="537" priority="164">
      <formula>CP$12="CN"</formula>
    </cfRule>
  </conditionalFormatting>
  <conditionalFormatting sqref="CS48:CV48">
    <cfRule type="expression" dxfId="536" priority="161">
      <formula>CS$11=TODAY()</formula>
    </cfRule>
  </conditionalFormatting>
  <conditionalFormatting sqref="CS48:CV48">
    <cfRule type="expression" dxfId="535" priority="162">
      <formula>CS$12="CN"</formula>
    </cfRule>
  </conditionalFormatting>
  <conditionalFormatting sqref="CS14:CV40 CT47:CV47 CS41:CS46 CU41:CV46">
    <cfRule type="expression" dxfId="534" priority="159">
      <formula>CS$11=TODAY()</formula>
    </cfRule>
  </conditionalFormatting>
  <conditionalFormatting sqref="CS14:CV40 CT47:CV47 CS41:CS46 CU41:CV46">
    <cfRule type="expression" dxfId="533" priority="160">
      <formula>CS$12="CN"</formula>
    </cfRule>
  </conditionalFormatting>
  <conditionalFormatting sqref="CS47">
    <cfRule type="expression" dxfId="532" priority="157">
      <formula>CS$11=TODAY()</formula>
    </cfRule>
  </conditionalFormatting>
  <conditionalFormatting sqref="CS47">
    <cfRule type="expression" dxfId="531" priority="158">
      <formula>CS$12="CN"</formula>
    </cfRule>
  </conditionalFormatting>
  <conditionalFormatting sqref="CT41:CT46">
    <cfRule type="expression" dxfId="530" priority="155">
      <formula>CT$11=TODAY()</formula>
    </cfRule>
  </conditionalFormatting>
  <conditionalFormatting sqref="CT41:CT46">
    <cfRule type="expression" dxfId="529" priority="156">
      <formula>CT$12="CN"</formula>
    </cfRule>
  </conditionalFormatting>
  <conditionalFormatting sqref="CW48:CZ48">
    <cfRule type="expression" dxfId="528" priority="153">
      <formula>CW$11=TODAY()</formula>
    </cfRule>
  </conditionalFormatting>
  <conditionalFormatting sqref="CW48:CZ48">
    <cfRule type="expression" dxfId="527" priority="154">
      <formula>CW$12="CN"</formula>
    </cfRule>
  </conditionalFormatting>
  <conditionalFormatting sqref="CW14:CZ40 CX47:CZ47 CW41:CW46 CY41:CZ46">
    <cfRule type="expression" dxfId="526" priority="151">
      <formula>CW$11=TODAY()</formula>
    </cfRule>
  </conditionalFormatting>
  <conditionalFormatting sqref="CW14:CZ40 CX47:CZ47 CW41:CW46 CY41:CZ46">
    <cfRule type="expression" dxfId="525" priority="152">
      <formula>CW$12="CN"</formula>
    </cfRule>
  </conditionalFormatting>
  <conditionalFormatting sqref="CW47">
    <cfRule type="expression" dxfId="524" priority="149">
      <formula>CW$11=TODAY()</formula>
    </cfRule>
  </conditionalFormatting>
  <conditionalFormatting sqref="CW47">
    <cfRule type="expression" dxfId="523" priority="150">
      <formula>CW$12="CN"</formula>
    </cfRule>
  </conditionalFormatting>
  <conditionalFormatting sqref="CX41:CX46">
    <cfRule type="expression" dxfId="522" priority="147">
      <formula>CX$11=TODAY()</formula>
    </cfRule>
  </conditionalFormatting>
  <conditionalFormatting sqref="CX41:CX46">
    <cfRule type="expression" dxfId="521" priority="148">
      <formula>CX$12="CN"</formula>
    </cfRule>
  </conditionalFormatting>
  <conditionalFormatting sqref="DA48:DD48">
    <cfRule type="expression" dxfId="520" priority="145">
      <formula>DA$11=TODAY()</formula>
    </cfRule>
  </conditionalFormatting>
  <conditionalFormatting sqref="DA48:DD48">
    <cfRule type="expression" dxfId="519" priority="146">
      <formula>DA$12="CN"</formula>
    </cfRule>
  </conditionalFormatting>
  <conditionalFormatting sqref="DA14:DD40 DB47:DD47 DA41:DA46 DC41:DD46">
    <cfRule type="expression" dxfId="518" priority="143">
      <formula>DA$11=TODAY()</formula>
    </cfRule>
  </conditionalFormatting>
  <conditionalFormatting sqref="DA14:DD40 DB47:DD47 DA41:DA46 DC41:DD46">
    <cfRule type="expression" dxfId="517" priority="144">
      <formula>DA$12="CN"</formula>
    </cfRule>
  </conditionalFormatting>
  <conditionalFormatting sqref="DA47">
    <cfRule type="expression" dxfId="516" priority="141">
      <formula>DA$11=TODAY()</formula>
    </cfRule>
  </conditionalFormatting>
  <conditionalFormatting sqref="DA47">
    <cfRule type="expression" dxfId="515" priority="142">
      <formula>DA$12="CN"</formula>
    </cfRule>
  </conditionalFormatting>
  <conditionalFormatting sqref="DB41:DB46">
    <cfRule type="expression" dxfId="514" priority="139">
      <formula>DB$11=TODAY()</formula>
    </cfRule>
  </conditionalFormatting>
  <conditionalFormatting sqref="DB41:DB46">
    <cfRule type="expression" dxfId="513" priority="140">
      <formula>DB$12="CN"</formula>
    </cfRule>
  </conditionalFormatting>
  <conditionalFormatting sqref="DE48:DH48">
    <cfRule type="expression" dxfId="512" priority="137">
      <formula>DE$11=TODAY()</formula>
    </cfRule>
  </conditionalFormatting>
  <conditionalFormatting sqref="DE48:DH48">
    <cfRule type="expression" dxfId="511" priority="138">
      <formula>DE$12="CN"</formula>
    </cfRule>
  </conditionalFormatting>
  <conditionalFormatting sqref="DE14:DH40 DF47:DH47 DE41:DE46 DG41:DH46">
    <cfRule type="expression" dxfId="510" priority="135">
      <formula>DE$11=TODAY()</formula>
    </cfRule>
  </conditionalFormatting>
  <conditionalFormatting sqref="DE14:DH40 DF47:DH47 DE41:DE46 DG41:DH46">
    <cfRule type="expression" dxfId="509" priority="136">
      <formula>DE$12="CN"</formula>
    </cfRule>
  </conditionalFormatting>
  <conditionalFormatting sqref="DE47">
    <cfRule type="expression" dxfId="508" priority="133">
      <formula>DE$11=TODAY()</formula>
    </cfRule>
  </conditionalFormatting>
  <conditionalFormatting sqref="DE47">
    <cfRule type="expression" dxfId="507" priority="134">
      <formula>DE$12="CN"</formula>
    </cfRule>
  </conditionalFormatting>
  <conditionalFormatting sqref="DF41:DF46">
    <cfRule type="expression" dxfId="506" priority="131">
      <formula>DF$11=TODAY()</formula>
    </cfRule>
  </conditionalFormatting>
  <conditionalFormatting sqref="DF41:DF46">
    <cfRule type="expression" dxfId="505" priority="132">
      <formula>DF$12="CN"</formula>
    </cfRule>
  </conditionalFormatting>
  <conditionalFormatting sqref="DI48:DL48">
    <cfRule type="expression" dxfId="504" priority="129">
      <formula>DI$11=TODAY()</formula>
    </cfRule>
  </conditionalFormatting>
  <conditionalFormatting sqref="DI48:DL48">
    <cfRule type="expression" dxfId="503" priority="130">
      <formula>DI$12="CN"</formula>
    </cfRule>
  </conditionalFormatting>
  <conditionalFormatting sqref="DI14:DL40 DJ47:DL47 DI41:DI46 DK41:DL46">
    <cfRule type="expression" dxfId="502" priority="127">
      <formula>DI$11=TODAY()</formula>
    </cfRule>
  </conditionalFormatting>
  <conditionalFormatting sqref="DI14:DL40 DJ47:DL47 DI41:DI46 DK41:DL46">
    <cfRule type="expression" dxfId="501" priority="128">
      <formula>DI$12="CN"</formula>
    </cfRule>
  </conditionalFormatting>
  <conditionalFormatting sqref="DI47">
    <cfRule type="expression" dxfId="500" priority="125">
      <formula>DI$11=TODAY()</formula>
    </cfRule>
  </conditionalFormatting>
  <conditionalFormatting sqref="DI47">
    <cfRule type="expression" dxfId="499" priority="126">
      <formula>DI$12="CN"</formula>
    </cfRule>
  </conditionalFormatting>
  <conditionalFormatting sqref="DJ41:DJ46">
    <cfRule type="expression" dxfId="498" priority="123">
      <formula>DJ$11=TODAY()</formula>
    </cfRule>
  </conditionalFormatting>
  <conditionalFormatting sqref="DJ41:DJ46">
    <cfRule type="expression" dxfId="497" priority="124">
      <formula>DJ$12="CN"</formula>
    </cfRule>
  </conditionalFormatting>
  <conditionalFormatting sqref="DM48:DP48">
    <cfRule type="expression" dxfId="496" priority="121">
      <formula>DM$11=TODAY()</formula>
    </cfRule>
  </conditionalFormatting>
  <conditionalFormatting sqref="DM48:DP48">
    <cfRule type="expression" dxfId="495" priority="122">
      <formula>DM$12="CN"</formula>
    </cfRule>
  </conditionalFormatting>
  <conditionalFormatting sqref="DM14:DP40 DN47:DP47 DM41:DM46 DO41:DP46">
    <cfRule type="expression" dxfId="494" priority="119">
      <formula>DM$11=TODAY()</formula>
    </cfRule>
  </conditionalFormatting>
  <conditionalFormatting sqref="DM14:DP40 DN47:DP47 DM41:DM46 DO41:DP46">
    <cfRule type="expression" dxfId="493" priority="120">
      <formula>DM$12="CN"</formula>
    </cfRule>
  </conditionalFormatting>
  <conditionalFormatting sqref="DM47">
    <cfRule type="expression" dxfId="492" priority="117">
      <formula>DM$11=TODAY()</formula>
    </cfRule>
  </conditionalFormatting>
  <conditionalFormatting sqref="DM47">
    <cfRule type="expression" dxfId="491" priority="118">
      <formula>DM$12="CN"</formula>
    </cfRule>
  </conditionalFormatting>
  <conditionalFormatting sqref="DN41:DN46">
    <cfRule type="expression" dxfId="490" priority="115">
      <formula>DN$11=TODAY()</formula>
    </cfRule>
  </conditionalFormatting>
  <conditionalFormatting sqref="DN41:DN46">
    <cfRule type="expression" dxfId="489" priority="116">
      <formula>DN$12="CN"</formula>
    </cfRule>
  </conditionalFormatting>
  <conditionalFormatting sqref="DQ48:DT48">
    <cfRule type="expression" dxfId="488" priority="113">
      <formula>DQ$11=TODAY()</formula>
    </cfRule>
  </conditionalFormatting>
  <conditionalFormatting sqref="DQ48:DT48">
    <cfRule type="expression" dxfId="487" priority="114">
      <formula>DQ$12="CN"</formula>
    </cfRule>
  </conditionalFormatting>
  <conditionalFormatting sqref="DQ14:DT40 DR47:DT47 DQ41:DQ46 DS41:DT46">
    <cfRule type="expression" dxfId="486" priority="111">
      <formula>DQ$11=TODAY()</formula>
    </cfRule>
  </conditionalFormatting>
  <conditionalFormatting sqref="DQ14:DT40 DR47:DT47 DQ41:DQ46 DS41:DT46">
    <cfRule type="expression" dxfId="485" priority="112">
      <formula>DQ$12="CN"</formula>
    </cfRule>
  </conditionalFormatting>
  <conditionalFormatting sqref="DQ47">
    <cfRule type="expression" dxfId="484" priority="109">
      <formula>DQ$11=TODAY()</formula>
    </cfRule>
  </conditionalFormatting>
  <conditionalFormatting sqref="DQ47">
    <cfRule type="expression" dxfId="483" priority="110">
      <formula>DQ$12="CN"</formula>
    </cfRule>
  </conditionalFormatting>
  <conditionalFormatting sqref="DR41:DR46">
    <cfRule type="expression" dxfId="482" priority="107">
      <formula>DR$11=TODAY()</formula>
    </cfRule>
  </conditionalFormatting>
  <conditionalFormatting sqref="DR41:DR46">
    <cfRule type="expression" dxfId="481" priority="108">
      <formula>DR$12="CN"</formula>
    </cfRule>
  </conditionalFormatting>
  <conditionalFormatting sqref="DU48:DX48">
    <cfRule type="expression" dxfId="480" priority="105">
      <formula>DU$11=TODAY()</formula>
    </cfRule>
  </conditionalFormatting>
  <conditionalFormatting sqref="DU48:DX48">
    <cfRule type="expression" dxfId="479" priority="106">
      <formula>DU$12="CN"</formula>
    </cfRule>
  </conditionalFormatting>
  <conditionalFormatting sqref="DU14:DX40 DV47:DX47 DU41:DU46 DW41:DX46">
    <cfRule type="expression" dxfId="478" priority="103">
      <formula>DU$11=TODAY()</formula>
    </cfRule>
  </conditionalFormatting>
  <conditionalFormatting sqref="DU14:DX40 DV47:DX47 DU41:DU46 DW41:DX46">
    <cfRule type="expression" dxfId="477" priority="104">
      <formula>DU$12="CN"</formula>
    </cfRule>
  </conditionalFormatting>
  <conditionalFormatting sqref="DU47">
    <cfRule type="expression" dxfId="476" priority="101">
      <formula>DU$11=TODAY()</formula>
    </cfRule>
  </conditionalFormatting>
  <conditionalFormatting sqref="DU47">
    <cfRule type="expression" dxfId="475" priority="102">
      <formula>DU$12="CN"</formula>
    </cfRule>
  </conditionalFormatting>
  <conditionalFormatting sqref="DV41:DV46">
    <cfRule type="expression" dxfId="474" priority="99">
      <formula>DV$11=TODAY()</formula>
    </cfRule>
  </conditionalFormatting>
  <conditionalFormatting sqref="DV41:DV46">
    <cfRule type="expression" dxfId="473" priority="100">
      <formula>DV$12="CN"</formula>
    </cfRule>
  </conditionalFormatting>
  <conditionalFormatting sqref="DY48:EB48">
    <cfRule type="expression" dxfId="472" priority="97">
      <formula>DY$11=TODAY()</formula>
    </cfRule>
  </conditionalFormatting>
  <conditionalFormatting sqref="DY48:EB48">
    <cfRule type="expression" dxfId="471" priority="98">
      <formula>DY$12="CN"</formula>
    </cfRule>
  </conditionalFormatting>
  <conditionalFormatting sqref="DY14:EB40 DZ47:EB47 DY41:DY46 EA41:EB46">
    <cfRule type="expression" dxfId="470" priority="95">
      <formula>DY$11=TODAY()</formula>
    </cfRule>
  </conditionalFormatting>
  <conditionalFormatting sqref="DY14:EB40 DZ47:EB47 DY41:DY46 EA41:EB46">
    <cfRule type="expression" dxfId="469" priority="96">
      <formula>DY$12="CN"</formula>
    </cfRule>
  </conditionalFormatting>
  <conditionalFormatting sqref="DY47">
    <cfRule type="expression" dxfId="468" priority="93">
      <formula>DY$11=TODAY()</formula>
    </cfRule>
  </conditionalFormatting>
  <conditionalFormatting sqref="DY47">
    <cfRule type="expression" dxfId="467" priority="94">
      <formula>DY$12="CN"</formula>
    </cfRule>
  </conditionalFormatting>
  <conditionalFormatting sqref="DZ41:DZ46">
    <cfRule type="expression" dxfId="466" priority="91">
      <formula>DZ$11=TODAY()</formula>
    </cfRule>
  </conditionalFormatting>
  <conditionalFormatting sqref="DZ41:DZ46">
    <cfRule type="expression" dxfId="465" priority="92">
      <formula>DZ$12="CN"</formula>
    </cfRule>
  </conditionalFormatting>
  <conditionalFormatting sqref="EC48:EF48">
    <cfRule type="expression" dxfId="464" priority="89">
      <formula>EC$11=TODAY()</formula>
    </cfRule>
  </conditionalFormatting>
  <conditionalFormatting sqref="EC48:EF48">
    <cfRule type="expression" dxfId="463" priority="90">
      <formula>EC$12="CN"</formula>
    </cfRule>
  </conditionalFormatting>
  <conditionalFormatting sqref="EC14:EF40 ED47:EF47 EC41:EC46 EE41:EF46">
    <cfRule type="expression" dxfId="462" priority="87">
      <formula>EC$11=TODAY()</formula>
    </cfRule>
  </conditionalFormatting>
  <conditionalFormatting sqref="EC14:EF40 ED47:EF47 EC41:EC46 EE41:EF46">
    <cfRule type="expression" dxfId="461" priority="88">
      <formula>EC$12="CN"</formula>
    </cfRule>
  </conditionalFormatting>
  <conditionalFormatting sqref="EC47">
    <cfRule type="expression" dxfId="460" priority="85">
      <formula>EC$11=TODAY()</formula>
    </cfRule>
  </conditionalFormatting>
  <conditionalFormatting sqref="EC47">
    <cfRule type="expression" dxfId="459" priority="86">
      <formula>EC$12="CN"</formula>
    </cfRule>
  </conditionalFormatting>
  <conditionalFormatting sqref="ED41:ED46">
    <cfRule type="expression" dxfId="458" priority="83">
      <formula>ED$11=TODAY()</formula>
    </cfRule>
  </conditionalFormatting>
  <conditionalFormatting sqref="ED41:ED46">
    <cfRule type="expression" dxfId="457" priority="84">
      <formula>ED$12="CN"</formula>
    </cfRule>
  </conditionalFormatting>
  <conditionalFormatting sqref="R41:R45">
    <cfRule type="expression" dxfId="456" priority="81">
      <formula>R$11=TODAY()</formula>
    </cfRule>
  </conditionalFormatting>
  <conditionalFormatting sqref="R41:R45">
    <cfRule type="expression" dxfId="455" priority="82">
      <formula>R$12="CN"</formula>
    </cfRule>
  </conditionalFormatting>
  <conditionalFormatting sqref="V47 U41:U46">
    <cfRule type="expression" dxfId="454" priority="79">
      <formula>U$11=TODAY()</formula>
    </cfRule>
  </conditionalFormatting>
  <conditionalFormatting sqref="V47 U41:U46">
    <cfRule type="expression" dxfId="453" priority="80">
      <formula>U$12="CN"</formula>
    </cfRule>
  </conditionalFormatting>
  <conditionalFormatting sqref="U47">
    <cfRule type="expression" dxfId="452" priority="77">
      <formula>U$11=TODAY()</formula>
    </cfRule>
  </conditionalFormatting>
  <conditionalFormatting sqref="U47">
    <cfRule type="expression" dxfId="451" priority="78">
      <formula>U$12="CN"</formula>
    </cfRule>
  </conditionalFormatting>
  <conditionalFormatting sqref="V46">
    <cfRule type="expression" dxfId="450" priority="75">
      <formula>V$11=TODAY()</formula>
    </cfRule>
  </conditionalFormatting>
  <conditionalFormatting sqref="V46">
    <cfRule type="expression" dxfId="449" priority="76">
      <formula>V$12="CN"</formula>
    </cfRule>
  </conditionalFormatting>
  <conditionalFormatting sqref="V41:V45">
    <cfRule type="expression" dxfId="448" priority="73">
      <formula>V$11=TODAY()</formula>
    </cfRule>
  </conditionalFormatting>
  <conditionalFormatting sqref="V41:V45">
    <cfRule type="expression" dxfId="447" priority="74">
      <formula>V$12="CN"</formula>
    </cfRule>
  </conditionalFormatting>
  <conditionalFormatting sqref="Z47 Y41:Y46">
    <cfRule type="expression" dxfId="446" priority="71">
      <formula>Y$11=TODAY()</formula>
    </cfRule>
  </conditionalFormatting>
  <conditionalFormatting sqref="Z47 Y41:Y46">
    <cfRule type="expression" dxfId="445" priority="72">
      <formula>Y$12="CN"</formula>
    </cfRule>
  </conditionalFormatting>
  <conditionalFormatting sqref="Y47">
    <cfRule type="expression" dxfId="444" priority="69">
      <formula>Y$11=TODAY()</formula>
    </cfRule>
  </conditionalFormatting>
  <conditionalFormatting sqref="Y47">
    <cfRule type="expression" dxfId="443" priority="70">
      <formula>Y$12="CN"</formula>
    </cfRule>
  </conditionalFormatting>
  <conditionalFormatting sqref="Z46">
    <cfRule type="expression" dxfId="442" priority="67">
      <formula>Z$11=TODAY()</formula>
    </cfRule>
  </conditionalFormatting>
  <conditionalFormatting sqref="Z46">
    <cfRule type="expression" dxfId="441" priority="68">
      <formula>Z$12="CN"</formula>
    </cfRule>
  </conditionalFormatting>
  <conditionalFormatting sqref="Z41:Z45">
    <cfRule type="expression" dxfId="440" priority="65">
      <formula>Z$11=TODAY()</formula>
    </cfRule>
  </conditionalFormatting>
  <conditionalFormatting sqref="Z41:Z45">
    <cfRule type="expression" dxfId="439" priority="66">
      <formula>Z$12="CN"</formula>
    </cfRule>
  </conditionalFormatting>
  <conditionalFormatting sqref="AD47 AC41:AC46">
    <cfRule type="expression" dxfId="438" priority="63">
      <formula>AC$11=TODAY()</formula>
    </cfRule>
  </conditionalFormatting>
  <conditionalFormatting sqref="AD47 AC41:AC46">
    <cfRule type="expression" dxfId="437" priority="64">
      <formula>AC$12="CN"</formula>
    </cfRule>
  </conditionalFormatting>
  <conditionalFormatting sqref="AC47">
    <cfRule type="expression" dxfId="436" priority="61">
      <formula>AC$11=TODAY()</formula>
    </cfRule>
  </conditionalFormatting>
  <conditionalFormatting sqref="AC47">
    <cfRule type="expression" dxfId="435" priority="62">
      <formula>AC$12="CN"</formula>
    </cfRule>
  </conditionalFormatting>
  <conditionalFormatting sqref="AD46">
    <cfRule type="expression" dxfId="434" priority="59">
      <formula>AD$11=TODAY()</formula>
    </cfRule>
  </conditionalFormatting>
  <conditionalFormatting sqref="AD46">
    <cfRule type="expression" dxfId="433" priority="60">
      <formula>AD$12="CN"</formula>
    </cfRule>
  </conditionalFormatting>
  <conditionalFormatting sqref="AD41:AD45">
    <cfRule type="expression" dxfId="432" priority="57">
      <formula>AD$11=TODAY()</formula>
    </cfRule>
  </conditionalFormatting>
  <conditionalFormatting sqref="AD41:AD45">
    <cfRule type="expression" dxfId="431" priority="58">
      <formula>AD$12="CN"</formula>
    </cfRule>
  </conditionalFormatting>
  <conditionalFormatting sqref="AH47 AG41:AG46">
    <cfRule type="expression" dxfId="430" priority="55">
      <formula>AG$11=TODAY()</formula>
    </cfRule>
  </conditionalFormatting>
  <conditionalFormatting sqref="AH47 AG41:AG46">
    <cfRule type="expression" dxfId="429" priority="56">
      <formula>AG$12="CN"</formula>
    </cfRule>
  </conditionalFormatting>
  <conditionalFormatting sqref="AG47">
    <cfRule type="expression" dxfId="428" priority="53">
      <formula>AG$11=TODAY()</formula>
    </cfRule>
  </conditionalFormatting>
  <conditionalFormatting sqref="AG47">
    <cfRule type="expression" dxfId="427" priority="54">
      <formula>AG$12="CN"</formula>
    </cfRule>
  </conditionalFormatting>
  <conditionalFormatting sqref="AH46">
    <cfRule type="expression" dxfId="426" priority="51">
      <formula>AH$11=TODAY()</formula>
    </cfRule>
  </conditionalFormatting>
  <conditionalFormatting sqref="AH46">
    <cfRule type="expression" dxfId="425" priority="52">
      <formula>AH$12="CN"</formula>
    </cfRule>
  </conditionalFormatting>
  <conditionalFormatting sqref="AH41:AH45">
    <cfRule type="expression" dxfId="424" priority="49">
      <formula>AH$11=TODAY()</formula>
    </cfRule>
  </conditionalFormatting>
  <conditionalFormatting sqref="AH41:AH45">
    <cfRule type="expression" dxfId="423" priority="50">
      <formula>AH$12="CN"</formula>
    </cfRule>
  </conditionalFormatting>
  <conditionalFormatting sqref="AL47 AK41:AK46">
    <cfRule type="expression" dxfId="422" priority="47">
      <formula>AK$11=TODAY()</formula>
    </cfRule>
  </conditionalFormatting>
  <conditionalFormatting sqref="AL47 AK41:AK46">
    <cfRule type="expression" dxfId="421" priority="48">
      <formula>AK$12="CN"</formula>
    </cfRule>
  </conditionalFormatting>
  <conditionalFormatting sqref="AK47">
    <cfRule type="expression" dxfId="420" priority="45">
      <formula>AK$11=TODAY()</formula>
    </cfRule>
  </conditionalFormatting>
  <conditionalFormatting sqref="AK47">
    <cfRule type="expression" dxfId="419" priority="46">
      <formula>AK$12="CN"</formula>
    </cfRule>
  </conditionalFormatting>
  <conditionalFormatting sqref="AL46">
    <cfRule type="expression" dxfId="418" priority="43">
      <formula>AL$11=TODAY()</formula>
    </cfRule>
  </conditionalFormatting>
  <conditionalFormatting sqref="AL46">
    <cfRule type="expression" dxfId="417" priority="44">
      <formula>AL$12="CN"</formula>
    </cfRule>
  </conditionalFormatting>
  <conditionalFormatting sqref="AL41:AL45">
    <cfRule type="expression" dxfId="416" priority="41">
      <formula>AL$11=TODAY()</formula>
    </cfRule>
  </conditionalFormatting>
  <conditionalFormatting sqref="AL41:AL45">
    <cfRule type="expression" dxfId="415" priority="42">
      <formula>AL$12="CN"</formula>
    </cfRule>
  </conditionalFormatting>
  <conditionalFormatting sqref="AP47 AO41:AO46">
    <cfRule type="expression" dxfId="414" priority="39">
      <formula>AO$11=TODAY()</formula>
    </cfRule>
  </conditionalFormatting>
  <conditionalFormatting sqref="AP47 AO41:AO46">
    <cfRule type="expression" dxfId="413" priority="40">
      <formula>AO$12="CN"</formula>
    </cfRule>
  </conditionalFormatting>
  <conditionalFormatting sqref="AO47">
    <cfRule type="expression" dxfId="412" priority="37">
      <formula>AO$11=TODAY()</formula>
    </cfRule>
  </conditionalFormatting>
  <conditionalFormatting sqref="AO47">
    <cfRule type="expression" dxfId="411" priority="38">
      <formula>AO$12="CN"</formula>
    </cfRule>
  </conditionalFormatting>
  <conditionalFormatting sqref="AP46">
    <cfRule type="expression" dxfId="410" priority="35">
      <formula>AP$11=TODAY()</formula>
    </cfRule>
  </conditionalFormatting>
  <conditionalFormatting sqref="AP46">
    <cfRule type="expression" dxfId="409" priority="36">
      <formula>AP$12="CN"</formula>
    </cfRule>
  </conditionalFormatting>
  <conditionalFormatting sqref="AP41:AP45">
    <cfRule type="expression" dxfId="408" priority="33">
      <formula>AP$11=TODAY()</formula>
    </cfRule>
  </conditionalFormatting>
  <conditionalFormatting sqref="AP41:AP45">
    <cfRule type="expression" dxfId="407" priority="34">
      <formula>AP$12="CN"</formula>
    </cfRule>
  </conditionalFormatting>
  <conditionalFormatting sqref="AT47 AS41:AS46">
    <cfRule type="expression" dxfId="406" priority="31">
      <formula>AS$11=TODAY()</formula>
    </cfRule>
  </conditionalFormatting>
  <conditionalFormatting sqref="AT47 AS41:AS46">
    <cfRule type="expression" dxfId="405" priority="32">
      <formula>AS$12="CN"</formula>
    </cfRule>
  </conditionalFormatting>
  <conditionalFormatting sqref="AS47">
    <cfRule type="expression" dxfId="404" priority="29">
      <formula>AS$11=TODAY()</formula>
    </cfRule>
  </conditionalFormatting>
  <conditionalFormatting sqref="AS47">
    <cfRule type="expression" dxfId="403" priority="30">
      <formula>AS$12="CN"</formula>
    </cfRule>
  </conditionalFormatting>
  <conditionalFormatting sqref="AT46">
    <cfRule type="expression" dxfId="402" priority="27">
      <formula>AT$11=TODAY()</formula>
    </cfRule>
  </conditionalFormatting>
  <conditionalFormatting sqref="AT46">
    <cfRule type="expression" dxfId="401" priority="28">
      <formula>AT$12="CN"</formula>
    </cfRule>
  </conditionalFormatting>
  <conditionalFormatting sqref="AT41:AT45">
    <cfRule type="expression" dxfId="400" priority="25">
      <formula>AT$11=TODAY()</formula>
    </cfRule>
  </conditionalFormatting>
  <conditionalFormatting sqref="AT41:AT45">
    <cfRule type="expression" dxfId="399" priority="26">
      <formula>AT$12="CN"</formula>
    </cfRule>
  </conditionalFormatting>
  <conditionalFormatting sqref="AX47 AW41:AW46">
    <cfRule type="expression" dxfId="398" priority="23">
      <formula>AW$11=TODAY()</formula>
    </cfRule>
  </conditionalFormatting>
  <conditionalFormatting sqref="AX47 AW41:AW46">
    <cfRule type="expression" dxfId="397" priority="24">
      <formula>AW$12="CN"</formula>
    </cfRule>
  </conditionalFormatting>
  <conditionalFormatting sqref="AW47">
    <cfRule type="expression" dxfId="396" priority="21">
      <formula>AW$11=TODAY()</formula>
    </cfRule>
  </conditionalFormatting>
  <conditionalFormatting sqref="AW47">
    <cfRule type="expression" dxfId="395" priority="22">
      <formula>AW$12="CN"</formula>
    </cfRule>
  </conditionalFormatting>
  <conditionalFormatting sqref="AX46">
    <cfRule type="expression" dxfId="394" priority="19">
      <formula>AX$11=TODAY()</formula>
    </cfRule>
  </conditionalFormatting>
  <conditionalFormatting sqref="AX46">
    <cfRule type="expression" dxfId="393" priority="20">
      <formula>AX$12="CN"</formula>
    </cfRule>
  </conditionalFormatting>
  <conditionalFormatting sqref="AX41:AX45">
    <cfRule type="expression" dxfId="392" priority="17">
      <formula>AX$11=TODAY()</formula>
    </cfRule>
  </conditionalFormatting>
  <conditionalFormatting sqref="AX41:AX45">
    <cfRule type="expression" dxfId="391" priority="18">
      <formula>AX$12="CN"</formula>
    </cfRule>
  </conditionalFormatting>
  <conditionalFormatting sqref="BB47 BA41:BA46">
    <cfRule type="expression" dxfId="390" priority="15">
      <formula>BA$11=TODAY()</formula>
    </cfRule>
  </conditionalFormatting>
  <conditionalFormatting sqref="BB47 BA41:BA46">
    <cfRule type="expression" dxfId="389" priority="16">
      <formula>BA$12="CN"</formula>
    </cfRule>
  </conditionalFormatting>
  <conditionalFormatting sqref="BA47">
    <cfRule type="expression" dxfId="388" priority="13">
      <formula>BA$11=TODAY()</formula>
    </cfRule>
  </conditionalFormatting>
  <conditionalFormatting sqref="BA47">
    <cfRule type="expression" dxfId="387" priority="14">
      <formula>BA$12="CN"</formula>
    </cfRule>
  </conditionalFormatting>
  <conditionalFormatting sqref="BB46">
    <cfRule type="expression" dxfId="386" priority="11">
      <formula>BB$11=TODAY()</formula>
    </cfRule>
  </conditionalFormatting>
  <conditionalFormatting sqref="BB46">
    <cfRule type="expression" dxfId="385" priority="12">
      <formula>BB$12="CN"</formula>
    </cfRule>
  </conditionalFormatting>
  <conditionalFormatting sqref="BB41:BB45">
    <cfRule type="expression" dxfId="384" priority="9">
      <formula>BB$11=TODAY()</formula>
    </cfRule>
  </conditionalFormatting>
  <conditionalFormatting sqref="BB41:BB45">
    <cfRule type="expression" dxfId="383" priority="10">
      <formula>BB$12="CN"</formula>
    </cfRule>
  </conditionalFormatting>
  <conditionalFormatting sqref="BF47 BE41:BE46">
    <cfRule type="expression" dxfId="382" priority="7">
      <formula>BE$11=TODAY()</formula>
    </cfRule>
  </conditionalFormatting>
  <conditionalFormatting sqref="BF47 BE41:BE46">
    <cfRule type="expression" dxfId="381" priority="8">
      <formula>BE$12="CN"</formula>
    </cfRule>
  </conditionalFormatting>
  <conditionalFormatting sqref="BE47">
    <cfRule type="expression" dxfId="380" priority="5">
      <formula>BE$11=TODAY()</formula>
    </cfRule>
  </conditionalFormatting>
  <conditionalFormatting sqref="BE47">
    <cfRule type="expression" dxfId="379" priority="6">
      <formula>BE$12="CN"</formula>
    </cfRule>
  </conditionalFormatting>
  <conditionalFormatting sqref="BF46">
    <cfRule type="expression" dxfId="378" priority="3">
      <formula>BF$11=TODAY()</formula>
    </cfRule>
  </conditionalFormatting>
  <conditionalFormatting sqref="BF46">
    <cfRule type="expression" dxfId="377" priority="4">
      <formula>BF$12="CN"</formula>
    </cfRule>
  </conditionalFormatting>
  <conditionalFormatting sqref="BF41:BF45">
    <cfRule type="expression" dxfId="376" priority="1">
      <formula>BF$11=TODAY()</formula>
    </cfRule>
  </conditionalFormatting>
  <conditionalFormatting sqref="BF41:BF45">
    <cfRule type="expression" dxfId="375" priority="2">
      <formula>BF$12="CN"</formula>
    </cfRule>
  </conditionalFormatting>
  <dataValidations count="1">
    <dataValidation type="list" allowBlank="1" showInputMessage="1" showErrorMessage="1" sqref="E3:H3 M9 Q9 U9 Y9 AC9 AG9 AK9 AO9 AS9 AW9 BA9 BE9 BI9 BM9 BQ9 BU9 BY9 CC9 CG9 CK9 CO9 CS9 CW9 DA9 DE9 DI9 DM9 DQ9 DU9 DY9 EC9" xr:uid="{C4844EB5-16FD-0F4C-A637-0A8688B25790}">
      <formula1>"TRUE, FALSE"</formula1>
    </dataValidation>
  </dataValidations>
  <pageMargins left="0.7" right="0.7" top="0.75" bottom="0.75" header="0.3" footer="0.3"/>
  <tableParts count="29">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06754-0EC3-9647-86CA-08B9DA3E2586}">
  <sheetPr>
    <outlinePr summaryBelow="0" summaryRight="0"/>
  </sheetPr>
  <dimension ref="A1:EG166"/>
  <sheetViews>
    <sheetView zoomScaleNormal="100" workbookViewId="0">
      <pane xSplit="3" topLeftCell="D1" activePane="topRight" state="frozen"/>
      <selection pane="topRight" activeCell="EI62" sqref="EI62"/>
    </sheetView>
  </sheetViews>
  <sheetFormatPr baseColWidth="10" defaultColWidth="12.6640625" defaultRowHeight="15.75" customHeight="1" x14ac:dyDescent="0.15"/>
  <cols>
    <col min="1" max="1" width="26.33203125" style="979" customWidth="1"/>
    <col min="2" max="2" width="40.5" style="979" customWidth="1"/>
    <col min="3" max="4" width="29.33203125" style="979" customWidth="1"/>
    <col min="5" max="5" width="18.1640625" style="979" customWidth="1"/>
    <col min="6" max="6" width="17" style="979" customWidth="1"/>
    <col min="7" max="7" width="12.33203125" style="979" customWidth="1"/>
    <col min="8" max="8" width="19.33203125" style="979" customWidth="1"/>
    <col min="9" max="9" width="21.6640625" style="979" customWidth="1"/>
    <col min="10" max="10" width="24.1640625" style="979" customWidth="1"/>
    <col min="11" max="11" width="19.5" style="979" customWidth="1"/>
    <col min="12" max="12" width="21.33203125" style="979" customWidth="1"/>
    <col min="13" max="136" width="15.83203125" style="979" customWidth="1"/>
    <col min="137" max="16384" width="12.6640625" style="979"/>
  </cols>
  <sheetData>
    <row r="1" spans="1:136" ht="30" customHeight="1" x14ac:dyDescent="0.25">
      <c r="A1" s="1385" t="s">
        <v>190</v>
      </c>
      <c r="B1" s="1386"/>
      <c r="C1" s="1386"/>
      <c r="D1" s="16"/>
      <c r="E1" s="16"/>
      <c r="F1" s="80"/>
      <c r="G1" s="80"/>
      <c r="H1" s="80"/>
      <c r="I1" s="80"/>
      <c r="J1" s="80"/>
      <c r="K1" s="80"/>
      <c r="L1" s="874"/>
      <c r="M1" s="903">
        <f>M8-($D$15+$D$16)</f>
        <v>-260.12192379762649</v>
      </c>
      <c r="N1" s="877">
        <f>N8-(N2*$I$20+N3*$I$26+N4*$I$32+N5*I$35+N6*I$36+N7*I$39)</f>
        <v>29.385416666666668</v>
      </c>
      <c r="O1" s="1099">
        <f>O8-$I$19</f>
        <v>0.5842641843971631</v>
      </c>
      <c r="P1" s="880">
        <f>P8-$K$19</f>
        <v>-646153.84615384601</v>
      </c>
      <c r="Q1" s="903">
        <f t="shared" ref="Q1" si="0">Q8-($D$15+$D$16)</f>
        <v>-260.12192379762649</v>
      </c>
      <c r="R1" s="877">
        <f t="shared" ref="R1" si="1">R8-(R2*$I$20+R3*$I$26+R4*$I$32+R5*M$35+R6*M$36+R7*M$39)</f>
        <v>8.1875</v>
      </c>
      <c r="S1" s="1099">
        <f t="shared" ref="S1" si="2">S8-$I$19</f>
        <v>0.5842641843971631</v>
      </c>
      <c r="T1" s="880">
        <f t="shared" ref="T1" si="3">T8-$K$19</f>
        <v>-646153.84615384601</v>
      </c>
      <c r="U1" s="903">
        <f t="shared" ref="U1" si="4">U8-($D$15+$D$16)</f>
        <v>-261.12192379762649</v>
      </c>
      <c r="V1" s="877">
        <f t="shared" ref="V1" si="5">V8-(V2*$I$20+V3*$I$26+V4*$I$32+V5*Q$35+V6*Q$36+V7*Q$39)</f>
        <v>8.1875</v>
      </c>
      <c r="W1" s="1099">
        <f t="shared" ref="W1" si="6">W8-$I$19</f>
        <v>0.6004528985507247</v>
      </c>
      <c r="X1" s="880">
        <f t="shared" ref="X1" si="7">X8-$K$19</f>
        <v>-646153.84615384601</v>
      </c>
      <c r="Y1" s="903">
        <f t="shared" ref="Y1" si="8">Y8-($D$15+$D$16)</f>
        <v>-261.12192379762649</v>
      </c>
      <c r="Z1" s="877">
        <f t="shared" ref="Z1" si="9">Z8-(Z2*$I$20+Z3*$I$26+Z4*$I$32+Z5*U$35+Z6*U$36+Z7*U$39)</f>
        <v>9.1875</v>
      </c>
      <c r="AA1" s="1099">
        <f t="shared" ref="AA1" si="10">AA8-$I$19</f>
        <v>0.6004528985507247</v>
      </c>
      <c r="AB1" s="880">
        <f t="shared" ref="AB1" si="11">AB8-$K$19</f>
        <v>-646153.84615384601</v>
      </c>
      <c r="AC1" s="903">
        <f t="shared" ref="AC1" si="12">AC8-($D$15+$D$16)</f>
        <v>-261.12192379762649</v>
      </c>
      <c r="AD1" s="877">
        <f t="shared" ref="AD1" si="13">AD8-(AD2*$I$20+AD3*$I$26+AD4*$I$32+AD5*Y$35+AD6*Y$36+AD7*Y$39)</f>
        <v>9.1875</v>
      </c>
      <c r="AE1" s="1099">
        <f t="shared" ref="AE1" si="14">AE8-$I$19</f>
        <v>0.6004528985507247</v>
      </c>
      <c r="AF1" s="880">
        <f t="shared" ref="AF1" si="15">AF8-$K$19</f>
        <v>-646153.84615384601</v>
      </c>
      <c r="AG1" s="903">
        <f t="shared" ref="AG1" si="16">AG8-($D$15+$D$16)</f>
        <v>-261.12192379762649</v>
      </c>
      <c r="AH1" s="877">
        <f t="shared" ref="AH1" si="17">AH8-(AH2*$I$20+AH3*$I$26+AH4*$I$32+AH5*AC$35+AH6*AC$36+AH7*AC$39)</f>
        <v>9.1875</v>
      </c>
      <c r="AI1" s="1099">
        <f t="shared" ref="AI1" si="18">AI8-$I$19</f>
        <v>0.6004528985507247</v>
      </c>
      <c r="AJ1" s="880">
        <f t="shared" ref="AJ1" si="19">AJ8-$K$19</f>
        <v>-646153.84615384601</v>
      </c>
      <c r="AK1" s="903">
        <f t="shared" ref="AK1" si="20">AK8-($D$15+$D$16)</f>
        <v>-261.12192379762649</v>
      </c>
      <c r="AL1" s="877">
        <f t="shared" ref="AL1" si="21">AL8-(AL2*$I$20+AL3*$I$26+AL4*$I$32+AL5*AG$35+AL6*AG$36+AL7*AG$39)</f>
        <v>9.1875</v>
      </c>
      <c r="AM1" s="1099">
        <f t="shared" ref="AM1" si="22">AM8-$I$19</f>
        <v>0.6004528985507247</v>
      </c>
      <c r="AN1" s="880">
        <f t="shared" ref="AN1" si="23">AN8-$K$19</f>
        <v>-646153.84615384601</v>
      </c>
      <c r="AO1" s="903">
        <f t="shared" ref="AO1" si="24">AO8-($D$15+$D$16)</f>
        <v>-261.12192379762649</v>
      </c>
      <c r="AP1" s="877">
        <f t="shared" ref="AP1" si="25">AP8-(AP2*$I$20+AP3*$I$26+AP4*$I$32+AP5*AK$35+AP6*AK$36+AP7*AK$39)</f>
        <v>9.1875</v>
      </c>
      <c r="AQ1" s="1099">
        <f t="shared" ref="AQ1" si="26">AQ8-$I$19</f>
        <v>0.6004528985507247</v>
      </c>
      <c r="AR1" s="880">
        <f t="shared" ref="AR1" si="27">AR8-$K$19</f>
        <v>-646153.84615384601</v>
      </c>
      <c r="AS1" s="903">
        <f t="shared" ref="AS1" si="28">AS8-($D$15+$D$16)</f>
        <v>-261.12192379762649</v>
      </c>
      <c r="AT1" s="877">
        <f t="shared" ref="AT1" si="29">AT8-(AT2*$I$20+AT3*$I$26+AT4*$I$32+AT5*AO$35+AT6*AO$36+AT7*AO$39)</f>
        <v>9.1875</v>
      </c>
      <c r="AU1" s="1099">
        <f t="shared" ref="AU1" si="30">AU8-$I$19</f>
        <v>0.6004528985507247</v>
      </c>
      <c r="AV1" s="880">
        <f t="shared" ref="AV1" si="31">AV8-$K$19</f>
        <v>-646153.84615384601</v>
      </c>
      <c r="AW1" s="903">
        <f t="shared" ref="AW1" si="32">AW8-($D$15+$D$16)</f>
        <v>-261.12192379762649</v>
      </c>
      <c r="AX1" s="877">
        <f t="shared" ref="AX1" si="33">AX8-(AX2*$I$20+AX3*$I$26+AX4*$I$32+AX5*AS$35+AX6*AS$36+AX7*AS$39)</f>
        <v>9.1875</v>
      </c>
      <c r="AY1" s="1099">
        <f t="shared" ref="AY1" si="34">AY8-$I$19</f>
        <v>0.6004528985507247</v>
      </c>
      <c r="AZ1" s="880">
        <f t="shared" ref="AZ1" si="35">AZ8-$K$19</f>
        <v>-646153.84615384601</v>
      </c>
      <c r="BA1" s="903">
        <f t="shared" ref="BA1" si="36">BA8-($D$15+$D$16)</f>
        <v>-261.12192379762649</v>
      </c>
      <c r="BB1" s="877">
        <f t="shared" ref="BB1" si="37">BB8-(BB2*$I$20+BB3*$I$26+BB4*$I$32+BB5*AW$35+BB6*AW$36+BB7*AW$39)</f>
        <v>9.1875</v>
      </c>
      <c r="BC1" s="1099">
        <f t="shared" ref="BC1" si="38">BC8-$I$19</f>
        <v>0.6004528985507247</v>
      </c>
      <c r="BD1" s="880">
        <f t="shared" ref="BD1" si="39">BD8-$K$19</f>
        <v>-646153.84615384601</v>
      </c>
      <c r="BE1" s="903">
        <f t="shared" ref="BE1" si="40">BE8-($D$15+$D$16)</f>
        <v>-261.12192379762649</v>
      </c>
      <c r="BF1" s="877">
        <f t="shared" ref="BF1" si="41">BF8-(BF2*$I$20+BF3*$I$26+BF4*$I$32+BF5*BA$35+BF6*BA$36+BF7*BA$39)</f>
        <v>9.1875</v>
      </c>
      <c r="BG1" s="1099">
        <f t="shared" ref="BG1" si="42">BG8-$I$19</f>
        <v>0.6004528985507247</v>
      </c>
      <c r="BH1" s="880">
        <f t="shared" ref="BH1" si="43">BH8-$K$19</f>
        <v>-646153.84615384601</v>
      </c>
      <c r="BI1" s="903">
        <f t="shared" ref="BI1" si="44">BI8-($D$15+$D$16)</f>
        <v>-261.12192379762649</v>
      </c>
      <c r="BJ1" s="877">
        <f t="shared" ref="BJ1" si="45">BJ8-(BJ2*$I$20+BJ3*$I$26+BJ4*$I$32+BJ5*BE$35+BJ6*BE$36+BJ7*BE$39)</f>
        <v>9.1875</v>
      </c>
      <c r="BK1" s="1099">
        <f t="shared" ref="BK1" si="46">BK8-$I$19</f>
        <v>0.6004528985507247</v>
      </c>
      <c r="BL1" s="880">
        <f t="shared" ref="BL1" si="47">BL8-$K$19</f>
        <v>-646153.84615384601</v>
      </c>
      <c r="BM1" s="903">
        <f t="shared" ref="BM1" si="48">BM8-($D$15+$D$16)</f>
        <v>-261.12192379762649</v>
      </c>
      <c r="BN1" s="877">
        <f t="shared" ref="BN1" si="49">BN8-(BN2*$I$20+BN3*$I$26+BN4*$I$32+BN5*BI$35+BN6*BI$36+BN7*BI$39)</f>
        <v>9.1875</v>
      </c>
      <c r="BO1" s="1099">
        <f t="shared" ref="BO1" si="50">BO8-$I$19</f>
        <v>0.6004528985507247</v>
      </c>
      <c r="BP1" s="880">
        <f t="shared" ref="BP1" si="51">BP8-$K$19</f>
        <v>-646153.84615384601</v>
      </c>
      <c r="BQ1" s="903">
        <f t="shared" ref="BQ1" si="52">BQ8-($D$15+$D$16)</f>
        <v>-261.12192379762649</v>
      </c>
      <c r="BR1" s="877">
        <f t="shared" ref="BR1" si="53">BR8-(BR2*$I$20+BR3*$I$26+BR4*$I$32+BR5*BM$35+BR6*BM$36+BR7*BM$39)</f>
        <v>9.1875</v>
      </c>
      <c r="BS1" s="1099">
        <f t="shared" ref="BS1" si="54">BS8-$I$19</f>
        <v>0.6004528985507247</v>
      </c>
      <c r="BT1" s="880">
        <f t="shared" ref="BT1" si="55">BT8-$K$19</f>
        <v>-646153.84615384601</v>
      </c>
      <c r="BU1" s="903">
        <f t="shared" ref="BU1" si="56">BU8-($D$15+$D$16)</f>
        <v>-261.12192379762649</v>
      </c>
      <c r="BV1" s="877">
        <f t="shared" ref="BV1" si="57">BV8-(BV2*$I$20+BV3*$I$26+BV4*$I$32+BV5*BQ$35+BV6*BQ$36+BV7*BQ$39)</f>
        <v>9.1875</v>
      </c>
      <c r="BW1" s="1099">
        <f t="shared" ref="BW1" si="58">BW8-$I$19</f>
        <v>0.6004528985507247</v>
      </c>
      <c r="BX1" s="880">
        <f t="shared" ref="BX1" si="59">BX8-$K$19</f>
        <v>-646153.84615384601</v>
      </c>
      <c r="BY1" s="903">
        <f t="shared" ref="BY1" si="60">BY8-($D$15+$D$16)</f>
        <v>-261.12192379762649</v>
      </c>
      <c r="BZ1" s="877">
        <f t="shared" ref="BZ1" si="61">BZ8-(BZ2*$I$20+BZ3*$I$26+BZ4*$I$32+BZ5*BU$35+BZ6*BU$36+BZ7*BU$39)</f>
        <v>9.1875</v>
      </c>
      <c r="CA1" s="1099">
        <f t="shared" ref="CA1" si="62">CA8-$I$19</f>
        <v>0.6004528985507247</v>
      </c>
      <c r="CB1" s="880">
        <f t="shared" ref="CB1" si="63">CB8-$K$19</f>
        <v>-646153.84615384601</v>
      </c>
      <c r="CC1" s="903">
        <f t="shared" ref="CC1" si="64">CC8-($D$15+$D$16)</f>
        <v>-261.12192379762649</v>
      </c>
      <c r="CD1" s="877">
        <f t="shared" ref="CD1" si="65">CD8-(CD2*$I$20+CD3*$I$26+CD4*$I$32+CD5*BY$35+CD6*BY$36+CD7*BY$39)</f>
        <v>9.1875</v>
      </c>
      <c r="CE1" s="1099">
        <f t="shared" ref="CE1" si="66">CE8-$I$19</f>
        <v>0.6004528985507247</v>
      </c>
      <c r="CF1" s="880">
        <f t="shared" ref="CF1" si="67">CF8-$K$19</f>
        <v>-646153.84615384601</v>
      </c>
      <c r="CG1" s="903">
        <f t="shared" ref="CG1" si="68">CG8-($D$15+$D$16)</f>
        <v>-261.12192379762649</v>
      </c>
      <c r="CH1" s="877">
        <f t="shared" ref="CH1" si="69">CH8-(CH2*$I$20+CH3*$I$26+CH4*$I$32+CH5*CC$35+CH6*CC$36+CH7*CC$39)</f>
        <v>9.1875</v>
      </c>
      <c r="CI1" s="1099">
        <f t="shared" ref="CI1" si="70">CI8-$I$19</f>
        <v>0.6004528985507247</v>
      </c>
      <c r="CJ1" s="880">
        <f t="shared" ref="CJ1" si="71">CJ8-$K$19</f>
        <v>-646153.84615384601</v>
      </c>
      <c r="CK1" s="903">
        <f t="shared" ref="CK1" si="72">CK8-($D$15+$D$16)</f>
        <v>-261.12192379762649</v>
      </c>
      <c r="CL1" s="877">
        <f t="shared" ref="CL1" si="73">CL8-(CL2*$I$20+CL3*$I$26+CL4*$I$32+CL5*CG$35+CL6*CG$36+CL7*CG$39)</f>
        <v>9.1875</v>
      </c>
      <c r="CM1" s="1099">
        <f t="shared" ref="CM1" si="74">CM8-$I$19</f>
        <v>0.6004528985507247</v>
      </c>
      <c r="CN1" s="880">
        <f t="shared" ref="CN1" si="75">CN8-$K$19</f>
        <v>-646153.84615384601</v>
      </c>
      <c r="CO1" s="903">
        <f t="shared" ref="CO1" si="76">CO8-($D$15+$D$16)</f>
        <v>-261.12192379762649</v>
      </c>
      <c r="CP1" s="877">
        <f t="shared" ref="CP1" si="77">CP8-(CP2*$I$20+CP3*$I$26+CP4*$I$32+CP5*CK$35+CP6*CK$36+CP7*CK$39)</f>
        <v>9.1875</v>
      </c>
      <c r="CQ1" s="1099">
        <f t="shared" ref="CQ1" si="78">CQ8-$I$19</f>
        <v>0.6004528985507247</v>
      </c>
      <c r="CR1" s="880">
        <f t="shared" ref="CR1" si="79">CR8-$K$19</f>
        <v>-646153.84615384601</v>
      </c>
      <c r="CS1" s="903">
        <f t="shared" ref="CS1" si="80">CS8-($D$15+$D$16)</f>
        <v>-261.12192379762649</v>
      </c>
      <c r="CT1" s="877">
        <f t="shared" ref="CT1" si="81">CT8-(CT2*$I$20+CT3*$I$26+CT4*$I$32+CT5*CO$35+CT6*CO$36+CT7*CO$39)</f>
        <v>9.1875</v>
      </c>
      <c r="CU1" s="1099">
        <f t="shared" ref="CU1" si="82">CU8-$I$19</f>
        <v>0.6004528985507247</v>
      </c>
      <c r="CV1" s="880">
        <f t="shared" ref="CV1" si="83">CV8-$K$19</f>
        <v>-646153.84615384601</v>
      </c>
      <c r="CW1" s="903">
        <f t="shared" ref="CW1" si="84">CW8-($D$15+$D$16)</f>
        <v>-261.12192379762649</v>
      </c>
      <c r="CX1" s="877">
        <f t="shared" ref="CX1" si="85">CX8-(CX2*$I$20+CX3*$I$26+CX4*$I$32+CX5*CS$35+CX6*CS$36+CX7*CS$39)</f>
        <v>9.1875</v>
      </c>
      <c r="CY1" s="1099">
        <f t="shared" ref="CY1" si="86">CY8-$I$19</f>
        <v>0.6004528985507247</v>
      </c>
      <c r="CZ1" s="880">
        <f t="shared" ref="CZ1" si="87">CZ8-$K$19</f>
        <v>-646153.84615384601</v>
      </c>
      <c r="DA1" s="903">
        <f t="shared" ref="DA1" si="88">DA8-($D$15+$D$16)</f>
        <v>-261.12192379762649</v>
      </c>
      <c r="DB1" s="877">
        <f t="shared" ref="DB1" si="89">DB8-(DB2*$I$20+DB3*$I$26+DB4*$I$32+DB5*CW$35+DB6*CW$36+DB7*CW$39)</f>
        <v>9.1875</v>
      </c>
      <c r="DC1" s="1099">
        <f t="shared" ref="DC1" si="90">DC8-$I$19</f>
        <v>0.6004528985507247</v>
      </c>
      <c r="DD1" s="880">
        <f t="shared" ref="DD1" si="91">DD8-$K$19</f>
        <v>-646153.84615384601</v>
      </c>
      <c r="DE1" s="903">
        <f t="shared" ref="DE1" si="92">DE8-($D$15+$D$16)</f>
        <v>-261.12192379762649</v>
      </c>
      <c r="DF1" s="877">
        <f t="shared" ref="DF1" si="93">DF8-(DF2*$I$20+DF3*$I$26+DF4*$I$32+DF5*DA$35+DF6*DA$36+DF7*DA$39)</f>
        <v>9.1875</v>
      </c>
      <c r="DG1" s="1099">
        <f t="shared" ref="DG1" si="94">DG8-$I$19</f>
        <v>0.6004528985507247</v>
      </c>
      <c r="DH1" s="880">
        <f t="shared" ref="DH1" si="95">DH8-$K$19</f>
        <v>-646153.84615384601</v>
      </c>
      <c r="DI1" s="903">
        <f t="shared" ref="DI1" si="96">DI8-($D$15+$D$16)</f>
        <v>-261.12192379762649</v>
      </c>
      <c r="DJ1" s="877">
        <f t="shared" ref="DJ1" si="97">DJ8-(DJ2*$I$20+DJ3*$I$26+DJ4*$I$32+DJ5*DE$35+DJ6*DE$36+DJ7*DE$39)</f>
        <v>9.1875</v>
      </c>
      <c r="DK1" s="1099">
        <f t="shared" ref="DK1" si="98">DK8-$I$19</f>
        <v>0.6004528985507247</v>
      </c>
      <c r="DL1" s="880">
        <f t="shared" ref="DL1" si="99">DL8-$K$19</f>
        <v>-646153.84615384601</v>
      </c>
      <c r="DM1" s="903">
        <f t="shared" ref="DM1" si="100">DM8-($D$15+$D$16)</f>
        <v>-261.12192379762649</v>
      </c>
      <c r="DN1" s="877">
        <f t="shared" ref="DN1" si="101">DN8-(DN2*$I$20+DN3*$I$26+DN4*$I$32+DN5*DI$35+DN6*DI$36+DN7*DI$39)</f>
        <v>9.1875</v>
      </c>
      <c r="DO1" s="1099">
        <f t="shared" ref="DO1" si="102">DO8-$I$19</f>
        <v>0.6004528985507247</v>
      </c>
      <c r="DP1" s="880">
        <f t="shared" ref="DP1" si="103">DP8-$K$19</f>
        <v>-646153.84615384601</v>
      </c>
      <c r="DQ1" s="903">
        <f t="shared" ref="DQ1" si="104">DQ8-($D$15+$D$16)</f>
        <v>-261.12192379762649</v>
      </c>
      <c r="DR1" s="877">
        <f t="shared" ref="DR1" si="105">DR8-(DR2*$I$20+DR3*$I$26+DR4*$I$32+DR5*DM$35+DR6*DM$36+DR7*DM$39)</f>
        <v>9.1875</v>
      </c>
      <c r="DS1" s="1099">
        <f t="shared" ref="DS1" si="106">DS8-$I$19</f>
        <v>0.6004528985507247</v>
      </c>
      <c r="DT1" s="880">
        <f t="shared" ref="DT1" si="107">DT8-$K$19</f>
        <v>-646153.84615384601</v>
      </c>
      <c r="DU1" s="903">
        <f t="shared" ref="DU1" si="108">DU8-($D$15+$D$16)</f>
        <v>-261.12192379762649</v>
      </c>
      <c r="DV1" s="877">
        <f t="shared" ref="DV1" si="109">DV8-(DV2*$I$20+DV3*$I$26+DV4*$I$32+DV5*DQ$35+DV6*DQ$36+DV7*DQ$39)</f>
        <v>9.1875</v>
      </c>
      <c r="DW1" s="1099">
        <f t="shared" ref="DW1" si="110">DW8-$I$19</f>
        <v>0.6004528985507247</v>
      </c>
      <c r="DX1" s="880">
        <f t="shared" ref="DX1" si="111">DX8-$K$19</f>
        <v>-646153.84615384601</v>
      </c>
      <c r="DY1" s="903">
        <f t="shared" ref="DY1" si="112">DY8-($D$15+$D$16)</f>
        <v>-261.12192379762649</v>
      </c>
      <c r="DZ1" s="877">
        <f t="shared" ref="DZ1" si="113">DZ8-(DZ2*$I$20+DZ3*$I$26+DZ4*$I$32+DZ5*DU$35+DZ6*DU$36+DZ7*DU$39)</f>
        <v>9.1875</v>
      </c>
      <c r="EA1" s="1099">
        <f t="shared" ref="EA1" si="114">EA8-$I$19</f>
        <v>0.6004528985507247</v>
      </c>
      <c r="EB1" s="880">
        <f t="shared" ref="EB1" si="115">EB8-$K$19</f>
        <v>-646153.84615384601</v>
      </c>
      <c r="EC1" s="903">
        <f t="shared" ref="EC1" si="116">EC8-($D$15+$D$16)</f>
        <v>-261.12192379762649</v>
      </c>
      <c r="ED1" s="877">
        <f t="shared" ref="ED1" si="117">ED8-(ED2*$I$20+ED3*$I$26+ED4*$I$32+ED5*DY$35+ED6*DY$36+ED7*DY$39)</f>
        <v>9.1875</v>
      </c>
      <c r="EE1" s="1099">
        <f t="shared" ref="EE1" si="118">EE8-$I$19</f>
        <v>0.6004528985507247</v>
      </c>
      <c r="EF1" s="880">
        <f t="shared" ref="EF1" si="119">EF8-$K$19</f>
        <v>-646153.84615384601</v>
      </c>
    </row>
    <row r="2" spans="1:136" ht="20" customHeight="1" x14ac:dyDescent="0.15">
      <c r="A2" s="95" t="s">
        <v>113</v>
      </c>
      <c r="B2" s="97">
        <v>2024</v>
      </c>
      <c r="C2" s="781" t="str">
        <f>H4</f>
        <v>Person #4</v>
      </c>
      <c r="D2" s="16"/>
      <c r="E2" s="1387" t="str">
        <f>'Action Plan'!L2</f>
        <v>Person in charge</v>
      </c>
      <c r="F2" s="1311"/>
      <c r="G2" s="1311"/>
      <c r="H2" s="1311"/>
      <c r="I2" s="782">
        <f>$H$20</f>
        <v>1</v>
      </c>
      <c r="J2" s="1092">
        <f>IF($E$19=0,0,K2/$E$19)</f>
        <v>0.234375</v>
      </c>
      <c r="K2" s="871">
        <f>$E$20</f>
        <v>23250000</v>
      </c>
      <c r="L2" s="875" t="str">
        <f>C20</f>
        <v>FACEBOOK</v>
      </c>
      <c r="M2" s="901">
        <f>M$20</f>
        <v>15</v>
      </c>
      <c r="N2" s="878">
        <f t="shared" ref="N2:BX2" si="120">N$20</f>
        <v>15</v>
      </c>
      <c r="O2" s="1093">
        <f>O$20</f>
        <v>1</v>
      </c>
      <c r="P2" s="881">
        <f>P$20</f>
        <v>750000</v>
      </c>
      <c r="Q2" s="901">
        <f t="shared" ref="Q2" si="121">Q$20</f>
        <v>15</v>
      </c>
      <c r="R2" s="878">
        <f t="shared" si="120"/>
        <v>15</v>
      </c>
      <c r="S2" s="1093">
        <f t="shared" si="120"/>
        <v>1</v>
      </c>
      <c r="T2" s="881">
        <f t="shared" si="120"/>
        <v>750000</v>
      </c>
      <c r="U2" s="901">
        <f t="shared" si="120"/>
        <v>15</v>
      </c>
      <c r="V2" s="878">
        <f t="shared" si="120"/>
        <v>15</v>
      </c>
      <c r="W2" s="1093">
        <f t="shared" si="120"/>
        <v>1</v>
      </c>
      <c r="X2" s="881">
        <f t="shared" si="120"/>
        <v>750000</v>
      </c>
      <c r="Y2" s="901">
        <f t="shared" si="120"/>
        <v>15</v>
      </c>
      <c r="Z2" s="878">
        <f t="shared" si="120"/>
        <v>15</v>
      </c>
      <c r="AA2" s="1093">
        <f t="shared" si="120"/>
        <v>1</v>
      </c>
      <c r="AB2" s="881">
        <f t="shared" si="120"/>
        <v>750000</v>
      </c>
      <c r="AC2" s="901">
        <f t="shared" si="120"/>
        <v>15</v>
      </c>
      <c r="AD2" s="878">
        <f t="shared" si="120"/>
        <v>15</v>
      </c>
      <c r="AE2" s="1093">
        <f t="shared" si="120"/>
        <v>1</v>
      </c>
      <c r="AF2" s="881">
        <f t="shared" si="120"/>
        <v>750000</v>
      </c>
      <c r="AG2" s="901">
        <f t="shared" si="120"/>
        <v>15</v>
      </c>
      <c r="AH2" s="878">
        <f t="shared" si="120"/>
        <v>15</v>
      </c>
      <c r="AI2" s="1093">
        <f t="shared" si="120"/>
        <v>1</v>
      </c>
      <c r="AJ2" s="881">
        <f t="shared" si="120"/>
        <v>750000</v>
      </c>
      <c r="AK2" s="901">
        <f t="shared" si="120"/>
        <v>15</v>
      </c>
      <c r="AL2" s="878">
        <f t="shared" si="120"/>
        <v>15</v>
      </c>
      <c r="AM2" s="1093">
        <f t="shared" si="120"/>
        <v>1</v>
      </c>
      <c r="AN2" s="881">
        <f t="shared" si="120"/>
        <v>750000</v>
      </c>
      <c r="AO2" s="901">
        <f t="shared" si="120"/>
        <v>15</v>
      </c>
      <c r="AP2" s="878">
        <f t="shared" si="120"/>
        <v>15</v>
      </c>
      <c r="AQ2" s="1093">
        <f t="shared" si="120"/>
        <v>1</v>
      </c>
      <c r="AR2" s="881">
        <f t="shared" si="120"/>
        <v>750000</v>
      </c>
      <c r="AS2" s="901">
        <f t="shared" si="120"/>
        <v>15</v>
      </c>
      <c r="AT2" s="878">
        <f t="shared" si="120"/>
        <v>15</v>
      </c>
      <c r="AU2" s="1093">
        <f t="shared" si="120"/>
        <v>1</v>
      </c>
      <c r="AV2" s="881">
        <f t="shared" si="120"/>
        <v>750000</v>
      </c>
      <c r="AW2" s="901">
        <f t="shared" si="120"/>
        <v>15</v>
      </c>
      <c r="AX2" s="878">
        <f t="shared" si="120"/>
        <v>15</v>
      </c>
      <c r="AY2" s="1093">
        <f t="shared" si="120"/>
        <v>1</v>
      </c>
      <c r="AZ2" s="881">
        <f t="shared" si="120"/>
        <v>750000</v>
      </c>
      <c r="BA2" s="901">
        <f t="shared" si="120"/>
        <v>15</v>
      </c>
      <c r="BB2" s="878">
        <f t="shared" si="120"/>
        <v>15</v>
      </c>
      <c r="BC2" s="1093">
        <f t="shared" si="120"/>
        <v>1</v>
      </c>
      <c r="BD2" s="881">
        <f t="shared" si="120"/>
        <v>750000</v>
      </c>
      <c r="BE2" s="901">
        <f t="shared" si="120"/>
        <v>15</v>
      </c>
      <c r="BF2" s="878">
        <f t="shared" si="120"/>
        <v>15</v>
      </c>
      <c r="BG2" s="1093">
        <f t="shared" si="120"/>
        <v>1</v>
      </c>
      <c r="BH2" s="881">
        <f t="shared" si="120"/>
        <v>750000</v>
      </c>
      <c r="BI2" s="901">
        <f t="shared" si="120"/>
        <v>15</v>
      </c>
      <c r="BJ2" s="878">
        <f t="shared" si="120"/>
        <v>15</v>
      </c>
      <c r="BK2" s="1093">
        <f t="shared" si="120"/>
        <v>1</v>
      </c>
      <c r="BL2" s="881">
        <f t="shared" si="120"/>
        <v>750000</v>
      </c>
      <c r="BM2" s="901">
        <f t="shared" si="120"/>
        <v>15</v>
      </c>
      <c r="BN2" s="878">
        <f t="shared" si="120"/>
        <v>15</v>
      </c>
      <c r="BO2" s="1093">
        <f t="shared" si="120"/>
        <v>1</v>
      </c>
      <c r="BP2" s="881">
        <f t="shared" si="120"/>
        <v>750000</v>
      </c>
      <c r="BQ2" s="901">
        <f t="shared" si="120"/>
        <v>15</v>
      </c>
      <c r="BR2" s="878">
        <f t="shared" si="120"/>
        <v>15</v>
      </c>
      <c r="BS2" s="1093">
        <f t="shared" si="120"/>
        <v>1</v>
      </c>
      <c r="BT2" s="881">
        <f t="shared" si="120"/>
        <v>750000</v>
      </c>
      <c r="BU2" s="901">
        <f t="shared" si="120"/>
        <v>15</v>
      </c>
      <c r="BV2" s="878">
        <f t="shared" si="120"/>
        <v>15</v>
      </c>
      <c r="BW2" s="1093">
        <f t="shared" si="120"/>
        <v>1</v>
      </c>
      <c r="BX2" s="881">
        <f t="shared" si="120"/>
        <v>750000</v>
      </c>
      <c r="BY2" s="901">
        <f t="shared" ref="BY2:EE2" si="122">BY$20</f>
        <v>15</v>
      </c>
      <c r="BZ2" s="878">
        <f t="shared" si="122"/>
        <v>15</v>
      </c>
      <c r="CA2" s="1093">
        <f t="shared" si="122"/>
        <v>1</v>
      </c>
      <c r="CB2" s="881">
        <f t="shared" si="122"/>
        <v>750000</v>
      </c>
      <c r="CC2" s="901">
        <f t="shared" si="122"/>
        <v>15</v>
      </c>
      <c r="CD2" s="878">
        <f t="shared" si="122"/>
        <v>15</v>
      </c>
      <c r="CE2" s="1093">
        <f t="shared" si="122"/>
        <v>1</v>
      </c>
      <c r="CF2" s="881">
        <f t="shared" si="122"/>
        <v>750000</v>
      </c>
      <c r="CG2" s="901">
        <f t="shared" si="122"/>
        <v>15</v>
      </c>
      <c r="CH2" s="878">
        <f t="shared" si="122"/>
        <v>15</v>
      </c>
      <c r="CI2" s="1093">
        <f t="shared" si="122"/>
        <v>1</v>
      </c>
      <c r="CJ2" s="881">
        <f t="shared" si="122"/>
        <v>750000</v>
      </c>
      <c r="CK2" s="901">
        <f t="shared" si="122"/>
        <v>15</v>
      </c>
      <c r="CL2" s="878">
        <f t="shared" si="122"/>
        <v>15</v>
      </c>
      <c r="CM2" s="1093">
        <f t="shared" si="122"/>
        <v>1</v>
      </c>
      <c r="CN2" s="881">
        <f t="shared" si="122"/>
        <v>750000</v>
      </c>
      <c r="CO2" s="901">
        <f t="shared" si="122"/>
        <v>15</v>
      </c>
      <c r="CP2" s="878">
        <f t="shared" si="122"/>
        <v>15</v>
      </c>
      <c r="CQ2" s="1093">
        <f t="shared" si="122"/>
        <v>1</v>
      </c>
      <c r="CR2" s="881">
        <f t="shared" si="122"/>
        <v>750000</v>
      </c>
      <c r="CS2" s="901">
        <f t="shared" si="122"/>
        <v>15</v>
      </c>
      <c r="CT2" s="878">
        <f t="shared" si="122"/>
        <v>15</v>
      </c>
      <c r="CU2" s="1093">
        <f t="shared" si="122"/>
        <v>1</v>
      </c>
      <c r="CV2" s="881">
        <f t="shared" si="122"/>
        <v>750000</v>
      </c>
      <c r="CW2" s="901">
        <f t="shared" si="122"/>
        <v>15</v>
      </c>
      <c r="CX2" s="878">
        <f t="shared" si="122"/>
        <v>15</v>
      </c>
      <c r="CY2" s="1093">
        <f t="shared" si="122"/>
        <v>1</v>
      </c>
      <c r="CZ2" s="881">
        <f t="shared" si="122"/>
        <v>750000</v>
      </c>
      <c r="DA2" s="901">
        <f t="shared" si="122"/>
        <v>15</v>
      </c>
      <c r="DB2" s="878">
        <f t="shared" si="122"/>
        <v>15</v>
      </c>
      <c r="DC2" s="1093">
        <f t="shared" si="122"/>
        <v>1</v>
      </c>
      <c r="DD2" s="881">
        <f t="shared" si="122"/>
        <v>750000</v>
      </c>
      <c r="DE2" s="901">
        <f t="shared" si="122"/>
        <v>15</v>
      </c>
      <c r="DF2" s="878">
        <f t="shared" si="122"/>
        <v>15</v>
      </c>
      <c r="DG2" s="1093">
        <f t="shared" si="122"/>
        <v>1</v>
      </c>
      <c r="DH2" s="881">
        <f t="shared" si="122"/>
        <v>750000</v>
      </c>
      <c r="DI2" s="901">
        <f t="shared" si="122"/>
        <v>15</v>
      </c>
      <c r="DJ2" s="878">
        <f t="shared" si="122"/>
        <v>15</v>
      </c>
      <c r="DK2" s="1093">
        <f t="shared" si="122"/>
        <v>1</v>
      </c>
      <c r="DL2" s="881">
        <f t="shared" si="122"/>
        <v>750000</v>
      </c>
      <c r="DM2" s="901">
        <f t="shared" si="122"/>
        <v>15</v>
      </c>
      <c r="DN2" s="878">
        <f t="shared" si="122"/>
        <v>15</v>
      </c>
      <c r="DO2" s="1093">
        <f t="shared" si="122"/>
        <v>1</v>
      </c>
      <c r="DP2" s="881">
        <f t="shared" si="122"/>
        <v>750000</v>
      </c>
      <c r="DQ2" s="901">
        <f t="shared" si="122"/>
        <v>15</v>
      </c>
      <c r="DR2" s="878">
        <f t="shared" si="122"/>
        <v>15</v>
      </c>
      <c r="DS2" s="1093">
        <f t="shared" si="122"/>
        <v>1</v>
      </c>
      <c r="DT2" s="881">
        <f t="shared" si="122"/>
        <v>750000</v>
      </c>
      <c r="DU2" s="901">
        <f t="shared" si="122"/>
        <v>15</v>
      </c>
      <c r="DV2" s="878">
        <f t="shared" si="122"/>
        <v>15</v>
      </c>
      <c r="DW2" s="1093">
        <f t="shared" si="122"/>
        <v>1</v>
      </c>
      <c r="DX2" s="881">
        <f t="shared" si="122"/>
        <v>750000</v>
      </c>
      <c r="DY2" s="901">
        <f t="shared" si="122"/>
        <v>15</v>
      </c>
      <c r="DZ2" s="878">
        <f t="shared" si="122"/>
        <v>15</v>
      </c>
      <c r="EA2" s="1093">
        <f t="shared" si="122"/>
        <v>1</v>
      </c>
      <c r="EB2" s="881">
        <f t="shared" si="122"/>
        <v>750000</v>
      </c>
      <c r="EC2" s="901">
        <f t="shared" si="122"/>
        <v>15</v>
      </c>
      <c r="ED2" s="927">
        <f>ED$20</f>
        <v>15</v>
      </c>
      <c r="EE2" s="1093">
        <f t="shared" si="122"/>
        <v>1</v>
      </c>
      <c r="EF2" s="881">
        <f>EF$20</f>
        <v>750000</v>
      </c>
    </row>
    <row r="3" spans="1:136" ht="20" customHeight="1" thickBot="1" x14ac:dyDescent="0.2">
      <c r="A3" s="95" t="s">
        <v>114</v>
      </c>
      <c r="B3" s="97">
        <v>12</v>
      </c>
      <c r="C3" s="799">
        <f>H6</f>
        <v>0.2</v>
      </c>
      <c r="D3" s="16"/>
      <c r="E3" s="808" t="b">
        <v>1</v>
      </c>
      <c r="F3" s="808" t="b">
        <v>1</v>
      </c>
      <c r="G3" s="808" t="b">
        <v>1</v>
      </c>
      <c r="H3" s="808" t="b">
        <v>1</v>
      </c>
      <c r="I3" s="782">
        <f>$H$26</f>
        <v>0.76666666666666605</v>
      </c>
      <c r="J3" s="1092">
        <f t="shared" ref="J3:J6" si="123">IF($E$19=0,0,K3/$E$19)</f>
        <v>0.15625</v>
      </c>
      <c r="K3" s="871">
        <f>$E$26</f>
        <v>15500000</v>
      </c>
      <c r="L3" s="876" t="str">
        <f>C26</f>
        <v>LANDING PAGE</v>
      </c>
      <c r="M3" s="901">
        <f t="shared" ref="M3:BX3" si="124">M$26</f>
        <v>15</v>
      </c>
      <c r="N3" s="878">
        <f t="shared" si="124"/>
        <v>12</v>
      </c>
      <c r="O3" s="1093">
        <f t="shared" si="124"/>
        <v>0.76666666666666661</v>
      </c>
      <c r="P3" s="881">
        <f>P$26</f>
        <v>500000</v>
      </c>
      <c r="Q3" s="901">
        <f t="shared" si="124"/>
        <v>15</v>
      </c>
      <c r="R3" s="878">
        <f t="shared" si="124"/>
        <v>12</v>
      </c>
      <c r="S3" s="1093">
        <f t="shared" si="124"/>
        <v>0.76666666666666661</v>
      </c>
      <c r="T3" s="881">
        <f t="shared" si="124"/>
        <v>500000</v>
      </c>
      <c r="U3" s="901">
        <f t="shared" si="124"/>
        <v>15</v>
      </c>
      <c r="V3" s="878">
        <f t="shared" si="124"/>
        <v>12</v>
      </c>
      <c r="W3" s="1093">
        <f t="shared" si="124"/>
        <v>0.76666666666666661</v>
      </c>
      <c r="X3" s="881">
        <f t="shared" si="124"/>
        <v>500000</v>
      </c>
      <c r="Y3" s="901">
        <f t="shared" si="124"/>
        <v>15</v>
      </c>
      <c r="Z3" s="878">
        <f t="shared" si="124"/>
        <v>12</v>
      </c>
      <c r="AA3" s="1093">
        <f t="shared" si="124"/>
        <v>0.76666666666666661</v>
      </c>
      <c r="AB3" s="881">
        <f t="shared" si="124"/>
        <v>500000</v>
      </c>
      <c r="AC3" s="901">
        <f t="shared" si="124"/>
        <v>15</v>
      </c>
      <c r="AD3" s="878">
        <f t="shared" si="124"/>
        <v>12</v>
      </c>
      <c r="AE3" s="1093">
        <f t="shared" si="124"/>
        <v>0.76666666666666661</v>
      </c>
      <c r="AF3" s="881">
        <f t="shared" si="124"/>
        <v>500000</v>
      </c>
      <c r="AG3" s="901">
        <f t="shared" si="124"/>
        <v>15</v>
      </c>
      <c r="AH3" s="878">
        <f t="shared" si="124"/>
        <v>12</v>
      </c>
      <c r="AI3" s="1093">
        <f t="shared" si="124"/>
        <v>0.76666666666666661</v>
      </c>
      <c r="AJ3" s="881">
        <f t="shared" si="124"/>
        <v>500000</v>
      </c>
      <c r="AK3" s="901">
        <f t="shared" si="124"/>
        <v>15</v>
      </c>
      <c r="AL3" s="878">
        <f t="shared" si="124"/>
        <v>12</v>
      </c>
      <c r="AM3" s="1093">
        <f t="shared" si="124"/>
        <v>0.76666666666666661</v>
      </c>
      <c r="AN3" s="881">
        <f t="shared" si="124"/>
        <v>500000</v>
      </c>
      <c r="AO3" s="901">
        <f t="shared" si="124"/>
        <v>15</v>
      </c>
      <c r="AP3" s="878">
        <f t="shared" si="124"/>
        <v>12</v>
      </c>
      <c r="AQ3" s="1093">
        <f t="shared" si="124"/>
        <v>0.76666666666666661</v>
      </c>
      <c r="AR3" s="881">
        <f t="shared" si="124"/>
        <v>500000</v>
      </c>
      <c r="AS3" s="901">
        <f t="shared" si="124"/>
        <v>15</v>
      </c>
      <c r="AT3" s="878">
        <f t="shared" si="124"/>
        <v>12</v>
      </c>
      <c r="AU3" s="1093">
        <f t="shared" si="124"/>
        <v>0.76666666666666661</v>
      </c>
      <c r="AV3" s="881">
        <f t="shared" si="124"/>
        <v>500000</v>
      </c>
      <c r="AW3" s="901">
        <f t="shared" si="124"/>
        <v>15</v>
      </c>
      <c r="AX3" s="878">
        <f t="shared" si="124"/>
        <v>12</v>
      </c>
      <c r="AY3" s="1093">
        <f t="shared" si="124"/>
        <v>0.76666666666666661</v>
      </c>
      <c r="AZ3" s="881">
        <f t="shared" si="124"/>
        <v>500000</v>
      </c>
      <c r="BA3" s="901">
        <f t="shared" si="124"/>
        <v>15</v>
      </c>
      <c r="BB3" s="878">
        <f t="shared" si="124"/>
        <v>12</v>
      </c>
      <c r="BC3" s="1093">
        <f t="shared" si="124"/>
        <v>0.76666666666666661</v>
      </c>
      <c r="BD3" s="881">
        <f t="shared" si="124"/>
        <v>500000</v>
      </c>
      <c r="BE3" s="901">
        <f t="shared" si="124"/>
        <v>15</v>
      </c>
      <c r="BF3" s="878">
        <f t="shared" si="124"/>
        <v>12</v>
      </c>
      <c r="BG3" s="1093">
        <f t="shared" si="124"/>
        <v>0.76666666666666661</v>
      </c>
      <c r="BH3" s="881">
        <f t="shared" si="124"/>
        <v>500000</v>
      </c>
      <c r="BI3" s="901">
        <f t="shared" si="124"/>
        <v>15</v>
      </c>
      <c r="BJ3" s="878">
        <f t="shared" si="124"/>
        <v>12</v>
      </c>
      <c r="BK3" s="1093">
        <f t="shared" si="124"/>
        <v>0.76666666666666661</v>
      </c>
      <c r="BL3" s="881">
        <f t="shared" si="124"/>
        <v>500000</v>
      </c>
      <c r="BM3" s="901">
        <f t="shared" si="124"/>
        <v>15</v>
      </c>
      <c r="BN3" s="878">
        <f t="shared" si="124"/>
        <v>12</v>
      </c>
      <c r="BO3" s="1093">
        <f t="shared" si="124"/>
        <v>0.76666666666666661</v>
      </c>
      <c r="BP3" s="881">
        <f t="shared" si="124"/>
        <v>500000</v>
      </c>
      <c r="BQ3" s="901">
        <f t="shared" si="124"/>
        <v>15</v>
      </c>
      <c r="BR3" s="878">
        <f t="shared" si="124"/>
        <v>12</v>
      </c>
      <c r="BS3" s="1093">
        <f t="shared" si="124"/>
        <v>0.76666666666666661</v>
      </c>
      <c r="BT3" s="881">
        <f t="shared" si="124"/>
        <v>500000</v>
      </c>
      <c r="BU3" s="901">
        <f t="shared" si="124"/>
        <v>15</v>
      </c>
      <c r="BV3" s="878">
        <f t="shared" si="124"/>
        <v>12</v>
      </c>
      <c r="BW3" s="1093">
        <f t="shared" si="124"/>
        <v>0.76666666666666661</v>
      </c>
      <c r="BX3" s="881">
        <f t="shared" si="124"/>
        <v>500000</v>
      </c>
      <c r="BY3" s="901">
        <f t="shared" ref="BY3:EE3" si="125">BY$26</f>
        <v>15</v>
      </c>
      <c r="BZ3" s="878">
        <f t="shared" si="125"/>
        <v>12</v>
      </c>
      <c r="CA3" s="1093">
        <f t="shared" si="125"/>
        <v>0.76666666666666661</v>
      </c>
      <c r="CB3" s="881">
        <f t="shared" si="125"/>
        <v>500000</v>
      </c>
      <c r="CC3" s="901">
        <f t="shared" si="125"/>
        <v>15</v>
      </c>
      <c r="CD3" s="878">
        <f t="shared" si="125"/>
        <v>12</v>
      </c>
      <c r="CE3" s="1093">
        <f t="shared" si="125"/>
        <v>0.76666666666666661</v>
      </c>
      <c r="CF3" s="881">
        <f t="shared" si="125"/>
        <v>500000</v>
      </c>
      <c r="CG3" s="901">
        <f t="shared" si="125"/>
        <v>15</v>
      </c>
      <c r="CH3" s="878">
        <f t="shared" si="125"/>
        <v>12</v>
      </c>
      <c r="CI3" s="1093">
        <f t="shared" si="125"/>
        <v>0.76666666666666661</v>
      </c>
      <c r="CJ3" s="881">
        <f t="shared" si="125"/>
        <v>500000</v>
      </c>
      <c r="CK3" s="901">
        <f t="shared" si="125"/>
        <v>15</v>
      </c>
      <c r="CL3" s="878">
        <f t="shared" si="125"/>
        <v>12</v>
      </c>
      <c r="CM3" s="1093">
        <f t="shared" si="125"/>
        <v>0.76666666666666661</v>
      </c>
      <c r="CN3" s="881">
        <f t="shared" si="125"/>
        <v>500000</v>
      </c>
      <c r="CO3" s="901">
        <f t="shared" si="125"/>
        <v>15</v>
      </c>
      <c r="CP3" s="878">
        <f t="shared" si="125"/>
        <v>12</v>
      </c>
      <c r="CQ3" s="1093">
        <f t="shared" si="125"/>
        <v>0.76666666666666661</v>
      </c>
      <c r="CR3" s="881">
        <f t="shared" si="125"/>
        <v>500000</v>
      </c>
      <c r="CS3" s="901">
        <f t="shared" si="125"/>
        <v>15</v>
      </c>
      <c r="CT3" s="878">
        <f t="shared" si="125"/>
        <v>12</v>
      </c>
      <c r="CU3" s="1093">
        <f t="shared" si="125"/>
        <v>0.76666666666666661</v>
      </c>
      <c r="CV3" s="881">
        <f t="shared" si="125"/>
        <v>500000</v>
      </c>
      <c r="CW3" s="901">
        <f t="shared" si="125"/>
        <v>15</v>
      </c>
      <c r="CX3" s="878">
        <f t="shared" si="125"/>
        <v>12</v>
      </c>
      <c r="CY3" s="1093">
        <f t="shared" si="125"/>
        <v>0.76666666666666661</v>
      </c>
      <c r="CZ3" s="881">
        <f t="shared" si="125"/>
        <v>500000</v>
      </c>
      <c r="DA3" s="901">
        <f t="shared" si="125"/>
        <v>15</v>
      </c>
      <c r="DB3" s="878">
        <f t="shared" si="125"/>
        <v>12</v>
      </c>
      <c r="DC3" s="1093">
        <f t="shared" si="125"/>
        <v>0.76666666666666661</v>
      </c>
      <c r="DD3" s="881">
        <f t="shared" si="125"/>
        <v>500000</v>
      </c>
      <c r="DE3" s="901">
        <f t="shared" si="125"/>
        <v>15</v>
      </c>
      <c r="DF3" s="878">
        <f t="shared" si="125"/>
        <v>12</v>
      </c>
      <c r="DG3" s="1093">
        <f t="shared" si="125"/>
        <v>0.76666666666666661</v>
      </c>
      <c r="DH3" s="881">
        <f t="shared" si="125"/>
        <v>500000</v>
      </c>
      <c r="DI3" s="901">
        <f t="shared" si="125"/>
        <v>15</v>
      </c>
      <c r="DJ3" s="878">
        <f t="shared" si="125"/>
        <v>12</v>
      </c>
      <c r="DK3" s="1093">
        <f t="shared" si="125"/>
        <v>0.76666666666666661</v>
      </c>
      <c r="DL3" s="881">
        <f t="shared" si="125"/>
        <v>500000</v>
      </c>
      <c r="DM3" s="901">
        <f t="shared" si="125"/>
        <v>15</v>
      </c>
      <c r="DN3" s="878">
        <f t="shared" si="125"/>
        <v>12</v>
      </c>
      <c r="DO3" s="1093">
        <f t="shared" si="125"/>
        <v>0.76666666666666661</v>
      </c>
      <c r="DP3" s="881">
        <f t="shared" si="125"/>
        <v>500000</v>
      </c>
      <c r="DQ3" s="901">
        <f t="shared" si="125"/>
        <v>15</v>
      </c>
      <c r="DR3" s="878">
        <f t="shared" si="125"/>
        <v>12</v>
      </c>
      <c r="DS3" s="1093">
        <f t="shared" si="125"/>
        <v>0.76666666666666661</v>
      </c>
      <c r="DT3" s="881">
        <f t="shared" si="125"/>
        <v>500000</v>
      </c>
      <c r="DU3" s="901">
        <f t="shared" si="125"/>
        <v>15</v>
      </c>
      <c r="DV3" s="878">
        <f t="shared" si="125"/>
        <v>12</v>
      </c>
      <c r="DW3" s="1093">
        <f t="shared" si="125"/>
        <v>0.76666666666666661</v>
      </c>
      <c r="DX3" s="881">
        <f t="shared" si="125"/>
        <v>500000</v>
      </c>
      <c r="DY3" s="901">
        <f t="shared" si="125"/>
        <v>15</v>
      </c>
      <c r="DZ3" s="878">
        <f t="shared" si="125"/>
        <v>12</v>
      </c>
      <c r="EA3" s="1093">
        <f t="shared" si="125"/>
        <v>0.76666666666666661</v>
      </c>
      <c r="EB3" s="881">
        <f t="shared" si="125"/>
        <v>500000</v>
      </c>
      <c r="EC3" s="901">
        <f t="shared" si="125"/>
        <v>15</v>
      </c>
      <c r="ED3" s="878">
        <f t="shared" si="125"/>
        <v>12</v>
      </c>
      <c r="EE3" s="1093">
        <f t="shared" si="125"/>
        <v>0.76666666666666661</v>
      </c>
      <c r="EF3" s="881">
        <f>EF$26</f>
        <v>500000</v>
      </c>
    </row>
    <row r="4" spans="1:136" ht="20" customHeight="1" thickBot="1" x14ac:dyDescent="0.2">
      <c r="A4" s="95" t="s">
        <v>79</v>
      </c>
      <c r="B4" s="98">
        <v>1000000</v>
      </c>
      <c r="C4" s="800" t="s">
        <v>191</v>
      </c>
      <c r="D4" s="16"/>
      <c r="E4" s="848" t="str">
        <f>Dashboard!P5</f>
        <v>Person #1</v>
      </c>
      <c r="F4" s="849" t="str">
        <f>Dashboard!Q5</f>
        <v>Person #2</v>
      </c>
      <c r="G4" s="849" t="str">
        <f>Dashboard!R5</f>
        <v>Person #3</v>
      </c>
      <c r="H4" s="850" t="str">
        <f>Dashboard!S5</f>
        <v>Person #4</v>
      </c>
      <c r="I4" s="782">
        <f>$H$32</f>
        <v>0.41666666666666652</v>
      </c>
      <c r="J4" s="1092">
        <f t="shared" si="123"/>
        <v>0.171875</v>
      </c>
      <c r="K4" s="871">
        <f>$E$32</f>
        <v>17050000</v>
      </c>
      <c r="L4" s="875" t="str">
        <f>C32</f>
        <v>WEBSITE</v>
      </c>
      <c r="M4" s="901">
        <f t="shared" ref="M4:BX4" si="126">M$32</f>
        <v>7</v>
      </c>
      <c r="N4" s="878">
        <f t="shared" si="126"/>
        <v>3</v>
      </c>
      <c r="O4" s="1093">
        <f t="shared" si="126"/>
        <v>0.41666666666666663</v>
      </c>
      <c r="P4" s="881">
        <f>P$32</f>
        <v>550000</v>
      </c>
      <c r="Q4" s="901">
        <f t="shared" si="126"/>
        <v>7</v>
      </c>
      <c r="R4" s="878">
        <f t="shared" si="126"/>
        <v>3</v>
      </c>
      <c r="S4" s="1093">
        <f t="shared" si="126"/>
        <v>0.41666666666666663</v>
      </c>
      <c r="T4" s="881">
        <f t="shared" si="126"/>
        <v>550000</v>
      </c>
      <c r="U4" s="901">
        <f t="shared" si="126"/>
        <v>7</v>
      </c>
      <c r="V4" s="878">
        <f t="shared" si="126"/>
        <v>3</v>
      </c>
      <c r="W4" s="1093">
        <f t="shared" si="126"/>
        <v>0.41666666666666663</v>
      </c>
      <c r="X4" s="881">
        <f t="shared" si="126"/>
        <v>550000</v>
      </c>
      <c r="Y4" s="901">
        <f t="shared" si="126"/>
        <v>7</v>
      </c>
      <c r="Z4" s="878">
        <f t="shared" si="126"/>
        <v>3</v>
      </c>
      <c r="AA4" s="1093">
        <f t="shared" si="126"/>
        <v>0.41666666666666663</v>
      </c>
      <c r="AB4" s="881">
        <f t="shared" si="126"/>
        <v>550000</v>
      </c>
      <c r="AC4" s="901">
        <f t="shared" si="126"/>
        <v>7</v>
      </c>
      <c r="AD4" s="878">
        <f t="shared" si="126"/>
        <v>3</v>
      </c>
      <c r="AE4" s="1093">
        <f t="shared" si="126"/>
        <v>0.41666666666666663</v>
      </c>
      <c r="AF4" s="881">
        <f t="shared" si="126"/>
        <v>550000</v>
      </c>
      <c r="AG4" s="901">
        <f t="shared" si="126"/>
        <v>7</v>
      </c>
      <c r="AH4" s="878">
        <f t="shared" si="126"/>
        <v>3</v>
      </c>
      <c r="AI4" s="1093">
        <f t="shared" si="126"/>
        <v>0.41666666666666663</v>
      </c>
      <c r="AJ4" s="881">
        <f t="shared" si="126"/>
        <v>550000</v>
      </c>
      <c r="AK4" s="901">
        <f t="shared" si="126"/>
        <v>7</v>
      </c>
      <c r="AL4" s="878">
        <f t="shared" si="126"/>
        <v>3</v>
      </c>
      <c r="AM4" s="1093">
        <f t="shared" si="126"/>
        <v>0.41666666666666663</v>
      </c>
      <c r="AN4" s="881">
        <f t="shared" si="126"/>
        <v>550000</v>
      </c>
      <c r="AO4" s="901">
        <f t="shared" si="126"/>
        <v>7</v>
      </c>
      <c r="AP4" s="878">
        <f t="shared" si="126"/>
        <v>3</v>
      </c>
      <c r="AQ4" s="1093">
        <f t="shared" si="126"/>
        <v>0.41666666666666663</v>
      </c>
      <c r="AR4" s="881">
        <f t="shared" si="126"/>
        <v>550000</v>
      </c>
      <c r="AS4" s="901">
        <f t="shared" si="126"/>
        <v>7</v>
      </c>
      <c r="AT4" s="878">
        <f t="shared" si="126"/>
        <v>3</v>
      </c>
      <c r="AU4" s="1093">
        <f t="shared" si="126"/>
        <v>0.41666666666666663</v>
      </c>
      <c r="AV4" s="881">
        <f t="shared" si="126"/>
        <v>550000</v>
      </c>
      <c r="AW4" s="901">
        <f t="shared" si="126"/>
        <v>7</v>
      </c>
      <c r="AX4" s="878">
        <f t="shared" si="126"/>
        <v>3</v>
      </c>
      <c r="AY4" s="1093">
        <f t="shared" si="126"/>
        <v>0.41666666666666663</v>
      </c>
      <c r="AZ4" s="881">
        <f t="shared" si="126"/>
        <v>550000</v>
      </c>
      <c r="BA4" s="901">
        <f t="shared" si="126"/>
        <v>7</v>
      </c>
      <c r="BB4" s="878">
        <f t="shared" si="126"/>
        <v>3</v>
      </c>
      <c r="BC4" s="1093">
        <f t="shared" si="126"/>
        <v>0.41666666666666663</v>
      </c>
      <c r="BD4" s="881">
        <f t="shared" si="126"/>
        <v>550000</v>
      </c>
      <c r="BE4" s="901">
        <f t="shared" si="126"/>
        <v>7</v>
      </c>
      <c r="BF4" s="878">
        <f t="shared" si="126"/>
        <v>3</v>
      </c>
      <c r="BG4" s="1093">
        <f t="shared" si="126"/>
        <v>0.41666666666666663</v>
      </c>
      <c r="BH4" s="881">
        <f t="shared" si="126"/>
        <v>550000</v>
      </c>
      <c r="BI4" s="901">
        <f t="shared" si="126"/>
        <v>7</v>
      </c>
      <c r="BJ4" s="878">
        <f t="shared" si="126"/>
        <v>3</v>
      </c>
      <c r="BK4" s="1093">
        <f t="shared" si="126"/>
        <v>0.41666666666666663</v>
      </c>
      <c r="BL4" s="881">
        <f t="shared" si="126"/>
        <v>550000</v>
      </c>
      <c r="BM4" s="901">
        <f t="shared" si="126"/>
        <v>7</v>
      </c>
      <c r="BN4" s="878">
        <f t="shared" si="126"/>
        <v>3</v>
      </c>
      <c r="BO4" s="1093">
        <f t="shared" si="126"/>
        <v>0.41666666666666663</v>
      </c>
      <c r="BP4" s="881">
        <f t="shared" si="126"/>
        <v>550000</v>
      </c>
      <c r="BQ4" s="901">
        <f t="shared" si="126"/>
        <v>7</v>
      </c>
      <c r="BR4" s="878">
        <f t="shared" si="126"/>
        <v>3</v>
      </c>
      <c r="BS4" s="1093">
        <f t="shared" si="126"/>
        <v>0.41666666666666663</v>
      </c>
      <c r="BT4" s="881">
        <f t="shared" si="126"/>
        <v>550000</v>
      </c>
      <c r="BU4" s="901">
        <f t="shared" si="126"/>
        <v>7</v>
      </c>
      <c r="BV4" s="878">
        <f t="shared" si="126"/>
        <v>3</v>
      </c>
      <c r="BW4" s="1093">
        <f t="shared" si="126"/>
        <v>0.41666666666666663</v>
      </c>
      <c r="BX4" s="881">
        <f t="shared" si="126"/>
        <v>550000</v>
      </c>
      <c r="BY4" s="901">
        <f t="shared" ref="BY4:EE4" si="127">BY$32</f>
        <v>7</v>
      </c>
      <c r="BZ4" s="878">
        <f t="shared" si="127"/>
        <v>3</v>
      </c>
      <c r="CA4" s="1093">
        <f t="shared" si="127"/>
        <v>0.41666666666666663</v>
      </c>
      <c r="CB4" s="881">
        <f t="shared" si="127"/>
        <v>550000</v>
      </c>
      <c r="CC4" s="901">
        <f t="shared" si="127"/>
        <v>7</v>
      </c>
      <c r="CD4" s="878">
        <f t="shared" si="127"/>
        <v>3</v>
      </c>
      <c r="CE4" s="1093">
        <f t="shared" si="127"/>
        <v>0.41666666666666663</v>
      </c>
      <c r="CF4" s="881">
        <f t="shared" si="127"/>
        <v>550000</v>
      </c>
      <c r="CG4" s="901">
        <f t="shared" si="127"/>
        <v>7</v>
      </c>
      <c r="CH4" s="878">
        <f t="shared" si="127"/>
        <v>3</v>
      </c>
      <c r="CI4" s="1093">
        <f t="shared" si="127"/>
        <v>0.41666666666666663</v>
      </c>
      <c r="CJ4" s="881">
        <f t="shared" si="127"/>
        <v>550000</v>
      </c>
      <c r="CK4" s="901">
        <f t="shared" si="127"/>
        <v>7</v>
      </c>
      <c r="CL4" s="878">
        <f t="shared" si="127"/>
        <v>3</v>
      </c>
      <c r="CM4" s="1093">
        <f t="shared" si="127"/>
        <v>0.41666666666666663</v>
      </c>
      <c r="CN4" s="881">
        <f t="shared" si="127"/>
        <v>550000</v>
      </c>
      <c r="CO4" s="901">
        <f t="shared" si="127"/>
        <v>7</v>
      </c>
      <c r="CP4" s="878">
        <f t="shared" si="127"/>
        <v>3</v>
      </c>
      <c r="CQ4" s="1093">
        <f t="shared" si="127"/>
        <v>0.41666666666666663</v>
      </c>
      <c r="CR4" s="881">
        <f t="shared" si="127"/>
        <v>550000</v>
      </c>
      <c r="CS4" s="901">
        <f t="shared" si="127"/>
        <v>7</v>
      </c>
      <c r="CT4" s="878">
        <f t="shared" si="127"/>
        <v>3</v>
      </c>
      <c r="CU4" s="1093">
        <f t="shared" si="127"/>
        <v>0.41666666666666663</v>
      </c>
      <c r="CV4" s="881">
        <f t="shared" si="127"/>
        <v>550000</v>
      </c>
      <c r="CW4" s="901">
        <f t="shared" si="127"/>
        <v>7</v>
      </c>
      <c r="CX4" s="878">
        <f t="shared" si="127"/>
        <v>3</v>
      </c>
      <c r="CY4" s="1093">
        <f t="shared" si="127"/>
        <v>0.41666666666666663</v>
      </c>
      <c r="CZ4" s="881">
        <f t="shared" si="127"/>
        <v>550000</v>
      </c>
      <c r="DA4" s="901">
        <f t="shared" si="127"/>
        <v>7</v>
      </c>
      <c r="DB4" s="878">
        <f t="shared" si="127"/>
        <v>3</v>
      </c>
      <c r="DC4" s="1093">
        <f t="shared" si="127"/>
        <v>0.41666666666666663</v>
      </c>
      <c r="DD4" s="881">
        <f t="shared" si="127"/>
        <v>550000</v>
      </c>
      <c r="DE4" s="901">
        <f t="shared" si="127"/>
        <v>7</v>
      </c>
      <c r="DF4" s="878">
        <f t="shared" si="127"/>
        <v>3</v>
      </c>
      <c r="DG4" s="1093">
        <f t="shared" si="127"/>
        <v>0.41666666666666663</v>
      </c>
      <c r="DH4" s="881">
        <f t="shared" si="127"/>
        <v>550000</v>
      </c>
      <c r="DI4" s="901">
        <f t="shared" si="127"/>
        <v>7</v>
      </c>
      <c r="DJ4" s="878">
        <f t="shared" si="127"/>
        <v>3</v>
      </c>
      <c r="DK4" s="1093">
        <f t="shared" si="127"/>
        <v>0.41666666666666663</v>
      </c>
      <c r="DL4" s="881">
        <f t="shared" si="127"/>
        <v>550000</v>
      </c>
      <c r="DM4" s="901">
        <f t="shared" si="127"/>
        <v>7</v>
      </c>
      <c r="DN4" s="878">
        <f t="shared" si="127"/>
        <v>3</v>
      </c>
      <c r="DO4" s="1093">
        <f t="shared" si="127"/>
        <v>0.41666666666666663</v>
      </c>
      <c r="DP4" s="881">
        <f t="shared" si="127"/>
        <v>550000</v>
      </c>
      <c r="DQ4" s="901">
        <f t="shared" si="127"/>
        <v>7</v>
      </c>
      <c r="DR4" s="878">
        <f t="shared" si="127"/>
        <v>3</v>
      </c>
      <c r="DS4" s="1093">
        <f t="shared" si="127"/>
        <v>0.41666666666666663</v>
      </c>
      <c r="DT4" s="881">
        <f t="shared" si="127"/>
        <v>550000</v>
      </c>
      <c r="DU4" s="901">
        <f t="shared" si="127"/>
        <v>7</v>
      </c>
      <c r="DV4" s="878">
        <f t="shared" si="127"/>
        <v>3</v>
      </c>
      <c r="DW4" s="1093">
        <f t="shared" si="127"/>
        <v>0.41666666666666663</v>
      </c>
      <c r="DX4" s="881">
        <f t="shared" si="127"/>
        <v>550000</v>
      </c>
      <c r="DY4" s="901">
        <f t="shared" si="127"/>
        <v>7</v>
      </c>
      <c r="DZ4" s="878">
        <f t="shared" si="127"/>
        <v>3</v>
      </c>
      <c r="EA4" s="1093">
        <f t="shared" si="127"/>
        <v>0.41666666666666663</v>
      </c>
      <c r="EB4" s="881">
        <f t="shared" si="127"/>
        <v>550000</v>
      </c>
      <c r="EC4" s="901">
        <f t="shared" si="127"/>
        <v>7</v>
      </c>
      <c r="ED4" s="878">
        <f t="shared" si="127"/>
        <v>3</v>
      </c>
      <c r="EE4" s="1093">
        <f t="shared" si="127"/>
        <v>0.41666666666666663</v>
      </c>
      <c r="EF4" s="881">
        <f>EF$32</f>
        <v>550000</v>
      </c>
    </row>
    <row r="5" spans="1:136" ht="20" customHeight="1" x14ac:dyDescent="0.15">
      <c r="A5" s="95"/>
      <c r="B5" s="98"/>
      <c r="C5" s="800"/>
      <c r="D5" s="16"/>
      <c r="E5" s="844"/>
      <c r="F5" s="845"/>
      <c r="G5" s="846"/>
      <c r="H5" s="847"/>
      <c r="I5" s="782">
        <f>$H$35</f>
        <v>0.5</v>
      </c>
      <c r="J5" s="1092">
        <f t="shared" si="123"/>
        <v>0.15625</v>
      </c>
      <c r="K5" s="871">
        <f>$E$35</f>
        <v>15500000</v>
      </c>
      <c r="L5" s="875" t="str">
        <f>C35</f>
        <v>TIKTOKSHOP</v>
      </c>
      <c r="M5" s="901">
        <f t="shared" ref="M5:BX5" si="128">M$35</f>
        <v>2</v>
      </c>
      <c r="N5" s="878">
        <f t="shared" si="128"/>
        <v>1</v>
      </c>
      <c r="O5" s="1093">
        <f t="shared" si="128"/>
        <v>0.5</v>
      </c>
      <c r="P5" s="881">
        <f>P$35</f>
        <v>500000</v>
      </c>
      <c r="Q5" s="901">
        <f t="shared" si="128"/>
        <v>2</v>
      </c>
      <c r="R5" s="878">
        <f t="shared" si="128"/>
        <v>1</v>
      </c>
      <c r="S5" s="1093">
        <f t="shared" si="128"/>
        <v>0.5</v>
      </c>
      <c r="T5" s="881">
        <f t="shared" si="128"/>
        <v>500000</v>
      </c>
      <c r="U5" s="901">
        <f t="shared" si="128"/>
        <v>2</v>
      </c>
      <c r="V5" s="878">
        <f t="shared" si="128"/>
        <v>1</v>
      </c>
      <c r="W5" s="1093">
        <f t="shared" si="128"/>
        <v>0.5</v>
      </c>
      <c r="X5" s="881">
        <f t="shared" si="128"/>
        <v>500000</v>
      </c>
      <c r="Y5" s="901">
        <f t="shared" si="128"/>
        <v>2</v>
      </c>
      <c r="Z5" s="878">
        <f t="shared" si="128"/>
        <v>1</v>
      </c>
      <c r="AA5" s="1093">
        <f t="shared" si="128"/>
        <v>0.5</v>
      </c>
      <c r="AB5" s="881">
        <f t="shared" si="128"/>
        <v>500000</v>
      </c>
      <c r="AC5" s="901">
        <f t="shared" si="128"/>
        <v>2</v>
      </c>
      <c r="AD5" s="878">
        <f t="shared" si="128"/>
        <v>1</v>
      </c>
      <c r="AE5" s="1093">
        <f t="shared" si="128"/>
        <v>0.5</v>
      </c>
      <c r="AF5" s="881">
        <f t="shared" si="128"/>
        <v>500000</v>
      </c>
      <c r="AG5" s="901">
        <f t="shared" si="128"/>
        <v>2</v>
      </c>
      <c r="AH5" s="878">
        <f t="shared" si="128"/>
        <v>1</v>
      </c>
      <c r="AI5" s="1093">
        <f t="shared" si="128"/>
        <v>0.5</v>
      </c>
      <c r="AJ5" s="881">
        <f t="shared" si="128"/>
        <v>500000</v>
      </c>
      <c r="AK5" s="901">
        <f t="shared" si="128"/>
        <v>2</v>
      </c>
      <c r="AL5" s="878">
        <f t="shared" si="128"/>
        <v>1</v>
      </c>
      <c r="AM5" s="1093">
        <f t="shared" si="128"/>
        <v>0.5</v>
      </c>
      <c r="AN5" s="881">
        <f t="shared" si="128"/>
        <v>500000</v>
      </c>
      <c r="AO5" s="901">
        <f t="shared" si="128"/>
        <v>2</v>
      </c>
      <c r="AP5" s="878">
        <f t="shared" si="128"/>
        <v>1</v>
      </c>
      <c r="AQ5" s="1093">
        <f t="shared" si="128"/>
        <v>0.5</v>
      </c>
      <c r="AR5" s="881">
        <f t="shared" si="128"/>
        <v>500000</v>
      </c>
      <c r="AS5" s="901">
        <f t="shared" si="128"/>
        <v>2</v>
      </c>
      <c r="AT5" s="878">
        <f t="shared" si="128"/>
        <v>1</v>
      </c>
      <c r="AU5" s="1093">
        <f t="shared" si="128"/>
        <v>0.5</v>
      </c>
      <c r="AV5" s="881">
        <f t="shared" si="128"/>
        <v>500000</v>
      </c>
      <c r="AW5" s="901">
        <f t="shared" si="128"/>
        <v>2</v>
      </c>
      <c r="AX5" s="878">
        <f t="shared" si="128"/>
        <v>1</v>
      </c>
      <c r="AY5" s="1093">
        <f t="shared" si="128"/>
        <v>0.5</v>
      </c>
      <c r="AZ5" s="881">
        <f t="shared" si="128"/>
        <v>500000</v>
      </c>
      <c r="BA5" s="901">
        <f t="shared" si="128"/>
        <v>2</v>
      </c>
      <c r="BB5" s="878">
        <f t="shared" si="128"/>
        <v>1</v>
      </c>
      <c r="BC5" s="1093">
        <f t="shared" si="128"/>
        <v>0.5</v>
      </c>
      <c r="BD5" s="881">
        <f t="shared" si="128"/>
        <v>500000</v>
      </c>
      <c r="BE5" s="901">
        <f t="shared" si="128"/>
        <v>2</v>
      </c>
      <c r="BF5" s="878">
        <f t="shared" si="128"/>
        <v>1</v>
      </c>
      <c r="BG5" s="1093">
        <f t="shared" si="128"/>
        <v>0.5</v>
      </c>
      <c r="BH5" s="881">
        <f t="shared" si="128"/>
        <v>500000</v>
      </c>
      <c r="BI5" s="901">
        <f t="shared" si="128"/>
        <v>2</v>
      </c>
      <c r="BJ5" s="878">
        <f t="shared" si="128"/>
        <v>1</v>
      </c>
      <c r="BK5" s="1093">
        <f t="shared" si="128"/>
        <v>0.5</v>
      </c>
      <c r="BL5" s="881">
        <f t="shared" si="128"/>
        <v>500000</v>
      </c>
      <c r="BM5" s="901">
        <f t="shared" si="128"/>
        <v>2</v>
      </c>
      <c r="BN5" s="878">
        <f t="shared" si="128"/>
        <v>1</v>
      </c>
      <c r="BO5" s="1093">
        <f t="shared" si="128"/>
        <v>0.5</v>
      </c>
      <c r="BP5" s="881">
        <f t="shared" si="128"/>
        <v>500000</v>
      </c>
      <c r="BQ5" s="901">
        <f t="shared" si="128"/>
        <v>2</v>
      </c>
      <c r="BR5" s="878">
        <f t="shared" si="128"/>
        <v>1</v>
      </c>
      <c r="BS5" s="1093">
        <f t="shared" si="128"/>
        <v>0.5</v>
      </c>
      <c r="BT5" s="881">
        <f t="shared" si="128"/>
        <v>500000</v>
      </c>
      <c r="BU5" s="901">
        <f t="shared" si="128"/>
        <v>2</v>
      </c>
      <c r="BV5" s="878">
        <f t="shared" si="128"/>
        <v>1</v>
      </c>
      <c r="BW5" s="1093">
        <f t="shared" si="128"/>
        <v>0.5</v>
      </c>
      <c r="BX5" s="881">
        <f t="shared" si="128"/>
        <v>500000</v>
      </c>
      <c r="BY5" s="901">
        <f t="shared" ref="BY5:EE5" si="129">BY$35</f>
        <v>2</v>
      </c>
      <c r="BZ5" s="878">
        <f t="shared" si="129"/>
        <v>1</v>
      </c>
      <c r="CA5" s="1093">
        <f t="shared" si="129"/>
        <v>0.5</v>
      </c>
      <c r="CB5" s="881">
        <f t="shared" si="129"/>
        <v>500000</v>
      </c>
      <c r="CC5" s="901">
        <f t="shared" si="129"/>
        <v>2</v>
      </c>
      <c r="CD5" s="878">
        <f t="shared" si="129"/>
        <v>1</v>
      </c>
      <c r="CE5" s="1093">
        <f t="shared" si="129"/>
        <v>0.5</v>
      </c>
      <c r="CF5" s="881">
        <f t="shared" si="129"/>
        <v>500000</v>
      </c>
      <c r="CG5" s="901">
        <f t="shared" si="129"/>
        <v>2</v>
      </c>
      <c r="CH5" s="878">
        <f t="shared" si="129"/>
        <v>1</v>
      </c>
      <c r="CI5" s="1093">
        <f t="shared" si="129"/>
        <v>0.5</v>
      </c>
      <c r="CJ5" s="881">
        <f t="shared" si="129"/>
        <v>500000</v>
      </c>
      <c r="CK5" s="901">
        <f t="shared" si="129"/>
        <v>2</v>
      </c>
      <c r="CL5" s="878">
        <f t="shared" si="129"/>
        <v>1</v>
      </c>
      <c r="CM5" s="1093">
        <f t="shared" si="129"/>
        <v>0.5</v>
      </c>
      <c r="CN5" s="881">
        <f t="shared" si="129"/>
        <v>500000</v>
      </c>
      <c r="CO5" s="901">
        <f t="shared" si="129"/>
        <v>2</v>
      </c>
      <c r="CP5" s="878">
        <f t="shared" si="129"/>
        <v>1</v>
      </c>
      <c r="CQ5" s="1093">
        <f t="shared" si="129"/>
        <v>0.5</v>
      </c>
      <c r="CR5" s="881">
        <f t="shared" si="129"/>
        <v>500000</v>
      </c>
      <c r="CS5" s="901">
        <f t="shared" si="129"/>
        <v>2</v>
      </c>
      <c r="CT5" s="878">
        <f t="shared" si="129"/>
        <v>1</v>
      </c>
      <c r="CU5" s="1093">
        <f t="shared" si="129"/>
        <v>0.5</v>
      </c>
      <c r="CV5" s="881">
        <f t="shared" si="129"/>
        <v>500000</v>
      </c>
      <c r="CW5" s="901">
        <f t="shared" si="129"/>
        <v>2</v>
      </c>
      <c r="CX5" s="878">
        <f t="shared" si="129"/>
        <v>1</v>
      </c>
      <c r="CY5" s="1093">
        <f t="shared" si="129"/>
        <v>0.5</v>
      </c>
      <c r="CZ5" s="881">
        <f t="shared" si="129"/>
        <v>500000</v>
      </c>
      <c r="DA5" s="901">
        <f t="shared" si="129"/>
        <v>2</v>
      </c>
      <c r="DB5" s="878">
        <f t="shared" si="129"/>
        <v>1</v>
      </c>
      <c r="DC5" s="1093">
        <f t="shared" si="129"/>
        <v>0.5</v>
      </c>
      <c r="DD5" s="881">
        <f t="shared" si="129"/>
        <v>500000</v>
      </c>
      <c r="DE5" s="901">
        <f t="shared" si="129"/>
        <v>2</v>
      </c>
      <c r="DF5" s="878">
        <f t="shared" si="129"/>
        <v>1</v>
      </c>
      <c r="DG5" s="1093">
        <f t="shared" si="129"/>
        <v>0.5</v>
      </c>
      <c r="DH5" s="881">
        <f t="shared" si="129"/>
        <v>500000</v>
      </c>
      <c r="DI5" s="901">
        <f t="shared" si="129"/>
        <v>2</v>
      </c>
      <c r="DJ5" s="878">
        <f t="shared" si="129"/>
        <v>1</v>
      </c>
      <c r="DK5" s="1093">
        <f t="shared" si="129"/>
        <v>0.5</v>
      </c>
      <c r="DL5" s="881">
        <f t="shared" si="129"/>
        <v>500000</v>
      </c>
      <c r="DM5" s="901">
        <f t="shared" si="129"/>
        <v>2</v>
      </c>
      <c r="DN5" s="878">
        <f t="shared" si="129"/>
        <v>1</v>
      </c>
      <c r="DO5" s="1093">
        <f t="shared" si="129"/>
        <v>0.5</v>
      </c>
      <c r="DP5" s="881">
        <f t="shared" si="129"/>
        <v>500000</v>
      </c>
      <c r="DQ5" s="901">
        <f t="shared" si="129"/>
        <v>2</v>
      </c>
      <c r="DR5" s="878">
        <f t="shared" si="129"/>
        <v>1</v>
      </c>
      <c r="DS5" s="1093">
        <f t="shared" si="129"/>
        <v>0.5</v>
      </c>
      <c r="DT5" s="881">
        <f t="shared" si="129"/>
        <v>500000</v>
      </c>
      <c r="DU5" s="901">
        <f t="shared" si="129"/>
        <v>2</v>
      </c>
      <c r="DV5" s="878">
        <f t="shared" si="129"/>
        <v>1</v>
      </c>
      <c r="DW5" s="1093">
        <f t="shared" si="129"/>
        <v>0.5</v>
      </c>
      <c r="DX5" s="881">
        <f t="shared" si="129"/>
        <v>500000</v>
      </c>
      <c r="DY5" s="901">
        <f t="shared" si="129"/>
        <v>2</v>
      </c>
      <c r="DZ5" s="878">
        <f t="shared" si="129"/>
        <v>1</v>
      </c>
      <c r="EA5" s="1093">
        <f t="shared" si="129"/>
        <v>0.5</v>
      </c>
      <c r="EB5" s="881">
        <f t="shared" si="129"/>
        <v>500000</v>
      </c>
      <c r="EC5" s="901">
        <f t="shared" si="129"/>
        <v>2</v>
      </c>
      <c r="ED5" s="878">
        <f t="shared" si="129"/>
        <v>1</v>
      </c>
      <c r="EE5" s="1093">
        <f t="shared" si="129"/>
        <v>0.5</v>
      </c>
      <c r="EF5" s="881">
        <f>EF$35</f>
        <v>500000</v>
      </c>
    </row>
    <row r="6" spans="1:136" ht="20" customHeight="1" thickBot="1" x14ac:dyDescent="0.2">
      <c r="A6" s="95"/>
      <c r="B6" s="98"/>
      <c r="C6" s="800"/>
      <c r="D6" s="16"/>
      <c r="E6" s="841">
        <f>Dashboard!P13</f>
        <v>0.35</v>
      </c>
      <c r="F6" s="842">
        <f>Dashboard!Q13</f>
        <v>0.3</v>
      </c>
      <c r="G6" s="842">
        <f>Dashboard!R13</f>
        <v>0.25</v>
      </c>
      <c r="H6" s="843">
        <f>Dashboard!S13</f>
        <v>0.2</v>
      </c>
      <c r="I6" s="782">
        <f>$H$36</f>
        <v>0.5</v>
      </c>
      <c r="J6" s="1092">
        <f t="shared" si="123"/>
        <v>0.1875</v>
      </c>
      <c r="K6" s="871">
        <f>$E$36</f>
        <v>18600000</v>
      </c>
      <c r="L6" s="875" t="str">
        <f>C36</f>
        <v>SHOPPEE</v>
      </c>
      <c r="M6" s="901">
        <f t="shared" ref="M6:BX6" si="130">M$36</f>
        <v>6</v>
      </c>
      <c r="N6" s="878">
        <f t="shared" si="130"/>
        <v>3</v>
      </c>
      <c r="O6" s="1093">
        <f t="shared" si="130"/>
        <v>0.5</v>
      </c>
      <c r="P6" s="881">
        <f>P$36</f>
        <v>600000</v>
      </c>
      <c r="Q6" s="901">
        <f t="shared" si="130"/>
        <v>6</v>
      </c>
      <c r="R6" s="878">
        <f t="shared" si="130"/>
        <v>3</v>
      </c>
      <c r="S6" s="1093">
        <f t="shared" si="130"/>
        <v>0.5</v>
      </c>
      <c r="T6" s="881">
        <f t="shared" si="130"/>
        <v>600000</v>
      </c>
      <c r="U6" s="901">
        <f t="shared" si="130"/>
        <v>6</v>
      </c>
      <c r="V6" s="878">
        <f t="shared" si="130"/>
        <v>3</v>
      </c>
      <c r="W6" s="1093">
        <f t="shared" si="130"/>
        <v>0.5</v>
      </c>
      <c r="X6" s="881">
        <f t="shared" si="130"/>
        <v>600000</v>
      </c>
      <c r="Y6" s="901">
        <f t="shared" si="130"/>
        <v>6</v>
      </c>
      <c r="Z6" s="878">
        <f t="shared" si="130"/>
        <v>3</v>
      </c>
      <c r="AA6" s="1093">
        <f t="shared" si="130"/>
        <v>0.5</v>
      </c>
      <c r="AB6" s="881">
        <f t="shared" si="130"/>
        <v>600000</v>
      </c>
      <c r="AC6" s="901">
        <f t="shared" si="130"/>
        <v>6</v>
      </c>
      <c r="AD6" s="878">
        <f t="shared" si="130"/>
        <v>3</v>
      </c>
      <c r="AE6" s="1093">
        <f t="shared" si="130"/>
        <v>0.5</v>
      </c>
      <c r="AF6" s="881">
        <f t="shared" si="130"/>
        <v>600000</v>
      </c>
      <c r="AG6" s="901">
        <f t="shared" si="130"/>
        <v>6</v>
      </c>
      <c r="AH6" s="878">
        <f t="shared" si="130"/>
        <v>3</v>
      </c>
      <c r="AI6" s="1093">
        <f t="shared" si="130"/>
        <v>0.5</v>
      </c>
      <c r="AJ6" s="881">
        <f t="shared" si="130"/>
        <v>600000</v>
      </c>
      <c r="AK6" s="901">
        <f t="shared" si="130"/>
        <v>6</v>
      </c>
      <c r="AL6" s="878">
        <f t="shared" si="130"/>
        <v>3</v>
      </c>
      <c r="AM6" s="1093">
        <f t="shared" si="130"/>
        <v>0.5</v>
      </c>
      <c r="AN6" s="881">
        <f t="shared" si="130"/>
        <v>600000</v>
      </c>
      <c r="AO6" s="901">
        <f t="shared" si="130"/>
        <v>6</v>
      </c>
      <c r="AP6" s="878">
        <f t="shared" si="130"/>
        <v>3</v>
      </c>
      <c r="AQ6" s="1093">
        <f t="shared" si="130"/>
        <v>0.5</v>
      </c>
      <c r="AR6" s="881">
        <f t="shared" si="130"/>
        <v>600000</v>
      </c>
      <c r="AS6" s="901">
        <f t="shared" si="130"/>
        <v>6</v>
      </c>
      <c r="AT6" s="878">
        <f t="shared" si="130"/>
        <v>3</v>
      </c>
      <c r="AU6" s="1093">
        <f t="shared" si="130"/>
        <v>0.5</v>
      </c>
      <c r="AV6" s="881">
        <f t="shared" si="130"/>
        <v>600000</v>
      </c>
      <c r="AW6" s="901">
        <f t="shared" si="130"/>
        <v>6</v>
      </c>
      <c r="AX6" s="878">
        <f t="shared" si="130"/>
        <v>3</v>
      </c>
      <c r="AY6" s="1093">
        <f t="shared" si="130"/>
        <v>0.5</v>
      </c>
      <c r="AZ6" s="881">
        <f t="shared" si="130"/>
        <v>600000</v>
      </c>
      <c r="BA6" s="901">
        <f t="shared" si="130"/>
        <v>6</v>
      </c>
      <c r="BB6" s="878">
        <f t="shared" si="130"/>
        <v>3</v>
      </c>
      <c r="BC6" s="1093">
        <f t="shared" si="130"/>
        <v>0.5</v>
      </c>
      <c r="BD6" s="881">
        <f t="shared" si="130"/>
        <v>600000</v>
      </c>
      <c r="BE6" s="901">
        <f t="shared" si="130"/>
        <v>6</v>
      </c>
      <c r="BF6" s="878">
        <f t="shared" si="130"/>
        <v>3</v>
      </c>
      <c r="BG6" s="1093">
        <f t="shared" si="130"/>
        <v>0.5</v>
      </c>
      <c r="BH6" s="881">
        <f t="shared" si="130"/>
        <v>600000</v>
      </c>
      <c r="BI6" s="901">
        <f t="shared" si="130"/>
        <v>6</v>
      </c>
      <c r="BJ6" s="878">
        <f t="shared" si="130"/>
        <v>3</v>
      </c>
      <c r="BK6" s="1093">
        <f t="shared" si="130"/>
        <v>0.5</v>
      </c>
      <c r="BL6" s="881">
        <f t="shared" si="130"/>
        <v>600000</v>
      </c>
      <c r="BM6" s="901">
        <f t="shared" si="130"/>
        <v>6</v>
      </c>
      <c r="BN6" s="878">
        <f t="shared" si="130"/>
        <v>3</v>
      </c>
      <c r="BO6" s="1093">
        <f t="shared" si="130"/>
        <v>0.5</v>
      </c>
      <c r="BP6" s="881">
        <f t="shared" si="130"/>
        <v>600000</v>
      </c>
      <c r="BQ6" s="901">
        <f t="shared" si="130"/>
        <v>6</v>
      </c>
      <c r="BR6" s="878">
        <f t="shared" si="130"/>
        <v>3</v>
      </c>
      <c r="BS6" s="1093">
        <f t="shared" si="130"/>
        <v>0.5</v>
      </c>
      <c r="BT6" s="881">
        <f t="shared" si="130"/>
        <v>600000</v>
      </c>
      <c r="BU6" s="901">
        <f t="shared" si="130"/>
        <v>6</v>
      </c>
      <c r="BV6" s="878">
        <f t="shared" si="130"/>
        <v>3</v>
      </c>
      <c r="BW6" s="1093">
        <f t="shared" si="130"/>
        <v>0.5</v>
      </c>
      <c r="BX6" s="881">
        <f t="shared" si="130"/>
        <v>600000</v>
      </c>
      <c r="BY6" s="901">
        <f t="shared" ref="BY6:EE6" si="131">BY$36</f>
        <v>6</v>
      </c>
      <c r="BZ6" s="878">
        <f t="shared" si="131"/>
        <v>3</v>
      </c>
      <c r="CA6" s="1093">
        <f t="shared" si="131"/>
        <v>0.5</v>
      </c>
      <c r="CB6" s="881">
        <f t="shared" si="131"/>
        <v>600000</v>
      </c>
      <c r="CC6" s="901">
        <f t="shared" si="131"/>
        <v>6</v>
      </c>
      <c r="CD6" s="878">
        <f t="shared" si="131"/>
        <v>3</v>
      </c>
      <c r="CE6" s="1093">
        <f t="shared" si="131"/>
        <v>0.5</v>
      </c>
      <c r="CF6" s="881">
        <f t="shared" si="131"/>
        <v>600000</v>
      </c>
      <c r="CG6" s="901">
        <f t="shared" si="131"/>
        <v>6</v>
      </c>
      <c r="CH6" s="878">
        <f t="shared" si="131"/>
        <v>3</v>
      </c>
      <c r="CI6" s="1093">
        <f t="shared" si="131"/>
        <v>0.5</v>
      </c>
      <c r="CJ6" s="881">
        <f t="shared" si="131"/>
        <v>600000</v>
      </c>
      <c r="CK6" s="901">
        <f t="shared" si="131"/>
        <v>6</v>
      </c>
      <c r="CL6" s="878">
        <f t="shared" si="131"/>
        <v>3</v>
      </c>
      <c r="CM6" s="1093">
        <f t="shared" si="131"/>
        <v>0.5</v>
      </c>
      <c r="CN6" s="881">
        <f t="shared" si="131"/>
        <v>600000</v>
      </c>
      <c r="CO6" s="901">
        <f t="shared" si="131"/>
        <v>6</v>
      </c>
      <c r="CP6" s="878">
        <f t="shared" si="131"/>
        <v>3</v>
      </c>
      <c r="CQ6" s="1093">
        <f t="shared" si="131"/>
        <v>0.5</v>
      </c>
      <c r="CR6" s="881">
        <f t="shared" si="131"/>
        <v>600000</v>
      </c>
      <c r="CS6" s="901">
        <f t="shared" si="131"/>
        <v>6</v>
      </c>
      <c r="CT6" s="878">
        <f t="shared" si="131"/>
        <v>3</v>
      </c>
      <c r="CU6" s="1093">
        <f t="shared" si="131"/>
        <v>0.5</v>
      </c>
      <c r="CV6" s="881">
        <f t="shared" si="131"/>
        <v>600000</v>
      </c>
      <c r="CW6" s="901">
        <f t="shared" si="131"/>
        <v>6</v>
      </c>
      <c r="CX6" s="878">
        <f t="shared" si="131"/>
        <v>3</v>
      </c>
      <c r="CY6" s="1093">
        <f t="shared" si="131"/>
        <v>0.5</v>
      </c>
      <c r="CZ6" s="881">
        <f t="shared" si="131"/>
        <v>600000</v>
      </c>
      <c r="DA6" s="901">
        <f t="shared" si="131"/>
        <v>6</v>
      </c>
      <c r="DB6" s="878">
        <f t="shared" si="131"/>
        <v>3</v>
      </c>
      <c r="DC6" s="1093">
        <f t="shared" si="131"/>
        <v>0.5</v>
      </c>
      <c r="DD6" s="881">
        <f t="shared" si="131"/>
        <v>600000</v>
      </c>
      <c r="DE6" s="901">
        <f t="shared" si="131"/>
        <v>6</v>
      </c>
      <c r="DF6" s="878">
        <f t="shared" si="131"/>
        <v>3</v>
      </c>
      <c r="DG6" s="1093">
        <f t="shared" si="131"/>
        <v>0.5</v>
      </c>
      <c r="DH6" s="881">
        <f t="shared" si="131"/>
        <v>600000</v>
      </c>
      <c r="DI6" s="901">
        <f t="shared" si="131"/>
        <v>6</v>
      </c>
      <c r="DJ6" s="878">
        <f t="shared" si="131"/>
        <v>3</v>
      </c>
      <c r="DK6" s="1093">
        <f t="shared" si="131"/>
        <v>0.5</v>
      </c>
      <c r="DL6" s="881">
        <f t="shared" si="131"/>
        <v>600000</v>
      </c>
      <c r="DM6" s="901">
        <f t="shared" si="131"/>
        <v>6</v>
      </c>
      <c r="DN6" s="878">
        <f t="shared" si="131"/>
        <v>3</v>
      </c>
      <c r="DO6" s="1093">
        <f t="shared" si="131"/>
        <v>0.5</v>
      </c>
      <c r="DP6" s="881">
        <f t="shared" si="131"/>
        <v>600000</v>
      </c>
      <c r="DQ6" s="901">
        <f t="shared" si="131"/>
        <v>6</v>
      </c>
      <c r="DR6" s="878">
        <f t="shared" si="131"/>
        <v>3</v>
      </c>
      <c r="DS6" s="1093">
        <f t="shared" si="131"/>
        <v>0.5</v>
      </c>
      <c r="DT6" s="881">
        <f t="shared" si="131"/>
        <v>600000</v>
      </c>
      <c r="DU6" s="901">
        <f t="shared" si="131"/>
        <v>6</v>
      </c>
      <c r="DV6" s="878">
        <f t="shared" si="131"/>
        <v>3</v>
      </c>
      <c r="DW6" s="1093">
        <f t="shared" si="131"/>
        <v>0.5</v>
      </c>
      <c r="DX6" s="881">
        <f t="shared" si="131"/>
        <v>600000</v>
      </c>
      <c r="DY6" s="901">
        <f t="shared" si="131"/>
        <v>6</v>
      </c>
      <c r="DZ6" s="878">
        <f t="shared" si="131"/>
        <v>3</v>
      </c>
      <c r="EA6" s="1093">
        <f t="shared" si="131"/>
        <v>0.5</v>
      </c>
      <c r="EB6" s="881">
        <f t="shared" si="131"/>
        <v>600000</v>
      </c>
      <c r="EC6" s="901">
        <f t="shared" si="131"/>
        <v>6</v>
      </c>
      <c r="ED6" s="878">
        <f t="shared" si="131"/>
        <v>3</v>
      </c>
      <c r="EE6" s="1093">
        <f t="shared" si="131"/>
        <v>0.5</v>
      </c>
      <c r="EF6" s="881">
        <f>EF$36</f>
        <v>600000</v>
      </c>
    </row>
    <row r="7" spans="1:136" ht="20" customHeight="1" x14ac:dyDescent="0.15">
      <c r="A7" s="809" t="s">
        <v>193</v>
      </c>
      <c r="B7" s="810">
        <v>1</v>
      </c>
      <c r="C7" s="783">
        <f>COUNTIF(M12:EF12,"T7")</f>
        <v>4</v>
      </c>
      <c r="D7" s="16"/>
      <c r="I7" s="782">
        <f>IF(ISNUMBER($H$39), $H$39, 0)</f>
        <v>0.967741935483871</v>
      </c>
      <c r="J7" s="1092">
        <f>IF($E$19=0,0,K7/$E$19)</f>
        <v>9.375E-2</v>
      </c>
      <c r="K7" s="871">
        <f>$E$39</f>
        <v>9300000</v>
      </c>
      <c r="L7" s="875" t="str">
        <f>C39</f>
        <v>ZALO</v>
      </c>
      <c r="M7" s="901">
        <f t="shared" ref="M7:BX7" si="132">M$39</f>
        <v>2</v>
      </c>
      <c r="N7" s="879">
        <f t="shared" si="132"/>
        <v>1</v>
      </c>
      <c r="O7" s="1093">
        <f t="shared" si="132"/>
        <v>0.5</v>
      </c>
      <c r="P7" s="881">
        <f t="shared" si="132"/>
        <v>300000</v>
      </c>
      <c r="Q7" s="901">
        <f t="shared" si="132"/>
        <v>2</v>
      </c>
      <c r="R7" s="879">
        <f t="shared" si="132"/>
        <v>1</v>
      </c>
      <c r="S7" s="1093">
        <f t="shared" si="132"/>
        <v>0.5</v>
      </c>
      <c r="T7" s="881">
        <f t="shared" si="132"/>
        <v>300000</v>
      </c>
      <c r="U7" s="901">
        <f t="shared" si="132"/>
        <v>1</v>
      </c>
      <c r="V7" s="879">
        <f t="shared" si="132"/>
        <v>1</v>
      </c>
      <c r="W7" s="1093">
        <f t="shared" si="132"/>
        <v>1</v>
      </c>
      <c r="X7" s="881">
        <f t="shared" si="132"/>
        <v>300000</v>
      </c>
      <c r="Y7" s="901">
        <f t="shared" si="132"/>
        <v>1</v>
      </c>
      <c r="Z7" s="879">
        <f t="shared" si="132"/>
        <v>1</v>
      </c>
      <c r="AA7" s="1093">
        <f t="shared" si="132"/>
        <v>1</v>
      </c>
      <c r="AB7" s="881">
        <f t="shared" si="132"/>
        <v>300000</v>
      </c>
      <c r="AC7" s="901">
        <f t="shared" si="132"/>
        <v>1</v>
      </c>
      <c r="AD7" s="879">
        <f t="shared" si="132"/>
        <v>1</v>
      </c>
      <c r="AE7" s="1093">
        <f t="shared" si="132"/>
        <v>1</v>
      </c>
      <c r="AF7" s="881">
        <f t="shared" si="132"/>
        <v>300000</v>
      </c>
      <c r="AG7" s="901">
        <f t="shared" si="132"/>
        <v>1</v>
      </c>
      <c r="AH7" s="879">
        <f t="shared" si="132"/>
        <v>1</v>
      </c>
      <c r="AI7" s="1093">
        <f t="shared" si="132"/>
        <v>1</v>
      </c>
      <c r="AJ7" s="881">
        <f t="shared" si="132"/>
        <v>300000</v>
      </c>
      <c r="AK7" s="901">
        <f t="shared" si="132"/>
        <v>1</v>
      </c>
      <c r="AL7" s="879">
        <f t="shared" si="132"/>
        <v>1</v>
      </c>
      <c r="AM7" s="1093">
        <f t="shared" si="132"/>
        <v>1</v>
      </c>
      <c r="AN7" s="881">
        <f t="shared" si="132"/>
        <v>300000</v>
      </c>
      <c r="AO7" s="901">
        <f t="shared" si="132"/>
        <v>1</v>
      </c>
      <c r="AP7" s="879">
        <f t="shared" si="132"/>
        <v>1</v>
      </c>
      <c r="AQ7" s="1093">
        <f t="shared" si="132"/>
        <v>1</v>
      </c>
      <c r="AR7" s="881">
        <f t="shared" si="132"/>
        <v>300000</v>
      </c>
      <c r="AS7" s="901">
        <f t="shared" si="132"/>
        <v>1</v>
      </c>
      <c r="AT7" s="879">
        <f t="shared" si="132"/>
        <v>1</v>
      </c>
      <c r="AU7" s="1093">
        <f t="shared" si="132"/>
        <v>1</v>
      </c>
      <c r="AV7" s="881">
        <f t="shared" si="132"/>
        <v>300000</v>
      </c>
      <c r="AW7" s="901">
        <f t="shared" si="132"/>
        <v>1</v>
      </c>
      <c r="AX7" s="879">
        <f t="shared" si="132"/>
        <v>1</v>
      </c>
      <c r="AY7" s="1093">
        <f t="shared" si="132"/>
        <v>1</v>
      </c>
      <c r="AZ7" s="881">
        <f t="shared" si="132"/>
        <v>300000</v>
      </c>
      <c r="BA7" s="901">
        <f t="shared" si="132"/>
        <v>1</v>
      </c>
      <c r="BB7" s="879">
        <f t="shared" si="132"/>
        <v>1</v>
      </c>
      <c r="BC7" s="1093">
        <f t="shared" si="132"/>
        <v>1</v>
      </c>
      <c r="BD7" s="881">
        <f t="shared" si="132"/>
        <v>300000</v>
      </c>
      <c r="BE7" s="901">
        <f t="shared" si="132"/>
        <v>1</v>
      </c>
      <c r="BF7" s="879">
        <f t="shared" si="132"/>
        <v>1</v>
      </c>
      <c r="BG7" s="1093">
        <f t="shared" si="132"/>
        <v>1</v>
      </c>
      <c r="BH7" s="881">
        <f t="shared" si="132"/>
        <v>300000</v>
      </c>
      <c r="BI7" s="901">
        <f t="shared" si="132"/>
        <v>1</v>
      </c>
      <c r="BJ7" s="879">
        <f t="shared" si="132"/>
        <v>1</v>
      </c>
      <c r="BK7" s="1093">
        <f t="shared" si="132"/>
        <v>1</v>
      </c>
      <c r="BL7" s="881">
        <f t="shared" si="132"/>
        <v>300000</v>
      </c>
      <c r="BM7" s="901">
        <f t="shared" si="132"/>
        <v>1</v>
      </c>
      <c r="BN7" s="879">
        <f t="shared" si="132"/>
        <v>1</v>
      </c>
      <c r="BO7" s="1093">
        <f t="shared" si="132"/>
        <v>1</v>
      </c>
      <c r="BP7" s="881">
        <f t="shared" si="132"/>
        <v>300000</v>
      </c>
      <c r="BQ7" s="901">
        <f t="shared" si="132"/>
        <v>1</v>
      </c>
      <c r="BR7" s="879">
        <f t="shared" si="132"/>
        <v>1</v>
      </c>
      <c r="BS7" s="1093">
        <f t="shared" si="132"/>
        <v>1</v>
      </c>
      <c r="BT7" s="881">
        <f t="shared" si="132"/>
        <v>300000</v>
      </c>
      <c r="BU7" s="901">
        <f t="shared" si="132"/>
        <v>1</v>
      </c>
      <c r="BV7" s="879">
        <f t="shared" si="132"/>
        <v>1</v>
      </c>
      <c r="BW7" s="1093">
        <f t="shared" si="132"/>
        <v>1</v>
      </c>
      <c r="BX7" s="881">
        <f t="shared" si="132"/>
        <v>300000</v>
      </c>
      <c r="BY7" s="901">
        <f t="shared" ref="BY7:EE7" si="133">BY$39</f>
        <v>1</v>
      </c>
      <c r="BZ7" s="879">
        <f t="shared" si="133"/>
        <v>1</v>
      </c>
      <c r="CA7" s="1093">
        <f t="shared" si="133"/>
        <v>1</v>
      </c>
      <c r="CB7" s="881">
        <f t="shared" si="133"/>
        <v>300000</v>
      </c>
      <c r="CC7" s="901">
        <f t="shared" si="133"/>
        <v>1</v>
      </c>
      <c r="CD7" s="879">
        <f t="shared" si="133"/>
        <v>1</v>
      </c>
      <c r="CE7" s="1093">
        <f t="shared" si="133"/>
        <v>1</v>
      </c>
      <c r="CF7" s="881">
        <f t="shared" si="133"/>
        <v>300000</v>
      </c>
      <c r="CG7" s="901">
        <f t="shared" si="133"/>
        <v>1</v>
      </c>
      <c r="CH7" s="879">
        <f t="shared" si="133"/>
        <v>1</v>
      </c>
      <c r="CI7" s="1093">
        <f t="shared" si="133"/>
        <v>1</v>
      </c>
      <c r="CJ7" s="881">
        <f t="shared" si="133"/>
        <v>300000</v>
      </c>
      <c r="CK7" s="901">
        <f t="shared" si="133"/>
        <v>1</v>
      </c>
      <c r="CL7" s="879">
        <f t="shared" si="133"/>
        <v>1</v>
      </c>
      <c r="CM7" s="1093">
        <f t="shared" si="133"/>
        <v>1</v>
      </c>
      <c r="CN7" s="881">
        <f t="shared" si="133"/>
        <v>300000</v>
      </c>
      <c r="CO7" s="901">
        <f t="shared" si="133"/>
        <v>1</v>
      </c>
      <c r="CP7" s="879">
        <f t="shared" si="133"/>
        <v>1</v>
      </c>
      <c r="CQ7" s="1093">
        <f t="shared" si="133"/>
        <v>1</v>
      </c>
      <c r="CR7" s="881">
        <f t="shared" si="133"/>
        <v>300000</v>
      </c>
      <c r="CS7" s="901">
        <f t="shared" si="133"/>
        <v>1</v>
      </c>
      <c r="CT7" s="879">
        <f t="shared" si="133"/>
        <v>1</v>
      </c>
      <c r="CU7" s="1093">
        <f t="shared" si="133"/>
        <v>1</v>
      </c>
      <c r="CV7" s="881">
        <f t="shared" si="133"/>
        <v>300000</v>
      </c>
      <c r="CW7" s="901">
        <f t="shared" si="133"/>
        <v>1</v>
      </c>
      <c r="CX7" s="879">
        <f t="shared" si="133"/>
        <v>1</v>
      </c>
      <c r="CY7" s="1093">
        <f t="shared" si="133"/>
        <v>1</v>
      </c>
      <c r="CZ7" s="881">
        <f t="shared" si="133"/>
        <v>300000</v>
      </c>
      <c r="DA7" s="901">
        <f t="shared" si="133"/>
        <v>1</v>
      </c>
      <c r="DB7" s="879">
        <f t="shared" si="133"/>
        <v>1</v>
      </c>
      <c r="DC7" s="1093">
        <f t="shared" si="133"/>
        <v>1</v>
      </c>
      <c r="DD7" s="881">
        <f t="shared" si="133"/>
        <v>300000</v>
      </c>
      <c r="DE7" s="901">
        <f t="shared" si="133"/>
        <v>1</v>
      </c>
      <c r="DF7" s="879">
        <f t="shared" si="133"/>
        <v>1</v>
      </c>
      <c r="DG7" s="1093">
        <f t="shared" si="133"/>
        <v>1</v>
      </c>
      <c r="DH7" s="881">
        <f t="shared" si="133"/>
        <v>300000</v>
      </c>
      <c r="DI7" s="901">
        <f t="shared" si="133"/>
        <v>1</v>
      </c>
      <c r="DJ7" s="879">
        <f t="shared" si="133"/>
        <v>1</v>
      </c>
      <c r="DK7" s="1093">
        <f t="shared" si="133"/>
        <v>1</v>
      </c>
      <c r="DL7" s="881">
        <f t="shared" si="133"/>
        <v>300000</v>
      </c>
      <c r="DM7" s="901">
        <f t="shared" si="133"/>
        <v>1</v>
      </c>
      <c r="DN7" s="879">
        <f t="shared" si="133"/>
        <v>1</v>
      </c>
      <c r="DO7" s="1093">
        <f t="shared" si="133"/>
        <v>1</v>
      </c>
      <c r="DP7" s="881">
        <f t="shared" si="133"/>
        <v>300000</v>
      </c>
      <c r="DQ7" s="901">
        <f t="shared" si="133"/>
        <v>1</v>
      </c>
      <c r="DR7" s="879">
        <f t="shared" si="133"/>
        <v>1</v>
      </c>
      <c r="DS7" s="1093">
        <f t="shared" si="133"/>
        <v>1</v>
      </c>
      <c r="DT7" s="881">
        <f t="shared" si="133"/>
        <v>300000</v>
      </c>
      <c r="DU7" s="901">
        <f t="shared" si="133"/>
        <v>1</v>
      </c>
      <c r="DV7" s="879">
        <f t="shared" si="133"/>
        <v>1</v>
      </c>
      <c r="DW7" s="1093">
        <f t="shared" si="133"/>
        <v>1</v>
      </c>
      <c r="DX7" s="881">
        <f t="shared" si="133"/>
        <v>300000</v>
      </c>
      <c r="DY7" s="901">
        <f t="shared" si="133"/>
        <v>1</v>
      </c>
      <c r="DZ7" s="879">
        <f t="shared" si="133"/>
        <v>1</v>
      </c>
      <c r="EA7" s="1093">
        <f t="shared" si="133"/>
        <v>1</v>
      </c>
      <c r="EB7" s="881">
        <f t="shared" si="133"/>
        <v>300000</v>
      </c>
      <c r="EC7" s="901">
        <f t="shared" si="133"/>
        <v>1</v>
      </c>
      <c r="ED7" s="879">
        <f t="shared" si="133"/>
        <v>1</v>
      </c>
      <c r="EE7" s="1093">
        <f t="shared" si="133"/>
        <v>1</v>
      </c>
      <c r="EF7" s="881">
        <f>EF$39</f>
        <v>300000</v>
      </c>
    </row>
    <row r="8" spans="1:136" ht="20" customHeight="1" x14ac:dyDescent="0.15">
      <c r="A8" s="811" t="s">
        <v>192</v>
      </c>
      <c r="B8" s="151">
        <f>COUNTIF($L$9:$EE$9,"TRUE")</f>
        <v>31</v>
      </c>
      <c r="C8" s="784"/>
      <c r="D8" s="785"/>
      <c r="I8" s="1396" t="s">
        <v>209</v>
      </c>
      <c r="J8" s="1396" t="s">
        <v>210</v>
      </c>
      <c r="K8" s="1397" t="s">
        <v>211</v>
      </c>
      <c r="L8" s="893" t="s">
        <v>203</v>
      </c>
      <c r="M8" s="902">
        <f>SUM(M2:M7)</f>
        <v>47</v>
      </c>
      <c r="N8" s="894">
        <f>SUM(N2:N7)</f>
        <v>35</v>
      </c>
      <c r="O8" s="1094">
        <f>_xlfn.IFS(M8=0,0,N8&lt;=M8,N8/M8,N8&gt;M8,1)</f>
        <v>0.74468085106382975</v>
      </c>
      <c r="P8" s="895">
        <f>SUM(P2:P7)</f>
        <v>3200000</v>
      </c>
      <c r="Q8" s="902">
        <f t="shared" ref="Q8:R8" si="134">SUM(Q2:Q7)</f>
        <v>47</v>
      </c>
      <c r="R8" s="894">
        <f t="shared" si="134"/>
        <v>35</v>
      </c>
      <c r="S8" s="1094">
        <f t="shared" ref="S8" si="135">_xlfn.IFS(Q8=0,0,R8&lt;=Q8,R8/Q8,R8&gt;Q8,1)</f>
        <v>0.74468085106382975</v>
      </c>
      <c r="T8" s="895">
        <f t="shared" ref="T8:V8" si="136">SUM(T2:T7)</f>
        <v>3200000</v>
      </c>
      <c r="U8" s="902">
        <f t="shared" si="136"/>
        <v>46</v>
      </c>
      <c r="V8" s="894">
        <f t="shared" si="136"/>
        <v>35</v>
      </c>
      <c r="W8" s="1094">
        <f t="shared" ref="W8" si="137">_xlfn.IFS(U8=0,0,V8&lt;=U8,V8/U8,V8&gt;U8,1)</f>
        <v>0.76086956521739135</v>
      </c>
      <c r="X8" s="895">
        <f t="shared" ref="X8:Z8" si="138">SUM(X2:X7)</f>
        <v>3200000</v>
      </c>
      <c r="Y8" s="902">
        <f t="shared" si="138"/>
        <v>46</v>
      </c>
      <c r="Z8" s="894">
        <f t="shared" si="138"/>
        <v>35</v>
      </c>
      <c r="AA8" s="1094">
        <f t="shared" ref="AA8" si="139">_xlfn.IFS(Y8=0,0,Z8&lt;=Y8,Z8/Y8,Z8&gt;Y8,1)</f>
        <v>0.76086956521739135</v>
      </c>
      <c r="AB8" s="895">
        <f t="shared" ref="AB8:AD8" si="140">SUM(AB2:AB7)</f>
        <v>3200000</v>
      </c>
      <c r="AC8" s="902">
        <f t="shared" si="140"/>
        <v>46</v>
      </c>
      <c r="AD8" s="894">
        <f t="shared" si="140"/>
        <v>35</v>
      </c>
      <c r="AE8" s="1094">
        <f t="shared" ref="AE8" si="141">_xlfn.IFS(AC8=0,0,AD8&lt;=AC8,AD8/AC8,AD8&gt;AC8,1)</f>
        <v>0.76086956521739135</v>
      </c>
      <c r="AF8" s="895">
        <f t="shared" ref="AF8:AH8" si="142">SUM(AF2:AF7)</f>
        <v>3200000</v>
      </c>
      <c r="AG8" s="902">
        <f t="shared" si="142"/>
        <v>46</v>
      </c>
      <c r="AH8" s="894">
        <f t="shared" si="142"/>
        <v>35</v>
      </c>
      <c r="AI8" s="1094">
        <f t="shared" ref="AI8" si="143">_xlfn.IFS(AG8=0,0,AH8&lt;=AG8,AH8/AG8,AH8&gt;AG8,1)</f>
        <v>0.76086956521739135</v>
      </c>
      <c r="AJ8" s="895">
        <f t="shared" ref="AJ8:AL8" si="144">SUM(AJ2:AJ7)</f>
        <v>3200000</v>
      </c>
      <c r="AK8" s="902">
        <f t="shared" si="144"/>
        <v>46</v>
      </c>
      <c r="AL8" s="894">
        <f t="shared" si="144"/>
        <v>35</v>
      </c>
      <c r="AM8" s="1094">
        <f t="shared" ref="AM8" si="145">_xlfn.IFS(AK8=0,0,AL8&lt;=AK8,AL8/AK8,AL8&gt;AK8,1)</f>
        <v>0.76086956521739135</v>
      </c>
      <c r="AN8" s="895">
        <f t="shared" ref="AN8:AP8" si="146">SUM(AN2:AN7)</f>
        <v>3200000</v>
      </c>
      <c r="AO8" s="902">
        <f t="shared" si="146"/>
        <v>46</v>
      </c>
      <c r="AP8" s="894">
        <f t="shared" si="146"/>
        <v>35</v>
      </c>
      <c r="AQ8" s="1094">
        <f t="shared" ref="AQ8" si="147">_xlfn.IFS(AO8=0,0,AP8&lt;=AO8,AP8/AO8,AP8&gt;AO8,1)</f>
        <v>0.76086956521739135</v>
      </c>
      <c r="AR8" s="895">
        <f t="shared" ref="AR8:AT8" si="148">SUM(AR2:AR7)</f>
        <v>3200000</v>
      </c>
      <c r="AS8" s="902">
        <f t="shared" si="148"/>
        <v>46</v>
      </c>
      <c r="AT8" s="894">
        <f t="shared" si="148"/>
        <v>35</v>
      </c>
      <c r="AU8" s="1094">
        <f t="shared" ref="AU8" si="149">_xlfn.IFS(AS8=0,0,AT8&lt;=AS8,AT8/AS8,AT8&gt;AS8,1)</f>
        <v>0.76086956521739135</v>
      </c>
      <c r="AV8" s="895">
        <f t="shared" ref="AV8:AX8" si="150">SUM(AV2:AV7)</f>
        <v>3200000</v>
      </c>
      <c r="AW8" s="902">
        <f t="shared" si="150"/>
        <v>46</v>
      </c>
      <c r="AX8" s="894">
        <f t="shared" si="150"/>
        <v>35</v>
      </c>
      <c r="AY8" s="1094">
        <f t="shared" ref="AY8" si="151">_xlfn.IFS(AW8=0,0,AX8&lt;=AW8,AX8/AW8,AX8&gt;AW8,1)</f>
        <v>0.76086956521739135</v>
      </c>
      <c r="AZ8" s="895">
        <f t="shared" ref="AZ8:BB8" si="152">SUM(AZ2:AZ7)</f>
        <v>3200000</v>
      </c>
      <c r="BA8" s="902">
        <f t="shared" si="152"/>
        <v>46</v>
      </c>
      <c r="BB8" s="894">
        <f t="shared" si="152"/>
        <v>35</v>
      </c>
      <c r="BC8" s="1094">
        <f t="shared" ref="BC8" si="153">_xlfn.IFS(BA8=0,0,BB8&lt;=BA8,BB8/BA8,BB8&gt;BA8,1)</f>
        <v>0.76086956521739135</v>
      </c>
      <c r="BD8" s="895">
        <f t="shared" ref="BD8:BF8" si="154">SUM(BD2:BD7)</f>
        <v>3200000</v>
      </c>
      <c r="BE8" s="902">
        <f t="shared" si="154"/>
        <v>46</v>
      </c>
      <c r="BF8" s="894">
        <f t="shared" si="154"/>
        <v>35</v>
      </c>
      <c r="BG8" s="1094">
        <f t="shared" ref="BG8" si="155">_xlfn.IFS(BE8=0,0,BF8&lt;=BE8,BF8/BE8,BF8&gt;BE8,1)</f>
        <v>0.76086956521739135</v>
      </c>
      <c r="BH8" s="895">
        <f t="shared" ref="BH8:BJ8" si="156">SUM(BH2:BH7)</f>
        <v>3200000</v>
      </c>
      <c r="BI8" s="902">
        <f t="shared" si="156"/>
        <v>46</v>
      </c>
      <c r="BJ8" s="894">
        <f t="shared" si="156"/>
        <v>35</v>
      </c>
      <c r="BK8" s="1094">
        <f t="shared" ref="BK8" si="157">_xlfn.IFS(BI8=0,0,BJ8&lt;=BI8,BJ8/BI8,BJ8&gt;BI8,1)</f>
        <v>0.76086956521739135</v>
      </c>
      <c r="BL8" s="895">
        <f t="shared" ref="BL8:BN8" si="158">SUM(BL2:BL7)</f>
        <v>3200000</v>
      </c>
      <c r="BM8" s="902">
        <f t="shared" si="158"/>
        <v>46</v>
      </c>
      <c r="BN8" s="894">
        <f t="shared" si="158"/>
        <v>35</v>
      </c>
      <c r="BO8" s="1094">
        <f t="shared" ref="BO8" si="159">_xlfn.IFS(BM8=0,0,BN8&lt;=BM8,BN8/BM8,BN8&gt;BM8,1)</f>
        <v>0.76086956521739135</v>
      </c>
      <c r="BP8" s="895">
        <f t="shared" ref="BP8:BR8" si="160">SUM(BP2:BP7)</f>
        <v>3200000</v>
      </c>
      <c r="BQ8" s="902">
        <f t="shared" si="160"/>
        <v>46</v>
      </c>
      <c r="BR8" s="894">
        <f t="shared" si="160"/>
        <v>35</v>
      </c>
      <c r="BS8" s="1094">
        <f t="shared" ref="BS8" si="161">_xlfn.IFS(BQ8=0,0,BR8&lt;=BQ8,BR8/BQ8,BR8&gt;BQ8,1)</f>
        <v>0.76086956521739135</v>
      </c>
      <c r="BT8" s="895">
        <f t="shared" ref="BT8:BV8" si="162">SUM(BT2:BT7)</f>
        <v>3200000</v>
      </c>
      <c r="BU8" s="902">
        <f t="shared" si="162"/>
        <v>46</v>
      </c>
      <c r="BV8" s="894">
        <f t="shared" si="162"/>
        <v>35</v>
      </c>
      <c r="BW8" s="1094">
        <f t="shared" ref="BW8" si="163">_xlfn.IFS(BU8=0,0,BV8&lt;=BU8,BV8/BU8,BV8&gt;BU8,1)</f>
        <v>0.76086956521739135</v>
      </c>
      <c r="BX8" s="895">
        <f t="shared" ref="BX8:BZ8" si="164">SUM(BX2:BX7)</f>
        <v>3200000</v>
      </c>
      <c r="BY8" s="902">
        <f t="shared" si="164"/>
        <v>46</v>
      </c>
      <c r="BZ8" s="894">
        <f t="shared" si="164"/>
        <v>35</v>
      </c>
      <c r="CA8" s="1094">
        <f t="shared" ref="CA8" si="165">_xlfn.IFS(BY8=0,0,BZ8&lt;=BY8,BZ8/BY8,BZ8&gt;BY8,1)</f>
        <v>0.76086956521739135</v>
      </c>
      <c r="CB8" s="895">
        <f t="shared" ref="CB8:CD8" si="166">SUM(CB2:CB7)</f>
        <v>3200000</v>
      </c>
      <c r="CC8" s="902">
        <f t="shared" si="166"/>
        <v>46</v>
      </c>
      <c r="CD8" s="894">
        <f t="shared" si="166"/>
        <v>35</v>
      </c>
      <c r="CE8" s="1094">
        <f t="shared" ref="CE8" si="167">_xlfn.IFS(CC8=0,0,CD8&lt;=CC8,CD8/CC8,CD8&gt;CC8,1)</f>
        <v>0.76086956521739135</v>
      </c>
      <c r="CF8" s="895">
        <f t="shared" ref="CF8:CH8" si="168">SUM(CF2:CF7)</f>
        <v>3200000</v>
      </c>
      <c r="CG8" s="902">
        <f t="shared" si="168"/>
        <v>46</v>
      </c>
      <c r="CH8" s="894">
        <f t="shared" si="168"/>
        <v>35</v>
      </c>
      <c r="CI8" s="1094">
        <f t="shared" ref="CI8" si="169">_xlfn.IFS(CG8=0,0,CH8&lt;=CG8,CH8/CG8,CH8&gt;CG8,1)</f>
        <v>0.76086956521739135</v>
      </c>
      <c r="CJ8" s="895">
        <f t="shared" ref="CJ8:CL8" si="170">SUM(CJ2:CJ7)</f>
        <v>3200000</v>
      </c>
      <c r="CK8" s="902">
        <f t="shared" si="170"/>
        <v>46</v>
      </c>
      <c r="CL8" s="894">
        <f t="shared" si="170"/>
        <v>35</v>
      </c>
      <c r="CM8" s="1094">
        <f t="shared" ref="CM8" si="171">_xlfn.IFS(CK8=0,0,CL8&lt;=CK8,CL8/CK8,CL8&gt;CK8,1)</f>
        <v>0.76086956521739135</v>
      </c>
      <c r="CN8" s="895">
        <f t="shared" ref="CN8:CP8" si="172">SUM(CN2:CN7)</f>
        <v>3200000</v>
      </c>
      <c r="CO8" s="902">
        <f t="shared" si="172"/>
        <v>46</v>
      </c>
      <c r="CP8" s="894">
        <f t="shared" si="172"/>
        <v>35</v>
      </c>
      <c r="CQ8" s="1094">
        <f t="shared" ref="CQ8" si="173">_xlfn.IFS(CO8=0,0,CP8&lt;=CO8,CP8/CO8,CP8&gt;CO8,1)</f>
        <v>0.76086956521739135</v>
      </c>
      <c r="CR8" s="895">
        <f t="shared" ref="CR8:CT8" si="174">SUM(CR2:CR7)</f>
        <v>3200000</v>
      </c>
      <c r="CS8" s="902">
        <f t="shared" si="174"/>
        <v>46</v>
      </c>
      <c r="CT8" s="894">
        <f t="shared" si="174"/>
        <v>35</v>
      </c>
      <c r="CU8" s="1094">
        <f t="shared" ref="CU8" si="175">_xlfn.IFS(CS8=0,0,CT8&lt;=CS8,CT8/CS8,CT8&gt;CS8,1)</f>
        <v>0.76086956521739135</v>
      </c>
      <c r="CV8" s="895">
        <f t="shared" ref="CV8:CX8" si="176">SUM(CV2:CV7)</f>
        <v>3200000</v>
      </c>
      <c r="CW8" s="902">
        <f t="shared" si="176"/>
        <v>46</v>
      </c>
      <c r="CX8" s="894">
        <f t="shared" si="176"/>
        <v>35</v>
      </c>
      <c r="CY8" s="1094">
        <f t="shared" ref="CY8" si="177">_xlfn.IFS(CW8=0,0,CX8&lt;=CW8,CX8/CW8,CX8&gt;CW8,1)</f>
        <v>0.76086956521739135</v>
      </c>
      <c r="CZ8" s="895">
        <f t="shared" ref="CZ8:DB8" si="178">SUM(CZ2:CZ7)</f>
        <v>3200000</v>
      </c>
      <c r="DA8" s="902">
        <f t="shared" si="178"/>
        <v>46</v>
      </c>
      <c r="DB8" s="894">
        <f t="shared" si="178"/>
        <v>35</v>
      </c>
      <c r="DC8" s="1094">
        <f t="shared" ref="DC8" si="179">_xlfn.IFS(DA8=0,0,DB8&lt;=DA8,DB8/DA8,DB8&gt;DA8,1)</f>
        <v>0.76086956521739135</v>
      </c>
      <c r="DD8" s="895">
        <f t="shared" ref="DD8:DF8" si="180">SUM(DD2:DD7)</f>
        <v>3200000</v>
      </c>
      <c r="DE8" s="902">
        <f t="shared" si="180"/>
        <v>46</v>
      </c>
      <c r="DF8" s="894">
        <f t="shared" si="180"/>
        <v>35</v>
      </c>
      <c r="DG8" s="1094">
        <f t="shared" ref="DG8" si="181">_xlfn.IFS(DE8=0,0,DF8&lt;=DE8,DF8/DE8,DF8&gt;DE8,1)</f>
        <v>0.76086956521739135</v>
      </c>
      <c r="DH8" s="895">
        <f t="shared" ref="DH8:DJ8" si="182">SUM(DH2:DH7)</f>
        <v>3200000</v>
      </c>
      <c r="DI8" s="902">
        <f t="shared" si="182"/>
        <v>46</v>
      </c>
      <c r="DJ8" s="894">
        <f t="shared" si="182"/>
        <v>35</v>
      </c>
      <c r="DK8" s="1094">
        <f t="shared" ref="DK8" si="183">_xlfn.IFS(DI8=0,0,DJ8&lt;=DI8,DJ8/DI8,DJ8&gt;DI8,1)</f>
        <v>0.76086956521739135</v>
      </c>
      <c r="DL8" s="895">
        <f t="shared" ref="DL8:DN8" si="184">SUM(DL2:DL7)</f>
        <v>3200000</v>
      </c>
      <c r="DM8" s="902">
        <f t="shared" si="184"/>
        <v>46</v>
      </c>
      <c r="DN8" s="894">
        <f t="shared" si="184"/>
        <v>35</v>
      </c>
      <c r="DO8" s="1094">
        <f t="shared" ref="DO8" si="185">_xlfn.IFS(DM8=0,0,DN8&lt;=DM8,DN8/DM8,DN8&gt;DM8,1)</f>
        <v>0.76086956521739135</v>
      </c>
      <c r="DP8" s="895">
        <f t="shared" ref="DP8:DR8" si="186">SUM(DP2:DP7)</f>
        <v>3200000</v>
      </c>
      <c r="DQ8" s="902">
        <f t="shared" si="186"/>
        <v>46</v>
      </c>
      <c r="DR8" s="894">
        <f t="shared" si="186"/>
        <v>35</v>
      </c>
      <c r="DS8" s="1094">
        <f t="shared" ref="DS8" si="187">_xlfn.IFS(DQ8=0,0,DR8&lt;=DQ8,DR8/DQ8,DR8&gt;DQ8,1)</f>
        <v>0.76086956521739135</v>
      </c>
      <c r="DT8" s="895">
        <f t="shared" ref="DT8:DV8" si="188">SUM(DT2:DT7)</f>
        <v>3200000</v>
      </c>
      <c r="DU8" s="902">
        <f t="shared" si="188"/>
        <v>46</v>
      </c>
      <c r="DV8" s="894">
        <f t="shared" si="188"/>
        <v>35</v>
      </c>
      <c r="DW8" s="1094">
        <f t="shared" ref="DW8" si="189">_xlfn.IFS(DU8=0,0,DV8&lt;=DU8,DV8/DU8,DV8&gt;DU8,1)</f>
        <v>0.76086956521739135</v>
      </c>
      <c r="DX8" s="895">
        <f t="shared" ref="DX8:DZ8" si="190">SUM(DX2:DX7)</f>
        <v>3200000</v>
      </c>
      <c r="DY8" s="902">
        <f t="shared" si="190"/>
        <v>46</v>
      </c>
      <c r="DZ8" s="894">
        <f t="shared" si="190"/>
        <v>35</v>
      </c>
      <c r="EA8" s="1094">
        <f t="shared" ref="EA8" si="191">_xlfn.IFS(DY8=0,0,DZ8&lt;=DY8,DZ8/DY8,DZ8&gt;DY8,1)</f>
        <v>0.76086956521739135</v>
      </c>
      <c r="EB8" s="895">
        <f t="shared" ref="EB8:ED8" si="192">SUM(EB2:EB7)</f>
        <v>3200000</v>
      </c>
      <c r="EC8" s="902">
        <f t="shared" si="192"/>
        <v>46</v>
      </c>
      <c r="ED8" s="894">
        <f t="shared" si="192"/>
        <v>35</v>
      </c>
      <c r="EE8" s="1094">
        <f t="shared" ref="EE8" si="193">_xlfn.IFS(EC8=0,0,ED8&lt;=EC8,ED8/EC8,ED8&gt;EC8,1)</f>
        <v>0.76086956521739135</v>
      </c>
      <c r="EF8" s="895">
        <f>SUM(EF2:EF7)</f>
        <v>3200000</v>
      </c>
    </row>
    <row r="9" spans="1:136" ht="20" customHeight="1" x14ac:dyDescent="0.15">
      <c r="A9" s="812" t="s">
        <v>194</v>
      </c>
      <c r="B9" s="939">
        <f>B8-B7/2-C7/2</f>
        <v>28.5</v>
      </c>
      <c r="C9" s="16"/>
      <c r="D9" s="786"/>
      <c r="I9" s="1396"/>
      <c r="J9" s="1396"/>
      <c r="K9" s="1397"/>
      <c r="L9" s="876" t="s">
        <v>212</v>
      </c>
      <c r="M9" s="1388" t="b">
        <v>1</v>
      </c>
      <c r="N9" s="1389"/>
      <c r="O9" s="1389"/>
      <c r="P9" s="1390"/>
      <c r="Q9" s="1388" t="b">
        <v>1</v>
      </c>
      <c r="R9" s="1389"/>
      <c r="S9" s="1389"/>
      <c r="T9" s="1390"/>
      <c r="U9" s="1388" t="b">
        <v>1</v>
      </c>
      <c r="V9" s="1389"/>
      <c r="W9" s="1389"/>
      <c r="X9" s="1390"/>
      <c r="Y9" s="1388" t="b">
        <v>1</v>
      </c>
      <c r="Z9" s="1389"/>
      <c r="AA9" s="1389"/>
      <c r="AB9" s="1390"/>
      <c r="AC9" s="1388" t="b">
        <v>1</v>
      </c>
      <c r="AD9" s="1389"/>
      <c r="AE9" s="1389"/>
      <c r="AF9" s="1390"/>
      <c r="AG9" s="1388" t="b">
        <v>1</v>
      </c>
      <c r="AH9" s="1389"/>
      <c r="AI9" s="1389"/>
      <c r="AJ9" s="1390"/>
      <c r="AK9" s="1388" t="b">
        <v>1</v>
      </c>
      <c r="AL9" s="1389"/>
      <c r="AM9" s="1389"/>
      <c r="AN9" s="1390"/>
      <c r="AO9" s="1388" t="b">
        <v>1</v>
      </c>
      <c r="AP9" s="1389"/>
      <c r="AQ9" s="1389"/>
      <c r="AR9" s="1390"/>
      <c r="AS9" s="1388" t="b">
        <v>1</v>
      </c>
      <c r="AT9" s="1389"/>
      <c r="AU9" s="1389"/>
      <c r="AV9" s="1390"/>
      <c r="AW9" s="1388" t="b">
        <v>1</v>
      </c>
      <c r="AX9" s="1389"/>
      <c r="AY9" s="1389"/>
      <c r="AZ9" s="1390"/>
      <c r="BA9" s="1388" t="b">
        <v>1</v>
      </c>
      <c r="BB9" s="1389"/>
      <c r="BC9" s="1389"/>
      <c r="BD9" s="1390"/>
      <c r="BE9" s="1388" t="b">
        <v>1</v>
      </c>
      <c r="BF9" s="1389"/>
      <c r="BG9" s="1389"/>
      <c r="BH9" s="1390"/>
      <c r="BI9" s="1388" t="b">
        <v>1</v>
      </c>
      <c r="BJ9" s="1389"/>
      <c r="BK9" s="1389"/>
      <c r="BL9" s="1390"/>
      <c r="BM9" s="1388" t="b">
        <v>1</v>
      </c>
      <c r="BN9" s="1389"/>
      <c r="BO9" s="1389"/>
      <c r="BP9" s="1390"/>
      <c r="BQ9" s="1388" t="b">
        <v>1</v>
      </c>
      <c r="BR9" s="1389"/>
      <c r="BS9" s="1389"/>
      <c r="BT9" s="1390"/>
      <c r="BU9" s="1388" t="b">
        <v>1</v>
      </c>
      <c r="BV9" s="1389"/>
      <c r="BW9" s="1389"/>
      <c r="BX9" s="1390"/>
      <c r="BY9" s="1388" t="b">
        <v>1</v>
      </c>
      <c r="BZ9" s="1389"/>
      <c r="CA9" s="1389"/>
      <c r="CB9" s="1390"/>
      <c r="CC9" s="1388" t="b">
        <v>1</v>
      </c>
      <c r="CD9" s="1389"/>
      <c r="CE9" s="1389"/>
      <c r="CF9" s="1390"/>
      <c r="CG9" s="1388" t="b">
        <v>1</v>
      </c>
      <c r="CH9" s="1389"/>
      <c r="CI9" s="1389"/>
      <c r="CJ9" s="1390"/>
      <c r="CK9" s="1388" t="b">
        <v>1</v>
      </c>
      <c r="CL9" s="1389"/>
      <c r="CM9" s="1389"/>
      <c r="CN9" s="1390"/>
      <c r="CO9" s="1388" t="b">
        <v>1</v>
      </c>
      <c r="CP9" s="1389"/>
      <c r="CQ9" s="1389"/>
      <c r="CR9" s="1390"/>
      <c r="CS9" s="1388" t="b">
        <v>1</v>
      </c>
      <c r="CT9" s="1389"/>
      <c r="CU9" s="1389"/>
      <c r="CV9" s="1390"/>
      <c r="CW9" s="1388" t="b">
        <v>1</v>
      </c>
      <c r="CX9" s="1389"/>
      <c r="CY9" s="1389"/>
      <c r="CZ9" s="1390"/>
      <c r="DA9" s="1388" t="b">
        <v>1</v>
      </c>
      <c r="DB9" s="1389"/>
      <c r="DC9" s="1389"/>
      <c r="DD9" s="1390"/>
      <c r="DE9" s="1388" t="b">
        <v>1</v>
      </c>
      <c r="DF9" s="1389"/>
      <c r="DG9" s="1389"/>
      <c r="DH9" s="1390"/>
      <c r="DI9" s="1388" t="b">
        <v>1</v>
      </c>
      <c r="DJ9" s="1389"/>
      <c r="DK9" s="1389"/>
      <c r="DL9" s="1390"/>
      <c r="DM9" s="1388" t="b">
        <v>1</v>
      </c>
      <c r="DN9" s="1389"/>
      <c r="DO9" s="1389"/>
      <c r="DP9" s="1390"/>
      <c r="DQ9" s="1388" t="b">
        <v>1</v>
      </c>
      <c r="DR9" s="1389"/>
      <c r="DS9" s="1389"/>
      <c r="DT9" s="1390"/>
      <c r="DU9" s="1388" t="b">
        <v>1</v>
      </c>
      <c r="DV9" s="1389"/>
      <c r="DW9" s="1389"/>
      <c r="DX9" s="1390"/>
      <c r="DY9" s="1388" t="b">
        <v>1</v>
      </c>
      <c r="DZ9" s="1389"/>
      <c r="EA9" s="1389"/>
      <c r="EB9" s="1390"/>
      <c r="EC9" s="1388" t="b">
        <v>1</v>
      </c>
      <c r="ED9" s="1389"/>
      <c r="EE9" s="1389"/>
      <c r="EF9" s="1390"/>
    </row>
    <row r="10" spans="1:136" ht="20" customHeight="1" x14ac:dyDescent="0.15">
      <c r="A10" s="1393" t="s">
        <v>195</v>
      </c>
      <c r="B10" s="1311"/>
      <c r="C10" s="1311"/>
      <c r="D10" s="786"/>
      <c r="E10" s="786"/>
      <c r="F10" s="80"/>
      <c r="G10" s="80"/>
      <c r="H10" s="80"/>
      <c r="I10" s="1396"/>
      <c r="J10" s="1396"/>
      <c r="K10" s="1397"/>
      <c r="L10" s="872"/>
      <c r="M10" s="1394">
        <v>45748</v>
      </c>
      <c r="N10" s="1394"/>
      <c r="O10" s="1394"/>
      <c r="P10" s="1394"/>
      <c r="Q10" s="1394">
        <f>M10+1</f>
        <v>45749</v>
      </c>
      <c r="R10" s="1394"/>
      <c r="S10" s="1394"/>
      <c r="T10" s="1394"/>
      <c r="U10" s="1394">
        <f>Q10+1</f>
        <v>45750</v>
      </c>
      <c r="V10" s="1395"/>
      <c r="W10" s="1395"/>
      <c r="X10" s="1395"/>
      <c r="Y10" s="1394">
        <f>U10+1</f>
        <v>45751</v>
      </c>
      <c r="Z10" s="1395"/>
      <c r="AA10" s="1395"/>
      <c r="AB10" s="1395"/>
      <c r="AC10" s="1394">
        <f>Y10+1</f>
        <v>45752</v>
      </c>
      <c r="AD10" s="1395"/>
      <c r="AE10" s="1395"/>
      <c r="AF10" s="1395"/>
      <c r="AG10" s="1394">
        <f>AC10+1</f>
        <v>45753</v>
      </c>
      <c r="AH10" s="1395"/>
      <c r="AI10" s="1395"/>
      <c r="AJ10" s="1395"/>
      <c r="AK10" s="1394">
        <f>AG10+1</f>
        <v>45754</v>
      </c>
      <c r="AL10" s="1395"/>
      <c r="AM10" s="1395"/>
      <c r="AN10" s="1395"/>
      <c r="AO10" s="1394">
        <f>AK10+1</f>
        <v>45755</v>
      </c>
      <c r="AP10" s="1395"/>
      <c r="AQ10" s="1395"/>
      <c r="AR10" s="1395"/>
      <c r="AS10" s="1394">
        <f>AO10+1</f>
        <v>45756</v>
      </c>
      <c r="AT10" s="1395"/>
      <c r="AU10" s="1395"/>
      <c r="AV10" s="1395"/>
      <c r="AW10" s="1394">
        <f>AS10+1</f>
        <v>45757</v>
      </c>
      <c r="AX10" s="1395"/>
      <c r="AY10" s="1395"/>
      <c r="AZ10" s="1395"/>
      <c r="BA10" s="1394">
        <f>AW10+1</f>
        <v>45758</v>
      </c>
      <c r="BB10" s="1395"/>
      <c r="BC10" s="1395"/>
      <c r="BD10" s="1395"/>
      <c r="BE10" s="1394">
        <f>BA10+1</f>
        <v>45759</v>
      </c>
      <c r="BF10" s="1395"/>
      <c r="BG10" s="1395"/>
      <c r="BH10" s="1395"/>
      <c r="BI10" s="1394">
        <f>BE10+1</f>
        <v>45760</v>
      </c>
      <c r="BJ10" s="1395"/>
      <c r="BK10" s="1395"/>
      <c r="BL10" s="1395"/>
      <c r="BM10" s="1394">
        <f>BI10+1</f>
        <v>45761</v>
      </c>
      <c r="BN10" s="1395"/>
      <c r="BO10" s="1395"/>
      <c r="BP10" s="1395"/>
      <c r="BQ10" s="1394">
        <f>BM10+1</f>
        <v>45762</v>
      </c>
      <c r="BR10" s="1395"/>
      <c r="BS10" s="1395"/>
      <c r="BT10" s="1395"/>
      <c r="BU10" s="1394">
        <f>BQ10+1</f>
        <v>45763</v>
      </c>
      <c r="BV10" s="1395"/>
      <c r="BW10" s="1395"/>
      <c r="BX10" s="1395"/>
      <c r="BY10" s="1394">
        <f>BU10+1</f>
        <v>45764</v>
      </c>
      <c r="BZ10" s="1395"/>
      <c r="CA10" s="1395"/>
      <c r="CB10" s="1395"/>
      <c r="CC10" s="1394">
        <f>BY10+1</f>
        <v>45765</v>
      </c>
      <c r="CD10" s="1395"/>
      <c r="CE10" s="1395"/>
      <c r="CF10" s="1395"/>
      <c r="CG10" s="1394">
        <f>CC10+1</f>
        <v>45766</v>
      </c>
      <c r="CH10" s="1395"/>
      <c r="CI10" s="1395"/>
      <c r="CJ10" s="1395"/>
      <c r="CK10" s="1394">
        <f>CG10+1</f>
        <v>45767</v>
      </c>
      <c r="CL10" s="1395"/>
      <c r="CM10" s="1395"/>
      <c r="CN10" s="1395"/>
      <c r="CO10" s="1394">
        <f>CK10+1</f>
        <v>45768</v>
      </c>
      <c r="CP10" s="1395"/>
      <c r="CQ10" s="1395"/>
      <c r="CR10" s="1395"/>
      <c r="CS10" s="1394">
        <f>CO10+1</f>
        <v>45769</v>
      </c>
      <c r="CT10" s="1395"/>
      <c r="CU10" s="1395"/>
      <c r="CV10" s="1395"/>
      <c r="CW10" s="1394">
        <f>CS10+1</f>
        <v>45770</v>
      </c>
      <c r="CX10" s="1395"/>
      <c r="CY10" s="1395"/>
      <c r="CZ10" s="1395"/>
      <c r="DA10" s="1394">
        <f>CW10+1</f>
        <v>45771</v>
      </c>
      <c r="DB10" s="1395"/>
      <c r="DC10" s="1395"/>
      <c r="DD10" s="1395"/>
      <c r="DE10" s="1394">
        <f>DA10+1</f>
        <v>45772</v>
      </c>
      <c r="DF10" s="1395"/>
      <c r="DG10" s="1395"/>
      <c r="DH10" s="1395"/>
      <c r="DI10" s="1394">
        <f>DE10+1</f>
        <v>45773</v>
      </c>
      <c r="DJ10" s="1395"/>
      <c r="DK10" s="1395"/>
      <c r="DL10" s="1395"/>
      <c r="DM10" s="1394">
        <f>DI10+1</f>
        <v>45774</v>
      </c>
      <c r="DN10" s="1395"/>
      <c r="DO10" s="1395"/>
      <c r="DP10" s="1395"/>
      <c r="DQ10" s="1394">
        <f>DM10+1</f>
        <v>45775</v>
      </c>
      <c r="DR10" s="1395"/>
      <c r="DS10" s="1395"/>
      <c r="DT10" s="1395"/>
      <c r="DU10" s="1394">
        <f>DQ10+1</f>
        <v>45776</v>
      </c>
      <c r="DV10" s="1395"/>
      <c r="DW10" s="1395"/>
      <c r="DX10" s="1395"/>
      <c r="DY10" s="1394">
        <f>DU10+1</f>
        <v>45777</v>
      </c>
      <c r="DZ10" s="1395"/>
      <c r="EA10" s="1395"/>
      <c r="EB10" s="1395"/>
      <c r="EC10" s="1394">
        <f>DY10+1</f>
        <v>45778</v>
      </c>
      <c r="ED10" s="1395"/>
      <c r="EE10" s="1395"/>
      <c r="EF10" s="1395"/>
    </row>
    <row r="11" spans="1:136" ht="20" customHeight="1" x14ac:dyDescent="0.15">
      <c r="A11" s="981" t="s">
        <v>196</v>
      </c>
      <c r="B11" s="981"/>
      <c r="C11" s="80"/>
      <c r="D11" s="786"/>
      <c r="E11" s="786"/>
      <c r="F11" s="786"/>
      <c r="G11" s="786"/>
      <c r="H11" s="786"/>
      <c r="I11" s="1396"/>
      <c r="J11" s="1396"/>
      <c r="K11" s="1397"/>
      <c r="L11" s="872"/>
      <c r="M11" s="932">
        <f>$M$10</f>
        <v>45748</v>
      </c>
      <c r="N11" s="932">
        <f t="shared" ref="N11:P11" si="194">$M$10</f>
        <v>45748</v>
      </c>
      <c r="O11" s="932">
        <f t="shared" si="194"/>
        <v>45748</v>
      </c>
      <c r="P11" s="932">
        <f t="shared" si="194"/>
        <v>45748</v>
      </c>
      <c r="Q11" s="932">
        <f>Q$10</f>
        <v>45749</v>
      </c>
      <c r="R11" s="932">
        <f>Q$10</f>
        <v>45749</v>
      </c>
      <c r="S11" s="932">
        <f>Q$10</f>
        <v>45749</v>
      </c>
      <c r="T11" s="932">
        <f>Q$10</f>
        <v>45749</v>
      </c>
      <c r="U11" s="932">
        <f>U$10</f>
        <v>45750</v>
      </c>
      <c r="V11" s="932">
        <f>U$10</f>
        <v>45750</v>
      </c>
      <c r="W11" s="932">
        <f>U$10</f>
        <v>45750</v>
      </c>
      <c r="X11" s="932">
        <f>U$10</f>
        <v>45750</v>
      </c>
      <c r="Y11" s="932">
        <f>Y$10</f>
        <v>45751</v>
      </c>
      <c r="Z11" s="932">
        <f>Y$10</f>
        <v>45751</v>
      </c>
      <c r="AA11" s="932">
        <f>Y$10</f>
        <v>45751</v>
      </c>
      <c r="AB11" s="932">
        <f>Y$10</f>
        <v>45751</v>
      </c>
      <c r="AC11" s="932">
        <f>AC$10</f>
        <v>45752</v>
      </c>
      <c r="AD11" s="932">
        <f>AC$10</f>
        <v>45752</v>
      </c>
      <c r="AE11" s="932">
        <f>AC$10</f>
        <v>45752</v>
      </c>
      <c r="AF11" s="932">
        <f>AC$10</f>
        <v>45752</v>
      </c>
      <c r="AG11" s="932">
        <f>AG$10</f>
        <v>45753</v>
      </c>
      <c r="AH11" s="932">
        <f>AG$10</f>
        <v>45753</v>
      </c>
      <c r="AI11" s="932">
        <f>AG$10</f>
        <v>45753</v>
      </c>
      <c r="AJ11" s="932">
        <f>AG$10</f>
        <v>45753</v>
      </c>
      <c r="AK11" s="932">
        <f>AK$10</f>
        <v>45754</v>
      </c>
      <c r="AL11" s="932">
        <f>AK$10</f>
        <v>45754</v>
      </c>
      <c r="AM11" s="932">
        <f>AK$10</f>
        <v>45754</v>
      </c>
      <c r="AN11" s="932">
        <f>AK$10</f>
        <v>45754</v>
      </c>
      <c r="AO11" s="932">
        <f>AO$10</f>
        <v>45755</v>
      </c>
      <c r="AP11" s="932">
        <f>AO$10</f>
        <v>45755</v>
      </c>
      <c r="AQ11" s="932">
        <f>AO$10</f>
        <v>45755</v>
      </c>
      <c r="AR11" s="932">
        <f>AO$10</f>
        <v>45755</v>
      </c>
      <c r="AS11" s="932">
        <f>AS$10</f>
        <v>45756</v>
      </c>
      <c r="AT11" s="932">
        <f>AS$10</f>
        <v>45756</v>
      </c>
      <c r="AU11" s="932">
        <f>AS$10</f>
        <v>45756</v>
      </c>
      <c r="AV11" s="932">
        <f>AS$10</f>
        <v>45756</v>
      </c>
      <c r="AW11" s="932">
        <f>AW$10</f>
        <v>45757</v>
      </c>
      <c r="AX11" s="932">
        <f>AW$10</f>
        <v>45757</v>
      </c>
      <c r="AY11" s="932">
        <f>AW$10</f>
        <v>45757</v>
      </c>
      <c r="AZ11" s="932">
        <f>AW$10</f>
        <v>45757</v>
      </c>
      <c r="BA11" s="932">
        <f>BA$10</f>
        <v>45758</v>
      </c>
      <c r="BB11" s="932">
        <f>BA$10</f>
        <v>45758</v>
      </c>
      <c r="BC11" s="932">
        <f>BA$10</f>
        <v>45758</v>
      </c>
      <c r="BD11" s="932">
        <f>BA$10</f>
        <v>45758</v>
      </c>
      <c r="BE11" s="932">
        <f>BE$10</f>
        <v>45759</v>
      </c>
      <c r="BF11" s="932">
        <f>BE$10</f>
        <v>45759</v>
      </c>
      <c r="BG11" s="932">
        <f>BE$10</f>
        <v>45759</v>
      </c>
      <c r="BH11" s="932">
        <f>BE$10</f>
        <v>45759</v>
      </c>
      <c r="BI11" s="932">
        <f>BI$10</f>
        <v>45760</v>
      </c>
      <c r="BJ11" s="932">
        <f>BI$10</f>
        <v>45760</v>
      </c>
      <c r="BK11" s="932">
        <f>BI$10</f>
        <v>45760</v>
      </c>
      <c r="BL11" s="932">
        <f>BI$10</f>
        <v>45760</v>
      </c>
      <c r="BM11" s="932">
        <f>BM$10</f>
        <v>45761</v>
      </c>
      <c r="BN11" s="932">
        <f>BM$10</f>
        <v>45761</v>
      </c>
      <c r="BO11" s="932">
        <f>BM$10</f>
        <v>45761</v>
      </c>
      <c r="BP11" s="932">
        <f>BM$10</f>
        <v>45761</v>
      </c>
      <c r="BQ11" s="932">
        <f>BQ$10</f>
        <v>45762</v>
      </c>
      <c r="BR11" s="932">
        <f>BQ$10</f>
        <v>45762</v>
      </c>
      <c r="BS11" s="932">
        <f>BQ$10</f>
        <v>45762</v>
      </c>
      <c r="BT11" s="932">
        <f>BQ$10</f>
        <v>45762</v>
      </c>
      <c r="BU11" s="932">
        <f>BU$10</f>
        <v>45763</v>
      </c>
      <c r="BV11" s="932">
        <f>BU$10</f>
        <v>45763</v>
      </c>
      <c r="BW11" s="932">
        <f>BU$10</f>
        <v>45763</v>
      </c>
      <c r="BX11" s="932">
        <f>BU$10</f>
        <v>45763</v>
      </c>
      <c r="BY11" s="932">
        <f>BY$10</f>
        <v>45764</v>
      </c>
      <c r="BZ11" s="932">
        <f>BY$10</f>
        <v>45764</v>
      </c>
      <c r="CA11" s="932">
        <f>BY$10</f>
        <v>45764</v>
      </c>
      <c r="CB11" s="932">
        <f>BY$10</f>
        <v>45764</v>
      </c>
      <c r="CC11" s="932">
        <f>CC$10</f>
        <v>45765</v>
      </c>
      <c r="CD11" s="932">
        <f>CC$10</f>
        <v>45765</v>
      </c>
      <c r="CE11" s="932">
        <f>CC$10</f>
        <v>45765</v>
      </c>
      <c r="CF11" s="932">
        <f>CC$10</f>
        <v>45765</v>
      </c>
      <c r="CG11" s="932">
        <f>CG$10</f>
        <v>45766</v>
      </c>
      <c r="CH11" s="932">
        <f>CG$10</f>
        <v>45766</v>
      </c>
      <c r="CI11" s="932">
        <f>CG$10</f>
        <v>45766</v>
      </c>
      <c r="CJ11" s="932">
        <f>CG$10</f>
        <v>45766</v>
      </c>
      <c r="CK11" s="932">
        <f>CK$10</f>
        <v>45767</v>
      </c>
      <c r="CL11" s="932">
        <f>CK$10</f>
        <v>45767</v>
      </c>
      <c r="CM11" s="932">
        <f>CK$10</f>
        <v>45767</v>
      </c>
      <c r="CN11" s="932">
        <f>CK$10</f>
        <v>45767</v>
      </c>
      <c r="CO11" s="932">
        <f>CO$10</f>
        <v>45768</v>
      </c>
      <c r="CP11" s="932">
        <f>CO$10</f>
        <v>45768</v>
      </c>
      <c r="CQ11" s="932">
        <f>CO$10</f>
        <v>45768</v>
      </c>
      <c r="CR11" s="932">
        <f>CO$10</f>
        <v>45768</v>
      </c>
      <c r="CS11" s="932">
        <f>CS$10</f>
        <v>45769</v>
      </c>
      <c r="CT11" s="932">
        <f>CS$10</f>
        <v>45769</v>
      </c>
      <c r="CU11" s="932">
        <f>CS$10</f>
        <v>45769</v>
      </c>
      <c r="CV11" s="932">
        <f>CS$10</f>
        <v>45769</v>
      </c>
      <c r="CW11" s="932">
        <f>CW$10</f>
        <v>45770</v>
      </c>
      <c r="CX11" s="932">
        <f>CW$10</f>
        <v>45770</v>
      </c>
      <c r="CY11" s="932">
        <f>CW$10</f>
        <v>45770</v>
      </c>
      <c r="CZ11" s="932">
        <f>CW$10</f>
        <v>45770</v>
      </c>
      <c r="DA11" s="932">
        <f>DA$10</f>
        <v>45771</v>
      </c>
      <c r="DB11" s="932">
        <f>DA$10</f>
        <v>45771</v>
      </c>
      <c r="DC11" s="932">
        <f>DA$10</f>
        <v>45771</v>
      </c>
      <c r="DD11" s="932">
        <f>DA$10</f>
        <v>45771</v>
      </c>
      <c r="DE11" s="932">
        <f>DE$10</f>
        <v>45772</v>
      </c>
      <c r="DF11" s="932">
        <f>DE$10</f>
        <v>45772</v>
      </c>
      <c r="DG11" s="932">
        <f>DE$10</f>
        <v>45772</v>
      </c>
      <c r="DH11" s="932">
        <f>DE$10</f>
        <v>45772</v>
      </c>
      <c r="DI11" s="932">
        <f>DI$10</f>
        <v>45773</v>
      </c>
      <c r="DJ11" s="932">
        <f>DI$10</f>
        <v>45773</v>
      </c>
      <c r="DK11" s="932">
        <f>DI$10</f>
        <v>45773</v>
      </c>
      <c r="DL11" s="932">
        <f>DI$10</f>
        <v>45773</v>
      </c>
      <c r="DM11" s="932">
        <f>DM$10</f>
        <v>45774</v>
      </c>
      <c r="DN11" s="932">
        <f>DM$10</f>
        <v>45774</v>
      </c>
      <c r="DO11" s="932">
        <f>DM$10</f>
        <v>45774</v>
      </c>
      <c r="DP11" s="932">
        <f>DM$10</f>
        <v>45774</v>
      </c>
      <c r="DQ11" s="932">
        <f>DQ$10</f>
        <v>45775</v>
      </c>
      <c r="DR11" s="932">
        <f>DQ$10</f>
        <v>45775</v>
      </c>
      <c r="DS11" s="932">
        <f>DQ$10</f>
        <v>45775</v>
      </c>
      <c r="DT11" s="932">
        <f>DQ$10</f>
        <v>45775</v>
      </c>
      <c r="DU11" s="932">
        <f>DU$10</f>
        <v>45776</v>
      </c>
      <c r="DV11" s="932">
        <f>DU$10</f>
        <v>45776</v>
      </c>
      <c r="DW11" s="932">
        <f>DU$10</f>
        <v>45776</v>
      </c>
      <c r="DX11" s="932">
        <f>DU$10</f>
        <v>45776</v>
      </c>
      <c r="DY11" s="932">
        <f>DY$10</f>
        <v>45777</v>
      </c>
      <c r="DZ11" s="932">
        <f>DY$10</f>
        <v>45777</v>
      </c>
      <c r="EA11" s="932">
        <f>DY$10</f>
        <v>45777</v>
      </c>
      <c r="EB11" s="932">
        <f>DY$10</f>
        <v>45777</v>
      </c>
      <c r="EC11" s="932">
        <f>EC$10</f>
        <v>45778</v>
      </c>
      <c r="ED11" s="932">
        <f>EC$10</f>
        <v>45778</v>
      </c>
      <c r="EE11" s="932">
        <f>EC$10</f>
        <v>45778</v>
      </c>
      <c r="EF11" s="932">
        <f>EC$10</f>
        <v>45778</v>
      </c>
    </row>
    <row r="12" spans="1:136" ht="20" customHeight="1" x14ac:dyDescent="0.15">
      <c r="A12" s="787"/>
      <c r="B12" s="1028"/>
      <c r="D12" s="1391" t="s">
        <v>113</v>
      </c>
      <c r="E12" s="1392"/>
      <c r="F12" s="1392"/>
      <c r="G12" s="1392"/>
      <c r="H12" s="1392"/>
      <c r="I12" s="941" t="s">
        <v>200</v>
      </c>
      <c r="J12" s="1383" t="s">
        <v>197</v>
      </c>
      <c r="K12" s="1384"/>
      <c r="L12" s="1384"/>
      <c r="M12" s="1380" t="str">
        <f>IF(WEEKDAY(M11)=1,"CN","T"&amp;WEEKDAY(M11))</f>
        <v>T3</v>
      </c>
      <c r="N12" s="1380"/>
      <c r="O12" s="1380"/>
      <c r="P12" s="1380"/>
      <c r="Q12" s="1380" t="str">
        <f>IF(WEEKDAY(Q11)=1,"CN","T"&amp;WEEKDAY(Q11))</f>
        <v>T4</v>
      </c>
      <c r="R12" s="1381"/>
      <c r="S12" s="1381"/>
      <c r="T12" s="1381"/>
      <c r="U12" s="1380" t="str">
        <f>IF(WEEKDAY(U11)=1,"CN","T"&amp;WEEKDAY(U11))</f>
        <v>T5</v>
      </c>
      <c r="V12" s="1381"/>
      <c r="W12" s="1381"/>
      <c r="X12" s="1381"/>
      <c r="Y12" s="1380" t="str">
        <f>IF(WEEKDAY(Y11)=1,"CN","T"&amp;WEEKDAY(Y11))</f>
        <v>T6</v>
      </c>
      <c r="Z12" s="1381"/>
      <c r="AA12" s="1381"/>
      <c r="AB12" s="1381"/>
      <c r="AC12" s="1380" t="str">
        <f>IF(WEEKDAY(AC11)=1,"CN","T"&amp;WEEKDAY(AC11))</f>
        <v>T7</v>
      </c>
      <c r="AD12" s="1381"/>
      <c r="AE12" s="1381"/>
      <c r="AF12" s="1381"/>
      <c r="AG12" s="1380" t="str">
        <f>IF(WEEKDAY(AG11)=1,"CN","T"&amp;WEEKDAY(AG11))</f>
        <v>CN</v>
      </c>
      <c r="AH12" s="1381"/>
      <c r="AI12" s="1381"/>
      <c r="AJ12" s="1381"/>
      <c r="AK12" s="1380" t="str">
        <f>IF(WEEKDAY(AK11)=1,"CN","T"&amp;WEEKDAY(AK11))</f>
        <v>T2</v>
      </c>
      <c r="AL12" s="1381"/>
      <c r="AM12" s="1381"/>
      <c r="AN12" s="1381"/>
      <c r="AO12" s="1380" t="str">
        <f>IF(WEEKDAY(AO11)=1,"CN","T"&amp;WEEKDAY(AO11))</f>
        <v>T3</v>
      </c>
      <c r="AP12" s="1381"/>
      <c r="AQ12" s="1381"/>
      <c r="AR12" s="1381"/>
      <c r="AS12" s="1380" t="str">
        <f>IF(WEEKDAY(AS11)=1,"CN","T"&amp;WEEKDAY(AS11))</f>
        <v>T4</v>
      </c>
      <c r="AT12" s="1381"/>
      <c r="AU12" s="1381"/>
      <c r="AV12" s="1381"/>
      <c r="AW12" s="1380" t="str">
        <f>IF(WEEKDAY(AW11)=1,"CN","T"&amp;WEEKDAY(AW11))</f>
        <v>T5</v>
      </c>
      <c r="AX12" s="1381"/>
      <c r="AY12" s="1381"/>
      <c r="AZ12" s="1381"/>
      <c r="BA12" s="1380" t="str">
        <f>IF(WEEKDAY(BA11)=1,"CN","T"&amp;WEEKDAY(BA11))</f>
        <v>T6</v>
      </c>
      <c r="BB12" s="1381"/>
      <c r="BC12" s="1381"/>
      <c r="BD12" s="1381"/>
      <c r="BE12" s="1380" t="str">
        <f>IF(WEEKDAY(BE11)=1,"CN","T"&amp;WEEKDAY(BE11))</f>
        <v>T7</v>
      </c>
      <c r="BF12" s="1381"/>
      <c r="BG12" s="1381"/>
      <c r="BH12" s="1381"/>
      <c r="BI12" s="1380" t="str">
        <f>IF(WEEKDAY(BI11)=1,"CN","T"&amp;WEEKDAY(BI11))</f>
        <v>CN</v>
      </c>
      <c r="BJ12" s="1381"/>
      <c r="BK12" s="1381"/>
      <c r="BL12" s="1381"/>
      <c r="BM12" s="1380" t="str">
        <f>IF(WEEKDAY(BM11)=1,"CN","T"&amp;WEEKDAY(BM11))</f>
        <v>T2</v>
      </c>
      <c r="BN12" s="1381"/>
      <c r="BO12" s="1381"/>
      <c r="BP12" s="1381"/>
      <c r="BQ12" s="1380" t="str">
        <f>IF(WEEKDAY(BQ11)=1,"CN","T"&amp;WEEKDAY(BQ11))</f>
        <v>T3</v>
      </c>
      <c r="BR12" s="1381"/>
      <c r="BS12" s="1381"/>
      <c r="BT12" s="1381"/>
      <c r="BU12" s="1380" t="str">
        <f>IF(WEEKDAY(BU11)=1,"CN","T"&amp;WEEKDAY(BU11))</f>
        <v>T4</v>
      </c>
      <c r="BV12" s="1381"/>
      <c r="BW12" s="1381"/>
      <c r="BX12" s="1381"/>
      <c r="BY12" s="1380" t="str">
        <f>IF(WEEKDAY(BY11)=1,"CN","T"&amp;WEEKDAY(BY11))</f>
        <v>T5</v>
      </c>
      <c r="BZ12" s="1381"/>
      <c r="CA12" s="1381"/>
      <c r="CB12" s="1381"/>
      <c r="CC12" s="1380" t="str">
        <f>IF(WEEKDAY(CC11)=1,"CN","T"&amp;WEEKDAY(CC11))</f>
        <v>T6</v>
      </c>
      <c r="CD12" s="1381"/>
      <c r="CE12" s="1381"/>
      <c r="CF12" s="1381"/>
      <c r="CG12" s="1380" t="str">
        <f>IF(WEEKDAY(CG11)=1,"CN","T"&amp;WEEKDAY(CG11))</f>
        <v>T7</v>
      </c>
      <c r="CH12" s="1381"/>
      <c r="CI12" s="1381"/>
      <c r="CJ12" s="1381"/>
      <c r="CK12" s="1380" t="str">
        <f>IF(WEEKDAY(CK11)=1,"CN","T"&amp;WEEKDAY(CK11))</f>
        <v>CN</v>
      </c>
      <c r="CL12" s="1381"/>
      <c r="CM12" s="1381"/>
      <c r="CN12" s="1381"/>
      <c r="CO12" s="1380" t="str">
        <f>IF(WEEKDAY(CO11)=1,"CN","T"&amp;WEEKDAY(CO11))</f>
        <v>T2</v>
      </c>
      <c r="CP12" s="1381"/>
      <c r="CQ12" s="1381"/>
      <c r="CR12" s="1381"/>
      <c r="CS12" s="1380" t="str">
        <f>IF(WEEKDAY(CS11)=1,"CN","T"&amp;WEEKDAY(CS11))</f>
        <v>T3</v>
      </c>
      <c r="CT12" s="1381"/>
      <c r="CU12" s="1381"/>
      <c r="CV12" s="1381"/>
      <c r="CW12" s="1380" t="str">
        <f>IF(WEEKDAY(CW11)=1,"CN","T"&amp;WEEKDAY(CW11))</f>
        <v>T4</v>
      </c>
      <c r="CX12" s="1381"/>
      <c r="CY12" s="1381"/>
      <c r="CZ12" s="1381"/>
      <c r="DA12" s="1380" t="str">
        <f>IF(WEEKDAY(DA11)=1,"CN","T"&amp;WEEKDAY(DA11))</f>
        <v>T5</v>
      </c>
      <c r="DB12" s="1381"/>
      <c r="DC12" s="1381"/>
      <c r="DD12" s="1381"/>
      <c r="DE12" s="1380" t="str">
        <f>IF(WEEKDAY(DE11)=1,"CN","T"&amp;WEEKDAY(DE11))</f>
        <v>T6</v>
      </c>
      <c r="DF12" s="1381"/>
      <c r="DG12" s="1381"/>
      <c r="DH12" s="1381"/>
      <c r="DI12" s="1380" t="str">
        <f>IF(WEEKDAY(DI11)=1,"CN","T"&amp;WEEKDAY(DI11))</f>
        <v>T7</v>
      </c>
      <c r="DJ12" s="1381"/>
      <c r="DK12" s="1381"/>
      <c r="DL12" s="1381"/>
      <c r="DM12" s="1380" t="str">
        <f>IF(WEEKDAY(DM11)=1,"CN","T"&amp;WEEKDAY(DM11))</f>
        <v>CN</v>
      </c>
      <c r="DN12" s="1381"/>
      <c r="DO12" s="1381"/>
      <c r="DP12" s="1381"/>
      <c r="DQ12" s="1380" t="str">
        <f>IF(WEEKDAY(DQ11)=1,"CN","T"&amp;WEEKDAY(DQ11))</f>
        <v>T2</v>
      </c>
      <c r="DR12" s="1381"/>
      <c r="DS12" s="1381"/>
      <c r="DT12" s="1381"/>
      <c r="DU12" s="1380" t="str">
        <f>IF(WEEKDAY(DU11)=1,"CN","T"&amp;WEEKDAY(DU11))</f>
        <v>T3</v>
      </c>
      <c r="DV12" s="1381"/>
      <c r="DW12" s="1381"/>
      <c r="DX12" s="1381"/>
      <c r="DY12" s="1380" t="str">
        <f>IF(WEEKDAY(DY11)=1,"CN","T"&amp;WEEKDAY(DY11))</f>
        <v>T4</v>
      </c>
      <c r="DZ12" s="1381"/>
      <c r="EA12" s="1381"/>
      <c r="EB12" s="1381"/>
      <c r="EC12" s="1380" t="str">
        <f>IF(WEEKDAY(EC11)=1,"CN","T"&amp;WEEKDAY(EC11))</f>
        <v>T5</v>
      </c>
      <c r="ED12" s="1381"/>
      <c r="EE12" s="1381"/>
      <c r="EF12" s="1381"/>
    </row>
    <row r="13" spans="1:136" ht="89" customHeight="1" thickBot="1" x14ac:dyDescent="0.2">
      <c r="A13" s="1378" t="s">
        <v>214</v>
      </c>
      <c r="B13" s="1379"/>
      <c r="C13" s="1379"/>
      <c r="D13" s="84" t="s">
        <v>107</v>
      </c>
      <c r="E13" s="85" t="s">
        <v>141</v>
      </c>
      <c r="F13" s="86" t="s">
        <v>108</v>
      </c>
      <c r="G13" s="87" t="s">
        <v>109</v>
      </c>
      <c r="H13" s="830" t="s">
        <v>198</v>
      </c>
      <c r="I13" s="830" t="s">
        <v>74</v>
      </c>
      <c r="J13" s="830" t="s">
        <v>199</v>
      </c>
      <c r="K13" s="88" t="s">
        <v>74</v>
      </c>
      <c r="L13" s="88" t="s">
        <v>110</v>
      </c>
      <c r="M13" s="955" t="s">
        <v>213</v>
      </c>
      <c r="N13" s="956" t="s">
        <v>202</v>
      </c>
      <c r="O13" s="956" t="s">
        <v>29</v>
      </c>
      <c r="P13" s="957" t="s">
        <v>201</v>
      </c>
      <c r="Q13" s="952" t="s">
        <v>213</v>
      </c>
      <c r="R13" s="911" t="s">
        <v>202</v>
      </c>
      <c r="S13" s="912" t="s">
        <v>29</v>
      </c>
      <c r="T13" s="912" t="s">
        <v>201</v>
      </c>
      <c r="U13" s="961" t="s">
        <v>213</v>
      </c>
      <c r="V13" s="962" t="s">
        <v>202</v>
      </c>
      <c r="W13" s="934" t="s">
        <v>29</v>
      </c>
      <c r="X13" s="963" t="s">
        <v>201</v>
      </c>
      <c r="Y13" s="952" t="s">
        <v>213</v>
      </c>
      <c r="Z13" s="911" t="s">
        <v>202</v>
      </c>
      <c r="AA13" s="912" t="s">
        <v>29</v>
      </c>
      <c r="AB13" s="913" t="s">
        <v>201</v>
      </c>
      <c r="AC13" s="952" t="s">
        <v>213</v>
      </c>
      <c r="AD13" s="911" t="s">
        <v>202</v>
      </c>
      <c r="AE13" s="912" t="s">
        <v>29</v>
      </c>
      <c r="AF13" s="965" t="s">
        <v>201</v>
      </c>
      <c r="AG13" s="964" t="s">
        <v>213</v>
      </c>
      <c r="AH13" s="911" t="s">
        <v>202</v>
      </c>
      <c r="AI13" s="912" t="s">
        <v>29</v>
      </c>
      <c r="AJ13" s="913" t="s">
        <v>201</v>
      </c>
      <c r="AK13" s="952" t="s">
        <v>213</v>
      </c>
      <c r="AL13" s="911" t="s">
        <v>202</v>
      </c>
      <c r="AM13" s="912" t="s">
        <v>29</v>
      </c>
      <c r="AN13" s="913" t="s">
        <v>201</v>
      </c>
      <c r="AO13" s="952" t="s">
        <v>213</v>
      </c>
      <c r="AP13" s="911" t="s">
        <v>202</v>
      </c>
      <c r="AQ13" s="912" t="s">
        <v>29</v>
      </c>
      <c r="AR13" s="913" t="s">
        <v>201</v>
      </c>
      <c r="AS13" s="952" t="s">
        <v>213</v>
      </c>
      <c r="AT13" s="911" t="s">
        <v>202</v>
      </c>
      <c r="AU13" s="912" t="s">
        <v>29</v>
      </c>
      <c r="AV13" s="913" t="s">
        <v>201</v>
      </c>
      <c r="AW13" s="952" t="s">
        <v>213</v>
      </c>
      <c r="AX13" s="911" t="s">
        <v>202</v>
      </c>
      <c r="AY13" s="912" t="s">
        <v>29</v>
      </c>
      <c r="AZ13" s="913" t="s">
        <v>201</v>
      </c>
      <c r="BA13" s="952" t="s">
        <v>213</v>
      </c>
      <c r="BB13" s="911" t="s">
        <v>202</v>
      </c>
      <c r="BC13" s="912" t="s">
        <v>29</v>
      </c>
      <c r="BD13" s="913" t="s">
        <v>201</v>
      </c>
      <c r="BE13" s="952" t="s">
        <v>213</v>
      </c>
      <c r="BF13" s="911" t="s">
        <v>202</v>
      </c>
      <c r="BG13" s="912" t="s">
        <v>29</v>
      </c>
      <c r="BH13" s="913" t="s">
        <v>201</v>
      </c>
      <c r="BI13" s="952" t="s">
        <v>213</v>
      </c>
      <c r="BJ13" s="911" t="s">
        <v>202</v>
      </c>
      <c r="BK13" s="912" t="s">
        <v>29</v>
      </c>
      <c r="BL13" s="913" t="s">
        <v>201</v>
      </c>
      <c r="BM13" s="952" t="s">
        <v>213</v>
      </c>
      <c r="BN13" s="911" t="s">
        <v>202</v>
      </c>
      <c r="BO13" s="912" t="s">
        <v>29</v>
      </c>
      <c r="BP13" s="913" t="s">
        <v>201</v>
      </c>
      <c r="BQ13" s="952" t="s">
        <v>213</v>
      </c>
      <c r="BR13" s="911" t="s">
        <v>202</v>
      </c>
      <c r="BS13" s="912" t="s">
        <v>29</v>
      </c>
      <c r="BT13" s="913" t="s">
        <v>201</v>
      </c>
      <c r="BU13" s="952" t="s">
        <v>213</v>
      </c>
      <c r="BV13" s="911" t="s">
        <v>202</v>
      </c>
      <c r="BW13" s="912" t="s">
        <v>29</v>
      </c>
      <c r="BX13" s="913" t="s">
        <v>201</v>
      </c>
      <c r="BY13" s="952" t="s">
        <v>213</v>
      </c>
      <c r="BZ13" s="911" t="s">
        <v>202</v>
      </c>
      <c r="CA13" s="912" t="s">
        <v>29</v>
      </c>
      <c r="CB13" s="913" t="s">
        <v>201</v>
      </c>
      <c r="CC13" s="952" t="s">
        <v>213</v>
      </c>
      <c r="CD13" s="911" t="s">
        <v>202</v>
      </c>
      <c r="CE13" s="912" t="s">
        <v>29</v>
      </c>
      <c r="CF13" s="913" t="s">
        <v>201</v>
      </c>
      <c r="CG13" s="952" t="s">
        <v>213</v>
      </c>
      <c r="CH13" s="911" t="s">
        <v>202</v>
      </c>
      <c r="CI13" s="912" t="s">
        <v>29</v>
      </c>
      <c r="CJ13" s="913" t="s">
        <v>201</v>
      </c>
      <c r="CK13" s="952" t="s">
        <v>213</v>
      </c>
      <c r="CL13" s="911" t="s">
        <v>202</v>
      </c>
      <c r="CM13" s="912" t="s">
        <v>29</v>
      </c>
      <c r="CN13" s="913" t="s">
        <v>201</v>
      </c>
      <c r="CO13" s="952" t="s">
        <v>213</v>
      </c>
      <c r="CP13" s="911" t="s">
        <v>202</v>
      </c>
      <c r="CQ13" s="912" t="s">
        <v>29</v>
      </c>
      <c r="CR13" s="913" t="s">
        <v>201</v>
      </c>
      <c r="CS13" s="952" t="s">
        <v>213</v>
      </c>
      <c r="CT13" s="911" t="s">
        <v>202</v>
      </c>
      <c r="CU13" s="912" t="s">
        <v>29</v>
      </c>
      <c r="CV13" s="913" t="s">
        <v>201</v>
      </c>
      <c r="CW13" s="952" t="s">
        <v>213</v>
      </c>
      <c r="CX13" s="911" t="s">
        <v>202</v>
      </c>
      <c r="CY13" s="912" t="s">
        <v>29</v>
      </c>
      <c r="CZ13" s="913" t="s">
        <v>201</v>
      </c>
      <c r="DA13" s="952" t="s">
        <v>213</v>
      </c>
      <c r="DB13" s="911" t="s">
        <v>202</v>
      </c>
      <c r="DC13" s="912" t="s">
        <v>29</v>
      </c>
      <c r="DD13" s="913" t="s">
        <v>201</v>
      </c>
      <c r="DE13" s="952" t="s">
        <v>213</v>
      </c>
      <c r="DF13" s="911" t="s">
        <v>202</v>
      </c>
      <c r="DG13" s="912" t="s">
        <v>29</v>
      </c>
      <c r="DH13" s="913" t="s">
        <v>201</v>
      </c>
      <c r="DI13" s="952" t="s">
        <v>213</v>
      </c>
      <c r="DJ13" s="911" t="s">
        <v>202</v>
      </c>
      <c r="DK13" s="912" t="s">
        <v>29</v>
      </c>
      <c r="DL13" s="913" t="s">
        <v>201</v>
      </c>
      <c r="DM13" s="952" t="s">
        <v>213</v>
      </c>
      <c r="DN13" s="911" t="s">
        <v>202</v>
      </c>
      <c r="DO13" s="912" t="s">
        <v>29</v>
      </c>
      <c r="DP13" s="913" t="s">
        <v>201</v>
      </c>
      <c r="DQ13" s="952" t="s">
        <v>213</v>
      </c>
      <c r="DR13" s="911" t="s">
        <v>202</v>
      </c>
      <c r="DS13" s="912" t="s">
        <v>29</v>
      </c>
      <c r="DT13" s="913" t="s">
        <v>201</v>
      </c>
      <c r="DU13" s="952" t="s">
        <v>213</v>
      </c>
      <c r="DV13" s="911" t="s">
        <v>202</v>
      </c>
      <c r="DW13" s="912" t="s">
        <v>29</v>
      </c>
      <c r="DX13" s="913" t="s">
        <v>201</v>
      </c>
      <c r="DY13" s="952" t="s">
        <v>213</v>
      </c>
      <c r="DZ13" s="911" t="s">
        <v>202</v>
      </c>
      <c r="EA13" s="912" t="s">
        <v>29</v>
      </c>
      <c r="EB13" s="913" t="s">
        <v>201</v>
      </c>
      <c r="EC13" s="952" t="s">
        <v>213</v>
      </c>
      <c r="ED13" s="911" t="s">
        <v>202</v>
      </c>
      <c r="EE13" s="912" t="s">
        <v>29</v>
      </c>
      <c r="EF13" s="913" t="s">
        <v>201</v>
      </c>
    </row>
    <row r="14" spans="1:136" s="978" customFormat="1" ht="20" customHeight="1" x14ac:dyDescent="0.15">
      <c r="A14" s="9"/>
      <c r="B14" s="9"/>
      <c r="C14" s="813" t="str">
        <f>Dashboard!K90</f>
        <v>P2</v>
      </c>
      <c r="D14" s="1091">
        <f>Dashboard!M90</f>
        <v>0.34999999999999992</v>
      </c>
      <c r="E14" s="834"/>
      <c r="F14" s="834"/>
      <c r="G14" s="834"/>
      <c r="H14" s="909"/>
      <c r="I14" s="909"/>
      <c r="J14" s="909"/>
      <c r="K14" s="910"/>
      <c r="L14" s="980"/>
      <c r="M14" s="892"/>
      <c r="N14" s="930"/>
      <c r="O14" s="873"/>
      <c r="P14" s="873"/>
      <c r="Q14" s="892"/>
      <c r="R14" s="930"/>
      <c r="S14" s="873"/>
      <c r="T14" s="873"/>
      <c r="U14" s="892"/>
      <c r="V14" s="930"/>
      <c r="W14" s="873"/>
      <c r="X14" s="873"/>
      <c r="Y14" s="892"/>
      <c r="Z14" s="930"/>
      <c r="AA14" s="873"/>
      <c r="AB14" s="873"/>
      <c r="AC14" s="892"/>
      <c r="AD14" s="930"/>
      <c r="AE14" s="873"/>
      <c r="AF14" s="873"/>
      <c r="AG14" s="892"/>
      <c r="AH14" s="930"/>
      <c r="AI14" s="873"/>
      <c r="AJ14" s="873"/>
      <c r="AK14" s="892"/>
      <c r="AL14" s="930"/>
      <c r="AM14" s="873"/>
      <c r="AN14" s="873"/>
      <c r="AO14" s="892"/>
      <c r="AP14" s="930"/>
      <c r="AQ14" s="873"/>
      <c r="AR14" s="873"/>
      <c r="AS14" s="892"/>
      <c r="AT14" s="930"/>
      <c r="AU14" s="873"/>
      <c r="AV14" s="873"/>
      <c r="AW14" s="892"/>
      <c r="AX14" s="930"/>
      <c r="AY14" s="873"/>
      <c r="AZ14" s="873"/>
      <c r="BA14" s="892"/>
      <c r="BB14" s="930"/>
      <c r="BC14" s="873"/>
      <c r="BD14" s="873"/>
      <c r="BE14" s="892"/>
      <c r="BF14" s="930"/>
      <c r="BG14" s="873"/>
      <c r="BH14" s="873"/>
      <c r="BI14" s="892"/>
      <c r="BJ14" s="930"/>
      <c r="BK14" s="873"/>
      <c r="BL14" s="873"/>
      <c r="BM14" s="892"/>
      <c r="BN14" s="930"/>
      <c r="BO14" s="873"/>
      <c r="BP14" s="873"/>
      <c r="BQ14" s="892"/>
      <c r="BR14" s="930"/>
      <c r="BS14" s="873"/>
      <c r="BT14" s="873"/>
      <c r="BU14" s="892"/>
      <c r="BV14" s="930"/>
      <c r="BW14" s="873"/>
      <c r="BX14" s="873"/>
      <c r="BY14" s="892"/>
      <c r="BZ14" s="930"/>
      <c r="CA14" s="873"/>
      <c r="CB14" s="873"/>
      <c r="CC14" s="892"/>
      <c r="CD14" s="930"/>
      <c r="CE14" s="873"/>
      <c r="CF14" s="873"/>
      <c r="CG14" s="892"/>
      <c r="CH14" s="930"/>
      <c r="CI14" s="873"/>
      <c r="CJ14" s="873"/>
      <c r="CK14" s="892"/>
      <c r="CL14" s="930"/>
      <c r="CM14" s="873"/>
      <c r="CN14" s="873"/>
      <c r="CO14" s="892"/>
      <c r="CP14" s="930"/>
      <c r="CQ14" s="873"/>
      <c r="CR14" s="873"/>
      <c r="CS14" s="892"/>
      <c r="CT14" s="930"/>
      <c r="CU14" s="873"/>
      <c r="CV14" s="873"/>
      <c r="CW14" s="892"/>
      <c r="CX14" s="930"/>
      <c r="CY14" s="873"/>
      <c r="CZ14" s="873"/>
      <c r="DA14" s="892"/>
      <c r="DB14" s="930"/>
      <c r="DC14" s="873"/>
      <c r="DD14" s="873"/>
      <c r="DE14" s="892"/>
      <c r="DF14" s="930"/>
      <c r="DG14" s="873"/>
      <c r="DH14" s="873"/>
      <c r="DI14" s="892"/>
      <c r="DJ14" s="930"/>
      <c r="DK14" s="873"/>
      <c r="DL14" s="873"/>
      <c r="DM14" s="892"/>
      <c r="DN14" s="930"/>
      <c r="DO14" s="873"/>
      <c r="DP14" s="873"/>
      <c r="DQ14" s="892"/>
      <c r="DR14" s="930"/>
      <c r="DS14" s="873"/>
      <c r="DT14" s="873"/>
      <c r="DU14" s="892"/>
      <c r="DV14" s="930"/>
      <c r="DW14" s="873"/>
      <c r="DX14" s="873"/>
      <c r="DY14" s="892"/>
      <c r="DZ14" s="930"/>
      <c r="EA14" s="873"/>
      <c r="EB14" s="873"/>
      <c r="EC14" s="892"/>
      <c r="ED14" s="930"/>
      <c r="EE14" s="873"/>
      <c r="EF14" s="873"/>
    </row>
    <row r="15" spans="1:136" s="916" customFormat="1" ht="20" customHeight="1" x14ac:dyDescent="0.15">
      <c r="A15" s="870">
        <f>_xlfn.IFS(B15=0,0,E15&gt;B15,1,E15&lt;=B15,E15/B15)</f>
        <v>0</v>
      </c>
      <c r="B15" s="833"/>
      <c r="C15" s="832" t="str">
        <f>Dashboard!K91</f>
        <v>CALL</v>
      </c>
      <c r="D15" s="185">
        <f>Dashboard!AK91</f>
        <v>244.52192379762647</v>
      </c>
      <c r="E15" s="1083">
        <f>SUMIF($M$13:$EF$13,$M$13,$M15:$EF15)</f>
        <v>682</v>
      </c>
      <c r="F15" s="185">
        <f>E15-D15</f>
        <v>437.47807620237353</v>
      </c>
      <c r="G15" s="789">
        <f>_xlfn.IFS(F15&gt;0,1,F15&lt;=0,E15/D15)</f>
        <v>1</v>
      </c>
      <c r="H15" s="978"/>
      <c r="I15" s="94"/>
      <c r="J15" s="978"/>
      <c r="K15" s="185">
        <f>D15/$B$9</f>
        <v>8.579716624478122</v>
      </c>
      <c r="L15" s="882">
        <f ca="1">SUMIFS($M15:$EF15,$M$11:$EF$11,TODAY()-1,$M$13:$EF$13,$M$13)</f>
        <v>0</v>
      </c>
      <c r="M15" s="897">
        <f>M26+M32</f>
        <v>22</v>
      </c>
      <c r="N15" s="931">
        <f>N26+N32</f>
        <v>15</v>
      </c>
      <c r="O15" s="857">
        <f>_xlfn.IFS(M15=0,0,N15&lt;=M15,N15/M15,N15&gt;M15,1)</f>
        <v>0.68181818181818177</v>
      </c>
      <c r="P15" s="889">
        <f>P26+P32</f>
        <v>1050000</v>
      </c>
      <c r="Q15" s="897">
        <f>Q26+Q32</f>
        <v>22</v>
      </c>
      <c r="R15" s="931">
        <f>R26+R32</f>
        <v>15</v>
      </c>
      <c r="S15" s="857">
        <f>_xlfn.IFS(Q15=0,0,R15&lt;=Q15,R15/Q15,R15&gt;Q15,1)</f>
        <v>0.68181818181818177</v>
      </c>
      <c r="T15" s="889">
        <f>T26+T32</f>
        <v>1050000</v>
      </c>
      <c r="U15" s="897">
        <f>U26+U32</f>
        <v>22</v>
      </c>
      <c r="V15" s="931">
        <f>V26+V32</f>
        <v>15</v>
      </c>
      <c r="W15" s="857">
        <f>_xlfn.IFS(U15=0,0,V15&lt;=U15,V15/U15,V15&gt;U15,1)</f>
        <v>0.68181818181818177</v>
      </c>
      <c r="X15" s="889">
        <f>X26+X32</f>
        <v>1050000</v>
      </c>
      <c r="Y15" s="897">
        <f>Y26+Y32</f>
        <v>22</v>
      </c>
      <c r="Z15" s="931">
        <f>Z26+Z32</f>
        <v>15</v>
      </c>
      <c r="AA15" s="857">
        <f>_xlfn.IFS(Y15=0,0,Z15&lt;=Y15,Z15/Y15,Z15&gt;Y15,1)</f>
        <v>0.68181818181818177</v>
      </c>
      <c r="AB15" s="889">
        <f>AB26+AB32</f>
        <v>1050000</v>
      </c>
      <c r="AC15" s="897">
        <f>AC26+AC32</f>
        <v>22</v>
      </c>
      <c r="AD15" s="931">
        <f>AD26+AD32</f>
        <v>15</v>
      </c>
      <c r="AE15" s="857">
        <f>_xlfn.IFS(AC15=0,0,AD15&lt;=AC15,AD15/AC15,AD15&gt;AC15,1)</f>
        <v>0.68181818181818177</v>
      </c>
      <c r="AF15" s="889">
        <f>AF26+AF32</f>
        <v>1050000</v>
      </c>
      <c r="AG15" s="897">
        <f>AG26+AG32</f>
        <v>22</v>
      </c>
      <c r="AH15" s="931">
        <f>AH26+AH32</f>
        <v>15</v>
      </c>
      <c r="AI15" s="857">
        <f>_xlfn.IFS(AG15=0,0,AH15&lt;=AG15,AH15/AG15,AH15&gt;AG15,1)</f>
        <v>0.68181818181818177</v>
      </c>
      <c r="AJ15" s="889">
        <f>AJ26+AJ32</f>
        <v>1050000</v>
      </c>
      <c r="AK15" s="897">
        <f>AK26+AK32</f>
        <v>22</v>
      </c>
      <c r="AL15" s="931">
        <f>AL26+AL32</f>
        <v>15</v>
      </c>
      <c r="AM15" s="857">
        <f>_xlfn.IFS(AK15=0,0,AL15&lt;=AK15,AL15/AK15,AL15&gt;AK15,1)</f>
        <v>0.68181818181818177</v>
      </c>
      <c r="AN15" s="889">
        <f>AN26+AN32</f>
        <v>1050000</v>
      </c>
      <c r="AO15" s="897">
        <f>AO26+AO32</f>
        <v>22</v>
      </c>
      <c r="AP15" s="931">
        <f>AP26+AP32</f>
        <v>15</v>
      </c>
      <c r="AQ15" s="857">
        <f>_xlfn.IFS(AO15=0,0,AP15&lt;=AO15,AP15/AO15,AP15&gt;AO15,1)</f>
        <v>0.68181818181818177</v>
      </c>
      <c r="AR15" s="889">
        <f>AR26+AR32</f>
        <v>1050000</v>
      </c>
      <c r="AS15" s="897">
        <f>AS26+AS32</f>
        <v>22</v>
      </c>
      <c r="AT15" s="931">
        <f>AT26+AT32</f>
        <v>15</v>
      </c>
      <c r="AU15" s="857">
        <f>_xlfn.IFS(AS15=0,0,AT15&lt;=AS15,AT15/AS15,AT15&gt;AS15,1)</f>
        <v>0.68181818181818177</v>
      </c>
      <c r="AV15" s="889">
        <f>AV26+AV32</f>
        <v>1050000</v>
      </c>
      <c r="AW15" s="897">
        <f>AW26+AW32</f>
        <v>22</v>
      </c>
      <c r="AX15" s="931">
        <f>AX26+AX32</f>
        <v>15</v>
      </c>
      <c r="AY15" s="857">
        <f>_xlfn.IFS(AW15=0,0,AX15&lt;=AW15,AX15/AW15,AX15&gt;AW15,1)</f>
        <v>0.68181818181818177</v>
      </c>
      <c r="AZ15" s="889">
        <f>AZ26+AZ32</f>
        <v>1050000</v>
      </c>
      <c r="BA15" s="897">
        <f>BA26+BA32</f>
        <v>22</v>
      </c>
      <c r="BB15" s="931">
        <f>BB26+BB32</f>
        <v>15</v>
      </c>
      <c r="BC15" s="857">
        <f>_xlfn.IFS(BA15=0,0,BB15&lt;=BA15,BB15/BA15,BB15&gt;BA15,1)</f>
        <v>0.68181818181818177</v>
      </c>
      <c r="BD15" s="889">
        <f>BD26+BD32</f>
        <v>1050000</v>
      </c>
      <c r="BE15" s="897">
        <f>BE26+BE32</f>
        <v>22</v>
      </c>
      <c r="BF15" s="931">
        <f>BF26+BF32</f>
        <v>15</v>
      </c>
      <c r="BG15" s="857">
        <f>_xlfn.IFS(BE15=0,0,BF15&lt;=BE15,BF15/BE15,BF15&gt;BE15,1)</f>
        <v>0.68181818181818177</v>
      </c>
      <c r="BH15" s="889">
        <f>BH26+BH32</f>
        <v>1050000</v>
      </c>
      <c r="BI15" s="897">
        <f>BI26+BI32</f>
        <v>22</v>
      </c>
      <c r="BJ15" s="931">
        <f>BJ26+BJ32</f>
        <v>15</v>
      </c>
      <c r="BK15" s="857">
        <f>_xlfn.IFS(BI15=0,0,BJ15&lt;=BI15,BJ15/BI15,BJ15&gt;BI15,1)</f>
        <v>0.68181818181818177</v>
      </c>
      <c r="BL15" s="889">
        <f>BL26+BL32</f>
        <v>1050000</v>
      </c>
      <c r="BM15" s="897">
        <f>BM26+BM32</f>
        <v>22</v>
      </c>
      <c r="BN15" s="931">
        <f>BN26+BN32</f>
        <v>15</v>
      </c>
      <c r="BO15" s="857">
        <f>_xlfn.IFS(BM15=0,0,BN15&lt;=BM15,BN15/BM15,BN15&gt;BM15,1)</f>
        <v>0.68181818181818177</v>
      </c>
      <c r="BP15" s="889">
        <f>BP26+BP32</f>
        <v>1050000</v>
      </c>
      <c r="BQ15" s="897">
        <f>BQ26+BQ32</f>
        <v>22</v>
      </c>
      <c r="BR15" s="931">
        <f>BR26+BR32</f>
        <v>15</v>
      </c>
      <c r="BS15" s="857">
        <f>_xlfn.IFS(BQ15=0,0,BR15&lt;=BQ15,BR15/BQ15,BR15&gt;BQ15,1)</f>
        <v>0.68181818181818177</v>
      </c>
      <c r="BT15" s="889">
        <f>BT26+BT32</f>
        <v>1050000</v>
      </c>
      <c r="BU15" s="897">
        <f>BU26+BU32</f>
        <v>22</v>
      </c>
      <c r="BV15" s="931">
        <f>BV26+BV32</f>
        <v>15</v>
      </c>
      <c r="BW15" s="857">
        <f>_xlfn.IFS(BU15=0,0,BV15&lt;=BU15,BV15/BU15,BV15&gt;BU15,1)</f>
        <v>0.68181818181818177</v>
      </c>
      <c r="BX15" s="889">
        <f>BX26+BX32</f>
        <v>1050000</v>
      </c>
      <c r="BY15" s="897">
        <f>BY26+BY32</f>
        <v>22</v>
      </c>
      <c r="BZ15" s="931">
        <f>BZ26+BZ32</f>
        <v>15</v>
      </c>
      <c r="CA15" s="857">
        <f>_xlfn.IFS(BY15=0,0,BZ15&lt;=BY15,BZ15/BY15,BZ15&gt;BY15,1)</f>
        <v>0.68181818181818177</v>
      </c>
      <c r="CB15" s="889">
        <f>CB26+CB32</f>
        <v>1050000</v>
      </c>
      <c r="CC15" s="897">
        <f>CC26+CC32</f>
        <v>22</v>
      </c>
      <c r="CD15" s="931">
        <f>CD26+CD32</f>
        <v>15</v>
      </c>
      <c r="CE15" s="857">
        <f>_xlfn.IFS(CC15=0,0,CD15&lt;=CC15,CD15/CC15,CD15&gt;CC15,1)</f>
        <v>0.68181818181818177</v>
      </c>
      <c r="CF15" s="889">
        <f>CF26+CF32</f>
        <v>1050000</v>
      </c>
      <c r="CG15" s="897">
        <f>CG26+CG32</f>
        <v>22</v>
      </c>
      <c r="CH15" s="931">
        <f>CH26+CH32</f>
        <v>15</v>
      </c>
      <c r="CI15" s="857">
        <f>_xlfn.IFS(CG15=0,0,CH15&lt;=CG15,CH15/CG15,CH15&gt;CG15,1)</f>
        <v>0.68181818181818177</v>
      </c>
      <c r="CJ15" s="889">
        <f>CJ26+CJ32</f>
        <v>1050000</v>
      </c>
      <c r="CK15" s="897">
        <f>CK26+CK32</f>
        <v>22</v>
      </c>
      <c r="CL15" s="931">
        <f>CL26+CL32</f>
        <v>15</v>
      </c>
      <c r="CM15" s="857">
        <f>_xlfn.IFS(CK15=0,0,CL15&lt;=CK15,CL15/CK15,CL15&gt;CK15,1)</f>
        <v>0.68181818181818177</v>
      </c>
      <c r="CN15" s="889">
        <f>CN26+CN32</f>
        <v>1050000</v>
      </c>
      <c r="CO15" s="897">
        <f>CO26+CO32</f>
        <v>22</v>
      </c>
      <c r="CP15" s="931">
        <f>CP26+CP32</f>
        <v>15</v>
      </c>
      <c r="CQ15" s="857">
        <f>_xlfn.IFS(CO15=0,0,CP15&lt;=CO15,CP15/CO15,CP15&gt;CO15,1)</f>
        <v>0.68181818181818177</v>
      </c>
      <c r="CR15" s="889">
        <f>CR26+CR32</f>
        <v>1050000</v>
      </c>
      <c r="CS15" s="897">
        <f>CS26+CS32</f>
        <v>22</v>
      </c>
      <c r="CT15" s="931">
        <f>CT26+CT32</f>
        <v>15</v>
      </c>
      <c r="CU15" s="857">
        <f>_xlfn.IFS(CS15=0,0,CT15&lt;=CS15,CT15/CS15,CT15&gt;CS15,1)</f>
        <v>0.68181818181818177</v>
      </c>
      <c r="CV15" s="889">
        <f>CV26+CV32</f>
        <v>1050000</v>
      </c>
      <c r="CW15" s="897">
        <f>CW26+CW32</f>
        <v>22</v>
      </c>
      <c r="CX15" s="931">
        <f>CX26+CX32</f>
        <v>15</v>
      </c>
      <c r="CY15" s="857">
        <f>_xlfn.IFS(CW15=0,0,CX15&lt;=CW15,CX15/CW15,CX15&gt;CW15,1)</f>
        <v>0.68181818181818177</v>
      </c>
      <c r="CZ15" s="889">
        <f>CZ26+CZ32</f>
        <v>1050000</v>
      </c>
      <c r="DA15" s="897">
        <f>DA26+DA32</f>
        <v>22</v>
      </c>
      <c r="DB15" s="931">
        <f>DB26+DB32</f>
        <v>15</v>
      </c>
      <c r="DC15" s="857">
        <f>_xlfn.IFS(DA15=0,0,DB15&lt;=DA15,DB15/DA15,DB15&gt;DA15,1)</f>
        <v>0.68181818181818177</v>
      </c>
      <c r="DD15" s="889">
        <f>DD26+DD32</f>
        <v>1050000</v>
      </c>
      <c r="DE15" s="897">
        <f>DE26+DE32</f>
        <v>22</v>
      </c>
      <c r="DF15" s="931">
        <f>DF26+DF32</f>
        <v>15</v>
      </c>
      <c r="DG15" s="857">
        <f>_xlfn.IFS(DE15=0,0,DF15&lt;=DE15,DF15/DE15,DF15&gt;DE15,1)</f>
        <v>0.68181818181818177</v>
      </c>
      <c r="DH15" s="889">
        <f>DH26+DH32</f>
        <v>1050000</v>
      </c>
      <c r="DI15" s="897">
        <f>DI26+DI32</f>
        <v>22</v>
      </c>
      <c r="DJ15" s="931">
        <f>DJ26+DJ32</f>
        <v>15</v>
      </c>
      <c r="DK15" s="857">
        <f>_xlfn.IFS(DI15=0,0,DJ15&lt;=DI15,DJ15/DI15,DJ15&gt;DI15,1)</f>
        <v>0.68181818181818177</v>
      </c>
      <c r="DL15" s="889">
        <f>DL26+DL32</f>
        <v>1050000</v>
      </c>
      <c r="DM15" s="897">
        <f>DM26+DM32</f>
        <v>22</v>
      </c>
      <c r="DN15" s="931">
        <f>DN26+DN32</f>
        <v>15</v>
      </c>
      <c r="DO15" s="857">
        <f>_xlfn.IFS(DM15=0,0,DN15&lt;=DM15,DN15/DM15,DN15&gt;DM15,1)</f>
        <v>0.68181818181818177</v>
      </c>
      <c r="DP15" s="889">
        <f>DP26+DP32</f>
        <v>1050000</v>
      </c>
      <c r="DQ15" s="897">
        <f>DQ26+DQ32</f>
        <v>22</v>
      </c>
      <c r="DR15" s="931">
        <f>DR26+DR32</f>
        <v>15</v>
      </c>
      <c r="DS15" s="857">
        <f>_xlfn.IFS(DQ15=0,0,DR15&lt;=DQ15,DR15/DQ15,DR15&gt;DQ15,1)</f>
        <v>0.68181818181818177</v>
      </c>
      <c r="DT15" s="889">
        <f>DT26+DT32</f>
        <v>1050000</v>
      </c>
      <c r="DU15" s="897">
        <f>DU26+DU32</f>
        <v>22</v>
      </c>
      <c r="DV15" s="931">
        <f>DV26+DV32</f>
        <v>15</v>
      </c>
      <c r="DW15" s="857">
        <f>_xlfn.IFS(DU15=0,0,DV15&lt;=DU15,DV15/DU15,DV15&gt;DU15,1)</f>
        <v>0.68181818181818177</v>
      </c>
      <c r="DX15" s="889">
        <f>DX26+DX32</f>
        <v>1050000</v>
      </c>
      <c r="DY15" s="897">
        <f>DY26+DY32</f>
        <v>22</v>
      </c>
      <c r="DZ15" s="931">
        <f>DZ26+DZ32</f>
        <v>15</v>
      </c>
      <c r="EA15" s="857">
        <f>_xlfn.IFS(DY15=0,0,DZ15&lt;=DY15,DZ15/DY15,DZ15&gt;DY15,1)</f>
        <v>0.68181818181818177</v>
      </c>
      <c r="EB15" s="889">
        <f>EB26+EB32</f>
        <v>1050000</v>
      </c>
      <c r="EC15" s="897">
        <f>EC26+EC32</f>
        <v>22</v>
      </c>
      <c r="ED15" s="931">
        <f>ED26+ED32</f>
        <v>15</v>
      </c>
      <c r="EE15" s="857">
        <f>_xlfn.IFS(EC15=0,0,ED15&lt;=EC15,ED15/EC15,ED15&gt;EC15,1)</f>
        <v>0.68181818181818177</v>
      </c>
      <c r="EF15" s="889">
        <f>EF26+EF32</f>
        <v>1050000</v>
      </c>
    </row>
    <row r="16" spans="1:136" s="916" customFormat="1" ht="20" customHeight="1" x14ac:dyDescent="0.15">
      <c r="A16" s="870">
        <f>_xlfn.IFS(B16=0,0,E16&gt;B16,1,E16&lt;=B16,E16/B16)</f>
        <v>0</v>
      </c>
      <c r="B16" s="833"/>
      <c r="C16" s="832" t="str">
        <f>Dashboard!K92</f>
        <v>SMS</v>
      </c>
      <c r="D16" s="185">
        <f>Dashboard!AK92</f>
        <v>62.6</v>
      </c>
      <c r="E16" s="1083">
        <f>SUMIF($M$13:$EF$13,$M$13,$M16:$EF16)</f>
        <v>746</v>
      </c>
      <c r="F16" s="185">
        <f>E16-D16</f>
        <v>683.4</v>
      </c>
      <c r="G16" s="789">
        <f>_xlfn.IFS(F16&gt;0,1,F16&lt;=0,E16/D16)</f>
        <v>1</v>
      </c>
      <c r="H16" s="978"/>
      <c r="I16" s="951"/>
      <c r="J16" s="978"/>
      <c r="K16" s="185">
        <f>D16/$B$9</f>
        <v>2.1964912280701756</v>
      </c>
      <c r="L16" s="882">
        <f ca="1">SUMIFS($M16:$EF16,$M$11:$EF$11,TODAY()-1,$M$13:$EF$13,$M$13)</f>
        <v>0</v>
      </c>
      <c r="M16" s="897">
        <f>M20+M35+M36+M39</f>
        <v>25</v>
      </c>
      <c r="N16" s="931">
        <f>N20+N35+N36+N39</f>
        <v>20</v>
      </c>
      <c r="O16" s="857">
        <f>_xlfn.IFS(M16=0,0,N16&lt;=M16,N16/M16,N16&gt;M16,1)</f>
        <v>0.8</v>
      </c>
      <c r="P16" s="889">
        <f>P20+P35+P36+P39</f>
        <v>2150000</v>
      </c>
      <c r="Q16" s="897">
        <f>Q20+Q35+Q36+Q39</f>
        <v>25</v>
      </c>
      <c r="R16" s="931">
        <f>R20+R35+R36+R39</f>
        <v>20</v>
      </c>
      <c r="S16" s="857">
        <f>_xlfn.IFS(Q16=0,0,R16&lt;=Q16,R16/Q16,R16&gt;Q16,1)</f>
        <v>0.8</v>
      </c>
      <c r="T16" s="889">
        <f>T20+T35+T36+T39</f>
        <v>2150000</v>
      </c>
      <c r="U16" s="897">
        <f>U20+U35+U36+U39</f>
        <v>24</v>
      </c>
      <c r="V16" s="931">
        <f>V20+V35+V36+V39</f>
        <v>20</v>
      </c>
      <c r="W16" s="857">
        <f>_xlfn.IFS(U16=0,0,V16&lt;=U16,V16/U16,V16&gt;U16,1)</f>
        <v>0.83333333333333337</v>
      </c>
      <c r="X16" s="889">
        <f>X20+X35+X36+X39</f>
        <v>2150000</v>
      </c>
      <c r="Y16" s="897">
        <f>Y20+Y35+Y36+Y39</f>
        <v>24</v>
      </c>
      <c r="Z16" s="931">
        <f>Z20+Z35+Z36+Z39</f>
        <v>20</v>
      </c>
      <c r="AA16" s="857">
        <f>_xlfn.IFS(Y16=0,0,Z16&lt;=Y16,Z16/Y16,Z16&gt;Y16,1)</f>
        <v>0.83333333333333337</v>
      </c>
      <c r="AB16" s="889">
        <f>AB20+AB35+AB36+AB39</f>
        <v>2150000</v>
      </c>
      <c r="AC16" s="897">
        <f>AC20+AC35+AC36+AC39</f>
        <v>24</v>
      </c>
      <c r="AD16" s="931">
        <f>AD20+AD35+AD36+AD39</f>
        <v>20</v>
      </c>
      <c r="AE16" s="857">
        <f>_xlfn.IFS(AC16=0,0,AD16&lt;=AC16,AD16/AC16,AD16&gt;AC16,1)</f>
        <v>0.83333333333333337</v>
      </c>
      <c r="AF16" s="889">
        <f>AF20+AF35+AF36+AF39</f>
        <v>2150000</v>
      </c>
      <c r="AG16" s="897">
        <f>AG20+AG35+AG36+AG39</f>
        <v>24</v>
      </c>
      <c r="AH16" s="931">
        <f>AH20+AH35+AH36+AH39</f>
        <v>20</v>
      </c>
      <c r="AI16" s="857">
        <f>_xlfn.IFS(AG16=0,0,AH16&lt;=AG16,AH16/AG16,AH16&gt;AG16,1)</f>
        <v>0.83333333333333337</v>
      </c>
      <c r="AJ16" s="889">
        <f>AJ20+AJ35+AJ36+AJ39</f>
        <v>2150000</v>
      </c>
      <c r="AK16" s="897">
        <f>AK20+AK35+AK36+AK39</f>
        <v>24</v>
      </c>
      <c r="AL16" s="931">
        <f>AL20+AL35+AL36+AL39</f>
        <v>20</v>
      </c>
      <c r="AM16" s="857">
        <f>_xlfn.IFS(AK16=0,0,AL16&lt;=AK16,AL16/AK16,AL16&gt;AK16,1)</f>
        <v>0.83333333333333337</v>
      </c>
      <c r="AN16" s="889">
        <f>AN20+AN35+AN36+AN39</f>
        <v>2150000</v>
      </c>
      <c r="AO16" s="897">
        <f>AO20+AO35+AO36+AO39</f>
        <v>24</v>
      </c>
      <c r="AP16" s="931">
        <f>AP20+AP35+AP36+AP39</f>
        <v>20</v>
      </c>
      <c r="AQ16" s="857">
        <f>_xlfn.IFS(AO16=0,0,AP16&lt;=AO16,AP16/AO16,AP16&gt;AO16,1)</f>
        <v>0.83333333333333337</v>
      </c>
      <c r="AR16" s="889">
        <f>AR20+AR35+AR36+AR39</f>
        <v>2150000</v>
      </c>
      <c r="AS16" s="897">
        <f>AS20+AS35+AS36+AS39</f>
        <v>24</v>
      </c>
      <c r="AT16" s="931">
        <f>AT20+AT35+AT36+AT39</f>
        <v>20</v>
      </c>
      <c r="AU16" s="857">
        <f>_xlfn.IFS(AS16=0,0,AT16&lt;=AS16,AT16/AS16,AT16&gt;AS16,1)</f>
        <v>0.83333333333333337</v>
      </c>
      <c r="AV16" s="889">
        <f>AV20+AV35+AV36+AV39</f>
        <v>2150000</v>
      </c>
      <c r="AW16" s="897">
        <f>AW20+AW35+AW36+AW39</f>
        <v>24</v>
      </c>
      <c r="AX16" s="931">
        <f>AX20+AX35+AX36+AX39</f>
        <v>20</v>
      </c>
      <c r="AY16" s="857">
        <f>_xlfn.IFS(AW16=0,0,AX16&lt;=AW16,AX16/AW16,AX16&gt;AW16,1)</f>
        <v>0.83333333333333337</v>
      </c>
      <c r="AZ16" s="889">
        <f>AZ20+AZ35+AZ36+AZ39</f>
        <v>2150000</v>
      </c>
      <c r="BA16" s="897">
        <f>BA20+BA35+BA36+BA39</f>
        <v>24</v>
      </c>
      <c r="BB16" s="931">
        <f>BB20+BB35+BB36+BB39</f>
        <v>20</v>
      </c>
      <c r="BC16" s="857">
        <f>_xlfn.IFS(BA16=0,0,BB16&lt;=BA16,BB16/BA16,BB16&gt;BA16,1)</f>
        <v>0.83333333333333337</v>
      </c>
      <c r="BD16" s="889">
        <f>BD20+BD35+BD36+BD39</f>
        <v>2150000</v>
      </c>
      <c r="BE16" s="897">
        <f>BE20+BE35+BE36+BE39</f>
        <v>24</v>
      </c>
      <c r="BF16" s="931">
        <f>BF20+BF35+BF36+BF39</f>
        <v>20</v>
      </c>
      <c r="BG16" s="857">
        <f>_xlfn.IFS(BE16=0,0,BF16&lt;=BE16,BF16/BE16,BF16&gt;BE16,1)</f>
        <v>0.83333333333333337</v>
      </c>
      <c r="BH16" s="889">
        <f>BH20+BH35+BH36+BH39</f>
        <v>2150000</v>
      </c>
      <c r="BI16" s="897">
        <f>BI20+BI35+BI36+BI39</f>
        <v>24</v>
      </c>
      <c r="BJ16" s="931">
        <f>BJ20+BJ35+BJ36+BJ39</f>
        <v>20</v>
      </c>
      <c r="BK16" s="857">
        <f>_xlfn.IFS(BI16=0,0,BJ16&lt;=BI16,BJ16/BI16,BJ16&gt;BI16,1)</f>
        <v>0.83333333333333337</v>
      </c>
      <c r="BL16" s="889">
        <f>BL20+BL35+BL36+BL39</f>
        <v>2150000</v>
      </c>
      <c r="BM16" s="897">
        <f>BM20+BM35+BM36+BM39</f>
        <v>24</v>
      </c>
      <c r="BN16" s="931">
        <f>BN20+BN35+BN36+BN39</f>
        <v>20</v>
      </c>
      <c r="BO16" s="857">
        <f>_xlfn.IFS(BM16=0,0,BN16&lt;=BM16,BN16/BM16,BN16&gt;BM16,1)</f>
        <v>0.83333333333333337</v>
      </c>
      <c r="BP16" s="889">
        <f>BP20+BP35+BP36+BP39</f>
        <v>2150000</v>
      </c>
      <c r="BQ16" s="897">
        <f>BQ20+BQ35+BQ36+BQ39</f>
        <v>24</v>
      </c>
      <c r="BR16" s="931">
        <f>BR20+BR35+BR36+BR39</f>
        <v>20</v>
      </c>
      <c r="BS16" s="857">
        <f>_xlfn.IFS(BQ16=0,0,BR16&lt;=BQ16,BR16/BQ16,BR16&gt;BQ16,1)</f>
        <v>0.83333333333333337</v>
      </c>
      <c r="BT16" s="889">
        <f>BT20+BT35+BT36+BT39</f>
        <v>2150000</v>
      </c>
      <c r="BU16" s="897">
        <f>BU20+BU35+BU36+BU39</f>
        <v>24</v>
      </c>
      <c r="BV16" s="931">
        <f>BV20+BV35+BV36+BV39</f>
        <v>20</v>
      </c>
      <c r="BW16" s="857">
        <f>_xlfn.IFS(BU16=0,0,BV16&lt;=BU16,BV16/BU16,BV16&gt;BU16,1)</f>
        <v>0.83333333333333337</v>
      </c>
      <c r="BX16" s="889">
        <f>BX20+BX35+BX36+BX39</f>
        <v>2150000</v>
      </c>
      <c r="BY16" s="897">
        <f>BY20+BY35+BY36+BY39</f>
        <v>24</v>
      </c>
      <c r="BZ16" s="931">
        <f>BZ20+BZ35+BZ36+BZ39</f>
        <v>20</v>
      </c>
      <c r="CA16" s="857">
        <f>_xlfn.IFS(BY16=0,0,BZ16&lt;=BY16,BZ16/BY16,BZ16&gt;BY16,1)</f>
        <v>0.83333333333333337</v>
      </c>
      <c r="CB16" s="889">
        <f>CB20+CB35+CB36+CB39</f>
        <v>2150000</v>
      </c>
      <c r="CC16" s="897">
        <f>CC20+CC35+CC36+CC39</f>
        <v>24</v>
      </c>
      <c r="CD16" s="931">
        <f>CD20+CD35+CD36+CD39</f>
        <v>20</v>
      </c>
      <c r="CE16" s="857">
        <f>_xlfn.IFS(CC16=0,0,CD16&lt;=CC16,CD16/CC16,CD16&gt;CC16,1)</f>
        <v>0.83333333333333337</v>
      </c>
      <c r="CF16" s="889">
        <f>CF20+CF35+CF36+CF39</f>
        <v>2150000</v>
      </c>
      <c r="CG16" s="897">
        <f>CG20+CG35+CG36+CG39</f>
        <v>24</v>
      </c>
      <c r="CH16" s="931">
        <f>CH20+CH35+CH36+CH39</f>
        <v>20</v>
      </c>
      <c r="CI16" s="857">
        <f>_xlfn.IFS(CG16=0,0,CH16&lt;=CG16,CH16/CG16,CH16&gt;CG16,1)</f>
        <v>0.83333333333333337</v>
      </c>
      <c r="CJ16" s="889">
        <f>CJ20+CJ35+CJ36+CJ39</f>
        <v>2150000</v>
      </c>
      <c r="CK16" s="897">
        <f>CK20+CK35+CK36+CK39</f>
        <v>24</v>
      </c>
      <c r="CL16" s="931">
        <f>CL20+CL35+CL36+CL39</f>
        <v>20</v>
      </c>
      <c r="CM16" s="857">
        <f>_xlfn.IFS(CK16=0,0,CL16&lt;=CK16,CL16/CK16,CL16&gt;CK16,1)</f>
        <v>0.83333333333333337</v>
      </c>
      <c r="CN16" s="889">
        <f>CN20+CN35+CN36+CN39</f>
        <v>2150000</v>
      </c>
      <c r="CO16" s="897">
        <f>CO20+CO35+CO36+CO39</f>
        <v>24</v>
      </c>
      <c r="CP16" s="931">
        <f>CP20+CP35+CP36+CP39</f>
        <v>20</v>
      </c>
      <c r="CQ16" s="857">
        <f>_xlfn.IFS(CO16=0,0,CP16&lt;=CO16,CP16/CO16,CP16&gt;CO16,1)</f>
        <v>0.83333333333333337</v>
      </c>
      <c r="CR16" s="889">
        <f>CR20+CR35+CR36+CR39</f>
        <v>2150000</v>
      </c>
      <c r="CS16" s="897">
        <f>CS20+CS35+CS36+CS39</f>
        <v>24</v>
      </c>
      <c r="CT16" s="931">
        <f>CT20+CT35+CT36+CT39</f>
        <v>20</v>
      </c>
      <c r="CU16" s="857">
        <f>_xlfn.IFS(CS16=0,0,CT16&lt;=CS16,CT16/CS16,CT16&gt;CS16,1)</f>
        <v>0.83333333333333337</v>
      </c>
      <c r="CV16" s="889">
        <f>CV20+CV35+CV36+CV39</f>
        <v>2150000</v>
      </c>
      <c r="CW16" s="897">
        <f>CW20+CW35+CW36+CW39</f>
        <v>24</v>
      </c>
      <c r="CX16" s="931">
        <f>CX20+CX35+CX36+CX39</f>
        <v>20</v>
      </c>
      <c r="CY16" s="857">
        <f>_xlfn.IFS(CW16=0,0,CX16&lt;=CW16,CX16/CW16,CX16&gt;CW16,1)</f>
        <v>0.83333333333333337</v>
      </c>
      <c r="CZ16" s="889">
        <f>CZ20+CZ35+CZ36+CZ39</f>
        <v>2150000</v>
      </c>
      <c r="DA16" s="897">
        <f>DA20+DA35+DA36+DA39</f>
        <v>24</v>
      </c>
      <c r="DB16" s="931">
        <f>DB20+DB35+DB36+DB39</f>
        <v>20</v>
      </c>
      <c r="DC16" s="857">
        <f>_xlfn.IFS(DA16=0,0,DB16&lt;=DA16,DB16/DA16,DB16&gt;DA16,1)</f>
        <v>0.83333333333333337</v>
      </c>
      <c r="DD16" s="889">
        <f>DD20+DD35+DD36+DD39</f>
        <v>2150000</v>
      </c>
      <c r="DE16" s="897">
        <f>DE20+DE35+DE36+DE39</f>
        <v>24</v>
      </c>
      <c r="DF16" s="931">
        <f>DF20+DF35+DF36+DF39</f>
        <v>20</v>
      </c>
      <c r="DG16" s="857">
        <f>_xlfn.IFS(DE16=0,0,DF16&lt;=DE16,DF16/DE16,DF16&gt;DE16,1)</f>
        <v>0.83333333333333337</v>
      </c>
      <c r="DH16" s="889">
        <f>DH20+DH35+DH36+DH39</f>
        <v>2150000</v>
      </c>
      <c r="DI16" s="897">
        <f>DI20+DI35+DI36+DI39</f>
        <v>24</v>
      </c>
      <c r="DJ16" s="931">
        <f>DJ20+DJ35+DJ36+DJ39</f>
        <v>20</v>
      </c>
      <c r="DK16" s="857">
        <f>_xlfn.IFS(DI16=0,0,DJ16&lt;=DI16,DJ16/DI16,DJ16&gt;DI16,1)</f>
        <v>0.83333333333333337</v>
      </c>
      <c r="DL16" s="889">
        <f>DL20+DL35+DL36+DL39</f>
        <v>2150000</v>
      </c>
      <c r="DM16" s="897">
        <f>DM20+DM35+DM36+DM39</f>
        <v>24</v>
      </c>
      <c r="DN16" s="931">
        <f>DN20+DN35+DN36+DN39</f>
        <v>20</v>
      </c>
      <c r="DO16" s="857">
        <f>_xlfn.IFS(DM16=0,0,DN16&lt;=DM16,DN16/DM16,DN16&gt;DM16,1)</f>
        <v>0.83333333333333337</v>
      </c>
      <c r="DP16" s="889">
        <f>DP20+DP35+DP36+DP39</f>
        <v>2150000</v>
      </c>
      <c r="DQ16" s="897">
        <f>DQ20+DQ35+DQ36+DQ39</f>
        <v>24</v>
      </c>
      <c r="DR16" s="931">
        <f>DR20+DR35+DR36+DR39</f>
        <v>20</v>
      </c>
      <c r="DS16" s="857">
        <f>_xlfn.IFS(DQ16=0,0,DR16&lt;=DQ16,DR16/DQ16,DR16&gt;DQ16,1)</f>
        <v>0.83333333333333337</v>
      </c>
      <c r="DT16" s="889">
        <f>DT20+DT35+DT36+DT39</f>
        <v>2150000</v>
      </c>
      <c r="DU16" s="897">
        <f>DU20+DU35+DU36+DU39</f>
        <v>24</v>
      </c>
      <c r="DV16" s="931">
        <f>DV20+DV35+DV36+DV39</f>
        <v>20</v>
      </c>
      <c r="DW16" s="857">
        <f>_xlfn.IFS(DU16=0,0,DV16&lt;=DU16,DV16/DU16,DV16&gt;DU16,1)</f>
        <v>0.83333333333333337</v>
      </c>
      <c r="DX16" s="889">
        <f>DX20+DX35+DX36+DX39</f>
        <v>2150000</v>
      </c>
      <c r="DY16" s="897">
        <f>DY20+DY35+DY36+DY39</f>
        <v>24</v>
      </c>
      <c r="DZ16" s="931">
        <f>DZ20+DZ35+DZ36+DZ39</f>
        <v>20</v>
      </c>
      <c r="EA16" s="857">
        <f>_xlfn.IFS(DY16=0,0,DZ16&lt;=DY16,DZ16/DY16,DZ16&gt;DY16,1)</f>
        <v>0.83333333333333337</v>
      </c>
      <c r="EB16" s="889">
        <f>EB20+EB35+EB36+EB39</f>
        <v>2150000</v>
      </c>
      <c r="EC16" s="897">
        <f>EC20+EC35+EC36+EC39</f>
        <v>24</v>
      </c>
      <c r="ED16" s="931">
        <f>ED20+ED35+ED36+ED39</f>
        <v>20</v>
      </c>
      <c r="EE16" s="857">
        <f>_xlfn.IFS(EC16=0,0,ED16&lt;=EC16,ED16/EC16,ED16&gt;EC16,1)</f>
        <v>0.83333333333333337</v>
      </c>
      <c r="EF16" s="889">
        <f>EF20+EF35+EF36+EF39</f>
        <v>2150000</v>
      </c>
    </row>
    <row r="17" spans="1:136" s="916" customFormat="1" ht="20" customHeight="1" x14ac:dyDescent="0.15">
      <c r="A17" s="870">
        <f>_xlfn.IFS(B17=0,0,E17&gt;B17,1,E17&lt;=B17,E17/B17)</f>
        <v>0</v>
      </c>
      <c r="B17" s="833"/>
      <c r="C17" s="832" t="str">
        <f>Dashboard!K93</f>
        <v>Q&amp;A</v>
      </c>
      <c r="D17" s="185">
        <f>Dashboard!AK93</f>
        <v>20.8</v>
      </c>
      <c r="E17" s="1083">
        <f>SUMIF($M$13:$EF$13,$M$13,$M17:$EF17)</f>
        <v>1428</v>
      </c>
      <c r="F17" s="185">
        <f>E17-D17</f>
        <v>1407.2</v>
      </c>
      <c r="G17" s="789">
        <f>_xlfn.IFS(F17&gt;0,1,F17&lt;=0,E17/D17)</f>
        <v>1</v>
      </c>
      <c r="H17" s="978"/>
      <c r="I17" s="978"/>
      <c r="J17" s="978"/>
      <c r="K17" s="185">
        <f>D17/$B$9</f>
        <v>0.72982456140350882</v>
      </c>
      <c r="L17" s="882">
        <f ca="1">SUMIFS($M17:$EF17,$M$11:$EF$11,TODAY()-1,$M$13:$EF$13,$N$13)</f>
        <v>0</v>
      </c>
      <c r="M17" s="897">
        <f>SUM(M15:M16)</f>
        <v>47</v>
      </c>
      <c r="N17" s="931">
        <f>SUM(N15:N16)</f>
        <v>35</v>
      </c>
      <c r="O17" s="857">
        <f>_xlfn.IFS(M17=0,0,N17&lt;=M17,N17/M17,N17&gt;M17,1)</f>
        <v>0.74468085106382975</v>
      </c>
      <c r="P17" s="889">
        <f>SUM(P15:P16)</f>
        <v>3200000</v>
      </c>
      <c r="Q17" s="897">
        <f>SUM(Q15:Q16)</f>
        <v>47</v>
      </c>
      <c r="R17" s="931">
        <f>SUM(R15:R16)</f>
        <v>35</v>
      </c>
      <c r="S17" s="857">
        <f>_xlfn.IFS(Q17=0,0,R17&lt;=Q17,R17/Q17,R17&gt;Q17,1)</f>
        <v>0.74468085106382975</v>
      </c>
      <c r="T17" s="889">
        <f>SUM(T15:T16)</f>
        <v>3200000</v>
      </c>
      <c r="U17" s="897">
        <f>SUM(U15:U16)</f>
        <v>46</v>
      </c>
      <c r="V17" s="931">
        <f>SUM(V15:V16)</f>
        <v>35</v>
      </c>
      <c r="W17" s="857">
        <f>_xlfn.IFS(U17=0,0,V17&lt;=U17,V17/U17,V17&gt;U17,1)</f>
        <v>0.76086956521739135</v>
      </c>
      <c r="X17" s="889">
        <f>SUM(X15:X16)</f>
        <v>3200000</v>
      </c>
      <c r="Y17" s="897">
        <f>SUM(Y15:Y16)</f>
        <v>46</v>
      </c>
      <c r="Z17" s="931">
        <f>SUM(Z15:Z16)</f>
        <v>35</v>
      </c>
      <c r="AA17" s="857">
        <f>_xlfn.IFS(Y17=0,0,Z17&lt;=Y17,Z17/Y17,Z17&gt;Y17,1)</f>
        <v>0.76086956521739135</v>
      </c>
      <c r="AB17" s="889">
        <f>SUM(AB15:AB16)</f>
        <v>3200000</v>
      </c>
      <c r="AC17" s="897">
        <f>SUM(AC15:AC16)</f>
        <v>46</v>
      </c>
      <c r="AD17" s="931">
        <f>SUM(AD15:AD16)</f>
        <v>35</v>
      </c>
      <c r="AE17" s="857">
        <f>_xlfn.IFS(AC17=0,0,AD17&lt;=AC17,AD17/AC17,AD17&gt;AC17,1)</f>
        <v>0.76086956521739135</v>
      </c>
      <c r="AF17" s="889">
        <f>SUM(AF15:AF16)</f>
        <v>3200000</v>
      </c>
      <c r="AG17" s="897">
        <f>SUM(AG15:AG16)</f>
        <v>46</v>
      </c>
      <c r="AH17" s="931">
        <f>SUM(AH15:AH16)</f>
        <v>35</v>
      </c>
      <c r="AI17" s="857">
        <f>_xlfn.IFS(AG17=0,0,AH17&lt;=AG17,AH17/AG17,AH17&gt;AG17,1)</f>
        <v>0.76086956521739135</v>
      </c>
      <c r="AJ17" s="889">
        <f>SUM(AJ15:AJ16)</f>
        <v>3200000</v>
      </c>
      <c r="AK17" s="897">
        <f>SUM(AK15:AK16)</f>
        <v>46</v>
      </c>
      <c r="AL17" s="931">
        <f>SUM(AL15:AL16)</f>
        <v>35</v>
      </c>
      <c r="AM17" s="857">
        <f>_xlfn.IFS(AK17=0,0,AL17&lt;=AK17,AL17/AK17,AL17&gt;AK17,1)</f>
        <v>0.76086956521739135</v>
      </c>
      <c r="AN17" s="889">
        <f>SUM(AN15:AN16)</f>
        <v>3200000</v>
      </c>
      <c r="AO17" s="897">
        <f>SUM(AO15:AO16)</f>
        <v>46</v>
      </c>
      <c r="AP17" s="931">
        <f>SUM(AP15:AP16)</f>
        <v>35</v>
      </c>
      <c r="AQ17" s="857">
        <f>_xlfn.IFS(AO17=0,0,AP17&lt;=AO17,AP17/AO17,AP17&gt;AO17,1)</f>
        <v>0.76086956521739135</v>
      </c>
      <c r="AR17" s="889">
        <f>SUM(AR15:AR16)</f>
        <v>3200000</v>
      </c>
      <c r="AS17" s="897">
        <f>SUM(AS15:AS16)</f>
        <v>46</v>
      </c>
      <c r="AT17" s="931">
        <f>SUM(AT15:AT16)</f>
        <v>35</v>
      </c>
      <c r="AU17" s="857">
        <f>_xlfn.IFS(AS17=0,0,AT17&lt;=AS17,AT17/AS17,AT17&gt;AS17,1)</f>
        <v>0.76086956521739135</v>
      </c>
      <c r="AV17" s="889">
        <f>SUM(AV15:AV16)</f>
        <v>3200000</v>
      </c>
      <c r="AW17" s="897">
        <f>SUM(AW15:AW16)</f>
        <v>46</v>
      </c>
      <c r="AX17" s="931">
        <f>SUM(AX15:AX16)</f>
        <v>35</v>
      </c>
      <c r="AY17" s="857">
        <f>_xlfn.IFS(AW17=0,0,AX17&lt;=AW17,AX17/AW17,AX17&gt;AW17,1)</f>
        <v>0.76086956521739135</v>
      </c>
      <c r="AZ17" s="889">
        <f>SUM(AZ15:AZ16)</f>
        <v>3200000</v>
      </c>
      <c r="BA17" s="897">
        <f>SUM(BA15:BA16)</f>
        <v>46</v>
      </c>
      <c r="BB17" s="931">
        <f>SUM(BB15:BB16)</f>
        <v>35</v>
      </c>
      <c r="BC17" s="857">
        <f>_xlfn.IFS(BA17=0,0,BB17&lt;=BA17,BB17/BA17,BB17&gt;BA17,1)</f>
        <v>0.76086956521739135</v>
      </c>
      <c r="BD17" s="889">
        <f>SUM(BD15:BD16)</f>
        <v>3200000</v>
      </c>
      <c r="BE17" s="897">
        <f>SUM(BE15:BE16)</f>
        <v>46</v>
      </c>
      <c r="BF17" s="931">
        <f>SUM(BF15:BF16)</f>
        <v>35</v>
      </c>
      <c r="BG17" s="857">
        <f>_xlfn.IFS(BE17=0,0,BF17&lt;=BE17,BF17/BE17,BF17&gt;BE17,1)</f>
        <v>0.76086956521739135</v>
      </c>
      <c r="BH17" s="889">
        <f>SUM(BH15:BH16)</f>
        <v>3200000</v>
      </c>
      <c r="BI17" s="897">
        <f>SUM(BI15:BI16)</f>
        <v>46</v>
      </c>
      <c r="BJ17" s="931">
        <f>SUM(BJ15:BJ16)</f>
        <v>35</v>
      </c>
      <c r="BK17" s="857">
        <f>_xlfn.IFS(BI17=0,0,BJ17&lt;=BI17,BJ17/BI17,BJ17&gt;BI17,1)</f>
        <v>0.76086956521739135</v>
      </c>
      <c r="BL17" s="889">
        <f>SUM(BL15:BL16)</f>
        <v>3200000</v>
      </c>
      <c r="BM17" s="897">
        <f>SUM(BM15:BM16)</f>
        <v>46</v>
      </c>
      <c r="BN17" s="931">
        <f>SUM(BN15:BN16)</f>
        <v>35</v>
      </c>
      <c r="BO17" s="857">
        <f>_xlfn.IFS(BM17=0,0,BN17&lt;=BM17,BN17/BM17,BN17&gt;BM17,1)</f>
        <v>0.76086956521739135</v>
      </c>
      <c r="BP17" s="889">
        <f>SUM(BP15:BP16)</f>
        <v>3200000</v>
      </c>
      <c r="BQ17" s="897">
        <f>SUM(BQ15:BQ16)</f>
        <v>46</v>
      </c>
      <c r="BR17" s="931">
        <f>SUM(BR15:BR16)</f>
        <v>35</v>
      </c>
      <c r="BS17" s="857">
        <f>_xlfn.IFS(BQ17=0,0,BR17&lt;=BQ17,BR17/BQ17,BR17&gt;BQ17,1)</f>
        <v>0.76086956521739135</v>
      </c>
      <c r="BT17" s="889">
        <f>SUM(BT15:BT16)</f>
        <v>3200000</v>
      </c>
      <c r="BU17" s="897">
        <f>SUM(BU15:BU16)</f>
        <v>46</v>
      </c>
      <c r="BV17" s="931">
        <f>SUM(BV15:BV16)</f>
        <v>35</v>
      </c>
      <c r="BW17" s="857">
        <f>_xlfn.IFS(BU17=0,0,BV17&lt;=BU17,BV17/BU17,BV17&gt;BU17,1)</f>
        <v>0.76086956521739135</v>
      </c>
      <c r="BX17" s="889">
        <f>SUM(BX15:BX16)</f>
        <v>3200000</v>
      </c>
      <c r="BY17" s="897">
        <f>SUM(BY15:BY16)</f>
        <v>46</v>
      </c>
      <c r="BZ17" s="931">
        <f>SUM(BZ15:BZ16)</f>
        <v>35</v>
      </c>
      <c r="CA17" s="857">
        <f>_xlfn.IFS(BY17=0,0,BZ17&lt;=BY17,BZ17/BY17,BZ17&gt;BY17,1)</f>
        <v>0.76086956521739135</v>
      </c>
      <c r="CB17" s="889">
        <f>SUM(CB15:CB16)</f>
        <v>3200000</v>
      </c>
      <c r="CC17" s="897">
        <f>SUM(CC15:CC16)</f>
        <v>46</v>
      </c>
      <c r="CD17" s="931">
        <f>SUM(CD15:CD16)</f>
        <v>35</v>
      </c>
      <c r="CE17" s="857">
        <f>_xlfn.IFS(CC17=0,0,CD17&lt;=CC17,CD17/CC17,CD17&gt;CC17,1)</f>
        <v>0.76086956521739135</v>
      </c>
      <c r="CF17" s="889">
        <f>SUM(CF15:CF16)</f>
        <v>3200000</v>
      </c>
      <c r="CG17" s="897">
        <f>SUM(CG15:CG16)</f>
        <v>46</v>
      </c>
      <c r="CH17" s="931">
        <f>SUM(CH15:CH16)</f>
        <v>35</v>
      </c>
      <c r="CI17" s="857">
        <f>_xlfn.IFS(CG17=0,0,CH17&lt;=CG17,CH17/CG17,CH17&gt;CG17,1)</f>
        <v>0.76086956521739135</v>
      </c>
      <c r="CJ17" s="889">
        <f>SUM(CJ15:CJ16)</f>
        <v>3200000</v>
      </c>
      <c r="CK17" s="897">
        <f>SUM(CK15:CK16)</f>
        <v>46</v>
      </c>
      <c r="CL17" s="931">
        <f>SUM(CL15:CL16)</f>
        <v>35</v>
      </c>
      <c r="CM17" s="857">
        <f>_xlfn.IFS(CK17=0,0,CL17&lt;=CK17,CL17/CK17,CL17&gt;CK17,1)</f>
        <v>0.76086956521739135</v>
      </c>
      <c r="CN17" s="889">
        <f>SUM(CN15:CN16)</f>
        <v>3200000</v>
      </c>
      <c r="CO17" s="897">
        <f>SUM(CO15:CO16)</f>
        <v>46</v>
      </c>
      <c r="CP17" s="931">
        <f>SUM(CP15:CP16)</f>
        <v>35</v>
      </c>
      <c r="CQ17" s="857">
        <f>_xlfn.IFS(CO17=0,0,CP17&lt;=CO17,CP17/CO17,CP17&gt;CO17,1)</f>
        <v>0.76086956521739135</v>
      </c>
      <c r="CR17" s="889">
        <f>SUM(CR15:CR16)</f>
        <v>3200000</v>
      </c>
      <c r="CS17" s="897">
        <f>SUM(CS15:CS16)</f>
        <v>46</v>
      </c>
      <c r="CT17" s="931">
        <f>SUM(CT15:CT16)</f>
        <v>35</v>
      </c>
      <c r="CU17" s="857">
        <f>_xlfn.IFS(CS17=0,0,CT17&lt;=CS17,CT17/CS17,CT17&gt;CS17,1)</f>
        <v>0.76086956521739135</v>
      </c>
      <c r="CV17" s="889">
        <f>SUM(CV15:CV16)</f>
        <v>3200000</v>
      </c>
      <c r="CW17" s="897">
        <f>SUM(CW15:CW16)</f>
        <v>46</v>
      </c>
      <c r="CX17" s="931">
        <f>SUM(CX15:CX16)</f>
        <v>35</v>
      </c>
      <c r="CY17" s="857">
        <f>_xlfn.IFS(CW17=0,0,CX17&lt;=CW17,CX17/CW17,CX17&gt;CW17,1)</f>
        <v>0.76086956521739135</v>
      </c>
      <c r="CZ17" s="889">
        <f>SUM(CZ15:CZ16)</f>
        <v>3200000</v>
      </c>
      <c r="DA17" s="897">
        <f>SUM(DA15:DA16)</f>
        <v>46</v>
      </c>
      <c r="DB17" s="931">
        <f>SUM(DB15:DB16)</f>
        <v>35</v>
      </c>
      <c r="DC17" s="857">
        <f>_xlfn.IFS(DA17=0,0,DB17&lt;=DA17,DB17/DA17,DB17&gt;DA17,1)</f>
        <v>0.76086956521739135</v>
      </c>
      <c r="DD17" s="889">
        <f>SUM(DD15:DD16)</f>
        <v>3200000</v>
      </c>
      <c r="DE17" s="897">
        <f>SUM(DE15:DE16)</f>
        <v>46</v>
      </c>
      <c r="DF17" s="931">
        <f>SUM(DF15:DF16)</f>
        <v>35</v>
      </c>
      <c r="DG17" s="857">
        <f>_xlfn.IFS(DE17=0,0,DF17&lt;=DE17,DF17/DE17,DF17&gt;DE17,1)</f>
        <v>0.76086956521739135</v>
      </c>
      <c r="DH17" s="889">
        <f>SUM(DH15:DH16)</f>
        <v>3200000</v>
      </c>
      <c r="DI17" s="897">
        <f>SUM(DI15:DI16)</f>
        <v>46</v>
      </c>
      <c r="DJ17" s="931">
        <f>SUM(DJ15:DJ16)</f>
        <v>35</v>
      </c>
      <c r="DK17" s="857">
        <f>_xlfn.IFS(DI17=0,0,DJ17&lt;=DI17,DJ17/DI17,DJ17&gt;DI17,1)</f>
        <v>0.76086956521739135</v>
      </c>
      <c r="DL17" s="889">
        <f>SUM(DL15:DL16)</f>
        <v>3200000</v>
      </c>
      <c r="DM17" s="897">
        <f>SUM(DM15:DM16)</f>
        <v>46</v>
      </c>
      <c r="DN17" s="931">
        <f>SUM(DN15:DN16)</f>
        <v>35</v>
      </c>
      <c r="DO17" s="857">
        <f>_xlfn.IFS(DM17=0,0,DN17&lt;=DM17,DN17/DM17,DN17&gt;DM17,1)</f>
        <v>0.76086956521739135</v>
      </c>
      <c r="DP17" s="889">
        <f>SUM(DP15:DP16)</f>
        <v>3200000</v>
      </c>
      <c r="DQ17" s="897">
        <f>SUM(DQ15:DQ16)</f>
        <v>46</v>
      </c>
      <c r="DR17" s="931">
        <f>SUM(DR15:DR16)</f>
        <v>35</v>
      </c>
      <c r="DS17" s="857">
        <f>_xlfn.IFS(DQ17=0,0,DR17&lt;=DQ17,DR17/DQ17,DR17&gt;DQ17,1)</f>
        <v>0.76086956521739135</v>
      </c>
      <c r="DT17" s="889">
        <f>SUM(DT15:DT16)</f>
        <v>3200000</v>
      </c>
      <c r="DU17" s="897">
        <f>SUM(DU15:DU16)</f>
        <v>46</v>
      </c>
      <c r="DV17" s="931">
        <f>SUM(DV15:DV16)</f>
        <v>35</v>
      </c>
      <c r="DW17" s="857">
        <f>_xlfn.IFS(DU17=0,0,DV17&lt;=DU17,DV17/DU17,DV17&gt;DU17,1)</f>
        <v>0.76086956521739135</v>
      </c>
      <c r="DX17" s="889">
        <f>SUM(DX15:DX16)</f>
        <v>3200000</v>
      </c>
      <c r="DY17" s="897">
        <f>SUM(DY15:DY16)</f>
        <v>46</v>
      </c>
      <c r="DZ17" s="931">
        <f>SUM(DZ15:DZ16)</f>
        <v>35</v>
      </c>
      <c r="EA17" s="857">
        <f>_xlfn.IFS(DY17=0,0,DZ17&lt;=DY17,DZ17/DY17,DZ17&gt;DY17,1)</f>
        <v>0.76086956521739135</v>
      </c>
      <c r="EB17" s="889">
        <f>SUM(EB15:EB16)</f>
        <v>3200000</v>
      </c>
      <c r="EC17" s="897">
        <f>SUM(EC15:EC16)</f>
        <v>46</v>
      </c>
      <c r="ED17" s="931">
        <f>SUM(ED15:ED16)</f>
        <v>35</v>
      </c>
      <c r="EE17" s="857">
        <f>_xlfn.IFS(EC17=0,0,ED17&lt;=EC17,ED17/EC17,ED17&gt;EC17,1)</f>
        <v>0.76086956521739135</v>
      </c>
      <c r="EF17" s="889">
        <f>SUM(EF15:EF16)</f>
        <v>3200000</v>
      </c>
    </row>
    <row r="18" spans="1:136" s="978" customFormat="1" ht="20" customHeight="1" x14ac:dyDescent="0.15">
      <c r="A18" s="870"/>
      <c r="B18" s="9"/>
      <c r="C18" s="813" t="str">
        <f>Dashboard!K94</f>
        <v>P3</v>
      </c>
      <c r="D18" s="1091">
        <f>Dashboard!M94</f>
        <v>0.35</v>
      </c>
      <c r="E18" s="834"/>
      <c r="F18" s="834"/>
      <c r="G18" s="834"/>
      <c r="K18" s="854"/>
      <c r="L18" s="980"/>
      <c r="M18" s="898"/>
      <c r="N18" s="859"/>
      <c r="O18" s="860"/>
      <c r="P18" s="890"/>
      <c r="Q18" s="898"/>
      <c r="R18" s="859"/>
      <c r="S18" s="860"/>
      <c r="T18" s="890"/>
      <c r="U18" s="898"/>
      <c r="V18" s="859"/>
      <c r="W18" s="860"/>
      <c r="X18" s="890"/>
      <c r="Y18" s="898"/>
      <c r="Z18" s="859"/>
      <c r="AA18" s="860"/>
      <c r="AB18" s="890"/>
      <c r="AC18" s="898"/>
      <c r="AD18" s="859"/>
      <c r="AE18" s="860"/>
      <c r="AF18" s="890"/>
      <c r="AG18" s="898"/>
      <c r="AH18" s="859"/>
      <c r="AI18" s="860"/>
      <c r="AJ18" s="890"/>
      <c r="AK18" s="898"/>
      <c r="AL18" s="859"/>
      <c r="AM18" s="860"/>
      <c r="AN18" s="890"/>
      <c r="AO18" s="898"/>
      <c r="AP18" s="859"/>
      <c r="AQ18" s="860"/>
      <c r="AR18" s="890"/>
      <c r="AS18" s="898"/>
      <c r="AT18" s="859"/>
      <c r="AU18" s="860"/>
      <c r="AV18" s="890"/>
      <c r="AW18" s="898"/>
      <c r="AX18" s="859"/>
      <c r="AY18" s="860"/>
      <c r="AZ18" s="890"/>
      <c r="BA18" s="898"/>
      <c r="BB18" s="859"/>
      <c r="BC18" s="860"/>
      <c r="BD18" s="890"/>
      <c r="BE18" s="898"/>
      <c r="BF18" s="859"/>
      <c r="BG18" s="860"/>
      <c r="BH18" s="890"/>
      <c r="BI18" s="898"/>
      <c r="BJ18" s="859"/>
      <c r="BK18" s="860"/>
      <c r="BL18" s="890"/>
      <c r="BM18" s="898"/>
      <c r="BN18" s="859"/>
      <c r="BO18" s="860"/>
      <c r="BP18" s="890"/>
      <c r="BQ18" s="898"/>
      <c r="BR18" s="859"/>
      <c r="BS18" s="860"/>
      <c r="BT18" s="890"/>
      <c r="BU18" s="898"/>
      <c r="BV18" s="859"/>
      <c r="BW18" s="860"/>
      <c r="BX18" s="890"/>
      <c r="BY18" s="898"/>
      <c r="BZ18" s="859"/>
      <c r="CA18" s="860"/>
      <c r="CB18" s="890"/>
      <c r="CC18" s="898"/>
      <c r="CD18" s="859"/>
      <c r="CE18" s="860"/>
      <c r="CF18" s="890"/>
      <c r="CG18" s="898"/>
      <c r="CH18" s="859"/>
      <c r="CI18" s="860"/>
      <c r="CJ18" s="890"/>
      <c r="CK18" s="898"/>
      <c r="CL18" s="859"/>
      <c r="CM18" s="860"/>
      <c r="CN18" s="890"/>
      <c r="CO18" s="898"/>
      <c r="CP18" s="859"/>
      <c r="CQ18" s="860"/>
      <c r="CR18" s="890"/>
      <c r="CS18" s="898"/>
      <c r="CT18" s="859"/>
      <c r="CU18" s="860"/>
      <c r="CV18" s="890"/>
      <c r="CW18" s="898"/>
      <c r="CX18" s="859"/>
      <c r="CY18" s="860"/>
      <c r="CZ18" s="890"/>
      <c r="DA18" s="898"/>
      <c r="DB18" s="859"/>
      <c r="DC18" s="860"/>
      <c r="DD18" s="890"/>
      <c r="DE18" s="898"/>
      <c r="DF18" s="859"/>
      <c r="DG18" s="860"/>
      <c r="DH18" s="890"/>
      <c r="DI18" s="898"/>
      <c r="DJ18" s="859"/>
      <c r="DK18" s="860"/>
      <c r="DL18" s="890"/>
      <c r="DM18" s="898"/>
      <c r="DN18" s="859"/>
      <c r="DO18" s="860"/>
      <c r="DP18" s="890"/>
      <c r="DQ18" s="898"/>
      <c r="DR18" s="859"/>
      <c r="DS18" s="860"/>
      <c r="DT18" s="890"/>
      <c r="DU18" s="898"/>
      <c r="DV18" s="859"/>
      <c r="DW18" s="860"/>
      <c r="DX18" s="890"/>
      <c r="DY18" s="898"/>
      <c r="DZ18" s="859"/>
      <c r="EA18" s="860"/>
      <c r="EB18" s="890"/>
      <c r="EC18" s="898"/>
      <c r="ED18" s="859"/>
      <c r="EE18" s="860"/>
      <c r="EF18" s="890"/>
    </row>
    <row r="19" spans="1:136" s="916" customFormat="1" ht="20" customHeight="1" x14ac:dyDescent="0.15">
      <c r="A19" s="870">
        <f>_xlfn.IFS(B19=0,0,E19&gt;B19,1,E19&lt;=B19,E19/B19)</f>
        <v>0</v>
      </c>
      <c r="B19" s="833"/>
      <c r="C19" s="831" t="str">
        <f>Dashboard!K95</f>
        <v>SALES REVENUE</v>
      </c>
      <c r="D19" s="840">
        <f>Dashboard!AK95</f>
        <v>100000000</v>
      </c>
      <c r="E19" s="1090">
        <f t="shared" ref="E19:E31" si="195">SUMIF($M$13:$EF$13,$P$13,$M19:$EF19)</f>
        <v>99200000</v>
      </c>
      <c r="F19" s="840">
        <f t="shared" ref="F19" si="196">E19-D19</f>
        <v>-800000</v>
      </c>
      <c r="G19" s="789">
        <f>_xlfn.IFS(F19&gt;0,1,F19&lt;=0,E19/D19)</f>
        <v>0.99199999999999999</v>
      </c>
      <c r="H19" s="789">
        <f>IF(SUMIF($M$13:$EF$13,$M$13,M19:EF19)&gt;0,SUMIF($M$13:$EF$13,$N$13,M19:EF19)/SUMIF($M$13:$EF$13,$M$13,M19:EF19),0)</f>
        <v>0.47759103641456585</v>
      </c>
      <c r="I19" s="789">
        <f>Dashboard!M116</f>
        <v>0.16041666666666665</v>
      </c>
      <c r="J19" s="789">
        <f ca="1">SUMIFS($M19:$EF19,$M$11:$EF$11,TODAY()-1,$M$13:$EF$13,O$13)</f>
        <v>0</v>
      </c>
      <c r="K19" s="840">
        <f>D19/'Action Plan'!$C$6</f>
        <v>3846153.846153846</v>
      </c>
      <c r="L19" s="940">
        <f ca="1">SUMIFS($M19:$EF19,$M$11:$EF$11,TODAY()-1,$M$13:$EF$13,P$13)</f>
        <v>0</v>
      </c>
      <c r="M19" s="897">
        <f>(M20+M32+M36+M39+M26+M35)</f>
        <v>47</v>
      </c>
      <c r="N19" s="858">
        <f>(N20+N32+N36+N39)</f>
        <v>22</v>
      </c>
      <c r="O19" s="857">
        <f>O$8</f>
        <v>0.74468085106382975</v>
      </c>
      <c r="P19" s="889">
        <f>P20+P26+P32+P35+P36+P39</f>
        <v>3200000</v>
      </c>
      <c r="Q19" s="897">
        <f>(Q20+Q32+Q36+Q39+Q26+Q35)</f>
        <v>47</v>
      </c>
      <c r="R19" s="858">
        <f>(R20+R32+R36+R39)</f>
        <v>22</v>
      </c>
      <c r="S19" s="857">
        <f>S$8</f>
        <v>0.74468085106382975</v>
      </c>
      <c r="T19" s="889">
        <f>T20+T26+T32+T35+T36+T39</f>
        <v>3200000</v>
      </c>
      <c r="U19" s="897">
        <f>(U20+U32+U36+U39+U26+U35)</f>
        <v>46</v>
      </c>
      <c r="V19" s="858">
        <f>(V20+V32+V36+V39)</f>
        <v>22</v>
      </c>
      <c r="W19" s="857">
        <f>W$8</f>
        <v>0.76086956521739135</v>
      </c>
      <c r="X19" s="889">
        <f>X20+X26+X32+X35+X36+X39</f>
        <v>3200000</v>
      </c>
      <c r="Y19" s="897">
        <f>(Y20+Y32+Y36+Y39+Y26+Y35)</f>
        <v>46</v>
      </c>
      <c r="Z19" s="858">
        <f>(Z20+Z32+Z36+Z39)</f>
        <v>22</v>
      </c>
      <c r="AA19" s="857">
        <f>AA$8</f>
        <v>0.76086956521739135</v>
      </c>
      <c r="AB19" s="889">
        <f>AB20+AB26+AB32+AB35+AB36+AB39</f>
        <v>3200000</v>
      </c>
      <c r="AC19" s="897">
        <f>(AC20+AC32+AC36+AC39+AC26+AC35)</f>
        <v>46</v>
      </c>
      <c r="AD19" s="858">
        <f>(AD20+AD32+AD36+AD39)</f>
        <v>22</v>
      </c>
      <c r="AE19" s="857">
        <f>AE$8</f>
        <v>0.76086956521739135</v>
      </c>
      <c r="AF19" s="889">
        <f>AF20+AF26+AF32+AF35+AF36+AF39</f>
        <v>3200000</v>
      </c>
      <c r="AG19" s="897">
        <f>(AG20+AG32+AG36+AG39+AG26+AG35)</f>
        <v>46</v>
      </c>
      <c r="AH19" s="858">
        <f>(AH20+AH32+AH36+AH39)</f>
        <v>22</v>
      </c>
      <c r="AI19" s="857">
        <f>AI$8</f>
        <v>0.76086956521739135</v>
      </c>
      <c r="AJ19" s="889">
        <f>AJ20+AJ26+AJ32+AJ35+AJ36+AJ39</f>
        <v>3200000</v>
      </c>
      <c r="AK19" s="897">
        <f>(AK20+AK32+AK36+AK39+AK26+AK35)</f>
        <v>46</v>
      </c>
      <c r="AL19" s="858">
        <f>(AL20+AL32+AL36+AL39)</f>
        <v>22</v>
      </c>
      <c r="AM19" s="857">
        <f>AM$8</f>
        <v>0.76086956521739135</v>
      </c>
      <c r="AN19" s="889">
        <f>AN20+AN26+AN32+AN35+AN36+AN39</f>
        <v>3200000</v>
      </c>
      <c r="AO19" s="897">
        <f>(AO20+AO32+AO36+AO39+AO26+AO35)</f>
        <v>46</v>
      </c>
      <c r="AP19" s="858">
        <f>(AP20+AP32+AP36+AP39)</f>
        <v>22</v>
      </c>
      <c r="AQ19" s="857">
        <f>AQ$8</f>
        <v>0.76086956521739135</v>
      </c>
      <c r="AR19" s="889">
        <f>AR20+AR26+AR32+AR35+AR36+AR39</f>
        <v>3200000</v>
      </c>
      <c r="AS19" s="897">
        <f>(AS20+AS32+AS36+AS39+AS26+AS35)</f>
        <v>46</v>
      </c>
      <c r="AT19" s="858">
        <f>(AT20+AT32+AT36+AT39)</f>
        <v>22</v>
      </c>
      <c r="AU19" s="857">
        <f>AU$8</f>
        <v>0.76086956521739135</v>
      </c>
      <c r="AV19" s="889">
        <f>AV20+AV26+AV32+AV35+AV36+AV39</f>
        <v>3200000</v>
      </c>
      <c r="AW19" s="897">
        <f>(AW20+AW32+AW36+AW39+AW26+AW35)</f>
        <v>46</v>
      </c>
      <c r="AX19" s="858">
        <f>(AX20+AX32+AX36+AX39)</f>
        <v>22</v>
      </c>
      <c r="AY19" s="857">
        <f>AY$8</f>
        <v>0.76086956521739135</v>
      </c>
      <c r="AZ19" s="889">
        <f>AZ20+AZ26+AZ32+AZ35+AZ36+AZ39</f>
        <v>3200000</v>
      </c>
      <c r="BA19" s="897">
        <f>(BA20+BA32+BA36+BA39+BA26+BA35)</f>
        <v>46</v>
      </c>
      <c r="BB19" s="858">
        <f>(BB20+BB32+BB36+BB39)</f>
        <v>22</v>
      </c>
      <c r="BC19" s="857">
        <f>BC$8</f>
        <v>0.76086956521739135</v>
      </c>
      <c r="BD19" s="889">
        <f>BD20+BD26+BD32+BD35+BD36+BD39</f>
        <v>3200000</v>
      </c>
      <c r="BE19" s="897">
        <f>(BE20+BE32+BE36+BE39+BE26+BE35)</f>
        <v>46</v>
      </c>
      <c r="BF19" s="858">
        <f>(BF20+BF32+BF36+BF39)</f>
        <v>22</v>
      </c>
      <c r="BG19" s="857">
        <f>BG$8</f>
        <v>0.76086956521739135</v>
      </c>
      <c r="BH19" s="889">
        <f>BH20+BH26+BH32+BH35+BH36+BH39</f>
        <v>3200000</v>
      </c>
      <c r="BI19" s="897">
        <f>(BI20+BI32+BI36+BI39+BI26+BI35)</f>
        <v>46</v>
      </c>
      <c r="BJ19" s="858">
        <f>(BJ20+BJ32+BJ36+BJ39)</f>
        <v>22</v>
      </c>
      <c r="BK19" s="857">
        <f>BK$8</f>
        <v>0.76086956521739135</v>
      </c>
      <c r="BL19" s="889">
        <f>BL20+BL26+BL32+BL35+BL36+BL39</f>
        <v>3200000</v>
      </c>
      <c r="BM19" s="897">
        <f>(BM20+BM32+BM36+BM39+BM26+BM35)</f>
        <v>46</v>
      </c>
      <c r="BN19" s="858">
        <f>(BN20+BN32+BN36+BN39)</f>
        <v>22</v>
      </c>
      <c r="BO19" s="857">
        <f>BO$8</f>
        <v>0.76086956521739135</v>
      </c>
      <c r="BP19" s="889">
        <f>BP20+BP26+BP32+BP35+BP36+BP39</f>
        <v>3200000</v>
      </c>
      <c r="BQ19" s="897">
        <f>(BQ20+BQ32+BQ36+BQ39+BQ26+BQ35)</f>
        <v>46</v>
      </c>
      <c r="BR19" s="858">
        <f>(BR20+BR32+BR36+BR39)</f>
        <v>22</v>
      </c>
      <c r="BS19" s="857">
        <f>BS$8</f>
        <v>0.76086956521739135</v>
      </c>
      <c r="BT19" s="889">
        <f>BT20+BT26+BT32+BT35+BT36+BT39</f>
        <v>3200000</v>
      </c>
      <c r="BU19" s="897">
        <f>(BU20+BU32+BU36+BU39+BU26+BU35)</f>
        <v>46</v>
      </c>
      <c r="BV19" s="858">
        <f>(BV20+BV32+BV36+BV39)</f>
        <v>22</v>
      </c>
      <c r="BW19" s="857">
        <f>BW$8</f>
        <v>0.76086956521739135</v>
      </c>
      <c r="BX19" s="889">
        <f>BX20+BX26+BX32+BX35+BX36+BX39</f>
        <v>3200000</v>
      </c>
      <c r="BY19" s="897">
        <f>(BY20+BY32+BY36+BY39+BY26+BY35)</f>
        <v>46</v>
      </c>
      <c r="BZ19" s="858">
        <f>(BZ20+BZ32+BZ36+BZ39)</f>
        <v>22</v>
      </c>
      <c r="CA19" s="857">
        <f>CA$8</f>
        <v>0.76086956521739135</v>
      </c>
      <c r="CB19" s="889">
        <f>CB20+CB26+CB32+CB35+CB36+CB39</f>
        <v>3200000</v>
      </c>
      <c r="CC19" s="897">
        <f>(CC20+CC32+CC36+CC39+CC26+CC35)</f>
        <v>46</v>
      </c>
      <c r="CD19" s="858">
        <f>(CD20+CD32+CD36+CD39)</f>
        <v>22</v>
      </c>
      <c r="CE19" s="857">
        <f>CE$8</f>
        <v>0.76086956521739135</v>
      </c>
      <c r="CF19" s="889">
        <f>CF20+CF26+CF32+CF35+CF36+CF39</f>
        <v>3200000</v>
      </c>
      <c r="CG19" s="897">
        <f>(CG20+CG32+CG36+CG39+CG26+CG35)</f>
        <v>46</v>
      </c>
      <c r="CH19" s="858">
        <f>(CH20+CH32+CH36+CH39)</f>
        <v>22</v>
      </c>
      <c r="CI19" s="857">
        <f>CI$8</f>
        <v>0.76086956521739135</v>
      </c>
      <c r="CJ19" s="889">
        <f>CJ20+CJ26+CJ32+CJ35+CJ36+CJ39</f>
        <v>3200000</v>
      </c>
      <c r="CK19" s="897">
        <f>(CK20+CK32+CK36+CK39+CK26+CK35)</f>
        <v>46</v>
      </c>
      <c r="CL19" s="858">
        <f>(CL20+CL32+CL36+CL39)</f>
        <v>22</v>
      </c>
      <c r="CM19" s="857">
        <f>CM$8</f>
        <v>0.76086956521739135</v>
      </c>
      <c r="CN19" s="889">
        <f>CN20+CN26+CN32+CN35+CN36+CN39</f>
        <v>3200000</v>
      </c>
      <c r="CO19" s="897">
        <f>(CO20+CO32+CO36+CO39+CO26+CO35)</f>
        <v>46</v>
      </c>
      <c r="CP19" s="858">
        <f>(CP20+CP32+CP36+CP39)</f>
        <v>22</v>
      </c>
      <c r="CQ19" s="857">
        <f>CQ$8</f>
        <v>0.76086956521739135</v>
      </c>
      <c r="CR19" s="889">
        <f>CR20+CR26+CR32+CR35+CR36+CR39</f>
        <v>3200000</v>
      </c>
      <c r="CS19" s="897">
        <f>(CS20+CS32+CS36+CS39+CS26+CS35)</f>
        <v>46</v>
      </c>
      <c r="CT19" s="858">
        <f>(CT20+CT32+CT36+CT39)</f>
        <v>22</v>
      </c>
      <c r="CU19" s="857">
        <f>CU$8</f>
        <v>0.76086956521739135</v>
      </c>
      <c r="CV19" s="889">
        <f>CV20+CV26+CV32+CV35+CV36+CV39</f>
        <v>3200000</v>
      </c>
      <c r="CW19" s="897">
        <f>(CW20+CW32+CW36+CW39+CW26+CW35)</f>
        <v>46</v>
      </c>
      <c r="CX19" s="858">
        <f>(CX20+CX32+CX36+CX39)</f>
        <v>22</v>
      </c>
      <c r="CY19" s="857">
        <f>CY$8</f>
        <v>0.76086956521739135</v>
      </c>
      <c r="CZ19" s="889">
        <f>CZ20+CZ26+CZ32+CZ35+CZ36+CZ39</f>
        <v>3200000</v>
      </c>
      <c r="DA19" s="897">
        <f>(DA20+DA32+DA36+DA39+DA26+DA35)</f>
        <v>46</v>
      </c>
      <c r="DB19" s="858">
        <f>(DB20+DB32+DB36+DB39)</f>
        <v>22</v>
      </c>
      <c r="DC19" s="857">
        <f>DC$8</f>
        <v>0.76086956521739135</v>
      </c>
      <c r="DD19" s="889">
        <f>DD20+DD26+DD32+DD35+DD36+DD39</f>
        <v>3200000</v>
      </c>
      <c r="DE19" s="897">
        <f>(DE20+DE32+DE36+DE39+DE26+DE35)</f>
        <v>46</v>
      </c>
      <c r="DF19" s="858">
        <f>(DF20+DF32+DF36+DF39)</f>
        <v>22</v>
      </c>
      <c r="DG19" s="857">
        <f>DG$8</f>
        <v>0.76086956521739135</v>
      </c>
      <c r="DH19" s="889">
        <f>DH20+DH26+DH32+DH35+DH36+DH39</f>
        <v>3200000</v>
      </c>
      <c r="DI19" s="897">
        <f>(DI20+DI32+DI36+DI39+DI26+DI35)</f>
        <v>46</v>
      </c>
      <c r="DJ19" s="858">
        <f>(DJ20+DJ32+DJ36+DJ39)</f>
        <v>22</v>
      </c>
      <c r="DK19" s="857">
        <f>DK$8</f>
        <v>0.76086956521739135</v>
      </c>
      <c r="DL19" s="889">
        <f>DL20+DL26+DL32+DL35+DL36+DL39</f>
        <v>3200000</v>
      </c>
      <c r="DM19" s="897">
        <f>(DM20+DM32+DM36+DM39+DM26+DM35)</f>
        <v>46</v>
      </c>
      <c r="DN19" s="858">
        <f>(DN20+DN32+DN36+DN39)</f>
        <v>22</v>
      </c>
      <c r="DO19" s="857">
        <f>DO$8</f>
        <v>0.76086956521739135</v>
      </c>
      <c r="DP19" s="889">
        <f>DP20+DP26+DP32+DP35+DP36+DP39</f>
        <v>3200000</v>
      </c>
      <c r="DQ19" s="897">
        <f>(DQ20+DQ32+DQ36+DQ39+DQ26+DQ35)</f>
        <v>46</v>
      </c>
      <c r="DR19" s="858">
        <f>(DR20+DR32+DR36+DR39)</f>
        <v>22</v>
      </c>
      <c r="DS19" s="857">
        <f>DS$8</f>
        <v>0.76086956521739135</v>
      </c>
      <c r="DT19" s="889">
        <f>DT20+DT26+DT32+DT35+DT36+DT39</f>
        <v>3200000</v>
      </c>
      <c r="DU19" s="897">
        <f>(DU20+DU32+DU36+DU39+DU26+DU35)</f>
        <v>46</v>
      </c>
      <c r="DV19" s="858">
        <f>(DV20+DV32+DV36+DV39)</f>
        <v>22</v>
      </c>
      <c r="DW19" s="857">
        <f>DW$8</f>
        <v>0.76086956521739135</v>
      </c>
      <c r="DX19" s="889">
        <f>DX20+DX26+DX32+DX35+DX36+DX39</f>
        <v>3200000</v>
      </c>
      <c r="DY19" s="897">
        <f>(DY20+DY32+DY36+DY39+DY26+DY35)</f>
        <v>46</v>
      </c>
      <c r="DZ19" s="858">
        <f>(DZ20+DZ32+DZ36+DZ39)</f>
        <v>22</v>
      </c>
      <c r="EA19" s="857">
        <f>EA$8</f>
        <v>0.76086956521739135</v>
      </c>
      <c r="EB19" s="889">
        <f>EB20+EB26+EB32+EB35+EB36+EB39</f>
        <v>3200000</v>
      </c>
      <c r="EC19" s="897">
        <f>(EC20+EC32+EC36+EC39+EC26+EC35)</f>
        <v>46</v>
      </c>
      <c r="ED19" s="858">
        <f>(ED20+ED32+ED36+ED39)</f>
        <v>22</v>
      </c>
      <c r="EE19" s="857">
        <f>EE$8</f>
        <v>0.76086956521739135</v>
      </c>
      <c r="EF19" s="889">
        <f>EF20+EF26+EF32+EF35+EF36+EF39</f>
        <v>3200000</v>
      </c>
    </row>
    <row r="20" spans="1:136" ht="20" customHeight="1" x14ac:dyDescent="0.15">
      <c r="A20" s="870">
        <f>_xlfn.IFS(B20=0,0,E20&gt;B20,1,E20&lt;=B20,E20/B20)</f>
        <v>0</v>
      </c>
      <c r="B20" s="791"/>
      <c r="C20" s="883" t="str">
        <f>Dashboard!K96</f>
        <v>FACEBOOK</v>
      </c>
      <c r="D20" s="686">
        <f>Dashboard!AK96</f>
        <v>10000000</v>
      </c>
      <c r="E20" s="1065">
        <f t="shared" si="195"/>
        <v>23250000</v>
      </c>
      <c r="F20" s="686">
        <f>E20-D20</f>
        <v>13250000</v>
      </c>
      <c r="G20" s="788">
        <f>_xlfn.IFS(F20&gt;0,1,F20&lt;=0,E20/D20)</f>
        <v>1</v>
      </c>
      <c r="H20" s="788">
        <f>IF(SUMIF(M$13:EF$13,$O$13,M20:EF20)&gt;0,AVERAGEIFS(M20:EF20,M20:EF20,"&gt;0",M$13:EF$13,$O$13),"NO NEW ORDER")</f>
        <v>1</v>
      </c>
      <c r="I20" s="788">
        <f>Dashboard!M117</f>
        <v>0.16041666666666665</v>
      </c>
      <c r="J20" s="788">
        <f ca="1">IF(SUM(J21:J25)&gt;0,AVERAGEIF(J21:J25,"&gt;0"),0)</f>
        <v>0</v>
      </c>
      <c r="K20" s="686">
        <f>D20/'Action Plan'!$C$6</f>
        <v>384615.38461538462</v>
      </c>
      <c r="L20" s="933">
        <f ca="1">SUMIFS($M20:$EF20,$M$11:$EF$11,TODAY()-1,$M$13:$EF$13,P$13)</f>
        <v>0</v>
      </c>
      <c r="M20" s="899">
        <f>SUM(M21:M25)</f>
        <v>15</v>
      </c>
      <c r="N20" s="904">
        <f>SUM(N21:N25)</f>
        <v>15</v>
      </c>
      <c r="O20" s="788">
        <f>IF(SUM(O21:O25)&gt;0,AVERAGEIF(O21:O25,"&gt;0"),0)</f>
        <v>1</v>
      </c>
      <c r="P20" s="891">
        <f>SUM(P21:P25)</f>
        <v>750000</v>
      </c>
      <c r="Q20" s="899">
        <f>SUM(Q21:Q25)</f>
        <v>15</v>
      </c>
      <c r="R20" s="904">
        <f>SUM(R21:R25)</f>
        <v>15</v>
      </c>
      <c r="S20" s="788">
        <f>IF(SUM(S21:S25)&gt;0,AVERAGEIF(S21:S25,"&gt;0"),0)</f>
        <v>1</v>
      </c>
      <c r="T20" s="891">
        <f>SUM(T21:T25)</f>
        <v>750000</v>
      </c>
      <c r="U20" s="899">
        <f>SUM(U21:U25)</f>
        <v>15</v>
      </c>
      <c r="V20" s="904">
        <f>SUM(V21:V25)</f>
        <v>15</v>
      </c>
      <c r="W20" s="788">
        <f>IF(SUM(W21:W25)&gt;0,AVERAGEIF(W21:W25,"&gt;0"),0)</f>
        <v>1</v>
      </c>
      <c r="X20" s="891">
        <f>SUM(X21:X25)</f>
        <v>750000</v>
      </c>
      <c r="Y20" s="899">
        <f>SUM(Y21:Y25)</f>
        <v>15</v>
      </c>
      <c r="Z20" s="904">
        <f>SUM(Z21:Z25)</f>
        <v>15</v>
      </c>
      <c r="AA20" s="788">
        <f>IF(SUM(AA21:AA25)&gt;0,AVERAGEIF(AA21:AA25,"&gt;0"),0)</f>
        <v>1</v>
      </c>
      <c r="AB20" s="891">
        <f>SUM(AB21:AB25)</f>
        <v>750000</v>
      </c>
      <c r="AC20" s="899">
        <f>SUM(AC21:AC25)</f>
        <v>15</v>
      </c>
      <c r="AD20" s="904">
        <f>SUM(AD21:AD25)</f>
        <v>15</v>
      </c>
      <c r="AE20" s="788">
        <f>IF(SUM(AE21:AE25)&gt;0,AVERAGEIF(AE21:AE25,"&gt;0"),0)</f>
        <v>1</v>
      </c>
      <c r="AF20" s="891">
        <f>SUM(AF21:AF25)</f>
        <v>750000</v>
      </c>
      <c r="AG20" s="899">
        <f>SUM(AG21:AG25)</f>
        <v>15</v>
      </c>
      <c r="AH20" s="904">
        <f>SUM(AH21:AH25)</f>
        <v>15</v>
      </c>
      <c r="AI20" s="788">
        <f>IF(SUM(AI21:AI25)&gt;0,AVERAGEIF(AI21:AI25,"&gt;0"),0)</f>
        <v>1</v>
      </c>
      <c r="AJ20" s="891">
        <f>SUM(AJ21:AJ25)</f>
        <v>750000</v>
      </c>
      <c r="AK20" s="899">
        <f>SUM(AK21:AK25)</f>
        <v>15</v>
      </c>
      <c r="AL20" s="904">
        <f>SUM(AL21:AL25)</f>
        <v>15</v>
      </c>
      <c r="AM20" s="788">
        <f>IF(SUM(AM21:AM25)&gt;0,AVERAGEIF(AM21:AM25,"&gt;0"),0)</f>
        <v>1</v>
      </c>
      <c r="AN20" s="891">
        <f>SUM(AN21:AN25)</f>
        <v>750000</v>
      </c>
      <c r="AO20" s="899">
        <f>SUM(AO21:AO25)</f>
        <v>15</v>
      </c>
      <c r="AP20" s="904">
        <f>SUM(AP21:AP25)</f>
        <v>15</v>
      </c>
      <c r="AQ20" s="788">
        <f>IF(SUM(AQ21:AQ25)&gt;0,AVERAGEIF(AQ21:AQ25,"&gt;0"),0)</f>
        <v>1</v>
      </c>
      <c r="AR20" s="891">
        <f>SUM(AR21:AR25)</f>
        <v>750000</v>
      </c>
      <c r="AS20" s="899">
        <f>SUM(AS21:AS25)</f>
        <v>15</v>
      </c>
      <c r="AT20" s="904">
        <f>SUM(AT21:AT25)</f>
        <v>15</v>
      </c>
      <c r="AU20" s="788">
        <f>IF(SUM(AU21:AU25)&gt;0,AVERAGEIF(AU21:AU25,"&gt;0"),0)</f>
        <v>1</v>
      </c>
      <c r="AV20" s="891">
        <f>SUM(AV21:AV25)</f>
        <v>750000</v>
      </c>
      <c r="AW20" s="899">
        <f>SUM(AW21:AW25)</f>
        <v>15</v>
      </c>
      <c r="AX20" s="904">
        <f>SUM(AX21:AX25)</f>
        <v>15</v>
      </c>
      <c r="AY20" s="788">
        <f>IF(SUM(AY21:AY25)&gt;0,AVERAGEIF(AY21:AY25,"&gt;0"),0)</f>
        <v>1</v>
      </c>
      <c r="AZ20" s="891">
        <f>SUM(AZ21:AZ25)</f>
        <v>750000</v>
      </c>
      <c r="BA20" s="899">
        <f>SUM(BA21:BA25)</f>
        <v>15</v>
      </c>
      <c r="BB20" s="904">
        <f>SUM(BB21:BB25)</f>
        <v>15</v>
      </c>
      <c r="BC20" s="788">
        <f>IF(SUM(BC21:BC25)&gt;0,AVERAGEIF(BC21:BC25,"&gt;0"),0)</f>
        <v>1</v>
      </c>
      <c r="BD20" s="891">
        <f>SUM(BD21:BD25)</f>
        <v>750000</v>
      </c>
      <c r="BE20" s="899">
        <f>SUM(BE21:BE25)</f>
        <v>15</v>
      </c>
      <c r="BF20" s="904">
        <f>SUM(BF21:BF25)</f>
        <v>15</v>
      </c>
      <c r="BG20" s="788">
        <f>IF(SUM(BG21:BG25)&gt;0,AVERAGEIF(BG21:BG25,"&gt;0"),0)</f>
        <v>1</v>
      </c>
      <c r="BH20" s="891">
        <f>SUM(BH21:BH25)</f>
        <v>750000</v>
      </c>
      <c r="BI20" s="899">
        <f>SUM(BI21:BI25)</f>
        <v>15</v>
      </c>
      <c r="BJ20" s="904">
        <f>SUM(BJ21:BJ25)</f>
        <v>15</v>
      </c>
      <c r="BK20" s="788">
        <f>IF(SUM(BK21:BK25)&gt;0,AVERAGEIF(BK21:BK25,"&gt;0"),0)</f>
        <v>1</v>
      </c>
      <c r="BL20" s="891">
        <f>SUM(BL21:BL25)</f>
        <v>750000</v>
      </c>
      <c r="BM20" s="899">
        <f>SUM(BM21:BM25)</f>
        <v>15</v>
      </c>
      <c r="BN20" s="904">
        <f>SUM(BN21:BN25)</f>
        <v>15</v>
      </c>
      <c r="BO20" s="788">
        <f>IF(SUM(BO21:BO25)&gt;0,AVERAGEIF(BO21:BO25,"&gt;0"),0)</f>
        <v>1</v>
      </c>
      <c r="BP20" s="891">
        <f>SUM(BP21:BP25)</f>
        <v>750000</v>
      </c>
      <c r="BQ20" s="899">
        <f>SUM(BQ21:BQ25)</f>
        <v>15</v>
      </c>
      <c r="BR20" s="904">
        <f>SUM(BR21:BR25)</f>
        <v>15</v>
      </c>
      <c r="BS20" s="788">
        <f>IF(SUM(BS21:BS25)&gt;0,AVERAGEIF(BS21:BS25,"&gt;0"),0)</f>
        <v>1</v>
      </c>
      <c r="BT20" s="891">
        <f>SUM(BT21:BT25)</f>
        <v>750000</v>
      </c>
      <c r="BU20" s="899">
        <f>SUM(BU21:BU25)</f>
        <v>15</v>
      </c>
      <c r="BV20" s="904">
        <f>SUM(BV21:BV25)</f>
        <v>15</v>
      </c>
      <c r="BW20" s="788">
        <f>IF(SUM(BW21:BW25)&gt;0,AVERAGEIF(BW21:BW25,"&gt;0"),0)</f>
        <v>1</v>
      </c>
      <c r="BX20" s="891">
        <f>SUM(BX21:BX25)</f>
        <v>750000</v>
      </c>
      <c r="BY20" s="899">
        <f>SUM(BY21:BY25)</f>
        <v>15</v>
      </c>
      <c r="BZ20" s="904">
        <f>SUM(BZ21:BZ25)</f>
        <v>15</v>
      </c>
      <c r="CA20" s="788">
        <f>IF(SUM(CA21:CA25)&gt;0,AVERAGEIF(CA21:CA25,"&gt;0"),0)</f>
        <v>1</v>
      </c>
      <c r="CB20" s="891">
        <f>SUM(CB21:CB25)</f>
        <v>750000</v>
      </c>
      <c r="CC20" s="899">
        <f>SUM(CC21:CC25)</f>
        <v>15</v>
      </c>
      <c r="CD20" s="904">
        <f>SUM(CD21:CD25)</f>
        <v>15</v>
      </c>
      <c r="CE20" s="788">
        <f>IF(SUM(CE21:CE25)&gt;0,AVERAGEIF(CE21:CE25,"&gt;0"),0)</f>
        <v>1</v>
      </c>
      <c r="CF20" s="891">
        <f>SUM(CF21:CF25)</f>
        <v>750000</v>
      </c>
      <c r="CG20" s="899">
        <f>SUM(CG21:CG25)</f>
        <v>15</v>
      </c>
      <c r="CH20" s="904">
        <f>SUM(CH21:CH25)</f>
        <v>15</v>
      </c>
      <c r="CI20" s="788">
        <f>IF(SUM(CI21:CI25)&gt;0,AVERAGEIF(CI21:CI25,"&gt;0"),0)</f>
        <v>1</v>
      </c>
      <c r="CJ20" s="891">
        <f>SUM(CJ21:CJ25)</f>
        <v>750000</v>
      </c>
      <c r="CK20" s="899">
        <f>SUM(CK21:CK25)</f>
        <v>15</v>
      </c>
      <c r="CL20" s="904">
        <f>SUM(CL21:CL25)</f>
        <v>15</v>
      </c>
      <c r="CM20" s="788">
        <f>IF(SUM(CM21:CM25)&gt;0,AVERAGEIF(CM21:CM25,"&gt;0"),0)</f>
        <v>1</v>
      </c>
      <c r="CN20" s="891">
        <f>SUM(CN21:CN25)</f>
        <v>750000</v>
      </c>
      <c r="CO20" s="899">
        <f>SUM(CO21:CO25)</f>
        <v>15</v>
      </c>
      <c r="CP20" s="904">
        <f>SUM(CP21:CP25)</f>
        <v>15</v>
      </c>
      <c r="CQ20" s="788">
        <f>IF(SUM(CQ21:CQ25)&gt;0,AVERAGEIF(CQ21:CQ25,"&gt;0"),0)</f>
        <v>1</v>
      </c>
      <c r="CR20" s="891">
        <f>SUM(CR21:CR25)</f>
        <v>750000</v>
      </c>
      <c r="CS20" s="899">
        <f>SUM(CS21:CS25)</f>
        <v>15</v>
      </c>
      <c r="CT20" s="904">
        <f>SUM(CT21:CT25)</f>
        <v>15</v>
      </c>
      <c r="CU20" s="788">
        <f>IF(SUM(CU21:CU25)&gt;0,AVERAGEIF(CU21:CU25,"&gt;0"),0)</f>
        <v>1</v>
      </c>
      <c r="CV20" s="891">
        <f>SUM(CV21:CV25)</f>
        <v>750000</v>
      </c>
      <c r="CW20" s="899">
        <f>SUM(CW21:CW25)</f>
        <v>15</v>
      </c>
      <c r="CX20" s="904">
        <f>SUM(CX21:CX25)</f>
        <v>15</v>
      </c>
      <c r="CY20" s="788">
        <f>IF(SUM(CY21:CY25)&gt;0,AVERAGEIF(CY21:CY25,"&gt;0"),0)</f>
        <v>1</v>
      </c>
      <c r="CZ20" s="891">
        <f>SUM(CZ21:CZ25)</f>
        <v>750000</v>
      </c>
      <c r="DA20" s="899">
        <f>SUM(DA21:DA25)</f>
        <v>15</v>
      </c>
      <c r="DB20" s="904">
        <f>SUM(DB21:DB25)</f>
        <v>15</v>
      </c>
      <c r="DC20" s="788">
        <f>IF(SUM(DC21:DC25)&gt;0,AVERAGEIF(DC21:DC25,"&gt;0"),0)</f>
        <v>1</v>
      </c>
      <c r="DD20" s="891">
        <f>SUM(DD21:DD25)</f>
        <v>750000</v>
      </c>
      <c r="DE20" s="899">
        <f>SUM(DE21:DE25)</f>
        <v>15</v>
      </c>
      <c r="DF20" s="904">
        <f>SUM(DF21:DF25)</f>
        <v>15</v>
      </c>
      <c r="DG20" s="788">
        <f>IF(SUM(DG21:DG25)&gt;0,AVERAGEIF(DG21:DG25,"&gt;0"),0)</f>
        <v>1</v>
      </c>
      <c r="DH20" s="891">
        <f>SUM(DH21:DH25)</f>
        <v>750000</v>
      </c>
      <c r="DI20" s="899">
        <f>SUM(DI21:DI25)</f>
        <v>15</v>
      </c>
      <c r="DJ20" s="904">
        <f>SUM(DJ21:DJ25)</f>
        <v>15</v>
      </c>
      <c r="DK20" s="788">
        <f>IF(SUM(DK21:DK25)&gt;0,AVERAGEIF(DK21:DK25,"&gt;0"),0)</f>
        <v>1</v>
      </c>
      <c r="DL20" s="891">
        <f>SUM(DL21:DL25)</f>
        <v>750000</v>
      </c>
      <c r="DM20" s="899">
        <f>SUM(DM21:DM25)</f>
        <v>15</v>
      </c>
      <c r="DN20" s="904">
        <f>SUM(DN21:DN25)</f>
        <v>15</v>
      </c>
      <c r="DO20" s="788">
        <f>IF(SUM(DO21:DO25)&gt;0,AVERAGEIF(DO21:DO25,"&gt;0"),0)</f>
        <v>1</v>
      </c>
      <c r="DP20" s="891">
        <f>SUM(DP21:DP25)</f>
        <v>750000</v>
      </c>
      <c r="DQ20" s="899">
        <f>SUM(DQ21:DQ25)</f>
        <v>15</v>
      </c>
      <c r="DR20" s="904">
        <f>SUM(DR21:DR25)</f>
        <v>15</v>
      </c>
      <c r="DS20" s="788">
        <f>IF(SUM(DS21:DS25)&gt;0,AVERAGEIF(DS21:DS25,"&gt;0"),0)</f>
        <v>1</v>
      </c>
      <c r="DT20" s="891">
        <f>SUM(DT21:DT25)</f>
        <v>750000</v>
      </c>
      <c r="DU20" s="899">
        <f>SUM(DU21:DU25)</f>
        <v>15</v>
      </c>
      <c r="DV20" s="904">
        <f>SUM(DV21:DV25)</f>
        <v>15</v>
      </c>
      <c r="DW20" s="788">
        <f>IF(SUM(DW21:DW25)&gt;0,AVERAGEIF(DW21:DW25,"&gt;0"),0)</f>
        <v>1</v>
      </c>
      <c r="DX20" s="891">
        <f>SUM(DX21:DX25)</f>
        <v>750000</v>
      </c>
      <c r="DY20" s="899">
        <f>SUM(DY21:DY25)</f>
        <v>15</v>
      </c>
      <c r="DZ20" s="904">
        <f>SUM(DZ21:DZ25)</f>
        <v>15</v>
      </c>
      <c r="EA20" s="788">
        <f>IF(SUM(EA21:EA25)&gt;0,AVERAGEIF(EA21:EA25,"&gt;0"),0)</f>
        <v>1</v>
      </c>
      <c r="EB20" s="891">
        <f>SUM(EB21:EB25)</f>
        <v>750000</v>
      </c>
      <c r="EC20" s="899">
        <f>SUM(EC21:EC25)</f>
        <v>15</v>
      </c>
      <c r="ED20" s="904">
        <f>SUM(ED21:ED25)</f>
        <v>15</v>
      </c>
      <c r="EE20" s="788">
        <f>IF(SUM(EE21:EE25)&gt;0,AVERAGEIF(EE21:EE25,"&gt;0"),0)</f>
        <v>1</v>
      </c>
      <c r="EF20" s="891">
        <f>SUM(EF21:EF25)</f>
        <v>750000</v>
      </c>
    </row>
    <row r="21" spans="1:136" ht="20" customHeight="1" x14ac:dyDescent="0.15">
      <c r="A21" s="189">
        <f>_xlfn.IFS(B21=0,0,E21&gt;B21,1,E21&lt;=B21,E21/B21)</f>
        <v>0</v>
      </c>
      <c r="B21" s="946"/>
      <c r="C21" s="970" t="s">
        <v>134</v>
      </c>
      <c r="D21" s="610">
        <f>$D$20/5</f>
        <v>2000000</v>
      </c>
      <c r="E21" s="1082">
        <f>SUMIF($M$13:$EF$13,$P$13,$M21:$EF21)</f>
        <v>4650000</v>
      </c>
      <c r="F21" s="610">
        <f>E21-D21</f>
        <v>2650000</v>
      </c>
      <c r="G21" s="208">
        <f>_xlfn.IFS(F21&gt;0,1,F21&lt;=0,E21/D21)</f>
        <v>1</v>
      </c>
      <c r="H21" s="208">
        <f>IF(SUMIF(M$13:EF$13,$O$13,M21:EF21)&gt;0,AVERAGEIFS(M21:EF21,M21:EF21,"&gt;0",M$13:EF$13,$O$13),"NO NEW ORDER")</f>
        <v>1</v>
      </c>
      <c r="J21" s="208">
        <f ca="1">SUMIFS($M21:$EF21,$M$11:$EF$11,TODAY()-1,$M$13:$EF$13,O$13)</f>
        <v>0</v>
      </c>
      <c r="K21" s="953"/>
      <c r="L21" s="605">
        <f t="shared" ref="L21:L31" ca="1" si="197">SUMIFS($M21:$EF21,$M$11:$EF$11,TODAY()-1,$M$13:$EF$13,P$13)</f>
        <v>0</v>
      </c>
      <c r="M21" s="1026">
        <v>5</v>
      </c>
      <c r="N21" s="1027">
        <v>5</v>
      </c>
      <c r="O21" s="208">
        <f>_xlfn.IFS(M21=0,0,N21&lt;=M21,N21/M21,N21&gt;M21,1)</f>
        <v>1</v>
      </c>
      <c r="P21" s="1029">
        <v>150000</v>
      </c>
      <c r="Q21" s="1026">
        <v>5</v>
      </c>
      <c r="R21" s="1027">
        <v>5</v>
      </c>
      <c r="S21" s="208">
        <f>_xlfn.IFS(Q21=0,0,R21&lt;=Q21,R21/Q21,R21&gt;Q21,1)</f>
        <v>1</v>
      </c>
      <c r="T21" s="1029">
        <v>150000</v>
      </c>
      <c r="U21" s="1026">
        <v>5</v>
      </c>
      <c r="V21" s="1027">
        <v>5</v>
      </c>
      <c r="W21" s="208">
        <f>_xlfn.IFS(U21=0,0,V21&lt;=U21,V21/U21,V21&gt;U21,1)</f>
        <v>1</v>
      </c>
      <c r="X21" s="1029">
        <v>150000</v>
      </c>
      <c r="Y21" s="1026">
        <v>5</v>
      </c>
      <c r="Z21" s="1027">
        <v>5</v>
      </c>
      <c r="AA21" s="208">
        <f>_xlfn.IFS(Y21=0,0,Z21&lt;=Y21,Z21/Y21,Z21&gt;Y21,1)</f>
        <v>1</v>
      </c>
      <c r="AB21" s="1029">
        <v>150000</v>
      </c>
      <c r="AC21" s="1026">
        <v>5</v>
      </c>
      <c r="AD21" s="1027">
        <v>5</v>
      </c>
      <c r="AE21" s="208">
        <f>_xlfn.IFS(AC21=0,0,AD21&lt;=AC21,AD21/AC21,AD21&gt;AC21,1)</f>
        <v>1</v>
      </c>
      <c r="AF21" s="1029">
        <v>150000</v>
      </c>
      <c r="AG21" s="1026">
        <v>5</v>
      </c>
      <c r="AH21" s="1027">
        <v>5</v>
      </c>
      <c r="AI21" s="208">
        <f>_xlfn.IFS(AG21=0,0,AH21&lt;=AG21,AH21/AG21,AH21&gt;AG21,1)</f>
        <v>1</v>
      </c>
      <c r="AJ21" s="1029">
        <v>150000</v>
      </c>
      <c r="AK21" s="1026">
        <v>5</v>
      </c>
      <c r="AL21" s="1027">
        <v>5</v>
      </c>
      <c r="AM21" s="208">
        <f>_xlfn.IFS(AK21=0,0,AL21&lt;=AK21,AL21/AK21,AL21&gt;AK21,1)</f>
        <v>1</v>
      </c>
      <c r="AN21" s="1029">
        <v>150000</v>
      </c>
      <c r="AO21" s="1026">
        <v>5</v>
      </c>
      <c r="AP21" s="1027">
        <v>5</v>
      </c>
      <c r="AQ21" s="208">
        <f>_xlfn.IFS(AO21=0,0,AP21&lt;=AO21,AP21/AO21,AP21&gt;AO21,1)</f>
        <v>1</v>
      </c>
      <c r="AR21" s="1029">
        <v>150000</v>
      </c>
      <c r="AS21" s="1026">
        <v>5</v>
      </c>
      <c r="AT21" s="1027">
        <v>5</v>
      </c>
      <c r="AU21" s="208">
        <f>_xlfn.IFS(AS21=0,0,AT21&lt;=AS21,AT21/AS21,AT21&gt;AS21,1)</f>
        <v>1</v>
      </c>
      <c r="AV21" s="1029">
        <v>150000</v>
      </c>
      <c r="AW21" s="1026">
        <v>5</v>
      </c>
      <c r="AX21" s="1027">
        <v>5</v>
      </c>
      <c r="AY21" s="208">
        <f>_xlfn.IFS(AW21=0,0,AX21&lt;=AW21,AX21/AW21,AX21&gt;AW21,1)</f>
        <v>1</v>
      </c>
      <c r="AZ21" s="1029">
        <v>150000</v>
      </c>
      <c r="BA21" s="1026">
        <v>5</v>
      </c>
      <c r="BB21" s="1027">
        <v>5</v>
      </c>
      <c r="BC21" s="208">
        <f>_xlfn.IFS(BA21=0,0,BB21&lt;=BA21,BB21/BA21,BB21&gt;BA21,1)</f>
        <v>1</v>
      </c>
      <c r="BD21" s="1029">
        <v>150000</v>
      </c>
      <c r="BE21" s="1026">
        <v>5</v>
      </c>
      <c r="BF21" s="1027">
        <v>5</v>
      </c>
      <c r="BG21" s="208">
        <f>_xlfn.IFS(BE21=0,0,BF21&lt;=BE21,BF21/BE21,BF21&gt;BE21,1)</f>
        <v>1</v>
      </c>
      <c r="BH21" s="1029">
        <v>150000</v>
      </c>
      <c r="BI21" s="1026">
        <v>5</v>
      </c>
      <c r="BJ21" s="1027">
        <v>5</v>
      </c>
      <c r="BK21" s="208">
        <f>_xlfn.IFS(BI21=0,0,BJ21&lt;=BI21,BJ21/BI21,BJ21&gt;BI21,1)</f>
        <v>1</v>
      </c>
      <c r="BL21" s="1029">
        <v>150000</v>
      </c>
      <c r="BM21" s="1026">
        <v>5</v>
      </c>
      <c r="BN21" s="1027">
        <v>5</v>
      </c>
      <c r="BO21" s="208">
        <f>_xlfn.IFS(BM21=0,0,BN21&lt;=BM21,BN21/BM21,BN21&gt;BM21,1)</f>
        <v>1</v>
      </c>
      <c r="BP21" s="1029">
        <v>150000</v>
      </c>
      <c r="BQ21" s="1026">
        <v>5</v>
      </c>
      <c r="BR21" s="1027">
        <v>5</v>
      </c>
      <c r="BS21" s="208">
        <f>_xlfn.IFS(BQ21=0,0,BR21&lt;=BQ21,BR21/BQ21,BR21&gt;BQ21,1)</f>
        <v>1</v>
      </c>
      <c r="BT21" s="1029">
        <v>150000</v>
      </c>
      <c r="BU21" s="1026">
        <v>5</v>
      </c>
      <c r="BV21" s="1027">
        <v>5</v>
      </c>
      <c r="BW21" s="208">
        <f>_xlfn.IFS(BU21=0,0,BV21&lt;=BU21,BV21/BU21,BV21&gt;BU21,1)</f>
        <v>1</v>
      </c>
      <c r="BX21" s="1029">
        <v>150000</v>
      </c>
      <c r="BY21" s="1026">
        <v>5</v>
      </c>
      <c r="BZ21" s="1027">
        <v>5</v>
      </c>
      <c r="CA21" s="208">
        <f>_xlfn.IFS(BY21=0,0,BZ21&lt;=BY21,BZ21/BY21,BZ21&gt;BY21,1)</f>
        <v>1</v>
      </c>
      <c r="CB21" s="1029">
        <v>150000</v>
      </c>
      <c r="CC21" s="1026">
        <v>5</v>
      </c>
      <c r="CD21" s="1027">
        <v>5</v>
      </c>
      <c r="CE21" s="208">
        <f>_xlfn.IFS(CC21=0,0,CD21&lt;=CC21,CD21/CC21,CD21&gt;CC21,1)</f>
        <v>1</v>
      </c>
      <c r="CF21" s="1029">
        <v>150000</v>
      </c>
      <c r="CG21" s="1026">
        <v>5</v>
      </c>
      <c r="CH21" s="1027">
        <v>5</v>
      </c>
      <c r="CI21" s="208">
        <f>_xlfn.IFS(CG21=0,0,CH21&lt;=CG21,CH21/CG21,CH21&gt;CG21,1)</f>
        <v>1</v>
      </c>
      <c r="CJ21" s="1029">
        <v>150000</v>
      </c>
      <c r="CK21" s="1026">
        <v>5</v>
      </c>
      <c r="CL21" s="1027">
        <v>5</v>
      </c>
      <c r="CM21" s="208">
        <f>_xlfn.IFS(CK21=0,0,CL21&lt;=CK21,CL21/CK21,CL21&gt;CK21,1)</f>
        <v>1</v>
      </c>
      <c r="CN21" s="1029">
        <v>150000</v>
      </c>
      <c r="CO21" s="1026">
        <v>5</v>
      </c>
      <c r="CP21" s="1027">
        <v>5</v>
      </c>
      <c r="CQ21" s="208">
        <f>_xlfn.IFS(CO21=0,0,CP21&lt;=CO21,CP21/CO21,CP21&gt;CO21,1)</f>
        <v>1</v>
      </c>
      <c r="CR21" s="1029">
        <v>150000</v>
      </c>
      <c r="CS21" s="1026">
        <v>5</v>
      </c>
      <c r="CT21" s="1027">
        <v>5</v>
      </c>
      <c r="CU21" s="208">
        <f>_xlfn.IFS(CS21=0,0,CT21&lt;=CS21,CT21/CS21,CT21&gt;CS21,1)</f>
        <v>1</v>
      </c>
      <c r="CV21" s="1029">
        <v>150000</v>
      </c>
      <c r="CW21" s="1026">
        <v>5</v>
      </c>
      <c r="CX21" s="1027">
        <v>5</v>
      </c>
      <c r="CY21" s="208">
        <f>_xlfn.IFS(CW21=0,0,CX21&lt;=CW21,CX21/CW21,CX21&gt;CW21,1)</f>
        <v>1</v>
      </c>
      <c r="CZ21" s="1029">
        <v>150000</v>
      </c>
      <c r="DA21" s="1026">
        <v>5</v>
      </c>
      <c r="DB21" s="1027">
        <v>5</v>
      </c>
      <c r="DC21" s="208">
        <f>_xlfn.IFS(DA21=0,0,DB21&lt;=DA21,DB21/DA21,DB21&gt;DA21,1)</f>
        <v>1</v>
      </c>
      <c r="DD21" s="1029">
        <v>150000</v>
      </c>
      <c r="DE21" s="1026">
        <v>5</v>
      </c>
      <c r="DF21" s="1027">
        <v>5</v>
      </c>
      <c r="DG21" s="208">
        <f>_xlfn.IFS(DE21=0,0,DF21&lt;=DE21,DF21/DE21,DF21&gt;DE21,1)</f>
        <v>1</v>
      </c>
      <c r="DH21" s="1029">
        <v>150000</v>
      </c>
      <c r="DI21" s="1026">
        <v>5</v>
      </c>
      <c r="DJ21" s="1027">
        <v>5</v>
      </c>
      <c r="DK21" s="208">
        <f>_xlfn.IFS(DI21=0,0,DJ21&lt;=DI21,DJ21/DI21,DJ21&gt;DI21,1)</f>
        <v>1</v>
      </c>
      <c r="DL21" s="1029">
        <v>150000</v>
      </c>
      <c r="DM21" s="1026">
        <v>5</v>
      </c>
      <c r="DN21" s="1027">
        <v>5</v>
      </c>
      <c r="DO21" s="208">
        <f>_xlfn.IFS(DM21=0,0,DN21&lt;=DM21,DN21/DM21,DN21&gt;DM21,1)</f>
        <v>1</v>
      </c>
      <c r="DP21" s="1029">
        <v>150000</v>
      </c>
      <c r="DQ21" s="1026">
        <v>5</v>
      </c>
      <c r="DR21" s="1027">
        <v>5</v>
      </c>
      <c r="DS21" s="208">
        <f>_xlfn.IFS(DQ21=0,0,DR21&lt;=DQ21,DR21/DQ21,DR21&gt;DQ21,1)</f>
        <v>1</v>
      </c>
      <c r="DT21" s="1029">
        <v>150000</v>
      </c>
      <c r="DU21" s="1026">
        <v>5</v>
      </c>
      <c r="DV21" s="1027">
        <v>5</v>
      </c>
      <c r="DW21" s="208">
        <f>_xlfn.IFS(DU21=0,0,DV21&lt;=DU21,DV21/DU21,DV21&gt;DU21,1)</f>
        <v>1</v>
      </c>
      <c r="DX21" s="1029">
        <v>150000</v>
      </c>
      <c r="DY21" s="1026">
        <v>5</v>
      </c>
      <c r="DZ21" s="1027">
        <v>5</v>
      </c>
      <c r="EA21" s="208">
        <f>_xlfn.IFS(DY21=0,0,DZ21&lt;=DY21,DZ21/DY21,DZ21&gt;DY21,1)</f>
        <v>1</v>
      </c>
      <c r="EB21" s="1029">
        <v>150000</v>
      </c>
      <c r="EC21" s="1026">
        <v>5</v>
      </c>
      <c r="ED21" s="1027">
        <v>5</v>
      </c>
      <c r="EE21" s="208">
        <f>_xlfn.IFS(EC21=0,0,ED21&lt;=EC21,ED21/EC21,ED21&gt;EC21,1)</f>
        <v>1</v>
      </c>
      <c r="EF21" s="1029">
        <v>150000</v>
      </c>
    </row>
    <row r="22" spans="1:136" ht="20" customHeight="1" x14ac:dyDescent="0.15">
      <c r="A22" s="189">
        <f t="shared" ref="A22:A36" si="198">_xlfn.IFS(B22=0,0,E22&gt;B22,1,E22&lt;=B22,E22/B22)</f>
        <v>0</v>
      </c>
      <c r="B22" s="946"/>
      <c r="C22" s="970" t="s">
        <v>135</v>
      </c>
      <c r="D22" s="610">
        <f t="shared" ref="D22:D25" si="199">$D$20/5</f>
        <v>2000000</v>
      </c>
      <c r="E22" s="1082">
        <f t="shared" si="195"/>
        <v>4650000</v>
      </c>
      <c r="F22" s="610">
        <f t="shared" ref="F22:F31" si="200">E22-D22</f>
        <v>2650000</v>
      </c>
      <c r="G22" s="208">
        <f t="shared" ref="G22:G31" si="201">_xlfn.IFS(F22&gt;0,1,F22&lt;=0,E22/D22)</f>
        <v>1</v>
      </c>
      <c r="H22" s="208">
        <f t="shared" ref="H22:H25" si="202">IF(SUMIF(M$13:EF$13,$O$13,M22:EF22)&gt;0,AVERAGEIFS(M22:EF22,M22:EF22,"&gt;0",M$13:EF$13,$O$13),"NO NEW ORDER")</f>
        <v>1</v>
      </c>
      <c r="I22" s="954"/>
      <c r="J22" s="208">
        <f ca="1">SUMIFS($M22:$EF22,$M$11:$EF$11,TODAY()-1,$M$13:$EF$13,O$13)</f>
        <v>0</v>
      </c>
      <c r="K22" s="686"/>
      <c r="L22" s="605">
        <f t="shared" ca="1" si="197"/>
        <v>0</v>
      </c>
      <c r="M22" s="1026">
        <v>1</v>
      </c>
      <c r="N22" s="1027">
        <v>1</v>
      </c>
      <c r="O22" s="208">
        <f>_xlfn.IFS(M22=0,0,N22&lt;=M22,N22/M22,N22&gt;M22,1)</f>
        <v>1</v>
      </c>
      <c r="P22" s="1029">
        <v>150000</v>
      </c>
      <c r="Q22" s="1026">
        <v>1</v>
      </c>
      <c r="R22" s="1027">
        <v>1</v>
      </c>
      <c r="S22" s="208">
        <f t="shared" ref="S22:S25" si="203">_xlfn.IFS(Q22=0,0,R22&lt;=Q22,R22/Q22,R22&gt;Q22,1)</f>
        <v>1</v>
      </c>
      <c r="T22" s="1029">
        <v>150000</v>
      </c>
      <c r="U22" s="1026">
        <v>1</v>
      </c>
      <c r="V22" s="1027">
        <v>1</v>
      </c>
      <c r="W22" s="208">
        <f t="shared" ref="W22:W25" si="204">_xlfn.IFS(U22=0,0,V22&lt;=U22,V22/U22,V22&gt;U22,1)</f>
        <v>1</v>
      </c>
      <c r="X22" s="1029">
        <v>150000</v>
      </c>
      <c r="Y22" s="1026">
        <v>1</v>
      </c>
      <c r="Z22" s="1027">
        <v>1</v>
      </c>
      <c r="AA22" s="208">
        <f t="shared" ref="AA22:AA25" si="205">_xlfn.IFS(Y22=0,0,Z22&lt;=Y22,Z22/Y22,Z22&gt;Y22,1)</f>
        <v>1</v>
      </c>
      <c r="AB22" s="1029">
        <v>150000</v>
      </c>
      <c r="AC22" s="1026">
        <v>1</v>
      </c>
      <c r="AD22" s="1027">
        <v>1</v>
      </c>
      <c r="AE22" s="208">
        <f t="shared" ref="AE22:AE25" si="206">_xlfn.IFS(AC22=0,0,AD22&lt;=AC22,AD22/AC22,AD22&gt;AC22,1)</f>
        <v>1</v>
      </c>
      <c r="AF22" s="1029">
        <v>150000</v>
      </c>
      <c r="AG22" s="1026">
        <v>1</v>
      </c>
      <c r="AH22" s="1027">
        <v>1</v>
      </c>
      <c r="AI22" s="208">
        <f t="shared" ref="AI22:AI25" si="207">_xlfn.IFS(AG22=0,0,AH22&lt;=AG22,AH22/AG22,AH22&gt;AG22,1)</f>
        <v>1</v>
      </c>
      <c r="AJ22" s="1029">
        <v>150000</v>
      </c>
      <c r="AK22" s="1026">
        <v>1</v>
      </c>
      <c r="AL22" s="1027">
        <v>1</v>
      </c>
      <c r="AM22" s="208">
        <f t="shared" ref="AM22:AM25" si="208">_xlfn.IFS(AK22=0,0,AL22&lt;=AK22,AL22/AK22,AL22&gt;AK22,1)</f>
        <v>1</v>
      </c>
      <c r="AN22" s="1029">
        <v>150000</v>
      </c>
      <c r="AO22" s="1026">
        <v>1</v>
      </c>
      <c r="AP22" s="1027">
        <v>1</v>
      </c>
      <c r="AQ22" s="208">
        <f t="shared" ref="AQ22:AQ25" si="209">_xlfn.IFS(AO22=0,0,AP22&lt;=AO22,AP22/AO22,AP22&gt;AO22,1)</f>
        <v>1</v>
      </c>
      <c r="AR22" s="1029">
        <v>150000</v>
      </c>
      <c r="AS22" s="1026">
        <v>1</v>
      </c>
      <c r="AT22" s="1027">
        <v>1</v>
      </c>
      <c r="AU22" s="208">
        <f t="shared" ref="AU22:AU25" si="210">_xlfn.IFS(AS22=0,0,AT22&lt;=AS22,AT22/AS22,AT22&gt;AS22,1)</f>
        <v>1</v>
      </c>
      <c r="AV22" s="1029">
        <v>150000</v>
      </c>
      <c r="AW22" s="1026">
        <v>1</v>
      </c>
      <c r="AX22" s="1027">
        <v>1</v>
      </c>
      <c r="AY22" s="208">
        <f t="shared" ref="AY22:AY25" si="211">_xlfn.IFS(AW22=0,0,AX22&lt;=AW22,AX22/AW22,AX22&gt;AW22,1)</f>
        <v>1</v>
      </c>
      <c r="AZ22" s="1029">
        <v>150000</v>
      </c>
      <c r="BA22" s="1026">
        <v>1</v>
      </c>
      <c r="BB22" s="1027">
        <v>1</v>
      </c>
      <c r="BC22" s="208">
        <f t="shared" ref="BC22:BC25" si="212">_xlfn.IFS(BA22=0,0,BB22&lt;=BA22,BB22/BA22,BB22&gt;BA22,1)</f>
        <v>1</v>
      </c>
      <c r="BD22" s="1029">
        <v>150000</v>
      </c>
      <c r="BE22" s="1026">
        <v>1</v>
      </c>
      <c r="BF22" s="1027">
        <v>1</v>
      </c>
      <c r="BG22" s="208">
        <f t="shared" ref="BG22:BG25" si="213">_xlfn.IFS(BE22=0,0,BF22&lt;=BE22,BF22/BE22,BF22&gt;BE22,1)</f>
        <v>1</v>
      </c>
      <c r="BH22" s="1029">
        <v>150000</v>
      </c>
      <c r="BI22" s="1026">
        <v>1</v>
      </c>
      <c r="BJ22" s="1027">
        <v>1</v>
      </c>
      <c r="BK22" s="208">
        <f t="shared" ref="BK22:BK25" si="214">_xlfn.IFS(BI22=0,0,BJ22&lt;=BI22,BJ22/BI22,BJ22&gt;BI22,1)</f>
        <v>1</v>
      </c>
      <c r="BL22" s="1029">
        <v>150000</v>
      </c>
      <c r="BM22" s="1026">
        <v>1</v>
      </c>
      <c r="BN22" s="1027">
        <v>1</v>
      </c>
      <c r="BO22" s="208">
        <f t="shared" ref="BO22:BO25" si="215">_xlfn.IFS(BM22=0,0,BN22&lt;=BM22,BN22/BM22,BN22&gt;BM22,1)</f>
        <v>1</v>
      </c>
      <c r="BP22" s="1029">
        <v>150000</v>
      </c>
      <c r="BQ22" s="1026">
        <v>1</v>
      </c>
      <c r="BR22" s="1027">
        <v>1</v>
      </c>
      <c r="BS22" s="208">
        <f t="shared" ref="BS22:BS25" si="216">_xlfn.IFS(BQ22=0,0,BR22&lt;=BQ22,BR22/BQ22,BR22&gt;BQ22,1)</f>
        <v>1</v>
      </c>
      <c r="BT22" s="1029">
        <v>150000</v>
      </c>
      <c r="BU22" s="1026">
        <v>1</v>
      </c>
      <c r="BV22" s="1027">
        <v>1</v>
      </c>
      <c r="BW22" s="208">
        <f t="shared" ref="BW22:BW25" si="217">_xlfn.IFS(BU22=0,0,BV22&lt;=BU22,BV22/BU22,BV22&gt;BU22,1)</f>
        <v>1</v>
      </c>
      <c r="BX22" s="1029">
        <v>150000</v>
      </c>
      <c r="BY22" s="1026">
        <v>1</v>
      </c>
      <c r="BZ22" s="1027">
        <v>1</v>
      </c>
      <c r="CA22" s="208">
        <f t="shared" ref="CA22:CA25" si="218">_xlfn.IFS(BY22=0,0,BZ22&lt;=BY22,BZ22/BY22,BZ22&gt;BY22,1)</f>
        <v>1</v>
      </c>
      <c r="CB22" s="1029">
        <v>150000</v>
      </c>
      <c r="CC22" s="1026">
        <v>1</v>
      </c>
      <c r="CD22" s="1027">
        <v>1</v>
      </c>
      <c r="CE22" s="208">
        <f t="shared" ref="CE22:CE25" si="219">_xlfn.IFS(CC22=0,0,CD22&lt;=CC22,CD22/CC22,CD22&gt;CC22,1)</f>
        <v>1</v>
      </c>
      <c r="CF22" s="1029">
        <v>150000</v>
      </c>
      <c r="CG22" s="1026">
        <v>1</v>
      </c>
      <c r="CH22" s="1027">
        <v>1</v>
      </c>
      <c r="CI22" s="208">
        <f t="shared" ref="CI22:CI25" si="220">_xlfn.IFS(CG22=0,0,CH22&lt;=CG22,CH22/CG22,CH22&gt;CG22,1)</f>
        <v>1</v>
      </c>
      <c r="CJ22" s="1029">
        <v>150000</v>
      </c>
      <c r="CK22" s="1026">
        <v>1</v>
      </c>
      <c r="CL22" s="1027">
        <v>1</v>
      </c>
      <c r="CM22" s="208">
        <f t="shared" ref="CM22:CM25" si="221">_xlfn.IFS(CK22=0,0,CL22&lt;=CK22,CL22/CK22,CL22&gt;CK22,1)</f>
        <v>1</v>
      </c>
      <c r="CN22" s="1029">
        <v>150000</v>
      </c>
      <c r="CO22" s="1026">
        <v>1</v>
      </c>
      <c r="CP22" s="1027">
        <v>1</v>
      </c>
      <c r="CQ22" s="208">
        <f t="shared" ref="CQ22:CQ25" si="222">_xlfn.IFS(CO22=0,0,CP22&lt;=CO22,CP22/CO22,CP22&gt;CO22,1)</f>
        <v>1</v>
      </c>
      <c r="CR22" s="1029">
        <v>150000</v>
      </c>
      <c r="CS22" s="1026">
        <v>1</v>
      </c>
      <c r="CT22" s="1027">
        <v>1</v>
      </c>
      <c r="CU22" s="208">
        <f t="shared" ref="CU22:CU25" si="223">_xlfn.IFS(CS22=0,0,CT22&lt;=CS22,CT22/CS22,CT22&gt;CS22,1)</f>
        <v>1</v>
      </c>
      <c r="CV22" s="1029">
        <v>150000</v>
      </c>
      <c r="CW22" s="1026">
        <v>1</v>
      </c>
      <c r="CX22" s="1027">
        <v>1</v>
      </c>
      <c r="CY22" s="208">
        <f t="shared" ref="CY22:CY25" si="224">_xlfn.IFS(CW22=0,0,CX22&lt;=CW22,CX22/CW22,CX22&gt;CW22,1)</f>
        <v>1</v>
      </c>
      <c r="CZ22" s="1029">
        <v>150000</v>
      </c>
      <c r="DA22" s="1026">
        <v>1</v>
      </c>
      <c r="DB22" s="1027">
        <v>1</v>
      </c>
      <c r="DC22" s="208">
        <f t="shared" ref="DC22:DC25" si="225">_xlfn.IFS(DA22=0,0,DB22&lt;=DA22,DB22/DA22,DB22&gt;DA22,1)</f>
        <v>1</v>
      </c>
      <c r="DD22" s="1029">
        <v>150000</v>
      </c>
      <c r="DE22" s="1026">
        <v>1</v>
      </c>
      <c r="DF22" s="1027">
        <v>1</v>
      </c>
      <c r="DG22" s="208">
        <f t="shared" ref="DG22:DG25" si="226">_xlfn.IFS(DE22=0,0,DF22&lt;=DE22,DF22/DE22,DF22&gt;DE22,1)</f>
        <v>1</v>
      </c>
      <c r="DH22" s="1029">
        <v>150000</v>
      </c>
      <c r="DI22" s="1026">
        <v>1</v>
      </c>
      <c r="DJ22" s="1027">
        <v>1</v>
      </c>
      <c r="DK22" s="208">
        <f t="shared" ref="DK22:DK25" si="227">_xlfn.IFS(DI22=0,0,DJ22&lt;=DI22,DJ22/DI22,DJ22&gt;DI22,1)</f>
        <v>1</v>
      </c>
      <c r="DL22" s="1029">
        <v>150000</v>
      </c>
      <c r="DM22" s="1026">
        <v>1</v>
      </c>
      <c r="DN22" s="1027">
        <v>1</v>
      </c>
      <c r="DO22" s="208">
        <f t="shared" ref="DO22:DO25" si="228">_xlfn.IFS(DM22=0,0,DN22&lt;=DM22,DN22/DM22,DN22&gt;DM22,1)</f>
        <v>1</v>
      </c>
      <c r="DP22" s="1029">
        <v>150000</v>
      </c>
      <c r="DQ22" s="1026">
        <v>1</v>
      </c>
      <c r="DR22" s="1027">
        <v>1</v>
      </c>
      <c r="DS22" s="208">
        <f t="shared" ref="DS22:DS25" si="229">_xlfn.IFS(DQ22=0,0,DR22&lt;=DQ22,DR22/DQ22,DR22&gt;DQ22,1)</f>
        <v>1</v>
      </c>
      <c r="DT22" s="1029">
        <v>150000</v>
      </c>
      <c r="DU22" s="1026">
        <v>1</v>
      </c>
      <c r="DV22" s="1027">
        <v>1</v>
      </c>
      <c r="DW22" s="208">
        <f t="shared" ref="DW22:DW25" si="230">_xlfn.IFS(DU22=0,0,DV22&lt;=DU22,DV22/DU22,DV22&gt;DU22,1)</f>
        <v>1</v>
      </c>
      <c r="DX22" s="1029">
        <v>150000</v>
      </c>
      <c r="DY22" s="1026">
        <v>1</v>
      </c>
      <c r="DZ22" s="1027">
        <v>1</v>
      </c>
      <c r="EA22" s="208">
        <f t="shared" ref="EA22:EA25" si="231">_xlfn.IFS(DY22=0,0,DZ22&lt;=DY22,DZ22/DY22,DZ22&gt;DY22,1)</f>
        <v>1</v>
      </c>
      <c r="EB22" s="1029">
        <v>150000</v>
      </c>
      <c r="EC22" s="1026">
        <v>1</v>
      </c>
      <c r="ED22" s="1027">
        <v>1</v>
      </c>
      <c r="EE22" s="208">
        <f t="shared" ref="EE22:EE25" si="232">_xlfn.IFS(EC22=0,0,ED22&lt;=EC22,ED22/EC22,ED22&gt;EC22,1)</f>
        <v>1</v>
      </c>
      <c r="EF22" s="1029">
        <v>150000</v>
      </c>
    </row>
    <row r="23" spans="1:136" ht="20" customHeight="1" x14ac:dyDescent="0.15">
      <c r="A23" s="189">
        <f t="shared" si="198"/>
        <v>0</v>
      </c>
      <c r="B23" s="946"/>
      <c r="C23" s="971" t="s">
        <v>136</v>
      </c>
      <c r="D23" s="610">
        <f t="shared" si="199"/>
        <v>2000000</v>
      </c>
      <c r="E23" s="1082">
        <f t="shared" si="195"/>
        <v>4650000</v>
      </c>
      <c r="F23" s="610">
        <f t="shared" si="200"/>
        <v>2650000</v>
      </c>
      <c r="G23" s="208">
        <f t="shared" si="201"/>
        <v>1</v>
      </c>
      <c r="H23" s="208">
        <f t="shared" si="202"/>
        <v>1</v>
      </c>
      <c r="I23" s="954"/>
      <c r="J23" s="208">
        <f ca="1">SUMIFS($M23:$EF23,$M$11:$EF$11,TODAY()-1,$M$13:$EF$13,O$13)</f>
        <v>0</v>
      </c>
      <c r="K23" s="686"/>
      <c r="L23" s="605">
        <f t="shared" ca="1" si="197"/>
        <v>0</v>
      </c>
      <c r="M23" s="1026">
        <v>3</v>
      </c>
      <c r="N23" s="1027">
        <v>3</v>
      </c>
      <c r="O23" s="208">
        <f>_xlfn.IFS(M23=0,0,N23&lt;=M23,N23/M23,N23&gt;M23,1)</f>
        <v>1</v>
      </c>
      <c r="P23" s="1029">
        <v>150000</v>
      </c>
      <c r="Q23" s="1026">
        <v>3</v>
      </c>
      <c r="R23" s="1027">
        <v>3</v>
      </c>
      <c r="S23" s="208">
        <f t="shared" si="203"/>
        <v>1</v>
      </c>
      <c r="T23" s="1029">
        <v>150000</v>
      </c>
      <c r="U23" s="1026">
        <v>3</v>
      </c>
      <c r="V23" s="1027">
        <v>3</v>
      </c>
      <c r="W23" s="208">
        <f t="shared" si="204"/>
        <v>1</v>
      </c>
      <c r="X23" s="1029">
        <v>150000</v>
      </c>
      <c r="Y23" s="1026">
        <v>3</v>
      </c>
      <c r="Z23" s="1027">
        <v>3</v>
      </c>
      <c r="AA23" s="208">
        <f t="shared" si="205"/>
        <v>1</v>
      </c>
      <c r="AB23" s="1029">
        <v>150000</v>
      </c>
      <c r="AC23" s="1026">
        <v>3</v>
      </c>
      <c r="AD23" s="1027">
        <v>3</v>
      </c>
      <c r="AE23" s="208">
        <f t="shared" si="206"/>
        <v>1</v>
      </c>
      <c r="AF23" s="1029">
        <v>150000</v>
      </c>
      <c r="AG23" s="1026">
        <v>3</v>
      </c>
      <c r="AH23" s="1027">
        <v>3</v>
      </c>
      <c r="AI23" s="208">
        <f t="shared" si="207"/>
        <v>1</v>
      </c>
      <c r="AJ23" s="1029">
        <v>150000</v>
      </c>
      <c r="AK23" s="1026">
        <v>3</v>
      </c>
      <c r="AL23" s="1027">
        <v>3</v>
      </c>
      <c r="AM23" s="208">
        <f t="shared" si="208"/>
        <v>1</v>
      </c>
      <c r="AN23" s="1029">
        <v>150000</v>
      </c>
      <c r="AO23" s="1026">
        <v>3</v>
      </c>
      <c r="AP23" s="1027">
        <v>3</v>
      </c>
      <c r="AQ23" s="208">
        <f t="shared" si="209"/>
        <v>1</v>
      </c>
      <c r="AR23" s="1029">
        <v>150000</v>
      </c>
      <c r="AS23" s="1026">
        <v>3</v>
      </c>
      <c r="AT23" s="1027">
        <v>3</v>
      </c>
      <c r="AU23" s="208">
        <f t="shared" si="210"/>
        <v>1</v>
      </c>
      <c r="AV23" s="1029">
        <v>150000</v>
      </c>
      <c r="AW23" s="1026">
        <v>3</v>
      </c>
      <c r="AX23" s="1027">
        <v>3</v>
      </c>
      <c r="AY23" s="208">
        <f t="shared" si="211"/>
        <v>1</v>
      </c>
      <c r="AZ23" s="1029">
        <v>150000</v>
      </c>
      <c r="BA23" s="1026">
        <v>3</v>
      </c>
      <c r="BB23" s="1027">
        <v>3</v>
      </c>
      <c r="BC23" s="208">
        <f t="shared" si="212"/>
        <v>1</v>
      </c>
      <c r="BD23" s="1029">
        <v>150000</v>
      </c>
      <c r="BE23" s="1026">
        <v>3</v>
      </c>
      <c r="BF23" s="1027">
        <v>3</v>
      </c>
      <c r="BG23" s="208">
        <f t="shared" si="213"/>
        <v>1</v>
      </c>
      <c r="BH23" s="1029">
        <v>150000</v>
      </c>
      <c r="BI23" s="1026">
        <v>3</v>
      </c>
      <c r="BJ23" s="1027">
        <v>3</v>
      </c>
      <c r="BK23" s="208">
        <f t="shared" si="214"/>
        <v>1</v>
      </c>
      <c r="BL23" s="1029">
        <v>150000</v>
      </c>
      <c r="BM23" s="1026">
        <v>3</v>
      </c>
      <c r="BN23" s="1027">
        <v>3</v>
      </c>
      <c r="BO23" s="208">
        <f t="shared" si="215"/>
        <v>1</v>
      </c>
      <c r="BP23" s="1029">
        <v>150000</v>
      </c>
      <c r="BQ23" s="1026">
        <v>3</v>
      </c>
      <c r="BR23" s="1027">
        <v>3</v>
      </c>
      <c r="BS23" s="208">
        <f t="shared" si="216"/>
        <v>1</v>
      </c>
      <c r="BT23" s="1029">
        <v>150000</v>
      </c>
      <c r="BU23" s="1026">
        <v>3</v>
      </c>
      <c r="BV23" s="1027">
        <v>3</v>
      </c>
      <c r="BW23" s="208">
        <f t="shared" si="217"/>
        <v>1</v>
      </c>
      <c r="BX23" s="1029">
        <v>150000</v>
      </c>
      <c r="BY23" s="1026">
        <v>3</v>
      </c>
      <c r="BZ23" s="1027">
        <v>3</v>
      </c>
      <c r="CA23" s="208">
        <f t="shared" si="218"/>
        <v>1</v>
      </c>
      <c r="CB23" s="1029">
        <v>150000</v>
      </c>
      <c r="CC23" s="1026">
        <v>3</v>
      </c>
      <c r="CD23" s="1027">
        <v>3</v>
      </c>
      <c r="CE23" s="208">
        <f t="shared" si="219"/>
        <v>1</v>
      </c>
      <c r="CF23" s="1029">
        <v>150000</v>
      </c>
      <c r="CG23" s="1026">
        <v>3</v>
      </c>
      <c r="CH23" s="1027">
        <v>3</v>
      </c>
      <c r="CI23" s="208">
        <f t="shared" si="220"/>
        <v>1</v>
      </c>
      <c r="CJ23" s="1029">
        <v>150000</v>
      </c>
      <c r="CK23" s="1026">
        <v>3</v>
      </c>
      <c r="CL23" s="1027">
        <v>3</v>
      </c>
      <c r="CM23" s="208">
        <f t="shared" si="221"/>
        <v>1</v>
      </c>
      <c r="CN23" s="1029">
        <v>150000</v>
      </c>
      <c r="CO23" s="1026">
        <v>3</v>
      </c>
      <c r="CP23" s="1027">
        <v>3</v>
      </c>
      <c r="CQ23" s="208">
        <f t="shared" si="222"/>
        <v>1</v>
      </c>
      <c r="CR23" s="1029">
        <v>150000</v>
      </c>
      <c r="CS23" s="1026">
        <v>3</v>
      </c>
      <c r="CT23" s="1027">
        <v>3</v>
      </c>
      <c r="CU23" s="208">
        <f t="shared" si="223"/>
        <v>1</v>
      </c>
      <c r="CV23" s="1029">
        <v>150000</v>
      </c>
      <c r="CW23" s="1026">
        <v>3</v>
      </c>
      <c r="CX23" s="1027">
        <v>3</v>
      </c>
      <c r="CY23" s="208">
        <f t="shared" si="224"/>
        <v>1</v>
      </c>
      <c r="CZ23" s="1029">
        <v>150000</v>
      </c>
      <c r="DA23" s="1026">
        <v>3</v>
      </c>
      <c r="DB23" s="1027">
        <v>3</v>
      </c>
      <c r="DC23" s="208">
        <f t="shared" si="225"/>
        <v>1</v>
      </c>
      <c r="DD23" s="1029">
        <v>150000</v>
      </c>
      <c r="DE23" s="1026">
        <v>3</v>
      </c>
      <c r="DF23" s="1027">
        <v>3</v>
      </c>
      <c r="DG23" s="208">
        <f t="shared" si="226"/>
        <v>1</v>
      </c>
      <c r="DH23" s="1029">
        <v>150000</v>
      </c>
      <c r="DI23" s="1026">
        <v>3</v>
      </c>
      <c r="DJ23" s="1027">
        <v>3</v>
      </c>
      <c r="DK23" s="208">
        <f t="shared" si="227"/>
        <v>1</v>
      </c>
      <c r="DL23" s="1029">
        <v>150000</v>
      </c>
      <c r="DM23" s="1026">
        <v>3</v>
      </c>
      <c r="DN23" s="1027">
        <v>3</v>
      </c>
      <c r="DO23" s="208">
        <f t="shared" si="228"/>
        <v>1</v>
      </c>
      <c r="DP23" s="1029">
        <v>150000</v>
      </c>
      <c r="DQ23" s="1026">
        <v>3</v>
      </c>
      <c r="DR23" s="1027">
        <v>3</v>
      </c>
      <c r="DS23" s="208">
        <f t="shared" si="229"/>
        <v>1</v>
      </c>
      <c r="DT23" s="1029">
        <v>150000</v>
      </c>
      <c r="DU23" s="1026">
        <v>3</v>
      </c>
      <c r="DV23" s="1027">
        <v>3</v>
      </c>
      <c r="DW23" s="208">
        <f t="shared" si="230"/>
        <v>1</v>
      </c>
      <c r="DX23" s="1029">
        <v>150000</v>
      </c>
      <c r="DY23" s="1026">
        <v>3</v>
      </c>
      <c r="DZ23" s="1027">
        <v>3</v>
      </c>
      <c r="EA23" s="208">
        <f t="shared" si="231"/>
        <v>1</v>
      </c>
      <c r="EB23" s="1029">
        <v>150000</v>
      </c>
      <c r="EC23" s="1026">
        <v>3</v>
      </c>
      <c r="ED23" s="1027">
        <v>3</v>
      </c>
      <c r="EE23" s="208">
        <f t="shared" si="232"/>
        <v>1</v>
      </c>
      <c r="EF23" s="1029">
        <v>150000</v>
      </c>
    </row>
    <row r="24" spans="1:136" ht="20" customHeight="1" x14ac:dyDescent="0.15">
      <c r="A24" s="189">
        <f t="shared" si="198"/>
        <v>0</v>
      </c>
      <c r="B24" s="946"/>
      <c r="C24" s="971" t="s">
        <v>137</v>
      </c>
      <c r="D24" s="610">
        <f t="shared" si="199"/>
        <v>2000000</v>
      </c>
      <c r="E24" s="1082">
        <f t="shared" si="195"/>
        <v>4650000</v>
      </c>
      <c r="F24" s="610">
        <f t="shared" si="200"/>
        <v>2650000</v>
      </c>
      <c r="G24" s="208">
        <f t="shared" si="201"/>
        <v>1</v>
      </c>
      <c r="H24" s="208">
        <f t="shared" si="202"/>
        <v>1</v>
      </c>
      <c r="I24" s="954"/>
      <c r="J24" s="208">
        <f ca="1">SUMIFS($M24:$EF24,$M$11:$EF$11,TODAY()-1,$M$13:$EF$13,O$13)</f>
        <v>0</v>
      </c>
      <c r="K24" s="686"/>
      <c r="L24" s="605">
        <f t="shared" ca="1" si="197"/>
        <v>0</v>
      </c>
      <c r="M24" s="1026">
        <v>3</v>
      </c>
      <c r="N24" s="1027">
        <v>3</v>
      </c>
      <c r="O24" s="208">
        <f t="shared" ref="O24:O25" si="233">_xlfn.IFS(M24=0,0,N24&lt;=M24,N24/M24,N24&gt;M24,1)</f>
        <v>1</v>
      </c>
      <c r="P24" s="1029">
        <v>150000</v>
      </c>
      <c r="Q24" s="1026">
        <v>3</v>
      </c>
      <c r="R24" s="1027">
        <v>3</v>
      </c>
      <c r="S24" s="208">
        <f t="shared" si="203"/>
        <v>1</v>
      </c>
      <c r="T24" s="1029">
        <v>150000</v>
      </c>
      <c r="U24" s="1026">
        <v>3</v>
      </c>
      <c r="V24" s="1027">
        <v>3</v>
      </c>
      <c r="W24" s="208">
        <f t="shared" si="204"/>
        <v>1</v>
      </c>
      <c r="X24" s="1029">
        <v>150000</v>
      </c>
      <c r="Y24" s="1026">
        <v>3</v>
      </c>
      <c r="Z24" s="1027">
        <v>3</v>
      </c>
      <c r="AA24" s="208">
        <f t="shared" si="205"/>
        <v>1</v>
      </c>
      <c r="AB24" s="1029">
        <v>150000</v>
      </c>
      <c r="AC24" s="1026">
        <v>3</v>
      </c>
      <c r="AD24" s="1027">
        <v>3</v>
      </c>
      <c r="AE24" s="208">
        <f t="shared" si="206"/>
        <v>1</v>
      </c>
      <c r="AF24" s="1029">
        <v>150000</v>
      </c>
      <c r="AG24" s="1026">
        <v>3</v>
      </c>
      <c r="AH24" s="1027">
        <v>3</v>
      </c>
      <c r="AI24" s="208">
        <f t="shared" si="207"/>
        <v>1</v>
      </c>
      <c r="AJ24" s="1029">
        <v>150000</v>
      </c>
      <c r="AK24" s="1026">
        <v>3</v>
      </c>
      <c r="AL24" s="1027">
        <v>3</v>
      </c>
      <c r="AM24" s="208">
        <f t="shared" si="208"/>
        <v>1</v>
      </c>
      <c r="AN24" s="1029">
        <v>150000</v>
      </c>
      <c r="AO24" s="1026">
        <v>3</v>
      </c>
      <c r="AP24" s="1027">
        <v>3</v>
      </c>
      <c r="AQ24" s="208">
        <f t="shared" si="209"/>
        <v>1</v>
      </c>
      <c r="AR24" s="1029">
        <v>150000</v>
      </c>
      <c r="AS24" s="1026">
        <v>3</v>
      </c>
      <c r="AT24" s="1027">
        <v>3</v>
      </c>
      <c r="AU24" s="208">
        <f t="shared" si="210"/>
        <v>1</v>
      </c>
      <c r="AV24" s="1029">
        <v>150000</v>
      </c>
      <c r="AW24" s="1026">
        <v>3</v>
      </c>
      <c r="AX24" s="1027">
        <v>3</v>
      </c>
      <c r="AY24" s="208">
        <f t="shared" si="211"/>
        <v>1</v>
      </c>
      <c r="AZ24" s="1029">
        <v>150000</v>
      </c>
      <c r="BA24" s="1026">
        <v>3</v>
      </c>
      <c r="BB24" s="1027">
        <v>3</v>
      </c>
      <c r="BC24" s="208">
        <f t="shared" si="212"/>
        <v>1</v>
      </c>
      <c r="BD24" s="1029">
        <v>150000</v>
      </c>
      <c r="BE24" s="1026">
        <v>3</v>
      </c>
      <c r="BF24" s="1027">
        <v>3</v>
      </c>
      <c r="BG24" s="208">
        <f t="shared" si="213"/>
        <v>1</v>
      </c>
      <c r="BH24" s="1029">
        <v>150000</v>
      </c>
      <c r="BI24" s="1026">
        <v>3</v>
      </c>
      <c r="BJ24" s="1027">
        <v>3</v>
      </c>
      <c r="BK24" s="208">
        <f t="shared" si="214"/>
        <v>1</v>
      </c>
      <c r="BL24" s="1029">
        <v>150000</v>
      </c>
      <c r="BM24" s="1026">
        <v>3</v>
      </c>
      <c r="BN24" s="1027">
        <v>3</v>
      </c>
      <c r="BO24" s="208">
        <f t="shared" si="215"/>
        <v>1</v>
      </c>
      <c r="BP24" s="1029">
        <v>150000</v>
      </c>
      <c r="BQ24" s="1026">
        <v>3</v>
      </c>
      <c r="BR24" s="1027">
        <v>3</v>
      </c>
      <c r="BS24" s="208">
        <f t="shared" si="216"/>
        <v>1</v>
      </c>
      <c r="BT24" s="1029">
        <v>150000</v>
      </c>
      <c r="BU24" s="1026">
        <v>3</v>
      </c>
      <c r="BV24" s="1027">
        <v>3</v>
      </c>
      <c r="BW24" s="208">
        <f t="shared" si="217"/>
        <v>1</v>
      </c>
      <c r="BX24" s="1029">
        <v>150000</v>
      </c>
      <c r="BY24" s="1026">
        <v>3</v>
      </c>
      <c r="BZ24" s="1027">
        <v>3</v>
      </c>
      <c r="CA24" s="208">
        <f t="shared" si="218"/>
        <v>1</v>
      </c>
      <c r="CB24" s="1029">
        <v>150000</v>
      </c>
      <c r="CC24" s="1026">
        <v>3</v>
      </c>
      <c r="CD24" s="1027">
        <v>3</v>
      </c>
      <c r="CE24" s="208">
        <f t="shared" si="219"/>
        <v>1</v>
      </c>
      <c r="CF24" s="1029">
        <v>150000</v>
      </c>
      <c r="CG24" s="1026">
        <v>3</v>
      </c>
      <c r="CH24" s="1027">
        <v>3</v>
      </c>
      <c r="CI24" s="208">
        <f t="shared" si="220"/>
        <v>1</v>
      </c>
      <c r="CJ24" s="1029">
        <v>150000</v>
      </c>
      <c r="CK24" s="1026">
        <v>3</v>
      </c>
      <c r="CL24" s="1027">
        <v>3</v>
      </c>
      <c r="CM24" s="208">
        <f t="shared" si="221"/>
        <v>1</v>
      </c>
      <c r="CN24" s="1029">
        <v>150000</v>
      </c>
      <c r="CO24" s="1026">
        <v>3</v>
      </c>
      <c r="CP24" s="1027">
        <v>3</v>
      </c>
      <c r="CQ24" s="208">
        <f t="shared" si="222"/>
        <v>1</v>
      </c>
      <c r="CR24" s="1029">
        <v>150000</v>
      </c>
      <c r="CS24" s="1026">
        <v>3</v>
      </c>
      <c r="CT24" s="1027">
        <v>3</v>
      </c>
      <c r="CU24" s="208">
        <f t="shared" si="223"/>
        <v>1</v>
      </c>
      <c r="CV24" s="1029">
        <v>150000</v>
      </c>
      <c r="CW24" s="1026">
        <v>3</v>
      </c>
      <c r="CX24" s="1027">
        <v>3</v>
      </c>
      <c r="CY24" s="208">
        <f t="shared" si="224"/>
        <v>1</v>
      </c>
      <c r="CZ24" s="1029">
        <v>150000</v>
      </c>
      <c r="DA24" s="1026">
        <v>3</v>
      </c>
      <c r="DB24" s="1027">
        <v>3</v>
      </c>
      <c r="DC24" s="208">
        <f t="shared" si="225"/>
        <v>1</v>
      </c>
      <c r="DD24" s="1029">
        <v>150000</v>
      </c>
      <c r="DE24" s="1026">
        <v>3</v>
      </c>
      <c r="DF24" s="1027">
        <v>3</v>
      </c>
      <c r="DG24" s="208">
        <f t="shared" si="226"/>
        <v>1</v>
      </c>
      <c r="DH24" s="1029">
        <v>150000</v>
      </c>
      <c r="DI24" s="1026">
        <v>3</v>
      </c>
      <c r="DJ24" s="1027">
        <v>3</v>
      </c>
      <c r="DK24" s="208">
        <f t="shared" si="227"/>
        <v>1</v>
      </c>
      <c r="DL24" s="1029">
        <v>150000</v>
      </c>
      <c r="DM24" s="1026">
        <v>3</v>
      </c>
      <c r="DN24" s="1027">
        <v>3</v>
      </c>
      <c r="DO24" s="208">
        <f t="shared" si="228"/>
        <v>1</v>
      </c>
      <c r="DP24" s="1029">
        <v>150000</v>
      </c>
      <c r="DQ24" s="1026">
        <v>3</v>
      </c>
      <c r="DR24" s="1027">
        <v>3</v>
      </c>
      <c r="DS24" s="208">
        <f t="shared" si="229"/>
        <v>1</v>
      </c>
      <c r="DT24" s="1029">
        <v>150000</v>
      </c>
      <c r="DU24" s="1026">
        <v>3</v>
      </c>
      <c r="DV24" s="1027">
        <v>3</v>
      </c>
      <c r="DW24" s="208">
        <f t="shared" si="230"/>
        <v>1</v>
      </c>
      <c r="DX24" s="1029">
        <v>150000</v>
      </c>
      <c r="DY24" s="1026">
        <v>3</v>
      </c>
      <c r="DZ24" s="1027">
        <v>3</v>
      </c>
      <c r="EA24" s="208">
        <f t="shared" si="231"/>
        <v>1</v>
      </c>
      <c r="EB24" s="1029">
        <v>150000</v>
      </c>
      <c r="EC24" s="1026">
        <v>3</v>
      </c>
      <c r="ED24" s="1027">
        <v>3</v>
      </c>
      <c r="EE24" s="208">
        <f t="shared" si="232"/>
        <v>1</v>
      </c>
      <c r="EF24" s="1029">
        <v>150000</v>
      </c>
    </row>
    <row r="25" spans="1:136" ht="20" customHeight="1" x14ac:dyDescent="0.15">
      <c r="A25" s="189">
        <f t="shared" si="198"/>
        <v>0</v>
      </c>
      <c r="B25" s="946"/>
      <c r="C25" s="971" t="s">
        <v>138</v>
      </c>
      <c r="D25" s="610">
        <f t="shared" si="199"/>
        <v>2000000</v>
      </c>
      <c r="E25" s="1082">
        <f t="shared" si="195"/>
        <v>4650000</v>
      </c>
      <c r="F25" s="610">
        <f t="shared" si="200"/>
        <v>2650000</v>
      </c>
      <c r="G25" s="208">
        <f t="shared" si="201"/>
        <v>1</v>
      </c>
      <c r="H25" s="208">
        <f t="shared" si="202"/>
        <v>1</v>
      </c>
      <c r="I25" s="954"/>
      <c r="J25" s="208">
        <f ca="1">SUMIFS($M25:$EF25,$M$11:$EF$11,TODAY()-1,$M$13:$EF$13,O$13)</f>
        <v>0</v>
      </c>
      <c r="K25" s="686"/>
      <c r="L25" s="605">
        <f t="shared" ca="1" si="197"/>
        <v>0</v>
      </c>
      <c r="M25" s="1026">
        <v>3</v>
      </c>
      <c r="N25" s="1027">
        <v>3</v>
      </c>
      <c r="O25" s="208">
        <f t="shared" si="233"/>
        <v>1</v>
      </c>
      <c r="P25" s="1029">
        <v>150000</v>
      </c>
      <c r="Q25" s="1026">
        <v>3</v>
      </c>
      <c r="R25" s="1027">
        <v>3</v>
      </c>
      <c r="S25" s="208">
        <f t="shared" si="203"/>
        <v>1</v>
      </c>
      <c r="T25" s="1029">
        <v>150000</v>
      </c>
      <c r="U25" s="1026">
        <v>3</v>
      </c>
      <c r="V25" s="1027">
        <v>3</v>
      </c>
      <c r="W25" s="208">
        <f t="shared" si="204"/>
        <v>1</v>
      </c>
      <c r="X25" s="1029">
        <v>150000</v>
      </c>
      <c r="Y25" s="1026">
        <v>3</v>
      </c>
      <c r="Z25" s="1027">
        <v>3</v>
      </c>
      <c r="AA25" s="208">
        <f t="shared" si="205"/>
        <v>1</v>
      </c>
      <c r="AB25" s="1029">
        <v>150000</v>
      </c>
      <c r="AC25" s="1026">
        <v>3</v>
      </c>
      <c r="AD25" s="1027">
        <v>3</v>
      </c>
      <c r="AE25" s="208">
        <f t="shared" si="206"/>
        <v>1</v>
      </c>
      <c r="AF25" s="1029">
        <v>150000</v>
      </c>
      <c r="AG25" s="1026">
        <v>3</v>
      </c>
      <c r="AH25" s="1027">
        <v>3</v>
      </c>
      <c r="AI25" s="208">
        <f t="shared" si="207"/>
        <v>1</v>
      </c>
      <c r="AJ25" s="1029">
        <v>150000</v>
      </c>
      <c r="AK25" s="1026">
        <v>3</v>
      </c>
      <c r="AL25" s="1027">
        <v>3</v>
      </c>
      <c r="AM25" s="208">
        <f t="shared" si="208"/>
        <v>1</v>
      </c>
      <c r="AN25" s="1029">
        <v>150000</v>
      </c>
      <c r="AO25" s="1026">
        <v>3</v>
      </c>
      <c r="AP25" s="1027">
        <v>3</v>
      </c>
      <c r="AQ25" s="208">
        <f t="shared" si="209"/>
        <v>1</v>
      </c>
      <c r="AR25" s="1029">
        <v>150000</v>
      </c>
      <c r="AS25" s="1026">
        <v>3</v>
      </c>
      <c r="AT25" s="1027">
        <v>3</v>
      </c>
      <c r="AU25" s="208">
        <f t="shared" si="210"/>
        <v>1</v>
      </c>
      <c r="AV25" s="1029">
        <v>150000</v>
      </c>
      <c r="AW25" s="1026">
        <v>3</v>
      </c>
      <c r="AX25" s="1027">
        <v>3</v>
      </c>
      <c r="AY25" s="208">
        <f t="shared" si="211"/>
        <v>1</v>
      </c>
      <c r="AZ25" s="1029">
        <v>150000</v>
      </c>
      <c r="BA25" s="1026">
        <v>3</v>
      </c>
      <c r="BB25" s="1027">
        <v>3</v>
      </c>
      <c r="BC25" s="208">
        <f t="shared" si="212"/>
        <v>1</v>
      </c>
      <c r="BD25" s="1029">
        <v>150000</v>
      </c>
      <c r="BE25" s="1026">
        <v>3</v>
      </c>
      <c r="BF25" s="1027">
        <v>3</v>
      </c>
      <c r="BG25" s="208">
        <f t="shared" si="213"/>
        <v>1</v>
      </c>
      <c r="BH25" s="1029">
        <v>150000</v>
      </c>
      <c r="BI25" s="1026">
        <v>3</v>
      </c>
      <c r="BJ25" s="1027">
        <v>3</v>
      </c>
      <c r="BK25" s="208">
        <f t="shared" si="214"/>
        <v>1</v>
      </c>
      <c r="BL25" s="1029">
        <v>150000</v>
      </c>
      <c r="BM25" s="1026">
        <v>3</v>
      </c>
      <c r="BN25" s="1027">
        <v>3</v>
      </c>
      <c r="BO25" s="208">
        <f t="shared" si="215"/>
        <v>1</v>
      </c>
      <c r="BP25" s="1029">
        <v>150000</v>
      </c>
      <c r="BQ25" s="1026">
        <v>3</v>
      </c>
      <c r="BR25" s="1027">
        <v>3</v>
      </c>
      <c r="BS25" s="208">
        <f t="shared" si="216"/>
        <v>1</v>
      </c>
      <c r="BT25" s="1029">
        <v>150000</v>
      </c>
      <c r="BU25" s="1026">
        <v>3</v>
      </c>
      <c r="BV25" s="1027">
        <v>3</v>
      </c>
      <c r="BW25" s="208">
        <f t="shared" si="217"/>
        <v>1</v>
      </c>
      <c r="BX25" s="1029">
        <v>150000</v>
      </c>
      <c r="BY25" s="1026">
        <v>3</v>
      </c>
      <c r="BZ25" s="1027">
        <v>3</v>
      </c>
      <c r="CA25" s="208">
        <f t="shared" si="218"/>
        <v>1</v>
      </c>
      <c r="CB25" s="1029">
        <v>150000</v>
      </c>
      <c r="CC25" s="1026">
        <v>3</v>
      </c>
      <c r="CD25" s="1027">
        <v>3</v>
      </c>
      <c r="CE25" s="208">
        <f t="shared" si="219"/>
        <v>1</v>
      </c>
      <c r="CF25" s="1029">
        <v>150000</v>
      </c>
      <c r="CG25" s="1026">
        <v>3</v>
      </c>
      <c r="CH25" s="1027">
        <v>3</v>
      </c>
      <c r="CI25" s="208">
        <f t="shared" si="220"/>
        <v>1</v>
      </c>
      <c r="CJ25" s="1029">
        <v>150000</v>
      </c>
      <c r="CK25" s="1026">
        <v>3</v>
      </c>
      <c r="CL25" s="1027">
        <v>3</v>
      </c>
      <c r="CM25" s="208">
        <f t="shared" si="221"/>
        <v>1</v>
      </c>
      <c r="CN25" s="1029">
        <v>150000</v>
      </c>
      <c r="CO25" s="1026">
        <v>3</v>
      </c>
      <c r="CP25" s="1027">
        <v>3</v>
      </c>
      <c r="CQ25" s="208">
        <f t="shared" si="222"/>
        <v>1</v>
      </c>
      <c r="CR25" s="1029">
        <v>150000</v>
      </c>
      <c r="CS25" s="1026">
        <v>3</v>
      </c>
      <c r="CT25" s="1027">
        <v>3</v>
      </c>
      <c r="CU25" s="208">
        <f t="shared" si="223"/>
        <v>1</v>
      </c>
      <c r="CV25" s="1029">
        <v>150000</v>
      </c>
      <c r="CW25" s="1026">
        <v>3</v>
      </c>
      <c r="CX25" s="1027">
        <v>3</v>
      </c>
      <c r="CY25" s="208">
        <f t="shared" si="224"/>
        <v>1</v>
      </c>
      <c r="CZ25" s="1029">
        <v>150000</v>
      </c>
      <c r="DA25" s="1026">
        <v>3</v>
      </c>
      <c r="DB25" s="1027">
        <v>3</v>
      </c>
      <c r="DC25" s="208">
        <f t="shared" si="225"/>
        <v>1</v>
      </c>
      <c r="DD25" s="1029">
        <v>150000</v>
      </c>
      <c r="DE25" s="1026">
        <v>3</v>
      </c>
      <c r="DF25" s="1027">
        <v>3</v>
      </c>
      <c r="DG25" s="208">
        <f t="shared" si="226"/>
        <v>1</v>
      </c>
      <c r="DH25" s="1029">
        <v>150000</v>
      </c>
      <c r="DI25" s="1026">
        <v>3</v>
      </c>
      <c r="DJ25" s="1027">
        <v>3</v>
      </c>
      <c r="DK25" s="208">
        <f t="shared" si="227"/>
        <v>1</v>
      </c>
      <c r="DL25" s="1029">
        <v>150000</v>
      </c>
      <c r="DM25" s="1026">
        <v>3</v>
      </c>
      <c r="DN25" s="1027">
        <v>3</v>
      </c>
      <c r="DO25" s="208">
        <f t="shared" si="228"/>
        <v>1</v>
      </c>
      <c r="DP25" s="1029">
        <v>150000</v>
      </c>
      <c r="DQ25" s="1026">
        <v>3</v>
      </c>
      <c r="DR25" s="1027">
        <v>3</v>
      </c>
      <c r="DS25" s="208">
        <f t="shared" si="229"/>
        <v>1</v>
      </c>
      <c r="DT25" s="1029">
        <v>150000</v>
      </c>
      <c r="DU25" s="1026">
        <v>3</v>
      </c>
      <c r="DV25" s="1027">
        <v>3</v>
      </c>
      <c r="DW25" s="208">
        <f t="shared" si="230"/>
        <v>1</v>
      </c>
      <c r="DX25" s="1029">
        <v>150000</v>
      </c>
      <c r="DY25" s="1026">
        <v>3</v>
      </c>
      <c r="DZ25" s="1027">
        <v>3</v>
      </c>
      <c r="EA25" s="208">
        <f t="shared" si="231"/>
        <v>1</v>
      </c>
      <c r="EB25" s="1029">
        <v>150000</v>
      </c>
      <c r="EC25" s="1026">
        <v>3</v>
      </c>
      <c r="ED25" s="1027">
        <v>3</v>
      </c>
      <c r="EE25" s="208">
        <f t="shared" si="232"/>
        <v>1</v>
      </c>
      <c r="EF25" s="1029">
        <v>150000</v>
      </c>
    </row>
    <row r="26" spans="1:136" ht="20" customHeight="1" x14ac:dyDescent="0.15">
      <c r="A26" s="870">
        <f t="shared" si="198"/>
        <v>0</v>
      </c>
      <c r="B26" s="947"/>
      <c r="C26" s="942" t="str">
        <f>Dashboard!K97</f>
        <v>LANDING PAGE</v>
      </c>
      <c r="D26" s="686">
        <f>Dashboard!AK97</f>
        <v>50000000</v>
      </c>
      <c r="E26" s="1065">
        <f>SUMIF($M$13:$EF$13,$P$13,$M26:$EF26)</f>
        <v>15500000</v>
      </c>
      <c r="F26" s="686">
        <f t="shared" si="200"/>
        <v>-34500000</v>
      </c>
      <c r="G26" s="788">
        <f>_xlfn.IFS(F26&gt;0,1,F26&lt;=0,E26/D26)</f>
        <v>0.31</v>
      </c>
      <c r="H26" s="788">
        <f>IF(SUMIF(M$13:EF$13,$O$13,M26:EF26)&gt;0,AVERAGEIFS(M26:EF26,M26:EF26,"&gt;0",M$13:EF$13,$O$13),"NO NEW ORDER")</f>
        <v>0.76666666666666605</v>
      </c>
      <c r="I26" s="788">
        <f>Dashboard!M118</f>
        <v>0.16041666666666665</v>
      </c>
      <c r="J26" s="1109">
        <f ca="1">IF(SUM(J27:J31)&gt;0,AVERAGEIF(J27:J31,"&gt;0"),0)</f>
        <v>0</v>
      </c>
      <c r="K26" s="984">
        <f>D26/'Action Plan'!$C$6</f>
        <v>1923076.923076923</v>
      </c>
      <c r="L26" s="933">
        <f t="shared" ca="1" si="197"/>
        <v>0</v>
      </c>
      <c r="M26" s="900">
        <f>SUM(M27:M31)</f>
        <v>15</v>
      </c>
      <c r="N26" s="905">
        <f>SUM(N27:N31)</f>
        <v>12</v>
      </c>
      <c r="O26" s="860">
        <f>IF(SUM(O27:O31)&gt;0,AVERAGEIF(O27:O31,"&gt;0"),0)</f>
        <v>0.76666666666666661</v>
      </c>
      <c r="P26" s="896">
        <f>SUM(P27:P31)</f>
        <v>500000</v>
      </c>
      <c r="Q26" s="900">
        <f>SUM(Q27:Q31)</f>
        <v>15</v>
      </c>
      <c r="R26" s="905">
        <f>SUM(R27:R31)</f>
        <v>12</v>
      </c>
      <c r="S26" s="860">
        <f>IF(SUM(S27:S31)&gt;0,AVERAGEIF(S27:S31,"&gt;0"),0)</f>
        <v>0.76666666666666661</v>
      </c>
      <c r="T26" s="896">
        <f>SUM(T27:T31)</f>
        <v>500000</v>
      </c>
      <c r="U26" s="900">
        <f>SUM(U27:U31)</f>
        <v>15</v>
      </c>
      <c r="V26" s="905">
        <f>SUM(V27:V31)</f>
        <v>12</v>
      </c>
      <c r="W26" s="860">
        <f>IF(SUM(W27:W31)&gt;0,AVERAGEIF(W27:W31,"&gt;0"),0)</f>
        <v>0.76666666666666661</v>
      </c>
      <c r="X26" s="896">
        <f>SUM(X27:X31)</f>
        <v>500000</v>
      </c>
      <c r="Y26" s="900">
        <f>SUM(Y27:Y31)</f>
        <v>15</v>
      </c>
      <c r="Z26" s="905">
        <f>SUM(Z27:Z31)</f>
        <v>12</v>
      </c>
      <c r="AA26" s="860">
        <f>IF(SUM(AA27:AA31)&gt;0,AVERAGEIF(AA27:AA31,"&gt;0"),0)</f>
        <v>0.76666666666666661</v>
      </c>
      <c r="AB26" s="896">
        <f>SUM(AB27:AB31)</f>
        <v>500000</v>
      </c>
      <c r="AC26" s="900">
        <f>SUM(AC27:AC31)</f>
        <v>15</v>
      </c>
      <c r="AD26" s="905">
        <f>SUM(AD27:AD31)</f>
        <v>12</v>
      </c>
      <c r="AE26" s="860">
        <f>IF(SUM(AE27:AE31)&gt;0,AVERAGEIF(AE27:AE31,"&gt;0"),0)</f>
        <v>0.76666666666666661</v>
      </c>
      <c r="AF26" s="896">
        <f>SUM(AF27:AF31)</f>
        <v>500000</v>
      </c>
      <c r="AG26" s="900">
        <f>SUM(AG27:AG31)</f>
        <v>15</v>
      </c>
      <c r="AH26" s="905">
        <f>SUM(AH27:AH31)</f>
        <v>12</v>
      </c>
      <c r="AI26" s="860">
        <f>IF(SUM(AI27:AI31)&gt;0,AVERAGEIF(AI27:AI31,"&gt;0"),0)</f>
        <v>0.76666666666666661</v>
      </c>
      <c r="AJ26" s="896">
        <f>SUM(AJ27:AJ31)</f>
        <v>500000</v>
      </c>
      <c r="AK26" s="900">
        <f>SUM(AK27:AK31)</f>
        <v>15</v>
      </c>
      <c r="AL26" s="905">
        <f>SUM(AL27:AL31)</f>
        <v>12</v>
      </c>
      <c r="AM26" s="860">
        <f>IF(SUM(AM27:AM31)&gt;0,AVERAGEIF(AM27:AM31,"&gt;0"),0)</f>
        <v>0.76666666666666661</v>
      </c>
      <c r="AN26" s="896">
        <f>SUM(AN27:AN31)</f>
        <v>500000</v>
      </c>
      <c r="AO26" s="900">
        <f>SUM(AO27:AO31)</f>
        <v>15</v>
      </c>
      <c r="AP26" s="905">
        <f>SUM(AP27:AP31)</f>
        <v>12</v>
      </c>
      <c r="AQ26" s="860">
        <f>IF(SUM(AQ27:AQ31)&gt;0,AVERAGEIF(AQ27:AQ31,"&gt;0"),0)</f>
        <v>0.76666666666666661</v>
      </c>
      <c r="AR26" s="896">
        <f>SUM(AR27:AR31)</f>
        <v>500000</v>
      </c>
      <c r="AS26" s="900">
        <f>SUM(AS27:AS31)</f>
        <v>15</v>
      </c>
      <c r="AT26" s="905">
        <f>SUM(AT27:AT31)</f>
        <v>12</v>
      </c>
      <c r="AU26" s="860">
        <f>IF(SUM(AU27:AU31)&gt;0,AVERAGEIF(AU27:AU31,"&gt;0"),0)</f>
        <v>0.76666666666666661</v>
      </c>
      <c r="AV26" s="896">
        <f>SUM(AV27:AV31)</f>
        <v>500000</v>
      </c>
      <c r="AW26" s="900">
        <f>SUM(AW27:AW31)</f>
        <v>15</v>
      </c>
      <c r="AX26" s="905">
        <f>SUM(AX27:AX31)</f>
        <v>12</v>
      </c>
      <c r="AY26" s="860">
        <f>IF(SUM(AY27:AY31)&gt;0,AVERAGEIF(AY27:AY31,"&gt;0"),0)</f>
        <v>0.76666666666666661</v>
      </c>
      <c r="AZ26" s="896">
        <f>SUM(AZ27:AZ31)</f>
        <v>500000</v>
      </c>
      <c r="BA26" s="900">
        <f>SUM(BA27:BA31)</f>
        <v>15</v>
      </c>
      <c r="BB26" s="905">
        <f>SUM(BB27:BB31)</f>
        <v>12</v>
      </c>
      <c r="BC26" s="860">
        <f>IF(SUM(BC27:BC31)&gt;0,AVERAGEIF(BC27:BC31,"&gt;0"),0)</f>
        <v>0.76666666666666661</v>
      </c>
      <c r="BD26" s="896">
        <f>SUM(BD27:BD31)</f>
        <v>500000</v>
      </c>
      <c r="BE26" s="900">
        <f>SUM(BE27:BE31)</f>
        <v>15</v>
      </c>
      <c r="BF26" s="905">
        <f>SUM(BF27:BF31)</f>
        <v>12</v>
      </c>
      <c r="BG26" s="860">
        <f>IF(SUM(BG27:BG31)&gt;0,AVERAGEIF(BG27:BG31,"&gt;0"),0)</f>
        <v>0.76666666666666661</v>
      </c>
      <c r="BH26" s="896">
        <f>SUM(BH27:BH31)</f>
        <v>500000</v>
      </c>
      <c r="BI26" s="900">
        <f>SUM(BI27:BI31)</f>
        <v>15</v>
      </c>
      <c r="BJ26" s="905">
        <f>SUM(BJ27:BJ31)</f>
        <v>12</v>
      </c>
      <c r="BK26" s="860">
        <f>IF(SUM(BK27:BK31)&gt;0,AVERAGEIF(BK27:BK31,"&gt;0"),0)</f>
        <v>0.76666666666666661</v>
      </c>
      <c r="BL26" s="896">
        <f>SUM(BL27:BL31)</f>
        <v>500000</v>
      </c>
      <c r="BM26" s="900">
        <f>SUM(BM27:BM31)</f>
        <v>15</v>
      </c>
      <c r="BN26" s="905">
        <f>SUM(BN27:BN31)</f>
        <v>12</v>
      </c>
      <c r="BO26" s="860">
        <f>IF(SUM(BO27:BO31)&gt;0,AVERAGEIF(BO27:BO31,"&gt;0"),0)</f>
        <v>0.76666666666666661</v>
      </c>
      <c r="BP26" s="896">
        <f>SUM(BP27:BP31)</f>
        <v>500000</v>
      </c>
      <c r="BQ26" s="900">
        <f>SUM(BQ27:BQ31)</f>
        <v>15</v>
      </c>
      <c r="BR26" s="905">
        <f>SUM(BR27:BR31)</f>
        <v>12</v>
      </c>
      <c r="BS26" s="860">
        <f>IF(SUM(BS27:BS31)&gt;0,AVERAGEIF(BS27:BS31,"&gt;0"),0)</f>
        <v>0.76666666666666661</v>
      </c>
      <c r="BT26" s="896">
        <f>SUM(BT27:BT31)</f>
        <v>500000</v>
      </c>
      <c r="BU26" s="900">
        <f>SUM(BU27:BU31)</f>
        <v>15</v>
      </c>
      <c r="BV26" s="905">
        <f>SUM(BV27:BV31)</f>
        <v>12</v>
      </c>
      <c r="BW26" s="860">
        <f>IF(SUM(BW27:BW31)&gt;0,AVERAGEIF(BW27:BW31,"&gt;0"),0)</f>
        <v>0.76666666666666661</v>
      </c>
      <c r="BX26" s="896">
        <f>SUM(BX27:BX31)</f>
        <v>500000</v>
      </c>
      <c r="BY26" s="900">
        <f>SUM(BY27:BY31)</f>
        <v>15</v>
      </c>
      <c r="BZ26" s="905">
        <f>SUM(BZ27:BZ31)</f>
        <v>12</v>
      </c>
      <c r="CA26" s="860">
        <f>IF(SUM(CA27:CA31)&gt;0,AVERAGEIF(CA27:CA31,"&gt;0"),0)</f>
        <v>0.76666666666666661</v>
      </c>
      <c r="CB26" s="896">
        <f>SUM(CB27:CB31)</f>
        <v>500000</v>
      </c>
      <c r="CC26" s="900">
        <f>SUM(CC27:CC31)</f>
        <v>15</v>
      </c>
      <c r="CD26" s="905">
        <f>SUM(CD27:CD31)</f>
        <v>12</v>
      </c>
      <c r="CE26" s="860">
        <f>IF(SUM(CE27:CE31)&gt;0,AVERAGEIF(CE27:CE31,"&gt;0"),0)</f>
        <v>0.76666666666666661</v>
      </c>
      <c r="CF26" s="896">
        <f>SUM(CF27:CF31)</f>
        <v>500000</v>
      </c>
      <c r="CG26" s="900">
        <f>SUM(CG27:CG31)</f>
        <v>15</v>
      </c>
      <c r="CH26" s="905">
        <f>SUM(CH27:CH31)</f>
        <v>12</v>
      </c>
      <c r="CI26" s="860">
        <f>IF(SUM(CI27:CI31)&gt;0,AVERAGEIF(CI27:CI31,"&gt;0"),0)</f>
        <v>0.76666666666666661</v>
      </c>
      <c r="CJ26" s="896">
        <f>SUM(CJ27:CJ31)</f>
        <v>500000</v>
      </c>
      <c r="CK26" s="900">
        <f>SUM(CK27:CK31)</f>
        <v>15</v>
      </c>
      <c r="CL26" s="905">
        <f>SUM(CL27:CL31)</f>
        <v>12</v>
      </c>
      <c r="CM26" s="860">
        <f>IF(SUM(CM27:CM31)&gt;0,AVERAGEIF(CM27:CM31,"&gt;0"),0)</f>
        <v>0.76666666666666661</v>
      </c>
      <c r="CN26" s="896">
        <f>SUM(CN27:CN31)</f>
        <v>500000</v>
      </c>
      <c r="CO26" s="900">
        <f>SUM(CO27:CO31)</f>
        <v>15</v>
      </c>
      <c r="CP26" s="905">
        <f>SUM(CP27:CP31)</f>
        <v>12</v>
      </c>
      <c r="CQ26" s="860">
        <f>IF(SUM(CQ27:CQ31)&gt;0,AVERAGEIF(CQ27:CQ31,"&gt;0"),0)</f>
        <v>0.76666666666666661</v>
      </c>
      <c r="CR26" s="896">
        <f>SUM(CR27:CR31)</f>
        <v>500000</v>
      </c>
      <c r="CS26" s="900">
        <f>SUM(CS27:CS31)</f>
        <v>15</v>
      </c>
      <c r="CT26" s="905">
        <f>SUM(CT27:CT31)</f>
        <v>12</v>
      </c>
      <c r="CU26" s="860">
        <f>IF(SUM(CU27:CU31)&gt;0,AVERAGEIF(CU27:CU31,"&gt;0"),0)</f>
        <v>0.76666666666666661</v>
      </c>
      <c r="CV26" s="896">
        <f>SUM(CV27:CV31)</f>
        <v>500000</v>
      </c>
      <c r="CW26" s="900">
        <f>SUM(CW27:CW31)</f>
        <v>15</v>
      </c>
      <c r="CX26" s="905">
        <f>SUM(CX27:CX31)</f>
        <v>12</v>
      </c>
      <c r="CY26" s="860">
        <f>IF(SUM(CY27:CY31)&gt;0,AVERAGEIF(CY27:CY31,"&gt;0"),0)</f>
        <v>0.76666666666666661</v>
      </c>
      <c r="CZ26" s="896">
        <f>SUM(CZ27:CZ31)</f>
        <v>500000</v>
      </c>
      <c r="DA26" s="900">
        <f>SUM(DA27:DA31)</f>
        <v>15</v>
      </c>
      <c r="DB26" s="905">
        <f>SUM(DB27:DB31)</f>
        <v>12</v>
      </c>
      <c r="DC26" s="860">
        <f>IF(SUM(DC27:DC31)&gt;0,AVERAGEIF(DC27:DC31,"&gt;0"),0)</f>
        <v>0.76666666666666661</v>
      </c>
      <c r="DD26" s="896">
        <f>SUM(DD27:DD31)</f>
        <v>500000</v>
      </c>
      <c r="DE26" s="900">
        <f>SUM(DE27:DE31)</f>
        <v>15</v>
      </c>
      <c r="DF26" s="905">
        <f>SUM(DF27:DF31)</f>
        <v>12</v>
      </c>
      <c r="DG26" s="860">
        <f>IF(SUM(DG27:DG31)&gt;0,AVERAGEIF(DG27:DG31,"&gt;0"),0)</f>
        <v>0.76666666666666661</v>
      </c>
      <c r="DH26" s="896">
        <f>SUM(DH27:DH31)</f>
        <v>500000</v>
      </c>
      <c r="DI26" s="900">
        <f>SUM(DI27:DI31)</f>
        <v>15</v>
      </c>
      <c r="DJ26" s="905">
        <f>SUM(DJ27:DJ31)</f>
        <v>12</v>
      </c>
      <c r="DK26" s="860">
        <f>IF(SUM(DK27:DK31)&gt;0,AVERAGEIF(DK27:DK31,"&gt;0"),0)</f>
        <v>0.76666666666666661</v>
      </c>
      <c r="DL26" s="896">
        <f>SUM(DL27:DL31)</f>
        <v>500000</v>
      </c>
      <c r="DM26" s="900">
        <f>SUM(DM27:DM31)</f>
        <v>15</v>
      </c>
      <c r="DN26" s="905">
        <f>SUM(DN27:DN31)</f>
        <v>12</v>
      </c>
      <c r="DO26" s="860">
        <f>IF(SUM(DO27:DO31)&gt;0,AVERAGEIF(DO27:DO31,"&gt;0"),0)</f>
        <v>0.76666666666666661</v>
      </c>
      <c r="DP26" s="896">
        <f>SUM(DP27:DP31)</f>
        <v>500000</v>
      </c>
      <c r="DQ26" s="900">
        <f>SUM(DQ27:DQ31)</f>
        <v>15</v>
      </c>
      <c r="DR26" s="905">
        <f>SUM(DR27:DR31)</f>
        <v>12</v>
      </c>
      <c r="DS26" s="860">
        <f>IF(SUM(DS27:DS31)&gt;0,AVERAGEIF(DS27:DS31,"&gt;0"),0)</f>
        <v>0.76666666666666661</v>
      </c>
      <c r="DT26" s="896">
        <f>SUM(DT27:DT31)</f>
        <v>500000</v>
      </c>
      <c r="DU26" s="900">
        <f>SUM(DU27:DU31)</f>
        <v>15</v>
      </c>
      <c r="DV26" s="905">
        <f>SUM(DV27:DV31)</f>
        <v>12</v>
      </c>
      <c r="DW26" s="860">
        <f>IF(SUM(DW27:DW31)&gt;0,AVERAGEIF(DW27:DW31,"&gt;0"),0)</f>
        <v>0.76666666666666661</v>
      </c>
      <c r="DX26" s="896">
        <f>SUM(DX27:DX31)</f>
        <v>500000</v>
      </c>
      <c r="DY26" s="900">
        <f>SUM(DY27:DY31)</f>
        <v>15</v>
      </c>
      <c r="DZ26" s="905">
        <f>SUM(DZ27:DZ31)</f>
        <v>12</v>
      </c>
      <c r="EA26" s="860">
        <f>IF(SUM(EA27:EA31)&gt;0,AVERAGEIF(EA27:EA31,"&gt;0"),0)</f>
        <v>0.76666666666666661</v>
      </c>
      <c r="EB26" s="896">
        <f>SUM(EB27:EB31)</f>
        <v>500000</v>
      </c>
      <c r="EC26" s="900">
        <f>SUM(EC27:EC31)</f>
        <v>15</v>
      </c>
      <c r="ED26" s="905">
        <f>SUM(ED27:ED31)</f>
        <v>12</v>
      </c>
      <c r="EE26" s="860">
        <f>IF(SUM(EE27:EE31)&gt;0,AVERAGEIF(EE27:EE31,"&gt;0"),0)</f>
        <v>0.76666666666666661</v>
      </c>
      <c r="EF26" s="896">
        <f>SUM(EF27:EF31)</f>
        <v>500000</v>
      </c>
    </row>
    <row r="27" spans="1:136" ht="20" customHeight="1" x14ac:dyDescent="0.15">
      <c r="A27" s="189">
        <f t="shared" si="198"/>
        <v>0</v>
      </c>
      <c r="B27" s="947"/>
      <c r="C27" s="970" t="s">
        <v>134</v>
      </c>
      <c r="D27" s="851">
        <f>$D$26/5</f>
        <v>10000000</v>
      </c>
      <c r="E27" s="1082">
        <f t="shared" si="195"/>
        <v>3100000</v>
      </c>
      <c r="F27" s="610">
        <f t="shared" si="200"/>
        <v>-6900000</v>
      </c>
      <c r="G27" s="208">
        <f>_xlfn.IFS(F27&gt;0,1,F27&lt;=0,E27/D27)</f>
        <v>0.31</v>
      </c>
      <c r="H27" s="208">
        <f>IF(SUMIF(M$13:EF$13,$O$13,M27:EF27)&gt;0,AVERAGEIFS(M27:EF27,M27:EF27,"&gt;0",M$13:EF$13,$O$13),"NO NEW ORDER")</f>
        <v>0.66666666666666674</v>
      </c>
      <c r="I27" s="836"/>
      <c r="J27" s="1110">
        <f ca="1">SUMIFS($M27:$EF27,$M$11:$EF$11,TODAY()-1,$M$13:$EF$13,O$13)</f>
        <v>0</v>
      </c>
      <c r="K27" s="851"/>
      <c r="L27" s="605">
        <f t="shared" ca="1" si="197"/>
        <v>0</v>
      </c>
      <c r="M27" s="1026">
        <v>3</v>
      </c>
      <c r="N27" s="1027">
        <v>2</v>
      </c>
      <c r="O27" s="906">
        <f>_xlfn.IFS(M27=0,0,N27&lt;=M27,N27/M27,N27&gt;M27,1)</f>
        <v>0.66666666666666663</v>
      </c>
      <c r="P27" s="1029">
        <v>100000</v>
      </c>
      <c r="Q27" s="1026">
        <v>3</v>
      </c>
      <c r="R27" s="1027">
        <v>2</v>
      </c>
      <c r="S27" s="906">
        <f>_xlfn.IFS(Q27=0,0,R27&lt;=Q27,R27/Q27,R27&gt;Q27,1)</f>
        <v>0.66666666666666663</v>
      </c>
      <c r="T27" s="1029">
        <v>100000</v>
      </c>
      <c r="U27" s="1026">
        <v>3</v>
      </c>
      <c r="V27" s="1027">
        <v>2</v>
      </c>
      <c r="W27" s="906">
        <f>_xlfn.IFS(U27=0,0,V27&lt;=U27,V27/U27,V27&gt;U27,1)</f>
        <v>0.66666666666666663</v>
      </c>
      <c r="X27" s="1029">
        <v>100000</v>
      </c>
      <c r="Y27" s="1026">
        <v>3</v>
      </c>
      <c r="Z27" s="1027">
        <v>2</v>
      </c>
      <c r="AA27" s="906">
        <f>_xlfn.IFS(Y27=0,0,Z27&lt;=Y27,Z27/Y27,Z27&gt;Y27,1)</f>
        <v>0.66666666666666663</v>
      </c>
      <c r="AB27" s="1029">
        <v>100000</v>
      </c>
      <c r="AC27" s="1026">
        <v>3</v>
      </c>
      <c r="AD27" s="1027">
        <v>2</v>
      </c>
      <c r="AE27" s="906">
        <f>_xlfn.IFS(AC27=0,0,AD27&lt;=AC27,AD27/AC27,AD27&gt;AC27,1)</f>
        <v>0.66666666666666663</v>
      </c>
      <c r="AF27" s="1029">
        <v>100000</v>
      </c>
      <c r="AG27" s="1026">
        <v>3</v>
      </c>
      <c r="AH27" s="1027">
        <v>2</v>
      </c>
      <c r="AI27" s="906">
        <f>_xlfn.IFS(AG27=0,0,AH27&lt;=AG27,AH27/AG27,AH27&gt;AG27,1)</f>
        <v>0.66666666666666663</v>
      </c>
      <c r="AJ27" s="1029">
        <v>100000</v>
      </c>
      <c r="AK27" s="1026">
        <v>3</v>
      </c>
      <c r="AL27" s="1027">
        <v>2</v>
      </c>
      <c r="AM27" s="906">
        <f>_xlfn.IFS(AK27=0,0,AL27&lt;=AK27,AL27/AK27,AL27&gt;AK27,1)</f>
        <v>0.66666666666666663</v>
      </c>
      <c r="AN27" s="1029">
        <v>100000</v>
      </c>
      <c r="AO27" s="1026">
        <v>3</v>
      </c>
      <c r="AP27" s="1027">
        <v>2</v>
      </c>
      <c r="AQ27" s="906">
        <f>_xlfn.IFS(AO27=0,0,AP27&lt;=AO27,AP27/AO27,AP27&gt;AO27,1)</f>
        <v>0.66666666666666663</v>
      </c>
      <c r="AR27" s="1029">
        <v>100000</v>
      </c>
      <c r="AS27" s="1026">
        <v>3</v>
      </c>
      <c r="AT27" s="1027">
        <v>2</v>
      </c>
      <c r="AU27" s="906">
        <f>_xlfn.IFS(AS27=0,0,AT27&lt;=AS27,AT27/AS27,AT27&gt;AS27,1)</f>
        <v>0.66666666666666663</v>
      </c>
      <c r="AV27" s="1029">
        <v>100000</v>
      </c>
      <c r="AW27" s="1026">
        <v>3</v>
      </c>
      <c r="AX27" s="1027">
        <v>2</v>
      </c>
      <c r="AY27" s="906">
        <f>_xlfn.IFS(AW27=0,0,AX27&lt;=AW27,AX27/AW27,AX27&gt;AW27,1)</f>
        <v>0.66666666666666663</v>
      </c>
      <c r="AZ27" s="1029">
        <v>100000</v>
      </c>
      <c r="BA27" s="1026">
        <v>3</v>
      </c>
      <c r="BB27" s="1027">
        <v>2</v>
      </c>
      <c r="BC27" s="906">
        <f>_xlfn.IFS(BA27=0,0,BB27&lt;=BA27,BB27/BA27,BB27&gt;BA27,1)</f>
        <v>0.66666666666666663</v>
      </c>
      <c r="BD27" s="1029">
        <v>100000</v>
      </c>
      <c r="BE27" s="1026">
        <v>3</v>
      </c>
      <c r="BF27" s="1027">
        <v>2</v>
      </c>
      <c r="BG27" s="906">
        <f>_xlfn.IFS(BE27=0,0,BF27&lt;=BE27,BF27/BE27,BF27&gt;BE27,1)</f>
        <v>0.66666666666666663</v>
      </c>
      <c r="BH27" s="1029">
        <v>100000</v>
      </c>
      <c r="BI27" s="1026">
        <v>3</v>
      </c>
      <c r="BJ27" s="1027">
        <v>2</v>
      </c>
      <c r="BK27" s="906">
        <f>_xlfn.IFS(BI27=0,0,BJ27&lt;=BI27,BJ27/BI27,BJ27&gt;BI27,1)</f>
        <v>0.66666666666666663</v>
      </c>
      <c r="BL27" s="1029">
        <v>100000</v>
      </c>
      <c r="BM27" s="1026">
        <v>3</v>
      </c>
      <c r="BN27" s="1027">
        <v>2</v>
      </c>
      <c r="BO27" s="906">
        <f>_xlfn.IFS(BM27=0,0,BN27&lt;=BM27,BN27/BM27,BN27&gt;BM27,1)</f>
        <v>0.66666666666666663</v>
      </c>
      <c r="BP27" s="1029">
        <v>100000</v>
      </c>
      <c r="BQ27" s="1026">
        <v>3</v>
      </c>
      <c r="BR27" s="1027">
        <v>2</v>
      </c>
      <c r="BS27" s="906">
        <f>_xlfn.IFS(BQ27=0,0,BR27&lt;=BQ27,BR27/BQ27,BR27&gt;BQ27,1)</f>
        <v>0.66666666666666663</v>
      </c>
      <c r="BT27" s="1029">
        <v>100000</v>
      </c>
      <c r="BU27" s="1026">
        <v>3</v>
      </c>
      <c r="BV27" s="1027">
        <v>2</v>
      </c>
      <c r="BW27" s="906">
        <f>_xlfn.IFS(BU27=0,0,BV27&lt;=BU27,BV27/BU27,BV27&gt;BU27,1)</f>
        <v>0.66666666666666663</v>
      </c>
      <c r="BX27" s="1029">
        <v>100000</v>
      </c>
      <c r="BY27" s="1026">
        <v>3</v>
      </c>
      <c r="BZ27" s="1027">
        <v>2</v>
      </c>
      <c r="CA27" s="906">
        <f>_xlfn.IFS(BY27=0,0,BZ27&lt;=BY27,BZ27/BY27,BZ27&gt;BY27,1)</f>
        <v>0.66666666666666663</v>
      </c>
      <c r="CB27" s="1029">
        <v>100000</v>
      </c>
      <c r="CC27" s="1026">
        <v>3</v>
      </c>
      <c r="CD27" s="1027">
        <v>2</v>
      </c>
      <c r="CE27" s="906">
        <f>_xlfn.IFS(CC27=0,0,CD27&lt;=CC27,CD27/CC27,CD27&gt;CC27,1)</f>
        <v>0.66666666666666663</v>
      </c>
      <c r="CF27" s="1029">
        <v>100000</v>
      </c>
      <c r="CG27" s="1026">
        <v>3</v>
      </c>
      <c r="CH27" s="1027">
        <v>2</v>
      </c>
      <c r="CI27" s="906">
        <f>_xlfn.IFS(CG27=0,0,CH27&lt;=CG27,CH27/CG27,CH27&gt;CG27,1)</f>
        <v>0.66666666666666663</v>
      </c>
      <c r="CJ27" s="1029">
        <v>100000</v>
      </c>
      <c r="CK27" s="1026">
        <v>3</v>
      </c>
      <c r="CL27" s="1027">
        <v>2</v>
      </c>
      <c r="CM27" s="906">
        <f>_xlfn.IFS(CK27=0,0,CL27&lt;=CK27,CL27/CK27,CL27&gt;CK27,1)</f>
        <v>0.66666666666666663</v>
      </c>
      <c r="CN27" s="1029">
        <v>100000</v>
      </c>
      <c r="CO27" s="1026">
        <v>3</v>
      </c>
      <c r="CP27" s="1027">
        <v>2</v>
      </c>
      <c r="CQ27" s="906">
        <f>_xlfn.IFS(CO27=0,0,CP27&lt;=CO27,CP27/CO27,CP27&gt;CO27,1)</f>
        <v>0.66666666666666663</v>
      </c>
      <c r="CR27" s="1029">
        <v>100000</v>
      </c>
      <c r="CS27" s="1026">
        <v>3</v>
      </c>
      <c r="CT27" s="1027">
        <v>2</v>
      </c>
      <c r="CU27" s="906">
        <f>_xlfn.IFS(CS27=0,0,CT27&lt;=CS27,CT27/CS27,CT27&gt;CS27,1)</f>
        <v>0.66666666666666663</v>
      </c>
      <c r="CV27" s="1029">
        <v>100000</v>
      </c>
      <c r="CW27" s="1026">
        <v>3</v>
      </c>
      <c r="CX27" s="1027">
        <v>2</v>
      </c>
      <c r="CY27" s="906">
        <f>_xlfn.IFS(CW27=0,0,CX27&lt;=CW27,CX27/CW27,CX27&gt;CW27,1)</f>
        <v>0.66666666666666663</v>
      </c>
      <c r="CZ27" s="1029">
        <v>100000</v>
      </c>
      <c r="DA27" s="1026">
        <v>3</v>
      </c>
      <c r="DB27" s="1027">
        <v>2</v>
      </c>
      <c r="DC27" s="906">
        <f>_xlfn.IFS(DA27=0,0,DB27&lt;=DA27,DB27/DA27,DB27&gt;DA27,1)</f>
        <v>0.66666666666666663</v>
      </c>
      <c r="DD27" s="1029">
        <v>100000</v>
      </c>
      <c r="DE27" s="1026">
        <v>3</v>
      </c>
      <c r="DF27" s="1027">
        <v>2</v>
      </c>
      <c r="DG27" s="906">
        <f>_xlfn.IFS(DE27=0,0,DF27&lt;=DE27,DF27/DE27,DF27&gt;DE27,1)</f>
        <v>0.66666666666666663</v>
      </c>
      <c r="DH27" s="1029">
        <v>100000</v>
      </c>
      <c r="DI27" s="1026">
        <v>3</v>
      </c>
      <c r="DJ27" s="1027">
        <v>2</v>
      </c>
      <c r="DK27" s="906">
        <f>_xlfn.IFS(DI27=0,0,DJ27&lt;=DI27,DJ27/DI27,DJ27&gt;DI27,1)</f>
        <v>0.66666666666666663</v>
      </c>
      <c r="DL27" s="1029">
        <v>100000</v>
      </c>
      <c r="DM27" s="1026">
        <v>3</v>
      </c>
      <c r="DN27" s="1027">
        <v>2</v>
      </c>
      <c r="DO27" s="906">
        <f>_xlfn.IFS(DM27=0,0,DN27&lt;=DM27,DN27/DM27,DN27&gt;DM27,1)</f>
        <v>0.66666666666666663</v>
      </c>
      <c r="DP27" s="1029">
        <v>100000</v>
      </c>
      <c r="DQ27" s="1026">
        <v>3</v>
      </c>
      <c r="DR27" s="1027">
        <v>2</v>
      </c>
      <c r="DS27" s="906">
        <f>_xlfn.IFS(DQ27=0,0,DR27&lt;=DQ27,DR27/DQ27,DR27&gt;DQ27,1)</f>
        <v>0.66666666666666663</v>
      </c>
      <c r="DT27" s="1029">
        <v>100000</v>
      </c>
      <c r="DU27" s="1026">
        <v>3</v>
      </c>
      <c r="DV27" s="1027">
        <v>2</v>
      </c>
      <c r="DW27" s="906">
        <f>_xlfn.IFS(DU27=0,0,DV27&lt;=DU27,DV27/DU27,DV27&gt;DU27,1)</f>
        <v>0.66666666666666663</v>
      </c>
      <c r="DX27" s="1029">
        <v>100000</v>
      </c>
      <c r="DY27" s="1026">
        <v>3</v>
      </c>
      <c r="DZ27" s="1027">
        <v>2</v>
      </c>
      <c r="EA27" s="906">
        <f>_xlfn.IFS(DY27=0,0,DZ27&lt;=DY27,DZ27/DY27,DZ27&gt;DY27,1)</f>
        <v>0.66666666666666663</v>
      </c>
      <c r="EB27" s="1029">
        <v>100000</v>
      </c>
      <c r="EC27" s="1026">
        <v>3</v>
      </c>
      <c r="ED27" s="1027">
        <v>2</v>
      </c>
      <c r="EE27" s="906">
        <f>_xlfn.IFS(EC27=0,0,ED27&lt;=EC27,ED27/EC27,ED27&gt;EC27,1)</f>
        <v>0.66666666666666663</v>
      </c>
      <c r="EF27" s="1029">
        <v>100000</v>
      </c>
    </row>
    <row r="28" spans="1:136" ht="20" customHeight="1" x14ac:dyDescent="0.15">
      <c r="A28" s="189">
        <f t="shared" si="198"/>
        <v>0</v>
      </c>
      <c r="B28" s="947"/>
      <c r="C28" s="970" t="s">
        <v>135</v>
      </c>
      <c r="D28" s="851">
        <f>$D$26/5</f>
        <v>10000000</v>
      </c>
      <c r="E28" s="1082">
        <f t="shared" si="195"/>
        <v>3100000</v>
      </c>
      <c r="F28" s="610">
        <f t="shared" si="200"/>
        <v>-6900000</v>
      </c>
      <c r="G28" s="208">
        <f>_xlfn.IFS(F28&gt;0,1,F28&lt;=0,E28/D28)</f>
        <v>0.31</v>
      </c>
      <c r="H28" s="208">
        <f t="shared" ref="H28:H30" si="234">IF(SUMIF(M$13:EF$13,$O$13,M28:EF28)&gt;0,AVERAGEIFS(M28:EF28,M28:EF28,"&gt;0",M$13:EF$13,$O$13),"NO NEW ORDER")</f>
        <v>0.5</v>
      </c>
      <c r="I28" s="836"/>
      <c r="J28" s="1110">
        <f ca="1">SUMIFS($M28:$EF28,$M$11:$EF$11,TODAY()-1,$M$13:$EF$13,O$13)</f>
        <v>0</v>
      </c>
      <c r="K28" s="851"/>
      <c r="L28" s="605">
        <f t="shared" ca="1" si="197"/>
        <v>0</v>
      </c>
      <c r="M28" s="1026">
        <v>2</v>
      </c>
      <c r="N28" s="1027">
        <v>1</v>
      </c>
      <c r="O28" s="906">
        <f>_xlfn.IFS(M28=0,0,N28&lt;=M28,N28/M28,N28&gt;M28,1)</f>
        <v>0.5</v>
      </c>
      <c r="P28" s="1029">
        <v>100000</v>
      </c>
      <c r="Q28" s="1026">
        <v>2</v>
      </c>
      <c r="R28" s="1027">
        <v>1</v>
      </c>
      <c r="S28" s="906">
        <f>_xlfn.IFS(Q28=0,0,R28&lt;=Q28,R28/Q28,R28&gt;Q28,1)</f>
        <v>0.5</v>
      </c>
      <c r="T28" s="1029">
        <v>100000</v>
      </c>
      <c r="U28" s="1026">
        <v>2</v>
      </c>
      <c r="V28" s="1027">
        <v>1</v>
      </c>
      <c r="W28" s="906">
        <f>_xlfn.IFS(U28=0,0,V28&lt;=U28,V28/U28,V28&gt;U28,1)</f>
        <v>0.5</v>
      </c>
      <c r="X28" s="1029">
        <v>100000</v>
      </c>
      <c r="Y28" s="1026">
        <v>2</v>
      </c>
      <c r="Z28" s="1027">
        <v>1</v>
      </c>
      <c r="AA28" s="906">
        <f>_xlfn.IFS(Y28=0,0,Z28&lt;=Y28,Z28/Y28,Z28&gt;Y28,1)</f>
        <v>0.5</v>
      </c>
      <c r="AB28" s="1029">
        <v>100000</v>
      </c>
      <c r="AC28" s="1026">
        <v>2</v>
      </c>
      <c r="AD28" s="1027">
        <v>1</v>
      </c>
      <c r="AE28" s="906">
        <f>_xlfn.IFS(AC28=0,0,AD28&lt;=AC28,AD28/AC28,AD28&gt;AC28,1)</f>
        <v>0.5</v>
      </c>
      <c r="AF28" s="1029">
        <v>100000</v>
      </c>
      <c r="AG28" s="1026">
        <v>2</v>
      </c>
      <c r="AH28" s="1027">
        <v>1</v>
      </c>
      <c r="AI28" s="906">
        <f>_xlfn.IFS(AG28=0,0,AH28&lt;=AG28,AH28/AG28,AH28&gt;AG28,1)</f>
        <v>0.5</v>
      </c>
      <c r="AJ28" s="1029">
        <v>100000</v>
      </c>
      <c r="AK28" s="1026">
        <v>2</v>
      </c>
      <c r="AL28" s="1027">
        <v>1</v>
      </c>
      <c r="AM28" s="906">
        <f>_xlfn.IFS(AK28=0,0,AL28&lt;=AK28,AL28/AK28,AL28&gt;AK28,1)</f>
        <v>0.5</v>
      </c>
      <c r="AN28" s="1029">
        <v>100000</v>
      </c>
      <c r="AO28" s="1026">
        <v>2</v>
      </c>
      <c r="AP28" s="1027">
        <v>1</v>
      </c>
      <c r="AQ28" s="906">
        <f>_xlfn.IFS(AO28=0,0,AP28&lt;=AO28,AP28/AO28,AP28&gt;AO28,1)</f>
        <v>0.5</v>
      </c>
      <c r="AR28" s="1029">
        <v>100000</v>
      </c>
      <c r="AS28" s="1026">
        <v>2</v>
      </c>
      <c r="AT28" s="1027">
        <v>1</v>
      </c>
      <c r="AU28" s="906">
        <f>_xlfn.IFS(AS28=0,0,AT28&lt;=AS28,AT28/AS28,AT28&gt;AS28,1)</f>
        <v>0.5</v>
      </c>
      <c r="AV28" s="1029">
        <v>100000</v>
      </c>
      <c r="AW28" s="1026">
        <v>2</v>
      </c>
      <c r="AX28" s="1027">
        <v>1</v>
      </c>
      <c r="AY28" s="906">
        <f>_xlfn.IFS(AW28=0,0,AX28&lt;=AW28,AX28/AW28,AX28&gt;AW28,1)</f>
        <v>0.5</v>
      </c>
      <c r="AZ28" s="1029">
        <v>100000</v>
      </c>
      <c r="BA28" s="1026">
        <v>2</v>
      </c>
      <c r="BB28" s="1027">
        <v>1</v>
      </c>
      <c r="BC28" s="906">
        <f>_xlfn.IFS(BA28=0,0,BB28&lt;=BA28,BB28/BA28,BB28&gt;BA28,1)</f>
        <v>0.5</v>
      </c>
      <c r="BD28" s="1029">
        <v>100000</v>
      </c>
      <c r="BE28" s="1026">
        <v>2</v>
      </c>
      <c r="BF28" s="1027">
        <v>1</v>
      </c>
      <c r="BG28" s="906">
        <f>_xlfn.IFS(BE28=0,0,BF28&lt;=BE28,BF28/BE28,BF28&gt;BE28,1)</f>
        <v>0.5</v>
      </c>
      <c r="BH28" s="1029">
        <v>100000</v>
      </c>
      <c r="BI28" s="1026">
        <v>2</v>
      </c>
      <c r="BJ28" s="1027">
        <v>1</v>
      </c>
      <c r="BK28" s="906">
        <f>_xlfn.IFS(BI28=0,0,BJ28&lt;=BI28,BJ28/BI28,BJ28&gt;BI28,1)</f>
        <v>0.5</v>
      </c>
      <c r="BL28" s="1029">
        <v>100000</v>
      </c>
      <c r="BM28" s="1026">
        <v>2</v>
      </c>
      <c r="BN28" s="1027">
        <v>1</v>
      </c>
      <c r="BO28" s="906">
        <f>_xlfn.IFS(BM28=0,0,BN28&lt;=BM28,BN28/BM28,BN28&gt;BM28,1)</f>
        <v>0.5</v>
      </c>
      <c r="BP28" s="1029">
        <v>100000</v>
      </c>
      <c r="BQ28" s="1026">
        <v>2</v>
      </c>
      <c r="BR28" s="1027">
        <v>1</v>
      </c>
      <c r="BS28" s="906">
        <f>_xlfn.IFS(BQ28=0,0,BR28&lt;=BQ28,BR28/BQ28,BR28&gt;BQ28,1)</f>
        <v>0.5</v>
      </c>
      <c r="BT28" s="1029">
        <v>100000</v>
      </c>
      <c r="BU28" s="1026">
        <v>2</v>
      </c>
      <c r="BV28" s="1027">
        <v>1</v>
      </c>
      <c r="BW28" s="906">
        <f>_xlfn.IFS(BU28=0,0,BV28&lt;=BU28,BV28/BU28,BV28&gt;BU28,1)</f>
        <v>0.5</v>
      </c>
      <c r="BX28" s="1029">
        <v>100000</v>
      </c>
      <c r="BY28" s="1026">
        <v>2</v>
      </c>
      <c r="BZ28" s="1027">
        <v>1</v>
      </c>
      <c r="CA28" s="906">
        <f>_xlfn.IFS(BY28=0,0,BZ28&lt;=BY28,BZ28/BY28,BZ28&gt;BY28,1)</f>
        <v>0.5</v>
      </c>
      <c r="CB28" s="1029">
        <v>100000</v>
      </c>
      <c r="CC28" s="1026">
        <v>2</v>
      </c>
      <c r="CD28" s="1027">
        <v>1</v>
      </c>
      <c r="CE28" s="906">
        <f>_xlfn.IFS(CC28=0,0,CD28&lt;=CC28,CD28/CC28,CD28&gt;CC28,1)</f>
        <v>0.5</v>
      </c>
      <c r="CF28" s="1029">
        <v>100000</v>
      </c>
      <c r="CG28" s="1026">
        <v>2</v>
      </c>
      <c r="CH28" s="1027">
        <v>1</v>
      </c>
      <c r="CI28" s="906">
        <f>_xlfn.IFS(CG28=0,0,CH28&lt;=CG28,CH28/CG28,CH28&gt;CG28,1)</f>
        <v>0.5</v>
      </c>
      <c r="CJ28" s="1029">
        <v>100000</v>
      </c>
      <c r="CK28" s="1026">
        <v>2</v>
      </c>
      <c r="CL28" s="1027">
        <v>1</v>
      </c>
      <c r="CM28" s="906">
        <f>_xlfn.IFS(CK28=0,0,CL28&lt;=CK28,CL28/CK28,CL28&gt;CK28,1)</f>
        <v>0.5</v>
      </c>
      <c r="CN28" s="1029">
        <v>100000</v>
      </c>
      <c r="CO28" s="1026">
        <v>2</v>
      </c>
      <c r="CP28" s="1027">
        <v>1</v>
      </c>
      <c r="CQ28" s="906">
        <f>_xlfn.IFS(CO28=0,0,CP28&lt;=CO28,CP28/CO28,CP28&gt;CO28,1)</f>
        <v>0.5</v>
      </c>
      <c r="CR28" s="1029">
        <v>100000</v>
      </c>
      <c r="CS28" s="1026">
        <v>2</v>
      </c>
      <c r="CT28" s="1027">
        <v>1</v>
      </c>
      <c r="CU28" s="906">
        <f>_xlfn.IFS(CS28=0,0,CT28&lt;=CS28,CT28/CS28,CT28&gt;CS28,1)</f>
        <v>0.5</v>
      </c>
      <c r="CV28" s="1029">
        <v>100000</v>
      </c>
      <c r="CW28" s="1026">
        <v>2</v>
      </c>
      <c r="CX28" s="1027">
        <v>1</v>
      </c>
      <c r="CY28" s="906">
        <f>_xlfn.IFS(CW28=0,0,CX28&lt;=CW28,CX28/CW28,CX28&gt;CW28,1)</f>
        <v>0.5</v>
      </c>
      <c r="CZ28" s="1029">
        <v>100000</v>
      </c>
      <c r="DA28" s="1026">
        <v>2</v>
      </c>
      <c r="DB28" s="1027">
        <v>1</v>
      </c>
      <c r="DC28" s="906">
        <f>_xlfn.IFS(DA28=0,0,DB28&lt;=DA28,DB28/DA28,DB28&gt;DA28,1)</f>
        <v>0.5</v>
      </c>
      <c r="DD28" s="1029">
        <v>100000</v>
      </c>
      <c r="DE28" s="1026">
        <v>2</v>
      </c>
      <c r="DF28" s="1027">
        <v>1</v>
      </c>
      <c r="DG28" s="906">
        <f>_xlfn.IFS(DE28=0,0,DF28&lt;=DE28,DF28/DE28,DF28&gt;DE28,1)</f>
        <v>0.5</v>
      </c>
      <c r="DH28" s="1029">
        <v>100000</v>
      </c>
      <c r="DI28" s="1026">
        <v>2</v>
      </c>
      <c r="DJ28" s="1027">
        <v>1</v>
      </c>
      <c r="DK28" s="906">
        <f>_xlfn.IFS(DI28=0,0,DJ28&lt;=DI28,DJ28/DI28,DJ28&gt;DI28,1)</f>
        <v>0.5</v>
      </c>
      <c r="DL28" s="1029">
        <v>100000</v>
      </c>
      <c r="DM28" s="1026">
        <v>2</v>
      </c>
      <c r="DN28" s="1027">
        <v>1</v>
      </c>
      <c r="DO28" s="906">
        <f>_xlfn.IFS(DM28=0,0,DN28&lt;=DM28,DN28/DM28,DN28&gt;DM28,1)</f>
        <v>0.5</v>
      </c>
      <c r="DP28" s="1029">
        <v>100000</v>
      </c>
      <c r="DQ28" s="1026">
        <v>2</v>
      </c>
      <c r="DR28" s="1027">
        <v>1</v>
      </c>
      <c r="DS28" s="906">
        <f>_xlfn.IFS(DQ28=0,0,DR28&lt;=DQ28,DR28/DQ28,DR28&gt;DQ28,1)</f>
        <v>0.5</v>
      </c>
      <c r="DT28" s="1029">
        <v>100000</v>
      </c>
      <c r="DU28" s="1026">
        <v>2</v>
      </c>
      <c r="DV28" s="1027">
        <v>1</v>
      </c>
      <c r="DW28" s="906">
        <f>_xlfn.IFS(DU28=0,0,DV28&lt;=DU28,DV28/DU28,DV28&gt;DU28,1)</f>
        <v>0.5</v>
      </c>
      <c r="DX28" s="1029">
        <v>100000</v>
      </c>
      <c r="DY28" s="1026">
        <v>2</v>
      </c>
      <c r="DZ28" s="1027">
        <v>1</v>
      </c>
      <c r="EA28" s="906">
        <f>_xlfn.IFS(DY28=0,0,DZ28&lt;=DY28,DZ28/DY28,DZ28&gt;DY28,1)</f>
        <v>0.5</v>
      </c>
      <c r="EB28" s="1029">
        <v>100000</v>
      </c>
      <c r="EC28" s="1026">
        <v>2</v>
      </c>
      <c r="ED28" s="1027">
        <v>1</v>
      </c>
      <c r="EE28" s="906">
        <f>_xlfn.IFS(EC28=0,0,ED28&lt;=EC28,ED28/EC28,ED28&gt;EC28,1)</f>
        <v>0.5</v>
      </c>
      <c r="EF28" s="1029">
        <v>100000</v>
      </c>
    </row>
    <row r="29" spans="1:136" ht="20" customHeight="1" x14ac:dyDescent="0.15">
      <c r="A29" s="189">
        <f t="shared" si="198"/>
        <v>0</v>
      </c>
      <c r="B29" s="947"/>
      <c r="C29" s="971" t="s">
        <v>136</v>
      </c>
      <c r="D29" s="851">
        <f>$D$26/5</f>
        <v>10000000</v>
      </c>
      <c r="E29" s="1082">
        <f t="shared" si="195"/>
        <v>3100000</v>
      </c>
      <c r="F29" s="610">
        <f t="shared" si="200"/>
        <v>-6900000</v>
      </c>
      <c r="G29" s="208">
        <f t="shared" si="201"/>
        <v>0.31</v>
      </c>
      <c r="H29" s="208">
        <f t="shared" si="234"/>
        <v>0.66666666666666674</v>
      </c>
      <c r="I29" s="836"/>
      <c r="J29" s="1110">
        <f t="shared" ref="J29:J31" ca="1" si="235">SUMIFS($M29:$EF29,$M$11:$EF$11,TODAY()-1,$M$13:$EF$13,O$13)</f>
        <v>0</v>
      </c>
      <c r="K29" s="851"/>
      <c r="L29" s="605">
        <f t="shared" ca="1" si="197"/>
        <v>0</v>
      </c>
      <c r="M29" s="1026">
        <v>3</v>
      </c>
      <c r="N29" s="1027">
        <v>2</v>
      </c>
      <c r="O29" s="906">
        <f t="shared" ref="O29:O31" si="236">_xlfn.IFS(M29=0,0,N29&lt;=M29,N29/M29,N29&gt;M29,1)</f>
        <v>0.66666666666666663</v>
      </c>
      <c r="P29" s="1029">
        <v>100000</v>
      </c>
      <c r="Q29" s="1026">
        <v>3</v>
      </c>
      <c r="R29" s="1027">
        <v>2</v>
      </c>
      <c r="S29" s="906">
        <f t="shared" ref="S29:S31" si="237">_xlfn.IFS(Q29=0,0,R29&lt;=Q29,R29/Q29,R29&gt;Q29,1)</f>
        <v>0.66666666666666663</v>
      </c>
      <c r="T29" s="1029">
        <v>100000</v>
      </c>
      <c r="U29" s="1026">
        <v>3</v>
      </c>
      <c r="V29" s="1027">
        <v>2</v>
      </c>
      <c r="W29" s="906">
        <f t="shared" ref="W29:W31" si="238">_xlfn.IFS(U29=0,0,V29&lt;=U29,V29/U29,V29&gt;U29,1)</f>
        <v>0.66666666666666663</v>
      </c>
      <c r="X29" s="1029">
        <v>100000</v>
      </c>
      <c r="Y29" s="1026">
        <v>3</v>
      </c>
      <c r="Z29" s="1027">
        <v>2</v>
      </c>
      <c r="AA29" s="906">
        <f t="shared" ref="AA29:AA31" si="239">_xlfn.IFS(Y29=0,0,Z29&lt;=Y29,Z29/Y29,Z29&gt;Y29,1)</f>
        <v>0.66666666666666663</v>
      </c>
      <c r="AB29" s="1029">
        <v>100000</v>
      </c>
      <c r="AC29" s="1026">
        <v>3</v>
      </c>
      <c r="AD29" s="1027">
        <v>2</v>
      </c>
      <c r="AE29" s="906">
        <f t="shared" ref="AE29:AE31" si="240">_xlfn.IFS(AC29=0,0,AD29&lt;=AC29,AD29/AC29,AD29&gt;AC29,1)</f>
        <v>0.66666666666666663</v>
      </c>
      <c r="AF29" s="1029">
        <v>100000</v>
      </c>
      <c r="AG29" s="1026">
        <v>3</v>
      </c>
      <c r="AH29" s="1027">
        <v>2</v>
      </c>
      <c r="AI29" s="906">
        <f t="shared" ref="AI29:AI31" si="241">_xlfn.IFS(AG29=0,0,AH29&lt;=AG29,AH29/AG29,AH29&gt;AG29,1)</f>
        <v>0.66666666666666663</v>
      </c>
      <c r="AJ29" s="1029">
        <v>100000</v>
      </c>
      <c r="AK29" s="1026">
        <v>3</v>
      </c>
      <c r="AL29" s="1027">
        <v>2</v>
      </c>
      <c r="AM29" s="906">
        <f t="shared" ref="AM29:AM31" si="242">_xlfn.IFS(AK29=0,0,AL29&lt;=AK29,AL29/AK29,AL29&gt;AK29,1)</f>
        <v>0.66666666666666663</v>
      </c>
      <c r="AN29" s="1029">
        <v>100000</v>
      </c>
      <c r="AO29" s="1026">
        <v>3</v>
      </c>
      <c r="AP29" s="1027">
        <v>2</v>
      </c>
      <c r="AQ29" s="906">
        <f t="shared" ref="AQ29:AQ31" si="243">_xlfn.IFS(AO29=0,0,AP29&lt;=AO29,AP29/AO29,AP29&gt;AO29,1)</f>
        <v>0.66666666666666663</v>
      </c>
      <c r="AR29" s="1029">
        <v>100000</v>
      </c>
      <c r="AS29" s="1026">
        <v>3</v>
      </c>
      <c r="AT29" s="1027">
        <v>2</v>
      </c>
      <c r="AU29" s="906">
        <f t="shared" ref="AU29:AU31" si="244">_xlfn.IFS(AS29=0,0,AT29&lt;=AS29,AT29/AS29,AT29&gt;AS29,1)</f>
        <v>0.66666666666666663</v>
      </c>
      <c r="AV29" s="1029">
        <v>100000</v>
      </c>
      <c r="AW29" s="1026">
        <v>3</v>
      </c>
      <c r="AX29" s="1027">
        <v>2</v>
      </c>
      <c r="AY29" s="906">
        <f t="shared" ref="AY29:AY31" si="245">_xlfn.IFS(AW29=0,0,AX29&lt;=AW29,AX29/AW29,AX29&gt;AW29,1)</f>
        <v>0.66666666666666663</v>
      </c>
      <c r="AZ29" s="1029">
        <v>100000</v>
      </c>
      <c r="BA29" s="1026">
        <v>3</v>
      </c>
      <c r="BB29" s="1027">
        <v>2</v>
      </c>
      <c r="BC29" s="906">
        <f t="shared" ref="BC29:BC31" si="246">_xlfn.IFS(BA29=0,0,BB29&lt;=BA29,BB29/BA29,BB29&gt;BA29,1)</f>
        <v>0.66666666666666663</v>
      </c>
      <c r="BD29" s="1029">
        <v>100000</v>
      </c>
      <c r="BE29" s="1026">
        <v>3</v>
      </c>
      <c r="BF29" s="1027">
        <v>2</v>
      </c>
      <c r="BG29" s="906">
        <f t="shared" ref="BG29:BG31" si="247">_xlfn.IFS(BE29=0,0,BF29&lt;=BE29,BF29/BE29,BF29&gt;BE29,1)</f>
        <v>0.66666666666666663</v>
      </c>
      <c r="BH29" s="1029">
        <v>100000</v>
      </c>
      <c r="BI29" s="1026">
        <v>3</v>
      </c>
      <c r="BJ29" s="1027">
        <v>2</v>
      </c>
      <c r="BK29" s="906">
        <f t="shared" ref="BK29:BK31" si="248">_xlfn.IFS(BI29=0,0,BJ29&lt;=BI29,BJ29/BI29,BJ29&gt;BI29,1)</f>
        <v>0.66666666666666663</v>
      </c>
      <c r="BL29" s="1029">
        <v>100000</v>
      </c>
      <c r="BM29" s="1026">
        <v>3</v>
      </c>
      <c r="BN29" s="1027">
        <v>2</v>
      </c>
      <c r="BO29" s="906">
        <f t="shared" ref="BO29:BO31" si="249">_xlfn.IFS(BM29=0,0,BN29&lt;=BM29,BN29/BM29,BN29&gt;BM29,1)</f>
        <v>0.66666666666666663</v>
      </c>
      <c r="BP29" s="1029">
        <v>100000</v>
      </c>
      <c r="BQ29" s="1026">
        <v>3</v>
      </c>
      <c r="BR29" s="1027">
        <v>2</v>
      </c>
      <c r="BS29" s="906">
        <f t="shared" ref="BS29:BS31" si="250">_xlfn.IFS(BQ29=0,0,BR29&lt;=BQ29,BR29/BQ29,BR29&gt;BQ29,1)</f>
        <v>0.66666666666666663</v>
      </c>
      <c r="BT29" s="1029">
        <v>100000</v>
      </c>
      <c r="BU29" s="1026">
        <v>3</v>
      </c>
      <c r="BV29" s="1027">
        <v>2</v>
      </c>
      <c r="BW29" s="906">
        <f t="shared" ref="BW29:BW31" si="251">_xlfn.IFS(BU29=0,0,BV29&lt;=BU29,BV29/BU29,BV29&gt;BU29,1)</f>
        <v>0.66666666666666663</v>
      </c>
      <c r="BX29" s="1029">
        <v>100000</v>
      </c>
      <c r="BY29" s="1026">
        <v>3</v>
      </c>
      <c r="BZ29" s="1027">
        <v>2</v>
      </c>
      <c r="CA29" s="906">
        <f t="shared" ref="CA29:CA31" si="252">_xlfn.IFS(BY29=0,0,BZ29&lt;=BY29,BZ29/BY29,BZ29&gt;BY29,1)</f>
        <v>0.66666666666666663</v>
      </c>
      <c r="CB29" s="1029">
        <v>100000</v>
      </c>
      <c r="CC29" s="1026">
        <v>3</v>
      </c>
      <c r="CD29" s="1027">
        <v>2</v>
      </c>
      <c r="CE29" s="906">
        <f t="shared" ref="CE29:CE31" si="253">_xlfn.IFS(CC29=0,0,CD29&lt;=CC29,CD29/CC29,CD29&gt;CC29,1)</f>
        <v>0.66666666666666663</v>
      </c>
      <c r="CF29" s="1029">
        <v>100000</v>
      </c>
      <c r="CG29" s="1026">
        <v>3</v>
      </c>
      <c r="CH29" s="1027">
        <v>2</v>
      </c>
      <c r="CI29" s="906">
        <f t="shared" ref="CI29:CI31" si="254">_xlfn.IFS(CG29=0,0,CH29&lt;=CG29,CH29/CG29,CH29&gt;CG29,1)</f>
        <v>0.66666666666666663</v>
      </c>
      <c r="CJ29" s="1029">
        <v>100000</v>
      </c>
      <c r="CK29" s="1026">
        <v>3</v>
      </c>
      <c r="CL29" s="1027">
        <v>2</v>
      </c>
      <c r="CM29" s="906">
        <f t="shared" ref="CM29:CM31" si="255">_xlfn.IFS(CK29=0,0,CL29&lt;=CK29,CL29/CK29,CL29&gt;CK29,1)</f>
        <v>0.66666666666666663</v>
      </c>
      <c r="CN29" s="1029">
        <v>100000</v>
      </c>
      <c r="CO29" s="1026">
        <v>3</v>
      </c>
      <c r="CP29" s="1027">
        <v>2</v>
      </c>
      <c r="CQ29" s="906">
        <f t="shared" ref="CQ29:CQ31" si="256">_xlfn.IFS(CO29=0,0,CP29&lt;=CO29,CP29/CO29,CP29&gt;CO29,1)</f>
        <v>0.66666666666666663</v>
      </c>
      <c r="CR29" s="1029">
        <v>100000</v>
      </c>
      <c r="CS29" s="1026">
        <v>3</v>
      </c>
      <c r="CT29" s="1027">
        <v>2</v>
      </c>
      <c r="CU29" s="906">
        <f t="shared" ref="CU29:CU31" si="257">_xlfn.IFS(CS29=0,0,CT29&lt;=CS29,CT29/CS29,CT29&gt;CS29,1)</f>
        <v>0.66666666666666663</v>
      </c>
      <c r="CV29" s="1029">
        <v>100000</v>
      </c>
      <c r="CW29" s="1026">
        <v>3</v>
      </c>
      <c r="CX29" s="1027">
        <v>2</v>
      </c>
      <c r="CY29" s="906">
        <f t="shared" ref="CY29:CY31" si="258">_xlfn.IFS(CW29=0,0,CX29&lt;=CW29,CX29/CW29,CX29&gt;CW29,1)</f>
        <v>0.66666666666666663</v>
      </c>
      <c r="CZ29" s="1029">
        <v>100000</v>
      </c>
      <c r="DA29" s="1026">
        <v>3</v>
      </c>
      <c r="DB29" s="1027">
        <v>2</v>
      </c>
      <c r="DC29" s="906">
        <f t="shared" ref="DC29:DC31" si="259">_xlfn.IFS(DA29=0,0,DB29&lt;=DA29,DB29/DA29,DB29&gt;DA29,1)</f>
        <v>0.66666666666666663</v>
      </c>
      <c r="DD29" s="1029">
        <v>100000</v>
      </c>
      <c r="DE29" s="1026">
        <v>3</v>
      </c>
      <c r="DF29" s="1027">
        <v>2</v>
      </c>
      <c r="DG29" s="906">
        <f t="shared" ref="DG29:DG31" si="260">_xlfn.IFS(DE29=0,0,DF29&lt;=DE29,DF29/DE29,DF29&gt;DE29,1)</f>
        <v>0.66666666666666663</v>
      </c>
      <c r="DH29" s="1029">
        <v>100000</v>
      </c>
      <c r="DI29" s="1026">
        <v>3</v>
      </c>
      <c r="DJ29" s="1027">
        <v>2</v>
      </c>
      <c r="DK29" s="906">
        <f t="shared" ref="DK29:DK31" si="261">_xlfn.IFS(DI29=0,0,DJ29&lt;=DI29,DJ29/DI29,DJ29&gt;DI29,1)</f>
        <v>0.66666666666666663</v>
      </c>
      <c r="DL29" s="1029">
        <v>100000</v>
      </c>
      <c r="DM29" s="1026">
        <v>3</v>
      </c>
      <c r="DN29" s="1027">
        <v>2</v>
      </c>
      <c r="DO29" s="906">
        <f t="shared" ref="DO29:DO31" si="262">_xlfn.IFS(DM29=0,0,DN29&lt;=DM29,DN29/DM29,DN29&gt;DM29,1)</f>
        <v>0.66666666666666663</v>
      </c>
      <c r="DP29" s="1029">
        <v>100000</v>
      </c>
      <c r="DQ29" s="1026">
        <v>3</v>
      </c>
      <c r="DR29" s="1027">
        <v>2</v>
      </c>
      <c r="DS29" s="906">
        <f t="shared" ref="DS29:DS31" si="263">_xlfn.IFS(DQ29=0,0,DR29&lt;=DQ29,DR29/DQ29,DR29&gt;DQ29,1)</f>
        <v>0.66666666666666663</v>
      </c>
      <c r="DT29" s="1029">
        <v>100000</v>
      </c>
      <c r="DU29" s="1026">
        <v>3</v>
      </c>
      <c r="DV29" s="1027">
        <v>2</v>
      </c>
      <c r="DW29" s="906">
        <f t="shared" ref="DW29:DW31" si="264">_xlfn.IFS(DU29=0,0,DV29&lt;=DU29,DV29/DU29,DV29&gt;DU29,1)</f>
        <v>0.66666666666666663</v>
      </c>
      <c r="DX29" s="1029">
        <v>100000</v>
      </c>
      <c r="DY29" s="1026">
        <v>3</v>
      </c>
      <c r="DZ29" s="1027">
        <v>2</v>
      </c>
      <c r="EA29" s="906">
        <f t="shared" ref="EA29:EA31" si="265">_xlfn.IFS(DY29=0,0,DZ29&lt;=DY29,DZ29/DY29,DZ29&gt;DY29,1)</f>
        <v>0.66666666666666663</v>
      </c>
      <c r="EB29" s="1029">
        <v>100000</v>
      </c>
      <c r="EC29" s="1026">
        <v>3</v>
      </c>
      <c r="ED29" s="1027">
        <v>2</v>
      </c>
      <c r="EE29" s="906">
        <f t="shared" ref="EE29:EE31" si="266">_xlfn.IFS(EC29=0,0,ED29&lt;=EC29,ED29/EC29,ED29&gt;EC29,1)</f>
        <v>0.66666666666666663</v>
      </c>
      <c r="EF29" s="1029">
        <v>100000</v>
      </c>
    </row>
    <row r="30" spans="1:136" ht="20" customHeight="1" x14ac:dyDescent="0.15">
      <c r="A30" s="189">
        <f t="shared" si="198"/>
        <v>0</v>
      </c>
      <c r="B30" s="947"/>
      <c r="C30" s="971" t="s">
        <v>137</v>
      </c>
      <c r="D30" s="851">
        <f>$D$26/5</f>
        <v>10000000</v>
      </c>
      <c r="E30" s="1082">
        <f t="shared" si="195"/>
        <v>3100000</v>
      </c>
      <c r="F30" s="610">
        <f t="shared" si="200"/>
        <v>-6900000</v>
      </c>
      <c r="G30" s="208">
        <f t="shared" si="201"/>
        <v>0.31</v>
      </c>
      <c r="H30" s="208">
        <f t="shared" si="234"/>
        <v>1</v>
      </c>
      <c r="I30" s="836"/>
      <c r="J30" s="1110">
        <f t="shared" ca="1" si="235"/>
        <v>0</v>
      </c>
      <c r="K30" s="851"/>
      <c r="L30" s="605">
        <f t="shared" ca="1" si="197"/>
        <v>0</v>
      </c>
      <c r="M30" s="1026">
        <v>5</v>
      </c>
      <c r="N30" s="1027">
        <v>5</v>
      </c>
      <c r="O30" s="906">
        <f t="shared" si="236"/>
        <v>1</v>
      </c>
      <c r="P30" s="1029">
        <v>100000</v>
      </c>
      <c r="Q30" s="1026">
        <v>5</v>
      </c>
      <c r="R30" s="1027">
        <v>5</v>
      </c>
      <c r="S30" s="906">
        <f t="shared" si="237"/>
        <v>1</v>
      </c>
      <c r="T30" s="1029">
        <v>100000</v>
      </c>
      <c r="U30" s="1026">
        <v>5</v>
      </c>
      <c r="V30" s="1027">
        <v>5</v>
      </c>
      <c r="W30" s="906">
        <f t="shared" si="238"/>
        <v>1</v>
      </c>
      <c r="X30" s="1029">
        <v>100000</v>
      </c>
      <c r="Y30" s="1026">
        <v>5</v>
      </c>
      <c r="Z30" s="1027">
        <v>5</v>
      </c>
      <c r="AA30" s="906">
        <f t="shared" si="239"/>
        <v>1</v>
      </c>
      <c r="AB30" s="1029">
        <v>100000</v>
      </c>
      <c r="AC30" s="1026">
        <v>5</v>
      </c>
      <c r="AD30" s="1027">
        <v>5</v>
      </c>
      <c r="AE30" s="906">
        <f t="shared" si="240"/>
        <v>1</v>
      </c>
      <c r="AF30" s="1029">
        <v>100000</v>
      </c>
      <c r="AG30" s="1026">
        <v>5</v>
      </c>
      <c r="AH30" s="1027">
        <v>5</v>
      </c>
      <c r="AI30" s="906">
        <f t="shared" si="241"/>
        <v>1</v>
      </c>
      <c r="AJ30" s="1029">
        <v>100000</v>
      </c>
      <c r="AK30" s="1026">
        <v>5</v>
      </c>
      <c r="AL30" s="1027">
        <v>5</v>
      </c>
      <c r="AM30" s="906">
        <f t="shared" si="242"/>
        <v>1</v>
      </c>
      <c r="AN30" s="1029">
        <v>100000</v>
      </c>
      <c r="AO30" s="1026">
        <v>5</v>
      </c>
      <c r="AP30" s="1027">
        <v>5</v>
      </c>
      <c r="AQ30" s="906">
        <f t="shared" si="243"/>
        <v>1</v>
      </c>
      <c r="AR30" s="1029">
        <v>100000</v>
      </c>
      <c r="AS30" s="1026">
        <v>5</v>
      </c>
      <c r="AT30" s="1027">
        <v>5</v>
      </c>
      <c r="AU30" s="906">
        <f t="shared" si="244"/>
        <v>1</v>
      </c>
      <c r="AV30" s="1029">
        <v>100000</v>
      </c>
      <c r="AW30" s="1026">
        <v>5</v>
      </c>
      <c r="AX30" s="1027">
        <v>5</v>
      </c>
      <c r="AY30" s="906">
        <f t="shared" si="245"/>
        <v>1</v>
      </c>
      <c r="AZ30" s="1029">
        <v>100000</v>
      </c>
      <c r="BA30" s="1026">
        <v>5</v>
      </c>
      <c r="BB30" s="1027">
        <v>5</v>
      </c>
      <c r="BC30" s="906">
        <f t="shared" si="246"/>
        <v>1</v>
      </c>
      <c r="BD30" s="1029">
        <v>100000</v>
      </c>
      <c r="BE30" s="1026">
        <v>5</v>
      </c>
      <c r="BF30" s="1027">
        <v>5</v>
      </c>
      <c r="BG30" s="906">
        <f t="shared" si="247"/>
        <v>1</v>
      </c>
      <c r="BH30" s="1029">
        <v>100000</v>
      </c>
      <c r="BI30" s="1026">
        <v>5</v>
      </c>
      <c r="BJ30" s="1027">
        <v>5</v>
      </c>
      <c r="BK30" s="906">
        <f t="shared" si="248"/>
        <v>1</v>
      </c>
      <c r="BL30" s="1029">
        <v>100000</v>
      </c>
      <c r="BM30" s="1026">
        <v>5</v>
      </c>
      <c r="BN30" s="1027">
        <v>5</v>
      </c>
      <c r="BO30" s="906">
        <f t="shared" si="249"/>
        <v>1</v>
      </c>
      <c r="BP30" s="1029">
        <v>100000</v>
      </c>
      <c r="BQ30" s="1026">
        <v>5</v>
      </c>
      <c r="BR30" s="1027">
        <v>5</v>
      </c>
      <c r="BS30" s="906">
        <f t="shared" si="250"/>
        <v>1</v>
      </c>
      <c r="BT30" s="1029">
        <v>100000</v>
      </c>
      <c r="BU30" s="1026">
        <v>5</v>
      </c>
      <c r="BV30" s="1027">
        <v>5</v>
      </c>
      <c r="BW30" s="906">
        <f t="shared" si="251"/>
        <v>1</v>
      </c>
      <c r="BX30" s="1029">
        <v>100000</v>
      </c>
      <c r="BY30" s="1026">
        <v>5</v>
      </c>
      <c r="BZ30" s="1027">
        <v>5</v>
      </c>
      <c r="CA30" s="906">
        <f t="shared" si="252"/>
        <v>1</v>
      </c>
      <c r="CB30" s="1029">
        <v>100000</v>
      </c>
      <c r="CC30" s="1026">
        <v>5</v>
      </c>
      <c r="CD30" s="1027">
        <v>5</v>
      </c>
      <c r="CE30" s="906">
        <f t="shared" si="253"/>
        <v>1</v>
      </c>
      <c r="CF30" s="1029">
        <v>100000</v>
      </c>
      <c r="CG30" s="1026">
        <v>5</v>
      </c>
      <c r="CH30" s="1027">
        <v>5</v>
      </c>
      <c r="CI30" s="906">
        <f t="shared" si="254"/>
        <v>1</v>
      </c>
      <c r="CJ30" s="1029">
        <v>100000</v>
      </c>
      <c r="CK30" s="1026">
        <v>5</v>
      </c>
      <c r="CL30" s="1027">
        <v>5</v>
      </c>
      <c r="CM30" s="906">
        <f t="shared" si="255"/>
        <v>1</v>
      </c>
      <c r="CN30" s="1029">
        <v>100000</v>
      </c>
      <c r="CO30" s="1026">
        <v>5</v>
      </c>
      <c r="CP30" s="1027">
        <v>5</v>
      </c>
      <c r="CQ30" s="906">
        <f t="shared" si="256"/>
        <v>1</v>
      </c>
      <c r="CR30" s="1029">
        <v>100000</v>
      </c>
      <c r="CS30" s="1026">
        <v>5</v>
      </c>
      <c r="CT30" s="1027">
        <v>5</v>
      </c>
      <c r="CU30" s="906">
        <f t="shared" si="257"/>
        <v>1</v>
      </c>
      <c r="CV30" s="1029">
        <v>100000</v>
      </c>
      <c r="CW30" s="1026">
        <v>5</v>
      </c>
      <c r="CX30" s="1027">
        <v>5</v>
      </c>
      <c r="CY30" s="906">
        <f t="shared" si="258"/>
        <v>1</v>
      </c>
      <c r="CZ30" s="1029">
        <v>100000</v>
      </c>
      <c r="DA30" s="1026">
        <v>5</v>
      </c>
      <c r="DB30" s="1027">
        <v>5</v>
      </c>
      <c r="DC30" s="906">
        <f t="shared" si="259"/>
        <v>1</v>
      </c>
      <c r="DD30" s="1029">
        <v>100000</v>
      </c>
      <c r="DE30" s="1026">
        <v>5</v>
      </c>
      <c r="DF30" s="1027">
        <v>5</v>
      </c>
      <c r="DG30" s="906">
        <f t="shared" si="260"/>
        <v>1</v>
      </c>
      <c r="DH30" s="1029">
        <v>100000</v>
      </c>
      <c r="DI30" s="1026">
        <v>5</v>
      </c>
      <c r="DJ30" s="1027">
        <v>5</v>
      </c>
      <c r="DK30" s="906">
        <f t="shared" si="261"/>
        <v>1</v>
      </c>
      <c r="DL30" s="1029">
        <v>100000</v>
      </c>
      <c r="DM30" s="1026">
        <v>5</v>
      </c>
      <c r="DN30" s="1027">
        <v>5</v>
      </c>
      <c r="DO30" s="906">
        <f t="shared" si="262"/>
        <v>1</v>
      </c>
      <c r="DP30" s="1029">
        <v>100000</v>
      </c>
      <c r="DQ30" s="1026">
        <v>5</v>
      </c>
      <c r="DR30" s="1027">
        <v>5</v>
      </c>
      <c r="DS30" s="906">
        <f t="shared" si="263"/>
        <v>1</v>
      </c>
      <c r="DT30" s="1029">
        <v>100000</v>
      </c>
      <c r="DU30" s="1026">
        <v>5</v>
      </c>
      <c r="DV30" s="1027">
        <v>5</v>
      </c>
      <c r="DW30" s="906">
        <f t="shared" si="264"/>
        <v>1</v>
      </c>
      <c r="DX30" s="1029">
        <v>100000</v>
      </c>
      <c r="DY30" s="1026">
        <v>5</v>
      </c>
      <c r="DZ30" s="1027">
        <v>5</v>
      </c>
      <c r="EA30" s="906">
        <f t="shared" si="265"/>
        <v>1</v>
      </c>
      <c r="EB30" s="1029">
        <v>100000</v>
      </c>
      <c r="EC30" s="1026">
        <v>5</v>
      </c>
      <c r="ED30" s="1027">
        <v>5</v>
      </c>
      <c r="EE30" s="906">
        <f t="shared" si="266"/>
        <v>1</v>
      </c>
      <c r="EF30" s="1029">
        <v>100000</v>
      </c>
    </row>
    <row r="31" spans="1:136" ht="20" customHeight="1" x14ac:dyDescent="0.15">
      <c r="A31" s="189">
        <f t="shared" si="198"/>
        <v>0</v>
      </c>
      <c r="B31" s="947"/>
      <c r="C31" s="971" t="s">
        <v>138</v>
      </c>
      <c r="D31" s="851">
        <f>$D$26/5</f>
        <v>10000000</v>
      </c>
      <c r="E31" s="1082">
        <f t="shared" si="195"/>
        <v>3100000</v>
      </c>
      <c r="F31" s="610">
        <f t="shared" si="200"/>
        <v>-6900000</v>
      </c>
      <c r="G31" s="208">
        <f t="shared" si="201"/>
        <v>0.31</v>
      </c>
      <c r="H31" s="208">
        <f>IF(SUMIF(M$13:EF$13,$O$13,M31:EF31)&gt;0,AVERAGEIFS(M31:EF31,M31:EF31,"&gt;0",M$13:EF$13,$O$13),"NO NEW ORDER")</f>
        <v>1</v>
      </c>
      <c r="I31" s="836"/>
      <c r="J31" s="1110">
        <f t="shared" ca="1" si="235"/>
        <v>0</v>
      </c>
      <c r="K31" s="851"/>
      <c r="L31" s="605">
        <f t="shared" ca="1" si="197"/>
        <v>0</v>
      </c>
      <c r="M31" s="1026">
        <v>2</v>
      </c>
      <c r="N31" s="1027">
        <v>2</v>
      </c>
      <c r="O31" s="906">
        <f t="shared" si="236"/>
        <v>1</v>
      </c>
      <c r="P31" s="1029">
        <v>100000</v>
      </c>
      <c r="Q31" s="1026">
        <v>2</v>
      </c>
      <c r="R31" s="1027">
        <v>2</v>
      </c>
      <c r="S31" s="906">
        <f t="shared" si="237"/>
        <v>1</v>
      </c>
      <c r="T31" s="1029">
        <v>100000</v>
      </c>
      <c r="U31" s="1026">
        <v>2</v>
      </c>
      <c r="V31" s="1027">
        <v>2</v>
      </c>
      <c r="W31" s="906">
        <f t="shared" si="238"/>
        <v>1</v>
      </c>
      <c r="X31" s="1029">
        <v>100000</v>
      </c>
      <c r="Y31" s="1026">
        <v>2</v>
      </c>
      <c r="Z31" s="1027">
        <v>2</v>
      </c>
      <c r="AA31" s="906">
        <f t="shared" si="239"/>
        <v>1</v>
      </c>
      <c r="AB31" s="1029">
        <v>100000</v>
      </c>
      <c r="AC31" s="1026">
        <v>2</v>
      </c>
      <c r="AD31" s="1027">
        <v>2</v>
      </c>
      <c r="AE31" s="906">
        <f t="shared" si="240"/>
        <v>1</v>
      </c>
      <c r="AF31" s="1029">
        <v>100000</v>
      </c>
      <c r="AG31" s="1026">
        <v>2</v>
      </c>
      <c r="AH31" s="1027">
        <v>2</v>
      </c>
      <c r="AI31" s="906">
        <f t="shared" si="241"/>
        <v>1</v>
      </c>
      <c r="AJ31" s="1029">
        <v>100000</v>
      </c>
      <c r="AK31" s="1026">
        <v>2</v>
      </c>
      <c r="AL31" s="1027">
        <v>2</v>
      </c>
      <c r="AM31" s="906">
        <f t="shared" si="242"/>
        <v>1</v>
      </c>
      <c r="AN31" s="1029">
        <v>100000</v>
      </c>
      <c r="AO31" s="1026">
        <v>2</v>
      </c>
      <c r="AP31" s="1027">
        <v>2</v>
      </c>
      <c r="AQ31" s="906">
        <f t="shared" si="243"/>
        <v>1</v>
      </c>
      <c r="AR31" s="1029">
        <v>100000</v>
      </c>
      <c r="AS31" s="1026">
        <v>2</v>
      </c>
      <c r="AT31" s="1027">
        <v>2</v>
      </c>
      <c r="AU31" s="906">
        <f t="shared" si="244"/>
        <v>1</v>
      </c>
      <c r="AV31" s="1029">
        <v>100000</v>
      </c>
      <c r="AW31" s="1026">
        <v>2</v>
      </c>
      <c r="AX31" s="1027">
        <v>2</v>
      </c>
      <c r="AY31" s="906">
        <f t="shared" si="245"/>
        <v>1</v>
      </c>
      <c r="AZ31" s="1029">
        <v>100000</v>
      </c>
      <c r="BA31" s="1026">
        <v>2</v>
      </c>
      <c r="BB31" s="1027">
        <v>2</v>
      </c>
      <c r="BC31" s="906">
        <f t="shared" si="246"/>
        <v>1</v>
      </c>
      <c r="BD31" s="1029">
        <v>100000</v>
      </c>
      <c r="BE31" s="1026">
        <v>2</v>
      </c>
      <c r="BF31" s="1027">
        <v>2</v>
      </c>
      <c r="BG31" s="906">
        <f t="shared" si="247"/>
        <v>1</v>
      </c>
      <c r="BH31" s="1029">
        <v>100000</v>
      </c>
      <c r="BI31" s="1026">
        <v>2</v>
      </c>
      <c r="BJ31" s="1027">
        <v>2</v>
      </c>
      <c r="BK31" s="906">
        <f t="shared" si="248"/>
        <v>1</v>
      </c>
      <c r="BL31" s="1029">
        <v>100000</v>
      </c>
      <c r="BM31" s="1026">
        <v>2</v>
      </c>
      <c r="BN31" s="1027">
        <v>2</v>
      </c>
      <c r="BO31" s="906">
        <f t="shared" si="249"/>
        <v>1</v>
      </c>
      <c r="BP31" s="1029">
        <v>100000</v>
      </c>
      <c r="BQ31" s="1026">
        <v>2</v>
      </c>
      <c r="BR31" s="1027">
        <v>2</v>
      </c>
      <c r="BS31" s="906">
        <f t="shared" si="250"/>
        <v>1</v>
      </c>
      <c r="BT31" s="1029">
        <v>100000</v>
      </c>
      <c r="BU31" s="1026">
        <v>2</v>
      </c>
      <c r="BV31" s="1027">
        <v>2</v>
      </c>
      <c r="BW31" s="906">
        <f t="shared" si="251"/>
        <v>1</v>
      </c>
      <c r="BX31" s="1029">
        <v>100000</v>
      </c>
      <c r="BY31" s="1026">
        <v>2</v>
      </c>
      <c r="BZ31" s="1027">
        <v>2</v>
      </c>
      <c r="CA31" s="906">
        <f t="shared" si="252"/>
        <v>1</v>
      </c>
      <c r="CB31" s="1029">
        <v>100000</v>
      </c>
      <c r="CC31" s="1026">
        <v>2</v>
      </c>
      <c r="CD31" s="1027">
        <v>2</v>
      </c>
      <c r="CE31" s="906">
        <f t="shared" si="253"/>
        <v>1</v>
      </c>
      <c r="CF31" s="1029">
        <v>100000</v>
      </c>
      <c r="CG31" s="1026">
        <v>2</v>
      </c>
      <c r="CH31" s="1027">
        <v>2</v>
      </c>
      <c r="CI31" s="906">
        <f t="shared" si="254"/>
        <v>1</v>
      </c>
      <c r="CJ31" s="1029">
        <v>100000</v>
      </c>
      <c r="CK31" s="1026">
        <v>2</v>
      </c>
      <c r="CL31" s="1027">
        <v>2</v>
      </c>
      <c r="CM31" s="906">
        <f t="shared" si="255"/>
        <v>1</v>
      </c>
      <c r="CN31" s="1029">
        <v>100000</v>
      </c>
      <c r="CO31" s="1026">
        <v>2</v>
      </c>
      <c r="CP31" s="1027">
        <v>2</v>
      </c>
      <c r="CQ31" s="906">
        <f t="shared" si="256"/>
        <v>1</v>
      </c>
      <c r="CR31" s="1029">
        <v>100000</v>
      </c>
      <c r="CS31" s="1026">
        <v>2</v>
      </c>
      <c r="CT31" s="1027">
        <v>2</v>
      </c>
      <c r="CU31" s="906">
        <f t="shared" si="257"/>
        <v>1</v>
      </c>
      <c r="CV31" s="1029">
        <v>100000</v>
      </c>
      <c r="CW31" s="1026">
        <v>2</v>
      </c>
      <c r="CX31" s="1027">
        <v>2</v>
      </c>
      <c r="CY31" s="906">
        <f t="shared" si="258"/>
        <v>1</v>
      </c>
      <c r="CZ31" s="1029">
        <v>100000</v>
      </c>
      <c r="DA31" s="1026">
        <v>2</v>
      </c>
      <c r="DB31" s="1027">
        <v>2</v>
      </c>
      <c r="DC31" s="906">
        <f t="shared" si="259"/>
        <v>1</v>
      </c>
      <c r="DD31" s="1029">
        <v>100000</v>
      </c>
      <c r="DE31" s="1026">
        <v>2</v>
      </c>
      <c r="DF31" s="1027">
        <v>2</v>
      </c>
      <c r="DG31" s="906">
        <f t="shared" si="260"/>
        <v>1</v>
      </c>
      <c r="DH31" s="1029">
        <v>100000</v>
      </c>
      <c r="DI31" s="1026">
        <v>2</v>
      </c>
      <c r="DJ31" s="1027">
        <v>2</v>
      </c>
      <c r="DK31" s="906">
        <f t="shared" si="261"/>
        <v>1</v>
      </c>
      <c r="DL31" s="1029">
        <v>100000</v>
      </c>
      <c r="DM31" s="1026">
        <v>2</v>
      </c>
      <c r="DN31" s="1027">
        <v>2</v>
      </c>
      <c r="DO31" s="906">
        <f t="shared" si="262"/>
        <v>1</v>
      </c>
      <c r="DP31" s="1029">
        <v>100000</v>
      </c>
      <c r="DQ31" s="1026">
        <v>2</v>
      </c>
      <c r="DR31" s="1027">
        <v>2</v>
      </c>
      <c r="DS31" s="906">
        <f t="shared" si="263"/>
        <v>1</v>
      </c>
      <c r="DT31" s="1029">
        <v>100000</v>
      </c>
      <c r="DU31" s="1026">
        <v>2</v>
      </c>
      <c r="DV31" s="1027">
        <v>2</v>
      </c>
      <c r="DW31" s="906">
        <f t="shared" si="264"/>
        <v>1</v>
      </c>
      <c r="DX31" s="1029">
        <v>100000</v>
      </c>
      <c r="DY31" s="1026">
        <v>2</v>
      </c>
      <c r="DZ31" s="1027">
        <v>2</v>
      </c>
      <c r="EA31" s="906">
        <f t="shared" si="265"/>
        <v>1</v>
      </c>
      <c r="EB31" s="1029">
        <v>100000</v>
      </c>
      <c r="EC31" s="1026">
        <v>2</v>
      </c>
      <c r="ED31" s="1027">
        <v>2</v>
      </c>
      <c r="EE31" s="906">
        <f t="shared" si="266"/>
        <v>1</v>
      </c>
      <c r="EF31" s="1029">
        <v>100000</v>
      </c>
    </row>
    <row r="32" spans="1:136" ht="20" customHeight="1" x14ac:dyDescent="0.15">
      <c r="A32" s="870">
        <f t="shared" si="198"/>
        <v>0</v>
      </c>
      <c r="B32" s="948"/>
      <c r="C32" s="883" t="str">
        <f>Dashboard!K98</f>
        <v>WEBSITE</v>
      </c>
      <c r="D32" s="686">
        <f>Dashboard!AK98</f>
        <v>10000000</v>
      </c>
      <c r="E32" s="1065">
        <f>SUMIF($M$13:$EF$13,$P$13,$M32:$EF32)</f>
        <v>17050000</v>
      </c>
      <c r="F32" s="686">
        <f>E32-D32</f>
        <v>7050000</v>
      </c>
      <c r="G32" s="788">
        <f>_xlfn.IFS(F32&gt;0,1,F32&lt;=0,E32/D32)</f>
        <v>1</v>
      </c>
      <c r="H32" s="788">
        <f>IF(SUMIF(M$13:EF$13,$O$13,M32:EF32)&gt;0,AVERAGEIFS(M32:EF32,M32:EF32,"&gt;0",M$13:EF$13,$O$13),"NO NEW ORDER")</f>
        <v>0.41666666666666652</v>
      </c>
      <c r="I32" s="788">
        <f>Dashboard!M119</f>
        <v>0.16041666666666665</v>
      </c>
      <c r="J32" s="788">
        <f ca="1">IF(SUM(J33:J34)&gt;0,AVERAGEIF(J33:J34,"&gt;0"),0)</f>
        <v>0</v>
      </c>
      <c r="K32" s="686">
        <f>D32/'Action Plan'!$C$6</f>
        <v>384615.38461538462</v>
      </c>
      <c r="L32" s="933">
        <f ca="1">SUMIFS($M32:$EF32,$M$11:$EF$11,TODAY()-1,$M$13:$EF$13,P$13)</f>
        <v>0</v>
      </c>
      <c r="M32" s="899">
        <f>SUM(M33:M34)</f>
        <v>7</v>
      </c>
      <c r="N32" s="904">
        <f>SUM(N33:N34)</f>
        <v>3</v>
      </c>
      <c r="O32" s="788">
        <f>IF(SUM(O33:O34)&gt;0,AVERAGEIF(O33:O34,"&gt;0"),0)</f>
        <v>0.41666666666666663</v>
      </c>
      <c r="P32" s="891">
        <f>SUM(P33:P34)</f>
        <v>550000</v>
      </c>
      <c r="Q32" s="899">
        <f>SUM(Q33:Q34)</f>
        <v>7</v>
      </c>
      <c r="R32" s="904">
        <f>SUM(R33:R34)</f>
        <v>3</v>
      </c>
      <c r="S32" s="788">
        <f>IF(SUM(S33:S34)&gt;0,AVERAGEIF(S33:S34,"&gt;0"),0)</f>
        <v>0.41666666666666663</v>
      </c>
      <c r="T32" s="891">
        <f>SUM(T33:T34)</f>
        <v>550000</v>
      </c>
      <c r="U32" s="899">
        <f>SUM(U33:U34)</f>
        <v>7</v>
      </c>
      <c r="V32" s="904">
        <f>SUM(V33:V34)</f>
        <v>3</v>
      </c>
      <c r="W32" s="788">
        <f>IF(SUM(W33:W34)&gt;0,AVERAGEIF(W33:W34,"&gt;0"),0)</f>
        <v>0.41666666666666663</v>
      </c>
      <c r="X32" s="891">
        <f>SUM(X33:X34)</f>
        <v>550000</v>
      </c>
      <c r="Y32" s="899">
        <f>SUM(Y33:Y34)</f>
        <v>7</v>
      </c>
      <c r="Z32" s="904">
        <f>SUM(Z33:Z34)</f>
        <v>3</v>
      </c>
      <c r="AA32" s="788">
        <f>IF(SUM(AA33:AA34)&gt;0,AVERAGEIF(AA33:AA34,"&gt;0"),0)</f>
        <v>0.41666666666666663</v>
      </c>
      <c r="AB32" s="891">
        <f>SUM(AB33:AB34)</f>
        <v>550000</v>
      </c>
      <c r="AC32" s="899">
        <f>SUM(AC33:AC34)</f>
        <v>7</v>
      </c>
      <c r="AD32" s="904">
        <f>SUM(AD33:AD34)</f>
        <v>3</v>
      </c>
      <c r="AE32" s="788">
        <f>IF(SUM(AE33:AE34)&gt;0,AVERAGEIF(AE33:AE34,"&gt;0"),0)</f>
        <v>0.41666666666666663</v>
      </c>
      <c r="AF32" s="891">
        <f>SUM(AF33:AF34)</f>
        <v>550000</v>
      </c>
      <c r="AG32" s="899">
        <f>SUM(AG33:AG34)</f>
        <v>7</v>
      </c>
      <c r="AH32" s="904">
        <f>SUM(AH33:AH34)</f>
        <v>3</v>
      </c>
      <c r="AI32" s="788">
        <f>IF(SUM(AI33:AI34)&gt;0,AVERAGEIF(AI33:AI34,"&gt;0"),0)</f>
        <v>0.41666666666666663</v>
      </c>
      <c r="AJ32" s="891">
        <f>SUM(AJ33:AJ34)</f>
        <v>550000</v>
      </c>
      <c r="AK32" s="899">
        <f>SUM(AK33:AK34)</f>
        <v>7</v>
      </c>
      <c r="AL32" s="904">
        <f>SUM(AL33:AL34)</f>
        <v>3</v>
      </c>
      <c r="AM32" s="788">
        <f>IF(SUM(AM33:AM34)&gt;0,AVERAGEIF(AM33:AM34,"&gt;0"),0)</f>
        <v>0.41666666666666663</v>
      </c>
      <c r="AN32" s="891">
        <f>SUM(AN33:AN34)</f>
        <v>550000</v>
      </c>
      <c r="AO32" s="899">
        <f>SUM(AO33:AO34)</f>
        <v>7</v>
      </c>
      <c r="AP32" s="904">
        <f>SUM(AP33:AP34)</f>
        <v>3</v>
      </c>
      <c r="AQ32" s="788">
        <f>IF(SUM(AQ33:AQ34)&gt;0,AVERAGEIF(AQ33:AQ34,"&gt;0"),0)</f>
        <v>0.41666666666666663</v>
      </c>
      <c r="AR32" s="891">
        <f>SUM(AR33:AR34)</f>
        <v>550000</v>
      </c>
      <c r="AS32" s="899">
        <f>SUM(AS33:AS34)</f>
        <v>7</v>
      </c>
      <c r="AT32" s="904">
        <f>SUM(AT33:AT34)</f>
        <v>3</v>
      </c>
      <c r="AU32" s="788">
        <f>IF(SUM(AU33:AU34)&gt;0,AVERAGEIF(AU33:AU34,"&gt;0"),0)</f>
        <v>0.41666666666666663</v>
      </c>
      <c r="AV32" s="891">
        <f>SUM(AV33:AV34)</f>
        <v>550000</v>
      </c>
      <c r="AW32" s="899">
        <f>SUM(AW33:AW34)</f>
        <v>7</v>
      </c>
      <c r="AX32" s="904">
        <f>SUM(AX33:AX34)</f>
        <v>3</v>
      </c>
      <c r="AY32" s="788">
        <f>IF(SUM(AY33:AY34)&gt;0,AVERAGEIF(AY33:AY34,"&gt;0"),0)</f>
        <v>0.41666666666666663</v>
      </c>
      <c r="AZ32" s="891">
        <f>SUM(AZ33:AZ34)</f>
        <v>550000</v>
      </c>
      <c r="BA32" s="899">
        <f>SUM(BA33:BA34)</f>
        <v>7</v>
      </c>
      <c r="BB32" s="904">
        <f>SUM(BB33:BB34)</f>
        <v>3</v>
      </c>
      <c r="BC32" s="788">
        <f>IF(SUM(BC33:BC34)&gt;0,AVERAGEIF(BC33:BC34,"&gt;0"),0)</f>
        <v>0.41666666666666663</v>
      </c>
      <c r="BD32" s="891">
        <f>SUM(BD33:BD34)</f>
        <v>550000</v>
      </c>
      <c r="BE32" s="899">
        <f>SUM(BE33:BE34)</f>
        <v>7</v>
      </c>
      <c r="BF32" s="904">
        <f>SUM(BF33:BF34)</f>
        <v>3</v>
      </c>
      <c r="BG32" s="788">
        <f>IF(SUM(BG33:BG34)&gt;0,AVERAGEIF(BG33:BG34,"&gt;0"),0)</f>
        <v>0.41666666666666663</v>
      </c>
      <c r="BH32" s="891">
        <f>SUM(BH33:BH34)</f>
        <v>550000</v>
      </c>
      <c r="BI32" s="899">
        <f>SUM(BI33:BI34)</f>
        <v>7</v>
      </c>
      <c r="BJ32" s="904">
        <f>SUM(BJ33:BJ34)</f>
        <v>3</v>
      </c>
      <c r="BK32" s="788">
        <f>IF(SUM(BK33:BK34)&gt;0,AVERAGEIF(BK33:BK34,"&gt;0"),0)</f>
        <v>0.41666666666666663</v>
      </c>
      <c r="BL32" s="891">
        <f>SUM(BL33:BL34)</f>
        <v>550000</v>
      </c>
      <c r="BM32" s="899">
        <f>SUM(BM33:BM34)</f>
        <v>7</v>
      </c>
      <c r="BN32" s="904">
        <f>SUM(BN33:BN34)</f>
        <v>3</v>
      </c>
      <c r="BO32" s="788">
        <f>IF(SUM(BO33:BO34)&gt;0,AVERAGEIF(BO33:BO34,"&gt;0"),0)</f>
        <v>0.41666666666666663</v>
      </c>
      <c r="BP32" s="891">
        <f>SUM(BP33:BP34)</f>
        <v>550000</v>
      </c>
      <c r="BQ32" s="899">
        <f>SUM(BQ33:BQ34)</f>
        <v>7</v>
      </c>
      <c r="BR32" s="904">
        <f>SUM(BR33:BR34)</f>
        <v>3</v>
      </c>
      <c r="BS32" s="788">
        <f>IF(SUM(BS33:BS34)&gt;0,AVERAGEIF(BS33:BS34,"&gt;0"),0)</f>
        <v>0.41666666666666663</v>
      </c>
      <c r="BT32" s="891">
        <f>SUM(BT33:BT34)</f>
        <v>550000</v>
      </c>
      <c r="BU32" s="899">
        <f>SUM(BU33:BU34)</f>
        <v>7</v>
      </c>
      <c r="BV32" s="904">
        <f>SUM(BV33:BV34)</f>
        <v>3</v>
      </c>
      <c r="BW32" s="788">
        <f>IF(SUM(BW33:BW34)&gt;0,AVERAGEIF(BW33:BW34,"&gt;0"),0)</f>
        <v>0.41666666666666663</v>
      </c>
      <c r="BX32" s="891">
        <f>SUM(BX33:BX34)</f>
        <v>550000</v>
      </c>
      <c r="BY32" s="899">
        <f>SUM(BY33:BY34)</f>
        <v>7</v>
      </c>
      <c r="BZ32" s="904">
        <f>SUM(BZ33:BZ34)</f>
        <v>3</v>
      </c>
      <c r="CA32" s="788">
        <f>IF(SUM(CA33:CA34)&gt;0,AVERAGEIF(CA33:CA34,"&gt;0"),0)</f>
        <v>0.41666666666666663</v>
      </c>
      <c r="CB32" s="891">
        <f>SUM(CB33:CB34)</f>
        <v>550000</v>
      </c>
      <c r="CC32" s="899">
        <f>SUM(CC33:CC34)</f>
        <v>7</v>
      </c>
      <c r="CD32" s="904">
        <f>SUM(CD33:CD34)</f>
        <v>3</v>
      </c>
      <c r="CE32" s="788">
        <f>IF(SUM(CE33:CE34)&gt;0,AVERAGEIF(CE33:CE34,"&gt;0"),0)</f>
        <v>0.41666666666666663</v>
      </c>
      <c r="CF32" s="891">
        <f>SUM(CF33:CF34)</f>
        <v>550000</v>
      </c>
      <c r="CG32" s="899">
        <f>SUM(CG33:CG34)</f>
        <v>7</v>
      </c>
      <c r="CH32" s="904">
        <f>SUM(CH33:CH34)</f>
        <v>3</v>
      </c>
      <c r="CI32" s="788">
        <f>IF(SUM(CI33:CI34)&gt;0,AVERAGEIF(CI33:CI34,"&gt;0"),0)</f>
        <v>0.41666666666666663</v>
      </c>
      <c r="CJ32" s="891">
        <f>SUM(CJ33:CJ34)</f>
        <v>550000</v>
      </c>
      <c r="CK32" s="899">
        <f>SUM(CK33:CK34)</f>
        <v>7</v>
      </c>
      <c r="CL32" s="904">
        <f>SUM(CL33:CL34)</f>
        <v>3</v>
      </c>
      <c r="CM32" s="788">
        <f>IF(SUM(CM33:CM34)&gt;0,AVERAGEIF(CM33:CM34,"&gt;0"),0)</f>
        <v>0.41666666666666663</v>
      </c>
      <c r="CN32" s="891">
        <f>SUM(CN33:CN34)</f>
        <v>550000</v>
      </c>
      <c r="CO32" s="899">
        <f>SUM(CO33:CO34)</f>
        <v>7</v>
      </c>
      <c r="CP32" s="904">
        <f>SUM(CP33:CP34)</f>
        <v>3</v>
      </c>
      <c r="CQ32" s="788">
        <f>IF(SUM(CQ33:CQ34)&gt;0,AVERAGEIF(CQ33:CQ34,"&gt;0"),0)</f>
        <v>0.41666666666666663</v>
      </c>
      <c r="CR32" s="891">
        <f>SUM(CR33:CR34)</f>
        <v>550000</v>
      </c>
      <c r="CS32" s="899">
        <f>SUM(CS33:CS34)</f>
        <v>7</v>
      </c>
      <c r="CT32" s="904">
        <f>SUM(CT33:CT34)</f>
        <v>3</v>
      </c>
      <c r="CU32" s="788">
        <f>IF(SUM(CU33:CU34)&gt;0,AVERAGEIF(CU33:CU34,"&gt;0"),0)</f>
        <v>0.41666666666666663</v>
      </c>
      <c r="CV32" s="891">
        <f>SUM(CV33:CV34)</f>
        <v>550000</v>
      </c>
      <c r="CW32" s="899">
        <f>SUM(CW33:CW34)</f>
        <v>7</v>
      </c>
      <c r="CX32" s="904">
        <f>SUM(CX33:CX34)</f>
        <v>3</v>
      </c>
      <c r="CY32" s="788">
        <f>IF(SUM(CY33:CY34)&gt;0,AVERAGEIF(CY33:CY34,"&gt;0"),0)</f>
        <v>0.41666666666666663</v>
      </c>
      <c r="CZ32" s="891">
        <f>SUM(CZ33:CZ34)</f>
        <v>550000</v>
      </c>
      <c r="DA32" s="899">
        <f>SUM(DA33:DA34)</f>
        <v>7</v>
      </c>
      <c r="DB32" s="904">
        <f>SUM(DB33:DB34)</f>
        <v>3</v>
      </c>
      <c r="DC32" s="788">
        <f>IF(SUM(DC33:DC34)&gt;0,AVERAGEIF(DC33:DC34,"&gt;0"),0)</f>
        <v>0.41666666666666663</v>
      </c>
      <c r="DD32" s="891">
        <f>SUM(DD33:DD34)</f>
        <v>550000</v>
      </c>
      <c r="DE32" s="899">
        <f>SUM(DE33:DE34)</f>
        <v>7</v>
      </c>
      <c r="DF32" s="904">
        <f>SUM(DF33:DF34)</f>
        <v>3</v>
      </c>
      <c r="DG32" s="788">
        <f>IF(SUM(DG33:DG34)&gt;0,AVERAGEIF(DG33:DG34,"&gt;0"),0)</f>
        <v>0.41666666666666663</v>
      </c>
      <c r="DH32" s="891">
        <f>SUM(DH33:DH34)</f>
        <v>550000</v>
      </c>
      <c r="DI32" s="899">
        <f>SUM(DI33:DI34)</f>
        <v>7</v>
      </c>
      <c r="DJ32" s="904">
        <f>SUM(DJ33:DJ34)</f>
        <v>3</v>
      </c>
      <c r="DK32" s="788">
        <f>IF(SUM(DK33:DK34)&gt;0,AVERAGEIF(DK33:DK34,"&gt;0"),0)</f>
        <v>0.41666666666666663</v>
      </c>
      <c r="DL32" s="891">
        <f>SUM(DL33:DL34)</f>
        <v>550000</v>
      </c>
      <c r="DM32" s="899">
        <f>SUM(DM33:DM34)</f>
        <v>7</v>
      </c>
      <c r="DN32" s="904">
        <f>SUM(DN33:DN34)</f>
        <v>3</v>
      </c>
      <c r="DO32" s="788">
        <f>IF(SUM(DO33:DO34)&gt;0,AVERAGEIF(DO33:DO34,"&gt;0"),0)</f>
        <v>0.41666666666666663</v>
      </c>
      <c r="DP32" s="891">
        <f>SUM(DP33:DP34)</f>
        <v>550000</v>
      </c>
      <c r="DQ32" s="899">
        <f>SUM(DQ33:DQ34)</f>
        <v>7</v>
      </c>
      <c r="DR32" s="904">
        <f>SUM(DR33:DR34)</f>
        <v>3</v>
      </c>
      <c r="DS32" s="788">
        <f>IF(SUM(DS33:DS34)&gt;0,AVERAGEIF(DS33:DS34,"&gt;0"),0)</f>
        <v>0.41666666666666663</v>
      </c>
      <c r="DT32" s="891">
        <f>SUM(DT33:DT34)</f>
        <v>550000</v>
      </c>
      <c r="DU32" s="899">
        <f>SUM(DU33:DU34)</f>
        <v>7</v>
      </c>
      <c r="DV32" s="904">
        <f>SUM(DV33:DV34)</f>
        <v>3</v>
      </c>
      <c r="DW32" s="788">
        <f>IF(SUM(DW33:DW34)&gt;0,AVERAGEIF(DW33:DW34,"&gt;0"),0)</f>
        <v>0.41666666666666663</v>
      </c>
      <c r="DX32" s="891">
        <f>SUM(DX33:DX34)</f>
        <v>550000</v>
      </c>
      <c r="DY32" s="899">
        <f>SUM(DY33:DY34)</f>
        <v>7</v>
      </c>
      <c r="DZ32" s="904">
        <f>SUM(DZ33:DZ34)</f>
        <v>3</v>
      </c>
      <c r="EA32" s="788">
        <f>IF(SUM(EA33:EA34)&gt;0,AVERAGEIF(EA33:EA34,"&gt;0"),0)</f>
        <v>0.41666666666666663</v>
      </c>
      <c r="EB32" s="891">
        <f>SUM(EB33:EB34)</f>
        <v>550000</v>
      </c>
      <c r="EC32" s="899">
        <f>SUM(EC33:EC34)</f>
        <v>7</v>
      </c>
      <c r="ED32" s="904">
        <f>SUM(ED33:ED34)</f>
        <v>3</v>
      </c>
      <c r="EE32" s="788">
        <f>IF(SUM(EE33:EE34)&gt;0,AVERAGEIF(EE33:EE34,"&gt;0"),0)</f>
        <v>0.41666666666666663</v>
      </c>
      <c r="EF32" s="891">
        <f>SUM(EF33:EF34)</f>
        <v>550000</v>
      </c>
    </row>
    <row r="33" spans="1:136" ht="20" customHeight="1" x14ac:dyDescent="0.15">
      <c r="A33" s="189">
        <f t="shared" si="198"/>
        <v>0</v>
      </c>
      <c r="B33" s="948"/>
      <c r="C33" s="970" t="s">
        <v>132</v>
      </c>
      <c r="D33" s="610">
        <f>$D$32/2</f>
        <v>5000000</v>
      </c>
      <c r="E33" s="1082">
        <f t="shared" ref="E33:E34" si="267">SUMIF($M$13:$EF$13,$P$13,$M33:$EF33)</f>
        <v>6200000</v>
      </c>
      <c r="F33" s="610">
        <f t="shared" ref="F33:F35" si="268">E33-D33</f>
        <v>1200000</v>
      </c>
      <c r="G33" s="208">
        <f t="shared" ref="G33:G35" si="269">_xlfn.IFS(F33&gt;0,1,F33&lt;=0,E33/D33)</f>
        <v>1</v>
      </c>
      <c r="H33" s="208">
        <f>IF(SUMIF(M$13:EF$13,$O$13,M33:EF33)&gt;0,AVERAGEIFS(M33:EF33,M33:EF33,"&gt;0",M$13:EF$13,$O$13),"NO NEW ORDER")</f>
        <v>0.33333333333333337</v>
      </c>
      <c r="I33" s="788"/>
      <c r="J33" s="208">
        <f ca="1">SUMIFS($M33:$EF33,$M$11:$EF$11,TODAY()-1,$M$13:$EF$13,O$13)</f>
        <v>0</v>
      </c>
      <c r="K33" s="686"/>
      <c r="L33" s="605">
        <f ca="1">SUMIFS($M33:$EF33,$M$11:$EF$11,TODAY()-1,$M$13:$EF$13,P$13)</f>
        <v>0</v>
      </c>
      <c r="M33" s="1026">
        <v>3</v>
      </c>
      <c r="N33" s="1027">
        <v>1</v>
      </c>
      <c r="O33" s="208">
        <f>_xlfn.IFS(M33=0,0,N33&lt;=M33,N33/M33,N33&gt;M33,1)</f>
        <v>0.33333333333333331</v>
      </c>
      <c r="P33" s="1029">
        <v>200000</v>
      </c>
      <c r="Q33" s="1026">
        <v>3</v>
      </c>
      <c r="R33" s="1027">
        <v>1</v>
      </c>
      <c r="S33" s="208">
        <f>_xlfn.IFS(Q33=0,0,R33&lt;=Q33,R33/Q33,R33&gt;Q33,1)</f>
        <v>0.33333333333333331</v>
      </c>
      <c r="T33" s="1029">
        <v>200000</v>
      </c>
      <c r="U33" s="1026">
        <v>3</v>
      </c>
      <c r="V33" s="1027">
        <v>1</v>
      </c>
      <c r="W33" s="208">
        <f>_xlfn.IFS(U33=0,0,V33&lt;=U33,V33/U33,V33&gt;U33,1)</f>
        <v>0.33333333333333331</v>
      </c>
      <c r="X33" s="1029">
        <v>200000</v>
      </c>
      <c r="Y33" s="1026">
        <v>3</v>
      </c>
      <c r="Z33" s="1027">
        <v>1</v>
      </c>
      <c r="AA33" s="208">
        <f>_xlfn.IFS(Y33=0,0,Z33&lt;=Y33,Z33/Y33,Z33&gt;Y33,1)</f>
        <v>0.33333333333333331</v>
      </c>
      <c r="AB33" s="1029">
        <v>200000</v>
      </c>
      <c r="AC33" s="1026">
        <v>3</v>
      </c>
      <c r="AD33" s="1027">
        <v>1</v>
      </c>
      <c r="AE33" s="208">
        <f>_xlfn.IFS(AC33=0,0,AD33&lt;=AC33,AD33/AC33,AD33&gt;AC33,1)</f>
        <v>0.33333333333333331</v>
      </c>
      <c r="AF33" s="1029">
        <v>200000</v>
      </c>
      <c r="AG33" s="1026">
        <v>3</v>
      </c>
      <c r="AH33" s="1027">
        <v>1</v>
      </c>
      <c r="AI33" s="208">
        <f>_xlfn.IFS(AG33=0,0,AH33&lt;=AG33,AH33/AG33,AH33&gt;AG33,1)</f>
        <v>0.33333333333333331</v>
      </c>
      <c r="AJ33" s="1029">
        <v>200000</v>
      </c>
      <c r="AK33" s="1026">
        <v>3</v>
      </c>
      <c r="AL33" s="1027">
        <v>1</v>
      </c>
      <c r="AM33" s="208">
        <f>_xlfn.IFS(AK33=0,0,AL33&lt;=AK33,AL33/AK33,AL33&gt;AK33,1)</f>
        <v>0.33333333333333331</v>
      </c>
      <c r="AN33" s="1029">
        <v>200000</v>
      </c>
      <c r="AO33" s="1026">
        <v>3</v>
      </c>
      <c r="AP33" s="1027">
        <v>1</v>
      </c>
      <c r="AQ33" s="208">
        <f>_xlfn.IFS(AO33=0,0,AP33&lt;=AO33,AP33/AO33,AP33&gt;AO33,1)</f>
        <v>0.33333333333333331</v>
      </c>
      <c r="AR33" s="1029">
        <v>200000</v>
      </c>
      <c r="AS33" s="1026">
        <v>3</v>
      </c>
      <c r="AT33" s="1027">
        <v>1</v>
      </c>
      <c r="AU33" s="208">
        <f>_xlfn.IFS(AS33=0,0,AT33&lt;=AS33,AT33/AS33,AT33&gt;AS33,1)</f>
        <v>0.33333333333333331</v>
      </c>
      <c r="AV33" s="1029">
        <v>200000</v>
      </c>
      <c r="AW33" s="1026">
        <v>3</v>
      </c>
      <c r="AX33" s="1027">
        <v>1</v>
      </c>
      <c r="AY33" s="208">
        <f>_xlfn.IFS(AW33=0,0,AX33&lt;=AW33,AX33/AW33,AX33&gt;AW33,1)</f>
        <v>0.33333333333333331</v>
      </c>
      <c r="AZ33" s="1029">
        <v>200000</v>
      </c>
      <c r="BA33" s="1026">
        <v>3</v>
      </c>
      <c r="BB33" s="1027">
        <v>1</v>
      </c>
      <c r="BC33" s="208">
        <f>_xlfn.IFS(BA33=0,0,BB33&lt;=BA33,BB33/BA33,BB33&gt;BA33,1)</f>
        <v>0.33333333333333331</v>
      </c>
      <c r="BD33" s="1029">
        <v>200000</v>
      </c>
      <c r="BE33" s="1026">
        <v>3</v>
      </c>
      <c r="BF33" s="1027">
        <v>1</v>
      </c>
      <c r="BG33" s="208">
        <f>_xlfn.IFS(BE33=0,0,BF33&lt;=BE33,BF33/BE33,BF33&gt;BE33,1)</f>
        <v>0.33333333333333331</v>
      </c>
      <c r="BH33" s="1029">
        <v>200000</v>
      </c>
      <c r="BI33" s="1026">
        <v>3</v>
      </c>
      <c r="BJ33" s="1027">
        <v>1</v>
      </c>
      <c r="BK33" s="208">
        <f>_xlfn.IFS(BI33=0,0,BJ33&lt;=BI33,BJ33/BI33,BJ33&gt;BI33,1)</f>
        <v>0.33333333333333331</v>
      </c>
      <c r="BL33" s="1029">
        <v>200000</v>
      </c>
      <c r="BM33" s="1026">
        <v>3</v>
      </c>
      <c r="BN33" s="1027">
        <v>1</v>
      </c>
      <c r="BO33" s="208">
        <f>_xlfn.IFS(BM33=0,0,BN33&lt;=BM33,BN33/BM33,BN33&gt;BM33,1)</f>
        <v>0.33333333333333331</v>
      </c>
      <c r="BP33" s="1029">
        <v>200000</v>
      </c>
      <c r="BQ33" s="1026">
        <v>3</v>
      </c>
      <c r="BR33" s="1027">
        <v>1</v>
      </c>
      <c r="BS33" s="208">
        <f>_xlfn.IFS(BQ33=0,0,BR33&lt;=BQ33,BR33/BQ33,BR33&gt;BQ33,1)</f>
        <v>0.33333333333333331</v>
      </c>
      <c r="BT33" s="1029">
        <v>200000</v>
      </c>
      <c r="BU33" s="1026">
        <v>3</v>
      </c>
      <c r="BV33" s="1027">
        <v>1</v>
      </c>
      <c r="BW33" s="208">
        <f>_xlfn.IFS(BU33=0,0,BV33&lt;=BU33,BV33/BU33,BV33&gt;BU33,1)</f>
        <v>0.33333333333333331</v>
      </c>
      <c r="BX33" s="1029">
        <v>200000</v>
      </c>
      <c r="BY33" s="1026">
        <v>3</v>
      </c>
      <c r="BZ33" s="1027">
        <v>1</v>
      </c>
      <c r="CA33" s="208">
        <f>_xlfn.IFS(BY33=0,0,BZ33&lt;=BY33,BZ33/BY33,BZ33&gt;BY33,1)</f>
        <v>0.33333333333333331</v>
      </c>
      <c r="CB33" s="1029">
        <v>200000</v>
      </c>
      <c r="CC33" s="1026">
        <v>3</v>
      </c>
      <c r="CD33" s="1027">
        <v>1</v>
      </c>
      <c r="CE33" s="208">
        <f>_xlfn.IFS(CC33=0,0,CD33&lt;=CC33,CD33/CC33,CD33&gt;CC33,1)</f>
        <v>0.33333333333333331</v>
      </c>
      <c r="CF33" s="1029">
        <v>200000</v>
      </c>
      <c r="CG33" s="1026">
        <v>3</v>
      </c>
      <c r="CH33" s="1027">
        <v>1</v>
      </c>
      <c r="CI33" s="208">
        <f>_xlfn.IFS(CG33=0,0,CH33&lt;=CG33,CH33/CG33,CH33&gt;CG33,1)</f>
        <v>0.33333333333333331</v>
      </c>
      <c r="CJ33" s="1029">
        <v>200000</v>
      </c>
      <c r="CK33" s="1026">
        <v>3</v>
      </c>
      <c r="CL33" s="1027">
        <v>1</v>
      </c>
      <c r="CM33" s="208">
        <f>_xlfn.IFS(CK33=0,0,CL33&lt;=CK33,CL33/CK33,CL33&gt;CK33,1)</f>
        <v>0.33333333333333331</v>
      </c>
      <c r="CN33" s="1029">
        <v>200000</v>
      </c>
      <c r="CO33" s="1026">
        <v>3</v>
      </c>
      <c r="CP33" s="1027">
        <v>1</v>
      </c>
      <c r="CQ33" s="208">
        <f>_xlfn.IFS(CO33=0,0,CP33&lt;=CO33,CP33/CO33,CP33&gt;CO33,1)</f>
        <v>0.33333333333333331</v>
      </c>
      <c r="CR33" s="1029">
        <v>200000</v>
      </c>
      <c r="CS33" s="1026">
        <v>3</v>
      </c>
      <c r="CT33" s="1027">
        <v>1</v>
      </c>
      <c r="CU33" s="208">
        <f>_xlfn.IFS(CS33=0,0,CT33&lt;=CS33,CT33/CS33,CT33&gt;CS33,1)</f>
        <v>0.33333333333333331</v>
      </c>
      <c r="CV33" s="1029">
        <v>200000</v>
      </c>
      <c r="CW33" s="1026">
        <v>3</v>
      </c>
      <c r="CX33" s="1027">
        <v>1</v>
      </c>
      <c r="CY33" s="208">
        <f>_xlfn.IFS(CW33=0,0,CX33&lt;=CW33,CX33/CW33,CX33&gt;CW33,1)</f>
        <v>0.33333333333333331</v>
      </c>
      <c r="CZ33" s="1029">
        <v>200000</v>
      </c>
      <c r="DA33" s="1026">
        <v>3</v>
      </c>
      <c r="DB33" s="1027">
        <v>1</v>
      </c>
      <c r="DC33" s="208">
        <f>_xlfn.IFS(DA33=0,0,DB33&lt;=DA33,DB33/DA33,DB33&gt;DA33,1)</f>
        <v>0.33333333333333331</v>
      </c>
      <c r="DD33" s="1029">
        <v>200000</v>
      </c>
      <c r="DE33" s="1026">
        <v>3</v>
      </c>
      <c r="DF33" s="1027">
        <v>1</v>
      </c>
      <c r="DG33" s="208">
        <f>_xlfn.IFS(DE33=0,0,DF33&lt;=DE33,DF33/DE33,DF33&gt;DE33,1)</f>
        <v>0.33333333333333331</v>
      </c>
      <c r="DH33" s="1029">
        <v>200000</v>
      </c>
      <c r="DI33" s="1026">
        <v>3</v>
      </c>
      <c r="DJ33" s="1027">
        <v>1</v>
      </c>
      <c r="DK33" s="208">
        <f>_xlfn.IFS(DI33=0,0,DJ33&lt;=DI33,DJ33/DI33,DJ33&gt;DI33,1)</f>
        <v>0.33333333333333331</v>
      </c>
      <c r="DL33" s="1029">
        <v>200000</v>
      </c>
      <c r="DM33" s="1026">
        <v>3</v>
      </c>
      <c r="DN33" s="1027">
        <v>1</v>
      </c>
      <c r="DO33" s="208">
        <f>_xlfn.IFS(DM33=0,0,DN33&lt;=DM33,DN33/DM33,DN33&gt;DM33,1)</f>
        <v>0.33333333333333331</v>
      </c>
      <c r="DP33" s="1029">
        <v>200000</v>
      </c>
      <c r="DQ33" s="1026">
        <v>3</v>
      </c>
      <c r="DR33" s="1027">
        <v>1</v>
      </c>
      <c r="DS33" s="208">
        <f>_xlfn.IFS(DQ33=0,0,DR33&lt;=DQ33,DR33/DQ33,DR33&gt;DQ33,1)</f>
        <v>0.33333333333333331</v>
      </c>
      <c r="DT33" s="1029">
        <v>200000</v>
      </c>
      <c r="DU33" s="1026">
        <v>3</v>
      </c>
      <c r="DV33" s="1027">
        <v>1</v>
      </c>
      <c r="DW33" s="208">
        <f>_xlfn.IFS(DU33=0,0,DV33&lt;=DU33,DV33/DU33,DV33&gt;DU33,1)</f>
        <v>0.33333333333333331</v>
      </c>
      <c r="DX33" s="1029">
        <v>200000</v>
      </c>
      <c r="DY33" s="1026">
        <v>3</v>
      </c>
      <c r="DZ33" s="1027">
        <v>1</v>
      </c>
      <c r="EA33" s="208">
        <f>_xlfn.IFS(DY33=0,0,DZ33&lt;=DY33,DZ33/DY33,DZ33&gt;DY33,1)</f>
        <v>0.33333333333333331</v>
      </c>
      <c r="EB33" s="1029">
        <v>200000</v>
      </c>
      <c r="EC33" s="1026">
        <v>3</v>
      </c>
      <c r="ED33" s="1027">
        <v>1</v>
      </c>
      <c r="EE33" s="208">
        <f>_xlfn.IFS(EC33=0,0,ED33&lt;=EC33,ED33/EC33,ED33&gt;EC33,1)</f>
        <v>0.33333333333333331</v>
      </c>
      <c r="EF33" s="1029">
        <v>200000</v>
      </c>
    </row>
    <row r="34" spans="1:136" ht="20" customHeight="1" x14ac:dyDescent="0.15">
      <c r="A34" s="189">
        <f t="shared" si="198"/>
        <v>0</v>
      </c>
      <c r="B34" s="948"/>
      <c r="C34" s="970" t="s">
        <v>133</v>
      </c>
      <c r="D34" s="610">
        <f>$D$32/2</f>
        <v>5000000</v>
      </c>
      <c r="E34" s="1082">
        <f t="shared" si="267"/>
        <v>10850000</v>
      </c>
      <c r="F34" s="610">
        <f t="shared" si="268"/>
        <v>5850000</v>
      </c>
      <c r="G34" s="208">
        <f t="shared" si="269"/>
        <v>1</v>
      </c>
      <c r="H34" s="208">
        <f t="shared" ref="H34" si="270">IF(SUMIF(M$13:EF$13,$O$13,M34:EF34)&gt;0,AVERAGEIFS(M34:EF34,M34:EF34,"&gt;0",M$13:EF$13,$O$13),"NO NEW ORDER")</f>
        <v>0.5</v>
      </c>
      <c r="I34" s="788"/>
      <c r="J34" s="208">
        <f ca="1">SUMIFS($M34:$EF34,$M$11:$EF$11,TODAY()-1,$M$13:$EF$13,O$13)</f>
        <v>0</v>
      </c>
      <c r="K34" s="958"/>
      <c r="L34" s="605">
        <f t="shared" ref="L34" ca="1" si="271">SUMIFS($M34:$EF34,$M$11:$EF$11,TODAY()-1,$M$13:$EF$13,P$13)</f>
        <v>0</v>
      </c>
      <c r="M34" s="1026">
        <v>4</v>
      </c>
      <c r="N34" s="1027">
        <v>2</v>
      </c>
      <c r="O34" s="208">
        <f t="shared" ref="O34" si="272">_xlfn.IFS(M34=0,0,N34&lt;=M34,N34/M34,N34&gt;M34,1)</f>
        <v>0.5</v>
      </c>
      <c r="P34" s="1029">
        <v>350000</v>
      </c>
      <c r="Q34" s="1026">
        <v>4</v>
      </c>
      <c r="R34" s="1027">
        <v>2</v>
      </c>
      <c r="S34" s="208">
        <f t="shared" ref="S34" si="273">_xlfn.IFS(Q34=0,0,R34&lt;=Q34,R34/Q34,R34&gt;Q34,1)</f>
        <v>0.5</v>
      </c>
      <c r="T34" s="1029">
        <v>350000</v>
      </c>
      <c r="U34" s="1026">
        <v>4</v>
      </c>
      <c r="V34" s="1027">
        <v>2</v>
      </c>
      <c r="W34" s="208">
        <f t="shared" ref="W34" si="274">_xlfn.IFS(U34=0,0,V34&lt;=U34,V34/U34,V34&gt;U34,1)</f>
        <v>0.5</v>
      </c>
      <c r="X34" s="1029">
        <v>350000</v>
      </c>
      <c r="Y34" s="1026">
        <v>4</v>
      </c>
      <c r="Z34" s="1027">
        <v>2</v>
      </c>
      <c r="AA34" s="208">
        <f t="shared" ref="AA34" si="275">_xlfn.IFS(Y34=0,0,Z34&lt;=Y34,Z34/Y34,Z34&gt;Y34,1)</f>
        <v>0.5</v>
      </c>
      <c r="AB34" s="1029">
        <v>350000</v>
      </c>
      <c r="AC34" s="1026">
        <v>4</v>
      </c>
      <c r="AD34" s="1027">
        <v>2</v>
      </c>
      <c r="AE34" s="208">
        <f t="shared" ref="AE34" si="276">_xlfn.IFS(AC34=0,0,AD34&lt;=AC34,AD34/AC34,AD34&gt;AC34,1)</f>
        <v>0.5</v>
      </c>
      <c r="AF34" s="1029">
        <v>350000</v>
      </c>
      <c r="AG34" s="1026">
        <v>4</v>
      </c>
      <c r="AH34" s="1027">
        <v>2</v>
      </c>
      <c r="AI34" s="208">
        <f t="shared" ref="AI34" si="277">_xlfn.IFS(AG34=0,0,AH34&lt;=AG34,AH34/AG34,AH34&gt;AG34,1)</f>
        <v>0.5</v>
      </c>
      <c r="AJ34" s="1029">
        <v>350000</v>
      </c>
      <c r="AK34" s="1026">
        <v>4</v>
      </c>
      <c r="AL34" s="1027">
        <v>2</v>
      </c>
      <c r="AM34" s="208">
        <f t="shared" ref="AM34" si="278">_xlfn.IFS(AK34=0,0,AL34&lt;=AK34,AL34/AK34,AL34&gt;AK34,1)</f>
        <v>0.5</v>
      </c>
      <c r="AN34" s="1029">
        <v>350000</v>
      </c>
      <c r="AO34" s="1026">
        <v>4</v>
      </c>
      <c r="AP34" s="1027">
        <v>2</v>
      </c>
      <c r="AQ34" s="208">
        <f t="shared" ref="AQ34" si="279">_xlfn.IFS(AO34=0,0,AP34&lt;=AO34,AP34/AO34,AP34&gt;AO34,1)</f>
        <v>0.5</v>
      </c>
      <c r="AR34" s="1029">
        <v>350000</v>
      </c>
      <c r="AS34" s="1026">
        <v>4</v>
      </c>
      <c r="AT34" s="1027">
        <v>2</v>
      </c>
      <c r="AU34" s="208">
        <f t="shared" ref="AU34" si="280">_xlfn.IFS(AS34=0,0,AT34&lt;=AS34,AT34/AS34,AT34&gt;AS34,1)</f>
        <v>0.5</v>
      </c>
      <c r="AV34" s="1029">
        <v>350000</v>
      </c>
      <c r="AW34" s="1026">
        <v>4</v>
      </c>
      <c r="AX34" s="1027">
        <v>2</v>
      </c>
      <c r="AY34" s="208">
        <f t="shared" ref="AY34" si="281">_xlfn.IFS(AW34=0,0,AX34&lt;=AW34,AX34/AW34,AX34&gt;AW34,1)</f>
        <v>0.5</v>
      </c>
      <c r="AZ34" s="1029">
        <v>350000</v>
      </c>
      <c r="BA34" s="1026">
        <v>4</v>
      </c>
      <c r="BB34" s="1027">
        <v>2</v>
      </c>
      <c r="BC34" s="208">
        <f t="shared" ref="BC34" si="282">_xlfn.IFS(BA34=0,0,BB34&lt;=BA34,BB34/BA34,BB34&gt;BA34,1)</f>
        <v>0.5</v>
      </c>
      <c r="BD34" s="1029">
        <v>350000</v>
      </c>
      <c r="BE34" s="1026">
        <v>4</v>
      </c>
      <c r="BF34" s="1027">
        <v>2</v>
      </c>
      <c r="BG34" s="208">
        <f t="shared" ref="BG34" si="283">_xlfn.IFS(BE34=0,0,BF34&lt;=BE34,BF34/BE34,BF34&gt;BE34,1)</f>
        <v>0.5</v>
      </c>
      <c r="BH34" s="1029">
        <v>350000</v>
      </c>
      <c r="BI34" s="1026">
        <v>4</v>
      </c>
      <c r="BJ34" s="1027">
        <v>2</v>
      </c>
      <c r="BK34" s="208">
        <f t="shared" ref="BK34" si="284">_xlfn.IFS(BI34=0,0,BJ34&lt;=BI34,BJ34/BI34,BJ34&gt;BI34,1)</f>
        <v>0.5</v>
      </c>
      <c r="BL34" s="1029">
        <v>350000</v>
      </c>
      <c r="BM34" s="1026">
        <v>4</v>
      </c>
      <c r="BN34" s="1027">
        <v>2</v>
      </c>
      <c r="BO34" s="208">
        <f t="shared" ref="BO34" si="285">_xlfn.IFS(BM34=0,0,BN34&lt;=BM34,BN34/BM34,BN34&gt;BM34,1)</f>
        <v>0.5</v>
      </c>
      <c r="BP34" s="1029">
        <v>350000</v>
      </c>
      <c r="BQ34" s="1026">
        <v>4</v>
      </c>
      <c r="BR34" s="1027">
        <v>2</v>
      </c>
      <c r="BS34" s="208">
        <f t="shared" ref="BS34" si="286">_xlfn.IFS(BQ34=0,0,BR34&lt;=BQ34,BR34/BQ34,BR34&gt;BQ34,1)</f>
        <v>0.5</v>
      </c>
      <c r="BT34" s="1029">
        <v>350000</v>
      </c>
      <c r="BU34" s="1026">
        <v>4</v>
      </c>
      <c r="BV34" s="1027">
        <v>2</v>
      </c>
      <c r="BW34" s="208">
        <f t="shared" ref="BW34" si="287">_xlfn.IFS(BU34=0,0,BV34&lt;=BU34,BV34/BU34,BV34&gt;BU34,1)</f>
        <v>0.5</v>
      </c>
      <c r="BX34" s="1029">
        <v>350000</v>
      </c>
      <c r="BY34" s="1026">
        <v>4</v>
      </c>
      <c r="BZ34" s="1027">
        <v>2</v>
      </c>
      <c r="CA34" s="208">
        <f t="shared" ref="CA34" si="288">_xlfn.IFS(BY34=0,0,BZ34&lt;=BY34,BZ34/BY34,BZ34&gt;BY34,1)</f>
        <v>0.5</v>
      </c>
      <c r="CB34" s="1029">
        <v>350000</v>
      </c>
      <c r="CC34" s="1026">
        <v>4</v>
      </c>
      <c r="CD34" s="1027">
        <v>2</v>
      </c>
      <c r="CE34" s="208">
        <f t="shared" ref="CE34" si="289">_xlfn.IFS(CC34=0,0,CD34&lt;=CC34,CD34/CC34,CD34&gt;CC34,1)</f>
        <v>0.5</v>
      </c>
      <c r="CF34" s="1029">
        <v>350000</v>
      </c>
      <c r="CG34" s="1026">
        <v>4</v>
      </c>
      <c r="CH34" s="1027">
        <v>2</v>
      </c>
      <c r="CI34" s="208">
        <f t="shared" ref="CI34" si="290">_xlfn.IFS(CG34=0,0,CH34&lt;=CG34,CH34/CG34,CH34&gt;CG34,1)</f>
        <v>0.5</v>
      </c>
      <c r="CJ34" s="1029">
        <v>350000</v>
      </c>
      <c r="CK34" s="1026">
        <v>4</v>
      </c>
      <c r="CL34" s="1027">
        <v>2</v>
      </c>
      <c r="CM34" s="208">
        <f t="shared" ref="CM34" si="291">_xlfn.IFS(CK34=0,0,CL34&lt;=CK34,CL34/CK34,CL34&gt;CK34,1)</f>
        <v>0.5</v>
      </c>
      <c r="CN34" s="1029">
        <v>350000</v>
      </c>
      <c r="CO34" s="1026">
        <v>4</v>
      </c>
      <c r="CP34" s="1027">
        <v>2</v>
      </c>
      <c r="CQ34" s="208">
        <f t="shared" ref="CQ34" si="292">_xlfn.IFS(CO34=0,0,CP34&lt;=CO34,CP34/CO34,CP34&gt;CO34,1)</f>
        <v>0.5</v>
      </c>
      <c r="CR34" s="1029">
        <v>350000</v>
      </c>
      <c r="CS34" s="1026">
        <v>4</v>
      </c>
      <c r="CT34" s="1027">
        <v>2</v>
      </c>
      <c r="CU34" s="208">
        <f t="shared" ref="CU34" si="293">_xlfn.IFS(CS34=0,0,CT34&lt;=CS34,CT34/CS34,CT34&gt;CS34,1)</f>
        <v>0.5</v>
      </c>
      <c r="CV34" s="1029">
        <v>350000</v>
      </c>
      <c r="CW34" s="1026">
        <v>4</v>
      </c>
      <c r="CX34" s="1027">
        <v>2</v>
      </c>
      <c r="CY34" s="208">
        <f t="shared" ref="CY34" si="294">_xlfn.IFS(CW34=0,0,CX34&lt;=CW34,CX34/CW34,CX34&gt;CW34,1)</f>
        <v>0.5</v>
      </c>
      <c r="CZ34" s="1029">
        <v>350000</v>
      </c>
      <c r="DA34" s="1026">
        <v>4</v>
      </c>
      <c r="DB34" s="1027">
        <v>2</v>
      </c>
      <c r="DC34" s="208">
        <f t="shared" ref="DC34" si="295">_xlfn.IFS(DA34=0,0,DB34&lt;=DA34,DB34/DA34,DB34&gt;DA34,1)</f>
        <v>0.5</v>
      </c>
      <c r="DD34" s="1029">
        <v>350000</v>
      </c>
      <c r="DE34" s="1026">
        <v>4</v>
      </c>
      <c r="DF34" s="1027">
        <v>2</v>
      </c>
      <c r="DG34" s="208">
        <f t="shared" ref="DG34" si="296">_xlfn.IFS(DE34=0,0,DF34&lt;=DE34,DF34/DE34,DF34&gt;DE34,1)</f>
        <v>0.5</v>
      </c>
      <c r="DH34" s="1029">
        <v>350000</v>
      </c>
      <c r="DI34" s="1026">
        <v>4</v>
      </c>
      <c r="DJ34" s="1027">
        <v>2</v>
      </c>
      <c r="DK34" s="208">
        <f t="shared" ref="DK34" si="297">_xlfn.IFS(DI34=0,0,DJ34&lt;=DI34,DJ34/DI34,DJ34&gt;DI34,1)</f>
        <v>0.5</v>
      </c>
      <c r="DL34" s="1029">
        <v>350000</v>
      </c>
      <c r="DM34" s="1026">
        <v>4</v>
      </c>
      <c r="DN34" s="1027">
        <v>2</v>
      </c>
      <c r="DO34" s="208">
        <f t="shared" ref="DO34" si="298">_xlfn.IFS(DM34=0,0,DN34&lt;=DM34,DN34/DM34,DN34&gt;DM34,1)</f>
        <v>0.5</v>
      </c>
      <c r="DP34" s="1029">
        <v>350000</v>
      </c>
      <c r="DQ34" s="1026">
        <v>4</v>
      </c>
      <c r="DR34" s="1027">
        <v>2</v>
      </c>
      <c r="DS34" s="208">
        <f t="shared" ref="DS34" si="299">_xlfn.IFS(DQ34=0,0,DR34&lt;=DQ34,DR34/DQ34,DR34&gt;DQ34,1)</f>
        <v>0.5</v>
      </c>
      <c r="DT34" s="1029">
        <v>350000</v>
      </c>
      <c r="DU34" s="1026">
        <v>4</v>
      </c>
      <c r="DV34" s="1027">
        <v>2</v>
      </c>
      <c r="DW34" s="208">
        <f t="shared" ref="DW34" si="300">_xlfn.IFS(DU34=0,0,DV34&lt;=DU34,DV34/DU34,DV34&gt;DU34,1)</f>
        <v>0.5</v>
      </c>
      <c r="DX34" s="1029">
        <v>350000</v>
      </c>
      <c r="DY34" s="1026">
        <v>4</v>
      </c>
      <c r="DZ34" s="1027">
        <v>2</v>
      </c>
      <c r="EA34" s="208">
        <f t="shared" ref="EA34" si="301">_xlfn.IFS(DY34=0,0,DZ34&lt;=DY34,DZ34/DY34,DZ34&gt;DY34,1)</f>
        <v>0.5</v>
      </c>
      <c r="EB34" s="1029">
        <v>350000</v>
      </c>
      <c r="EC34" s="1026">
        <v>4</v>
      </c>
      <c r="ED34" s="1027">
        <v>2</v>
      </c>
      <c r="EE34" s="208">
        <f t="shared" ref="EE34" si="302">_xlfn.IFS(EC34=0,0,ED34&lt;=EC34,ED34/EC34,ED34&gt;EC34,1)</f>
        <v>0.5</v>
      </c>
      <c r="EF34" s="1029">
        <v>350000</v>
      </c>
    </row>
    <row r="35" spans="1:136" ht="20" customHeight="1" x14ac:dyDescent="0.15">
      <c r="A35" s="870">
        <f t="shared" si="198"/>
        <v>0</v>
      </c>
      <c r="B35" s="948"/>
      <c r="C35" s="883" t="str">
        <f>Dashboard!K99</f>
        <v>TIKTOKSHOP</v>
      </c>
      <c r="D35" s="686">
        <f>Dashboard!AK99</f>
        <v>10000000</v>
      </c>
      <c r="E35" s="1065">
        <f>SUMIF($M$13:$EF$13,$P$13,$M35:$EF35)</f>
        <v>15500000</v>
      </c>
      <c r="F35" s="610">
        <f t="shared" si="268"/>
        <v>5500000</v>
      </c>
      <c r="G35" s="208">
        <f t="shared" si="269"/>
        <v>1</v>
      </c>
      <c r="H35" s="788">
        <f>IF(SUMIF(M$13:EF$13,$O$13,M35:EF35)&gt;0,AVERAGEIFS(M35:EF35,M35:EF35,"&gt;0",M$13:EF$13,$O$13),"NO NEW ORDER")</f>
        <v>0.5</v>
      </c>
      <c r="I35" s="788">
        <f>Dashboard!M120</f>
        <v>0.16041666666666665</v>
      </c>
      <c r="J35" s="788">
        <f ca="1">SUMIFS($M35:$EF35,$M$11:$EF$11,TODAY()-1,$M$13:$EF$13,O$13)</f>
        <v>0</v>
      </c>
      <c r="K35" s="686">
        <f>D35/'Action Plan'!$C$6</f>
        <v>384615.38461538462</v>
      </c>
      <c r="L35" s="933">
        <f ca="1">SUMIFS($M35:$EF35,$M$11:$EF$11,TODAY()-1,$M$13:$EF$13,P$13)</f>
        <v>0</v>
      </c>
      <c r="M35" s="899">
        <v>2</v>
      </c>
      <c r="N35" s="904">
        <v>1</v>
      </c>
      <c r="O35" s="788">
        <f>_xlfn.IFS(M35=0,0,N35&lt;=M35,N35/M35,N35&gt;M35,1)</f>
        <v>0.5</v>
      </c>
      <c r="P35" s="891">
        <v>500000</v>
      </c>
      <c r="Q35" s="899">
        <v>2</v>
      </c>
      <c r="R35" s="904">
        <v>1</v>
      </c>
      <c r="S35" s="788">
        <f>_xlfn.IFS(Q35=0,0,R35&lt;=Q35,R35/Q35,R35&gt;Q35,1)</f>
        <v>0.5</v>
      </c>
      <c r="T35" s="891">
        <v>500000</v>
      </c>
      <c r="U35" s="899">
        <v>2</v>
      </c>
      <c r="V35" s="904">
        <v>1</v>
      </c>
      <c r="W35" s="788">
        <f>_xlfn.IFS(U35=0,0,V35&lt;=U35,V35/U35,V35&gt;U35,1)</f>
        <v>0.5</v>
      </c>
      <c r="X35" s="891">
        <v>500000</v>
      </c>
      <c r="Y35" s="899">
        <v>2</v>
      </c>
      <c r="Z35" s="904">
        <v>1</v>
      </c>
      <c r="AA35" s="788">
        <f>_xlfn.IFS(Y35=0,0,Z35&lt;=Y35,Z35/Y35,Z35&gt;Y35,1)</f>
        <v>0.5</v>
      </c>
      <c r="AB35" s="891">
        <v>500000</v>
      </c>
      <c r="AC35" s="899">
        <v>2</v>
      </c>
      <c r="AD35" s="904">
        <v>1</v>
      </c>
      <c r="AE35" s="788">
        <f>_xlfn.IFS(AC35=0,0,AD35&lt;=AC35,AD35/AC35,AD35&gt;AC35,1)</f>
        <v>0.5</v>
      </c>
      <c r="AF35" s="891">
        <v>500000</v>
      </c>
      <c r="AG35" s="899">
        <v>2</v>
      </c>
      <c r="AH35" s="904">
        <v>1</v>
      </c>
      <c r="AI35" s="788">
        <f>_xlfn.IFS(AG35=0,0,AH35&lt;=AG35,AH35/AG35,AH35&gt;AG35,1)</f>
        <v>0.5</v>
      </c>
      <c r="AJ35" s="891">
        <v>500000</v>
      </c>
      <c r="AK35" s="899">
        <v>2</v>
      </c>
      <c r="AL35" s="904">
        <v>1</v>
      </c>
      <c r="AM35" s="788">
        <f>_xlfn.IFS(AK35=0,0,AL35&lt;=AK35,AL35/AK35,AL35&gt;AK35,1)</f>
        <v>0.5</v>
      </c>
      <c r="AN35" s="891">
        <v>500000</v>
      </c>
      <c r="AO35" s="899">
        <v>2</v>
      </c>
      <c r="AP35" s="904">
        <v>1</v>
      </c>
      <c r="AQ35" s="788">
        <f>_xlfn.IFS(AO35=0,0,AP35&lt;=AO35,AP35/AO35,AP35&gt;AO35,1)</f>
        <v>0.5</v>
      </c>
      <c r="AR35" s="891">
        <v>500000</v>
      </c>
      <c r="AS35" s="899">
        <v>2</v>
      </c>
      <c r="AT35" s="904">
        <v>1</v>
      </c>
      <c r="AU35" s="788">
        <f>_xlfn.IFS(AS35=0,0,AT35&lt;=AS35,AT35/AS35,AT35&gt;AS35,1)</f>
        <v>0.5</v>
      </c>
      <c r="AV35" s="891">
        <v>500000</v>
      </c>
      <c r="AW35" s="899">
        <v>2</v>
      </c>
      <c r="AX35" s="904">
        <v>1</v>
      </c>
      <c r="AY35" s="788">
        <f>_xlfn.IFS(AW35=0,0,AX35&lt;=AW35,AX35/AW35,AX35&gt;AW35,1)</f>
        <v>0.5</v>
      </c>
      <c r="AZ35" s="891">
        <v>500000</v>
      </c>
      <c r="BA35" s="899">
        <v>2</v>
      </c>
      <c r="BB35" s="904">
        <v>1</v>
      </c>
      <c r="BC35" s="788">
        <f>_xlfn.IFS(BA35=0,0,BB35&lt;=BA35,BB35/BA35,BB35&gt;BA35,1)</f>
        <v>0.5</v>
      </c>
      <c r="BD35" s="891">
        <v>500000</v>
      </c>
      <c r="BE35" s="899">
        <v>2</v>
      </c>
      <c r="BF35" s="904">
        <v>1</v>
      </c>
      <c r="BG35" s="788">
        <f>_xlfn.IFS(BE35=0,0,BF35&lt;=BE35,BF35/BE35,BF35&gt;BE35,1)</f>
        <v>0.5</v>
      </c>
      <c r="BH35" s="891">
        <v>500000</v>
      </c>
      <c r="BI35" s="899">
        <v>2</v>
      </c>
      <c r="BJ35" s="904">
        <v>1</v>
      </c>
      <c r="BK35" s="788">
        <f>_xlfn.IFS(BI35=0,0,BJ35&lt;=BI35,BJ35/BI35,BJ35&gt;BI35,1)</f>
        <v>0.5</v>
      </c>
      <c r="BL35" s="891">
        <v>500000</v>
      </c>
      <c r="BM35" s="899">
        <v>2</v>
      </c>
      <c r="BN35" s="904">
        <v>1</v>
      </c>
      <c r="BO35" s="788">
        <f>_xlfn.IFS(BM35=0,0,BN35&lt;=BM35,BN35/BM35,BN35&gt;BM35,1)</f>
        <v>0.5</v>
      </c>
      <c r="BP35" s="891">
        <v>500000</v>
      </c>
      <c r="BQ35" s="899">
        <v>2</v>
      </c>
      <c r="BR35" s="904">
        <v>1</v>
      </c>
      <c r="BS35" s="788">
        <f>_xlfn.IFS(BQ35=0,0,BR35&lt;=BQ35,BR35/BQ35,BR35&gt;BQ35,1)</f>
        <v>0.5</v>
      </c>
      <c r="BT35" s="891">
        <v>500000</v>
      </c>
      <c r="BU35" s="899">
        <v>2</v>
      </c>
      <c r="BV35" s="904">
        <v>1</v>
      </c>
      <c r="BW35" s="788">
        <f>_xlfn.IFS(BU35=0,0,BV35&lt;=BU35,BV35/BU35,BV35&gt;BU35,1)</f>
        <v>0.5</v>
      </c>
      <c r="BX35" s="891">
        <v>500000</v>
      </c>
      <c r="BY35" s="899">
        <v>2</v>
      </c>
      <c r="BZ35" s="904">
        <v>1</v>
      </c>
      <c r="CA35" s="788">
        <f>_xlfn.IFS(BY35=0,0,BZ35&lt;=BY35,BZ35/BY35,BZ35&gt;BY35,1)</f>
        <v>0.5</v>
      </c>
      <c r="CB35" s="891">
        <v>500000</v>
      </c>
      <c r="CC35" s="899">
        <v>2</v>
      </c>
      <c r="CD35" s="904">
        <v>1</v>
      </c>
      <c r="CE35" s="788">
        <f>_xlfn.IFS(CC35=0,0,CD35&lt;=CC35,CD35/CC35,CD35&gt;CC35,1)</f>
        <v>0.5</v>
      </c>
      <c r="CF35" s="891">
        <v>500000</v>
      </c>
      <c r="CG35" s="899">
        <v>2</v>
      </c>
      <c r="CH35" s="904">
        <v>1</v>
      </c>
      <c r="CI35" s="788">
        <f>_xlfn.IFS(CG35=0,0,CH35&lt;=CG35,CH35/CG35,CH35&gt;CG35,1)</f>
        <v>0.5</v>
      </c>
      <c r="CJ35" s="891">
        <v>500000</v>
      </c>
      <c r="CK35" s="899">
        <v>2</v>
      </c>
      <c r="CL35" s="904">
        <v>1</v>
      </c>
      <c r="CM35" s="788">
        <f>_xlfn.IFS(CK35=0,0,CL35&lt;=CK35,CL35/CK35,CL35&gt;CK35,1)</f>
        <v>0.5</v>
      </c>
      <c r="CN35" s="891">
        <v>500000</v>
      </c>
      <c r="CO35" s="899">
        <v>2</v>
      </c>
      <c r="CP35" s="904">
        <v>1</v>
      </c>
      <c r="CQ35" s="788">
        <f>_xlfn.IFS(CO35=0,0,CP35&lt;=CO35,CP35/CO35,CP35&gt;CO35,1)</f>
        <v>0.5</v>
      </c>
      <c r="CR35" s="891">
        <v>500000</v>
      </c>
      <c r="CS35" s="899">
        <v>2</v>
      </c>
      <c r="CT35" s="904">
        <v>1</v>
      </c>
      <c r="CU35" s="788">
        <f>_xlfn.IFS(CS35=0,0,CT35&lt;=CS35,CT35/CS35,CT35&gt;CS35,1)</f>
        <v>0.5</v>
      </c>
      <c r="CV35" s="891">
        <v>500000</v>
      </c>
      <c r="CW35" s="899">
        <v>2</v>
      </c>
      <c r="CX35" s="904">
        <v>1</v>
      </c>
      <c r="CY35" s="788">
        <f>_xlfn.IFS(CW35=0,0,CX35&lt;=CW35,CX35/CW35,CX35&gt;CW35,1)</f>
        <v>0.5</v>
      </c>
      <c r="CZ35" s="891">
        <v>500000</v>
      </c>
      <c r="DA35" s="899">
        <v>2</v>
      </c>
      <c r="DB35" s="904">
        <v>1</v>
      </c>
      <c r="DC35" s="788">
        <f>_xlfn.IFS(DA35=0,0,DB35&lt;=DA35,DB35/DA35,DB35&gt;DA35,1)</f>
        <v>0.5</v>
      </c>
      <c r="DD35" s="891">
        <v>500000</v>
      </c>
      <c r="DE35" s="899">
        <v>2</v>
      </c>
      <c r="DF35" s="904">
        <v>1</v>
      </c>
      <c r="DG35" s="788">
        <f>_xlfn.IFS(DE35=0,0,DF35&lt;=DE35,DF35/DE35,DF35&gt;DE35,1)</f>
        <v>0.5</v>
      </c>
      <c r="DH35" s="891">
        <v>500000</v>
      </c>
      <c r="DI35" s="899">
        <v>2</v>
      </c>
      <c r="DJ35" s="904">
        <v>1</v>
      </c>
      <c r="DK35" s="788">
        <f>_xlfn.IFS(DI35=0,0,DJ35&lt;=DI35,DJ35/DI35,DJ35&gt;DI35,1)</f>
        <v>0.5</v>
      </c>
      <c r="DL35" s="891">
        <v>500000</v>
      </c>
      <c r="DM35" s="899">
        <v>2</v>
      </c>
      <c r="DN35" s="904">
        <v>1</v>
      </c>
      <c r="DO35" s="788">
        <f>_xlfn.IFS(DM35=0,0,DN35&lt;=DM35,DN35/DM35,DN35&gt;DM35,1)</f>
        <v>0.5</v>
      </c>
      <c r="DP35" s="891">
        <v>500000</v>
      </c>
      <c r="DQ35" s="899">
        <v>2</v>
      </c>
      <c r="DR35" s="904">
        <v>1</v>
      </c>
      <c r="DS35" s="788">
        <f>_xlfn.IFS(DQ35=0,0,DR35&lt;=DQ35,DR35/DQ35,DR35&gt;DQ35,1)</f>
        <v>0.5</v>
      </c>
      <c r="DT35" s="891">
        <v>500000</v>
      </c>
      <c r="DU35" s="899">
        <v>2</v>
      </c>
      <c r="DV35" s="904">
        <v>1</v>
      </c>
      <c r="DW35" s="788">
        <f>_xlfn.IFS(DU35=0,0,DV35&lt;=DU35,DV35/DU35,DV35&gt;DU35,1)</f>
        <v>0.5</v>
      </c>
      <c r="DX35" s="891">
        <v>500000</v>
      </c>
      <c r="DY35" s="899">
        <v>2</v>
      </c>
      <c r="DZ35" s="904">
        <v>1</v>
      </c>
      <c r="EA35" s="788">
        <f>_xlfn.IFS(DY35=0,0,DZ35&lt;=DY35,DZ35/DY35,DZ35&gt;DY35,1)</f>
        <v>0.5</v>
      </c>
      <c r="EB35" s="891">
        <v>500000</v>
      </c>
      <c r="EC35" s="899">
        <v>2</v>
      </c>
      <c r="ED35" s="904">
        <v>1</v>
      </c>
      <c r="EE35" s="788">
        <f>_xlfn.IFS(EC35=0,0,ED35&lt;=EC35,ED35/EC35,ED35&gt;EC35,1)</f>
        <v>0.5</v>
      </c>
      <c r="EF35" s="891">
        <v>500000</v>
      </c>
    </row>
    <row r="36" spans="1:136" ht="20" customHeight="1" x14ac:dyDescent="0.15">
      <c r="A36" s="870">
        <f t="shared" si="198"/>
        <v>0</v>
      </c>
      <c r="B36" s="949"/>
      <c r="C36" s="883" t="str">
        <f>Dashboard!K100</f>
        <v>SHOPPEE</v>
      </c>
      <c r="D36" s="686">
        <f>Dashboard!AK100</f>
        <v>10000000</v>
      </c>
      <c r="E36" s="1065">
        <f t="shared" ref="E36:E38" si="303">SUMIF($M$13:$EF$13,$P$13,$M36:$EF36)</f>
        <v>18600000</v>
      </c>
      <c r="F36" s="686">
        <f>E36-D36</f>
        <v>8600000</v>
      </c>
      <c r="G36" s="788">
        <f>_xlfn.IFS(F36&gt;0,1,F36&lt;=0,E36/D36)</f>
        <v>1</v>
      </c>
      <c r="H36" s="788">
        <f>IF(SUMIF(M$13:EF$13,$O$13,M36:EF36)&gt;0,AVERAGEIFS(M36:EF36,M36:EF36,"&gt;0",M$13:EF$13,$O$13),"NO NEW ORDER")</f>
        <v>0.5</v>
      </c>
      <c r="I36" s="788">
        <f>Dashboard!M121</f>
        <v>0.16041666666666665</v>
      </c>
      <c r="J36" s="788">
        <f ca="1">IF(SUM(J37:J38)&gt;0,AVERAGEIF(J37:J38,"&gt;0"),0)</f>
        <v>0</v>
      </c>
      <c r="K36" s="686">
        <f>D36/'Action Plan'!$C$6</f>
        <v>384615.38461538462</v>
      </c>
      <c r="L36" s="933">
        <f ca="1">SUMIFS($M36:$EF36,$M$11:$EF$11,TODAY()-1,$M$13:$EF$13,P$13)</f>
        <v>0</v>
      </c>
      <c r="M36" s="899">
        <f>SUM(M37:M38)</f>
        <v>6</v>
      </c>
      <c r="N36" s="904">
        <f>SUM(N37:N38)</f>
        <v>3</v>
      </c>
      <c r="O36" s="788">
        <f>IF(SUM(O37:O38)&gt;0,AVERAGEIF(O37:O38,"&gt;0"),0)</f>
        <v>0.5</v>
      </c>
      <c r="P36" s="891">
        <f>SUM(P37:P38)</f>
        <v>600000</v>
      </c>
      <c r="Q36" s="899">
        <f>SUM(Q37:Q38)</f>
        <v>6</v>
      </c>
      <c r="R36" s="904">
        <f>SUM(R37:R38)</f>
        <v>3</v>
      </c>
      <c r="S36" s="788">
        <f>IF(SUM(S37:S38)&gt;0,AVERAGEIF(S37:S38,"&gt;0"),0)</f>
        <v>0.5</v>
      </c>
      <c r="T36" s="891">
        <f>SUM(T37:T38)</f>
        <v>600000</v>
      </c>
      <c r="U36" s="899">
        <f>SUM(U37:U38)</f>
        <v>6</v>
      </c>
      <c r="V36" s="904">
        <f>SUM(V37:V38)</f>
        <v>3</v>
      </c>
      <c r="W36" s="788">
        <f>IF(SUM(W37:W38)&gt;0,AVERAGEIF(W37:W38,"&gt;0"),0)</f>
        <v>0.5</v>
      </c>
      <c r="X36" s="891">
        <f>SUM(X37:X38)</f>
        <v>600000</v>
      </c>
      <c r="Y36" s="899">
        <f>SUM(Y37:Y38)</f>
        <v>6</v>
      </c>
      <c r="Z36" s="904">
        <f>SUM(Z37:Z38)</f>
        <v>3</v>
      </c>
      <c r="AA36" s="788">
        <f>IF(SUM(AA37:AA38)&gt;0,AVERAGEIF(AA37:AA38,"&gt;0"),0)</f>
        <v>0.5</v>
      </c>
      <c r="AB36" s="891">
        <f>SUM(AB37:AB38)</f>
        <v>600000</v>
      </c>
      <c r="AC36" s="899">
        <f>SUM(AC37:AC38)</f>
        <v>6</v>
      </c>
      <c r="AD36" s="904">
        <f>SUM(AD37:AD38)</f>
        <v>3</v>
      </c>
      <c r="AE36" s="788">
        <f>IF(SUM(AE37:AE38)&gt;0,AVERAGEIF(AE37:AE38,"&gt;0"),0)</f>
        <v>0.5</v>
      </c>
      <c r="AF36" s="891">
        <f>SUM(AF37:AF38)</f>
        <v>600000</v>
      </c>
      <c r="AG36" s="899">
        <f>SUM(AG37:AG38)</f>
        <v>6</v>
      </c>
      <c r="AH36" s="904">
        <f>SUM(AH37:AH38)</f>
        <v>3</v>
      </c>
      <c r="AI36" s="788">
        <f>IF(SUM(AI37:AI38)&gt;0,AVERAGEIF(AI37:AI38,"&gt;0"),0)</f>
        <v>0.5</v>
      </c>
      <c r="AJ36" s="891">
        <f>SUM(AJ37:AJ38)</f>
        <v>600000</v>
      </c>
      <c r="AK36" s="899">
        <f>SUM(AK37:AK38)</f>
        <v>6</v>
      </c>
      <c r="AL36" s="904">
        <f>SUM(AL37:AL38)</f>
        <v>3</v>
      </c>
      <c r="AM36" s="788">
        <f>IF(SUM(AM37:AM38)&gt;0,AVERAGEIF(AM37:AM38,"&gt;0"),0)</f>
        <v>0.5</v>
      </c>
      <c r="AN36" s="891">
        <f>SUM(AN37:AN38)</f>
        <v>600000</v>
      </c>
      <c r="AO36" s="899">
        <f>SUM(AO37:AO38)</f>
        <v>6</v>
      </c>
      <c r="AP36" s="904">
        <f>SUM(AP37:AP38)</f>
        <v>3</v>
      </c>
      <c r="AQ36" s="788">
        <f>IF(SUM(AQ37:AQ38)&gt;0,AVERAGEIF(AQ37:AQ38,"&gt;0"),0)</f>
        <v>0.5</v>
      </c>
      <c r="AR36" s="891">
        <f>SUM(AR37:AR38)</f>
        <v>600000</v>
      </c>
      <c r="AS36" s="899">
        <f>SUM(AS37:AS38)</f>
        <v>6</v>
      </c>
      <c r="AT36" s="904">
        <f>SUM(AT37:AT38)</f>
        <v>3</v>
      </c>
      <c r="AU36" s="788">
        <f>IF(SUM(AU37:AU38)&gt;0,AVERAGEIF(AU37:AU38,"&gt;0"),0)</f>
        <v>0.5</v>
      </c>
      <c r="AV36" s="891">
        <f>SUM(AV37:AV38)</f>
        <v>600000</v>
      </c>
      <c r="AW36" s="899">
        <f>SUM(AW37:AW38)</f>
        <v>6</v>
      </c>
      <c r="AX36" s="904">
        <f>SUM(AX37:AX38)</f>
        <v>3</v>
      </c>
      <c r="AY36" s="788">
        <f>IF(SUM(AY37:AY38)&gt;0,AVERAGEIF(AY37:AY38,"&gt;0"),0)</f>
        <v>0.5</v>
      </c>
      <c r="AZ36" s="891">
        <f>SUM(AZ37:AZ38)</f>
        <v>600000</v>
      </c>
      <c r="BA36" s="899">
        <f>SUM(BA37:BA38)</f>
        <v>6</v>
      </c>
      <c r="BB36" s="904">
        <f>SUM(BB37:BB38)</f>
        <v>3</v>
      </c>
      <c r="BC36" s="788">
        <f>IF(SUM(BC37:BC38)&gt;0,AVERAGEIF(BC37:BC38,"&gt;0"),0)</f>
        <v>0.5</v>
      </c>
      <c r="BD36" s="891">
        <f>SUM(BD37:BD38)</f>
        <v>600000</v>
      </c>
      <c r="BE36" s="899">
        <f>SUM(BE37:BE38)</f>
        <v>6</v>
      </c>
      <c r="BF36" s="904">
        <f>SUM(BF37:BF38)</f>
        <v>3</v>
      </c>
      <c r="BG36" s="788">
        <f>IF(SUM(BG37:BG38)&gt;0,AVERAGEIF(BG37:BG38,"&gt;0"),0)</f>
        <v>0.5</v>
      </c>
      <c r="BH36" s="891">
        <f>SUM(BH37:BH38)</f>
        <v>600000</v>
      </c>
      <c r="BI36" s="899">
        <f>SUM(BI37:BI38)</f>
        <v>6</v>
      </c>
      <c r="BJ36" s="904">
        <f>SUM(BJ37:BJ38)</f>
        <v>3</v>
      </c>
      <c r="BK36" s="788">
        <f>IF(SUM(BK37:BK38)&gt;0,AVERAGEIF(BK37:BK38,"&gt;0"),0)</f>
        <v>0.5</v>
      </c>
      <c r="BL36" s="891">
        <f>SUM(BL37:BL38)</f>
        <v>600000</v>
      </c>
      <c r="BM36" s="899">
        <f>SUM(BM37:BM38)</f>
        <v>6</v>
      </c>
      <c r="BN36" s="904">
        <f>SUM(BN37:BN38)</f>
        <v>3</v>
      </c>
      <c r="BO36" s="788">
        <f>IF(SUM(BO37:BO38)&gt;0,AVERAGEIF(BO37:BO38,"&gt;0"),0)</f>
        <v>0.5</v>
      </c>
      <c r="BP36" s="891">
        <f>SUM(BP37:BP38)</f>
        <v>600000</v>
      </c>
      <c r="BQ36" s="899">
        <f>SUM(BQ37:BQ38)</f>
        <v>6</v>
      </c>
      <c r="BR36" s="904">
        <f>SUM(BR37:BR38)</f>
        <v>3</v>
      </c>
      <c r="BS36" s="788">
        <f>IF(SUM(BS37:BS38)&gt;0,AVERAGEIF(BS37:BS38,"&gt;0"),0)</f>
        <v>0.5</v>
      </c>
      <c r="BT36" s="891">
        <f>SUM(BT37:BT38)</f>
        <v>600000</v>
      </c>
      <c r="BU36" s="899">
        <f>SUM(BU37:BU38)</f>
        <v>6</v>
      </c>
      <c r="BV36" s="904">
        <f>SUM(BV37:BV38)</f>
        <v>3</v>
      </c>
      <c r="BW36" s="788">
        <f>IF(SUM(BW37:BW38)&gt;0,AVERAGEIF(BW37:BW38,"&gt;0"),0)</f>
        <v>0.5</v>
      </c>
      <c r="BX36" s="891">
        <f>SUM(BX37:BX38)</f>
        <v>600000</v>
      </c>
      <c r="BY36" s="899">
        <f>SUM(BY37:BY38)</f>
        <v>6</v>
      </c>
      <c r="BZ36" s="904">
        <f>SUM(BZ37:BZ38)</f>
        <v>3</v>
      </c>
      <c r="CA36" s="788">
        <f>IF(SUM(CA37:CA38)&gt;0,AVERAGEIF(CA37:CA38,"&gt;0"),0)</f>
        <v>0.5</v>
      </c>
      <c r="CB36" s="891">
        <f>SUM(CB37:CB38)</f>
        <v>600000</v>
      </c>
      <c r="CC36" s="899">
        <f>SUM(CC37:CC38)</f>
        <v>6</v>
      </c>
      <c r="CD36" s="904">
        <f>SUM(CD37:CD38)</f>
        <v>3</v>
      </c>
      <c r="CE36" s="788">
        <f>IF(SUM(CE37:CE38)&gt;0,AVERAGEIF(CE37:CE38,"&gt;0"),0)</f>
        <v>0.5</v>
      </c>
      <c r="CF36" s="891">
        <f>SUM(CF37:CF38)</f>
        <v>600000</v>
      </c>
      <c r="CG36" s="899">
        <f>SUM(CG37:CG38)</f>
        <v>6</v>
      </c>
      <c r="CH36" s="904">
        <f>SUM(CH37:CH38)</f>
        <v>3</v>
      </c>
      <c r="CI36" s="788">
        <f>IF(SUM(CI37:CI38)&gt;0,AVERAGEIF(CI37:CI38,"&gt;0"),0)</f>
        <v>0.5</v>
      </c>
      <c r="CJ36" s="891">
        <f>SUM(CJ37:CJ38)</f>
        <v>600000</v>
      </c>
      <c r="CK36" s="899">
        <f>SUM(CK37:CK38)</f>
        <v>6</v>
      </c>
      <c r="CL36" s="904">
        <f>SUM(CL37:CL38)</f>
        <v>3</v>
      </c>
      <c r="CM36" s="788">
        <f>IF(SUM(CM37:CM38)&gt;0,AVERAGEIF(CM37:CM38,"&gt;0"),0)</f>
        <v>0.5</v>
      </c>
      <c r="CN36" s="891">
        <f>SUM(CN37:CN38)</f>
        <v>600000</v>
      </c>
      <c r="CO36" s="899">
        <f>SUM(CO37:CO38)</f>
        <v>6</v>
      </c>
      <c r="CP36" s="904">
        <f>SUM(CP37:CP38)</f>
        <v>3</v>
      </c>
      <c r="CQ36" s="788">
        <f>IF(SUM(CQ37:CQ38)&gt;0,AVERAGEIF(CQ37:CQ38,"&gt;0"),0)</f>
        <v>0.5</v>
      </c>
      <c r="CR36" s="891">
        <f>SUM(CR37:CR38)</f>
        <v>600000</v>
      </c>
      <c r="CS36" s="899">
        <f>SUM(CS37:CS38)</f>
        <v>6</v>
      </c>
      <c r="CT36" s="904">
        <f>SUM(CT37:CT38)</f>
        <v>3</v>
      </c>
      <c r="CU36" s="788">
        <f>IF(SUM(CU37:CU38)&gt;0,AVERAGEIF(CU37:CU38,"&gt;0"),0)</f>
        <v>0.5</v>
      </c>
      <c r="CV36" s="891">
        <f>SUM(CV37:CV38)</f>
        <v>600000</v>
      </c>
      <c r="CW36" s="899">
        <f>SUM(CW37:CW38)</f>
        <v>6</v>
      </c>
      <c r="CX36" s="904">
        <f>SUM(CX37:CX38)</f>
        <v>3</v>
      </c>
      <c r="CY36" s="788">
        <f>IF(SUM(CY37:CY38)&gt;0,AVERAGEIF(CY37:CY38,"&gt;0"),0)</f>
        <v>0.5</v>
      </c>
      <c r="CZ36" s="891">
        <f>SUM(CZ37:CZ38)</f>
        <v>600000</v>
      </c>
      <c r="DA36" s="899">
        <f>SUM(DA37:DA38)</f>
        <v>6</v>
      </c>
      <c r="DB36" s="904">
        <f>SUM(DB37:DB38)</f>
        <v>3</v>
      </c>
      <c r="DC36" s="788">
        <f>IF(SUM(DC37:DC38)&gt;0,AVERAGEIF(DC37:DC38,"&gt;0"),0)</f>
        <v>0.5</v>
      </c>
      <c r="DD36" s="891">
        <f>SUM(DD37:DD38)</f>
        <v>600000</v>
      </c>
      <c r="DE36" s="899">
        <f>SUM(DE37:DE38)</f>
        <v>6</v>
      </c>
      <c r="DF36" s="904">
        <f>SUM(DF37:DF38)</f>
        <v>3</v>
      </c>
      <c r="DG36" s="788">
        <f>IF(SUM(DG37:DG38)&gt;0,AVERAGEIF(DG37:DG38,"&gt;0"),0)</f>
        <v>0.5</v>
      </c>
      <c r="DH36" s="891">
        <f>SUM(DH37:DH38)</f>
        <v>600000</v>
      </c>
      <c r="DI36" s="899">
        <f>SUM(DI37:DI38)</f>
        <v>6</v>
      </c>
      <c r="DJ36" s="904">
        <f>SUM(DJ37:DJ38)</f>
        <v>3</v>
      </c>
      <c r="DK36" s="788">
        <f>IF(SUM(DK37:DK38)&gt;0,AVERAGEIF(DK37:DK38,"&gt;0"),0)</f>
        <v>0.5</v>
      </c>
      <c r="DL36" s="891">
        <f>SUM(DL37:DL38)</f>
        <v>600000</v>
      </c>
      <c r="DM36" s="899">
        <f>SUM(DM37:DM38)</f>
        <v>6</v>
      </c>
      <c r="DN36" s="904">
        <f>SUM(DN37:DN38)</f>
        <v>3</v>
      </c>
      <c r="DO36" s="788">
        <f>IF(SUM(DO37:DO38)&gt;0,AVERAGEIF(DO37:DO38,"&gt;0"),0)</f>
        <v>0.5</v>
      </c>
      <c r="DP36" s="891">
        <f>SUM(DP37:DP38)</f>
        <v>600000</v>
      </c>
      <c r="DQ36" s="899">
        <f>SUM(DQ37:DQ38)</f>
        <v>6</v>
      </c>
      <c r="DR36" s="904">
        <f>SUM(DR37:DR38)</f>
        <v>3</v>
      </c>
      <c r="DS36" s="788">
        <f>IF(SUM(DS37:DS38)&gt;0,AVERAGEIF(DS37:DS38,"&gt;0"),0)</f>
        <v>0.5</v>
      </c>
      <c r="DT36" s="891">
        <f>SUM(DT37:DT38)</f>
        <v>600000</v>
      </c>
      <c r="DU36" s="899">
        <f>SUM(DU37:DU38)</f>
        <v>6</v>
      </c>
      <c r="DV36" s="904">
        <f>SUM(DV37:DV38)</f>
        <v>3</v>
      </c>
      <c r="DW36" s="788">
        <f>IF(SUM(DW37:DW38)&gt;0,AVERAGEIF(DW37:DW38,"&gt;0"),0)</f>
        <v>0.5</v>
      </c>
      <c r="DX36" s="891">
        <f>SUM(DX37:DX38)</f>
        <v>600000</v>
      </c>
      <c r="DY36" s="899">
        <f>SUM(DY37:DY38)</f>
        <v>6</v>
      </c>
      <c r="DZ36" s="904">
        <f>SUM(DZ37:DZ38)</f>
        <v>3</v>
      </c>
      <c r="EA36" s="788">
        <f>IF(SUM(EA37:EA38)&gt;0,AVERAGEIF(EA37:EA38,"&gt;0"),0)</f>
        <v>0.5</v>
      </c>
      <c r="EB36" s="891">
        <f>SUM(EB37:EB38)</f>
        <v>600000</v>
      </c>
      <c r="EC36" s="899">
        <f>SUM(EC37:EC38)</f>
        <v>6</v>
      </c>
      <c r="ED36" s="904">
        <f>SUM(ED37:ED38)</f>
        <v>3</v>
      </c>
      <c r="EE36" s="788">
        <f>IF(SUM(EE37:EE38)&gt;0,AVERAGEIF(EE37:EE38,"&gt;0"),0)</f>
        <v>0.5</v>
      </c>
      <c r="EF36" s="891">
        <f>SUM(EF37:EF38)</f>
        <v>600000</v>
      </c>
    </row>
    <row r="37" spans="1:136" ht="20" customHeight="1" x14ac:dyDescent="0.15">
      <c r="A37" s="189">
        <f>_xlfn.IFS(B37=0,0,E37&gt;B37,1,E37&lt;=B37,E37/B37)</f>
        <v>0</v>
      </c>
      <c r="B37" s="183"/>
      <c r="C37" s="943" t="str">
        <f>Dashboard!K100</f>
        <v>SHOPPEE</v>
      </c>
      <c r="D37" s="610">
        <f>$D$36/2</f>
        <v>5000000</v>
      </c>
      <c r="E37" s="1082">
        <f t="shared" si="303"/>
        <v>9300000</v>
      </c>
      <c r="F37" s="610">
        <f>E37-D37</f>
        <v>4300000</v>
      </c>
      <c r="G37" s="208">
        <f t="shared" ref="G37:G38" si="304">_xlfn.IFS(F37&gt;0,1,F37&lt;=0,E37/D37)</f>
        <v>1</v>
      </c>
      <c r="H37" s="208">
        <f>IF(SUMIF(M$13:EF$13,$O$13,M37:EF37)&gt;0,AVERAGEIFS(M37:EF37,M37:EF37,"&gt;0",M$13:EF$13,$O$13),"NO NEW ORDER")</f>
        <v>0.33333333333333337</v>
      </c>
      <c r="I37" s="17"/>
      <c r="J37" s="208">
        <f ca="1">SUMIFS($M37:$EF37,$M$11:$EF$11,TODAY()-1,$M$13:$EF$13,O$13)</f>
        <v>0</v>
      </c>
      <c r="K37" s="852"/>
      <c r="L37" s="605">
        <f ca="1">SUMIFS($M37:$EF37,$M$11:$EF$11,TODAY()-1,$M$13:$EF$13,P$13)</f>
        <v>0</v>
      </c>
      <c r="M37" s="1026">
        <v>3</v>
      </c>
      <c r="N37" s="1027">
        <v>1</v>
      </c>
      <c r="O37" s="906">
        <f>_xlfn.IFS(M37=0,0,N37&lt;=M37,N37/M37,N37&gt;M37,1)</f>
        <v>0.33333333333333331</v>
      </c>
      <c r="P37" s="1029">
        <v>300000</v>
      </c>
      <c r="Q37" s="1026">
        <v>3</v>
      </c>
      <c r="R37" s="1027">
        <v>1</v>
      </c>
      <c r="S37" s="906">
        <f>_xlfn.IFS(Q37=0,0,R37&lt;=Q37,R37/Q37,R37&gt;Q37,1)</f>
        <v>0.33333333333333331</v>
      </c>
      <c r="T37" s="1029">
        <v>300000</v>
      </c>
      <c r="U37" s="1026">
        <v>3</v>
      </c>
      <c r="V37" s="1027">
        <v>1</v>
      </c>
      <c r="W37" s="906">
        <f>_xlfn.IFS(U37=0,0,V37&lt;=U37,V37/U37,V37&gt;U37,1)</f>
        <v>0.33333333333333331</v>
      </c>
      <c r="X37" s="1029">
        <v>300000</v>
      </c>
      <c r="Y37" s="1026">
        <v>3</v>
      </c>
      <c r="Z37" s="1027">
        <v>1</v>
      </c>
      <c r="AA37" s="906">
        <f>_xlfn.IFS(Y37=0,0,Z37&lt;=Y37,Z37/Y37,Z37&gt;Y37,1)</f>
        <v>0.33333333333333331</v>
      </c>
      <c r="AB37" s="1029">
        <v>300000</v>
      </c>
      <c r="AC37" s="1026">
        <v>3</v>
      </c>
      <c r="AD37" s="1027">
        <v>1</v>
      </c>
      <c r="AE37" s="906">
        <f>_xlfn.IFS(AC37=0,0,AD37&lt;=AC37,AD37/AC37,AD37&gt;AC37,1)</f>
        <v>0.33333333333333331</v>
      </c>
      <c r="AF37" s="1029">
        <v>300000</v>
      </c>
      <c r="AG37" s="1026">
        <v>3</v>
      </c>
      <c r="AH37" s="1027">
        <v>1</v>
      </c>
      <c r="AI37" s="906">
        <f>_xlfn.IFS(AG37=0,0,AH37&lt;=AG37,AH37/AG37,AH37&gt;AG37,1)</f>
        <v>0.33333333333333331</v>
      </c>
      <c r="AJ37" s="1029">
        <v>300000</v>
      </c>
      <c r="AK37" s="1026">
        <v>3</v>
      </c>
      <c r="AL37" s="1027">
        <v>1</v>
      </c>
      <c r="AM37" s="906">
        <f>_xlfn.IFS(AK37=0,0,AL37&lt;=AK37,AL37/AK37,AL37&gt;AK37,1)</f>
        <v>0.33333333333333331</v>
      </c>
      <c r="AN37" s="1029">
        <v>300000</v>
      </c>
      <c r="AO37" s="1026">
        <v>3</v>
      </c>
      <c r="AP37" s="1027">
        <v>1</v>
      </c>
      <c r="AQ37" s="906">
        <f>_xlfn.IFS(AO37=0,0,AP37&lt;=AO37,AP37/AO37,AP37&gt;AO37,1)</f>
        <v>0.33333333333333331</v>
      </c>
      <c r="AR37" s="1029">
        <v>300000</v>
      </c>
      <c r="AS37" s="1026">
        <v>3</v>
      </c>
      <c r="AT37" s="1027">
        <v>1</v>
      </c>
      <c r="AU37" s="906">
        <f>_xlfn.IFS(AS37=0,0,AT37&lt;=AS37,AT37/AS37,AT37&gt;AS37,1)</f>
        <v>0.33333333333333331</v>
      </c>
      <c r="AV37" s="1029">
        <v>300000</v>
      </c>
      <c r="AW37" s="1026">
        <v>3</v>
      </c>
      <c r="AX37" s="1027">
        <v>1</v>
      </c>
      <c r="AY37" s="906">
        <f>_xlfn.IFS(AW37=0,0,AX37&lt;=AW37,AX37/AW37,AX37&gt;AW37,1)</f>
        <v>0.33333333333333331</v>
      </c>
      <c r="AZ37" s="1029">
        <v>300000</v>
      </c>
      <c r="BA37" s="1026">
        <v>3</v>
      </c>
      <c r="BB37" s="1027">
        <v>1</v>
      </c>
      <c r="BC37" s="906">
        <f>_xlfn.IFS(BA37=0,0,BB37&lt;=BA37,BB37/BA37,BB37&gt;BA37,1)</f>
        <v>0.33333333333333331</v>
      </c>
      <c r="BD37" s="1029">
        <v>300000</v>
      </c>
      <c r="BE37" s="1026">
        <v>3</v>
      </c>
      <c r="BF37" s="1027">
        <v>1</v>
      </c>
      <c r="BG37" s="906">
        <f>_xlfn.IFS(BE37=0,0,BF37&lt;=BE37,BF37/BE37,BF37&gt;BE37,1)</f>
        <v>0.33333333333333331</v>
      </c>
      <c r="BH37" s="1029">
        <v>300000</v>
      </c>
      <c r="BI37" s="1026">
        <v>3</v>
      </c>
      <c r="BJ37" s="1027">
        <v>1</v>
      </c>
      <c r="BK37" s="906">
        <f>_xlfn.IFS(BI37=0,0,BJ37&lt;=BI37,BJ37/BI37,BJ37&gt;BI37,1)</f>
        <v>0.33333333333333331</v>
      </c>
      <c r="BL37" s="1029">
        <v>300000</v>
      </c>
      <c r="BM37" s="1026">
        <v>3</v>
      </c>
      <c r="BN37" s="1027">
        <v>1</v>
      </c>
      <c r="BO37" s="906">
        <f>_xlfn.IFS(BM37=0,0,BN37&lt;=BM37,BN37/BM37,BN37&gt;BM37,1)</f>
        <v>0.33333333333333331</v>
      </c>
      <c r="BP37" s="1029">
        <v>300000</v>
      </c>
      <c r="BQ37" s="1026">
        <v>3</v>
      </c>
      <c r="BR37" s="1027">
        <v>1</v>
      </c>
      <c r="BS37" s="906">
        <f>_xlfn.IFS(BQ37=0,0,BR37&lt;=BQ37,BR37/BQ37,BR37&gt;BQ37,1)</f>
        <v>0.33333333333333331</v>
      </c>
      <c r="BT37" s="1029">
        <v>300000</v>
      </c>
      <c r="BU37" s="1026">
        <v>3</v>
      </c>
      <c r="BV37" s="1027">
        <v>1</v>
      </c>
      <c r="BW37" s="906">
        <f>_xlfn.IFS(BU37=0,0,BV37&lt;=BU37,BV37/BU37,BV37&gt;BU37,1)</f>
        <v>0.33333333333333331</v>
      </c>
      <c r="BX37" s="1029">
        <v>300000</v>
      </c>
      <c r="BY37" s="1026">
        <v>3</v>
      </c>
      <c r="BZ37" s="1027">
        <v>1</v>
      </c>
      <c r="CA37" s="906">
        <f>_xlfn.IFS(BY37=0,0,BZ37&lt;=BY37,BZ37/BY37,BZ37&gt;BY37,1)</f>
        <v>0.33333333333333331</v>
      </c>
      <c r="CB37" s="1029">
        <v>300000</v>
      </c>
      <c r="CC37" s="1026">
        <v>3</v>
      </c>
      <c r="CD37" s="1027">
        <v>1</v>
      </c>
      <c r="CE37" s="906">
        <f>_xlfn.IFS(CC37=0,0,CD37&lt;=CC37,CD37/CC37,CD37&gt;CC37,1)</f>
        <v>0.33333333333333331</v>
      </c>
      <c r="CF37" s="1029">
        <v>300000</v>
      </c>
      <c r="CG37" s="1026">
        <v>3</v>
      </c>
      <c r="CH37" s="1027">
        <v>1</v>
      </c>
      <c r="CI37" s="906">
        <f>_xlfn.IFS(CG37=0,0,CH37&lt;=CG37,CH37/CG37,CH37&gt;CG37,1)</f>
        <v>0.33333333333333331</v>
      </c>
      <c r="CJ37" s="1029">
        <v>300000</v>
      </c>
      <c r="CK37" s="1026">
        <v>3</v>
      </c>
      <c r="CL37" s="1027">
        <v>1</v>
      </c>
      <c r="CM37" s="906">
        <f>_xlfn.IFS(CK37=0,0,CL37&lt;=CK37,CL37/CK37,CL37&gt;CK37,1)</f>
        <v>0.33333333333333331</v>
      </c>
      <c r="CN37" s="1029">
        <v>300000</v>
      </c>
      <c r="CO37" s="1026">
        <v>3</v>
      </c>
      <c r="CP37" s="1027">
        <v>1</v>
      </c>
      <c r="CQ37" s="906">
        <f>_xlfn.IFS(CO37=0,0,CP37&lt;=CO37,CP37/CO37,CP37&gt;CO37,1)</f>
        <v>0.33333333333333331</v>
      </c>
      <c r="CR37" s="1029">
        <v>300000</v>
      </c>
      <c r="CS37" s="1026">
        <v>3</v>
      </c>
      <c r="CT37" s="1027">
        <v>1</v>
      </c>
      <c r="CU37" s="906">
        <f>_xlfn.IFS(CS37=0,0,CT37&lt;=CS37,CT37/CS37,CT37&gt;CS37,1)</f>
        <v>0.33333333333333331</v>
      </c>
      <c r="CV37" s="1029">
        <v>300000</v>
      </c>
      <c r="CW37" s="1026">
        <v>3</v>
      </c>
      <c r="CX37" s="1027">
        <v>1</v>
      </c>
      <c r="CY37" s="906">
        <f>_xlfn.IFS(CW37=0,0,CX37&lt;=CW37,CX37/CW37,CX37&gt;CW37,1)</f>
        <v>0.33333333333333331</v>
      </c>
      <c r="CZ37" s="1029">
        <v>300000</v>
      </c>
      <c r="DA37" s="1026">
        <v>3</v>
      </c>
      <c r="DB37" s="1027">
        <v>1</v>
      </c>
      <c r="DC37" s="906">
        <f>_xlfn.IFS(DA37=0,0,DB37&lt;=DA37,DB37/DA37,DB37&gt;DA37,1)</f>
        <v>0.33333333333333331</v>
      </c>
      <c r="DD37" s="1029">
        <v>300000</v>
      </c>
      <c r="DE37" s="1026">
        <v>3</v>
      </c>
      <c r="DF37" s="1027">
        <v>1</v>
      </c>
      <c r="DG37" s="906">
        <f>_xlfn.IFS(DE37=0,0,DF37&lt;=DE37,DF37/DE37,DF37&gt;DE37,1)</f>
        <v>0.33333333333333331</v>
      </c>
      <c r="DH37" s="1029">
        <v>300000</v>
      </c>
      <c r="DI37" s="1026">
        <v>3</v>
      </c>
      <c r="DJ37" s="1027">
        <v>1</v>
      </c>
      <c r="DK37" s="906">
        <f>_xlfn.IFS(DI37=0,0,DJ37&lt;=DI37,DJ37/DI37,DJ37&gt;DI37,1)</f>
        <v>0.33333333333333331</v>
      </c>
      <c r="DL37" s="1029">
        <v>300000</v>
      </c>
      <c r="DM37" s="1026">
        <v>3</v>
      </c>
      <c r="DN37" s="1027">
        <v>1</v>
      </c>
      <c r="DO37" s="906">
        <f>_xlfn.IFS(DM37=0,0,DN37&lt;=DM37,DN37/DM37,DN37&gt;DM37,1)</f>
        <v>0.33333333333333331</v>
      </c>
      <c r="DP37" s="1029">
        <v>300000</v>
      </c>
      <c r="DQ37" s="1026">
        <v>3</v>
      </c>
      <c r="DR37" s="1027">
        <v>1</v>
      </c>
      <c r="DS37" s="906">
        <f>_xlfn.IFS(DQ37=0,0,DR37&lt;=DQ37,DR37/DQ37,DR37&gt;DQ37,1)</f>
        <v>0.33333333333333331</v>
      </c>
      <c r="DT37" s="1029">
        <v>300000</v>
      </c>
      <c r="DU37" s="1026">
        <v>3</v>
      </c>
      <c r="DV37" s="1027">
        <v>1</v>
      </c>
      <c r="DW37" s="906">
        <f>_xlfn.IFS(DU37=0,0,DV37&lt;=DU37,DV37/DU37,DV37&gt;DU37,1)</f>
        <v>0.33333333333333331</v>
      </c>
      <c r="DX37" s="1029">
        <v>300000</v>
      </c>
      <c r="DY37" s="1026">
        <v>3</v>
      </c>
      <c r="DZ37" s="1027">
        <v>1</v>
      </c>
      <c r="EA37" s="906">
        <f>_xlfn.IFS(DY37=0,0,DZ37&lt;=DY37,DZ37/DY37,DZ37&gt;DY37,1)</f>
        <v>0.33333333333333331</v>
      </c>
      <c r="EB37" s="1029">
        <v>300000</v>
      </c>
      <c r="EC37" s="1026">
        <v>3</v>
      </c>
      <c r="ED37" s="1027">
        <v>1</v>
      </c>
      <c r="EE37" s="906">
        <f>_xlfn.IFS(EC37=0,0,ED37&lt;=EC37,ED37/EC37,ED37&gt;EC37,1)</f>
        <v>0.33333333333333331</v>
      </c>
      <c r="EF37" s="1029">
        <v>300000</v>
      </c>
    </row>
    <row r="38" spans="1:136" ht="20" customHeight="1" x14ac:dyDescent="0.15">
      <c r="A38" s="189">
        <f>_xlfn.IFS(B38=0,0,E38&gt;B38,1,E38&lt;=B38,E38/B38)</f>
        <v>0</v>
      </c>
      <c r="B38" s="262"/>
      <c r="C38" s="944" t="s">
        <v>133</v>
      </c>
      <c r="D38" s="610">
        <f>$D$36/2</f>
        <v>5000000</v>
      </c>
      <c r="E38" s="1082">
        <f t="shared" si="303"/>
        <v>9300000</v>
      </c>
      <c r="F38" s="610">
        <f t="shared" ref="F38" si="305">E38-D38</f>
        <v>4300000</v>
      </c>
      <c r="G38" s="208">
        <f t="shared" si="304"/>
        <v>1</v>
      </c>
      <c r="H38" s="208">
        <f>IF(SUMIF(M$13:EF$13,$O$13,M38:EF38)&gt;0,AVERAGEIFS(M38:EF38,M38:EF38,"&gt;0",M$13:EF$13,$O$13),"NO NEW ORDER")</f>
        <v>0.66666666666666674</v>
      </c>
      <c r="I38" s="978"/>
      <c r="J38" s="208">
        <f ca="1">SUMIFS($M38:$EF38,$M$11:$EF$11,TODAY()-1,$M$13:$EF$13,O$13)</f>
        <v>0</v>
      </c>
      <c r="K38" s="853"/>
      <c r="L38" s="605">
        <f ca="1">SUMIFS($M38:$EF38,$M$11:$EF$11,TODAY()-1,$M$13:$EF$13,P$13)</f>
        <v>0</v>
      </c>
      <c r="M38" s="1026">
        <v>3</v>
      </c>
      <c r="N38" s="1027">
        <v>2</v>
      </c>
      <c r="O38" s="906">
        <f>_xlfn.IFS(M38=0,0,N38&lt;=M38,N38/M38,N38&gt;M38,1)</f>
        <v>0.66666666666666663</v>
      </c>
      <c r="P38" s="1029">
        <v>300000</v>
      </c>
      <c r="Q38" s="1026">
        <v>3</v>
      </c>
      <c r="R38" s="1027">
        <v>2</v>
      </c>
      <c r="S38" s="906">
        <f>_xlfn.IFS(Q38=0,0,R38&lt;=Q38,R38/Q38,R38&gt;Q38,1)</f>
        <v>0.66666666666666663</v>
      </c>
      <c r="T38" s="1029">
        <v>300000</v>
      </c>
      <c r="U38" s="1026">
        <v>3</v>
      </c>
      <c r="V38" s="1027">
        <v>2</v>
      </c>
      <c r="W38" s="906">
        <f>_xlfn.IFS(U38=0,0,V38&lt;=U38,V38/U38,V38&gt;U38,1)</f>
        <v>0.66666666666666663</v>
      </c>
      <c r="X38" s="1029">
        <v>300000</v>
      </c>
      <c r="Y38" s="1026">
        <v>3</v>
      </c>
      <c r="Z38" s="1027">
        <v>2</v>
      </c>
      <c r="AA38" s="906">
        <f>_xlfn.IFS(Y38=0,0,Z38&lt;=Y38,Z38/Y38,Z38&gt;Y38,1)</f>
        <v>0.66666666666666663</v>
      </c>
      <c r="AB38" s="1029">
        <v>300000</v>
      </c>
      <c r="AC38" s="1026">
        <v>3</v>
      </c>
      <c r="AD38" s="1027">
        <v>2</v>
      </c>
      <c r="AE38" s="906">
        <f>_xlfn.IFS(AC38=0,0,AD38&lt;=AC38,AD38/AC38,AD38&gt;AC38,1)</f>
        <v>0.66666666666666663</v>
      </c>
      <c r="AF38" s="1029">
        <v>300000</v>
      </c>
      <c r="AG38" s="1026">
        <v>3</v>
      </c>
      <c r="AH38" s="1027">
        <v>2</v>
      </c>
      <c r="AI38" s="906">
        <f>_xlfn.IFS(AG38=0,0,AH38&lt;=AG38,AH38/AG38,AH38&gt;AG38,1)</f>
        <v>0.66666666666666663</v>
      </c>
      <c r="AJ38" s="1029">
        <v>300000</v>
      </c>
      <c r="AK38" s="1026">
        <v>3</v>
      </c>
      <c r="AL38" s="1027">
        <v>2</v>
      </c>
      <c r="AM38" s="906">
        <f>_xlfn.IFS(AK38=0,0,AL38&lt;=AK38,AL38/AK38,AL38&gt;AK38,1)</f>
        <v>0.66666666666666663</v>
      </c>
      <c r="AN38" s="1029">
        <v>300000</v>
      </c>
      <c r="AO38" s="1026">
        <v>3</v>
      </c>
      <c r="AP38" s="1027">
        <v>2</v>
      </c>
      <c r="AQ38" s="906">
        <f>_xlfn.IFS(AO38=0,0,AP38&lt;=AO38,AP38/AO38,AP38&gt;AO38,1)</f>
        <v>0.66666666666666663</v>
      </c>
      <c r="AR38" s="1029">
        <v>300000</v>
      </c>
      <c r="AS38" s="1026">
        <v>3</v>
      </c>
      <c r="AT38" s="1027">
        <v>2</v>
      </c>
      <c r="AU38" s="906">
        <f>_xlfn.IFS(AS38=0,0,AT38&lt;=AS38,AT38/AS38,AT38&gt;AS38,1)</f>
        <v>0.66666666666666663</v>
      </c>
      <c r="AV38" s="1029">
        <v>300000</v>
      </c>
      <c r="AW38" s="1026">
        <v>3</v>
      </c>
      <c r="AX38" s="1027">
        <v>2</v>
      </c>
      <c r="AY38" s="906">
        <f>_xlfn.IFS(AW38=0,0,AX38&lt;=AW38,AX38/AW38,AX38&gt;AW38,1)</f>
        <v>0.66666666666666663</v>
      </c>
      <c r="AZ38" s="1029">
        <v>300000</v>
      </c>
      <c r="BA38" s="1026">
        <v>3</v>
      </c>
      <c r="BB38" s="1027">
        <v>2</v>
      </c>
      <c r="BC38" s="906">
        <f>_xlfn.IFS(BA38=0,0,BB38&lt;=BA38,BB38/BA38,BB38&gt;BA38,1)</f>
        <v>0.66666666666666663</v>
      </c>
      <c r="BD38" s="1029">
        <v>300000</v>
      </c>
      <c r="BE38" s="1026">
        <v>3</v>
      </c>
      <c r="BF38" s="1027">
        <v>2</v>
      </c>
      <c r="BG38" s="906">
        <f>_xlfn.IFS(BE38=0,0,BF38&lt;=BE38,BF38/BE38,BF38&gt;BE38,1)</f>
        <v>0.66666666666666663</v>
      </c>
      <c r="BH38" s="1029">
        <v>300000</v>
      </c>
      <c r="BI38" s="1026">
        <v>3</v>
      </c>
      <c r="BJ38" s="1027">
        <v>2</v>
      </c>
      <c r="BK38" s="906">
        <f>_xlfn.IFS(BI38=0,0,BJ38&lt;=BI38,BJ38/BI38,BJ38&gt;BI38,1)</f>
        <v>0.66666666666666663</v>
      </c>
      <c r="BL38" s="1029">
        <v>300000</v>
      </c>
      <c r="BM38" s="1026">
        <v>3</v>
      </c>
      <c r="BN38" s="1027">
        <v>2</v>
      </c>
      <c r="BO38" s="906">
        <f>_xlfn.IFS(BM38=0,0,BN38&lt;=BM38,BN38/BM38,BN38&gt;BM38,1)</f>
        <v>0.66666666666666663</v>
      </c>
      <c r="BP38" s="1029">
        <v>300000</v>
      </c>
      <c r="BQ38" s="1026">
        <v>3</v>
      </c>
      <c r="BR38" s="1027">
        <v>2</v>
      </c>
      <c r="BS38" s="906">
        <f>_xlfn.IFS(BQ38=0,0,BR38&lt;=BQ38,BR38/BQ38,BR38&gt;BQ38,1)</f>
        <v>0.66666666666666663</v>
      </c>
      <c r="BT38" s="1029">
        <v>300000</v>
      </c>
      <c r="BU38" s="1026">
        <v>3</v>
      </c>
      <c r="BV38" s="1027">
        <v>2</v>
      </c>
      <c r="BW38" s="906">
        <f>_xlfn.IFS(BU38=0,0,BV38&lt;=BU38,BV38/BU38,BV38&gt;BU38,1)</f>
        <v>0.66666666666666663</v>
      </c>
      <c r="BX38" s="1029">
        <v>300000</v>
      </c>
      <c r="BY38" s="1026">
        <v>3</v>
      </c>
      <c r="BZ38" s="1027">
        <v>2</v>
      </c>
      <c r="CA38" s="906">
        <f>_xlfn.IFS(BY38=0,0,BZ38&lt;=BY38,BZ38/BY38,BZ38&gt;BY38,1)</f>
        <v>0.66666666666666663</v>
      </c>
      <c r="CB38" s="1029">
        <v>300000</v>
      </c>
      <c r="CC38" s="1026">
        <v>3</v>
      </c>
      <c r="CD38" s="1027">
        <v>2</v>
      </c>
      <c r="CE38" s="906">
        <f>_xlfn.IFS(CC38=0,0,CD38&lt;=CC38,CD38/CC38,CD38&gt;CC38,1)</f>
        <v>0.66666666666666663</v>
      </c>
      <c r="CF38" s="1029">
        <v>300000</v>
      </c>
      <c r="CG38" s="1026">
        <v>3</v>
      </c>
      <c r="CH38" s="1027">
        <v>2</v>
      </c>
      <c r="CI38" s="906">
        <f>_xlfn.IFS(CG38=0,0,CH38&lt;=CG38,CH38/CG38,CH38&gt;CG38,1)</f>
        <v>0.66666666666666663</v>
      </c>
      <c r="CJ38" s="1029">
        <v>300000</v>
      </c>
      <c r="CK38" s="1026">
        <v>3</v>
      </c>
      <c r="CL38" s="1027">
        <v>2</v>
      </c>
      <c r="CM38" s="906">
        <f>_xlfn.IFS(CK38=0,0,CL38&lt;=CK38,CL38/CK38,CL38&gt;CK38,1)</f>
        <v>0.66666666666666663</v>
      </c>
      <c r="CN38" s="1029">
        <v>300000</v>
      </c>
      <c r="CO38" s="1026">
        <v>3</v>
      </c>
      <c r="CP38" s="1027">
        <v>2</v>
      </c>
      <c r="CQ38" s="906">
        <f>_xlfn.IFS(CO38=0,0,CP38&lt;=CO38,CP38/CO38,CP38&gt;CO38,1)</f>
        <v>0.66666666666666663</v>
      </c>
      <c r="CR38" s="1029">
        <v>300000</v>
      </c>
      <c r="CS38" s="1026">
        <v>3</v>
      </c>
      <c r="CT38" s="1027">
        <v>2</v>
      </c>
      <c r="CU38" s="906">
        <f>_xlfn.IFS(CS38=0,0,CT38&lt;=CS38,CT38/CS38,CT38&gt;CS38,1)</f>
        <v>0.66666666666666663</v>
      </c>
      <c r="CV38" s="1029">
        <v>300000</v>
      </c>
      <c r="CW38" s="1026">
        <v>3</v>
      </c>
      <c r="CX38" s="1027">
        <v>2</v>
      </c>
      <c r="CY38" s="906">
        <f>_xlfn.IFS(CW38=0,0,CX38&lt;=CW38,CX38/CW38,CX38&gt;CW38,1)</f>
        <v>0.66666666666666663</v>
      </c>
      <c r="CZ38" s="1029">
        <v>300000</v>
      </c>
      <c r="DA38" s="1026">
        <v>3</v>
      </c>
      <c r="DB38" s="1027">
        <v>2</v>
      </c>
      <c r="DC38" s="906">
        <f>_xlfn.IFS(DA38=0,0,DB38&lt;=DA38,DB38/DA38,DB38&gt;DA38,1)</f>
        <v>0.66666666666666663</v>
      </c>
      <c r="DD38" s="1029">
        <v>300000</v>
      </c>
      <c r="DE38" s="1026">
        <v>3</v>
      </c>
      <c r="DF38" s="1027">
        <v>2</v>
      </c>
      <c r="DG38" s="906">
        <f>_xlfn.IFS(DE38=0,0,DF38&lt;=DE38,DF38/DE38,DF38&gt;DE38,1)</f>
        <v>0.66666666666666663</v>
      </c>
      <c r="DH38" s="1029">
        <v>300000</v>
      </c>
      <c r="DI38" s="1026">
        <v>3</v>
      </c>
      <c r="DJ38" s="1027">
        <v>2</v>
      </c>
      <c r="DK38" s="906">
        <f>_xlfn.IFS(DI38=0,0,DJ38&lt;=DI38,DJ38/DI38,DJ38&gt;DI38,1)</f>
        <v>0.66666666666666663</v>
      </c>
      <c r="DL38" s="1029">
        <v>300000</v>
      </c>
      <c r="DM38" s="1026">
        <v>3</v>
      </c>
      <c r="DN38" s="1027">
        <v>2</v>
      </c>
      <c r="DO38" s="906">
        <f>_xlfn.IFS(DM38=0,0,DN38&lt;=DM38,DN38/DM38,DN38&gt;DM38,1)</f>
        <v>0.66666666666666663</v>
      </c>
      <c r="DP38" s="1029">
        <v>300000</v>
      </c>
      <c r="DQ38" s="1026">
        <v>3</v>
      </c>
      <c r="DR38" s="1027">
        <v>2</v>
      </c>
      <c r="DS38" s="906">
        <f>_xlfn.IFS(DQ38=0,0,DR38&lt;=DQ38,DR38/DQ38,DR38&gt;DQ38,1)</f>
        <v>0.66666666666666663</v>
      </c>
      <c r="DT38" s="1029">
        <v>300000</v>
      </c>
      <c r="DU38" s="1026">
        <v>3</v>
      </c>
      <c r="DV38" s="1027">
        <v>2</v>
      </c>
      <c r="DW38" s="906">
        <f>_xlfn.IFS(DU38=0,0,DV38&lt;=DU38,DV38/DU38,DV38&gt;DU38,1)</f>
        <v>0.66666666666666663</v>
      </c>
      <c r="DX38" s="1029">
        <v>300000</v>
      </c>
      <c r="DY38" s="1026">
        <v>3</v>
      </c>
      <c r="DZ38" s="1027">
        <v>2</v>
      </c>
      <c r="EA38" s="906">
        <f>_xlfn.IFS(DY38=0,0,DZ38&lt;=DY38,DZ38/DY38,DZ38&gt;DY38,1)</f>
        <v>0.66666666666666663</v>
      </c>
      <c r="EB38" s="1029">
        <v>300000</v>
      </c>
      <c r="EC38" s="1026">
        <v>3</v>
      </c>
      <c r="ED38" s="1027">
        <v>2</v>
      </c>
      <c r="EE38" s="906">
        <f>_xlfn.IFS(EC38=0,0,ED38&lt;=EC38,ED38/EC38,ED38&gt;EC38,1)</f>
        <v>0.66666666666666663</v>
      </c>
      <c r="EF38" s="1029">
        <v>300000</v>
      </c>
    </row>
    <row r="39" spans="1:136" ht="20" customHeight="1" x14ac:dyDescent="0.15">
      <c r="A39" s="870">
        <f>_xlfn.IFS(B39=0,0,E39&gt;B39,1,E39&lt;=B39,E39/B39)</f>
        <v>0</v>
      </c>
      <c r="B39" s="949"/>
      <c r="C39" s="883" t="str">
        <f>Dashboard!K101</f>
        <v>ZALO</v>
      </c>
      <c r="D39" s="686">
        <f>Dashboard!AK101</f>
        <v>10000000</v>
      </c>
      <c r="E39" s="1065">
        <f>SUMIF($M$13:$EF$13,$P$13,$M39:$EF39)</f>
        <v>9300000</v>
      </c>
      <c r="F39" s="686">
        <f>E39-D39</f>
        <v>-700000</v>
      </c>
      <c r="G39" s="788">
        <f>_xlfn.IFS(F39&gt;0,1,F39&lt;=0,E39/D39)</f>
        <v>0.93</v>
      </c>
      <c r="H39" s="788">
        <f>IF(SUMIF(M$13:EF$13,$O$13,M39:EF39)&gt;0,AVERAGEIFS(M39:EF39,M39:EF39,"&gt;0",M$13:EF$13,$O$13),"NO NEW ORDER")</f>
        <v>0.967741935483871</v>
      </c>
      <c r="I39" s="855">
        <f>Dashboard!M122</f>
        <v>0.16041666666666665</v>
      </c>
      <c r="J39" s="788">
        <f ca="1">SUMIFS($M39:$EF39,$M$11:$EF$11,TODAY()-1,$M$13:$EF$13,O$13)</f>
        <v>0</v>
      </c>
      <c r="K39" s="686">
        <f>D39/'Action Plan'!$C$6</f>
        <v>384615.38461538462</v>
      </c>
      <c r="L39" s="933">
        <f ca="1">SUMIFS($M39:$EF39,$M$11:$EF$11,TODAY()-1,$M$13:$EF$13,P$13)</f>
        <v>0</v>
      </c>
      <c r="M39" s="1111">
        <v>2</v>
      </c>
      <c r="N39" s="1112">
        <v>1</v>
      </c>
      <c r="O39" s="788">
        <f>_xlfn.IFS(M39=0,0,N39&lt;=M39,N39/M39,N39&gt;M39,1)</f>
        <v>0.5</v>
      </c>
      <c r="P39" s="1113">
        <v>300000</v>
      </c>
      <c r="Q39" s="1111">
        <v>2</v>
      </c>
      <c r="R39" s="1112">
        <v>1</v>
      </c>
      <c r="S39" s="788">
        <f>_xlfn.IFS(Q39=0,0,R39&lt;=Q39,R39/Q39,R39&gt;Q39,1)</f>
        <v>0.5</v>
      </c>
      <c r="T39" s="1113">
        <v>300000</v>
      </c>
      <c r="U39" s="1111">
        <v>1</v>
      </c>
      <c r="V39" s="1112">
        <v>1</v>
      </c>
      <c r="W39" s="788">
        <f>_xlfn.IFS(U39=0,0,V39&lt;=U39,V39/U39,V39&gt;U39,1)</f>
        <v>1</v>
      </c>
      <c r="X39" s="1113">
        <v>300000</v>
      </c>
      <c r="Y39" s="1111">
        <v>1</v>
      </c>
      <c r="Z39" s="1112">
        <v>1</v>
      </c>
      <c r="AA39" s="788">
        <f>_xlfn.IFS(Y39=0,0,Z39&lt;=Y39,Z39/Y39,Z39&gt;Y39,1)</f>
        <v>1</v>
      </c>
      <c r="AB39" s="1113">
        <v>300000</v>
      </c>
      <c r="AC39" s="1111">
        <v>1</v>
      </c>
      <c r="AD39" s="1112">
        <v>1</v>
      </c>
      <c r="AE39" s="788">
        <f>_xlfn.IFS(AC39=0,0,AD39&lt;=AC39,AD39/AC39,AD39&gt;AC39,1)</f>
        <v>1</v>
      </c>
      <c r="AF39" s="1113">
        <v>300000</v>
      </c>
      <c r="AG39" s="1111">
        <v>1</v>
      </c>
      <c r="AH39" s="1112">
        <v>1</v>
      </c>
      <c r="AI39" s="788">
        <f>_xlfn.IFS(AG39=0,0,AH39&lt;=AG39,AH39/AG39,AH39&gt;AG39,1)</f>
        <v>1</v>
      </c>
      <c r="AJ39" s="1113">
        <v>300000</v>
      </c>
      <c r="AK39" s="1111">
        <v>1</v>
      </c>
      <c r="AL39" s="1112">
        <v>1</v>
      </c>
      <c r="AM39" s="788">
        <f>_xlfn.IFS(AK39=0,0,AL39&lt;=AK39,AL39/AK39,AL39&gt;AK39,1)</f>
        <v>1</v>
      </c>
      <c r="AN39" s="1113">
        <v>300000</v>
      </c>
      <c r="AO39" s="1111">
        <v>1</v>
      </c>
      <c r="AP39" s="1112">
        <v>1</v>
      </c>
      <c r="AQ39" s="788">
        <f>_xlfn.IFS(AO39=0,0,AP39&lt;=AO39,AP39/AO39,AP39&gt;AO39,1)</f>
        <v>1</v>
      </c>
      <c r="AR39" s="1113">
        <v>300000</v>
      </c>
      <c r="AS39" s="1111">
        <v>1</v>
      </c>
      <c r="AT39" s="1112">
        <v>1</v>
      </c>
      <c r="AU39" s="788">
        <f>_xlfn.IFS(AS39=0,0,AT39&lt;=AS39,AT39/AS39,AT39&gt;AS39,1)</f>
        <v>1</v>
      </c>
      <c r="AV39" s="1113">
        <v>300000</v>
      </c>
      <c r="AW39" s="1111">
        <v>1</v>
      </c>
      <c r="AX39" s="1112">
        <v>1</v>
      </c>
      <c r="AY39" s="788">
        <f>_xlfn.IFS(AW39=0,0,AX39&lt;=AW39,AX39/AW39,AX39&gt;AW39,1)</f>
        <v>1</v>
      </c>
      <c r="AZ39" s="1113">
        <v>300000</v>
      </c>
      <c r="BA39" s="1111">
        <v>1</v>
      </c>
      <c r="BB39" s="1112">
        <v>1</v>
      </c>
      <c r="BC39" s="788">
        <f>_xlfn.IFS(BA39=0,0,BB39&lt;=BA39,BB39/BA39,BB39&gt;BA39,1)</f>
        <v>1</v>
      </c>
      <c r="BD39" s="1113">
        <v>300000</v>
      </c>
      <c r="BE39" s="1111">
        <v>1</v>
      </c>
      <c r="BF39" s="1112">
        <v>1</v>
      </c>
      <c r="BG39" s="788">
        <f>_xlfn.IFS(BE39=0,0,BF39&lt;=BE39,BF39/BE39,BF39&gt;BE39,1)</f>
        <v>1</v>
      </c>
      <c r="BH39" s="1113">
        <v>300000</v>
      </c>
      <c r="BI39" s="1111">
        <v>1</v>
      </c>
      <c r="BJ39" s="1112">
        <v>1</v>
      </c>
      <c r="BK39" s="788">
        <f>_xlfn.IFS(BI39=0,0,BJ39&lt;=BI39,BJ39/BI39,BJ39&gt;BI39,1)</f>
        <v>1</v>
      </c>
      <c r="BL39" s="1113">
        <v>300000</v>
      </c>
      <c r="BM39" s="1111">
        <v>1</v>
      </c>
      <c r="BN39" s="1112">
        <v>1</v>
      </c>
      <c r="BO39" s="788">
        <f>_xlfn.IFS(BM39=0,0,BN39&lt;=BM39,BN39/BM39,BN39&gt;BM39,1)</f>
        <v>1</v>
      </c>
      <c r="BP39" s="1113">
        <v>300000</v>
      </c>
      <c r="BQ39" s="1111">
        <v>1</v>
      </c>
      <c r="BR39" s="1112">
        <v>1</v>
      </c>
      <c r="BS39" s="788">
        <f>_xlfn.IFS(BQ39=0,0,BR39&lt;=BQ39,BR39/BQ39,BR39&gt;BQ39,1)</f>
        <v>1</v>
      </c>
      <c r="BT39" s="1113">
        <v>300000</v>
      </c>
      <c r="BU39" s="1111">
        <v>1</v>
      </c>
      <c r="BV39" s="1112">
        <v>1</v>
      </c>
      <c r="BW39" s="788">
        <f>_xlfn.IFS(BU39=0,0,BV39&lt;=BU39,BV39/BU39,BV39&gt;BU39,1)</f>
        <v>1</v>
      </c>
      <c r="BX39" s="1113">
        <v>300000</v>
      </c>
      <c r="BY39" s="1111">
        <v>1</v>
      </c>
      <c r="BZ39" s="1112">
        <v>1</v>
      </c>
      <c r="CA39" s="788">
        <f>_xlfn.IFS(BY39=0,0,BZ39&lt;=BY39,BZ39/BY39,BZ39&gt;BY39,1)</f>
        <v>1</v>
      </c>
      <c r="CB39" s="1113">
        <v>300000</v>
      </c>
      <c r="CC39" s="1111">
        <v>1</v>
      </c>
      <c r="CD39" s="1112">
        <v>1</v>
      </c>
      <c r="CE39" s="788">
        <f>_xlfn.IFS(CC39=0,0,CD39&lt;=CC39,CD39/CC39,CD39&gt;CC39,1)</f>
        <v>1</v>
      </c>
      <c r="CF39" s="1113">
        <v>300000</v>
      </c>
      <c r="CG39" s="1111">
        <v>1</v>
      </c>
      <c r="CH39" s="1112">
        <v>1</v>
      </c>
      <c r="CI39" s="788">
        <f>_xlfn.IFS(CG39=0,0,CH39&lt;=CG39,CH39/CG39,CH39&gt;CG39,1)</f>
        <v>1</v>
      </c>
      <c r="CJ39" s="1113">
        <v>300000</v>
      </c>
      <c r="CK39" s="1111">
        <v>1</v>
      </c>
      <c r="CL39" s="1112">
        <v>1</v>
      </c>
      <c r="CM39" s="788">
        <f>_xlfn.IFS(CK39=0,0,CL39&lt;=CK39,CL39/CK39,CL39&gt;CK39,1)</f>
        <v>1</v>
      </c>
      <c r="CN39" s="1113">
        <v>300000</v>
      </c>
      <c r="CO39" s="1111">
        <v>1</v>
      </c>
      <c r="CP39" s="1112">
        <v>1</v>
      </c>
      <c r="CQ39" s="788">
        <f>_xlfn.IFS(CO39=0,0,CP39&lt;=CO39,CP39/CO39,CP39&gt;CO39,1)</f>
        <v>1</v>
      </c>
      <c r="CR39" s="1113">
        <v>300000</v>
      </c>
      <c r="CS39" s="1111">
        <v>1</v>
      </c>
      <c r="CT39" s="1112">
        <v>1</v>
      </c>
      <c r="CU39" s="788">
        <f>_xlfn.IFS(CS39=0,0,CT39&lt;=CS39,CT39/CS39,CT39&gt;CS39,1)</f>
        <v>1</v>
      </c>
      <c r="CV39" s="1113">
        <v>300000</v>
      </c>
      <c r="CW39" s="1111">
        <v>1</v>
      </c>
      <c r="CX39" s="1112">
        <v>1</v>
      </c>
      <c r="CY39" s="788">
        <f>_xlfn.IFS(CW39=0,0,CX39&lt;=CW39,CX39/CW39,CX39&gt;CW39,1)</f>
        <v>1</v>
      </c>
      <c r="CZ39" s="1113">
        <v>300000</v>
      </c>
      <c r="DA39" s="1111">
        <v>1</v>
      </c>
      <c r="DB39" s="1112">
        <v>1</v>
      </c>
      <c r="DC39" s="788">
        <f>_xlfn.IFS(DA39=0,0,DB39&lt;=DA39,DB39/DA39,DB39&gt;DA39,1)</f>
        <v>1</v>
      </c>
      <c r="DD39" s="1113">
        <v>300000</v>
      </c>
      <c r="DE39" s="1111">
        <v>1</v>
      </c>
      <c r="DF39" s="1112">
        <v>1</v>
      </c>
      <c r="DG39" s="788">
        <f>_xlfn.IFS(DE39=0,0,DF39&lt;=DE39,DF39/DE39,DF39&gt;DE39,1)</f>
        <v>1</v>
      </c>
      <c r="DH39" s="1113">
        <v>300000</v>
      </c>
      <c r="DI39" s="1111">
        <v>1</v>
      </c>
      <c r="DJ39" s="1112">
        <v>1</v>
      </c>
      <c r="DK39" s="788">
        <f>_xlfn.IFS(DI39=0,0,DJ39&lt;=DI39,DJ39/DI39,DJ39&gt;DI39,1)</f>
        <v>1</v>
      </c>
      <c r="DL39" s="1113">
        <v>300000</v>
      </c>
      <c r="DM39" s="1111">
        <v>1</v>
      </c>
      <c r="DN39" s="1112">
        <v>1</v>
      </c>
      <c r="DO39" s="788">
        <f>_xlfn.IFS(DM39=0,0,DN39&lt;=DM39,DN39/DM39,DN39&gt;DM39,1)</f>
        <v>1</v>
      </c>
      <c r="DP39" s="1113">
        <v>300000</v>
      </c>
      <c r="DQ39" s="1111">
        <v>1</v>
      </c>
      <c r="DR39" s="1112">
        <v>1</v>
      </c>
      <c r="DS39" s="788">
        <f>_xlfn.IFS(DQ39=0,0,DR39&lt;=DQ39,DR39/DQ39,DR39&gt;DQ39,1)</f>
        <v>1</v>
      </c>
      <c r="DT39" s="1113">
        <v>300000</v>
      </c>
      <c r="DU39" s="1111">
        <v>1</v>
      </c>
      <c r="DV39" s="1112">
        <v>1</v>
      </c>
      <c r="DW39" s="788">
        <f>_xlfn.IFS(DU39=0,0,DV39&lt;=DU39,DV39/DU39,DV39&gt;DU39,1)</f>
        <v>1</v>
      </c>
      <c r="DX39" s="1113">
        <v>300000</v>
      </c>
      <c r="DY39" s="1111">
        <v>1</v>
      </c>
      <c r="DZ39" s="1112">
        <v>1</v>
      </c>
      <c r="EA39" s="788">
        <f>_xlfn.IFS(DY39=0,0,DZ39&lt;=DY39,DZ39/DY39,DZ39&gt;DY39,1)</f>
        <v>1</v>
      </c>
      <c r="EB39" s="1113">
        <v>300000</v>
      </c>
      <c r="EC39" s="1111">
        <v>1</v>
      </c>
      <c r="ED39" s="1112">
        <v>1</v>
      </c>
      <c r="EE39" s="788">
        <f>_xlfn.IFS(EC39=0,0,ED39&lt;=EC39,ED39/EC39,ED39&gt;EC39,1)</f>
        <v>1</v>
      </c>
      <c r="EF39" s="1113">
        <v>300000</v>
      </c>
    </row>
    <row r="40" spans="1:136" ht="20" customHeight="1" x14ac:dyDescent="0.15">
      <c r="A40" s="870">
        <f>_xlfn.IFS(B40=0,0,E40&gt;B40,1,E40&lt;=B40,E40/B40)</f>
        <v>0</v>
      </c>
      <c r="B40" s="950"/>
      <c r="C40" s="945" t="str">
        <f>Dashboard!K109</f>
        <v>NON-FULFILLMENT RATE</v>
      </c>
      <c r="D40" s="789">
        <f>Dashboard!AK109</f>
        <v>2.0000000000000004E-2</v>
      </c>
      <c r="E40" s="857">
        <f>IF(SUM(E41:E46)&gt;0,AVERAGEIF(E41:E46,"&gt;0"),0)</f>
        <v>0.46944444444444439</v>
      </c>
      <c r="F40" s="789">
        <f>D40-E40</f>
        <v>-0.44944444444444437</v>
      </c>
      <c r="G40" s="789">
        <f>_xlfn.IFS(F40&gt;=0,1,F40&lt;0,D40/E40)</f>
        <v>4.2603550295858002E-2</v>
      </c>
      <c r="H40" s="935"/>
      <c r="I40" s="936"/>
      <c r="J40" s="935"/>
      <c r="K40" s="831">
        <f t="shared" ref="K40:K46" si="306">D40</f>
        <v>2.0000000000000004E-2</v>
      </c>
      <c r="L40" s="945">
        <f ca="1">IF(SUM(L44:L46)&gt;0,AVERAGEIF(L44:L46,"&gt;0"),0)</f>
        <v>0</v>
      </c>
      <c r="M40" s="929"/>
      <c r="N40" s="928">
        <f>SUM(N41:N46)</f>
        <v>6</v>
      </c>
      <c r="O40" s="857">
        <f>IF(SUM(O41:O46)&gt;0,AVERAGEIF(O41:O46,"&gt;0"),0)</f>
        <v>0.46944444444444439</v>
      </c>
      <c r="P40" s="1024">
        <f>AVERAGE(P41:P46)</f>
        <v>0.46944444444444439</v>
      </c>
      <c r="Q40" s="929"/>
      <c r="R40" s="928">
        <f>SUM(R41:R46)</f>
        <v>5</v>
      </c>
      <c r="S40" s="857">
        <f>IF(SUM(S41:S46)&gt;0,AVERAGEIF(S41:S46,"&gt;0"),0)</f>
        <v>0.36333333333333334</v>
      </c>
      <c r="T40" s="1024">
        <f>AVERAGE(T41:T46)</f>
        <v>0.30277777777777776</v>
      </c>
      <c r="U40" s="929"/>
      <c r="V40" s="928">
        <f>SUM(V41:V46)</f>
        <v>5</v>
      </c>
      <c r="W40" s="857">
        <f>IF(SUM(W41:W46)&gt;0,AVERAGEIF(W41:W46,"&gt;0"),0)</f>
        <v>0.36333333333333334</v>
      </c>
      <c r="X40" s="1024">
        <f>AVERAGE(X41:X46)</f>
        <v>0.30277777777777776</v>
      </c>
      <c r="Y40" s="929"/>
      <c r="Z40" s="928">
        <f>SUM(Z41:Z46)</f>
        <v>5</v>
      </c>
      <c r="AA40" s="857">
        <f>IF(SUM(AA41:AA46)&gt;0,AVERAGEIF(AA41:AA46,"&gt;0"),0)</f>
        <v>0.36333333333333334</v>
      </c>
      <c r="AB40" s="1024">
        <f>AVERAGE(AB41:AB46)</f>
        <v>0.30277777777777776</v>
      </c>
      <c r="AC40" s="929"/>
      <c r="AD40" s="928">
        <f>SUM(AD41:AD46)</f>
        <v>5</v>
      </c>
      <c r="AE40" s="857">
        <f>IF(SUM(AE41:AE46)&gt;0,AVERAGEIF(AE41:AE46,"&gt;0"),0)</f>
        <v>0.36333333333333334</v>
      </c>
      <c r="AF40" s="1024">
        <f>AVERAGE(AF41:AF46)</f>
        <v>0.30277777777777776</v>
      </c>
      <c r="AG40" s="929"/>
      <c r="AH40" s="928">
        <f>SUM(AH41:AH46)</f>
        <v>5</v>
      </c>
      <c r="AI40" s="857">
        <f>IF(SUM(AI41:AI46)&gt;0,AVERAGEIF(AI41:AI46,"&gt;0"),0)</f>
        <v>0.36333333333333334</v>
      </c>
      <c r="AJ40" s="1024">
        <f>AVERAGE(AJ41:AJ46)</f>
        <v>0.30277777777777776</v>
      </c>
      <c r="AK40" s="929"/>
      <c r="AL40" s="928">
        <f>SUM(AL41:AL46)</f>
        <v>5</v>
      </c>
      <c r="AM40" s="857">
        <f>IF(SUM(AM41:AM46)&gt;0,AVERAGEIF(AM41:AM46,"&gt;0"),0)</f>
        <v>0.36333333333333334</v>
      </c>
      <c r="AN40" s="1024">
        <f>AVERAGE(AN41:AN46)</f>
        <v>0.30277777777777776</v>
      </c>
      <c r="AO40" s="929"/>
      <c r="AP40" s="928">
        <f>SUM(AP41:AP46)</f>
        <v>5</v>
      </c>
      <c r="AQ40" s="857">
        <f>IF(SUM(AQ41:AQ46)&gt;0,AVERAGEIF(AQ41:AQ46,"&gt;0"),0)</f>
        <v>0.36333333333333334</v>
      </c>
      <c r="AR40" s="1024">
        <f>AVERAGE(AR41:AR46)</f>
        <v>0.30277777777777776</v>
      </c>
      <c r="AS40" s="929"/>
      <c r="AT40" s="928">
        <f>SUM(AT41:AT46)</f>
        <v>5</v>
      </c>
      <c r="AU40" s="857">
        <f>IF(SUM(AU41:AU46)&gt;0,AVERAGEIF(AU41:AU46,"&gt;0"),0)</f>
        <v>0.36333333333333334</v>
      </c>
      <c r="AV40" s="1024">
        <f>AVERAGE(AV41:AV46)</f>
        <v>0.30277777777777776</v>
      </c>
      <c r="AW40" s="929"/>
      <c r="AX40" s="928">
        <f>SUM(AX41:AX46)</f>
        <v>5</v>
      </c>
      <c r="AY40" s="857">
        <f>IF(SUM(AY41:AY46)&gt;0,AVERAGEIF(AY41:AY46,"&gt;0"),0)</f>
        <v>0.36333333333333334</v>
      </c>
      <c r="AZ40" s="1024">
        <f>AVERAGE(AZ41:AZ46)</f>
        <v>0.30277777777777776</v>
      </c>
      <c r="BA40" s="929"/>
      <c r="BB40" s="928">
        <f>SUM(BB41:BB46)</f>
        <v>5</v>
      </c>
      <c r="BC40" s="857">
        <f>IF(SUM(BC41:BC46)&gt;0,AVERAGEIF(BC41:BC46,"&gt;0"),0)</f>
        <v>0.36333333333333334</v>
      </c>
      <c r="BD40" s="1024">
        <f>AVERAGE(BD41:BD46)</f>
        <v>0.30277777777777776</v>
      </c>
      <c r="BE40" s="929"/>
      <c r="BF40" s="928">
        <f>SUM(BF41:BF46)</f>
        <v>5</v>
      </c>
      <c r="BG40" s="857">
        <f>IF(SUM(BG41:BG46)&gt;0,AVERAGEIF(BG41:BG46,"&gt;0"),0)</f>
        <v>0.36333333333333334</v>
      </c>
      <c r="BH40" s="1024">
        <f>AVERAGE(BH41:BH46)</f>
        <v>0.30277777777777776</v>
      </c>
      <c r="BI40" s="929"/>
      <c r="BJ40" s="928">
        <f>SUM(BJ41:BJ46)</f>
        <v>5</v>
      </c>
      <c r="BK40" s="857">
        <f>IF(SUM(BK41:BK46)&gt;0,AVERAGEIF(BK41:BK46,"&gt;0"),0)</f>
        <v>0.21666666666666665</v>
      </c>
      <c r="BL40" s="1024">
        <f>AVERAGE(BL41:BL46)</f>
        <v>8.0555555555555547E-2</v>
      </c>
      <c r="BM40" s="929"/>
      <c r="BN40" s="928">
        <f>SUM(BN41:BN46)</f>
        <v>5</v>
      </c>
      <c r="BO40" s="857">
        <f>IF(SUM(BO41:BO46)&gt;0,AVERAGEIF(BO41:BO46,"&gt;0"),0)</f>
        <v>0.21666666666666665</v>
      </c>
      <c r="BP40" s="1024">
        <f>AVERAGE(BP41:BP46)</f>
        <v>8.0555555555555547E-2</v>
      </c>
      <c r="BQ40" s="929"/>
      <c r="BR40" s="928">
        <f>SUM(BR41:BR46)</f>
        <v>5</v>
      </c>
      <c r="BS40" s="857">
        <f>IF(SUM(BS41:BS46)&gt;0,AVERAGEIF(BS41:BS46,"&gt;0"),0)</f>
        <v>0.21666666666666665</v>
      </c>
      <c r="BT40" s="1024">
        <f>AVERAGE(BT41:BT46)</f>
        <v>8.0555555555555547E-2</v>
      </c>
      <c r="BU40" s="929"/>
      <c r="BV40" s="928">
        <f>SUM(BV41:BV46)</f>
        <v>5</v>
      </c>
      <c r="BW40" s="857">
        <f>IF(SUM(BW41:BW46)&gt;0,AVERAGEIF(BW41:BW46,"&gt;0"),0)</f>
        <v>0.21666666666666665</v>
      </c>
      <c r="BX40" s="1024">
        <f>AVERAGE(BX41:BX46)</f>
        <v>8.0555555555555547E-2</v>
      </c>
      <c r="BY40" s="929"/>
      <c r="BZ40" s="928">
        <f>SUM(BZ41:BZ46)</f>
        <v>5</v>
      </c>
      <c r="CA40" s="857">
        <f>IF(SUM(CA41:CA46)&gt;0,AVERAGEIF(CA41:CA46,"&gt;0"),0)</f>
        <v>0.21666666666666665</v>
      </c>
      <c r="CB40" s="1024">
        <f>AVERAGE(CB41:CB46)</f>
        <v>8.0555555555555547E-2</v>
      </c>
      <c r="CC40" s="929"/>
      <c r="CD40" s="928">
        <f>SUM(CD41:CD46)</f>
        <v>5</v>
      </c>
      <c r="CE40" s="857">
        <f>IF(SUM(CE41:CE46)&gt;0,AVERAGEIF(CE41:CE46,"&gt;0"),0)</f>
        <v>0.21666666666666665</v>
      </c>
      <c r="CF40" s="1024">
        <f>AVERAGE(CF41:CF46)</f>
        <v>8.0555555555555547E-2</v>
      </c>
      <c r="CG40" s="929"/>
      <c r="CH40" s="928">
        <f>SUM(CH41:CH46)</f>
        <v>5</v>
      </c>
      <c r="CI40" s="857">
        <f>IF(SUM(CI41:CI46)&gt;0,AVERAGEIF(CI41:CI46,"&gt;0"),0)</f>
        <v>0.21666666666666665</v>
      </c>
      <c r="CJ40" s="1024">
        <f>AVERAGE(CJ41:CJ46)</f>
        <v>8.0555555555555547E-2</v>
      </c>
      <c r="CK40" s="929"/>
      <c r="CL40" s="928">
        <f>SUM(CL41:CL46)</f>
        <v>5</v>
      </c>
      <c r="CM40" s="857">
        <f>IF(SUM(CM41:CM46)&gt;0,AVERAGEIF(CM41:CM46,"&gt;0"),0)</f>
        <v>0.21666666666666665</v>
      </c>
      <c r="CN40" s="1024">
        <f>AVERAGE(CN41:CN46)</f>
        <v>8.0555555555555547E-2</v>
      </c>
      <c r="CO40" s="929"/>
      <c r="CP40" s="928">
        <f>SUM(CP41:CP46)</f>
        <v>5</v>
      </c>
      <c r="CQ40" s="857">
        <f>IF(SUM(CQ41:CQ46)&gt;0,AVERAGEIF(CQ41:CQ46,"&gt;0"),0)</f>
        <v>0.21666666666666665</v>
      </c>
      <c r="CR40" s="1024">
        <f>AVERAGE(CR41:CR46)</f>
        <v>8.0555555555555547E-2</v>
      </c>
      <c r="CS40" s="929"/>
      <c r="CT40" s="928">
        <f>SUM(CT41:CT46)</f>
        <v>5</v>
      </c>
      <c r="CU40" s="857">
        <f>IF(SUM(CU41:CU46)&gt;0,AVERAGEIF(CU41:CU46,"&gt;0"),0)</f>
        <v>0.21666666666666665</v>
      </c>
      <c r="CV40" s="1024">
        <f>AVERAGE(CV41:CV46)</f>
        <v>8.0555555555555547E-2</v>
      </c>
      <c r="CW40" s="929"/>
      <c r="CX40" s="928">
        <f>SUM(CX41:CX46)</f>
        <v>5</v>
      </c>
      <c r="CY40" s="857">
        <f>IF(SUM(CY41:CY46)&gt;0,AVERAGEIF(CY41:CY46,"&gt;0"),0)</f>
        <v>0.21666666666666665</v>
      </c>
      <c r="CZ40" s="1024">
        <f>AVERAGE(CZ41:CZ46)</f>
        <v>8.0555555555555547E-2</v>
      </c>
      <c r="DA40" s="929"/>
      <c r="DB40" s="928">
        <f>SUM(DB41:DB46)</f>
        <v>5</v>
      </c>
      <c r="DC40" s="857">
        <f>IF(SUM(DC41:DC46)&gt;0,AVERAGEIF(DC41:DC46,"&gt;0"),0)</f>
        <v>0.21666666666666665</v>
      </c>
      <c r="DD40" s="1024">
        <f>AVERAGE(DD41:DD46)</f>
        <v>8.0555555555555547E-2</v>
      </c>
      <c r="DE40" s="929"/>
      <c r="DF40" s="928">
        <f>SUM(DF41:DF46)</f>
        <v>5</v>
      </c>
      <c r="DG40" s="857">
        <f>IF(SUM(DG41:DG46)&gt;0,AVERAGEIF(DG41:DG46,"&gt;0"),0)</f>
        <v>0.21666666666666665</v>
      </c>
      <c r="DH40" s="1024">
        <f>AVERAGE(DH41:DH46)</f>
        <v>8.0555555555555547E-2</v>
      </c>
      <c r="DI40" s="929"/>
      <c r="DJ40" s="928">
        <f>SUM(DJ41:DJ46)</f>
        <v>5</v>
      </c>
      <c r="DK40" s="857">
        <f>IF(SUM(DK41:DK46)&gt;0,AVERAGEIF(DK41:DK46,"&gt;0"),0)</f>
        <v>0.21666666666666665</v>
      </c>
      <c r="DL40" s="1024">
        <f>AVERAGE(DL41:DL46)</f>
        <v>8.0555555555555547E-2</v>
      </c>
      <c r="DM40" s="929"/>
      <c r="DN40" s="928">
        <f>SUM(DN41:DN46)</f>
        <v>5</v>
      </c>
      <c r="DO40" s="857">
        <f>IF(SUM(DO41:DO46)&gt;0,AVERAGEIF(DO41:DO46,"&gt;0"),0)</f>
        <v>0.21666666666666665</v>
      </c>
      <c r="DP40" s="1024">
        <f>AVERAGE(DP41:DP46)</f>
        <v>8.0555555555555547E-2</v>
      </c>
      <c r="DQ40" s="929"/>
      <c r="DR40" s="928">
        <f>SUM(DR41:DR46)</f>
        <v>5</v>
      </c>
      <c r="DS40" s="857">
        <f>IF(SUM(DS41:DS46)&gt;0,AVERAGEIF(DS41:DS46,"&gt;0"),0)</f>
        <v>0.21666666666666665</v>
      </c>
      <c r="DT40" s="1024">
        <f>AVERAGE(DT41:DT46)</f>
        <v>8.0555555555555547E-2</v>
      </c>
      <c r="DU40" s="929"/>
      <c r="DV40" s="928">
        <f>SUM(DV41:DV46)</f>
        <v>5</v>
      </c>
      <c r="DW40" s="857">
        <f>IF(SUM(DW41:DW46)&gt;0,AVERAGEIF(DW41:DW46,"&gt;0"),0)</f>
        <v>0.21666666666666665</v>
      </c>
      <c r="DX40" s="1024">
        <f>AVERAGE(DX41:DX46)</f>
        <v>8.0555555555555547E-2</v>
      </c>
      <c r="DY40" s="929"/>
      <c r="DZ40" s="928">
        <f>SUM(DZ41:DZ46)</f>
        <v>5</v>
      </c>
      <c r="EA40" s="857">
        <f>IF(SUM(EA41:EA46)&gt;0,AVERAGEIF(EA41:EA46,"&gt;0"),0)</f>
        <v>0.21666666666666665</v>
      </c>
      <c r="EB40" s="1024">
        <f>AVERAGE(EB41:EB46)</f>
        <v>8.0555555555555547E-2</v>
      </c>
      <c r="EC40" s="929"/>
      <c r="ED40" s="928">
        <f>SUM(ED41:ED46)</f>
        <v>5</v>
      </c>
      <c r="EE40" s="857">
        <f>IF(SUM(EE41:EE46)&gt;0,AVERAGEIF(EE41:EE46,"&gt;0"),0)</f>
        <v>0.21666666666666665</v>
      </c>
      <c r="EF40" s="1024">
        <f>AVERAGE(EF41:EF46)</f>
        <v>8.0555555555555547E-2</v>
      </c>
    </row>
    <row r="41" spans="1:136" ht="20" customHeight="1" x14ac:dyDescent="0.15">
      <c r="A41" s="189">
        <f t="shared" ref="A41:A43" si="307">_xlfn.IFS(B41=0,0,E41&gt;B41,1,E41&lt;=B41,E41/B41)</f>
        <v>0</v>
      </c>
      <c r="B41" s="950"/>
      <c r="C41" s="391" t="str">
        <f>Dashboard!K110</f>
        <v>FACEBOOK</v>
      </c>
      <c r="D41" s="208">
        <f>Dashboard!AK110</f>
        <v>2.0000000000000004E-2</v>
      </c>
      <c r="E41" s="1088">
        <f>IF(SUMIF($M$13:$EF$13,$N$13,M41:EF41)&gt;0,SUMIF($M$13:$EF$13,$O$13,M41:EF41)/SUMIF($M$13:$EF$13,$N$13,M41:EF41),0)</f>
        <v>6.6666666666666666E-2</v>
      </c>
      <c r="F41" s="208">
        <f>D41-E41</f>
        <v>-4.6666666666666662E-2</v>
      </c>
      <c r="G41" s="208">
        <f>_xlfn.IFS(F41&gt;=0,1,F41&lt;0,D41/E41)</f>
        <v>0.30000000000000004</v>
      </c>
      <c r="H41" s="1256"/>
      <c r="I41" s="935"/>
      <c r="J41" s="935"/>
      <c r="K41" s="831"/>
      <c r="L41" s="945"/>
      <c r="M41" s="929"/>
      <c r="N41" s="1226">
        <v>1</v>
      </c>
      <c r="O41" s="906">
        <f>N41/N20</f>
        <v>6.6666666666666666E-2</v>
      </c>
      <c r="P41" s="1227">
        <f>_xlfn.IFS(N41=0,0,O41&lt;=N41,O41/N41,O41&gt;N41,1)</f>
        <v>6.6666666666666666E-2</v>
      </c>
      <c r="Q41" s="929"/>
      <c r="R41" s="1226">
        <v>1</v>
      </c>
      <c r="S41" s="906">
        <f>R41/R20</f>
        <v>6.6666666666666666E-2</v>
      </c>
      <c r="T41" s="1025">
        <f>_xlfn.IFS(R41=0,0,S41&lt;=R41,S41/R41,S41&gt;R41,1)</f>
        <v>6.6666666666666666E-2</v>
      </c>
      <c r="U41" s="929"/>
      <c r="V41" s="1226">
        <v>1</v>
      </c>
      <c r="W41" s="906">
        <f>V41/V20</f>
        <v>6.6666666666666666E-2</v>
      </c>
      <c r="X41" s="1025">
        <f>_xlfn.IFS(V41=0,0,W41&lt;=V41,W41/V41,W41&gt;V41,1)</f>
        <v>6.6666666666666666E-2</v>
      </c>
      <c r="Y41" s="929"/>
      <c r="Z41" s="1226">
        <v>1</v>
      </c>
      <c r="AA41" s="906">
        <f>Z41/Z20</f>
        <v>6.6666666666666666E-2</v>
      </c>
      <c r="AB41" s="1025">
        <f>_xlfn.IFS(Z41=0,0,AA41&lt;=Z41,AA41/Z41,AA41&gt;Z41,1)</f>
        <v>6.6666666666666666E-2</v>
      </c>
      <c r="AC41" s="929"/>
      <c r="AD41" s="1226">
        <v>1</v>
      </c>
      <c r="AE41" s="906">
        <f>AD41/AD20</f>
        <v>6.6666666666666666E-2</v>
      </c>
      <c r="AF41" s="1025">
        <f>_xlfn.IFS(AD41=0,0,AE41&lt;=AD41,AE41/AD41,AE41&gt;AD41,1)</f>
        <v>6.6666666666666666E-2</v>
      </c>
      <c r="AG41" s="929"/>
      <c r="AH41" s="1226">
        <v>1</v>
      </c>
      <c r="AI41" s="906">
        <f>AH41/AH20</f>
        <v>6.6666666666666666E-2</v>
      </c>
      <c r="AJ41" s="1025">
        <f>_xlfn.IFS(AH41=0,0,AI41&lt;=AH41,AI41/AH41,AI41&gt;AH41,1)</f>
        <v>6.6666666666666666E-2</v>
      </c>
      <c r="AK41" s="929"/>
      <c r="AL41" s="1226">
        <v>1</v>
      </c>
      <c r="AM41" s="906">
        <f>AL41/AL20</f>
        <v>6.6666666666666666E-2</v>
      </c>
      <c r="AN41" s="1025">
        <f>_xlfn.IFS(AL41=0,0,AM41&lt;=AL41,AM41/AL41,AM41&gt;AL41,1)</f>
        <v>6.6666666666666666E-2</v>
      </c>
      <c r="AO41" s="929"/>
      <c r="AP41" s="1226">
        <v>1</v>
      </c>
      <c r="AQ41" s="906">
        <f>AP41/AP20</f>
        <v>6.6666666666666666E-2</v>
      </c>
      <c r="AR41" s="1025">
        <f>_xlfn.IFS(AP41=0,0,AQ41&lt;=AP41,AQ41/AP41,AQ41&gt;AP41,1)</f>
        <v>6.6666666666666666E-2</v>
      </c>
      <c r="AS41" s="929"/>
      <c r="AT41" s="1226">
        <v>1</v>
      </c>
      <c r="AU41" s="906">
        <f>AT41/AT20</f>
        <v>6.6666666666666666E-2</v>
      </c>
      <c r="AV41" s="1025">
        <f>_xlfn.IFS(AT41=0,0,AU41&lt;=AT41,AU41/AT41,AU41&gt;AT41,1)</f>
        <v>6.6666666666666666E-2</v>
      </c>
      <c r="AW41" s="929"/>
      <c r="AX41" s="1226">
        <v>1</v>
      </c>
      <c r="AY41" s="906">
        <f>AX41/AX20</f>
        <v>6.6666666666666666E-2</v>
      </c>
      <c r="AZ41" s="1025">
        <f>_xlfn.IFS(AX41=0,0,AY41&lt;=AX41,AY41/AX41,AY41&gt;AX41,1)</f>
        <v>6.6666666666666666E-2</v>
      </c>
      <c r="BA41" s="929"/>
      <c r="BB41" s="1226">
        <v>1</v>
      </c>
      <c r="BC41" s="906">
        <f>BB41/BB20</f>
        <v>6.6666666666666666E-2</v>
      </c>
      <c r="BD41" s="1025">
        <f>_xlfn.IFS(BB41=0,0,BC41&lt;=BB41,BC41/BB41,BC41&gt;BB41,1)</f>
        <v>6.6666666666666666E-2</v>
      </c>
      <c r="BE41" s="929"/>
      <c r="BF41" s="1226">
        <v>1</v>
      </c>
      <c r="BG41" s="906">
        <f>BF41/BF20</f>
        <v>6.6666666666666666E-2</v>
      </c>
      <c r="BH41" s="1025">
        <f>_xlfn.IFS(BF41=0,0,BG41&lt;=BF41,BG41/BF41,BG41&gt;BF41,1)</f>
        <v>6.6666666666666666E-2</v>
      </c>
      <c r="BI41" s="929"/>
      <c r="BJ41" s="1226">
        <v>1</v>
      </c>
      <c r="BK41" s="906">
        <f>BJ41/BJ20</f>
        <v>6.6666666666666666E-2</v>
      </c>
      <c r="BL41" s="1025">
        <f>_xlfn.IFS(BJ41=0,0,BK41&lt;=BJ41,BK41/BJ41,BK41&gt;BJ41,1)</f>
        <v>6.6666666666666666E-2</v>
      </c>
      <c r="BM41" s="929"/>
      <c r="BN41" s="1226">
        <v>1</v>
      </c>
      <c r="BO41" s="906">
        <f>BN41/BN20</f>
        <v>6.6666666666666666E-2</v>
      </c>
      <c r="BP41" s="1025">
        <f>_xlfn.IFS(BN41=0,0,BO41&lt;=BN41,BO41/BN41,BO41&gt;BN41,1)</f>
        <v>6.6666666666666666E-2</v>
      </c>
      <c r="BQ41" s="929"/>
      <c r="BR41" s="1226">
        <v>1</v>
      </c>
      <c r="BS41" s="906">
        <f>BR41/BR20</f>
        <v>6.6666666666666666E-2</v>
      </c>
      <c r="BT41" s="1025">
        <f>_xlfn.IFS(BR41=0,0,BS41&lt;=BR41,BS41/BR41,BS41&gt;BR41,1)</f>
        <v>6.6666666666666666E-2</v>
      </c>
      <c r="BU41" s="929"/>
      <c r="BV41" s="1226">
        <v>1</v>
      </c>
      <c r="BW41" s="906">
        <f>BV41/BV20</f>
        <v>6.6666666666666666E-2</v>
      </c>
      <c r="BX41" s="1025">
        <f>_xlfn.IFS(BV41=0,0,BW41&lt;=BV41,BW41/BV41,BW41&gt;BV41,1)</f>
        <v>6.6666666666666666E-2</v>
      </c>
      <c r="BY41" s="929"/>
      <c r="BZ41" s="1226">
        <v>1</v>
      </c>
      <c r="CA41" s="906">
        <f>BZ41/BZ20</f>
        <v>6.6666666666666666E-2</v>
      </c>
      <c r="CB41" s="1025">
        <f>_xlfn.IFS(BZ41=0,0,CA41&lt;=BZ41,CA41/BZ41,CA41&gt;BZ41,1)</f>
        <v>6.6666666666666666E-2</v>
      </c>
      <c r="CC41" s="929"/>
      <c r="CD41" s="1226">
        <v>1</v>
      </c>
      <c r="CE41" s="906">
        <f>CD41/CD20</f>
        <v>6.6666666666666666E-2</v>
      </c>
      <c r="CF41" s="1025">
        <f>_xlfn.IFS(CD41=0,0,CE41&lt;=CD41,CE41/CD41,CE41&gt;CD41,1)</f>
        <v>6.6666666666666666E-2</v>
      </c>
      <c r="CG41" s="929"/>
      <c r="CH41" s="1226">
        <v>1</v>
      </c>
      <c r="CI41" s="906">
        <f>CH41/CH20</f>
        <v>6.6666666666666666E-2</v>
      </c>
      <c r="CJ41" s="1025">
        <f>_xlfn.IFS(CH41=0,0,CI41&lt;=CH41,CI41/CH41,CI41&gt;CH41,1)</f>
        <v>6.6666666666666666E-2</v>
      </c>
      <c r="CK41" s="929"/>
      <c r="CL41" s="1226">
        <v>1</v>
      </c>
      <c r="CM41" s="906">
        <f>CL41/CL20</f>
        <v>6.6666666666666666E-2</v>
      </c>
      <c r="CN41" s="1025">
        <f>_xlfn.IFS(CL41=0,0,CM41&lt;=CL41,CM41/CL41,CM41&gt;CL41,1)</f>
        <v>6.6666666666666666E-2</v>
      </c>
      <c r="CO41" s="929"/>
      <c r="CP41" s="1226">
        <v>1</v>
      </c>
      <c r="CQ41" s="906">
        <f>CP41/CP20</f>
        <v>6.6666666666666666E-2</v>
      </c>
      <c r="CR41" s="1025">
        <f>_xlfn.IFS(CP41=0,0,CQ41&lt;=CP41,CQ41/CP41,CQ41&gt;CP41,1)</f>
        <v>6.6666666666666666E-2</v>
      </c>
      <c r="CS41" s="929"/>
      <c r="CT41" s="1226">
        <v>1</v>
      </c>
      <c r="CU41" s="906">
        <f>CT41/CT20</f>
        <v>6.6666666666666666E-2</v>
      </c>
      <c r="CV41" s="1025">
        <f>_xlfn.IFS(CT41=0,0,CU41&lt;=CT41,CU41/CT41,CU41&gt;CT41,1)</f>
        <v>6.6666666666666666E-2</v>
      </c>
      <c r="CW41" s="929"/>
      <c r="CX41" s="1226">
        <v>1</v>
      </c>
      <c r="CY41" s="906">
        <f>CX41/CX20</f>
        <v>6.6666666666666666E-2</v>
      </c>
      <c r="CZ41" s="1025">
        <f>_xlfn.IFS(CX41=0,0,CY41&lt;=CX41,CY41/CX41,CY41&gt;CX41,1)</f>
        <v>6.6666666666666666E-2</v>
      </c>
      <c r="DA41" s="929"/>
      <c r="DB41" s="1226">
        <v>1</v>
      </c>
      <c r="DC41" s="906">
        <f>DB41/DB20</f>
        <v>6.6666666666666666E-2</v>
      </c>
      <c r="DD41" s="1025">
        <f>_xlfn.IFS(DB41=0,0,DC41&lt;=DB41,DC41/DB41,DC41&gt;DB41,1)</f>
        <v>6.6666666666666666E-2</v>
      </c>
      <c r="DE41" s="929"/>
      <c r="DF41" s="1226">
        <v>1</v>
      </c>
      <c r="DG41" s="906">
        <f>DF41/DF20</f>
        <v>6.6666666666666666E-2</v>
      </c>
      <c r="DH41" s="1025">
        <f>_xlfn.IFS(DF41=0,0,DG41&lt;=DF41,DG41/DF41,DG41&gt;DF41,1)</f>
        <v>6.6666666666666666E-2</v>
      </c>
      <c r="DI41" s="929"/>
      <c r="DJ41" s="1226">
        <v>1</v>
      </c>
      <c r="DK41" s="906">
        <f>DJ41/DJ20</f>
        <v>6.6666666666666666E-2</v>
      </c>
      <c r="DL41" s="1025">
        <f>_xlfn.IFS(DJ41=0,0,DK41&lt;=DJ41,DK41/DJ41,DK41&gt;DJ41,1)</f>
        <v>6.6666666666666666E-2</v>
      </c>
      <c r="DM41" s="929"/>
      <c r="DN41" s="1226">
        <v>1</v>
      </c>
      <c r="DO41" s="906">
        <f>DN41/DN20</f>
        <v>6.6666666666666666E-2</v>
      </c>
      <c r="DP41" s="1025">
        <f>_xlfn.IFS(DN41=0,0,DO41&lt;=DN41,DO41/DN41,DO41&gt;DN41,1)</f>
        <v>6.6666666666666666E-2</v>
      </c>
      <c r="DQ41" s="929"/>
      <c r="DR41" s="1226">
        <v>1</v>
      </c>
      <c r="DS41" s="906">
        <f>DR41/DR20</f>
        <v>6.6666666666666666E-2</v>
      </c>
      <c r="DT41" s="1025">
        <f>_xlfn.IFS(DR41=0,0,DS41&lt;=DR41,DS41/DR41,DS41&gt;DR41,1)</f>
        <v>6.6666666666666666E-2</v>
      </c>
      <c r="DU41" s="929"/>
      <c r="DV41" s="1226">
        <v>1</v>
      </c>
      <c r="DW41" s="906">
        <f>DV41/DV20</f>
        <v>6.6666666666666666E-2</v>
      </c>
      <c r="DX41" s="1025">
        <f>_xlfn.IFS(DV41=0,0,DW41&lt;=DV41,DW41/DV41,DW41&gt;DV41,1)</f>
        <v>6.6666666666666666E-2</v>
      </c>
      <c r="DY41" s="929"/>
      <c r="DZ41" s="1226">
        <v>1</v>
      </c>
      <c r="EA41" s="906">
        <f>DZ41/DZ20</f>
        <v>6.6666666666666666E-2</v>
      </c>
      <c r="EB41" s="1025">
        <f>_xlfn.IFS(DZ41=0,0,EA41&lt;=DZ41,EA41/DZ41,EA41&gt;DZ41,1)</f>
        <v>6.6666666666666666E-2</v>
      </c>
      <c r="EC41" s="929"/>
      <c r="ED41" s="1226">
        <v>1</v>
      </c>
      <c r="EE41" s="906">
        <f>ED41/ED20</f>
        <v>6.6666666666666666E-2</v>
      </c>
      <c r="EF41" s="1025">
        <f>_xlfn.IFS(ED41=0,0,EE41&lt;=ED41,EE41/ED41,EE41&gt;ED41,1)</f>
        <v>6.6666666666666666E-2</v>
      </c>
    </row>
    <row r="42" spans="1:136" ht="20" customHeight="1" x14ac:dyDescent="0.15">
      <c r="A42" s="189">
        <f t="shared" si="307"/>
        <v>0</v>
      </c>
      <c r="B42" s="950"/>
      <c r="C42" s="391" t="str">
        <f>Dashboard!K111</f>
        <v>LANDING PAGE</v>
      </c>
      <c r="D42" s="208">
        <f>Dashboard!AK111</f>
        <v>2.0000000000000004E-2</v>
      </c>
      <c r="E42" s="1088">
        <f t="shared" ref="E42:E45" si="308">IF(SUMIF($M$13:$EF$13,$N$13,M42:EF42)&gt;0,SUMIF($M$13:$EF$13,$O$13,M42:EF42)/SUMIF($M$13:$EF$13,$N$13,M42:EF42),0)</f>
        <v>8.3333333333333329E-2</v>
      </c>
      <c r="F42" s="208">
        <f t="shared" ref="F42:F45" si="309">D42-E42</f>
        <v>-6.3333333333333325E-2</v>
      </c>
      <c r="G42" s="208">
        <f t="shared" ref="G42:G46" si="310">_xlfn.IFS(F42&gt;=0,1,F42&lt;0,D42/E42)</f>
        <v>0.24000000000000005</v>
      </c>
      <c r="H42" s="935"/>
      <c r="I42" s="935"/>
      <c r="J42" s="935"/>
      <c r="K42" s="831"/>
      <c r="L42" s="945"/>
      <c r="M42" s="929"/>
      <c r="N42" s="1226">
        <v>1</v>
      </c>
      <c r="O42" s="906">
        <f>N42/N26</f>
        <v>8.3333333333333329E-2</v>
      </c>
      <c r="P42" s="1227">
        <f>_xlfn.IFS(N42=0,0,O42&lt;=N42,O42/N42,O42&gt;N42,1)</f>
        <v>8.3333333333333329E-2</v>
      </c>
      <c r="Q42" s="929"/>
      <c r="R42" s="1226">
        <v>1</v>
      </c>
      <c r="S42" s="906">
        <f>R42/R26</f>
        <v>8.3333333333333329E-2</v>
      </c>
      <c r="T42" s="1025">
        <f>_xlfn.IFS(R42=0,0,S42&lt;=R42,S42/R42,S42&gt;R42,1)</f>
        <v>8.3333333333333329E-2</v>
      </c>
      <c r="U42" s="929"/>
      <c r="V42" s="1226">
        <v>1</v>
      </c>
      <c r="W42" s="906">
        <f>V42/V26</f>
        <v>8.3333333333333329E-2</v>
      </c>
      <c r="X42" s="1025">
        <f>_xlfn.IFS(V42=0,0,W42&lt;=V42,W42/V42,W42&gt;V42,1)</f>
        <v>8.3333333333333329E-2</v>
      </c>
      <c r="Y42" s="929"/>
      <c r="Z42" s="1226">
        <v>1</v>
      </c>
      <c r="AA42" s="906">
        <f>Z42/Z26</f>
        <v>8.3333333333333329E-2</v>
      </c>
      <c r="AB42" s="1025">
        <f>_xlfn.IFS(Z42=0,0,AA42&lt;=Z42,AA42/Z42,AA42&gt;Z42,1)</f>
        <v>8.3333333333333329E-2</v>
      </c>
      <c r="AC42" s="929"/>
      <c r="AD42" s="1226">
        <v>1</v>
      </c>
      <c r="AE42" s="906">
        <f>AD42/AD26</f>
        <v>8.3333333333333329E-2</v>
      </c>
      <c r="AF42" s="1025">
        <f>_xlfn.IFS(AD42=0,0,AE42&lt;=AD42,AE42/AD42,AE42&gt;AD42,1)</f>
        <v>8.3333333333333329E-2</v>
      </c>
      <c r="AG42" s="929"/>
      <c r="AH42" s="1226">
        <v>1</v>
      </c>
      <c r="AI42" s="906">
        <f>AH42/AH26</f>
        <v>8.3333333333333329E-2</v>
      </c>
      <c r="AJ42" s="1025">
        <f>_xlfn.IFS(AH42=0,0,AI42&lt;=AH42,AI42/AH42,AI42&gt;AH42,1)</f>
        <v>8.3333333333333329E-2</v>
      </c>
      <c r="AK42" s="929"/>
      <c r="AL42" s="1226">
        <v>1</v>
      </c>
      <c r="AM42" s="906">
        <f>AL42/AL26</f>
        <v>8.3333333333333329E-2</v>
      </c>
      <c r="AN42" s="1025">
        <f>_xlfn.IFS(AL42=0,0,AM42&lt;=AL42,AM42/AL42,AM42&gt;AL42,1)</f>
        <v>8.3333333333333329E-2</v>
      </c>
      <c r="AO42" s="929"/>
      <c r="AP42" s="1226">
        <v>1</v>
      </c>
      <c r="AQ42" s="906">
        <f>AP42/AP26</f>
        <v>8.3333333333333329E-2</v>
      </c>
      <c r="AR42" s="1025">
        <f>_xlfn.IFS(AP42=0,0,AQ42&lt;=AP42,AQ42/AP42,AQ42&gt;AP42,1)</f>
        <v>8.3333333333333329E-2</v>
      </c>
      <c r="AS42" s="929"/>
      <c r="AT42" s="1226">
        <v>1</v>
      </c>
      <c r="AU42" s="906">
        <f>AT42/AT26</f>
        <v>8.3333333333333329E-2</v>
      </c>
      <c r="AV42" s="1025">
        <f>_xlfn.IFS(AT42=0,0,AU42&lt;=AT42,AU42/AT42,AU42&gt;AT42,1)</f>
        <v>8.3333333333333329E-2</v>
      </c>
      <c r="AW42" s="929"/>
      <c r="AX42" s="1226">
        <v>1</v>
      </c>
      <c r="AY42" s="906">
        <f>AX42/AX26</f>
        <v>8.3333333333333329E-2</v>
      </c>
      <c r="AZ42" s="1025">
        <f>_xlfn.IFS(AX42=0,0,AY42&lt;=AX42,AY42/AX42,AY42&gt;AX42,1)</f>
        <v>8.3333333333333329E-2</v>
      </c>
      <c r="BA42" s="929"/>
      <c r="BB42" s="1226">
        <v>1</v>
      </c>
      <c r="BC42" s="906">
        <f>BB42/BB26</f>
        <v>8.3333333333333329E-2</v>
      </c>
      <c r="BD42" s="1025">
        <f>_xlfn.IFS(BB42=0,0,BC42&lt;=BB42,BC42/BB42,BC42&gt;BB42,1)</f>
        <v>8.3333333333333329E-2</v>
      </c>
      <c r="BE42" s="929"/>
      <c r="BF42" s="1226">
        <v>1</v>
      </c>
      <c r="BG42" s="906">
        <f>BF42/BF26</f>
        <v>8.3333333333333329E-2</v>
      </c>
      <c r="BH42" s="1025">
        <f>_xlfn.IFS(BF42=0,0,BG42&lt;=BF42,BG42/BF42,BG42&gt;BF42,1)</f>
        <v>8.3333333333333329E-2</v>
      </c>
      <c r="BI42" s="929"/>
      <c r="BJ42" s="1226">
        <v>3</v>
      </c>
      <c r="BK42" s="906">
        <f>BJ42/BJ26</f>
        <v>0.25</v>
      </c>
      <c r="BL42" s="1025">
        <f>_xlfn.IFS(BJ42=0,0,BK42&lt;=BJ42,BK42/BJ42,BK42&gt;BJ42,1)</f>
        <v>8.3333333333333329E-2</v>
      </c>
      <c r="BM42" s="929"/>
      <c r="BN42" s="1226">
        <v>3</v>
      </c>
      <c r="BO42" s="906">
        <f>BN42/BN26</f>
        <v>0.25</v>
      </c>
      <c r="BP42" s="1025">
        <f>_xlfn.IFS(BN42=0,0,BO42&lt;=BN42,BO42/BN42,BO42&gt;BN42,1)</f>
        <v>8.3333333333333329E-2</v>
      </c>
      <c r="BQ42" s="929"/>
      <c r="BR42" s="1226">
        <v>3</v>
      </c>
      <c r="BS42" s="906">
        <f>BR42/BR26</f>
        <v>0.25</v>
      </c>
      <c r="BT42" s="1025">
        <f>_xlfn.IFS(BR42=0,0,BS42&lt;=BR42,BS42/BR42,BS42&gt;BR42,1)</f>
        <v>8.3333333333333329E-2</v>
      </c>
      <c r="BU42" s="929"/>
      <c r="BV42" s="1226">
        <v>3</v>
      </c>
      <c r="BW42" s="906">
        <f>BV42/BV26</f>
        <v>0.25</v>
      </c>
      <c r="BX42" s="1025">
        <f>_xlfn.IFS(BV42=0,0,BW42&lt;=BV42,BW42/BV42,BW42&gt;BV42,1)</f>
        <v>8.3333333333333329E-2</v>
      </c>
      <c r="BY42" s="929"/>
      <c r="BZ42" s="1226">
        <v>3</v>
      </c>
      <c r="CA42" s="906">
        <f>BZ42/BZ26</f>
        <v>0.25</v>
      </c>
      <c r="CB42" s="1025">
        <f>_xlfn.IFS(BZ42=0,0,CA42&lt;=BZ42,CA42/BZ42,CA42&gt;BZ42,1)</f>
        <v>8.3333333333333329E-2</v>
      </c>
      <c r="CC42" s="929"/>
      <c r="CD42" s="1226">
        <v>3</v>
      </c>
      <c r="CE42" s="906">
        <f>CD42/CD26</f>
        <v>0.25</v>
      </c>
      <c r="CF42" s="1025">
        <f>_xlfn.IFS(CD42=0,0,CE42&lt;=CD42,CE42/CD42,CE42&gt;CD42,1)</f>
        <v>8.3333333333333329E-2</v>
      </c>
      <c r="CG42" s="929"/>
      <c r="CH42" s="1226">
        <v>3</v>
      </c>
      <c r="CI42" s="906">
        <f>CH42/CH26</f>
        <v>0.25</v>
      </c>
      <c r="CJ42" s="1025">
        <f>_xlfn.IFS(CH42=0,0,CI42&lt;=CH42,CI42/CH42,CI42&gt;CH42,1)</f>
        <v>8.3333333333333329E-2</v>
      </c>
      <c r="CK42" s="929"/>
      <c r="CL42" s="1226">
        <v>3</v>
      </c>
      <c r="CM42" s="906">
        <f>CL42/CL26</f>
        <v>0.25</v>
      </c>
      <c r="CN42" s="1025">
        <f>_xlfn.IFS(CL42=0,0,CM42&lt;=CL42,CM42/CL42,CM42&gt;CL42,1)</f>
        <v>8.3333333333333329E-2</v>
      </c>
      <c r="CO42" s="929"/>
      <c r="CP42" s="1226">
        <v>3</v>
      </c>
      <c r="CQ42" s="906">
        <f>CP42/CP26</f>
        <v>0.25</v>
      </c>
      <c r="CR42" s="1025">
        <f>_xlfn.IFS(CP42=0,0,CQ42&lt;=CP42,CQ42/CP42,CQ42&gt;CP42,1)</f>
        <v>8.3333333333333329E-2</v>
      </c>
      <c r="CS42" s="929"/>
      <c r="CT42" s="1226">
        <v>3</v>
      </c>
      <c r="CU42" s="906">
        <f>CT42/CT26</f>
        <v>0.25</v>
      </c>
      <c r="CV42" s="1025">
        <f>_xlfn.IFS(CT42=0,0,CU42&lt;=CT42,CU42/CT42,CU42&gt;CT42,1)</f>
        <v>8.3333333333333329E-2</v>
      </c>
      <c r="CW42" s="929"/>
      <c r="CX42" s="1226">
        <v>3</v>
      </c>
      <c r="CY42" s="906">
        <f>CX42/CX26</f>
        <v>0.25</v>
      </c>
      <c r="CZ42" s="1025">
        <f>_xlfn.IFS(CX42=0,0,CY42&lt;=CX42,CY42/CX42,CY42&gt;CX42,1)</f>
        <v>8.3333333333333329E-2</v>
      </c>
      <c r="DA42" s="929"/>
      <c r="DB42" s="1226">
        <v>3</v>
      </c>
      <c r="DC42" s="906">
        <f>DB42/DB26</f>
        <v>0.25</v>
      </c>
      <c r="DD42" s="1025">
        <f>_xlfn.IFS(DB42=0,0,DC42&lt;=DB42,DC42/DB42,DC42&gt;DB42,1)</f>
        <v>8.3333333333333329E-2</v>
      </c>
      <c r="DE42" s="929"/>
      <c r="DF42" s="1226">
        <v>3</v>
      </c>
      <c r="DG42" s="906">
        <f>DF42/DF26</f>
        <v>0.25</v>
      </c>
      <c r="DH42" s="1025">
        <f>_xlfn.IFS(DF42=0,0,DG42&lt;=DF42,DG42/DF42,DG42&gt;DF42,1)</f>
        <v>8.3333333333333329E-2</v>
      </c>
      <c r="DI42" s="929"/>
      <c r="DJ42" s="1226">
        <v>3</v>
      </c>
      <c r="DK42" s="906">
        <f>DJ42/DJ26</f>
        <v>0.25</v>
      </c>
      <c r="DL42" s="1025">
        <f>_xlfn.IFS(DJ42=0,0,DK42&lt;=DJ42,DK42/DJ42,DK42&gt;DJ42,1)</f>
        <v>8.3333333333333329E-2</v>
      </c>
      <c r="DM42" s="929"/>
      <c r="DN42" s="1226">
        <v>3</v>
      </c>
      <c r="DO42" s="906">
        <f>DN42/DN26</f>
        <v>0.25</v>
      </c>
      <c r="DP42" s="1025">
        <f>_xlfn.IFS(DN42=0,0,DO42&lt;=DN42,DO42/DN42,DO42&gt;DN42,1)</f>
        <v>8.3333333333333329E-2</v>
      </c>
      <c r="DQ42" s="929"/>
      <c r="DR42" s="1226">
        <v>3</v>
      </c>
      <c r="DS42" s="906">
        <f>DR42/DR26</f>
        <v>0.25</v>
      </c>
      <c r="DT42" s="1025">
        <f>_xlfn.IFS(DR42=0,0,DS42&lt;=DR42,DS42/DR42,DS42&gt;DR42,1)</f>
        <v>8.3333333333333329E-2</v>
      </c>
      <c r="DU42" s="929"/>
      <c r="DV42" s="1226">
        <v>3</v>
      </c>
      <c r="DW42" s="906">
        <f>DV42/DV26</f>
        <v>0.25</v>
      </c>
      <c r="DX42" s="1025">
        <f>_xlfn.IFS(DV42=0,0,DW42&lt;=DV42,DW42/DV42,DW42&gt;DV42,1)</f>
        <v>8.3333333333333329E-2</v>
      </c>
      <c r="DY42" s="929"/>
      <c r="DZ42" s="1226">
        <v>3</v>
      </c>
      <c r="EA42" s="906">
        <f>DZ42/DZ26</f>
        <v>0.25</v>
      </c>
      <c r="EB42" s="1025">
        <f>_xlfn.IFS(DZ42=0,0,EA42&lt;=DZ42,EA42/DZ42,EA42&gt;DZ42,1)</f>
        <v>8.3333333333333329E-2</v>
      </c>
      <c r="EC42" s="929"/>
      <c r="ED42" s="1226">
        <v>3</v>
      </c>
      <c r="EE42" s="906">
        <f>ED42/ED26</f>
        <v>0.25</v>
      </c>
      <c r="EF42" s="1025">
        <f>_xlfn.IFS(ED42=0,0,EE42&lt;=ED42,EE42/ED42,EE42&gt;ED42,1)</f>
        <v>8.3333333333333329E-2</v>
      </c>
    </row>
    <row r="43" spans="1:136" ht="20" customHeight="1" x14ac:dyDescent="0.15">
      <c r="A43" s="189">
        <f t="shared" si="307"/>
        <v>0</v>
      </c>
      <c r="B43" s="950"/>
      <c r="C43" s="391" t="str">
        <f>Dashboard!K112</f>
        <v>WEBSITE</v>
      </c>
      <c r="D43" s="208">
        <f>Dashboard!AK112</f>
        <v>2.0000000000000004E-2</v>
      </c>
      <c r="E43" s="1088">
        <f t="shared" si="308"/>
        <v>0.33333333333333337</v>
      </c>
      <c r="F43" s="208">
        <f t="shared" si="309"/>
        <v>-0.31333333333333335</v>
      </c>
      <c r="G43" s="208">
        <f t="shared" si="310"/>
        <v>6.0000000000000005E-2</v>
      </c>
      <c r="H43" s="935"/>
      <c r="I43" s="935"/>
      <c r="J43" s="935"/>
      <c r="K43" s="831"/>
      <c r="L43" s="945"/>
      <c r="M43" s="929"/>
      <c r="N43" s="1226">
        <v>1</v>
      </c>
      <c r="O43" s="906">
        <f>N43/N32</f>
        <v>0.33333333333333331</v>
      </c>
      <c r="P43" s="1227">
        <f t="shared" ref="P43" si="311">_xlfn.IFS(N43=0,0,O43&lt;=N43,O43/N43,O43&gt;N43,1)</f>
        <v>0.33333333333333331</v>
      </c>
      <c r="Q43" s="929"/>
      <c r="R43" s="1226">
        <v>1</v>
      </c>
      <c r="S43" s="906">
        <f>R43/R32</f>
        <v>0.33333333333333331</v>
      </c>
      <c r="T43" s="1025">
        <f t="shared" ref="T43" si="312">_xlfn.IFS(R43=0,0,S43&lt;=R43,S43/R43,S43&gt;R43,1)</f>
        <v>0.33333333333333331</v>
      </c>
      <c r="U43" s="929"/>
      <c r="V43" s="1226">
        <v>1</v>
      </c>
      <c r="W43" s="906">
        <f>V43/V32</f>
        <v>0.33333333333333331</v>
      </c>
      <c r="X43" s="1025">
        <f t="shared" ref="X43" si="313">_xlfn.IFS(V43=0,0,W43&lt;=V43,W43/V43,W43&gt;V43,1)</f>
        <v>0.33333333333333331</v>
      </c>
      <c r="Y43" s="929"/>
      <c r="Z43" s="1226">
        <v>1</v>
      </c>
      <c r="AA43" s="906">
        <f>Z43/Z32</f>
        <v>0.33333333333333331</v>
      </c>
      <c r="AB43" s="1025">
        <f t="shared" ref="AB43" si="314">_xlfn.IFS(Z43=0,0,AA43&lt;=Z43,AA43/Z43,AA43&gt;Z43,1)</f>
        <v>0.33333333333333331</v>
      </c>
      <c r="AC43" s="929"/>
      <c r="AD43" s="1226">
        <v>1</v>
      </c>
      <c r="AE43" s="906">
        <f>AD43/AD32</f>
        <v>0.33333333333333331</v>
      </c>
      <c r="AF43" s="1025">
        <f t="shared" ref="AF43" si="315">_xlfn.IFS(AD43=0,0,AE43&lt;=AD43,AE43/AD43,AE43&gt;AD43,1)</f>
        <v>0.33333333333333331</v>
      </c>
      <c r="AG43" s="929"/>
      <c r="AH43" s="1226">
        <v>1</v>
      </c>
      <c r="AI43" s="906">
        <f>AH43/AH32</f>
        <v>0.33333333333333331</v>
      </c>
      <c r="AJ43" s="1025">
        <f t="shared" ref="AJ43" si="316">_xlfn.IFS(AH43=0,0,AI43&lt;=AH43,AI43/AH43,AI43&gt;AH43,1)</f>
        <v>0.33333333333333331</v>
      </c>
      <c r="AK43" s="929"/>
      <c r="AL43" s="1226">
        <v>1</v>
      </c>
      <c r="AM43" s="906">
        <f>AL43/AL32</f>
        <v>0.33333333333333331</v>
      </c>
      <c r="AN43" s="1025">
        <f t="shared" ref="AN43" si="317">_xlfn.IFS(AL43=0,0,AM43&lt;=AL43,AM43/AL43,AM43&gt;AL43,1)</f>
        <v>0.33333333333333331</v>
      </c>
      <c r="AO43" s="929"/>
      <c r="AP43" s="1226">
        <v>1</v>
      </c>
      <c r="AQ43" s="906">
        <f>AP43/AP32</f>
        <v>0.33333333333333331</v>
      </c>
      <c r="AR43" s="1025">
        <f t="shared" ref="AR43" si="318">_xlfn.IFS(AP43=0,0,AQ43&lt;=AP43,AQ43/AP43,AQ43&gt;AP43,1)</f>
        <v>0.33333333333333331</v>
      </c>
      <c r="AS43" s="929"/>
      <c r="AT43" s="1226">
        <v>1</v>
      </c>
      <c r="AU43" s="906">
        <f>AT43/AT32</f>
        <v>0.33333333333333331</v>
      </c>
      <c r="AV43" s="1025">
        <f t="shared" ref="AV43" si="319">_xlfn.IFS(AT43=0,0,AU43&lt;=AT43,AU43/AT43,AU43&gt;AT43,1)</f>
        <v>0.33333333333333331</v>
      </c>
      <c r="AW43" s="929"/>
      <c r="AX43" s="1226">
        <v>1</v>
      </c>
      <c r="AY43" s="906">
        <f>AX43/AX32</f>
        <v>0.33333333333333331</v>
      </c>
      <c r="AZ43" s="1025">
        <f t="shared" ref="AZ43" si="320">_xlfn.IFS(AX43=0,0,AY43&lt;=AX43,AY43/AX43,AY43&gt;AX43,1)</f>
        <v>0.33333333333333331</v>
      </c>
      <c r="BA43" s="929"/>
      <c r="BB43" s="1226">
        <v>1</v>
      </c>
      <c r="BC43" s="906">
        <f>BB43/BB32</f>
        <v>0.33333333333333331</v>
      </c>
      <c r="BD43" s="1025">
        <f t="shared" ref="BD43" si="321">_xlfn.IFS(BB43=0,0,BC43&lt;=BB43,BC43/BB43,BC43&gt;BB43,1)</f>
        <v>0.33333333333333331</v>
      </c>
      <c r="BE43" s="929"/>
      <c r="BF43" s="1226">
        <v>1</v>
      </c>
      <c r="BG43" s="906">
        <f>BF43/BF32</f>
        <v>0.33333333333333331</v>
      </c>
      <c r="BH43" s="1025">
        <f t="shared" ref="BH43" si="322">_xlfn.IFS(BF43=0,0,BG43&lt;=BF43,BG43/BF43,BG43&gt;BF43,1)</f>
        <v>0.33333333333333331</v>
      </c>
      <c r="BI43" s="929"/>
      <c r="BJ43" s="1226">
        <v>1</v>
      </c>
      <c r="BK43" s="906">
        <f>BJ43/BJ32</f>
        <v>0.33333333333333331</v>
      </c>
      <c r="BL43" s="1025">
        <f t="shared" ref="BL43" si="323">_xlfn.IFS(BJ43=0,0,BK43&lt;=BJ43,BK43/BJ43,BK43&gt;BJ43,1)</f>
        <v>0.33333333333333331</v>
      </c>
      <c r="BM43" s="929"/>
      <c r="BN43" s="1226">
        <v>1</v>
      </c>
      <c r="BO43" s="906">
        <f>BN43/BN32</f>
        <v>0.33333333333333331</v>
      </c>
      <c r="BP43" s="1025">
        <f t="shared" ref="BP43" si="324">_xlfn.IFS(BN43=0,0,BO43&lt;=BN43,BO43/BN43,BO43&gt;BN43,1)</f>
        <v>0.33333333333333331</v>
      </c>
      <c r="BQ43" s="929"/>
      <c r="BR43" s="1226">
        <v>1</v>
      </c>
      <c r="BS43" s="906">
        <f>BR43/BR32</f>
        <v>0.33333333333333331</v>
      </c>
      <c r="BT43" s="1025">
        <f t="shared" ref="BT43" si="325">_xlfn.IFS(BR43=0,0,BS43&lt;=BR43,BS43/BR43,BS43&gt;BR43,1)</f>
        <v>0.33333333333333331</v>
      </c>
      <c r="BU43" s="929"/>
      <c r="BV43" s="1226">
        <v>1</v>
      </c>
      <c r="BW43" s="906">
        <f>BV43/BV32</f>
        <v>0.33333333333333331</v>
      </c>
      <c r="BX43" s="1025">
        <f t="shared" ref="BX43" si="326">_xlfn.IFS(BV43=0,0,BW43&lt;=BV43,BW43/BV43,BW43&gt;BV43,1)</f>
        <v>0.33333333333333331</v>
      </c>
      <c r="BY43" s="929"/>
      <c r="BZ43" s="1226">
        <v>1</v>
      </c>
      <c r="CA43" s="906">
        <f>BZ43/BZ32</f>
        <v>0.33333333333333331</v>
      </c>
      <c r="CB43" s="1025">
        <f t="shared" ref="CB43" si="327">_xlfn.IFS(BZ43=0,0,CA43&lt;=BZ43,CA43/BZ43,CA43&gt;BZ43,1)</f>
        <v>0.33333333333333331</v>
      </c>
      <c r="CC43" s="929"/>
      <c r="CD43" s="1226">
        <v>1</v>
      </c>
      <c r="CE43" s="906">
        <f>CD43/CD32</f>
        <v>0.33333333333333331</v>
      </c>
      <c r="CF43" s="1025">
        <f t="shared" ref="CF43" si="328">_xlfn.IFS(CD43=0,0,CE43&lt;=CD43,CE43/CD43,CE43&gt;CD43,1)</f>
        <v>0.33333333333333331</v>
      </c>
      <c r="CG43" s="929"/>
      <c r="CH43" s="1226">
        <v>1</v>
      </c>
      <c r="CI43" s="906">
        <f>CH43/CH32</f>
        <v>0.33333333333333331</v>
      </c>
      <c r="CJ43" s="1025">
        <f t="shared" ref="CJ43" si="329">_xlfn.IFS(CH43=0,0,CI43&lt;=CH43,CI43/CH43,CI43&gt;CH43,1)</f>
        <v>0.33333333333333331</v>
      </c>
      <c r="CK43" s="929"/>
      <c r="CL43" s="1226">
        <v>1</v>
      </c>
      <c r="CM43" s="906">
        <f>CL43/CL32</f>
        <v>0.33333333333333331</v>
      </c>
      <c r="CN43" s="1025">
        <f t="shared" ref="CN43" si="330">_xlfn.IFS(CL43=0,0,CM43&lt;=CL43,CM43/CL43,CM43&gt;CL43,1)</f>
        <v>0.33333333333333331</v>
      </c>
      <c r="CO43" s="929"/>
      <c r="CP43" s="1226">
        <v>1</v>
      </c>
      <c r="CQ43" s="906">
        <f>CP43/CP32</f>
        <v>0.33333333333333331</v>
      </c>
      <c r="CR43" s="1025">
        <f t="shared" ref="CR43" si="331">_xlfn.IFS(CP43=0,0,CQ43&lt;=CP43,CQ43/CP43,CQ43&gt;CP43,1)</f>
        <v>0.33333333333333331</v>
      </c>
      <c r="CS43" s="929"/>
      <c r="CT43" s="1226">
        <v>1</v>
      </c>
      <c r="CU43" s="906">
        <f>CT43/CT32</f>
        <v>0.33333333333333331</v>
      </c>
      <c r="CV43" s="1025">
        <f t="shared" ref="CV43" si="332">_xlfn.IFS(CT43=0,0,CU43&lt;=CT43,CU43/CT43,CU43&gt;CT43,1)</f>
        <v>0.33333333333333331</v>
      </c>
      <c r="CW43" s="929"/>
      <c r="CX43" s="1226">
        <v>1</v>
      </c>
      <c r="CY43" s="906">
        <f>CX43/CX32</f>
        <v>0.33333333333333331</v>
      </c>
      <c r="CZ43" s="1025">
        <f t="shared" ref="CZ43" si="333">_xlfn.IFS(CX43=0,0,CY43&lt;=CX43,CY43/CX43,CY43&gt;CX43,1)</f>
        <v>0.33333333333333331</v>
      </c>
      <c r="DA43" s="929"/>
      <c r="DB43" s="1226">
        <v>1</v>
      </c>
      <c r="DC43" s="906">
        <f>DB43/DB32</f>
        <v>0.33333333333333331</v>
      </c>
      <c r="DD43" s="1025">
        <f t="shared" ref="DD43" si="334">_xlfn.IFS(DB43=0,0,DC43&lt;=DB43,DC43/DB43,DC43&gt;DB43,1)</f>
        <v>0.33333333333333331</v>
      </c>
      <c r="DE43" s="929"/>
      <c r="DF43" s="1226">
        <v>1</v>
      </c>
      <c r="DG43" s="906">
        <f>DF43/DF32</f>
        <v>0.33333333333333331</v>
      </c>
      <c r="DH43" s="1025">
        <f t="shared" ref="DH43" si="335">_xlfn.IFS(DF43=0,0,DG43&lt;=DF43,DG43/DF43,DG43&gt;DF43,1)</f>
        <v>0.33333333333333331</v>
      </c>
      <c r="DI43" s="929"/>
      <c r="DJ43" s="1226">
        <v>1</v>
      </c>
      <c r="DK43" s="906">
        <f>DJ43/DJ32</f>
        <v>0.33333333333333331</v>
      </c>
      <c r="DL43" s="1025">
        <f t="shared" ref="DL43" si="336">_xlfn.IFS(DJ43=0,0,DK43&lt;=DJ43,DK43/DJ43,DK43&gt;DJ43,1)</f>
        <v>0.33333333333333331</v>
      </c>
      <c r="DM43" s="929"/>
      <c r="DN43" s="1226">
        <v>1</v>
      </c>
      <c r="DO43" s="906">
        <f>DN43/DN32</f>
        <v>0.33333333333333331</v>
      </c>
      <c r="DP43" s="1025">
        <f t="shared" ref="DP43" si="337">_xlfn.IFS(DN43=0,0,DO43&lt;=DN43,DO43/DN43,DO43&gt;DN43,1)</f>
        <v>0.33333333333333331</v>
      </c>
      <c r="DQ43" s="929"/>
      <c r="DR43" s="1226">
        <v>1</v>
      </c>
      <c r="DS43" s="906">
        <f>DR43/DR32</f>
        <v>0.33333333333333331</v>
      </c>
      <c r="DT43" s="1025">
        <f t="shared" ref="DT43" si="338">_xlfn.IFS(DR43=0,0,DS43&lt;=DR43,DS43/DR43,DS43&gt;DR43,1)</f>
        <v>0.33333333333333331</v>
      </c>
      <c r="DU43" s="929"/>
      <c r="DV43" s="1226">
        <v>1</v>
      </c>
      <c r="DW43" s="906">
        <f>DV43/DV32</f>
        <v>0.33333333333333331</v>
      </c>
      <c r="DX43" s="1025">
        <f t="shared" ref="DX43" si="339">_xlfn.IFS(DV43=0,0,DW43&lt;=DV43,DW43/DV43,DW43&gt;DV43,1)</f>
        <v>0.33333333333333331</v>
      </c>
      <c r="DY43" s="929"/>
      <c r="DZ43" s="1226">
        <v>1</v>
      </c>
      <c r="EA43" s="906">
        <f>DZ43/DZ32</f>
        <v>0.33333333333333331</v>
      </c>
      <c r="EB43" s="1025">
        <f t="shared" ref="EB43" si="340">_xlfn.IFS(DZ43=0,0,EA43&lt;=DZ43,EA43/DZ43,EA43&gt;DZ43,1)</f>
        <v>0.33333333333333331</v>
      </c>
      <c r="EC43" s="929"/>
      <c r="ED43" s="1226">
        <v>1</v>
      </c>
      <c r="EE43" s="906">
        <f>ED43/ED32</f>
        <v>0.33333333333333331</v>
      </c>
      <c r="EF43" s="1025">
        <f t="shared" ref="EF43" si="341">_xlfn.IFS(ED43=0,0,EE43&lt;=ED43,EE43/ED43,EE43&gt;ED43,1)</f>
        <v>0.33333333333333331</v>
      </c>
    </row>
    <row r="44" spans="1:136" ht="20" customHeight="1" x14ac:dyDescent="0.15">
      <c r="A44" s="189">
        <f>_xlfn.IFS(B44=0,0,E44&gt;B44,1,E44&lt;=B44,E44/B44)</f>
        <v>0</v>
      </c>
      <c r="B44" s="948"/>
      <c r="C44" s="391" t="str">
        <f>Dashboard!K113</f>
        <v>TIKTOKSHOP</v>
      </c>
      <c r="D44" s="208">
        <f>Dashboard!AK113</f>
        <v>2.0000000000000004E-2</v>
      </c>
      <c r="E44" s="1088">
        <f t="shared" si="308"/>
        <v>1</v>
      </c>
      <c r="F44" s="208">
        <f t="shared" si="309"/>
        <v>-0.98</v>
      </c>
      <c r="G44" s="208">
        <f t="shared" si="310"/>
        <v>2.0000000000000004E-2</v>
      </c>
      <c r="H44" s="935"/>
      <c r="I44" s="935"/>
      <c r="J44" s="935"/>
      <c r="K44" s="837">
        <f t="shared" si="306"/>
        <v>2.0000000000000004E-2</v>
      </c>
      <c r="L44" s="883">
        <f t="shared" ref="L44:L46" ca="1" si="342">SUMIFS($M44:$EF44,$M$11:$EF$11,TODAY()-1,$M$13:$EF$13,P$13)</f>
        <v>0</v>
      </c>
      <c r="M44" s="937"/>
      <c r="N44" s="1042">
        <v>1</v>
      </c>
      <c r="O44" s="906">
        <f>N44/N35</f>
        <v>1</v>
      </c>
      <c r="P44" s="1227">
        <f>_xlfn.IFS(N44=0,0,O44&lt;=N44,O44/N44,O44&gt;N44,1)</f>
        <v>1</v>
      </c>
      <c r="Q44" s="937"/>
      <c r="R44" s="1042">
        <v>1</v>
      </c>
      <c r="S44" s="906">
        <f>R44/R35</f>
        <v>1</v>
      </c>
      <c r="T44" s="1025">
        <f>_xlfn.IFS(R44=0,0,S44&lt;=R44,S44/R44,S44&gt;R44,1)</f>
        <v>1</v>
      </c>
      <c r="U44" s="937"/>
      <c r="V44" s="1042">
        <v>1</v>
      </c>
      <c r="W44" s="906">
        <f>V44/V35</f>
        <v>1</v>
      </c>
      <c r="X44" s="1025">
        <f>_xlfn.IFS(V44=0,0,W44&lt;=V44,W44/V44,W44&gt;V44,1)</f>
        <v>1</v>
      </c>
      <c r="Y44" s="937"/>
      <c r="Z44" s="1042">
        <v>1</v>
      </c>
      <c r="AA44" s="906">
        <f>Z44/Z35</f>
        <v>1</v>
      </c>
      <c r="AB44" s="1025">
        <f>_xlfn.IFS(Z44=0,0,AA44&lt;=Z44,AA44/Z44,AA44&gt;Z44,1)</f>
        <v>1</v>
      </c>
      <c r="AC44" s="937"/>
      <c r="AD44" s="1042">
        <v>1</v>
      </c>
      <c r="AE44" s="906">
        <f>AD44/AD35</f>
        <v>1</v>
      </c>
      <c r="AF44" s="1025">
        <f>_xlfn.IFS(AD44=0,0,AE44&lt;=AD44,AE44/AD44,AE44&gt;AD44,1)</f>
        <v>1</v>
      </c>
      <c r="AG44" s="937"/>
      <c r="AH44" s="1042">
        <v>1</v>
      </c>
      <c r="AI44" s="906">
        <f>AH44/AH35</f>
        <v>1</v>
      </c>
      <c r="AJ44" s="1025">
        <f>_xlfn.IFS(AH44=0,0,AI44&lt;=AH44,AI44/AH44,AI44&gt;AH44,1)</f>
        <v>1</v>
      </c>
      <c r="AK44" s="937"/>
      <c r="AL44" s="1042">
        <v>1</v>
      </c>
      <c r="AM44" s="906">
        <f>AL44/AL35</f>
        <v>1</v>
      </c>
      <c r="AN44" s="1025">
        <f>_xlfn.IFS(AL44=0,0,AM44&lt;=AL44,AM44/AL44,AM44&gt;AL44,1)</f>
        <v>1</v>
      </c>
      <c r="AO44" s="937"/>
      <c r="AP44" s="1042">
        <v>1</v>
      </c>
      <c r="AQ44" s="906">
        <f>AP44/AP35</f>
        <v>1</v>
      </c>
      <c r="AR44" s="1025">
        <f>_xlfn.IFS(AP44=0,0,AQ44&lt;=AP44,AQ44/AP44,AQ44&gt;AP44,1)</f>
        <v>1</v>
      </c>
      <c r="AS44" s="937"/>
      <c r="AT44" s="1042">
        <v>1</v>
      </c>
      <c r="AU44" s="906">
        <f>AT44/AT35</f>
        <v>1</v>
      </c>
      <c r="AV44" s="1025">
        <f>_xlfn.IFS(AT44=0,0,AU44&lt;=AT44,AU44/AT44,AU44&gt;AT44,1)</f>
        <v>1</v>
      </c>
      <c r="AW44" s="937"/>
      <c r="AX44" s="1042">
        <v>1</v>
      </c>
      <c r="AY44" s="906">
        <f>AX44/AX35</f>
        <v>1</v>
      </c>
      <c r="AZ44" s="1025">
        <f>_xlfn.IFS(AX44=0,0,AY44&lt;=AX44,AY44/AX44,AY44&gt;AX44,1)</f>
        <v>1</v>
      </c>
      <c r="BA44" s="937"/>
      <c r="BB44" s="1042">
        <v>1</v>
      </c>
      <c r="BC44" s="906">
        <f>BB44/BB35</f>
        <v>1</v>
      </c>
      <c r="BD44" s="1025">
        <f>_xlfn.IFS(BB44=0,0,BC44&lt;=BB44,BC44/BB44,BC44&gt;BB44,1)</f>
        <v>1</v>
      </c>
      <c r="BE44" s="937"/>
      <c r="BF44" s="1042">
        <v>1</v>
      </c>
      <c r="BG44" s="906">
        <f>BF44/BF35</f>
        <v>1</v>
      </c>
      <c r="BH44" s="1025">
        <f>_xlfn.IFS(BF44=0,0,BG44&lt;=BF44,BG44/BF44,BG44&gt;BF44,1)</f>
        <v>1</v>
      </c>
      <c r="BI44" s="937"/>
      <c r="BJ44" s="1042">
        <v>0</v>
      </c>
      <c r="BK44" s="906">
        <f>BJ44/BJ35</f>
        <v>0</v>
      </c>
      <c r="BL44" s="1025">
        <f>_xlfn.IFS(BJ44=0,0,BK44&lt;=BJ44,BK44/BJ44,BK44&gt;BJ44,1)</f>
        <v>0</v>
      </c>
      <c r="BM44" s="937"/>
      <c r="BN44" s="1042">
        <v>0</v>
      </c>
      <c r="BO44" s="906">
        <f>BN44/BN35</f>
        <v>0</v>
      </c>
      <c r="BP44" s="1025">
        <f>_xlfn.IFS(BN44=0,0,BO44&lt;=BN44,BO44/BN44,BO44&gt;BN44,1)</f>
        <v>0</v>
      </c>
      <c r="BQ44" s="937"/>
      <c r="BR44" s="1042">
        <v>0</v>
      </c>
      <c r="BS44" s="906">
        <f>BR44/BR35</f>
        <v>0</v>
      </c>
      <c r="BT44" s="1025">
        <f>_xlfn.IFS(BR44=0,0,BS44&lt;=BR44,BS44/BR44,BS44&gt;BR44,1)</f>
        <v>0</v>
      </c>
      <c r="BU44" s="937"/>
      <c r="BV44" s="1042">
        <v>0</v>
      </c>
      <c r="BW44" s="906">
        <f>BV44/BV35</f>
        <v>0</v>
      </c>
      <c r="BX44" s="1025">
        <f>_xlfn.IFS(BV44=0,0,BW44&lt;=BV44,BW44/BV44,BW44&gt;BV44,1)</f>
        <v>0</v>
      </c>
      <c r="BY44" s="937"/>
      <c r="BZ44" s="1042">
        <v>0</v>
      </c>
      <c r="CA44" s="906">
        <f>BZ44/BZ35</f>
        <v>0</v>
      </c>
      <c r="CB44" s="1025">
        <f>_xlfn.IFS(BZ44=0,0,CA44&lt;=BZ44,CA44/BZ44,CA44&gt;BZ44,1)</f>
        <v>0</v>
      </c>
      <c r="CC44" s="937"/>
      <c r="CD44" s="1042">
        <v>0</v>
      </c>
      <c r="CE44" s="906">
        <f>CD44/CD35</f>
        <v>0</v>
      </c>
      <c r="CF44" s="1025">
        <f>_xlfn.IFS(CD44=0,0,CE44&lt;=CD44,CE44/CD44,CE44&gt;CD44,1)</f>
        <v>0</v>
      </c>
      <c r="CG44" s="937"/>
      <c r="CH44" s="1042">
        <v>0</v>
      </c>
      <c r="CI44" s="906">
        <f>CH44/CH35</f>
        <v>0</v>
      </c>
      <c r="CJ44" s="1025">
        <f>_xlfn.IFS(CH44=0,0,CI44&lt;=CH44,CI44/CH44,CI44&gt;CH44,1)</f>
        <v>0</v>
      </c>
      <c r="CK44" s="937"/>
      <c r="CL44" s="1042">
        <v>0</v>
      </c>
      <c r="CM44" s="906">
        <f>CL44/CL35</f>
        <v>0</v>
      </c>
      <c r="CN44" s="1025">
        <f>_xlfn.IFS(CL44=0,0,CM44&lt;=CL44,CM44/CL44,CM44&gt;CL44,1)</f>
        <v>0</v>
      </c>
      <c r="CO44" s="937"/>
      <c r="CP44" s="1042">
        <v>0</v>
      </c>
      <c r="CQ44" s="906">
        <f>CP44/CP35</f>
        <v>0</v>
      </c>
      <c r="CR44" s="1025">
        <f>_xlfn.IFS(CP44=0,0,CQ44&lt;=CP44,CQ44/CP44,CQ44&gt;CP44,1)</f>
        <v>0</v>
      </c>
      <c r="CS44" s="937"/>
      <c r="CT44" s="1042">
        <v>0</v>
      </c>
      <c r="CU44" s="906">
        <f>CT44/CT35</f>
        <v>0</v>
      </c>
      <c r="CV44" s="1025">
        <f>_xlfn.IFS(CT44=0,0,CU44&lt;=CT44,CU44/CT44,CU44&gt;CT44,1)</f>
        <v>0</v>
      </c>
      <c r="CW44" s="937"/>
      <c r="CX44" s="1042">
        <v>0</v>
      </c>
      <c r="CY44" s="906">
        <f>CX44/CX35</f>
        <v>0</v>
      </c>
      <c r="CZ44" s="1025">
        <f>_xlfn.IFS(CX44=0,0,CY44&lt;=CX44,CY44/CX44,CY44&gt;CX44,1)</f>
        <v>0</v>
      </c>
      <c r="DA44" s="937"/>
      <c r="DB44" s="1042">
        <v>0</v>
      </c>
      <c r="DC44" s="906">
        <f>DB44/DB35</f>
        <v>0</v>
      </c>
      <c r="DD44" s="1025">
        <f>_xlfn.IFS(DB44=0,0,DC44&lt;=DB44,DC44/DB44,DC44&gt;DB44,1)</f>
        <v>0</v>
      </c>
      <c r="DE44" s="937"/>
      <c r="DF44" s="1042">
        <v>0</v>
      </c>
      <c r="DG44" s="906">
        <f>DF44/DF35</f>
        <v>0</v>
      </c>
      <c r="DH44" s="1025">
        <f>_xlfn.IFS(DF44=0,0,DG44&lt;=DF44,DG44/DF44,DG44&gt;DF44,1)</f>
        <v>0</v>
      </c>
      <c r="DI44" s="937"/>
      <c r="DJ44" s="1042">
        <v>0</v>
      </c>
      <c r="DK44" s="906">
        <f>DJ44/DJ35</f>
        <v>0</v>
      </c>
      <c r="DL44" s="1025">
        <f>_xlfn.IFS(DJ44=0,0,DK44&lt;=DJ44,DK44/DJ44,DK44&gt;DJ44,1)</f>
        <v>0</v>
      </c>
      <c r="DM44" s="937"/>
      <c r="DN44" s="1042">
        <v>0</v>
      </c>
      <c r="DO44" s="906">
        <f>DN44/DN35</f>
        <v>0</v>
      </c>
      <c r="DP44" s="1025">
        <f>_xlfn.IFS(DN44=0,0,DO44&lt;=DN44,DO44/DN44,DO44&gt;DN44,1)</f>
        <v>0</v>
      </c>
      <c r="DQ44" s="937"/>
      <c r="DR44" s="1042">
        <v>0</v>
      </c>
      <c r="DS44" s="906">
        <f>DR44/DR35</f>
        <v>0</v>
      </c>
      <c r="DT44" s="1025">
        <f>_xlfn.IFS(DR44=0,0,DS44&lt;=DR44,DS44/DR44,DS44&gt;DR44,1)</f>
        <v>0</v>
      </c>
      <c r="DU44" s="937"/>
      <c r="DV44" s="1042">
        <v>0</v>
      </c>
      <c r="DW44" s="906">
        <f>DV44/DV35</f>
        <v>0</v>
      </c>
      <c r="DX44" s="1025">
        <f>_xlfn.IFS(DV44=0,0,DW44&lt;=DV44,DW44/DV44,DW44&gt;DV44,1)</f>
        <v>0</v>
      </c>
      <c r="DY44" s="937"/>
      <c r="DZ44" s="1042">
        <v>0</v>
      </c>
      <c r="EA44" s="906">
        <f>DZ44/DZ35</f>
        <v>0</v>
      </c>
      <c r="EB44" s="1025">
        <f>_xlfn.IFS(DZ44=0,0,EA44&lt;=DZ44,EA44/DZ44,EA44&gt;DZ44,1)</f>
        <v>0</v>
      </c>
      <c r="EC44" s="937"/>
      <c r="ED44" s="1042">
        <v>0</v>
      </c>
      <c r="EE44" s="906">
        <f>ED44/ED35</f>
        <v>0</v>
      </c>
      <c r="EF44" s="1025">
        <f>_xlfn.IFS(ED44=0,0,EE44&lt;=ED44,EE44/ED44,EE44&gt;ED44,1)</f>
        <v>0</v>
      </c>
    </row>
    <row r="45" spans="1:136" ht="20" customHeight="1" x14ac:dyDescent="0.15">
      <c r="A45" s="189">
        <f>_xlfn.IFS(B45=0,0,E45&gt;B45,1,E45&lt;=B45,E45/B45)</f>
        <v>0</v>
      </c>
      <c r="B45" s="948"/>
      <c r="C45" s="391" t="str">
        <f>Dashboard!K114</f>
        <v>SHOPPEE</v>
      </c>
      <c r="D45" s="208">
        <f>Dashboard!AK114</f>
        <v>2.0000000000000004E-2</v>
      </c>
      <c r="E45" s="1088">
        <f t="shared" si="308"/>
        <v>0.33333333333333331</v>
      </c>
      <c r="F45" s="208">
        <f t="shared" si="309"/>
        <v>-0.3133333333333333</v>
      </c>
      <c r="G45" s="208">
        <f t="shared" si="310"/>
        <v>6.0000000000000012E-2</v>
      </c>
      <c r="H45" s="935"/>
      <c r="I45" s="935"/>
      <c r="J45" s="935"/>
      <c r="K45" s="837">
        <f t="shared" si="306"/>
        <v>2.0000000000000004E-2</v>
      </c>
      <c r="L45" s="883">
        <f t="shared" ca="1" si="342"/>
        <v>0</v>
      </c>
      <c r="M45" s="937"/>
      <c r="N45" s="1042">
        <v>1</v>
      </c>
      <c r="O45" s="906">
        <f>N45/N36</f>
        <v>0.33333333333333331</v>
      </c>
      <c r="P45" s="1227">
        <f>_xlfn.IFS(N45=0,0,O45&lt;=N45,O45/N45,O45&gt;N45,1)</f>
        <v>0.33333333333333331</v>
      </c>
      <c r="Q45" s="937"/>
      <c r="R45" s="1042">
        <v>1</v>
      </c>
      <c r="S45" s="906">
        <f>R45/R36</f>
        <v>0.33333333333333331</v>
      </c>
      <c r="T45" s="1025">
        <f>_xlfn.IFS(R45=0,0,S45&lt;=R45,S45/R45,S45&gt;R45,1)</f>
        <v>0.33333333333333331</v>
      </c>
      <c r="U45" s="937"/>
      <c r="V45" s="1042">
        <v>1</v>
      </c>
      <c r="W45" s="906">
        <f>V45/V36</f>
        <v>0.33333333333333331</v>
      </c>
      <c r="X45" s="1025">
        <f>_xlfn.IFS(V45=0,0,W45&lt;=V45,W45/V45,W45&gt;V45,1)</f>
        <v>0.33333333333333331</v>
      </c>
      <c r="Y45" s="937"/>
      <c r="Z45" s="1042">
        <v>1</v>
      </c>
      <c r="AA45" s="906">
        <f>Z45/Z36</f>
        <v>0.33333333333333331</v>
      </c>
      <c r="AB45" s="1025">
        <f>_xlfn.IFS(Z45=0,0,AA45&lt;=Z45,AA45/Z45,AA45&gt;Z45,1)</f>
        <v>0.33333333333333331</v>
      </c>
      <c r="AC45" s="937"/>
      <c r="AD45" s="1042">
        <v>1</v>
      </c>
      <c r="AE45" s="906">
        <f>AD45/AD36</f>
        <v>0.33333333333333331</v>
      </c>
      <c r="AF45" s="1025">
        <f>_xlfn.IFS(AD45=0,0,AE45&lt;=AD45,AE45/AD45,AE45&gt;AD45,1)</f>
        <v>0.33333333333333331</v>
      </c>
      <c r="AG45" s="937"/>
      <c r="AH45" s="1042">
        <v>1</v>
      </c>
      <c r="AI45" s="906">
        <f>AH45/AH36</f>
        <v>0.33333333333333331</v>
      </c>
      <c r="AJ45" s="1025">
        <f>_xlfn.IFS(AH45=0,0,AI45&lt;=AH45,AI45/AH45,AI45&gt;AH45,1)</f>
        <v>0.33333333333333331</v>
      </c>
      <c r="AK45" s="937"/>
      <c r="AL45" s="1042">
        <v>1</v>
      </c>
      <c r="AM45" s="906">
        <f>AL45/AL36</f>
        <v>0.33333333333333331</v>
      </c>
      <c r="AN45" s="1025">
        <f>_xlfn.IFS(AL45=0,0,AM45&lt;=AL45,AM45/AL45,AM45&gt;AL45,1)</f>
        <v>0.33333333333333331</v>
      </c>
      <c r="AO45" s="937"/>
      <c r="AP45" s="1042">
        <v>1</v>
      </c>
      <c r="AQ45" s="906">
        <f>AP45/AP36</f>
        <v>0.33333333333333331</v>
      </c>
      <c r="AR45" s="1025">
        <f>_xlfn.IFS(AP45=0,0,AQ45&lt;=AP45,AQ45/AP45,AQ45&gt;AP45,1)</f>
        <v>0.33333333333333331</v>
      </c>
      <c r="AS45" s="937"/>
      <c r="AT45" s="1042">
        <v>1</v>
      </c>
      <c r="AU45" s="906">
        <f>AT45/AT36</f>
        <v>0.33333333333333331</v>
      </c>
      <c r="AV45" s="1025">
        <f>_xlfn.IFS(AT45=0,0,AU45&lt;=AT45,AU45/AT45,AU45&gt;AT45,1)</f>
        <v>0.33333333333333331</v>
      </c>
      <c r="AW45" s="937"/>
      <c r="AX45" s="1042">
        <v>1</v>
      </c>
      <c r="AY45" s="906">
        <f>AX45/AX36</f>
        <v>0.33333333333333331</v>
      </c>
      <c r="AZ45" s="1025">
        <f>_xlfn.IFS(AX45=0,0,AY45&lt;=AX45,AY45/AX45,AY45&gt;AX45,1)</f>
        <v>0.33333333333333331</v>
      </c>
      <c r="BA45" s="937"/>
      <c r="BB45" s="1042">
        <v>1</v>
      </c>
      <c r="BC45" s="906">
        <f>BB45/BB36</f>
        <v>0.33333333333333331</v>
      </c>
      <c r="BD45" s="1025">
        <f>_xlfn.IFS(BB45=0,0,BC45&lt;=BB45,BC45/BB45,BC45&gt;BB45,1)</f>
        <v>0.33333333333333331</v>
      </c>
      <c r="BE45" s="937"/>
      <c r="BF45" s="1042">
        <v>1</v>
      </c>
      <c r="BG45" s="906">
        <f>BF45/BF36</f>
        <v>0.33333333333333331</v>
      </c>
      <c r="BH45" s="1025">
        <f>_xlfn.IFS(BF45=0,0,BG45&lt;=BF45,BG45/BF45,BG45&gt;BF45,1)</f>
        <v>0.33333333333333331</v>
      </c>
      <c r="BI45" s="937"/>
      <c r="BJ45" s="1042">
        <v>0</v>
      </c>
      <c r="BK45" s="906">
        <f>BJ45/BJ36</f>
        <v>0</v>
      </c>
      <c r="BL45" s="1025">
        <f>_xlfn.IFS(BJ45=0,0,BK45&lt;=BJ45,BK45/BJ45,BK45&gt;BJ45,1)</f>
        <v>0</v>
      </c>
      <c r="BM45" s="937"/>
      <c r="BN45" s="1042">
        <v>0</v>
      </c>
      <c r="BO45" s="906">
        <f>BN45/BN36</f>
        <v>0</v>
      </c>
      <c r="BP45" s="1025">
        <f>_xlfn.IFS(BN45=0,0,BO45&lt;=BN45,BO45/BN45,BO45&gt;BN45,1)</f>
        <v>0</v>
      </c>
      <c r="BQ45" s="937"/>
      <c r="BR45" s="1042">
        <v>0</v>
      </c>
      <c r="BS45" s="906">
        <f>BR45/BR36</f>
        <v>0</v>
      </c>
      <c r="BT45" s="1025">
        <f>_xlfn.IFS(BR45=0,0,BS45&lt;=BR45,BS45/BR45,BS45&gt;BR45,1)</f>
        <v>0</v>
      </c>
      <c r="BU45" s="937"/>
      <c r="BV45" s="1042">
        <v>0</v>
      </c>
      <c r="BW45" s="906">
        <f>BV45/BV36</f>
        <v>0</v>
      </c>
      <c r="BX45" s="1025">
        <f>_xlfn.IFS(BV45=0,0,BW45&lt;=BV45,BW45/BV45,BW45&gt;BV45,1)</f>
        <v>0</v>
      </c>
      <c r="BY45" s="937"/>
      <c r="BZ45" s="1042">
        <v>0</v>
      </c>
      <c r="CA45" s="906">
        <f>BZ45/BZ36</f>
        <v>0</v>
      </c>
      <c r="CB45" s="1025">
        <f>_xlfn.IFS(BZ45=0,0,CA45&lt;=BZ45,CA45/BZ45,CA45&gt;BZ45,1)</f>
        <v>0</v>
      </c>
      <c r="CC45" s="937"/>
      <c r="CD45" s="1042">
        <v>0</v>
      </c>
      <c r="CE45" s="906">
        <f>CD45/CD36</f>
        <v>0</v>
      </c>
      <c r="CF45" s="1025">
        <f>_xlfn.IFS(CD45=0,0,CE45&lt;=CD45,CE45/CD45,CE45&gt;CD45,1)</f>
        <v>0</v>
      </c>
      <c r="CG45" s="937"/>
      <c r="CH45" s="1042">
        <v>0</v>
      </c>
      <c r="CI45" s="906">
        <f>CH45/CH36</f>
        <v>0</v>
      </c>
      <c r="CJ45" s="1025">
        <f>_xlfn.IFS(CH45=0,0,CI45&lt;=CH45,CI45/CH45,CI45&gt;CH45,1)</f>
        <v>0</v>
      </c>
      <c r="CK45" s="937"/>
      <c r="CL45" s="1042">
        <v>0</v>
      </c>
      <c r="CM45" s="906">
        <f>CL45/CL36</f>
        <v>0</v>
      </c>
      <c r="CN45" s="1025">
        <f>_xlfn.IFS(CL45=0,0,CM45&lt;=CL45,CM45/CL45,CM45&gt;CL45,1)</f>
        <v>0</v>
      </c>
      <c r="CO45" s="937"/>
      <c r="CP45" s="1042">
        <v>0</v>
      </c>
      <c r="CQ45" s="906">
        <f>CP45/CP36</f>
        <v>0</v>
      </c>
      <c r="CR45" s="1025">
        <f>_xlfn.IFS(CP45=0,0,CQ45&lt;=CP45,CQ45/CP45,CQ45&gt;CP45,1)</f>
        <v>0</v>
      </c>
      <c r="CS45" s="937"/>
      <c r="CT45" s="1042">
        <v>0</v>
      </c>
      <c r="CU45" s="906">
        <f>CT45/CT36</f>
        <v>0</v>
      </c>
      <c r="CV45" s="1025">
        <f>_xlfn.IFS(CT45=0,0,CU45&lt;=CT45,CU45/CT45,CU45&gt;CT45,1)</f>
        <v>0</v>
      </c>
      <c r="CW45" s="937"/>
      <c r="CX45" s="1042">
        <v>0</v>
      </c>
      <c r="CY45" s="906">
        <f>CX45/CX36</f>
        <v>0</v>
      </c>
      <c r="CZ45" s="1025">
        <f>_xlfn.IFS(CX45=0,0,CY45&lt;=CX45,CY45/CX45,CY45&gt;CX45,1)</f>
        <v>0</v>
      </c>
      <c r="DA45" s="937"/>
      <c r="DB45" s="1042">
        <v>0</v>
      </c>
      <c r="DC45" s="906">
        <f>DB45/DB36</f>
        <v>0</v>
      </c>
      <c r="DD45" s="1025">
        <f>_xlfn.IFS(DB45=0,0,DC45&lt;=DB45,DC45/DB45,DC45&gt;DB45,1)</f>
        <v>0</v>
      </c>
      <c r="DE45" s="937"/>
      <c r="DF45" s="1042">
        <v>0</v>
      </c>
      <c r="DG45" s="906">
        <f>DF45/DF36</f>
        <v>0</v>
      </c>
      <c r="DH45" s="1025">
        <f>_xlfn.IFS(DF45=0,0,DG45&lt;=DF45,DG45/DF45,DG45&gt;DF45,1)</f>
        <v>0</v>
      </c>
      <c r="DI45" s="937"/>
      <c r="DJ45" s="1042">
        <v>0</v>
      </c>
      <c r="DK45" s="906">
        <f>DJ45/DJ36</f>
        <v>0</v>
      </c>
      <c r="DL45" s="1025">
        <f>_xlfn.IFS(DJ45=0,0,DK45&lt;=DJ45,DK45/DJ45,DK45&gt;DJ45,1)</f>
        <v>0</v>
      </c>
      <c r="DM45" s="937"/>
      <c r="DN45" s="1042">
        <v>0</v>
      </c>
      <c r="DO45" s="906">
        <f>DN45/DN36</f>
        <v>0</v>
      </c>
      <c r="DP45" s="1025">
        <f>_xlfn.IFS(DN45=0,0,DO45&lt;=DN45,DO45/DN45,DO45&gt;DN45,1)</f>
        <v>0</v>
      </c>
      <c r="DQ45" s="937"/>
      <c r="DR45" s="1042">
        <v>0</v>
      </c>
      <c r="DS45" s="906">
        <f>DR45/DR36</f>
        <v>0</v>
      </c>
      <c r="DT45" s="1025">
        <f>_xlfn.IFS(DR45=0,0,DS45&lt;=DR45,DS45/DR45,DS45&gt;DR45,1)</f>
        <v>0</v>
      </c>
      <c r="DU45" s="937"/>
      <c r="DV45" s="1042">
        <v>0</v>
      </c>
      <c r="DW45" s="906">
        <f>DV45/DV36</f>
        <v>0</v>
      </c>
      <c r="DX45" s="1025">
        <f>_xlfn.IFS(DV45=0,0,DW45&lt;=DV45,DW45/DV45,DW45&gt;DV45,1)</f>
        <v>0</v>
      </c>
      <c r="DY45" s="937"/>
      <c r="DZ45" s="1042">
        <v>0</v>
      </c>
      <c r="EA45" s="906">
        <f>DZ45/DZ36</f>
        <v>0</v>
      </c>
      <c r="EB45" s="1025">
        <f>_xlfn.IFS(DZ45=0,0,EA45&lt;=DZ45,EA45/DZ45,EA45&gt;DZ45,1)</f>
        <v>0</v>
      </c>
      <c r="EC45" s="937"/>
      <c r="ED45" s="1042">
        <v>0</v>
      </c>
      <c r="EE45" s="906">
        <f>ED45/ED36</f>
        <v>0</v>
      </c>
      <c r="EF45" s="1025">
        <f>_xlfn.IFS(ED45=0,0,EE45&lt;=ED45,EE45/ED45,EE45&gt;ED45,1)</f>
        <v>0</v>
      </c>
    </row>
    <row r="46" spans="1:136" ht="20" customHeight="1" x14ac:dyDescent="0.15">
      <c r="A46" s="189">
        <f>_xlfn.IFS(B46=0,0,E46&gt;B46,1,E46&lt;=B46,E46/B46)</f>
        <v>0</v>
      </c>
      <c r="B46" s="948"/>
      <c r="C46" s="391" t="str">
        <f>Dashboard!K115</f>
        <v>ZALO</v>
      </c>
      <c r="D46" s="208">
        <f>Dashboard!AK115</f>
        <v>2.0000000000000004E-2</v>
      </c>
      <c r="E46" s="1088">
        <f>IF(SUMIF($M$13:$EF$13,$N$13,M46:EF46)&gt;0,SUMIF($M$13:$EF$13,$O$13,M46:EF46)/SUMIF($M$13:$EF$13,$N$13,M46:EF46),0)</f>
        <v>1</v>
      </c>
      <c r="F46" s="208">
        <f>D46-E46</f>
        <v>-0.98</v>
      </c>
      <c r="G46" s="208">
        <f t="shared" si="310"/>
        <v>2.0000000000000004E-2</v>
      </c>
      <c r="H46" s="935"/>
      <c r="I46" s="935"/>
      <c r="J46" s="935"/>
      <c r="K46" s="837">
        <f t="shared" si="306"/>
        <v>2.0000000000000004E-2</v>
      </c>
      <c r="L46" s="883">
        <f t="shared" ca="1" si="342"/>
        <v>0</v>
      </c>
      <c r="M46" s="937"/>
      <c r="N46" s="1042">
        <v>1</v>
      </c>
      <c r="O46" s="906">
        <f>N46/N39</f>
        <v>1</v>
      </c>
      <c r="P46" s="1227">
        <f>_xlfn.IFS(N46=0,0,O46&lt;=N46,O46/N46,O46&gt;N46,1)</f>
        <v>1</v>
      </c>
      <c r="Q46" s="937"/>
      <c r="R46" s="1042">
        <v>0</v>
      </c>
      <c r="S46" s="906">
        <f>R46/R39</f>
        <v>0</v>
      </c>
      <c r="T46" s="1025">
        <f>_xlfn.IFS(R46=0,0,S46&lt;=R46,S46/R46,S46&gt;R46,1)</f>
        <v>0</v>
      </c>
      <c r="U46" s="937"/>
      <c r="V46" s="1042">
        <v>0</v>
      </c>
      <c r="W46" s="906">
        <f>V46/V39</f>
        <v>0</v>
      </c>
      <c r="X46" s="1025">
        <f>_xlfn.IFS(V46=0,0,W46&lt;=V46,W46/V46,W46&gt;V46,1)</f>
        <v>0</v>
      </c>
      <c r="Y46" s="937"/>
      <c r="Z46" s="1042">
        <v>0</v>
      </c>
      <c r="AA46" s="906">
        <f>Z46/Z39</f>
        <v>0</v>
      </c>
      <c r="AB46" s="1025">
        <f>_xlfn.IFS(Z46=0,0,AA46&lt;=Z46,AA46/Z46,AA46&gt;Z46,1)</f>
        <v>0</v>
      </c>
      <c r="AC46" s="937"/>
      <c r="AD46" s="1042">
        <v>0</v>
      </c>
      <c r="AE46" s="906">
        <f>AD46/AD39</f>
        <v>0</v>
      </c>
      <c r="AF46" s="1025">
        <f>_xlfn.IFS(AD46=0,0,AE46&lt;=AD46,AE46/AD46,AE46&gt;AD46,1)</f>
        <v>0</v>
      </c>
      <c r="AG46" s="937"/>
      <c r="AH46" s="1042">
        <v>0</v>
      </c>
      <c r="AI46" s="906">
        <f>AH46/AH39</f>
        <v>0</v>
      </c>
      <c r="AJ46" s="1025">
        <f>_xlfn.IFS(AH46=0,0,AI46&lt;=AH46,AI46/AH46,AI46&gt;AH46,1)</f>
        <v>0</v>
      </c>
      <c r="AK46" s="937"/>
      <c r="AL46" s="1042">
        <v>0</v>
      </c>
      <c r="AM46" s="906">
        <f>AL46/AL39</f>
        <v>0</v>
      </c>
      <c r="AN46" s="1025">
        <f>_xlfn.IFS(AL46=0,0,AM46&lt;=AL46,AM46/AL46,AM46&gt;AL46,1)</f>
        <v>0</v>
      </c>
      <c r="AO46" s="937"/>
      <c r="AP46" s="1042">
        <v>0</v>
      </c>
      <c r="AQ46" s="906">
        <f>AP46/AP39</f>
        <v>0</v>
      </c>
      <c r="AR46" s="1025">
        <f>_xlfn.IFS(AP46=0,0,AQ46&lt;=AP46,AQ46/AP46,AQ46&gt;AP46,1)</f>
        <v>0</v>
      </c>
      <c r="AS46" s="937"/>
      <c r="AT46" s="1042">
        <v>0</v>
      </c>
      <c r="AU46" s="906">
        <f>AT46/AT39</f>
        <v>0</v>
      </c>
      <c r="AV46" s="1025">
        <f>_xlfn.IFS(AT46=0,0,AU46&lt;=AT46,AU46/AT46,AU46&gt;AT46,1)</f>
        <v>0</v>
      </c>
      <c r="AW46" s="937"/>
      <c r="AX46" s="1042">
        <v>0</v>
      </c>
      <c r="AY46" s="906">
        <f>AX46/AX39</f>
        <v>0</v>
      </c>
      <c r="AZ46" s="1025">
        <f>_xlfn.IFS(AX46=0,0,AY46&lt;=AX46,AY46/AX46,AY46&gt;AX46,1)</f>
        <v>0</v>
      </c>
      <c r="BA46" s="937"/>
      <c r="BB46" s="1042">
        <v>0</v>
      </c>
      <c r="BC46" s="906">
        <f>BB46/BB39</f>
        <v>0</v>
      </c>
      <c r="BD46" s="1025">
        <f>_xlfn.IFS(BB46=0,0,BC46&lt;=BB46,BC46/BB46,BC46&gt;BB46,1)</f>
        <v>0</v>
      </c>
      <c r="BE46" s="937"/>
      <c r="BF46" s="1042">
        <v>0</v>
      </c>
      <c r="BG46" s="906">
        <f>BF46/BF39</f>
        <v>0</v>
      </c>
      <c r="BH46" s="1025">
        <f>_xlfn.IFS(BF46=0,0,BG46&lt;=BF46,BG46/BF46,BG46&gt;BF46,1)</f>
        <v>0</v>
      </c>
      <c r="BI46" s="937"/>
      <c r="BJ46" s="1042">
        <v>0</v>
      </c>
      <c r="BK46" s="906">
        <f>BJ46/BJ39</f>
        <v>0</v>
      </c>
      <c r="BL46" s="1025">
        <f>_xlfn.IFS(BJ46=0,0,BK46&lt;=BJ46,BK46/BJ46,BK46&gt;BJ46,1)</f>
        <v>0</v>
      </c>
      <c r="BM46" s="937"/>
      <c r="BN46" s="1042">
        <v>0</v>
      </c>
      <c r="BO46" s="906">
        <f>BN46/BN39</f>
        <v>0</v>
      </c>
      <c r="BP46" s="1025">
        <f>_xlfn.IFS(BN46=0,0,BO46&lt;=BN46,BO46/BN46,BO46&gt;BN46,1)</f>
        <v>0</v>
      </c>
      <c r="BQ46" s="937"/>
      <c r="BR46" s="1042">
        <v>0</v>
      </c>
      <c r="BS46" s="906">
        <f>BR46/BR39</f>
        <v>0</v>
      </c>
      <c r="BT46" s="1025">
        <f>_xlfn.IFS(BR46=0,0,BS46&lt;=BR46,BS46/BR46,BS46&gt;BR46,1)</f>
        <v>0</v>
      </c>
      <c r="BU46" s="937"/>
      <c r="BV46" s="1042">
        <v>0</v>
      </c>
      <c r="BW46" s="906">
        <f>BV46/BV39</f>
        <v>0</v>
      </c>
      <c r="BX46" s="1025">
        <f>_xlfn.IFS(BV46=0,0,BW46&lt;=BV46,BW46/BV46,BW46&gt;BV46,1)</f>
        <v>0</v>
      </c>
      <c r="BY46" s="937"/>
      <c r="BZ46" s="1042">
        <v>0</v>
      </c>
      <c r="CA46" s="906">
        <f>BZ46/BZ39</f>
        <v>0</v>
      </c>
      <c r="CB46" s="1025">
        <f>_xlfn.IFS(BZ46=0,0,CA46&lt;=BZ46,CA46/BZ46,CA46&gt;BZ46,1)</f>
        <v>0</v>
      </c>
      <c r="CC46" s="937"/>
      <c r="CD46" s="1042">
        <v>0</v>
      </c>
      <c r="CE46" s="906">
        <f>CD46/CD39</f>
        <v>0</v>
      </c>
      <c r="CF46" s="1025">
        <f>_xlfn.IFS(CD46=0,0,CE46&lt;=CD46,CE46/CD46,CE46&gt;CD46,1)</f>
        <v>0</v>
      </c>
      <c r="CG46" s="937"/>
      <c r="CH46" s="1042">
        <v>0</v>
      </c>
      <c r="CI46" s="906">
        <f>CH46/CH39</f>
        <v>0</v>
      </c>
      <c r="CJ46" s="1025">
        <f>_xlfn.IFS(CH46=0,0,CI46&lt;=CH46,CI46/CH46,CI46&gt;CH46,1)</f>
        <v>0</v>
      </c>
      <c r="CK46" s="937"/>
      <c r="CL46" s="1042">
        <v>0</v>
      </c>
      <c r="CM46" s="906">
        <f>CL46/CL39</f>
        <v>0</v>
      </c>
      <c r="CN46" s="1025">
        <f>_xlfn.IFS(CL46=0,0,CM46&lt;=CL46,CM46/CL46,CM46&gt;CL46,1)</f>
        <v>0</v>
      </c>
      <c r="CO46" s="937"/>
      <c r="CP46" s="1042">
        <v>0</v>
      </c>
      <c r="CQ46" s="906">
        <f>CP46/CP39</f>
        <v>0</v>
      </c>
      <c r="CR46" s="1025">
        <f>_xlfn.IFS(CP46=0,0,CQ46&lt;=CP46,CQ46/CP46,CQ46&gt;CP46,1)</f>
        <v>0</v>
      </c>
      <c r="CS46" s="937"/>
      <c r="CT46" s="1042">
        <v>0</v>
      </c>
      <c r="CU46" s="906">
        <f>CT46/CT39</f>
        <v>0</v>
      </c>
      <c r="CV46" s="1025">
        <f>_xlfn.IFS(CT46=0,0,CU46&lt;=CT46,CU46/CT46,CU46&gt;CT46,1)</f>
        <v>0</v>
      </c>
      <c r="CW46" s="937"/>
      <c r="CX46" s="1042">
        <v>0</v>
      </c>
      <c r="CY46" s="906">
        <f>CX46/CX39</f>
        <v>0</v>
      </c>
      <c r="CZ46" s="1025">
        <f>_xlfn.IFS(CX46=0,0,CY46&lt;=CX46,CY46/CX46,CY46&gt;CX46,1)</f>
        <v>0</v>
      </c>
      <c r="DA46" s="937"/>
      <c r="DB46" s="1042">
        <v>0</v>
      </c>
      <c r="DC46" s="906">
        <f>DB46/DB39</f>
        <v>0</v>
      </c>
      <c r="DD46" s="1025">
        <f>_xlfn.IFS(DB46=0,0,DC46&lt;=DB46,DC46/DB46,DC46&gt;DB46,1)</f>
        <v>0</v>
      </c>
      <c r="DE46" s="937"/>
      <c r="DF46" s="1042">
        <v>0</v>
      </c>
      <c r="DG46" s="906">
        <f>DF46/DF39</f>
        <v>0</v>
      </c>
      <c r="DH46" s="1025">
        <f>_xlfn.IFS(DF46=0,0,DG46&lt;=DF46,DG46/DF46,DG46&gt;DF46,1)</f>
        <v>0</v>
      </c>
      <c r="DI46" s="937"/>
      <c r="DJ46" s="1042">
        <v>0</v>
      </c>
      <c r="DK46" s="906">
        <f>DJ46/DJ39</f>
        <v>0</v>
      </c>
      <c r="DL46" s="1025">
        <f>_xlfn.IFS(DJ46=0,0,DK46&lt;=DJ46,DK46/DJ46,DK46&gt;DJ46,1)</f>
        <v>0</v>
      </c>
      <c r="DM46" s="937"/>
      <c r="DN46" s="1042">
        <v>0</v>
      </c>
      <c r="DO46" s="906">
        <f>DN46/DN39</f>
        <v>0</v>
      </c>
      <c r="DP46" s="1025">
        <f>_xlfn.IFS(DN46=0,0,DO46&lt;=DN46,DO46/DN46,DO46&gt;DN46,1)</f>
        <v>0</v>
      </c>
      <c r="DQ46" s="937"/>
      <c r="DR46" s="1042">
        <v>0</v>
      </c>
      <c r="DS46" s="906">
        <f>DR46/DR39</f>
        <v>0</v>
      </c>
      <c r="DT46" s="1025">
        <f>_xlfn.IFS(DR46=0,0,DS46&lt;=DR46,DS46/DR46,DS46&gt;DR46,1)</f>
        <v>0</v>
      </c>
      <c r="DU46" s="937"/>
      <c r="DV46" s="1042">
        <v>0</v>
      </c>
      <c r="DW46" s="906">
        <f>DV46/DV39</f>
        <v>0</v>
      </c>
      <c r="DX46" s="1025">
        <f>_xlfn.IFS(DV46=0,0,DW46&lt;=DV46,DW46/DV46,DW46&gt;DV46,1)</f>
        <v>0</v>
      </c>
      <c r="DY46" s="937"/>
      <c r="DZ46" s="1042">
        <v>0</v>
      </c>
      <c r="EA46" s="906">
        <f>DZ46/DZ39</f>
        <v>0</v>
      </c>
      <c r="EB46" s="1025">
        <f>_xlfn.IFS(DZ46=0,0,EA46&lt;=DZ46,EA46/DZ46,EA46&gt;DZ46,1)</f>
        <v>0</v>
      </c>
      <c r="EC46" s="937"/>
      <c r="ED46" s="1042">
        <v>0</v>
      </c>
      <c r="EE46" s="906">
        <f>ED46/ED39</f>
        <v>0</v>
      </c>
      <c r="EF46" s="1025">
        <f>_xlfn.IFS(ED46=0,0,EE46&lt;=ED46,EE46/ED46,EE46&gt;ED46,1)</f>
        <v>0</v>
      </c>
    </row>
    <row r="47" spans="1:136" ht="20" customHeight="1" x14ac:dyDescent="0.15">
      <c r="A47" s="870">
        <f>_xlfn.IFS(B47=0,0,E47&gt;B47,1,E47&lt;=B47,E47/B47)</f>
        <v>0</v>
      </c>
      <c r="B47" s="790"/>
      <c r="C47" s="831" t="str">
        <f>Dashboard!K123</f>
        <v>REPEAT PURCHASE RATE</v>
      </c>
      <c r="D47" s="789">
        <f>Dashboard!AK123</f>
        <v>2.0000000000000004E-2</v>
      </c>
      <c r="E47" s="857">
        <f>AVERAGE(SUMIF($M$13:$EF$13,$M$13,$M47:$EF47))/100</f>
        <v>0.65</v>
      </c>
      <c r="F47" s="789">
        <f>E47-D47</f>
        <v>0.63</v>
      </c>
      <c r="G47" s="789">
        <f>_xlfn.IFS(F47&gt;0,1,F47&lt;=0,E47/D47)</f>
        <v>1</v>
      </c>
      <c r="H47" s="935"/>
      <c r="I47" s="935"/>
      <c r="J47" s="935"/>
      <c r="K47" s="831">
        <f>D47</f>
        <v>2.0000000000000004E-2</v>
      </c>
      <c r="L47" s="945">
        <f ca="1">SUMIFS($M47:$EF47,$M$11:$EF$11,TODAY(),$M$13:$EF$13,$M$13)</f>
        <v>0</v>
      </c>
      <c r="M47" s="1111">
        <v>5</v>
      </c>
      <c r="N47" s="856"/>
      <c r="O47" s="857"/>
      <c r="P47" s="938">
        <f>_xlfn.IFS(P19=0,0,P39&lt;=P19,P39/P19,P39&gt;P19,1)</f>
        <v>9.375E-2</v>
      </c>
      <c r="Q47" s="1111">
        <v>2</v>
      </c>
      <c r="R47" s="856"/>
      <c r="S47" s="857"/>
      <c r="T47" s="938">
        <f>_xlfn.IFS(T19=0,0,T39&lt;=T19,T39/T19,T39&gt;T19,1)</f>
        <v>9.375E-2</v>
      </c>
      <c r="U47" s="1111">
        <v>2</v>
      </c>
      <c r="V47" s="856"/>
      <c r="W47" s="857"/>
      <c r="X47" s="938">
        <f>_xlfn.IFS(X19=0,0,X39&lt;=X19,X39/X19,X39&gt;X19,1)</f>
        <v>9.375E-2</v>
      </c>
      <c r="Y47" s="1111">
        <v>2</v>
      </c>
      <c r="Z47" s="856"/>
      <c r="AA47" s="857"/>
      <c r="AB47" s="938">
        <f>_xlfn.IFS(AB19=0,0,AB39&lt;=AB19,AB39/AB19,AB39&gt;AB19,1)</f>
        <v>9.375E-2</v>
      </c>
      <c r="AC47" s="1111">
        <v>2</v>
      </c>
      <c r="AD47" s="856"/>
      <c r="AE47" s="857"/>
      <c r="AF47" s="938">
        <f>_xlfn.IFS(AF19=0,0,AF39&lt;=AF19,AF39/AF19,AF39&gt;AF19,1)</f>
        <v>9.375E-2</v>
      </c>
      <c r="AG47" s="1111">
        <v>2</v>
      </c>
      <c r="AH47" s="856"/>
      <c r="AI47" s="857"/>
      <c r="AJ47" s="938">
        <f>_xlfn.IFS(AJ19=0,0,AJ39&lt;=AJ19,AJ39/AJ19,AJ39&gt;AJ19,1)</f>
        <v>9.375E-2</v>
      </c>
      <c r="AK47" s="1111">
        <v>2</v>
      </c>
      <c r="AL47" s="856"/>
      <c r="AM47" s="857"/>
      <c r="AN47" s="938">
        <f>_xlfn.IFS(AN19=0,0,AN39&lt;=AN19,AN39/AN19,AN39&gt;AN19,1)</f>
        <v>9.375E-2</v>
      </c>
      <c r="AO47" s="1111">
        <v>2</v>
      </c>
      <c r="AP47" s="856"/>
      <c r="AQ47" s="857"/>
      <c r="AR47" s="938">
        <f>_xlfn.IFS(AR19=0,0,AR39&lt;=AR19,AR39/AR19,AR39&gt;AR19,1)</f>
        <v>9.375E-2</v>
      </c>
      <c r="AS47" s="1111">
        <v>2</v>
      </c>
      <c r="AT47" s="856"/>
      <c r="AU47" s="857"/>
      <c r="AV47" s="938">
        <f>_xlfn.IFS(AV19=0,0,AV39&lt;=AV19,AV39/AV19,AV39&gt;AV19,1)</f>
        <v>9.375E-2</v>
      </c>
      <c r="AW47" s="1111">
        <v>2</v>
      </c>
      <c r="AX47" s="856"/>
      <c r="AY47" s="857"/>
      <c r="AZ47" s="938">
        <f>_xlfn.IFS(AZ19=0,0,AZ39&lt;=AZ19,AZ39/AZ19,AZ39&gt;AZ19,1)</f>
        <v>9.375E-2</v>
      </c>
      <c r="BA47" s="1111">
        <v>2</v>
      </c>
      <c r="BB47" s="856"/>
      <c r="BC47" s="857"/>
      <c r="BD47" s="938">
        <f>_xlfn.IFS(BD19=0,0,BD39&lt;=BD19,BD39/BD19,BD39&gt;BD19,1)</f>
        <v>9.375E-2</v>
      </c>
      <c r="BE47" s="1111">
        <v>2</v>
      </c>
      <c r="BF47" s="856"/>
      <c r="BG47" s="857"/>
      <c r="BH47" s="938">
        <f>_xlfn.IFS(BH19=0,0,BH39&lt;=BH19,BH39/BH19,BH39&gt;BH19,1)</f>
        <v>9.375E-2</v>
      </c>
      <c r="BI47" s="1111">
        <v>2</v>
      </c>
      <c r="BJ47" s="856"/>
      <c r="BK47" s="857"/>
      <c r="BL47" s="938">
        <f>_xlfn.IFS(BL19=0,0,BL39&lt;=BL19,BL39/BL19,BL39&gt;BL19,1)</f>
        <v>9.375E-2</v>
      </c>
      <c r="BM47" s="1111">
        <v>2</v>
      </c>
      <c r="BN47" s="856"/>
      <c r="BO47" s="857"/>
      <c r="BP47" s="938">
        <f>_xlfn.IFS(BP19=0,0,BP39&lt;=BP19,BP39/BP19,BP39&gt;BP19,1)</f>
        <v>9.375E-2</v>
      </c>
      <c r="BQ47" s="1111">
        <v>2</v>
      </c>
      <c r="BR47" s="856"/>
      <c r="BS47" s="857"/>
      <c r="BT47" s="938">
        <f>_xlfn.IFS(BT19=0,0,BT39&lt;=BT19,BT39/BT19,BT39&gt;BT19,1)</f>
        <v>9.375E-2</v>
      </c>
      <c r="BU47" s="1111">
        <v>2</v>
      </c>
      <c r="BV47" s="856"/>
      <c r="BW47" s="857"/>
      <c r="BX47" s="938">
        <f>_xlfn.IFS(BX19=0,0,BX39&lt;=BX19,BX39/BX19,BX39&gt;BX19,1)</f>
        <v>9.375E-2</v>
      </c>
      <c r="BY47" s="1111">
        <v>2</v>
      </c>
      <c r="BZ47" s="856"/>
      <c r="CA47" s="857"/>
      <c r="CB47" s="938">
        <f>_xlfn.IFS(CB19=0,0,CB39&lt;=CB19,CB39/CB19,CB39&gt;CB19,1)</f>
        <v>9.375E-2</v>
      </c>
      <c r="CC47" s="1111">
        <v>2</v>
      </c>
      <c r="CD47" s="856"/>
      <c r="CE47" s="857"/>
      <c r="CF47" s="938">
        <f>_xlfn.IFS(CF19=0,0,CF39&lt;=CF19,CF39/CF19,CF39&gt;CF19,1)</f>
        <v>9.375E-2</v>
      </c>
      <c r="CG47" s="1111">
        <v>2</v>
      </c>
      <c r="CH47" s="856"/>
      <c r="CI47" s="857"/>
      <c r="CJ47" s="938">
        <f>_xlfn.IFS(CJ19=0,0,CJ39&lt;=CJ19,CJ39/CJ19,CJ39&gt;CJ19,1)</f>
        <v>9.375E-2</v>
      </c>
      <c r="CK47" s="1111">
        <v>2</v>
      </c>
      <c r="CL47" s="856"/>
      <c r="CM47" s="857"/>
      <c r="CN47" s="938">
        <f>_xlfn.IFS(CN19=0,0,CN39&lt;=CN19,CN39/CN19,CN39&gt;CN19,1)</f>
        <v>9.375E-2</v>
      </c>
      <c r="CO47" s="1111">
        <v>2</v>
      </c>
      <c r="CP47" s="856"/>
      <c r="CQ47" s="857"/>
      <c r="CR47" s="938">
        <f>_xlfn.IFS(CR19=0,0,CR39&lt;=CR19,CR39/CR19,CR39&gt;CR19,1)</f>
        <v>9.375E-2</v>
      </c>
      <c r="CS47" s="1111">
        <v>2</v>
      </c>
      <c r="CT47" s="856"/>
      <c r="CU47" s="857"/>
      <c r="CV47" s="938">
        <f>_xlfn.IFS(CV19=0,0,CV39&lt;=CV19,CV39/CV19,CV39&gt;CV19,1)</f>
        <v>9.375E-2</v>
      </c>
      <c r="CW47" s="1111">
        <v>2</v>
      </c>
      <c r="CX47" s="856"/>
      <c r="CY47" s="857"/>
      <c r="CZ47" s="938">
        <f>_xlfn.IFS(CZ19=0,0,CZ39&lt;=CZ19,CZ39/CZ19,CZ39&gt;CZ19,1)</f>
        <v>9.375E-2</v>
      </c>
      <c r="DA47" s="1111">
        <v>2</v>
      </c>
      <c r="DB47" s="856"/>
      <c r="DC47" s="857"/>
      <c r="DD47" s="938">
        <f>_xlfn.IFS(DD19=0,0,DD39&lt;=DD19,DD39/DD19,DD39&gt;DD19,1)</f>
        <v>9.375E-2</v>
      </c>
      <c r="DE47" s="1111">
        <v>2</v>
      </c>
      <c r="DF47" s="856"/>
      <c r="DG47" s="857"/>
      <c r="DH47" s="938">
        <f>_xlfn.IFS(DH19=0,0,DH39&lt;=DH19,DH39/DH19,DH39&gt;DH19,1)</f>
        <v>9.375E-2</v>
      </c>
      <c r="DI47" s="1111">
        <v>2</v>
      </c>
      <c r="DJ47" s="856"/>
      <c r="DK47" s="857"/>
      <c r="DL47" s="938">
        <f>_xlfn.IFS(DL19=0,0,DL39&lt;=DL19,DL39/DL19,DL39&gt;DL19,1)</f>
        <v>9.375E-2</v>
      </c>
      <c r="DM47" s="1111">
        <v>2</v>
      </c>
      <c r="DN47" s="856"/>
      <c r="DO47" s="857"/>
      <c r="DP47" s="938">
        <f>_xlfn.IFS(DP19=0,0,DP39&lt;=DP19,DP39/DP19,DP39&gt;DP19,1)</f>
        <v>9.375E-2</v>
      </c>
      <c r="DQ47" s="1111">
        <v>2</v>
      </c>
      <c r="DR47" s="856"/>
      <c r="DS47" s="857"/>
      <c r="DT47" s="938">
        <f>_xlfn.IFS(DT19=0,0,DT39&lt;=DT19,DT39/DT19,DT39&gt;DT19,1)</f>
        <v>9.375E-2</v>
      </c>
      <c r="DU47" s="1111">
        <v>2</v>
      </c>
      <c r="DV47" s="856"/>
      <c r="DW47" s="857"/>
      <c r="DX47" s="938">
        <f>_xlfn.IFS(DX19=0,0,DX39&lt;=DX19,DX39/DX19,DX39&gt;DX19,1)</f>
        <v>9.375E-2</v>
      </c>
      <c r="DY47" s="1111">
        <v>2</v>
      </c>
      <c r="DZ47" s="856"/>
      <c r="EA47" s="857"/>
      <c r="EB47" s="938">
        <f>_xlfn.IFS(EB19=0,0,EB39&lt;=EB19,EB39/EB19,EB39&gt;EB19,1)</f>
        <v>9.375E-2</v>
      </c>
      <c r="EC47" s="1111">
        <v>2</v>
      </c>
      <c r="ED47" s="856"/>
      <c r="EE47" s="857"/>
      <c r="EF47" s="938">
        <f>_xlfn.IFS(EF19=0,0,EF39&lt;=EF19,EF39/EF19,EF39&gt;EF19,1)</f>
        <v>9.375E-2</v>
      </c>
    </row>
    <row r="48" spans="1:136" ht="20" customHeight="1" x14ac:dyDescent="0.15">
      <c r="A48" s="861" t="s">
        <v>205</v>
      </c>
      <c r="B48" s="862" t="s">
        <v>204</v>
      </c>
      <c r="C48" s="23"/>
      <c r="D48" s="838"/>
      <c r="E48" s="838"/>
      <c r="F48" s="838"/>
      <c r="G48" s="838"/>
      <c r="H48" s="978"/>
      <c r="I48" s="978"/>
      <c r="J48" s="978"/>
      <c r="K48" s="839"/>
      <c r="L48" s="884"/>
      <c r="M48" s="888"/>
      <c r="N48" s="835"/>
      <c r="O48" s="907" t="s">
        <v>30</v>
      </c>
      <c r="P48" s="908">
        <f>P50-$K$19</f>
        <v>-3546153.846153846</v>
      </c>
      <c r="Q48" s="888"/>
      <c r="R48" s="835"/>
      <c r="S48" s="907" t="s">
        <v>30</v>
      </c>
      <c r="T48" s="908">
        <f>T50-$K$19</f>
        <v>-3546153.846153846</v>
      </c>
      <c r="U48" s="888"/>
      <c r="V48" s="835"/>
      <c r="W48" s="907" t="s">
        <v>30</v>
      </c>
      <c r="X48" s="908">
        <f>X50-$K$19</f>
        <v>-3546153.846153846</v>
      </c>
      <c r="Y48" s="888"/>
      <c r="Z48" s="835"/>
      <c r="AA48" s="907" t="s">
        <v>30</v>
      </c>
      <c r="AB48" s="908">
        <f>AB50-$K$19</f>
        <v>-3546153.846153846</v>
      </c>
      <c r="AC48" s="888"/>
      <c r="AD48" s="835"/>
      <c r="AE48" s="907" t="s">
        <v>30</v>
      </c>
      <c r="AF48" s="908">
        <f>AF50-$K$19</f>
        <v>-3546153.846153846</v>
      </c>
      <c r="AG48" s="888"/>
      <c r="AH48" s="835"/>
      <c r="AI48" s="907" t="s">
        <v>30</v>
      </c>
      <c r="AJ48" s="908">
        <f>AJ50-$K$19</f>
        <v>-3546153.846153846</v>
      </c>
      <c r="AK48" s="888"/>
      <c r="AL48" s="835"/>
      <c r="AM48" s="907" t="s">
        <v>30</v>
      </c>
      <c r="AN48" s="908">
        <f>AN50-$K$19</f>
        <v>-3546153.846153846</v>
      </c>
      <c r="AO48" s="888"/>
      <c r="AP48" s="835"/>
      <c r="AQ48" s="907" t="s">
        <v>30</v>
      </c>
      <c r="AR48" s="908">
        <f>AR50-$K$19</f>
        <v>-3546153.846153846</v>
      </c>
      <c r="AS48" s="888"/>
      <c r="AT48" s="835"/>
      <c r="AU48" s="907" t="s">
        <v>30</v>
      </c>
      <c r="AV48" s="908">
        <f>AV50-$K$19</f>
        <v>-3546153.846153846</v>
      </c>
      <c r="AW48" s="888"/>
      <c r="AX48" s="835"/>
      <c r="AY48" s="907" t="s">
        <v>30</v>
      </c>
      <c r="AZ48" s="908">
        <f>AZ50-$K$19</f>
        <v>-3546153.846153846</v>
      </c>
      <c r="BA48" s="888"/>
      <c r="BB48" s="835"/>
      <c r="BC48" s="907" t="s">
        <v>30</v>
      </c>
      <c r="BD48" s="908">
        <f>BD50-$K$19</f>
        <v>-3546153.846153846</v>
      </c>
      <c r="BE48" s="888"/>
      <c r="BF48" s="835"/>
      <c r="BG48" s="907" t="s">
        <v>30</v>
      </c>
      <c r="BH48" s="908">
        <f>BH50-$K$19</f>
        <v>-3546153.846153846</v>
      </c>
      <c r="BI48" s="888"/>
      <c r="BJ48" s="835"/>
      <c r="BK48" s="907" t="s">
        <v>30</v>
      </c>
      <c r="BL48" s="908">
        <f>BL50-$K$19</f>
        <v>-3546153.846153846</v>
      </c>
      <c r="BM48" s="888"/>
      <c r="BN48" s="835"/>
      <c r="BO48" s="907" t="s">
        <v>30</v>
      </c>
      <c r="BP48" s="908">
        <f>BP50-$K$19</f>
        <v>-3546153.846153846</v>
      </c>
      <c r="BQ48" s="888"/>
      <c r="BR48" s="835"/>
      <c r="BS48" s="907" t="s">
        <v>30</v>
      </c>
      <c r="BT48" s="908">
        <f>BT50-$K$19</f>
        <v>-3546153.846153846</v>
      </c>
      <c r="BU48" s="888"/>
      <c r="BV48" s="835"/>
      <c r="BW48" s="907" t="s">
        <v>30</v>
      </c>
      <c r="BX48" s="908">
        <f>BX50-$K$19</f>
        <v>-3546153.846153846</v>
      </c>
      <c r="BY48" s="888"/>
      <c r="BZ48" s="835"/>
      <c r="CA48" s="907" t="s">
        <v>30</v>
      </c>
      <c r="CB48" s="908">
        <f>CB50-$K$19</f>
        <v>-3546153.846153846</v>
      </c>
      <c r="CC48" s="888"/>
      <c r="CD48" s="835"/>
      <c r="CE48" s="907" t="s">
        <v>30</v>
      </c>
      <c r="CF48" s="908">
        <f>CF50-$K$19</f>
        <v>-3546153.846153846</v>
      </c>
      <c r="CG48" s="888"/>
      <c r="CH48" s="835"/>
      <c r="CI48" s="907" t="s">
        <v>30</v>
      </c>
      <c r="CJ48" s="908">
        <f>CJ50-$K$19</f>
        <v>-3546153.846153846</v>
      </c>
      <c r="CK48" s="888"/>
      <c r="CL48" s="835"/>
      <c r="CM48" s="907" t="s">
        <v>30</v>
      </c>
      <c r="CN48" s="908">
        <f>CN50-$K$19</f>
        <v>-3546153.846153846</v>
      </c>
      <c r="CO48" s="888"/>
      <c r="CP48" s="835"/>
      <c r="CQ48" s="907" t="s">
        <v>30</v>
      </c>
      <c r="CR48" s="908">
        <f>CR50-$K$19</f>
        <v>-3546153.846153846</v>
      </c>
      <c r="CS48" s="888"/>
      <c r="CT48" s="835"/>
      <c r="CU48" s="907" t="s">
        <v>30</v>
      </c>
      <c r="CV48" s="908">
        <f>CV50-$K$19</f>
        <v>-3546153.846153846</v>
      </c>
      <c r="CW48" s="888"/>
      <c r="CX48" s="835"/>
      <c r="CY48" s="907" t="s">
        <v>30</v>
      </c>
      <c r="CZ48" s="908">
        <f>CZ50-$K$19</f>
        <v>-3546153.846153846</v>
      </c>
      <c r="DA48" s="888"/>
      <c r="DB48" s="835"/>
      <c r="DC48" s="907" t="s">
        <v>30</v>
      </c>
      <c r="DD48" s="908">
        <f>DD50-$K$19</f>
        <v>-3546153.846153846</v>
      </c>
      <c r="DE48" s="888"/>
      <c r="DF48" s="835"/>
      <c r="DG48" s="907" t="s">
        <v>30</v>
      </c>
      <c r="DH48" s="908">
        <f>DH50-$K$19</f>
        <v>-3546153.846153846</v>
      </c>
      <c r="DI48" s="888"/>
      <c r="DJ48" s="835"/>
      <c r="DK48" s="907" t="s">
        <v>30</v>
      </c>
      <c r="DL48" s="908">
        <f>DL50-$K$19</f>
        <v>-3546153.846153846</v>
      </c>
      <c r="DM48" s="888"/>
      <c r="DN48" s="835"/>
      <c r="DO48" s="907" t="s">
        <v>30</v>
      </c>
      <c r="DP48" s="908">
        <f>DP50-$K$19</f>
        <v>-3546153.846153846</v>
      </c>
      <c r="DQ48" s="888"/>
      <c r="DR48" s="835"/>
      <c r="DS48" s="907" t="s">
        <v>30</v>
      </c>
      <c r="DT48" s="908">
        <f>DT50-$K$19</f>
        <v>-3546153.846153846</v>
      </c>
      <c r="DU48" s="888"/>
      <c r="DV48" s="835"/>
      <c r="DW48" s="907" t="s">
        <v>30</v>
      </c>
      <c r="DX48" s="908">
        <f>DX50-$K$19</f>
        <v>-3546153.846153846</v>
      </c>
      <c r="DY48" s="888"/>
      <c r="DZ48" s="835"/>
      <c r="EA48" s="907" t="s">
        <v>30</v>
      </c>
      <c r="EB48" s="908">
        <f>EB50-$K$19</f>
        <v>-3546153.846153846</v>
      </c>
      <c r="EC48" s="888"/>
      <c r="ED48" s="835"/>
      <c r="EE48" s="907" t="s">
        <v>30</v>
      </c>
      <c r="EF48" s="908">
        <f>EF50-$K$19</f>
        <v>-3546153.846153846</v>
      </c>
    </row>
    <row r="49" spans="1:137" ht="20" customHeight="1" x14ac:dyDescent="0.15">
      <c r="A49" s="792" t="s">
        <v>206</v>
      </c>
      <c r="B49" s="792" t="s">
        <v>207</v>
      </c>
      <c r="C49" s="793" t="s">
        <v>208</v>
      </c>
      <c r="D49" s="794" t="s">
        <v>64</v>
      </c>
      <c r="E49" s="794" t="s">
        <v>13</v>
      </c>
      <c r="F49" s="794" t="s">
        <v>201</v>
      </c>
      <c r="G49" s="794" t="s">
        <v>109</v>
      </c>
      <c r="H49" s="792" t="s">
        <v>207</v>
      </c>
      <c r="I49" s="793" t="s">
        <v>208</v>
      </c>
      <c r="J49" s="794" t="s">
        <v>64</v>
      </c>
      <c r="K49" s="794" t="s">
        <v>13</v>
      </c>
      <c r="L49" s="885" t="s">
        <v>201</v>
      </c>
      <c r="M49" s="914" t="s">
        <v>207</v>
      </c>
      <c r="N49" s="794" t="s">
        <v>64</v>
      </c>
      <c r="O49" s="794" t="s">
        <v>13</v>
      </c>
      <c r="P49" s="885" t="s">
        <v>201</v>
      </c>
      <c r="Q49" s="914" t="s">
        <v>207</v>
      </c>
      <c r="R49" s="794" t="s">
        <v>64</v>
      </c>
      <c r="S49" s="794" t="s">
        <v>13</v>
      </c>
      <c r="T49" s="885" t="s">
        <v>201</v>
      </c>
      <c r="U49" s="914" t="s">
        <v>207</v>
      </c>
      <c r="V49" s="794" t="s">
        <v>64</v>
      </c>
      <c r="W49" s="794" t="s">
        <v>13</v>
      </c>
      <c r="X49" s="885" t="s">
        <v>201</v>
      </c>
      <c r="Y49" s="914" t="s">
        <v>207</v>
      </c>
      <c r="Z49" s="794" t="s">
        <v>64</v>
      </c>
      <c r="AA49" s="794" t="s">
        <v>13</v>
      </c>
      <c r="AB49" s="885" t="s">
        <v>201</v>
      </c>
      <c r="AC49" s="914" t="s">
        <v>207</v>
      </c>
      <c r="AD49" s="794" t="s">
        <v>64</v>
      </c>
      <c r="AE49" s="794" t="s">
        <v>13</v>
      </c>
      <c r="AF49" s="885" t="s">
        <v>201</v>
      </c>
      <c r="AG49" s="914" t="s">
        <v>207</v>
      </c>
      <c r="AH49" s="794" t="s">
        <v>64</v>
      </c>
      <c r="AI49" s="794" t="s">
        <v>13</v>
      </c>
      <c r="AJ49" s="885" t="s">
        <v>201</v>
      </c>
      <c r="AK49" s="914" t="s">
        <v>207</v>
      </c>
      <c r="AL49" s="794" t="s">
        <v>64</v>
      </c>
      <c r="AM49" s="794" t="s">
        <v>13</v>
      </c>
      <c r="AN49" s="885" t="s">
        <v>201</v>
      </c>
      <c r="AO49" s="914" t="s">
        <v>207</v>
      </c>
      <c r="AP49" s="794" t="s">
        <v>64</v>
      </c>
      <c r="AQ49" s="794" t="s">
        <v>13</v>
      </c>
      <c r="AR49" s="885" t="s">
        <v>201</v>
      </c>
      <c r="AS49" s="914" t="s">
        <v>207</v>
      </c>
      <c r="AT49" s="794" t="s">
        <v>64</v>
      </c>
      <c r="AU49" s="794" t="s">
        <v>13</v>
      </c>
      <c r="AV49" s="885" t="s">
        <v>201</v>
      </c>
      <c r="AW49" s="914" t="s">
        <v>207</v>
      </c>
      <c r="AX49" s="794" t="s">
        <v>64</v>
      </c>
      <c r="AY49" s="794" t="s">
        <v>13</v>
      </c>
      <c r="AZ49" s="885" t="s">
        <v>201</v>
      </c>
      <c r="BA49" s="914" t="s">
        <v>207</v>
      </c>
      <c r="BB49" s="794" t="s">
        <v>64</v>
      </c>
      <c r="BC49" s="794" t="s">
        <v>13</v>
      </c>
      <c r="BD49" s="885" t="s">
        <v>201</v>
      </c>
      <c r="BE49" s="914" t="s">
        <v>207</v>
      </c>
      <c r="BF49" s="794" t="s">
        <v>64</v>
      </c>
      <c r="BG49" s="794" t="s">
        <v>13</v>
      </c>
      <c r="BH49" s="885" t="s">
        <v>201</v>
      </c>
      <c r="BI49" s="914" t="s">
        <v>207</v>
      </c>
      <c r="BJ49" s="794" t="s">
        <v>64</v>
      </c>
      <c r="BK49" s="794" t="s">
        <v>13</v>
      </c>
      <c r="BL49" s="885" t="s">
        <v>201</v>
      </c>
      <c r="BM49" s="914" t="s">
        <v>207</v>
      </c>
      <c r="BN49" s="794" t="s">
        <v>64</v>
      </c>
      <c r="BO49" s="794" t="s">
        <v>13</v>
      </c>
      <c r="BP49" s="885" t="s">
        <v>201</v>
      </c>
      <c r="BQ49" s="914" t="s">
        <v>207</v>
      </c>
      <c r="BR49" s="794" t="s">
        <v>64</v>
      </c>
      <c r="BS49" s="794" t="s">
        <v>13</v>
      </c>
      <c r="BT49" s="885" t="s">
        <v>201</v>
      </c>
      <c r="BU49" s="914" t="s">
        <v>207</v>
      </c>
      <c r="BV49" s="794" t="s">
        <v>64</v>
      </c>
      <c r="BW49" s="794" t="s">
        <v>13</v>
      </c>
      <c r="BX49" s="885" t="s">
        <v>201</v>
      </c>
      <c r="BY49" s="914" t="s">
        <v>207</v>
      </c>
      <c r="BZ49" s="794" t="s">
        <v>64</v>
      </c>
      <c r="CA49" s="794" t="s">
        <v>13</v>
      </c>
      <c r="CB49" s="885" t="s">
        <v>201</v>
      </c>
      <c r="CC49" s="914" t="s">
        <v>207</v>
      </c>
      <c r="CD49" s="794" t="s">
        <v>64</v>
      </c>
      <c r="CE49" s="794" t="s">
        <v>13</v>
      </c>
      <c r="CF49" s="885" t="s">
        <v>201</v>
      </c>
      <c r="CG49" s="914" t="s">
        <v>207</v>
      </c>
      <c r="CH49" s="794" t="s">
        <v>64</v>
      </c>
      <c r="CI49" s="794" t="s">
        <v>13</v>
      </c>
      <c r="CJ49" s="885" t="s">
        <v>201</v>
      </c>
      <c r="CK49" s="914" t="s">
        <v>207</v>
      </c>
      <c r="CL49" s="794" t="s">
        <v>64</v>
      </c>
      <c r="CM49" s="794" t="s">
        <v>13</v>
      </c>
      <c r="CN49" s="885" t="s">
        <v>201</v>
      </c>
      <c r="CO49" s="914" t="s">
        <v>207</v>
      </c>
      <c r="CP49" s="794" t="s">
        <v>64</v>
      </c>
      <c r="CQ49" s="794" t="s">
        <v>13</v>
      </c>
      <c r="CR49" s="885" t="s">
        <v>201</v>
      </c>
      <c r="CS49" s="914" t="s">
        <v>207</v>
      </c>
      <c r="CT49" s="794" t="s">
        <v>64</v>
      </c>
      <c r="CU49" s="794" t="s">
        <v>13</v>
      </c>
      <c r="CV49" s="885" t="s">
        <v>201</v>
      </c>
      <c r="CW49" s="914" t="s">
        <v>207</v>
      </c>
      <c r="CX49" s="794" t="s">
        <v>64</v>
      </c>
      <c r="CY49" s="794" t="s">
        <v>13</v>
      </c>
      <c r="CZ49" s="885" t="s">
        <v>201</v>
      </c>
      <c r="DA49" s="914" t="s">
        <v>207</v>
      </c>
      <c r="DB49" s="794" t="s">
        <v>64</v>
      </c>
      <c r="DC49" s="794" t="s">
        <v>13</v>
      </c>
      <c r="DD49" s="885" t="s">
        <v>201</v>
      </c>
      <c r="DE49" s="914" t="s">
        <v>207</v>
      </c>
      <c r="DF49" s="794" t="s">
        <v>64</v>
      </c>
      <c r="DG49" s="794" t="s">
        <v>13</v>
      </c>
      <c r="DH49" s="885" t="s">
        <v>201</v>
      </c>
      <c r="DI49" s="914" t="s">
        <v>207</v>
      </c>
      <c r="DJ49" s="794" t="s">
        <v>64</v>
      </c>
      <c r="DK49" s="794" t="s">
        <v>13</v>
      </c>
      <c r="DL49" s="885" t="s">
        <v>201</v>
      </c>
      <c r="DM49" s="914" t="s">
        <v>207</v>
      </c>
      <c r="DN49" s="794" t="s">
        <v>64</v>
      </c>
      <c r="DO49" s="794" t="s">
        <v>13</v>
      </c>
      <c r="DP49" s="885" t="s">
        <v>201</v>
      </c>
      <c r="DQ49" s="914" t="s">
        <v>207</v>
      </c>
      <c r="DR49" s="794" t="s">
        <v>64</v>
      </c>
      <c r="DS49" s="794" t="s">
        <v>13</v>
      </c>
      <c r="DT49" s="885" t="s">
        <v>201</v>
      </c>
      <c r="DU49" s="914" t="s">
        <v>207</v>
      </c>
      <c r="DV49" s="794" t="s">
        <v>64</v>
      </c>
      <c r="DW49" s="794" t="s">
        <v>13</v>
      </c>
      <c r="DX49" s="885" t="s">
        <v>201</v>
      </c>
      <c r="DY49" s="914" t="s">
        <v>207</v>
      </c>
      <c r="DZ49" s="794" t="s">
        <v>64</v>
      </c>
      <c r="EA49" s="794" t="s">
        <v>13</v>
      </c>
      <c r="EB49" s="885" t="s">
        <v>201</v>
      </c>
      <c r="EC49" s="914" t="s">
        <v>207</v>
      </c>
      <c r="ED49" s="794" t="s">
        <v>64</v>
      </c>
      <c r="EE49" s="794" t="s">
        <v>13</v>
      </c>
      <c r="EF49" s="885" t="s">
        <v>201</v>
      </c>
    </row>
    <row r="50" spans="1:137" ht="20" customHeight="1" x14ac:dyDescent="0.15">
      <c r="A50" s="868">
        <f>Dashboard!F36</f>
        <v>331700000</v>
      </c>
      <c r="B50" s="863" t="str">
        <f>Dashboard!$B36</f>
        <v>TOTAL</v>
      </c>
      <c r="C50" s="866" t="s">
        <v>79</v>
      </c>
      <c r="D50" s="795">
        <f>SUM(D51:D58)</f>
        <v>31</v>
      </c>
      <c r="E50" s="795">
        <f>SUM(E51:E58)</f>
        <v>31</v>
      </c>
      <c r="F50" s="868">
        <f>SUM(F51:F58)</f>
        <v>9300000</v>
      </c>
      <c r="G50" s="796">
        <f>SUM(G51:G58)</f>
        <v>1</v>
      </c>
      <c r="H50" s="865" t="str">
        <f>Dashboard!$B36</f>
        <v>TOTAL</v>
      </c>
      <c r="I50" s="866" t="s">
        <v>79</v>
      </c>
      <c r="J50" s="795">
        <f ca="1">SUM(J51:J58)</f>
        <v>0</v>
      </c>
      <c r="K50" s="795">
        <f ca="1">SUM(K51:K58)</f>
        <v>0</v>
      </c>
      <c r="L50" s="886">
        <f ca="1">SUM(L51:L58)</f>
        <v>0</v>
      </c>
      <c r="M50" s="915" t="str">
        <f>Dashboard!$B36</f>
        <v>TOTAL</v>
      </c>
      <c r="N50" s="959">
        <f>SUM(N51:N58)</f>
        <v>1</v>
      </c>
      <c r="O50" s="959">
        <f>SUM(O51:O58)</f>
        <v>1</v>
      </c>
      <c r="P50" s="960">
        <f>SUM(P51:P58)</f>
        <v>300000</v>
      </c>
      <c r="Q50" s="915" t="str">
        <f>Dashboard!$B36</f>
        <v>TOTAL</v>
      </c>
      <c r="R50" s="959">
        <f>SUM(R51:R58)</f>
        <v>1</v>
      </c>
      <c r="S50" s="959">
        <f>SUM(S51:S58)</f>
        <v>1</v>
      </c>
      <c r="T50" s="960">
        <f>SUM(T51:T58)</f>
        <v>300000</v>
      </c>
      <c r="U50" s="915" t="str">
        <f>Dashboard!$B36</f>
        <v>TOTAL</v>
      </c>
      <c r="V50" s="959">
        <f>SUM(V51:V58)</f>
        <v>1</v>
      </c>
      <c r="W50" s="959">
        <f>SUM(W51:W58)</f>
        <v>1</v>
      </c>
      <c r="X50" s="960">
        <f>SUM(X51:X58)</f>
        <v>300000</v>
      </c>
      <c r="Y50" s="915" t="str">
        <f>Dashboard!$B36</f>
        <v>TOTAL</v>
      </c>
      <c r="Z50" s="959">
        <f>SUM(Z51:Z58)</f>
        <v>1</v>
      </c>
      <c r="AA50" s="959">
        <f>SUM(AA51:AA58)</f>
        <v>1</v>
      </c>
      <c r="AB50" s="960">
        <f>SUM(AB51:AB58)</f>
        <v>300000</v>
      </c>
      <c r="AC50" s="915" t="str">
        <f>Dashboard!$B36</f>
        <v>TOTAL</v>
      </c>
      <c r="AD50" s="959">
        <f>SUM(AD51:AD58)</f>
        <v>1</v>
      </c>
      <c r="AE50" s="959">
        <f>SUM(AE51:AE58)</f>
        <v>1</v>
      </c>
      <c r="AF50" s="960">
        <f>SUM(AF51:AF58)</f>
        <v>300000</v>
      </c>
      <c r="AG50" s="915" t="str">
        <f>Dashboard!$B36</f>
        <v>TOTAL</v>
      </c>
      <c r="AH50" s="959">
        <f>SUM(AH51:AH58)</f>
        <v>1</v>
      </c>
      <c r="AI50" s="959">
        <f>SUM(AI51:AI58)</f>
        <v>1</v>
      </c>
      <c r="AJ50" s="960">
        <f>SUM(AJ51:AJ58)</f>
        <v>300000</v>
      </c>
      <c r="AK50" s="915" t="str">
        <f>Dashboard!$B36</f>
        <v>TOTAL</v>
      </c>
      <c r="AL50" s="959">
        <f>SUM(AL51:AL58)</f>
        <v>1</v>
      </c>
      <c r="AM50" s="959">
        <f>SUM(AM51:AM58)</f>
        <v>1</v>
      </c>
      <c r="AN50" s="960">
        <f>SUM(AN51:AN58)</f>
        <v>300000</v>
      </c>
      <c r="AO50" s="915" t="str">
        <f>Dashboard!$B36</f>
        <v>TOTAL</v>
      </c>
      <c r="AP50" s="959">
        <f>SUM(AP51:AP58)</f>
        <v>1</v>
      </c>
      <c r="AQ50" s="959">
        <f>SUM(AQ51:AQ58)</f>
        <v>1</v>
      </c>
      <c r="AR50" s="960">
        <f>SUM(AR51:AR58)</f>
        <v>300000</v>
      </c>
      <c r="AS50" s="915" t="str">
        <f>Dashboard!$B36</f>
        <v>TOTAL</v>
      </c>
      <c r="AT50" s="959">
        <f>SUM(AT51:AT58)</f>
        <v>1</v>
      </c>
      <c r="AU50" s="959">
        <f>SUM(AU51:AU58)</f>
        <v>1</v>
      </c>
      <c r="AV50" s="960">
        <f>SUM(AV51:AV58)</f>
        <v>300000</v>
      </c>
      <c r="AW50" s="915" t="str">
        <f>Dashboard!$B36</f>
        <v>TOTAL</v>
      </c>
      <c r="AX50" s="959">
        <f>SUM(AX51:AX58)</f>
        <v>1</v>
      </c>
      <c r="AY50" s="959">
        <f>SUM(AY51:AY58)</f>
        <v>1</v>
      </c>
      <c r="AZ50" s="960">
        <f>SUM(AZ51:AZ58)</f>
        <v>300000</v>
      </c>
      <c r="BA50" s="915" t="str">
        <f>Dashboard!$B36</f>
        <v>TOTAL</v>
      </c>
      <c r="BB50" s="959">
        <f>SUM(BB51:BB58)</f>
        <v>1</v>
      </c>
      <c r="BC50" s="959">
        <f>SUM(BC51:BC58)</f>
        <v>1</v>
      </c>
      <c r="BD50" s="960">
        <f>SUM(BD51:BD58)</f>
        <v>300000</v>
      </c>
      <c r="BE50" s="915" t="str">
        <f>Dashboard!$B36</f>
        <v>TOTAL</v>
      </c>
      <c r="BF50" s="959">
        <f>SUM(BF51:BF58)</f>
        <v>1</v>
      </c>
      <c r="BG50" s="959">
        <f>SUM(BG51:BG58)</f>
        <v>1</v>
      </c>
      <c r="BH50" s="960">
        <f>SUM(BH51:BH58)</f>
        <v>300000</v>
      </c>
      <c r="BI50" s="915" t="str">
        <f>Dashboard!$B36</f>
        <v>TOTAL</v>
      </c>
      <c r="BJ50" s="959">
        <f>SUM(BJ51:BJ58)</f>
        <v>1</v>
      </c>
      <c r="BK50" s="959">
        <f>SUM(BK51:BK58)</f>
        <v>1</v>
      </c>
      <c r="BL50" s="960">
        <f>SUM(BL51:BL58)</f>
        <v>300000</v>
      </c>
      <c r="BM50" s="915" t="str">
        <f>Dashboard!$B36</f>
        <v>TOTAL</v>
      </c>
      <c r="BN50" s="959">
        <f>SUM(BN51:BN58)</f>
        <v>1</v>
      </c>
      <c r="BO50" s="959">
        <f>SUM(BO51:BO58)</f>
        <v>1</v>
      </c>
      <c r="BP50" s="960">
        <f>SUM(BP51:BP58)</f>
        <v>300000</v>
      </c>
      <c r="BQ50" s="915" t="str">
        <f>Dashboard!$B36</f>
        <v>TOTAL</v>
      </c>
      <c r="BR50" s="959">
        <f>SUM(BR51:BR58)</f>
        <v>1</v>
      </c>
      <c r="BS50" s="959">
        <f>SUM(BS51:BS58)</f>
        <v>1</v>
      </c>
      <c r="BT50" s="960">
        <f>SUM(BT51:BT58)</f>
        <v>300000</v>
      </c>
      <c r="BU50" s="915" t="str">
        <f>Dashboard!$B36</f>
        <v>TOTAL</v>
      </c>
      <c r="BV50" s="959">
        <f>SUM(BV51:BV58)</f>
        <v>1</v>
      </c>
      <c r="BW50" s="959">
        <f>SUM(BW51:BW58)</f>
        <v>1</v>
      </c>
      <c r="BX50" s="960">
        <f>SUM(BX51:BX58)</f>
        <v>300000</v>
      </c>
      <c r="BY50" s="915" t="str">
        <f>Dashboard!$B36</f>
        <v>TOTAL</v>
      </c>
      <c r="BZ50" s="959">
        <f>SUM(BZ51:BZ58)</f>
        <v>1</v>
      </c>
      <c r="CA50" s="959">
        <f>SUM(CA51:CA58)</f>
        <v>1</v>
      </c>
      <c r="CB50" s="960">
        <f>SUM(CB51:CB58)</f>
        <v>300000</v>
      </c>
      <c r="CC50" s="915" t="str">
        <f>Dashboard!$B36</f>
        <v>TOTAL</v>
      </c>
      <c r="CD50" s="959">
        <f>SUM(CD51:CD58)</f>
        <v>1</v>
      </c>
      <c r="CE50" s="959">
        <f>SUM(CE51:CE58)</f>
        <v>1</v>
      </c>
      <c r="CF50" s="960">
        <f>SUM(CF51:CF58)</f>
        <v>300000</v>
      </c>
      <c r="CG50" s="915" t="str">
        <f>Dashboard!$B36</f>
        <v>TOTAL</v>
      </c>
      <c r="CH50" s="959">
        <f>SUM(CH51:CH58)</f>
        <v>1</v>
      </c>
      <c r="CI50" s="959">
        <f>SUM(CI51:CI58)</f>
        <v>1</v>
      </c>
      <c r="CJ50" s="960">
        <f>SUM(CJ51:CJ58)</f>
        <v>300000</v>
      </c>
      <c r="CK50" s="915" t="str">
        <f>Dashboard!$B36</f>
        <v>TOTAL</v>
      </c>
      <c r="CL50" s="959">
        <f>SUM(CL51:CL58)</f>
        <v>1</v>
      </c>
      <c r="CM50" s="959">
        <f>SUM(CM51:CM58)</f>
        <v>1</v>
      </c>
      <c r="CN50" s="960">
        <f>SUM(CN51:CN58)</f>
        <v>300000</v>
      </c>
      <c r="CO50" s="915" t="str">
        <f>Dashboard!$B36</f>
        <v>TOTAL</v>
      </c>
      <c r="CP50" s="959">
        <f>SUM(CP51:CP58)</f>
        <v>1</v>
      </c>
      <c r="CQ50" s="959">
        <f>SUM(CQ51:CQ58)</f>
        <v>1</v>
      </c>
      <c r="CR50" s="960">
        <f>SUM(CR51:CR58)</f>
        <v>300000</v>
      </c>
      <c r="CS50" s="915" t="str">
        <f>Dashboard!$B36</f>
        <v>TOTAL</v>
      </c>
      <c r="CT50" s="959">
        <f>SUM(CT51:CT58)</f>
        <v>1</v>
      </c>
      <c r="CU50" s="959">
        <f>SUM(CU51:CU58)</f>
        <v>1</v>
      </c>
      <c r="CV50" s="960">
        <f>SUM(CV51:CV58)</f>
        <v>300000</v>
      </c>
      <c r="CW50" s="915" t="str">
        <f>Dashboard!$B36</f>
        <v>TOTAL</v>
      </c>
      <c r="CX50" s="959">
        <f>SUM(CX51:CX58)</f>
        <v>1</v>
      </c>
      <c r="CY50" s="959">
        <f>SUM(CY51:CY58)</f>
        <v>1</v>
      </c>
      <c r="CZ50" s="960">
        <f>SUM(CZ51:CZ58)</f>
        <v>300000</v>
      </c>
      <c r="DA50" s="915" t="str">
        <f>Dashboard!$B36</f>
        <v>TOTAL</v>
      </c>
      <c r="DB50" s="959">
        <f>SUM(DB51:DB58)</f>
        <v>1</v>
      </c>
      <c r="DC50" s="959">
        <f>SUM(DC51:DC58)</f>
        <v>1</v>
      </c>
      <c r="DD50" s="960">
        <f>SUM(DD51:DD58)</f>
        <v>300000</v>
      </c>
      <c r="DE50" s="915" t="str">
        <f>Dashboard!$B36</f>
        <v>TOTAL</v>
      </c>
      <c r="DF50" s="959">
        <f>SUM(DF51:DF58)</f>
        <v>1</v>
      </c>
      <c r="DG50" s="959">
        <f>SUM(DG51:DG58)</f>
        <v>1</v>
      </c>
      <c r="DH50" s="960">
        <f>SUM(DH51:DH58)</f>
        <v>300000</v>
      </c>
      <c r="DI50" s="915" t="str">
        <f>Dashboard!$B36</f>
        <v>TOTAL</v>
      </c>
      <c r="DJ50" s="959">
        <f>SUM(DJ51:DJ58)</f>
        <v>1</v>
      </c>
      <c r="DK50" s="959">
        <f>SUM(DK51:DK58)</f>
        <v>1</v>
      </c>
      <c r="DL50" s="960">
        <f>SUM(DL51:DL58)</f>
        <v>300000</v>
      </c>
      <c r="DM50" s="915" t="str">
        <f>Dashboard!$B36</f>
        <v>TOTAL</v>
      </c>
      <c r="DN50" s="959">
        <f>SUM(DN51:DN58)</f>
        <v>1</v>
      </c>
      <c r="DO50" s="959">
        <f>SUM(DO51:DO58)</f>
        <v>1</v>
      </c>
      <c r="DP50" s="960">
        <f>SUM(DP51:DP58)</f>
        <v>300000</v>
      </c>
      <c r="DQ50" s="915" t="str">
        <f>Dashboard!$B36</f>
        <v>TOTAL</v>
      </c>
      <c r="DR50" s="959">
        <f>SUM(DR51:DR58)</f>
        <v>1</v>
      </c>
      <c r="DS50" s="959">
        <f>SUM(DS51:DS58)</f>
        <v>1</v>
      </c>
      <c r="DT50" s="960">
        <f>SUM(DT51:DT58)</f>
        <v>300000</v>
      </c>
      <c r="DU50" s="915" t="str">
        <f>Dashboard!$B36</f>
        <v>TOTAL</v>
      </c>
      <c r="DV50" s="959">
        <f>SUM(DV51:DV58)</f>
        <v>1</v>
      </c>
      <c r="DW50" s="959">
        <f>SUM(DW51:DW58)</f>
        <v>1</v>
      </c>
      <c r="DX50" s="960">
        <f>SUM(DX51:DX58)</f>
        <v>300000</v>
      </c>
      <c r="DY50" s="915" t="str">
        <f>Dashboard!$B36</f>
        <v>TOTAL</v>
      </c>
      <c r="DZ50" s="959">
        <f>SUM(DZ51:DZ58)</f>
        <v>1</v>
      </c>
      <c r="EA50" s="959">
        <f>SUM(EA51:EA58)</f>
        <v>1</v>
      </c>
      <c r="EB50" s="960">
        <f>SUM(EB51:EB58)</f>
        <v>300000</v>
      </c>
      <c r="EC50" s="915" t="str">
        <f>Dashboard!$B36</f>
        <v>TOTAL</v>
      </c>
      <c r="ED50" s="959">
        <f>SUM(ED51:ED58)</f>
        <v>1</v>
      </c>
      <c r="EE50" s="959">
        <f>SUM(EE51:EE58)</f>
        <v>1</v>
      </c>
      <c r="EF50" s="960">
        <f>SUM(EF51:EF58)</f>
        <v>300000</v>
      </c>
    </row>
    <row r="51" spans="1:137" ht="20" customHeight="1" x14ac:dyDescent="0.15">
      <c r="A51" s="869">
        <f>Dashboard!F37</f>
        <v>40300000</v>
      </c>
      <c r="B51" s="864" t="str">
        <f>Dashboard!$B37</f>
        <v>BONE &amp; JOINT HEALTH</v>
      </c>
      <c r="C51" s="867" t="s">
        <v>79</v>
      </c>
      <c r="D51" s="797">
        <f>SUMIF($M$49:$EF$49,$D$49,$M51:$EF51)</f>
        <v>0</v>
      </c>
      <c r="E51" s="797">
        <f>SUMIF($M$49:$EF$49,$E$49,$M51:$EF51)</f>
        <v>0</v>
      </c>
      <c r="F51" s="869">
        <f>SUMIF($M$49:$EF$49,$F$49,$M51:$EF51)</f>
        <v>0</v>
      </c>
      <c r="G51" s="798">
        <f>_xlfn.IFS($F$50=0,0,F51&lt;=$F$50,F51/$F$50,F51&gt;$F$50,1)</f>
        <v>0</v>
      </c>
      <c r="H51" s="864" t="str">
        <f>Dashboard!$B37</f>
        <v>BONE &amp; JOINT HEALTH</v>
      </c>
      <c r="I51" s="867" t="s">
        <v>79</v>
      </c>
      <c r="J51" s="797">
        <f ca="1">SUMIFS($M51:$EF51,$M$11:$EF$11,TODAY(),$M$49:$EF$49,J$49)</f>
        <v>0</v>
      </c>
      <c r="K51" s="797">
        <f t="shared" ref="J51:L58" ca="1" si="343">SUMIFS($M51:$EF51,$M$11:$EF$11,TODAY(),$M$49:$EF$49,K$49)</f>
        <v>0</v>
      </c>
      <c r="L51" s="887">
        <f ca="1">SUMIFS($M51:$EF51,$M$11:$EF$11,TODAY(),$M$49:$EF$49,L$49)</f>
        <v>0</v>
      </c>
      <c r="M51" s="1175" t="str">
        <f>Dashboard!$B37</f>
        <v>BONE &amp; JOINT HEALTH</v>
      </c>
      <c r="N51" s="1030"/>
      <c r="O51" s="1030"/>
      <c r="P51" s="1029"/>
      <c r="Q51" s="1175" t="str">
        <f>Dashboard!$B37</f>
        <v>BONE &amp; JOINT HEALTH</v>
      </c>
      <c r="R51" s="1030"/>
      <c r="S51" s="1030"/>
      <c r="T51" s="1029"/>
      <c r="U51" s="1175" t="str">
        <f>Dashboard!$B37</f>
        <v>BONE &amp; JOINT HEALTH</v>
      </c>
      <c r="V51" s="1030"/>
      <c r="W51" s="1030"/>
      <c r="X51" s="1029"/>
      <c r="Y51" s="1175" t="str">
        <f>Dashboard!$B37</f>
        <v>BONE &amp; JOINT HEALTH</v>
      </c>
      <c r="Z51" s="1030"/>
      <c r="AA51" s="1030"/>
      <c r="AB51" s="1029"/>
      <c r="AC51" s="1175" t="str">
        <f>Dashboard!$B37</f>
        <v>BONE &amp; JOINT HEALTH</v>
      </c>
      <c r="AD51" s="1030"/>
      <c r="AE51" s="1030"/>
      <c r="AF51" s="1029"/>
      <c r="AG51" s="1175" t="str">
        <f>Dashboard!$B37</f>
        <v>BONE &amp; JOINT HEALTH</v>
      </c>
      <c r="AH51" s="1030"/>
      <c r="AI51" s="1030"/>
      <c r="AJ51" s="1029"/>
      <c r="AK51" s="1175" t="str">
        <f>Dashboard!$B37</f>
        <v>BONE &amp; JOINT HEALTH</v>
      </c>
      <c r="AL51" s="1030"/>
      <c r="AM51" s="1030"/>
      <c r="AN51" s="1029"/>
      <c r="AO51" s="1175" t="str">
        <f>Dashboard!$B37</f>
        <v>BONE &amp; JOINT HEALTH</v>
      </c>
      <c r="AP51" s="1030"/>
      <c r="AQ51" s="1030"/>
      <c r="AR51" s="1029"/>
      <c r="AS51" s="1175" t="str">
        <f>Dashboard!$B37</f>
        <v>BONE &amp; JOINT HEALTH</v>
      </c>
      <c r="AT51" s="1030"/>
      <c r="AU51" s="1030"/>
      <c r="AV51" s="1029"/>
      <c r="AW51" s="1175" t="str">
        <f>Dashboard!$B37</f>
        <v>BONE &amp; JOINT HEALTH</v>
      </c>
      <c r="AX51" s="1030"/>
      <c r="AY51" s="1030"/>
      <c r="AZ51" s="1029"/>
      <c r="BA51" s="1175" t="str">
        <f>Dashboard!$B37</f>
        <v>BONE &amp; JOINT HEALTH</v>
      </c>
      <c r="BB51" s="1030"/>
      <c r="BC51" s="1030"/>
      <c r="BD51" s="1029"/>
      <c r="BE51" s="1175" t="str">
        <f>Dashboard!$B37</f>
        <v>BONE &amp; JOINT HEALTH</v>
      </c>
      <c r="BF51" s="1030"/>
      <c r="BG51" s="1030"/>
      <c r="BH51" s="1029"/>
      <c r="BI51" s="1175" t="str">
        <f>Dashboard!$B37</f>
        <v>BONE &amp; JOINT HEALTH</v>
      </c>
      <c r="BJ51" s="1030"/>
      <c r="BK51" s="1030"/>
      <c r="BL51" s="1029"/>
      <c r="BM51" s="1175" t="str">
        <f>Dashboard!$B37</f>
        <v>BONE &amp; JOINT HEALTH</v>
      </c>
      <c r="BN51" s="1030"/>
      <c r="BO51" s="1030"/>
      <c r="BP51" s="1029"/>
      <c r="BQ51" s="1175" t="str">
        <f>Dashboard!$B37</f>
        <v>BONE &amp; JOINT HEALTH</v>
      </c>
      <c r="BR51" s="1030"/>
      <c r="BS51" s="1030"/>
      <c r="BT51" s="1029"/>
      <c r="BU51" s="1175" t="str">
        <f>Dashboard!$B37</f>
        <v>BONE &amp; JOINT HEALTH</v>
      </c>
      <c r="BV51" s="1030"/>
      <c r="BW51" s="1030"/>
      <c r="BX51" s="1029"/>
      <c r="BY51" s="1175" t="str">
        <f>Dashboard!$B37</f>
        <v>BONE &amp; JOINT HEALTH</v>
      </c>
      <c r="BZ51" s="1030"/>
      <c r="CA51" s="1030"/>
      <c r="CB51" s="1029"/>
      <c r="CC51" s="1175" t="str">
        <f>Dashboard!$B37</f>
        <v>BONE &amp; JOINT HEALTH</v>
      </c>
      <c r="CD51" s="1030"/>
      <c r="CE51" s="1030"/>
      <c r="CF51" s="1029"/>
      <c r="CG51" s="1175" t="str">
        <f>Dashboard!$B37</f>
        <v>BONE &amp; JOINT HEALTH</v>
      </c>
      <c r="CH51" s="1030"/>
      <c r="CI51" s="1030"/>
      <c r="CJ51" s="1029"/>
      <c r="CK51" s="1175" t="str">
        <f>Dashboard!$B37</f>
        <v>BONE &amp; JOINT HEALTH</v>
      </c>
      <c r="CL51" s="1030"/>
      <c r="CM51" s="1030"/>
      <c r="CN51" s="1029"/>
      <c r="CO51" s="1175" t="str">
        <f>Dashboard!$B37</f>
        <v>BONE &amp; JOINT HEALTH</v>
      </c>
      <c r="CP51" s="1030"/>
      <c r="CQ51" s="1030"/>
      <c r="CR51" s="1029"/>
      <c r="CS51" s="1175" t="str">
        <f>Dashboard!$B37</f>
        <v>BONE &amp; JOINT HEALTH</v>
      </c>
      <c r="CT51" s="1030"/>
      <c r="CU51" s="1030"/>
      <c r="CV51" s="1029"/>
      <c r="CW51" s="1175" t="str">
        <f>Dashboard!$B37</f>
        <v>BONE &amp; JOINT HEALTH</v>
      </c>
      <c r="CX51" s="1030"/>
      <c r="CY51" s="1030"/>
      <c r="CZ51" s="1029"/>
      <c r="DA51" s="1175" t="str">
        <f>Dashboard!$B37</f>
        <v>BONE &amp; JOINT HEALTH</v>
      </c>
      <c r="DB51" s="1030"/>
      <c r="DC51" s="1030"/>
      <c r="DD51" s="1029"/>
      <c r="DE51" s="1175" t="str">
        <f>Dashboard!$B37</f>
        <v>BONE &amp; JOINT HEALTH</v>
      </c>
      <c r="DF51" s="1030"/>
      <c r="DG51" s="1030"/>
      <c r="DH51" s="1029"/>
      <c r="DI51" s="1175" t="str">
        <f>Dashboard!$B37</f>
        <v>BONE &amp; JOINT HEALTH</v>
      </c>
      <c r="DJ51" s="1030"/>
      <c r="DK51" s="1030"/>
      <c r="DL51" s="1029"/>
      <c r="DM51" s="1175" t="str">
        <f>Dashboard!$B37</f>
        <v>BONE &amp; JOINT HEALTH</v>
      </c>
      <c r="DN51" s="1030"/>
      <c r="DO51" s="1030"/>
      <c r="DP51" s="1029"/>
      <c r="DQ51" s="1175" t="str">
        <f>Dashboard!$B37</f>
        <v>BONE &amp; JOINT HEALTH</v>
      </c>
      <c r="DR51" s="1030"/>
      <c r="DS51" s="1030"/>
      <c r="DT51" s="1029"/>
      <c r="DU51" s="1175" t="str">
        <f>Dashboard!$B37</f>
        <v>BONE &amp; JOINT HEALTH</v>
      </c>
      <c r="DV51" s="1030"/>
      <c r="DW51" s="1030"/>
      <c r="DX51" s="1029"/>
      <c r="DY51" s="1175" t="str">
        <f>Dashboard!$B37</f>
        <v>BONE &amp; JOINT HEALTH</v>
      </c>
      <c r="DZ51" s="1030"/>
      <c r="EA51" s="1030"/>
      <c r="EB51" s="1029"/>
      <c r="EC51" s="1175" t="str">
        <f>Dashboard!$B37</f>
        <v>BONE &amp; JOINT HEALTH</v>
      </c>
      <c r="ED51" s="1030"/>
      <c r="EE51" s="1030"/>
      <c r="EF51" s="1029"/>
    </row>
    <row r="52" spans="1:137" ht="20" customHeight="1" x14ac:dyDescent="0.15">
      <c r="A52" s="869">
        <f>Dashboard!F38</f>
        <v>40300000</v>
      </c>
      <c r="B52" s="864" t="str">
        <f>Dashboard!$B38</f>
        <v>LIVER, DIGESTION, ALLERGIES</v>
      </c>
      <c r="C52" s="867" t="s">
        <v>79</v>
      </c>
      <c r="D52" s="797">
        <f>SUMIF($M$49:$EF$49,$D$49,$M52:$EF52)</f>
        <v>0</v>
      </c>
      <c r="E52" s="797">
        <f t="shared" ref="E52:E58" si="344">SUMIF($M$49:$EF$49,$E$49,$M52:$EF52)</f>
        <v>0</v>
      </c>
      <c r="F52" s="869">
        <f>SUMIF($M$49:$EF$49,$F$49,$M52:$EF52)</f>
        <v>0</v>
      </c>
      <c r="G52" s="798">
        <f>_xlfn.IFS($F$50=0,0,F52&lt;=$F$50,F52/$F$50,F52&gt;$F$50,1)</f>
        <v>0</v>
      </c>
      <c r="H52" s="864" t="str">
        <f>Dashboard!$B38</f>
        <v>LIVER, DIGESTION, ALLERGIES</v>
      </c>
      <c r="I52" s="867" t="s">
        <v>79</v>
      </c>
      <c r="J52" s="797">
        <f t="shared" ca="1" si="343"/>
        <v>0</v>
      </c>
      <c r="K52" s="797">
        <f t="shared" ca="1" si="343"/>
        <v>0</v>
      </c>
      <c r="L52" s="887">
        <f t="shared" ca="1" si="343"/>
        <v>0</v>
      </c>
      <c r="M52" s="1175" t="str">
        <f>Dashboard!$B38</f>
        <v>LIVER, DIGESTION, ALLERGIES</v>
      </c>
      <c r="N52" s="1030"/>
      <c r="O52" s="1030"/>
      <c r="P52" s="1029"/>
      <c r="Q52" s="1175" t="str">
        <f>Dashboard!$B38</f>
        <v>LIVER, DIGESTION, ALLERGIES</v>
      </c>
      <c r="R52" s="1030"/>
      <c r="S52" s="1030"/>
      <c r="T52" s="1029"/>
      <c r="U52" s="1175" t="str">
        <f>Dashboard!$B38</f>
        <v>LIVER, DIGESTION, ALLERGIES</v>
      </c>
      <c r="V52" s="1030"/>
      <c r="W52" s="1030"/>
      <c r="X52" s="1029"/>
      <c r="Y52" s="1175" t="str">
        <f>Dashboard!$B38</f>
        <v>LIVER, DIGESTION, ALLERGIES</v>
      </c>
      <c r="Z52" s="1030"/>
      <c r="AA52" s="1030"/>
      <c r="AB52" s="1029"/>
      <c r="AC52" s="1175" t="str">
        <f>Dashboard!$B38</f>
        <v>LIVER, DIGESTION, ALLERGIES</v>
      </c>
      <c r="AD52" s="1030"/>
      <c r="AE52" s="1030"/>
      <c r="AF52" s="1029"/>
      <c r="AG52" s="1175" t="str">
        <f>Dashboard!$B38</f>
        <v>LIVER, DIGESTION, ALLERGIES</v>
      </c>
      <c r="AH52" s="1030"/>
      <c r="AI52" s="1030"/>
      <c r="AJ52" s="1029"/>
      <c r="AK52" s="1175" t="str">
        <f>Dashboard!$B38</f>
        <v>LIVER, DIGESTION, ALLERGIES</v>
      </c>
      <c r="AL52" s="1030"/>
      <c r="AM52" s="1030"/>
      <c r="AN52" s="1029"/>
      <c r="AO52" s="1175" t="str">
        <f>Dashboard!$B38</f>
        <v>LIVER, DIGESTION, ALLERGIES</v>
      </c>
      <c r="AP52" s="1030"/>
      <c r="AQ52" s="1030"/>
      <c r="AR52" s="1029"/>
      <c r="AS52" s="1175" t="str">
        <f>Dashboard!$B38</f>
        <v>LIVER, DIGESTION, ALLERGIES</v>
      </c>
      <c r="AT52" s="1030"/>
      <c r="AU52" s="1030"/>
      <c r="AV52" s="1029"/>
      <c r="AW52" s="1175" t="str">
        <f>Dashboard!$B38</f>
        <v>LIVER, DIGESTION, ALLERGIES</v>
      </c>
      <c r="AX52" s="1030"/>
      <c r="AY52" s="1030"/>
      <c r="AZ52" s="1029"/>
      <c r="BA52" s="1175" t="str">
        <f>Dashboard!$B38</f>
        <v>LIVER, DIGESTION, ALLERGIES</v>
      </c>
      <c r="BB52" s="1030"/>
      <c r="BC52" s="1030"/>
      <c r="BD52" s="1029"/>
      <c r="BE52" s="1175" t="str">
        <f>Dashboard!$B38</f>
        <v>LIVER, DIGESTION, ALLERGIES</v>
      </c>
      <c r="BF52" s="1030"/>
      <c r="BG52" s="1030"/>
      <c r="BH52" s="1029"/>
      <c r="BI52" s="1175" t="str">
        <f>Dashboard!$B38</f>
        <v>LIVER, DIGESTION, ALLERGIES</v>
      </c>
      <c r="BJ52" s="1030"/>
      <c r="BK52" s="1030"/>
      <c r="BL52" s="1029"/>
      <c r="BM52" s="1175" t="str">
        <f>Dashboard!$B38</f>
        <v>LIVER, DIGESTION, ALLERGIES</v>
      </c>
      <c r="BN52" s="1030"/>
      <c r="BO52" s="1030"/>
      <c r="BP52" s="1029"/>
      <c r="BQ52" s="1175" t="str">
        <f>Dashboard!$B38</f>
        <v>LIVER, DIGESTION, ALLERGIES</v>
      </c>
      <c r="BR52" s="1030"/>
      <c r="BS52" s="1030"/>
      <c r="BT52" s="1029"/>
      <c r="BU52" s="1175" t="str">
        <f>Dashboard!$B38</f>
        <v>LIVER, DIGESTION, ALLERGIES</v>
      </c>
      <c r="BV52" s="1030"/>
      <c r="BW52" s="1030"/>
      <c r="BX52" s="1029"/>
      <c r="BY52" s="1175" t="str">
        <f>Dashboard!$B38</f>
        <v>LIVER, DIGESTION, ALLERGIES</v>
      </c>
      <c r="BZ52" s="1030"/>
      <c r="CA52" s="1030"/>
      <c r="CB52" s="1029"/>
      <c r="CC52" s="1175" t="str">
        <f>Dashboard!$B38</f>
        <v>LIVER, DIGESTION, ALLERGIES</v>
      </c>
      <c r="CD52" s="1030"/>
      <c r="CE52" s="1030"/>
      <c r="CF52" s="1029"/>
      <c r="CG52" s="1175" t="str">
        <f>Dashboard!$B38</f>
        <v>LIVER, DIGESTION, ALLERGIES</v>
      </c>
      <c r="CH52" s="1030"/>
      <c r="CI52" s="1030"/>
      <c r="CJ52" s="1029"/>
      <c r="CK52" s="1175" t="str">
        <f>Dashboard!$B38</f>
        <v>LIVER, DIGESTION, ALLERGIES</v>
      </c>
      <c r="CL52" s="1030"/>
      <c r="CM52" s="1030"/>
      <c r="CN52" s="1029"/>
      <c r="CO52" s="1175" t="str">
        <f>Dashboard!$B38</f>
        <v>LIVER, DIGESTION, ALLERGIES</v>
      </c>
      <c r="CP52" s="1030"/>
      <c r="CQ52" s="1030"/>
      <c r="CR52" s="1029"/>
      <c r="CS52" s="1175" t="str">
        <f>Dashboard!$B38</f>
        <v>LIVER, DIGESTION, ALLERGIES</v>
      </c>
      <c r="CT52" s="1030"/>
      <c r="CU52" s="1030"/>
      <c r="CV52" s="1029"/>
      <c r="CW52" s="1175" t="str">
        <f>Dashboard!$B38</f>
        <v>LIVER, DIGESTION, ALLERGIES</v>
      </c>
      <c r="CX52" s="1030"/>
      <c r="CY52" s="1030"/>
      <c r="CZ52" s="1029"/>
      <c r="DA52" s="1175" t="str">
        <f>Dashboard!$B38</f>
        <v>LIVER, DIGESTION, ALLERGIES</v>
      </c>
      <c r="DB52" s="1030"/>
      <c r="DC52" s="1030"/>
      <c r="DD52" s="1029"/>
      <c r="DE52" s="1175" t="str">
        <f>Dashboard!$B38</f>
        <v>LIVER, DIGESTION, ALLERGIES</v>
      </c>
      <c r="DF52" s="1030"/>
      <c r="DG52" s="1030"/>
      <c r="DH52" s="1029"/>
      <c r="DI52" s="1175" t="str">
        <f>Dashboard!$B38</f>
        <v>LIVER, DIGESTION, ALLERGIES</v>
      </c>
      <c r="DJ52" s="1030"/>
      <c r="DK52" s="1030"/>
      <c r="DL52" s="1029"/>
      <c r="DM52" s="1175" t="str">
        <f>Dashboard!$B38</f>
        <v>LIVER, DIGESTION, ALLERGIES</v>
      </c>
      <c r="DN52" s="1030"/>
      <c r="DO52" s="1030"/>
      <c r="DP52" s="1029"/>
      <c r="DQ52" s="1175" t="str">
        <f>Dashboard!$B38</f>
        <v>LIVER, DIGESTION, ALLERGIES</v>
      </c>
      <c r="DR52" s="1030"/>
      <c r="DS52" s="1030"/>
      <c r="DT52" s="1029"/>
      <c r="DU52" s="1175" t="str">
        <f>Dashboard!$B38</f>
        <v>LIVER, DIGESTION, ALLERGIES</v>
      </c>
      <c r="DV52" s="1030"/>
      <c r="DW52" s="1030"/>
      <c r="DX52" s="1029"/>
      <c r="DY52" s="1175" t="str">
        <f>Dashboard!$B38</f>
        <v>LIVER, DIGESTION, ALLERGIES</v>
      </c>
      <c r="DZ52" s="1030"/>
      <c r="EA52" s="1030"/>
      <c r="EB52" s="1029"/>
      <c r="EC52" s="1175" t="str">
        <f>Dashboard!$B38</f>
        <v>LIVER, DIGESTION, ALLERGIES</v>
      </c>
      <c r="ED52" s="1030"/>
      <c r="EE52" s="1030"/>
      <c r="EF52" s="1029"/>
    </row>
    <row r="53" spans="1:137" ht="20" customHeight="1" x14ac:dyDescent="0.15">
      <c r="A53" s="869">
        <f>Dashboard!F39</f>
        <v>40300000</v>
      </c>
      <c r="B53" s="864" t="str">
        <f>Dashboard!$B39</f>
        <v>BRAIN &amp; EYE HEALTH</v>
      </c>
      <c r="C53" s="867" t="s">
        <v>79</v>
      </c>
      <c r="D53" s="797">
        <f>SUMIF($M$49:$EF$49,$D$49,$M53:$EF53)</f>
        <v>0</v>
      </c>
      <c r="E53" s="797">
        <f>SUMIF($M$49:$EF$49,$E$49,$M53:$EF53)</f>
        <v>0</v>
      </c>
      <c r="F53" s="869">
        <f t="shared" ref="F53:F56" si="345">SUMIF($M$49:$EF$49,$F$49,$M53:$EF53)</f>
        <v>0</v>
      </c>
      <c r="G53" s="798">
        <f>_xlfn.IFS($F$50=0,0,F53&lt;=$F$50,F53/$F$50,F53&gt;$F$50,1)</f>
        <v>0</v>
      </c>
      <c r="H53" s="864" t="str">
        <f>Dashboard!$B39</f>
        <v>BRAIN &amp; EYE HEALTH</v>
      </c>
      <c r="I53" s="867" t="s">
        <v>79</v>
      </c>
      <c r="J53" s="797">
        <f t="shared" ca="1" si="343"/>
        <v>0</v>
      </c>
      <c r="K53" s="797">
        <f t="shared" ca="1" si="343"/>
        <v>0</v>
      </c>
      <c r="L53" s="887">
        <f t="shared" ca="1" si="343"/>
        <v>0</v>
      </c>
      <c r="M53" s="1175" t="str">
        <f>Dashboard!$B39</f>
        <v>BRAIN &amp; EYE HEALTH</v>
      </c>
      <c r="N53" s="1030"/>
      <c r="O53" s="1030"/>
      <c r="P53" s="1029"/>
      <c r="Q53" s="1175" t="str">
        <f>Dashboard!$B39</f>
        <v>BRAIN &amp; EYE HEALTH</v>
      </c>
      <c r="R53" s="1030"/>
      <c r="S53" s="1030"/>
      <c r="T53" s="1029"/>
      <c r="U53" s="1175" t="str">
        <f>Dashboard!$B39</f>
        <v>BRAIN &amp; EYE HEALTH</v>
      </c>
      <c r="V53" s="1030"/>
      <c r="W53" s="1030"/>
      <c r="X53" s="1029"/>
      <c r="Y53" s="1175" t="str">
        <f>Dashboard!$B39</f>
        <v>BRAIN &amp; EYE HEALTH</v>
      </c>
      <c r="Z53" s="1030"/>
      <c r="AA53" s="1030"/>
      <c r="AB53" s="1029"/>
      <c r="AC53" s="1175" t="str">
        <f>Dashboard!$B39</f>
        <v>BRAIN &amp; EYE HEALTH</v>
      </c>
      <c r="AD53" s="1030"/>
      <c r="AE53" s="1030"/>
      <c r="AF53" s="1029"/>
      <c r="AG53" s="1175" t="str">
        <f>Dashboard!$B39</f>
        <v>BRAIN &amp; EYE HEALTH</v>
      </c>
      <c r="AH53" s="1030"/>
      <c r="AI53" s="1030"/>
      <c r="AJ53" s="1029"/>
      <c r="AK53" s="1175" t="str">
        <f>Dashboard!$B39</f>
        <v>BRAIN &amp; EYE HEALTH</v>
      </c>
      <c r="AL53" s="1030"/>
      <c r="AM53" s="1030"/>
      <c r="AN53" s="1029"/>
      <c r="AO53" s="1175" t="str">
        <f>Dashboard!$B39</f>
        <v>BRAIN &amp; EYE HEALTH</v>
      </c>
      <c r="AP53" s="1030"/>
      <c r="AQ53" s="1030"/>
      <c r="AR53" s="1029"/>
      <c r="AS53" s="1175" t="str">
        <f>Dashboard!$B39</f>
        <v>BRAIN &amp; EYE HEALTH</v>
      </c>
      <c r="AT53" s="1030"/>
      <c r="AU53" s="1030"/>
      <c r="AV53" s="1029"/>
      <c r="AW53" s="1175" t="str">
        <f>Dashboard!$B39</f>
        <v>BRAIN &amp; EYE HEALTH</v>
      </c>
      <c r="AX53" s="1030"/>
      <c r="AY53" s="1030"/>
      <c r="AZ53" s="1029"/>
      <c r="BA53" s="1175" t="str">
        <f>Dashboard!$B39</f>
        <v>BRAIN &amp; EYE HEALTH</v>
      </c>
      <c r="BB53" s="1030"/>
      <c r="BC53" s="1030"/>
      <c r="BD53" s="1029"/>
      <c r="BE53" s="1175" t="str">
        <f>Dashboard!$B39</f>
        <v>BRAIN &amp; EYE HEALTH</v>
      </c>
      <c r="BF53" s="1030"/>
      <c r="BG53" s="1030"/>
      <c r="BH53" s="1029"/>
      <c r="BI53" s="1175" t="str">
        <f>Dashboard!$B39</f>
        <v>BRAIN &amp; EYE HEALTH</v>
      </c>
      <c r="BJ53" s="1030"/>
      <c r="BK53" s="1030"/>
      <c r="BL53" s="1029"/>
      <c r="BM53" s="1175" t="str">
        <f>Dashboard!$B39</f>
        <v>BRAIN &amp; EYE HEALTH</v>
      </c>
      <c r="BN53" s="1030"/>
      <c r="BO53" s="1030"/>
      <c r="BP53" s="1029"/>
      <c r="BQ53" s="1175" t="str">
        <f>Dashboard!$B39</f>
        <v>BRAIN &amp; EYE HEALTH</v>
      </c>
      <c r="BR53" s="1030"/>
      <c r="BS53" s="1030"/>
      <c r="BT53" s="1029"/>
      <c r="BU53" s="1175" t="str">
        <f>Dashboard!$B39</f>
        <v>BRAIN &amp; EYE HEALTH</v>
      </c>
      <c r="BV53" s="1030"/>
      <c r="BW53" s="1030"/>
      <c r="BX53" s="1029"/>
      <c r="BY53" s="1175" t="str">
        <f>Dashboard!$B39</f>
        <v>BRAIN &amp; EYE HEALTH</v>
      </c>
      <c r="BZ53" s="1030"/>
      <c r="CA53" s="1030"/>
      <c r="CB53" s="1029"/>
      <c r="CC53" s="1175" t="str">
        <f>Dashboard!$B39</f>
        <v>BRAIN &amp; EYE HEALTH</v>
      </c>
      <c r="CD53" s="1030"/>
      <c r="CE53" s="1030"/>
      <c r="CF53" s="1029"/>
      <c r="CG53" s="1175" t="str">
        <f>Dashboard!$B39</f>
        <v>BRAIN &amp; EYE HEALTH</v>
      </c>
      <c r="CH53" s="1030"/>
      <c r="CI53" s="1030"/>
      <c r="CJ53" s="1029"/>
      <c r="CK53" s="1175" t="str">
        <f>Dashboard!$B39</f>
        <v>BRAIN &amp; EYE HEALTH</v>
      </c>
      <c r="CL53" s="1030"/>
      <c r="CM53" s="1030"/>
      <c r="CN53" s="1029"/>
      <c r="CO53" s="1175" t="str">
        <f>Dashboard!$B39</f>
        <v>BRAIN &amp; EYE HEALTH</v>
      </c>
      <c r="CP53" s="1030"/>
      <c r="CQ53" s="1030"/>
      <c r="CR53" s="1029"/>
      <c r="CS53" s="1175" t="str">
        <f>Dashboard!$B39</f>
        <v>BRAIN &amp; EYE HEALTH</v>
      </c>
      <c r="CT53" s="1030"/>
      <c r="CU53" s="1030"/>
      <c r="CV53" s="1029"/>
      <c r="CW53" s="1175" t="str">
        <f>Dashboard!$B39</f>
        <v>BRAIN &amp; EYE HEALTH</v>
      </c>
      <c r="CX53" s="1030"/>
      <c r="CY53" s="1030"/>
      <c r="CZ53" s="1029"/>
      <c r="DA53" s="1175" t="str">
        <f>Dashboard!$B39</f>
        <v>BRAIN &amp; EYE HEALTH</v>
      </c>
      <c r="DB53" s="1030"/>
      <c r="DC53" s="1030"/>
      <c r="DD53" s="1029"/>
      <c r="DE53" s="1175" t="str">
        <f>Dashboard!$B39</f>
        <v>BRAIN &amp; EYE HEALTH</v>
      </c>
      <c r="DF53" s="1030"/>
      <c r="DG53" s="1030"/>
      <c r="DH53" s="1029"/>
      <c r="DI53" s="1175" t="str">
        <f>Dashboard!$B39</f>
        <v>BRAIN &amp; EYE HEALTH</v>
      </c>
      <c r="DJ53" s="1030"/>
      <c r="DK53" s="1030"/>
      <c r="DL53" s="1029"/>
      <c r="DM53" s="1175" t="str">
        <f>Dashboard!$B39</f>
        <v>BRAIN &amp; EYE HEALTH</v>
      </c>
      <c r="DN53" s="1030"/>
      <c r="DO53" s="1030"/>
      <c r="DP53" s="1029"/>
      <c r="DQ53" s="1175" t="str">
        <f>Dashboard!$B39</f>
        <v>BRAIN &amp; EYE HEALTH</v>
      </c>
      <c r="DR53" s="1030"/>
      <c r="DS53" s="1030"/>
      <c r="DT53" s="1029"/>
      <c r="DU53" s="1175" t="str">
        <f>Dashboard!$B39</f>
        <v>BRAIN &amp; EYE HEALTH</v>
      </c>
      <c r="DV53" s="1030"/>
      <c r="DW53" s="1030"/>
      <c r="DX53" s="1029"/>
      <c r="DY53" s="1175" t="str">
        <f>Dashboard!$B39</f>
        <v>BRAIN &amp; EYE HEALTH</v>
      </c>
      <c r="DZ53" s="1030"/>
      <c r="EA53" s="1030"/>
      <c r="EB53" s="1029"/>
      <c r="EC53" s="1175" t="str">
        <f>Dashboard!$B39</f>
        <v>BRAIN &amp; EYE HEALTH</v>
      </c>
      <c r="ED53" s="1030"/>
      <c r="EE53" s="1030"/>
      <c r="EF53" s="1029"/>
    </row>
    <row r="54" spans="1:137" ht="20" customHeight="1" x14ac:dyDescent="0.15">
      <c r="A54" s="869">
        <f>Dashboard!F40</f>
        <v>40300000</v>
      </c>
      <c r="B54" s="864" t="str">
        <f>Dashboard!$B40</f>
        <v>CARDIOVASCULAR HEALTH</v>
      </c>
      <c r="C54" s="867" t="s">
        <v>79</v>
      </c>
      <c r="D54" s="797">
        <f>SUMIF($M$49:$EF$49,$D$49,$M54:$EF54)</f>
        <v>0</v>
      </c>
      <c r="E54" s="797">
        <f t="shared" si="344"/>
        <v>0</v>
      </c>
      <c r="F54" s="869">
        <f t="shared" si="345"/>
        <v>0</v>
      </c>
      <c r="G54" s="798">
        <f>_xlfn.IFS($F$50=0,0,F54&lt;=$F$50,F54/$F$50,F54&gt;$F$50,1)</f>
        <v>0</v>
      </c>
      <c r="H54" s="864" t="str">
        <f>Dashboard!$B40</f>
        <v>CARDIOVASCULAR HEALTH</v>
      </c>
      <c r="I54" s="867" t="s">
        <v>79</v>
      </c>
      <c r="J54" s="797">
        <f t="shared" ca="1" si="343"/>
        <v>0</v>
      </c>
      <c r="K54" s="797">
        <f t="shared" ca="1" si="343"/>
        <v>0</v>
      </c>
      <c r="L54" s="887">
        <f t="shared" ca="1" si="343"/>
        <v>0</v>
      </c>
      <c r="M54" s="1175" t="str">
        <f>Dashboard!$B40</f>
        <v>CARDIOVASCULAR HEALTH</v>
      </c>
      <c r="N54" s="1030"/>
      <c r="O54" s="1030"/>
      <c r="P54" s="1029"/>
      <c r="Q54" s="1175" t="str">
        <f>Dashboard!$B40</f>
        <v>CARDIOVASCULAR HEALTH</v>
      </c>
      <c r="R54" s="1030"/>
      <c r="S54" s="1030"/>
      <c r="T54" s="1029"/>
      <c r="U54" s="1175" t="str">
        <f>Dashboard!$B40</f>
        <v>CARDIOVASCULAR HEALTH</v>
      </c>
      <c r="V54" s="1030"/>
      <c r="W54" s="1030"/>
      <c r="X54" s="1029"/>
      <c r="Y54" s="1175" t="str">
        <f>Dashboard!$B40</f>
        <v>CARDIOVASCULAR HEALTH</v>
      </c>
      <c r="Z54" s="1030"/>
      <c r="AA54" s="1030"/>
      <c r="AB54" s="1029"/>
      <c r="AC54" s="1175" t="str">
        <f>Dashboard!$B40</f>
        <v>CARDIOVASCULAR HEALTH</v>
      </c>
      <c r="AD54" s="1030"/>
      <c r="AE54" s="1030"/>
      <c r="AF54" s="1029"/>
      <c r="AG54" s="1175" t="str">
        <f>Dashboard!$B40</f>
        <v>CARDIOVASCULAR HEALTH</v>
      </c>
      <c r="AH54" s="1030"/>
      <c r="AI54" s="1030"/>
      <c r="AJ54" s="1029"/>
      <c r="AK54" s="1175" t="str">
        <f>Dashboard!$B40</f>
        <v>CARDIOVASCULAR HEALTH</v>
      </c>
      <c r="AL54" s="1030"/>
      <c r="AM54" s="1030"/>
      <c r="AN54" s="1029"/>
      <c r="AO54" s="1175" t="str">
        <f>Dashboard!$B40</f>
        <v>CARDIOVASCULAR HEALTH</v>
      </c>
      <c r="AP54" s="1030"/>
      <c r="AQ54" s="1030"/>
      <c r="AR54" s="1029"/>
      <c r="AS54" s="1175" t="str">
        <f>Dashboard!$B40</f>
        <v>CARDIOVASCULAR HEALTH</v>
      </c>
      <c r="AT54" s="1030"/>
      <c r="AU54" s="1030"/>
      <c r="AV54" s="1029"/>
      <c r="AW54" s="1175" t="str">
        <f>Dashboard!$B40</f>
        <v>CARDIOVASCULAR HEALTH</v>
      </c>
      <c r="AX54" s="1030"/>
      <c r="AY54" s="1030"/>
      <c r="AZ54" s="1029"/>
      <c r="BA54" s="1175" t="str">
        <f>Dashboard!$B40</f>
        <v>CARDIOVASCULAR HEALTH</v>
      </c>
      <c r="BB54" s="1030"/>
      <c r="BC54" s="1030"/>
      <c r="BD54" s="1029"/>
      <c r="BE54" s="1175" t="str">
        <f>Dashboard!$B40</f>
        <v>CARDIOVASCULAR HEALTH</v>
      </c>
      <c r="BF54" s="1030"/>
      <c r="BG54" s="1030"/>
      <c r="BH54" s="1029"/>
      <c r="BI54" s="1175" t="str">
        <f>Dashboard!$B40</f>
        <v>CARDIOVASCULAR HEALTH</v>
      </c>
      <c r="BJ54" s="1030"/>
      <c r="BK54" s="1030"/>
      <c r="BL54" s="1029"/>
      <c r="BM54" s="1175" t="str">
        <f>Dashboard!$B40</f>
        <v>CARDIOVASCULAR HEALTH</v>
      </c>
      <c r="BN54" s="1030"/>
      <c r="BO54" s="1030"/>
      <c r="BP54" s="1029"/>
      <c r="BQ54" s="1175" t="str">
        <f>Dashboard!$B40</f>
        <v>CARDIOVASCULAR HEALTH</v>
      </c>
      <c r="BR54" s="1030"/>
      <c r="BS54" s="1030"/>
      <c r="BT54" s="1029"/>
      <c r="BU54" s="1175" t="str">
        <f>Dashboard!$B40</f>
        <v>CARDIOVASCULAR HEALTH</v>
      </c>
      <c r="BV54" s="1030"/>
      <c r="BW54" s="1030"/>
      <c r="BX54" s="1029"/>
      <c r="BY54" s="1175" t="str">
        <f>Dashboard!$B40</f>
        <v>CARDIOVASCULAR HEALTH</v>
      </c>
      <c r="BZ54" s="1030"/>
      <c r="CA54" s="1030"/>
      <c r="CB54" s="1029"/>
      <c r="CC54" s="1175" t="str">
        <f>Dashboard!$B40</f>
        <v>CARDIOVASCULAR HEALTH</v>
      </c>
      <c r="CD54" s="1030"/>
      <c r="CE54" s="1030"/>
      <c r="CF54" s="1029"/>
      <c r="CG54" s="1175" t="str">
        <f>Dashboard!$B40</f>
        <v>CARDIOVASCULAR HEALTH</v>
      </c>
      <c r="CH54" s="1030"/>
      <c r="CI54" s="1030"/>
      <c r="CJ54" s="1029"/>
      <c r="CK54" s="1175" t="str">
        <f>Dashboard!$B40</f>
        <v>CARDIOVASCULAR HEALTH</v>
      </c>
      <c r="CL54" s="1030"/>
      <c r="CM54" s="1030"/>
      <c r="CN54" s="1029"/>
      <c r="CO54" s="1175" t="str">
        <f>Dashboard!$B40</f>
        <v>CARDIOVASCULAR HEALTH</v>
      </c>
      <c r="CP54" s="1030"/>
      <c r="CQ54" s="1030"/>
      <c r="CR54" s="1029"/>
      <c r="CS54" s="1175" t="str">
        <f>Dashboard!$B40</f>
        <v>CARDIOVASCULAR HEALTH</v>
      </c>
      <c r="CT54" s="1030"/>
      <c r="CU54" s="1030"/>
      <c r="CV54" s="1029"/>
      <c r="CW54" s="1175" t="str">
        <f>Dashboard!$B40</f>
        <v>CARDIOVASCULAR HEALTH</v>
      </c>
      <c r="CX54" s="1030"/>
      <c r="CY54" s="1030"/>
      <c r="CZ54" s="1029"/>
      <c r="DA54" s="1175" t="str">
        <f>Dashboard!$B40</f>
        <v>CARDIOVASCULAR HEALTH</v>
      </c>
      <c r="DB54" s="1030"/>
      <c r="DC54" s="1030"/>
      <c r="DD54" s="1029"/>
      <c r="DE54" s="1175" t="str">
        <f>Dashboard!$B40</f>
        <v>CARDIOVASCULAR HEALTH</v>
      </c>
      <c r="DF54" s="1030"/>
      <c r="DG54" s="1030"/>
      <c r="DH54" s="1029"/>
      <c r="DI54" s="1175" t="str">
        <f>Dashboard!$B40</f>
        <v>CARDIOVASCULAR HEALTH</v>
      </c>
      <c r="DJ54" s="1030"/>
      <c r="DK54" s="1030"/>
      <c r="DL54" s="1029"/>
      <c r="DM54" s="1175" t="str">
        <f>Dashboard!$B40</f>
        <v>CARDIOVASCULAR HEALTH</v>
      </c>
      <c r="DN54" s="1030"/>
      <c r="DO54" s="1030"/>
      <c r="DP54" s="1029"/>
      <c r="DQ54" s="1175" t="str">
        <f>Dashboard!$B40</f>
        <v>CARDIOVASCULAR HEALTH</v>
      </c>
      <c r="DR54" s="1030"/>
      <c r="DS54" s="1030"/>
      <c r="DT54" s="1029"/>
      <c r="DU54" s="1175" t="str">
        <f>Dashboard!$B40</f>
        <v>CARDIOVASCULAR HEALTH</v>
      </c>
      <c r="DV54" s="1030"/>
      <c r="DW54" s="1030"/>
      <c r="DX54" s="1029"/>
      <c r="DY54" s="1175" t="str">
        <f>Dashboard!$B40</f>
        <v>CARDIOVASCULAR HEALTH</v>
      </c>
      <c r="DZ54" s="1030"/>
      <c r="EA54" s="1030"/>
      <c r="EB54" s="1029"/>
      <c r="EC54" s="1175" t="str">
        <f>Dashboard!$B40</f>
        <v>CARDIOVASCULAR HEALTH</v>
      </c>
      <c r="ED54" s="1030"/>
      <c r="EE54" s="1030"/>
      <c r="EF54" s="1029"/>
    </row>
    <row r="55" spans="1:137" ht="20" customHeight="1" x14ac:dyDescent="0.15">
      <c r="A55" s="869">
        <f>Dashboard!F41</f>
        <v>40300000</v>
      </c>
      <c r="B55" s="864" t="str">
        <f>Dashboard!$B41</f>
        <v>SKIN, HAIR, AND WEIGHT MANAGEMENT</v>
      </c>
      <c r="C55" s="867" t="s">
        <v>79</v>
      </c>
      <c r="D55" s="797">
        <f>SUMIF($M$49:$EF$49,$D$49,$M55:$EF55)</f>
        <v>0</v>
      </c>
      <c r="E55" s="797">
        <f>SUMIF($M$49:$EF$49,$E$49,$M55:$EF55)</f>
        <v>0</v>
      </c>
      <c r="F55" s="869">
        <f t="shared" si="345"/>
        <v>0</v>
      </c>
      <c r="G55" s="798">
        <f t="shared" ref="G55:G56" si="346">_xlfn.IFS($F$50=0,0,F55&lt;=$F$50,F55/$F$50,F55&gt;$F$50,1)</f>
        <v>0</v>
      </c>
      <c r="H55" s="864" t="str">
        <f>Dashboard!$B41</f>
        <v>SKIN, HAIR, AND WEIGHT MANAGEMENT</v>
      </c>
      <c r="I55" s="867" t="s">
        <v>79</v>
      </c>
      <c r="J55" s="797">
        <f t="shared" ca="1" si="343"/>
        <v>0</v>
      </c>
      <c r="K55" s="797">
        <f t="shared" ca="1" si="343"/>
        <v>0</v>
      </c>
      <c r="L55" s="887">
        <f t="shared" ca="1" si="343"/>
        <v>0</v>
      </c>
      <c r="M55" s="1175" t="str">
        <f>Dashboard!$B41</f>
        <v>SKIN, HAIR, AND WEIGHT MANAGEMENT</v>
      </c>
      <c r="N55" s="1030"/>
      <c r="O55" s="1030"/>
      <c r="P55" s="1029"/>
      <c r="Q55" s="1175" t="str">
        <f>Dashboard!$B41</f>
        <v>SKIN, HAIR, AND WEIGHT MANAGEMENT</v>
      </c>
      <c r="R55" s="1030"/>
      <c r="S55" s="1030"/>
      <c r="T55" s="1029"/>
      <c r="U55" s="1175" t="str">
        <f>Dashboard!$B41</f>
        <v>SKIN, HAIR, AND WEIGHT MANAGEMENT</v>
      </c>
      <c r="V55" s="1030"/>
      <c r="W55" s="1030"/>
      <c r="X55" s="1029"/>
      <c r="Y55" s="1175" t="str">
        <f>Dashboard!$B41</f>
        <v>SKIN, HAIR, AND WEIGHT MANAGEMENT</v>
      </c>
      <c r="Z55" s="1030"/>
      <c r="AA55" s="1030"/>
      <c r="AB55" s="1029"/>
      <c r="AC55" s="1175" t="str">
        <f>Dashboard!$B41</f>
        <v>SKIN, HAIR, AND WEIGHT MANAGEMENT</v>
      </c>
      <c r="AD55" s="1030"/>
      <c r="AE55" s="1030"/>
      <c r="AF55" s="1029"/>
      <c r="AG55" s="1175" t="str">
        <f>Dashboard!$B41</f>
        <v>SKIN, HAIR, AND WEIGHT MANAGEMENT</v>
      </c>
      <c r="AH55" s="1030"/>
      <c r="AI55" s="1030"/>
      <c r="AJ55" s="1029"/>
      <c r="AK55" s="1175" t="str">
        <f>Dashboard!$B41</f>
        <v>SKIN, HAIR, AND WEIGHT MANAGEMENT</v>
      </c>
      <c r="AL55" s="1030"/>
      <c r="AM55" s="1030"/>
      <c r="AN55" s="1029"/>
      <c r="AO55" s="1175" t="str">
        <f>Dashboard!$B41</f>
        <v>SKIN, HAIR, AND WEIGHT MANAGEMENT</v>
      </c>
      <c r="AP55" s="1030"/>
      <c r="AQ55" s="1030"/>
      <c r="AR55" s="1029"/>
      <c r="AS55" s="1175" t="str">
        <f>Dashboard!$B41</f>
        <v>SKIN, HAIR, AND WEIGHT MANAGEMENT</v>
      </c>
      <c r="AT55" s="1030"/>
      <c r="AU55" s="1030"/>
      <c r="AV55" s="1029"/>
      <c r="AW55" s="1175" t="str">
        <f>Dashboard!$B41</f>
        <v>SKIN, HAIR, AND WEIGHT MANAGEMENT</v>
      </c>
      <c r="AX55" s="1030"/>
      <c r="AY55" s="1030"/>
      <c r="AZ55" s="1029"/>
      <c r="BA55" s="1175" t="str">
        <f>Dashboard!$B41</f>
        <v>SKIN, HAIR, AND WEIGHT MANAGEMENT</v>
      </c>
      <c r="BB55" s="1030"/>
      <c r="BC55" s="1030"/>
      <c r="BD55" s="1029"/>
      <c r="BE55" s="1175" t="str">
        <f>Dashboard!$B41</f>
        <v>SKIN, HAIR, AND WEIGHT MANAGEMENT</v>
      </c>
      <c r="BF55" s="1030"/>
      <c r="BG55" s="1030"/>
      <c r="BH55" s="1029"/>
      <c r="BI55" s="1175" t="str">
        <f>Dashboard!$B41</f>
        <v>SKIN, HAIR, AND WEIGHT MANAGEMENT</v>
      </c>
      <c r="BJ55" s="1030"/>
      <c r="BK55" s="1030"/>
      <c r="BL55" s="1029"/>
      <c r="BM55" s="1175" t="str">
        <f>Dashboard!$B41</f>
        <v>SKIN, HAIR, AND WEIGHT MANAGEMENT</v>
      </c>
      <c r="BN55" s="1030"/>
      <c r="BO55" s="1030"/>
      <c r="BP55" s="1029"/>
      <c r="BQ55" s="1175" t="str">
        <f>Dashboard!$B41</f>
        <v>SKIN, HAIR, AND WEIGHT MANAGEMENT</v>
      </c>
      <c r="BR55" s="1030"/>
      <c r="BS55" s="1030"/>
      <c r="BT55" s="1029"/>
      <c r="BU55" s="1175" t="str">
        <f>Dashboard!$B41</f>
        <v>SKIN, HAIR, AND WEIGHT MANAGEMENT</v>
      </c>
      <c r="BV55" s="1030"/>
      <c r="BW55" s="1030"/>
      <c r="BX55" s="1029"/>
      <c r="BY55" s="1175" t="str">
        <f>Dashboard!$B41</f>
        <v>SKIN, HAIR, AND WEIGHT MANAGEMENT</v>
      </c>
      <c r="BZ55" s="1030"/>
      <c r="CA55" s="1030"/>
      <c r="CB55" s="1029"/>
      <c r="CC55" s="1175" t="str">
        <f>Dashboard!$B41</f>
        <v>SKIN, HAIR, AND WEIGHT MANAGEMENT</v>
      </c>
      <c r="CD55" s="1030"/>
      <c r="CE55" s="1030"/>
      <c r="CF55" s="1029"/>
      <c r="CG55" s="1175" t="str">
        <f>Dashboard!$B41</f>
        <v>SKIN, HAIR, AND WEIGHT MANAGEMENT</v>
      </c>
      <c r="CH55" s="1030"/>
      <c r="CI55" s="1030"/>
      <c r="CJ55" s="1029"/>
      <c r="CK55" s="1175" t="str">
        <f>Dashboard!$B41</f>
        <v>SKIN, HAIR, AND WEIGHT MANAGEMENT</v>
      </c>
      <c r="CL55" s="1030"/>
      <c r="CM55" s="1030"/>
      <c r="CN55" s="1029"/>
      <c r="CO55" s="1175" t="str">
        <f>Dashboard!$B41</f>
        <v>SKIN, HAIR, AND WEIGHT MANAGEMENT</v>
      </c>
      <c r="CP55" s="1030"/>
      <c r="CQ55" s="1030"/>
      <c r="CR55" s="1029"/>
      <c r="CS55" s="1175" t="str">
        <f>Dashboard!$B41</f>
        <v>SKIN, HAIR, AND WEIGHT MANAGEMENT</v>
      </c>
      <c r="CT55" s="1030"/>
      <c r="CU55" s="1030"/>
      <c r="CV55" s="1029"/>
      <c r="CW55" s="1175" t="str">
        <f>Dashboard!$B41</f>
        <v>SKIN, HAIR, AND WEIGHT MANAGEMENT</v>
      </c>
      <c r="CX55" s="1030"/>
      <c r="CY55" s="1030"/>
      <c r="CZ55" s="1029"/>
      <c r="DA55" s="1175" t="str">
        <f>Dashboard!$B41</f>
        <v>SKIN, HAIR, AND WEIGHT MANAGEMENT</v>
      </c>
      <c r="DB55" s="1030"/>
      <c r="DC55" s="1030"/>
      <c r="DD55" s="1029"/>
      <c r="DE55" s="1175" t="str">
        <f>Dashboard!$B41</f>
        <v>SKIN, HAIR, AND WEIGHT MANAGEMENT</v>
      </c>
      <c r="DF55" s="1030"/>
      <c r="DG55" s="1030"/>
      <c r="DH55" s="1029"/>
      <c r="DI55" s="1175" t="str">
        <f>Dashboard!$B41</f>
        <v>SKIN, HAIR, AND WEIGHT MANAGEMENT</v>
      </c>
      <c r="DJ55" s="1030"/>
      <c r="DK55" s="1030"/>
      <c r="DL55" s="1029"/>
      <c r="DM55" s="1175" t="str">
        <f>Dashboard!$B41</f>
        <v>SKIN, HAIR, AND WEIGHT MANAGEMENT</v>
      </c>
      <c r="DN55" s="1030"/>
      <c r="DO55" s="1030"/>
      <c r="DP55" s="1029"/>
      <c r="DQ55" s="1175" t="str">
        <f>Dashboard!$B41</f>
        <v>SKIN, HAIR, AND WEIGHT MANAGEMENT</v>
      </c>
      <c r="DR55" s="1030"/>
      <c r="DS55" s="1030"/>
      <c r="DT55" s="1029"/>
      <c r="DU55" s="1175" t="str">
        <f>Dashboard!$B41</f>
        <v>SKIN, HAIR, AND WEIGHT MANAGEMENT</v>
      </c>
      <c r="DV55" s="1030"/>
      <c r="DW55" s="1030"/>
      <c r="DX55" s="1029"/>
      <c r="DY55" s="1175" t="str">
        <f>Dashboard!$B41</f>
        <v>SKIN, HAIR, AND WEIGHT MANAGEMENT</v>
      </c>
      <c r="DZ55" s="1030"/>
      <c r="EA55" s="1030"/>
      <c r="EB55" s="1029"/>
      <c r="EC55" s="1175" t="str">
        <f>Dashboard!$B41</f>
        <v>SKIN, HAIR, AND WEIGHT MANAGEMENT</v>
      </c>
      <c r="ED55" s="1030"/>
      <c r="EE55" s="1030"/>
      <c r="EF55" s="1029"/>
    </row>
    <row r="56" spans="1:137" ht="20" customHeight="1" x14ac:dyDescent="0.15">
      <c r="A56" s="869">
        <f>Dashboard!F42</f>
        <v>40300000</v>
      </c>
      <c r="B56" s="864" t="str">
        <f>Dashboard!$B42</f>
        <v>HORMONAL HEALTH</v>
      </c>
      <c r="C56" s="867" t="s">
        <v>79</v>
      </c>
      <c r="D56" s="797">
        <f t="shared" ref="D56:D58" si="347">SUMIF($M$49:$EF$49,$D$49,$M56:$EF56)</f>
        <v>0</v>
      </c>
      <c r="E56" s="797">
        <f t="shared" si="344"/>
        <v>0</v>
      </c>
      <c r="F56" s="869">
        <f t="shared" si="345"/>
        <v>0</v>
      </c>
      <c r="G56" s="798">
        <f t="shared" si="346"/>
        <v>0</v>
      </c>
      <c r="H56" s="864" t="str">
        <f>Dashboard!$B42</f>
        <v>HORMONAL HEALTH</v>
      </c>
      <c r="I56" s="867" t="s">
        <v>79</v>
      </c>
      <c r="J56" s="797">
        <f t="shared" ca="1" si="343"/>
        <v>0</v>
      </c>
      <c r="K56" s="797">
        <f t="shared" ca="1" si="343"/>
        <v>0</v>
      </c>
      <c r="L56" s="887">
        <f t="shared" ca="1" si="343"/>
        <v>0</v>
      </c>
      <c r="M56" s="1175" t="str">
        <f>Dashboard!$B42</f>
        <v>HORMONAL HEALTH</v>
      </c>
      <c r="N56" s="1030"/>
      <c r="O56" s="1030"/>
      <c r="P56" s="1029"/>
      <c r="Q56" s="1175" t="str">
        <f>Dashboard!$B42</f>
        <v>HORMONAL HEALTH</v>
      </c>
      <c r="R56" s="1030"/>
      <c r="S56" s="1030"/>
      <c r="T56" s="1029"/>
      <c r="U56" s="1175" t="str">
        <f>Dashboard!$B42</f>
        <v>HORMONAL HEALTH</v>
      </c>
      <c r="V56" s="1030"/>
      <c r="W56" s="1030"/>
      <c r="X56" s="1029"/>
      <c r="Y56" s="1175" t="str">
        <f>Dashboard!$B42</f>
        <v>HORMONAL HEALTH</v>
      </c>
      <c r="Z56" s="1030"/>
      <c r="AA56" s="1030"/>
      <c r="AB56" s="1029"/>
      <c r="AC56" s="1175" t="str">
        <f>Dashboard!$B42</f>
        <v>HORMONAL HEALTH</v>
      </c>
      <c r="AD56" s="1030"/>
      <c r="AE56" s="1030"/>
      <c r="AF56" s="1029"/>
      <c r="AG56" s="1175" t="str">
        <f>Dashboard!$B42</f>
        <v>HORMONAL HEALTH</v>
      </c>
      <c r="AH56" s="1030"/>
      <c r="AI56" s="1030"/>
      <c r="AJ56" s="1029"/>
      <c r="AK56" s="1175" t="str">
        <f>Dashboard!$B42</f>
        <v>HORMONAL HEALTH</v>
      </c>
      <c r="AL56" s="1030"/>
      <c r="AM56" s="1030"/>
      <c r="AN56" s="1029"/>
      <c r="AO56" s="1175" t="str">
        <f>Dashboard!$B42</f>
        <v>HORMONAL HEALTH</v>
      </c>
      <c r="AP56" s="1030"/>
      <c r="AQ56" s="1030"/>
      <c r="AR56" s="1029"/>
      <c r="AS56" s="1175" t="str">
        <f>Dashboard!$B42</f>
        <v>HORMONAL HEALTH</v>
      </c>
      <c r="AT56" s="1030"/>
      <c r="AU56" s="1030"/>
      <c r="AV56" s="1029"/>
      <c r="AW56" s="1175" t="str">
        <f>Dashboard!$B42</f>
        <v>HORMONAL HEALTH</v>
      </c>
      <c r="AX56" s="1030"/>
      <c r="AY56" s="1030"/>
      <c r="AZ56" s="1029"/>
      <c r="BA56" s="1175" t="str">
        <f>Dashboard!$B42</f>
        <v>HORMONAL HEALTH</v>
      </c>
      <c r="BB56" s="1030"/>
      <c r="BC56" s="1030"/>
      <c r="BD56" s="1029"/>
      <c r="BE56" s="1175" t="str">
        <f>Dashboard!$B42</f>
        <v>HORMONAL HEALTH</v>
      </c>
      <c r="BF56" s="1030"/>
      <c r="BG56" s="1030"/>
      <c r="BH56" s="1029"/>
      <c r="BI56" s="1175" t="str">
        <f>Dashboard!$B42</f>
        <v>HORMONAL HEALTH</v>
      </c>
      <c r="BJ56" s="1030"/>
      <c r="BK56" s="1030"/>
      <c r="BL56" s="1029"/>
      <c r="BM56" s="1175" t="str">
        <f>Dashboard!$B42</f>
        <v>HORMONAL HEALTH</v>
      </c>
      <c r="BN56" s="1030"/>
      <c r="BO56" s="1030"/>
      <c r="BP56" s="1029"/>
      <c r="BQ56" s="1175" t="str">
        <f>Dashboard!$B42</f>
        <v>HORMONAL HEALTH</v>
      </c>
      <c r="BR56" s="1030"/>
      <c r="BS56" s="1030"/>
      <c r="BT56" s="1029"/>
      <c r="BU56" s="1175" t="str">
        <f>Dashboard!$B42</f>
        <v>HORMONAL HEALTH</v>
      </c>
      <c r="BV56" s="1030"/>
      <c r="BW56" s="1030"/>
      <c r="BX56" s="1029"/>
      <c r="BY56" s="1175" t="str">
        <f>Dashboard!$B42</f>
        <v>HORMONAL HEALTH</v>
      </c>
      <c r="BZ56" s="1030"/>
      <c r="CA56" s="1030"/>
      <c r="CB56" s="1029"/>
      <c r="CC56" s="1175" t="str">
        <f>Dashboard!$B42</f>
        <v>HORMONAL HEALTH</v>
      </c>
      <c r="CD56" s="1030"/>
      <c r="CE56" s="1030"/>
      <c r="CF56" s="1029"/>
      <c r="CG56" s="1175" t="str">
        <f>Dashboard!$B42</f>
        <v>HORMONAL HEALTH</v>
      </c>
      <c r="CH56" s="1030"/>
      <c r="CI56" s="1030"/>
      <c r="CJ56" s="1029"/>
      <c r="CK56" s="1175" t="str">
        <f>Dashboard!$B42</f>
        <v>HORMONAL HEALTH</v>
      </c>
      <c r="CL56" s="1030"/>
      <c r="CM56" s="1030"/>
      <c r="CN56" s="1029"/>
      <c r="CO56" s="1175" t="str">
        <f>Dashboard!$B42</f>
        <v>HORMONAL HEALTH</v>
      </c>
      <c r="CP56" s="1030"/>
      <c r="CQ56" s="1030"/>
      <c r="CR56" s="1029"/>
      <c r="CS56" s="1175" t="str">
        <f>Dashboard!$B42</f>
        <v>HORMONAL HEALTH</v>
      </c>
      <c r="CT56" s="1030"/>
      <c r="CU56" s="1030"/>
      <c r="CV56" s="1029"/>
      <c r="CW56" s="1175" t="str">
        <f>Dashboard!$B42</f>
        <v>HORMONAL HEALTH</v>
      </c>
      <c r="CX56" s="1030"/>
      <c r="CY56" s="1030"/>
      <c r="CZ56" s="1029"/>
      <c r="DA56" s="1175" t="str">
        <f>Dashboard!$B42</f>
        <v>HORMONAL HEALTH</v>
      </c>
      <c r="DB56" s="1030"/>
      <c r="DC56" s="1030"/>
      <c r="DD56" s="1029"/>
      <c r="DE56" s="1175" t="str">
        <f>Dashboard!$B42</f>
        <v>HORMONAL HEALTH</v>
      </c>
      <c r="DF56" s="1030"/>
      <c r="DG56" s="1030"/>
      <c r="DH56" s="1029"/>
      <c r="DI56" s="1175" t="str">
        <f>Dashboard!$B42</f>
        <v>HORMONAL HEALTH</v>
      </c>
      <c r="DJ56" s="1030"/>
      <c r="DK56" s="1030"/>
      <c r="DL56" s="1029"/>
      <c r="DM56" s="1175" t="str">
        <f>Dashboard!$B42</f>
        <v>HORMONAL HEALTH</v>
      </c>
      <c r="DN56" s="1030"/>
      <c r="DO56" s="1030"/>
      <c r="DP56" s="1029"/>
      <c r="DQ56" s="1175" t="str">
        <f>Dashboard!$B42</f>
        <v>HORMONAL HEALTH</v>
      </c>
      <c r="DR56" s="1030"/>
      <c r="DS56" s="1030"/>
      <c r="DT56" s="1029"/>
      <c r="DU56" s="1175" t="str">
        <f>Dashboard!$B42</f>
        <v>HORMONAL HEALTH</v>
      </c>
      <c r="DV56" s="1030"/>
      <c r="DW56" s="1030"/>
      <c r="DX56" s="1029"/>
      <c r="DY56" s="1175" t="str">
        <f>Dashboard!$B42</f>
        <v>HORMONAL HEALTH</v>
      </c>
      <c r="DZ56" s="1030"/>
      <c r="EA56" s="1030"/>
      <c r="EB56" s="1029"/>
      <c r="EC56" s="1175" t="str">
        <f>Dashboard!$B42</f>
        <v>HORMONAL HEALTH</v>
      </c>
      <c r="ED56" s="1030"/>
      <c r="EE56" s="1030"/>
      <c r="EF56" s="1029"/>
    </row>
    <row r="57" spans="1:137" ht="20" customHeight="1" x14ac:dyDescent="0.15">
      <c r="A57" s="869">
        <f>Dashboard!F43</f>
        <v>40300000</v>
      </c>
      <c r="B57" s="864" t="str">
        <f>Dashboard!$B43</f>
        <v>IMMUNE SUPPORT</v>
      </c>
      <c r="C57" s="867" t="s">
        <v>79</v>
      </c>
      <c r="D57" s="797">
        <f t="shared" si="347"/>
        <v>0</v>
      </c>
      <c r="E57" s="797">
        <f t="shared" si="344"/>
        <v>0</v>
      </c>
      <c r="F57" s="869">
        <f>SUMIF($M$49:$EF$49,$F$49,$M57:$EF57)</f>
        <v>0</v>
      </c>
      <c r="G57" s="798">
        <f>_xlfn.IFS($F$50=0,0,F57&lt;=$F$50,F57/$F$50,F57&gt;$F$50,1)</f>
        <v>0</v>
      </c>
      <c r="H57" s="864" t="str">
        <f>Dashboard!$B43</f>
        <v>IMMUNE SUPPORT</v>
      </c>
      <c r="I57" s="867" t="s">
        <v>79</v>
      </c>
      <c r="J57" s="797">
        <f t="shared" ca="1" si="343"/>
        <v>0</v>
      </c>
      <c r="K57" s="797">
        <f t="shared" ca="1" si="343"/>
        <v>0</v>
      </c>
      <c r="L57" s="887">
        <f t="shared" ca="1" si="343"/>
        <v>0</v>
      </c>
      <c r="M57" s="1175" t="str">
        <f>Dashboard!$B43</f>
        <v>IMMUNE SUPPORT</v>
      </c>
      <c r="N57" s="1030"/>
      <c r="O57" s="1030"/>
      <c r="P57" s="1029"/>
      <c r="Q57" s="1175" t="str">
        <f>Dashboard!$B43</f>
        <v>IMMUNE SUPPORT</v>
      </c>
      <c r="R57" s="1030"/>
      <c r="S57" s="1030"/>
      <c r="T57" s="1029"/>
      <c r="U57" s="1175" t="str">
        <f>Dashboard!$B43</f>
        <v>IMMUNE SUPPORT</v>
      </c>
      <c r="V57" s="1030"/>
      <c r="W57" s="1030"/>
      <c r="X57" s="1029"/>
      <c r="Y57" s="1175" t="str">
        <f>Dashboard!$B43</f>
        <v>IMMUNE SUPPORT</v>
      </c>
      <c r="Z57" s="1030"/>
      <c r="AA57" s="1030"/>
      <c r="AB57" s="1029"/>
      <c r="AC57" s="1175" t="str">
        <f>Dashboard!$B43</f>
        <v>IMMUNE SUPPORT</v>
      </c>
      <c r="AD57" s="1030"/>
      <c r="AE57" s="1030"/>
      <c r="AF57" s="1029"/>
      <c r="AG57" s="1175" t="str">
        <f>Dashboard!$B43</f>
        <v>IMMUNE SUPPORT</v>
      </c>
      <c r="AH57" s="1030"/>
      <c r="AI57" s="1030"/>
      <c r="AJ57" s="1029"/>
      <c r="AK57" s="1175" t="str">
        <f>Dashboard!$B43</f>
        <v>IMMUNE SUPPORT</v>
      </c>
      <c r="AL57" s="1030"/>
      <c r="AM57" s="1030"/>
      <c r="AN57" s="1029"/>
      <c r="AO57" s="1175" t="str">
        <f>Dashboard!$B43</f>
        <v>IMMUNE SUPPORT</v>
      </c>
      <c r="AP57" s="1030"/>
      <c r="AQ57" s="1030"/>
      <c r="AR57" s="1029"/>
      <c r="AS57" s="1175" t="str">
        <f>Dashboard!$B43</f>
        <v>IMMUNE SUPPORT</v>
      </c>
      <c r="AT57" s="1030"/>
      <c r="AU57" s="1030"/>
      <c r="AV57" s="1029"/>
      <c r="AW57" s="1175" t="str">
        <f>Dashboard!$B43</f>
        <v>IMMUNE SUPPORT</v>
      </c>
      <c r="AX57" s="1030"/>
      <c r="AY57" s="1030"/>
      <c r="AZ57" s="1029"/>
      <c r="BA57" s="1175" t="str">
        <f>Dashboard!$B43</f>
        <v>IMMUNE SUPPORT</v>
      </c>
      <c r="BB57" s="1030"/>
      <c r="BC57" s="1030"/>
      <c r="BD57" s="1029"/>
      <c r="BE57" s="1175" t="str">
        <f>Dashboard!$B43</f>
        <v>IMMUNE SUPPORT</v>
      </c>
      <c r="BF57" s="1030"/>
      <c r="BG57" s="1030"/>
      <c r="BH57" s="1029"/>
      <c r="BI57" s="1175" t="str">
        <f>Dashboard!$B43</f>
        <v>IMMUNE SUPPORT</v>
      </c>
      <c r="BJ57" s="1030"/>
      <c r="BK57" s="1030"/>
      <c r="BL57" s="1029"/>
      <c r="BM57" s="1175" t="str">
        <f>Dashboard!$B43</f>
        <v>IMMUNE SUPPORT</v>
      </c>
      <c r="BN57" s="1030"/>
      <c r="BO57" s="1030"/>
      <c r="BP57" s="1029"/>
      <c r="BQ57" s="1175" t="str">
        <f>Dashboard!$B43</f>
        <v>IMMUNE SUPPORT</v>
      </c>
      <c r="BR57" s="1030"/>
      <c r="BS57" s="1030"/>
      <c r="BT57" s="1029"/>
      <c r="BU57" s="1175" t="str">
        <f>Dashboard!$B43</f>
        <v>IMMUNE SUPPORT</v>
      </c>
      <c r="BV57" s="1030"/>
      <c r="BW57" s="1030"/>
      <c r="BX57" s="1029"/>
      <c r="BY57" s="1175" t="str">
        <f>Dashboard!$B43</f>
        <v>IMMUNE SUPPORT</v>
      </c>
      <c r="BZ57" s="1030"/>
      <c r="CA57" s="1030"/>
      <c r="CB57" s="1029"/>
      <c r="CC57" s="1175" t="str">
        <f>Dashboard!$B43</f>
        <v>IMMUNE SUPPORT</v>
      </c>
      <c r="CD57" s="1030"/>
      <c r="CE57" s="1030"/>
      <c r="CF57" s="1029"/>
      <c r="CG57" s="1175" t="str">
        <f>Dashboard!$B43</f>
        <v>IMMUNE SUPPORT</v>
      </c>
      <c r="CH57" s="1030"/>
      <c r="CI57" s="1030"/>
      <c r="CJ57" s="1029"/>
      <c r="CK57" s="1175" t="str">
        <f>Dashboard!$B43</f>
        <v>IMMUNE SUPPORT</v>
      </c>
      <c r="CL57" s="1030"/>
      <c r="CM57" s="1030"/>
      <c r="CN57" s="1029"/>
      <c r="CO57" s="1175" t="str">
        <f>Dashboard!$B43</f>
        <v>IMMUNE SUPPORT</v>
      </c>
      <c r="CP57" s="1030"/>
      <c r="CQ57" s="1030"/>
      <c r="CR57" s="1029"/>
      <c r="CS57" s="1175" t="str">
        <f>Dashboard!$B43</f>
        <v>IMMUNE SUPPORT</v>
      </c>
      <c r="CT57" s="1030"/>
      <c r="CU57" s="1030"/>
      <c r="CV57" s="1029"/>
      <c r="CW57" s="1175" t="str">
        <f>Dashboard!$B43</f>
        <v>IMMUNE SUPPORT</v>
      </c>
      <c r="CX57" s="1030"/>
      <c r="CY57" s="1030"/>
      <c r="CZ57" s="1029"/>
      <c r="DA57" s="1175" t="str">
        <f>Dashboard!$B43</f>
        <v>IMMUNE SUPPORT</v>
      </c>
      <c r="DB57" s="1030"/>
      <c r="DC57" s="1030"/>
      <c r="DD57" s="1029"/>
      <c r="DE57" s="1175" t="str">
        <f>Dashboard!$B43</f>
        <v>IMMUNE SUPPORT</v>
      </c>
      <c r="DF57" s="1030"/>
      <c r="DG57" s="1030"/>
      <c r="DH57" s="1029"/>
      <c r="DI57" s="1175" t="str">
        <f>Dashboard!$B43</f>
        <v>IMMUNE SUPPORT</v>
      </c>
      <c r="DJ57" s="1030"/>
      <c r="DK57" s="1030"/>
      <c r="DL57" s="1029"/>
      <c r="DM57" s="1175" t="str">
        <f>Dashboard!$B43</f>
        <v>IMMUNE SUPPORT</v>
      </c>
      <c r="DN57" s="1030"/>
      <c r="DO57" s="1030"/>
      <c r="DP57" s="1029"/>
      <c r="DQ57" s="1175" t="str">
        <f>Dashboard!$B43</f>
        <v>IMMUNE SUPPORT</v>
      </c>
      <c r="DR57" s="1030"/>
      <c r="DS57" s="1030"/>
      <c r="DT57" s="1029"/>
      <c r="DU57" s="1175" t="str">
        <f>Dashboard!$B43</f>
        <v>IMMUNE SUPPORT</v>
      </c>
      <c r="DV57" s="1030"/>
      <c r="DW57" s="1030"/>
      <c r="DX57" s="1029"/>
      <c r="DY57" s="1175" t="str">
        <f>Dashboard!$B43</f>
        <v>IMMUNE SUPPORT</v>
      </c>
      <c r="DZ57" s="1030"/>
      <c r="EA57" s="1030"/>
      <c r="EB57" s="1029"/>
      <c r="EC57" s="1175" t="str">
        <f>Dashboard!$B43</f>
        <v>IMMUNE SUPPORT</v>
      </c>
      <c r="ED57" s="1030"/>
      <c r="EE57" s="1030"/>
      <c r="EF57" s="1029"/>
    </row>
    <row r="58" spans="1:137" ht="20" customHeight="1" thickBot="1" x14ac:dyDescent="0.2">
      <c r="A58" s="869">
        <f>Dashboard!F44</f>
        <v>49600000</v>
      </c>
      <c r="B58" s="864" t="str">
        <f>Dashboard!$B44</f>
        <v>MATERNITY &amp; CHILDREN’S HEALTH</v>
      </c>
      <c r="C58" s="867" t="s">
        <v>79</v>
      </c>
      <c r="D58" s="797">
        <f t="shared" si="347"/>
        <v>31</v>
      </c>
      <c r="E58" s="797">
        <f t="shared" si="344"/>
        <v>31</v>
      </c>
      <c r="F58" s="869">
        <f>SUMIF($M$49:$EF$49,$F$49,$M58:$EF58)</f>
        <v>9300000</v>
      </c>
      <c r="G58" s="798">
        <f>_xlfn.IFS($F$50=0,0,F58&lt;=$F$50,F58/$F$50,F58&gt;$F$50,1)</f>
        <v>1</v>
      </c>
      <c r="H58" s="864" t="str">
        <f>Dashboard!$B44</f>
        <v>MATERNITY &amp; CHILDREN’S HEALTH</v>
      </c>
      <c r="I58" s="867" t="s">
        <v>79</v>
      </c>
      <c r="J58" s="797">
        <f t="shared" ca="1" si="343"/>
        <v>0</v>
      </c>
      <c r="K58" s="797">
        <f t="shared" ca="1" si="343"/>
        <v>0</v>
      </c>
      <c r="L58" s="887">
        <f t="shared" ca="1" si="343"/>
        <v>0</v>
      </c>
      <c r="M58" s="1176" t="str">
        <f>Dashboard!$B44</f>
        <v>MATERNITY &amp; CHILDREN’S HEALTH</v>
      </c>
      <c r="N58" s="1174">
        <v>1</v>
      </c>
      <c r="O58" s="1174">
        <v>1</v>
      </c>
      <c r="P58" s="1114">
        <v>300000</v>
      </c>
      <c r="Q58" s="1176" t="str">
        <f>Dashboard!$B44</f>
        <v>MATERNITY &amp; CHILDREN’S HEALTH</v>
      </c>
      <c r="R58" s="1174">
        <v>1</v>
      </c>
      <c r="S58" s="1174">
        <v>1</v>
      </c>
      <c r="T58" s="1114">
        <v>300000</v>
      </c>
      <c r="U58" s="1176" t="str">
        <f>Dashboard!$B44</f>
        <v>MATERNITY &amp; CHILDREN’S HEALTH</v>
      </c>
      <c r="V58" s="1174">
        <v>1</v>
      </c>
      <c r="W58" s="1174">
        <v>1</v>
      </c>
      <c r="X58" s="1114">
        <v>300000</v>
      </c>
      <c r="Y58" s="1176" t="str">
        <f>Dashboard!$B44</f>
        <v>MATERNITY &amp; CHILDREN’S HEALTH</v>
      </c>
      <c r="Z58" s="1174">
        <v>1</v>
      </c>
      <c r="AA58" s="1174">
        <v>1</v>
      </c>
      <c r="AB58" s="1114">
        <v>300000</v>
      </c>
      <c r="AC58" s="1176" t="str">
        <f>Dashboard!$B44</f>
        <v>MATERNITY &amp; CHILDREN’S HEALTH</v>
      </c>
      <c r="AD58" s="1174">
        <v>1</v>
      </c>
      <c r="AE58" s="1174">
        <v>1</v>
      </c>
      <c r="AF58" s="1114">
        <v>300000</v>
      </c>
      <c r="AG58" s="1176" t="str">
        <f>Dashboard!$B44</f>
        <v>MATERNITY &amp; CHILDREN’S HEALTH</v>
      </c>
      <c r="AH58" s="1174">
        <v>1</v>
      </c>
      <c r="AI58" s="1174">
        <v>1</v>
      </c>
      <c r="AJ58" s="1114">
        <v>300000</v>
      </c>
      <c r="AK58" s="1176" t="str">
        <f>Dashboard!$B44</f>
        <v>MATERNITY &amp; CHILDREN’S HEALTH</v>
      </c>
      <c r="AL58" s="1174">
        <v>1</v>
      </c>
      <c r="AM58" s="1174">
        <v>1</v>
      </c>
      <c r="AN58" s="1114">
        <v>300000</v>
      </c>
      <c r="AO58" s="1176" t="str">
        <f>Dashboard!$B44</f>
        <v>MATERNITY &amp; CHILDREN’S HEALTH</v>
      </c>
      <c r="AP58" s="1174">
        <v>1</v>
      </c>
      <c r="AQ58" s="1174">
        <v>1</v>
      </c>
      <c r="AR58" s="1114">
        <v>300000</v>
      </c>
      <c r="AS58" s="1176" t="str">
        <f>Dashboard!$B44</f>
        <v>MATERNITY &amp; CHILDREN’S HEALTH</v>
      </c>
      <c r="AT58" s="1174">
        <v>1</v>
      </c>
      <c r="AU58" s="1174">
        <v>1</v>
      </c>
      <c r="AV58" s="1114">
        <v>300000</v>
      </c>
      <c r="AW58" s="1176" t="str">
        <f>Dashboard!$B44</f>
        <v>MATERNITY &amp; CHILDREN’S HEALTH</v>
      </c>
      <c r="AX58" s="1174">
        <v>1</v>
      </c>
      <c r="AY58" s="1174">
        <v>1</v>
      </c>
      <c r="AZ58" s="1114">
        <v>300000</v>
      </c>
      <c r="BA58" s="1176" t="str">
        <f>Dashboard!$B44</f>
        <v>MATERNITY &amp; CHILDREN’S HEALTH</v>
      </c>
      <c r="BB58" s="1174">
        <v>1</v>
      </c>
      <c r="BC58" s="1174">
        <v>1</v>
      </c>
      <c r="BD58" s="1114">
        <v>300000</v>
      </c>
      <c r="BE58" s="1176" t="str">
        <f>Dashboard!$B44</f>
        <v>MATERNITY &amp; CHILDREN’S HEALTH</v>
      </c>
      <c r="BF58" s="1174">
        <v>1</v>
      </c>
      <c r="BG58" s="1174">
        <v>1</v>
      </c>
      <c r="BH58" s="1114">
        <v>300000</v>
      </c>
      <c r="BI58" s="1176" t="str">
        <f>Dashboard!$B44</f>
        <v>MATERNITY &amp; CHILDREN’S HEALTH</v>
      </c>
      <c r="BJ58" s="1174">
        <v>1</v>
      </c>
      <c r="BK58" s="1174">
        <v>1</v>
      </c>
      <c r="BL58" s="1114">
        <v>300000</v>
      </c>
      <c r="BM58" s="1176" t="str">
        <f>Dashboard!$B44</f>
        <v>MATERNITY &amp; CHILDREN’S HEALTH</v>
      </c>
      <c r="BN58" s="1174">
        <v>1</v>
      </c>
      <c r="BO58" s="1174">
        <v>1</v>
      </c>
      <c r="BP58" s="1114">
        <v>300000</v>
      </c>
      <c r="BQ58" s="1176" t="str">
        <f>Dashboard!$B44</f>
        <v>MATERNITY &amp; CHILDREN’S HEALTH</v>
      </c>
      <c r="BR58" s="1174">
        <v>1</v>
      </c>
      <c r="BS58" s="1174">
        <v>1</v>
      </c>
      <c r="BT58" s="1114">
        <v>300000</v>
      </c>
      <c r="BU58" s="1176" t="str">
        <f>Dashboard!$B44</f>
        <v>MATERNITY &amp; CHILDREN’S HEALTH</v>
      </c>
      <c r="BV58" s="1174">
        <v>1</v>
      </c>
      <c r="BW58" s="1174">
        <v>1</v>
      </c>
      <c r="BX58" s="1114">
        <v>300000</v>
      </c>
      <c r="BY58" s="1176" t="str">
        <f>Dashboard!$B44</f>
        <v>MATERNITY &amp; CHILDREN’S HEALTH</v>
      </c>
      <c r="BZ58" s="1174">
        <v>1</v>
      </c>
      <c r="CA58" s="1174">
        <v>1</v>
      </c>
      <c r="CB58" s="1114">
        <v>300000</v>
      </c>
      <c r="CC58" s="1176" t="str">
        <f>Dashboard!$B44</f>
        <v>MATERNITY &amp; CHILDREN’S HEALTH</v>
      </c>
      <c r="CD58" s="1174">
        <v>1</v>
      </c>
      <c r="CE58" s="1174">
        <v>1</v>
      </c>
      <c r="CF58" s="1114">
        <v>300000</v>
      </c>
      <c r="CG58" s="1176" t="str">
        <f>Dashboard!$B44</f>
        <v>MATERNITY &amp; CHILDREN’S HEALTH</v>
      </c>
      <c r="CH58" s="1174">
        <v>1</v>
      </c>
      <c r="CI58" s="1174">
        <v>1</v>
      </c>
      <c r="CJ58" s="1114">
        <v>300000</v>
      </c>
      <c r="CK58" s="1176" t="str">
        <f>Dashboard!$B44</f>
        <v>MATERNITY &amp; CHILDREN’S HEALTH</v>
      </c>
      <c r="CL58" s="1174">
        <v>1</v>
      </c>
      <c r="CM58" s="1174">
        <v>1</v>
      </c>
      <c r="CN58" s="1114">
        <v>300000</v>
      </c>
      <c r="CO58" s="1176" t="str">
        <f>Dashboard!$B44</f>
        <v>MATERNITY &amp; CHILDREN’S HEALTH</v>
      </c>
      <c r="CP58" s="1174">
        <v>1</v>
      </c>
      <c r="CQ58" s="1174">
        <v>1</v>
      </c>
      <c r="CR58" s="1114">
        <v>300000</v>
      </c>
      <c r="CS58" s="1176" t="str">
        <f>Dashboard!$B44</f>
        <v>MATERNITY &amp; CHILDREN’S HEALTH</v>
      </c>
      <c r="CT58" s="1174">
        <v>1</v>
      </c>
      <c r="CU58" s="1174">
        <v>1</v>
      </c>
      <c r="CV58" s="1114">
        <v>300000</v>
      </c>
      <c r="CW58" s="1176" t="str">
        <f>Dashboard!$B44</f>
        <v>MATERNITY &amp; CHILDREN’S HEALTH</v>
      </c>
      <c r="CX58" s="1174">
        <v>1</v>
      </c>
      <c r="CY58" s="1174">
        <v>1</v>
      </c>
      <c r="CZ58" s="1114">
        <v>300000</v>
      </c>
      <c r="DA58" s="1176" t="str">
        <f>Dashboard!$B44</f>
        <v>MATERNITY &amp; CHILDREN’S HEALTH</v>
      </c>
      <c r="DB58" s="1174">
        <v>1</v>
      </c>
      <c r="DC58" s="1174">
        <v>1</v>
      </c>
      <c r="DD58" s="1114">
        <v>300000</v>
      </c>
      <c r="DE58" s="1176" t="str">
        <f>Dashboard!$B44</f>
        <v>MATERNITY &amp; CHILDREN’S HEALTH</v>
      </c>
      <c r="DF58" s="1174">
        <v>1</v>
      </c>
      <c r="DG58" s="1174">
        <v>1</v>
      </c>
      <c r="DH58" s="1114">
        <v>300000</v>
      </c>
      <c r="DI58" s="1176" t="str">
        <f>Dashboard!$B44</f>
        <v>MATERNITY &amp; CHILDREN’S HEALTH</v>
      </c>
      <c r="DJ58" s="1174">
        <v>1</v>
      </c>
      <c r="DK58" s="1174">
        <v>1</v>
      </c>
      <c r="DL58" s="1114">
        <v>300000</v>
      </c>
      <c r="DM58" s="1176" t="str">
        <f>Dashboard!$B44</f>
        <v>MATERNITY &amp; CHILDREN’S HEALTH</v>
      </c>
      <c r="DN58" s="1174">
        <v>1</v>
      </c>
      <c r="DO58" s="1174">
        <v>1</v>
      </c>
      <c r="DP58" s="1114">
        <v>300000</v>
      </c>
      <c r="DQ58" s="1176" t="str">
        <f>Dashboard!$B44</f>
        <v>MATERNITY &amp; CHILDREN’S HEALTH</v>
      </c>
      <c r="DR58" s="1174">
        <v>1</v>
      </c>
      <c r="DS58" s="1174">
        <v>1</v>
      </c>
      <c r="DT58" s="1114">
        <v>300000</v>
      </c>
      <c r="DU58" s="1176" t="str">
        <f>Dashboard!$B44</f>
        <v>MATERNITY &amp; CHILDREN’S HEALTH</v>
      </c>
      <c r="DV58" s="1174">
        <v>1</v>
      </c>
      <c r="DW58" s="1174">
        <v>1</v>
      </c>
      <c r="DX58" s="1114">
        <v>300000</v>
      </c>
      <c r="DY58" s="1176" t="str">
        <f>Dashboard!$B44</f>
        <v>MATERNITY &amp; CHILDREN’S HEALTH</v>
      </c>
      <c r="DZ58" s="1174">
        <v>1</v>
      </c>
      <c r="EA58" s="1174">
        <v>1</v>
      </c>
      <c r="EB58" s="1114">
        <v>300000</v>
      </c>
      <c r="EC58" s="1176" t="str">
        <f>Dashboard!$B44</f>
        <v>MATERNITY &amp; CHILDREN’S HEALTH</v>
      </c>
      <c r="ED58" s="1174">
        <v>1</v>
      </c>
      <c r="EE58" s="1174">
        <v>1</v>
      </c>
      <c r="EF58" s="1114">
        <v>300000</v>
      </c>
      <c r="EG58" s="446"/>
    </row>
    <row r="59" spans="1:137" ht="13" x14ac:dyDescent="0.15">
      <c r="A59" s="917"/>
      <c r="B59" s="917"/>
      <c r="C59" s="918"/>
      <c r="D59" s="919"/>
      <c r="E59" s="920"/>
      <c r="F59" s="921"/>
      <c r="G59" s="922"/>
      <c r="H59" s="917"/>
      <c r="I59" s="922"/>
      <c r="J59" s="923"/>
      <c r="K59" s="923"/>
      <c r="L59" s="924"/>
      <c r="M59" s="925"/>
      <c r="N59" s="925"/>
      <c r="O59" s="925"/>
      <c r="P59" s="925"/>
      <c r="Q59" s="925"/>
      <c r="R59" s="925"/>
      <c r="S59" s="926"/>
      <c r="T59" s="925"/>
      <c r="U59" s="925"/>
      <c r="V59" s="925"/>
      <c r="W59" s="925"/>
      <c r="X59" s="925"/>
      <c r="Y59" s="925"/>
      <c r="Z59" s="925"/>
      <c r="AA59" s="925"/>
      <c r="AB59" s="925"/>
      <c r="AC59" s="925"/>
      <c r="AD59" s="925"/>
      <c r="AE59" s="925"/>
      <c r="AF59" s="925"/>
      <c r="AG59" s="925"/>
      <c r="AH59" s="925"/>
      <c r="AI59" s="925"/>
      <c r="AJ59" s="925"/>
      <c r="AK59" s="925"/>
      <c r="AL59" s="925"/>
      <c r="AM59" s="925"/>
      <c r="AN59" s="925"/>
      <c r="AO59" s="925"/>
      <c r="AP59" s="925"/>
      <c r="AQ59" s="925"/>
      <c r="AR59" s="925"/>
      <c r="AS59" s="925"/>
      <c r="AT59" s="925"/>
      <c r="AU59" s="925"/>
      <c r="AV59" s="925"/>
      <c r="AW59" s="925"/>
      <c r="AX59" s="925"/>
      <c r="AY59" s="925"/>
      <c r="AZ59" s="925"/>
      <c r="BA59" s="925"/>
      <c r="BB59" s="925"/>
      <c r="BC59" s="925"/>
      <c r="BD59" s="925"/>
      <c r="BE59" s="925"/>
      <c r="BF59" s="925"/>
      <c r="BG59" s="925"/>
      <c r="BH59" s="925"/>
      <c r="BI59" s="925"/>
      <c r="BJ59" s="925"/>
      <c r="BK59" s="925"/>
      <c r="BL59" s="925"/>
      <c r="BM59" s="925"/>
      <c r="BN59" s="925"/>
      <c r="BO59" s="925"/>
      <c r="BP59" s="925"/>
      <c r="BQ59" s="925"/>
      <c r="BR59" s="925"/>
      <c r="BS59" s="925"/>
      <c r="BT59" s="925"/>
      <c r="BU59" s="925"/>
      <c r="BV59" s="925"/>
      <c r="BW59" s="925"/>
      <c r="BX59" s="925"/>
      <c r="BY59" s="925"/>
      <c r="BZ59" s="925"/>
      <c r="CA59" s="925"/>
      <c r="CB59" s="925"/>
      <c r="CC59" s="925"/>
      <c r="CD59" s="925"/>
      <c r="CE59" s="925"/>
      <c r="CF59" s="925"/>
      <c r="CG59" s="925"/>
      <c r="CH59" s="925"/>
      <c r="CI59" s="925"/>
      <c r="CJ59" s="925"/>
      <c r="CK59" s="925"/>
      <c r="CL59" s="925"/>
      <c r="CM59" s="925"/>
      <c r="CN59" s="925"/>
      <c r="CO59" s="925"/>
      <c r="CP59" s="925"/>
      <c r="CQ59" s="925"/>
      <c r="CR59" s="925"/>
      <c r="CS59" s="925"/>
      <c r="CT59" s="925"/>
      <c r="CU59" s="925"/>
      <c r="CV59" s="925"/>
      <c r="CW59" s="925"/>
      <c r="CX59" s="925"/>
      <c r="CY59" s="925"/>
      <c r="CZ59" s="925"/>
      <c r="DA59" s="925"/>
      <c r="DB59" s="925"/>
      <c r="DC59" s="925"/>
      <c r="DD59" s="925"/>
      <c r="DE59" s="925"/>
      <c r="DF59" s="925"/>
      <c r="DG59" s="925"/>
      <c r="DH59" s="925"/>
      <c r="DI59" s="925"/>
      <c r="DJ59" s="925"/>
      <c r="DK59" s="925"/>
      <c r="DL59" s="925"/>
      <c r="DM59" s="925"/>
      <c r="DN59" s="925"/>
      <c r="DO59" s="925"/>
      <c r="DP59" s="925"/>
      <c r="DQ59" s="925"/>
      <c r="DR59" s="925"/>
      <c r="DS59" s="925"/>
      <c r="DT59" s="925"/>
      <c r="DU59" s="925"/>
      <c r="DV59" s="925"/>
      <c r="DW59" s="925"/>
      <c r="DX59" s="925"/>
      <c r="DY59" s="925"/>
      <c r="DZ59" s="925"/>
      <c r="EA59" s="925"/>
      <c r="EB59" s="925"/>
      <c r="EC59" s="925"/>
      <c r="ED59" s="925"/>
      <c r="EE59" s="925"/>
      <c r="EF59" s="925"/>
      <c r="EG59" s="446"/>
    </row>
    <row r="60" spans="1:137" ht="13" x14ac:dyDescent="0.15">
      <c r="A60" s="917"/>
      <c r="B60" s="917"/>
      <c r="C60" s="918"/>
      <c r="D60" s="919"/>
      <c r="E60" s="920"/>
      <c r="F60" s="921"/>
      <c r="G60" s="922"/>
      <c r="H60" s="922"/>
      <c r="I60" s="922"/>
      <c r="J60" s="923"/>
      <c r="K60" s="923"/>
      <c r="L60" s="924"/>
      <c r="M60" s="925"/>
      <c r="N60" s="925"/>
      <c r="O60" s="925"/>
      <c r="P60" s="925"/>
      <c r="Q60" s="925"/>
      <c r="R60" s="925"/>
      <c r="S60" s="926"/>
      <c r="T60" s="925"/>
      <c r="U60" s="925"/>
      <c r="V60" s="925"/>
      <c r="W60" s="925"/>
      <c r="X60" s="925"/>
      <c r="Y60" s="925"/>
      <c r="Z60" s="925"/>
      <c r="AA60" s="925"/>
      <c r="AB60" s="925"/>
      <c r="AC60" s="925"/>
      <c r="AD60" s="925"/>
      <c r="AE60" s="925"/>
      <c r="AF60" s="925"/>
      <c r="AG60" s="925"/>
      <c r="AH60" s="925"/>
      <c r="AI60" s="925"/>
      <c r="AJ60" s="925"/>
      <c r="AK60" s="925"/>
      <c r="AL60" s="925"/>
      <c r="AM60" s="925"/>
      <c r="AN60" s="925"/>
      <c r="AO60" s="925"/>
      <c r="AP60" s="925"/>
      <c r="AQ60" s="925"/>
      <c r="AR60" s="925"/>
      <c r="AS60" s="925"/>
      <c r="AT60" s="925"/>
      <c r="AU60" s="925"/>
      <c r="AV60" s="925"/>
      <c r="AW60" s="925"/>
      <c r="AX60" s="925"/>
      <c r="AY60" s="925"/>
      <c r="AZ60" s="925"/>
      <c r="BA60" s="925"/>
      <c r="BB60" s="925"/>
      <c r="BC60" s="925"/>
      <c r="BD60" s="925"/>
      <c r="BE60" s="925"/>
      <c r="BF60" s="925"/>
      <c r="BG60" s="925"/>
      <c r="BH60" s="925"/>
      <c r="BI60" s="925"/>
      <c r="BJ60" s="925"/>
      <c r="BK60" s="925"/>
      <c r="BL60" s="925"/>
      <c r="BM60" s="925"/>
      <c r="BN60" s="925"/>
      <c r="BO60" s="925"/>
      <c r="BP60" s="925"/>
      <c r="BQ60" s="925"/>
      <c r="BR60" s="925"/>
      <c r="BS60" s="925"/>
      <c r="BT60" s="925"/>
      <c r="BU60" s="925"/>
      <c r="BV60" s="925"/>
      <c r="BW60" s="925"/>
      <c r="BX60" s="925"/>
      <c r="BY60" s="925"/>
      <c r="BZ60" s="925"/>
      <c r="CA60" s="925"/>
      <c r="CB60" s="925"/>
      <c r="CC60" s="925"/>
      <c r="CD60" s="925"/>
      <c r="CE60" s="925"/>
      <c r="CF60" s="925"/>
      <c r="CG60" s="925"/>
      <c r="CH60" s="925"/>
      <c r="CI60" s="925"/>
      <c r="CJ60" s="925"/>
      <c r="CK60" s="925"/>
      <c r="CL60" s="925"/>
      <c r="CM60" s="925"/>
      <c r="CN60" s="925"/>
      <c r="CO60" s="925"/>
      <c r="CP60" s="925"/>
      <c r="CQ60" s="925"/>
      <c r="CR60" s="925"/>
      <c r="CS60" s="925"/>
      <c r="CT60" s="925"/>
      <c r="CU60" s="925"/>
      <c r="CV60" s="925"/>
      <c r="CW60" s="925"/>
      <c r="CX60" s="925"/>
      <c r="CY60" s="925"/>
      <c r="CZ60" s="925"/>
      <c r="DA60" s="925"/>
      <c r="DB60" s="925"/>
      <c r="DC60" s="925"/>
      <c r="DD60" s="925"/>
      <c r="DE60" s="925"/>
      <c r="DF60" s="925"/>
      <c r="DG60" s="925"/>
      <c r="DH60" s="925"/>
      <c r="DI60" s="925"/>
      <c r="DJ60" s="925"/>
      <c r="DK60" s="925"/>
      <c r="DL60" s="925"/>
      <c r="DM60" s="925"/>
      <c r="DN60" s="925"/>
      <c r="DO60" s="925"/>
      <c r="DP60" s="925"/>
      <c r="DQ60" s="925"/>
      <c r="DR60" s="925"/>
      <c r="DS60" s="925"/>
      <c r="DT60" s="925"/>
      <c r="DU60" s="925"/>
      <c r="DV60" s="925"/>
      <c r="DW60" s="925"/>
      <c r="DX60" s="925"/>
      <c r="DY60" s="925"/>
      <c r="DZ60" s="925"/>
      <c r="EA60" s="925"/>
      <c r="EB60" s="925"/>
      <c r="EC60" s="925"/>
      <c r="ED60" s="925"/>
      <c r="EE60" s="925"/>
      <c r="EF60" s="925"/>
      <c r="EG60" s="446"/>
    </row>
    <row r="61" spans="1:137" ht="13" x14ac:dyDescent="0.15">
      <c r="A61" s="917"/>
      <c r="B61" s="917"/>
      <c r="C61" s="918"/>
      <c r="D61" s="919"/>
      <c r="E61" s="920"/>
      <c r="F61" s="921"/>
      <c r="G61" s="922"/>
      <c r="H61" s="922"/>
      <c r="I61" s="922"/>
      <c r="J61" s="923"/>
      <c r="K61" s="923"/>
      <c r="L61" s="924"/>
      <c r="M61" s="925"/>
      <c r="N61" s="925"/>
      <c r="O61" s="925"/>
      <c r="P61" s="925"/>
      <c r="Q61" s="925"/>
      <c r="R61" s="925"/>
      <c r="S61" s="926"/>
      <c r="T61" s="925"/>
      <c r="U61" s="925"/>
      <c r="V61" s="925"/>
      <c r="W61" s="925"/>
      <c r="X61" s="925"/>
      <c r="Y61" s="925"/>
      <c r="Z61" s="925"/>
      <c r="AA61" s="925"/>
      <c r="AB61" s="925"/>
      <c r="AC61" s="925"/>
      <c r="AD61" s="925"/>
      <c r="AE61" s="925"/>
      <c r="AF61" s="925"/>
      <c r="AG61" s="925"/>
      <c r="AH61" s="925"/>
      <c r="AI61" s="925"/>
      <c r="AJ61" s="925"/>
      <c r="AK61" s="925"/>
      <c r="AL61" s="925"/>
      <c r="AM61" s="925"/>
      <c r="AN61" s="925"/>
      <c r="AO61" s="925"/>
      <c r="AP61" s="925"/>
      <c r="AQ61" s="925"/>
      <c r="AR61" s="925"/>
      <c r="AS61" s="925"/>
      <c r="AT61" s="925"/>
      <c r="AU61" s="925"/>
      <c r="AV61" s="925"/>
      <c r="AW61" s="925"/>
      <c r="AX61" s="925"/>
      <c r="AY61" s="925"/>
      <c r="AZ61" s="925"/>
      <c r="BA61" s="925"/>
      <c r="BB61" s="925"/>
      <c r="BC61" s="925"/>
      <c r="BD61" s="925"/>
      <c r="BE61" s="925"/>
      <c r="BF61" s="925"/>
      <c r="BG61" s="925"/>
      <c r="BH61" s="925"/>
      <c r="BI61" s="925"/>
      <c r="BJ61" s="925"/>
      <c r="BK61" s="925"/>
      <c r="BL61" s="925"/>
      <c r="BM61" s="925"/>
      <c r="BN61" s="925"/>
      <c r="BO61" s="925"/>
      <c r="BP61" s="925"/>
      <c r="BQ61" s="925"/>
      <c r="BR61" s="925"/>
      <c r="BS61" s="925"/>
      <c r="BT61" s="925"/>
      <c r="BU61" s="925"/>
      <c r="BV61" s="925"/>
      <c r="BW61" s="925"/>
      <c r="BX61" s="925"/>
      <c r="BY61" s="925"/>
      <c r="BZ61" s="925"/>
      <c r="CA61" s="925"/>
      <c r="CB61" s="925"/>
      <c r="CC61" s="925"/>
      <c r="CD61" s="925"/>
      <c r="CE61" s="925"/>
      <c r="CF61" s="925"/>
      <c r="CG61" s="925"/>
      <c r="CH61" s="925"/>
      <c r="CI61" s="925"/>
      <c r="CJ61" s="925"/>
      <c r="CK61" s="925"/>
      <c r="CL61" s="925"/>
      <c r="CM61" s="925"/>
      <c r="CN61" s="925"/>
      <c r="CO61" s="925"/>
      <c r="CP61" s="925"/>
      <c r="CQ61" s="925"/>
      <c r="CR61" s="925"/>
      <c r="CS61" s="925"/>
      <c r="CT61" s="925"/>
      <c r="CU61" s="925"/>
      <c r="CV61" s="925"/>
      <c r="CW61" s="925"/>
      <c r="CX61" s="925"/>
      <c r="CY61" s="925"/>
      <c r="CZ61" s="925"/>
      <c r="DA61" s="925"/>
      <c r="DB61" s="925"/>
      <c r="DC61" s="925"/>
      <c r="DD61" s="925"/>
      <c r="DE61" s="925"/>
      <c r="DF61" s="925"/>
      <c r="DG61" s="925"/>
      <c r="DH61" s="925"/>
      <c r="DI61" s="925"/>
      <c r="DJ61" s="925"/>
      <c r="DK61" s="925"/>
      <c r="DL61" s="925"/>
      <c r="DM61" s="925"/>
      <c r="DN61" s="925"/>
      <c r="DO61" s="925"/>
      <c r="DP61" s="925"/>
      <c r="DQ61" s="925"/>
      <c r="DR61" s="925"/>
      <c r="DS61" s="925"/>
      <c r="DT61" s="925"/>
      <c r="DU61" s="925"/>
      <c r="DV61" s="925"/>
      <c r="DW61" s="925"/>
      <c r="DX61" s="925"/>
      <c r="DY61" s="925"/>
      <c r="DZ61" s="925"/>
      <c r="EA61" s="925"/>
      <c r="EB61" s="925"/>
      <c r="EC61" s="925"/>
      <c r="ED61" s="925"/>
      <c r="EE61" s="925"/>
      <c r="EF61" s="925"/>
      <c r="EG61" s="446"/>
    </row>
    <row r="62" spans="1:137" ht="13" x14ac:dyDescent="0.15">
      <c r="A62" s="917"/>
      <c r="B62" s="917"/>
      <c r="C62" s="918"/>
      <c r="D62" s="919"/>
      <c r="E62" s="920"/>
      <c r="F62" s="921"/>
      <c r="G62" s="922"/>
      <c r="H62" s="922"/>
      <c r="I62" s="922"/>
      <c r="J62" s="923"/>
      <c r="K62" s="923"/>
      <c r="L62" s="924"/>
      <c r="M62" s="925"/>
      <c r="N62" s="925"/>
      <c r="O62" s="925"/>
      <c r="P62" s="925"/>
      <c r="Q62" s="925"/>
      <c r="R62" s="925"/>
      <c r="S62" s="926"/>
      <c r="T62" s="925"/>
      <c r="U62" s="925"/>
      <c r="V62" s="925"/>
      <c r="W62" s="925"/>
      <c r="X62" s="925"/>
      <c r="Y62" s="925"/>
      <c r="Z62" s="925"/>
      <c r="AA62" s="925"/>
      <c r="AB62" s="925"/>
      <c r="AC62" s="925"/>
      <c r="AD62" s="925"/>
      <c r="AE62" s="925"/>
      <c r="AF62" s="925"/>
      <c r="AG62" s="925"/>
      <c r="AH62" s="925"/>
      <c r="AI62" s="925"/>
      <c r="AJ62" s="925"/>
      <c r="AK62" s="925"/>
      <c r="AL62" s="925"/>
      <c r="AM62" s="925"/>
      <c r="AN62" s="925"/>
      <c r="AO62" s="925"/>
      <c r="AP62" s="925"/>
      <c r="AQ62" s="925"/>
      <c r="AR62" s="925"/>
      <c r="AS62" s="925"/>
      <c r="AT62" s="925"/>
      <c r="AU62" s="925"/>
      <c r="AV62" s="925"/>
      <c r="AW62" s="925"/>
      <c r="AX62" s="925"/>
      <c r="AY62" s="925"/>
      <c r="AZ62" s="925"/>
      <c r="BA62" s="925"/>
      <c r="BB62" s="925"/>
      <c r="BC62" s="925"/>
      <c r="BD62" s="925"/>
      <c r="BE62" s="925"/>
      <c r="BF62" s="925"/>
      <c r="BG62" s="925"/>
      <c r="BH62" s="925"/>
      <c r="BI62" s="925"/>
      <c r="BJ62" s="925"/>
      <c r="BK62" s="925"/>
      <c r="BL62" s="925"/>
      <c r="BM62" s="925"/>
      <c r="BN62" s="925"/>
      <c r="BO62" s="925"/>
      <c r="BP62" s="925"/>
      <c r="BQ62" s="925"/>
      <c r="BR62" s="925"/>
      <c r="BS62" s="925"/>
      <c r="BT62" s="925"/>
      <c r="BU62" s="925"/>
      <c r="BV62" s="925"/>
      <c r="BW62" s="925"/>
      <c r="BX62" s="925"/>
      <c r="BY62" s="925"/>
      <c r="BZ62" s="925"/>
      <c r="CA62" s="925"/>
      <c r="CB62" s="925"/>
      <c r="CC62" s="925"/>
      <c r="CD62" s="925"/>
      <c r="CE62" s="925"/>
      <c r="CF62" s="925"/>
      <c r="CG62" s="925"/>
      <c r="CH62" s="925"/>
      <c r="CI62" s="925"/>
      <c r="CJ62" s="925"/>
      <c r="CK62" s="925"/>
      <c r="CL62" s="925"/>
      <c r="CM62" s="925"/>
      <c r="CN62" s="925"/>
      <c r="CO62" s="925"/>
      <c r="CP62" s="925"/>
      <c r="CQ62" s="925"/>
      <c r="CR62" s="925"/>
      <c r="CS62" s="925"/>
      <c r="CT62" s="925"/>
      <c r="CU62" s="925"/>
      <c r="CV62" s="925"/>
      <c r="CW62" s="925"/>
      <c r="CX62" s="925"/>
      <c r="CY62" s="925"/>
      <c r="CZ62" s="925"/>
      <c r="DA62" s="925"/>
      <c r="DB62" s="925"/>
      <c r="DC62" s="925"/>
      <c r="DD62" s="925"/>
      <c r="DE62" s="925"/>
      <c r="DF62" s="925"/>
      <c r="DG62" s="925"/>
      <c r="DH62" s="925"/>
      <c r="DI62" s="925"/>
      <c r="DJ62" s="925"/>
      <c r="DK62" s="925"/>
      <c r="DL62" s="925"/>
      <c r="DM62" s="925"/>
      <c r="DN62" s="925"/>
      <c r="DO62" s="925"/>
      <c r="DP62" s="925"/>
      <c r="DQ62" s="925"/>
      <c r="DR62" s="925"/>
      <c r="DS62" s="925"/>
      <c r="DT62" s="925"/>
      <c r="DU62" s="925"/>
      <c r="DV62" s="925"/>
      <c r="DW62" s="925"/>
      <c r="DX62" s="925"/>
      <c r="DY62" s="925"/>
      <c r="DZ62" s="925"/>
      <c r="EA62" s="925"/>
      <c r="EB62" s="925"/>
      <c r="EC62" s="925"/>
      <c r="ED62" s="925"/>
      <c r="EE62" s="925"/>
      <c r="EF62" s="925"/>
      <c r="EG62" s="446"/>
    </row>
    <row r="63" spans="1:137" ht="13" x14ac:dyDescent="0.15">
      <c r="A63" s="917"/>
      <c r="B63" s="917"/>
      <c r="C63" s="918"/>
      <c r="D63" s="919"/>
      <c r="E63" s="920"/>
      <c r="F63" s="921"/>
      <c r="G63" s="922"/>
      <c r="H63" s="922"/>
      <c r="I63" s="922"/>
      <c r="J63" s="923"/>
      <c r="K63" s="923"/>
      <c r="L63" s="924"/>
      <c r="M63" s="925"/>
      <c r="N63" s="925"/>
      <c r="O63" s="925"/>
      <c r="P63" s="925"/>
      <c r="Q63" s="925"/>
      <c r="R63" s="925"/>
      <c r="S63" s="926"/>
      <c r="T63" s="925"/>
      <c r="U63" s="925"/>
      <c r="V63" s="925"/>
      <c r="W63" s="925"/>
      <c r="X63" s="925"/>
      <c r="Y63" s="925"/>
      <c r="Z63" s="925"/>
      <c r="AA63" s="925"/>
      <c r="AB63" s="925"/>
      <c r="AC63" s="925"/>
      <c r="AD63" s="925"/>
      <c r="AE63" s="925"/>
      <c r="AF63" s="925"/>
      <c r="AG63" s="925"/>
      <c r="AH63" s="925"/>
      <c r="AI63" s="925"/>
      <c r="AJ63" s="925"/>
      <c r="AK63" s="925"/>
      <c r="AL63" s="925"/>
      <c r="AM63" s="925"/>
      <c r="AN63" s="925"/>
      <c r="AO63" s="925"/>
      <c r="AP63" s="925"/>
      <c r="AQ63" s="925"/>
      <c r="AR63" s="925"/>
      <c r="AS63" s="925"/>
      <c r="AT63" s="925"/>
      <c r="AU63" s="925"/>
      <c r="AV63" s="925"/>
      <c r="AW63" s="925"/>
      <c r="AX63" s="925"/>
      <c r="AY63" s="925"/>
      <c r="AZ63" s="925"/>
      <c r="BA63" s="925"/>
      <c r="BB63" s="925"/>
      <c r="BC63" s="925"/>
      <c r="BD63" s="925"/>
      <c r="BE63" s="925"/>
      <c r="BF63" s="925"/>
      <c r="BG63" s="925"/>
      <c r="BH63" s="925"/>
      <c r="BI63" s="925"/>
      <c r="BJ63" s="925"/>
      <c r="BK63" s="925"/>
      <c r="BL63" s="925"/>
      <c r="BM63" s="925"/>
      <c r="BN63" s="925"/>
      <c r="BO63" s="925"/>
      <c r="BP63" s="925"/>
      <c r="BQ63" s="925"/>
      <c r="BR63" s="925"/>
      <c r="BS63" s="925"/>
      <c r="BT63" s="925"/>
      <c r="BU63" s="925"/>
      <c r="BV63" s="925"/>
      <c r="BW63" s="925"/>
      <c r="BX63" s="925"/>
      <c r="BY63" s="925"/>
      <c r="BZ63" s="925"/>
      <c r="CA63" s="925"/>
      <c r="CB63" s="925"/>
      <c r="CC63" s="925"/>
      <c r="CD63" s="925"/>
      <c r="CE63" s="925"/>
      <c r="CF63" s="925"/>
      <c r="CG63" s="925"/>
      <c r="CH63" s="925"/>
      <c r="CI63" s="925"/>
      <c r="CJ63" s="925"/>
      <c r="CK63" s="925"/>
      <c r="CL63" s="925"/>
      <c r="CM63" s="925"/>
      <c r="CN63" s="925"/>
      <c r="CO63" s="925"/>
      <c r="CP63" s="925"/>
      <c r="CQ63" s="925"/>
      <c r="CR63" s="925"/>
      <c r="CS63" s="925"/>
      <c r="CT63" s="925"/>
      <c r="CU63" s="925"/>
      <c r="CV63" s="925"/>
      <c r="CW63" s="925"/>
      <c r="CX63" s="925"/>
      <c r="CY63" s="925"/>
      <c r="CZ63" s="925"/>
      <c r="DA63" s="925"/>
      <c r="DB63" s="925"/>
      <c r="DC63" s="925"/>
      <c r="DD63" s="925"/>
      <c r="DE63" s="925"/>
      <c r="DF63" s="925"/>
      <c r="DG63" s="925"/>
      <c r="DH63" s="925"/>
      <c r="DI63" s="925"/>
      <c r="DJ63" s="925"/>
      <c r="DK63" s="925"/>
      <c r="DL63" s="925"/>
      <c r="DM63" s="925"/>
      <c r="DN63" s="925"/>
      <c r="DO63" s="925"/>
      <c r="DP63" s="925"/>
      <c r="DQ63" s="925"/>
      <c r="DR63" s="925"/>
      <c r="DS63" s="925"/>
      <c r="DT63" s="925"/>
      <c r="DU63" s="925"/>
      <c r="DV63" s="925"/>
      <c r="DW63" s="925"/>
      <c r="DX63" s="925"/>
      <c r="DY63" s="925"/>
      <c r="DZ63" s="925"/>
      <c r="EA63" s="925"/>
      <c r="EB63" s="925"/>
      <c r="EC63" s="925"/>
      <c r="ED63" s="925"/>
      <c r="EE63" s="925"/>
      <c r="EF63" s="925"/>
      <c r="EG63" s="446"/>
    </row>
    <row r="64" spans="1:137" ht="13" x14ac:dyDescent="0.15">
      <c r="A64" s="917"/>
      <c r="B64" s="917"/>
      <c r="C64" s="918"/>
      <c r="D64" s="919"/>
      <c r="E64" s="920"/>
      <c r="F64" s="921"/>
      <c r="G64" s="922"/>
      <c r="H64" s="922"/>
      <c r="I64" s="922"/>
      <c r="J64" s="923"/>
      <c r="K64" s="923"/>
      <c r="L64" s="924"/>
      <c r="M64" s="925"/>
      <c r="N64" s="925"/>
      <c r="O64" s="925"/>
      <c r="Q64" s="982"/>
      <c r="R64" s="982"/>
      <c r="S64" s="926"/>
      <c r="T64" s="925"/>
      <c r="U64" s="925"/>
      <c r="V64" s="925"/>
      <c r="W64" s="925"/>
      <c r="X64" s="925"/>
      <c r="Y64" s="925"/>
      <c r="Z64" s="925"/>
      <c r="AA64" s="925"/>
      <c r="AB64" s="925"/>
      <c r="AC64" s="925"/>
      <c r="AD64" s="925"/>
      <c r="AE64" s="925"/>
      <c r="AF64" s="925"/>
      <c r="AG64" s="925"/>
      <c r="AH64" s="925"/>
      <c r="AI64" s="925"/>
      <c r="AJ64" s="925"/>
      <c r="AK64" s="925"/>
      <c r="AL64" s="925"/>
      <c r="AM64" s="925"/>
      <c r="AN64" s="925"/>
      <c r="AO64" s="925"/>
      <c r="AP64" s="925"/>
      <c r="AQ64" s="925"/>
      <c r="AR64" s="925"/>
      <c r="AS64" s="925"/>
      <c r="AT64" s="925"/>
      <c r="AU64" s="925"/>
      <c r="AV64" s="925"/>
      <c r="AW64" s="925"/>
      <c r="AX64" s="925"/>
      <c r="AY64" s="925"/>
      <c r="AZ64" s="925"/>
      <c r="BA64" s="925"/>
      <c r="BB64" s="925"/>
      <c r="BC64" s="925"/>
      <c r="BD64" s="925"/>
      <c r="BE64" s="925"/>
      <c r="BF64" s="925"/>
      <c r="BG64" s="925"/>
      <c r="BH64" s="925"/>
      <c r="BI64" s="925"/>
      <c r="BJ64" s="925"/>
      <c r="BK64" s="925"/>
      <c r="BL64" s="925"/>
      <c r="BM64" s="925"/>
      <c r="BN64" s="925"/>
      <c r="BO64" s="925"/>
      <c r="BP64" s="925"/>
      <c r="BQ64" s="925"/>
      <c r="BR64" s="925"/>
      <c r="BS64" s="925"/>
      <c r="BT64" s="925"/>
      <c r="BU64" s="925"/>
      <c r="BV64" s="925"/>
      <c r="BW64" s="925"/>
      <c r="BX64" s="925"/>
      <c r="BY64" s="925"/>
      <c r="BZ64" s="925"/>
      <c r="CA64" s="925"/>
      <c r="CB64" s="925"/>
      <c r="CC64" s="925"/>
      <c r="CD64" s="925"/>
      <c r="CE64" s="925"/>
      <c r="CF64" s="925"/>
      <c r="CG64" s="925"/>
      <c r="CH64" s="925"/>
      <c r="CI64" s="925"/>
      <c r="CJ64" s="925"/>
      <c r="CK64" s="925"/>
      <c r="CL64" s="925"/>
      <c r="CM64" s="925"/>
      <c r="CN64" s="925"/>
      <c r="CO64" s="925"/>
      <c r="CP64" s="925"/>
      <c r="CQ64" s="925"/>
      <c r="CR64" s="925"/>
      <c r="CS64" s="925"/>
      <c r="CT64" s="925"/>
      <c r="CU64" s="925"/>
      <c r="CV64" s="925"/>
      <c r="CW64" s="925"/>
      <c r="CX64" s="925"/>
      <c r="CY64" s="925"/>
      <c r="CZ64" s="925"/>
      <c r="DA64" s="925"/>
      <c r="DB64" s="925"/>
      <c r="DC64" s="925"/>
      <c r="DD64" s="925"/>
      <c r="DE64" s="925"/>
      <c r="DF64" s="925"/>
      <c r="DG64" s="925"/>
      <c r="DH64" s="925"/>
      <c r="DI64" s="925"/>
      <c r="DJ64" s="925"/>
      <c r="DK64" s="925"/>
      <c r="DL64" s="925"/>
      <c r="DM64" s="925"/>
      <c r="DN64" s="925"/>
      <c r="DO64" s="925"/>
      <c r="DP64" s="925"/>
      <c r="DQ64" s="925"/>
      <c r="DR64" s="925"/>
      <c r="DS64" s="925"/>
      <c r="DT64" s="925"/>
      <c r="DU64" s="925"/>
      <c r="DV64" s="925"/>
      <c r="DW64" s="925"/>
      <c r="DX64" s="925"/>
      <c r="DY64" s="925"/>
      <c r="DZ64" s="925"/>
      <c r="EA64" s="925"/>
      <c r="EB64" s="925"/>
      <c r="EC64" s="925"/>
      <c r="ED64" s="925"/>
      <c r="EE64" s="925"/>
      <c r="EF64" s="925"/>
      <c r="EG64" s="446"/>
    </row>
    <row r="65" spans="1:137" ht="13" x14ac:dyDescent="0.15">
      <c r="A65" s="917"/>
      <c r="B65" s="917"/>
      <c r="C65" s="918"/>
      <c r="D65" s="919"/>
      <c r="E65" s="920"/>
      <c r="F65" s="921"/>
      <c r="G65" s="922"/>
      <c r="H65" s="922"/>
      <c r="I65" s="922"/>
      <c r="J65" s="923"/>
      <c r="K65" s="923"/>
      <c r="L65" s="924"/>
      <c r="M65" s="925"/>
      <c r="N65" s="925"/>
      <c r="O65" s="925"/>
      <c r="P65" s="925"/>
      <c r="Q65" s="925"/>
      <c r="R65" s="925"/>
      <c r="S65" s="926"/>
      <c r="T65" s="925"/>
      <c r="U65" s="925"/>
      <c r="V65" s="925"/>
      <c r="W65" s="925"/>
      <c r="X65" s="925"/>
      <c r="Y65" s="925"/>
      <c r="Z65" s="925"/>
      <c r="AA65" s="925"/>
      <c r="AB65" s="925"/>
      <c r="AC65" s="925"/>
      <c r="AD65" s="925"/>
      <c r="AE65" s="925"/>
      <c r="AF65" s="925"/>
      <c r="AG65" s="925"/>
      <c r="AH65" s="925"/>
      <c r="AI65" s="925"/>
      <c r="AJ65" s="925"/>
      <c r="AK65" s="925"/>
      <c r="AL65" s="925"/>
      <c r="AM65" s="925"/>
      <c r="AN65" s="925"/>
      <c r="AO65" s="925"/>
      <c r="AP65" s="925"/>
      <c r="AQ65" s="925"/>
      <c r="AR65" s="925"/>
      <c r="AS65" s="925"/>
      <c r="AT65" s="925"/>
      <c r="AU65" s="925"/>
      <c r="AV65" s="925"/>
      <c r="AW65" s="925"/>
      <c r="AX65" s="925"/>
      <c r="AY65" s="925"/>
      <c r="AZ65" s="925"/>
      <c r="BA65" s="925"/>
      <c r="BB65" s="925"/>
      <c r="BC65" s="925"/>
      <c r="BD65" s="925"/>
      <c r="BE65" s="925"/>
      <c r="BF65" s="925"/>
      <c r="BG65" s="925"/>
      <c r="BH65" s="925"/>
      <c r="BI65" s="925"/>
      <c r="BJ65" s="925"/>
      <c r="BK65" s="925"/>
      <c r="BL65" s="925"/>
      <c r="BM65" s="925"/>
      <c r="BN65" s="925"/>
      <c r="BO65" s="925"/>
      <c r="BP65" s="925"/>
      <c r="BQ65" s="925"/>
      <c r="BR65" s="925"/>
      <c r="BS65" s="925"/>
      <c r="BT65" s="925"/>
      <c r="BU65" s="925"/>
      <c r="BV65" s="925"/>
      <c r="BW65" s="925"/>
      <c r="BX65" s="925"/>
      <c r="BY65" s="925"/>
      <c r="BZ65" s="925"/>
      <c r="CA65" s="925"/>
      <c r="CB65" s="925"/>
      <c r="CC65" s="925"/>
      <c r="CD65" s="925"/>
      <c r="CE65" s="925"/>
      <c r="CF65" s="925"/>
      <c r="CG65" s="925"/>
      <c r="CH65" s="925"/>
      <c r="CI65" s="925"/>
      <c r="CJ65" s="925"/>
      <c r="CK65" s="925"/>
      <c r="CL65" s="925"/>
      <c r="CM65" s="925"/>
      <c r="CN65" s="925"/>
      <c r="CO65" s="925"/>
      <c r="CP65" s="925"/>
      <c r="CQ65" s="925"/>
      <c r="CR65" s="925"/>
      <c r="CS65" s="925"/>
      <c r="CT65" s="925"/>
      <c r="CU65" s="925"/>
      <c r="CV65" s="925"/>
      <c r="CW65" s="925"/>
      <c r="CX65" s="925"/>
      <c r="CY65" s="925"/>
      <c r="CZ65" s="925"/>
      <c r="DA65" s="925"/>
      <c r="DB65" s="925"/>
      <c r="DC65" s="925"/>
      <c r="DD65" s="925"/>
      <c r="DE65" s="925"/>
      <c r="DF65" s="925"/>
      <c r="DG65" s="925"/>
      <c r="DH65" s="925"/>
      <c r="DI65" s="925"/>
      <c r="DJ65" s="925"/>
      <c r="DK65" s="925"/>
      <c r="DL65" s="925"/>
      <c r="DM65" s="925"/>
      <c r="DN65" s="925"/>
      <c r="DO65" s="925"/>
      <c r="DP65" s="925"/>
      <c r="DQ65" s="925"/>
      <c r="DR65" s="925"/>
      <c r="DS65" s="925"/>
      <c r="DT65" s="925"/>
      <c r="DU65" s="925"/>
      <c r="DV65" s="925"/>
      <c r="DW65" s="925"/>
      <c r="DX65" s="925"/>
      <c r="DY65" s="925"/>
      <c r="DZ65" s="925"/>
      <c r="EA65" s="925"/>
      <c r="EB65" s="925"/>
      <c r="EC65" s="925"/>
      <c r="ED65" s="446"/>
      <c r="EE65" s="925"/>
      <c r="EF65" s="925"/>
      <c r="EG65" s="446"/>
    </row>
    <row r="66" spans="1:137" ht="13" x14ac:dyDescent="0.15">
      <c r="A66" s="917"/>
      <c r="B66" s="917"/>
      <c r="C66" s="918"/>
      <c r="D66" s="919"/>
      <c r="E66" s="920"/>
      <c r="F66" s="921"/>
      <c r="G66" s="922"/>
      <c r="H66" s="922"/>
      <c r="I66" s="922"/>
      <c r="J66" s="923"/>
      <c r="K66" s="923"/>
      <c r="L66" s="924"/>
      <c r="M66" s="925"/>
      <c r="N66" s="925"/>
      <c r="O66" s="925"/>
      <c r="P66" s="925"/>
      <c r="Q66" s="925"/>
      <c r="R66" s="925"/>
      <c r="S66" s="926"/>
      <c r="T66" s="925"/>
      <c r="U66" s="925"/>
      <c r="V66" s="925"/>
      <c r="W66" s="925"/>
      <c r="X66" s="925"/>
      <c r="Y66" s="925"/>
      <c r="Z66" s="925"/>
      <c r="AA66" s="925"/>
      <c r="AB66" s="925"/>
      <c r="AC66" s="925"/>
      <c r="AD66" s="925"/>
      <c r="AE66" s="925"/>
      <c r="AF66" s="925"/>
      <c r="AG66" s="925"/>
      <c r="AH66" s="925"/>
      <c r="AI66" s="925"/>
      <c r="AJ66" s="925"/>
      <c r="AK66" s="925"/>
      <c r="AL66" s="925"/>
      <c r="AM66" s="925"/>
      <c r="AN66" s="925"/>
      <c r="AO66" s="925"/>
      <c r="AP66" s="925"/>
      <c r="AQ66" s="925"/>
      <c r="AR66" s="925"/>
      <c r="AS66" s="925"/>
      <c r="AT66" s="925"/>
      <c r="AU66" s="925"/>
      <c r="AV66" s="925"/>
      <c r="AW66" s="925"/>
      <c r="AX66" s="925"/>
      <c r="AY66" s="925"/>
      <c r="AZ66" s="925"/>
      <c r="BA66" s="925"/>
      <c r="BB66" s="925"/>
      <c r="BC66" s="925"/>
      <c r="BD66" s="925"/>
      <c r="BE66" s="925"/>
      <c r="BF66" s="925"/>
      <c r="BG66" s="925"/>
      <c r="BH66" s="925"/>
      <c r="BI66" s="925"/>
      <c r="BJ66" s="925"/>
      <c r="BK66" s="925"/>
      <c r="BL66" s="925"/>
      <c r="BM66" s="925"/>
      <c r="BN66" s="925"/>
      <c r="BO66" s="925"/>
      <c r="BP66" s="925"/>
      <c r="BQ66" s="925"/>
      <c r="BR66" s="925"/>
      <c r="BS66" s="925"/>
      <c r="BT66" s="925"/>
      <c r="BU66" s="925"/>
      <c r="BV66" s="925"/>
      <c r="BW66" s="925"/>
      <c r="BX66" s="925"/>
      <c r="BY66" s="925"/>
      <c r="BZ66" s="925"/>
      <c r="CA66" s="925"/>
      <c r="CB66" s="925"/>
      <c r="CC66" s="925"/>
      <c r="CD66" s="925"/>
      <c r="CE66" s="925"/>
      <c r="CF66" s="925"/>
      <c r="CG66" s="925"/>
      <c r="CH66" s="925"/>
      <c r="CI66" s="925"/>
      <c r="CJ66" s="925"/>
      <c r="CK66" s="925"/>
      <c r="CL66" s="925"/>
      <c r="CM66" s="925"/>
      <c r="CN66" s="925"/>
      <c r="CO66" s="925"/>
      <c r="CP66" s="925"/>
      <c r="CQ66" s="925"/>
      <c r="CR66" s="925"/>
      <c r="CS66" s="925"/>
      <c r="CT66" s="925"/>
      <c r="CU66" s="925"/>
      <c r="CV66" s="925"/>
      <c r="CW66" s="925"/>
      <c r="CX66" s="925"/>
      <c r="CY66" s="925"/>
      <c r="CZ66" s="925"/>
      <c r="DA66" s="925"/>
      <c r="DB66" s="925"/>
      <c r="DC66" s="925"/>
      <c r="DD66" s="925"/>
      <c r="DE66" s="925"/>
      <c r="DF66" s="925"/>
      <c r="DG66" s="925"/>
      <c r="DH66" s="925"/>
      <c r="DI66" s="925"/>
      <c r="DJ66" s="925"/>
      <c r="DK66" s="925"/>
      <c r="DL66" s="925"/>
      <c r="DM66" s="925"/>
      <c r="DN66" s="925"/>
      <c r="DO66" s="925"/>
      <c r="DP66" s="925"/>
      <c r="DQ66" s="925"/>
      <c r="DR66" s="925"/>
      <c r="DS66" s="925"/>
      <c r="DT66" s="925"/>
      <c r="DU66" s="925"/>
      <c r="DV66" s="925"/>
      <c r="DW66" s="925"/>
      <c r="DX66" s="925"/>
      <c r="DY66" s="925"/>
      <c r="DZ66" s="925"/>
      <c r="EA66" s="925"/>
      <c r="EB66" s="925"/>
      <c r="EC66" s="925"/>
      <c r="ED66" s="925"/>
      <c r="EE66" s="925"/>
      <c r="EF66" s="925"/>
      <c r="EG66" s="446"/>
    </row>
    <row r="67" spans="1:137" ht="13" x14ac:dyDescent="0.15">
      <c r="A67" s="917"/>
      <c r="B67" s="917"/>
      <c r="C67" s="918"/>
      <c r="D67" s="919"/>
      <c r="E67" s="920"/>
      <c r="F67" s="921"/>
      <c r="G67" s="922"/>
      <c r="H67" s="922"/>
      <c r="I67" s="922"/>
      <c r="J67" s="923"/>
      <c r="K67" s="923"/>
      <c r="L67" s="924"/>
      <c r="M67" s="925"/>
      <c r="N67" s="925"/>
      <c r="O67" s="925"/>
      <c r="P67" s="925"/>
      <c r="Q67" s="925"/>
      <c r="R67" s="925"/>
      <c r="S67" s="926"/>
      <c r="T67" s="925"/>
      <c r="U67" s="925"/>
      <c r="V67" s="925"/>
      <c r="W67" s="925"/>
      <c r="X67" s="925"/>
      <c r="Y67" s="925"/>
      <c r="Z67" s="925"/>
      <c r="AA67" s="925"/>
      <c r="AB67" s="925"/>
      <c r="AC67" s="925"/>
      <c r="AD67" s="925"/>
      <c r="AE67" s="925"/>
      <c r="AF67" s="925"/>
      <c r="AG67" s="925"/>
      <c r="AH67" s="925"/>
      <c r="AI67" s="925"/>
      <c r="AJ67" s="925"/>
      <c r="AK67" s="925"/>
      <c r="AL67" s="925"/>
      <c r="AM67" s="925"/>
      <c r="AN67" s="925"/>
      <c r="AO67" s="925"/>
      <c r="AP67" s="925"/>
      <c r="AQ67" s="925"/>
      <c r="AR67" s="925"/>
      <c r="AS67" s="925"/>
      <c r="AT67" s="925"/>
      <c r="AU67" s="925"/>
      <c r="AV67" s="925"/>
      <c r="AW67" s="925"/>
      <c r="AX67" s="925"/>
      <c r="AY67" s="925"/>
      <c r="AZ67" s="925"/>
      <c r="BA67" s="925"/>
      <c r="BB67" s="925"/>
      <c r="BC67" s="925"/>
      <c r="BD67" s="925"/>
      <c r="BE67" s="925"/>
      <c r="BF67" s="925"/>
      <c r="BG67" s="925"/>
      <c r="BH67" s="925"/>
      <c r="BI67" s="925"/>
      <c r="BJ67" s="925"/>
      <c r="BK67" s="925"/>
      <c r="BL67" s="925"/>
      <c r="BM67" s="925"/>
      <c r="BN67" s="925"/>
      <c r="BO67" s="925"/>
      <c r="BP67" s="925"/>
      <c r="BQ67" s="925"/>
      <c r="BR67" s="925"/>
      <c r="BS67" s="925"/>
      <c r="BT67" s="925"/>
      <c r="BU67" s="925"/>
      <c r="BV67" s="925"/>
      <c r="BW67" s="925"/>
      <c r="BX67" s="925"/>
      <c r="BY67" s="925"/>
      <c r="BZ67" s="925"/>
      <c r="CA67" s="925"/>
      <c r="CB67" s="925"/>
      <c r="CC67" s="925"/>
      <c r="CD67" s="925"/>
      <c r="CE67" s="925"/>
      <c r="CF67" s="925"/>
      <c r="CG67" s="925"/>
      <c r="CH67" s="925"/>
      <c r="CI67" s="925"/>
      <c r="CJ67" s="925"/>
      <c r="CK67" s="925"/>
      <c r="CL67" s="925"/>
      <c r="CM67" s="925"/>
      <c r="CN67" s="925"/>
      <c r="CO67" s="925"/>
      <c r="CP67" s="925"/>
      <c r="CQ67" s="925"/>
      <c r="CR67" s="925"/>
      <c r="CS67" s="925"/>
      <c r="CT67" s="925"/>
      <c r="CU67" s="925"/>
      <c r="CV67" s="925"/>
      <c r="CW67" s="925"/>
      <c r="CX67" s="925"/>
      <c r="CY67" s="925"/>
      <c r="CZ67" s="925"/>
      <c r="DA67" s="925"/>
      <c r="DB67" s="925"/>
      <c r="DC67" s="925"/>
      <c r="DD67" s="925"/>
      <c r="DE67" s="925"/>
      <c r="DF67" s="925"/>
      <c r="DG67" s="925"/>
      <c r="DH67" s="925"/>
      <c r="DI67" s="925"/>
      <c r="DJ67" s="925"/>
      <c r="DK67" s="925"/>
      <c r="DL67" s="925"/>
      <c r="DM67" s="925"/>
      <c r="DN67" s="925"/>
      <c r="DO67" s="925"/>
      <c r="DP67" s="925"/>
      <c r="DQ67" s="925"/>
      <c r="DR67" s="925"/>
      <c r="DS67" s="925"/>
      <c r="DT67" s="925"/>
      <c r="DU67" s="925"/>
      <c r="DV67" s="925"/>
      <c r="DW67" s="925"/>
      <c r="DX67" s="925"/>
      <c r="DY67" s="925"/>
      <c r="DZ67" s="925"/>
      <c r="EA67" s="925"/>
      <c r="EB67" s="925"/>
      <c r="EC67" s="925"/>
      <c r="ED67" s="925"/>
      <c r="EE67" s="925"/>
      <c r="EF67" s="925"/>
      <c r="EG67" s="446"/>
    </row>
    <row r="68" spans="1:137" ht="13" x14ac:dyDescent="0.15">
      <c r="A68" s="917"/>
      <c r="B68" s="917"/>
      <c r="C68" s="918"/>
      <c r="D68" s="919"/>
      <c r="E68" s="920"/>
      <c r="F68" s="921"/>
      <c r="G68" s="922"/>
      <c r="H68" s="922"/>
      <c r="I68" s="922"/>
      <c r="J68" s="923"/>
      <c r="K68" s="923"/>
      <c r="L68" s="924"/>
      <c r="M68" s="925"/>
      <c r="N68" s="925"/>
      <c r="O68" s="925"/>
      <c r="P68" s="925"/>
      <c r="Q68" s="925"/>
      <c r="R68" s="925"/>
      <c r="S68" s="926"/>
      <c r="T68" s="925"/>
      <c r="U68" s="925"/>
      <c r="V68" s="925"/>
      <c r="W68" s="925"/>
      <c r="X68" s="925"/>
      <c r="Y68" s="925"/>
      <c r="Z68" s="925"/>
      <c r="AA68" s="925"/>
      <c r="AB68" s="925"/>
      <c r="AC68" s="925"/>
      <c r="AD68" s="925"/>
      <c r="AE68" s="925"/>
      <c r="AF68" s="925"/>
      <c r="AG68" s="925"/>
      <c r="AH68" s="925"/>
      <c r="AI68" s="925"/>
      <c r="AJ68" s="925"/>
      <c r="AK68" s="925"/>
      <c r="AL68" s="925"/>
      <c r="AM68" s="925"/>
      <c r="AN68" s="925"/>
      <c r="AO68" s="925"/>
      <c r="AP68" s="925"/>
      <c r="AQ68" s="925"/>
      <c r="AR68" s="925"/>
      <c r="AS68" s="925"/>
      <c r="AT68" s="925"/>
      <c r="AU68" s="925"/>
      <c r="AV68" s="925"/>
      <c r="AW68" s="925"/>
      <c r="AX68" s="925"/>
      <c r="AY68" s="925"/>
      <c r="AZ68" s="925"/>
      <c r="BA68" s="925"/>
      <c r="BB68" s="925"/>
      <c r="BC68" s="925"/>
      <c r="BD68" s="925"/>
      <c r="BE68" s="925"/>
      <c r="BF68" s="925"/>
      <c r="BG68" s="925"/>
      <c r="BH68" s="925"/>
      <c r="BI68" s="925"/>
      <c r="BJ68" s="925"/>
      <c r="BK68" s="925"/>
      <c r="BL68" s="925"/>
      <c r="BM68" s="925"/>
      <c r="BN68" s="925"/>
      <c r="BO68" s="925"/>
      <c r="BP68" s="925"/>
      <c r="BQ68" s="925"/>
      <c r="BR68" s="925"/>
      <c r="BS68" s="925"/>
      <c r="BT68" s="925"/>
      <c r="BU68" s="925"/>
      <c r="BV68" s="925"/>
      <c r="BW68" s="925"/>
      <c r="BX68" s="925"/>
      <c r="BY68" s="925"/>
      <c r="BZ68" s="925"/>
      <c r="CA68" s="925"/>
      <c r="CB68" s="925"/>
      <c r="CC68" s="925"/>
      <c r="CD68" s="925"/>
      <c r="CE68" s="925"/>
      <c r="CF68" s="925"/>
      <c r="CG68" s="925"/>
      <c r="CH68" s="925"/>
      <c r="CI68" s="925"/>
      <c r="CJ68" s="925"/>
      <c r="CK68" s="925"/>
      <c r="CL68" s="925"/>
      <c r="CM68" s="925"/>
      <c r="CN68" s="925"/>
      <c r="CO68" s="925"/>
      <c r="CP68" s="925"/>
      <c r="CQ68" s="925"/>
      <c r="CR68" s="925"/>
      <c r="CS68" s="925"/>
      <c r="CT68" s="925"/>
      <c r="CU68" s="925"/>
      <c r="CV68" s="925"/>
      <c r="CW68" s="925"/>
      <c r="CX68" s="925"/>
      <c r="CY68" s="925"/>
      <c r="CZ68" s="925"/>
      <c r="DA68" s="925"/>
      <c r="DB68" s="925"/>
      <c r="DC68" s="925"/>
      <c r="DD68" s="925"/>
      <c r="DE68" s="925"/>
      <c r="DF68" s="925"/>
      <c r="DG68" s="925"/>
      <c r="DH68" s="925"/>
      <c r="DI68" s="925"/>
      <c r="DJ68" s="925"/>
      <c r="DK68" s="925"/>
      <c r="DL68" s="925"/>
      <c r="DM68" s="925"/>
      <c r="DN68" s="925"/>
      <c r="DO68" s="925"/>
      <c r="DP68" s="925"/>
      <c r="DQ68" s="925"/>
      <c r="DR68" s="925"/>
      <c r="DS68" s="925"/>
      <c r="DT68" s="925"/>
      <c r="DU68" s="925"/>
      <c r="DV68" s="925"/>
      <c r="DW68" s="925"/>
      <c r="DX68" s="925"/>
      <c r="DY68" s="925"/>
      <c r="DZ68" s="925"/>
      <c r="EA68" s="925"/>
      <c r="EB68" s="925"/>
      <c r="EC68" s="925"/>
      <c r="ED68" s="925"/>
      <c r="EE68" s="925"/>
      <c r="EF68" s="925"/>
      <c r="EG68" s="446"/>
    </row>
    <row r="69" spans="1:137" ht="13" x14ac:dyDescent="0.15">
      <c r="A69" s="917"/>
      <c r="B69" s="917"/>
      <c r="C69" s="918"/>
      <c r="D69" s="919"/>
      <c r="E69" s="920"/>
      <c r="F69" s="921"/>
      <c r="G69" s="922"/>
      <c r="H69" s="922"/>
      <c r="I69" s="922"/>
      <c r="J69" s="923"/>
      <c r="K69" s="923"/>
      <c r="L69" s="924"/>
      <c r="M69" s="925"/>
      <c r="N69" s="925"/>
      <c r="O69" s="925"/>
      <c r="P69" s="925"/>
      <c r="Q69" s="925"/>
      <c r="R69" s="926"/>
      <c r="S69" s="926"/>
      <c r="T69" s="925"/>
      <c r="U69" s="925"/>
      <c r="V69" s="925"/>
      <c r="W69" s="925"/>
      <c r="X69" s="925"/>
      <c r="Y69" s="925"/>
      <c r="Z69" s="925"/>
      <c r="AA69" s="925"/>
      <c r="AB69" s="925"/>
      <c r="AC69" s="925"/>
      <c r="AD69" s="925"/>
      <c r="AE69" s="925"/>
      <c r="AF69" s="925"/>
      <c r="AG69" s="925"/>
      <c r="AH69" s="925"/>
      <c r="AI69" s="925"/>
      <c r="AJ69" s="925"/>
      <c r="AK69" s="925"/>
      <c r="AL69" s="925"/>
      <c r="AM69" s="925"/>
      <c r="AN69" s="925"/>
      <c r="AO69" s="925"/>
      <c r="AP69" s="925"/>
      <c r="AQ69" s="925"/>
      <c r="AR69" s="925"/>
      <c r="AS69" s="925"/>
      <c r="AT69" s="925"/>
      <c r="AU69" s="925"/>
      <c r="AV69" s="925"/>
      <c r="AW69" s="925"/>
      <c r="AX69" s="925"/>
      <c r="AY69" s="925"/>
      <c r="AZ69" s="925"/>
      <c r="BA69" s="925"/>
      <c r="BB69" s="925"/>
      <c r="BC69" s="925"/>
      <c r="BD69" s="925"/>
      <c r="BE69" s="925"/>
      <c r="BF69" s="925"/>
      <c r="BG69" s="925"/>
      <c r="BH69" s="925"/>
      <c r="BI69" s="925"/>
      <c r="BJ69" s="925"/>
      <c r="BK69" s="925"/>
      <c r="BL69" s="925"/>
      <c r="BM69" s="925"/>
      <c r="BN69" s="925"/>
      <c r="BO69" s="925"/>
      <c r="BP69" s="925"/>
      <c r="BQ69" s="925"/>
      <c r="BR69" s="925"/>
      <c r="BS69" s="925"/>
      <c r="BT69" s="925"/>
      <c r="BU69" s="925"/>
      <c r="BV69" s="925"/>
      <c r="BW69" s="925"/>
      <c r="BX69" s="925"/>
      <c r="BY69" s="925"/>
      <c r="BZ69" s="925"/>
      <c r="CA69" s="925"/>
      <c r="CB69" s="925"/>
      <c r="CC69" s="925"/>
      <c r="CD69" s="925"/>
      <c r="CE69" s="925"/>
      <c r="CF69" s="925"/>
      <c r="CG69" s="925"/>
      <c r="CH69" s="925"/>
      <c r="CI69" s="925"/>
      <c r="CJ69" s="925"/>
      <c r="CK69" s="925"/>
      <c r="CL69" s="925"/>
      <c r="CM69" s="925"/>
      <c r="CN69" s="925"/>
      <c r="CO69" s="925"/>
      <c r="CP69" s="925"/>
      <c r="CQ69" s="925"/>
      <c r="CR69" s="925"/>
      <c r="CS69" s="925"/>
      <c r="CT69" s="925"/>
      <c r="CU69" s="925"/>
      <c r="CV69" s="925"/>
      <c r="CW69" s="925"/>
      <c r="CX69" s="925"/>
      <c r="CY69" s="925"/>
      <c r="CZ69" s="925"/>
      <c r="DA69" s="925"/>
      <c r="DB69" s="925"/>
      <c r="DC69" s="925"/>
      <c r="DD69" s="925"/>
      <c r="DE69" s="925"/>
      <c r="DF69" s="925"/>
      <c r="DG69" s="925"/>
      <c r="DH69" s="925"/>
      <c r="DI69" s="925"/>
      <c r="DJ69" s="925"/>
      <c r="DK69" s="925"/>
      <c r="DL69" s="925"/>
      <c r="DM69" s="925"/>
      <c r="DN69" s="925"/>
      <c r="DO69" s="925"/>
      <c r="DP69" s="925"/>
      <c r="DQ69" s="925"/>
      <c r="DR69" s="925"/>
      <c r="DS69" s="925"/>
      <c r="DT69" s="925"/>
      <c r="DU69" s="925"/>
      <c r="DV69" s="925"/>
      <c r="DW69" s="925"/>
      <c r="DX69" s="925"/>
      <c r="DY69" s="925"/>
      <c r="DZ69" s="925"/>
      <c r="EA69" s="925"/>
      <c r="EB69" s="925"/>
      <c r="EC69" s="925"/>
      <c r="ED69" s="925"/>
      <c r="EE69" s="925"/>
      <c r="EF69" s="925"/>
      <c r="EG69" s="446"/>
    </row>
    <row r="70" spans="1:137" ht="13" x14ac:dyDescent="0.15">
      <c r="A70" s="917"/>
      <c r="B70" s="917"/>
      <c r="C70" s="918"/>
      <c r="D70" s="919"/>
      <c r="E70" s="920"/>
      <c r="F70" s="921"/>
      <c r="G70" s="922"/>
      <c r="H70" s="922"/>
      <c r="I70" s="922"/>
      <c r="J70" s="923"/>
      <c r="K70" s="923"/>
      <c r="L70" s="924"/>
      <c r="M70" s="925"/>
      <c r="N70" s="925"/>
      <c r="O70" s="925"/>
      <c r="P70" s="925"/>
      <c r="Q70" s="925"/>
      <c r="R70" s="926"/>
      <c r="S70" s="926"/>
      <c r="T70" s="925"/>
      <c r="U70" s="925"/>
      <c r="V70" s="925"/>
      <c r="W70" s="925"/>
      <c r="X70" s="925"/>
      <c r="Y70" s="925"/>
      <c r="Z70" s="925"/>
      <c r="AA70" s="925"/>
      <c r="AB70" s="925"/>
      <c r="AC70" s="925"/>
      <c r="AD70" s="925"/>
      <c r="AE70" s="925"/>
      <c r="AF70" s="925"/>
      <c r="AG70" s="925"/>
      <c r="AH70" s="925"/>
      <c r="AI70" s="925"/>
      <c r="AJ70" s="925"/>
      <c r="AK70" s="925"/>
      <c r="AL70" s="925"/>
      <c r="AM70" s="925"/>
      <c r="AN70" s="925"/>
      <c r="AO70" s="925"/>
      <c r="AP70" s="925"/>
      <c r="AQ70" s="925"/>
      <c r="AR70" s="925"/>
      <c r="AS70" s="925"/>
      <c r="AT70" s="925"/>
      <c r="AU70" s="925"/>
      <c r="AV70" s="925"/>
      <c r="AW70" s="925"/>
      <c r="AX70" s="925"/>
      <c r="AY70" s="925"/>
      <c r="AZ70" s="925"/>
      <c r="BA70" s="925"/>
      <c r="BB70" s="925"/>
      <c r="BC70" s="925"/>
      <c r="BD70" s="925"/>
      <c r="BE70" s="925"/>
      <c r="BF70" s="925"/>
      <c r="BG70" s="925"/>
      <c r="BH70" s="925"/>
      <c r="BI70" s="925"/>
      <c r="BJ70" s="925"/>
      <c r="BK70" s="925"/>
      <c r="BL70" s="925"/>
      <c r="BM70" s="925"/>
      <c r="BN70" s="925"/>
      <c r="BO70" s="925"/>
      <c r="BP70" s="925"/>
      <c r="BQ70" s="925"/>
      <c r="BR70" s="925"/>
      <c r="BS70" s="925"/>
      <c r="BT70" s="925"/>
      <c r="BU70" s="925"/>
      <c r="BV70" s="925"/>
      <c r="BW70" s="925"/>
      <c r="BX70" s="925"/>
      <c r="BY70" s="925"/>
      <c r="BZ70" s="925"/>
      <c r="CA70" s="925"/>
      <c r="CB70" s="925"/>
      <c r="CC70" s="925"/>
      <c r="CD70" s="925"/>
      <c r="CE70" s="925"/>
      <c r="CF70" s="925"/>
      <c r="CG70" s="925"/>
      <c r="CH70" s="925"/>
      <c r="CI70" s="925"/>
      <c r="CJ70" s="925"/>
      <c r="CK70" s="925"/>
      <c r="CL70" s="925"/>
      <c r="CM70" s="925"/>
      <c r="CN70" s="925"/>
      <c r="CO70" s="925"/>
      <c r="CP70" s="925"/>
      <c r="CQ70" s="925"/>
      <c r="CR70" s="925"/>
      <c r="CS70" s="925"/>
      <c r="CT70" s="925"/>
      <c r="CU70" s="925"/>
      <c r="CV70" s="925"/>
      <c r="CW70" s="925"/>
      <c r="CX70" s="925"/>
      <c r="CY70" s="925"/>
      <c r="CZ70" s="925"/>
      <c r="DA70" s="925"/>
      <c r="DB70" s="925"/>
      <c r="DC70" s="925"/>
      <c r="DD70" s="925"/>
      <c r="DE70" s="925"/>
      <c r="DF70" s="925"/>
      <c r="DG70" s="925"/>
      <c r="DH70" s="925"/>
      <c r="DI70" s="925"/>
      <c r="DJ70" s="925"/>
      <c r="DK70" s="925"/>
      <c r="DL70" s="925"/>
      <c r="DM70" s="925"/>
      <c r="DN70" s="925"/>
      <c r="DO70" s="925"/>
      <c r="DP70" s="925"/>
      <c r="DQ70" s="925"/>
      <c r="DR70" s="925"/>
      <c r="DS70" s="925"/>
      <c r="DT70" s="925"/>
      <c r="DU70" s="925"/>
      <c r="DV70" s="925"/>
      <c r="DW70" s="925"/>
      <c r="DX70" s="925"/>
      <c r="DY70" s="925"/>
      <c r="DZ70" s="925"/>
      <c r="EA70" s="925"/>
      <c r="EB70" s="925"/>
      <c r="EC70" s="925"/>
      <c r="ED70" s="925"/>
      <c r="EE70" s="925"/>
      <c r="EF70" s="925"/>
      <c r="EG70" s="446"/>
    </row>
    <row r="71" spans="1:137" ht="13" x14ac:dyDescent="0.15">
      <c r="A71" s="917"/>
      <c r="B71" s="917"/>
      <c r="C71" s="918"/>
      <c r="D71" s="919"/>
      <c r="E71" s="920"/>
      <c r="F71" s="921"/>
      <c r="G71" s="922"/>
      <c r="H71" s="922"/>
      <c r="I71" s="922"/>
      <c r="J71" s="923"/>
      <c r="K71" s="923"/>
      <c r="L71" s="924"/>
      <c r="M71" s="925"/>
      <c r="N71" s="925"/>
      <c r="O71" s="925"/>
      <c r="P71" s="925"/>
      <c r="Q71" s="925"/>
      <c r="R71" s="926"/>
      <c r="S71" s="926"/>
      <c r="T71" s="925"/>
      <c r="U71" s="925"/>
      <c r="V71" s="925"/>
      <c r="W71" s="925"/>
      <c r="X71" s="925"/>
      <c r="Y71" s="925"/>
      <c r="Z71" s="925"/>
      <c r="AA71" s="925"/>
      <c r="AB71" s="925"/>
      <c r="AC71" s="925"/>
      <c r="AD71" s="925"/>
      <c r="AE71" s="925"/>
      <c r="AF71" s="925"/>
      <c r="AG71" s="925"/>
      <c r="AH71" s="925"/>
      <c r="AI71" s="925"/>
      <c r="AJ71" s="925"/>
      <c r="AK71" s="925"/>
      <c r="AL71" s="925"/>
      <c r="AM71" s="925"/>
      <c r="AN71" s="925"/>
      <c r="AO71" s="925"/>
      <c r="AP71" s="925"/>
      <c r="AQ71" s="925"/>
      <c r="AR71" s="925"/>
      <c r="AS71" s="925"/>
      <c r="AT71" s="925"/>
      <c r="AU71" s="925"/>
      <c r="AV71" s="925"/>
      <c r="AW71" s="925"/>
      <c r="AX71" s="925"/>
      <c r="AY71" s="925"/>
      <c r="AZ71" s="925"/>
      <c r="BA71" s="925"/>
      <c r="BB71" s="925"/>
      <c r="BC71" s="925"/>
      <c r="BD71" s="925"/>
      <c r="BE71" s="925"/>
      <c r="BF71" s="925"/>
      <c r="BG71" s="925"/>
      <c r="BH71" s="925"/>
      <c r="BI71" s="925"/>
      <c r="BJ71" s="925"/>
      <c r="BK71" s="925"/>
      <c r="BL71" s="925"/>
      <c r="BM71" s="925"/>
      <c r="BN71" s="925"/>
      <c r="BO71" s="925"/>
      <c r="BP71" s="925"/>
      <c r="BQ71" s="925"/>
      <c r="BR71" s="925"/>
      <c r="BS71" s="925"/>
      <c r="BT71" s="925"/>
      <c r="BU71" s="925"/>
      <c r="BV71" s="925"/>
      <c r="BW71" s="925"/>
      <c r="BX71" s="925"/>
      <c r="BY71" s="925"/>
      <c r="BZ71" s="925"/>
      <c r="CA71" s="925"/>
      <c r="CB71" s="925"/>
      <c r="CC71" s="925"/>
      <c r="CD71" s="925"/>
      <c r="CE71" s="925"/>
      <c r="CF71" s="925"/>
      <c r="CG71" s="925"/>
      <c r="CH71" s="925"/>
      <c r="CI71" s="925"/>
      <c r="CJ71" s="925"/>
      <c r="CK71" s="925"/>
      <c r="CL71" s="925"/>
      <c r="CM71" s="925"/>
      <c r="CN71" s="925"/>
      <c r="CO71" s="925"/>
      <c r="CP71" s="925"/>
      <c r="CQ71" s="925"/>
      <c r="CR71" s="925"/>
      <c r="CS71" s="925"/>
      <c r="CT71" s="925"/>
      <c r="CU71" s="925"/>
      <c r="CV71" s="925"/>
      <c r="CW71" s="925"/>
      <c r="CX71" s="925"/>
      <c r="CY71" s="925"/>
      <c r="CZ71" s="925"/>
      <c r="DA71" s="925"/>
      <c r="DB71" s="925"/>
      <c r="DC71" s="925"/>
      <c r="DD71" s="925"/>
      <c r="DE71" s="925"/>
      <c r="DF71" s="925"/>
      <c r="DG71" s="925"/>
      <c r="DH71" s="925"/>
      <c r="DI71" s="925"/>
      <c r="DJ71" s="925"/>
      <c r="DK71" s="925"/>
      <c r="DL71" s="925"/>
      <c r="DM71" s="925"/>
      <c r="DN71" s="925"/>
      <c r="DO71" s="925"/>
      <c r="DP71" s="925"/>
      <c r="DQ71" s="925"/>
      <c r="DR71" s="925"/>
      <c r="DS71" s="925"/>
      <c r="DT71" s="925"/>
      <c r="DU71" s="925"/>
      <c r="DV71" s="925"/>
      <c r="DW71" s="925"/>
      <c r="DX71" s="925"/>
      <c r="DY71" s="925"/>
      <c r="DZ71" s="925"/>
      <c r="EA71" s="925"/>
      <c r="EB71" s="925"/>
      <c r="EC71" s="925"/>
      <c r="ED71" s="925"/>
      <c r="EE71" s="925"/>
      <c r="EF71" s="925"/>
      <c r="EG71" s="446"/>
    </row>
    <row r="72" spans="1:137" ht="13" x14ac:dyDescent="0.15">
      <c r="A72" s="917"/>
      <c r="B72" s="917"/>
      <c r="C72" s="918"/>
      <c r="D72" s="919"/>
      <c r="E72" s="920"/>
      <c r="F72" s="921"/>
      <c r="G72" s="922"/>
      <c r="H72" s="922"/>
      <c r="I72" s="922"/>
      <c r="J72" s="923"/>
      <c r="K72" s="923"/>
      <c r="L72" s="924"/>
      <c r="M72" s="925"/>
      <c r="N72" s="925"/>
      <c r="O72" s="925"/>
      <c r="P72" s="925"/>
      <c r="Q72" s="925"/>
      <c r="R72" s="926"/>
      <c r="S72" s="926"/>
      <c r="T72" s="925"/>
      <c r="U72" s="925"/>
      <c r="V72" s="925"/>
      <c r="W72" s="925"/>
      <c r="X72" s="925"/>
      <c r="Y72" s="925"/>
      <c r="Z72" s="925"/>
      <c r="AA72" s="925"/>
      <c r="AB72" s="925"/>
      <c r="AC72" s="925"/>
      <c r="AD72" s="925"/>
      <c r="AE72" s="925"/>
      <c r="AF72" s="925"/>
      <c r="AG72" s="925"/>
      <c r="AH72" s="925"/>
      <c r="AI72" s="925"/>
      <c r="AJ72" s="925"/>
      <c r="AK72" s="925"/>
      <c r="AL72" s="925"/>
      <c r="AM72" s="925"/>
      <c r="AN72" s="925"/>
      <c r="AO72" s="925"/>
      <c r="AP72" s="925"/>
      <c r="AQ72" s="925"/>
      <c r="AR72" s="925"/>
      <c r="AS72" s="925"/>
      <c r="AT72" s="925"/>
      <c r="AU72" s="925"/>
      <c r="AV72" s="925"/>
      <c r="AW72" s="925"/>
      <c r="AX72" s="925"/>
      <c r="AY72" s="925"/>
      <c r="AZ72" s="925"/>
      <c r="BA72" s="925"/>
      <c r="BB72" s="925"/>
      <c r="BC72" s="925"/>
      <c r="BD72" s="925"/>
      <c r="BE72" s="925"/>
      <c r="BF72" s="925"/>
      <c r="BG72" s="925"/>
      <c r="BH72" s="925"/>
      <c r="BI72" s="925"/>
      <c r="BJ72" s="925"/>
      <c r="BK72" s="925"/>
      <c r="BL72" s="925"/>
      <c r="BM72" s="925"/>
      <c r="BN72" s="925"/>
      <c r="BO72" s="925"/>
      <c r="BP72" s="925"/>
      <c r="BQ72" s="925"/>
      <c r="BR72" s="925"/>
      <c r="BS72" s="925"/>
      <c r="BT72" s="925"/>
      <c r="BU72" s="925"/>
      <c r="BV72" s="925"/>
      <c r="BW72" s="925"/>
      <c r="BX72" s="925"/>
      <c r="BY72" s="925"/>
      <c r="BZ72" s="925"/>
      <c r="CA72" s="925"/>
      <c r="CB72" s="925"/>
      <c r="CC72" s="925"/>
      <c r="CD72" s="925"/>
      <c r="CE72" s="925"/>
      <c r="CF72" s="925"/>
      <c r="CG72" s="925"/>
      <c r="CH72" s="925"/>
      <c r="CI72" s="925"/>
      <c r="CJ72" s="925"/>
      <c r="CK72" s="925"/>
      <c r="CL72" s="925"/>
      <c r="CM72" s="925"/>
      <c r="CN72" s="925"/>
      <c r="CO72" s="925"/>
      <c r="CP72" s="925"/>
      <c r="CQ72" s="925"/>
      <c r="CR72" s="925"/>
      <c r="CS72" s="925"/>
      <c r="CT72" s="925"/>
      <c r="CU72" s="925"/>
      <c r="CV72" s="925"/>
      <c r="CW72" s="925"/>
      <c r="CX72" s="925"/>
      <c r="CY72" s="925"/>
      <c r="CZ72" s="925"/>
      <c r="DA72" s="925"/>
      <c r="DB72" s="925"/>
      <c r="DC72" s="925"/>
      <c r="DD72" s="925"/>
      <c r="DE72" s="925"/>
      <c r="DF72" s="925"/>
      <c r="DG72" s="925"/>
      <c r="DH72" s="925"/>
      <c r="DI72" s="925"/>
      <c r="DJ72" s="925"/>
      <c r="DK72" s="925"/>
      <c r="DL72" s="925"/>
      <c r="DM72" s="925"/>
      <c r="DN72" s="925"/>
      <c r="DO72" s="925"/>
      <c r="DP72" s="925"/>
      <c r="DQ72" s="925"/>
      <c r="DR72" s="925"/>
      <c r="DS72" s="925"/>
      <c r="DT72" s="925"/>
      <c r="DU72" s="925"/>
      <c r="DV72" s="925"/>
      <c r="DW72" s="925"/>
      <c r="DX72" s="925"/>
      <c r="DY72" s="925"/>
      <c r="DZ72" s="925"/>
      <c r="EA72" s="925"/>
      <c r="EB72" s="925"/>
      <c r="EC72" s="925"/>
      <c r="ED72" s="925"/>
      <c r="EE72" s="925"/>
      <c r="EF72" s="925"/>
      <c r="EG72" s="446"/>
    </row>
    <row r="73" spans="1:137" ht="13" x14ac:dyDescent="0.15">
      <c r="A73" s="917"/>
      <c r="B73" s="917"/>
      <c r="C73" s="918"/>
      <c r="D73" s="919"/>
      <c r="E73" s="920"/>
      <c r="F73" s="921"/>
      <c r="G73" s="922"/>
      <c r="H73" s="922"/>
      <c r="I73" s="922"/>
      <c r="J73" s="923"/>
      <c r="K73" s="923"/>
      <c r="L73" s="924"/>
      <c r="M73" s="925"/>
      <c r="N73" s="925"/>
      <c r="O73" s="925"/>
      <c r="P73" s="925"/>
      <c r="Q73" s="925"/>
      <c r="R73" s="926"/>
      <c r="S73" s="926"/>
      <c r="T73" s="925"/>
      <c r="U73" s="925"/>
      <c r="V73" s="925"/>
      <c r="W73" s="925"/>
      <c r="X73" s="925"/>
      <c r="Y73" s="925"/>
      <c r="Z73" s="925"/>
      <c r="AA73" s="925"/>
      <c r="AB73" s="925"/>
      <c r="AC73" s="925"/>
      <c r="AD73" s="925"/>
      <c r="AE73" s="925"/>
      <c r="AF73" s="925"/>
      <c r="AG73" s="925"/>
      <c r="AH73" s="925"/>
      <c r="AI73" s="925"/>
      <c r="AJ73" s="925"/>
      <c r="AK73" s="925"/>
      <c r="AL73" s="925"/>
      <c r="AM73" s="925"/>
      <c r="AN73" s="925"/>
      <c r="AO73" s="925"/>
      <c r="AP73" s="925"/>
      <c r="AQ73" s="925"/>
      <c r="AR73" s="925"/>
      <c r="AS73" s="925"/>
      <c r="AT73" s="925"/>
      <c r="AU73" s="925"/>
      <c r="AV73" s="925"/>
      <c r="AW73" s="925"/>
      <c r="AX73" s="925"/>
      <c r="AY73" s="925"/>
      <c r="AZ73" s="925"/>
      <c r="BA73" s="925"/>
      <c r="BB73" s="925"/>
      <c r="BC73" s="925"/>
      <c r="BD73" s="925"/>
      <c r="BE73" s="925"/>
      <c r="BF73" s="925"/>
      <c r="BG73" s="925"/>
      <c r="BH73" s="925"/>
      <c r="BI73" s="925"/>
      <c r="BJ73" s="925"/>
      <c r="BK73" s="925"/>
      <c r="BL73" s="925"/>
      <c r="BM73" s="925"/>
      <c r="BN73" s="925"/>
      <c r="BO73" s="925"/>
      <c r="BP73" s="925"/>
      <c r="BQ73" s="925"/>
      <c r="BR73" s="925"/>
      <c r="BS73" s="925"/>
      <c r="BT73" s="925"/>
      <c r="BU73" s="925"/>
      <c r="BV73" s="925"/>
      <c r="BW73" s="925"/>
      <c r="BX73" s="925"/>
      <c r="BY73" s="925"/>
      <c r="BZ73" s="925"/>
      <c r="CA73" s="925"/>
      <c r="CB73" s="925"/>
      <c r="CC73" s="925"/>
      <c r="CD73" s="925"/>
      <c r="CE73" s="925"/>
      <c r="CF73" s="925"/>
      <c r="CG73" s="925"/>
      <c r="CH73" s="925"/>
      <c r="CI73" s="925"/>
      <c r="CJ73" s="925"/>
      <c r="CK73" s="925"/>
      <c r="CL73" s="925"/>
      <c r="CM73" s="925"/>
      <c r="CN73" s="925"/>
      <c r="CO73" s="925"/>
      <c r="CP73" s="925"/>
      <c r="CQ73" s="925"/>
      <c r="CR73" s="925"/>
      <c r="CS73" s="925"/>
      <c r="CT73" s="925"/>
      <c r="CU73" s="925"/>
      <c r="CV73" s="925"/>
      <c r="CW73" s="925"/>
      <c r="CX73" s="925"/>
      <c r="CY73" s="925"/>
      <c r="CZ73" s="925"/>
      <c r="DA73" s="925"/>
      <c r="DB73" s="925"/>
      <c r="DC73" s="925"/>
      <c r="DD73" s="925"/>
      <c r="DE73" s="925"/>
      <c r="DF73" s="925"/>
      <c r="DG73" s="925"/>
      <c r="DH73" s="925"/>
      <c r="DI73" s="925"/>
      <c r="DJ73" s="925"/>
      <c r="DK73" s="925"/>
      <c r="DL73" s="925"/>
      <c r="DM73" s="925"/>
      <c r="DN73" s="925"/>
      <c r="DO73" s="925"/>
      <c r="DP73" s="925"/>
      <c r="DQ73" s="925"/>
      <c r="DR73" s="925"/>
      <c r="DS73" s="925"/>
      <c r="DT73" s="925"/>
      <c r="DU73" s="925"/>
      <c r="DV73" s="925"/>
      <c r="DW73" s="925"/>
      <c r="DX73" s="925"/>
      <c r="DY73" s="925"/>
      <c r="DZ73" s="925"/>
      <c r="EA73" s="925"/>
      <c r="EB73" s="925"/>
      <c r="EC73" s="925"/>
      <c r="ED73" s="925"/>
      <c r="EE73" s="925"/>
      <c r="EF73" s="925"/>
      <c r="EG73" s="446"/>
    </row>
    <row r="74" spans="1:137" ht="13" x14ac:dyDescent="0.15">
      <c r="A74" s="917"/>
      <c r="B74" s="917"/>
      <c r="C74" s="918"/>
      <c r="D74" s="919"/>
      <c r="E74" s="920"/>
      <c r="F74" s="921"/>
      <c r="G74" s="922"/>
      <c r="H74" s="922"/>
      <c r="I74" s="922"/>
      <c r="J74" s="923"/>
      <c r="K74" s="923"/>
      <c r="L74" s="924"/>
      <c r="M74" s="925"/>
      <c r="N74" s="925"/>
      <c r="O74" s="925"/>
      <c r="P74" s="925"/>
      <c r="Q74" s="925"/>
      <c r="R74" s="926"/>
      <c r="S74" s="926"/>
      <c r="T74" s="925"/>
      <c r="U74" s="925"/>
      <c r="V74" s="925"/>
      <c r="W74" s="925"/>
      <c r="X74" s="925"/>
      <c r="Y74" s="925"/>
      <c r="Z74" s="925"/>
      <c r="AA74" s="925"/>
      <c r="AB74" s="925"/>
      <c r="AC74" s="925"/>
      <c r="AD74" s="925"/>
      <c r="AE74" s="925"/>
      <c r="AF74" s="925"/>
      <c r="AG74" s="925"/>
      <c r="AH74" s="925"/>
      <c r="AI74" s="925"/>
      <c r="AJ74" s="925"/>
      <c r="AK74" s="925"/>
      <c r="AL74" s="925"/>
      <c r="AM74" s="925"/>
      <c r="AN74" s="925"/>
      <c r="AO74" s="925"/>
      <c r="AP74" s="925"/>
      <c r="AQ74" s="925"/>
      <c r="AR74" s="925"/>
      <c r="AS74" s="925"/>
      <c r="AT74" s="925"/>
      <c r="AU74" s="925"/>
      <c r="AV74" s="925"/>
      <c r="AW74" s="925"/>
      <c r="AX74" s="925"/>
      <c r="AY74" s="925"/>
      <c r="AZ74" s="925"/>
      <c r="BA74" s="925"/>
      <c r="BB74" s="925"/>
      <c r="BC74" s="925"/>
      <c r="BD74" s="925"/>
      <c r="BE74" s="925"/>
      <c r="BF74" s="925"/>
      <c r="BG74" s="925"/>
      <c r="BH74" s="925"/>
      <c r="BI74" s="925"/>
      <c r="BJ74" s="925"/>
      <c r="BK74" s="925"/>
      <c r="BL74" s="925"/>
      <c r="BM74" s="925"/>
      <c r="BN74" s="925"/>
      <c r="BO74" s="925"/>
      <c r="BP74" s="925"/>
      <c r="BQ74" s="925"/>
      <c r="BR74" s="925"/>
      <c r="BS74" s="925"/>
      <c r="BT74" s="925"/>
      <c r="BU74" s="925"/>
      <c r="BV74" s="925"/>
      <c r="BW74" s="925"/>
      <c r="BX74" s="925"/>
      <c r="BY74" s="925"/>
      <c r="BZ74" s="925"/>
      <c r="CA74" s="925"/>
      <c r="CB74" s="925"/>
      <c r="CC74" s="925"/>
      <c r="CD74" s="925"/>
      <c r="CE74" s="925"/>
      <c r="CF74" s="925"/>
      <c r="CG74" s="925"/>
      <c r="CH74" s="925"/>
      <c r="CI74" s="925"/>
      <c r="CJ74" s="925"/>
      <c r="CK74" s="925"/>
      <c r="CL74" s="925"/>
      <c r="CM74" s="925"/>
      <c r="CN74" s="925"/>
      <c r="CO74" s="925"/>
      <c r="CP74" s="925"/>
      <c r="CQ74" s="925"/>
      <c r="CR74" s="925"/>
      <c r="CS74" s="925"/>
      <c r="CT74" s="925"/>
      <c r="CU74" s="925"/>
      <c r="CV74" s="925"/>
      <c r="CW74" s="925"/>
      <c r="CX74" s="925"/>
      <c r="CY74" s="925"/>
      <c r="CZ74" s="925"/>
      <c r="DA74" s="925"/>
      <c r="DB74" s="925"/>
      <c r="DC74" s="925"/>
      <c r="DD74" s="925"/>
      <c r="DE74" s="925"/>
      <c r="DF74" s="925"/>
      <c r="DG74" s="925"/>
      <c r="DH74" s="925"/>
      <c r="DI74" s="925"/>
      <c r="DJ74" s="925"/>
      <c r="DK74" s="925"/>
      <c r="DL74" s="925"/>
      <c r="DM74" s="925"/>
      <c r="DN74" s="925"/>
      <c r="DO74" s="925"/>
      <c r="DP74" s="925"/>
      <c r="DQ74" s="925"/>
      <c r="DR74" s="925"/>
      <c r="DS74" s="925"/>
      <c r="DT74" s="925"/>
      <c r="DU74" s="925"/>
      <c r="DV74" s="925"/>
      <c r="DW74" s="925"/>
      <c r="DX74" s="925"/>
      <c r="DY74" s="925"/>
      <c r="DZ74" s="925"/>
      <c r="EA74" s="925"/>
      <c r="EB74" s="925"/>
      <c r="EC74" s="925"/>
      <c r="ED74" s="925"/>
      <c r="EE74" s="925"/>
      <c r="EF74" s="925"/>
      <c r="EG74" s="446"/>
    </row>
    <row r="75" spans="1:137" ht="13" x14ac:dyDescent="0.15">
      <c r="A75" s="917"/>
      <c r="B75" s="917"/>
      <c r="C75" s="918"/>
      <c r="D75" s="919"/>
      <c r="E75" s="920"/>
      <c r="F75" s="921"/>
      <c r="G75" s="922"/>
      <c r="H75" s="922"/>
      <c r="I75" s="922"/>
      <c r="J75" s="923"/>
      <c r="K75" s="923"/>
      <c r="L75" s="924"/>
      <c r="M75" s="925"/>
      <c r="N75" s="925"/>
      <c r="O75" s="925"/>
      <c r="P75" s="925"/>
      <c r="Q75" s="925"/>
      <c r="R75" s="926"/>
      <c r="S75" s="926"/>
      <c r="T75" s="925"/>
      <c r="U75" s="925"/>
      <c r="V75" s="925"/>
      <c r="W75" s="925"/>
      <c r="X75" s="925"/>
      <c r="Y75" s="925"/>
      <c r="Z75" s="925"/>
      <c r="AA75" s="925"/>
      <c r="AB75" s="925"/>
      <c r="AC75" s="925"/>
      <c r="AD75" s="925"/>
      <c r="AE75" s="925"/>
      <c r="AF75" s="925"/>
      <c r="AG75" s="925"/>
      <c r="AH75" s="925"/>
      <c r="AI75" s="925"/>
      <c r="AJ75" s="925"/>
      <c r="AK75" s="925"/>
      <c r="AL75" s="925"/>
      <c r="AM75" s="925"/>
      <c r="AN75" s="925"/>
      <c r="AO75" s="925"/>
      <c r="AP75" s="925"/>
      <c r="AQ75" s="925"/>
      <c r="AR75" s="925"/>
      <c r="AS75" s="925"/>
      <c r="AT75" s="925"/>
      <c r="AU75" s="925"/>
      <c r="AV75" s="925"/>
      <c r="AW75" s="925"/>
      <c r="AX75" s="925"/>
      <c r="AY75" s="925"/>
      <c r="AZ75" s="925"/>
      <c r="BA75" s="925"/>
      <c r="BB75" s="925"/>
      <c r="BC75" s="925"/>
      <c r="BD75" s="925"/>
      <c r="BE75" s="925"/>
      <c r="BF75" s="925"/>
      <c r="BG75" s="925"/>
      <c r="BH75" s="925"/>
      <c r="BI75" s="925"/>
      <c r="BJ75" s="925"/>
      <c r="BK75" s="925"/>
      <c r="BL75" s="925"/>
      <c r="BM75" s="925"/>
      <c r="BN75" s="925"/>
      <c r="BO75" s="925"/>
      <c r="BP75" s="925"/>
      <c r="BQ75" s="925"/>
      <c r="BR75" s="925"/>
      <c r="BS75" s="925"/>
      <c r="BT75" s="925"/>
      <c r="BU75" s="925"/>
      <c r="BV75" s="925"/>
      <c r="BW75" s="925"/>
      <c r="BX75" s="925"/>
      <c r="BY75" s="925"/>
      <c r="BZ75" s="925"/>
      <c r="CA75" s="925"/>
      <c r="CB75" s="925"/>
      <c r="CC75" s="925"/>
      <c r="CD75" s="925"/>
      <c r="CE75" s="925"/>
      <c r="CF75" s="925"/>
      <c r="CG75" s="925"/>
      <c r="CH75" s="925"/>
      <c r="CI75" s="925"/>
      <c r="CJ75" s="925"/>
      <c r="CK75" s="925"/>
      <c r="CL75" s="925"/>
      <c r="CM75" s="925"/>
      <c r="CN75" s="925"/>
      <c r="CO75" s="925"/>
      <c r="CP75" s="925"/>
      <c r="CQ75" s="925"/>
      <c r="CR75" s="925"/>
      <c r="CS75" s="925"/>
      <c r="CT75" s="925"/>
      <c r="CU75" s="925"/>
      <c r="CV75" s="925"/>
      <c r="CW75" s="925"/>
      <c r="CX75" s="925"/>
      <c r="CY75" s="925"/>
      <c r="CZ75" s="925"/>
      <c r="DA75" s="925"/>
      <c r="DB75" s="925"/>
      <c r="DC75" s="925"/>
      <c r="DD75" s="925"/>
      <c r="DE75" s="925"/>
      <c r="DF75" s="925"/>
      <c r="DG75" s="925"/>
      <c r="DH75" s="925"/>
      <c r="DI75" s="925"/>
      <c r="DJ75" s="925"/>
      <c r="DK75" s="925"/>
      <c r="DL75" s="925"/>
      <c r="DM75" s="925"/>
      <c r="DN75" s="925"/>
      <c r="DO75" s="925"/>
      <c r="DP75" s="925"/>
      <c r="DQ75" s="925"/>
      <c r="DR75" s="925"/>
      <c r="DS75" s="925"/>
      <c r="DT75" s="925"/>
      <c r="DU75" s="925"/>
      <c r="DV75" s="925"/>
      <c r="DW75" s="925"/>
      <c r="DX75" s="925"/>
      <c r="DY75" s="925"/>
      <c r="DZ75" s="925"/>
      <c r="EA75" s="925"/>
      <c r="EB75" s="925"/>
      <c r="EC75" s="925"/>
      <c r="ED75" s="925"/>
      <c r="EE75" s="925"/>
      <c r="EF75" s="925"/>
      <c r="EG75" s="446"/>
    </row>
    <row r="76" spans="1:137" ht="13" x14ac:dyDescent="0.15">
      <c r="A76" s="917"/>
      <c r="B76" s="917"/>
      <c r="C76" s="918"/>
      <c r="D76" s="919"/>
      <c r="E76" s="920"/>
      <c r="F76" s="921"/>
      <c r="G76" s="922"/>
      <c r="H76" s="922"/>
      <c r="I76" s="922"/>
      <c r="J76" s="923"/>
      <c r="K76" s="923"/>
      <c r="L76" s="924"/>
      <c r="M76" s="925"/>
      <c r="N76" s="925"/>
      <c r="O76" s="925"/>
      <c r="P76" s="925"/>
      <c r="Q76" s="925"/>
      <c r="R76" s="926"/>
      <c r="S76" s="926"/>
      <c r="T76" s="925"/>
      <c r="U76" s="925"/>
      <c r="V76" s="925"/>
      <c r="W76" s="925"/>
      <c r="X76" s="925"/>
      <c r="Y76" s="925"/>
      <c r="Z76" s="925"/>
      <c r="AA76" s="925"/>
      <c r="AB76" s="925"/>
      <c r="AC76" s="925"/>
      <c r="AD76" s="925"/>
      <c r="AE76" s="925"/>
      <c r="AF76" s="925"/>
      <c r="AG76" s="925"/>
      <c r="AH76" s="925"/>
      <c r="AI76" s="925"/>
      <c r="AJ76" s="925"/>
      <c r="AK76" s="925"/>
      <c r="AL76" s="925"/>
      <c r="AM76" s="925"/>
      <c r="AN76" s="925"/>
      <c r="AO76" s="925"/>
      <c r="AP76" s="925"/>
      <c r="AQ76" s="925"/>
      <c r="AR76" s="925"/>
      <c r="AS76" s="925"/>
      <c r="AT76" s="925"/>
      <c r="AU76" s="925"/>
      <c r="AV76" s="925"/>
      <c r="AW76" s="925"/>
      <c r="AX76" s="925"/>
      <c r="AY76" s="925"/>
      <c r="AZ76" s="925"/>
      <c r="BA76" s="925"/>
      <c r="BB76" s="925"/>
      <c r="BC76" s="925"/>
      <c r="BD76" s="925"/>
      <c r="BE76" s="925"/>
      <c r="BF76" s="925"/>
      <c r="BG76" s="925"/>
      <c r="BH76" s="925"/>
      <c r="BI76" s="925"/>
      <c r="BJ76" s="925"/>
      <c r="BK76" s="925"/>
      <c r="BL76" s="925"/>
      <c r="BM76" s="925"/>
      <c r="BN76" s="925"/>
      <c r="BO76" s="925"/>
      <c r="BP76" s="925"/>
      <c r="BQ76" s="925"/>
      <c r="BR76" s="925"/>
      <c r="BS76" s="925"/>
      <c r="BT76" s="925"/>
      <c r="BU76" s="925"/>
      <c r="BV76" s="925"/>
      <c r="BW76" s="925"/>
      <c r="BX76" s="925"/>
      <c r="BY76" s="925"/>
      <c r="BZ76" s="925"/>
      <c r="CA76" s="925"/>
      <c r="CB76" s="925"/>
      <c r="CC76" s="925"/>
      <c r="CD76" s="925"/>
      <c r="CE76" s="925"/>
      <c r="CF76" s="925"/>
      <c r="CG76" s="925"/>
      <c r="CH76" s="925"/>
      <c r="CI76" s="925"/>
      <c r="CJ76" s="925"/>
      <c r="CK76" s="925"/>
      <c r="CL76" s="925"/>
      <c r="CM76" s="925"/>
      <c r="CN76" s="925"/>
      <c r="CO76" s="925"/>
      <c r="CP76" s="925"/>
      <c r="CQ76" s="925"/>
      <c r="CR76" s="925"/>
      <c r="CS76" s="925"/>
      <c r="CT76" s="925"/>
      <c r="CU76" s="925"/>
      <c r="CV76" s="925"/>
      <c r="CW76" s="925"/>
      <c r="CX76" s="925"/>
      <c r="CY76" s="925"/>
      <c r="CZ76" s="925"/>
      <c r="DA76" s="925"/>
      <c r="DB76" s="925"/>
      <c r="DC76" s="925"/>
      <c r="DD76" s="925"/>
      <c r="DE76" s="925"/>
      <c r="DF76" s="925"/>
      <c r="DG76" s="925"/>
      <c r="DH76" s="925"/>
      <c r="DI76" s="925"/>
      <c r="DJ76" s="925"/>
      <c r="DK76" s="925"/>
      <c r="DL76" s="925"/>
      <c r="DM76" s="925"/>
      <c r="DN76" s="925"/>
      <c r="DO76" s="925"/>
      <c r="DP76" s="925"/>
      <c r="DQ76" s="925"/>
      <c r="DR76" s="925"/>
      <c r="DS76" s="925"/>
      <c r="DT76" s="925"/>
      <c r="DU76" s="925"/>
      <c r="DV76" s="925"/>
      <c r="DW76" s="925"/>
      <c r="DX76" s="925"/>
      <c r="DY76" s="925"/>
      <c r="DZ76" s="925"/>
      <c r="EA76" s="925"/>
      <c r="EB76" s="925"/>
      <c r="EC76" s="925"/>
      <c r="ED76" s="925"/>
      <c r="EE76" s="925"/>
      <c r="EF76" s="925"/>
      <c r="EG76" s="446"/>
    </row>
    <row r="77" spans="1:137" ht="13" x14ac:dyDescent="0.15">
      <c r="A77" s="917"/>
      <c r="B77" s="917"/>
      <c r="C77" s="918"/>
      <c r="D77" s="919"/>
      <c r="E77" s="920"/>
      <c r="F77" s="921"/>
      <c r="G77" s="922"/>
      <c r="H77" s="922"/>
      <c r="I77" s="922"/>
      <c r="J77" s="923"/>
      <c r="K77" s="923"/>
      <c r="L77" s="924"/>
      <c r="M77" s="925"/>
      <c r="N77" s="925"/>
      <c r="O77" s="925"/>
      <c r="P77" s="925"/>
      <c r="Q77" s="925"/>
      <c r="R77" s="926"/>
      <c r="S77" s="926"/>
      <c r="T77" s="925"/>
      <c r="U77" s="925"/>
      <c r="V77" s="925"/>
      <c r="W77" s="925"/>
      <c r="X77" s="925"/>
      <c r="Y77" s="925"/>
      <c r="Z77" s="925"/>
      <c r="AA77" s="925"/>
      <c r="AB77" s="925"/>
      <c r="AC77" s="925"/>
      <c r="AD77" s="925"/>
      <c r="AE77" s="925"/>
      <c r="AF77" s="925"/>
      <c r="AG77" s="925"/>
      <c r="AH77" s="925"/>
      <c r="AI77" s="925"/>
      <c r="AJ77" s="925"/>
      <c r="AK77" s="925"/>
      <c r="AL77" s="925"/>
      <c r="AM77" s="925"/>
      <c r="AN77" s="925"/>
      <c r="AO77" s="925"/>
      <c r="AP77" s="925"/>
      <c r="AQ77" s="925"/>
      <c r="AR77" s="925"/>
      <c r="AS77" s="925"/>
      <c r="AT77" s="925"/>
      <c r="AU77" s="925"/>
      <c r="AV77" s="925"/>
      <c r="AW77" s="925"/>
      <c r="AX77" s="925"/>
      <c r="AY77" s="925"/>
      <c r="AZ77" s="925"/>
      <c r="BA77" s="925"/>
      <c r="BB77" s="925"/>
      <c r="BC77" s="925"/>
      <c r="BD77" s="925"/>
      <c r="BE77" s="925"/>
      <c r="BF77" s="925"/>
      <c r="BG77" s="925"/>
      <c r="BH77" s="925"/>
      <c r="BI77" s="925"/>
      <c r="BJ77" s="925"/>
      <c r="BK77" s="925"/>
      <c r="BL77" s="925"/>
      <c r="BM77" s="925"/>
      <c r="BN77" s="925"/>
      <c r="BO77" s="925"/>
      <c r="BP77" s="925"/>
      <c r="BQ77" s="925"/>
      <c r="BR77" s="925"/>
      <c r="BS77" s="925"/>
      <c r="BT77" s="925"/>
      <c r="BU77" s="925"/>
      <c r="BV77" s="925"/>
      <c r="BW77" s="925"/>
      <c r="BX77" s="925"/>
      <c r="BY77" s="925"/>
      <c r="BZ77" s="925"/>
      <c r="CA77" s="925"/>
      <c r="CB77" s="925"/>
      <c r="CC77" s="925"/>
      <c r="CD77" s="925"/>
      <c r="CE77" s="925"/>
      <c r="CF77" s="925"/>
      <c r="CG77" s="925"/>
      <c r="CH77" s="925"/>
      <c r="CI77" s="925"/>
      <c r="CJ77" s="925"/>
      <c r="CK77" s="925"/>
      <c r="CL77" s="925"/>
      <c r="CM77" s="925"/>
      <c r="CN77" s="925"/>
      <c r="CO77" s="925"/>
      <c r="CP77" s="925"/>
      <c r="CQ77" s="925"/>
      <c r="CR77" s="925"/>
      <c r="CS77" s="925"/>
      <c r="CT77" s="925"/>
      <c r="CU77" s="925"/>
      <c r="CV77" s="925"/>
      <c r="CW77" s="925"/>
      <c r="CX77" s="925"/>
      <c r="CY77" s="925"/>
      <c r="CZ77" s="925"/>
      <c r="DA77" s="925"/>
      <c r="DB77" s="925"/>
      <c r="DC77" s="925"/>
      <c r="DD77" s="925"/>
      <c r="DE77" s="925"/>
      <c r="DF77" s="925"/>
      <c r="DG77" s="925"/>
      <c r="DH77" s="925"/>
      <c r="DI77" s="925"/>
      <c r="DJ77" s="925"/>
      <c r="DK77" s="925"/>
      <c r="DL77" s="925"/>
      <c r="DM77" s="925"/>
      <c r="DN77" s="925"/>
      <c r="DO77" s="925"/>
      <c r="DP77" s="925"/>
      <c r="DQ77" s="925"/>
      <c r="DR77" s="925"/>
      <c r="DS77" s="925"/>
      <c r="DT77" s="925"/>
      <c r="DU77" s="925"/>
      <c r="DV77" s="925"/>
      <c r="DW77" s="925"/>
      <c r="DX77" s="925"/>
      <c r="DY77" s="925"/>
      <c r="DZ77" s="925"/>
      <c r="EA77" s="925"/>
      <c r="EB77" s="925"/>
      <c r="EC77" s="925"/>
      <c r="ED77" s="925"/>
      <c r="EE77" s="925"/>
      <c r="EF77" s="925"/>
      <c r="EG77" s="446"/>
    </row>
    <row r="78" spans="1:137" ht="13" x14ac:dyDescent="0.15">
      <c r="A78" s="917"/>
      <c r="B78" s="917"/>
      <c r="C78" s="918"/>
      <c r="D78" s="919"/>
      <c r="E78" s="920"/>
      <c r="F78" s="921"/>
      <c r="G78" s="922"/>
      <c r="H78" s="922"/>
      <c r="I78" s="922"/>
      <c r="J78" s="923"/>
      <c r="K78" s="923"/>
      <c r="L78" s="924"/>
      <c r="M78" s="925"/>
      <c r="N78" s="925"/>
      <c r="O78" s="925"/>
      <c r="P78" s="925"/>
      <c r="Q78" s="925"/>
      <c r="R78" s="926"/>
      <c r="S78" s="926"/>
      <c r="T78" s="925"/>
      <c r="U78" s="925"/>
      <c r="V78" s="925"/>
      <c r="W78" s="925"/>
      <c r="X78" s="925"/>
      <c r="Y78" s="925"/>
      <c r="Z78" s="925"/>
      <c r="AA78" s="925"/>
      <c r="AB78" s="925"/>
      <c r="AC78" s="925"/>
      <c r="AD78" s="925"/>
      <c r="AE78" s="925"/>
      <c r="AF78" s="925"/>
      <c r="AG78" s="925"/>
      <c r="AH78" s="925"/>
      <c r="AI78" s="925"/>
      <c r="AJ78" s="925"/>
      <c r="AK78" s="925"/>
      <c r="AL78" s="925"/>
      <c r="AM78" s="925"/>
      <c r="AN78" s="925"/>
      <c r="AO78" s="925"/>
      <c r="AP78" s="925"/>
      <c r="AQ78" s="925"/>
      <c r="AR78" s="925"/>
      <c r="AS78" s="925"/>
      <c r="AT78" s="925"/>
      <c r="AU78" s="925"/>
      <c r="AV78" s="925"/>
      <c r="AW78" s="925"/>
      <c r="AX78" s="925"/>
      <c r="AY78" s="925"/>
      <c r="AZ78" s="925"/>
      <c r="BA78" s="925"/>
      <c r="BB78" s="925"/>
      <c r="BC78" s="925"/>
      <c r="BD78" s="925"/>
      <c r="BE78" s="925"/>
      <c r="BF78" s="925"/>
      <c r="BG78" s="925"/>
      <c r="BH78" s="925"/>
      <c r="BI78" s="925"/>
      <c r="BJ78" s="925"/>
      <c r="BK78" s="925"/>
      <c r="BL78" s="925"/>
      <c r="BM78" s="925"/>
      <c r="BN78" s="925"/>
      <c r="BO78" s="925"/>
      <c r="BP78" s="925"/>
      <c r="BQ78" s="925"/>
      <c r="BR78" s="925"/>
      <c r="BS78" s="925"/>
      <c r="BT78" s="925"/>
      <c r="BU78" s="925"/>
      <c r="BV78" s="925"/>
      <c r="BW78" s="925"/>
      <c r="BX78" s="925"/>
      <c r="BY78" s="925"/>
      <c r="BZ78" s="925"/>
      <c r="CA78" s="925"/>
      <c r="CB78" s="925"/>
      <c r="CC78" s="925"/>
      <c r="CD78" s="925"/>
      <c r="CE78" s="925"/>
      <c r="CF78" s="925"/>
      <c r="CG78" s="925"/>
      <c r="CH78" s="925"/>
      <c r="CI78" s="925"/>
      <c r="CJ78" s="925"/>
      <c r="CK78" s="925"/>
      <c r="CL78" s="925"/>
      <c r="CM78" s="925"/>
      <c r="CN78" s="925"/>
      <c r="CO78" s="925"/>
      <c r="CP78" s="925"/>
      <c r="CQ78" s="925"/>
      <c r="CR78" s="925"/>
      <c r="CS78" s="925"/>
      <c r="CT78" s="925"/>
      <c r="CU78" s="925"/>
      <c r="CV78" s="925"/>
      <c r="CW78" s="925"/>
      <c r="CX78" s="925"/>
      <c r="CY78" s="925"/>
      <c r="CZ78" s="925"/>
      <c r="DA78" s="925"/>
      <c r="DB78" s="925"/>
      <c r="DC78" s="925"/>
      <c r="DD78" s="925"/>
      <c r="DE78" s="925"/>
      <c r="DF78" s="925"/>
      <c r="DG78" s="925"/>
      <c r="DH78" s="925"/>
      <c r="DI78" s="925"/>
      <c r="DJ78" s="925"/>
      <c r="DK78" s="925"/>
      <c r="DL78" s="925"/>
      <c r="DM78" s="925"/>
      <c r="DN78" s="925"/>
      <c r="DO78" s="925"/>
      <c r="DP78" s="925"/>
      <c r="DQ78" s="925"/>
      <c r="DR78" s="925"/>
      <c r="DS78" s="925"/>
      <c r="DT78" s="925"/>
      <c r="DU78" s="925"/>
      <c r="DV78" s="925"/>
      <c r="DW78" s="925"/>
      <c r="DX78" s="925"/>
      <c r="DY78" s="925"/>
      <c r="DZ78" s="925"/>
      <c r="EA78" s="925"/>
      <c r="EB78" s="925"/>
      <c r="EC78" s="925"/>
      <c r="ED78" s="925"/>
      <c r="EE78" s="925"/>
      <c r="EF78" s="925"/>
      <c r="EG78" s="446"/>
    </row>
    <row r="79" spans="1:137" ht="13" x14ac:dyDescent="0.15">
      <c r="A79" s="917"/>
      <c r="B79" s="917"/>
      <c r="C79" s="918"/>
      <c r="D79" s="919"/>
      <c r="E79" s="920"/>
      <c r="F79" s="921"/>
      <c r="G79" s="922"/>
      <c r="H79" s="922"/>
      <c r="I79" s="922"/>
      <c r="J79" s="923"/>
      <c r="K79" s="923"/>
      <c r="L79" s="924"/>
      <c r="M79" s="925"/>
      <c r="N79" s="925"/>
      <c r="O79" s="925"/>
      <c r="P79" s="925"/>
      <c r="Q79" s="925"/>
      <c r="R79" s="926"/>
      <c r="S79" s="926"/>
      <c r="T79" s="925"/>
      <c r="U79" s="925"/>
      <c r="V79" s="925"/>
      <c r="W79" s="925"/>
      <c r="X79" s="925"/>
      <c r="Y79" s="925"/>
      <c r="Z79" s="925"/>
      <c r="AA79" s="925"/>
      <c r="AB79" s="925"/>
      <c r="AC79" s="925"/>
      <c r="AD79" s="925"/>
      <c r="AE79" s="925"/>
      <c r="AF79" s="925"/>
      <c r="AG79" s="925"/>
      <c r="AH79" s="925"/>
      <c r="AI79" s="925"/>
      <c r="AJ79" s="925"/>
      <c r="AK79" s="925"/>
      <c r="AL79" s="925"/>
      <c r="AM79" s="925"/>
      <c r="AN79" s="925"/>
      <c r="AO79" s="925"/>
      <c r="AP79" s="925"/>
      <c r="AQ79" s="925"/>
      <c r="AR79" s="925"/>
      <c r="AS79" s="925"/>
      <c r="AT79" s="925"/>
      <c r="AU79" s="925"/>
      <c r="AV79" s="925"/>
      <c r="AW79" s="925"/>
      <c r="AX79" s="925"/>
      <c r="AY79" s="925"/>
      <c r="AZ79" s="925"/>
      <c r="BA79" s="925"/>
      <c r="BB79" s="925"/>
      <c r="BC79" s="925"/>
      <c r="BD79" s="925"/>
      <c r="BE79" s="925"/>
      <c r="BF79" s="925"/>
      <c r="BG79" s="925"/>
      <c r="BH79" s="925"/>
      <c r="BI79" s="925"/>
      <c r="BJ79" s="925"/>
      <c r="BK79" s="925"/>
      <c r="BL79" s="925"/>
      <c r="BM79" s="925"/>
      <c r="BN79" s="925"/>
      <c r="BO79" s="925"/>
      <c r="BP79" s="925"/>
      <c r="BQ79" s="925"/>
      <c r="BR79" s="925"/>
      <c r="BS79" s="925"/>
      <c r="BT79" s="925"/>
      <c r="BU79" s="925"/>
      <c r="BV79" s="925"/>
      <c r="BW79" s="925"/>
      <c r="BX79" s="925"/>
      <c r="BY79" s="925"/>
      <c r="BZ79" s="925"/>
      <c r="CA79" s="925"/>
      <c r="CB79" s="925"/>
      <c r="CC79" s="925"/>
      <c r="CD79" s="925"/>
      <c r="CE79" s="925"/>
      <c r="CF79" s="925"/>
      <c r="CG79" s="925"/>
      <c r="CH79" s="925"/>
      <c r="CI79" s="925"/>
      <c r="CJ79" s="925"/>
      <c r="CK79" s="925"/>
      <c r="CL79" s="925"/>
      <c r="CM79" s="925"/>
      <c r="CN79" s="925"/>
      <c r="CO79" s="925"/>
      <c r="CP79" s="925"/>
      <c r="CQ79" s="925"/>
      <c r="CR79" s="925"/>
      <c r="CS79" s="925"/>
      <c r="CT79" s="925"/>
      <c r="CU79" s="925"/>
      <c r="CV79" s="925"/>
      <c r="CW79" s="925"/>
      <c r="CX79" s="925"/>
      <c r="CY79" s="925"/>
      <c r="CZ79" s="925"/>
      <c r="DA79" s="925"/>
      <c r="DB79" s="925"/>
      <c r="DC79" s="925"/>
      <c r="DD79" s="925"/>
      <c r="DE79" s="925"/>
      <c r="DF79" s="925"/>
      <c r="DG79" s="925"/>
      <c r="DH79" s="925"/>
      <c r="DI79" s="925"/>
      <c r="DJ79" s="925"/>
      <c r="DK79" s="925"/>
      <c r="DL79" s="925"/>
      <c r="DM79" s="925"/>
      <c r="DN79" s="925"/>
      <c r="DO79" s="925"/>
      <c r="DP79" s="925"/>
      <c r="DQ79" s="925"/>
      <c r="DR79" s="925"/>
      <c r="DS79" s="925"/>
      <c r="DT79" s="925"/>
      <c r="DU79" s="925"/>
      <c r="DV79" s="925"/>
      <c r="DW79" s="925"/>
      <c r="DX79" s="925"/>
      <c r="DY79" s="925"/>
      <c r="DZ79" s="925"/>
      <c r="EA79" s="925"/>
      <c r="EB79" s="925"/>
      <c r="EC79" s="925"/>
      <c r="ED79" s="925"/>
      <c r="EE79" s="925"/>
      <c r="EF79" s="925"/>
      <c r="EG79" s="446"/>
    </row>
    <row r="80" spans="1:137" ht="13" x14ac:dyDescent="0.15">
      <c r="A80" s="917"/>
      <c r="B80" s="917"/>
      <c r="C80" s="918"/>
      <c r="D80" s="919"/>
      <c r="E80" s="920"/>
      <c r="F80" s="921"/>
      <c r="G80" s="922"/>
      <c r="H80" s="922"/>
      <c r="I80" s="922"/>
      <c r="J80" s="923"/>
      <c r="K80" s="923"/>
      <c r="L80" s="924"/>
      <c r="M80" s="925"/>
      <c r="N80" s="925"/>
      <c r="O80" s="925"/>
      <c r="P80" s="925"/>
      <c r="Q80" s="925"/>
      <c r="R80" s="926"/>
      <c r="S80" s="926"/>
      <c r="T80" s="925"/>
      <c r="U80" s="925"/>
      <c r="V80" s="925"/>
      <c r="W80" s="925"/>
      <c r="X80" s="925"/>
      <c r="Y80" s="925"/>
      <c r="Z80" s="925"/>
      <c r="AA80" s="925"/>
      <c r="AB80" s="925"/>
      <c r="AC80" s="925"/>
      <c r="AD80" s="925"/>
      <c r="AE80" s="925"/>
      <c r="AF80" s="925"/>
      <c r="AG80" s="925"/>
      <c r="AH80" s="925"/>
      <c r="AI80" s="925"/>
      <c r="AJ80" s="925"/>
      <c r="AK80" s="925"/>
      <c r="AL80" s="925"/>
      <c r="AM80" s="925"/>
      <c r="AN80" s="925"/>
      <c r="AO80" s="925"/>
      <c r="AP80" s="925"/>
      <c r="AQ80" s="925"/>
      <c r="AR80" s="925"/>
      <c r="AS80" s="925"/>
      <c r="AT80" s="925"/>
      <c r="AU80" s="925"/>
      <c r="AV80" s="925"/>
      <c r="AW80" s="925"/>
      <c r="AX80" s="925"/>
      <c r="AY80" s="925"/>
      <c r="AZ80" s="925"/>
      <c r="BA80" s="925"/>
      <c r="BB80" s="925"/>
      <c r="BC80" s="925"/>
      <c r="BD80" s="925"/>
      <c r="BE80" s="925"/>
      <c r="BF80" s="925"/>
      <c r="BG80" s="925"/>
      <c r="BH80" s="925"/>
      <c r="BI80" s="925"/>
      <c r="BJ80" s="925"/>
      <c r="BK80" s="925"/>
      <c r="BL80" s="925"/>
      <c r="BM80" s="925"/>
      <c r="BN80" s="925"/>
      <c r="BO80" s="925"/>
      <c r="BP80" s="925"/>
      <c r="BQ80" s="925"/>
      <c r="BR80" s="925"/>
      <c r="BS80" s="925"/>
      <c r="BT80" s="925"/>
      <c r="BU80" s="925"/>
      <c r="BV80" s="925"/>
      <c r="BW80" s="925"/>
      <c r="BX80" s="925"/>
      <c r="BY80" s="925"/>
      <c r="BZ80" s="925"/>
      <c r="CA80" s="925"/>
      <c r="CB80" s="925"/>
      <c r="CC80" s="925"/>
      <c r="CD80" s="925"/>
      <c r="CE80" s="925"/>
      <c r="CF80" s="925"/>
      <c r="CG80" s="925"/>
      <c r="CH80" s="925"/>
      <c r="CI80" s="925"/>
      <c r="CJ80" s="925"/>
      <c r="CK80" s="925"/>
      <c r="CL80" s="925"/>
      <c r="CM80" s="925"/>
      <c r="CN80" s="925"/>
      <c r="CO80" s="925"/>
      <c r="CP80" s="925"/>
      <c r="CQ80" s="925"/>
      <c r="CR80" s="925"/>
      <c r="CS80" s="925"/>
      <c r="CT80" s="925"/>
      <c r="CU80" s="925"/>
      <c r="CV80" s="925"/>
      <c r="CW80" s="925"/>
      <c r="CX80" s="925"/>
      <c r="CY80" s="925"/>
      <c r="CZ80" s="925"/>
      <c r="DA80" s="925"/>
      <c r="DB80" s="925"/>
      <c r="DC80" s="925"/>
      <c r="DD80" s="925"/>
      <c r="DE80" s="925"/>
      <c r="DF80" s="925"/>
      <c r="DG80" s="925"/>
      <c r="DH80" s="925"/>
      <c r="DI80" s="925"/>
      <c r="DJ80" s="925"/>
      <c r="DK80" s="925"/>
      <c r="DL80" s="925"/>
      <c r="DM80" s="925"/>
      <c r="DN80" s="925"/>
      <c r="DO80" s="925"/>
      <c r="DP80" s="925"/>
      <c r="DQ80" s="925"/>
      <c r="DR80" s="925"/>
      <c r="DS80" s="925"/>
      <c r="DT80" s="925"/>
      <c r="DU80" s="925"/>
      <c r="DV80" s="925"/>
      <c r="DW80" s="925"/>
      <c r="DX80" s="925"/>
      <c r="DY80" s="925"/>
      <c r="DZ80" s="925"/>
      <c r="EA80" s="925"/>
      <c r="EB80" s="925"/>
      <c r="EC80" s="925"/>
      <c r="ED80" s="925"/>
      <c r="EE80" s="925"/>
      <c r="EF80" s="925"/>
      <c r="EG80" s="446"/>
    </row>
    <row r="81" spans="1:137" ht="13" x14ac:dyDescent="0.15">
      <c r="A81" s="917"/>
      <c r="B81" s="917"/>
      <c r="C81" s="918"/>
      <c r="D81" s="919"/>
      <c r="E81" s="920"/>
      <c r="F81" s="921"/>
      <c r="G81" s="922"/>
      <c r="H81" s="922"/>
      <c r="I81" s="922"/>
      <c r="J81" s="923"/>
      <c r="K81" s="923"/>
      <c r="L81" s="924"/>
      <c r="M81" s="925"/>
      <c r="N81" s="925"/>
      <c r="O81" s="925"/>
      <c r="P81" s="925"/>
      <c r="Q81" s="925"/>
      <c r="R81" s="926"/>
      <c r="S81" s="926"/>
      <c r="T81" s="925"/>
      <c r="U81" s="925"/>
      <c r="V81" s="925"/>
      <c r="W81" s="925"/>
      <c r="X81" s="925"/>
      <c r="Y81" s="925"/>
      <c r="Z81" s="925"/>
      <c r="AA81" s="925"/>
      <c r="AB81" s="925"/>
      <c r="AC81" s="925"/>
      <c r="AD81" s="925"/>
      <c r="AE81" s="925"/>
      <c r="AF81" s="925"/>
      <c r="AG81" s="925"/>
      <c r="AH81" s="925"/>
      <c r="AI81" s="925"/>
      <c r="AJ81" s="925"/>
      <c r="AK81" s="925"/>
      <c r="AL81" s="925"/>
      <c r="AM81" s="925"/>
      <c r="AN81" s="925"/>
      <c r="AO81" s="925"/>
      <c r="AP81" s="925"/>
      <c r="AQ81" s="925"/>
      <c r="AR81" s="925"/>
      <c r="AS81" s="925"/>
      <c r="AT81" s="925"/>
      <c r="AU81" s="925"/>
      <c r="AV81" s="925"/>
      <c r="AW81" s="925"/>
      <c r="AX81" s="925"/>
      <c r="AY81" s="925"/>
      <c r="AZ81" s="925"/>
      <c r="BA81" s="925"/>
      <c r="BB81" s="925"/>
      <c r="BC81" s="925"/>
      <c r="BD81" s="925"/>
      <c r="BE81" s="925"/>
      <c r="BF81" s="925"/>
      <c r="BG81" s="925"/>
      <c r="BH81" s="925"/>
      <c r="BI81" s="925"/>
      <c r="BJ81" s="925"/>
      <c r="BK81" s="925"/>
      <c r="BL81" s="925"/>
      <c r="BM81" s="925"/>
      <c r="BN81" s="925"/>
      <c r="BO81" s="925"/>
      <c r="BP81" s="925"/>
      <c r="BQ81" s="925"/>
      <c r="BR81" s="925"/>
      <c r="BS81" s="925"/>
      <c r="BT81" s="925"/>
      <c r="BU81" s="925"/>
      <c r="BV81" s="925"/>
      <c r="BW81" s="925"/>
      <c r="BX81" s="925"/>
      <c r="BY81" s="925"/>
      <c r="BZ81" s="925"/>
      <c r="CA81" s="925"/>
      <c r="CB81" s="925"/>
      <c r="CC81" s="925"/>
      <c r="CD81" s="925"/>
      <c r="CE81" s="925"/>
      <c r="CF81" s="925"/>
      <c r="CG81" s="925"/>
      <c r="CH81" s="925"/>
      <c r="CI81" s="925"/>
      <c r="CJ81" s="925"/>
      <c r="CK81" s="925"/>
      <c r="CL81" s="925"/>
      <c r="CM81" s="925"/>
      <c r="CN81" s="925"/>
      <c r="CO81" s="925"/>
      <c r="CP81" s="925"/>
      <c r="CQ81" s="925"/>
      <c r="CR81" s="925"/>
      <c r="CS81" s="925"/>
      <c r="CT81" s="925"/>
      <c r="CU81" s="925"/>
      <c r="CV81" s="925"/>
      <c r="CW81" s="925"/>
      <c r="CX81" s="925"/>
      <c r="CY81" s="925"/>
      <c r="CZ81" s="925"/>
      <c r="DA81" s="925"/>
      <c r="DB81" s="925"/>
      <c r="DC81" s="925"/>
      <c r="DD81" s="925"/>
      <c r="DE81" s="925"/>
      <c r="DF81" s="925"/>
      <c r="DG81" s="925"/>
      <c r="DH81" s="925"/>
      <c r="DI81" s="925"/>
      <c r="DJ81" s="925"/>
      <c r="DK81" s="925"/>
      <c r="DL81" s="925"/>
      <c r="DM81" s="925"/>
      <c r="DN81" s="925"/>
      <c r="DO81" s="925"/>
      <c r="DP81" s="925"/>
      <c r="DQ81" s="925"/>
      <c r="DR81" s="925"/>
      <c r="DS81" s="925"/>
      <c r="DT81" s="925"/>
      <c r="DU81" s="925"/>
      <c r="DV81" s="925"/>
      <c r="DW81" s="925"/>
      <c r="DX81" s="925"/>
      <c r="DY81" s="925"/>
      <c r="DZ81" s="925"/>
      <c r="EA81" s="925"/>
      <c r="EB81" s="925"/>
      <c r="EC81" s="925"/>
      <c r="ED81" s="925"/>
      <c r="EE81" s="925"/>
      <c r="EF81" s="925"/>
      <c r="EG81" s="446"/>
    </row>
    <row r="82" spans="1:137" ht="13" x14ac:dyDescent="0.15">
      <c r="A82" s="917"/>
      <c r="B82" s="917"/>
      <c r="C82" s="918"/>
      <c r="D82" s="919"/>
      <c r="E82" s="920"/>
      <c r="F82" s="921"/>
      <c r="G82" s="922"/>
      <c r="H82" s="922"/>
      <c r="I82" s="922"/>
      <c r="J82" s="923"/>
      <c r="K82" s="923"/>
      <c r="L82" s="924"/>
      <c r="M82" s="925"/>
      <c r="N82" s="925"/>
      <c r="O82" s="925"/>
      <c r="P82" s="925"/>
      <c r="Q82" s="925"/>
      <c r="R82" s="926"/>
      <c r="S82" s="926"/>
      <c r="T82" s="925"/>
      <c r="U82" s="925"/>
      <c r="V82" s="925"/>
      <c r="W82" s="925"/>
      <c r="X82" s="925"/>
      <c r="Y82" s="925"/>
      <c r="Z82" s="925"/>
      <c r="AA82" s="925"/>
      <c r="AB82" s="925"/>
      <c r="AC82" s="925"/>
      <c r="AD82" s="925"/>
      <c r="AE82" s="925"/>
      <c r="AF82" s="925"/>
      <c r="AG82" s="925"/>
      <c r="AH82" s="925"/>
      <c r="AI82" s="925"/>
      <c r="AJ82" s="925"/>
      <c r="AK82" s="925"/>
      <c r="AL82" s="925"/>
      <c r="AM82" s="925"/>
      <c r="AN82" s="925"/>
      <c r="AO82" s="925"/>
      <c r="AP82" s="925"/>
      <c r="AQ82" s="925"/>
      <c r="AR82" s="925"/>
      <c r="AS82" s="925"/>
      <c r="AT82" s="925"/>
      <c r="AU82" s="925"/>
      <c r="AV82" s="925"/>
      <c r="AW82" s="925"/>
      <c r="AX82" s="925"/>
      <c r="AY82" s="925"/>
      <c r="AZ82" s="925"/>
      <c r="BA82" s="925"/>
      <c r="BB82" s="925"/>
      <c r="BC82" s="925"/>
      <c r="BD82" s="925"/>
      <c r="BE82" s="925"/>
      <c r="BF82" s="925"/>
      <c r="BG82" s="925"/>
      <c r="BH82" s="925"/>
      <c r="BI82" s="925"/>
      <c r="BJ82" s="925"/>
      <c r="BK82" s="925"/>
      <c r="BL82" s="925"/>
      <c r="BM82" s="925"/>
      <c r="BN82" s="925"/>
      <c r="BO82" s="925"/>
      <c r="BP82" s="925"/>
      <c r="BQ82" s="925"/>
      <c r="BR82" s="925"/>
      <c r="BS82" s="925"/>
      <c r="BT82" s="925"/>
      <c r="BU82" s="925"/>
      <c r="BV82" s="925"/>
      <c r="BW82" s="925"/>
      <c r="BX82" s="925"/>
      <c r="BY82" s="925"/>
      <c r="BZ82" s="925"/>
      <c r="CA82" s="925"/>
      <c r="CB82" s="925"/>
      <c r="CC82" s="925"/>
      <c r="CD82" s="925"/>
      <c r="CE82" s="925"/>
      <c r="CF82" s="925"/>
      <c r="CG82" s="925"/>
      <c r="CH82" s="925"/>
      <c r="CI82" s="925"/>
      <c r="CJ82" s="925"/>
      <c r="CK82" s="925"/>
      <c r="CL82" s="925"/>
      <c r="CM82" s="925"/>
      <c r="CN82" s="925"/>
      <c r="CO82" s="925"/>
      <c r="CP82" s="925"/>
      <c r="CQ82" s="925"/>
      <c r="CR82" s="925"/>
      <c r="CS82" s="925"/>
      <c r="CT82" s="925"/>
      <c r="CU82" s="925"/>
      <c r="CV82" s="925"/>
      <c r="CW82" s="925"/>
      <c r="CX82" s="925"/>
      <c r="CY82" s="925"/>
      <c r="CZ82" s="925"/>
      <c r="DA82" s="925"/>
      <c r="DB82" s="925"/>
      <c r="DC82" s="925"/>
      <c r="DD82" s="925"/>
      <c r="DE82" s="925"/>
      <c r="DF82" s="925"/>
      <c r="DG82" s="925"/>
      <c r="DH82" s="925"/>
      <c r="DI82" s="925"/>
      <c r="DJ82" s="925"/>
      <c r="DK82" s="925"/>
      <c r="DL82" s="925"/>
      <c r="DM82" s="925"/>
      <c r="DN82" s="925"/>
      <c r="DO82" s="925"/>
      <c r="DP82" s="925"/>
      <c r="DQ82" s="925"/>
      <c r="DR82" s="925"/>
      <c r="DS82" s="925"/>
      <c r="DT82" s="925"/>
      <c r="DU82" s="925"/>
      <c r="DV82" s="925"/>
      <c r="DW82" s="925"/>
      <c r="DX82" s="925"/>
      <c r="DY82" s="925"/>
      <c r="DZ82" s="925"/>
      <c r="EA82" s="925"/>
      <c r="EB82" s="925"/>
      <c r="EC82" s="925"/>
      <c r="ED82" s="925"/>
      <c r="EE82" s="925"/>
      <c r="EF82" s="925"/>
      <c r="EG82" s="446"/>
    </row>
    <row r="83" spans="1:137" ht="13" x14ac:dyDescent="0.15">
      <c r="A83" s="917"/>
      <c r="B83" s="917"/>
      <c r="C83" s="918"/>
      <c r="D83" s="919"/>
      <c r="E83" s="920"/>
      <c r="F83" s="921"/>
      <c r="G83" s="922"/>
      <c r="H83" s="922"/>
      <c r="I83" s="922"/>
      <c r="J83" s="923"/>
      <c r="K83" s="923"/>
      <c r="L83" s="924"/>
      <c r="M83" s="925"/>
      <c r="N83" s="925"/>
      <c r="O83" s="925"/>
      <c r="P83" s="925"/>
      <c r="Q83" s="925"/>
      <c r="R83" s="926"/>
      <c r="S83" s="926"/>
      <c r="T83" s="925"/>
      <c r="U83" s="925"/>
      <c r="V83" s="925"/>
      <c r="W83" s="925"/>
      <c r="X83" s="925"/>
      <c r="Y83" s="925"/>
      <c r="Z83" s="925"/>
      <c r="AA83" s="925"/>
      <c r="AB83" s="925"/>
      <c r="AC83" s="925"/>
      <c r="AD83" s="925"/>
      <c r="AE83" s="925"/>
      <c r="AF83" s="925"/>
      <c r="AG83" s="925"/>
      <c r="AH83" s="925"/>
      <c r="AI83" s="925"/>
      <c r="AJ83" s="925"/>
      <c r="AK83" s="925"/>
      <c r="AL83" s="925"/>
      <c r="AM83" s="925"/>
      <c r="AN83" s="925"/>
      <c r="AO83" s="925"/>
      <c r="AP83" s="925"/>
      <c r="AQ83" s="925"/>
      <c r="AR83" s="925"/>
      <c r="AS83" s="925"/>
      <c r="AT83" s="925"/>
      <c r="AU83" s="925"/>
      <c r="AV83" s="925"/>
      <c r="AW83" s="925"/>
      <c r="AX83" s="925"/>
      <c r="AY83" s="925"/>
      <c r="AZ83" s="925"/>
      <c r="BA83" s="925"/>
      <c r="BB83" s="925"/>
      <c r="BC83" s="925"/>
      <c r="BD83" s="925"/>
      <c r="BE83" s="925"/>
      <c r="BF83" s="925"/>
      <c r="BG83" s="925"/>
      <c r="BH83" s="925"/>
      <c r="BI83" s="925"/>
      <c r="BJ83" s="925"/>
      <c r="BK83" s="925"/>
      <c r="BL83" s="925"/>
      <c r="BM83" s="925"/>
      <c r="BN83" s="925"/>
      <c r="BO83" s="925"/>
      <c r="BP83" s="925"/>
      <c r="BQ83" s="925"/>
      <c r="BR83" s="925"/>
      <c r="BS83" s="925"/>
      <c r="BT83" s="925"/>
      <c r="BU83" s="925"/>
      <c r="BV83" s="925"/>
      <c r="BW83" s="925"/>
      <c r="BX83" s="925"/>
      <c r="BY83" s="925"/>
      <c r="BZ83" s="925"/>
      <c r="CA83" s="925"/>
      <c r="CB83" s="925"/>
      <c r="CC83" s="925"/>
      <c r="CD83" s="925"/>
      <c r="CE83" s="925"/>
      <c r="CF83" s="925"/>
      <c r="CG83" s="925"/>
      <c r="CH83" s="925"/>
      <c r="CI83" s="925"/>
      <c r="CJ83" s="925"/>
      <c r="CK83" s="925"/>
      <c r="CL83" s="925"/>
      <c r="CM83" s="925"/>
      <c r="CN83" s="925"/>
      <c r="CO83" s="925"/>
      <c r="CP83" s="925"/>
      <c r="CQ83" s="925"/>
      <c r="CR83" s="925"/>
      <c r="CS83" s="925"/>
      <c r="CT83" s="925"/>
      <c r="CU83" s="925"/>
      <c r="CV83" s="925"/>
      <c r="CW83" s="925"/>
      <c r="CX83" s="925"/>
      <c r="CY83" s="925"/>
      <c r="CZ83" s="925"/>
      <c r="DA83" s="925"/>
      <c r="DB83" s="925"/>
      <c r="DC83" s="925"/>
      <c r="DD83" s="925"/>
      <c r="DE83" s="925"/>
      <c r="DF83" s="925"/>
      <c r="DG83" s="925"/>
      <c r="DH83" s="925"/>
      <c r="DI83" s="925"/>
      <c r="DJ83" s="925"/>
      <c r="DK83" s="925"/>
      <c r="DL83" s="925"/>
      <c r="DM83" s="925"/>
      <c r="DN83" s="925"/>
      <c r="DO83" s="925"/>
      <c r="DP83" s="925"/>
      <c r="DQ83" s="925"/>
      <c r="DR83" s="925"/>
      <c r="DS83" s="925"/>
      <c r="DT83" s="925"/>
      <c r="DU83" s="925"/>
      <c r="DV83" s="925"/>
      <c r="DW83" s="925"/>
      <c r="DX83" s="925"/>
      <c r="DY83" s="925"/>
      <c r="DZ83" s="925"/>
      <c r="EA83" s="925"/>
      <c r="EB83" s="925"/>
      <c r="EC83" s="925"/>
      <c r="ED83" s="925"/>
      <c r="EE83" s="925"/>
      <c r="EF83" s="925"/>
      <c r="EG83" s="446"/>
    </row>
    <row r="84" spans="1:137" ht="13" x14ac:dyDescent="0.15">
      <c r="A84" s="917"/>
      <c r="B84" s="917"/>
      <c r="C84" s="918"/>
      <c r="D84" s="919"/>
      <c r="E84" s="920"/>
      <c r="F84" s="921"/>
      <c r="G84" s="922"/>
      <c r="H84" s="922"/>
      <c r="I84" s="922"/>
      <c r="J84" s="923"/>
      <c r="K84" s="923"/>
      <c r="L84" s="924"/>
      <c r="M84" s="925"/>
      <c r="N84" s="925"/>
      <c r="O84" s="925"/>
      <c r="P84" s="925"/>
      <c r="Q84" s="925"/>
      <c r="R84" s="926"/>
      <c r="S84" s="926"/>
      <c r="T84" s="925"/>
      <c r="U84" s="925"/>
      <c r="V84" s="925"/>
      <c r="W84" s="925"/>
      <c r="X84" s="925"/>
      <c r="Y84" s="925"/>
      <c r="Z84" s="925"/>
      <c r="AA84" s="925"/>
      <c r="AB84" s="925"/>
      <c r="AC84" s="925"/>
      <c r="AD84" s="925"/>
      <c r="AE84" s="925"/>
      <c r="AF84" s="925"/>
      <c r="AG84" s="925"/>
      <c r="AH84" s="925"/>
      <c r="AI84" s="925"/>
      <c r="AJ84" s="925"/>
      <c r="AK84" s="925"/>
      <c r="AL84" s="925"/>
      <c r="AM84" s="925"/>
      <c r="AN84" s="925"/>
      <c r="AO84" s="925"/>
      <c r="AP84" s="925"/>
      <c r="AQ84" s="925"/>
      <c r="AR84" s="925"/>
      <c r="AS84" s="925"/>
      <c r="AT84" s="925"/>
      <c r="AU84" s="925"/>
      <c r="AV84" s="925"/>
      <c r="AW84" s="925"/>
      <c r="AX84" s="925"/>
      <c r="AY84" s="925"/>
      <c r="AZ84" s="925"/>
      <c r="BA84" s="925"/>
      <c r="BB84" s="925"/>
      <c r="BC84" s="925"/>
      <c r="BD84" s="925"/>
      <c r="BE84" s="925"/>
      <c r="BF84" s="925"/>
      <c r="BG84" s="925"/>
      <c r="BH84" s="925"/>
      <c r="BI84" s="925"/>
      <c r="BJ84" s="925"/>
      <c r="BK84" s="925"/>
      <c r="BL84" s="925"/>
      <c r="BM84" s="925"/>
      <c r="BN84" s="925"/>
      <c r="BO84" s="925"/>
      <c r="BP84" s="925"/>
      <c r="BQ84" s="925"/>
      <c r="BR84" s="925"/>
      <c r="BS84" s="925"/>
      <c r="BT84" s="925"/>
      <c r="BU84" s="925"/>
      <c r="BV84" s="925"/>
      <c r="BW84" s="925"/>
      <c r="BX84" s="925"/>
      <c r="BY84" s="925"/>
      <c r="BZ84" s="925"/>
      <c r="CA84" s="925"/>
      <c r="CB84" s="925"/>
      <c r="CC84" s="925"/>
      <c r="CD84" s="925"/>
      <c r="CE84" s="925"/>
      <c r="CF84" s="925"/>
      <c r="CG84" s="925"/>
      <c r="CH84" s="925"/>
      <c r="CI84" s="925"/>
      <c r="CJ84" s="925"/>
      <c r="CK84" s="925"/>
      <c r="CL84" s="925"/>
      <c r="CM84" s="925"/>
      <c r="CN84" s="925"/>
      <c r="CO84" s="925"/>
      <c r="CP84" s="925"/>
      <c r="CQ84" s="925"/>
      <c r="CR84" s="925"/>
      <c r="CS84" s="925"/>
      <c r="CT84" s="925"/>
      <c r="CU84" s="925"/>
      <c r="CV84" s="925"/>
      <c r="CW84" s="925"/>
      <c r="CX84" s="925"/>
      <c r="CY84" s="925"/>
      <c r="CZ84" s="925"/>
      <c r="DA84" s="925"/>
      <c r="DB84" s="925"/>
      <c r="DC84" s="925"/>
      <c r="DD84" s="925"/>
      <c r="DE84" s="925"/>
      <c r="DF84" s="925"/>
      <c r="DG84" s="925"/>
      <c r="DH84" s="925"/>
      <c r="DI84" s="925"/>
      <c r="DJ84" s="925"/>
      <c r="DK84" s="925"/>
      <c r="DL84" s="925"/>
      <c r="DM84" s="925"/>
      <c r="DN84" s="925"/>
      <c r="DO84" s="925"/>
      <c r="DP84" s="925"/>
      <c r="DQ84" s="925"/>
      <c r="DR84" s="925"/>
      <c r="DS84" s="925"/>
      <c r="DT84" s="925"/>
      <c r="DU84" s="925"/>
      <c r="DV84" s="925"/>
      <c r="DW84" s="925"/>
      <c r="DX84" s="925"/>
      <c r="DY84" s="925"/>
      <c r="DZ84" s="925"/>
      <c r="EA84" s="925"/>
      <c r="EB84" s="925"/>
      <c r="EC84" s="925"/>
      <c r="ED84" s="925"/>
      <c r="EE84" s="925"/>
      <c r="EF84" s="925"/>
      <c r="EG84" s="446"/>
    </row>
    <row r="85" spans="1:137" ht="13" x14ac:dyDescent="0.15">
      <c r="A85" s="917"/>
      <c r="B85" s="917"/>
      <c r="C85" s="918"/>
      <c r="D85" s="919"/>
      <c r="E85" s="920"/>
      <c r="F85" s="921"/>
      <c r="G85" s="922"/>
      <c r="H85" s="922"/>
      <c r="I85" s="922"/>
      <c r="J85" s="923"/>
      <c r="K85" s="923"/>
      <c r="L85" s="924"/>
      <c r="M85" s="925"/>
      <c r="N85" s="925"/>
      <c r="O85" s="925"/>
      <c r="P85" s="925"/>
      <c r="Q85" s="925"/>
      <c r="R85" s="926"/>
      <c r="S85" s="926"/>
      <c r="T85" s="925"/>
      <c r="U85" s="925"/>
      <c r="V85" s="925"/>
      <c r="W85" s="925"/>
      <c r="X85" s="925"/>
      <c r="Y85" s="925"/>
      <c r="Z85" s="925"/>
      <c r="AA85" s="925"/>
      <c r="AB85" s="925"/>
      <c r="AC85" s="925"/>
      <c r="AD85" s="925"/>
      <c r="AE85" s="925"/>
      <c r="AF85" s="925"/>
      <c r="AG85" s="925"/>
      <c r="AH85" s="925"/>
      <c r="AI85" s="925"/>
      <c r="AJ85" s="925"/>
      <c r="AK85" s="925"/>
      <c r="AL85" s="925"/>
      <c r="AM85" s="925"/>
      <c r="AN85" s="925"/>
      <c r="AO85" s="925"/>
      <c r="AP85" s="925"/>
      <c r="AQ85" s="925"/>
      <c r="AR85" s="925"/>
      <c r="AS85" s="925"/>
      <c r="AT85" s="925"/>
      <c r="AU85" s="925"/>
      <c r="AV85" s="925"/>
      <c r="AW85" s="925"/>
      <c r="AX85" s="925"/>
      <c r="AY85" s="925"/>
      <c r="AZ85" s="925"/>
      <c r="BA85" s="925"/>
      <c r="BB85" s="925"/>
      <c r="BC85" s="925"/>
      <c r="BD85" s="925"/>
      <c r="BE85" s="925"/>
      <c r="BF85" s="925"/>
      <c r="BG85" s="925"/>
      <c r="BH85" s="925"/>
      <c r="BI85" s="925"/>
      <c r="BJ85" s="925"/>
      <c r="BK85" s="925"/>
      <c r="BL85" s="925"/>
      <c r="BM85" s="925"/>
      <c r="BN85" s="925"/>
      <c r="BO85" s="925"/>
      <c r="BP85" s="925"/>
      <c r="BQ85" s="925"/>
      <c r="BR85" s="925"/>
      <c r="BS85" s="925"/>
      <c r="BT85" s="925"/>
      <c r="BU85" s="925"/>
      <c r="BV85" s="925"/>
      <c r="BW85" s="925"/>
      <c r="BX85" s="925"/>
      <c r="BY85" s="925"/>
      <c r="BZ85" s="925"/>
      <c r="CA85" s="925"/>
      <c r="CB85" s="925"/>
      <c r="CC85" s="925"/>
      <c r="CD85" s="925"/>
      <c r="CE85" s="925"/>
      <c r="CF85" s="925"/>
      <c r="CG85" s="925"/>
      <c r="CH85" s="925"/>
      <c r="CI85" s="925"/>
      <c r="CJ85" s="925"/>
      <c r="CK85" s="925"/>
      <c r="CL85" s="925"/>
      <c r="CM85" s="925"/>
      <c r="CN85" s="925"/>
      <c r="CO85" s="925"/>
      <c r="CP85" s="925"/>
      <c r="CQ85" s="925"/>
      <c r="CR85" s="925"/>
      <c r="CS85" s="925"/>
      <c r="CT85" s="925"/>
      <c r="CU85" s="925"/>
      <c r="CV85" s="925"/>
      <c r="CW85" s="925"/>
      <c r="CX85" s="925"/>
      <c r="CY85" s="925"/>
      <c r="CZ85" s="925"/>
      <c r="DA85" s="925"/>
      <c r="DB85" s="925"/>
      <c r="DC85" s="925"/>
      <c r="DD85" s="925"/>
      <c r="DE85" s="925"/>
      <c r="DF85" s="925"/>
      <c r="DG85" s="925"/>
      <c r="DH85" s="925"/>
      <c r="DI85" s="925"/>
      <c r="DJ85" s="925"/>
      <c r="DK85" s="925"/>
      <c r="DL85" s="925"/>
      <c r="DM85" s="925"/>
      <c r="DN85" s="925"/>
      <c r="DO85" s="925"/>
      <c r="DP85" s="925"/>
      <c r="DQ85" s="925"/>
      <c r="DR85" s="925"/>
      <c r="DS85" s="925"/>
      <c r="DT85" s="925"/>
      <c r="DU85" s="925"/>
      <c r="DV85" s="925"/>
      <c r="DW85" s="925"/>
      <c r="DX85" s="925"/>
      <c r="DY85" s="925"/>
      <c r="DZ85" s="925"/>
      <c r="EA85" s="925"/>
      <c r="EB85" s="925"/>
      <c r="EC85" s="925"/>
      <c r="ED85" s="925"/>
      <c r="EE85" s="925"/>
      <c r="EF85" s="925"/>
      <c r="EG85" s="446"/>
    </row>
    <row r="86" spans="1:137" ht="13" x14ac:dyDescent="0.15">
      <c r="A86" s="917"/>
      <c r="B86" s="917"/>
      <c r="C86" s="918"/>
      <c r="D86" s="919"/>
      <c r="E86" s="920"/>
      <c r="F86" s="921"/>
      <c r="G86" s="922"/>
      <c r="H86" s="922"/>
      <c r="I86" s="922"/>
      <c r="J86" s="923"/>
      <c r="K86" s="923"/>
      <c r="L86" s="924"/>
      <c r="M86" s="925"/>
      <c r="N86" s="925"/>
      <c r="O86" s="925"/>
      <c r="P86" s="925"/>
      <c r="Q86" s="925"/>
      <c r="R86" s="926"/>
      <c r="S86" s="926"/>
      <c r="T86" s="925"/>
      <c r="U86" s="925"/>
      <c r="V86" s="925"/>
      <c r="W86" s="925"/>
      <c r="X86" s="925"/>
      <c r="Y86" s="925"/>
      <c r="Z86" s="925"/>
      <c r="AA86" s="925"/>
      <c r="AB86" s="925"/>
      <c r="AC86" s="925"/>
      <c r="AD86" s="925"/>
      <c r="AE86" s="925"/>
      <c r="AF86" s="925"/>
      <c r="AG86" s="925"/>
      <c r="AH86" s="925"/>
      <c r="AI86" s="925"/>
      <c r="AJ86" s="925"/>
      <c r="AK86" s="925"/>
      <c r="AL86" s="925"/>
      <c r="AM86" s="925"/>
      <c r="AN86" s="925"/>
      <c r="AO86" s="925"/>
      <c r="AP86" s="925"/>
      <c r="AQ86" s="925"/>
      <c r="AR86" s="925"/>
      <c r="AS86" s="925"/>
      <c r="AT86" s="925"/>
      <c r="AU86" s="925"/>
      <c r="AV86" s="925"/>
      <c r="AW86" s="925"/>
      <c r="AX86" s="925"/>
      <c r="AY86" s="925"/>
      <c r="AZ86" s="925"/>
      <c r="BA86" s="925"/>
      <c r="BB86" s="925"/>
      <c r="BC86" s="925"/>
      <c r="BD86" s="925"/>
      <c r="BE86" s="925"/>
      <c r="BF86" s="925"/>
      <c r="BG86" s="925"/>
      <c r="BH86" s="925"/>
      <c r="BI86" s="925"/>
      <c r="BJ86" s="925"/>
      <c r="BK86" s="925"/>
      <c r="BL86" s="925"/>
      <c r="BM86" s="925"/>
      <c r="BN86" s="925"/>
      <c r="BO86" s="925"/>
      <c r="BP86" s="925"/>
      <c r="BQ86" s="925"/>
      <c r="BR86" s="925"/>
      <c r="BS86" s="925"/>
      <c r="BT86" s="925"/>
      <c r="BU86" s="925"/>
      <c r="BV86" s="925"/>
      <c r="BW86" s="925"/>
      <c r="BX86" s="925"/>
      <c r="BY86" s="925"/>
      <c r="BZ86" s="925"/>
      <c r="CA86" s="925"/>
      <c r="CB86" s="925"/>
      <c r="CC86" s="925"/>
      <c r="CD86" s="925"/>
      <c r="CE86" s="925"/>
      <c r="CF86" s="925"/>
      <c r="CG86" s="925"/>
      <c r="CH86" s="925"/>
      <c r="CI86" s="925"/>
      <c r="CJ86" s="925"/>
      <c r="CK86" s="925"/>
      <c r="CL86" s="925"/>
      <c r="CM86" s="925"/>
      <c r="CN86" s="925"/>
      <c r="CO86" s="925"/>
      <c r="CP86" s="925"/>
      <c r="CQ86" s="925"/>
      <c r="CR86" s="925"/>
      <c r="CS86" s="925"/>
      <c r="CT86" s="925"/>
      <c r="CU86" s="925"/>
      <c r="CV86" s="925"/>
      <c r="CW86" s="925"/>
      <c r="CX86" s="925"/>
      <c r="CY86" s="925"/>
      <c r="CZ86" s="925"/>
      <c r="DA86" s="925"/>
      <c r="DB86" s="925"/>
      <c r="DC86" s="925"/>
      <c r="DD86" s="925"/>
      <c r="DE86" s="925"/>
      <c r="DF86" s="925"/>
      <c r="DG86" s="925"/>
      <c r="DH86" s="925"/>
      <c r="DI86" s="925"/>
      <c r="DJ86" s="925"/>
      <c r="DK86" s="925"/>
      <c r="DL86" s="925"/>
      <c r="DM86" s="925"/>
      <c r="DN86" s="925"/>
      <c r="DO86" s="925"/>
      <c r="DP86" s="925"/>
      <c r="DQ86" s="925"/>
      <c r="DR86" s="925"/>
      <c r="DS86" s="925"/>
      <c r="DT86" s="925"/>
      <c r="DU86" s="925"/>
      <c r="DV86" s="925"/>
      <c r="DW86" s="925"/>
      <c r="DX86" s="925"/>
      <c r="DY86" s="925"/>
      <c r="DZ86" s="925"/>
      <c r="EA86" s="925"/>
      <c r="EB86" s="925"/>
      <c r="EC86" s="925"/>
      <c r="ED86" s="925"/>
      <c r="EE86" s="925"/>
      <c r="EF86" s="925"/>
      <c r="EG86" s="446"/>
    </row>
    <row r="87" spans="1:137" ht="13" x14ac:dyDescent="0.15">
      <c r="A87" s="917"/>
      <c r="B87" s="917"/>
      <c r="C87" s="918"/>
      <c r="D87" s="919"/>
      <c r="E87" s="920"/>
      <c r="F87" s="921"/>
      <c r="G87" s="922"/>
      <c r="H87" s="922"/>
      <c r="I87" s="922"/>
      <c r="J87" s="923"/>
      <c r="K87" s="923"/>
      <c r="L87" s="924"/>
      <c r="M87" s="925"/>
      <c r="N87" s="925"/>
      <c r="O87" s="925"/>
      <c r="P87" s="925"/>
      <c r="Q87" s="925"/>
      <c r="R87" s="926"/>
      <c r="S87" s="926"/>
      <c r="T87" s="925"/>
      <c r="U87" s="925"/>
      <c r="V87" s="925"/>
      <c r="W87" s="925"/>
      <c r="X87" s="925"/>
      <c r="Y87" s="925"/>
      <c r="Z87" s="925"/>
      <c r="AA87" s="925"/>
      <c r="AB87" s="925"/>
      <c r="AC87" s="925"/>
      <c r="AD87" s="925"/>
      <c r="AE87" s="925"/>
      <c r="AF87" s="925"/>
      <c r="AG87" s="925"/>
      <c r="AH87" s="925"/>
      <c r="AI87" s="925"/>
      <c r="AJ87" s="925"/>
      <c r="AK87" s="925"/>
      <c r="AL87" s="925"/>
      <c r="AM87" s="925"/>
      <c r="AN87" s="925"/>
      <c r="AO87" s="925"/>
      <c r="AP87" s="925"/>
      <c r="AQ87" s="925"/>
      <c r="AR87" s="925"/>
      <c r="AS87" s="925"/>
      <c r="AT87" s="925"/>
      <c r="AU87" s="925"/>
      <c r="AV87" s="925"/>
      <c r="AW87" s="925"/>
      <c r="AX87" s="925"/>
      <c r="AY87" s="925"/>
      <c r="AZ87" s="925"/>
      <c r="BA87" s="925"/>
      <c r="BB87" s="925"/>
      <c r="BC87" s="925"/>
      <c r="BD87" s="925"/>
      <c r="BE87" s="925"/>
      <c r="BF87" s="925"/>
      <c r="BG87" s="925"/>
      <c r="BH87" s="925"/>
      <c r="BI87" s="925"/>
      <c r="BJ87" s="925"/>
      <c r="BK87" s="925"/>
      <c r="BL87" s="925"/>
      <c r="BM87" s="925"/>
      <c r="BN87" s="925"/>
      <c r="BO87" s="925"/>
      <c r="BP87" s="925"/>
      <c r="BQ87" s="925"/>
      <c r="BR87" s="925"/>
      <c r="BS87" s="925"/>
      <c r="BT87" s="925"/>
      <c r="BU87" s="925"/>
      <c r="BV87" s="925"/>
      <c r="BW87" s="925"/>
      <c r="BX87" s="925"/>
      <c r="BY87" s="925"/>
      <c r="BZ87" s="925"/>
      <c r="CA87" s="925"/>
      <c r="CB87" s="925"/>
      <c r="CC87" s="925"/>
      <c r="CD87" s="925"/>
      <c r="CE87" s="925"/>
      <c r="CF87" s="925"/>
      <c r="CG87" s="925"/>
      <c r="CH87" s="925"/>
      <c r="CI87" s="925"/>
      <c r="CJ87" s="925"/>
      <c r="CK87" s="925"/>
      <c r="CL87" s="925"/>
      <c r="CM87" s="925"/>
      <c r="CN87" s="925"/>
      <c r="CO87" s="925"/>
      <c r="CP87" s="925"/>
      <c r="CQ87" s="925"/>
      <c r="CR87" s="925"/>
      <c r="CS87" s="925"/>
      <c r="CT87" s="925"/>
      <c r="CU87" s="925"/>
      <c r="CV87" s="925"/>
      <c r="CW87" s="925"/>
      <c r="CX87" s="925"/>
      <c r="CY87" s="925"/>
      <c r="CZ87" s="925"/>
      <c r="DA87" s="925"/>
      <c r="DB87" s="925"/>
      <c r="DC87" s="925"/>
      <c r="DD87" s="925"/>
      <c r="DE87" s="925"/>
      <c r="DF87" s="925"/>
      <c r="DG87" s="925"/>
      <c r="DH87" s="925"/>
      <c r="DI87" s="925"/>
      <c r="DJ87" s="925"/>
      <c r="DK87" s="925"/>
      <c r="DL87" s="925"/>
      <c r="DM87" s="925"/>
      <c r="DN87" s="925"/>
      <c r="DO87" s="925"/>
      <c r="DP87" s="925"/>
      <c r="DQ87" s="925"/>
      <c r="DR87" s="925"/>
      <c r="DS87" s="925"/>
      <c r="DT87" s="925"/>
      <c r="DU87" s="925"/>
      <c r="DV87" s="925"/>
      <c r="DW87" s="925"/>
      <c r="DX87" s="925"/>
      <c r="DY87" s="925"/>
      <c r="DZ87" s="925"/>
      <c r="EA87" s="925"/>
      <c r="EB87" s="925"/>
      <c r="EC87" s="925"/>
      <c r="ED87" s="925"/>
      <c r="EE87" s="925"/>
      <c r="EF87" s="925"/>
      <c r="EG87" s="446"/>
    </row>
    <row r="88" spans="1:137" ht="13" x14ac:dyDescent="0.15">
      <c r="A88" s="917"/>
      <c r="B88" s="917"/>
      <c r="C88" s="918"/>
      <c r="D88" s="919"/>
      <c r="E88" s="920"/>
      <c r="F88" s="921"/>
      <c r="G88" s="922"/>
      <c r="H88" s="922"/>
      <c r="I88" s="922"/>
      <c r="J88" s="923"/>
      <c r="K88" s="923"/>
      <c r="L88" s="924"/>
      <c r="M88" s="925"/>
      <c r="N88" s="925"/>
      <c r="O88" s="925"/>
      <c r="P88" s="925"/>
      <c r="Q88" s="925"/>
      <c r="R88" s="926"/>
      <c r="S88" s="926"/>
      <c r="T88" s="925"/>
      <c r="U88" s="925"/>
      <c r="V88" s="925"/>
      <c r="W88" s="925"/>
      <c r="X88" s="925"/>
      <c r="Y88" s="925"/>
      <c r="Z88" s="925"/>
      <c r="AA88" s="925"/>
      <c r="AB88" s="925"/>
      <c r="AC88" s="925"/>
      <c r="AD88" s="925"/>
      <c r="AE88" s="925"/>
      <c r="AF88" s="925"/>
      <c r="AG88" s="925"/>
      <c r="AH88" s="925"/>
      <c r="AI88" s="925"/>
      <c r="AJ88" s="925"/>
      <c r="AK88" s="925"/>
      <c r="AL88" s="925"/>
      <c r="AM88" s="925"/>
      <c r="AN88" s="925"/>
      <c r="AO88" s="925"/>
      <c r="AP88" s="925"/>
      <c r="AQ88" s="925"/>
      <c r="AR88" s="925"/>
      <c r="AS88" s="925"/>
      <c r="AT88" s="925"/>
      <c r="AU88" s="925"/>
      <c r="AV88" s="925"/>
      <c r="AW88" s="925"/>
      <c r="AX88" s="925"/>
      <c r="AY88" s="925"/>
      <c r="AZ88" s="925"/>
      <c r="BA88" s="925"/>
      <c r="BB88" s="925"/>
      <c r="BC88" s="925"/>
      <c r="BD88" s="925"/>
      <c r="BE88" s="925"/>
      <c r="BF88" s="925"/>
      <c r="BG88" s="925"/>
      <c r="BH88" s="925"/>
      <c r="BI88" s="925"/>
      <c r="BJ88" s="925"/>
      <c r="BK88" s="925"/>
      <c r="BL88" s="925"/>
      <c r="BM88" s="925"/>
      <c r="BN88" s="925"/>
      <c r="BO88" s="925"/>
      <c r="BP88" s="925"/>
      <c r="BQ88" s="925"/>
      <c r="BR88" s="925"/>
      <c r="BS88" s="925"/>
      <c r="BT88" s="925"/>
      <c r="BU88" s="925"/>
      <c r="BV88" s="925"/>
      <c r="BW88" s="925"/>
      <c r="BX88" s="925"/>
      <c r="BY88" s="925"/>
      <c r="BZ88" s="925"/>
      <c r="CA88" s="925"/>
      <c r="CB88" s="925"/>
      <c r="CC88" s="925"/>
      <c r="CD88" s="925"/>
      <c r="CE88" s="925"/>
      <c r="CF88" s="925"/>
      <c r="CG88" s="925"/>
      <c r="CH88" s="925"/>
      <c r="CI88" s="925"/>
      <c r="CJ88" s="925"/>
      <c r="CK88" s="925"/>
      <c r="CL88" s="925"/>
      <c r="CM88" s="925"/>
      <c r="CN88" s="925"/>
      <c r="CO88" s="925"/>
      <c r="CP88" s="925"/>
      <c r="CQ88" s="925"/>
      <c r="CR88" s="925"/>
      <c r="CS88" s="925"/>
      <c r="CT88" s="925"/>
      <c r="CU88" s="925"/>
      <c r="CV88" s="925"/>
      <c r="CW88" s="925"/>
      <c r="CX88" s="925"/>
      <c r="CY88" s="925"/>
      <c r="CZ88" s="925"/>
      <c r="DA88" s="925"/>
      <c r="DB88" s="925"/>
      <c r="DC88" s="925"/>
      <c r="DD88" s="925"/>
      <c r="DE88" s="925"/>
      <c r="DF88" s="925"/>
      <c r="DG88" s="925"/>
      <c r="DH88" s="925"/>
      <c r="DI88" s="925"/>
      <c r="DJ88" s="925"/>
      <c r="DK88" s="925"/>
      <c r="DL88" s="925"/>
      <c r="DM88" s="925"/>
      <c r="DN88" s="925"/>
      <c r="DO88" s="925"/>
      <c r="DP88" s="925"/>
      <c r="DQ88" s="925"/>
      <c r="DR88" s="925"/>
      <c r="DS88" s="925"/>
      <c r="DT88" s="925"/>
      <c r="DU88" s="925"/>
      <c r="DV88" s="925"/>
      <c r="DW88" s="925"/>
      <c r="DX88" s="925"/>
      <c r="DY88" s="925"/>
      <c r="DZ88" s="925"/>
      <c r="EA88" s="925"/>
      <c r="EB88" s="925"/>
      <c r="EC88" s="925"/>
      <c r="ED88" s="925"/>
      <c r="EE88" s="925"/>
      <c r="EF88" s="925"/>
      <c r="EG88" s="446"/>
    </row>
    <row r="89" spans="1:137" ht="13" x14ac:dyDescent="0.15">
      <c r="A89" s="917"/>
      <c r="B89" s="917"/>
      <c r="C89" s="918"/>
      <c r="D89" s="919"/>
      <c r="E89" s="920"/>
      <c r="F89" s="921"/>
      <c r="G89" s="922"/>
      <c r="H89" s="922"/>
      <c r="I89" s="922"/>
      <c r="J89" s="923"/>
      <c r="K89" s="923"/>
      <c r="L89" s="924"/>
      <c r="M89" s="925"/>
      <c r="N89" s="925"/>
      <c r="O89" s="925"/>
      <c r="P89" s="925"/>
      <c r="Q89" s="925"/>
      <c r="R89" s="926"/>
      <c r="S89" s="926"/>
      <c r="T89" s="925"/>
      <c r="U89" s="925"/>
      <c r="V89" s="925"/>
      <c r="W89" s="925"/>
      <c r="X89" s="925"/>
      <c r="Y89" s="925"/>
      <c r="Z89" s="925"/>
      <c r="AA89" s="925"/>
      <c r="AB89" s="925"/>
      <c r="AC89" s="925"/>
      <c r="AD89" s="925"/>
      <c r="AE89" s="925"/>
      <c r="AF89" s="925"/>
      <c r="AG89" s="925"/>
      <c r="AH89" s="925"/>
      <c r="AI89" s="925"/>
      <c r="AJ89" s="925"/>
      <c r="AK89" s="925"/>
      <c r="AL89" s="925"/>
      <c r="AM89" s="925"/>
      <c r="AN89" s="925"/>
      <c r="AO89" s="925"/>
      <c r="AP89" s="925"/>
      <c r="AQ89" s="925"/>
      <c r="AR89" s="925"/>
      <c r="AS89" s="925"/>
      <c r="AT89" s="925"/>
      <c r="AU89" s="925"/>
      <c r="AV89" s="925"/>
      <c r="AW89" s="925"/>
      <c r="AX89" s="925"/>
      <c r="AY89" s="925"/>
      <c r="AZ89" s="925"/>
      <c r="BA89" s="925"/>
      <c r="BB89" s="925"/>
      <c r="BC89" s="925"/>
      <c r="BD89" s="925"/>
      <c r="BE89" s="925"/>
      <c r="BF89" s="925"/>
      <c r="BG89" s="925"/>
      <c r="BH89" s="925"/>
      <c r="BI89" s="925"/>
      <c r="BJ89" s="925"/>
      <c r="BK89" s="925"/>
      <c r="BL89" s="925"/>
      <c r="BM89" s="925"/>
      <c r="BN89" s="925"/>
      <c r="BO89" s="925"/>
      <c r="BP89" s="925"/>
      <c r="BQ89" s="925"/>
      <c r="BR89" s="925"/>
      <c r="BS89" s="925"/>
      <c r="BT89" s="925"/>
      <c r="BU89" s="925"/>
      <c r="BV89" s="925"/>
      <c r="BW89" s="925"/>
      <c r="BX89" s="925"/>
      <c r="BY89" s="925"/>
      <c r="BZ89" s="925"/>
      <c r="CA89" s="925"/>
      <c r="CB89" s="925"/>
      <c r="CC89" s="925"/>
      <c r="CD89" s="925"/>
      <c r="CE89" s="925"/>
      <c r="CF89" s="925"/>
      <c r="CG89" s="925"/>
      <c r="CH89" s="925"/>
      <c r="CI89" s="925"/>
      <c r="CJ89" s="925"/>
      <c r="CK89" s="925"/>
      <c r="CL89" s="925"/>
      <c r="CM89" s="925"/>
      <c r="CN89" s="925"/>
      <c r="CO89" s="925"/>
      <c r="CP89" s="925"/>
      <c r="CQ89" s="925"/>
      <c r="CR89" s="925"/>
      <c r="CS89" s="925"/>
      <c r="CT89" s="925"/>
      <c r="CU89" s="925"/>
      <c r="CV89" s="925"/>
      <c r="CW89" s="925"/>
      <c r="CX89" s="925"/>
      <c r="CY89" s="925"/>
      <c r="CZ89" s="925"/>
      <c r="DA89" s="925"/>
      <c r="DB89" s="925"/>
      <c r="DC89" s="925"/>
      <c r="DD89" s="925"/>
      <c r="DE89" s="925"/>
      <c r="DF89" s="925"/>
      <c r="DG89" s="925"/>
      <c r="DH89" s="925"/>
      <c r="DI89" s="925"/>
      <c r="DJ89" s="925"/>
      <c r="DK89" s="925"/>
      <c r="DL89" s="925"/>
      <c r="DM89" s="925"/>
      <c r="DN89" s="925"/>
      <c r="DO89" s="925"/>
      <c r="DP89" s="925"/>
      <c r="DQ89" s="925"/>
      <c r="DR89" s="925"/>
      <c r="DS89" s="925"/>
      <c r="DT89" s="925"/>
      <c r="DU89" s="925"/>
      <c r="DV89" s="925"/>
      <c r="DW89" s="925"/>
      <c r="DX89" s="925"/>
      <c r="DY89" s="925"/>
      <c r="DZ89" s="925"/>
      <c r="EA89" s="925"/>
      <c r="EB89" s="925"/>
      <c r="EC89" s="925"/>
      <c r="ED89" s="925"/>
      <c r="EE89" s="925"/>
      <c r="EF89" s="925"/>
      <c r="EG89" s="446"/>
    </row>
    <row r="90" spans="1:137" ht="13" x14ac:dyDescent="0.15">
      <c r="A90" s="917"/>
      <c r="B90" s="917"/>
      <c r="C90" s="918"/>
      <c r="D90" s="919"/>
      <c r="E90" s="920"/>
      <c r="F90" s="921"/>
      <c r="G90" s="922"/>
      <c r="H90" s="922"/>
      <c r="I90" s="922"/>
      <c r="J90" s="923"/>
      <c r="K90" s="923"/>
      <c r="L90" s="924"/>
      <c r="M90" s="925"/>
      <c r="N90" s="925"/>
      <c r="O90" s="925"/>
      <c r="P90" s="925"/>
      <c r="Q90" s="925"/>
      <c r="R90" s="926"/>
      <c r="S90" s="926"/>
      <c r="T90" s="925"/>
      <c r="U90" s="925"/>
      <c r="V90" s="925"/>
      <c r="W90" s="925"/>
      <c r="X90" s="925"/>
      <c r="Y90" s="925"/>
      <c r="Z90" s="925"/>
      <c r="AA90" s="925"/>
      <c r="AB90" s="925"/>
      <c r="AC90" s="925"/>
      <c r="AD90" s="925"/>
      <c r="AE90" s="925"/>
      <c r="AF90" s="925"/>
      <c r="AG90" s="925"/>
      <c r="AH90" s="925"/>
      <c r="AI90" s="925"/>
      <c r="AJ90" s="925"/>
      <c r="AK90" s="925"/>
      <c r="AL90" s="925"/>
      <c r="AM90" s="925"/>
      <c r="AN90" s="925"/>
      <c r="AO90" s="925"/>
      <c r="AP90" s="925"/>
      <c r="AQ90" s="925"/>
      <c r="AR90" s="925"/>
      <c r="AS90" s="925"/>
      <c r="AT90" s="925"/>
      <c r="AU90" s="925"/>
      <c r="AV90" s="925"/>
      <c r="AW90" s="925"/>
      <c r="AX90" s="925"/>
      <c r="AY90" s="925"/>
      <c r="AZ90" s="925"/>
      <c r="BA90" s="925"/>
      <c r="BB90" s="925"/>
      <c r="BC90" s="925"/>
      <c r="BD90" s="925"/>
      <c r="BE90" s="925"/>
      <c r="BF90" s="925"/>
      <c r="BG90" s="925"/>
      <c r="BH90" s="925"/>
      <c r="BI90" s="925"/>
      <c r="BJ90" s="925"/>
      <c r="BK90" s="925"/>
      <c r="BL90" s="925"/>
      <c r="BM90" s="925"/>
      <c r="BN90" s="925"/>
      <c r="BO90" s="925"/>
      <c r="BP90" s="925"/>
      <c r="BQ90" s="925"/>
      <c r="BR90" s="925"/>
      <c r="BS90" s="925"/>
      <c r="BT90" s="925"/>
      <c r="BU90" s="925"/>
      <c r="BV90" s="925"/>
      <c r="BW90" s="925"/>
      <c r="BX90" s="925"/>
      <c r="BY90" s="925"/>
      <c r="BZ90" s="925"/>
      <c r="CA90" s="925"/>
      <c r="CB90" s="925"/>
      <c r="CC90" s="925"/>
      <c r="CD90" s="925"/>
      <c r="CE90" s="925"/>
      <c r="CF90" s="925"/>
      <c r="CG90" s="925"/>
      <c r="CH90" s="925"/>
      <c r="CI90" s="925"/>
      <c r="CJ90" s="925"/>
      <c r="CK90" s="925"/>
      <c r="CL90" s="925"/>
      <c r="CM90" s="925"/>
      <c r="CN90" s="925"/>
      <c r="CO90" s="925"/>
      <c r="CP90" s="925"/>
      <c r="CQ90" s="925"/>
      <c r="CR90" s="925"/>
      <c r="CS90" s="925"/>
      <c r="CT90" s="925"/>
      <c r="CU90" s="925"/>
      <c r="CV90" s="925"/>
      <c r="CW90" s="925"/>
      <c r="CX90" s="925"/>
      <c r="CY90" s="925"/>
      <c r="CZ90" s="925"/>
      <c r="DA90" s="925"/>
      <c r="DB90" s="925"/>
      <c r="DC90" s="925"/>
      <c r="DD90" s="925"/>
      <c r="DE90" s="925"/>
      <c r="DF90" s="925"/>
      <c r="DG90" s="925"/>
      <c r="DH90" s="925"/>
      <c r="DI90" s="925"/>
      <c r="DJ90" s="925"/>
      <c r="DK90" s="925"/>
      <c r="DL90" s="925"/>
      <c r="DM90" s="925"/>
      <c r="DN90" s="925"/>
      <c r="DO90" s="925"/>
      <c r="DP90" s="925"/>
      <c r="DQ90" s="925"/>
      <c r="DR90" s="925"/>
      <c r="DS90" s="925"/>
      <c r="DT90" s="925"/>
      <c r="DU90" s="925"/>
      <c r="DV90" s="925"/>
      <c r="DW90" s="925"/>
      <c r="DX90" s="925"/>
      <c r="DY90" s="925"/>
      <c r="DZ90" s="925"/>
      <c r="EA90" s="925"/>
      <c r="EB90" s="925"/>
      <c r="EC90" s="925"/>
      <c r="ED90" s="925"/>
      <c r="EE90" s="925"/>
      <c r="EF90" s="925"/>
      <c r="EG90" s="446"/>
    </row>
    <row r="91" spans="1:137" ht="13" x14ac:dyDescent="0.15">
      <c r="A91" s="917"/>
      <c r="B91" s="917"/>
      <c r="C91" s="918"/>
      <c r="D91" s="919"/>
      <c r="E91" s="920"/>
      <c r="F91" s="921"/>
      <c r="G91" s="922"/>
      <c r="H91" s="922"/>
      <c r="I91" s="922"/>
      <c r="J91" s="923"/>
      <c r="K91" s="923"/>
      <c r="L91" s="924"/>
      <c r="M91" s="925"/>
      <c r="N91" s="925"/>
      <c r="O91" s="925"/>
      <c r="P91" s="925"/>
      <c r="Q91" s="925"/>
      <c r="R91" s="926"/>
      <c r="S91" s="926"/>
      <c r="T91" s="925"/>
      <c r="U91" s="925"/>
      <c r="V91" s="925"/>
      <c r="W91" s="925"/>
      <c r="X91" s="925"/>
      <c r="Y91" s="925"/>
      <c r="Z91" s="925"/>
      <c r="AA91" s="925"/>
      <c r="AB91" s="925"/>
      <c r="AC91" s="925"/>
      <c r="AD91" s="925"/>
      <c r="AE91" s="925"/>
      <c r="AF91" s="925"/>
      <c r="AG91" s="925"/>
      <c r="AH91" s="925"/>
      <c r="AI91" s="925"/>
      <c r="AJ91" s="925"/>
      <c r="AK91" s="925"/>
      <c r="AL91" s="925"/>
      <c r="AM91" s="925"/>
      <c r="AN91" s="925"/>
      <c r="AO91" s="925"/>
      <c r="AP91" s="925"/>
      <c r="AQ91" s="925"/>
      <c r="AR91" s="925"/>
      <c r="AS91" s="925"/>
      <c r="AT91" s="925"/>
      <c r="AU91" s="925"/>
      <c r="AV91" s="925"/>
      <c r="AW91" s="925"/>
      <c r="AX91" s="925"/>
      <c r="AY91" s="925"/>
      <c r="AZ91" s="925"/>
      <c r="BA91" s="925"/>
      <c r="BB91" s="925"/>
      <c r="BC91" s="925"/>
      <c r="BD91" s="925"/>
      <c r="BE91" s="925"/>
      <c r="BF91" s="925"/>
      <c r="BG91" s="925"/>
      <c r="BH91" s="925"/>
      <c r="BI91" s="925"/>
      <c r="BJ91" s="925"/>
      <c r="BK91" s="925"/>
      <c r="BL91" s="925"/>
      <c r="BM91" s="925"/>
      <c r="BN91" s="925"/>
      <c r="BO91" s="925"/>
      <c r="BP91" s="925"/>
      <c r="BQ91" s="925"/>
      <c r="BR91" s="925"/>
      <c r="BS91" s="925"/>
      <c r="BT91" s="925"/>
      <c r="BU91" s="925"/>
      <c r="BV91" s="925"/>
      <c r="BW91" s="925"/>
      <c r="BX91" s="925"/>
      <c r="BY91" s="925"/>
      <c r="BZ91" s="925"/>
      <c r="CA91" s="925"/>
      <c r="CB91" s="925"/>
      <c r="CC91" s="925"/>
      <c r="CD91" s="925"/>
      <c r="CE91" s="925"/>
      <c r="CF91" s="925"/>
      <c r="CG91" s="925"/>
      <c r="CH91" s="925"/>
      <c r="CI91" s="925"/>
      <c r="CJ91" s="925"/>
      <c r="CK91" s="925"/>
      <c r="CL91" s="925"/>
      <c r="CM91" s="925"/>
      <c r="CN91" s="925"/>
      <c r="CO91" s="925"/>
      <c r="CP91" s="925"/>
      <c r="CQ91" s="925"/>
      <c r="CR91" s="925"/>
      <c r="CS91" s="925"/>
      <c r="CT91" s="925"/>
      <c r="CU91" s="925"/>
      <c r="CV91" s="925"/>
      <c r="CW91" s="925"/>
      <c r="CX91" s="925"/>
      <c r="CY91" s="925"/>
      <c r="CZ91" s="925"/>
      <c r="DA91" s="925"/>
      <c r="DB91" s="925"/>
      <c r="DC91" s="925"/>
      <c r="DD91" s="925"/>
      <c r="DE91" s="925"/>
      <c r="DF91" s="925"/>
      <c r="DG91" s="925"/>
      <c r="DH91" s="925"/>
      <c r="DI91" s="925"/>
      <c r="DJ91" s="925"/>
      <c r="DK91" s="925"/>
      <c r="DL91" s="925"/>
      <c r="DM91" s="925"/>
      <c r="DN91" s="925"/>
      <c r="DO91" s="925"/>
      <c r="DP91" s="925"/>
      <c r="DQ91" s="925"/>
      <c r="DR91" s="925"/>
      <c r="DS91" s="925"/>
      <c r="DT91" s="925"/>
      <c r="DU91" s="925"/>
      <c r="DV91" s="925"/>
      <c r="DW91" s="925"/>
      <c r="DX91" s="925"/>
      <c r="DY91" s="925"/>
      <c r="DZ91" s="925"/>
      <c r="EA91" s="925"/>
      <c r="EB91" s="925"/>
      <c r="EC91" s="925"/>
      <c r="ED91" s="925"/>
      <c r="EE91" s="925"/>
      <c r="EF91" s="925"/>
      <c r="EG91" s="446"/>
    </row>
    <row r="92" spans="1:137" ht="13" x14ac:dyDescent="0.15">
      <c r="A92" s="917"/>
      <c r="B92" s="917"/>
      <c r="C92" s="918"/>
      <c r="D92" s="919"/>
      <c r="E92" s="920"/>
      <c r="F92" s="921"/>
      <c r="G92" s="922"/>
      <c r="H92" s="922"/>
      <c r="I92" s="922"/>
      <c r="J92" s="923"/>
      <c r="K92" s="923"/>
      <c r="L92" s="924"/>
      <c r="M92" s="925"/>
      <c r="N92" s="925"/>
      <c r="O92" s="925"/>
      <c r="P92" s="925"/>
      <c r="Q92" s="925"/>
      <c r="R92" s="926"/>
      <c r="S92" s="926"/>
      <c r="T92" s="925"/>
      <c r="U92" s="925"/>
      <c r="V92" s="925"/>
      <c r="W92" s="925"/>
      <c r="X92" s="925"/>
      <c r="Y92" s="925"/>
      <c r="Z92" s="925"/>
      <c r="AA92" s="925"/>
      <c r="AB92" s="925"/>
      <c r="AC92" s="925"/>
      <c r="AD92" s="925"/>
      <c r="AE92" s="925"/>
      <c r="AF92" s="925"/>
      <c r="AG92" s="925"/>
      <c r="AH92" s="925"/>
      <c r="AI92" s="925"/>
      <c r="AJ92" s="925"/>
      <c r="AK92" s="925"/>
      <c r="AL92" s="925"/>
      <c r="AM92" s="925"/>
      <c r="AN92" s="925"/>
      <c r="AO92" s="925"/>
      <c r="AP92" s="925"/>
      <c r="AQ92" s="925"/>
      <c r="AR92" s="925"/>
      <c r="AS92" s="925"/>
      <c r="AT92" s="925"/>
      <c r="AU92" s="925"/>
      <c r="AV92" s="925"/>
      <c r="AW92" s="925"/>
      <c r="AX92" s="925"/>
      <c r="AY92" s="925"/>
      <c r="AZ92" s="925"/>
      <c r="BA92" s="925"/>
      <c r="BB92" s="925"/>
      <c r="BC92" s="925"/>
      <c r="BD92" s="925"/>
      <c r="BE92" s="925"/>
      <c r="BF92" s="925"/>
      <c r="BG92" s="925"/>
      <c r="BH92" s="925"/>
      <c r="BI92" s="925"/>
      <c r="BJ92" s="925"/>
      <c r="BK92" s="925"/>
      <c r="BL92" s="925"/>
      <c r="BM92" s="925"/>
      <c r="BN92" s="925"/>
      <c r="BO92" s="925"/>
      <c r="BP92" s="925"/>
      <c r="BQ92" s="925"/>
      <c r="BR92" s="925"/>
      <c r="BS92" s="925"/>
      <c r="BT92" s="925"/>
      <c r="BU92" s="925"/>
      <c r="BV92" s="925"/>
      <c r="BW92" s="925"/>
      <c r="BX92" s="925"/>
      <c r="BY92" s="925"/>
      <c r="BZ92" s="925"/>
      <c r="CA92" s="925"/>
      <c r="CB92" s="925"/>
      <c r="CC92" s="925"/>
      <c r="CD92" s="925"/>
      <c r="CE92" s="925"/>
      <c r="CF92" s="925"/>
      <c r="CG92" s="925"/>
      <c r="CH92" s="925"/>
      <c r="CI92" s="925"/>
      <c r="CJ92" s="925"/>
      <c r="CK92" s="925"/>
      <c r="CL92" s="925"/>
      <c r="CM92" s="925"/>
      <c r="CN92" s="925"/>
      <c r="CO92" s="925"/>
      <c r="CP92" s="925"/>
      <c r="CQ92" s="925"/>
      <c r="CR92" s="925"/>
      <c r="CS92" s="925"/>
      <c r="CT92" s="925"/>
      <c r="CU92" s="925"/>
      <c r="CV92" s="925"/>
      <c r="CW92" s="925"/>
      <c r="CX92" s="925"/>
      <c r="CY92" s="925"/>
      <c r="CZ92" s="925"/>
      <c r="DA92" s="925"/>
      <c r="DB92" s="925"/>
      <c r="DC92" s="925"/>
      <c r="DD92" s="925"/>
      <c r="DE92" s="925"/>
      <c r="DF92" s="925"/>
      <c r="DG92" s="925"/>
      <c r="DH92" s="925"/>
      <c r="DI92" s="925"/>
      <c r="DJ92" s="925"/>
      <c r="DK92" s="925"/>
      <c r="DL92" s="925"/>
      <c r="DM92" s="925"/>
      <c r="DN92" s="925"/>
      <c r="DO92" s="925"/>
      <c r="DP92" s="925"/>
      <c r="DQ92" s="925"/>
      <c r="DR92" s="925"/>
      <c r="DS92" s="925"/>
      <c r="DT92" s="925"/>
      <c r="DU92" s="925"/>
      <c r="DV92" s="925"/>
      <c r="DW92" s="925"/>
      <c r="DX92" s="925"/>
      <c r="DY92" s="925"/>
      <c r="DZ92" s="925"/>
      <c r="EA92" s="925"/>
      <c r="EB92" s="925"/>
      <c r="EC92" s="925"/>
      <c r="ED92" s="925"/>
      <c r="EE92" s="925"/>
      <c r="EF92" s="925"/>
      <c r="EG92" s="446"/>
    </row>
    <row r="93" spans="1:137" ht="13" x14ac:dyDescent="0.15">
      <c r="A93" s="917"/>
      <c r="B93" s="917"/>
      <c r="C93" s="918"/>
      <c r="D93" s="919"/>
      <c r="E93" s="920"/>
      <c r="F93" s="921"/>
      <c r="G93" s="922"/>
      <c r="H93" s="922"/>
      <c r="I93" s="922"/>
      <c r="J93" s="923"/>
      <c r="K93" s="923"/>
      <c r="L93" s="924"/>
      <c r="M93" s="925"/>
      <c r="N93" s="925"/>
      <c r="O93" s="925"/>
      <c r="P93" s="925"/>
      <c r="Q93" s="925"/>
      <c r="R93" s="926"/>
      <c r="S93" s="926"/>
      <c r="T93" s="925"/>
      <c r="U93" s="925"/>
      <c r="V93" s="925"/>
      <c r="W93" s="925"/>
      <c r="X93" s="925"/>
      <c r="Y93" s="925"/>
      <c r="Z93" s="925"/>
      <c r="AA93" s="925"/>
      <c r="AB93" s="925"/>
      <c r="AC93" s="925"/>
      <c r="AD93" s="925"/>
      <c r="AE93" s="925"/>
      <c r="AF93" s="925"/>
      <c r="AG93" s="925"/>
      <c r="AH93" s="925"/>
      <c r="AI93" s="925"/>
      <c r="AJ93" s="925"/>
      <c r="AK93" s="925"/>
      <c r="AL93" s="925"/>
      <c r="AM93" s="925"/>
      <c r="AN93" s="925"/>
      <c r="AO93" s="925"/>
      <c r="AP93" s="925"/>
      <c r="AQ93" s="925"/>
      <c r="AR93" s="925"/>
      <c r="AS93" s="925"/>
      <c r="AT93" s="925"/>
      <c r="AU93" s="925"/>
      <c r="AV93" s="925"/>
      <c r="AW93" s="925"/>
      <c r="AX93" s="925"/>
      <c r="AY93" s="925"/>
      <c r="AZ93" s="925"/>
      <c r="BA93" s="925"/>
      <c r="BB93" s="925"/>
      <c r="BC93" s="925"/>
      <c r="BD93" s="925"/>
      <c r="BE93" s="925"/>
      <c r="BF93" s="925"/>
      <c r="BG93" s="925"/>
      <c r="BH93" s="925"/>
      <c r="BI93" s="925"/>
      <c r="BJ93" s="925"/>
      <c r="BK93" s="925"/>
      <c r="BL93" s="925"/>
      <c r="BM93" s="925"/>
      <c r="BN93" s="925"/>
      <c r="BO93" s="925"/>
      <c r="BP93" s="925"/>
      <c r="BQ93" s="925"/>
      <c r="BR93" s="925"/>
      <c r="BS93" s="925"/>
      <c r="BT93" s="925"/>
      <c r="BU93" s="925"/>
      <c r="BV93" s="925"/>
      <c r="BW93" s="925"/>
      <c r="BX93" s="925"/>
      <c r="BY93" s="925"/>
      <c r="BZ93" s="925"/>
      <c r="CA93" s="925"/>
      <c r="CB93" s="925"/>
      <c r="CC93" s="925"/>
      <c r="CD93" s="925"/>
      <c r="CE93" s="925"/>
      <c r="CF93" s="925"/>
      <c r="CG93" s="925"/>
      <c r="CH93" s="925"/>
      <c r="CI93" s="925"/>
      <c r="CJ93" s="925"/>
      <c r="CK93" s="925"/>
      <c r="CL93" s="925"/>
      <c r="CM93" s="925"/>
      <c r="CN93" s="925"/>
      <c r="CO93" s="925"/>
      <c r="CP93" s="925"/>
      <c r="CQ93" s="925"/>
      <c r="CR93" s="925"/>
      <c r="CS93" s="925"/>
      <c r="CT93" s="925"/>
      <c r="CU93" s="925"/>
      <c r="CV93" s="925"/>
      <c r="CW93" s="925"/>
      <c r="CX93" s="925"/>
      <c r="CY93" s="925"/>
      <c r="CZ93" s="925"/>
      <c r="DA93" s="925"/>
      <c r="DB93" s="925"/>
      <c r="DC93" s="925"/>
      <c r="DD93" s="925"/>
      <c r="DE93" s="925"/>
      <c r="DF93" s="925"/>
      <c r="DG93" s="925"/>
      <c r="DH93" s="925"/>
      <c r="DI93" s="925"/>
      <c r="DJ93" s="925"/>
      <c r="DK93" s="925"/>
      <c r="DL93" s="925"/>
      <c r="DM93" s="925"/>
      <c r="DN93" s="925"/>
      <c r="DO93" s="925"/>
      <c r="DP93" s="925"/>
      <c r="DQ93" s="925"/>
      <c r="DR93" s="925"/>
      <c r="DS93" s="925"/>
      <c r="DT93" s="925"/>
      <c r="DU93" s="925"/>
      <c r="DV93" s="925"/>
      <c r="DW93" s="925"/>
      <c r="DX93" s="925"/>
      <c r="DY93" s="925"/>
      <c r="DZ93" s="925"/>
      <c r="EA93" s="925"/>
      <c r="EB93" s="925"/>
      <c r="EC93" s="925"/>
      <c r="ED93" s="925"/>
      <c r="EE93" s="925"/>
      <c r="EF93" s="925"/>
      <c r="EG93" s="446"/>
    </row>
    <row r="94" spans="1:137" ht="13" x14ac:dyDescent="0.15">
      <c r="A94" s="917"/>
      <c r="B94" s="917"/>
      <c r="C94" s="918"/>
      <c r="D94" s="919"/>
      <c r="E94" s="920"/>
      <c r="F94" s="921"/>
      <c r="G94" s="922"/>
      <c r="H94" s="922"/>
      <c r="I94" s="922"/>
      <c r="J94" s="923"/>
      <c r="K94" s="923"/>
      <c r="L94" s="924"/>
      <c r="M94" s="925"/>
      <c r="N94" s="925"/>
      <c r="O94" s="925"/>
      <c r="P94" s="925"/>
      <c r="Q94" s="925"/>
      <c r="R94" s="926"/>
      <c r="S94" s="926"/>
      <c r="T94" s="925"/>
      <c r="U94" s="925"/>
      <c r="V94" s="925"/>
      <c r="W94" s="925"/>
      <c r="X94" s="925"/>
      <c r="Y94" s="925"/>
      <c r="Z94" s="925"/>
      <c r="AA94" s="925"/>
      <c r="AB94" s="925"/>
      <c r="AC94" s="925"/>
      <c r="AD94" s="925"/>
      <c r="AE94" s="925"/>
      <c r="AF94" s="925"/>
      <c r="AG94" s="925"/>
      <c r="AH94" s="925"/>
      <c r="AI94" s="925"/>
      <c r="AJ94" s="925"/>
      <c r="AK94" s="925"/>
      <c r="AL94" s="925"/>
      <c r="AM94" s="925"/>
      <c r="AN94" s="925"/>
      <c r="AO94" s="925"/>
      <c r="AP94" s="925"/>
      <c r="AQ94" s="925"/>
      <c r="AR94" s="925"/>
      <c r="AS94" s="925"/>
      <c r="AT94" s="925"/>
      <c r="AU94" s="925"/>
      <c r="AV94" s="925"/>
      <c r="AW94" s="925"/>
      <c r="AX94" s="925"/>
      <c r="AY94" s="925"/>
      <c r="AZ94" s="925"/>
      <c r="BA94" s="925"/>
      <c r="BB94" s="925"/>
      <c r="BC94" s="925"/>
      <c r="BD94" s="925"/>
      <c r="BE94" s="925"/>
      <c r="BF94" s="925"/>
      <c r="BG94" s="925"/>
      <c r="BH94" s="925"/>
      <c r="BI94" s="925"/>
      <c r="BJ94" s="925"/>
      <c r="BK94" s="925"/>
      <c r="BL94" s="925"/>
      <c r="BM94" s="925"/>
      <c r="BN94" s="925"/>
      <c r="BO94" s="925"/>
      <c r="BP94" s="925"/>
      <c r="BQ94" s="925"/>
      <c r="BR94" s="925"/>
      <c r="BS94" s="925"/>
      <c r="BT94" s="925"/>
      <c r="BU94" s="925"/>
      <c r="BV94" s="925"/>
      <c r="BW94" s="925"/>
      <c r="BX94" s="925"/>
      <c r="BY94" s="925"/>
      <c r="BZ94" s="925"/>
      <c r="CA94" s="925"/>
      <c r="CB94" s="925"/>
      <c r="CC94" s="925"/>
      <c r="CD94" s="925"/>
      <c r="CE94" s="925"/>
      <c r="CF94" s="925"/>
      <c r="CG94" s="925"/>
      <c r="CH94" s="925"/>
      <c r="CI94" s="925"/>
      <c r="CJ94" s="925"/>
      <c r="CK94" s="925"/>
      <c r="CL94" s="925"/>
      <c r="CM94" s="925"/>
      <c r="CN94" s="925"/>
      <c r="CO94" s="925"/>
      <c r="CP94" s="925"/>
      <c r="CQ94" s="925"/>
      <c r="CR94" s="925"/>
      <c r="CS94" s="925"/>
      <c r="CT94" s="925"/>
      <c r="CU94" s="925"/>
      <c r="CV94" s="925"/>
      <c r="CW94" s="925"/>
      <c r="CX94" s="925"/>
      <c r="CY94" s="925"/>
      <c r="CZ94" s="925"/>
      <c r="DA94" s="925"/>
      <c r="DB94" s="925"/>
      <c r="DC94" s="925"/>
      <c r="DD94" s="925"/>
      <c r="DE94" s="925"/>
      <c r="DF94" s="925"/>
      <c r="DG94" s="925"/>
      <c r="DH94" s="925"/>
      <c r="DI94" s="925"/>
      <c r="DJ94" s="925"/>
      <c r="DK94" s="925"/>
      <c r="DL94" s="925"/>
      <c r="DM94" s="925"/>
      <c r="DN94" s="925"/>
      <c r="DO94" s="925"/>
      <c r="DP94" s="925"/>
      <c r="DQ94" s="925"/>
      <c r="DR94" s="925"/>
      <c r="DS94" s="925"/>
      <c r="DT94" s="925"/>
      <c r="DU94" s="925"/>
      <c r="DV94" s="925"/>
      <c r="DW94" s="925"/>
      <c r="DX94" s="925"/>
      <c r="DY94" s="925"/>
      <c r="DZ94" s="925"/>
      <c r="EA94" s="925"/>
      <c r="EB94" s="925"/>
      <c r="EC94" s="925"/>
      <c r="ED94" s="925"/>
      <c r="EE94" s="925"/>
      <c r="EF94" s="925"/>
      <c r="EG94" s="446"/>
    </row>
    <row r="95" spans="1:137" ht="13" x14ac:dyDescent="0.15">
      <c r="A95" s="917"/>
      <c r="B95" s="917"/>
      <c r="C95" s="918"/>
      <c r="D95" s="919"/>
      <c r="E95" s="920"/>
      <c r="F95" s="921"/>
      <c r="G95" s="922"/>
      <c r="H95" s="922"/>
      <c r="I95" s="922"/>
      <c r="J95" s="923"/>
      <c r="K95" s="923"/>
      <c r="L95" s="924"/>
      <c r="M95" s="925"/>
      <c r="N95" s="925"/>
      <c r="O95" s="925"/>
      <c r="P95" s="925"/>
      <c r="Q95" s="925"/>
      <c r="R95" s="926"/>
      <c r="S95" s="926"/>
      <c r="T95" s="925"/>
      <c r="U95" s="925"/>
      <c r="V95" s="925"/>
      <c r="W95" s="925"/>
      <c r="X95" s="925"/>
      <c r="Y95" s="925"/>
      <c r="Z95" s="925"/>
      <c r="AA95" s="925"/>
      <c r="AB95" s="925"/>
      <c r="AC95" s="925"/>
      <c r="AD95" s="925"/>
      <c r="AE95" s="925"/>
      <c r="AF95" s="925"/>
      <c r="AG95" s="925"/>
      <c r="AH95" s="925"/>
      <c r="AI95" s="925"/>
      <c r="AJ95" s="925"/>
      <c r="AK95" s="925"/>
      <c r="AL95" s="925"/>
      <c r="AM95" s="925"/>
      <c r="AN95" s="925"/>
      <c r="AO95" s="925"/>
      <c r="AP95" s="925"/>
      <c r="AQ95" s="925"/>
      <c r="AR95" s="925"/>
      <c r="AS95" s="925"/>
      <c r="AT95" s="925"/>
      <c r="AU95" s="925"/>
      <c r="AV95" s="925"/>
      <c r="AW95" s="925"/>
      <c r="AX95" s="925"/>
      <c r="AY95" s="925"/>
      <c r="AZ95" s="925"/>
      <c r="BA95" s="925"/>
      <c r="BB95" s="925"/>
      <c r="BC95" s="925"/>
      <c r="BD95" s="925"/>
      <c r="BE95" s="925"/>
      <c r="BF95" s="925"/>
      <c r="BG95" s="925"/>
      <c r="BH95" s="925"/>
      <c r="BI95" s="925"/>
      <c r="BJ95" s="925"/>
      <c r="BK95" s="925"/>
      <c r="BL95" s="925"/>
      <c r="BM95" s="925"/>
      <c r="BN95" s="925"/>
      <c r="BO95" s="925"/>
      <c r="BP95" s="925"/>
      <c r="BQ95" s="925"/>
      <c r="BR95" s="925"/>
      <c r="BS95" s="925"/>
      <c r="BT95" s="925"/>
      <c r="BU95" s="925"/>
      <c r="BV95" s="925"/>
      <c r="BW95" s="925"/>
      <c r="BX95" s="925"/>
      <c r="BY95" s="925"/>
      <c r="BZ95" s="925"/>
      <c r="CA95" s="925"/>
      <c r="CB95" s="925"/>
      <c r="CC95" s="925"/>
      <c r="CD95" s="925"/>
      <c r="CE95" s="925"/>
      <c r="CF95" s="925"/>
      <c r="CG95" s="925"/>
      <c r="CH95" s="925"/>
      <c r="CI95" s="925"/>
      <c r="CJ95" s="925"/>
      <c r="CK95" s="925"/>
      <c r="CL95" s="925"/>
      <c r="CM95" s="925"/>
      <c r="CN95" s="925"/>
      <c r="CO95" s="925"/>
      <c r="CP95" s="925"/>
      <c r="CQ95" s="925"/>
      <c r="CR95" s="925"/>
      <c r="CS95" s="925"/>
      <c r="CT95" s="925"/>
      <c r="CU95" s="925"/>
      <c r="CV95" s="925"/>
      <c r="CW95" s="925"/>
      <c r="CX95" s="925"/>
      <c r="CY95" s="925"/>
      <c r="CZ95" s="925"/>
      <c r="DA95" s="925"/>
      <c r="DB95" s="925"/>
      <c r="DC95" s="925"/>
      <c r="DD95" s="925"/>
      <c r="DE95" s="925"/>
      <c r="DF95" s="925"/>
      <c r="DG95" s="925"/>
      <c r="DH95" s="925"/>
      <c r="DI95" s="925"/>
      <c r="DJ95" s="925"/>
      <c r="DK95" s="925"/>
      <c r="DL95" s="925"/>
      <c r="DM95" s="925"/>
      <c r="DN95" s="925"/>
      <c r="DO95" s="925"/>
      <c r="DP95" s="925"/>
      <c r="DQ95" s="925"/>
      <c r="DR95" s="925"/>
      <c r="DS95" s="925"/>
      <c r="DT95" s="925"/>
      <c r="DU95" s="925"/>
      <c r="DV95" s="925"/>
      <c r="DW95" s="925"/>
      <c r="DX95" s="925"/>
      <c r="DY95" s="925"/>
      <c r="DZ95" s="925"/>
      <c r="EA95" s="925"/>
      <c r="EB95" s="925"/>
      <c r="EC95" s="925"/>
      <c r="ED95" s="925"/>
      <c r="EE95" s="925"/>
      <c r="EF95" s="925"/>
      <c r="EG95" s="446"/>
    </row>
    <row r="96" spans="1:137" ht="13" x14ac:dyDescent="0.15">
      <c r="A96" s="917"/>
      <c r="B96" s="917"/>
      <c r="C96" s="918"/>
      <c r="D96" s="919"/>
      <c r="E96" s="920"/>
      <c r="F96" s="921"/>
      <c r="G96" s="922"/>
      <c r="H96" s="922"/>
      <c r="I96" s="922"/>
      <c r="J96" s="923"/>
      <c r="K96" s="923"/>
      <c r="L96" s="924"/>
      <c r="M96" s="925"/>
      <c r="N96" s="925"/>
      <c r="O96" s="925"/>
      <c r="P96" s="925"/>
      <c r="Q96" s="925"/>
      <c r="R96" s="926"/>
      <c r="S96" s="926"/>
      <c r="T96" s="925"/>
      <c r="U96" s="925"/>
      <c r="V96" s="925"/>
      <c r="W96" s="925"/>
      <c r="X96" s="925"/>
      <c r="Y96" s="925"/>
      <c r="Z96" s="925"/>
      <c r="AA96" s="925"/>
      <c r="AB96" s="925"/>
      <c r="AC96" s="925"/>
      <c r="AD96" s="925"/>
      <c r="AE96" s="925"/>
      <c r="AF96" s="925"/>
      <c r="AG96" s="925"/>
      <c r="AH96" s="925"/>
      <c r="AI96" s="925"/>
      <c r="AJ96" s="925"/>
      <c r="AK96" s="925"/>
      <c r="AL96" s="925"/>
      <c r="AM96" s="925"/>
      <c r="AN96" s="925"/>
      <c r="AO96" s="925"/>
      <c r="AP96" s="925"/>
      <c r="AQ96" s="925"/>
      <c r="AR96" s="925"/>
      <c r="AS96" s="925"/>
      <c r="AT96" s="925"/>
      <c r="AU96" s="925"/>
      <c r="AV96" s="925"/>
      <c r="AW96" s="925"/>
      <c r="AX96" s="925"/>
      <c r="AY96" s="925"/>
      <c r="AZ96" s="925"/>
      <c r="BA96" s="925"/>
      <c r="BB96" s="925"/>
      <c r="BC96" s="925"/>
      <c r="BD96" s="925"/>
      <c r="BE96" s="925"/>
      <c r="BF96" s="925"/>
      <c r="BG96" s="925"/>
      <c r="BH96" s="925"/>
      <c r="BI96" s="925"/>
      <c r="BJ96" s="925"/>
      <c r="BK96" s="925"/>
      <c r="BL96" s="925"/>
      <c r="BM96" s="925"/>
      <c r="BN96" s="925"/>
      <c r="BO96" s="925"/>
      <c r="BP96" s="925"/>
      <c r="BQ96" s="925"/>
      <c r="BR96" s="925"/>
      <c r="BS96" s="925"/>
      <c r="BT96" s="925"/>
      <c r="BU96" s="925"/>
      <c r="BV96" s="925"/>
      <c r="BW96" s="925"/>
      <c r="BX96" s="925"/>
      <c r="BY96" s="925"/>
      <c r="BZ96" s="925"/>
      <c r="CA96" s="925"/>
      <c r="CB96" s="925"/>
      <c r="CC96" s="925"/>
      <c r="CD96" s="925"/>
      <c r="CE96" s="925"/>
      <c r="CF96" s="925"/>
      <c r="CG96" s="925"/>
      <c r="CH96" s="925"/>
      <c r="CI96" s="925"/>
      <c r="CJ96" s="925"/>
      <c r="CK96" s="925"/>
      <c r="CL96" s="925"/>
      <c r="CM96" s="925"/>
      <c r="CN96" s="925"/>
      <c r="CO96" s="925"/>
      <c r="CP96" s="925"/>
      <c r="CQ96" s="925"/>
      <c r="CR96" s="925"/>
      <c r="CS96" s="925"/>
      <c r="CT96" s="925"/>
      <c r="CU96" s="925"/>
      <c r="CV96" s="925"/>
      <c r="CW96" s="925"/>
      <c r="CX96" s="925"/>
      <c r="CY96" s="925"/>
      <c r="CZ96" s="925"/>
      <c r="DA96" s="925"/>
      <c r="DB96" s="925"/>
      <c r="DC96" s="925"/>
      <c r="DD96" s="925"/>
      <c r="DE96" s="925"/>
      <c r="DF96" s="925"/>
      <c r="DG96" s="925"/>
      <c r="DH96" s="925"/>
      <c r="DI96" s="925"/>
      <c r="DJ96" s="925"/>
      <c r="DK96" s="925"/>
      <c r="DL96" s="925"/>
      <c r="DM96" s="925"/>
      <c r="DN96" s="925"/>
      <c r="DO96" s="925"/>
      <c r="DP96" s="925"/>
      <c r="DQ96" s="925"/>
      <c r="DR96" s="925"/>
      <c r="DS96" s="925"/>
      <c r="DT96" s="925"/>
      <c r="DU96" s="925"/>
      <c r="DV96" s="925"/>
      <c r="DW96" s="925"/>
      <c r="DX96" s="925"/>
      <c r="DY96" s="925"/>
      <c r="DZ96" s="925"/>
      <c r="EA96" s="925"/>
      <c r="EB96" s="925"/>
      <c r="EC96" s="925"/>
      <c r="ED96" s="925"/>
      <c r="EE96" s="925"/>
      <c r="EF96" s="925"/>
      <c r="EG96" s="446"/>
    </row>
    <row r="97" spans="1:137" ht="13" x14ac:dyDescent="0.15">
      <c r="A97" s="917"/>
      <c r="B97" s="917"/>
      <c r="C97" s="918"/>
      <c r="D97" s="919"/>
      <c r="E97" s="920"/>
      <c r="F97" s="921"/>
      <c r="G97" s="922"/>
      <c r="H97" s="922"/>
      <c r="I97" s="922"/>
      <c r="J97" s="923"/>
      <c r="K97" s="923"/>
      <c r="L97" s="924"/>
      <c r="M97" s="925"/>
      <c r="N97" s="925"/>
      <c r="O97" s="925"/>
      <c r="P97" s="925"/>
      <c r="Q97" s="925"/>
      <c r="R97" s="926"/>
      <c r="S97" s="926"/>
      <c r="T97" s="925"/>
      <c r="U97" s="925"/>
      <c r="V97" s="925"/>
      <c r="W97" s="925"/>
      <c r="X97" s="925"/>
      <c r="Y97" s="925"/>
      <c r="Z97" s="925"/>
      <c r="AA97" s="925"/>
      <c r="AB97" s="925"/>
      <c r="AC97" s="925"/>
      <c r="AD97" s="925"/>
      <c r="AE97" s="925"/>
      <c r="AF97" s="925"/>
      <c r="AG97" s="925"/>
      <c r="AH97" s="925"/>
      <c r="AI97" s="925"/>
      <c r="AJ97" s="925"/>
      <c r="AK97" s="925"/>
      <c r="AL97" s="925"/>
      <c r="AM97" s="925"/>
      <c r="AN97" s="925"/>
      <c r="AO97" s="925"/>
      <c r="AP97" s="925"/>
      <c r="AQ97" s="925"/>
      <c r="AR97" s="925"/>
      <c r="AS97" s="925"/>
      <c r="AT97" s="925"/>
      <c r="AU97" s="925"/>
      <c r="AV97" s="925"/>
      <c r="AW97" s="925"/>
      <c r="AX97" s="925"/>
      <c r="AY97" s="925"/>
      <c r="AZ97" s="925"/>
      <c r="BA97" s="925"/>
      <c r="BB97" s="925"/>
      <c r="BC97" s="925"/>
      <c r="BD97" s="925"/>
      <c r="BE97" s="925"/>
      <c r="BF97" s="925"/>
      <c r="BG97" s="925"/>
      <c r="BH97" s="925"/>
      <c r="BI97" s="925"/>
      <c r="BJ97" s="925"/>
      <c r="BK97" s="925"/>
      <c r="BL97" s="925"/>
      <c r="BM97" s="925"/>
      <c r="BN97" s="925"/>
      <c r="BO97" s="925"/>
      <c r="BP97" s="925"/>
      <c r="BQ97" s="925"/>
      <c r="BR97" s="925"/>
      <c r="BS97" s="925"/>
      <c r="BT97" s="925"/>
      <c r="BU97" s="925"/>
      <c r="BV97" s="925"/>
      <c r="BW97" s="925"/>
      <c r="BX97" s="925"/>
      <c r="BY97" s="925"/>
      <c r="BZ97" s="925"/>
      <c r="CA97" s="925"/>
      <c r="CB97" s="925"/>
      <c r="CC97" s="925"/>
      <c r="CD97" s="925"/>
      <c r="CE97" s="925"/>
      <c r="CF97" s="925"/>
      <c r="CG97" s="925"/>
      <c r="CH97" s="925"/>
      <c r="CI97" s="925"/>
      <c r="CJ97" s="925"/>
      <c r="CK97" s="925"/>
      <c r="CL97" s="925"/>
      <c r="CM97" s="925"/>
      <c r="CN97" s="925"/>
      <c r="CO97" s="925"/>
      <c r="CP97" s="925"/>
      <c r="CQ97" s="925"/>
      <c r="CR97" s="925"/>
      <c r="CS97" s="925"/>
      <c r="CT97" s="925"/>
      <c r="CU97" s="925"/>
      <c r="CV97" s="925"/>
      <c r="CW97" s="925"/>
      <c r="CX97" s="925"/>
      <c r="CY97" s="925"/>
      <c r="CZ97" s="925"/>
      <c r="DA97" s="925"/>
      <c r="DB97" s="925"/>
      <c r="DC97" s="925"/>
      <c r="DD97" s="925"/>
      <c r="DE97" s="925"/>
      <c r="DF97" s="925"/>
      <c r="DG97" s="925"/>
      <c r="DH97" s="925"/>
      <c r="DI97" s="925"/>
      <c r="DJ97" s="925"/>
      <c r="DK97" s="925"/>
      <c r="DL97" s="925"/>
      <c r="DM97" s="925"/>
      <c r="DN97" s="925"/>
      <c r="DO97" s="925"/>
      <c r="DP97" s="925"/>
      <c r="DQ97" s="925"/>
      <c r="DR97" s="925"/>
      <c r="DS97" s="925"/>
      <c r="DT97" s="925"/>
      <c r="DU97" s="925"/>
      <c r="DV97" s="925"/>
      <c r="DW97" s="925"/>
      <c r="DX97" s="925"/>
      <c r="DY97" s="925"/>
      <c r="DZ97" s="925"/>
      <c r="EA97" s="925"/>
      <c r="EB97" s="925"/>
      <c r="EC97" s="925"/>
      <c r="ED97" s="925"/>
      <c r="EE97" s="925"/>
      <c r="EF97" s="925"/>
      <c r="EG97" s="446"/>
    </row>
    <row r="98" spans="1:137" ht="13" x14ac:dyDescent="0.15">
      <c r="A98" s="917"/>
      <c r="B98" s="917"/>
      <c r="C98" s="918"/>
      <c r="D98" s="919"/>
      <c r="E98" s="920"/>
      <c r="F98" s="921"/>
      <c r="G98" s="922"/>
      <c r="H98" s="922"/>
      <c r="I98" s="922"/>
      <c r="J98" s="923"/>
      <c r="K98" s="923"/>
      <c r="L98" s="924"/>
      <c r="M98" s="925"/>
      <c r="N98" s="925"/>
      <c r="O98" s="925"/>
      <c r="P98" s="925"/>
      <c r="Q98" s="925"/>
      <c r="R98" s="926"/>
      <c r="S98" s="926"/>
      <c r="T98" s="925"/>
      <c r="U98" s="925"/>
      <c r="V98" s="925"/>
      <c r="W98" s="925"/>
      <c r="X98" s="925"/>
      <c r="Y98" s="925"/>
      <c r="Z98" s="925"/>
      <c r="AA98" s="925"/>
      <c r="AB98" s="925"/>
      <c r="AC98" s="925"/>
      <c r="AD98" s="925"/>
      <c r="AE98" s="925"/>
      <c r="AF98" s="925"/>
      <c r="AG98" s="925"/>
      <c r="AH98" s="925"/>
      <c r="AI98" s="925"/>
      <c r="AJ98" s="925"/>
      <c r="AK98" s="925"/>
      <c r="AL98" s="925"/>
      <c r="AM98" s="925"/>
      <c r="AN98" s="925"/>
      <c r="AO98" s="925"/>
      <c r="AP98" s="925"/>
      <c r="AQ98" s="925"/>
      <c r="AR98" s="925"/>
      <c r="AS98" s="925"/>
      <c r="AT98" s="925"/>
      <c r="AU98" s="925"/>
      <c r="AV98" s="925"/>
      <c r="AW98" s="925"/>
      <c r="AX98" s="925"/>
      <c r="AY98" s="925"/>
      <c r="AZ98" s="925"/>
      <c r="BA98" s="925"/>
      <c r="BB98" s="925"/>
      <c r="BC98" s="925"/>
      <c r="BD98" s="925"/>
      <c r="BE98" s="925"/>
      <c r="BF98" s="925"/>
      <c r="BG98" s="925"/>
      <c r="BH98" s="925"/>
      <c r="BI98" s="925"/>
      <c r="BJ98" s="925"/>
      <c r="BK98" s="925"/>
      <c r="BL98" s="925"/>
      <c r="BM98" s="925"/>
      <c r="BN98" s="925"/>
      <c r="BO98" s="925"/>
      <c r="BP98" s="925"/>
      <c r="BQ98" s="925"/>
      <c r="BR98" s="925"/>
      <c r="BS98" s="925"/>
      <c r="BT98" s="925"/>
      <c r="BU98" s="925"/>
      <c r="BV98" s="925"/>
      <c r="BW98" s="925"/>
      <c r="BX98" s="925"/>
      <c r="BY98" s="925"/>
      <c r="BZ98" s="925"/>
      <c r="CA98" s="925"/>
      <c r="CB98" s="925"/>
      <c r="CC98" s="925"/>
      <c r="CD98" s="925"/>
      <c r="CE98" s="925"/>
      <c r="CF98" s="925"/>
      <c r="CG98" s="925"/>
      <c r="CH98" s="925"/>
      <c r="CI98" s="925"/>
      <c r="CJ98" s="925"/>
      <c r="CK98" s="925"/>
      <c r="CL98" s="925"/>
      <c r="CM98" s="925"/>
      <c r="CN98" s="925"/>
      <c r="CO98" s="925"/>
      <c r="CP98" s="925"/>
      <c r="CQ98" s="925"/>
      <c r="CR98" s="925"/>
      <c r="CS98" s="925"/>
      <c r="CT98" s="925"/>
      <c r="CU98" s="925"/>
      <c r="CV98" s="925"/>
      <c r="CW98" s="925"/>
      <c r="CX98" s="925"/>
      <c r="CY98" s="925"/>
      <c r="CZ98" s="925"/>
      <c r="DA98" s="925"/>
      <c r="DB98" s="925"/>
      <c r="DC98" s="925"/>
      <c r="DD98" s="925"/>
      <c r="DE98" s="925"/>
      <c r="DF98" s="925"/>
      <c r="DG98" s="925"/>
      <c r="DH98" s="925"/>
      <c r="DI98" s="925"/>
      <c r="DJ98" s="925"/>
      <c r="DK98" s="925"/>
      <c r="DL98" s="925"/>
      <c r="DM98" s="925"/>
      <c r="DN98" s="925"/>
      <c r="DO98" s="925"/>
      <c r="DP98" s="925"/>
      <c r="DQ98" s="925"/>
      <c r="DR98" s="925"/>
      <c r="DS98" s="925"/>
      <c r="DT98" s="925"/>
      <c r="DU98" s="925"/>
      <c r="DV98" s="925"/>
      <c r="DW98" s="925"/>
      <c r="DX98" s="925"/>
      <c r="DY98" s="925"/>
      <c r="DZ98" s="925"/>
      <c r="EA98" s="925"/>
      <c r="EB98" s="925"/>
      <c r="EC98" s="925"/>
      <c r="ED98" s="925"/>
      <c r="EE98" s="925"/>
      <c r="EF98" s="925"/>
      <c r="EG98" s="446"/>
    </row>
    <row r="99" spans="1:137" ht="13" x14ac:dyDescent="0.15">
      <c r="A99" s="917"/>
      <c r="B99" s="917"/>
      <c r="C99" s="918"/>
      <c r="D99" s="919"/>
      <c r="E99" s="920"/>
      <c r="F99" s="921"/>
      <c r="G99" s="922"/>
      <c r="H99" s="922"/>
      <c r="I99" s="922"/>
      <c r="J99" s="923"/>
      <c r="K99" s="923"/>
      <c r="L99" s="924"/>
      <c r="M99" s="925"/>
      <c r="N99" s="925"/>
      <c r="O99" s="925"/>
      <c r="P99" s="925"/>
      <c r="Q99" s="925"/>
      <c r="R99" s="926"/>
      <c r="S99" s="926"/>
      <c r="T99" s="925"/>
      <c r="U99" s="925"/>
      <c r="V99" s="925"/>
      <c r="W99" s="925"/>
      <c r="X99" s="925"/>
      <c r="Y99" s="925"/>
      <c r="Z99" s="925"/>
      <c r="AA99" s="925"/>
      <c r="AB99" s="925"/>
      <c r="AC99" s="925"/>
      <c r="AD99" s="925"/>
      <c r="AE99" s="925"/>
      <c r="AF99" s="925"/>
      <c r="AG99" s="925"/>
      <c r="AH99" s="925"/>
      <c r="AI99" s="925"/>
      <c r="AJ99" s="925"/>
      <c r="AK99" s="925"/>
      <c r="AL99" s="925"/>
      <c r="AM99" s="925"/>
      <c r="AN99" s="925"/>
      <c r="AO99" s="925"/>
      <c r="AP99" s="925"/>
      <c r="AQ99" s="925"/>
      <c r="AR99" s="925"/>
      <c r="AS99" s="925"/>
      <c r="AT99" s="925"/>
      <c r="AU99" s="925"/>
      <c r="AV99" s="925"/>
      <c r="AW99" s="925"/>
      <c r="AX99" s="925"/>
      <c r="AY99" s="925"/>
      <c r="AZ99" s="925"/>
      <c r="BA99" s="925"/>
      <c r="BB99" s="925"/>
      <c r="BC99" s="925"/>
      <c r="BD99" s="925"/>
      <c r="BE99" s="925"/>
      <c r="BF99" s="925"/>
      <c r="BG99" s="925"/>
      <c r="BH99" s="925"/>
      <c r="BI99" s="925"/>
      <c r="BJ99" s="925"/>
      <c r="BK99" s="925"/>
      <c r="BL99" s="925"/>
      <c r="BM99" s="925"/>
      <c r="BN99" s="925"/>
      <c r="BO99" s="925"/>
      <c r="BP99" s="925"/>
      <c r="BQ99" s="925"/>
      <c r="BR99" s="925"/>
      <c r="BS99" s="925"/>
      <c r="BT99" s="925"/>
      <c r="BU99" s="925"/>
      <c r="BV99" s="925"/>
      <c r="BW99" s="925"/>
      <c r="BX99" s="925"/>
      <c r="BY99" s="925"/>
      <c r="BZ99" s="925"/>
      <c r="CA99" s="925"/>
      <c r="CB99" s="925"/>
      <c r="CC99" s="925"/>
      <c r="CD99" s="925"/>
      <c r="CE99" s="925"/>
      <c r="CF99" s="925"/>
      <c r="CG99" s="925"/>
      <c r="CH99" s="925"/>
      <c r="CI99" s="925"/>
      <c r="CJ99" s="925"/>
      <c r="CK99" s="925"/>
      <c r="CL99" s="925"/>
      <c r="CM99" s="925"/>
      <c r="CN99" s="925"/>
      <c r="CO99" s="925"/>
      <c r="CP99" s="925"/>
      <c r="CQ99" s="925"/>
      <c r="CR99" s="925"/>
      <c r="CS99" s="925"/>
      <c r="CT99" s="925"/>
      <c r="CU99" s="925"/>
      <c r="CV99" s="925"/>
      <c r="CW99" s="925"/>
      <c r="CX99" s="925"/>
      <c r="CY99" s="925"/>
      <c r="CZ99" s="925"/>
      <c r="DA99" s="925"/>
      <c r="DB99" s="925"/>
      <c r="DC99" s="925"/>
      <c r="DD99" s="925"/>
      <c r="DE99" s="925"/>
      <c r="DF99" s="925"/>
      <c r="DG99" s="925"/>
      <c r="DH99" s="925"/>
      <c r="DI99" s="925"/>
      <c r="DJ99" s="925"/>
      <c r="DK99" s="925"/>
      <c r="DL99" s="925"/>
      <c r="DM99" s="925"/>
      <c r="DN99" s="925"/>
      <c r="DO99" s="925"/>
      <c r="DP99" s="925"/>
      <c r="DQ99" s="925"/>
      <c r="DR99" s="925"/>
      <c r="DS99" s="925"/>
      <c r="DT99" s="925"/>
      <c r="DU99" s="925"/>
      <c r="DV99" s="925"/>
      <c r="DW99" s="925"/>
      <c r="DX99" s="925"/>
      <c r="DY99" s="925"/>
      <c r="DZ99" s="925"/>
      <c r="EA99" s="925"/>
      <c r="EB99" s="925"/>
      <c r="EC99" s="925"/>
      <c r="ED99" s="925"/>
      <c r="EE99" s="925"/>
      <c r="EF99" s="925"/>
      <c r="EG99" s="446"/>
    </row>
    <row r="100" spans="1:137" ht="13" x14ac:dyDescent="0.15">
      <c r="A100" s="917"/>
      <c r="B100" s="917"/>
      <c r="C100" s="918"/>
      <c r="D100" s="919"/>
      <c r="E100" s="920"/>
      <c r="F100" s="921"/>
      <c r="G100" s="922"/>
      <c r="H100" s="922"/>
      <c r="I100" s="922"/>
      <c r="J100" s="923"/>
      <c r="K100" s="923"/>
      <c r="L100" s="924"/>
      <c r="M100" s="925"/>
      <c r="N100" s="925"/>
      <c r="O100" s="925"/>
      <c r="P100" s="925"/>
      <c r="Q100" s="925"/>
      <c r="R100" s="926"/>
      <c r="S100" s="926"/>
      <c r="T100" s="925"/>
      <c r="U100" s="925"/>
      <c r="V100" s="925"/>
      <c r="W100" s="925"/>
      <c r="X100" s="925"/>
      <c r="Y100" s="925"/>
      <c r="Z100" s="925"/>
      <c r="AA100" s="925"/>
      <c r="AB100" s="925"/>
      <c r="AC100" s="925"/>
      <c r="AD100" s="925"/>
      <c r="AE100" s="925"/>
      <c r="AF100" s="925"/>
      <c r="AG100" s="925"/>
      <c r="AH100" s="925"/>
      <c r="AI100" s="925"/>
      <c r="AJ100" s="925"/>
      <c r="AK100" s="925"/>
      <c r="AL100" s="925"/>
      <c r="AM100" s="925"/>
      <c r="AN100" s="925"/>
      <c r="AO100" s="925"/>
      <c r="AP100" s="925"/>
      <c r="AQ100" s="925"/>
      <c r="AR100" s="925"/>
      <c r="AS100" s="925"/>
      <c r="AT100" s="925"/>
      <c r="AU100" s="925"/>
      <c r="AV100" s="925"/>
      <c r="AW100" s="925"/>
      <c r="AX100" s="925"/>
      <c r="AY100" s="925"/>
      <c r="AZ100" s="925"/>
      <c r="BA100" s="925"/>
      <c r="BB100" s="925"/>
      <c r="BC100" s="925"/>
      <c r="BD100" s="925"/>
      <c r="BE100" s="925"/>
      <c r="BF100" s="925"/>
      <c r="BG100" s="925"/>
      <c r="BH100" s="925"/>
      <c r="BI100" s="925"/>
      <c r="BJ100" s="925"/>
      <c r="BK100" s="925"/>
      <c r="BL100" s="925"/>
      <c r="BM100" s="925"/>
      <c r="BN100" s="925"/>
      <c r="BO100" s="925"/>
      <c r="BP100" s="925"/>
      <c r="BQ100" s="925"/>
      <c r="BR100" s="925"/>
      <c r="BS100" s="925"/>
      <c r="BT100" s="925"/>
      <c r="BU100" s="925"/>
      <c r="BV100" s="925"/>
      <c r="BW100" s="925"/>
      <c r="BX100" s="925"/>
      <c r="BY100" s="925"/>
      <c r="BZ100" s="925"/>
      <c r="CA100" s="925"/>
      <c r="CB100" s="925"/>
      <c r="CC100" s="925"/>
      <c r="CD100" s="925"/>
      <c r="CE100" s="925"/>
      <c r="CF100" s="925"/>
      <c r="CG100" s="925"/>
      <c r="CH100" s="925"/>
      <c r="CI100" s="925"/>
      <c r="CJ100" s="925"/>
      <c r="CK100" s="925"/>
      <c r="CL100" s="925"/>
      <c r="CM100" s="925"/>
      <c r="CN100" s="925"/>
      <c r="CO100" s="925"/>
      <c r="CP100" s="925"/>
      <c r="CQ100" s="925"/>
      <c r="CR100" s="925"/>
      <c r="CS100" s="925"/>
      <c r="CT100" s="925"/>
      <c r="CU100" s="925"/>
      <c r="CV100" s="925"/>
      <c r="CW100" s="925"/>
      <c r="CX100" s="925"/>
      <c r="CY100" s="925"/>
      <c r="CZ100" s="925"/>
      <c r="DA100" s="925"/>
      <c r="DB100" s="925"/>
      <c r="DC100" s="925"/>
      <c r="DD100" s="925"/>
      <c r="DE100" s="925"/>
      <c r="DF100" s="925"/>
      <c r="DG100" s="925"/>
      <c r="DH100" s="925"/>
      <c r="DI100" s="925"/>
      <c r="DJ100" s="925"/>
      <c r="DK100" s="925"/>
      <c r="DL100" s="925"/>
      <c r="DM100" s="925"/>
      <c r="DN100" s="925"/>
      <c r="DO100" s="925"/>
      <c r="DP100" s="925"/>
      <c r="DQ100" s="925"/>
      <c r="DR100" s="925"/>
      <c r="DS100" s="925"/>
      <c r="DT100" s="925"/>
      <c r="DU100" s="925"/>
      <c r="DV100" s="925"/>
      <c r="DW100" s="925"/>
      <c r="DX100" s="925"/>
      <c r="DY100" s="925"/>
      <c r="DZ100" s="925"/>
      <c r="EA100" s="925"/>
      <c r="EB100" s="925"/>
      <c r="EC100" s="925"/>
      <c r="ED100" s="925"/>
      <c r="EE100" s="925"/>
      <c r="EF100" s="925"/>
      <c r="EG100" s="446"/>
    </row>
    <row r="101" spans="1:137" ht="13" x14ac:dyDescent="0.15">
      <c r="A101" s="917"/>
      <c r="B101" s="917"/>
      <c r="C101" s="918"/>
      <c r="D101" s="919"/>
      <c r="E101" s="920"/>
      <c r="F101" s="921"/>
      <c r="G101" s="922"/>
      <c r="H101" s="922"/>
      <c r="I101" s="922"/>
      <c r="J101" s="923"/>
      <c r="K101" s="923"/>
      <c r="L101" s="924"/>
      <c r="M101" s="925"/>
      <c r="N101" s="925"/>
      <c r="O101" s="925"/>
      <c r="P101" s="925"/>
      <c r="Q101" s="925"/>
      <c r="R101" s="926"/>
      <c r="S101" s="926"/>
      <c r="T101" s="925"/>
      <c r="U101" s="925"/>
      <c r="V101" s="925"/>
      <c r="W101" s="925"/>
      <c r="X101" s="925"/>
      <c r="Y101" s="925"/>
      <c r="Z101" s="925"/>
      <c r="AA101" s="925"/>
      <c r="AB101" s="925"/>
      <c r="AC101" s="925"/>
      <c r="AD101" s="925"/>
      <c r="AE101" s="925"/>
      <c r="AF101" s="925"/>
      <c r="AG101" s="925"/>
      <c r="AH101" s="925"/>
      <c r="AI101" s="925"/>
      <c r="AJ101" s="925"/>
      <c r="AK101" s="925"/>
      <c r="AL101" s="925"/>
      <c r="AM101" s="925"/>
      <c r="AN101" s="925"/>
      <c r="AO101" s="925"/>
      <c r="AP101" s="925"/>
      <c r="AQ101" s="925"/>
      <c r="AR101" s="925"/>
      <c r="AS101" s="925"/>
      <c r="AT101" s="925"/>
      <c r="AU101" s="925"/>
      <c r="AV101" s="925"/>
      <c r="AW101" s="925"/>
      <c r="AX101" s="925"/>
      <c r="AY101" s="925"/>
      <c r="AZ101" s="925"/>
      <c r="BA101" s="925"/>
      <c r="BB101" s="925"/>
      <c r="BC101" s="925"/>
      <c r="BD101" s="925"/>
      <c r="BE101" s="925"/>
      <c r="BF101" s="925"/>
      <c r="BG101" s="925"/>
      <c r="BH101" s="925"/>
      <c r="BI101" s="925"/>
      <c r="BJ101" s="925"/>
      <c r="BK101" s="925"/>
      <c r="BL101" s="925"/>
      <c r="BM101" s="925"/>
      <c r="BN101" s="925"/>
      <c r="BO101" s="925"/>
      <c r="BP101" s="925"/>
      <c r="BQ101" s="925"/>
      <c r="BR101" s="925"/>
      <c r="BS101" s="925"/>
      <c r="BT101" s="925"/>
      <c r="BU101" s="925"/>
      <c r="BV101" s="925"/>
      <c r="BW101" s="925"/>
      <c r="BX101" s="925"/>
      <c r="BY101" s="925"/>
      <c r="BZ101" s="925"/>
      <c r="CA101" s="925"/>
      <c r="CB101" s="925"/>
      <c r="CC101" s="925"/>
      <c r="CD101" s="925"/>
      <c r="CE101" s="925"/>
      <c r="CF101" s="925"/>
      <c r="CG101" s="925"/>
      <c r="CH101" s="925"/>
      <c r="CI101" s="925"/>
      <c r="CJ101" s="925"/>
      <c r="CK101" s="925"/>
      <c r="CL101" s="925"/>
      <c r="CM101" s="925"/>
      <c r="CN101" s="925"/>
      <c r="CO101" s="925"/>
      <c r="CP101" s="925"/>
      <c r="CQ101" s="925"/>
      <c r="CR101" s="925"/>
      <c r="CS101" s="925"/>
      <c r="CT101" s="925"/>
      <c r="CU101" s="925"/>
      <c r="CV101" s="925"/>
      <c r="CW101" s="925"/>
      <c r="CX101" s="925"/>
      <c r="CY101" s="925"/>
      <c r="CZ101" s="925"/>
      <c r="DA101" s="925"/>
      <c r="DB101" s="925"/>
      <c r="DC101" s="925"/>
      <c r="DD101" s="925"/>
      <c r="DE101" s="925"/>
      <c r="DF101" s="925"/>
      <c r="DG101" s="925"/>
      <c r="DH101" s="925"/>
      <c r="DI101" s="925"/>
      <c r="DJ101" s="925"/>
      <c r="DK101" s="925"/>
      <c r="DL101" s="925"/>
      <c r="DM101" s="925"/>
      <c r="DN101" s="925"/>
      <c r="DO101" s="925"/>
      <c r="DP101" s="925"/>
      <c r="DQ101" s="925"/>
      <c r="DR101" s="925"/>
      <c r="DS101" s="925"/>
      <c r="DT101" s="925"/>
      <c r="DU101" s="925"/>
      <c r="DV101" s="925"/>
      <c r="DW101" s="925"/>
      <c r="DX101" s="925"/>
      <c r="DY101" s="925"/>
      <c r="DZ101" s="925"/>
      <c r="EA101" s="925"/>
      <c r="EB101" s="925"/>
      <c r="EC101" s="925"/>
      <c r="ED101" s="925"/>
      <c r="EE101" s="925"/>
      <c r="EF101" s="925"/>
      <c r="EG101" s="446"/>
    </row>
    <row r="102" spans="1:137" ht="13" x14ac:dyDescent="0.15">
      <c r="A102" s="917"/>
      <c r="B102" s="917"/>
      <c r="C102" s="918"/>
      <c r="D102" s="919"/>
      <c r="E102" s="920"/>
      <c r="F102" s="921"/>
      <c r="G102" s="922"/>
      <c r="H102" s="922"/>
      <c r="I102" s="922"/>
      <c r="J102" s="923"/>
      <c r="K102" s="923"/>
      <c r="L102" s="924"/>
      <c r="M102" s="925"/>
      <c r="N102" s="925"/>
      <c r="O102" s="925"/>
      <c r="P102" s="925"/>
      <c r="Q102" s="925"/>
      <c r="R102" s="926"/>
      <c r="S102" s="926"/>
      <c r="T102" s="925"/>
      <c r="U102" s="925"/>
      <c r="V102" s="925"/>
      <c r="W102" s="925"/>
      <c r="X102" s="925"/>
      <c r="Y102" s="925"/>
      <c r="Z102" s="925"/>
      <c r="AA102" s="925"/>
      <c r="AB102" s="925"/>
      <c r="AC102" s="925"/>
      <c r="AD102" s="925"/>
      <c r="AE102" s="925"/>
      <c r="AF102" s="925"/>
      <c r="AG102" s="925"/>
      <c r="AH102" s="925"/>
      <c r="AI102" s="925"/>
      <c r="AJ102" s="925"/>
      <c r="AK102" s="925"/>
      <c r="AL102" s="925"/>
      <c r="AM102" s="925"/>
      <c r="AN102" s="925"/>
      <c r="AO102" s="925"/>
      <c r="AP102" s="925"/>
      <c r="AQ102" s="925"/>
      <c r="AR102" s="925"/>
      <c r="AS102" s="925"/>
      <c r="AT102" s="925"/>
      <c r="AU102" s="925"/>
      <c r="AV102" s="925"/>
      <c r="AW102" s="925"/>
      <c r="AX102" s="925"/>
      <c r="AY102" s="925"/>
      <c r="AZ102" s="925"/>
      <c r="BA102" s="925"/>
      <c r="BB102" s="925"/>
      <c r="BC102" s="925"/>
      <c r="BD102" s="925"/>
      <c r="BE102" s="925"/>
      <c r="BF102" s="925"/>
      <c r="BG102" s="925"/>
      <c r="BH102" s="925"/>
      <c r="BI102" s="925"/>
      <c r="BJ102" s="925"/>
      <c r="BK102" s="925"/>
      <c r="BL102" s="925"/>
      <c r="BM102" s="925"/>
      <c r="BN102" s="925"/>
      <c r="BO102" s="925"/>
      <c r="BP102" s="925"/>
      <c r="BQ102" s="925"/>
      <c r="BR102" s="925"/>
      <c r="BS102" s="925"/>
      <c r="BT102" s="925"/>
      <c r="BU102" s="925"/>
      <c r="BV102" s="925"/>
      <c r="BW102" s="925"/>
      <c r="BX102" s="925"/>
      <c r="BY102" s="925"/>
      <c r="BZ102" s="925"/>
      <c r="CA102" s="925"/>
      <c r="CB102" s="925"/>
      <c r="CC102" s="925"/>
      <c r="CD102" s="925"/>
      <c r="CE102" s="925"/>
      <c r="CF102" s="925"/>
      <c r="CG102" s="925"/>
      <c r="CH102" s="925"/>
      <c r="CI102" s="925"/>
      <c r="CJ102" s="925"/>
      <c r="CK102" s="925"/>
      <c r="CL102" s="925"/>
      <c r="CM102" s="925"/>
      <c r="CN102" s="925"/>
      <c r="CO102" s="925"/>
      <c r="CP102" s="925"/>
      <c r="CQ102" s="925"/>
      <c r="CR102" s="925"/>
      <c r="CS102" s="925"/>
      <c r="CT102" s="925"/>
      <c r="CU102" s="925"/>
      <c r="CV102" s="925"/>
      <c r="CW102" s="925"/>
      <c r="CX102" s="925"/>
      <c r="CY102" s="925"/>
      <c r="CZ102" s="925"/>
      <c r="DA102" s="925"/>
      <c r="DB102" s="925"/>
      <c r="DC102" s="925"/>
      <c r="DD102" s="925"/>
      <c r="DE102" s="925"/>
      <c r="DF102" s="925"/>
      <c r="DG102" s="925"/>
      <c r="DH102" s="925"/>
      <c r="DI102" s="925"/>
      <c r="DJ102" s="925"/>
      <c r="DK102" s="925"/>
      <c r="DL102" s="925"/>
      <c r="DM102" s="925"/>
      <c r="DN102" s="925"/>
      <c r="DO102" s="925"/>
      <c r="DP102" s="925"/>
      <c r="DQ102" s="925"/>
      <c r="DR102" s="925"/>
      <c r="DS102" s="925"/>
      <c r="DT102" s="925"/>
      <c r="DU102" s="925"/>
      <c r="DV102" s="925"/>
      <c r="DW102" s="925"/>
      <c r="DX102" s="925"/>
      <c r="DY102" s="925"/>
      <c r="DZ102" s="925"/>
      <c r="EA102" s="925"/>
      <c r="EB102" s="925"/>
      <c r="EC102" s="925"/>
      <c r="ED102" s="925"/>
      <c r="EE102" s="925"/>
      <c r="EF102" s="925"/>
      <c r="EG102" s="446"/>
    </row>
    <row r="103" spans="1:137" ht="13" x14ac:dyDescent="0.15">
      <c r="A103" s="917"/>
      <c r="B103" s="917"/>
      <c r="C103" s="918"/>
      <c r="D103" s="919"/>
      <c r="E103" s="920"/>
      <c r="F103" s="921"/>
      <c r="G103" s="922"/>
      <c r="H103" s="922"/>
      <c r="I103" s="922"/>
      <c r="J103" s="923"/>
      <c r="K103" s="923"/>
      <c r="L103" s="924"/>
      <c r="M103" s="925"/>
      <c r="N103" s="925"/>
      <c r="O103" s="925"/>
      <c r="P103" s="925"/>
      <c r="Q103" s="925"/>
      <c r="R103" s="926"/>
      <c r="S103" s="926"/>
      <c r="T103" s="925"/>
      <c r="U103" s="925"/>
      <c r="V103" s="925"/>
      <c r="W103" s="925"/>
      <c r="X103" s="925"/>
      <c r="Y103" s="925"/>
      <c r="Z103" s="925"/>
      <c r="AA103" s="925"/>
      <c r="AB103" s="925"/>
      <c r="AC103" s="925"/>
      <c r="AD103" s="925"/>
      <c r="AE103" s="925"/>
      <c r="AF103" s="925"/>
      <c r="AG103" s="925"/>
      <c r="AH103" s="925"/>
      <c r="AI103" s="925"/>
      <c r="AJ103" s="925"/>
      <c r="AK103" s="925"/>
      <c r="AL103" s="925"/>
      <c r="AM103" s="925"/>
      <c r="AN103" s="925"/>
      <c r="AO103" s="925"/>
      <c r="AP103" s="925"/>
      <c r="AQ103" s="925"/>
      <c r="AR103" s="925"/>
      <c r="AS103" s="925"/>
      <c r="AT103" s="925"/>
      <c r="AU103" s="925"/>
      <c r="AV103" s="925"/>
      <c r="AW103" s="925"/>
      <c r="AX103" s="925"/>
      <c r="AY103" s="925"/>
      <c r="AZ103" s="925"/>
      <c r="BA103" s="925"/>
      <c r="BB103" s="925"/>
      <c r="BC103" s="925"/>
      <c r="BD103" s="925"/>
      <c r="BE103" s="925"/>
      <c r="BF103" s="925"/>
      <c r="BG103" s="925"/>
      <c r="BH103" s="925"/>
      <c r="BI103" s="925"/>
      <c r="BJ103" s="925"/>
      <c r="BK103" s="925"/>
      <c r="BL103" s="925"/>
      <c r="BM103" s="925"/>
      <c r="BN103" s="925"/>
      <c r="BO103" s="925"/>
      <c r="BP103" s="925"/>
      <c r="BQ103" s="925"/>
      <c r="BR103" s="925"/>
      <c r="BS103" s="925"/>
      <c r="BT103" s="925"/>
      <c r="BU103" s="925"/>
      <c r="BV103" s="925"/>
      <c r="BW103" s="925"/>
      <c r="BX103" s="925"/>
      <c r="BY103" s="925"/>
      <c r="BZ103" s="925"/>
      <c r="CA103" s="925"/>
      <c r="CB103" s="925"/>
      <c r="CC103" s="925"/>
      <c r="CD103" s="925"/>
      <c r="CE103" s="925"/>
      <c r="CF103" s="925"/>
      <c r="CG103" s="925"/>
      <c r="CH103" s="925"/>
      <c r="CI103" s="925"/>
      <c r="CJ103" s="925"/>
      <c r="CK103" s="925"/>
      <c r="CL103" s="925"/>
      <c r="CM103" s="925"/>
      <c r="CN103" s="925"/>
      <c r="CO103" s="925"/>
      <c r="CP103" s="925"/>
      <c r="CQ103" s="925"/>
      <c r="CR103" s="925"/>
      <c r="CS103" s="925"/>
      <c r="CT103" s="925"/>
      <c r="CU103" s="925"/>
      <c r="CV103" s="925"/>
      <c r="CW103" s="925"/>
      <c r="CX103" s="925"/>
      <c r="CY103" s="925"/>
      <c r="CZ103" s="925"/>
      <c r="DA103" s="925"/>
      <c r="DB103" s="925"/>
      <c r="DC103" s="925"/>
      <c r="DD103" s="925"/>
      <c r="DE103" s="925"/>
      <c r="DF103" s="925"/>
      <c r="DG103" s="925"/>
      <c r="DH103" s="925"/>
      <c r="DI103" s="925"/>
      <c r="DJ103" s="925"/>
      <c r="DK103" s="925"/>
      <c r="DL103" s="925"/>
      <c r="DM103" s="925"/>
      <c r="DN103" s="925"/>
      <c r="DO103" s="925"/>
      <c r="DP103" s="925"/>
      <c r="DQ103" s="925"/>
      <c r="DR103" s="925"/>
      <c r="DS103" s="925"/>
      <c r="DT103" s="925"/>
      <c r="DU103" s="925"/>
      <c r="DV103" s="925"/>
      <c r="DW103" s="925"/>
      <c r="DX103" s="925"/>
      <c r="DY103" s="925"/>
      <c r="DZ103" s="925"/>
      <c r="EA103" s="925"/>
      <c r="EB103" s="925"/>
      <c r="EC103" s="925"/>
      <c r="ED103" s="925"/>
      <c r="EE103" s="925"/>
      <c r="EF103" s="925"/>
      <c r="EG103" s="446"/>
    </row>
    <row r="104" spans="1:137" ht="13" x14ac:dyDescent="0.15">
      <c r="A104" s="917"/>
      <c r="B104" s="917"/>
      <c r="C104" s="918"/>
      <c r="D104" s="919"/>
      <c r="E104" s="920"/>
      <c r="F104" s="921"/>
      <c r="G104" s="922"/>
      <c r="H104" s="922"/>
      <c r="I104" s="922"/>
      <c r="J104" s="923"/>
      <c r="K104" s="923"/>
      <c r="L104" s="924"/>
      <c r="M104" s="925"/>
      <c r="N104" s="925"/>
      <c r="O104" s="925"/>
      <c r="P104" s="925"/>
      <c r="Q104" s="925"/>
      <c r="R104" s="926"/>
      <c r="S104" s="926"/>
      <c r="T104" s="925"/>
      <c r="U104" s="925"/>
      <c r="V104" s="925"/>
      <c r="W104" s="925"/>
      <c r="X104" s="925"/>
      <c r="Y104" s="925"/>
      <c r="Z104" s="925"/>
      <c r="AA104" s="925"/>
      <c r="AB104" s="925"/>
      <c r="AC104" s="925"/>
      <c r="AD104" s="925"/>
      <c r="AE104" s="925"/>
      <c r="AF104" s="925"/>
      <c r="AG104" s="925"/>
      <c r="AH104" s="925"/>
      <c r="AI104" s="925"/>
      <c r="AJ104" s="925"/>
      <c r="AK104" s="925"/>
      <c r="AL104" s="925"/>
      <c r="AM104" s="925"/>
      <c r="AN104" s="925"/>
      <c r="AO104" s="925"/>
      <c r="AP104" s="925"/>
      <c r="AQ104" s="925"/>
      <c r="AR104" s="925"/>
      <c r="AS104" s="925"/>
      <c r="AT104" s="925"/>
      <c r="AU104" s="925"/>
      <c r="AV104" s="925"/>
      <c r="AW104" s="925"/>
      <c r="AX104" s="925"/>
      <c r="AY104" s="925"/>
      <c r="AZ104" s="925"/>
      <c r="BA104" s="925"/>
      <c r="BB104" s="925"/>
      <c r="BC104" s="925"/>
      <c r="BD104" s="925"/>
      <c r="BE104" s="925"/>
      <c r="BF104" s="925"/>
      <c r="BG104" s="925"/>
      <c r="BH104" s="925"/>
      <c r="BI104" s="925"/>
      <c r="BJ104" s="925"/>
      <c r="BK104" s="925"/>
      <c r="BL104" s="925"/>
      <c r="BM104" s="925"/>
      <c r="BN104" s="925"/>
      <c r="BO104" s="925"/>
      <c r="BP104" s="925"/>
      <c r="BQ104" s="925"/>
      <c r="BR104" s="925"/>
      <c r="BS104" s="925"/>
      <c r="BT104" s="925"/>
      <c r="BU104" s="925"/>
      <c r="BV104" s="925"/>
      <c r="BW104" s="925"/>
      <c r="BX104" s="925"/>
      <c r="BY104" s="925"/>
      <c r="BZ104" s="925"/>
      <c r="CA104" s="925"/>
      <c r="CB104" s="925"/>
      <c r="CC104" s="925"/>
      <c r="CD104" s="925"/>
      <c r="CE104" s="925"/>
      <c r="CF104" s="925"/>
      <c r="CG104" s="925"/>
      <c r="CH104" s="925"/>
      <c r="CI104" s="925"/>
      <c r="CJ104" s="925"/>
      <c r="CK104" s="925"/>
      <c r="CL104" s="925"/>
      <c r="CM104" s="925"/>
      <c r="CN104" s="925"/>
      <c r="CO104" s="925"/>
      <c r="CP104" s="925"/>
      <c r="CQ104" s="925"/>
      <c r="CR104" s="925"/>
      <c r="CS104" s="925"/>
      <c r="CT104" s="925"/>
      <c r="CU104" s="925"/>
      <c r="CV104" s="925"/>
      <c r="CW104" s="925"/>
      <c r="CX104" s="925"/>
      <c r="CY104" s="925"/>
      <c r="CZ104" s="925"/>
      <c r="DA104" s="925"/>
      <c r="DB104" s="925"/>
      <c r="DC104" s="925"/>
      <c r="DD104" s="925"/>
      <c r="DE104" s="925"/>
      <c r="DF104" s="925"/>
      <c r="DG104" s="925"/>
      <c r="DH104" s="925"/>
      <c r="DI104" s="925"/>
      <c r="DJ104" s="925"/>
      <c r="DK104" s="925"/>
      <c r="DL104" s="925"/>
      <c r="DM104" s="925"/>
      <c r="DN104" s="925"/>
      <c r="DO104" s="925"/>
      <c r="DP104" s="925"/>
      <c r="DQ104" s="925"/>
      <c r="DR104" s="925"/>
      <c r="DS104" s="925"/>
      <c r="DT104" s="925"/>
      <c r="DU104" s="925"/>
      <c r="DV104" s="925"/>
      <c r="DW104" s="925"/>
      <c r="DX104" s="925"/>
      <c r="DY104" s="925"/>
      <c r="DZ104" s="925"/>
      <c r="EA104" s="925"/>
      <c r="EB104" s="925"/>
      <c r="EC104" s="925"/>
      <c r="ED104" s="925"/>
      <c r="EE104" s="925"/>
      <c r="EF104" s="925"/>
      <c r="EG104" s="446"/>
    </row>
    <row r="105" spans="1:137" ht="13" x14ac:dyDescent="0.15">
      <c r="A105" s="917"/>
      <c r="B105" s="917"/>
      <c r="C105" s="918"/>
      <c r="D105" s="919"/>
      <c r="E105" s="920"/>
      <c r="F105" s="921"/>
      <c r="G105" s="922"/>
      <c r="H105" s="922"/>
      <c r="I105" s="922"/>
      <c r="J105" s="923"/>
      <c r="K105" s="923"/>
      <c r="L105" s="924"/>
      <c r="M105" s="925"/>
      <c r="N105" s="925"/>
      <c r="O105" s="925"/>
      <c r="P105" s="925"/>
      <c r="Q105" s="925"/>
      <c r="R105" s="926"/>
      <c r="S105" s="926"/>
      <c r="T105" s="925"/>
      <c r="U105" s="925"/>
      <c r="V105" s="925"/>
      <c r="W105" s="925"/>
      <c r="X105" s="925"/>
      <c r="Y105" s="925"/>
      <c r="Z105" s="925"/>
      <c r="AA105" s="925"/>
      <c r="AB105" s="925"/>
      <c r="AC105" s="925"/>
      <c r="AD105" s="925"/>
      <c r="AE105" s="925"/>
      <c r="AF105" s="925"/>
      <c r="AG105" s="925"/>
      <c r="AH105" s="925"/>
      <c r="AI105" s="925"/>
      <c r="AJ105" s="925"/>
      <c r="AK105" s="925"/>
      <c r="AL105" s="925"/>
      <c r="AM105" s="925"/>
      <c r="AN105" s="925"/>
      <c r="AO105" s="925"/>
      <c r="AP105" s="925"/>
      <c r="AQ105" s="925"/>
      <c r="AR105" s="925"/>
      <c r="AS105" s="925"/>
      <c r="AT105" s="925"/>
      <c r="AU105" s="925"/>
      <c r="AV105" s="925"/>
      <c r="AW105" s="925"/>
      <c r="AX105" s="925"/>
      <c r="AY105" s="925"/>
      <c r="AZ105" s="925"/>
      <c r="BA105" s="925"/>
      <c r="BB105" s="925"/>
      <c r="BC105" s="925"/>
      <c r="BD105" s="925"/>
      <c r="BE105" s="925"/>
      <c r="BF105" s="925"/>
      <c r="BG105" s="925"/>
      <c r="BH105" s="925"/>
      <c r="BI105" s="925"/>
      <c r="BJ105" s="925"/>
      <c r="BK105" s="925"/>
      <c r="BL105" s="925"/>
      <c r="BM105" s="925"/>
      <c r="BN105" s="925"/>
      <c r="BO105" s="925"/>
      <c r="BP105" s="925"/>
      <c r="BQ105" s="925"/>
      <c r="BR105" s="925"/>
      <c r="BS105" s="925"/>
      <c r="BT105" s="925"/>
      <c r="BU105" s="925"/>
      <c r="BV105" s="925"/>
      <c r="BW105" s="925"/>
      <c r="BX105" s="925"/>
      <c r="BY105" s="925"/>
      <c r="BZ105" s="925"/>
      <c r="CA105" s="925"/>
      <c r="CB105" s="925"/>
      <c r="CC105" s="925"/>
      <c r="CD105" s="925"/>
      <c r="CE105" s="925"/>
      <c r="CF105" s="925"/>
      <c r="CG105" s="925"/>
      <c r="CH105" s="925"/>
      <c r="CI105" s="925"/>
      <c r="CJ105" s="925"/>
      <c r="CK105" s="925"/>
      <c r="CL105" s="925"/>
      <c r="CM105" s="925"/>
      <c r="CN105" s="925"/>
      <c r="CO105" s="925"/>
      <c r="CP105" s="925"/>
      <c r="CQ105" s="925"/>
      <c r="CR105" s="925"/>
      <c r="CS105" s="925"/>
      <c r="CT105" s="925"/>
      <c r="CU105" s="925"/>
      <c r="CV105" s="925"/>
      <c r="CW105" s="925"/>
      <c r="CX105" s="925"/>
      <c r="CY105" s="925"/>
      <c r="CZ105" s="925"/>
      <c r="DA105" s="925"/>
      <c r="DB105" s="925"/>
      <c r="DC105" s="925"/>
      <c r="DD105" s="925"/>
      <c r="DE105" s="925"/>
      <c r="DF105" s="925"/>
      <c r="DG105" s="925"/>
      <c r="DH105" s="925"/>
      <c r="DI105" s="925"/>
      <c r="DJ105" s="925"/>
      <c r="DK105" s="925"/>
      <c r="DL105" s="925"/>
      <c r="DM105" s="925"/>
      <c r="DN105" s="925"/>
      <c r="DO105" s="925"/>
      <c r="DP105" s="925"/>
      <c r="DQ105" s="925"/>
      <c r="DR105" s="925"/>
      <c r="DS105" s="925"/>
      <c r="DT105" s="925"/>
      <c r="DU105" s="925"/>
      <c r="DV105" s="925"/>
      <c r="DW105" s="925"/>
      <c r="DX105" s="925"/>
      <c r="DY105" s="925"/>
      <c r="DZ105" s="925"/>
      <c r="EA105" s="925"/>
      <c r="EB105" s="925"/>
      <c r="EC105" s="925"/>
      <c r="ED105" s="925"/>
      <c r="EE105" s="925"/>
      <c r="EF105" s="925"/>
      <c r="EG105" s="446"/>
    </row>
    <row r="106" spans="1:137" ht="13" x14ac:dyDescent="0.15">
      <c r="A106" s="917"/>
      <c r="B106" s="917"/>
      <c r="C106" s="918"/>
      <c r="D106" s="919"/>
      <c r="E106" s="920"/>
      <c r="F106" s="921"/>
      <c r="G106" s="922"/>
      <c r="H106" s="922"/>
      <c r="I106" s="922"/>
      <c r="J106" s="923"/>
      <c r="K106" s="923"/>
      <c r="L106" s="924"/>
      <c r="M106" s="925"/>
      <c r="N106" s="925"/>
      <c r="O106" s="925"/>
      <c r="P106" s="925"/>
      <c r="Q106" s="925"/>
      <c r="R106" s="926"/>
      <c r="S106" s="926"/>
      <c r="T106" s="925"/>
      <c r="U106" s="925"/>
      <c r="V106" s="925"/>
      <c r="W106" s="925"/>
      <c r="X106" s="925"/>
      <c r="Y106" s="925"/>
      <c r="Z106" s="925"/>
      <c r="AA106" s="925"/>
      <c r="AB106" s="925"/>
      <c r="AC106" s="925"/>
      <c r="AD106" s="925"/>
      <c r="AE106" s="925"/>
      <c r="AF106" s="925"/>
      <c r="AG106" s="925"/>
      <c r="AH106" s="925"/>
      <c r="AI106" s="925"/>
      <c r="AJ106" s="925"/>
      <c r="AK106" s="925"/>
      <c r="AL106" s="925"/>
      <c r="AM106" s="925"/>
      <c r="AN106" s="925"/>
      <c r="AO106" s="925"/>
      <c r="AP106" s="925"/>
      <c r="AQ106" s="925"/>
      <c r="AR106" s="925"/>
      <c r="AS106" s="925"/>
      <c r="AT106" s="925"/>
      <c r="AU106" s="925"/>
      <c r="AV106" s="925"/>
      <c r="AW106" s="925"/>
      <c r="AX106" s="925"/>
      <c r="AY106" s="925"/>
      <c r="AZ106" s="925"/>
      <c r="BA106" s="925"/>
      <c r="BB106" s="925"/>
      <c r="BC106" s="925"/>
      <c r="BD106" s="925"/>
      <c r="BE106" s="925"/>
      <c r="BF106" s="925"/>
      <c r="BG106" s="925"/>
      <c r="BH106" s="925"/>
      <c r="BI106" s="925"/>
      <c r="BJ106" s="925"/>
      <c r="BK106" s="925"/>
      <c r="BL106" s="925"/>
      <c r="BM106" s="925"/>
      <c r="BN106" s="925"/>
      <c r="BO106" s="925"/>
      <c r="BP106" s="925"/>
      <c r="BQ106" s="925"/>
      <c r="BR106" s="925"/>
      <c r="BS106" s="925"/>
      <c r="BT106" s="925"/>
      <c r="BU106" s="925"/>
      <c r="BV106" s="925"/>
      <c r="BW106" s="925"/>
      <c r="BX106" s="925"/>
      <c r="BY106" s="925"/>
      <c r="BZ106" s="925"/>
      <c r="CA106" s="925"/>
      <c r="CB106" s="925"/>
      <c r="CC106" s="925"/>
      <c r="CD106" s="925"/>
      <c r="CE106" s="925"/>
      <c r="CF106" s="925"/>
      <c r="CG106" s="925"/>
      <c r="CH106" s="925"/>
      <c r="CI106" s="925"/>
      <c r="CJ106" s="925"/>
      <c r="CK106" s="925"/>
      <c r="CL106" s="925"/>
      <c r="CM106" s="925"/>
      <c r="CN106" s="925"/>
      <c r="CO106" s="925"/>
      <c r="CP106" s="925"/>
      <c r="CQ106" s="925"/>
      <c r="CR106" s="925"/>
      <c r="CS106" s="925"/>
      <c r="CT106" s="925"/>
      <c r="CU106" s="925"/>
      <c r="CV106" s="925"/>
      <c r="CW106" s="925"/>
      <c r="CX106" s="925"/>
      <c r="CY106" s="925"/>
      <c r="CZ106" s="925"/>
      <c r="DA106" s="925"/>
      <c r="DB106" s="925"/>
      <c r="DC106" s="925"/>
      <c r="DD106" s="925"/>
      <c r="DE106" s="925"/>
      <c r="DF106" s="925"/>
      <c r="DG106" s="925"/>
      <c r="DH106" s="925"/>
      <c r="DI106" s="925"/>
      <c r="DJ106" s="925"/>
      <c r="DK106" s="925"/>
      <c r="DL106" s="925"/>
      <c r="DM106" s="925"/>
      <c r="DN106" s="925"/>
      <c r="DO106" s="925"/>
      <c r="DP106" s="925"/>
      <c r="DQ106" s="925"/>
      <c r="DR106" s="925"/>
      <c r="DS106" s="925"/>
      <c r="DT106" s="925"/>
      <c r="DU106" s="925"/>
      <c r="DV106" s="925"/>
      <c r="DW106" s="925"/>
      <c r="DX106" s="925"/>
      <c r="DY106" s="925"/>
      <c r="DZ106" s="925"/>
      <c r="EA106" s="925"/>
      <c r="EB106" s="925"/>
      <c r="EC106" s="925"/>
      <c r="ED106" s="925"/>
      <c r="EE106" s="925"/>
      <c r="EF106" s="925"/>
      <c r="EG106" s="446"/>
    </row>
    <row r="107" spans="1:137" ht="13" x14ac:dyDescent="0.15">
      <c r="A107" s="917"/>
      <c r="B107" s="917"/>
      <c r="C107" s="918"/>
      <c r="D107" s="919"/>
      <c r="E107" s="920"/>
      <c r="F107" s="921"/>
      <c r="G107" s="922"/>
      <c r="H107" s="922"/>
      <c r="I107" s="922"/>
      <c r="J107" s="923"/>
      <c r="K107" s="923"/>
      <c r="L107" s="924"/>
      <c r="M107" s="925"/>
      <c r="N107" s="925"/>
      <c r="O107" s="925"/>
      <c r="P107" s="925"/>
      <c r="Q107" s="925"/>
      <c r="R107" s="926"/>
      <c r="S107" s="926"/>
      <c r="T107" s="925"/>
      <c r="U107" s="925"/>
      <c r="V107" s="925"/>
      <c r="W107" s="925"/>
      <c r="X107" s="925"/>
      <c r="Y107" s="925"/>
      <c r="Z107" s="925"/>
      <c r="AA107" s="925"/>
      <c r="AB107" s="925"/>
      <c r="AC107" s="925"/>
      <c r="AD107" s="925"/>
      <c r="AE107" s="925"/>
      <c r="AF107" s="925"/>
      <c r="AG107" s="925"/>
      <c r="AH107" s="925"/>
      <c r="AI107" s="925"/>
      <c r="AJ107" s="925"/>
      <c r="AK107" s="925"/>
      <c r="AL107" s="925"/>
      <c r="AM107" s="925"/>
      <c r="AN107" s="925"/>
      <c r="AO107" s="925"/>
      <c r="AP107" s="925"/>
      <c r="AQ107" s="925"/>
      <c r="AR107" s="925"/>
      <c r="AS107" s="925"/>
      <c r="AT107" s="925"/>
      <c r="AU107" s="925"/>
      <c r="AV107" s="925"/>
      <c r="AW107" s="925"/>
      <c r="AX107" s="925"/>
      <c r="AY107" s="925"/>
      <c r="AZ107" s="925"/>
      <c r="BA107" s="925"/>
      <c r="BB107" s="925"/>
      <c r="BC107" s="925"/>
      <c r="BD107" s="925"/>
      <c r="BE107" s="925"/>
      <c r="BF107" s="925"/>
      <c r="BG107" s="925"/>
      <c r="BH107" s="925"/>
      <c r="BI107" s="925"/>
      <c r="BJ107" s="925"/>
      <c r="BK107" s="925"/>
      <c r="BL107" s="925"/>
      <c r="BM107" s="925"/>
      <c r="BN107" s="925"/>
      <c r="BO107" s="925"/>
      <c r="BP107" s="925"/>
      <c r="BQ107" s="925"/>
      <c r="BR107" s="925"/>
      <c r="BS107" s="925"/>
      <c r="BT107" s="925"/>
      <c r="BU107" s="925"/>
      <c r="BV107" s="925"/>
      <c r="BW107" s="925"/>
      <c r="BX107" s="925"/>
      <c r="BY107" s="925"/>
      <c r="BZ107" s="925"/>
      <c r="CA107" s="925"/>
      <c r="CB107" s="925"/>
      <c r="CC107" s="925"/>
      <c r="CD107" s="925"/>
      <c r="CE107" s="925"/>
      <c r="CF107" s="925"/>
      <c r="CG107" s="925"/>
      <c r="CH107" s="925"/>
      <c r="CI107" s="925"/>
      <c r="CJ107" s="925"/>
      <c r="CK107" s="925"/>
      <c r="CL107" s="925"/>
      <c r="CM107" s="925"/>
      <c r="CN107" s="925"/>
      <c r="CO107" s="925"/>
      <c r="CP107" s="925"/>
      <c r="CQ107" s="925"/>
      <c r="CR107" s="925"/>
      <c r="CS107" s="925"/>
      <c r="CT107" s="925"/>
      <c r="CU107" s="925"/>
      <c r="CV107" s="925"/>
      <c r="CW107" s="925"/>
      <c r="CX107" s="925"/>
      <c r="CY107" s="925"/>
      <c r="CZ107" s="925"/>
      <c r="DA107" s="925"/>
      <c r="DB107" s="925"/>
      <c r="DC107" s="925"/>
      <c r="DD107" s="925"/>
      <c r="DE107" s="925"/>
      <c r="DF107" s="925"/>
      <c r="DG107" s="925"/>
      <c r="DH107" s="925"/>
      <c r="DI107" s="925"/>
      <c r="DJ107" s="925"/>
      <c r="DK107" s="925"/>
      <c r="DL107" s="925"/>
      <c r="DM107" s="925"/>
      <c r="DN107" s="925"/>
      <c r="DO107" s="925"/>
      <c r="DP107" s="925"/>
      <c r="DQ107" s="925"/>
      <c r="DR107" s="925"/>
      <c r="DS107" s="925"/>
      <c r="DT107" s="925"/>
      <c r="DU107" s="925"/>
      <c r="DV107" s="925"/>
      <c r="DW107" s="925"/>
      <c r="DX107" s="925"/>
      <c r="DY107" s="925"/>
      <c r="DZ107" s="925"/>
      <c r="EA107" s="925"/>
      <c r="EB107" s="925"/>
      <c r="EC107" s="925"/>
      <c r="ED107" s="925"/>
      <c r="EE107" s="925"/>
      <c r="EF107" s="925"/>
      <c r="EG107" s="446"/>
    </row>
    <row r="108" spans="1:137" ht="13" x14ac:dyDescent="0.15">
      <c r="A108" s="917"/>
      <c r="B108" s="917"/>
      <c r="C108" s="918"/>
      <c r="D108" s="919"/>
      <c r="E108" s="920"/>
      <c r="F108" s="921"/>
      <c r="G108" s="922"/>
      <c r="H108" s="922"/>
      <c r="I108" s="922"/>
      <c r="J108" s="923"/>
      <c r="K108" s="923"/>
      <c r="L108" s="924"/>
      <c r="M108" s="925"/>
      <c r="N108" s="925"/>
      <c r="O108" s="925"/>
      <c r="P108" s="925"/>
      <c r="Q108" s="925"/>
      <c r="R108" s="926"/>
      <c r="S108" s="926"/>
      <c r="T108" s="925"/>
      <c r="U108" s="925"/>
      <c r="V108" s="925"/>
      <c r="W108" s="925"/>
      <c r="X108" s="925"/>
      <c r="Y108" s="925"/>
      <c r="Z108" s="925"/>
      <c r="AA108" s="925"/>
      <c r="AB108" s="925"/>
      <c r="AC108" s="925"/>
      <c r="AD108" s="925"/>
      <c r="AE108" s="925"/>
      <c r="AF108" s="925"/>
      <c r="AG108" s="925"/>
      <c r="AH108" s="925"/>
      <c r="AI108" s="925"/>
      <c r="AJ108" s="925"/>
      <c r="AK108" s="925"/>
      <c r="AL108" s="925"/>
      <c r="AM108" s="925"/>
      <c r="AN108" s="925"/>
      <c r="AO108" s="925"/>
      <c r="AP108" s="925"/>
      <c r="AQ108" s="925"/>
      <c r="AR108" s="925"/>
      <c r="AS108" s="925"/>
      <c r="AT108" s="925"/>
      <c r="AU108" s="925"/>
      <c r="AV108" s="925"/>
      <c r="AW108" s="925"/>
      <c r="AX108" s="925"/>
      <c r="AY108" s="925"/>
      <c r="AZ108" s="925"/>
      <c r="BA108" s="925"/>
      <c r="BB108" s="925"/>
      <c r="BC108" s="925"/>
      <c r="BD108" s="925"/>
      <c r="BE108" s="925"/>
      <c r="BF108" s="925"/>
      <c r="BG108" s="925"/>
      <c r="BH108" s="925"/>
      <c r="BI108" s="925"/>
      <c r="BJ108" s="925"/>
      <c r="BK108" s="925"/>
      <c r="BL108" s="925"/>
      <c r="BM108" s="925"/>
      <c r="BN108" s="925"/>
      <c r="BO108" s="925"/>
      <c r="BP108" s="925"/>
      <c r="BQ108" s="925"/>
      <c r="BR108" s="925"/>
      <c r="BS108" s="925"/>
      <c r="BT108" s="925"/>
      <c r="BU108" s="925"/>
      <c r="BV108" s="925"/>
      <c r="BW108" s="925"/>
      <c r="BX108" s="925"/>
      <c r="BY108" s="925"/>
      <c r="BZ108" s="925"/>
      <c r="CA108" s="925"/>
      <c r="CB108" s="925"/>
      <c r="CC108" s="925"/>
      <c r="CD108" s="925"/>
      <c r="CE108" s="925"/>
      <c r="CF108" s="925"/>
      <c r="CG108" s="925"/>
      <c r="CH108" s="925"/>
      <c r="CI108" s="925"/>
      <c r="CJ108" s="925"/>
      <c r="CK108" s="925"/>
      <c r="CL108" s="925"/>
      <c r="CM108" s="925"/>
      <c r="CN108" s="925"/>
      <c r="CO108" s="925"/>
      <c r="CP108" s="925"/>
      <c r="CQ108" s="925"/>
      <c r="CR108" s="925"/>
      <c r="CS108" s="925"/>
      <c r="CT108" s="925"/>
      <c r="CU108" s="925"/>
      <c r="CV108" s="925"/>
      <c r="CW108" s="925"/>
      <c r="CX108" s="925"/>
      <c r="CY108" s="925"/>
      <c r="CZ108" s="925"/>
      <c r="DA108" s="925"/>
      <c r="DB108" s="925"/>
      <c r="DC108" s="925"/>
      <c r="DD108" s="925"/>
      <c r="DE108" s="925"/>
      <c r="DF108" s="925"/>
      <c r="DG108" s="925"/>
      <c r="DH108" s="925"/>
      <c r="DI108" s="925"/>
      <c r="DJ108" s="925"/>
      <c r="DK108" s="925"/>
      <c r="DL108" s="925"/>
      <c r="DM108" s="925"/>
      <c r="DN108" s="925"/>
      <c r="DO108" s="925"/>
      <c r="DP108" s="925"/>
      <c r="DQ108" s="925"/>
      <c r="DR108" s="925"/>
      <c r="DS108" s="925"/>
      <c r="DT108" s="925"/>
      <c r="DU108" s="925"/>
      <c r="DV108" s="925"/>
      <c r="DW108" s="925"/>
      <c r="DX108" s="925"/>
      <c r="DY108" s="925"/>
      <c r="DZ108" s="925"/>
      <c r="EA108" s="925"/>
      <c r="EB108" s="925"/>
      <c r="EC108" s="925"/>
      <c r="ED108" s="925"/>
      <c r="EE108" s="925"/>
      <c r="EF108" s="925"/>
      <c r="EG108" s="446"/>
    </row>
    <row r="109" spans="1:137" ht="13" x14ac:dyDescent="0.15">
      <c r="A109" s="917"/>
      <c r="B109" s="917"/>
      <c r="C109" s="918"/>
      <c r="D109" s="919"/>
      <c r="E109" s="920"/>
      <c r="F109" s="921"/>
      <c r="G109" s="922"/>
      <c r="H109" s="922"/>
      <c r="I109" s="922"/>
      <c r="J109" s="923"/>
      <c r="K109" s="923"/>
      <c r="L109" s="924"/>
      <c r="M109" s="925"/>
      <c r="N109" s="925"/>
      <c r="O109" s="925"/>
      <c r="P109" s="925"/>
      <c r="Q109" s="925"/>
      <c r="R109" s="926"/>
      <c r="S109" s="926"/>
      <c r="T109" s="925"/>
      <c r="U109" s="925"/>
      <c r="V109" s="925"/>
      <c r="W109" s="925"/>
      <c r="X109" s="925"/>
      <c r="Y109" s="925"/>
      <c r="Z109" s="925"/>
      <c r="AA109" s="925"/>
      <c r="AB109" s="925"/>
      <c r="AC109" s="925"/>
      <c r="AD109" s="925"/>
      <c r="AE109" s="925"/>
      <c r="AF109" s="925"/>
      <c r="AG109" s="925"/>
      <c r="AH109" s="925"/>
      <c r="AI109" s="925"/>
      <c r="AJ109" s="925"/>
      <c r="AK109" s="925"/>
      <c r="AL109" s="925"/>
      <c r="AM109" s="925"/>
      <c r="AN109" s="925"/>
      <c r="AO109" s="925"/>
      <c r="AP109" s="925"/>
      <c r="AQ109" s="925"/>
      <c r="AR109" s="925"/>
      <c r="AS109" s="925"/>
      <c r="AT109" s="925"/>
      <c r="AU109" s="925"/>
      <c r="AV109" s="925"/>
      <c r="AW109" s="925"/>
      <c r="AX109" s="925"/>
      <c r="AY109" s="925"/>
      <c r="AZ109" s="925"/>
      <c r="BA109" s="925"/>
      <c r="BB109" s="925"/>
      <c r="BC109" s="925"/>
      <c r="BD109" s="925"/>
      <c r="BE109" s="925"/>
      <c r="BF109" s="925"/>
      <c r="BG109" s="925"/>
      <c r="BH109" s="925"/>
      <c r="BI109" s="925"/>
      <c r="BJ109" s="925"/>
      <c r="BK109" s="925"/>
      <c r="BL109" s="925"/>
      <c r="BM109" s="925"/>
      <c r="BN109" s="925"/>
      <c r="BO109" s="925"/>
      <c r="BP109" s="925"/>
      <c r="BQ109" s="925"/>
      <c r="BR109" s="925"/>
      <c r="BS109" s="925"/>
      <c r="BT109" s="925"/>
      <c r="BU109" s="925"/>
      <c r="BV109" s="925"/>
      <c r="BW109" s="925"/>
      <c r="BX109" s="925"/>
      <c r="BY109" s="925"/>
      <c r="BZ109" s="925"/>
      <c r="CA109" s="925"/>
      <c r="CB109" s="925"/>
      <c r="CC109" s="925"/>
      <c r="CD109" s="925"/>
      <c r="CE109" s="925"/>
      <c r="CF109" s="925"/>
      <c r="CG109" s="925"/>
      <c r="CH109" s="925"/>
      <c r="CI109" s="925"/>
      <c r="CJ109" s="925"/>
      <c r="CK109" s="925"/>
      <c r="CL109" s="925"/>
      <c r="CM109" s="925"/>
      <c r="CN109" s="925"/>
      <c r="CO109" s="925"/>
      <c r="CP109" s="925"/>
      <c r="CQ109" s="925"/>
      <c r="CR109" s="925"/>
      <c r="CS109" s="925"/>
      <c r="CT109" s="925"/>
      <c r="CU109" s="925"/>
      <c r="CV109" s="925"/>
      <c r="CW109" s="925"/>
      <c r="CX109" s="925"/>
      <c r="CY109" s="925"/>
      <c r="CZ109" s="925"/>
      <c r="DA109" s="925"/>
      <c r="DB109" s="925"/>
      <c r="DC109" s="925"/>
      <c r="DD109" s="925"/>
      <c r="DE109" s="925"/>
      <c r="DF109" s="925"/>
      <c r="DG109" s="925"/>
      <c r="DH109" s="925"/>
      <c r="DI109" s="925"/>
      <c r="DJ109" s="925"/>
      <c r="DK109" s="925"/>
      <c r="DL109" s="925"/>
      <c r="DM109" s="925"/>
      <c r="DN109" s="925"/>
      <c r="DO109" s="925"/>
      <c r="DP109" s="925"/>
      <c r="DQ109" s="925"/>
      <c r="DR109" s="925"/>
      <c r="DS109" s="925"/>
      <c r="DT109" s="925"/>
      <c r="DU109" s="925"/>
      <c r="DV109" s="925"/>
      <c r="DW109" s="925"/>
      <c r="DX109" s="925"/>
      <c r="DY109" s="925"/>
      <c r="DZ109" s="925"/>
      <c r="EA109" s="925"/>
      <c r="EB109" s="925"/>
      <c r="EC109" s="925"/>
      <c r="ED109" s="925"/>
      <c r="EE109" s="925"/>
      <c r="EF109" s="925"/>
      <c r="EG109" s="446"/>
    </row>
    <row r="110" spans="1:137" ht="13" x14ac:dyDescent="0.15">
      <c r="A110" s="917"/>
      <c r="B110" s="917"/>
      <c r="C110" s="918"/>
      <c r="D110" s="919"/>
      <c r="E110" s="920"/>
      <c r="F110" s="921"/>
      <c r="G110" s="922"/>
      <c r="H110" s="922"/>
      <c r="I110" s="922"/>
      <c r="J110" s="923"/>
      <c r="K110" s="923"/>
      <c r="L110" s="924"/>
      <c r="M110" s="925"/>
      <c r="N110" s="925"/>
      <c r="O110" s="925"/>
      <c r="P110" s="925"/>
      <c r="Q110" s="925"/>
      <c r="R110" s="926"/>
      <c r="S110" s="926"/>
      <c r="T110" s="925"/>
      <c r="U110" s="925"/>
      <c r="V110" s="925"/>
      <c r="W110" s="925"/>
      <c r="X110" s="925"/>
      <c r="Y110" s="925"/>
      <c r="Z110" s="925"/>
      <c r="AA110" s="925"/>
      <c r="AB110" s="925"/>
      <c r="AC110" s="925"/>
      <c r="AD110" s="925"/>
      <c r="AE110" s="925"/>
      <c r="AF110" s="925"/>
      <c r="AG110" s="925"/>
      <c r="AH110" s="925"/>
      <c r="AI110" s="925"/>
      <c r="AJ110" s="925"/>
      <c r="AK110" s="925"/>
      <c r="AL110" s="925"/>
      <c r="AM110" s="925"/>
      <c r="AN110" s="925"/>
      <c r="AO110" s="925"/>
      <c r="AP110" s="925"/>
      <c r="AQ110" s="925"/>
      <c r="AR110" s="925"/>
      <c r="AS110" s="925"/>
      <c r="AT110" s="925"/>
      <c r="AU110" s="925"/>
      <c r="AV110" s="925"/>
      <c r="AW110" s="925"/>
      <c r="AX110" s="925"/>
      <c r="AY110" s="925"/>
      <c r="AZ110" s="925"/>
      <c r="BA110" s="925"/>
      <c r="BB110" s="925"/>
      <c r="BC110" s="925"/>
      <c r="BD110" s="925"/>
      <c r="BE110" s="925"/>
      <c r="BF110" s="925"/>
      <c r="BG110" s="925"/>
      <c r="BH110" s="925"/>
      <c r="BI110" s="925"/>
      <c r="BJ110" s="925"/>
      <c r="BK110" s="925"/>
      <c r="BL110" s="925"/>
      <c r="BM110" s="925"/>
      <c r="BN110" s="925"/>
      <c r="BO110" s="925"/>
      <c r="BP110" s="925"/>
      <c r="BQ110" s="925"/>
      <c r="BR110" s="925"/>
      <c r="BS110" s="925"/>
      <c r="BT110" s="925"/>
      <c r="BU110" s="925"/>
      <c r="BV110" s="925"/>
      <c r="BW110" s="925"/>
      <c r="BX110" s="925"/>
      <c r="BY110" s="925"/>
      <c r="BZ110" s="925"/>
      <c r="CA110" s="925"/>
      <c r="CB110" s="925"/>
      <c r="CC110" s="925"/>
      <c r="CD110" s="925"/>
      <c r="CE110" s="925"/>
      <c r="CF110" s="925"/>
      <c r="CG110" s="925"/>
      <c r="CH110" s="925"/>
      <c r="CI110" s="925"/>
      <c r="CJ110" s="925"/>
      <c r="CK110" s="925"/>
      <c r="CL110" s="925"/>
      <c r="CM110" s="925"/>
      <c r="CN110" s="925"/>
      <c r="CO110" s="925"/>
      <c r="CP110" s="925"/>
      <c r="CQ110" s="925"/>
      <c r="CR110" s="925"/>
      <c r="CS110" s="925"/>
      <c r="CT110" s="925"/>
      <c r="CU110" s="925"/>
      <c r="CV110" s="925"/>
      <c r="CW110" s="925"/>
      <c r="CX110" s="925"/>
      <c r="CY110" s="925"/>
      <c r="CZ110" s="925"/>
      <c r="DA110" s="925"/>
      <c r="DB110" s="925"/>
      <c r="DC110" s="925"/>
      <c r="DD110" s="925"/>
      <c r="DE110" s="925"/>
      <c r="DF110" s="925"/>
      <c r="DG110" s="925"/>
      <c r="DH110" s="925"/>
      <c r="DI110" s="925"/>
      <c r="DJ110" s="925"/>
      <c r="DK110" s="925"/>
      <c r="DL110" s="925"/>
      <c r="DM110" s="925"/>
      <c r="DN110" s="925"/>
      <c r="DO110" s="925"/>
      <c r="DP110" s="925"/>
      <c r="DQ110" s="925"/>
      <c r="DR110" s="925"/>
      <c r="DS110" s="925"/>
      <c r="DT110" s="925"/>
      <c r="DU110" s="925"/>
      <c r="DV110" s="925"/>
      <c r="DW110" s="925"/>
      <c r="DX110" s="925"/>
      <c r="DY110" s="925"/>
      <c r="DZ110" s="925"/>
      <c r="EA110" s="925"/>
      <c r="EB110" s="925"/>
      <c r="EC110" s="925"/>
      <c r="ED110" s="925"/>
      <c r="EE110" s="925"/>
      <c r="EF110" s="925"/>
      <c r="EG110" s="446"/>
    </row>
    <row r="111" spans="1:137" ht="13" x14ac:dyDescent="0.15">
      <c r="A111" s="917"/>
      <c r="B111" s="917"/>
      <c r="C111" s="918"/>
      <c r="D111" s="919"/>
      <c r="E111" s="920"/>
      <c r="F111" s="921"/>
      <c r="G111" s="922"/>
      <c r="H111" s="922"/>
      <c r="I111" s="922"/>
      <c r="J111" s="923"/>
      <c r="K111" s="923"/>
      <c r="L111" s="924"/>
      <c r="M111" s="925"/>
      <c r="N111" s="925"/>
      <c r="O111" s="925"/>
      <c r="P111" s="925"/>
      <c r="Q111" s="925"/>
      <c r="R111" s="926"/>
      <c r="S111" s="926"/>
      <c r="T111" s="925"/>
      <c r="U111" s="925"/>
      <c r="V111" s="925"/>
      <c r="W111" s="925"/>
      <c r="X111" s="925"/>
      <c r="Y111" s="925"/>
      <c r="Z111" s="925"/>
      <c r="AA111" s="925"/>
      <c r="AB111" s="925"/>
      <c r="AC111" s="925"/>
      <c r="AD111" s="925"/>
      <c r="AE111" s="925"/>
      <c r="AF111" s="925"/>
      <c r="AG111" s="925"/>
      <c r="AH111" s="925"/>
      <c r="AI111" s="925"/>
      <c r="AJ111" s="925"/>
      <c r="AK111" s="925"/>
      <c r="AL111" s="925"/>
      <c r="AM111" s="925"/>
      <c r="AN111" s="925"/>
      <c r="AO111" s="925"/>
      <c r="AP111" s="925"/>
      <c r="AQ111" s="925"/>
      <c r="AR111" s="925"/>
      <c r="AS111" s="925"/>
      <c r="AT111" s="925"/>
      <c r="AU111" s="925"/>
      <c r="AV111" s="925"/>
      <c r="AW111" s="925"/>
      <c r="AX111" s="925"/>
      <c r="AY111" s="925"/>
      <c r="AZ111" s="925"/>
      <c r="BA111" s="925"/>
      <c r="BB111" s="925"/>
      <c r="BC111" s="925"/>
      <c r="BD111" s="925"/>
      <c r="BE111" s="925"/>
      <c r="BF111" s="925"/>
      <c r="BG111" s="925"/>
      <c r="BH111" s="925"/>
      <c r="BI111" s="925"/>
      <c r="BJ111" s="925"/>
      <c r="BK111" s="925"/>
      <c r="BL111" s="925"/>
      <c r="BM111" s="925"/>
      <c r="BN111" s="925"/>
      <c r="BO111" s="925"/>
      <c r="BP111" s="925"/>
      <c r="BQ111" s="925"/>
      <c r="BR111" s="925"/>
      <c r="BS111" s="925"/>
      <c r="BT111" s="925"/>
      <c r="BU111" s="925"/>
      <c r="BV111" s="925"/>
      <c r="BW111" s="925"/>
      <c r="BX111" s="925"/>
      <c r="BY111" s="925"/>
      <c r="BZ111" s="925"/>
      <c r="CA111" s="925"/>
      <c r="CB111" s="925"/>
      <c r="CC111" s="925"/>
      <c r="CD111" s="925"/>
      <c r="CE111" s="925"/>
      <c r="CF111" s="925"/>
      <c r="CG111" s="925"/>
      <c r="CH111" s="925"/>
      <c r="CI111" s="925"/>
      <c r="CJ111" s="925"/>
      <c r="CK111" s="925"/>
      <c r="CL111" s="925"/>
      <c r="CM111" s="925"/>
      <c r="CN111" s="925"/>
      <c r="CO111" s="925"/>
      <c r="CP111" s="925"/>
      <c r="CQ111" s="925"/>
      <c r="CR111" s="925"/>
      <c r="CS111" s="925"/>
      <c r="CT111" s="925"/>
      <c r="CU111" s="925"/>
      <c r="CV111" s="925"/>
      <c r="CW111" s="925"/>
      <c r="CX111" s="925"/>
      <c r="CY111" s="925"/>
      <c r="CZ111" s="925"/>
      <c r="DA111" s="925"/>
      <c r="DB111" s="925"/>
      <c r="DC111" s="925"/>
      <c r="DD111" s="925"/>
      <c r="DE111" s="925"/>
      <c r="DF111" s="925"/>
      <c r="DG111" s="925"/>
      <c r="DH111" s="925"/>
      <c r="DI111" s="925"/>
      <c r="DJ111" s="925"/>
      <c r="DK111" s="925"/>
      <c r="DL111" s="925"/>
      <c r="DM111" s="925"/>
      <c r="DN111" s="925"/>
      <c r="DO111" s="925"/>
      <c r="DP111" s="925"/>
      <c r="DQ111" s="925"/>
      <c r="DR111" s="925"/>
      <c r="DS111" s="925"/>
      <c r="DT111" s="925"/>
      <c r="DU111" s="925"/>
      <c r="DV111" s="925"/>
      <c r="DW111" s="925"/>
      <c r="DX111" s="925"/>
      <c r="DY111" s="925"/>
      <c r="DZ111" s="925"/>
      <c r="EA111" s="925"/>
      <c r="EB111" s="925"/>
      <c r="EC111" s="925"/>
      <c r="ED111" s="925"/>
      <c r="EE111" s="925"/>
      <c r="EF111" s="925"/>
      <c r="EG111" s="446"/>
    </row>
    <row r="112" spans="1:137" ht="13" x14ac:dyDescent="0.15">
      <c r="A112" s="917"/>
      <c r="B112" s="917"/>
      <c r="C112" s="918"/>
      <c r="D112" s="919"/>
      <c r="E112" s="920"/>
      <c r="F112" s="921"/>
      <c r="G112" s="922"/>
      <c r="H112" s="922"/>
      <c r="I112" s="922"/>
      <c r="J112" s="923"/>
      <c r="K112" s="923"/>
      <c r="L112" s="924"/>
      <c r="M112" s="925"/>
      <c r="N112" s="925"/>
      <c r="O112" s="925"/>
      <c r="P112" s="925"/>
      <c r="Q112" s="925"/>
      <c r="R112" s="926"/>
      <c r="S112" s="926"/>
      <c r="T112" s="925"/>
      <c r="U112" s="925"/>
      <c r="V112" s="925"/>
      <c r="W112" s="925"/>
      <c r="X112" s="925"/>
      <c r="Y112" s="925"/>
      <c r="Z112" s="925"/>
      <c r="AA112" s="925"/>
      <c r="AB112" s="925"/>
      <c r="AC112" s="925"/>
      <c r="AD112" s="925"/>
      <c r="AE112" s="925"/>
      <c r="AF112" s="925"/>
      <c r="AG112" s="925"/>
      <c r="AH112" s="925"/>
      <c r="AI112" s="925"/>
      <c r="AJ112" s="925"/>
      <c r="AK112" s="925"/>
      <c r="AL112" s="925"/>
      <c r="AM112" s="925"/>
      <c r="AN112" s="925"/>
      <c r="AO112" s="925"/>
      <c r="AP112" s="925"/>
      <c r="AQ112" s="925"/>
      <c r="AR112" s="925"/>
      <c r="AS112" s="925"/>
      <c r="AT112" s="925"/>
      <c r="AU112" s="925"/>
      <c r="AV112" s="925"/>
      <c r="AW112" s="925"/>
      <c r="AX112" s="925"/>
      <c r="AY112" s="925"/>
      <c r="AZ112" s="925"/>
      <c r="BA112" s="925"/>
      <c r="BB112" s="925"/>
      <c r="BC112" s="925"/>
      <c r="BD112" s="925"/>
      <c r="BE112" s="925"/>
      <c r="BF112" s="925"/>
      <c r="BG112" s="925"/>
      <c r="BH112" s="925"/>
      <c r="BI112" s="925"/>
      <c r="BJ112" s="925"/>
      <c r="BK112" s="925"/>
      <c r="BL112" s="925"/>
      <c r="BM112" s="925"/>
      <c r="BN112" s="925"/>
      <c r="BO112" s="925"/>
      <c r="BP112" s="925"/>
      <c r="BQ112" s="925"/>
      <c r="BR112" s="925"/>
      <c r="BS112" s="925"/>
      <c r="BT112" s="925"/>
      <c r="BU112" s="925"/>
      <c r="BV112" s="925"/>
      <c r="BW112" s="925"/>
      <c r="BX112" s="925"/>
      <c r="BY112" s="925"/>
      <c r="BZ112" s="925"/>
      <c r="CA112" s="925"/>
      <c r="CB112" s="925"/>
      <c r="CC112" s="925"/>
      <c r="CD112" s="925"/>
      <c r="CE112" s="925"/>
      <c r="CF112" s="925"/>
      <c r="CG112" s="925"/>
      <c r="CH112" s="925"/>
      <c r="CI112" s="925"/>
      <c r="CJ112" s="925"/>
      <c r="CK112" s="925"/>
      <c r="CL112" s="925"/>
      <c r="CM112" s="925"/>
      <c r="CN112" s="925"/>
      <c r="CO112" s="925"/>
      <c r="CP112" s="925"/>
      <c r="CQ112" s="925"/>
      <c r="CR112" s="925"/>
      <c r="CS112" s="925"/>
      <c r="CT112" s="925"/>
      <c r="CU112" s="925"/>
      <c r="CV112" s="925"/>
      <c r="CW112" s="925"/>
      <c r="CX112" s="925"/>
      <c r="CY112" s="925"/>
      <c r="CZ112" s="925"/>
      <c r="DA112" s="925"/>
      <c r="DB112" s="925"/>
      <c r="DC112" s="925"/>
      <c r="DD112" s="925"/>
      <c r="DE112" s="925"/>
      <c r="DF112" s="925"/>
      <c r="DG112" s="925"/>
      <c r="DH112" s="925"/>
      <c r="DI112" s="925"/>
      <c r="DJ112" s="925"/>
      <c r="DK112" s="925"/>
      <c r="DL112" s="925"/>
      <c r="DM112" s="925"/>
      <c r="DN112" s="925"/>
      <c r="DO112" s="925"/>
      <c r="DP112" s="925"/>
      <c r="DQ112" s="925"/>
      <c r="DR112" s="925"/>
      <c r="DS112" s="925"/>
      <c r="DT112" s="925"/>
      <c r="DU112" s="925"/>
      <c r="DV112" s="925"/>
      <c r="DW112" s="925"/>
      <c r="DX112" s="925"/>
      <c r="DY112" s="925"/>
      <c r="DZ112" s="925"/>
      <c r="EA112" s="925"/>
      <c r="EB112" s="925"/>
      <c r="EC112" s="925"/>
      <c r="ED112" s="925"/>
      <c r="EE112" s="925"/>
      <c r="EF112" s="925"/>
      <c r="EG112" s="446"/>
    </row>
    <row r="113" spans="1:137" ht="13" x14ac:dyDescent="0.15">
      <c r="A113" s="917"/>
      <c r="B113" s="917"/>
      <c r="C113" s="918"/>
      <c r="D113" s="919"/>
      <c r="E113" s="920"/>
      <c r="F113" s="921"/>
      <c r="G113" s="922"/>
      <c r="H113" s="922"/>
      <c r="I113" s="922"/>
      <c r="J113" s="923"/>
      <c r="K113" s="923"/>
      <c r="L113" s="924"/>
      <c r="M113" s="925"/>
      <c r="N113" s="925"/>
      <c r="O113" s="925"/>
      <c r="P113" s="925"/>
      <c r="Q113" s="925"/>
      <c r="R113" s="926"/>
      <c r="S113" s="926"/>
      <c r="T113" s="925"/>
      <c r="U113" s="925"/>
      <c r="V113" s="925"/>
      <c r="W113" s="925"/>
      <c r="X113" s="925"/>
      <c r="Y113" s="925"/>
      <c r="Z113" s="925"/>
      <c r="AA113" s="925"/>
      <c r="AB113" s="925"/>
      <c r="AC113" s="925"/>
      <c r="AD113" s="925"/>
      <c r="AE113" s="925"/>
      <c r="AF113" s="925"/>
      <c r="AG113" s="925"/>
      <c r="AH113" s="925"/>
      <c r="AI113" s="925"/>
      <c r="AJ113" s="925"/>
      <c r="AK113" s="925"/>
      <c r="AL113" s="925"/>
      <c r="AM113" s="925"/>
      <c r="AN113" s="925"/>
      <c r="AO113" s="925"/>
      <c r="AP113" s="925"/>
      <c r="AQ113" s="925"/>
      <c r="AR113" s="925"/>
      <c r="AS113" s="925"/>
      <c r="AT113" s="925"/>
      <c r="AU113" s="925"/>
      <c r="AV113" s="925"/>
      <c r="AW113" s="925"/>
      <c r="AX113" s="925"/>
      <c r="AY113" s="925"/>
      <c r="AZ113" s="925"/>
      <c r="BA113" s="925"/>
      <c r="BB113" s="925"/>
      <c r="BC113" s="925"/>
      <c r="BD113" s="925"/>
      <c r="BE113" s="925"/>
      <c r="BF113" s="925"/>
      <c r="BG113" s="925"/>
      <c r="BH113" s="925"/>
      <c r="BI113" s="925"/>
      <c r="BJ113" s="925"/>
      <c r="BK113" s="925"/>
      <c r="BL113" s="925"/>
      <c r="BM113" s="925"/>
      <c r="BN113" s="925"/>
      <c r="BO113" s="925"/>
      <c r="BP113" s="925"/>
      <c r="BQ113" s="925"/>
      <c r="BR113" s="925"/>
      <c r="BS113" s="925"/>
      <c r="BT113" s="925"/>
      <c r="BU113" s="925"/>
      <c r="BV113" s="925"/>
      <c r="BW113" s="925"/>
      <c r="BX113" s="925"/>
      <c r="BY113" s="925"/>
      <c r="BZ113" s="925"/>
      <c r="CA113" s="925"/>
      <c r="CB113" s="925"/>
      <c r="CC113" s="925"/>
      <c r="CD113" s="925"/>
      <c r="CE113" s="925"/>
      <c r="CF113" s="925"/>
      <c r="CG113" s="925"/>
      <c r="CH113" s="925"/>
      <c r="CI113" s="925"/>
      <c r="CJ113" s="925"/>
      <c r="CK113" s="925"/>
      <c r="CL113" s="925"/>
      <c r="CM113" s="925"/>
      <c r="CN113" s="925"/>
      <c r="CO113" s="925"/>
      <c r="CP113" s="925"/>
      <c r="CQ113" s="925"/>
      <c r="CR113" s="925"/>
      <c r="CS113" s="925"/>
      <c r="CT113" s="925"/>
      <c r="CU113" s="925"/>
      <c r="CV113" s="925"/>
      <c r="CW113" s="925"/>
      <c r="CX113" s="925"/>
      <c r="CY113" s="925"/>
      <c r="CZ113" s="925"/>
      <c r="DA113" s="925"/>
      <c r="DB113" s="925"/>
      <c r="DC113" s="925"/>
      <c r="DD113" s="925"/>
      <c r="DE113" s="925"/>
      <c r="DF113" s="925"/>
      <c r="DG113" s="925"/>
      <c r="DH113" s="925"/>
      <c r="DI113" s="925"/>
      <c r="DJ113" s="925"/>
      <c r="DK113" s="925"/>
      <c r="DL113" s="925"/>
      <c r="DM113" s="925"/>
      <c r="DN113" s="925"/>
      <c r="DO113" s="925"/>
      <c r="DP113" s="925"/>
      <c r="DQ113" s="925"/>
      <c r="DR113" s="925"/>
      <c r="DS113" s="925"/>
      <c r="DT113" s="925"/>
      <c r="DU113" s="925"/>
      <c r="DV113" s="925"/>
      <c r="DW113" s="925"/>
      <c r="DX113" s="925"/>
      <c r="DY113" s="925"/>
      <c r="DZ113" s="925"/>
      <c r="EA113" s="925"/>
      <c r="EB113" s="925"/>
      <c r="EC113" s="925"/>
      <c r="ED113" s="925"/>
      <c r="EE113" s="925"/>
      <c r="EF113" s="925"/>
      <c r="EG113" s="446"/>
    </row>
    <row r="114" spans="1:137" ht="13" x14ac:dyDescent="0.15">
      <c r="A114" s="917"/>
      <c r="B114" s="917"/>
      <c r="C114" s="918"/>
      <c r="D114" s="919"/>
      <c r="E114" s="920"/>
      <c r="F114" s="921"/>
      <c r="G114" s="922"/>
      <c r="H114" s="922"/>
      <c r="I114" s="922"/>
      <c r="J114" s="923"/>
      <c r="K114" s="923"/>
      <c r="L114" s="924"/>
      <c r="M114" s="925"/>
      <c r="N114" s="925"/>
      <c r="O114" s="925"/>
      <c r="P114" s="925"/>
      <c r="Q114" s="925"/>
      <c r="R114" s="926"/>
      <c r="S114" s="926"/>
      <c r="T114" s="925"/>
      <c r="U114" s="925"/>
      <c r="V114" s="925"/>
      <c r="W114" s="925"/>
      <c r="X114" s="925"/>
      <c r="Y114" s="925"/>
      <c r="Z114" s="925"/>
      <c r="AA114" s="925"/>
      <c r="AB114" s="925"/>
      <c r="AC114" s="925"/>
      <c r="AD114" s="925"/>
      <c r="AE114" s="925"/>
      <c r="AF114" s="925"/>
      <c r="AG114" s="925"/>
      <c r="AH114" s="925"/>
      <c r="AI114" s="925"/>
      <c r="AJ114" s="925"/>
      <c r="AK114" s="925"/>
      <c r="AL114" s="925"/>
      <c r="AM114" s="925"/>
      <c r="AN114" s="925"/>
      <c r="AO114" s="925"/>
      <c r="AP114" s="925"/>
      <c r="AQ114" s="925"/>
      <c r="AR114" s="925"/>
      <c r="AS114" s="925"/>
      <c r="AT114" s="925"/>
      <c r="AU114" s="925"/>
      <c r="AV114" s="925"/>
      <c r="AW114" s="925"/>
      <c r="AX114" s="925"/>
      <c r="AY114" s="925"/>
      <c r="AZ114" s="925"/>
      <c r="BA114" s="925"/>
      <c r="BB114" s="925"/>
      <c r="BC114" s="925"/>
      <c r="BD114" s="925"/>
      <c r="BE114" s="925"/>
      <c r="BF114" s="925"/>
      <c r="BG114" s="925"/>
      <c r="BH114" s="925"/>
      <c r="BI114" s="925"/>
      <c r="BJ114" s="925"/>
      <c r="BK114" s="925"/>
      <c r="BL114" s="925"/>
      <c r="BM114" s="925"/>
      <c r="BN114" s="925"/>
      <c r="BO114" s="925"/>
      <c r="BP114" s="925"/>
      <c r="BQ114" s="925"/>
      <c r="BR114" s="925"/>
      <c r="BS114" s="925"/>
      <c r="BT114" s="925"/>
      <c r="BU114" s="925"/>
      <c r="BV114" s="925"/>
      <c r="BW114" s="925"/>
      <c r="BX114" s="925"/>
      <c r="BY114" s="925"/>
      <c r="BZ114" s="925"/>
      <c r="CA114" s="925"/>
      <c r="CB114" s="925"/>
      <c r="CC114" s="925"/>
      <c r="CD114" s="925"/>
      <c r="CE114" s="925"/>
      <c r="CF114" s="925"/>
      <c r="CG114" s="925"/>
      <c r="CH114" s="925"/>
      <c r="CI114" s="925"/>
      <c r="CJ114" s="925"/>
      <c r="CK114" s="925"/>
      <c r="CL114" s="925"/>
      <c r="CM114" s="925"/>
      <c r="CN114" s="925"/>
      <c r="CO114" s="925"/>
      <c r="CP114" s="925"/>
      <c r="CQ114" s="925"/>
      <c r="CR114" s="925"/>
      <c r="CS114" s="925"/>
      <c r="CT114" s="925"/>
      <c r="CU114" s="925"/>
      <c r="CV114" s="925"/>
      <c r="CW114" s="925"/>
      <c r="CX114" s="925"/>
      <c r="CY114" s="925"/>
      <c r="CZ114" s="925"/>
      <c r="DA114" s="925"/>
      <c r="DB114" s="925"/>
      <c r="DC114" s="925"/>
      <c r="DD114" s="925"/>
      <c r="DE114" s="925"/>
      <c r="DF114" s="925"/>
      <c r="DG114" s="925"/>
      <c r="DH114" s="925"/>
      <c r="DI114" s="925"/>
      <c r="DJ114" s="925"/>
      <c r="DK114" s="925"/>
      <c r="DL114" s="925"/>
      <c r="DM114" s="925"/>
      <c r="DN114" s="925"/>
      <c r="DO114" s="925"/>
      <c r="DP114" s="925"/>
      <c r="DQ114" s="925"/>
      <c r="DR114" s="925"/>
      <c r="DS114" s="925"/>
      <c r="DT114" s="925"/>
      <c r="DU114" s="925"/>
      <c r="DV114" s="925"/>
      <c r="DW114" s="925"/>
      <c r="DX114" s="925"/>
      <c r="DY114" s="925"/>
      <c r="DZ114" s="925"/>
      <c r="EA114" s="925"/>
      <c r="EB114" s="925"/>
      <c r="EC114" s="925"/>
      <c r="ED114" s="925"/>
      <c r="EE114" s="925"/>
      <c r="EF114" s="925"/>
      <c r="EG114" s="446"/>
    </row>
    <row r="115" spans="1:137" ht="13" x14ac:dyDescent="0.15">
      <c r="A115" s="917"/>
      <c r="B115" s="917"/>
      <c r="C115" s="918"/>
      <c r="D115" s="919"/>
      <c r="E115" s="920"/>
      <c r="F115" s="921"/>
      <c r="G115" s="922"/>
      <c r="H115" s="922"/>
      <c r="I115" s="922"/>
      <c r="J115" s="923"/>
      <c r="K115" s="923"/>
      <c r="L115" s="924"/>
      <c r="M115" s="925"/>
      <c r="N115" s="925"/>
      <c r="O115" s="925"/>
      <c r="P115" s="925"/>
      <c r="Q115" s="925"/>
      <c r="R115" s="926"/>
      <c r="S115" s="926"/>
      <c r="T115" s="925"/>
      <c r="U115" s="925"/>
      <c r="V115" s="925"/>
      <c r="W115" s="925"/>
      <c r="X115" s="925"/>
      <c r="Y115" s="925"/>
      <c r="Z115" s="925"/>
      <c r="AA115" s="925"/>
      <c r="AB115" s="925"/>
      <c r="AC115" s="925"/>
      <c r="AD115" s="925"/>
      <c r="AE115" s="925"/>
      <c r="AF115" s="925"/>
      <c r="AG115" s="925"/>
      <c r="AH115" s="925"/>
      <c r="AI115" s="925"/>
      <c r="AJ115" s="925"/>
      <c r="AK115" s="925"/>
      <c r="AL115" s="925"/>
      <c r="AM115" s="925"/>
      <c r="AN115" s="925"/>
      <c r="AO115" s="925"/>
      <c r="AP115" s="925"/>
      <c r="AQ115" s="925"/>
      <c r="AR115" s="925"/>
      <c r="AS115" s="925"/>
      <c r="AT115" s="925"/>
      <c r="AU115" s="925"/>
      <c r="AV115" s="925"/>
      <c r="AW115" s="925"/>
      <c r="AX115" s="925"/>
      <c r="AY115" s="925"/>
      <c r="AZ115" s="925"/>
      <c r="BA115" s="925"/>
      <c r="BB115" s="925"/>
      <c r="BC115" s="925"/>
      <c r="BD115" s="925"/>
      <c r="BE115" s="925"/>
      <c r="BF115" s="925"/>
      <c r="BG115" s="925"/>
      <c r="BH115" s="925"/>
      <c r="BI115" s="925"/>
      <c r="BJ115" s="925"/>
      <c r="BK115" s="925"/>
      <c r="BL115" s="925"/>
      <c r="BM115" s="925"/>
      <c r="BN115" s="925"/>
      <c r="BO115" s="925"/>
      <c r="BP115" s="925"/>
      <c r="BQ115" s="925"/>
      <c r="BR115" s="925"/>
      <c r="BS115" s="925"/>
      <c r="BT115" s="925"/>
      <c r="BU115" s="925"/>
      <c r="BV115" s="925"/>
      <c r="BW115" s="925"/>
      <c r="BX115" s="925"/>
      <c r="BY115" s="925"/>
      <c r="BZ115" s="925"/>
      <c r="CA115" s="925"/>
      <c r="CB115" s="925"/>
      <c r="CC115" s="925"/>
      <c r="CD115" s="925"/>
      <c r="CE115" s="925"/>
      <c r="CF115" s="925"/>
      <c r="CG115" s="925"/>
      <c r="CH115" s="925"/>
      <c r="CI115" s="925"/>
      <c r="CJ115" s="925"/>
      <c r="CK115" s="925"/>
      <c r="CL115" s="925"/>
      <c r="CM115" s="925"/>
      <c r="CN115" s="925"/>
      <c r="CO115" s="925"/>
      <c r="CP115" s="925"/>
      <c r="CQ115" s="925"/>
      <c r="CR115" s="925"/>
      <c r="CS115" s="925"/>
      <c r="CT115" s="925"/>
      <c r="CU115" s="925"/>
      <c r="CV115" s="925"/>
      <c r="CW115" s="925"/>
      <c r="CX115" s="925"/>
      <c r="CY115" s="925"/>
      <c r="CZ115" s="925"/>
      <c r="DA115" s="925"/>
      <c r="DB115" s="925"/>
      <c r="DC115" s="925"/>
      <c r="DD115" s="925"/>
      <c r="DE115" s="925"/>
      <c r="DF115" s="925"/>
      <c r="DG115" s="925"/>
      <c r="DH115" s="925"/>
      <c r="DI115" s="925"/>
      <c r="DJ115" s="925"/>
      <c r="DK115" s="925"/>
      <c r="DL115" s="925"/>
      <c r="DM115" s="925"/>
      <c r="DN115" s="925"/>
      <c r="DO115" s="925"/>
      <c r="DP115" s="925"/>
      <c r="DQ115" s="925"/>
      <c r="DR115" s="925"/>
      <c r="DS115" s="925"/>
      <c r="DT115" s="925"/>
      <c r="DU115" s="925"/>
      <c r="DV115" s="925"/>
      <c r="DW115" s="925"/>
      <c r="DX115" s="925"/>
      <c r="DY115" s="925"/>
      <c r="DZ115" s="925"/>
      <c r="EA115" s="925"/>
      <c r="EB115" s="925"/>
      <c r="EC115" s="925"/>
      <c r="ED115" s="925"/>
      <c r="EE115" s="925"/>
      <c r="EF115" s="925"/>
      <c r="EG115" s="446"/>
    </row>
    <row r="116" spans="1:137" ht="13" x14ac:dyDescent="0.15">
      <c r="A116" s="917"/>
      <c r="B116" s="917"/>
      <c r="C116" s="918"/>
      <c r="D116" s="919"/>
      <c r="E116" s="920"/>
      <c r="F116" s="921"/>
      <c r="G116" s="922"/>
      <c r="H116" s="922"/>
      <c r="I116" s="922"/>
      <c r="J116" s="923"/>
      <c r="K116" s="923"/>
      <c r="L116" s="924"/>
      <c r="M116" s="925"/>
      <c r="N116" s="925"/>
      <c r="O116" s="925"/>
      <c r="P116" s="925"/>
      <c r="Q116" s="925"/>
      <c r="R116" s="926"/>
      <c r="S116" s="926"/>
      <c r="T116" s="925"/>
      <c r="U116" s="925"/>
      <c r="V116" s="925"/>
      <c r="W116" s="925"/>
      <c r="X116" s="925"/>
      <c r="Y116" s="925"/>
      <c r="Z116" s="925"/>
      <c r="AA116" s="925"/>
      <c r="AB116" s="925"/>
      <c r="AC116" s="925"/>
      <c r="AD116" s="925"/>
      <c r="AE116" s="925"/>
      <c r="AF116" s="925"/>
      <c r="AG116" s="925"/>
      <c r="AH116" s="925"/>
      <c r="AI116" s="925"/>
      <c r="AJ116" s="925"/>
      <c r="AK116" s="925"/>
      <c r="AL116" s="925"/>
      <c r="AM116" s="925"/>
      <c r="AN116" s="925"/>
      <c r="AO116" s="925"/>
      <c r="AP116" s="925"/>
      <c r="AQ116" s="925"/>
      <c r="AR116" s="925"/>
      <c r="AS116" s="925"/>
      <c r="AT116" s="925"/>
      <c r="AU116" s="925"/>
      <c r="AV116" s="925"/>
      <c r="AW116" s="925"/>
      <c r="AX116" s="925"/>
      <c r="AY116" s="925"/>
      <c r="AZ116" s="925"/>
      <c r="BA116" s="925"/>
      <c r="BB116" s="925"/>
      <c r="BC116" s="925"/>
      <c r="BD116" s="925"/>
      <c r="BE116" s="925"/>
      <c r="BF116" s="925"/>
      <c r="BG116" s="925"/>
      <c r="BH116" s="925"/>
      <c r="BI116" s="925"/>
      <c r="BJ116" s="925"/>
      <c r="BK116" s="925"/>
      <c r="BL116" s="925"/>
      <c r="BM116" s="925"/>
      <c r="BN116" s="925"/>
      <c r="BO116" s="925"/>
      <c r="BP116" s="925"/>
      <c r="BQ116" s="925"/>
      <c r="BR116" s="925"/>
      <c r="BS116" s="925"/>
      <c r="BT116" s="925"/>
      <c r="BU116" s="925"/>
      <c r="BV116" s="925"/>
      <c r="BW116" s="925"/>
      <c r="BX116" s="925"/>
      <c r="BY116" s="925"/>
      <c r="BZ116" s="925"/>
      <c r="CA116" s="925"/>
      <c r="CB116" s="925"/>
      <c r="CC116" s="925"/>
      <c r="CD116" s="925"/>
      <c r="CE116" s="925"/>
      <c r="CF116" s="925"/>
      <c r="CG116" s="925"/>
      <c r="CH116" s="925"/>
      <c r="CI116" s="925"/>
      <c r="CJ116" s="925"/>
      <c r="CK116" s="925"/>
      <c r="CL116" s="925"/>
      <c r="CM116" s="925"/>
      <c r="CN116" s="925"/>
      <c r="CO116" s="925"/>
      <c r="CP116" s="925"/>
      <c r="CQ116" s="925"/>
      <c r="CR116" s="925"/>
      <c r="CS116" s="925"/>
      <c r="CT116" s="925"/>
      <c r="CU116" s="925"/>
      <c r="CV116" s="925"/>
      <c r="CW116" s="925"/>
      <c r="CX116" s="925"/>
      <c r="CY116" s="925"/>
      <c r="CZ116" s="925"/>
      <c r="DA116" s="925"/>
      <c r="DB116" s="925"/>
      <c r="DC116" s="925"/>
      <c r="DD116" s="925"/>
      <c r="DE116" s="925"/>
      <c r="DF116" s="925"/>
      <c r="DG116" s="925"/>
      <c r="DH116" s="925"/>
      <c r="DI116" s="925"/>
      <c r="DJ116" s="925"/>
      <c r="DK116" s="925"/>
      <c r="DL116" s="925"/>
      <c r="DM116" s="925"/>
      <c r="DN116" s="925"/>
      <c r="DO116" s="925"/>
      <c r="DP116" s="925"/>
      <c r="DQ116" s="925"/>
      <c r="DR116" s="925"/>
      <c r="DS116" s="925"/>
      <c r="DT116" s="925"/>
      <c r="DU116" s="925"/>
      <c r="DV116" s="925"/>
      <c r="DW116" s="925"/>
      <c r="DX116" s="925"/>
      <c r="DY116" s="925"/>
      <c r="DZ116" s="925"/>
      <c r="EA116" s="925"/>
      <c r="EB116" s="925"/>
      <c r="EC116" s="925"/>
      <c r="ED116" s="925"/>
      <c r="EE116" s="925"/>
      <c r="EF116" s="925"/>
      <c r="EG116" s="446"/>
    </row>
    <row r="117" spans="1:137" ht="13" x14ac:dyDescent="0.15">
      <c r="A117" s="917"/>
      <c r="B117" s="917"/>
      <c r="C117" s="918"/>
      <c r="D117" s="919"/>
      <c r="E117" s="920"/>
      <c r="F117" s="921"/>
      <c r="G117" s="922"/>
      <c r="H117" s="922"/>
      <c r="I117" s="922"/>
      <c r="J117" s="923"/>
      <c r="K117" s="923"/>
      <c r="L117" s="924"/>
      <c r="M117" s="925"/>
      <c r="N117" s="925"/>
      <c r="O117" s="925"/>
      <c r="P117" s="925"/>
      <c r="Q117" s="925"/>
      <c r="R117" s="926"/>
      <c r="S117" s="926"/>
      <c r="T117" s="925"/>
      <c r="U117" s="925"/>
      <c r="V117" s="925"/>
      <c r="W117" s="925"/>
      <c r="X117" s="925"/>
      <c r="Y117" s="925"/>
      <c r="Z117" s="925"/>
      <c r="AA117" s="925"/>
      <c r="AB117" s="925"/>
      <c r="AC117" s="925"/>
      <c r="AD117" s="925"/>
      <c r="AE117" s="925"/>
      <c r="AF117" s="925"/>
      <c r="AG117" s="925"/>
      <c r="AH117" s="925"/>
      <c r="AI117" s="925"/>
      <c r="AJ117" s="925"/>
      <c r="AK117" s="925"/>
      <c r="AL117" s="925"/>
      <c r="AM117" s="925"/>
      <c r="AN117" s="925"/>
      <c r="AO117" s="925"/>
      <c r="AP117" s="925"/>
      <c r="AQ117" s="925"/>
      <c r="AR117" s="925"/>
      <c r="AS117" s="925"/>
      <c r="AT117" s="925"/>
      <c r="AU117" s="925"/>
      <c r="AV117" s="925"/>
      <c r="AW117" s="925"/>
      <c r="AX117" s="925"/>
      <c r="AY117" s="925"/>
      <c r="AZ117" s="925"/>
      <c r="BA117" s="925"/>
      <c r="BB117" s="925"/>
      <c r="BC117" s="925"/>
      <c r="BD117" s="925"/>
      <c r="BE117" s="925"/>
      <c r="BF117" s="925"/>
      <c r="BG117" s="925"/>
      <c r="BH117" s="925"/>
      <c r="BI117" s="925"/>
      <c r="BJ117" s="925"/>
      <c r="BK117" s="925"/>
      <c r="BL117" s="925"/>
      <c r="BM117" s="925"/>
      <c r="BN117" s="925"/>
      <c r="BO117" s="925"/>
      <c r="BP117" s="925"/>
      <c r="BQ117" s="925"/>
      <c r="BR117" s="925"/>
      <c r="BS117" s="925"/>
      <c r="BT117" s="925"/>
      <c r="BU117" s="925"/>
      <c r="BV117" s="925"/>
      <c r="BW117" s="925"/>
      <c r="BX117" s="925"/>
      <c r="BY117" s="925"/>
      <c r="BZ117" s="925"/>
      <c r="CA117" s="925"/>
      <c r="CB117" s="925"/>
      <c r="CC117" s="925"/>
      <c r="CD117" s="925"/>
      <c r="CE117" s="925"/>
      <c r="CF117" s="925"/>
      <c r="CG117" s="925"/>
      <c r="CH117" s="925"/>
      <c r="CI117" s="925"/>
      <c r="CJ117" s="925"/>
      <c r="CK117" s="925"/>
      <c r="CL117" s="925"/>
      <c r="CM117" s="925"/>
      <c r="CN117" s="925"/>
      <c r="CO117" s="925"/>
      <c r="CP117" s="925"/>
      <c r="CQ117" s="925"/>
      <c r="CR117" s="925"/>
      <c r="CS117" s="925"/>
      <c r="CT117" s="925"/>
      <c r="CU117" s="925"/>
      <c r="CV117" s="925"/>
      <c r="CW117" s="925"/>
      <c r="CX117" s="925"/>
      <c r="CY117" s="925"/>
      <c r="CZ117" s="925"/>
      <c r="DA117" s="925"/>
      <c r="DB117" s="925"/>
      <c r="DC117" s="925"/>
      <c r="DD117" s="925"/>
      <c r="DE117" s="925"/>
      <c r="DF117" s="925"/>
      <c r="DG117" s="925"/>
      <c r="DH117" s="925"/>
      <c r="DI117" s="925"/>
      <c r="DJ117" s="925"/>
      <c r="DK117" s="925"/>
      <c r="DL117" s="925"/>
      <c r="DM117" s="925"/>
      <c r="DN117" s="925"/>
      <c r="DO117" s="925"/>
      <c r="DP117" s="925"/>
      <c r="DQ117" s="925"/>
      <c r="DR117" s="925"/>
      <c r="DS117" s="925"/>
      <c r="DT117" s="925"/>
      <c r="DU117" s="925"/>
      <c r="DV117" s="925"/>
      <c r="DW117" s="925"/>
      <c r="DX117" s="925"/>
      <c r="DY117" s="925"/>
      <c r="DZ117" s="925"/>
      <c r="EA117" s="925"/>
      <c r="EB117" s="925"/>
      <c r="EC117" s="925"/>
      <c r="ED117" s="925"/>
      <c r="EE117" s="925"/>
      <c r="EF117" s="925"/>
      <c r="EG117" s="446"/>
    </row>
    <row r="118" spans="1:137" ht="13" x14ac:dyDescent="0.15">
      <c r="A118" s="917"/>
      <c r="B118" s="917"/>
      <c r="C118" s="918"/>
      <c r="D118" s="919"/>
      <c r="E118" s="920"/>
      <c r="F118" s="921"/>
      <c r="G118" s="922"/>
      <c r="H118" s="922"/>
      <c r="I118" s="922"/>
      <c r="J118" s="923"/>
      <c r="K118" s="923"/>
      <c r="L118" s="924"/>
      <c r="M118" s="925"/>
      <c r="N118" s="925"/>
      <c r="O118" s="925"/>
      <c r="P118" s="925"/>
      <c r="Q118" s="925"/>
      <c r="R118" s="926"/>
      <c r="S118" s="926"/>
      <c r="T118" s="925"/>
      <c r="U118" s="925"/>
      <c r="V118" s="925"/>
      <c r="W118" s="925"/>
      <c r="X118" s="925"/>
      <c r="Y118" s="925"/>
      <c r="Z118" s="925"/>
      <c r="AA118" s="925"/>
      <c r="AB118" s="925"/>
      <c r="AC118" s="925"/>
      <c r="AD118" s="925"/>
      <c r="AE118" s="925"/>
      <c r="AF118" s="925"/>
      <c r="AG118" s="925"/>
      <c r="AH118" s="925"/>
      <c r="AI118" s="925"/>
      <c r="AJ118" s="925"/>
      <c r="AK118" s="925"/>
      <c r="AL118" s="925"/>
      <c r="AM118" s="925"/>
      <c r="AN118" s="925"/>
      <c r="AO118" s="925"/>
      <c r="AP118" s="925"/>
      <c r="AQ118" s="925"/>
      <c r="AR118" s="925"/>
      <c r="AS118" s="925"/>
      <c r="AT118" s="925"/>
      <c r="AU118" s="925"/>
      <c r="AV118" s="925"/>
      <c r="AW118" s="925"/>
      <c r="AX118" s="925"/>
      <c r="AY118" s="925"/>
      <c r="AZ118" s="925"/>
      <c r="BA118" s="925"/>
      <c r="BB118" s="925"/>
      <c r="BC118" s="925"/>
      <c r="BD118" s="925"/>
      <c r="BE118" s="925"/>
      <c r="BF118" s="925"/>
      <c r="BG118" s="925"/>
      <c r="BH118" s="925"/>
      <c r="BI118" s="925"/>
      <c r="BJ118" s="925"/>
      <c r="BK118" s="925"/>
      <c r="BL118" s="925"/>
      <c r="BM118" s="925"/>
      <c r="BN118" s="925"/>
      <c r="BO118" s="925"/>
      <c r="BP118" s="925"/>
      <c r="BQ118" s="925"/>
      <c r="BR118" s="925"/>
      <c r="BS118" s="925"/>
      <c r="BT118" s="925"/>
      <c r="BU118" s="925"/>
      <c r="BV118" s="925"/>
      <c r="BW118" s="925"/>
      <c r="BX118" s="925"/>
      <c r="BY118" s="925"/>
      <c r="BZ118" s="925"/>
      <c r="CA118" s="925"/>
      <c r="CB118" s="925"/>
      <c r="CC118" s="925"/>
      <c r="CD118" s="925"/>
      <c r="CE118" s="925"/>
      <c r="CF118" s="925"/>
      <c r="CG118" s="925"/>
      <c r="CH118" s="925"/>
      <c r="CI118" s="925"/>
      <c r="CJ118" s="925"/>
      <c r="CK118" s="925"/>
      <c r="CL118" s="925"/>
      <c r="CM118" s="925"/>
      <c r="CN118" s="925"/>
      <c r="CO118" s="925"/>
      <c r="CP118" s="925"/>
      <c r="CQ118" s="925"/>
      <c r="CR118" s="925"/>
      <c r="CS118" s="925"/>
      <c r="CT118" s="925"/>
      <c r="CU118" s="925"/>
      <c r="CV118" s="925"/>
      <c r="CW118" s="925"/>
      <c r="CX118" s="925"/>
      <c r="CY118" s="925"/>
      <c r="CZ118" s="925"/>
      <c r="DA118" s="925"/>
      <c r="DB118" s="925"/>
      <c r="DC118" s="925"/>
      <c r="DD118" s="925"/>
      <c r="DE118" s="925"/>
      <c r="DF118" s="925"/>
      <c r="DG118" s="925"/>
      <c r="DH118" s="925"/>
      <c r="DI118" s="925"/>
      <c r="DJ118" s="925"/>
      <c r="DK118" s="925"/>
      <c r="DL118" s="925"/>
      <c r="DM118" s="925"/>
      <c r="DN118" s="925"/>
      <c r="DO118" s="925"/>
      <c r="DP118" s="925"/>
      <c r="DQ118" s="925"/>
      <c r="DR118" s="925"/>
      <c r="DS118" s="925"/>
      <c r="DT118" s="925"/>
      <c r="DU118" s="925"/>
      <c r="DV118" s="925"/>
      <c r="DW118" s="925"/>
      <c r="DX118" s="925"/>
      <c r="DY118" s="925"/>
      <c r="DZ118" s="925"/>
      <c r="EA118" s="925"/>
      <c r="EB118" s="925"/>
      <c r="EC118" s="925"/>
      <c r="ED118" s="925"/>
      <c r="EE118" s="925"/>
      <c r="EF118" s="925"/>
      <c r="EG118" s="446"/>
    </row>
    <row r="119" spans="1:137" ht="13" x14ac:dyDescent="0.15">
      <c r="A119" s="917"/>
      <c r="B119" s="917"/>
      <c r="C119" s="918"/>
      <c r="D119" s="919"/>
      <c r="E119" s="920"/>
      <c r="F119" s="921"/>
      <c r="G119" s="922"/>
      <c r="H119" s="922"/>
      <c r="I119" s="922"/>
      <c r="J119" s="923"/>
      <c r="K119" s="923"/>
      <c r="L119" s="924"/>
      <c r="M119" s="925"/>
      <c r="N119" s="925"/>
      <c r="O119" s="925"/>
      <c r="P119" s="925"/>
      <c r="Q119" s="925"/>
      <c r="R119" s="926"/>
      <c r="S119" s="926"/>
      <c r="T119" s="925"/>
      <c r="U119" s="925"/>
      <c r="V119" s="925"/>
      <c r="W119" s="925"/>
      <c r="X119" s="925"/>
      <c r="Y119" s="925"/>
      <c r="Z119" s="925"/>
      <c r="AA119" s="925"/>
      <c r="AB119" s="925"/>
      <c r="AC119" s="925"/>
      <c r="AD119" s="925"/>
      <c r="AE119" s="925"/>
      <c r="AF119" s="925"/>
      <c r="AG119" s="925"/>
      <c r="AH119" s="925"/>
      <c r="AI119" s="925"/>
      <c r="AJ119" s="925"/>
      <c r="AK119" s="925"/>
      <c r="AL119" s="925"/>
      <c r="AM119" s="925"/>
      <c r="AN119" s="925"/>
      <c r="AO119" s="925"/>
      <c r="AP119" s="925"/>
      <c r="AQ119" s="925"/>
      <c r="AR119" s="925"/>
      <c r="AS119" s="925"/>
      <c r="AT119" s="925"/>
      <c r="AU119" s="925"/>
      <c r="AV119" s="925"/>
      <c r="AW119" s="925"/>
      <c r="AX119" s="925"/>
      <c r="AY119" s="925"/>
      <c r="AZ119" s="925"/>
      <c r="BA119" s="925"/>
      <c r="BB119" s="925"/>
      <c r="BC119" s="925"/>
      <c r="BD119" s="925"/>
      <c r="BE119" s="925"/>
      <c r="BF119" s="925"/>
      <c r="BG119" s="925"/>
      <c r="BH119" s="925"/>
      <c r="BI119" s="925"/>
      <c r="BJ119" s="925"/>
      <c r="BK119" s="925"/>
      <c r="BL119" s="925"/>
      <c r="BM119" s="925"/>
      <c r="BN119" s="925"/>
      <c r="BO119" s="925"/>
      <c r="BP119" s="925"/>
      <c r="BQ119" s="925"/>
      <c r="BR119" s="925"/>
      <c r="BS119" s="925"/>
      <c r="BT119" s="925"/>
      <c r="BU119" s="925"/>
      <c r="BV119" s="925"/>
      <c r="BW119" s="925"/>
      <c r="BX119" s="925"/>
      <c r="BY119" s="925"/>
      <c r="BZ119" s="925"/>
      <c r="CA119" s="925"/>
      <c r="CB119" s="925"/>
      <c r="CC119" s="925"/>
      <c r="CD119" s="925"/>
      <c r="CE119" s="925"/>
      <c r="CF119" s="925"/>
      <c r="CG119" s="925"/>
      <c r="CH119" s="925"/>
      <c r="CI119" s="925"/>
      <c r="CJ119" s="925"/>
      <c r="CK119" s="925"/>
      <c r="CL119" s="925"/>
      <c r="CM119" s="925"/>
      <c r="CN119" s="925"/>
      <c r="CO119" s="925"/>
      <c r="CP119" s="925"/>
      <c r="CQ119" s="925"/>
      <c r="CR119" s="925"/>
      <c r="CS119" s="925"/>
      <c r="CT119" s="925"/>
      <c r="CU119" s="925"/>
      <c r="CV119" s="925"/>
      <c r="CW119" s="925"/>
      <c r="CX119" s="925"/>
      <c r="CY119" s="925"/>
      <c r="CZ119" s="925"/>
      <c r="DA119" s="925"/>
      <c r="DB119" s="925"/>
      <c r="DC119" s="925"/>
      <c r="DD119" s="925"/>
      <c r="DE119" s="925"/>
      <c r="DF119" s="925"/>
      <c r="DG119" s="925"/>
      <c r="DH119" s="925"/>
      <c r="DI119" s="925"/>
      <c r="DJ119" s="925"/>
      <c r="DK119" s="925"/>
      <c r="DL119" s="925"/>
      <c r="DM119" s="925"/>
      <c r="DN119" s="925"/>
      <c r="DO119" s="925"/>
      <c r="DP119" s="925"/>
      <c r="DQ119" s="925"/>
      <c r="DR119" s="925"/>
      <c r="DS119" s="925"/>
      <c r="DT119" s="925"/>
      <c r="DU119" s="925"/>
      <c r="DV119" s="925"/>
      <c r="DW119" s="925"/>
      <c r="DX119" s="925"/>
      <c r="DY119" s="925"/>
      <c r="DZ119" s="925"/>
      <c r="EA119" s="925"/>
      <c r="EB119" s="925"/>
      <c r="EC119" s="925"/>
      <c r="ED119" s="925"/>
      <c r="EE119" s="925"/>
      <c r="EF119" s="925"/>
      <c r="EG119" s="446"/>
    </row>
    <row r="120" spans="1:137" ht="13" x14ac:dyDescent="0.15">
      <c r="A120" s="917"/>
      <c r="B120" s="917"/>
      <c r="C120" s="918"/>
      <c r="D120" s="919"/>
      <c r="E120" s="920"/>
      <c r="F120" s="921"/>
      <c r="G120" s="922"/>
      <c r="H120" s="922"/>
      <c r="I120" s="922"/>
      <c r="J120" s="923"/>
      <c r="K120" s="923"/>
      <c r="L120" s="924"/>
      <c r="M120" s="925"/>
      <c r="N120" s="925"/>
      <c r="O120" s="925"/>
      <c r="P120" s="925"/>
      <c r="Q120" s="925"/>
      <c r="R120" s="926"/>
      <c r="S120" s="926"/>
      <c r="T120" s="925"/>
      <c r="U120" s="925"/>
      <c r="V120" s="925"/>
      <c r="W120" s="925"/>
      <c r="X120" s="925"/>
      <c r="Y120" s="925"/>
      <c r="Z120" s="925"/>
      <c r="AA120" s="925"/>
      <c r="AB120" s="925"/>
      <c r="AC120" s="925"/>
      <c r="AD120" s="925"/>
      <c r="AE120" s="925"/>
      <c r="AF120" s="925"/>
      <c r="AG120" s="925"/>
      <c r="AH120" s="925"/>
      <c r="AI120" s="925"/>
      <c r="AJ120" s="925"/>
      <c r="AK120" s="925"/>
      <c r="AL120" s="925"/>
      <c r="AM120" s="925"/>
      <c r="AN120" s="925"/>
      <c r="AO120" s="925"/>
      <c r="AP120" s="925"/>
      <c r="AQ120" s="925"/>
      <c r="AR120" s="925"/>
      <c r="AS120" s="925"/>
      <c r="AT120" s="925"/>
      <c r="AU120" s="925"/>
      <c r="AV120" s="925"/>
      <c r="AW120" s="925"/>
      <c r="AX120" s="925"/>
      <c r="AY120" s="925"/>
      <c r="AZ120" s="925"/>
      <c r="BA120" s="925"/>
      <c r="BB120" s="925"/>
      <c r="BC120" s="925"/>
      <c r="BD120" s="925"/>
      <c r="BE120" s="925"/>
      <c r="BF120" s="925"/>
      <c r="BG120" s="925"/>
      <c r="BH120" s="925"/>
      <c r="BI120" s="925"/>
      <c r="BJ120" s="925"/>
      <c r="BK120" s="925"/>
      <c r="BL120" s="925"/>
      <c r="BM120" s="925"/>
      <c r="BN120" s="925"/>
      <c r="BO120" s="925"/>
      <c r="BP120" s="925"/>
      <c r="BQ120" s="925"/>
      <c r="BR120" s="925"/>
      <c r="BS120" s="925"/>
      <c r="BT120" s="925"/>
      <c r="BU120" s="925"/>
      <c r="BV120" s="925"/>
      <c r="BW120" s="925"/>
      <c r="BX120" s="925"/>
      <c r="BY120" s="925"/>
      <c r="BZ120" s="925"/>
      <c r="CA120" s="925"/>
      <c r="CB120" s="925"/>
      <c r="CC120" s="925"/>
      <c r="CD120" s="925"/>
      <c r="CE120" s="925"/>
      <c r="CF120" s="925"/>
      <c r="CG120" s="925"/>
      <c r="CH120" s="925"/>
      <c r="CI120" s="925"/>
      <c r="CJ120" s="925"/>
      <c r="CK120" s="925"/>
      <c r="CL120" s="925"/>
      <c r="CM120" s="925"/>
      <c r="CN120" s="925"/>
      <c r="CO120" s="925"/>
      <c r="CP120" s="925"/>
      <c r="CQ120" s="925"/>
      <c r="CR120" s="925"/>
      <c r="CS120" s="925"/>
      <c r="CT120" s="925"/>
      <c r="CU120" s="925"/>
      <c r="CV120" s="925"/>
      <c r="CW120" s="925"/>
      <c r="CX120" s="925"/>
      <c r="CY120" s="925"/>
      <c r="CZ120" s="925"/>
      <c r="DA120" s="925"/>
      <c r="DB120" s="925"/>
      <c r="DC120" s="925"/>
      <c r="DD120" s="925"/>
      <c r="DE120" s="925"/>
      <c r="DF120" s="925"/>
      <c r="DG120" s="925"/>
      <c r="DH120" s="925"/>
      <c r="DI120" s="925"/>
      <c r="DJ120" s="925"/>
      <c r="DK120" s="925"/>
      <c r="DL120" s="925"/>
      <c r="DM120" s="925"/>
      <c r="DN120" s="925"/>
      <c r="DO120" s="925"/>
      <c r="DP120" s="925"/>
      <c r="DQ120" s="925"/>
      <c r="DR120" s="925"/>
      <c r="DS120" s="925"/>
      <c r="DT120" s="925"/>
      <c r="DU120" s="925"/>
      <c r="DV120" s="925"/>
      <c r="DW120" s="925"/>
      <c r="DX120" s="925"/>
      <c r="DY120" s="925"/>
      <c r="DZ120" s="925"/>
      <c r="EA120" s="925"/>
      <c r="EB120" s="925"/>
      <c r="EC120" s="925"/>
      <c r="ED120" s="925"/>
      <c r="EE120" s="925"/>
      <c r="EF120" s="925"/>
      <c r="EG120" s="446"/>
    </row>
    <row r="121" spans="1:137" ht="13" x14ac:dyDescent="0.15">
      <c r="A121" s="917"/>
      <c r="B121" s="917"/>
      <c r="C121" s="918"/>
      <c r="D121" s="919"/>
      <c r="E121" s="920"/>
      <c r="F121" s="921"/>
      <c r="G121" s="922"/>
      <c r="H121" s="922"/>
      <c r="I121" s="922"/>
      <c r="J121" s="923"/>
      <c r="K121" s="923"/>
      <c r="L121" s="924"/>
      <c r="M121" s="925"/>
      <c r="N121" s="925"/>
      <c r="O121" s="925"/>
      <c r="P121" s="925"/>
      <c r="Q121" s="925"/>
      <c r="R121" s="926"/>
      <c r="S121" s="926"/>
      <c r="T121" s="925"/>
      <c r="U121" s="925"/>
      <c r="V121" s="925"/>
      <c r="W121" s="925"/>
      <c r="X121" s="925"/>
      <c r="Y121" s="925"/>
      <c r="Z121" s="925"/>
      <c r="AA121" s="925"/>
      <c r="AB121" s="925"/>
      <c r="AC121" s="925"/>
      <c r="AD121" s="925"/>
      <c r="AE121" s="925"/>
      <c r="AF121" s="925"/>
      <c r="AG121" s="925"/>
      <c r="AH121" s="925"/>
      <c r="AI121" s="925"/>
      <c r="AJ121" s="925"/>
      <c r="AK121" s="925"/>
      <c r="AL121" s="925"/>
      <c r="AM121" s="925"/>
      <c r="AN121" s="925"/>
      <c r="AO121" s="925"/>
      <c r="AP121" s="925"/>
      <c r="AQ121" s="925"/>
      <c r="AR121" s="925"/>
      <c r="AS121" s="925"/>
      <c r="AT121" s="925"/>
      <c r="AU121" s="925"/>
      <c r="AV121" s="925"/>
      <c r="AW121" s="925"/>
      <c r="AX121" s="925"/>
      <c r="AY121" s="925"/>
      <c r="AZ121" s="925"/>
      <c r="BA121" s="925"/>
      <c r="BB121" s="925"/>
      <c r="BC121" s="925"/>
      <c r="BD121" s="925"/>
      <c r="BE121" s="925"/>
      <c r="BF121" s="925"/>
      <c r="BG121" s="925"/>
      <c r="BH121" s="925"/>
      <c r="BI121" s="925"/>
      <c r="BJ121" s="925"/>
      <c r="BK121" s="925"/>
      <c r="BL121" s="925"/>
      <c r="BM121" s="925"/>
      <c r="BN121" s="925"/>
      <c r="BO121" s="925"/>
      <c r="BP121" s="925"/>
      <c r="BQ121" s="925"/>
      <c r="BR121" s="925"/>
      <c r="BS121" s="925"/>
      <c r="BT121" s="925"/>
      <c r="BU121" s="925"/>
      <c r="BV121" s="925"/>
      <c r="BW121" s="925"/>
      <c r="BX121" s="925"/>
      <c r="BY121" s="925"/>
      <c r="BZ121" s="925"/>
      <c r="CA121" s="925"/>
      <c r="CB121" s="925"/>
      <c r="CC121" s="925"/>
      <c r="CD121" s="925"/>
      <c r="CE121" s="925"/>
      <c r="CF121" s="925"/>
      <c r="CG121" s="925"/>
      <c r="CH121" s="925"/>
      <c r="CI121" s="925"/>
      <c r="CJ121" s="925"/>
      <c r="CK121" s="925"/>
      <c r="CL121" s="925"/>
      <c r="CM121" s="925"/>
      <c r="CN121" s="925"/>
      <c r="CO121" s="925"/>
      <c r="CP121" s="925"/>
      <c r="CQ121" s="925"/>
      <c r="CR121" s="925"/>
      <c r="CS121" s="925"/>
      <c r="CT121" s="925"/>
      <c r="CU121" s="925"/>
      <c r="CV121" s="925"/>
      <c r="CW121" s="925"/>
      <c r="CX121" s="925"/>
      <c r="CY121" s="925"/>
      <c r="CZ121" s="925"/>
      <c r="DA121" s="925"/>
      <c r="DB121" s="925"/>
      <c r="DC121" s="925"/>
      <c r="DD121" s="925"/>
      <c r="DE121" s="925"/>
      <c r="DF121" s="925"/>
      <c r="DG121" s="925"/>
      <c r="DH121" s="925"/>
      <c r="DI121" s="925"/>
      <c r="DJ121" s="925"/>
      <c r="DK121" s="925"/>
      <c r="DL121" s="925"/>
      <c r="DM121" s="925"/>
      <c r="DN121" s="925"/>
      <c r="DO121" s="925"/>
      <c r="DP121" s="925"/>
      <c r="DQ121" s="925"/>
      <c r="DR121" s="925"/>
      <c r="DS121" s="925"/>
      <c r="DT121" s="925"/>
      <c r="DU121" s="925"/>
      <c r="DV121" s="925"/>
      <c r="DW121" s="925"/>
      <c r="DX121" s="925"/>
      <c r="DY121" s="925"/>
      <c r="DZ121" s="925"/>
      <c r="EA121" s="925"/>
      <c r="EB121" s="925"/>
      <c r="EC121" s="925"/>
      <c r="ED121" s="925"/>
      <c r="EE121" s="925"/>
      <c r="EF121" s="925"/>
      <c r="EG121" s="446"/>
    </row>
    <row r="122" spans="1:137" ht="13" x14ac:dyDescent="0.15">
      <c r="A122" s="917"/>
      <c r="B122" s="917"/>
      <c r="C122" s="918"/>
      <c r="D122" s="919"/>
      <c r="E122" s="920"/>
      <c r="F122" s="921"/>
      <c r="G122" s="922"/>
      <c r="H122" s="922"/>
      <c r="I122" s="922"/>
      <c r="J122" s="923"/>
      <c r="K122" s="923"/>
      <c r="L122" s="924"/>
      <c r="M122" s="925"/>
      <c r="N122" s="925"/>
      <c r="O122" s="925"/>
      <c r="P122" s="925"/>
      <c r="Q122" s="925"/>
      <c r="R122" s="926"/>
      <c r="S122" s="926"/>
      <c r="T122" s="925"/>
      <c r="U122" s="925"/>
      <c r="V122" s="925"/>
      <c r="W122" s="925"/>
      <c r="X122" s="925"/>
      <c r="Y122" s="925"/>
      <c r="Z122" s="925"/>
      <c r="AA122" s="925"/>
      <c r="AB122" s="925"/>
      <c r="AC122" s="925"/>
      <c r="AD122" s="925"/>
      <c r="AE122" s="925"/>
      <c r="AF122" s="925"/>
      <c r="AG122" s="925"/>
      <c r="AH122" s="925"/>
      <c r="AI122" s="925"/>
      <c r="AJ122" s="925"/>
      <c r="AK122" s="925"/>
      <c r="AL122" s="925"/>
      <c r="AM122" s="925"/>
      <c r="AN122" s="925"/>
      <c r="AO122" s="925"/>
      <c r="AP122" s="925"/>
      <c r="AQ122" s="925"/>
      <c r="AR122" s="925"/>
      <c r="AS122" s="925"/>
      <c r="AT122" s="925"/>
      <c r="AU122" s="925"/>
      <c r="AV122" s="925"/>
      <c r="AW122" s="925"/>
      <c r="AX122" s="925"/>
      <c r="AY122" s="925"/>
      <c r="AZ122" s="925"/>
      <c r="BA122" s="925"/>
      <c r="BB122" s="925"/>
      <c r="BC122" s="925"/>
      <c r="BD122" s="925"/>
      <c r="BE122" s="925"/>
      <c r="BF122" s="925"/>
      <c r="BG122" s="925"/>
      <c r="BH122" s="925"/>
      <c r="BI122" s="925"/>
      <c r="BJ122" s="925"/>
      <c r="BK122" s="925"/>
      <c r="BL122" s="925"/>
      <c r="BM122" s="925"/>
      <c r="BN122" s="925"/>
      <c r="BO122" s="925"/>
      <c r="BP122" s="925"/>
      <c r="BQ122" s="925"/>
      <c r="BR122" s="925"/>
      <c r="BS122" s="925"/>
      <c r="BT122" s="925"/>
      <c r="BU122" s="925"/>
      <c r="BV122" s="925"/>
      <c r="BW122" s="925"/>
      <c r="BX122" s="925"/>
      <c r="BY122" s="925"/>
      <c r="BZ122" s="925"/>
      <c r="CA122" s="925"/>
      <c r="CB122" s="925"/>
      <c r="CC122" s="925"/>
      <c r="CD122" s="925"/>
      <c r="CE122" s="925"/>
      <c r="CF122" s="925"/>
      <c r="CG122" s="925"/>
      <c r="CH122" s="925"/>
      <c r="CI122" s="925"/>
      <c r="CJ122" s="925"/>
      <c r="CK122" s="925"/>
      <c r="CL122" s="925"/>
      <c r="CM122" s="925"/>
      <c r="CN122" s="925"/>
      <c r="CO122" s="925"/>
      <c r="CP122" s="925"/>
      <c r="CQ122" s="925"/>
      <c r="CR122" s="925"/>
      <c r="CS122" s="925"/>
      <c r="CT122" s="925"/>
      <c r="CU122" s="925"/>
      <c r="CV122" s="925"/>
      <c r="CW122" s="925"/>
      <c r="CX122" s="925"/>
      <c r="CY122" s="925"/>
      <c r="CZ122" s="925"/>
      <c r="DA122" s="925"/>
      <c r="DB122" s="925"/>
      <c r="DC122" s="925"/>
      <c r="DD122" s="925"/>
      <c r="DE122" s="925"/>
      <c r="DF122" s="925"/>
      <c r="DG122" s="925"/>
      <c r="DH122" s="925"/>
      <c r="DI122" s="925"/>
      <c r="DJ122" s="925"/>
      <c r="DK122" s="925"/>
      <c r="DL122" s="925"/>
      <c r="DM122" s="925"/>
      <c r="DN122" s="925"/>
      <c r="DO122" s="925"/>
      <c r="DP122" s="925"/>
      <c r="DQ122" s="925"/>
      <c r="DR122" s="925"/>
      <c r="DS122" s="925"/>
      <c r="DT122" s="925"/>
      <c r="DU122" s="925"/>
      <c r="DV122" s="925"/>
      <c r="DW122" s="925"/>
      <c r="DX122" s="925"/>
      <c r="DY122" s="925"/>
      <c r="DZ122" s="925"/>
      <c r="EA122" s="925"/>
      <c r="EB122" s="925"/>
      <c r="EC122" s="925"/>
      <c r="ED122" s="925"/>
      <c r="EE122" s="925"/>
      <c r="EF122" s="925"/>
      <c r="EG122" s="446"/>
    </row>
    <row r="123" spans="1:137" ht="13" x14ac:dyDescent="0.15">
      <c r="A123" s="917"/>
      <c r="B123" s="917"/>
      <c r="C123" s="918"/>
      <c r="D123" s="919"/>
      <c r="E123" s="920"/>
      <c r="F123" s="921"/>
      <c r="G123" s="922"/>
      <c r="H123" s="922"/>
      <c r="I123" s="922"/>
      <c r="J123" s="923"/>
      <c r="K123" s="923"/>
      <c r="L123" s="924"/>
      <c r="M123" s="925"/>
      <c r="N123" s="925"/>
      <c r="O123" s="925"/>
      <c r="P123" s="925"/>
      <c r="Q123" s="925"/>
      <c r="R123" s="926"/>
      <c r="S123" s="926"/>
      <c r="T123" s="925"/>
      <c r="U123" s="925"/>
      <c r="V123" s="925"/>
      <c r="W123" s="925"/>
      <c r="X123" s="925"/>
      <c r="Y123" s="925"/>
      <c r="Z123" s="925"/>
      <c r="AA123" s="925"/>
      <c r="AB123" s="925"/>
      <c r="AC123" s="925"/>
      <c r="AD123" s="925"/>
      <c r="AE123" s="925"/>
      <c r="AF123" s="925"/>
      <c r="AG123" s="925"/>
      <c r="AH123" s="925"/>
      <c r="AI123" s="925"/>
      <c r="AJ123" s="925"/>
      <c r="AK123" s="925"/>
      <c r="AL123" s="925"/>
      <c r="AM123" s="925"/>
      <c r="AN123" s="925"/>
      <c r="AO123" s="925"/>
      <c r="AP123" s="925"/>
      <c r="AQ123" s="925"/>
      <c r="AR123" s="925"/>
      <c r="AS123" s="925"/>
      <c r="AT123" s="925"/>
      <c r="AU123" s="925"/>
      <c r="AV123" s="925"/>
      <c r="AW123" s="925"/>
      <c r="AX123" s="925"/>
      <c r="AY123" s="925"/>
      <c r="AZ123" s="925"/>
      <c r="BA123" s="925"/>
      <c r="BB123" s="925"/>
      <c r="BC123" s="925"/>
      <c r="BD123" s="925"/>
      <c r="BE123" s="925"/>
      <c r="BF123" s="925"/>
      <c r="BG123" s="925"/>
      <c r="BH123" s="925"/>
      <c r="BI123" s="925"/>
      <c r="BJ123" s="925"/>
      <c r="BK123" s="925"/>
      <c r="BL123" s="925"/>
      <c r="BM123" s="925"/>
      <c r="BN123" s="925"/>
      <c r="BO123" s="925"/>
      <c r="BP123" s="925"/>
      <c r="BQ123" s="925"/>
      <c r="BR123" s="925"/>
      <c r="BS123" s="925"/>
      <c r="BT123" s="925"/>
      <c r="BU123" s="925"/>
      <c r="BV123" s="925"/>
      <c r="BW123" s="925"/>
      <c r="BX123" s="925"/>
      <c r="BY123" s="925"/>
      <c r="BZ123" s="925"/>
      <c r="CA123" s="925"/>
      <c r="CB123" s="925"/>
      <c r="CC123" s="925"/>
      <c r="CD123" s="925"/>
      <c r="CE123" s="925"/>
      <c r="CF123" s="925"/>
      <c r="CG123" s="925"/>
      <c r="CH123" s="925"/>
      <c r="CI123" s="925"/>
      <c r="CJ123" s="925"/>
      <c r="CK123" s="925"/>
      <c r="CL123" s="925"/>
      <c r="CM123" s="925"/>
      <c r="CN123" s="925"/>
      <c r="CO123" s="925"/>
      <c r="CP123" s="925"/>
      <c r="CQ123" s="925"/>
      <c r="CR123" s="925"/>
      <c r="CS123" s="925"/>
      <c r="CT123" s="925"/>
      <c r="CU123" s="925"/>
      <c r="CV123" s="925"/>
      <c r="CW123" s="925"/>
      <c r="CX123" s="925"/>
      <c r="CY123" s="925"/>
      <c r="CZ123" s="925"/>
      <c r="DA123" s="925"/>
      <c r="DB123" s="925"/>
      <c r="DC123" s="925"/>
      <c r="DD123" s="925"/>
      <c r="DE123" s="925"/>
      <c r="DF123" s="925"/>
      <c r="DG123" s="925"/>
      <c r="DH123" s="925"/>
      <c r="DI123" s="925"/>
      <c r="DJ123" s="925"/>
      <c r="DK123" s="925"/>
      <c r="DL123" s="925"/>
      <c r="DM123" s="925"/>
      <c r="DN123" s="925"/>
      <c r="DO123" s="925"/>
      <c r="DP123" s="925"/>
      <c r="DQ123" s="925"/>
      <c r="DR123" s="925"/>
      <c r="DS123" s="925"/>
      <c r="DT123" s="925"/>
      <c r="DU123" s="925"/>
      <c r="DV123" s="925"/>
      <c r="DW123" s="925"/>
      <c r="DX123" s="925"/>
      <c r="DY123" s="925"/>
      <c r="DZ123" s="925"/>
      <c r="EA123" s="925"/>
      <c r="EB123" s="925"/>
      <c r="EC123" s="925"/>
      <c r="ED123" s="925"/>
      <c r="EE123" s="925"/>
      <c r="EF123" s="925"/>
      <c r="EG123" s="446"/>
    </row>
    <row r="124" spans="1:137" ht="13" x14ac:dyDescent="0.15">
      <c r="A124" s="917"/>
      <c r="B124" s="917"/>
      <c r="C124" s="918"/>
      <c r="D124" s="919"/>
      <c r="E124" s="920"/>
      <c r="F124" s="921"/>
      <c r="G124" s="922"/>
      <c r="H124" s="922"/>
      <c r="I124" s="922"/>
      <c r="J124" s="923"/>
      <c r="K124" s="923"/>
      <c r="L124" s="924"/>
      <c r="M124" s="925"/>
      <c r="N124" s="925"/>
      <c r="O124" s="925"/>
      <c r="P124" s="925"/>
      <c r="Q124" s="925"/>
      <c r="R124" s="926"/>
      <c r="S124" s="926"/>
      <c r="T124" s="925"/>
      <c r="U124" s="925"/>
      <c r="V124" s="925"/>
      <c r="W124" s="925"/>
      <c r="X124" s="925"/>
      <c r="Y124" s="925"/>
      <c r="Z124" s="925"/>
      <c r="AA124" s="925"/>
      <c r="AB124" s="925"/>
      <c r="AC124" s="925"/>
      <c r="AD124" s="925"/>
      <c r="AE124" s="925"/>
      <c r="AF124" s="925"/>
      <c r="AG124" s="925"/>
      <c r="AH124" s="925"/>
      <c r="AI124" s="925"/>
      <c r="AJ124" s="925"/>
      <c r="AK124" s="925"/>
      <c r="AL124" s="925"/>
      <c r="AM124" s="925"/>
      <c r="AN124" s="925"/>
      <c r="AO124" s="925"/>
      <c r="AP124" s="925"/>
      <c r="AQ124" s="925"/>
      <c r="AR124" s="925"/>
      <c r="AS124" s="925"/>
      <c r="AT124" s="925"/>
      <c r="AU124" s="925"/>
      <c r="AV124" s="925"/>
      <c r="AW124" s="925"/>
      <c r="AX124" s="925"/>
      <c r="AY124" s="925"/>
      <c r="AZ124" s="925"/>
      <c r="BA124" s="925"/>
      <c r="BB124" s="925"/>
      <c r="BC124" s="925"/>
      <c r="BD124" s="925"/>
      <c r="BE124" s="925"/>
      <c r="BF124" s="925"/>
      <c r="BG124" s="925"/>
      <c r="BH124" s="925"/>
      <c r="BI124" s="925"/>
      <c r="BJ124" s="925"/>
      <c r="BK124" s="925"/>
      <c r="BL124" s="925"/>
      <c r="BM124" s="925"/>
      <c r="BN124" s="925"/>
      <c r="BO124" s="925"/>
      <c r="BP124" s="925"/>
      <c r="BQ124" s="925"/>
      <c r="BR124" s="925"/>
      <c r="BS124" s="925"/>
      <c r="BT124" s="925"/>
      <c r="BU124" s="925"/>
      <c r="BV124" s="925"/>
      <c r="BW124" s="925"/>
      <c r="BX124" s="925"/>
      <c r="BY124" s="925"/>
      <c r="BZ124" s="925"/>
      <c r="CA124" s="925"/>
      <c r="CB124" s="925"/>
      <c r="CC124" s="925"/>
      <c r="CD124" s="925"/>
      <c r="CE124" s="925"/>
      <c r="CF124" s="925"/>
      <c r="CG124" s="925"/>
      <c r="CH124" s="925"/>
      <c r="CI124" s="925"/>
      <c r="CJ124" s="925"/>
      <c r="CK124" s="925"/>
      <c r="CL124" s="925"/>
      <c r="CM124" s="925"/>
      <c r="CN124" s="925"/>
      <c r="CO124" s="925"/>
      <c r="CP124" s="925"/>
      <c r="CQ124" s="925"/>
      <c r="CR124" s="925"/>
      <c r="CS124" s="925"/>
      <c r="CT124" s="925"/>
      <c r="CU124" s="925"/>
      <c r="CV124" s="925"/>
      <c r="CW124" s="925"/>
      <c r="CX124" s="925"/>
      <c r="CY124" s="925"/>
      <c r="CZ124" s="925"/>
      <c r="DA124" s="925"/>
      <c r="DB124" s="925"/>
      <c r="DC124" s="925"/>
      <c r="DD124" s="925"/>
      <c r="DE124" s="925"/>
      <c r="DF124" s="925"/>
      <c r="DG124" s="925"/>
      <c r="DH124" s="925"/>
      <c r="DI124" s="925"/>
      <c r="DJ124" s="925"/>
      <c r="DK124" s="925"/>
      <c r="DL124" s="925"/>
      <c r="DM124" s="925"/>
      <c r="DN124" s="925"/>
      <c r="DO124" s="925"/>
      <c r="DP124" s="925"/>
      <c r="DQ124" s="925"/>
      <c r="DR124" s="925"/>
      <c r="DS124" s="925"/>
      <c r="DT124" s="925"/>
      <c r="DU124" s="925"/>
      <c r="DV124" s="925"/>
      <c r="DW124" s="925"/>
      <c r="DX124" s="925"/>
      <c r="DY124" s="925"/>
      <c r="DZ124" s="925"/>
      <c r="EA124" s="925"/>
      <c r="EB124" s="925"/>
      <c r="EC124" s="925"/>
      <c r="ED124" s="925"/>
      <c r="EE124" s="925"/>
      <c r="EF124" s="925"/>
      <c r="EG124" s="446"/>
    </row>
    <row r="125" spans="1:137" ht="13" x14ac:dyDescent="0.15">
      <c r="A125" s="917"/>
      <c r="B125" s="917"/>
      <c r="C125" s="918"/>
      <c r="D125" s="919"/>
      <c r="E125" s="920"/>
      <c r="F125" s="921"/>
      <c r="G125" s="922"/>
      <c r="H125" s="922"/>
      <c r="I125" s="922"/>
      <c r="J125" s="923"/>
      <c r="K125" s="923"/>
      <c r="L125" s="924"/>
      <c r="M125" s="925"/>
      <c r="N125" s="925"/>
      <c r="O125" s="925"/>
      <c r="P125" s="925"/>
      <c r="Q125" s="925"/>
      <c r="R125" s="926"/>
      <c r="S125" s="926"/>
      <c r="T125" s="925"/>
      <c r="U125" s="925"/>
      <c r="V125" s="925"/>
      <c r="W125" s="925"/>
      <c r="X125" s="925"/>
      <c r="Y125" s="925"/>
      <c r="Z125" s="925"/>
      <c r="AA125" s="925"/>
      <c r="AB125" s="925"/>
      <c r="AC125" s="925"/>
      <c r="AD125" s="925"/>
      <c r="AE125" s="925"/>
      <c r="AF125" s="925"/>
      <c r="AG125" s="925"/>
      <c r="AH125" s="925"/>
      <c r="AI125" s="925"/>
      <c r="AJ125" s="925"/>
      <c r="AK125" s="925"/>
      <c r="AL125" s="925"/>
      <c r="AM125" s="925"/>
      <c r="AN125" s="925"/>
      <c r="AO125" s="925"/>
      <c r="AP125" s="925"/>
      <c r="AQ125" s="925"/>
      <c r="AR125" s="925"/>
      <c r="AS125" s="925"/>
      <c r="AT125" s="925"/>
      <c r="AU125" s="925"/>
      <c r="AV125" s="925"/>
      <c r="AW125" s="925"/>
      <c r="AX125" s="925"/>
      <c r="AY125" s="925"/>
      <c r="AZ125" s="925"/>
      <c r="BA125" s="925"/>
      <c r="BB125" s="925"/>
      <c r="BC125" s="925"/>
      <c r="BD125" s="925"/>
      <c r="BE125" s="925"/>
      <c r="BF125" s="925"/>
      <c r="BG125" s="925"/>
      <c r="BH125" s="925"/>
      <c r="BI125" s="925"/>
      <c r="BJ125" s="925"/>
      <c r="BK125" s="925"/>
      <c r="BL125" s="925"/>
      <c r="BM125" s="925"/>
      <c r="BN125" s="925"/>
      <c r="BO125" s="925"/>
      <c r="BP125" s="925"/>
      <c r="BQ125" s="925"/>
      <c r="BR125" s="925"/>
      <c r="BS125" s="925"/>
      <c r="BT125" s="925"/>
      <c r="BU125" s="925"/>
      <c r="BV125" s="925"/>
      <c r="BW125" s="925"/>
      <c r="BX125" s="925"/>
      <c r="BY125" s="925"/>
      <c r="BZ125" s="925"/>
      <c r="CA125" s="925"/>
      <c r="CB125" s="925"/>
      <c r="CC125" s="925"/>
      <c r="CD125" s="925"/>
      <c r="CE125" s="925"/>
      <c r="CF125" s="925"/>
      <c r="CG125" s="925"/>
      <c r="CH125" s="925"/>
      <c r="CI125" s="925"/>
      <c r="CJ125" s="925"/>
      <c r="CK125" s="925"/>
      <c r="CL125" s="925"/>
      <c r="CM125" s="925"/>
      <c r="CN125" s="925"/>
      <c r="CO125" s="925"/>
      <c r="CP125" s="925"/>
      <c r="CQ125" s="925"/>
      <c r="CR125" s="925"/>
      <c r="CS125" s="925"/>
      <c r="CT125" s="925"/>
      <c r="CU125" s="925"/>
      <c r="CV125" s="925"/>
      <c r="CW125" s="925"/>
      <c r="CX125" s="925"/>
      <c r="CY125" s="925"/>
      <c r="CZ125" s="925"/>
      <c r="DA125" s="925"/>
      <c r="DB125" s="925"/>
      <c r="DC125" s="925"/>
      <c r="DD125" s="925"/>
      <c r="DE125" s="925"/>
      <c r="DF125" s="925"/>
      <c r="DG125" s="925"/>
      <c r="DH125" s="925"/>
      <c r="DI125" s="925"/>
      <c r="DJ125" s="925"/>
      <c r="DK125" s="925"/>
      <c r="DL125" s="925"/>
      <c r="DM125" s="925"/>
      <c r="DN125" s="925"/>
      <c r="DO125" s="925"/>
      <c r="DP125" s="925"/>
      <c r="DQ125" s="925"/>
      <c r="DR125" s="925"/>
      <c r="DS125" s="925"/>
      <c r="DT125" s="925"/>
      <c r="DU125" s="925"/>
      <c r="DV125" s="925"/>
      <c r="DW125" s="925"/>
      <c r="DX125" s="925"/>
      <c r="DY125" s="925"/>
      <c r="DZ125" s="925"/>
      <c r="EA125" s="925"/>
      <c r="EB125" s="925"/>
      <c r="EC125" s="925"/>
      <c r="ED125" s="925"/>
      <c r="EE125" s="925"/>
      <c r="EF125" s="925"/>
      <c r="EG125" s="446"/>
    </row>
    <row r="126" spans="1:137" ht="13" x14ac:dyDescent="0.15">
      <c r="A126" s="917"/>
      <c r="B126" s="917"/>
      <c r="C126" s="918"/>
      <c r="D126" s="919"/>
      <c r="E126" s="920"/>
      <c r="F126" s="921"/>
      <c r="G126" s="922"/>
      <c r="H126" s="922"/>
      <c r="I126" s="922"/>
      <c r="J126" s="923"/>
      <c r="K126" s="923"/>
      <c r="L126" s="924"/>
      <c r="M126" s="925"/>
      <c r="N126" s="925"/>
      <c r="O126" s="925"/>
      <c r="P126" s="925"/>
      <c r="Q126" s="925"/>
      <c r="R126" s="926"/>
      <c r="S126" s="926"/>
      <c r="T126" s="925"/>
      <c r="U126" s="925"/>
      <c r="V126" s="925"/>
      <c r="W126" s="925"/>
      <c r="X126" s="925"/>
      <c r="Y126" s="925"/>
      <c r="Z126" s="925"/>
      <c r="AA126" s="925"/>
      <c r="AB126" s="925"/>
      <c r="AC126" s="925"/>
      <c r="AD126" s="925"/>
      <c r="AE126" s="925"/>
      <c r="AF126" s="925"/>
      <c r="AG126" s="925"/>
      <c r="AH126" s="925"/>
      <c r="AI126" s="925"/>
      <c r="AJ126" s="925"/>
      <c r="AK126" s="925"/>
      <c r="AL126" s="925"/>
      <c r="AM126" s="925"/>
      <c r="AN126" s="925"/>
      <c r="AO126" s="925"/>
      <c r="AP126" s="925"/>
      <c r="AQ126" s="925"/>
      <c r="AR126" s="925"/>
      <c r="AS126" s="925"/>
      <c r="AT126" s="925"/>
      <c r="AU126" s="925"/>
      <c r="AV126" s="925"/>
      <c r="AW126" s="925"/>
      <c r="AX126" s="925"/>
      <c r="AY126" s="925"/>
      <c r="AZ126" s="925"/>
      <c r="BA126" s="925"/>
      <c r="BB126" s="925"/>
      <c r="BC126" s="925"/>
      <c r="BD126" s="925"/>
      <c r="BE126" s="925"/>
      <c r="BF126" s="925"/>
      <c r="BG126" s="925"/>
      <c r="BH126" s="925"/>
      <c r="BI126" s="925"/>
      <c r="BJ126" s="925"/>
      <c r="BK126" s="925"/>
      <c r="BL126" s="925"/>
      <c r="BM126" s="925"/>
      <c r="BN126" s="925"/>
      <c r="BO126" s="925"/>
      <c r="BP126" s="925"/>
      <c r="BQ126" s="925"/>
      <c r="BR126" s="925"/>
      <c r="BS126" s="925"/>
      <c r="BT126" s="925"/>
      <c r="BU126" s="925"/>
      <c r="BV126" s="925"/>
      <c r="BW126" s="925"/>
      <c r="BX126" s="925"/>
      <c r="BY126" s="925"/>
      <c r="BZ126" s="925"/>
      <c r="CA126" s="925"/>
      <c r="CB126" s="925"/>
      <c r="CC126" s="925"/>
      <c r="CD126" s="925"/>
      <c r="CE126" s="925"/>
      <c r="CF126" s="925"/>
      <c r="CG126" s="925"/>
      <c r="CH126" s="925"/>
      <c r="CI126" s="925"/>
      <c r="CJ126" s="925"/>
      <c r="CK126" s="925"/>
      <c r="CL126" s="925"/>
      <c r="CM126" s="925"/>
      <c r="CN126" s="925"/>
      <c r="CO126" s="925"/>
      <c r="CP126" s="925"/>
      <c r="CQ126" s="925"/>
      <c r="CR126" s="925"/>
      <c r="CS126" s="925"/>
      <c r="CT126" s="925"/>
      <c r="CU126" s="925"/>
      <c r="CV126" s="925"/>
      <c r="CW126" s="925"/>
      <c r="CX126" s="925"/>
      <c r="CY126" s="925"/>
      <c r="CZ126" s="925"/>
      <c r="DA126" s="925"/>
      <c r="DB126" s="925"/>
      <c r="DC126" s="925"/>
      <c r="DD126" s="925"/>
      <c r="DE126" s="925"/>
      <c r="DF126" s="925"/>
      <c r="DG126" s="925"/>
      <c r="DH126" s="925"/>
      <c r="DI126" s="925"/>
      <c r="DJ126" s="925"/>
      <c r="DK126" s="925"/>
      <c r="DL126" s="925"/>
      <c r="DM126" s="925"/>
      <c r="DN126" s="925"/>
      <c r="DO126" s="925"/>
      <c r="DP126" s="925"/>
      <c r="DQ126" s="925"/>
      <c r="DR126" s="925"/>
      <c r="DS126" s="925"/>
      <c r="DT126" s="925"/>
      <c r="DU126" s="925"/>
      <c r="DV126" s="925"/>
      <c r="DW126" s="925"/>
      <c r="DX126" s="925"/>
      <c r="DY126" s="925"/>
      <c r="DZ126" s="925"/>
      <c r="EA126" s="925"/>
      <c r="EB126" s="925"/>
      <c r="EC126" s="925"/>
      <c r="ED126" s="925"/>
      <c r="EE126" s="925"/>
      <c r="EF126" s="925"/>
      <c r="EG126" s="446"/>
    </row>
    <row r="127" spans="1:137" ht="13" x14ac:dyDescent="0.15">
      <c r="A127" s="917"/>
      <c r="B127" s="917"/>
      <c r="C127" s="918"/>
      <c r="D127" s="919"/>
      <c r="E127" s="920"/>
      <c r="F127" s="921"/>
      <c r="G127" s="922"/>
      <c r="H127" s="922"/>
      <c r="I127" s="922"/>
      <c r="J127" s="923"/>
      <c r="K127" s="923"/>
      <c r="L127" s="924"/>
      <c r="M127" s="925"/>
      <c r="N127" s="925"/>
      <c r="O127" s="925"/>
      <c r="P127" s="925"/>
      <c r="Q127" s="925"/>
      <c r="R127" s="926"/>
      <c r="S127" s="926"/>
      <c r="T127" s="925"/>
      <c r="U127" s="925"/>
      <c r="V127" s="925"/>
      <c r="W127" s="925"/>
      <c r="X127" s="925"/>
      <c r="Y127" s="925"/>
      <c r="Z127" s="925"/>
      <c r="AA127" s="925"/>
      <c r="AB127" s="925"/>
      <c r="AC127" s="925"/>
      <c r="AD127" s="925"/>
      <c r="AE127" s="925"/>
      <c r="AF127" s="925"/>
      <c r="AG127" s="925"/>
      <c r="AH127" s="925"/>
      <c r="AI127" s="925"/>
      <c r="AJ127" s="925"/>
      <c r="AK127" s="925"/>
      <c r="AL127" s="925"/>
      <c r="AM127" s="925"/>
      <c r="AN127" s="925"/>
      <c r="AO127" s="925"/>
      <c r="AP127" s="925"/>
      <c r="AQ127" s="925"/>
      <c r="AR127" s="925"/>
      <c r="AS127" s="925"/>
      <c r="AT127" s="925"/>
      <c r="AU127" s="925"/>
      <c r="AV127" s="925"/>
      <c r="AW127" s="925"/>
      <c r="AX127" s="925"/>
      <c r="AY127" s="925"/>
      <c r="AZ127" s="925"/>
      <c r="BA127" s="925"/>
      <c r="BB127" s="925"/>
      <c r="BC127" s="925"/>
      <c r="BD127" s="925"/>
      <c r="BE127" s="925"/>
      <c r="BF127" s="925"/>
      <c r="BG127" s="925"/>
      <c r="BH127" s="925"/>
      <c r="BI127" s="925"/>
      <c r="BJ127" s="925"/>
      <c r="BK127" s="925"/>
      <c r="BL127" s="925"/>
      <c r="BM127" s="925"/>
      <c r="BN127" s="925"/>
      <c r="BO127" s="925"/>
      <c r="BP127" s="925"/>
      <c r="BQ127" s="925"/>
      <c r="BR127" s="925"/>
      <c r="BS127" s="925"/>
      <c r="BT127" s="925"/>
      <c r="BU127" s="925"/>
      <c r="BV127" s="925"/>
      <c r="BW127" s="925"/>
      <c r="BX127" s="925"/>
      <c r="BY127" s="925"/>
      <c r="BZ127" s="925"/>
      <c r="CA127" s="925"/>
      <c r="CB127" s="925"/>
      <c r="CC127" s="925"/>
      <c r="CD127" s="925"/>
      <c r="CE127" s="925"/>
      <c r="CF127" s="925"/>
      <c r="CG127" s="925"/>
      <c r="CH127" s="925"/>
      <c r="CI127" s="925"/>
      <c r="CJ127" s="925"/>
      <c r="CK127" s="925"/>
      <c r="CL127" s="925"/>
      <c r="CM127" s="925"/>
      <c r="CN127" s="925"/>
      <c r="CO127" s="925"/>
      <c r="CP127" s="925"/>
      <c r="CQ127" s="925"/>
      <c r="CR127" s="925"/>
      <c r="CS127" s="925"/>
      <c r="CT127" s="925"/>
      <c r="CU127" s="925"/>
      <c r="CV127" s="925"/>
      <c r="CW127" s="925"/>
      <c r="CX127" s="925"/>
      <c r="CY127" s="925"/>
      <c r="CZ127" s="925"/>
      <c r="DA127" s="925"/>
      <c r="DB127" s="925"/>
      <c r="DC127" s="925"/>
      <c r="DD127" s="925"/>
      <c r="DE127" s="925"/>
      <c r="DF127" s="925"/>
      <c r="DG127" s="925"/>
      <c r="DH127" s="925"/>
      <c r="DI127" s="925"/>
      <c r="DJ127" s="925"/>
      <c r="DK127" s="925"/>
      <c r="DL127" s="925"/>
      <c r="DM127" s="925"/>
      <c r="DN127" s="925"/>
      <c r="DO127" s="925"/>
      <c r="DP127" s="925"/>
      <c r="DQ127" s="925"/>
      <c r="DR127" s="925"/>
      <c r="DS127" s="925"/>
      <c r="DT127" s="925"/>
      <c r="DU127" s="925"/>
      <c r="DV127" s="925"/>
      <c r="DW127" s="925"/>
      <c r="DX127" s="925"/>
      <c r="DY127" s="925"/>
      <c r="DZ127" s="925"/>
      <c r="EA127" s="925"/>
      <c r="EB127" s="925"/>
      <c r="EC127" s="925"/>
      <c r="ED127" s="925"/>
      <c r="EE127" s="925"/>
      <c r="EF127" s="925"/>
      <c r="EG127" s="446"/>
    </row>
    <row r="128" spans="1:137" ht="13" x14ac:dyDescent="0.15">
      <c r="A128" s="917"/>
      <c r="B128" s="917"/>
      <c r="C128" s="918"/>
      <c r="D128" s="919"/>
      <c r="E128" s="920"/>
      <c r="F128" s="921"/>
      <c r="G128" s="922"/>
      <c r="H128" s="922"/>
      <c r="I128" s="922"/>
      <c r="J128" s="923"/>
      <c r="K128" s="923"/>
      <c r="L128" s="924"/>
      <c r="M128" s="925"/>
      <c r="N128" s="925"/>
      <c r="O128" s="925"/>
      <c r="P128" s="925"/>
      <c r="Q128" s="925"/>
      <c r="R128" s="926"/>
      <c r="S128" s="926"/>
      <c r="T128" s="925"/>
      <c r="U128" s="925"/>
      <c r="V128" s="925"/>
      <c r="W128" s="925"/>
      <c r="X128" s="925"/>
      <c r="Y128" s="925"/>
      <c r="Z128" s="925"/>
      <c r="AA128" s="925"/>
      <c r="AB128" s="925"/>
      <c r="AC128" s="925"/>
      <c r="AD128" s="925"/>
      <c r="AE128" s="925"/>
      <c r="AF128" s="925"/>
      <c r="AG128" s="925"/>
      <c r="AH128" s="925"/>
      <c r="AI128" s="925"/>
      <c r="AJ128" s="925"/>
      <c r="AK128" s="925"/>
      <c r="AL128" s="925"/>
      <c r="AM128" s="925"/>
      <c r="AN128" s="925"/>
      <c r="AO128" s="925"/>
      <c r="AP128" s="925"/>
      <c r="AQ128" s="925"/>
      <c r="AR128" s="925"/>
      <c r="AS128" s="925"/>
      <c r="AT128" s="925"/>
      <c r="AU128" s="925"/>
      <c r="AV128" s="925"/>
      <c r="AW128" s="925"/>
      <c r="AX128" s="925"/>
      <c r="AY128" s="925"/>
      <c r="AZ128" s="925"/>
      <c r="BA128" s="925"/>
      <c r="BB128" s="925"/>
      <c r="BC128" s="925"/>
      <c r="BD128" s="925"/>
      <c r="BE128" s="925"/>
      <c r="BF128" s="925"/>
      <c r="BG128" s="925"/>
      <c r="BH128" s="925"/>
      <c r="BI128" s="925"/>
      <c r="BJ128" s="925"/>
      <c r="BK128" s="925"/>
      <c r="BL128" s="925"/>
      <c r="BM128" s="925"/>
      <c r="BN128" s="925"/>
      <c r="BO128" s="925"/>
      <c r="BP128" s="925"/>
      <c r="BQ128" s="925"/>
      <c r="BR128" s="925"/>
      <c r="BS128" s="925"/>
      <c r="BT128" s="925"/>
      <c r="BU128" s="925"/>
      <c r="BV128" s="925"/>
      <c r="BW128" s="925"/>
      <c r="BX128" s="925"/>
      <c r="BY128" s="925"/>
      <c r="BZ128" s="925"/>
      <c r="CA128" s="925"/>
      <c r="CB128" s="925"/>
      <c r="CC128" s="925"/>
      <c r="CD128" s="925"/>
      <c r="CE128" s="925"/>
      <c r="CF128" s="925"/>
      <c r="CG128" s="925"/>
      <c r="CH128" s="925"/>
      <c r="CI128" s="925"/>
      <c r="CJ128" s="925"/>
      <c r="CK128" s="925"/>
      <c r="CL128" s="925"/>
      <c r="CM128" s="925"/>
      <c r="CN128" s="925"/>
      <c r="CO128" s="925"/>
      <c r="CP128" s="925"/>
      <c r="CQ128" s="925"/>
      <c r="CR128" s="925"/>
      <c r="CS128" s="925"/>
      <c r="CT128" s="925"/>
      <c r="CU128" s="925"/>
      <c r="CV128" s="925"/>
      <c r="CW128" s="925"/>
      <c r="CX128" s="925"/>
      <c r="CY128" s="925"/>
      <c r="CZ128" s="925"/>
      <c r="DA128" s="925"/>
      <c r="DB128" s="925"/>
      <c r="DC128" s="925"/>
      <c r="DD128" s="925"/>
      <c r="DE128" s="925"/>
      <c r="DF128" s="925"/>
      <c r="DG128" s="925"/>
      <c r="DH128" s="925"/>
      <c r="DI128" s="925"/>
      <c r="DJ128" s="925"/>
      <c r="DK128" s="925"/>
      <c r="DL128" s="925"/>
      <c r="DM128" s="925"/>
      <c r="DN128" s="925"/>
      <c r="DO128" s="925"/>
      <c r="DP128" s="925"/>
      <c r="DQ128" s="925"/>
      <c r="DR128" s="925"/>
      <c r="DS128" s="925"/>
      <c r="DT128" s="925"/>
      <c r="DU128" s="925"/>
      <c r="DV128" s="925"/>
      <c r="DW128" s="925"/>
      <c r="DX128" s="925"/>
      <c r="DY128" s="925"/>
      <c r="DZ128" s="925"/>
      <c r="EA128" s="925"/>
      <c r="EB128" s="925"/>
      <c r="EC128" s="925"/>
      <c r="ED128" s="925"/>
      <c r="EE128" s="925"/>
      <c r="EF128" s="925"/>
      <c r="EG128" s="446"/>
    </row>
    <row r="129" spans="1:137" ht="13" x14ac:dyDescent="0.15">
      <c r="A129" s="917"/>
      <c r="B129" s="917"/>
      <c r="C129" s="918"/>
      <c r="D129" s="919"/>
      <c r="E129" s="920"/>
      <c r="F129" s="921"/>
      <c r="G129" s="922"/>
      <c r="H129" s="922"/>
      <c r="I129" s="922"/>
      <c r="J129" s="923"/>
      <c r="K129" s="923"/>
      <c r="L129" s="924"/>
      <c r="M129" s="925"/>
      <c r="N129" s="925"/>
      <c r="O129" s="925"/>
      <c r="P129" s="925"/>
      <c r="Q129" s="925"/>
      <c r="R129" s="926"/>
      <c r="S129" s="926"/>
      <c r="T129" s="925"/>
      <c r="U129" s="925"/>
      <c r="V129" s="925"/>
      <c r="W129" s="925"/>
      <c r="X129" s="925"/>
      <c r="Y129" s="925"/>
      <c r="Z129" s="925"/>
      <c r="AA129" s="925"/>
      <c r="AB129" s="925"/>
      <c r="AC129" s="925"/>
      <c r="AD129" s="925"/>
      <c r="AE129" s="925"/>
      <c r="AF129" s="925"/>
      <c r="AG129" s="925"/>
      <c r="AH129" s="925"/>
      <c r="AI129" s="925"/>
      <c r="AJ129" s="925"/>
      <c r="AK129" s="925"/>
      <c r="AL129" s="925"/>
      <c r="AM129" s="925"/>
      <c r="AN129" s="925"/>
      <c r="AO129" s="925"/>
      <c r="AP129" s="925"/>
      <c r="AQ129" s="925"/>
      <c r="AR129" s="925"/>
      <c r="AS129" s="925"/>
      <c r="AT129" s="925"/>
      <c r="AU129" s="925"/>
      <c r="AV129" s="925"/>
      <c r="AW129" s="925"/>
      <c r="AX129" s="925"/>
      <c r="AY129" s="925"/>
      <c r="AZ129" s="925"/>
      <c r="BA129" s="925"/>
      <c r="BB129" s="925"/>
      <c r="BC129" s="925"/>
      <c r="BD129" s="925"/>
      <c r="BE129" s="925"/>
      <c r="BF129" s="925"/>
      <c r="BG129" s="925"/>
      <c r="BH129" s="925"/>
      <c r="BI129" s="925"/>
      <c r="BJ129" s="925"/>
      <c r="BK129" s="925"/>
      <c r="BL129" s="925"/>
      <c r="BM129" s="925"/>
      <c r="BN129" s="925"/>
      <c r="BO129" s="925"/>
      <c r="BP129" s="925"/>
      <c r="BQ129" s="925"/>
      <c r="BR129" s="925"/>
      <c r="BS129" s="925"/>
      <c r="BT129" s="925"/>
      <c r="BU129" s="925"/>
      <c r="BV129" s="925"/>
      <c r="BW129" s="925"/>
      <c r="BX129" s="925"/>
      <c r="BY129" s="925"/>
      <c r="BZ129" s="925"/>
      <c r="CA129" s="925"/>
      <c r="CB129" s="925"/>
      <c r="CC129" s="925"/>
      <c r="CD129" s="925"/>
      <c r="CE129" s="925"/>
      <c r="CF129" s="925"/>
      <c r="CG129" s="925"/>
      <c r="CH129" s="925"/>
      <c r="CI129" s="925"/>
      <c r="CJ129" s="925"/>
      <c r="CK129" s="925"/>
      <c r="CL129" s="925"/>
      <c r="CM129" s="925"/>
      <c r="CN129" s="925"/>
      <c r="CO129" s="925"/>
      <c r="CP129" s="925"/>
      <c r="CQ129" s="925"/>
      <c r="CR129" s="925"/>
      <c r="CS129" s="925"/>
      <c r="CT129" s="925"/>
      <c r="CU129" s="925"/>
      <c r="CV129" s="925"/>
      <c r="CW129" s="925"/>
      <c r="CX129" s="925"/>
      <c r="CY129" s="925"/>
      <c r="CZ129" s="925"/>
      <c r="DA129" s="925"/>
      <c r="DB129" s="925"/>
      <c r="DC129" s="925"/>
      <c r="DD129" s="925"/>
      <c r="DE129" s="925"/>
      <c r="DF129" s="925"/>
      <c r="DG129" s="925"/>
      <c r="DH129" s="925"/>
      <c r="DI129" s="925"/>
      <c r="DJ129" s="925"/>
      <c r="DK129" s="925"/>
      <c r="DL129" s="925"/>
      <c r="DM129" s="925"/>
      <c r="DN129" s="925"/>
      <c r="DO129" s="925"/>
      <c r="DP129" s="925"/>
      <c r="DQ129" s="925"/>
      <c r="DR129" s="925"/>
      <c r="DS129" s="925"/>
      <c r="DT129" s="925"/>
      <c r="DU129" s="925"/>
      <c r="DV129" s="925"/>
      <c r="DW129" s="925"/>
      <c r="DX129" s="925"/>
      <c r="DY129" s="925"/>
      <c r="DZ129" s="925"/>
      <c r="EA129" s="925"/>
      <c r="EB129" s="925"/>
      <c r="EC129" s="925"/>
      <c r="ED129" s="925"/>
      <c r="EE129" s="925"/>
      <c r="EF129" s="925"/>
      <c r="EG129" s="446"/>
    </row>
    <row r="130" spans="1:137" ht="13" x14ac:dyDescent="0.15">
      <c r="A130" s="917"/>
      <c r="B130" s="917"/>
      <c r="C130" s="918"/>
      <c r="D130" s="919"/>
      <c r="E130" s="920"/>
      <c r="F130" s="921"/>
      <c r="G130" s="922"/>
      <c r="H130" s="922"/>
      <c r="I130" s="922"/>
      <c r="J130" s="923"/>
      <c r="K130" s="923"/>
      <c r="L130" s="924"/>
      <c r="M130" s="925"/>
      <c r="N130" s="925"/>
      <c r="O130" s="925"/>
      <c r="P130" s="925"/>
      <c r="Q130" s="925"/>
      <c r="R130" s="926"/>
      <c r="S130" s="926"/>
      <c r="T130" s="925"/>
      <c r="U130" s="925"/>
      <c r="V130" s="925"/>
      <c r="W130" s="925"/>
      <c r="X130" s="925"/>
      <c r="Y130" s="925"/>
      <c r="Z130" s="925"/>
      <c r="AA130" s="925"/>
      <c r="AB130" s="925"/>
      <c r="AC130" s="925"/>
      <c r="AD130" s="925"/>
      <c r="AE130" s="925"/>
      <c r="AF130" s="925"/>
      <c r="AG130" s="925"/>
      <c r="AH130" s="925"/>
      <c r="AI130" s="925"/>
      <c r="AJ130" s="925"/>
      <c r="AK130" s="925"/>
      <c r="AL130" s="925"/>
      <c r="AM130" s="925"/>
      <c r="AN130" s="925"/>
      <c r="AO130" s="925"/>
      <c r="AP130" s="925"/>
      <c r="AQ130" s="925"/>
      <c r="AR130" s="925"/>
      <c r="AS130" s="925"/>
      <c r="AT130" s="925"/>
      <c r="AU130" s="925"/>
      <c r="AV130" s="925"/>
      <c r="AW130" s="925"/>
      <c r="AX130" s="925"/>
      <c r="AY130" s="925"/>
      <c r="AZ130" s="925"/>
      <c r="BA130" s="925"/>
      <c r="BB130" s="925"/>
      <c r="BC130" s="925"/>
      <c r="BD130" s="925"/>
      <c r="BE130" s="925"/>
      <c r="BF130" s="925"/>
      <c r="BG130" s="925"/>
      <c r="BH130" s="925"/>
      <c r="BI130" s="925"/>
      <c r="BJ130" s="925"/>
      <c r="BK130" s="925"/>
      <c r="BL130" s="925"/>
      <c r="BM130" s="925"/>
      <c r="BN130" s="925"/>
      <c r="BO130" s="925"/>
      <c r="BP130" s="925"/>
      <c r="BQ130" s="925"/>
      <c r="BR130" s="925"/>
      <c r="BS130" s="925"/>
      <c r="BT130" s="925"/>
      <c r="BU130" s="925"/>
      <c r="BV130" s="925"/>
      <c r="BW130" s="925"/>
      <c r="BX130" s="925"/>
      <c r="BY130" s="925"/>
      <c r="BZ130" s="925"/>
      <c r="CA130" s="925"/>
      <c r="CB130" s="925"/>
      <c r="CC130" s="925"/>
      <c r="CD130" s="925"/>
      <c r="CE130" s="925"/>
      <c r="CF130" s="925"/>
      <c r="CG130" s="925"/>
      <c r="CH130" s="925"/>
      <c r="CI130" s="925"/>
      <c r="CJ130" s="925"/>
      <c r="CK130" s="925"/>
      <c r="CL130" s="925"/>
      <c r="CM130" s="925"/>
      <c r="CN130" s="925"/>
      <c r="CO130" s="925"/>
      <c r="CP130" s="925"/>
      <c r="CQ130" s="925"/>
      <c r="CR130" s="925"/>
      <c r="CS130" s="925"/>
      <c r="CT130" s="925"/>
      <c r="CU130" s="925"/>
      <c r="CV130" s="925"/>
      <c r="CW130" s="925"/>
      <c r="CX130" s="925"/>
      <c r="CY130" s="925"/>
      <c r="CZ130" s="925"/>
      <c r="DA130" s="925"/>
      <c r="DB130" s="925"/>
      <c r="DC130" s="925"/>
      <c r="DD130" s="925"/>
      <c r="DE130" s="925"/>
      <c r="DF130" s="925"/>
      <c r="DG130" s="925"/>
      <c r="DH130" s="925"/>
      <c r="DI130" s="925"/>
      <c r="DJ130" s="925"/>
      <c r="DK130" s="925"/>
      <c r="DL130" s="925"/>
      <c r="DM130" s="925"/>
      <c r="DN130" s="925"/>
      <c r="DO130" s="925"/>
      <c r="DP130" s="925"/>
      <c r="DQ130" s="925"/>
      <c r="DR130" s="925"/>
      <c r="DS130" s="925"/>
      <c r="DT130" s="925"/>
      <c r="DU130" s="925"/>
      <c r="DV130" s="925"/>
      <c r="DW130" s="925"/>
      <c r="DX130" s="925"/>
      <c r="DY130" s="925"/>
      <c r="DZ130" s="925"/>
      <c r="EA130" s="925"/>
      <c r="EB130" s="925"/>
      <c r="EC130" s="925"/>
      <c r="ED130" s="925"/>
      <c r="EE130" s="925"/>
      <c r="EF130" s="925"/>
      <c r="EG130" s="446"/>
    </row>
    <row r="131" spans="1:137" ht="13" x14ac:dyDescent="0.15">
      <c r="A131" s="917"/>
      <c r="B131" s="917"/>
      <c r="C131" s="918"/>
      <c r="D131" s="919"/>
      <c r="E131" s="920"/>
      <c r="F131" s="921"/>
      <c r="G131" s="922"/>
      <c r="H131" s="922"/>
      <c r="I131" s="922"/>
      <c r="J131" s="923"/>
      <c r="K131" s="923"/>
      <c r="L131" s="924"/>
      <c r="M131" s="925"/>
      <c r="N131" s="925"/>
      <c r="O131" s="925"/>
      <c r="P131" s="925"/>
      <c r="Q131" s="925"/>
      <c r="R131" s="926"/>
      <c r="S131" s="926"/>
      <c r="T131" s="925"/>
      <c r="U131" s="925"/>
      <c r="V131" s="925"/>
      <c r="W131" s="925"/>
      <c r="X131" s="925"/>
      <c r="Y131" s="925"/>
      <c r="Z131" s="925"/>
      <c r="AA131" s="925"/>
      <c r="AB131" s="925"/>
      <c r="AC131" s="925"/>
      <c r="AD131" s="925"/>
      <c r="AE131" s="925"/>
      <c r="AF131" s="925"/>
      <c r="AG131" s="925"/>
      <c r="AH131" s="925"/>
      <c r="AI131" s="925"/>
      <c r="AJ131" s="925"/>
      <c r="AK131" s="925"/>
      <c r="AL131" s="925"/>
      <c r="AM131" s="925"/>
      <c r="AN131" s="925"/>
      <c r="AO131" s="925"/>
      <c r="AP131" s="925"/>
      <c r="AQ131" s="925"/>
      <c r="AR131" s="925"/>
      <c r="AS131" s="925"/>
      <c r="AT131" s="925"/>
      <c r="AU131" s="925"/>
      <c r="AV131" s="925"/>
      <c r="AW131" s="925"/>
      <c r="AX131" s="925"/>
      <c r="AY131" s="925"/>
      <c r="AZ131" s="925"/>
      <c r="BA131" s="925"/>
      <c r="BB131" s="925"/>
      <c r="BC131" s="925"/>
      <c r="BD131" s="925"/>
      <c r="BE131" s="925"/>
      <c r="BF131" s="925"/>
      <c r="BG131" s="925"/>
      <c r="BH131" s="925"/>
      <c r="BI131" s="925"/>
      <c r="BJ131" s="925"/>
      <c r="BK131" s="925"/>
      <c r="BL131" s="925"/>
      <c r="BM131" s="925"/>
      <c r="BN131" s="925"/>
      <c r="BO131" s="925"/>
      <c r="BP131" s="925"/>
      <c r="BQ131" s="925"/>
      <c r="BR131" s="925"/>
      <c r="BS131" s="925"/>
      <c r="BT131" s="925"/>
      <c r="BU131" s="925"/>
      <c r="BV131" s="925"/>
      <c r="BW131" s="925"/>
      <c r="BX131" s="925"/>
      <c r="BY131" s="925"/>
      <c r="BZ131" s="925"/>
      <c r="CA131" s="925"/>
      <c r="CB131" s="925"/>
      <c r="CC131" s="925"/>
      <c r="CD131" s="925"/>
      <c r="CE131" s="925"/>
      <c r="CF131" s="925"/>
      <c r="CG131" s="925"/>
      <c r="CH131" s="925"/>
      <c r="CI131" s="925"/>
      <c r="CJ131" s="925"/>
      <c r="CK131" s="925"/>
      <c r="CL131" s="925"/>
      <c r="CM131" s="925"/>
      <c r="CN131" s="925"/>
      <c r="CO131" s="925"/>
      <c r="CP131" s="925"/>
      <c r="CQ131" s="925"/>
      <c r="CR131" s="925"/>
      <c r="CS131" s="925"/>
      <c r="CT131" s="925"/>
      <c r="CU131" s="925"/>
      <c r="CV131" s="925"/>
      <c r="CW131" s="925"/>
      <c r="CX131" s="925"/>
      <c r="CY131" s="925"/>
      <c r="CZ131" s="925"/>
      <c r="DA131" s="925"/>
      <c r="DB131" s="925"/>
      <c r="DC131" s="925"/>
      <c r="DD131" s="925"/>
      <c r="DE131" s="925"/>
      <c r="DF131" s="925"/>
      <c r="DG131" s="925"/>
      <c r="DH131" s="925"/>
      <c r="DI131" s="925"/>
      <c r="DJ131" s="925"/>
      <c r="DK131" s="925"/>
      <c r="DL131" s="925"/>
      <c r="DM131" s="925"/>
      <c r="DN131" s="925"/>
      <c r="DO131" s="925"/>
      <c r="DP131" s="925"/>
      <c r="DQ131" s="925"/>
      <c r="DR131" s="925"/>
      <c r="DS131" s="925"/>
      <c r="DT131" s="925"/>
      <c r="DU131" s="925"/>
      <c r="DV131" s="925"/>
      <c r="DW131" s="925"/>
      <c r="DX131" s="925"/>
      <c r="DY131" s="925"/>
      <c r="DZ131" s="925"/>
      <c r="EA131" s="925"/>
      <c r="EB131" s="925"/>
      <c r="EC131" s="925"/>
      <c r="ED131" s="925"/>
      <c r="EE131" s="925"/>
      <c r="EF131" s="925"/>
      <c r="EG131" s="446"/>
    </row>
    <row r="132" spans="1:137" ht="13" x14ac:dyDescent="0.15">
      <c r="A132" s="917"/>
      <c r="B132" s="917"/>
      <c r="C132" s="918"/>
      <c r="D132" s="919"/>
      <c r="E132" s="920"/>
      <c r="F132" s="921"/>
      <c r="G132" s="922"/>
      <c r="H132" s="922"/>
      <c r="I132" s="922"/>
      <c r="J132" s="923"/>
      <c r="K132" s="923"/>
      <c r="L132" s="924"/>
      <c r="M132" s="925"/>
      <c r="N132" s="925"/>
      <c r="O132" s="925"/>
      <c r="P132" s="925"/>
      <c r="Q132" s="925"/>
      <c r="R132" s="926"/>
      <c r="S132" s="926"/>
      <c r="T132" s="925"/>
      <c r="U132" s="925"/>
      <c r="V132" s="925"/>
      <c r="W132" s="925"/>
      <c r="X132" s="925"/>
      <c r="Y132" s="925"/>
      <c r="Z132" s="925"/>
      <c r="AA132" s="925"/>
      <c r="AB132" s="925"/>
      <c r="AC132" s="925"/>
      <c r="AD132" s="925"/>
      <c r="AE132" s="925"/>
      <c r="AF132" s="925"/>
      <c r="AG132" s="925"/>
      <c r="AH132" s="925"/>
      <c r="AI132" s="925"/>
      <c r="AJ132" s="925"/>
      <c r="AK132" s="925"/>
      <c r="AL132" s="925"/>
      <c r="AM132" s="925"/>
      <c r="AN132" s="925"/>
      <c r="AO132" s="925"/>
      <c r="AP132" s="925"/>
      <c r="AQ132" s="925"/>
      <c r="AR132" s="925"/>
      <c r="AS132" s="925"/>
      <c r="AT132" s="925"/>
      <c r="AU132" s="925"/>
      <c r="AV132" s="925"/>
      <c r="AW132" s="925"/>
      <c r="AX132" s="925"/>
      <c r="AY132" s="925"/>
      <c r="AZ132" s="925"/>
      <c r="BA132" s="925"/>
      <c r="BB132" s="925"/>
      <c r="BC132" s="925"/>
      <c r="BD132" s="925"/>
      <c r="BE132" s="925"/>
      <c r="BF132" s="925"/>
      <c r="BG132" s="925"/>
      <c r="BH132" s="925"/>
      <c r="BI132" s="925"/>
      <c r="BJ132" s="925"/>
      <c r="BK132" s="925"/>
      <c r="BL132" s="925"/>
      <c r="BM132" s="925"/>
      <c r="BN132" s="925"/>
      <c r="BO132" s="925"/>
      <c r="BP132" s="925"/>
      <c r="BQ132" s="925"/>
      <c r="BR132" s="925"/>
      <c r="BS132" s="925"/>
      <c r="BT132" s="925"/>
      <c r="BU132" s="925"/>
      <c r="BV132" s="925"/>
      <c r="BW132" s="925"/>
      <c r="BX132" s="925"/>
      <c r="BY132" s="925"/>
      <c r="BZ132" s="925"/>
      <c r="CA132" s="925"/>
      <c r="CB132" s="925"/>
      <c r="CC132" s="925"/>
      <c r="CD132" s="925"/>
      <c r="CE132" s="925"/>
      <c r="CF132" s="925"/>
      <c r="CG132" s="925"/>
      <c r="CH132" s="925"/>
      <c r="CI132" s="925"/>
      <c r="CJ132" s="925"/>
      <c r="CK132" s="925"/>
      <c r="CL132" s="925"/>
      <c r="CM132" s="925"/>
      <c r="CN132" s="925"/>
      <c r="CO132" s="925"/>
      <c r="CP132" s="925"/>
      <c r="CQ132" s="925"/>
      <c r="CR132" s="925"/>
      <c r="CS132" s="925"/>
      <c r="CT132" s="925"/>
      <c r="CU132" s="925"/>
      <c r="CV132" s="925"/>
      <c r="CW132" s="925"/>
      <c r="CX132" s="925"/>
      <c r="CY132" s="925"/>
      <c r="CZ132" s="925"/>
      <c r="DA132" s="925"/>
      <c r="DB132" s="925"/>
      <c r="DC132" s="925"/>
      <c r="DD132" s="925"/>
      <c r="DE132" s="925"/>
      <c r="DF132" s="925"/>
      <c r="DG132" s="925"/>
      <c r="DH132" s="925"/>
      <c r="DI132" s="925"/>
      <c r="DJ132" s="925"/>
      <c r="DK132" s="925"/>
      <c r="DL132" s="925"/>
      <c r="DM132" s="925"/>
      <c r="DN132" s="925"/>
      <c r="DO132" s="925"/>
      <c r="DP132" s="925"/>
      <c r="DQ132" s="925"/>
      <c r="DR132" s="925"/>
      <c r="DS132" s="925"/>
      <c r="DT132" s="925"/>
      <c r="DU132" s="925"/>
      <c r="DV132" s="925"/>
      <c r="DW132" s="925"/>
      <c r="DX132" s="925"/>
      <c r="DY132" s="925"/>
      <c r="DZ132" s="925"/>
      <c r="EA132" s="925"/>
      <c r="EB132" s="925"/>
      <c r="EC132" s="925"/>
      <c r="ED132" s="925"/>
      <c r="EE132" s="925"/>
      <c r="EF132" s="925"/>
      <c r="EG132" s="446"/>
    </row>
    <row r="133" spans="1:137" ht="13" x14ac:dyDescent="0.15">
      <c r="A133" s="917"/>
      <c r="B133" s="917"/>
      <c r="C133" s="918"/>
      <c r="D133" s="919"/>
      <c r="E133" s="920"/>
      <c r="F133" s="921"/>
      <c r="G133" s="922"/>
      <c r="H133" s="922"/>
      <c r="I133" s="922"/>
      <c r="J133" s="923"/>
      <c r="K133" s="923"/>
      <c r="L133" s="924"/>
      <c r="M133" s="925"/>
      <c r="N133" s="925"/>
      <c r="O133" s="925"/>
      <c r="P133" s="925"/>
      <c r="Q133" s="925"/>
      <c r="R133" s="926"/>
      <c r="S133" s="926"/>
      <c r="T133" s="925"/>
      <c r="U133" s="925"/>
      <c r="V133" s="925"/>
      <c r="W133" s="925"/>
      <c r="X133" s="925"/>
      <c r="Y133" s="925"/>
      <c r="Z133" s="925"/>
      <c r="AA133" s="925"/>
      <c r="AB133" s="925"/>
      <c r="AC133" s="925"/>
      <c r="AD133" s="925"/>
      <c r="AE133" s="925"/>
      <c r="AF133" s="925"/>
      <c r="AG133" s="925"/>
      <c r="AH133" s="925"/>
      <c r="AI133" s="925"/>
      <c r="AJ133" s="925"/>
      <c r="AK133" s="925"/>
      <c r="AL133" s="925"/>
      <c r="AM133" s="925"/>
      <c r="AN133" s="925"/>
      <c r="AO133" s="925"/>
      <c r="AP133" s="925"/>
      <c r="AQ133" s="925"/>
      <c r="AR133" s="925"/>
      <c r="AS133" s="925"/>
      <c r="AT133" s="925"/>
      <c r="AU133" s="925"/>
      <c r="AV133" s="925"/>
      <c r="AW133" s="925"/>
      <c r="AX133" s="925"/>
      <c r="AY133" s="925"/>
      <c r="AZ133" s="925"/>
      <c r="BA133" s="925"/>
      <c r="BB133" s="925"/>
      <c r="BC133" s="925"/>
      <c r="BD133" s="925"/>
      <c r="BE133" s="925"/>
      <c r="BF133" s="925"/>
      <c r="BG133" s="925"/>
      <c r="BH133" s="925"/>
      <c r="BI133" s="925"/>
      <c r="BJ133" s="925"/>
      <c r="BK133" s="925"/>
      <c r="BL133" s="925"/>
      <c r="BM133" s="925"/>
      <c r="BN133" s="925"/>
      <c r="BO133" s="925"/>
      <c r="BP133" s="925"/>
      <c r="BQ133" s="925"/>
      <c r="BR133" s="925"/>
      <c r="BS133" s="925"/>
      <c r="BT133" s="925"/>
      <c r="BU133" s="925"/>
      <c r="BV133" s="925"/>
      <c r="BW133" s="925"/>
      <c r="BX133" s="925"/>
      <c r="BY133" s="925"/>
      <c r="BZ133" s="925"/>
      <c r="CA133" s="925"/>
      <c r="CB133" s="925"/>
      <c r="CC133" s="925"/>
      <c r="CD133" s="925"/>
      <c r="CE133" s="925"/>
      <c r="CF133" s="925"/>
      <c r="CG133" s="925"/>
      <c r="CH133" s="925"/>
      <c r="CI133" s="925"/>
      <c r="CJ133" s="925"/>
      <c r="CK133" s="925"/>
      <c r="CL133" s="925"/>
      <c r="CM133" s="925"/>
      <c r="CN133" s="925"/>
      <c r="CO133" s="925"/>
      <c r="CP133" s="925"/>
      <c r="CQ133" s="925"/>
      <c r="CR133" s="925"/>
      <c r="CS133" s="925"/>
      <c r="CT133" s="925"/>
      <c r="CU133" s="925"/>
      <c r="CV133" s="925"/>
      <c r="CW133" s="925"/>
      <c r="CX133" s="925"/>
      <c r="CY133" s="925"/>
      <c r="CZ133" s="925"/>
      <c r="DA133" s="925"/>
      <c r="DB133" s="925"/>
      <c r="DC133" s="925"/>
      <c r="DD133" s="925"/>
      <c r="DE133" s="925"/>
      <c r="DF133" s="925"/>
      <c r="DG133" s="925"/>
      <c r="DH133" s="925"/>
      <c r="DI133" s="925"/>
      <c r="DJ133" s="925"/>
      <c r="DK133" s="925"/>
      <c r="DL133" s="925"/>
      <c r="DM133" s="925"/>
      <c r="DN133" s="925"/>
      <c r="DO133" s="925"/>
      <c r="DP133" s="925"/>
      <c r="DQ133" s="925"/>
      <c r="DR133" s="925"/>
      <c r="DS133" s="925"/>
      <c r="DT133" s="925"/>
      <c r="DU133" s="925"/>
      <c r="DV133" s="925"/>
      <c r="DW133" s="925"/>
      <c r="DX133" s="925"/>
      <c r="DY133" s="925"/>
      <c r="DZ133" s="925"/>
      <c r="EA133" s="925"/>
      <c r="EB133" s="925"/>
      <c r="EC133" s="925"/>
      <c r="ED133" s="925"/>
      <c r="EE133" s="925"/>
      <c r="EF133" s="925"/>
      <c r="EG133" s="446"/>
    </row>
    <row r="134" spans="1:137" ht="13" x14ac:dyDescent="0.15">
      <c r="A134" s="917"/>
      <c r="B134" s="917"/>
      <c r="C134" s="918"/>
      <c r="D134" s="919"/>
      <c r="E134" s="920"/>
      <c r="F134" s="921"/>
      <c r="G134" s="922"/>
      <c r="H134" s="922"/>
      <c r="I134" s="922"/>
      <c r="J134" s="923"/>
      <c r="K134" s="923"/>
      <c r="L134" s="924"/>
      <c r="M134" s="925"/>
      <c r="N134" s="925"/>
      <c r="O134" s="925"/>
      <c r="P134" s="925"/>
      <c r="Q134" s="925"/>
      <c r="R134" s="926"/>
      <c r="S134" s="926"/>
      <c r="T134" s="925"/>
      <c r="U134" s="925"/>
      <c r="V134" s="925"/>
      <c r="W134" s="925"/>
      <c r="X134" s="925"/>
      <c r="Y134" s="925"/>
      <c r="Z134" s="925"/>
      <c r="AA134" s="925"/>
      <c r="AB134" s="925"/>
      <c r="AC134" s="925"/>
      <c r="AD134" s="925"/>
      <c r="AE134" s="925"/>
      <c r="AF134" s="925"/>
      <c r="AG134" s="925"/>
      <c r="AH134" s="925"/>
      <c r="AI134" s="925"/>
      <c r="AJ134" s="925"/>
      <c r="AK134" s="925"/>
      <c r="AL134" s="925"/>
      <c r="AM134" s="925"/>
      <c r="AN134" s="925"/>
      <c r="AO134" s="925"/>
      <c r="AP134" s="925"/>
      <c r="AQ134" s="925"/>
      <c r="AR134" s="925"/>
      <c r="AS134" s="925"/>
      <c r="AT134" s="925"/>
      <c r="AU134" s="925"/>
      <c r="AV134" s="925"/>
      <c r="AW134" s="925"/>
      <c r="AX134" s="925"/>
      <c r="AY134" s="925"/>
      <c r="AZ134" s="925"/>
      <c r="BA134" s="925"/>
      <c r="BB134" s="925"/>
      <c r="BC134" s="925"/>
      <c r="BD134" s="925"/>
      <c r="BE134" s="925"/>
      <c r="BF134" s="925"/>
      <c r="BG134" s="925"/>
      <c r="BH134" s="925"/>
      <c r="BI134" s="925"/>
      <c r="BJ134" s="925"/>
      <c r="BK134" s="925"/>
      <c r="BL134" s="925"/>
      <c r="BM134" s="925"/>
      <c r="BN134" s="925"/>
      <c r="BO134" s="925"/>
      <c r="BP134" s="925"/>
      <c r="BQ134" s="925"/>
      <c r="BR134" s="925"/>
      <c r="BS134" s="925"/>
      <c r="BT134" s="925"/>
      <c r="BU134" s="925"/>
      <c r="BV134" s="925"/>
      <c r="BW134" s="925"/>
      <c r="BX134" s="925"/>
      <c r="BY134" s="925"/>
      <c r="BZ134" s="925"/>
      <c r="CA134" s="925"/>
      <c r="CB134" s="925"/>
      <c r="CC134" s="925"/>
      <c r="CD134" s="925"/>
      <c r="CE134" s="925"/>
      <c r="CF134" s="925"/>
      <c r="CG134" s="925"/>
      <c r="CH134" s="925"/>
      <c r="CI134" s="925"/>
      <c r="CJ134" s="925"/>
      <c r="CK134" s="925"/>
      <c r="CL134" s="925"/>
      <c r="CM134" s="925"/>
      <c r="CN134" s="925"/>
      <c r="CO134" s="925"/>
      <c r="CP134" s="925"/>
      <c r="CQ134" s="925"/>
      <c r="CR134" s="925"/>
      <c r="CS134" s="925"/>
      <c r="CT134" s="925"/>
      <c r="CU134" s="925"/>
      <c r="CV134" s="925"/>
      <c r="CW134" s="925"/>
      <c r="CX134" s="925"/>
      <c r="CY134" s="925"/>
      <c r="CZ134" s="925"/>
      <c r="DA134" s="925"/>
      <c r="DB134" s="925"/>
      <c r="DC134" s="925"/>
      <c r="DD134" s="925"/>
      <c r="DE134" s="925"/>
      <c r="DF134" s="925"/>
      <c r="DG134" s="925"/>
      <c r="DH134" s="925"/>
      <c r="DI134" s="925"/>
      <c r="DJ134" s="925"/>
      <c r="DK134" s="925"/>
      <c r="DL134" s="925"/>
      <c r="DM134" s="925"/>
      <c r="DN134" s="925"/>
      <c r="DO134" s="925"/>
      <c r="DP134" s="925"/>
      <c r="DQ134" s="925"/>
      <c r="DR134" s="925"/>
      <c r="DS134" s="925"/>
      <c r="DT134" s="925"/>
      <c r="DU134" s="925"/>
      <c r="DV134" s="925"/>
      <c r="DW134" s="925"/>
      <c r="DX134" s="925"/>
      <c r="DY134" s="925"/>
      <c r="DZ134" s="925"/>
      <c r="EA134" s="925"/>
      <c r="EB134" s="925"/>
      <c r="EC134" s="925"/>
      <c r="ED134" s="925"/>
      <c r="EE134" s="925"/>
      <c r="EF134" s="925"/>
      <c r="EG134" s="446"/>
    </row>
    <row r="135" spans="1:137" ht="13" x14ac:dyDescent="0.15">
      <c r="A135" s="917"/>
      <c r="B135" s="917"/>
      <c r="C135" s="918"/>
      <c r="D135" s="919"/>
      <c r="E135" s="920"/>
      <c r="F135" s="921"/>
      <c r="G135" s="922"/>
      <c r="H135" s="922"/>
      <c r="I135" s="922"/>
      <c r="J135" s="923"/>
      <c r="K135" s="923"/>
      <c r="L135" s="924"/>
      <c r="M135" s="925"/>
      <c r="N135" s="925"/>
      <c r="O135" s="925"/>
      <c r="P135" s="925"/>
      <c r="Q135" s="925"/>
      <c r="R135" s="926"/>
      <c r="S135" s="926"/>
      <c r="T135" s="925"/>
      <c r="U135" s="925"/>
      <c r="V135" s="925"/>
      <c r="W135" s="925"/>
      <c r="X135" s="925"/>
      <c r="Y135" s="925"/>
      <c r="Z135" s="925"/>
      <c r="AA135" s="925"/>
      <c r="AB135" s="925"/>
      <c r="AC135" s="925"/>
      <c r="AD135" s="925"/>
      <c r="AE135" s="925"/>
      <c r="AF135" s="925"/>
      <c r="AG135" s="925"/>
      <c r="AH135" s="925"/>
      <c r="AI135" s="925"/>
      <c r="AJ135" s="925"/>
      <c r="AK135" s="925"/>
      <c r="AL135" s="925"/>
      <c r="AM135" s="925"/>
      <c r="AN135" s="925"/>
      <c r="AO135" s="925"/>
      <c r="AP135" s="925"/>
      <c r="AQ135" s="925"/>
      <c r="AR135" s="925"/>
      <c r="AS135" s="925"/>
      <c r="AT135" s="925"/>
      <c r="AU135" s="925"/>
      <c r="AV135" s="925"/>
      <c r="AW135" s="925"/>
      <c r="AX135" s="925"/>
      <c r="AY135" s="925"/>
      <c r="AZ135" s="925"/>
      <c r="BA135" s="925"/>
      <c r="BB135" s="925"/>
      <c r="BC135" s="925"/>
      <c r="BD135" s="925"/>
      <c r="BE135" s="925"/>
      <c r="BF135" s="925"/>
      <c r="BG135" s="925"/>
      <c r="BH135" s="925"/>
      <c r="BI135" s="925"/>
      <c r="BJ135" s="925"/>
      <c r="BK135" s="925"/>
      <c r="BL135" s="925"/>
      <c r="BM135" s="925"/>
      <c r="BN135" s="925"/>
      <c r="BO135" s="925"/>
      <c r="BP135" s="925"/>
      <c r="BQ135" s="925"/>
      <c r="BR135" s="925"/>
      <c r="BS135" s="925"/>
      <c r="BT135" s="925"/>
      <c r="BU135" s="925"/>
      <c r="BV135" s="925"/>
      <c r="BW135" s="925"/>
      <c r="BX135" s="925"/>
      <c r="BY135" s="925"/>
      <c r="BZ135" s="925"/>
      <c r="CA135" s="925"/>
      <c r="CB135" s="925"/>
      <c r="CC135" s="925"/>
      <c r="CD135" s="925"/>
      <c r="CE135" s="925"/>
      <c r="CF135" s="925"/>
      <c r="CG135" s="925"/>
      <c r="CH135" s="925"/>
      <c r="CI135" s="925"/>
      <c r="CJ135" s="925"/>
      <c r="CK135" s="925"/>
      <c r="CL135" s="925"/>
      <c r="CM135" s="925"/>
      <c r="CN135" s="925"/>
      <c r="CO135" s="925"/>
      <c r="CP135" s="925"/>
      <c r="CQ135" s="925"/>
      <c r="CR135" s="925"/>
      <c r="CS135" s="925"/>
      <c r="CT135" s="925"/>
      <c r="CU135" s="925"/>
      <c r="CV135" s="925"/>
      <c r="CW135" s="925"/>
      <c r="CX135" s="925"/>
      <c r="CY135" s="925"/>
      <c r="CZ135" s="925"/>
      <c r="DA135" s="925"/>
      <c r="DB135" s="925"/>
      <c r="DC135" s="925"/>
      <c r="DD135" s="925"/>
      <c r="DE135" s="925"/>
      <c r="DF135" s="925"/>
      <c r="DG135" s="925"/>
      <c r="DH135" s="925"/>
      <c r="DI135" s="925"/>
      <c r="DJ135" s="925"/>
      <c r="DK135" s="925"/>
      <c r="DL135" s="925"/>
      <c r="DM135" s="925"/>
      <c r="DN135" s="925"/>
      <c r="DO135" s="925"/>
      <c r="DP135" s="925"/>
      <c r="DQ135" s="925"/>
      <c r="DR135" s="925"/>
      <c r="DS135" s="925"/>
      <c r="DT135" s="925"/>
      <c r="DU135" s="925"/>
      <c r="DV135" s="925"/>
      <c r="DW135" s="925"/>
      <c r="DX135" s="925"/>
      <c r="DY135" s="925"/>
      <c r="DZ135" s="925"/>
      <c r="EA135" s="925"/>
      <c r="EB135" s="925"/>
      <c r="EC135" s="925"/>
      <c r="ED135" s="925"/>
      <c r="EE135" s="925"/>
      <c r="EF135" s="925"/>
      <c r="EG135" s="446"/>
    </row>
    <row r="136" spans="1:137" ht="13" x14ac:dyDescent="0.15">
      <c r="A136" s="917"/>
      <c r="B136" s="917"/>
      <c r="C136" s="918"/>
      <c r="D136" s="919"/>
      <c r="E136" s="920"/>
      <c r="F136" s="921"/>
      <c r="G136" s="922"/>
      <c r="H136" s="922"/>
      <c r="I136" s="922"/>
      <c r="J136" s="923"/>
      <c r="K136" s="923"/>
      <c r="L136" s="924"/>
      <c r="M136" s="925"/>
      <c r="N136" s="925"/>
      <c r="O136" s="925"/>
      <c r="P136" s="925"/>
      <c r="Q136" s="925"/>
      <c r="R136" s="926"/>
      <c r="S136" s="926"/>
      <c r="T136" s="925"/>
      <c r="U136" s="925"/>
      <c r="V136" s="925"/>
      <c r="W136" s="925"/>
      <c r="X136" s="925"/>
      <c r="Y136" s="925"/>
      <c r="Z136" s="925"/>
      <c r="AA136" s="925"/>
      <c r="AB136" s="925"/>
      <c r="AC136" s="925"/>
      <c r="AD136" s="925"/>
      <c r="AE136" s="925"/>
      <c r="AF136" s="925"/>
      <c r="AG136" s="925"/>
      <c r="AH136" s="925"/>
      <c r="AI136" s="925"/>
      <c r="AJ136" s="925"/>
      <c r="AK136" s="925"/>
      <c r="AL136" s="925"/>
      <c r="AM136" s="925"/>
      <c r="AN136" s="925"/>
      <c r="AO136" s="925"/>
      <c r="AP136" s="925"/>
      <c r="AQ136" s="925"/>
      <c r="AR136" s="925"/>
      <c r="AS136" s="925"/>
      <c r="AT136" s="925"/>
      <c r="AU136" s="925"/>
      <c r="AV136" s="925"/>
      <c r="AW136" s="925"/>
      <c r="AX136" s="925"/>
      <c r="AY136" s="925"/>
      <c r="AZ136" s="925"/>
      <c r="BA136" s="925"/>
      <c r="BB136" s="925"/>
      <c r="BC136" s="925"/>
      <c r="BD136" s="925"/>
      <c r="BE136" s="925"/>
      <c r="BF136" s="925"/>
      <c r="BG136" s="925"/>
      <c r="BH136" s="925"/>
      <c r="BI136" s="925"/>
      <c r="BJ136" s="925"/>
      <c r="BK136" s="925"/>
      <c r="BL136" s="925"/>
      <c r="BM136" s="925"/>
      <c r="BN136" s="925"/>
      <c r="BO136" s="925"/>
      <c r="BP136" s="925"/>
      <c r="BQ136" s="925"/>
      <c r="BR136" s="925"/>
      <c r="BS136" s="925"/>
      <c r="BT136" s="925"/>
      <c r="BU136" s="925"/>
      <c r="BV136" s="925"/>
      <c r="BW136" s="925"/>
      <c r="BX136" s="925"/>
      <c r="BY136" s="925"/>
      <c r="BZ136" s="925"/>
      <c r="CA136" s="925"/>
      <c r="CB136" s="925"/>
      <c r="CC136" s="925"/>
      <c r="CD136" s="925"/>
      <c r="CE136" s="925"/>
      <c r="CF136" s="925"/>
      <c r="CG136" s="925"/>
      <c r="CH136" s="925"/>
      <c r="CI136" s="925"/>
      <c r="CJ136" s="925"/>
      <c r="CK136" s="925"/>
      <c r="CL136" s="925"/>
      <c r="CM136" s="925"/>
      <c r="CN136" s="925"/>
      <c r="CO136" s="925"/>
      <c r="CP136" s="925"/>
      <c r="CQ136" s="925"/>
      <c r="CR136" s="925"/>
      <c r="CS136" s="925"/>
      <c r="CT136" s="925"/>
      <c r="CU136" s="925"/>
      <c r="CV136" s="925"/>
      <c r="CW136" s="925"/>
      <c r="CX136" s="925"/>
      <c r="CY136" s="925"/>
      <c r="CZ136" s="925"/>
      <c r="DA136" s="925"/>
      <c r="DB136" s="925"/>
      <c r="DC136" s="925"/>
      <c r="DD136" s="925"/>
      <c r="DE136" s="925"/>
      <c r="DF136" s="925"/>
      <c r="DG136" s="925"/>
      <c r="DH136" s="925"/>
      <c r="DI136" s="925"/>
      <c r="DJ136" s="925"/>
      <c r="DK136" s="925"/>
      <c r="DL136" s="925"/>
      <c r="DM136" s="925"/>
      <c r="DN136" s="925"/>
      <c r="DO136" s="925"/>
      <c r="DP136" s="925"/>
      <c r="DQ136" s="925"/>
      <c r="DR136" s="925"/>
      <c r="DS136" s="925"/>
      <c r="DT136" s="925"/>
      <c r="DU136" s="925"/>
      <c r="DV136" s="925"/>
      <c r="DW136" s="925"/>
      <c r="DX136" s="925"/>
      <c r="DY136" s="925"/>
      <c r="DZ136" s="925"/>
      <c r="EA136" s="925"/>
      <c r="EB136" s="925"/>
      <c r="EC136" s="925"/>
      <c r="ED136" s="925"/>
      <c r="EE136" s="925"/>
      <c r="EF136" s="925"/>
      <c r="EG136" s="446"/>
    </row>
    <row r="137" spans="1:137" ht="13" x14ac:dyDescent="0.15">
      <c r="A137" s="917"/>
      <c r="B137" s="917"/>
      <c r="C137" s="918"/>
      <c r="D137" s="919"/>
      <c r="E137" s="920"/>
      <c r="F137" s="921"/>
      <c r="G137" s="922"/>
      <c r="H137" s="922"/>
      <c r="I137" s="922"/>
      <c r="J137" s="923"/>
      <c r="K137" s="923"/>
      <c r="L137" s="924"/>
      <c r="M137" s="925"/>
      <c r="N137" s="925"/>
      <c r="O137" s="925"/>
      <c r="P137" s="925"/>
      <c r="Q137" s="925"/>
      <c r="R137" s="926"/>
      <c r="S137" s="926"/>
      <c r="T137" s="925"/>
      <c r="U137" s="925"/>
      <c r="V137" s="925"/>
      <c r="W137" s="925"/>
      <c r="X137" s="925"/>
      <c r="Y137" s="925"/>
      <c r="Z137" s="925"/>
      <c r="AA137" s="925"/>
      <c r="AB137" s="925"/>
      <c r="AC137" s="925"/>
      <c r="AD137" s="925"/>
      <c r="AE137" s="925"/>
      <c r="AF137" s="925"/>
      <c r="AG137" s="925"/>
      <c r="AH137" s="925"/>
      <c r="AI137" s="925"/>
      <c r="AJ137" s="925"/>
      <c r="AK137" s="925"/>
      <c r="AL137" s="925"/>
      <c r="AM137" s="925"/>
      <c r="AN137" s="925"/>
      <c r="AO137" s="925"/>
      <c r="AP137" s="925"/>
      <c r="AQ137" s="925"/>
      <c r="AR137" s="925"/>
      <c r="AS137" s="925"/>
      <c r="AT137" s="925"/>
      <c r="AU137" s="925"/>
      <c r="AV137" s="925"/>
      <c r="AW137" s="925"/>
      <c r="AX137" s="925"/>
      <c r="AY137" s="925"/>
      <c r="AZ137" s="925"/>
      <c r="BA137" s="925"/>
      <c r="BB137" s="925"/>
      <c r="BC137" s="925"/>
      <c r="BD137" s="925"/>
      <c r="BE137" s="925"/>
      <c r="BF137" s="925"/>
      <c r="BG137" s="925"/>
      <c r="BH137" s="925"/>
      <c r="BI137" s="925"/>
      <c r="BJ137" s="925"/>
      <c r="BK137" s="925"/>
      <c r="BL137" s="925"/>
      <c r="BM137" s="925"/>
      <c r="BN137" s="925"/>
      <c r="BO137" s="925"/>
      <c r="BP137" s="925"/>
      <c r="BQ137" s="925"/>
      <c r="BR137" s="925"/>
      <c r="BS137" s="925"/>
      <c r="BT137" s="925"/>
      <c r="BU137" s="925"/>
      <c r="BV137" s="925"/>
      <c r="BW137" s="925"/>
      <c r="BX137" s="925"/>
      <c r="BY137" s="925"/>
      <c r="BZ137" s="925"/>
      <c r="CA137" s="925"/>
      <c r="CB137" s="925"/>
      <c r="CC137" s="925"/>
      <c r="CD137" s="925"/>
      <c r="CE137" s="925"/>
      <c r="CF137" s="925"/>
      <c r="CG137" s="925"/>
      <c r="CH137" s="925"/>
      <c r="CI137" s="925"/>
      <c r="CJ137" s="925"/>
      <c r="CK137" s="925"/>
      <c r="CL137" s="925"/>
      <c r="CM137" s="925"/>
      <c r="CN137" s="925"/>
      <c r="CO137" s="925"/>
      <c r="CP137" s="925"/>
      <c r="CQ137" s="925"/>
      <c r="CR137" s="925"/>
      <c r="CS137" s="925"/>
      <c r="CT137" s="925"/>
      <c r="CU137" s="925"/>
      <c r="CV137" s="925"/>
      <c r="CW137" s="925"/>
      <c r="CX137" s="925"/>
      <c r="CY137" s="925"/>
      <c r="CZ137" s="925"/>
      <c r="DA137" s="925"/>
      <c r="DB137" s="925"/>
      <c r="DC137" s="925"/>
      <c r="DD137" s="925"/>
      <c r="DE137" s="925"/>
      <c r="DF137" s="925"/>
      <c r="DG137" s="925"/>
      <c r="DH137" s="925"/>
      <c r="DI137" s="925"/>
      <c r="DJ137" s="925"/>
      <c r="DK137" s="925"/>
      <c r="DL137" s="925"/>
      <c r="DM137" s="925"/>
      <c r="DN137" s="925"/>
      <c r="DO137" s="925"/>
      <c r="DP137" s="925"/>
      <c r="DQ137" s="925"/>
      <c r="DR137" s="925"/>
      <c r="DS137" s="925"/>
      <c r="DT137" s="925"/>
      <c r="DU137" s="925"/>
      <c r="DV137" s="925"/>
      <c r="DW137" s="925"/>
      <c r="DX137" s="925"/>
      <c r="DY137" s="925"/>
      <c r="DZ137" s="925"/>
      <c r="EA137" s="925"/>
      <c r="EB137" s="925"/>
      <c r="EC137" s="925"/>
      <c r="ED137" s="925"/>
      <c r="EE137" s="925"/>
      <c r="EF137" s="925"/>
      <c r="EG137" s="446"/>
    </row>
    <row r="138" spans="1:137" ht="13" x14ac:dyDescent="0.15">
      <c r="A138" s="917"/>
      <c r="B138" s="917"/>
      <c r="C138" s="918"/>
      <c r="D138" s="919"/>
      <c r="E138" s="920"/>
      <c r="F138" s="921"/>
      <c r="G138" s="922"/>
      <c r="H138" s="922"/>
      <c r="I138" s="922"/>
      <c r="J138" s="923"/>
      <c r="K138" s="923"/>
      <c r="L138" s="924"/>
      <c r="M138" s="925"/>
      <c r="N138" s="925"/>
      <c r="O138" s="925"/>
      <c r="P138" s="925"/>
      <c r="Q138" s="925"/>
      <c r="R138" s="926"/>
      <c r="S138" s="926"/>
      <c r="T138" s="925"/>
      <c r="U138" s="925"/>
      <c r="V138" s="925"/>
      <c r="W138" s="925"/>
      <c r="X138" s="925"/>
      <c r="Y138" s="925"/>
      <c r="Z138" s="925"/>
      <c r="AA138" s="925"/>
      <c r="AB138" s="925"/>
      <c r="AC138" s="925"/>
      <c r="AD138" s="925"/>
      <c r="AE138" s="925"/>
      <c r="AF138" s="925"/>
      <c r="AG138" s="925"/>
      <c r="AH138" s="925"/>
      <c r="AI138" s="925"/>
      <c r="AJ138" s="925"/>
      <c r="AK138" s="925"/>
      <c r="AL138" s="925"/>
      <c r="AM138" s="925"/>
      <c r="AN138" s="925"/>
      <c r="AO138" s="925"/>
      <c r="AP138" s="925"/>
      <c r="AQ138" s="925"/>
      <c r="AR138" s="925"/>
      <c r="AS138" s="925"/>
      <c r="AT138" s="925"/>
      <c r="AU138" s="925"/>
      <c r="AV138" s="925"/>
      <c r="AW138" s="925"/>
      <c r="AX138" s="925"/>
      <c r="AY138" s="925"/>
      <c r="AZ138" s="925"/>
      <c r="BA138" s="925"/>
      <c r="BB138" s="925"/>
      <c r="BC138" s="925"/>
      <c r="BD138" s="925"/>
      <c r="BE138" s="925"/>
      <c r="BF138" s="925"/>
      <c r="BG138" s="925"/>
      <c r="BH138" s="925"/>
      <c r="BI138" s="925"/>
      <c r="BJ138" s="925"/>
      <c r="BK138" s="925"/>
      <c r="BL138" s="925"/>
      <c r="BM138" s="925"/>
      <c r="BN138" s="925"/>
      <c r="BO138" s="925"/>
      <c r="BP138" s="925"/>
      <c r="BQ138" s="925"/>
      <c r="BR138" s="925"/>
      <c r="BS138" s="925"/>
      <c r="BT138" s="925"/>
      <c r="BU138" s="925"/>
      <c r="BV138" s="925"/>
      <c r="BW138" s="925"/>
      <c r="BX138" s="925"/>
      <c r="BY138" s="925"/>
      <c r="BZ138" s="925"/>
      <c r="CA138" s="925"/>
      <c r="CB138" s="925"/>
      <c r="CC138" s="925"/>
      <c r="CD138" s="925"/>
      <c r="CE138" s="925"/>
      <c r="CF138" s="925"/>
      <c r="CG138" s="925"/>
      <c r="CH138" s="925"/>
      <c r="CI138" s="925"/>
      <c r="CJ138" s="925"/>
      <c r="CK138" s="925"/>
      <c r="CL138" s="925"/>
      <c r="CM138" s="925"/>
      <c r="CN138" s="925"/>
      <c r="CO138" s="925"/>
      <c r="CP138" s="925"/>
      <c r="CQ138" s="925"/>
      <c r="CR138" s="925"/>
      <c r="CS138" s="925"/>
      <c r="CT138" s="925"/>
      <c r="CU138" s="925"/>
      <c r="CV138" s="925"/>
      <c r="CW138" s="925"/>
      <c r="CX138" s="925"/>
      <c r="CY138" s="925"/>
      <c r="CZ138" s="925"/>
      <c r="DA138" s="925"/>
      <c r="DB138" s="925"/>
      <c r="DC138" s="925"/>
      <c r="DD138" s="925"/>
      <c r="DE138" s="925"/>
      <c r="DF138" s="925"/>
      <c r="DG138" s="925"/>
      <c r="DH138" s="925"/>
      <c r="DI138" s="925"/>
      <c r="DJ138" s="925"/>
      <c r="DK138" s="925"/>
      <c r="DL138" s="925"/>
      <c r="DM138" s="925"/>
      <c r="DN138" s="925"/>
      <c r="DO138" s="925"/>
      <c r="DP138" s="925"/>
      <c r="DQ138" s="925"/>
      <c r="DR138" s="925"/>
      <c r="DS138" s="925"/>
      <c r="DT138" s="925"/>
      <c r="DU138" s="925"/>
      <c r="DV138" s="925"/>
      <c r="DW138" s="925"/>
      <c r="DX138" s="925"/>
      <c r="DY138" s="925"/>
      <c r="DZ138" s="925"/>
      <c r="EA138" s="925"/>
      <c r="EB138" s="925"/>
      <c r="EC138" s="925"/>
      <c r="ED138" s="925"/>
      <c r="EE138" s="925"/>
      <c r="EF138" s="925"/>
      <c r="EG138" s="446"/>
    </row>
    <row r="139" spans="1:137" ht="13" x14ac:dyDescent="0.15">
      <c r="A139" s="917"/>
      <c r="B139" s="917"/>
      <c r="C139" s="918"/>
      <c r="D139" s="919"/>
      <c r="E139" s="920"/>
      <c r="F139" s="921"/>
      <c r="G139" s="922"/>
      <c r="H139" s="922"/>
      <c r="I139" s="922"/>
      <c r="J139" s="923"/>
      <c r="K139" s="923"/>
      <c r="L139" s="924"/>
      <c r="M139" s="925"/>
      <c r="N139" s="925"/>
      <c r="O139" s="925"/>
      <c r="P139" s="925"/>
      <c r="Q139" s="925"/>
      <c r="R139" s="926"/>
      <c r="S139" s="926"/>
      <c r="T139" s="925"/>
      <c r="U139" s="925"/>
      <c r="V139" s="925"/>
      <c r="W139" s="925"/>
      <c r="X139" s="925"/>
      <c r="Y139" s="925"/>
      <c r="Z139" s="925"/>
      <c r="AA139" s="925"/>
      <c r="AB139" s="925"/>
      <c r="AC139" s="925"/>
      <c r="AD139" s="925"/>
      <c r="AE139" s="925"/>
      <c r="AF139" s="925"/>
      <c r="AG139" s="925"/>
      <c r="AH139" s="925"/>
      <c r="AI139" s="925"/>
      <c r="AJ139" s="925"/>
      <c r="AK139" s="925"/>
      <c r="AL139" s="925"/>
      <c r="AM139" s="925"/>
      <c r="AN139" s="925"/>
      <c r="AO139" s="925"/>
      <c r="AP139" s="925"/>
      <c r="AQ139" s="925"/>
      <c r="AR139" s="925"/>
      <c r="AS139" s="925"/>
      <c r="AT139" s="925"/>
      <c r="AU139" s="925"/>
      <c r="AV139" s="925"/>
      <c r="AW139" s="925"/>
      <c r="AX139" s="925"/>
      <c r="AY139" s="925"/>
      <c r="AZ139" s="925"/>
      <c r="BA139" s="925"/>
      <c r="BB139" s="925"/>
      <c r="BC139" s="925"/>
      <c r="BD139" s="925"/>
      <c r="BE139" s="925"/>
      <c r="BF139" s="925"/>
      <c r="BG139" s="925"/>
      <c r="BH139" s="925"/>
      <c r="BI139" s="925"/>
      <c r="BJ139" s="925"/>
      <c r="BK139" s="925"/>
      <c r="BL139" s="925"/>
      <c r="BM139" s="925"/>
      <c r="BN139" s="925"/>
      <c r="BO139" s="925"/>
      <c r="BP139" s="925"/>
      <c r="BQ139" s="925"/>
      <c r="BR139" s="925"/>
      <c r="BS139" s="925"/>
      <c r="BT139" s="925"/>
      <c r="BU139" s="925"/>
      <c r="BV139" s="925"/>
      <c r="BW139" s="925"/>
      <c r="BX139" s="925"/>
      <c r="BY139" s="925"/>
      <c r="BZ139" s="925"/>
      <c r="CA139" s="925"/>
      <c r="CB139" s="925"/>
      <c r="CC139" s="925"/>
      <c r="CD139" s="925"/>
      <c r="CE139" s="925"/>
      <c r="CF139" s="925"/>
      <c r="CG139" s="925"/>
      <c r="CH139" s="925"/>
      <c r="CI139" s="925"/>
      <c r="CJ139" s="925"/>
      <c r="CK139" s="925"/>
      <c r="CL139" s="925"/>
      <c r="CM139" s="925"/>
      <c r="CN139" s="925"/>
      <c r="CO139" s="925"/>
      <c r="CP139" s="925"/>
      <c r="CQ139" s="925"/>
      <c r="CR139" s="925"/>
      <c r="CS139" s="925"/>
      <c r="CT139" s="925"/>
      <c r="CU139" s="925"/>
      <c r="CV139" s="925"/>
      <c r="CW139" s="925"/>
      <c r="CX139" s="925"/>
      <c r="CY139" s="925"/>
      <c r="CZ139" s="925"/>
      <c r="DA139" s="925"/>
      <c r="DB139" s="925"/>
      <c r="DC139" s="925"/>
      <c r="DD139" s="925"/>
      <c r="DE139" s="925"/>
      <c r="DF139" s="925"/>
      <c r="DG139" s="925"/>
      <c r="DH139" s="925"/>
      <c r="DI139" s="925"/>
      <c r="DJ139" s="925"/>
      <c r="DK139" s="925"/>
      <c r="DL139" s="925"/>
      <c r="DM139" s="925"/>
      <c r="DN139" s="925"/>
      <c r="DO139" s="925"/>
      <c r="DP139" s="925"/>
      <c r="DQ139" s="925"/>
      <c r="DR139" s="925"/>
      <c r="DS139" s="925"/>
      <c r="DT139" s="925"/>
      <c r="DU139" s="925"/>
      <c r="DV139" s="925"/>
      <c r="DW139" s="925"/>
      <c r="DX139" s="925"/>
      <c r="DY139" s="925"/>
      <c r="DZ139" s="925"/>
      <c r="EA139" s="925"/>
      <c r="EB139" s="925"/>
      <c r="EC139" s="925"/>
      <c r="ED139" s="925"/>
      <c r="EE139" s="925"/>
      <c r="EF139" s="925"/>
      <c r="EG139" s="446"/>
    </row>
    <row r="140" spans="1:137" ht="13" x14ac:dyDescent="0.15">
      <c r="A140" s="917"/>
      <c r="B140" s="917"/>
      <c r="C140" s="918"/>
      <c r="D140" s="919"/>
      <c r="E140" s="920"/>
      <c r="F140" s="921"/>
      <c r="G140" s="922"/>
      <c r="H140" s="922"/>
      <c r="I140" s="922"/>
      <c r="J140" s="923"/>
      <c r="K140" s="923"/>
      <c r="L140" s="924"/>
      <c r="M140" s="925"/>
      <c r="N140" s="925"/>
      <c r="O140" s="925"/>
      <c r="P140" s="925"/>
      <c r="Q140" s="925"/>
      <c r="R140" s="926"/>
      <c r="S140" s="926"/>
      <c r="T140" s="925"/>
      <c r="U140" s="925"/>
      <c r="V140" s="925"/>
      <c r="W140" s="925"/>
      <c r="X140" s="925"/>
      <c r="Y140" s="925"/>
      <c r="Z140" s="925"/>
      <c r="AA140" s="925"/>
      <c r="AB140" s="925"/>
      <c r="AC140" s="925"/>
      <c r="AD140" s="925"/>
      <c r="AE140" s="925"/>
      <c r="AF140" s="925"/>
      <c r="AG140" s="925"/>
      <c r="AH140" s="925"/>
      <c r="AI140" s="925"/>
      <c r="AJ140" s="925"/>
      <c r="AK140" s="925"/>
      <c r="AL140" s="925"/>
      <c r="AM140" s="925"/>
      <c r="AN140" s="925"/>
      <c r="AO140" s="925"/>
      <c r="AP140" s="925"/>
      <c r="AQ140" s="925"/>
      <c r="AR140" s="925"/>
      <c r="AS140" s="925"/>
      <c r="AT140" s="925"/>
      <c r="AU140" s="925"/>
      <c r="AV140" s="925"/>
      <c r="AW140" s="925"/>
      <c r="AX140" s="925"/>
      <c r="AY140" s="925"/>
      <c r="AZ140" s="925"/>
      <c r="BA140" s="925"/>
      <c r="BB140" s="925"/>
      <c r="BC140" s="925"/>
      <c r="BD140" s="925"/>
      <c r="BE140" s="925"/>
      <c r="BF140" s="925"/>
      <c r="BG140" s="925"/>
      <c r="BH140" s="925"/>
      <c r="BI140" s="925"/>
      <c r="BJ140" s="925"/>
      <c r="BK140" s="925"/>
      <c r="BL140" s="925"/>
      <c r="BM140" s="925"/>
      <c r="BN140" s="925"/>
      <c r="BO140" s="925"/>
      <c r="BP140" s="925"/>
      <c r="BQ140" s="925"/>
      <c r="BR140" s="925"/>
      <c r="BS140" s="925"/>
      <c r="BT140" s="925"/>
      <c r="BU140" s="925"/>
      <c r="BV140" s="925"/>
      <c r="BW140" s="925"/>
      <c r="BX140" s="925"/>
      <c r="BY140" s="925"/>
      <c r="BZ140" s="925"/>
      <c r="CA140" s="925"/>
      <c r="CB140" s="925"/>
      <c r="CC140" s="925"/>
      <c r="CD140" s="925"/>
      <c r="CE140" s="925"/>
      <c r="CF140" s="925"/>
      <c r="CG140" s="925"/>
      <c r="CH140" s="925"/>
      <c r="CI140" s="925"/>
      <c r="CJ140" s="925"/>
      <c r="CK140" s="925"/>
      <c r="CL140" s="925"/>
      <c r="CM140" s="925"/>
      <c r="CN140" s="925"/>
      <c r="CO140" s="925"/>
      <c r="CP140" s="925"/>
      <c r="CQ140" s="925"/>
      <c r="CR140" s="925"/>
      <c r="CS140" s="925"/>
      <c r="CT140" s="925"/>
      <c r="CU140" s="925"/>
      <c r="CV140" s="925"/>
      <c r="CW140" s="925"/>
      <c r="CX140" s="925"/>
      <c r="CY140" s="925"/>
      <c r="CZ140" s="925"/>
      <c r="DA140" s="925"/>
      <c r="DB140" s="925"/>
      <c r="DC140" s="925"/>
      <c r="DD140" s="925"/>
      <c r="DE140" s="925"/>
      <c r="DF140" s="925"/>
      <c r="DG140" s="925"/>
      <c r="DH140" s="925"/>
      <c r="DI140" s="925"/>
      <c r="DJ140" s="925"/>
      <c r="DK140" s="925"/>
      <c r="DL140" s="925"/>
      <c r="DM140" s="925"/>
      <c r="DN140" s="925"/>
      <c r="DO140" s="925"/>
      <c r="DP140" s="925"/>
      <c r="DQ140" s="925"/>
      <c r="DR140" s="925"/>
      <c r="DS140" s="925"/>
      <c r="DT140" s="925"/>
      <c r="DU140" s="925"/>
      <c r="DV140" s="925"/>
      <c r="DW140" s="925"/>
      <c r="DX140" s="925"/>
      <c r="DY140" s="925"/>
      <c r="DZ140" s="925"/>
      <c r="EA140" s="925"/>
      <c r="EB140" s="925"/>
      <c r="EC140" s="925"/>
      <c r="ED140" s="925"/>
      <c r="EE140" s="925"/>
      <c r="EF140" s="925"/>
      <c r="EG140" s="446"/>
    </row>
    <row r="141" spans="1:137" ht="13" x14ac:dyDescent="0.15">
      <c r="A141" s="917"/>
      <c r="B141" s="917"/>
      <c r="C141" s="918"/>
      <c r="D141" s="919"/>
      <c r="E141" s="920"/>
      <c r="F141" s="921"/>
      <c r="G141" s="922"/>
      <c r="H141" s="922"/>
      <c r="I141" s="922"/>
      <c r="J141" s="923"/>
      <c r="K141" s="923"/>
      <c r="L141" s="924"/>
      <c r="M141" s="925"/>
      <c r="N141" s="925"/>
      <c r="O141" s="925"/>
      <c r="P141" s="925"/>
      <c r="Q141" s="925"/>
      <c r="R141" s="926"/>
      <c r="S141" s="926"/>
      <c r="T141" s="925"/>
      <c r="U141" s="925"/>
      <c r="V141" s="925"/>
      <c r="W141" s="925"/>
      <c r="X141" s="925"/>
      <c r="Y141" s="925"/>
      <c r="Z141" s="925"/>
      <c r="AA141" s="925"/>
      <c r="AB141" s="925"/>
      <c r="AC141" s="925"/>
      <c r="AD141" s="925"/>
      <c r="AE141" s="925"/>
      <c r="AF141" s="925"/>
      <c r="AG141" s="925"/>
      <c r="AH141" s="925"/>
      <c r="AI141" s="925"/>
      <c r="AJ141" s="925"/>
      <c r="AK141" s="925"/>
      <c r="AL141" s="925"/>
      <c r="AM141" s="925"/>
      <c r="AN141" s="925"/>
      <c r="AO141" s="925"/>
      <c r="AP141" s="925"/>
      <c r="AQ141" s="925"/>
      <c r="AR141" s="925"/>
      <c r="AS141" s="925"/>
      <c r="AT141" s="925"/>
      <c r="AU141" s="925"/>
      <c r="AV141" s="925"/>
      <c r="AW141" s="925"/>
      <c r="AX141" s="925"/>
      <c r="AY141" s="925"/>
      <c r="AZ141" s="925"/>
      <c r="BA141" s="925"/>
      <c r="BB141" s="925"/>
      <c r="BC141" s="925"/>
      <c r="BD141" s="925"/>
      <c r="BE141" s="925"/>
      <c r="BF141" s="925"/>
      <c r="BG141" s="925"/>
      <c r="BH141" s="925"/>
      <c r="BI141" s="925"/>
      <c r="BJ141" s="925"/>
      <c r="BK141" s="925"/>
      <c r="BL141" s="925"/>
      <c r="BM141" s="925"/>
      <c r="BN141" s="925"/>
      <c r="BO141" s="925"/>
      <c r="BP141" s="925"/>
      <c r="BQ141" s="925"/>
      <c r="BR141" s="925"/>
      <c r="BS141" s="925"/>
      <c r="BT141" s="925"/>
      <c r="BU141" s="925"/>
      <c r="BV141" s="925"/>
      <c r="BW141" s="925"/>
      <c r="BX141" s="925"/>
      <c r="BY141" s="925"/>
      <c r="BZ141" s="925"/>
      <c r="CA141" s="925"/>
      <c r="CB141" s="925"/>
      <c r="CC141" s="925"/>
      <c r="CD141" s="925"/>
      <c r="CE141" s="925"/>
      <c r="CF141" s="925"/>
      <c r="CG141" s="925"/>
      <c r="CH141" s="925"/>
      <c r="CI141" s="925"/>
      <c r="CJ141" s="925"/>
      <c r="CK141" s="925"/>
      <c r="CL141" s="925"/>
      <c r="CM141" s="925"/>
      <c r="CN141" s="925"/>
      <c r="CO141" s="925"/>
      <c r="CP141" s="925"/>
      <c r="CQ141" s="925"/>
      <c r="CR141" s="925"/>
      <c r="CS141" s="925"/>
      <c r="CT141" s="925"/>
      <c r="CU141" s="925"/>
      <c r="CV141" s="925"/>
      <c r="CW141" s="925"/>
      <c r="CX141" s="925"/>
      <c r="CY141" s="925"/>
      <c r="CZ141" s="925"/>
      <c r="DA141" s="925"/>
      <c r="DB141" s="925"/>
      <c r="DC141" s="925"/>
      <c r="DD141" s="925"/>
      <c r="DE141" s="925"/>
      <c r="DF141" s="925"/>
      <c r="DG141" s="925"/>
      <c r="DH141" s="925"/>
      <c r="DI141" s="925"/>
      <c r="DJ141" s="925"/>
      <c r="DK141" s="925"/>
      <c r="DL141" s="925"/>
      <c r="DM141" s="925"/>
      <c r="DN141" s="925"/>
      <c r="DO141" s="925"/>
      <c r="DP141" s="925"/>
      <c r="DQ141" s="925"/>
      <c r="DR141" s="925"/>
      <c r="DS141" s="925"/>
      <c r="DT141" s="925"/>
      <c r="DU141" s="925"/>
      <c r="DV141" s="925"/>
      <c r="DW141" s="925"/>
      <c r="DX141" s="925"/>
      <c r="DY141" s="925"/>
      <c r="DZ141" s="925"/>
      <c r="EA141" s="925"/>
      <c r="EB141" s="925"/>
      <c r="EC141" s="925"/>
      <c r="ED141" s="925"/>
      <c r="EE141" s="925"/>
      <c r="EF141" s="925"/>
      <c r="EG141" s="446"/>
    </row>
    <row r="142" spans="1:137" ht="13" x14ac:dyDescent="0.15">
      <c r="A142" s="917"/>
      <c r="B142" s="917"/>
      <c r="C142" s="918"/>
      <c r="D142" s="919"/>
      <c r="E142" s="920"/>
      <c r="F142" s="921"/>
      <c r="G142" s="922"/>
      <c r="H142" s="922"/>
      <c r="I142" s="922"/>
      <c r="J142" s="923"/>
      <c r="K142" s="923"/>
      <c r="L142" s="924"/>
      <c r="M142" s="925"/>
      <c r="N142" s="925"/>
      <c r="O142" s="925"/>
      <c r="P142" s="925"/>
      <c r="Q142" s="925"/>
      <c r="R142" s="926"/>
      <c r="S142" s="926"/>
      <c r="T142" s="925"/>
      <c r="U142" s="925"/>
      <c r="V142" s="925"/>
      <c r="W142" s="925"/>
      <c r="X142" s="925"/>
      <c r="Y142" s="925"/>
      <c r="Z142" s="925"/>
      <c r="AA142" s="925"/>
      <c r="AB142" s="925"/>
      <c r="AC142" s="925"/>
      <c r="AD142" s="925"/>
      <c r="AE142" s="925"/>
      <c r="AF142" s="925"/>
      <c r="AG142" s="925"/>
      <c r="AH142" s="925"/>
      <c r="AI142" s="925"/>
      <c r="AJ142" s="925"/>
      <c r="AK142" s="925"/>
      <c r="AL142" s="925"/>
      <c r="AM142" s="925"/>
      <c r="AN142" s="925"/>
      <c r="AO142" s="925"/>
      <c r="AP142" s="925"/>
      <c r="AQ142" s="925"/>
      <c r="AR142" s="925"/>
      <c r="AS142" s="925"/>
      <c r="AT142" s="925"/>
      <c r="AU142" s="925"/>
      <c r="AV142" s="925"/>
      <c r="AW142" s="925"/>
      <c r="AX142" s="925"/>
      <c r="AY142" s="925"/>
      <c r="AZ142" s="925"/>
      <c r="BA142" s="925"/>
      <c r="BB142" s="925"/>
      <c r="BC142" s="925"/>
      <c r="BD142" s="925"/>
      <c r="BE142" s="925"/>
      <c r="BF142" s="925"/>
      <c r="BG142" s="925"/>
      <c r="BH142" s="925"/>
      <c r="BI142" s="925"/>
      <c r="BJ142" s="925"/>
      <c r="BK142" s="925"/>
      <c r="BL142" s="925"/>
      <c r="BM142" s="925"/>
      <c r="BN142" s="925"/>
      <c r="BO142" s="925"/>
      <c r="BP142" s="925"/>
      <c r="BQ142" s="925"/>
      <c r="BR142" s="925"/>
      <c r="BS142" s="925"/>
      <c r="BT142" s="925"/>
      <c r="BU142" s="925"/>
      <c r="BV142" s="925"/>
      <c r="BW142" s="925"/>
      <c r="BX142" s="925"/>
      <c r="BY142" s="925"/>
      <c r="BZ142" s="925"/>
      <c r="CA142" s="925"/>
      <c r="CB142" s="925"/>
      <c r="CC142" s="925"/>
      <c r="CD142" s="925"/>
      <c r="CE142" s="925"/>
      <c r="CF142" s="925"/>
      <c r="CG142" s="925"/>
      <c r="CH142" s="925"/>
      <c r="CI142" s="925"/>
      <c r="CJ142" s="925"/>
      <c r="CK142" s="925"/>
      <c r="CL142" s="925"/>
      <c r="CM142" s="925"/>
      <c r="CN142" s="925"/>
      <c r="CO142" s="925"/>
      <c r="CP142" s="925"/>
      <c r="CQ142" s="925"/>
      <c r="CR142" s="925"/>
      <c r="CS142" s="925"/>
      <c r="CT142" s="925"/>
      <c r="CU142" s="925"/>
      <c r="CV142" s="925"/>
      <c r="CW142" s="925"/>
      <c r="CX142" s="925"/>
      <c r="CY142" s="925"/>
      <c r="CZ142" s="925"/>
      <c r="DA142" s="925"/>
      <c r="DB142" s="925"/>
      <c r="DC142" s="925"/>
      <c r="DD142" s="925"/>
      <c r="DE142" s="925"/>
      <c r="DF142" s="925"/>
      <c r="DG142" s="925"/>
      <c r="DH142" s="925"/>
      <c r="DI142" s="925"/>
      <c r="DJ142" s="925"/>
      <c r="DK142" s="925"/>
      <c r="DL142" s="925"/>
      <c r="DM142" s="925"/>
      <c r="DN142" s="925"/>
      <c r="DO142" s="925"/>
      <c r="DP142" s="925"/>
      <c r="DQ142" s="925"/>
      <c r="DR142" s="925"/>
      <c r="DS142" s="925"/>
      <c r="DT142" s="925"/>
      <c r="DU142" s="925"/>
      <c r="DV142" s="925"/>
      <c r="DW142" s="925"/>
      <c r="DX142" s="925"/>
      <c r="DY142" s="925"/>
      <c r="DZ142" s="925"/>
      <c r="EA142" s="925"/>
      <c r="EB142" s="925"/>
      <c r="EC142" s="925"/>
      <c r="ED142" s="925"/>
      <c r="EE142" s="925"/>
      <c r="EF142" s="925"/>
      <c r="EG142" s="446"/>
    </row>
    <row r="143" spans="1:137" ht="13" x14ac:dyDescent="0.15">
      <c r="A143" s="917"/>
      <c r="B143" s="917"/>
      <c r="C143" s="918"/>
      <c r="D143" s="919"/>
      <c r="E143" s="920"/>
      <c r="F143" s="921"/>
      <c r="G143" s="922"/>
      <c r="H143" s="922"/>
      <c r="I143" s="922"/>
      <c r="J143" s="923"/>
      <c r="K143" s="923"/>
      <c r="L143" s="924"/>
      <c r="M143" s="925"/>
      <c r="N143" s="925"/>
      <c r="O143" s="925"/>
      <c r="P143" s="925"/>
      <c r="Q143" s="925"/>
      <c r="R143" s="926"/>
      <c r="S143" s="926"/>
      <c r="T143" s="925"/>
      <c r="U143" s="925"/>
      <c r="V143" s="925"/>
      <c r="W143" s="925"/>
      <c r="X143" s="925"/>
      <c r="Y143" s="925"/>
      <c r="Z143" s="925"/>
      <c r="AA143" s="925"/>
      <c r="AB143" s="925"/>
      <c r="AC143" s="925"/>
      <c r="AD143" s="925"/>
      <c r="AE143" s="925"/>
      <c r="AF143" s="925"/>
      <c r="AG143" s="925"/>
      <c r="AH143" s="925"/>
      <c r="AI143" s="925"/>
      <c r="AJ143" s="925"/>
      <c r="AK143" s="925"/>
      <c r="AL143" s="925"/>
      <c r="AM143" s="925"/>
      <c r="AN143" s="925"/>
      <c r="AO143" s="925"/>
      <c r="AP143" s="925"/>
      <c r="AQ143" s="925"/>
      <c r="AR143" s="925"/>
      <c r="AS143" s="925"/>
      <c r="AT143" s="925"/>
      <c r="AU143" s="925"/>
      <c r="AV143" s="925"/>
      <c r="AW143" s="925"/>
      <c r="AX143" s="925"/>
      <c r="AY143" s="925"/>
      <c r="AZ143" s="925"/>
      <c r="BA143" s="925"/>
      <c r="BB143" s="925"/>
      <c r="BC143" s="925"/>
      <c r="BD143" s="925"/>
      <c r="BE143" s="925"/>
      <c r="BF143" s="925"/>
      <c r="BG143" s="925"/>
      <c r="BH143" s="925"/>
      <c r="BI143" s="925"/>
      <c r="BJ143" s="925"/>
      <c r="BK143" s="925"/>
      <c r="BL143" s="925"/>
      <c r="BM143" s="925"/>
      <c r="BN143" s="925"/>
      <c r="BO143" s="925"/>
      <c r="BP143" s="925"/>
      <c r="BQ143" s="925"/>
      <c r="BR143" s="925"/>
      <c r="BS143" s="925"/>
      <c r="BT143" s="925"/>
      <c r="BU143" s="925"/>
      <c r="BV143" s="925"/>
      <c r="BW143" s="925"/>
      <c r="BX143" s="925"/>
      <c r="BY143" s="925"/>
      <c r="BZ143" s="925"/>
      <c r="CA143" s="925"/>
      <c r="CB143" s="925"/>
      <c r="CC143" s="925"/>
      <c r="CD143" s="925"/>
      <c r="CE143" s="925"/>
      <c r="CF143" s="925"/>
      <c r="CG143" s="925"/>
      <c r="CH143" s="925"/>
      <c r="CI143" s="925"/>
      <c r="CJ143" s="925"/>
      <c r="CK143" s="925"/>
      <c r="CL143" s="925"/>
      <c r="CM143" s="925"/>
      <c r="CN143" s="925"/>
      <c r="CO143" s="925"/>
      <c r="CP143" s="925"/>
      <c r="CQ143" s="925"/>
      <c r="CR143" s="925"/>
      <c r="CS143" s="925"/>
      <c r="CT143" s="925"/>
      <c r="CU143" s="925"/>
      <c r="CV143" s="925"/>
      <c r="CW143" s="925"/>
      <c r="CX143" s="925"/>
      <c r="CY143" s="925"/>
      <c r="CZ143" s="925"/>
      <c r="DA143" s="925"/>
      <c r="DB143" s="925"/>
      <c r="DC143" s="925"/>
      <c r="DD143" s="925"/>
      <c r="DE143" s="925"/>
      <c r="DF143" s="925"/>
      <c r="DG143" s="925"/>
      <c r="DH143" s="925"/>
      <c r="DI143" s="925"/>
      <c r="DJ143" s="925"/>
      <c r="DK143" s="925"/>
      <c r="DL143" s="925"/>
      <c r="DM143" s="925"/>
      <c r="DN143" s="925"/>
      <c r="DO143" s="925"/>
      <c r="DP143" s="925"/>
      <c r="DQ143" s="925"/>
      <c r="DR143" s="925"/>
      <c r="DS143" s="925"/>
      <c r="DT143" s="925"/>
      <c r="DU143" s="925"/>
      <c r="DV143" s="925"/>
      <c r="DW143" s="925"/>
      <c r="DX143" s="925"/>
      <c r="DY143" s="925"/>
      <c r="DZ143" s="925"/>
      <c r="EA143" s="925"/>
      <c r="EB143" s="925"/>
      <c r="EC143" s="925"/>
      <c r="ED143" s="925"/>
      <c r="EE143" s="925"/>
      <c r="EF143" s="925"/>
      <c r="EG143" s="446"/>
    </row>
    <row r="144" spans="1:137" ht="13" x14ac:dyDescent="0.15">
      <c r="A144" s="917"/>
      <c r="B144" s="917"/>
      <c r="C144" s="918"/>
      <c r="D144" s="919"/>
      <c r="E144" s="920"/>
      <c r="F144" s="921"/>
      <c r="G144" s="922"/>
      <c r="H144" s="922"/>
      <c r="I144" s="922"/>
      <c r="J144" s="923"/>
      <c r="K144" s="923"/>
      <c r="L144" s="924"/>
      <c r="M144" s="925"/>
      <c r="N144" s="925"/>
      <c r="O144" s="925"/>
      <c r="P144" s="925"/>
      <c r="Q144" s="925"/>
      <c r="R144" s="926"/>
      <c r="S144" s="926"/>
      <c r="T144" s="925"/>
      <c r="U144" s="925"/>
      <c r="V144" s="925"/>
      <c r="W144" s="925"/>
      <c r="X144" s="925"/>
      <c r="Y144" s="925"/>
      <c r="Z144" s="925"/>
      <c r="AA144" s="925"/>
      <c r="AB144" s="925"/>
      <c r="AC144" s="925"/>
      <c r="AD144" s="925"/>
      <c r="AE144" s="925"/>
      <c r="AF144" s="925"/>
      <c r="AG144" s="925"/>
      <c r="AH144" s="925"/>
      <c r="AI144" s="925"/>
      <c r="AJ144" s="925"/>
      <c r="AK144" s="925"/>
      <c r="AL144" s="925"/>
      <c r="AM144" s="925"/>
      <c r="AN144" s="925"/>
      <c r="AO144" s="925"/>
      <c r="AP144" s="925"/>
      <c r="AQ144" s="925"/>
      <c r="AR144" s="925"/>
      <c r="AS144" s="925"/>
      <c r="AT144" s="925"/>
      <c r="AU144" s="925"/>
      <c r="AV144" s="925"/>
      <c r="AW144" s="925"/>
      <c r="AX144" s="925"/>
      <c r="AY144" s="925"/>
      <c r="AZ144" s="925"/>
      <c r="BA144" s="925"/>
      <c r="BB144" s="925"/>
      <c r="BC144" s="925"/>
      <c r="BD144" s="925"/>
      <c r="BE144" s="925"/>
      <c r="BF144" s="925"/>
      <c r="BG144" s="925"/>
      <c r="BH144" s="925"/>
      <c r="BI144" s="925"/>
      <c r="BJ144" s="925"/>
      <c r="BK144" s="925"/>
      <c r="BL144" s="925"/>
      <c r="BM144" s="925"/>
      <c r="BN144" s="925"/>
      <c r="BO144" s="925"/>
      <c r="BP144" s="925"/>
      <c r="BQ144" s="925"/>
      <c r="BR144" s="925"/>
      <c r="BS144" s="925"/>
      <c r="BT144" s="925"/>
      <c r="BU144" s="925"/>
      <c r="BV144" s="925"/>
      <c r="BW144" s="925"/>
      <c r="BX144" s="925"/>
      <c r="BY144" s="925"/>
      <c r="BZ144" s="925"/>
      <c r="CA144" s="925"/>
      <c r="CB144" s="925"/>
      <c r="CC144" s="925"/>
      <c r="CD144" s="925"/>
      <c r="CE144" s="925"/>
      <c r="CF144" s="925"/>
      <c r="CG144" s="925"/>
      <c r="CH144" s="925"/>
      <c r="CI144" s="925"/>
      <c r="CJ144" s="925"/>
      <c r="CK144" s="925"/>
      <c r="CL144" s="925"/>
      <c r="CM144" s="925"/>
      <c r="CN144" s="925"/>
      <c r="CO144" s="925"/>
      <c r="CP144" s="925"/>
      <c r="CQ144" s="925"/>
      <c r="CR144" s="925"/>
      <c r="CS144" s="925"/>
      <c r="CT144" s="925"/>
      <c r="CU144" s="925"/>
      <c r="CV144" s="925"/>
      <c r="CW144" s="925"/>
      <c r="CX144" s="925"/>
      <c r="CY144" s="925"/>
      <c r="CZ144" s="925"/>
      <c r="DA144" s="925"/>
      <c r="DB144" s="925"/>
      <c r="DC144" s="925"/>
      <c r="DD144" s="925"/>
      <c r="DE144" s="925"/>
      <c r="DF144" s="925"/>
      <c r="DG144" s="925"/>
      <c r="DH144" s="925"/>
      <c r="DI144" s="925"/>
      <c r="DJ144" s="925"/>
      <c r="DK144" s="925"/>
      <c r="DL144" s="925"/>
      <c r="DM144" s="925"/>
      <c r="DN144" s="925"/>
      <c r="DO144" s="925"/>
      <c r="DP144" s="925"/>
      <c r="DQ144" s="925"/>
      <c r="DR144" s="925"/>
      <c r="DS144" s="925"/>
      <c r="DT144" s="925"/>
      <c r="DU144" s="925"/>
      <c r="DV144" s="925"/>
      <c r="DW144" s="925"/>
      <c r="DX144" s="925"/>
      <c r="DY144" s="925"/>
      <c r="DZ144" s="925"/>
      <c r="EA144" s="925"/>
      <c r="EB144" s="925"/>
      <c r="EC144" s="925"/>
      <c r="ED144" s="925"/>
      <c r="EE144" s="925"/>
      <c r="EF144" s="925"/>
      <c r="EG144" s="446"/>
    </row>
    <row r="145" spans="1:137" ht="13" x14ac:dyDescent="0.15">
      <c r="A145" s="917"/>
      <c r="B145" s="917"/>
      <c r="C145" s="918"/>
      <c r="D145" s="919"/>
      <c r="E145" s="920"/>
      <c r="F145" s="921"/>
      <c r="G145" s="922"/>
      <c r="H145" s="922"/>
      <c r="I145" s="922"/>
      <c r="J145" s="923"/>
      <c r="K145" s="923"/>
      <c r="L145" s="924"/>
      <c r="M145" s="925"/>
      <c r="N145" s="925"/>
      <c r="O145" s="925"/>
      <c r="P145" s="925"/>
      <c r="Q145" s="925"/>
      <c r="R145" s="926"/>
      <c r="S145" s="926"/>
      <c r="T145" s="925"/>
      <c r="U145" s="925"/>
      <c r="V145" s="925"/>
      <c r="W145" s="925"/>
      <c r="X145" s="925"/>
      <c r="Y145" s="925"/>
      <c r="Z145" s="925"/>
      <c r="AA145" s="925"/>
      <c r="AB145" s="925"/>
      <c r="AC145" s="925"/>
      <c r="AD145" s="925"/>
      <c r="AE145" s="925"/>
      <c r="AF145" s="925"/>
      <c r="AG145" s="925"/>
      <c r="AH145" s="925"/>
      <c r="AI145" s="925"/>
      <c r="AJ145" s="925"/>
      <c r="AK145" s="925"/>
      <c r="AL145" s="925"/>
      <c r="AM145" s="925"/>
      <c r="AN145" s="925"/>
      <c r="AO145" s="925"/>
      <c r="AP145" s="925"/>
      <c r="AQ145" s="925"/>
      <c r="AR145" s="925"/>
      <c r="AS145" s="925"/>
      <c r="AT145" s="925"/>
      <c r="AU145" s="925"/>
      <c r="AV145" s="925"/>
      <c r="AW145" s="925"/>
      <c r="AX145" s="925"/>
      <c r="AY145" s="925"/>
      <c r="AZ145" s="925"/>
      <c r="BA145" s="925"/>
      <c r="BB145" s="925"/>
      <c r="BC145" s="925"/>
      <c r="BD145" s="925"/>
      <c r="BE145" s="925"/>
      <c r="BF145" s="925"/>
      <c r="BG145" s="925"/>
      <c r="BH145" s="925"/>
      <c r="BI145" s="925"/>
      <c r="BJ145" s="925"/>
      <c r="BK145" s="925"/>
      <c r="BL145" s="925"/>
      <c r="BM145" s="925"/>
      <c r="BN145" s="925"/>
      <c r="BO145" s="925"/>
      <c r="BP145" s="925"/>
      <c r="BQ145" s="925"/>
      <c r="BR145" s="925"/>
      <c r="BS145" s="925"/>
      <c r="BT145" s="925"/>
      <c r="BU145" s="925"/>
      <c r="BV145" s="925"/>
      <c r="BW145" s="925"/>
      <c r="BX145" s="925"/>
      <c r="BY145" s="925"/>
      <c r="BZ145" s="925"/>
      <c r="CA145" s="925"/>
      <c r="CB145" s="925"/>
      <c r="CC145" s="925"/>
      <c r="CD145" s="925"/>
      <c r="CE145" s="925"/>
      <c r="CF145" s="925"/>
      <c r="CG145" s="925"/>
      <c r="CH145" s="925"/>
      <c r="CI145" s="925"/>
      <c r="CJ145" s="925"/>
      <c r="CK145" s="925"/>
      <c r="CL145" s="925"/>
      <c r="CM145" s="925"/>
      <c r="CN145" s="925"/>
      <c r="CO145" s="925"/>
      <c r="CP145" s="925"/>
      <c r="CQ145" s="925"/>
      <c r="CR145" s="925"/>
      <c r="CS145" s="925"/>
      <c r="CT145" s="925"/>
      <c r="CU145" s="925"/>
      <c r="CV145" s="925"/>
      <c r="CW145" s="925"/>
      <c r="CX145" s="925"/>
      <c r="CY145" s="925"/>
      <c r="CZ145" s="925"/>
      <c r="DA145" s="925"/>
      <c r="DB145" s="925"/>
      <c r="DC145" s="925"/>
      <c r="DD145" s="925"/>
      <c r="DE145" s="925"/>
      <c r="DF145" s="925"/>
      <c r="DG145" s="925"/>
      <c r="DH145" s="925"/>
      <c r="DI145" s="925"/>
      <c r="DJ145" s="925"/>
      <c r="DK145" s="925"/>
      <c r="DL145" s="925"/>
      <c r="DM145" s="925"/>
      <c r="DN145" s="925"/>
      <c r="DO145" s="925"/>
      <c r="DP145" s="925"/>
      <c r="DQ145" s="925"/>
      <c r="DR145" s="925"/>
      <c r="DS145" s="925"/>
      <c r="DT145" s="925"/>
      <c r="DU145" s="925"/>
      <c r="DV145" s="925"/>
      <c r="DW145" s="925"/>
      <c r="DX145" s="925"/>
      <c r="DY145" s="925"/>
      <c r="DZ145" s="925"/>
      <c r="EA145" s="925"/>
      <c r="EB145" s="925"/>
      <c r="EC145" s="925"/>
      <c r="ED145" s="925"/>
      <c r="EE145" s="925"/>
      <c r="EF145" s="925"/>
      <c r="EG145" s="446"/>
    </row>
    <row r="146" spans="1:137" ht="13" x14ac:dyDescent="0.15">
      <c r="A146" s="917"/>
      <c r="B146" s="917"/>
      <c r="C146" s="918"/>
      <c r="D146" s="919"/>
      <c r="E146" s="920"/>
      <c r="F146" s="921"/>
      <c r="G146" s="922"/>
      <c r="H146" s="922"/>
      <c r="I146" s="922"/>
      <c r="J146" s="923"/>
      <c r="K146" s="923"/>
      <c r="L146" s="924"/>
      <c r="M146" s="925"/>
      <c r="N146" s="925"/>
      <c r="O146" s="925"/>
      <c r="P146" s="925"/>
      <c r="Q146" s="925"/>
      <c r="R146" s="926"/>
      <c r="S146" s="926"/>
      <c r="T146" s="925"/>
      <c r="U146" s="925"/>
      <c r="V146" s="925"/>
      <c r="W146" s="925"/>
      <c r="X146" s="925"/>
      <c r="Y146" s="925"/>
      <c r="Z146" s="925"/>
      <c r="AA146" s="925"/>
      <c r="AB146" s="925"/>
      <c r="AC146" s="925"/>
      <c r="AD146" s="925"/>
      <c r="AE146" s="925"/>
      <c r="AF146" s="925"/>
      <c r="AG146" s="925"/>
      <c r="AH146" s="925"/>
      <c r="AI146" s="925"/>
      <c r="AJ146" s="925"/>
      <c r="AK146" s="925"/>
      <c r="AL146" s="925"/>
      <c r="AM146" s="925"/>
      <c r="AN146" s="925"/>
      <c r="AO146" s="925"/>
      <c r="AP146" s="925"/>
      <c r="AQ146" s="925"/>
      <c r="AR146" s="925"/>
      <c r="AS146" s="925"/>
      <c r="AT146" s="925"/>
      <c r="AU146" s="925"/>
      <c r="AV146" s="925"/>
      <c r="AW146" s="925"/>
      <c r="AX146" s="925"/>
      <c r="AY146" s="925"/>
      <c r="AZ146" s="925"/>
      <c r="BA146" s="925"/>
      <c r="BB146" s="925"/>
      <c r="BC146" s="925"/>
      <c r="BD146" s="925"/>
      <c r="BE146" s="925"/>
      <c r="BF146" s="925"/>
      <c r="BG146" s="925"/>
      <c r="BH146" s="925"/>
      <c r="BI146" s="925"/>
      <c r="BJ146" s="925"/>
      <c r="BK146" s="925"/>
      <c r="BL146" s="925"/>
      <c r="BM146" s="925"/>
      <c r="BN146" s="925"/>
      <c r="BO146" s="925"/>
      <c r="BP146" s="925"/>
      <c r="BQ146" s="925"/>
      <c r="BR146" s="925"/>
      <c r="BS146" s="925"/>
      <c r="BT146" s="925"/>
      <c r="BU146" s="925"/>
      <c r="BV146" s="925"/>
      <c r="BW146" s="925"/>
      <c r="BX146" s="925"/>
      <c r="BY146" s="925"/>
      <c r="BZ146" s="925"/>
      <c r="CA146" s="925"/>
      <c r="CB146" s="925"/>
      <c r="CC146" s="925"/>
      <c r="CD146" s="925"/>
      <c r="CE146" s="925"/>
      <c r="CF146" s="925"/>
      <c r="CG146" s="925"/>
      <c r="CH146" s="925"/>
      <c r="CI146" s="925"/>
      <c r="CJ146" s="925"/>
      <c r="CK146" s="925"/>
      <c r="CL146" s="925"/>
      <c r="CM146" s="925"/>
      <c r="CN146" s="925"/>
      <c r="CO146" s="925"/>
      <c r="CP146" s="925"/>
      <c r="CQ146" s="925"/>
      <c r="CR146" s="925"/>
      <c r="CS146" s="925"/>
      <c r="CT146" s="925"/>
      <c r="CU146" s="925"/>
      <c r="CV146" s="925"/>
      <c r="CW146" s="925"/>
      <c r="CX146" s="925"/>
      <c r="CY146" s="925"/>
      <c r="CZ146" s="925"/>
      <c r="DA146" s="925"/>
      <c r="DB146" s="925"/>
      <c r="DC146" s="925"/>
      <c r="DD146" s="925"/>
      <c r="DE146" s="925"/>
      <c r="DF146" s="925"/>
      <c r="DG146" s="925"/>
      <c r="DH146" s="925"/>
      <c r="DI146" s="925"/>
      <c r="DJ146" s="925"/>
      <c r="DK146" s="925"/>
      <c r="DL146" s="925"/>
      <c r="DM146" s="925"/>
      <c r="DN146" s="925"/>
      <c r="DO146" s="925"/>
      <c r="DP146" s="925"/>
      <c r="DQ146" s="925"/>
      <c r="DR146" s="925"/>
      <c r="DS146" s="925"/>
      <c r="DT146" s="925"/>
      <c r="DU146" s="925"/>
      <c r="DV146" s="925"/>
      <c r="DW146" s="925"/>
      <c r="DX146" s="925"/>
      <c r="DY146" s="925"/>
      <c r="DZ146" s="925"/>
      <c r="EA146" s="925"/>
      <c r="EB146" s="925"/>
      <c r="EC146" s="925"/>
      <c r="ED146" s="925"/>
      <c r="EE146" s="925"/>
      <c r="EF146" s="925"/>
      <c r="EG146" s="446"/>
    </row>
    <row r="147" spans="1:137" ht="13" x14ac:dyDescent="0.15">
      <c r="A147" s="917"/>
      <c r="B147" s="917"/>
      <c r="C147" s="918"/>
      <c r="D147" s="919"/>
      <c r="E147" s="920"/>
      <c r="F147" s="921"/>
      <c r="G147" s="922"/>
      <c r="H147" s="922"/>
      <c r="I147" s="922"/>
      <c r="J147" s="923"/>
      <c r="K147" s="923"/>
      <c r="L147" s="924"/>
      <c r="M147" s="925"/>
      <c r="N147" s="925"/>
      <c r="O147" s="925"/>
      <c r="P147" s="925"/>
      <c r="Q147" s="925"/>
      <c r="R147" s="926"/>
      <c r="S147" s="926"/>
      <c r="T147" s="925"/>
      <c r="U147" s="925"/>
      <c r="V147" s="925"/>
      <c r="W147" s="925"/>
      <c r="X147" s="925"/>
      <c r="Y147" s="925"/>
      <c r="Z147" s="925"/>
      <c r="AA147" s="925"/>
      <c r="AB147" s="925"/>
      <c r="AC147" s="925"/>
      <c r="AD147" s="925"/>
      <c r="AE147" s="925"/>
      <c r="AF147" s="925"/>
      <c r="AG147" s="925"/>
      <c r="AH147" s="925"/>
      <c r="AI147" s="925"/>
      <c r="AJ147" s="925"/>
      <c r="AK147" s="925"/>
      <c r="AL147" s="925"/>
      <c r="AM147" s="925"/>
      <c r="AN147" s="925"/>
      <c r="AO147" s="925"/>
      <c r="AP147" s="925"/>
      <c r="AQ147" s="925"/>
      <c r="AR147" s="925"/>
      <c r="AS147" s="925"/>
      <c r="AT147" s="925"/>
      <c r="AU147" s="925"/>
      <c r="AV147" s="925"/>
      <c r="AW147" s="925"/>
      <c r="AX147" s="925"/>
      <c r="AY147" s="925"/>
      <c r="AZ147" s="925"/>
      <c r="BA147" s="925"/>
      <c r="BB147" s="925"/>
      <c r="BC147" s="925"/>
      <c r="BD147" s="925"/>
      <c r="BE147" s="925"/>
      <c r="BF147" s="925"/>
      <c r="BG147" s="925"/>
      <c r="BH147" s="925"/>
      <c r="BI147" s="925"/>
      <c r="BJ147" s="925"/>
      <c r="BK147" s="925"/>
      <c r="BL147" s="925"/>
      <c r="BM147" s="925"/>
      <c r="BN147" s="925"/>
      <c r="BO147" s="925"/>
      <c r="BP147" s="925"/>
      <c r="BQ147" s="925"/>
      <c r="BR147" s="925"/>
      <c r="BS147" s="925"/>
      <c r="BT147" s="925"/>
      <c r="BU147" s="925"/>
      <c r="BV147" s="925"/>
      <c r="BW147" s="925"/>
      <c r="BX147" s="925"/>
      <c r="BY147" s="925"/>
      <c r="BZ147" s="925"/>
      <c r="CA147" s="925"/>
      <c r="CB147" s="925"/>
      <c r="CC147" s="925"/>
      <c r="CD147" s="925"/>
      <c r="CE147" s="925"/>
      <c r="CF147" s="925"/>
      <c r="CG147" s="925"/>
      <c r="CH147" s="925"/>
      <c r="CI147" s="925"/>
      <c r="CJ147" s="925"/>
      <c r="CK147" s="925"/>
      <c r="CL147" s="925"/>
      <c r="CM147" s="925"/>
      <c r="CN147" s="925"/>
      <c r="CO147" s="925"/>
      <c r="CP147" s="925"/>
      <c r="CQ147" s="925"/>
      <c r="CR147" s="925"/>
      <c r="CS147" s="925"/>
      <c r="CT147" s="925"/>
      <c r="CU147" s="925"/>
      <c r="CV147" s="925"/>
      <c r="CW147" s="925"/>
      <c r="CX147" s="925"/>
      <c r="CY147" s="925"/>
      <c r="CZ147" s="925"/>
      <c r="DA147" s="925"/>
      <c r="DB147" s="925"/>
      <c r="DC147" s="925"/>
      <c r="DD147" s="925"/>
      <c r="DE147" s="925"/>
      <c r="DF147" s="925"/>
      <c r="DG147" s="925"/>
      <c r="DH147" s="925"/>
      <c r="DI147" s="925"/>
      <c r="DJ147" s="925"/>
      <c r="DK147" s="925"/>
      <c r="DL147" s="925"/>
      <c r="DM147" s="925"/>
      <c r="DN147" s="925"/>
      <c r="DO147" s="925"/>
      <c r="DP147" s="925"/>
      <c r="DQ147" s="925"/>
      <c r="DR147" s="925"/>
      <c r="DS147" s="925"/>
      <c r="DT147" s="925"/>
      <c r="DU147" s="925"/>
      <c r="DV147" s="925"/>
      <c r="DW147" s="925"/>
      <c r="DX147" s="925"/>
      <c r="DY147" s="925"/>
      <c r="DZ147" s="925"/>
      <c r="EA147" s="925"/>
      <c r="EB147" s="925"/>
      <c r="EC147" s="925"/>
      <c r="ED147" s="925"/>
      <c r="EE147" s="925"/>
      <c r="EF147" s="925"/>
      <c r="EG147" s="446"/>
    </row>
    <row r="148" spans="1:137" ht="13" x14ac:dyDescent="0.15">
      <c r="A148" s="917"/>
      <c r="B148" s="917"/>
      <c r="C148" s="918"/>
      <c r="D148" s="919"/>
      <c r="E148" s="920"/>
      <c r="F148" s="921"/>
      <c r="G148" s="922"/>
      <c r="H148" s="922"/>
      <c r="I148" s="922"/>
      <c r="J148" s="923"/>
      <c r="K148" s="923"/>
      <c r="L148" s="924"/>
      <c r="M148" s="925"/>
      <c r="N148" s="925"/>
      <c r="O148" s="925"/>
      <c r="P148" s="925"/>
      <c r="Q148" s="925"/>
      <c r="R148" s="926"/>
      <c r="S148" s="926"/>
      <c r="T148" s="925"/>
      <c r="U148" s="925"/>
      <c r="V148" s="925"/>
      <c r="W148" s="925"/>
      <c r="X148" s="925"/>
      <c r="Y148" s="925"/>
      <c r="Z148" s="925"/>
      <c r="AA148" s="925"/>
      <c r="AB148" s="925"/>
      <c r="AC148" s="925"/>
      <c r="AD148" s="925"/>
      <c r="AE148" s="925"/>
      <c r="AF148" s="925"/>
      <c r="AG148" s="925"/>
      <c r="AH148" s="925"/>
      <c r="AI148" s="925"/>
      <c r="AJ148" s="925"/>
      <c r="AK148" s="925"/>
      <c r="AL148" s="925"/>
      <c r="AM148" s="925"/>
      <c r="AN148" s="925"/>
      <c r="AO148" s="925"/>
      <c r="AP148" s="925"/>
      <c r="AQ148" s="925"/>
      <c r="AR148" s="925"/>
      <c r="AS148" s="925"/>
      <c r="AT148" s="925"/>
      <c r="AU148" s="925"/>
      <c r="AV148" s="925"/>
      <c r="AW148" s="925"/>
      <c r="AX148" s="925"/>
      <c r="AY148" s="925"/>
      <c r="AZ148" s="925"/>
      <c r="BA148" s="925"/>
      <c r="BB148" s="925"/>
      <c r="BC148" s="925"/>
      <c r="BD148" s="925"/>
      <c r="BE148" s="925"/>
      <c r="BF148" s="925"/>
      <c r="BG148" s="925"/>
      <c r="BH148" s="925"/>
      <c r="BI148" s="925"/>
      <c r="BJ148" s="925"/>
      <c r="BK148" s="925"/>
      <c r="BL148" s="925"/>
      <c r="BM148" s="925"/>
      <c r="BN148" s="925"/>
      <c r="BO148" s="925"/>
      <c r="BP148" s="925"/>
      <c r="BQ148" s="925"/>
      <c r="BR148" s="925"/>
      <c r="BS148" s="925"/>
      <c r="BT148" s="925"/>
      <c r="BU148" s="925"/>
      <c r="BV148" s="925"/>
      <c r="BW148" s="925"/>
      <c r="BX148" s="925"/>
      <c r="BY148" s="925"/>
      <c r="BZ148" s="925"/>
      <c r="CA148" s="925"/>
      <c r="CB148" s="925"/>
      <c r="CC148" s="925"/>
      <c r="CD148" s="925"/>
      <c r="CE148" s="925"/>
      <c r="CF148" s="925"/>
      <c r="CG148" s="925"/>
      <c r="CH148" s="925"/>
      <c r="CI148" s="925"/>
      <c r="CJ148" s="925"/>
      <c r="CK148" s="925"/>
      <c r="CL148" s="925"/>
      <c r="CM148" s="925"/>
      <c r="CN148" s="925"/>
      <c r="CO148" s="925"/>
      <c r="CP148" s="925"/>
      <c r="CQ148" s="925"/>
      <c r="CR148" s="925"/>
      <c r="CS148" s="925"/>
      <c r="CT148" s="925"/>
      <c r="CU148" s="925"/>
      <c r="CV148" s="925"/>
      <c r="CW148" s="925"/>
      <c r="CX148" s="925"/>
      <c r="CY148" s="925"/>
      <c r="CZ148" s="925"/>
      <c r="DA148" s="925"/>
      <c r="DB148" s="925"/>
      <c r="DC148" s="925"/>
      <c r="DD148" s="925"/>
      <c r="DE148" s="925"/>
      <c r="DF148" s="925"/>
      <c r="DG148" s="925"/>
      <c r="DH148" s="925"/>
      <c r="DI148" s="925"/>
      <c r="DJ148" s="925"/>
      <c r="DK148" s="925"/>
      <c r="DL148" s="925"/>
      <c r="DM148" s="925"/>
      <c r="DN148" s="925"/>
      <c r="DO148" s="925"/>
      <c r="DP148" s="925"/>
      <c r="DQ148" s="925"/>
      <c r="DR148" s="925"/>
      <c r="DS148" s="925"/>
      <c r="DT148" s="925"/>
      <c r="DU148" s="925"/>
      <c r="DV148" s="925"/>
      <c r="DW148" s="925"/>
      <c r="DX148" s="925"/>
      <c r="DY148" s="925"/>
      <c r="DZ148" s="925"/>
      <c r="EA148" s="925"/>
      <c r="EB148" s="925"/>
      <c r="EC148" s="925"/>
      <c r="ED148" s="925"/>
      <c r="EE148" s="925"/>
      <c r="EF148" s="925"/>
      <c r="EG148" s="446"/>
    </row>
    <row r="149" spans="1:137" ht="13" x14ac:dyDescent="0.15">
      <c r="A149" s="917"/>
      <c r="B149" s="917"/>
      <c r="C149" s="918"/>
      <c r="D149" s="919"/>
      <c r="E149" s="920"/>
      <c r="F149" s="921"/>
      <c r="G149" s="922"/>
      <c r="H149" s="922"/>
      <c r="I149" s="922"/>
      <c r="J149" s="923"/>
      <c r="K149" s="923"/>
      <c r="L149" s="924"/>
      <c r="M149" s="925"/>
      <c r="N149" s="925"/>
      <c r="O149" s="925"/>
      <c r="P149" s="925"/>
      <c r="Q149" s="925"/>
      <c r="R149" s="926"/>
      <c r="S149" s="926"/>
      <c r="T149" s="925"/>
      <c r="U149" s="925"/>
      <c r="V149" s="925"/>
      <c r="W149" s="925"/>
      <c r="X149" s="925"/>
      <c r="Y149" s="925"/>
      <c r="Z149" s="925"/>
      <c r="AA149" s="925"/>
      <c r="AB149" s="925"/>
      <c r="AC149" s="925"/>
      <c r="AD149" s="925"/>
      <c r="AE149" s="925"/>
      <c r="AF149" s="925"/>
      <c r="AG149" s="925"/>
      <c r="AH149" s="925"/>
      <c r="AI149" s="925"/>
      <c r="AJ149" s="925"/>
      <c r="AK149" s="925"/>
      <c r="AL149" s="925"/>
      <c r="AM149" s="925"/>
      <c r="AN149" s="925"/>
      <c r="AO149" s="925"/>
      <c r="AP149" s="925"/>
      <c r="AQ149" s="925"/>
      <c r="AR149" s="925"/>
      <c r="AS149" s="925"/>
      <c r="AT149" s="925"/>
      <c r="AU149" s="925"/>
      <c r="AV149" s="925"/>
      <c r="AW149" s="925"/>
      <c r="AX149" s="925"/>
      <c r="AY149" s="925"/>
      <c r="AZ149" s="925"/>
      <c r="BA149" s="925"/>
      <c r="BB149" s="925"/>
      <c r="BC149" s="925"/>
      <c r="BD149" s="925"/>
      <c r="BE149" s="925"/>
      <c r="BF149" s="925"/>
      <c r="BG149" s="925"/>
      <c r="BH149" s="925"/>
      <c r="BI149" s="925"/>
      <c r="BJ149" s="925"/>
      <c r="BK149" s="925"/>
      <c r="BL149" s="925"/>
      <c r="BM149" s="925"/>
      <c r="BN149" s="925"/>
      <c r="BO149" s="925"/>
      <c r="BP149" s="925"/>
      <c r="BQ149" s="925"/>
      <c r="BR149" s="925"/>
      <c r="BS149" s="925"/>
      <c r="BT149" s="925"/>
      <c r="BU149" s="925"/>
      <c r="BV149" s="925"/>
      <c r="BW149" s="925"/>
      <c r="BX149" s="925"/>
      <c r="BY149" s="925"/>
      <c r="BZ149" s="925"/>
      <c r="CA149" s="925"/>
      <c r="CB149" s="925"/>
      <c r="CC149" s="925"/>
      <c r="CD149" s="925"/>
      <c r="CE149" s="925"/>
      <c r="CF149" s="925"/>
      <c r="CG149" s="925"/>
      <c r="CH149" s="925"/>
      <c r="CI149" s="925"/>
      <c r="CJ149" s="925"/>
      <c r="CK149" s="925"/>
      <c r="CL149" s="925"/>
      <c r="CM149" s="925"/>
      <c r="CN149" s="925"/>
      <c r="CO149" s="925"/>
      <c r="CP149" s="925"/>
      <c r="CQ149" s="925"/>
      <c r="CR149" s="925"/>
      <c r="CS149" s="925"/>
      <c r="CT149" s="925"/>
      <c r="CU149" s="925"/>
      <c r="CV149" s="925"/>
      <c r="CW149" s="925"/>
      <c r="CX149" s="925"/>
      <c r="CY149" s="925"/>
      <c r="CZ149" s="925"/>
      <c r="DA149" s="925"/>
      <c r="DB149" s="925"/>
      <c r="DC149" s="925"/>
      <c r="DD149" s="925"/>
      <c r="DE149" s="925"/>
      <c r="DF149" s="925"/>
      <c r="DG149" s="925"/>
      <c r="DH149" s="925"/>
      <c r="DI149" s="925"/>
      <c r="DJ149" s="925"/>
      <c r="DK149" s="925"/>
      <c r="DL149" s="925"/>
      <c r="DM149" s="925"/>
      <c r="DN149" s="925"/>
      <c r="DO149" s="925"/>
      <c r="DP149" s="925"/>
      <c r="DQ149" s="925"/>
      <c r="DR149" s="925"/>
      <c r="DS149" s="925"/>
      <c r="DT149" s="925"/>
      <c r="DU149" s="925"/>
      <c r="DV149" s="925"/>
      <c r="DW149" s="925"/>
      <c r="DX149" s="925"/>
      <c r="DY149" s="925"/>
      <c r="DZ149" s="925"/>
      <c r="EA149" s="925"/>
      <c r="EB149" s="925"/>
      <c r="EC149" s="925"/>
      <c r="ED149" s="925"/>
      <c r="EE149" s="925"/>
      <c r="EF149" s="925"/>
      <c r="EG149" s="446"/>
    </row>
    <row r="150" spans="1:137" ht="13" x14ac:dyDescent="0.15">
      <c r="A150" s="917"/>
      <c r="B150" s="917"/>
      <c r="C150" s="918"/>
      <c r="D150" s="919"/>
      <c r="E150" s="920"/>
      <c r="F150" s="921"/>
      <c r="G150" s="922"/>
      <c r="H150" s="922"/>
      <c r="I150" s="922"/>
      <c r="J150" s="923"/>
      <c r="K150" s="923"/>
      <c r="L150" s="924"/>
      <c r="M150" s="925"/>
      <c r="N150" s="925"/>
      <c r="O150" s="925"/>
      <c r="P150" s="925"/>
      <c r="Q150" s="925"/>
      <c r="R150" s="926"/>
      <c r="S150" s="926"/>
      <c r="T150" s="925"/>
      <c r="U150" s="925"/>
      <c r="V150" s="925"/>
      <c r="W150" s="925"/>
      <c r="X150" s="925"/>
      <c r="Y150" s="925"/>
      <c r="Z150" s="925"/>
      <c r="AA150" s="925"/>
      <c r="AB150" s="925"/>
      <c r="AC150" s="925"/>
      <c r="AD150" s="925"/>
      <c r="AE150" s="925"/>
      <c r="AF150" s="925"/>
      <c r="AG150" s="925"/>
      <c r="AH150" s="925"/>
      <c r="AI150" s="925"/>
      <c r="AJ150" s="925"/>
      <c r="AK150" s="925"/>
      <c r="AL150" s="925"/>
      <c r="AM150" s="925"/>
      <c r="AN150" s="925"/>
      <c r="AO150" s="925"/>
      <c r="AP150" s="925"/>
      <c r="AQ150" s="925"/>
      <c r="AR150" s="925"/>
      <c r="AS150" s="925"/>
      <c r="AT150" s="925"/>
      <c r="AU150" s="925"/>
      <c r="AV150" s="925"/>
      <c r="AW150" s="925"/>
      <c r="AX150" s="925"/>
      <c r="AY150" s="925"/>
      <c r="AZ150" s="925"/>
      <c r="BA150" s="925"/>
      <c r="BB150" s="925"/>
      <c r="BC150" s="925"/>
      <c r="BD150" s="925"/>
      <c r="BE150" s="925"/>
      <c r="BF150" s="925"/>
      <c r="BG150" s="925"/>
      <c r="BH150" s="925"/>
      <c r="BI150" s="925"/>
      <c r="BJ150" s="925"/>
      <c r="BK150" s="925"/>
      <c r="BL150" s="925"/>
      <c r="BM150" s="925"/>
      <c r="BN150" s="925"/>
      <c r="BO150" s="925"/>
      <c r="BP150" s="925"/>
      <c r="BQ150" s="925"/>
      <c r="BR150" s="925"/>
      <c r="BS150" s="925"/>
      <c r="BT150" s="925"/>
      <c r="BU150" s="925"/>
      <c r="BV150" s="925"/>
      <c r="BW150" s="925"/>
      <c r="BX150" s="925"/>
      <c r="BY150" s="925"/>
      <c r="BZ150" s="925"/>
      <c r="CA150" s="925"/>
      <c r="CB150" s="925"/>
      <c r="CC150" s="925"/>
      <c r="CD150" s="925"/>
      <c r="CE150" s="925"/>
      <c r="CF150" s="925"/>
      <c r="CG150" s="925"/>
      <c r="CH150" s="925"/>
      <c r="CI150" s="925"/>
      <c r="CJ150" s="925"/>
      <c r="CK150" s="925"/>
      <c r="CL150" s="925"/>
      <c r="CM150" s="925"/>
      <c r="CN150" s="925"/>
      <c r="CO150" s="925"/>
      <c r="CP150" s="925"/>
      <c r="CQ150" s="925"/>
      <c r="CR150" s="925"/>
      <c r="CS150" s="925"/>
      <c r="CT150" s="925"/>
      <c r="CU150" s="925"/>
      <c r="CV150" s="925"/>
      <c r="CW150" s="925"/>
      <c r="CX150" s="925"/>
      <c r="CY150" s="925"/>
      <c r="CZ150" s="925"/>
      <c r="DA150" s="925"/>
      <c r="DB150" s="925"/>
      <c r="DC150" s="925"/>
      <c r="DD150" s="925"/>
      <c r="DE150" s="925"/>
      <c r="DF150" s="925"/>
      <c r="DG150" s="925"/>
      <c r="DH150" s="925"/>
      <c r="DI150" s="925"/>
      <c r="DJ150" s="925"/>
      <c r="DK150" s="925"/>
      <c r="DL150" s="925"/>
      <c r="DM150" s="925"/>
      <c r="DN150" s="925"/>
      <c r="DO150" s="925"/>
      <c r="DP150" s="925"/>
      <c r="DQ150" s="925"/>
      <c r="DR150" s="925"/>
      <c r="DS150" s="925"/>
      <c r="DT150" s="925"/>
      <c r="DU150" s="925"/>
      <c r="DV150" s="925"/>
      <c r="DW150" s="925"/>
      <c r="DX150" s="925"/>
      <c r="DY150" s="925"/>
      <c r="DZ150" s="925"/>
      <c r="EA150" s="925"/>
      <c r="EB150" s="925"/>
      <c r="EC150" s="925"/>
      <c r="ED150" s="925"/>
      <c r="EE150" s="925"/>
      <c r="EF150" s="925"/>
      <c r="EG150" s="446"/>
    </row>
    <row r="151" spans="1:137" ht="13" x14ac:dyDescent="0.15">
      <c r="A151" s="917"/>
      <c r="B151" s="917"/>
      <c r="C151" s="918"/>
      <c r="D151" s="919"/>
      <c r="E151" s="920"/>
      <c r="F151" s="921"/>
      <c r="G151" s="922"/>
      <c r="H151" s="922"/>
      <c r="I151" s="922"/>
      <c r="J151" s="923"/>
      <c r="K151" s="923"/>
      <c r="L151" s="924"/>
      <c r="M151" s="925"/>
      <c r="N151" s="925"/>
      <c r="O151" s="925"/>
      <c r="P151" s="925"/>
      <c r="Q151" s="925"/>
      <c r="R151" s="926"/>
      <c r="S151" s="926"/>
      <c r="T151" s="925"/>
      <c r="U151" s="925"/>
      <c r="V151" s="925"/>
      <c r="W151" s="925"/>
      <c r="X151" s="925"/>
      <c r="Y151" s="925"/>
      <c r="Z151" s="925"/>
      <c r="AA151" s="925"/>
      <c r="AB151" s="925"/>
      <c r="AC151" s="925"/>
      <c r="AD151" s="925"/>
      <c r="AE151" s="925"/>
      <c r="AF151" s="925"/>
      <c r="AG151" s="925"/>
      <c r="AH151" s="925"/>
      <c r="AI151" s="925"/>
      <c r="AJ151" s="925"/>
      <c r="AK151" s="925"/>
      <c r="AL151" s="925"/>
      <c r="AM151" s="925"/>
      <c r="AN151" s="925"/>
      <c r="AO151" s="925"/>
      <c r="AP151" s="925"/>
      <c r="AQ151" s="925"/>
      <c r="AR151" s="925"/>
      <c r="AS151" s="925"/>
      <c r="AT151" s="925"/>
      <c r="AU151" s="925"/>
      <c r="AV151" s="925"/>
      <c r="AW151" s="925"/>
      <c r="AX151" s="925"/>
      <c r="AY151" s="925"/>
      <c r="AZ151" s="925"/>
      <c r="BA151" s="925"/>
      <c r="BB151" s="925"/>
      <c r="BC151" s="925"/>
      <c r="BD151" s="925"/>
      <c r="BE151" s="925"/>
      <c r="BF151" s="925"/>
      <c r="BG151" s="925"/>
      <c r="BH151" s="925"/>
      <c r="BI151" s="925"/>
      <c r="BJ151" s="925"/>
      <c r="BK151" s="925"/>
      <c r="BL151" s="925"/>
      <c r="BM151" s="925"/>
      <c r="BN151" s="925"/>
      <c r="BO151" s="925"/>
      <c r="BP151" s="925"/>
      <c r="BQ151" s="925"/>
      <c r="BR151" s="925"/>
      <c r="BS151" s="925"/>
      <c r="BT151" s="925"/>
      <c r="BU151" s="925"/>
      <c r="BV151" s="925"/>
      <c r="BW151" s="925"/>
      <c r="BX151" s="925"/>
      <c r="BY151" s="925"/>
      <c r="BZ151" s="925"/>
      <c r="CA151" s="925"/>
      <c r="CB151" s="925"/>
      <c r="CC151" s="925"/>
      <c r="CD151" s="925"/>
      <c r="CE151" s="925"/>
      <c r="CF151" s="925"/>
      <c r="CG151" s="925"/>
      <c r="CH151" s="925"/>
      <c r="CI151" s="925"/>
      <c r="CJ151" s="925"/>
      <c r="CK151" s="925"/>
      <c r="CL151" s="925"/>
      <c r="CM151" s="925"/>
      <c r="CN151" s="925"/>
      <c r="CO151" s="925"/>
      <c r="CP151" s="925"/>
      <c r="CQ151" s="925"/>
      <c r="CR151" s="925"/>
      <c r="CS151" s="925"/>
      <c r="CT151" s="925"/>
      <c r="CU151" s="925"/>
      <c r="CV151" s="925"/>
      <c r="CW151" s="925"/>
      <c r="CX151" s="925"/>
      <c r="CY151" s="925"/>
      <c r="CZ151" s="925"/>
      <c r="DA151" s="925"/>
      <c r="DB151" s="925"/>
      <c r="DC151" s="925"/>
      <c r="DD151" s="925"/>
      <c r="DE151" s="925"/>
      <c r="DF151" s="925"/>
      <c r="DG151" s="925"/>
      <c r="DH151" s="925"/>
      <c r="DI151" s="925"/>
      <c r="DJ151" s="925"/>
      <c r="DK151" s="925"/>
      <c r="DL151" s="925"/>
      <c r="DM151" s="925"/>
      <c r="DN151" s="925"/>
      <c r="DO151" s="925"/>
      <c r="DP151" s="925"/>
      <c r="DQ151" s="925"/>
      <c r="DR151" s="925"/>
      <c r="DS151" s="925"/>
      <c r="DT151" s="925"/>
      <c r="DU151" s="925"/>
      <c r="DV151" s="925"/>
      <c r="DW151" s="925"/>
      <c r="DX151" s="925"/>
      <c r="DY151" s="925"/>
      <c r="DZ151" s="925"/>
      <c r="EA151" s="925"/>
      <c r="EB151" s="925"/>
      <c r="EC151" s="925"/>
      <c r="ED151" s="925"/>
      <c r="EE151" s="925"/>
      <c r="EF151" s="925"/>
      <c r="EG151" s="446"/>
    </row>
    <row r="152" spans="1:137" ht="13" x14ac:dyDescent="0.15">
      <c r="A152" s="917"/>
      <c r="B152" s="917"/>
      <c r="C152" s="918"/>
      <c r="D152" s="919"/>
      <c r="E152" s="920"/>
      <c r="F152" s="921"/>
      <c r="G152" s="922"/>
      <c r="H152" s="922"/>
      <c r="I152" s="922"/>
      <c r="J152" s="923"/>
      <c r="K152" s="923"/>
      <c r="L152" s="924"/>
      <c r="M152" s="925"/>
      <c r="N152" s="925"/>
      <c r="O152" s="925"/>
      <c r="P152" s="925"/>
      <c r="Q152" s="925"/>
      <c r="R152" s="926"/>
      <c r="S152" s="926"/>
      <c r="T152" s="925"/>
      <c r="U152" s="925"/>
      <c r="V152" s="925"/>
      <c r="W152" s="925"/>
      <c r="X152" s="925"/>
      <c r="Y152" s="925"/>
      <c r="Z152" s="925"/>
      <c r="AA152" s="925"/>
      <c r="AB152" s="925"/>
      <c r="AC152" s="925"/>
      <c r="AD152" s="925"/>
      <c r="AE152" s="925"/>
      <c r="AF152" s="925"/>
      <c r="AG152" s="925"/>
      <c r="AH152" s="925"/>
      <c r="AI152" s="925"/>
      <c r="AJ152" s="925"/>
      <c r="AK152" s="925"/>
      <c r="AL152" s="925"/>
      <c r="AM152" s="925"/>
      <c r="AN152" s="925"/>
      <c r="AO152" s="925"/>
      <c r="AP152" s="925"/>
      <c r="AQ152" s="925"/>
      <c r="AR152" s="925"/>
      <c r="AS152" s="925"/>
      <c r="AT152" s="925"/>
      <c r="AU152" s="925"/>
      <c r="AV152" s="925"/>
      <c r="AW152" s="925"/>
      <c r="AX152" s="925"/>
      <c r="AY152" s="925"/>
      <c r="AZ152" s="925"/>
      <c r="BA152" s="925"/>
      <c r="BB152" s="925"/>
      <c r="BC152" s="925"/>
      <c r="BD152" s="925"/>
      <c r="BE152" s="925"/>
      <c r="BF152" s="925"/>
      <c r="BG152" s="925"/>
      <c r="BH152" s="925"/>
      <c r="BI152" s="925"/>
      <c r="BJ152" s="925"/>
      <c r="BK152" s="925"/>
      <c r="BL152" s="925"/>
      <c r="BM152" s="925"/>
      <c r="BN152" s="925"/>
      <c r="BO152" s="925"/>
      <c r="BP152" s="925"/>
      <c r="BQ152" s="925"/>
      <c r="BR152" s="925"/>
      <c r="BS152" s="925"/>
      <c r="BT152" s="925"/>
      <c r="BU152" s="925"/>
      <c r="BV152" s="925"/>
      <c r="BW152" s="925"/>
      <c r="BX152" s="925"/>
      <c r="BY152" s="925"/>
      <c r="BZ152" s="925"/>
      <c r="CA152" s="925"/>
      <c r="CB152" s="925"/>
      <c r="CC152" s="925"/>
      <c r="CD152" s="925"/>
      <c r="CE152" s="925"/>
      <c r="CF152" s="925"/>
      <c r="CG152" s="925"/>
      <c r="CH152" s="925"/>
      <c r="CI152" s="925"/>
      <c r="CJ152" s="925"/>
      <c r="CK152" s="925"/>
      <c r="CL152" s="925"/>
      <c r="CM152" s="925"/>
      <c r="CN152" s="925"/>
      <c r="CO152" s="925"/>
      <c r="CP152" s="925"/>
      <c r="CQ152" s="925"/>
      <c r="CR152" s="925"/>
      <c r="CS152" s="925"/>
      <c r="CT152" s="925"/>
      <c r="CU152" s="925"/>
      <c r="CV152" s="925"/>
      <c r="CW152" s="925"/>
      <c r="CX152" s="925"/>
      <c r="CY152" s="925"/>
      <c r="CZ152" s="925"/>
      <c r="DA152" s="925"/>
      <c r="DB152" s="925"/>
      <c r="DC152" s="925"/>
      <c r="DD152" s="925"/>
      <c r="DE152" s="925"/>
      <c r="DF152" s="925"/>
      <c r="DG152" s="925"/>
      <c r="DH152" s="925"/>
      <c r="DI152" s="925"/>
      <c r="DJ152" s="925"/>
      <c r="DK152" s="925"/>
      <c r="DL152" s="925"/>
      <c r="DM152" s="925"/>
      <c r="DN152" s="925"/>
      <c r="DO152" s="925"/>
      <c r="DP152" s="925"/>
      <c r="DQ152" s="925"/>
      <c r="DR152" s="925"/>
      <c r="DS152" s="925"/>
      <c r="DT152" s="925"/>
      <c r="DU152" s="925"/>
      <c r="DV152" s="925"/>
      <c r="DW152" s="925"/>
      <c r="DX152" s="925"/>
      <c r="DY152" s="925"/>
      <c r="DZ152" s="925"/>
      <c r="EA152" s="925"/>
      <c r="EB152" s="925"/>
      <c r="EC152" s="925"/>
      <c r="ED152" s="925"/>
      <c r="EE152" s="925"/>
      <c r="EF152" s="925"/>
      <c r="EG152" s="446"/>
    </row>
    <row r="153" spans="1:137" ht="13" x14ac:dyDescent="0.15">
      <c r="A153" s="917"/>
      <c r="B153" s="917"/>
      <c r="C153" s="918"/>
      <c r="D153" s="919"/>
      <c r="E153" s="920"/>
      <c r="F153" s="921"/>
      <c r="G153" s="922"/>
      <c r="H153" s="922"/>
      <c r="I153" s="922"/>
      <c r="J153" s="923"/>
      <c r="K153" s="923"/>
      <c r="L153" s="924"/>
      <c r="M153" s="925"/>
      <c r="N153" s="925"/>
      <c r="O153" s="925"/>
      <c r="P153" s="925"/>
      <c r="Q153" s="925"/>
      <c r="R153" s="926"/>
      <c r="S153" s="926"/>
      <c r="T153" s="925"/>
      <c r="U153" s="925"/>
      <c r="V153" s="925"/>
      <c r="W153" s="925"/>
      <c r="X153" s="925"/>
      <c r="Y153" s="925"/>
      <c r="Z153" s="925"/>
      <c r="AA153" s="925"/>
      <c r="AB153" s="925"/>
      <c r="AC153" s="925"/>
      <c r="AD153" s="925"/>
      <c r="AE153" s="925"/>
      <c r="AF153" s="925"/>
      <c r="AG153" s="925"/>
      <c r="AH153" s="925"/>
      <c r="AI153" s="925"/>
      <c r="AJ153" s="925"/>
      <c r="AK153" s="925"/>
      <c r="AL153" s="925"/>
      <c r="AM153" s="925"/>
      <c r="AN153" s="925"/>
      <c r="AO153" s="925"/>
      <c r="AP153" s="925"/>
      <c r="AQ153" s="925"/>
      <c r="AR153" s="925"/>
      <c r="AS153" s="925"/>
      <c r="AT153" s="925"/>
      <c r="AU153" s="925"/>
      <c r="AV153" s="925"/>
      <c r="AW153" s="925"/>
      <c r="AX153" s="925"/>
      <c r="AY153" s="925"/>
      <c r="AZ153" s="925"/>
      <c r="BA153" s="925"/>
      <c r="BB153" s="925"/>
      <c r="BC153" s="925"/>
      <c r="BD153" s="925"/>
      <c r="BE153" s="925"/>
      <c r="BF153" s="925"/>
      <c r="BG153" s="925"/>
      <c r="BH153" s="925"/>
      <c r="BI153" s="925"/>
      <c r="BJ153" s="925"/>
      <c r="BK153" s="925"/>
      <c r="BL153" s="925"/>
      <c r="BM153" s="925"/>
      <c r="BN153" s="925"/>
      <c r="BO153" s="925"/>
      <c r="BP153" s="925"/>
      <c r="BQ153" s="925"/>
      <c r="BR153" s="925"/>
      <c r="BS153" s="925"/>
      <c r="BT153" s="925"/>
      <c r="BU153" s="925"/>
      <c r="BV153" s="925"/>
      <c r="BW153" s="925"/>
      <c r="BX153" s="925"/>
      <c r="BY153" s="925"/>
      <c r="BZ153" s="925"/>
      <c r="CA153" s="925"/>
      <c r="CB153" s="925"/>
      <c r="CC153" s="925"/>
      <c r="CD153" s="925"/>
      <c r="CE153" s="925"/>
      <c r="CF153" s="925"/>
      <c r="CG153" s="925"/>
      <c r="CH153" s="925"/>
      <c r="CI153" s="925"/>
      <c r="CJ153" s="925"/>
      <c r="CK153" s="925"/>
      <c r="CL153" s="925"/>
      <c r="CM153" s="925"/>
      <c r="CN153" s="925"/>
      <c r="CO153" s="925"/>
      <c r="CP153" s="925"/>
      <c r="CQ153" s="925"/>
      <c r="CR153" s="925"/>
      <c r="CS153" s="925"/>
      <c r="CT153" s="925"/>
      <c r="CU153" s="925"/>
      <c r="CV153" s="925"/>
      <c r="CW153" s="925"/>
      <c r="CX153" s="925"/>
      <c r="CY153" s="925"/>
      <c r="CZ153" s="925"/>
      <c r="DA153" s="925"/>
      <c r="DB153" s="925"/>
      <c r="DC153" s="925"/>
      <c r="DD153" s="925"/>
      <c r="DE153" s="925"/>
      <c r="DF153" s="925"/>
      <c r="DG153" s="925"/>
      <c r="DH153" s="925"/>
      <c r="DI153" s="925"/>
      <c r="DJ153" s="925"/>
      <c r="DK153" s="925"/>
      <c r="DL153" s="925"/>
      <c r="DM153" s="925"/>
      <c r="DN153" s="925"/>
      <c r="DO153" s="925"/>
      <c r="DP153" s="925"/>
      <c r="DQ153" s="925"/>
      <c r="DR153" s="925"/>
      <c r="DS153" s="925"/>
      <c r="DT153" s="925"/>
      <c r="DU153" s="925"/>
      <c r="DV153" s="925"/>
      <c r="DW153" s="925"/>
      <c r="DX153" s="925"/>
      <c r="DY153" s="925"/>
      <c r="DZ153" s="925"/>
      <c r="EA153" s="925"/>
      <c r="EB153" s="925"/>
      <c r="EC153" s="925"/>
      <c r="ED153" s="925"/>
      <c r="EE153" s="925"/>
      <c r="EF153" s="925"/>
      <c r="EG153" s="446"/>
    </row>
    <row r="154" spans="1:137" ht="13" x14ac:dyDescent="0.15">
      <c r="A154" s="917"/>
      <c r="B154" s="917"/>
      <c r="C154" s="918"/>
      <c r="D154" s="919"/>
      <c r="E154" s="920"/>
      <c r="F154" s="921"/>
      <c r="G154" s="922"/>
      <c r="H154" s="922"/>
      <c r="I154" s="922"/>
      <c r="J154" s="923"/>
      <c r="K154" s="923"/>
      <c r="L154" s="924"/>
      <c r="M154" s="925"/>
      <c r="N154" s="925"/>
      <c r="O154" s="925"/>
      <c r="P154" s="925"/>
      <c r="Q154" s="925"/>
      <c r="R154" s="926"/>
      <c r="S154" s="926"/>
      <c r="T154" s="925"/>
      <c r="U154" s="925"/>
      <c r="V154" s="925"/>
      <c r="W154" s="925"/>
      <c r="X154" s="925"/>
      <c r="Y154" s="925"/>
      <c r="Z154" s="925"/>
      <c r="AA154" s="925"/>
      <c r="AB154" s="925"/>
      <c r="AC154" s="925"/>
      <c r="AD154" s="925"/>
      <c r="AE154" s="925"/>
      <c r="AF154" s="925"/>
      <c r="AG154" s="925"/>
      <c r="AH154" s="925"/>
      <c r="AI154" s="925"/>
      <c r="AJ154" s="925"/>
      <c r="AK154" s="925"/>
      <c r="AL154" s="925"/>
      <c r="AM154" s="925"/>
      <c r="AN154" s="925"/>
      <c r="AO154" s="925"/>
      <c r="AP154" s="925"/>
      <c r="AQ154" s="925"/>
      <c r="AR154" s="925"/>
      <c r="AS154" s="925"/>
      <c r="AT154" s="925"/>
      <c r="AU154" s="925"/>
      <c r="AV154" s="925"/>
      <c r="AW154" s="925"/>
      <c r="AX154" s="925"/>
      <c r="AY154" s="925"/>
      <c r="AZ154" s="925"/>
      <c r="BA154" s="925"/>
      <c r="BB154" s="925"/>
      <c r="BC154" s="925"/>
      <c r="BD154" s="925"/>
      <c r="BE154" s="925"/>
      <c r="BF154" s="925"/>
      <c r="BG154" s="925"/>
      <c r="BH154" s="925"/>
      <c r="BI154" s="925"/>
      <c r="BJ154" s="925"/>
      <c r="BK154" s="925"/>
      <c r="BL154" s="925"/>
      <c r="BM154" s="925"/>
      <c r="BN154" s="925"/>
      <c r="BO154" s="925"/>
      <c r="BP154" s="925"/>
      <c r="BQ154" s="925"/>
      <c r="BR154" s="925"/>
      <c r="BS154" s="925"/>
      <c r="BT154" s="925"/>
      <c r="BU154" s="925"/>
      <c r="BV154" s="925"/>
      <c r="BW154" s="925"/>
      <c r="BX154" s="925"/>
      <c r="BY154" s="925"/>
      <c r="BZ154" s="925"/>
      <c r="CA154" s="925"/>
      <c r="CB154" s="925"/>
      <c r="CC154" s="925"/>
      <c r="CD154" s="925"/>
      <c r="CE154" s="925"/>
      <c r="CF154" s="925"/>
      <c r="CG154" s="925"/>
      <c r="CH154" s="925"/>
      <c r="CI154" s="925"/>
      <c r="CJ154" s="925"/>
      <c r="CK154" s="925"/>
      <c r="CL154" s="925"/>
      <c r="CM154" s="925"/>
      <c r="CN154" s="925"/>
      <c r="CO154" s="925"/>
      <c r="CP154" s="925"/>
      <c r="CQ154" s="925"/>
      <c r="CR154" s="925"/>
      <c r="CS154" s="925"/>
      <c r="CT154" s="925"/>
      <c r="CU154" s="925"/>
      <c r="CV154" s="925"/>
      <c r="CW154" s="925"/>
      <c r="CX154" s="925"/>
      <c r="CY154" s="925"/>
      <c r="CZ154" s="925"/>
      <c r="DA154" s="925"/>
      <c r="DB154" s="925"/>
      <c r="DC154" s="925"/>
      <c r="DD154" s="925"/>
      <c r="DE154" s="925"/>
      <c r="DF154" s="925"/>
      <c r="DG154" s="925"/>
      <c r="DH154" s="925"/>
      <c r="DI154" s="925"/>
      <c r="DJ154" s="925"/>
      <c r="DK154" s="925"/>
      <c r="DL154" s="925"/>
      <c r="DM154" s="925"/>
      <c r="DN154" s="925"/>
      <c r="DO154" s="925"/>
      <c r="DP154" s="925"/>
      <c r="DQ154" s="925"/>
      <c r="DR154" s="925"/>
      <c r="DS154" s="925"/>
      <c r="DT154" s="925"/>
      <c r="DU154" s="925"/>
      <c r="DV154" s="925"/>
      <c r="DW154" s="925"/>
      <c r="DX154" s="925"/>
      <c r="DY154" s="925"/>
      <c r="DZ154" s="925"/>
      <c r="EA154" s="925"/>
      <c r="EB154" s="925"/>
      <c r="EC154" s="925"/>
      <c r="ED154" s="925"/>
      <c r="EE154" s="925"/>
      <c r="EF154" s="925"/>
      <c r="EG154" s="446"/>
    </row>
    <row r="155" spans="1:137" ht="13" x14ac:dyDescent="0.15">
      <c r="A155" s="917"/>
      <c r="B155" s="917"/>
      <c r="C155" s="918"/>
      <c r="D155" s="919"/>
      <c r="E155" s="920"/>
      <c r="F155" s="921"/>
      <c r="G155" s="922"/>
      <c r="H155" s="922"/>
      <c r="I155" s="922"/>
      <c r="J155" s="923"/>
      <c r="K155" s="923"/>
      <c r="L155" s="924"/>
      <c r="M155" s="925"/>
      <c r="N155" s="925"/>
      <c r="O155" s="925"/>
      <c r="P155" s="925"/>
      <c r="Q155" s="925"/>
      <c r="R155" s="926"/>
      <c r="S155" s="926"/>
      <c r="T155" s="925"/>
      <c r="U155" s="925"/>
      <c r="V155" s="925"/>
      <c r="W155" s="925"/>
      <c r="X155" s="925"/>
      <c r="Y155" s="925"/>
      <c r="Z155" s="925"/>
      <c r="AA155" s="925"/>
      <c r="AB155" s="925"/>
      <c r="AC155" s="925"/>
      <c r="AD155" s="925"/>
      <c r="AE155" s="925"/>
      <c r="AF155" s="925"/>
      <c r="AG155" s="925"/>
      <c r="AH155" s="925"/>
      <c r="AI155" s="925"/>
      <c r="AJ155" s="925"/>
      <c r="AK155" s="925"/>
      <c r="AL155" s="925"/>
      <c r="AM155" s="925"/>
      <c r="AN155" s="925"/>
      <c r="AO155" s="925"/>
      <c r="AP155" s="925"/>
      <c r="AQ155" s="925"/>
      <c r="AR155" s="925"/>
      <c r="AS155" s="925"/>
      <c r="AT155" s="925"/>
      <c r="AU155" s="925"/>
      <c r="AV155" s="925"/>
      <c r="AW155" s="925"/>
      <c r="AX155" s="925"/>
      <c r="AY155" s="925"/>
      <c r="AZ155" s="925"/>
      <c r="BA155" s="925"/>
      <c r="BB155" s="925"/>
      <c r="BC155" s="925"/>
      <c r="BD155" s="925"/>
      <c r="BE155" s="925"/>
      <c r="BF155" s="925"/>
      <c r="BG155" s="925"/>
      <c r="BH155" s="925"/>
      <c r="BI155" s="925"/>
      <c r="BJ155" s="925"/>
      <c r="BK155" s="925"/>
      <c r="BL155" s="925"/>
      <c r="BM155" s="925"/>
      <c r="BN155" s="925"/>
      <c r="BO155" s="925"/>
      <c r="BP155" s="925"/>
      <c r="BQ155" s="925"/>
      <c r="BR155" s="925"/>
      <c r="BS155" s="925"/>
      <c r="BT155" s="925"/>
      <c r="BU155" s="925"/>
      <c r="BV155" s="925"/>
      <c r="BW155" s="925"/>
      <c r="BX155" s="925"/>
      <c r="BY155" s="925"/>
      <c r="BZ155" s="925"/>
      <c r="CA155" s="925"/>
      <c r="CB155" s="925"/>
      <c r="CC155" s="925"/>
      <c r="CD155" s="925"/>
      <c r="CE155" s="925"/>
      <c r="CF155" s="925"/>
      <c r="CG155" s="925"/>
      <c r="CH155" s="925"/>
      <c r="CI155" s="925"/>
      <c r="CJ155" s="925"/>
      <c r="CK155" s="925"/>
      <c r="CL155" s="925"/>
      <c r="CM155" s="925"/>
      <c r="CN155" s="925"/>
      <c r="CO155" s="925"/>
      <c r="CP155" s="925"/>
      <c r="CQ155" s="925"/>
      <c r="CR155" s="925"/>
      <c r="CS155" s="925"/>
      <c r="CT155" s="925"/>
      <c r="CU155" s="925"/>
      <c r="CV155" s="925"/>
      <c r="CW155" s="925"/>
      <c r="CX155" s="925"/>
      <c r="CY155" s="925"/>
      <c r="CZ155" s="925"/>
      <c r="DA155" s="925"/>
      <c r="DB155" s="925"/>
      <c r="DC155" s="925"/>
      <c r="DD155" s="925"/>
      <c r="DE155" s="925"/>
      <c r="DF155" s="925"/>
      <c r="DG155" s="925"/>
      <c r="DH155" s="925"/>
      <c r="DI155" s="925"/>
      <c r="DJ155" s="925"/>
      <c r="DK155" s="925"/>
      <c r="DL155" s="925"/>
      <c r="DM155" s="925"/>
      <c r="DN155" s="925"/>
      <c r="DO155" s="925"/>
      <c r="DP155" s="925"/>
      <c r="DQ155" s="925"/>
      <c r="DR155" s="925"/>
      <c r="DS155" s="925"/>
      <c r="DT155" s="925"/>
      <c r="DU155" s="925"/>
      <c r="DV155" s="925"/>
      <c r="DW155" s="925"/>
      <c r="DX155" s="925"/>
      <c r="DY155" s="925"/>
      <c r="DZ155" s="925"/>
      <c r="EA155" s="925"/>
      <c r="EB155" s="925"/>
      <c r="EC155" s="925"/>
      <c r="ED155" s="925"/>
      <c r="EE155" s="925"/>
      <c r="EF155" s="925"/>
      <c r="EG155" s="446"/>
    </row>
    <row r="156" spans="1:137" ht="15.75" customHeight="1" x14ac:dyDescent="0.15">
      <c r="L156" s="446"/>
      <c r="M156" s="446"/>
      <c r="N156" s="446"/>
      <c r="O156" s="446"/>
      <c r="P156" s="446"/>
      <c r="Q156" s="925"/>
      <c r="T156" s="446"/>
      <c r="U156" s="446"/>
      <c r="V156" s="446"/>
      <c r="W156" s="446"/>
      <c r="X156" s="446"/>
      <c r="Y156" s="446"/>
      <c r="Z156" s="446"/>
      <c r="AA156" s="446"/>
      <c r="AB156" s="446"/>
      <c r="AC156" s="446"/>
      <c r="AD156" s="446"/>
      <c r="AE156" s="446"/>
      <c r="AF156" s="446"/>
      <c r="AG156" s="446"/>
      <c r="AH156" s="446"/>
      <c r="AI156" s="446"/>
      <c r="AJ156" s="446"/>
      <c r="AK156" s="446"/>
      <c r="AL156" s="446"/>
      <c r="AM156" s="446"/>
      <c r="AN156" s="446"/>
      <c r="AO156" s="446"/>
      <c r="AP156" s="446"/>
      <c r="AQ156" s="446"/>
      <c r="AR156" s="446"/>
      <c r="AS156" s="446"/>
      <c r="AT156" s="446"/>
      <c r="AU156" s="446"/>
      <c r="AV156" s="446"/>
      <c r="AW156" s="446"/>
      <c r="AX156" s="446"/>
      <c r="AY156" s="446"/>
      <c r="AZ156" s="446"/>
      <c r="BA156" s="446"/>
      <c r="BB156" s="446"/>
      <c r="BC156" s="446"/>
      <c r="BD156" s="446"/>
      <c r="BE156" s="446"/>
      <c r="BF156" s="446"/>
      <c r="BG156" s="446"/>
      <c r="BH156" s="446"/>
      <c r="BI156" s="446"/>
      <c r="BJ156" s="446"/>
      <c r="BK156" s="446"/>
      <c r="BL156" s="446"/>
      <c r="BM156" s="446"/>
      <c r="BN156" s="446"/>
      <c r="BO156" s="446"/>
      <c r="BP156" s="446"/>
      <c r="BQ156" s="446"/>
      <c r="BR156" s="446"/>
      <c r="BS156" s="446"/>
      <c r="BT156" s="446"/>
      <c r="BU156" s="446"/>
      <c r="BV156" s="446"/>
      <c r="BW156" s="446"/>
      <c r="BX156" s="446"/>
      <c r="BY156" s="446"/>
      <c r="BZ156" s="446"/>
      <c r="CA156" s="446"/>
      <c r="CB156" s="446"/>
      <c r="CC156" s="446"/>
      <c r="CD156" s="446"/>
      <c r="CE156" s="446"/>
      <c r="CF156" s="446"/>
      <c r="CG156" s="446"/>
      <c r="CH156" s="446"/>
      <c r="CI156" s="446"/>
      <c r="CJ156" s="446"/>
      <c r="CK156" s="446"/>
      <c r="CL156" s="446"/>
      <c r="CM156" s="446"/>
      <c r="CN156" s="446"/>
      <c r="CO156" s="446"/>
      <c r="CP156" s="446"/>
      <c r="CQ156" s="446"/>
      <c r="CR156" s="446"/>
      <c r="CS156" s="446"/>
      <c r="CT156" s="446"/>
      <c r="CU156" s="446"/>
      <c r="CV156" s="446"/>
      <c r="CW156" s="446"/>
      <c r="CX156" s="446"/>
      <c r="CY156" s="446"/>
      <c r="CZ156" s="446"/>
      <c r="DA156" s="446"/>
      <c r="DB156" s="446"/>
      <c r="DC156" s="446"/>
      <c r="DD156" s="446"/>
      <c r="DE156" s="446"/>
      <c r="DF156" s="446"/>
      <c r="DG156" s="446"/>
      <c r="DH156" s="446"/>
      <c r="DI156" s="446"/>
      <c r="DJ156" s="446"/>
      <c r="DK156" s="446"/>
      <c r="DL156" s="446"/>
      <c r="DM156" s="446"/>
      <c r="DN156" s="446"/>
      <c r="DO156" s="446"/>
      <c r="DP156" s="446"/>
      <c r="DQ156" s="446"/>
      <c r="DR156" s="446"/>
      <c r="DS156" s="446"/>
      <c r="DT156" s="446"/>
      <c r="DU156" s="446"/>
      <c r="DV156" s="446"/>
      <c r="DW156" s="446"/>
      <c r="DX156" s="446"/>
      <c r="DY156" s="446"/>
      <c r="DZ156" s="446"/>
      <c r="EA156" s="446"/>
      <c r="EB156" s="446"/>
      <c r="EC156" s="446"/>
      <c r="ED156" s="446"/>
      <c r="EE156" s="446"/>
      <c r="EF156" s="446"/>
      <c r="EG156" s="446"/>
    </row>
    <row r="157" spans="1:137" ht="15.75" customHeight="1" x14ac:dyDescent="0.15">
      <c r="Q157" s="925"/>
    </row>
    <row r="158" spans="1:137" ht="15.75" customHeight="1" x14ac:dyDescent="0.15">
      <c r="Q158" s="925"/>
    </row>
    <row r="159" spans="1:137" ht="15.75" customHeight="1" x14ac:dyDescent="0.15">
      <c r="Q159" s="925"/>
    </row>
    <row r="160" spans="1:137" ht="15.75" customHeight="1" x14ac:dyDescent="0.15">
      <c r="Q160" s="925"/>
    </row>
    <row r="161" spans="17:17" ht="15.75" customHeight="1" x14ac:dyDescent="0.15">
      <c r="Q161" s="925"/>
    </row>
    <row r="162" spans="17:17" ht="15.75" customHeight="1" x14ac:dyDescent="0.15">
      <c r="Q162" s="925"/>
    </row>
    <row r="163" spans="17:17" ht="15.75" customHeight="1" x14ac:dyDescent="0.15">
      <c r="Q163" s="925"/>
    </row>
    <row r="164" spans="17:17" ht="15.75" customHeight="1" x14ac:dyDescent="0.15">
      <c r="Q164" s="925"/>
    </row>
    <row r="165" spans="17:17" ht="15.75" customHeight="1" x14ac:dyDescent="0.15">
      <c r="Q165" s="925"/>
    </row>
    <row r="166" spans="17:17" ht="15.75" customHeight="1" x14ac:dyDescent="0.15">
      <c r="Q166" s="446"/>
    </row>
  </sheetData>
  <mergeCells count="102">
    <mergeCell ref="DU12:DX12"/>
    <mergeCell ref="DY12:EB12"/>
    <mergeCell ref="EC12:EF12"/>
    <mergeCell ref="A13:C13"/>
    <mergeCell ref="CW12:CZ12"/>
    <mergeCell ref="DA12:DD12"/>
    <mergeCell ref="DE12:DH12"/>
    <mergeCell ref="DI12:DL12"/>
    <mergeCell ref="DM12:DP12"/>
    <mergeCell ref="DQ12:DT12"/>
    <mergeCell ref="BY12:CB12"/>
    <mergeCell ref="CC12:CF12"/>
    <mergeCell ref="CG12:CJ12"/>
    <mergeCell ref="CK12:CN12"/>
    <mergeCell ref="CO12:CR12"/>
    <mergeCell ref="CS12:CV12"/>
    <mergeCell ref="BA12:BD12"/>
    <mergeCell ref="BE12:BH12"/>
    <mergeCell ref="BI12:BL12"/>
    <mergeCell ref="BM12:BP12"/>
    <mergeCell ref="BQ12:BT12"/>
    <mergeCell ref="BU12:BX12"/>
    <mergeCell ref="AC12:AF12"/>
    <mergeCell ref="AG12:AJ12"/>
    <mergeCell ref="AK12:AN12"/>
    <mergeCell ref="AO12:AR12"/>
    <mergeCell ref="AS12:AV12"/>
    <mergeCell ref="AW12:AZ12"/>
    <mergeCell ref="D12:H12"/>
    <mergeCell ref="J12:L12"/>
    <mergeCell ref="M12:P12"/>
    <mergeCell ref="Q12:T12"/>
    <mergeCell ref="U12:X12"/>
    <mergeCell ref="Y12:AB12"/>
    <mergeCell ref="DI10:DL10"/>
    <mergeCell ref="DM10:DP10"/>
    <mergeCell ref="DQ10:DT10"/>
    <mergeCell ref="DU10:DX10"/>
    <mergeCell ref="DY10:EB10"/>
    <mergeCell ref="EC10:EF10"/>
    <mergeCell ref="CK10:CN10"/>
    <mergeCell ref="CO10:CR10"/>
    <mergeCell ref="CS10:CV10"/>
    <mergeCell ref="CW10:CZ10"/>
    <mergeCell ref="DA10:DD10"/>
    <mergeCell ref="DE10:DH10"/>
    <mergeCell ref="BM10:BP10"/>
    <mergeCell ref="BQ10:BT10"/>
    <mergeCell ref="BU10:BX10"/>
    <mergeCell ref="BY10:CB10"/>
    <mergeCell ref="CC10:CF10"/>
    <mergeCell ref="CG10:CJ10"/>
    <mergeCell ref="AO10:AR10"/>
    <mergeCell ref="AS10:AV10"/>
    <mergeCell ref="AW10:AZ10"/>
    <mergeCell ref="BA10:BD10"/>
    <mergeCell ref="BE10:BH10"/>
    <mergeCell ref="BI10:BL10"/>
    <mergeCell ref="BM9:BP9"/>
    <mergeCell ref="BQ9:BT9"/>
    <mergeCell ref="BU9:BX9"/>
    <mergeCell ref="BY9:CB9"/>
    <mergeCell ref="CC9:CF9"/>
    <mergeCell ref="CG9:CJ9"/>
    <mergeCell ref="AO9:AR9"/>
    <mergeCell ref="AS9:AV9"/>
    <mergeCell ref="AW9:AZ9"/>
    <mergeCell ref="BA9:BD9"/>
    <mergeCell ref="BE9:BH9"/>
    <mergeCell ref="BI9:BL9"/>
    <mergeCell ref="DU9:DX9"/>
    <mergeCell ref="DY9:EB9"/>
    <mergeCell ref="EC9:EF9"/>
    <mergeCell ref="CK9:CN9"/>
    <mergeCell ref="CO9:CR9"/>
    <mergeCell ref="CS9:CV9"/>
    <mergeCell ref="CW9:CZ9"/>
    <mergeCell ref="DA9:DD9"/>
    <mergeCell ref="DE9:DH9"/>
    <mergeCell ref="DI9:DL9"/>
    <mergeCell ref="DM9:DP9"/>
    <mergeCell ref="DQ9:DT9"/>
    <mergeCell ref="AC9:AF9"/>
    <mergeCell ref="AG9:AJ9"/>
    <mergeCell ref="AK9:AN9"/>
    <mergeCell ref="A1:C1"/>
    <mergeCell ref="E2:H2"/>
    <mergeCell ref="I8:I11"/>
    <mergeCell ref="J8:J11"/>
    <mergeCell ref="K8:K11"/>
    <mergeCell ref="M9:P9"/>
    <mergeCell ref="A10:C10"/>
    <mergeCell ref="M10:P10"/>
    <mergeCell ref="Q10:T10"/>
    <mergeCell ref="U10:X10"/>
    <mergeCell ref="Y10:AB10"/>
    <mergeCell ref="AC10:AF10"/>
    <mergeCell ref="AG10:AJ10"/>
    <mergeCell ref="AK10:AN10"/>
    <mergeCell ref="Q9:T9"/>
    <mergeCell ref="U9:X9"/>
    <mergeCell ref="Y9:AB9"/>
  </mergeCells>
  <conditionalFormatting sqref="M12 Q12:EF12 M13:EF13">
    <cfRule type="expression" dxfId="374" priority="359">
      <formula>$T13="CN"</formula>
    </cfRule>
  </conditionalFormatting>
  <conditionalFormatting sqref="M11:EF11 M12 Q12:EF12 M9:M10 Q10:EF10 M13:EF13 Q9 U9 Y9 AC9 AG9 AK9 AO9 AS9 AW9 BA9 BE9 BI9 BM9 BQ9 BU9 BY9 CC9 CG9 CK9 CO9 CS9 CW9 DA9 DE9 DI9 DM9 DQ9 DU9 DY9 EC9 M1:EF8">
    <cfRule type="expression" dxfId="373" priority="360">
      <formula>M$11=TODAY()</formula>
    </cfRule>
  </conditionalFormatting>
  <conditionalFormatting sqref="M11:EF11 M12 Q12:EF12 M9:M10 Q10:EF10 M13:EF13 Q9 U9 Y9 AC9 AG9 AK9 AO9 AS9 AW9 BA9 BE9 BI9 BM9 BQ9 BU9 BY9 CC9 CG9 CK9 CO9 CS9 CW9 DA9 DE9 DI9 DM9 DQ9 DU9 DY9 EC9 M1:EF8">
    <cfRule type="expression" dxfId="372" priority="361">
      <formula>M$12="CN"</formula>
    </cfRule>
  </conditionalFormatting>
  <conditionalFormatting sqref="M49 M50:P50 N51:P58">
    <cfRule type="expression" dxfId="371" priority="343">
      <formula>M$11=TODAY()</formula>
    </cfRule>
  </conditionalFormatting>
  <conditionalFormatting sqref="M49 M50:P50 N51:P58">
    <cfRule type="expression" dxfId="370" priority="344">
      <formula>M$12="CN"</formula>
    </cfRule>
  </conditionalFormatting>
  <conditionalFormatting sqref="Q49 Q50:T50 R51:T58">
    <cfRule type="expression" dxfId="369" priority="341">
      <formula>Q$11=TODAY()</formula>
    </cfRule>
  </conditionalFormatting>
  <conditionalFormatting sqref="Q49 Q50:T50 R51:T58">
    <cfRule type="expression" dxfId="368" priority="342">
      <formula>Q$12="CN"</formula>
    </cfRule>
  </conditionalFormatting>
  <conditionalFormatting sqref="U49 U50:X50 V51:X58">
    <cfRule type="expression" dxfId="367" priority="339">
      <formula>U$11=TODAY()</formula>
    </cfRule>
  </conditionalFormatting>
  <conditionalFormatting sqref="U49 U50:X50 V51:X58">
    <cfRule type="expression" dxfId="366" priority="340">
      <formula>U$12="CN"</formula>
    </cfRule>
  </conditionalFormatting>
  <conditionalFormatting sqref="Y49 Y50:AB50 Z51:AB58">
    <cfRule type="expression" dxfId="365" priority="337">
      <formula>Y$11=TODAY()</formula>
    </cfRule>
  </conditionalFormatting>
  <conditionalFormatting sqref="Y49 Y50:AB50 Z51:AB58">
    <cfRule type="expression" dxfId="364" priority="338">
      <formula>Y$12="CN"</formula>
    </cfRule>
  </conditionalFormatting>
  <conditionalFormatting sqref="AC49 AC50:AF50 AD51:AF58">
    <cfRule type="expression" dxfId="363" priority="335">
      <formula>AC$11=TODAY()</formula>
    </cfRule>
  </conditionalFormatting>
  <conditionalFormatting sqref="AC49 AC50:AF50 AD51:AF58">
    <cfRule type="expression" dxfId="362" priority="336">
      <formula>AC$12="CN"</formula>
    </cfRule>
  </conditionalFormatting>
  <conditionalFormatting sqref="AG49 AG50:AJ50 AH51:AJ58">
    <cfRule type="expression" dxfId="361" priority="333">
      <formula>AG$11=TODAY()</formula>
    </cfRule>
  </conditionalFormatting>
  <conditionalFormatting sqref="AG49 AG50:AJ50 AH51:AJ58">
    <cfRule type="expression" dxfId="360" priority="334">
      <formula>AG$12="CN"</formula>
    </cfRule>
  </conditionalFormatting>
  <conditionalFormatting sqref="AK49 AK50:AN50 AL51:AN58">
    <cfRule type="expression" dxfId="359" priority="331">
      <formula>AK$11=TODAY()</formula>
    </cfRule>
  </conditionalFormatting>
  <conditionalFormatting sqref="AK49 AK50:AN50 AL51:AN58">
    <cfRule type="expression" dxfId="358" priority="332">
      <formula>AK$12="CN"</formula>
    </cfRule>
  </conditionalFormatting>
  <conditionalFormatting sqref="AO49 AO50:AR50 AP51:AR58">
    <cfRule type="expression" dxfId="357" priority="329">
      <formula>AO$11=TODAY()</formula>
    </cfRule>
  </conditionalFormatting>
  <conditionalFormatting sqref="AO49 AO50:AR50 AP51:AR58">
    <cfRule type="expression" dxfId="356" priority="330">
      <formula>AO$12="CN"</formula>
    </cfRule>
  </conditionalFormatting>
  <conditionalFormatting sqref="AS49 AS50:AV50 AT51:AV58">
    <cfRule type="expression" dxfId="355" priority="327">
      <formula>AS$11=TODAY()</formula>
    </cfRule>
  </conditionalFormatting>
  <conditionalFormatting sqref="AS49 AS50:AV50 AT51:AV58">
    <cfRule type="expression" dxfId="354" priority="328">
      <formula>AS$12="CN"</formula>
    </cfRule>
  </conditionalFormatting>
  <conditionalFormatting sqref="AW49 AW50:AZ50 AX51:AZ58">
    <cfRule type="expression" dxfId="353" priority="325">
      <formula>AW$11=TODAY()</formula>
    </cfRule>
  </conditionalFormatting>
  <conditionalFormatting sqref="AW49 AW50:AZ50 AX51:AZ58">
    <cfRule type="expression" dxfId="352" priority="326">
      <formula>AW$12="CN"</formula>
    </cfRule>
  </conditionalFormatting>
  <conditionalFormatting sqref="BA49 BA50:BD50 BB51:BD58">
    <cfRule type="expression" dxfId="351" priority="323">
      <formula>BA$11=TODAY()</formula>
    </cfRule>
  </conditionalFormatting>
  <conditionalFormatting sqref="BA49 BA50:BD50 BB51:BD58">
    <cfRule type="expression" dxfId="350" priority="324">
      <formula>BA$12="CN"</formula>
    </cfRule>
  </conditionalFormatting>
  <conditionalFormatting sqref="BE49 BE50:BH50 BF51:BH58">
    <cfRule type="expression" dxfId="349" priority="321">
      <formula>BE$11=TODAY()</formula>
    </cfRule>
  </conditionalFormatting>
  <conditionalFormatting sqref="BE49 BE50:BH50 BF51:BH58">
    <cfRule type="expression" dxfId="348" priority="322">
      <formula>BE$12="CN"</formula>
    </cfRule>
  </conditionalFormatting>
  <conditionalFormatting sqref="BI49 BI50:BL50 BJ51:BL58">
    <cfRule type="expression" dxfId="347" priority="319">
      <formula>BI$11=TODAY()</formula>
    </cfRule>
  </conditionalFormatting>
  <conditionalFormatting sqref="BI49 BI50:BL50 BJ51:BL58">
    <cfRule type="expression" dxfId="346" priority="320">
      <formula>BI$12="CN"</formula>
    </cfRule>
  </conditionalFormatting>
  <conditionalFormatting sqref="BM49 BM50:BP50 BN51:BP58">
    <cfRule type="expression" dxfId="345" priority="317">
      <formula>BM$11=TODAY()</formula>
    </cfRule>
  </conditionalFormatting>
  <conditionalFormatting sqref="BM49 BM50:BP50 BN51:BP58">
    <cfRule type="expression" dxfId="344" priority="318">
      <formula>BM$12="CN"</formula>
    </cfRule>
  </conditionalFormatting>
  <conditionalFormatting sqref="BQ49 BQ50:BT50 BR51:BT58">
    <cfRule type="expression" dxfId="343" priority="315">
      <formula>BQ$11=TODAY()</formula>
    </cfRule>
  </conditionalFormatting>
  <conditionalFormatting sqref="BQ49 BQ50:BT50 BR51:BT58">
    <cfRule type="expression" dxfId="342" priority="316">
      <formula>BQ$12="CN"</formula>
    </cfRule>
  </conditionalFormatting>
  <conditionalFormatting sqref="BU49 BU50:BX50 BV51:BX58">
    <cfRule type="expression" dxfId="341" priority="313">
      <formula>BU$11=TODAY()</formula>
    </cfRule>
  </conditionalFormatting>
  <conditionalFormatting sqref="BU49 BU50:BX50 BV51:BX58">
    <cfRule type="expression" dxfId="340" priority="314">
      <formula>BU$12="CN"</formula>
    </cfRule>
  </conditionalFormatting>
  <conditionalFormatting sqref="BY49 BY50:CB50 BZ51:CB58">
    <cfRule type="expression" dxfId="339" priority="311">
      <formula>BY$11=TODAY()</formula>
    </cfRule>
  </conditionalFormatting>
  <conditionalFormatting sqref="BY49 BY50:CB50 BZ51:CB58">
    <cfRule type="expression" dxfId="338" priority="312">
      <formula>BY$12="CN"</formula>
    </cfRule>
  </conditionalFormatting>
  <conditionalFormatting sqref="CC49 CC50:CF50 CD51:CF58">
    <cfRule type="expression" dxfId="337" priority="309">
      <formula>CC$11=TODAY()</formula>
    </cfRule>
  </conditionalFormatting>
  <conditionalFormatting sqref="CC49 CC50:CF50 CD51:CF58">
    <cfRule type="expression" dxfId="336" priority="310">
      <formula>CC$12="CN"</formula>
    </cfRule>
  </conditionalFormatting>
  <conditionalFormatting sqref="CG49 CG50:CJ50 CH51:CJ58">
    <cfRule type="expression" dxfId="335" priority="307">
      <formula>CG$11=TODAY()</formula>
    </cfRule>
  </conditionalFormatting>
  <conditionalFormatting sqref="CG49 CG50:CJ50 CH51:CJ58">
    <cfRule type="expression" dxfId="334" priority="308">
      <formula>CG$12="CN"</formula>
    </cfRule>
  </conditionalFormatting>
  <conditionalFormatting sqref="CK49 CK50:CN50 CL51:CN58">
    <cfRule type="expression" dxfId="333" priority="305">
      <formula>CK$11=TODAY()</formula>
    </cfRule>
  </conditionalFormatting>
  <conditionalFormatting sqref="CK49 CK50:CN50 CL51:CN58">
    <cfRule type="expression" dxfId="332" priority="306">
      <formula>CK$12="CN"</formula>
    </cfRule>
  </conditionalFormatting>
  <conditionalFormatting sqref="CO49 CO50:CR50 CP51:CR58">
    <cfRule type="expression" dxfId="331" priority="303">
      <formula>CO$11=TODAY()</formula>
    </cfRule>
  </conditionalFormatting>
  <conditionalFormatting sqref="CO49 CO50:CR50 CP51:CR58">
    <cfRule type="expression" dxfId="330" priority="304">
      <formula>CO$12="CN"</formula>
    </cfRule>
  </conditionalFormatting>
  <conditionalFormatting sqref="CS49 CS50:CV50 CT51:CV58">
    <cfRule type="expression" dxfId="329" priority="301">
      <formula>CS$11=TODAY()</formula>
    </cfRule>
  </conditionalFormatting>
  <conditionalFormatting sqref="CS49 CS50:CV50 CT51:CV58">
    <cfRule type="expression" dxfId="328" priority="302">
      <formula>CS$12="CN"</formula>
    </cfRule>
  </conditionalFormatting>
  <conditionalFormatting sqref="CW49 CW50:CZ50 CX51:CZ58">
    <cfRule type="expression" dxfId="327" priority="299">
      <formula>CW$11=TODAY()</formula>
    </cfRule>
  </conditionalFormatting>
  <conditionalFormatting sqref="CW49 CW50:CZ50 CX51:CZ58">
    <cfRule type="expression" dxfId="326" priority="300">
      <formula>CW$12="CN"</formula>
    </cfRule>
  </conditionalFormatting>
  <conditionalFormatting sqref="DA49 DA50:DD50 DB51:DD58">
    <cfRule type="expression" dxfId="325" priority="297">
      <formula>DA$11=TODAY()</formula>
    </cfRule>
  </conditionalFormatting>
  <conditionalFormatting sqref="DA49 DA50:DD50 DB51:DD58">
    <cfRule type="expression" dxfId="324" priority="298">
      <formula>DA$12="CN"</formula>
    </cfRule>
  </conditionalFormatting>
  <conditionalFormatting sqref="DE49 DE50:DH50 DF51:DH58">
    <cfRule type="expression" dxfId="323" priority="295">
      <formula>DE$11=TODAY()</formula>
    </cfRule>
  </conditionalFormatting>
  <conditionalFormatting sqref="DE49 DE50:DH50 DF51:DH58">
    <cfRule type="expression" dxfId="322" priority="296">
      <formula>DE$12="CN"</formula>
    </cfRule>
  </conditionalFormatting>
  <conditionalFormatting sqref="DI49 DI50:DL50 DJ51:DL58">
    <cfRule type="expression" dxfId="321" priority="293">
      <formula>DI$11=TODAY()</formula>
    </cfRule>
  </conditionalFormatting>
  <conditionalFormatting sqref="DI49 DI50:DL50 DJ51:DL58">
    <cfRule type="expression" dxfId="320" priority="294">
      <formula>DI$12="CN"</formula>
    </cfRule>
  </conditionalFormatting>
  <conditionalFormatting sqref="DM49 DM50:DP50 DN51:DP58">
    <cfRule type="expression" dxfId="319" priority="291">
      <formula>DM$11=TODAY()</formula>
    </cfRule>
  </conditionalFormatting>
  <conditionalFormatting sqref="DM49 DM50:DP50 DN51:DP58">
    <cfRule type="expression" dxfId="318" priority="292">
      <formula>DM$12="CN"</formula>
    </cfRule>
  </conditionalFormatting>
  <conditionalFormatting sqref="DQ49 DQ50:DT50 DR51:DT58">
    <cfRule type="expression" dxfId="317" priority="289">
      <formula>DQ$11=TODAY()</formula>
    </cfRule>
  </conditionalFormatting>
  <conditionalFormatting sqref="DQ49 DQ50:DT50 DR51:DT58">
    <cfRule type="expression" dxfId="316" priority="290">
      <formula>DQ$12="CN"</formula>
    </cfRule>
  </conditionalFormatting>
  <conditionalFormatting sqref="DU49 DU50:DX50 DV51:DX58">
    <cfRule type="expression" dxfId="315" priority="287">
      <formula>DU$11=TODAY()</formula>
    </cfRule>
  </conditionalFormatting>
  <conditionalFormatting sqref="DU49 DU50:DX50 DV51:DX58">
    <cfRule type="expression" dxfId="314" priority="288">
      <formula>DU$12="CN"</formula>
    </cfRule>
  </conditionalFormatting>
  <conditionalFormatting sqref="DY49 DY50:EB50 DZ51:EB58">
    <cfRule type="expression" dxfId="313" priority="285">
      <formula>DY$11=TODAY()</formula>
    </cfRule>
  </conditionalFormatting>
  <conditionalFormatting sqref="DY49 DY50:EB50 DZ51:EB58">
    <cfRule type="expression" dxfId="312" priority="286">
      <formula>DY$12="CN"</formula>
    </cfRule>
  </conditionalFormatting>
  <conditionalFormatting sqref="EC49 EC50:EF50 ED51:EF58">
    <cfRule type="expression" dxfId="311" priority="283">
      <formula>EC$11=TODAY()</formula>
    </cfRule>
  </conditionalFormatting>
  <conditionalFormatting sqref="EC49 EC50:EF50 ED51:EF58">
    <cfRule type="expression" dxfId="310" priority="284">
      <formula>EC$12="CN"</formula>
    </cfRule>
  </conditionalFormatting>
  <conditionalFormatting sqref="M14:P48">
    <cfRule type="expression" dxfId="309" priority="281">
      <formula>M$11=TODAY()</formula>
    </cfRule>
  </conditionalFormatting>
  <conditionalFormatting sqref="M14:P48">
    <cfRule type="expression" dxfId="308" priority="282">
      <formula>M$12="CN"</formula>
    </cfRule>
  </conditionalFormatting>
  <conditionalFormatting sqref="Q14:T40 Q48:T48 R47:T47 Q41:Q46 S41:T46">
    <cfRule type="expression" dxfId="307" priority="279">
      <formula>Q$11=TODAY()</formula>
    </cfRule>
  </conditionalFormatting>
  <conditionalFormatting sqref="Q14:T40 Q48:T48 R47:T47 Q41:Q46 S41:T46">
    <cfRule type="expression" dxfId="306" priority="280">
      <formula>Q$12="CN"</formula>
    </cfRule>
  </conditionalFormatting>
  <conditionalFormatting sqref="Q47">
    <cfRule type="expression" dxfId="305" priority="277">
      <formula>Q$11=TODAY()</formula>
    </cfRule>
  </conditionalFormatting>
  <conditionalFormatting sqref="Q47">
    <cfRule type="expression" dxfId="304" priority="278">
      <formula>Q$12="CN"</formula>
    </cfRule>
  </conditionalFormatting>
  <conditionalFormatting sqref="R46">
    <cfRule type="expression" dxfId="303" priority="275">
      <formula>R$11=TODAY()</formula>
    </cfRule>
  </conditionalFormatting>
  <conditionalFormatting sqref="R46">
    <cfRule type="expression" dxfId="302" priority="276">
      <formula>R$12="CN"</formula>
    </cfRule>
  </conditionalFormatting>
  <conditionalFormatting sqref="U48:X48">
    <cfRule type="expression" dxfId="301" priority="273">
      <formula>U$11=TODAY()</formula>
    </cfRule>
  </conditionalFormatting>
  <conditionalFormatting sqref="U48:X48">
    <cfRule type="expression" dxfId="300" priority="274">
      <formula>U$12="CN"</formula>
    </cfRule>
  </conditionalFormatting>
  <conditionalFormatting sqref="U14:X40 W41:X47">
    <cfRule type="expression" dxfId="299" priority="271">
      <formula>U$11=TODAY()</formula>
    </cfRule>
  </conditionalFormatting>
  <conditionalFormatting sqref="U14:X40 W41:X47">
    <cfRule type="expression" dxfId="298" priority="272">
      <formula>U$12="CN"</formula>
    </cfRule>
  </conditionalFormatting>
  <conditionalFormatting sqref="Y48:AB48">
    <cfRule type="expression" dxfId="297" priority="269">
      <formula>Y$11=TODAY()</formula>
    </cfRule>
  </conditionalFormatting>
  <conditionalFormatting sqref="Y48:AB48">
    <cfRule type="expression" dxfId="296" priority="270">
      <formula>Y$12="CN"</formula>
    </cfRule>
  </conditionalFormatting>
  <conditionalFormatting sqref="Y14:AB40 AA41:AB47">
    <cfRule type="expression" dxfId="295" priority="267">
      <formula>Y$11=TODAY()</formula>
    </cfRule>
  </conditionalFormatting>
  <conditionalFormatting sqref="Y14:AB40 AA41:AB47">
    <cfRule type="expression" dxfId="294" priority="268">
      <formula>Y$12="CN"</formula>
    </cfRule>
  </conditionalFormatting>
  <conditionalFormatting sqref="AC48:AF48">
    <cfRule type="expression" dxfId="293" priority="265">
      <formula>AC$11=TODAY()</formula>
    </cfRule>
  </conditionalFormatting>
  <conditionalFormatting sqref="AC48:AF48">
    <cfRule type="expression" dxfId="292" priority="266">
      <formula>AC$12="CN"</formula>
    </cfRule>
  </conditionalFormatting>
  <conditionalFormatting sqref="AC14:AF40 AE41:AF47">
    <cfRule type="expression" dxfId="291" priority="263">
      <formula>AC$11=TODAY()</formula>
    </cfRule>
  </conditionalFormatting>
  <conditionalFormatting sqref="AC14:AF40 AE41:AF47">
    <cfRule type="expression" dxfId="290" priority="264">
      <formula>AC$12="CN"</formula>
    </cfRule>
  </conditionalFormatting>
  <conditionalFormatting sqref="AG48:AJ48">
    <cfRule type="expression" dxfId="289" priority="261">
      <formula>AG$11=TODAY()</formula>
    </cfRule>
  </conditionalFormatting>
  <conditionalFormatting sqref="AG48:AJ48">
    <cfRule type="expression" dxfId="288" priority="262">
      <formula>AG$12="CN"</formula>
    </cfRule>
  </conditionalFormatting>
  <conditionalFormatting sqref="AG14:AJ40 AI41:AJ47">
    <cfRule type="expression" dxfId="287" priority="259">
      <formula>AG$11=TODAY()</formula>
    </cfRule>
  </conditionalFormatting>
  <conditionalFormatting sqref="AG14:AJ40 AI41:AJ47">
    <cfRule type="expression" dxfId="286" priority="260">
      <formula>AG$12="CN"</formula>
    </cfRule>
  </conditionalFormatting>
  <conditionalFormatting sqref="AK48:AN48">
    <cfRule type="expression" dxfId="285" priority="257">
      <formula>AK$11=TODAY()</formula>
    </cfRule>
  </conditionalFormatting>
  <conditionalFormatting sqref="AK48:AN48">
    <cfRule type="expression" dxfId="284" priority="258">
      <formula>AK$12="CN"</formula>
    </cfRule>
  </conditionalFormatting>
  <conditionalFormatting sqref="AK14:AN40 AM41:AN47">
    <cfRule type="expression" dxfId="283" priority="255">
      <formula>AK$11=TODAY()</formula>
    </cfRule>
  </conditionalFormatting>
  <conditionalFormatting sqref="AK14:AN40 AM41:AN47">
    <cfRule type="expression" dxfId="282" priority="256">
      <formula>AK$12="CN"</formula>
    </cfRule>
  </conditionalFormatting>
  <conditionalFormatting sqref="AO48:AR48">
    <cfRule type="expression" dxfId="281" priority="253">
      <formula>AO$11=TODAY()</formula>
    </cfRule>
  </conditionalFormatting>
  <conditionalFormatting sqref="AO48:AR48">
    <cfRule type="expression" dxfId="280" priority="254">
      <formula>AO$12="CN"</formula>
    </cfRule>
  </conditionalFormatting>
  <conditionalFormatting sqref="AO14:AR40 AQ41:AR47">
    <cfRule type="expression" dxfId="279" priority="251">
      <formula>AO$11=TODAY()</formula>
    </cfRule>
  </conditionalFormatting>
  <conditionalFormatting sqref="AO14:AR40 AQ41:AR47">
    <cfRule type="expression" dxfId="278" priority="252">
      <formula>AO$12="CN"</formula>
    </cfRule>
  </conditionalFormatting>
  <conditionalFormatting sqref="AS48:AV48">
    <cfRule type="expression" dxfId="277" priority="249">
      <formula>AS$11=TODAY()</formula>
    </cfRule>
  </conditionalFormatting>
  <conditionalFormatting sqref="AS48:AV48">
    <cfRule type="expression" dxfId="276" priority="250">
      <formula>AS$12="CN"</formula>
    </cfRule>
  </conditionalFormatting>
  <conditionalFormatting sqref="AS14:AV40 AU41:AV47">
    <cfRule type="expression" dxfId="275" priority="247">
      <formula>AS$11=TODAY()</formula>
    </cfRule>
  </conditionalFormatting>
  <conditionalFormatting sqref="AS14:AV40 AU41:AV47">
    <cfRule type="expression" dxfId="274" priority="248">
      <formula>AS$12="CN"</formula>
    </cfRule>
  </conditionalFormatting>
  <conditionalFormatting sqref="AW48:AZ48">
    <cfRule type="expression" dxfId="273" priority="245">
      <formula>AW$11=TODAY()</formula>
    </cfRule>
  </conditionalFormatting>
  <conditionalFormatting sqref="AW48:AZ48">
    <cfRule type="expression" dxfId="272" priority="246">
      <formula>AW$12="CN"</formula>
    </cfRule>
  </conditionalFormatting>
  <conditionalFormatting sqref="AW14:AZ40 AY41:AZ47">
    <cfRule type="expression" dxfId="271" priority="243">
      <formula>AW$11=TODAY()</formula>
    </cfRule>
  </conditionalFormatting>
  <conditionalFormatting sqref="AW14:AZ40 AY41:AZ47">
    <cfRule type="expression" dxfId="270" priority="244">
      <formula>AW$12="CN"</formula>
    </cfRule>
  </conditionalFormatting>
  <conditionalFormatting sqref="BA48:BD48">
    <cfRule type="expression" dxfId="269" priority="241">
      <formula>BA$11=TODAY()</formula>
    </cfRule>
  </conditionalFormatting>
  <conditionalFormatting sqref="BA48:BD48">
    <cfRule type="expression" dxfId="268" priority="242">
      <formula>BA$12="CN"</formula>
    </cfRule>
  </conditionalFormatting>
  <conditionalFormatting sqref="BA14:BD40 BC41:BD47">
    <cfRule type="expression" dxfId="267" priority="239">
      <formula>BA$11=TODAY()</formula>
    </cfRule>
  </conditionalFormatting>
  <conditionalFormatting sqref="BA14:BD40 BC41:BD47">
    <cfRule type="expression" dxfId="266" priority="240">
      <formula>BA$12="CN"</formula>
    </cfRule>
  </conditionalFormatting>
  <conditionalFormatting sqref="BE48:BH48">
    <cfRule type="expression" dxfId="265" priority="237">
      <formula>BE$11=TODAY()</formula>
    </cfRule>
  </conditionalFormatting>
  <conditionalFormatting sqref="BE48:BH48">
    <cfRule type="expression" dxfId="264" priority="238">
      <formula>BE$12="CN"</formula>
    </cfRule>
  </conditionalFormatting>
  <conditionalFormatting sqref="BE14:BH40 BG41:BH47">
    <cfRule type="expression" dxfId="263" priority="235">
      <formula>BE$11=TODAY()</formula>
    </cfRule>
  </conditionalFormatting>
  <conditionalFormatting sqref="BE14:BH40 BG41:BH47">
    <cfRule type="expression" dxfId="262" priority="236">
      <formula>BE$12="CN"</formula>
    </cfRule>
  </conditionalFormatting>
  <conditionalFormatting sqref="BI48:BL48">
    <cfRule type="expression" dxfId="261" priority="233">
      <formula>BI$11=TODAY()</formula>
    </cfRule>
  </conditionalFormatting>
  <conditionalFormatting sqref="BI48:BL48">
    <cfRule type="expression" dxfId="260" priority="234">
      <formula>BI$12="CN"</formula>
    </cfRule>
  </conditionalFormatting>
  <conditionalFormatting sqref="BI14:BL40 BJ47:BL47 BI41:BI46 BK41:BL46">
    <cfRule type="expression" dxfId="259" priority="231">
      <formula>BI$11=TODAY()</formula>
    </cfRule>
  </conditionalFormatting>
  <conditionalFormatting sqref="BI14:BL40 BJ47:BL47 BI41:BI46 BK41:BL46">
    <cfRule type="expression" dxfId="258" priority="232">
      <formula>BI$12="CN"</formula>
    </cfRule>
  </conditionalFormatting>
  <conditionalFormatting sqref="BI47">
    <cfRule type="expression" dxfId="257" priority="229">
      <formula>BI$11=TODAY()</formula>
    </cfRule>
  </conditionalFormatting>
  <conditionalFormatting sqref="BI47">
    <cfRule type="expression" dxfId="256" priority="230">
      <formula>BI$12="CN"</formula>
    </cfRule>
  </conditionalFormatting>
  <conditionalFormatting sqref="BJ41:BJ46">
    <cfRule type="expression" dxfId="255" priority="227">
      <formula>BJ$11=TODAY()</formula>
    </cfRule>
  </conditionalFormatting>
  <conditionalFormatting sqref="BJ41:BJ46">
    <cfRule type="expression" dxfId="254" priority="228">
      <formula>BJ$12="CN"</formula>
    </cfRule>
  </conditionalFormatting>
  <conditionalFormatting sqref="BM48:BP48">
    <cfRule type="expression" dxfId="253" priority="225">
      <formula>BM$11=TODAY()</formula>
    </cfRule>
  </conditionalFormatting>
  <conditionalFormatting sqref="BM48:BP48">
    <cfRule type="expression" dxfId="252" priority="226">
      <formula>BM$12="CN"</formula>
    </cfRule>
  </conditionalFormatting>
  <conditionalFormatting sqref="BM14:BP40 BN47:BP47 BM41:BM46 BO41:BP46">
    <cfRule type="expression" dxfId="251" priority="223">
      <formula>BM$11=TODAY()</formula>
    </cfRule>
  </conditionalFormatting>
  <conditionalFormatting sqref="BM14:BP40 BN47:BP47 BM41:BM46 BO41:BP46">
    <cfRule type="expression" dxfId="250" priority="224">
      <formula>BM$12="CN"</formula>
    </cfRule>
  </conditionalFormatting>
  <conditionalFormatting sqref="BM47">
    <cfRule type="expression" dxfId="249" priority="221">
      <formula>BM$11=TODAY()</formula>
    </cfRule>
  </conditionalFormatting>
  <conditionalFormatting sqref="BM47">
    <cfRule type="expression" dxfId="248" priority="222">
      <formula>BM$12="CN"</formula>
    </cfRule>
  </conditionalFormatting>
  <conditionalFormatting sqref="BN41:BN46">
    <cfRule type="expression" dxfId="247" priority="219">
      <formula>BN$11=TODAY()</formula>
    </cfRule>
  </conditionalFormatting>
  <conditionalFormatting sqref="BN41:BN46">
    <cfRule type="expression" dxfId="246" priority="220">
      <formula>BN$12="CN"</formula>
    </cfRule>
  </conditionalFormatting>
  <conditionalFormatting sqref="BQ48:BT48">
    <cfRule type="expression" dxfId="245" priority="217">
      <formula>BQ$11=TODAY()</formula>
    </cfRule>
  </conditionalFormatting>
  <conditionalFormatting sqref="BQ48:BT48">
    <cfRule type="expression" dxfId="244" priority="218">
      <formula>BQ$12="CN"</formula>
    </cfRule>
  </conditionalFormatting>
  <conditionalFormatting sqref="BQ14:BT40 BR47:BT47 BQ41:BQ46 BS41:BT46">
    <cfRule type="expression" dxfId="243" priority="215">
      <formula>BQ$11=TODAY()</formula>
    </cfRule>
  </conditionalFormatting>
  <conditionalFormatting sqref="BQ14:BT40 BR47:BT47 BQ41:BQ46 BS41:BT46">
    <cfRule type="expression" dxfId="242" priority="216">
      <formula>BQ$12="CN"</formula>
    </cfRule>
  </conditionalFormatting>
  <conditionalFormatting sqref="BQ47">
    <cfRule type="expression" dxfId="241" priority="213">
      <formula>BQ$11=TODAY()</formula>
    </cfRule>
  </conditionalFormatting>
  <conditionalFormatting sqref="BQ47">
    <cfRule type="expression" dxfId="240" priority="214">
      <formula>BQ$12="CN"</formula>
    </cfRule>
  </conditionalFormatting>
  <conditionalFormatting sqref="BR41:BR46">
    <cfRule type="expression" dxfId="239" priority="211">
      <formula>BR$11=TODAY()</formula>
    </cfRule>
  </conditionalFormatting>
  <conditionalFormatting sqref="BR41:BR46">
    <cfRule type="expression" dxfId="238" priority="212">
      <formula>BR$12="CN"</formula>
    </cfRule>
  </conditionalFormatting>
  <conditionalFormatting sqref="BU48:BX48">
    <cfRule type="expression" dxfId="237" priority="209">
      <formula>BU$11=TODAY()</formula>
    </cfRule>
  </conditionalFormatting>
  <conditionalFormatting sqref="BU48:BX48">
    <cfRule type="expression" dxfId="236" priority="210">
      <formula>BU$12="CN"</formula>
    </cfRule>
  </conditionalFormatting>
  <conditionalFormatting sqref="BU14:BX40 BV47:BX47 BU41:BU46 BW41:BX46">
    <cfRule type="expression" dxfId="235" priority="207">
      <formula>BU$11=TODAY()</formula>
    </cfRule>
  </conditionalFormatting>
  <conditionalFormatting sqref="BU14:BX40 BV47:BX47 BU41:BU46 BW41:BX46">
    <cfRule type="expression" dxfId="234" priority="208">
      <formula>BU$12="CN"</formula>
    </cfRule>
  </conditionalFormatting>
  <conditionalFormatting sqref="BU47">
    <cfRule type="expression" dxfId="233" priority="205">
      <formula>BU$11=TODAY()</formula>
    </cfRule>
  </conditionalFormatting>
  <conditionalFormatting sqref="BU47">
    <cfRule type="expression" dxfId="232" priority="206">
      <formula>BU$12="CN"</formula>
    </cfRule>
  </conditionalFormatting>
  <conditionalFormatting sqref="BV41:BV46">
    <cfRule type="expression" dxfId="231" priority="203">
      <formula>BV$11=TODAY()</formula>
    </cfRule>
  </conditionalFormatting>
  <conditionalFormatting sqref="BV41:BV46">
    <cfRule type="expression" dxfId="230" priority="204">
      <formula>BV$12="CN"</formula>
    </cfRule>
  </conditionalFormatting>
  <conditionalFormatting sqref="BY48:CB48">
    <cfRule type="expression" dxfId="229" priority="201">
      <formula>BY$11=TODAY()</formula>
    </cfRule>
  </conditionalFormatting>
  <conditionalFormatting sqref="BY48:CB48">
    <cfRule type="expression" dxfId="228" priority="202">
      <formula>BY$12="CN"</formula>
    </cfRule>
  </conditionalFormatting>
  <conditionalFormatting sqref="BY14:CB40 BZ47:CB47 BY41:BY46 CA41:CB46">
    <cfRule type="expression" dxfId="227" priority="199">
      <formula>BY$11=TODAY()</formula>
    </cfRule>
  </conditionalFormatting>
  <conditionalFormatting sqref="BY14:CB40 BZ47:CB47 BY41:BY46 CA41:CB46">
    <cfRule type="expression" dxfId="226" priority="200">
      <formula>BY$12="CN"</formula>
    </cfRule>
  </conditionalFormatting>
  <conditionalFormatting sqref="BY47">
    <cfRule type="expression" dxfId="225" priority="197">
      <formula>BY$11=TODAY()</formula>
    </cfRule>
  </conditionalFormatting>
  <conditionalFormatting sqref="BY47">
    <cfRule type="expression" dxfId="224" priority="198">
      <formula>BY$12="CN"</formula>
    </cfRule>
  </conditionalFormatting>
  <conditionalFormatting sqref="BZ41:BZ46">
    <cfRule type="expression" dxfId="223" priority="195">
      <formula>BZ$11=TODAY()</formula>
    </cfRule>
  </conditionalFormatting>
  <conditionalFormatting sqref="BZ41:BZ46">
    <cfRule type="expression" dxfId="222" priority="196">
      <formula>BZ$12="CN"</formula>
    </cfRule>
  </conditionalFormatting>
  <conditionalFormatting sqref="CC48:CF48">
    <cfRule type="expression" dxfId="221" priority="193">
      <formula>CC$11=TODAY()</formula>
    </cfRule>
  </conditionalFormatting>
  <conditionalFormatting sqref="CC48:CF48">
    <cfRule type="expression" dxfId="220" priority="194">
      <formula>CC$12="CN"</formula>
    </cfRule>
  </conditionalFormatting>
  <conditionalFormatting sqref="CC14:CF40 CD47:CF47 CC41:CC46 CE41:CF46">
    <cfRule type="expression" dxfId="219" priority="191">
      <formula>CC$11=TODAY()</formula>
    </cfRule>
  </conditionalFormatting>
  <conditionalFormatting sqref="CC14:CF40 CD47:CF47 CC41:CC46 CE41:CF46">
    <cfRule type="expression" dxfId="218" priority="192">
      <formula>CC$12="CN"</formula>
    </cfRule>
  </conditionalFormatting>
  <conditionalFormatting sqref="CC47">
    <cfRule type="expression" dxfId="217" priority="189">
      <formula>CC$11=TODAY()</formula>
    </cfRule>
  </conditionalFormatting>
  <conditionalFormatting sqref="CC47">
    <cfRule type="expression" dxfId="216" priority="190">
      <formula>CC$12="CN"</formula>
    </cfRule>
  </conditionalFormatting>
  <conditionalFormatting sqref="CD41:CD46">
    <cfRule type="expression" dxfId="215" priority="187">
      <formula>CD$11=TODAY()</formula>
    </cfRule>
  </conditionalFormatting>
  <conditionalFormatting sqref="CD41:CD46">
    <cfRule type="expression" dxfId="214" priority="188">
      <formula>CD$12="CN"</formula>
    </cfRule>
  </conditionalFormatting>
  <conditionalFormatting sqref="CG48:CJ48">
    <cfRule type="expression" dxfId="213" priority="185">
      <formula>CG$11=TODAY()</formula>
    </cfRule>
  </conditionalFormatting>
  <conditionalFormatting sqref="CG48:CJ48">
    <cfRule type="expression" dxfId="212" priority="186">
      <formula>CG$12="CN"</formula>
    </cfRule>
  </conditionalFormatting>
  <conditionalFormatting sqref="CG14:CJ40 CH47:CJ47 CG41:CG46 CI41:CJ46">
    <cfRule type="expression" dxfId="211" priority="183">
      <formula>CG$11=TODAY()</formula>
    </cfRule>
  </conditionalFormatting>
  <conditionalFormatting sqref="CG14:CJ40 CH47:CJ47 CG41:CG46 CI41:CJ46">
    <cfRule type="expression" dxfId="210" priority="184">
      <formula>CG$12="CN"</formula>
    </cfRule>
  </conditionalFormatting>
  <conditionalFormatting sqref="CG47">
    <cfRule type="expression" dxfId="209" priority="181">
      <formula>CG$11=TODAY()</formula>
    </cfRule>
  </conditionalFormatting>
  <conditionalFormatting sqref="CG47">
    <cfRule type="expression" dxfId="208" priority="182">
      <formula>CG$12="CN"</formula>
    </cfRule>
  </conditionalFormatting>
  <conditionalFormatting sqref="CH41:CH46">
    <cfRule type="expression" dxfId="207" priority="179">
      <formula>CH$11=TODAY()</formula>
    </cfRule>
  </conditionalFormatting>
  <conditionalFormatting sqref="CH41:CH46">
    <cfRule type="expression" dxfId="206" priority="180">
      <formula>CH$12="CN"</formula>
    </cfRule>
  </conditionalFormatting>
  <conditionalFormatting sqref="CK48:CN48">
    <cfRule type="expression" dxfId="205" priority="177">
      <formula>CK$11=TODAY()</formula>
    </cfRule>
  </conditionalFormatting>
  <conditionalFormatting sqref="CK48:CN48">
    <cfRule type="expression" dxfId="204" priority="178">
      <formula>CK$12="CN"</formula>
    </cfRule>
  </conditionalFormatting>
  <conditionalFormatting sqref="CK14:CN40 CL47:CN47 CK41:CK46 CM41:CN46">
    <cfRule type="expression" dxfId="203" priority="175">
      <formula>CK$11=TODAY()</formula>
    </cfRule>
  </conditionalFormatting>
  <conditionalFormatting sqref="CK14:CN40 CL47:CN47 CK41:CK46 CM41:CN46">
    <cfRule type="expression" dxfId="202" priority="176">
      <formula>CK$12="CN"</formula>
    </cfRule>
  </conditionalFormatting>
  <conditionalFormatting sqref="CK47">
    <cfRule type="expression" dxfId="201" priority="173">
      <formula>CK$11=TODAY()</formula>
    </cfRule>
  </conditionalFormatting>
  <conditionalFormatting sqref="CK47">
    <cfRule type="expression" dxfId="200" priority="174">
      <formula>CK$12="CN"</formula>
    </cfRule>
  </conditionalFormatting>
  <conditionalFormatting sqref="CL41:CL46">
    <cfRule type="expression" dxfId="199" priority="171">
      <formula>CL$11=TODAY()</formula>
    </cfRule>
  </conditionalFormatting>
  <conditionalFormatting sqref="CL41:CL46">
    <cfRule type="expression" dxfId="198" priority="172">
      <formula>CL$12="CN"</formula>
    </cfRule>
  </conditionalFormatting>
  <conditionalFormatting sqref="CO48:CR48">
    <cfRule type="expression" dxfId="197" priority="169">
      <formula>CO$11=TODAY()</formula>
    </cfRule>
  </conditionalFormatting>
  <conditionalFormatting sqref="CO48:CR48">
    <cfRule type="expression" dxfId="196" priority="170">
      <formula>CO$12="CN"</formula>
    </cfRule>
  </conditionalFormatting>
  <conditionalFormatting sqref="CO14:CR40 CP47:CR47 CO41:CO46 CQ41:CR46">
    <cfRule type="expression" dxfId="195" priority="167">
      <formula>CO$11=TODAY()</formula>
    </cfRule>
  </conditionalFormatting>
  <conditionalFormatting sqref="CO14:CR40 CP47:CR47 CO41:CO46 CQ41:CR46">
    <cfRule type="expression" dxfId="194" priority="168">
      <formula>CO$12="CN"</formula>
    </cfRule>
  </conditionalFormatting>
  <conditionalFormatting sqref="CO47">
    <cfRule type="expression" dxfId="193" priority="165">
      <formula>CO$11=TODAY()</formula>
    </cfRule>
  </conditionalFormatting>
  <conditionalFormatting sqref="CO47">
    <cfRule type="expression" dxfId="192" priority="166">
      <formula>CO$12="CN"</formula>
    </cfRule>
  </conditionalFormatting>
  <conditionalFormatting sqref="CP41:CP46">
    <cfRule type="expression" dxfId="191" priority="163">
      <formula>CP$11=TODAY()</formula>
    </cfRule>
  </conditionalFormatting>
  <conditionalFormatting sqref="CP41:CP46">
    <cfRule type="expression" dxfId="190" priority="164">
      <formula>CP$12="CN"</formula>
    </cfRule>
  </conditionalFormatting>
  <conditionalFormatting sqref="CS48:CV48">
    <cfRule type="expression" dxfId="189" priority="161">
      <formula>CS$11=TODAY()</formula>
    </cfRule>
  </conditionalFormatting>
  <conditionalFormatting sqref="CS48:CV48">
    <cfRule type="expression" dxfId="188" priority="162">
      <formula>CS$12="CN"</formula>
    </cfRule>
  </conditionalFormatting>
  <conditionalFormatting sqref="CS14:CV40 CT47:CV47 CS41:CS46 CU41:CV46">
    <cfRule type="expression" dxfId="187" priority="159">
      <formula>CS$11=TODAY()</formula>
    </cfRule>
  </conditionalFormatting>
  <conditionalFormatting sqref="CS14:CV40 CT47:CV47 CS41:CS46 CU41:CV46">
    <cfRule type="expression" dxfId="186" priority="160">
      <formula>CS$12="CN"</formula>
    </cfRule>
  </conditionalFormatting>
  <conditionalFormatting sqref="CS47">
    <cfRule type="expression" dxfId="185" priority="157">
      <formula>CS$11=TODAY()</formula>
    </cfRule>
  </conditionalFormatting>
  <conditionalFormatting sqref="CS47">
    <cfRule type="expression" dxfId="184" priority="158">
      <formula>CS$12="CN"</formula>
    </cfRule>
  </conditionalFormatting>
  <conditionalFormatting sqref="CT41:CT46">
    <cfRule type="expression" dxfId="183" priority="155">
      <formula>CT$11=TODAY()</formula>
    </cfRule>
  </conditionalFormatting>
  <conditionalFormatting sqref="CT41:CT46">
    <cfRule type="expression" dxfId="182" priority="156">
      <formula>CT$12="CN"</formula>
    </cfRule>
  </conditionalFormatting>
  <conditionalFormatting sqref="CW48:CZ48">
    <cfRule type="expression" dxfId="181" priority="153">
      <formula>CW$11=TODAY()</formula>
    </cfRule>
  </conditionalFormatting>
  <conditionalFormatting sqref="CW48:CZ48">
    <cfRule type="expression" dxfId="180" priority="154">
      <formula>CW$12="CN"</formula>
    </cfRule>
  </conditionalFormatting>
  <conditionalFormatting sqref="CW14:CZ40 CX47:CZ47 CW41:CW46 CY41:CZ46">
    <cfRule type="expression" dxfId="179" priority="151">
      <formula>CW$11=TODAY()</formula>
    </cfRule>
  </conditionalFormatting>
  <conditionalFormatting sqref="CW14:CZ40 CX47:CZ47 CW41:CW46 CY41:CZ46">
    <cfRule type="expression" dxfId="178" priority="152">
      <formula>CW$12="CN"</formula>
    </cfRule>
  </conditionalFormatting>
  <conditionalFormatting sqref="CW47">
    <cfRule type="expression" dxfId="177" priority="149">
      <formula>CW$11=TODAY()</formula>
    </cfRule>
  </conditionalFormatting>
  <conditionalFormatting sqref="CW47">
    <cfRule type="expression" dxfId="176" priority="150">
      <formula>CW$12="CN"</formula>
    </cfRule>
  </conditionalFormatting>
  <conditionalFormatting sqref="CX41:CX46">
    <cfRule type="expression" dxfId="175" priority="147">
      <formula>CX$11=TODAY()</formula>
    </cfRule>
  </conditionalFormatting>
  <conditionalFormatting sqref="CX41:CX46">
    <cfRule type="expression" dxfId="174" priority="148">
      <formula>CX$12="CN"</formula>
    </cfRule>
  </conditionalFormatting>
  <conditionalFormatting sqref="DA48:DD48">
    <cfRule type="expression" dxfId="173" priority="145">
      <formula>DA$11=TODAY()</formula>
    </cfRule>
  </conditionalFormatting>
  <conditionalFormatting sqref="DA48:DD48">
    <cfRule type="expression" dxfId="172" priority="146">
      <formula>DA$12="CN"</formula>
    </cfRule>
  </conditionalFormatting>
  <conditionalFormatting sqref="DA14:DD40 DB47:DD47 DA41:DA46 DC41:DD46">
    <cfRule type="expression" dxfId="171" priority="143">
      <formula>DA$11=TODAY()</formula>
    </cfRule>
  </conditionalFormatting>
  <conditionalFormatting sqref="DA14:DD40 DB47:DD47 DA41:DA46 DC41:DD46">
    <cfRule type="expression" dxfId="170" priority="144">
      <formula>DA$12="CN"</formula>
    </cfRule>
  </conditionalFormatting>
  <conditionalFormatting sqref="DA47">
    <cfRule type="expression" dxfId="169" priority="141">
      <formula>DA$11=TODAY()</formula>
    </cfRule>
  </conditionalFormatting>
  <conditionalFormatting sqref="DA47">
    <cfRule type="expression" dxfId="168" priority="142">
      <formula>DA$12="CN"</formula>
    </cfRule>
  </conditionalFormatting>
  <conditionalFormatting sqref="DB41:DB46">
    <cfRule type="expression" dxfId="167" priority="139">
      <formula>DB$11=TODAY()</formula>
    </cfRule>
  </conditionalFormatting>
  <conditionalFormatting sqref="DB41:DB46">
    <cfRule type="expression" dxfId="166" priority="140">
      <formula>DB$12="CN"</formula>
    </cfRule>
  </conditionalFormatting>
  <conditionalFormatting sqref="DE48:DH48">
    <cfRule type="expression" dxfId="165" priority="137">
      <formula>DE$11=TODAY()</formula>
    </cfRule>
  </conditionalFormatting>
  <conditionalFormatting sqref="DE48:DH48">
    <cfRule type="expression" dxfId="164" priority="138">
      <formula>DE$12="CN"</formula>
    </cfRule>
  </conditionalFormatting>
  <conditionalFormatting sqref="DE14:DH40 DF47:DH47 DE41:DE46 DG41:DH46">
    <cfRule type="expression" dxfId="163" priority="135">
      <formula>DE$11=TODAY()</formula>
    </cfRule>
  </conditionalFormatting>
  <conditionalFormatting sqref="DE14:DH40 DF47:DH47 DE41:DE46 DG41:DH46">
    <cfRule type="expression" dxfId="162" priority="136">
      <formula>DE$12="CN"</formula>
    </cfRule>
  </conditionalFormatting>
  <conditionalFormatting sqref="DE47">
    <cfRule type="expression" dxfId="161" priority="133">
      <formula>DE$11=TODAY()</formula>
    </cfRule>
  </conditionalFormatting>
  <conditionalFormatting sqref="DE47">
    <cfRule type="expression" dxfId="160" priority="134">
      <formula>DE$12="CN"</formula>
    </cfRule>
  </conditionalFormatting>
  <conditionalFormatting sqref="DF41:DF46">
    <cfRule type="expression" dxfId="159" priority="131">
      <formula>DF$11=TODAY()</formula>
    </cfRule>
  </conditionalFormatting>
  <conditionalFormatting sqref="DF41:DF46">
    <cfRule type="expression" dxfId="158" priority="132">
      <formula>DF$12="CN"</formula>
    </cfRule>
  </conditionalFormatting>
  <conditionalFormatting sqref="DI48:DL48">
    <cfRule type="expression" dxfId="157" priority="129">
      <formula>DI$11=TODAY()</formula>
    </cfRule>
  </conditionalFormatting>
  <conditionalFormatting sqref="DI48:DL48">
    <cfRule type="expression" dxfId="156" priority="130">
      <formula>DI$12="CN"</formula>
    </cfRule>
  </conditionalFormatting>
  <conditionalFormatting sqref="DI14:DL40 DJ47:DL47 DI41:DI46 DK41:DL46">
    <cfRule type="expression" dxfId="155" priority="127">
      <formula>DI$11=TODAY()</formula>
    </cfRule>
  </conditionalFormatting>
  <conditionalFormatting sqref="DI14:DL40 DJ47:DL47 DI41:DI46 DK41:DL46">
    <cfRule type="expression" dxfId="154" priority="128">
      <formula>DI$12="CN"</formula>
    </cfRule>
  </conditionalFormatting>
  <conditionalFormatting sqref="DI47">
    <cfRule type="expression" dxfId="153" priority="125">
      <formula>DI$11=TODAY()</formula>
    </cfRule>
  </conditionalFormatting>
  <conditionalFormatting sqref="DI47">
    <cfRule type="expression" dxfId="152" priority="126">
      <formula>DI$12="CN"</formula>
    </cfRule>
  </conditionalFormatting>
  <conditionalFormatting sqref="DJ41:DJ46">
    <cfRule type="expression" dxfId="151" priority="123">
      <formula>DJ$11=TODAY()</formula>
    </cfRule>
  </conditionalFormatting>
  <conditionalFormatting sqref="DJ41:DJ46">
    <cfRule type="expression" dxfId="150" priority="124">
      <formula>DJ$12="CN"</formula>
    </cfRule>
  </conditionalFormatting>
  <conditionalFormatting sqref="DM48:DP48">
    <cfRule type="expression" dxfId="149" priority="121">
      <formula>DM$11=TODAY()</formula>
    </cfRule>
  </conditionalFormatting>
  <conditionalFormatting sqref="DM48:DP48">
    <cfRule type="expression" dxfId="148" priority="122">
      <formula>DM$12="CN"</formula>
    </cfRule>
  </conditionalFormatting>
  <conditionalFormatting sqref="DM14:DP40 DN47:DP47 DM41:DM46 DO41:DP46">
    <cfRule type="expression" dxfId="147" priority="119">
      <formula>DM$11=TODAY()</formula>
    </cfRule>
  </conditionalFormatting>
  <conditionalFormatting sqref="DM14:DP40 DN47:DP47 DM41:DM46 DO41:DP46">
    <cfRule type="expression" dxfId="146" priority="120">
      <formula>DM$12="CN"</formula>
    </cfRule>
  </conditionalFormatting>
  <conditionalFormatting sqref="DM47">
    <cfRule type="expression" dxfId="145" priority="117">
      <formula>DM$11=TODAY()</formula>
    </cfRule>
  </conditionalFormatting>
  <conditionalFormatting sqref="DM47">
    <cfRule type="expression" dxfId="144" priority="118">
      <formula>DM$12="CN"</formula>
    </cfRule>
  </conditionalFormatting>
  <conditionalFormatting sqref="DN41:DN46">
    <cfRule type="expression" dxfId="143" priority="115">
      <formula>DN$11=TODAY()</formula>
    </cfRule>
  </conditionalFormatting>
  <conditionalFormatting sqref="DN41:DN46">
    <cfRule type="expression" dxfId="142" priority="116">
      <formula>DN$12="CN"</formula>
    </cfRule>
  </conditionalFormatting>
  <conditionalFormatting sqref="DQ48:DT48">
    <cfRule type="expression" dxfId="141" priority="113">
      <formula>DQ$11=TODAY()</formula>
    </cfRule>
  </conditionalFormatting>
  <conditionalFormatting sqref="DQ48:DT48">
    <cfRule type="expression" dxfId="140" priority="114">
      <formula>DQ$12="CN"</formula>
    </cfRule>
  </conditionalFormatting>
  <conditionalFormatting sqref="DQ14:DT40 DR47:DT47 DQ41:DQ46 DS41:DT46">
    <cfRule type="expression" dxfId="139" priority="111">
      <formula>DQ$11=TODAY()</formula>
    </cfRule>
  </conditionalFormatting>
  <conditionalFormatting sqref="DQ14:DT40 DR47:DT47 DQ41:DQ46 DS41:DT46">
    <cfRule type="expression" dxfId="138" priority="112">
      <formula>DQ$12="CN"</formula>
    </cfRule>
  </conditionalFormatting>
  <conditionalFormatting sqref="DQ47">
    <cfRule type="expression" dxfId="137" priority="109">
      <formula>DQ$11=TODAY()</formula>
    </cfRule>
  </conditionalFormatting>
  <conditionalFormatting sqref="DQ47">
    <cfRule type="expression" dxfId="136" priority="110">
      <formula>DQ$12="CN"</formula>
    </cfRule>
  </conditionalFormatting>
  <conditionalFormatting sqref="DR41:DR46">
    <cfRule type="expression" dxfId="135" priority="107">
      <formula>DR$11=TODAY()</formula>
    </cfRule>
  </conditionalFormatting>
  <conditionalFormatting sqref="DR41:DR46">
    <cfRule type="expression" dxfId="134" priority="108">
      <formula>DR$12="CN"</formula>
    </cfRule>
  </conditionalFormatting>
  <conditionalFormatting sqref="DU48:DX48">
    <cfRule type="expression" dxfId="133" priority="105">
      <formula>DU$11=TODAY()</formula>
    </cfRule>
  </conditionalFormatting>
  <conditionalFormatting sqref="DU48:DX48">
    <cfRule type="expression" dxfId="132" priority="106">
      <formula>DU$12="CN"</formula>
    </cfRule>
  </conditionalFormatting>
  <conditionalFormatting sqref="DU14:DX40 DV47:DX47 DU41:DU46 DW41:DX46">
    <cfRule type="expression" dxfId="131" priority="103">
      <formula>DU$11=TODAY()</formula>
    </cfRule>
  </conditionalFormatting>
  <conditionalFormatting sqref="DU14:DX40 DV47:DX47 DU41:DU46 DW41:DX46">
    <cfRule type="expression" dxfId="130" priority="104">
      <formula>DU$12="CN"</formula>
    </cfRule>
  </conditionalFormatting>
  <conditionalFormatting sqref="DU47">
    <cfRule type="expression" dxfId="129" priority="101">
      <formula>DU$11=TODAY()</formula>
    </cfRule>
  </conditionalFormatting>
  <conditionalFormatting sqref="DU47">
    <cfRule type="expression" dxfId="128" priority="102">
      <formula>DU$12="CN"</formula>
    </cfRule>
  </conditionalFormatting>
  <conditionalFormatting sqref="DV41:DV46">
    <cfRule type="expression" dxfId="127" priority="99">
      <formula>DV$11=TODAY()</formula>
    </cfRule>
  </conditionalFormatting>
  <conditionalFormatting sqref="DV41:DV46">
    <cfRule type="expression" dxfId="126" priority="100">
      <formula>DV$12="CN"</formula>
    </cfRule>
  </conditionalFormatting>
  <conditionalFormatting sqref="DY48:EB48">
    <cfRule type="expression" dxfId="125" priority="97">
      <formula>DY$11=TODAY()</formula>
    </cfRule>
  </conditionalFormatting>
  <conditionalFormatting sqref="DY48:EB48">
    <cfRule type="expression" dxfId="124" priority="98">
      <formula>DY$12="CN"</formula>
    </cfRule>
  </conditionalFormatting>
  <conditionalFormatting sqref="DY14:EB40 DZ47:EB47 DY41:DY46 EA41:EB46">
    <cfRule type="expression" dxfId="123" priority="95">
      <formula>DY$11=TODAY()</formula>
    </cfRule>
  </conditionalFormatting>
  <conditionalFormatting sqref="DY14:EB40 DZ47:EB47 DY41:DY46 EA41:EB46">
    <cfRule type="expression" dxfId="122" priority="96">
      <formula>DY$12="CN"</formula>
    </cfRule>
  </conditionalFormatting>
  <conditionalFormatting sqref="DY47">
    <cfRule type="expression" dxfId="121" priority="93">
      <formula>DY$11=TODAY()</formula>
    </cfRule>
  </conditionalFormatting>
  <conditionalFormatting sqref="DY47">
    <cfRule type="expression" dxfId="120" priority="94">
      <formula>DY$12="CN"</formula>
    </cfRule>
  </conditionalFormatting>
  <conditionalFormatting sqref="DZ41:DZ46">
    <cfRule type="expression" dxfId="119" priority="91">
      <formula>DZ$11=TODAY()</formula>
    </cfRule>
  </conditionalFormatting>
  <conditionalFormatting sqref="DZ41:DZ46">
    <cfRule type="expression" dxfId="118" priority="92">
      <formula>DZ$12="CN"</formula>
    </cfRule>
  </conditionalFormatting>
  <conditionalFormatting sqref="EC48:EF48">
    <cfRule type="expression" dxfId="117" priority="89">
      <formula>EC$11=TODAY()</formula>
    </cfRule>
  </conditionalFormatting>
  <conditionalFormatting sqref="EC48:EF48">
    <cfRule type="expression" dxfId="116" priority="90">
      <formula>EC$12="CN"</formula>
    </cfRule>
  </conditionalFormatting>
  <conditionalFormatting sqref="EC14:EF40 ED47:EF47 EC41:EC46 EE41:EF46">
    <cfRule type="expression" dxfId="115" priority="87">
      <formula>EC$11=TODAY()</formula>
    </cfRule>
  </conditionalFormatting>
  <conditionalFormatting sqref="EC14:EF40 ED47:EF47 EC41:EC46 EE41:EF46">
    <cfRule type="expression" dxfId="114" priority="88">
      <formula>EC$12="CN"</formula>
    </cfRule>
  </conditionalFormatting>
  <conditionalFormatting sqref="EC47">
    <cfRule type="expression" dxfId="113" priority="85">
      <formula>EC$11=TODAY()</formula>
    </cfRule>
  </conditionalFormatting>
  <conditionalFormatting sqref="EC47">
    <cfRule type="expression" dxfId="112" priority="86">
      <formula>EC$12="CN"</formula>
    </cfRule>
  </conditionalFormatting>
  <conditionalFormatting sqref="ED41:ED46">
    <cfRule type="expression" dxfId="111" priority="83">
      <formula>ED$11=TODAY()</formula>
    </cfRule>
  </conditionalFormatting>
  <conditionalFormatting sqref="ED41:ED46">
    <cfRule type="expression" dxfId="110" priority="84">
      <formula>ED$12="CN"</formula>
    </cfRule>
  </conditionalFormatting>
  <conditionalFormatting sqref="R41:R45">
    <cfRule type="expression" dxfId="109" priority="81">
      <formula>R$11=TODAY()</formula>
    </cfRule>
  </conditionalFormatting>
  <conditionalFormatting sqref="R41:R45">
    <cfRule type="expression" dxfId="108" priority="82">
      <formula>R$12="CN"</formula>
    </cfRule>
  </conditionalFormatting>
  <conditionalFormatting sqref="V47 U41:U46">
    <cfRule type="expression" dxfId="107" priority="79">
      <formula>U$11=TODAY()</formula>
    </cfRule>
  </conditionalFormatting>
  <conditionalFormatting sqref="V47 U41:U46">
    <cfRule type="expression" dxfId="106" priority="80">
      <formula>U$12="CN"</formula>
    </cfRule>
  </conditionalFormatting>
  <conditionalFormatting sqref="U47">
    <cfRule type="expression" dxfId="105" priority="77">
      <formula>U$11=TODAY()</formula>
    </cfRule>
  </conditionalFormatting>
  <conditionalFormatting sqref="U47">
    <cfRule type="expression" dxfId="104" priority="78">
      <formula>U$12="CN"</formula>
    </cfRule>
  </conditionalFormatting>
  <conditionalFormatting sqref="V46">
    <cfRule type="expression" dxfId="103" priority="75">
      <formula>V$11=TODAY()</formula>
    </cfRule>
  </conditionalFormatting>
  <conditionalFormatting sqref="V46">
    <cfRule type="expression" dxfId="102" priority="76">
      <formula>V$12="CN"</formula>
    </cfRule>
  </conditionalFormatting>
  <conditionalFormatting sqref="V41:V45">
    <cfRule type="expression" dxfId="101" priority="73">
      <formula>V$11=TODAY()</formula>
    </cfRule>
  </conditionalFormatting>
  <conditionalFormatting sqref="V41:V45">
    <cfRule type="expression" dxfId="100" priority="74">
      <formula>V$12="CN"</formula>
    </cfRule>
  </conditionalFormatting>
  <conditionalFormatting sqref="Z47 Y41:Y46">
    <cfRule type="expression" dxfId="99" priority="71">
      <formula>Y$11=TODAY()</formula>
    </cfRule>
  </conditionalFormatting>
  <conditionalFormatting sqref="Z47 Y41:Y46">
    <cfRule type="expression" dxfId="98" priority="72">
      <formula>Y$12="CN"</formula>
    </cfRule>
  </conditionalFormatting>
  <conditionalFormatting sqref="Y47">
    <cfRule type="expression" dxfId="97" priority="69">
      <formula>Y$11=TODAY()</formula>
    </cfRule>
  </conditionalFormatting>
  <conditionalFormatting sqref="Y47">
    <cfRule type="expression" dxfId="96" priority="70">
      <formula>Y$12="CN"</formula>
    </cfRule>
  </conditionalFormatting>
  <conditionalFormatting sqref="Z46">
    <cfRule type="expression" dxfId="95" priority="67">
      <formula>Z$11=TODAY()</formula>
    </cfRule>
  </conditionalFormatting>
  <conditionalFormatting sqref="Z46">
    <cfRule type="expression" dxfId="94" priority="68">
      <formula>Z$12="CN"</formula>
    </cfRule>
  </conditionalFormatting>
  <conditionalFormatting sqref="Z41:Z45">
    <cfRule type="expression" dxfId="93" priority="65">
      <formula>Z$11=TODAY()</formula>
    </cfRule>
  </conditionalFormatting>
  <conditionalFormatting sqref="Z41:Z45">
    <cfRule type="expression" dxfId="92" priority="66">
      <formula>Z$12="CN"</formula>
    </cfRule>
  </conditionalFormatting>
  <conditionalFormatting sqref="AD47 AC41:AC46">
    <cfRule type="expression" dxfId="91" priority="63">
      <formula>AC$11=TODAY()</formula>
    </cfRule>
  </conditionalFormatting>
  <conditionalFormatting sqref="AD47 AC41:AC46">
    <cfRule type="expression" dxfId="90" priority="64">
      <formula>AC$12="CN"</formula>
    </cfRule>
  </conditionalFormatting>
  <conditionalFormatting sqref="AC47">
    <cfRule type="expression" dxfId="89" priority="61">
      <formula>AC$11=TODAY()</formula>
    </cfRule>
  </conditionalFormatting>
  <conditionalFormatting sqref="AC47">
    <cfRule type="expression" dxfId="88" priority="62">
      <formula>AC$12="CN"</formula>
    </cfRule>
  </conditionalFormatting>
  <conditionalFormatting sqref="AD46">
    <cfRule type="expression" dxfId="87" priority="59">
      <formula>AD$11=TODAY()</formula>
    </cfRule>
  </conditionalFormatting>
  <conditionalFormatting sqref="AD46">
    <cfRule type="expression" dxfId="86" priority="60">
      <formula>AD$12="CN"</formula>
    </cfRule>
  </conditionalFormatting>
  <conditionalFormatting sqref="AD41:AD45">
    <cfRule type="expression" dxfId="85" priority="57">
      <formula>AD$11=TODAY()</formula>
    </cfRule>
  </conditionalFormatting>
  <conditionalFormatting sqref="AD41:AD45">
    <cfRule type="expression" dxfId="84" priority="58">
      <formula>AD$12="CN"</formula>
    </cfRule>
  </conditionalFormatting>
  <conditionalFormatting sqref="AH47 AG41:AG46">
    <cfRule type="expression" dxfId="83" priority="55">
      <formula>AG$11=TODAY()</formula>
    </cfRule>
  </conditionalFormatting>
  <conditionalFormatting sqref="AH47 AG41:AG46">
    <cfRule type="expression" dxfId="82" priority="56">
      <formula>AG$12="CN"</formula>
    </cfRule>
  </conditionalFormatting>
  <conditionalFormatting sqref="AG47">
    <cfRule type="expression" dxfId="81" priority="53">
      <formula>AG$11=TODAY()</formula>
    </cfRule>
  </conditionalFormatting>
  <conditionalFormatting sqref="AG47">
    <cfRule type="expression" dxfId="80" priority="54">
      <formula>AG$12="CN"</formula>
    </cfRule>
  </conditionalFormatting>
  <conditionalFormatting sqref="AH46">
    <cfRule type="expression" dxfId="79" priority="51">
      <formula>AH$11=TODAY()</formula>
    </cfRule>
  </conditionalFormatting>
  <conditionalFormatting sqref="AH46">
    <cfRule type="expression" dxfId="78" priority="52">
      <formula>AH$12="CN"</formula>
    </cfRule>
  </conditionalFormatting>
  <conditionalFormatting sqref="AH41:AH45">
    <cfRule type="expression" dxfId="77" priority="49">
      <formula>AH$11=TODAY()</formula>
    </cfRule>
  </conditionalFormatting>
  <conditionalFormatting sqref="AH41:AH45">
    <cfRule type="expression" dxfId="76" priority="50">
      <formula>AH$12="CN"</formula>
    </cfRule>
  </conditionalFormatting>
  <conditionalFormatting sqref="AL47 AK41:AK46">
    <cfRule type="expression" dxfId="75" priority="47">
      <formula>AK$11=TODAY()</formula>
    </cfRule>
  </conditionalFormatting>
  <conditionalFormatting sqref="AL47 AK41:AK46">
    <cfRule type="expression" dxfId="74" priority="48">
      <formula>AK$12="CN"</formula>
    </cfRule>
  </conditionalFormatting>
  <conditionalFormatting sqref="AK47">
    <cfRule type="expression" dxfId="73" priority="45">
      <formula>AK$11=TODAY()</formula>
    </cfRule>
  </conditionalFormatting>
  <conditionalFormatting sqref="AK47">
    <cfRule type="expression" dxfId="72" priority="46">
      <formula>AK$12="CN"</formula>
    </cfRule>
  </conditionalFormatting>
  <conditionalFormatting sqref="AL46">
    <cfRule type="expression" dxfId="71" priority="43">
      <formula>AL$11=TODAY()</formula>
    </cfRule>
  </conditionalFormatting>
  <conditionalFormatting sqref="AL46">
    <cfRule type="expression" dxfId="70" priority="44">
      <formula>AL$12="CN"</formula>
    </cfRule>
  </conditionalFormatting>
  <conditionalFormatting sqref="AL41:AL45">
    <cfRule type="expression" dxfId="69" priority="41">
      <formula>AL$11=TODAY()</formula>
    </cfRule>
  </conditionalFormatting>
  <conditionalFormatting sqref="AL41:AL45">
    <cfRule type="expression" dxfId="68" priority="42">
      <formula>AL$12="CN"</formula>
    </cfRule>
  </conditionalFormatting>
  <conditionalFormatting sqref="AP47 AO41:AO46">
    <cfRule type="expression" dxfId="67" priority="39">
      <formula>AO$11=TODAY()</formula>
    </cfRule>
  </conditionalFormatting>
  <conditionalFormatting sqref="AP47 AO41:AO46">
    <cfRule type="expression" dxfId="66" priority="40">
      <formula>AO$12="CN"</formula>
    </cfRule>
  </conditionalFormatting>
  <conditionalFormatting sqref="AO47">
    <cfRule type="expression" dxfId="65" priority="37">
      <formula>AO$11=TODAY()</formula>
    </cfRule>
  </conditionalFormatting>
  <conditionalFormatting sqref="AO47">
    <cfRule type="expression" dxfId="64" priority="38">
      <formula>AO$12="CN"</formula>
    </cfRule>
  </conditionalFormatting>
  <conditionalFormatting sqref="AP46">
    <cfRule type="expression" dxfId="63" priority="35">
      <formula>AP$11=TODAY()</formula>
    </cfRule>
  </conditionalFormatting>
  <conditionalFormatting sqref="AP46">
    <cfRule type="expression" dxfId="62" priority="36">
      <formula>AP$12="CN"</formula>
    </cfRule>
  </conditionalFormatting>
  <conditionalFormatting sqref="AP41:AP45">
    <cfRule type="expression" dxfId="61" priority="33">
      <formula>AP$11=TODAY()</formula>
    </cfRule>
  </conditionalFormatting>
  <conditionalFormatting sqref="AP41:AP45">
    <cfRule type="expression" dxfId="60" priority="34">
      <formula>AP$12="CN"</formula>
    </cfRule>
  </conditionalFormatting>
  <conditionalFormatting sqref="AT47 AS41:AS46">
    <cfRule type="expression" dxfId="59" priority="31">
      <formula>AS$11=TODAY()</formula>
    </cfRule>
  </conditionalFormatting>
  <conditionalFormatting sqref="AT47 AS41:AS46">
    <cfRule type="expression" dxfId="58" priority="32">
      <formula>AS$12="CN"</formula>
    </cfRule>
  </conditionalFormatting>
  <conditionalFormatting sqref="AS47">
    <cfRule type="expression" dxfId="57" priority="29">
      <formula>AS$11=TODAY()</formula>
    </cfRule>
  </conditionalFormatting>
  <conditionalFormatting sqref="AS47">
    <cfRule type="expression" dxfId="56" priority="30">
      <formula>AS$12="CN"</formula>
    </cfRule>
  </conditionalFormatting>
  <conditionalFormatting sqref="AT46">
    <cfRule type="expression" dxfId="55" priority="27">
      <formula>AT$11=TODAY()</formula>
    </cfRule>
  </conditionalFormatting>
  <conditionalFormatting sqref="AT46">
    <cfRule type="expression" dxfId="54" priority="28">
      <formula>AT$12="CN"</formula>
    </cfRule>
  </conditionalFormatting>
  <conditionalFormatting sqref="AT41:AT45">
    <cfRule type="expression" dxfId="53" priority="25">
      <formula>AT$11=TODAY()</formula>
    </cfRule>
  </conditionalFormatting>
  <conditionalFormatting sqref="AT41:AT45">
    <cfRule type="expression" dxfId="52" priority="26">
      <formula>AT$12="CN"</formula>
    </cfRule>
  </conditionalFormatting>
  <conditionalFormatting sqref="AX47 AW41:AW46">
    <cfRule type="expression" dxfId="51" priority="23">
      <formula>AW$11=TODAY()</formula>
    </cfRule>
  </conditionalFormatting>
  <conditionalFormatting sqref="AX47 AW41:AW46">
    <cfRule type="expression" dxfId="50" priority="24">
      <formula>AW$12="CN"</formula>
    </cfRule>
  </conditionalFormatting>
  <conditionalFormatting sqref="AW47">
    <cfRule type="expression" dxfId="49" priority="21">
      <formula>AW$11=TODAY()</formula>
    </cfRule>
  </conditionalFormatting>
  <conditionalFormatting sqref="AW47">
    <cfRule type="expression" dxfId="48" priority="22">
      <formula>AW$12="CN"</formula>
    </cfRule>
  </conditionalFormatting>
  <conditionalFormatting sqref="AX46">
    <cfRule type="expression" dxfId="47" priority="19">
      <formula>AX$11=TODAY()</formula>
    </cfRule>
  </conditionalFormatting>
  <conditionalFormatting sqref="AX46">
    <cfRule type="expression" dxfId="46" priority="20">
      <formula>AX$12="CN"</formula>
    </cfRule>
  </conditionalFormatting>
  <conditionalFormatting sqref="AX41:AX45">
    <cfRule type="expression" dxfId="45" priority="17">
      <formula>AX$11=TODAY()</formula>
    </cfRule>
  </conditionalFormatting>
  <conditionalFormatting sqref="AX41:AX45">
    <cfRule type="expression" dxfId="44" priority="18">
      <formula>AX$12="CN"</formula>
    </cfRule>
  </conditionalFormatting>
  <conditionalFormatting sqref="BB47 BA41:BA46">
    <cfRule type="expression" dxfId="43" priority="15">
      <formula>BA$11=TODAY()</formula>
    </cfRule>
  </conditionalFormatting>
  <conditionalFormatting sqref="BB47 BA41:BA46">
    <cfRule type="expression" dxfId="42" priority="16">
      <formula>BA$12="CN"</formula>
    </cfRule>
  </conditionalFormatting>
  <conditionalFormatting sqref="BA47">
    <cfRule type="expression" dxfId="41" priority="13">
      <formula>BA$11=TODAY()</formula>
    </cfRule>
  </conditionalFormatting>
  <conditionalFormatting sqref="BA47">
    <cfRule type="expression" dxfId="40" priority="14">
      <formula>BA$12="CN"</formula>
    </cfRule>
  </conditionalFormatting>
  <conditionalFormatting sqref="BB46">
    <cfRule type="expression" dxfId="39" priority="11">
      <formula>BB$11=TODAY()</formula>
    </cfRule>
  </conditionalFormatting>
  <conditionalFormatting sqref="BB46">
    <cfRule type="expression" dxfId="38" priority="12">
      <formula>BB$12="CN"</formula>
    </cfRule>
  </conditionalFormatting>
  <conditionalFormatting sqref="BB41:BB45">
    <cfRule type="expression" dxfId="37" priority="9">
      <formula>BB$11=TODAY()</formula>
    </cfRule>
  </conditionalFormatting>
  <conditionalFormatting sqref="BB41:BB45">
    <cfRule type="expression" dxfId="36" priority="10">
      <formula>BB$12="CN"</formula>
    </cfRule>
  </conditionalFormatting>
  <conditionalFormatting sqref="BF47 BE41:BE46">
    <cfRule type="expression" dxfId="35" priority="7">
      <formula>BE$11=TODAY()</formula>
    </cfRule>
  </conditionalFormatting>
  <conditionalFormatting sqref="BF47 BE41:BE46">
    <cfRule type="expression" dxfId="34" priority="8">
      <formula>BE$12="CN"</formula>
    </cfRule>
  </conditionalFormatting>
  <conditionalFormatting sqref="BE47">
    <cfRule type="expression" dxfId="33" priority="5">
      <formula>BE$11=TODAY()</formula>
    </cfRule>
  </conditionalFormatting>
  <conditionalFormatting sqref="BE47">
    <cfRule type="expression" dxfId="32" priority="6">
      <formula>BE$12="CN"</formula>
    </cfRule>
  </conditionalFormatting>
  <conditionalFormatting sqref="BF46">
    <cfRule type="expression" dxfId="31" priority="3">
      <formula>BF$11=TODAY()</formula>
    </cfRule>
  </conditionalFormatting>
  <conditionalFormatting sqref="BF46">
    <cfRule type="expression" dxfId="30" priority="4">
      <formula>BF$12="CN"</formula>
    </cfRule>
  </conditionalFormatting>
  <conditionalFormatting sqref="BF41:BF45">
    <cfRule type="expression" dxfId="29" priority="1">
      <formula>BF$11=TODAY()</formula>
    </cfRule>
  </conditionalFormatting>
  <conditionalFormatting sqref="BF41:BF45">
    <cfRule type="expression" dxfId="28" priority="2">
      <formula>BF$12="CN"</formula>
    </cfRule>
  </conditionalFormatting>
  <dataValidations count="1">
    <dataValidation type="list" allowBlank="1" showInputMessage="1" showErrorMessage="1" sqref="E3:H3 M9 Q9 U9 Y9 AC9 AG9 AK9 AO9 AS9 AW9 BA9 BE9 BI9 BM9 BQ9 BU9 BY9 CC9 CG9 CK9 CO9 CS9 CW9 DA9 DE9 DI9 DM9 DQ9 DU9 DY9 EC9" xr:uid="{871CB829-6BF6-594B-92B9-646DBF293CFF}">
      <formula1>"TRUE, FALSE"</formula1>
    </dataValidation>
  </dataValidations>
  <pageMargins left="0.7" right="0.7" top="0.75" bottom="0.75" header="0.3" footer="0.3"/>
  <tableParts count="29">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W8"/>
  <sheetViews>
    <sheetView zoomScaleNormal="100" workbookViewId="0">
      <pane ySplit="6" topLeftCell="A7" activePane="bottomLeft" state="frozen"/>
      <selection pane="bottomLeft" activeCell="E29" sqref="E29"/>
    </sheetView>
  </sheetViews>
  <sheetFormatPr baseColWidth="10" defaultColWidth="12.6640625" defaultRowHeight="15.75" customHeight="1" x14ac:dyDescent="0.15"/>
  <cols>
    <col min="1" max="1" width="15.83203125" style="100" customWidth="1"/>
    <col min="2" max="2" width="20.83203125" style="100" customWidth="1"/>
    <col min="3" max="3" width="45.83203125" style="100" customWidth="1"/>
    <col min="4" max="4" width="20.83203125" style="100" customWidth="1"/>
    <col min="5" max="5" width="20.1640625" style="100" customWidth="1"/>
    <col min="6" max="6" width="16.33203125" style="100" customWidth="1"/>
    <col min="7" max="10" width="15.1640625" style="100" customWidth="1"/>
    <col min="11" max="11" width="3.83203125" style="100" customWidth="1"/>
    <col min="12" max="12" width="18.83203125" style="100" customWidth="1"/>
    <col min="13" max="17" width="15.83203125" style="100" customWidth="1"/>
    <col min="18" max="18" width="20.83203125" style="100" customWidth="1"/>
    <col min="19" max="16384" width="12.6640625" style="100"/>
  </cols>
  <sheetData>
    <row r="1" spans="1:49" ht="30" customHeight="1" x14ac:dyDescent="0.15">
      <c r="A1" s="1399" t="s">
        <v>115</v>
      </c>
      <c r="B1" s="1399"/>
      <c r="C1" s="80"/>
      <c r="E1" s="80"/>
      <c r="F1" s="80"/>
      <c r="G1" s="1167"/>
      <c r="H1" s="80"/>
      <c r="I1" s="80"/>
      <c r="J1" s="80"/>
      <c r="K1" s="81"/>
      <c r="L1" s="81"/>
      <c r="M1" s="1145"/>
      <c r="N1" s="82"/>
      <c r="O1" s="82"/>
      <c r="P1" s="82"/>
      <c r="Q1" s="93"/>
      <c r="R1" s="93"/>
      <c r="S1" s="83">
        <v>45743</v>
      </c>
      <c r="T1" s="83">
        <f>S1+1</f>
        <v>45744</v>
      </c>
      <c r="U1" s="83">
        <f>T1+1</f>
        <v>45745</v>
      </c>
      <c r="V1" s="83">
        <f>U1+1</f>
        <v>45746</v>
      </c>
      <c r="W1" s="83">
        <f t="shared" ref="W1:AW1" si="0">V1+1</f>
        <v>45747</v>
      </c>
      <c r="X1" s="83">
        <f t="shared" si="0"/>
        <v>45748</v>
      </c>
      <c r="Y1" s="83">
        <f t="shared" si="0"/>
        <v>45749</v>
      </c>
      <c r="Z1" s="83">
        <f t="shared" si="0"/>
        <v>45750</v>
      </c>
      <c r="AA1" s="83">
        <f t="shared" si="0"/>
        <v>45751</v>
      </c>
      <c r="AB1" s="83">
        <f t="shared" si="0"/>
        <v>45752</v>
      </c>
      <c r="AC1" s="83">
        <f t="shared" si="0"/>
        <v>45753</v>
      </c>
      <c r="AD1" s="83">
        <f t="shared" si="0"/>
        <v>45754</v>
      </c>
      <c r="AE1" s="83">
        <f t="shared" si="0"/>
        <v>45755</v>
      </c>
      <c r="AF1" s="83">
        <f t="shared" si="0"/>
        <v>45756</v>
      </c>
      <c r="AG1" s="83">
        <f t="shared" si="0"/>
        <v>45757</v>
      </c>
      <c r="AH1" s="83">
        <f t="shared" si="0"/>
        <v>45758</v>
      </c>
      <c r="AI1" s="83">
        <f t="shared" si="0"/>
        <v>45759</v>
      </c>
      <c r="AJ1" s="83">
        <f t="shared" si="0"/>
        <v>45760</v>
      </c>
      <c r="AK1" s="83">
        <f t="shared" si="0"/>
        <v>45761</v>
      </c>
      <c r="AL1" s="83">
        <f t="shared" si="0"/>
        <v>45762</v>
      </c>
      <c r="AM1" s="83">
        <f t="shared" si="0"/>
        <v>45763</v>
      </c>
      <c r="AN1" s="83">
        <f t="shared" si="0"/>
        <v>45764</v>
      </c>
      <c r="AO1" s="83">
        <f t="shared" si="0"/>
        <v>45765</v>
      </c>
      <c r="AP1" s="83">
        <f t="shared" si="0"/>
        <v>45766</v>
      </c>
      <c r="AQ1" s="83">
        <f t="shared" si="0"/>
        <v>45767</v>
      </c>
      <c r="AR1" s="83">
        <f t="shared" si="0"/>
        <v>45768</v>
      </c>
      <c r="AS1" s="83">
        <f t="shared" si="0"/>
        <v>45769</v>
      </c>
      <c r="AT1" s="83">
        <f t="shared" si="0"/>
        <v>45770</v>
      </c>
      <c r="AU1" s="83">
        <f t="shared" si="0"/>
        <v>45771</v>
      </c>
      <c r="AV1" s="83">
        <f t="shared" si="0"/>
        <v>45772</v>
      </c>
      <c r="AW1" s="695">
        <f t="shared" si="0"/>
        <v>45773</v>
      </c>
    </row>
    <row r="2" spans="1:49" ht="20" customHeight="1" thickBot="1" x14ac:dyDescent="0.2">
      <c r="A2" s="95" t="s">
        <v>113</v>
      </c>
      <c r="B2" s="97">
        <v>4</v>
      </c>
      <c r="C2" s="1401" t="s">
        <v>216</v>
      </c>
      <c r="D2" s="1401"/>
      <c r="E2" s="1401"/>
      <c r="F2" s="1401"/>
      <c r="G2" s="1401"/>
      <c r="H2" s="1401"/>
      <c r="I2" s="1401"/>
      <c r="J2" s="1401"/>
      <c r="K2" s="81"/>
      <c r="L2" s="1115"/>
      <c r="M2" s="1146" t="s">
        <v>107</v>
      </c>
      <c r="N2" s="1116" t="s">
        <v>141</v>
      </c>
      <c r="O2" s="1117" t="s">
        <v>108</v>
      </c>
      <c r="P2" s="1118" t="s">
        <v>109</v>
      </c>
      <c r="Q2" s="88" t="s">
        <v>74</v>
      </c>
      <c r="R2" s="88" t="s">
        <v>110</v>
      </c>
      <c r="S2" s="160" t="str">
        <f>IF(WEEKDAY(S1)=1,"CN","T"&amp;WEEKDAY(S1))</f>
        <v>T5</v>
      </c>
      <c r="T2" s="89" t="str">
        <f>IF(WEEKDAY(T1)=1,"CN","T"&amp;WEEKDAY(T1))</f>
        <v>T6</v>
      </c>
      <c r="U2" s="89" t="str">
        <f>IF(WEEKDAY(U1)=1,"CN","T"&amp;WEEKDAY(U1))</f>
        <v>T7</v>
      </c>
      <c r="V2" s="89" t="str">
        <f t="shared" ref="V2:AW2" si="1">IF(WEEKDAY(V1)=1,"CN","T"&amp;WEEKDAY(V1))</f>
        <v>CN</v>
      </c>
      <c r="W2" s="89" t="str">
        <f t="shared" si="1"/>
        <v>T2</v>
      </c>
      <c r="X2" s="89" t="str">
        <f t="shared" si="1"/>
        <v>T3</v>
      </c>
      <c r="Y2" s="89" t="str">
        <f t="shared" si="1"/>
        <v>T4</v>
      </c>
      <c r="Z2" s="89" t="str">
        <f t="shared" si="1"/>
        <v>T5</v>
      </c>
      <c r="AA2" s="89" t="str">
        <f t="shared" si="1"/>
        <v>T6</v>
      </c>
      <c r="AB2" s="89" t="str">
        <f t="shared" si="1"/>
        <v>T7</v>
      </c>
      <c r="AC2" s="89" t="str">
        <f t="shared" si="1"/>
        <v>CN</v>
      </c>
      <c r="AD2" s="89" t="str">
        <f t="shared" si="1"/>
        <v>T2</v>
      </c>
      <c r="AE2" s="89" t="str">
        <f t="shared" si="1"/>
        <v>T3</v>
      </c>
      <c r="AF2" s="89" t="str">
        <f t="shared" si="1"/>
        <v>T4</v>
      </c>
      <c r="AG2" s="89" t="str">
        <f t="shared" si="1"/>
        <v>T5</v>
      </c>
      <c r="AH2" s="89" t="str">
        <f t="shared" si="1"/>
        <v>T6</v>
      </c>
      <c r="AI2" s="89" t="str">
        <f t="shared" si="1"/>
        <v>T7</v>
      </c>
      <c r="AJ2" s="89" t="str">
        <f t="shared" si="1"/>
        <v>CN</v>
      </c>
      <c r="AK2" s="89" t="str">
        <f t="shared" si="1"/>
        <v>T2</v>
      </c>
      <c r="AL2" s="89" t="str">
        <f t="shared" si="1"/>
        <v>T3</v>
      </c>
      <c r="AM2" s="89" t="str">
        <f t="shared" si="1"/>
        <v>T4</v>
      </c>
      <c r="AN2" s="89" t="str">
        <f t="shared" si="1"/>
        <v>T5</v>
      </c>
      <c r="AO2" s="89" t="str">
        <f t="shared" si="1"/>
        <v>T6</v>
      </c>
      <c r="AP2" s="89" t="str">
        <f t="shared" si="1"/>
        <v>T7</v>
      </c>
      <c r="AQ2" s="89" t="str">
        <f t="shared" si="1"/>
        <v>CN</v>
      </c>
      <c r="AR2" s="89" t="str">
        <f t="shared" si="1"/>
        <v>T2</v>
      </c>
      <c r="AS2" s="89" t="str">
        <f t="shared" si="1"/>
        <v>T3</v>
      </c>
      <c r="AT2" s="89" t="str">
        <f t="shared" si="1"/>
        <v>T4</v>
      </c>
      <c r="AU2" s="89" t="str">
        <f t="shared" si="1"/>
        <v>T5</v>
      </c>
      <c r="AV2" s="89" t="str">
        <f t="shared" si="1"/>
        <v>T6</v>
      </c>
      <c r="AW2" s="696" t="str">
        <f t="shared" si="1"/>
        <v>T7</v>
      </c>
    </row>
    <row r="3" spans="1:49" ht="20" customHeight="1" x14ac:dyDescent="0.15">
      <c r="A3" s="95" t="s">
        <v>114</v>
      </c>
      <c r="B3" s="97">
        <v>2025</v>
      </c>
      <c r="C3" s="1401"/>
      <c r="D3" s="1401"/>
      <c r="E3" s="1401"/>
      <c r="F3" s="1401"/>
      <c r="G3" s="1401"/>
      <c r="H3" s="1401"/>
      <c r="I3" s="1401"/>
      <c r="J3" s="1401"/>
      <c r="K3" s="81"/>
      <c r="L3" s="1119" t="s">
        <v>89</v>
      </c>
      <c r="M3" s="1120">
        <f>'Action Plan'!I130</f>
        <v>200</v>
      </c>
      <c r="N3" s="1121">
        <f>SUM(S3:AW3)</f>
        <v>204</v>
      </c>
      <c r="O3" s="1122">
        <f>N3-M3</f>
        <v>4</v>
      </c>
      <c r="P3" s="1212">
        <f>N3/M3</f>
        <v>1.02</v>
      </c>
      <c r="Q3" s="1147">
        <f>M3/'Action Plan'!$C$6</f>
        <v>7.6923076923076925</v>
      </c>
      <c r="R3" s="1124">
        <f ca="1">COUNTIFS($F:$F,TODAY(),$J:$J,TRUE)</f>
        <v>1</v>
      </c>
      <c r="S3" s="1125">
        <v>7</v>
      </c>
      <c r="T3" s="1125">
        <v>7</v>
      </c>
      <c r="U3" s="1125">
        <v>7</v>
      </c>
      <c r="V3" s="1125">
        <v>7</v>
      </c>
      <c r="W3" s="1125">
        <v>7</v>
      </c>
      <c r="X3" s="1125">
        <v>7</v>
      </c>
      <c r="Y3" s="1125">
        <v>7</v>
      </c>
      <c r="Z3" s="1125">
        <v>7</v>
      </c>
      <c r="AA3" s="1125">
        <v>7</v>
      </c>
      <c r="AB3" s="1125">
        <v>7</v>
      </c>
      <c r="AC3" s="1125">
        <v>7</v>
      </c>
      <c r="AD3" s="1125">
        <v>7</v>
      </c>
      <c r="AE3" s="1125">
        <v>7</v>
      </c>
      <c r="AF3" s="1125">
        <v>7</v>
      </c>
      <c r="AG3" s="1125">
        <v>7</v>
      </c>
      <c r="AH3" s="1125">
        <v>7</v>
      </c>
      <c r="AI3" s="1125">
        <v>7</v>
      </c>
      <c r="AJ3" s="1125">
        <v>7</v>
      </c>
      <c r="AK3" s="1125">
        <v>7</v>
      </c>
      <c r="AL3" s="1125">
        <v>7</v>
      </c>
      <c r="AM3" s="1125">
        <v>7</v>
      </c>
      <c r="AN3" s="1125">
        <v>7</v>
      </c>
      <c r="AO3" s="1125">
        <v>7</v>
      </c>
      <c r="AP3" s="1125">
        <v>7</v>
      </c>
      <c r="AQ3" s="1125">
        <v>7</v>
      </c>
      <c r="AR3" s="1125">
        <v>7</v>
      </c>
      <c r="AS3" s="1125">
        <v>7</v>
      </c>
      <c r="AT3" s="1125">
        <v>7</v>
      </c>
      <c r="AU3" s="1125">
        <v>3</v>
      </c>
      <c r="AV3" s="1125">
        <v>3</v>
      </c>
      <c r="AW3" s="1126">
        <v>2</v>
      </c>
    </row>
    <row r="4" spans="1:49" ht="20" customHeight="1" x14ac:dyDescent="0.15">
      <c r="A4" s="95" t="s">
        <v>79</v>
      </c>
      <c r="B4" s="98">
        <v>1000000</v>
      </c>
      <c r="C4" s="1401"/>
      <c r="D4" s="1401"/>
      <c r="E4" s="1401"/>
      <c r="F4" s="1401"/>
      <c r="G4" s="1401"/>
      <c r="H4" s="1401"/>
      <c r="I4" s="1401"/>
      <c r="J4" s="1401"/>
      <c r="K4" s="92"/>
      <c r="L4" s="1127" t="s">
        <v>23</v>
      </c>
      <c r="M4" s="1128">
        <f>'Action Plan'!I135</f>
        <v>9</v>
      </c>
      <c r="N4" s="1129">
        <f>SUM(S4:AW4)</f>
        <v>2</v>
      </c>
      <c r="O4" s="1130">
        <f>N4-M4</f>
        <v>-7</v>
      </c>
      <c r="P4" s="1213">
        <f>N4/M4</f>
        <v>0.22222222222222221</v>
      </c>
      <c r="Q4" s="1135">
        <f>M4/'Action Plan'!$C$6</f>
        <v>0.34615384615384615</v>
      </c>
      <c r="R4" s="1133">
        <f ca="1">COUNTIFS($F:$F,TODAY(),$J:$J,TRUE)</f>
        <v>1</v>
      </c>
      <c r="S4" s="1134">
        <v>0</v>
      </c>
      <c r="T4" s="1134">
        <v>0</v>
      </c>
      <c r="U4" s="1134">
        <v>0</v>
      </c>
      <c r="V4" s="1134">
        <v>0</v>
      </c>
      <c r="W4" s="1134">
        <v>0</v>
      </c>
      <c r="X4" s="1134">
        <v>0</v>
      </c>
      <c r="Y4" s="1134">
        <v>0</v>
      </c>
      <c r="Z4" s="1134">
        <v>0</v>
      </c>
      <c r="AA4" s="1134">
        <v>0</v>
      </c>
      <c r="AB4" s="1134">
        <v>0</v>
      </c>
      <c r="AC4" s="1134">
        <v>0</v>
      </c>
      <c r="AD4" s="1134">
        <v>0</v>
      </c>
      <c r="AE4" s="1134">
        <v>0</v>
      </c>
      <c r="AF4" s="1134">
        <v>0</v>
      </c>
      <c r="AG4" s="1134">
        <v>0</v>
      </c>
      <c r="AH4" s="1134">
        <v>0</v>
      </c>
      <c r="AI4" s="1134">
        <v>0</v>
      </c>
      <c r="AJ4" s="1134">
        <v>0</v>
      </c>
      <c r="AK4" s="1134">
        <v>0</v>
      </c>
      <c r="AL4" s="1134">
        <v>0</v>
      </c>
      <c r="AM4" s="1134">
        <v>0</v>
      </c>
      <c r="AN4" s="1134">
        <v>0</v>
      </c>
      <c r="AO4" s="1134">
        <v>0</v>
      </c>
      <c r="AP4" s="1134">
        <v>0</v>
      </c>
      <c r="AQ4" s="1134">
        <v>0</v>
      </c>
      <c r="AR4" s="1134">
        <v>0</v>
      </c>
      <c r="AS4" s="1134">
        <v>0</v>
      </c>
      <c r="AT4" s="1134">
        <v>0</v>
      </c>
      <c r="AU4" s="1134">
        <v>0</v>
      </c>
      <c r="AV4" s="1134">
        <v>0</v>
      </c>
      <c r="AW4" s="1074">
        <v>2</v>
      </c>
    </row>
    <row r="5" spans="1:49" ht="20" customHeight="1" x14ac:dyDescent="0.15">
      <c r="A5" s="96"/>
      <c r="B5" s="99"/>
      <c r="C5" s="1402"/>
      <c r="D5" s="1402"/>
      <c r="E5" s="1402"/>
      <c r="F5" s="1402"/>
      <c r="G5" s="1402"/>
      <c r="H5" s="1402"/>
      <c r="I5" s="1402"/>
      <c r="J5" s="1402"/>
      <c r="K5" s="92"/>
      <c r="L5" s="1127" t="s">
        <v>90</v>
      </c>
      <c r="M5" s="1128">
        <f>'Action Plan'!I139</f>
        <v>10</v>
      </c>
      <c r="N5" s="1129">
        <f>SUM(S5:AW5)</f>
        <v>2</v>
      </c>
      <c r="O5" s="1130">
        <f>N5-M5</f>
        <v>-8</v>
      </c>
      <c r="P5" s="1213">
        <f>N5/M5</f>
        <v>0.2</v>
      </c>
      <c r="Q5" s="1135">
        <f>M5/'Action Plan'!$C$6</f>
        <v>0.38461538461538464</v>
      </c>
      <c r="R5" s="1133">
        <f ca="1">COUNTIFS($F:$F,TODAY(),$J:$J,TRUE)</f>
        <v>1</v>
      </c>
      <c r="S5" s="1134">
        <v>0</v>
      </c>
      <c r="T5" s="1134">
        <v>0</v>
      </c>
      <c r="U5" s="1134">
        <v>0</v>
      </c>
      <c r="V5" s="1134">
        <v>0</v>
      </c>
      <c r="W5" s="1134">
        <v>0</v>
      </c>
      <c r="X5" s="1134">
        <v>0</v>
      </c>
      <c r="Y5" s="1134">
        <v>0</v>
      </c>
      <c r="Z5" s="1134">
        <v>0</v>
      </c>
      <c r="AA5" s="1134">
        <v>0</v>
      </c>
      <c r="AB5" s="1134">
        <v>0</v>
      </c>
      <c r="AC5" s="1134">
        <v>0</v>
      </c>
      <c r="AD5" s="1134">
        <v>0</v>
      </c>
      <c r="AE5" s="1134">
        <v>0</v>
      </c>
      <c r="AF5" s="1134">
        <v>0</v>
      </c>
      <c r="AG5" s="1134">
        <v>0</v>
      </c>
      <c r="AH5" s="1134">
        <v>0</v>
      </c>
      <c r="AI5" s="1134">
        <v>0</v>
      </c>
      <c r="AJ5" s="1134">
        <v>0</v>
      </c>
      <c r="AK5" s="1134">
        <v>0</v>
      </c>
      <c r="AL5" s="1134">
        <v>0</v>
      </c>
      <c r="AM5" s="1134">
        <v>0</v>
      </c>
      <c r="AN5" s="1134">
        <v>0</v>
      </c>
      <c r="AO5" s="1134">
        <v>0</v>
      </c>
      <c r="AP5" s="1134">
        <v>0</v>
      </c>
      <c r="AQ5" s="1134">
        <v>0</v>
      </c>
      <c r="AR5" s="1134">
        <v>0</v>
      </c>
      <c r="AS5" s="1134">
        <v>0</v>
      </c>
      <c r="AT5" s="1134">
        <v>0</v>
      </c>
      <c r="AU5" s="1134">
        <v>0</v>
      </c>
      <c r="AV5" s="1134">
        <v>0</v>
      </c>
      <c r="AW5" s="1074">
        <v>2</v>
      </c>
    </row>
    <row r="6" spans="1:49" ht="20" customHeight="1" x14ac:dyDescent="0.15">
      <c r="A6" s="101" t="s">
        <v>111</v>
      </c>
      <c r="B6" s="101" t="s">
        <v>116</v>
      </c>
      <c r="C6" s="101" t="s">
        <v>102</v>
      </c>
      <c r="D6" s="101" t="s">
        <v>112</v>
      </c>
      <c r="E6" s="101" t="s">
        <v>103</v>
      </c>
      <c r="F6" s="101" t="s">
        <v>104</v>
      </c>
      <c r="G6" s="101" t="s">
        <v>105</v>
      </c>
      <c r="H6" s="101" t="s">
        <v>129</v>
      </c>
      <c r="I6" s="101" t="s">
        <v>31</v>
      </c>
      <c r="J6" s="102" t="s">
        <v>106</v>
      </c>
      <c r="K6" s="92"/>
      <c r="L6" s="1127" t="s">
        <v>8</v>
      </c>
      <c r="M6" s="1128">
        <f>'Action Plan'!I140</f>
        <v>50</v>
      </c>
      <c r="N6" s="1129">
        <f>SUM(S6:AW6)</f>
        <v>70</v>
      </c>
      <c r="O6" s="1130">
        <f>N6-M6</f>
        <v>20</v>
      </c>
      <c r="P6" s="1213">
        <f>N6/M6</f>
        <v>1.4</v>
      </c>
      <c r="Q6" s="1135">
        <f>M6/'Action Plan'!$C$6</f>
        <v>1.9230769230769231</v>
      </c>
      <c r="R6" s="1133">
        <f ca="1">COUNTIFS($F:$F,TODAY(),$J:$J,TRUE)</f>
        <v>1</v>
      </c>
      <c r="S6" s="1134">
        <v>0</v>
      </c>
      <c r="T6" s="1134">
        <v>0</v>
      </c>
      <c r="U6" s="1134">
        <v>0</v>
      </c>
      <c r="V6" s="1134">
        <v>0</v>
      </c>
      <c r="W6" s="1134">
        <v>0</v>
      </c>
      <c r="X6" s="1134">
        <v>0</v>
      </c>
      <c r="Y6" s="1134">
        <v>0</v>
      </c>
      <c r="Z6" s="1134">
        <v>0</v>
      </c>
      <c r="AA6" s="1134">
        <v>4</v>
      </c>
      <c r="AB6" s="1134">
        <v>4</v>
      </c>
      <c r="AC6" s="1134">
        <v>4</v>
      </c>
      <c r="AD6" s="1134">
        <v>4</v>
      </c>
      <c r="AE6" s="1134">
        <v>4</v>
      </c>
      <c r="AF6" s="1134">
        <v>4</v>
      </c>
      <c r="AG6" s="1134">
        <v>4</v>
      </c>
      <c r="AH6" s="1134">
        <v>4</v>
      </c>
      <c r="AI6" s="1134">
        <v>4</v>
      </c>
      <c r="AJ6" s="1134">
        <v>4</v>
      </c>
      <c r="AK6" s="1134">
        <v>4</v>
      </c>
      <c r="AL6" s="1134">
        <v>4</v>
      </c>
      <c r="AM6" s="1134">
        <v>4</v>
      </c>
      <c r="AN6" s="1134">
        <v>4</v>
      </c>
      <c r="AO6" s="1134">
        <v>4</v>
      </c>
      <c r="AP6" s="1134">
        <v>4</v>
      </c>
      <c r="AQ6" s="1134">
        <v>4</v>
      </c>
      <c r="AR6" s="1134">
        <v>0</v>
      </c>
      <c r="AS6" s="1134">
        <v>0</v>
      </c>
      <c r="AT6" s="1134">
        <v>0</v>
      </c>
      <c r="AU6" s="1134">
        <v>0</v>
      </c>
      <c r="AV6" s="1134">
        <v>0</v>
      </c>
      <c r="AW6" s="1074">
        <v>2</v>
      </c>
    </row>
    <row r="7" spans="1:49" ht="20" customHeight="1" thickBot="1" x14ac:dyDescent="0.2">
      <c r="A7" s="124"/>
      <c r="B7" s="125"/>
      <c r="C7" s="126"/>
      <c r="D7" s="136" t="s">
        <v>125</v>
      </c>
      <c r="E7" s="137" t="s">
        <v>119</v>
      </c>
      <c r="F7" s="129">
        <v>45744</v>
      </c>
      <c r="G7" s="127"/>
      <c r="H7" s="127"/>
      <c r="I7" s="127"/>
      <c r="J7" s="128" t="b">
        <v>1</v>
      </c>
      <c r="K7" s="109"/>
      <c r="L7" s="1136" t="s">
        <v>221</v>
      </c>
      <c r="M7" s="1434">
        <f>'Action Plan'!I146</f>
        <v>336000</v>
      </c>
      <c r="N7" s="1435">
        <f>SUM(S7:AW7)</f>
        <v>320000</v>
      </c>
      <c r="O7" s="1436">
        <f>N7-M7</f>
        <v>-16000</v>
      </c>
      <c r="P7" s="1214">
        <f>N7/M7</f>
        <v>0.95238095238095233</v>
      </c>
      <c r="Q7" s="1437">
        <f>M7/'Action Plan'!$C$6</f>
        <v>12923.076923076924</v>
      </c>
      <c r="R7" s="1142">
        <f ca="1">COUNTIFS($F:$F,TODAY(),$J:$J,TRUE)</f>
        <v>1</v>
      </c>
      <c r="S7" s="1438">
        <v>10000</v>
      </c>
      <c r="T7" s="1438">
        <v>10000</v>
      </c>
      <c r="U7" s="1438">
        <v>10000</v>
      </c>
      <c r="V7" s="1438">
        <v>10000</v>
      </c>
      <c r="W7" s="1438">
        <v>10000</v>
      </c>
      <c r="X7" s="1438">
        <v>10000</v>
      </c>
      <c r="Y7" s="1438">
        <v>10000</v>
      </c>
      <c r="Z7" s="1438">
        <v>10000</v>
      </c>
      <c r="AA7" s="1438">
        <v>10000</v>
      </c>
      <c r="AB7" s="1438">
        <v>10000</v>
      </c>
      <c r="AC7" s="1438">
        <v>10000</v>
      </c>
      <c r="AD7" s="1438">
        <v>10000</v>
      </c>
      <c r="AE7" s="1438">
        <v>10000</v>
      </c>
      <c r="AF7" s="1438">
        <v>10000</v>
      </c>
      <c r="AG7" s="1438">
        <v>10000</v>
      </c>
      <c r="AH7" s="1438">
        <v>10000</v>
      </c>
      <c r="AI7" s="1438">
        <v>10000</v>
      </c>
      <c r="AJ7" s="1438">
        <v>10000</v>
      </c>
      <c r="AK7" s="1438">
        <v>10000</v>
      </c>
      <c r="AL7" s="1438">
        <v>10000</v>
      </c>
      <c r="AM7" s="1438">
        <v>10000</v>
      </c>
      <c r="AN7" s="1438">
        <v>10000</v>
      </c>
      <c r="AO7" s="1438">
        <v>10000</v>
      </c>
      <c r="AP7" s="1438">
        <v>10000</v>
      </c>
      <c r="AQ7" s="1438">
        <v>10000</v>
      </c>
      <c r="AR7" s="1438">
        <v>10000</v>
      </c>
      <c r="AS7" s="1438">
        <v>10000</v>
      </c>
      <c r="AT7" s="1438">
        <v>10000</v>
      </c>
      <c r="AU7" s="1438">
        <v>10000</v>
      </c>
      <c r="AV7" s="1438">
        <v>10000</v>
      </c>
      <c r="AW7" s="1439">
        <v>20000</v>
      </c>
    </row>
    <row r="8" spans="1:49" ht="15.75" customHeight="1" x14ac:dyDescent="0.15">
      <c r="T8" s="1211"/>
    </row>
  </sheetData>
  <mergeCells count="2">
    <mergeCell ref="A1:B1"/>
    <mergeCell ref="C2:J5"/>
  </mergeCells>
  <conditionalFormatting sqref="S3:AW7">
    <cfRule type="expression" dxfId="27" priority="6">
      <formula>#REF!="CN"</formula>
    </cfRule>
  </conditionalFormatting>
  <conditionalFormatting sqref="S3:AW7">
    <cfRule type="expression" dxfId="26" priority="7">
      <formula>#REF!="CN"</formula>
    </cfRule>
  </conditionalFormatting>
  <conditionalFormatting sqref="S3:AW5">
    <cfRule type="expression" dxfId="25" priority="8">
      <formula>S$3="CN"</formula>
    </cfRule>
  </conditionalFormatting>
  <conditionalFormatting sqref="S6:AW7">
    <cfRule type="expression" dxfId="24" priority="20">
      <formula>S$3="CN"</formula>
    </cfRule>
  </conditionalFormatting>
  <conditionalFormatting sqref="S1:AW2">
    <cfRule type="expression" dxfId="23" priority="1">
      <formula>#REF!="CN"</formula>
    </cfRule>
  </conditionalFormatting>
  <conditionalFormatting sqref="S1:AW2">
    <cfRule type="expression" dxfId="22" priority="2">
      <formula>#REF!="CN"</formula>
    </cfRule>
  </conditionalFormatting>
  <conditionalFormatting sqref="S1:AW2">
    <cfRule type="expression" dxfId="21" priority="3">
      <formula>AB$3="CN"</formula>
    </cfRule>
  </conditionalFormatting>
  <conditionalFormatting sqref="S1:AW2">
    <cfRule type="expression" dxfId="20" priority="4">
      <formula>S$6="CN"</formula>
    </cfRule>
  </conditionalFormatting>
  <conditionalFormatting sqref="S1:AW2">
    <cfRule type="expression" dxfId="19" priority="5">
      <formula>S$5=TODAY()</formula>
    </cfRule>
  </conditionalFormatting>
  <dataValidations count="6">
    <dataValidation type="list" allowBlank="1" sqref="B7" xr:uid="{00000000-0002-0000-0A00-000000000000}">
      <formula1>"BÀI ĐĂNG,ADS,KỊCH BẢN,BOOKING"</formula1>
    </dataValidation>
    <dataValidation type="list" allowBlank="1" sqref="D7" xr:uid="{00000000-0002-0000-0A00-000001000000}">
      <formula1>"Boss, Manager, Colleague"</formula1>
    </dataValidation>
    <dataValidation type="custom" allowBlank="1" showDropDown="1" sqref="F7" xr:uid="{00000000-0002-0000-0A00-000002000000}">
      <formula1>OR(NOT(ISERROR(DATEVALUE(F7))), AND(ISNUMBER(F7), LEFT(CELL("format", F7))="D"))</formula1>
    </dataValidation>
    <dataValidation allowBlank="1" showDropDown="1" sqref="A7 C7 I7" xr:uid="{00000000-0002-0000-0A00-000003000000}"/>
    <dataValidation type="list" allowBlank="1" showInputMessage="1" showErrorMessage="1" sqref="J7" xr:uid="{0EB78082-377C-3245-AC2D-8E21D0B40DA0}">
      <formula1>"TRUE, FALSE"</formula1>
    </dataValidation>
    <dataValidation type="list" allowBlank="1" sqref="E7" xr:uid="{6BC35F46-003D-7B42-A3C8-04637E9D38BE}">
      <formula1>"Not Started, Planned, In Progress, Pending, Under Review, Failed, Completed"</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AW14"/>
  <sheetViews>
    <sheetView zoomScaleNormal="100" workbookViewId="0">
      <pane ySplit="6" topLeftCell="A7" activePane="bottomLeft" state="frozen"/>
      <selection pane="bottomLeft" activeCell="F29" sqref="F29"/>
    </sheetView>
  </sheetViews>
  <sheetFormatPr baseColWidth="10" defaultColWidth="12.6640625" defaultRowHeight="15.75" customHeight="1" x14ac:dyDescent="0.15"/>
  <cols>
    <col min="1" max="1" width="15.83203125" style="100" customWidth="1"/>
    <col min="2" max="2" width="20.83203125" style="100" customWidth="1"/>
    <col min="3" max="3" width="45.83203125" style="100" customWidth="1"/>
    <col min="4" max="6" width="20.83203125" style="100" customWidth="1"/>
    <col min="7" max="7" width="30.83203125" style="100" customWidth="1"/>
    <col min="8" max="9" width="20.83203125" style="100" customWidth="1"/>
    <col min="10" max="10" width="15.83203125" style="100" customWidth="1"/>
    <col min="11" max="11" width="3.83203125" style="100" customWidth="1"/>
    <col min="12" max="12" width="18.83203125" style="100" customWidth="1"/>
    <col min="13" max="17" width="15.83203125" style="100" customWidth="1"/>
    <col min="18" max="18" width="20.83203125" style="100" customWidth="1"/>
    <col min="19" max="49" width="15.83203125" style="100" customWidth="1"/>
    <col min="50" max="16384" width="12.6640625" style="100"/>
  </cols>
  <sheetData>
    <row r="1" spans="1:49" ht="30" customHeight="1" x14ac:dyDescent="0.15">
      <c r="A1" s="1399" t="s">
        <v>115</v>
      </c>
      <c r="B1" s="1399"/>
      <c r="C1" s="80"/>
      <c r="E1" s="1167"/>
      <c r="F1" s="80"/>
      <c r="G1" s="80"/>
      <c r="H1" s="80"/>
      <c r="I1" s="80"/>
      <c r="J1" s="80"/>
      <c r="K1" s="81"/>
      <c r="L1" s="81"/>
      <c r="M1" s="1145"/>
      <c r="N1" s="82"/>
      <c r="O1" s="82"/>
      <c r="P1" s="82"/>
      <c r="Q1" s="93"/>
      <c r="R1" s="93"/>
      <c r="S1" s="83">
        <v>45748</v>
      </c>
      <c r="T1" s="83">
        <f>S1+1</f>
        <v>45749</v>
      </c>
      <c r="U1" s="83">
        <f>T1+1</f>
        <v>45750</v>
      </c>
      <c r="V1" s="83">
        <f>U1+1</f>
        <v>45751</v>
      </c>
      <c r="W1" s="83">
        <f t="shared" ref="W1:AW1" si="0">V1+1</f>
        <v>45752</v>
      </c>
      <c r="X1" s="83">
        <f t="shared" si="0"/>
        <v>45753</v>
      </c>
      <c r="Y1" s="83">
        <f t="shared" si="0"/>
        <v>45754</v>
      </c>
      <c r="Z1" s="83">
        <f t="shared" si="0"/>
        <v>45755</v>
      </c>
      <c r="AA1" s="83">
        <f t="shared" si="0"/>
        <v>45756</v>
      </c>
      <c r="AB1" s="83">
        <f t="shared" si="0"/>
        <v>45757</v>
      </c>
      <c r="AC1" s="83">
        <f t="shared" si="0"/>
        <v>45758</v>
      </c>
      <c r="AD1" s="83">
        <f t="shared" si="0"/>
        <v>45759</v>
      </c>
      <c r="AE1" s="83">
        <f t="shared" si="0"/>
        <v>45760</v>
      </c>
      <c r="AF1" s="83">
        <f t="shared" si="0"/>
        <v>45761</v>
      </c>
      <c r="AG1" s="83">
        <f t="shared" si="0"/>
        <v>45762</v>
      </c>
      <c r="AH1" s="83">
        <f t="shared" si="0"/>
        <v>45763</v>
      </c>
      <c r="AI1" s="83">
        <f t="shared" si="0"/>
        <v>45764</v>
      </c>
      <c r="AJ1" s="83">
        <f t="shared" si="0"/>
        <v>45765</v>
      </c>
      <c r="AK1" s="83">
        <f t="shared" si="0"/>
        <v>45766</v>
      </c>
      <c r="AL1" s="83">
        <f t="shared" si="0"/>
        <v>45767</v>
      </c>
      <c r="AM1" s="83">
        <f t="shared" si="0"/>
        <v>45768</v>
      </c>
      <c r="AN1" s="83">
        <f t="shared" si="0"/>
        <v>45769</v>
      </c>
      <c r="AO1" s="83">
        <f t="shared" si="0"/>
        <v>45770</v>
      </c>
      <c r="AP1" s="83">
        <f t="shared" si="0"/>
        <v>45771</v>
      </c>
      <c r="AQ1" s="83">
        <f t="shared" si="0"/>
        <v>45772</v>
      </c>
      <c r="AR1" s="83">
        <f t="shared" si="0"/>
        <v>45773</v>
      </c>
      <c r="AS1" s="83">
        <f t="shared" si="0"/>
        <v>45774</v>
      </c>
      <c r="AT1" s="83">
        <f t="shared" si="0"/>
        <v>45775</v>
      </c>
      <c r="AU1" s="83">
        <f t="shared" si="0"/>
        <v>45776</v>
      </c>
      <c r="AV1" s="83">
        <f t="shared" si="0"/>
        <v>45777</v>
      </c>
      <c r="AW1" s="695">
        <f t="shared" si="0"/>
        <v>45778</v>
      </c>
    </row>
    <row r="2" spans="1:49" ht="20" customHeight="1" thickBot="1" x14ac:dyDescent="0.2">
      <c r="A2" s="95" t="s">
        <v>113</v>
      </c>
      <c r="B2" s="97">
        <v>4</v>
      </c>
      <c r="C2" s="1401" t="s">
        <v>217</v>
      </c>
      <c r="D2" s="1401"/>
      <c r="E2" s="1401"/>
      <c r="F2" s="1401"/>
      <c r="G2" s="1401"/>
      <c r="H2" s="1401"/>
      <c r="I2" s="1401"/>
      <c r="J2" s="1401"/>
      <c r="K2" s="81"/>
      <c r="L2" s="1115"/>
      <c r="M2" s="1146" t="s">
        <v>107</v>
      </c>
      <c r="N2" s="1116" t="s">
        <v>141</v>
      </c>
      <c r="O2" s="1117" t="s">
        <v>108</v>
      </c>
      <c r="P2" s="1118" t="s">
        <v>109</v>
      </c>
      <c r="Q2" s="88" t="s">
        <v>74</v>
      </c>
      <c r="R2" s="88" t="s">
        <v>110</v>
      </c>
      <c r="S2" s="160" t="str">
        <f>IF(WEEKDAY(S1)=1,"CN","T"&amp;WEEKDAY(S1))</f>
        <v>T3</v>
      </c>
      <c r="T2" s="89" t="str">
        <f>IF(WEEKDAY(T1)=1,"CN","T"&amp;WEEKDAY(T1))</f>
        <v>T4</v>
      </c>
      <c r="U2" s="89" t="str">
        <f>IF(WEEKDAY(U1)=1,"CN","T"&amp;WEEKDAY(U1))</f>
        <v>T5</v>
      </c>
      <c r="V2" s="89" t="str">
        <f t="shared" ref="V2:AW2" si="1">IF(WEEKDAY(V1)=1,"CN","T"&amp;WEEKDAY(V1))</f>
        <v>T6</v>
      </c>
      <c r="W2" s="89" t="str">
        <f t="shared" si="1"/>
        <v>T7</v>
      </c>
      <c r="X2" s="89" t="str">
        <f t="shared" si="1"/>
        <v>CN</v>
      </c>
      <c r="Y2" s="89" t="str">
        <f t="shared" si="1"/>
        <v>T2</v>
      </c>
      <c r="Z2" s="89" t="str">
        <f t="shared" si="1"/>
        <v>T3</v>
      </c>
      <c r="AA2" s="89" t="str">
        <f t="shared" si="1"/>
        <v>T4</v>
      </c>
      <c r="AB2" s="89" t="str">
        <f t="shared" si="1"/>
        <v>T5</v>
      </c>
      <c r="AC2" s="89" t="str">
        <f t="shared" si="1"/>
        <v>T6</v>
      </c>
      <c r="AD2" s="89" t="str">
        <f t="shared" si="1"/>
        <v>T7</v>
      </c>
      <c r="AE2" s="89" t="str">
        <f t="shared" si="1"/>
        <v>CN</v>
      </c>
      <c r="AF2" s="89" t="str">
        <f t="shared" si="1"/>
        <v>T2</v>
      </c>
      <c r="AG2" s="89" t="str">
        <f t="shared" si="1"/>
        <v>T3</v>
      </c>
      <c r="AH2" s="89" t="str">
        <f t="shared" si="1"/>
        <v>T4</v>
      </c>
      <c r="AI2" s="89" t="str">
        <f t="shared" si="1"/>
        <v>T5</v>
      </c>
      <c r="AJ2" s="89" t="str">
        <f t="shared" si="1"/>
        <v>T6</v>
      </c>
      <c r="AK2" s="89" t="str">
        <f t="shared" si="1"/>
        <v>T7</v>
      </c>
      <c r="AL2" s="89" t="str">
        <f t="shared" si="1"/>
        <v>CN</v>
      </c>
      <c r="AM2" s="89" t="str">
        <f t="shared" si="1"/>
        <v>T2</v>
      </c>
      <c r="AN2" s="89" t="str">
        <f t="shared" si="1"/>
        <v>T3</v>
      </c>
      <c r="AO2" s="89" t="str">
        <f t="shared" si="1"/>
        <v>T4</v>
      </c>
      <c r="AP2" s="89" t="str">
        <f t="shared" si="1"/>
        <v>T5</v>
      </c>
      <c r="AQ2" s="89" t="str">
        <f t="shared" si="1"/>
        <v>T6</v>
      </c>
      <c r="AR2" s="89" t="str">
        <f t="shared" si="1"/>
        <v>T7</v>
      </c>
      <c r="AS2" s="89" t="str">
        <f t="shared" si="1"/>
        <v>CN</v>
      </c>
      <c r="AT2" s="89" t="str">
        <f t="shared" si="1"/>
        <v>T2</v>
      </c>
      <c r="AU2" s="89" t="str">
        <f t="shared" si="1"/>
        <v>T3</v>
      </c>
      <c r="AV2" s="89" t="str">
        <f t="shared" si="1"/>
        <v>T4</v>
      </c>
      <c r="AW2" s="696" t="str">
        <f t="shared" si="1"/>
        <v>T5</v>
      </c>
    </row>
    <row r="3" spans="1:49" ht="20" customHeight="1" x14ac:dyDescent="0.15">
      <c r="A3" s="95" t="s">
        <v>114</v>
      </c>
      <c r="B3" s="97">
        <v>2025</v>
      </c>
      <c r="C3" s="1401"/>
      <c r="D3" s="1401"/>
      <c r="E3" s="1401"/>
      <c r="F3" s="1401"/>
      <c r="G3" s="1401"/>
      <c r="H3" s="1401"/>
      <c r="I3" s="1401"/>
      <c r="J3" s="1401"/>
      <c r="K3" s="81"/>
      <c r="L3" s="1119" t="s">
        <v>89</v>
      </c>
      <c r="M3" s="1120">
        <f>'Action Plan'!M130</f>
        <v>40</v>
      </c>
      <c r="N3" s="1121">
        <f>SUM(S3:AW3)</f>
        <v>12</v>
      </c>
      <c r="O3" s="1122">
        <f>N3-M3</f>
        <v>-28</v>
      </c>
      <c r="P3" s="1123">
        <f>N3/M3</f>
        <v>0.3</v>
      </c>
      <c r="Q3" s="1147">
        <f>M3/'Action Plan'!$C$6</f>
        <v>1.5384615384615385</v>
      </c>
      <c r="R3" s="1124">
        <f ca="1">COUNTIFS($F:$F,TODAY(),$J:$J,TRUE)</f>
        <v>0</v>
      </c>
      <c r="S3" s="1125">
        <v>3</v>
      </c>
      <c r="T3" s="1125">
        <v>3</v>
      </c>
      <c r="U3" s="1125">
        <v>3</v>
      </c>
      <c r="V3" s="1125">
        <v>3</v>
      </c>
      <c r="W3" s="1125">
        <v>0</v>
      </c>
      <c r="X3" s="1125">
        <v>0</v>
      </c>
      <c r="Y3" s="1125">
        <v>0</v>
      </c>
      <c r="Z3" s="1125">
        <v>0</v>
      </c>
      <c r="AA3" s="1125">
        <v>0</v>
      </c>
      <c r="AB3" s="1125">
        <v>0</v>
      </c>
      <c r="AC3" s="1125">
        <v>0</v>
      </c>
      <c r="AD3" s="1125">
        <v>0</v>
      </c>
      <c r="AE3" s="1125">
        <v>0</v>
      </c>
      <c r="AF3" s="1125">
        <v>0</v>
      </c>
      <c r="AG3" s="1125">
        <v>0</v>
      </c>
      <c r="AH3" s="1125">
        <v>0</v>
      </c>
      <c r="AI3" s="1125">
        <v>0</v>
      </c>
      <c r="AJ3" s="1125">
        <v>0</v>
      </c>
      <c r="AK3" s="1125">
        <v>0</v>
      </c>
      <c r="AL3" s="1125">
        <v>0</v>
      </c>
      <c r="AM3" s="1125">
        <v>0</v>
      </c>
      <c r="AN3" s="1125">
        <v>0</v>
      </c>
      <c r="AO3" s="1125">
        <v>0</v>
      </c>
      <c r="AP3" s="1125">
        <v>0</v>
      </c>
      <c r="AQ3" s="1125">
        <v>0</v>
      </c>
      <c r="AR3" s="1125">
        <v>0</v>
      </c>
      <c r="AS3" s="1125">
        <v>0</v>
      </c>
      <c r="AT3" s="1125">
        <v>0</v>
      </c>
      <c r="AU3" s="1125">
        <v>0</v>
      </c>
      <c r="AV3" s="1125">
        <v>0</v>
      </c>
      <c r="AW3" s="1126">
        <f t="shared" ref="AP3:AW6" si="2">COUNTIFS($F:$F,AW$1,$J:$J,TRUE)</f>
        <v>0</v>
      </c>
    </row>
    <row r="4" spans="1:49" ht="20" customHeight="1" x14ac:dyDescent="0.15">
      <c r="A4" s="95" t="s">
        <v>79</v>
      </c>
      <c r="B4" s="98">
        <v>1000000</v>
      </c>
      <c r="C4" s="1401"/>
      <c r="D4" s="1401"/>
      <c r="E4" s="1401"/>
      <c r="F4" s="1401"/>
      <c r="G4" s="1401"/>
      <c r="H4" s="1401"/>
      <c r="I4" s="1401"/>
      <c r="J4" s="1401"/>
      <c r="K4" s="92"/>
      <c r="L4" s="1127" t="s">
        <v>23</v>
      </c>
      <c r="M4" s="1128">
        <f>'Action Plan'!M135</f>
        <v>6</v>
      </c>
      <c r="N4" s="1129">
        <f>SUM(S4:AW4)</f>
        <v>6</v>
      </c>
      <c r="O4" s="1130">
        <f>N4-M4</f>
        <v>0</v>
      </c>
      <c r="P4" s="1131">
        <f>N4/M4</f>
        <v>1</v>
      </c>
      <c r="Q4" s="1135">
        <f>M4/'Action Plan'!$C$6</f>
        <v>0.23076923076923078</v>
      </c>
      <c r="R4" s="1133">
        <f t="shared" ref="R4:R7" ca="1" si="3">COUNTIFS($F:$F,TODAY(),$J:$J,TRUE)</f>
        <v>0</v>
      </c>
      <c r="S4" s="1134">
        <v>1</v>
      </c>
      <c r="T4" s="1134">
        <v>3</v>
      </c>
      <c r="U4" s="1134">
        <v>2</v>
      </c>
      <c r="V4" s="1134">
        <v>0</v>
      </c>
      <c r="W4" s="1134">
        <v>0</v>
      </c>
      <c r="X4" s="1134">
        <v>0</v>
      </c>
      <c r="Y4" s="1134">
        <v>0</v>
      </c>
      <c r="Z4" s="1134">
        <v>0</v>
      </c>
      <c r="AA4" s="1134">
        <v>0</v>
      </c>
      <c r="AB4" s="1134">
        <v>0</v>
      </c>
      <c r="AC4" s="1134">
        <v>0</v>
      </c>
      <c r="AD4" s="1134">
        <v>0</v>
      </c>
      <c r="AE4" s="1134">
        <v>0</v>
      </c>
      <c r="AF4" s="1134">
        <v>0</v>
      </c>
      <c r="AG4" s="1134">
        <v>0</v>
      </c>
      <c r="AH4" s="1134">
        <v>0</v>
      </c>
      <c r="AI4" s="1134">
        <v>0</v>
      </c>
      <c r="AJ4" s="1134">
        <v>0</v>
      </c>
      <c r="AK4" s="1134">
        <v>0</v>
      </c>
      <c r="AL4" s="1134">
        <v>0</v>
      </c>
      <c r="AM4" s="1134">
        <v>0</v>
      </c>
      <c r="AN4" s="1134">
        <v>0</v>
      </c>
      <c r="AO4" s="1134">
        <v>0</v>
      </c>
      <c r="AP4" s="1134">
        <v>0</v>
      </c>
      <c r="AQ4" s="1134">
        <v>0</v>
      </c>
      <c r="AR4" s="1134">
        <v>0</v>
      </c>
      <c r="AS4" s="1134">
        <v>0</v>
      </c>
      <c r="AT4" s="1134">
        <v>0</v>
      </c>
      <c r="AU4" s="1134">
        <v>0</v>
      </c>
      <c r="AV4" s="1134">
        <v>0</v>
      </c>
      <c r="AW4" s="1074">
        <f t="shared" si="2"/>
        <v>0</v>
      </c>
    </row>
    <row r="5" spans="1:49" ht="20" customHeight="1" x14ac:dyDescent="0.15">
      <c r="A5" s="96"/>
      <c r="B5" s="99"/>
      <c r="C5" s="1402"/>
      <c r="D5" s="1402"/>
      <c r="E5" s="1402"/>
      <c r="F5" s="1402"/>
      <c r="G5" s="1402"/>
      <c r="H5" s="1402"/>
      <c r="I5" s="1402"/>
      <c r="J5" s="1402"/>
      <c r="K5" s="92"/>
      <c r="L5" s="1127" t="s">
        <v>90</v>
      </c>
      <c r="M5" s="1128">
        <f>'Action Plan'!M136</f>
        <v>2</v>
      </c>
      <c r="N5" s="1129">
        <f t="shared" ref="N5:N6" si="4">SUM(S5:AW5)</f>
        <v>6</v>
      </c>
      <c r="O5" s="1130">
        <f t="shared" ref="O5:O6" si="5">N5-M5</f>
        <v>4</v>
      </c>
      <c r="P5" s="1131">
        <f t="shared" ref="P5:P6" si="6">N5/M5</f>
        <v>3</v>
      </c>
      <c r="Q5" s="1135">
        <f>M5/'Action Plan'!$C$6</f>
        <v>7.6923076923076927E-2</v>
      </c>
      <c r="R5" s="1133">
        <f t="shared" ca="1" si="3"/>
        <v>0</v>
      </c>
      <c r="S5" s="1134">
        <v>1</v>
      </c>
      <c r="T5" s="1134">
        <v>4</v>
      </c>
      <c r="U5" s="1134">
        <v>1</v>
      </c>
      <c r="V5" s="1134">
        <v>0</v>
      </c>
      <c r="W5" s="1134">
        <v>0</v>
      </c>
      <c r="X5" s="1134">
        <v>0</v>
      </c>
      <c r="Y5" s="1134">
        <v>0</v>
      </c>
      <c r="Z5" s="1134">
        <v>0</v>
      </c>
      <c r="AA5" s="1134">
        <v>0</v>
      </c>
      <c r="AB5" s="1134">
        <v>0</v>
      </c>
      <c r="AC5" s="1134">
        <v>0</v>
      </c>
      <c r="AD5" s="1134">
        <v>0</v>
      </c>
      <c r="AE5" s="1134">
        <v>0</v>
      </c>
      <c r="AF5" s="1134">
        <v>0</v>
      </c>
      <c r="AG5" s="1134">
        <v>0</v>
      </c>
      <c r="AH5" s="1134">
        <v>0</v>
      </c>
      <c r="AI5" s="1134">
        <v>0</v>
      </c>
      <c r="AJ5" s="1134">
        <v>0</v>
      </c>
      <c r="AK5" s="1134">
        <v>0</v>
      </c>
      <c r="AL5" s="1134">
        <v>0</v>
      </c>
      <c r="AM5" s="1134">
        <v>0</v>
      </c>
      <c r="AN5" s="1134">
        <v>0</v>
      </c>
      <c r="AO5" s="1134">
        <v>0</v>
      </c>
      <c r="AP5" s="1134">
        <v>0</v>
      </c>
      <c r="AQ5" s="1134">
        <v>0</v>
      </c>
      <c r="AR5" s="1134">
        <v>0</v>
      </c>
      <c r="AS5" s="1134">
        <v>0</v>
      </c>
      <c r="AT5" s="1134">
        <v>0</v>
      </c>
      <c r="AU5" s="1134">
        <v>0</v>
      </c>
      <c r="AV5" s="1134">
        <v>0</v>
      </c>
      <c r="AW5" s="1074">
        <f t="shared" si="2"/>
        <v>0</v>
      </c>
    </row>
    <row r="6" spans="1:49" ht="20" customHeight="1" x14ac:dyDescent="0.15">
      <c r="A6" s="101" t="s">
        <v>111</v>
      </c>
      <c r="B6" s="101" t="s">
        <v>116</v>
      </c>
      <c r="C6" s="101" t="s">
        <v>102</v>
      </c>
      <c r="D6" s="101" t="s">
        <v>112</v>
      </c>
      <c r="E6" s="101" t="s">
        <v>103</v>
      </c>
      <c r="F6" s="101" t="s">
        <v>104</v>
      </c>
      <c r="G6" s="101" t="s">
        <v>105</v>
      </c>
      <c r="H6" s="101" t="s">
        <v>129</v>
      </c>
      <c r="I6" s="101" t="s">
        <v>31</v>
      </c>
      <c r="J6" s="102" t="s">
        <v>106</v>
      </c>
      <c r="K6" s="92"/>
      <c r="L6" s="1127" t="s">
        <v>8</v>
      </c>
      <c r="M6" s="1128">
        <f>'Action Plan'!M137</f>
        <v>2</v>
      </c>
      <c r="N6" s="1129">
        <f>SUM(S6:AW6)</f>
        <v>6</v>
      </c>
      <c r="O6" s="1130">
        <f t="shared" si="5"/>
        <v>4</v>
      </c>
      <c r="P6" s="1131">
        <f t="shared" si="6"/>
        <v>3</v>
      </c>
      <c r="Q6" s="1135">
        <f>M6/'Action Plan'!$C$6</f>
        <v>7.6923076923076927E-2</v>
      </c>
      <c r="R6" s="1133">
        <f t="shared" ca="1" si="3"/>
        <v>0</v>
      </c>
      <c r="S6" s="1134">
        <v>1</v>
      </c>
      <c r="T6" s="1134">
        <v>4</v>
      </c>
      <c r="U6" s="1134">
        <v>1</v>
      </c>
      <c r="V6" s="1134">
        <v>0</v>
      </c>
      <c r="W6" s="1134">
        <v>0</v>
      </c>
      <c r="X6" s="1134">
        <v>0</v>
      </c>
      <c r="Y6" s="1134">
        <v>0</v>
      </c>
      <c r="Z6" s="1134">
        <v>0</v>
      </c>
      <c r="AA6" s="1134">
        <v>0</v>
      </c>
      <c r="AB6" s="1134">
        <v>0</v>
      </c>
      <c r="AC6" s="1134">
        <v>0</v>
      </c>
      <c r="AD6" s="1134">
        <v>0</v>
      </c>
      <c r="AE6" s="1134">
        <v>0</v>
      </c>
      <c r="AF6" s="1134">
        <v>0</v>
      </c>
      <c r="AG6" s="1134">
        <v>0</v>
      </c>
      <c r="AH6" s="1134">
        <v>0</v>
      </c>
      <c r="AI6" s="1134">
        <v>0</v>
      </c>
      <c r="AJ6" s="1134">
        <v>0</v>
      </c>
      <c r="AK6" s="1134">
        <v>0</v>
      </c>
      <c r="AL6" s="1134">
        <v>0</v>
      </c>
      <c r="AM6" s="1134">
        <v>0</v>
      </c>
      <c r="AN6" s="1134">
        <v>0</v>
      </c>
      <c r="AO6" s="1134">
        <v>0</v>
      </c>
      <c r="AP6" s="1134">
        <v>0</v>
      </c>
      <c r="AQ6" s="1134">
        <v>0</v>
      </c>
      <c r="AR6" s="1134">
        <v>0</v>
      </c>
      <c r="AS6" s="1134">
        <v>0</v>
      </c>
      <c r="AT6" s="1134">
        <v>0</v>
      </c>
      <c r="AU6" s="1134">
        <v>0</v>
      </c>
      <c r="AV6" s="1134">
        <v>0</v>
      </c>
      <c r="AW6" s="1074">
        <f t="shared" si="2"/>
        <v>0</v>
      </c>
    </row>
    <row r="7" spans="1:49" ht="20" customHeight="1" thickBot="1" x14ac:dyDescent="0.2">
      <c r="A7" s="131"/>
      <c r="B7" s="132"/>
      <c r="C7" s="133"/>
      <c r="D7" s="145" t="s">
        <v>125</v>
      </c>
      <c r="E7" s="146" t="s">
        <v>118</v>
      </c>
      <c r="F7" s="134">
        <v>45731</v>
      </c>
      <c r="G7" s="131"/>
      <c r="H7" s="131"/>
      <c r="I7" s="131"/>
      <c r="J7" s="123" t="b">
        <v>1</v>
      </c>
      <c r="K7" s="109"/>
      <c r="L7" s="1136" t="s">
        <v>221</v>
      </c>
      <c r="M7" s="1434">
        <f>'Action Plan'!M146</f>
        <v>67200</v>
      </c>
      <c r="N7" s="1435">
        <f>SUM(S7:AW7)</f>
        <v>31000</v>
      </c>
      <c r="O7" s="1436">
        <f t="shared" ref="O7" si="7">N7-M7</f>
        <v>-36200</v>
      </c>
      <c r="P7" s="1140">
        <f t="shared" ref="P7" si="8">N7/M7</f>
        <v>0.46130952380952384</v>
      </c>
      <c r="Q7" s="1437">
        <f>M7/'Action Plan'!$C$6</f>
        <v>2584.6153846153848</v>
      </c>
      <c r="R7" s="1142">
        <f ca="1">COUNTIFS($F:$F,TODAY(),$J:$J,TRUE)</f>
        <v>0</v>
      </c>
      <c r="S7" s="1438">
        <v>1000</v>
      </c>
      <c r="T7" s="1438">
        <v>1000</v>
      </c>
      <c r="U7" s="1438">
        <v>1000</v>
      </c>
      <c r="V7" s="1438">
        <v>1000</v>
      </c>
      <c r="W7" s="1438">
        <v>1000</v>
      </c>
      <c r="X7" s="1438">
        <v>1000</v>
      </c>
      <c r="Y7" s="1438">
        <v>1000</v>
      </c>
      <c r="Z7" s="1438">
        <v>1000</v>
      </c>
      <c r="AA7" s="1438">
        <v>1000</v>
      </c>
      <c r="AB7" s="1438">
        <v>1000</v>
      </c>
      <c r="AC7" s="1438">
        <v>1000</v>
      </c>
      <c r="AD7" s="1438">
        <v>1000</v>
      </c>
      <c r="AE7" s="1438">
        <v>1000</v>
      </c>
      <c r="AF7" s="1438">
        <v>1000</v>
      </c>
      <c r="AG7" s="1438">
        <v>1000</v>
      </c>
      <c r="AH7" s="1438">
        <v>1000</v>
      </c>
      <c r="AI7" s="1438">
        <v>1000</v>
      </c>
      <c r="AJ7" s="1438">
        <v>1000</v>
      </c>
      <c r="AK7" s="1438">
        <v>1000</v>
      </c>
      <c r="AL7" s="1438">
        <v>1000</v>
      </c>
      <c r="AM7" s="1438">
        <v>1000</v>
      </c>
      <c r="AN7" s="1438">
        <v>1000</v>
      </c>
      <c r="AO7" s="1438">
        <v>1000</v>
      </c>
      <c r="AP7" s="1438">
        <v>1000</v>
      </c>
      <c r="AQ7" s="1438">
        <v>1000</v>
      </c>
      <c r="AR7" s="1438">
        <v>1000</v>
      </c>
      <c r="AS7" s="1438">
        <v>1000</v>
      </c>
      <c r="AT7" s="1438">
        <v>1000</v>
      </c>
      <c r="AU7" s="1438">
        <v>1000</v>
      </c>
      <c r="AV7" s="1438">
        <v>1000</v>
      </c>
      <c r="AW7" s="1439">
        <v>1000</v>
      </c>
    </row>
    <row r="8" spans="1:49" ht="15.75" customHeight="1" x14ac:dyDescent="0.15">
      <c r="A8" s="135"/>
      <c r="B8" s="135"/>
      <c r="C8" s="135"/>
      <c r="D8" s="145" t="s">
        <v>126</v>
      </c>
      <c r="E8" s="145" t="s">
        <v>119</v>
      </c>
      <c r="F8" s="1464">
        <v>45732</v>
      </c>
      <c r="G8" s="135"/>
      <c r="H8" s="135"/>
      <c r="I8" s="135"/>
      <c r="J8" s="123" t="b">
        <v>1</v>
      </c>
    </row>
    <row r="9" spans="1:49" ht="15.75" customHeight="1" x14ac:dyDescent="0.15">
      <c r="A9" s="135"/>
      <c r="B9" s="135"/>
      <c r="C9" s="135"/>
      <c r="D9" s="145" t="s">
        <v>127</v>
      </c>
      <c r="E9" s="145" t="s">
        <v>120</v>
      </c>
      <c r="F9" s="1464">
        <v>45733</v>
      </c>
      <c r="G9" s="135"/>
      <c r="H9" s="135"/>
      <c r="I9" s="135"/>
      <c r="J9" s="123" t="b">
        <v>1</v>
      </c>
    </row>
    <row r="10" spans="1:49" ht="15.75" customHeight="1" x14ac:dyDescent="0.15">
      <c r="A10" s="135"/>
      <c r="B10" s="135"/>
      <c r="C10" s="135"/>
      <c r="D10" s="145" t="s">
        <v>127</v>
      </c>
      <c r="E10" s="145" t="s">
        <v>121</v>
      </c>
      <c r="F10" s="1464">
        <v>45734</v>
      </c>
      <c r="G10" s="135"/>
      <c r="H10" s="135"/>
      <c r="I10" s="135"/>
      <c r="J10" s="123" t="b">
        <v>1</v>
      </c>
    </row>
    <row r="11" spans="1:49" ht="15.75" customHeight="1" x14ac:dyDescent="0.15">
      <c r="A11" s="135"/>
      <c r="B11" s="135"/>
      <c r="C11" s="135"/>
      <c r="D11" s="145" t="s">
        <v>127</v>
      </c>
      <c r="E11" s="145" t="s">
        <v>122</v>
      </c>
      <c r="F11" s="1464">
        <v>45735</v>
      </c>
      <c r="G11" s="135"/>
      <c r="H11" s="135"/>
      <c r="I11" s="135"/>
      <c r="J11" s="123" t="b">
        <v>1</v>
      </c>
    </row>
    <row r="12" spans="1:49" ht="15.75" customHeight="1" x14ac:dyDescent="0.15">
      <c r="A12" s="135"/>
      <c r="B12" s="135"/>
      <c r="C12" s="135"/>
      <c r="D12" s="145" t="s">
        <v>127</v>
      </c>
      <c r="E12" s="145" t="s">
        <v>123</v>
      </c>
      <c r="F12" s="1464">
        <v>45736</v>
      </c>
      <c r="G12" s="135"/>
      <c r="H12" s="135"/>
      <c r="I12" s="135"/>
      <c r="J12" s="123" t="b">
        <v>1</v>
      </c>
    </row>
    <row r="13" spans="1:49" ht="15.75" customHeight="1" x14ac:dyDescent="0.15">
      <c r="A13" s="135"/>
      <c r="B13" s="135"/>
      <c r="C13" s="135"/>
      <c r="D13" s="145" t="s">
        <v>127</v>
      </c>
      <c r="E13" s="145" t="s">
        <v>124</v>
      </c>
      <c r="F13" s="1464">
        <v>45737</v>
      </c>
      <c r="G13" s="135"/>
      <c r="H13" s="135"/>
      <c r="I13" s="135"/>
      <c r="J13" s="123" t="b">
        <v>1</v>
      </c>
    </row>
    <row r="14" spans="1:49" ht="15.75" customHeight="1" x14ac:dyDescent="0.15">
      <c r="J14" s="106"/>
    </row>
  </sheetData>
  <mergeCells count="2">
    <mergeCell ref="A1:B1"/>
    <mergeCell ref="C2:J5"/>
  </mergeCells>
  <conditionalFormatting sqref="S3:AW7">
    <cfRule type="expression" dxfId="18" priority="6">
      <formula>#REF!="CN"</formula>
    </cfRule>
  </conditionalFormatting>
  <conditionalFormatting sqref="S3:AW7">
    <cfRule type="expression" dxfId="17" priority="7">
      <formula>#REF!="CN"</formula>
    </cfRule>
  </conditionalFormatting>
  <conditionalFormatting sqref="S3:AW7">
    <cfRule type="expression" dxfId="16" priority="8">
      <formula>S$3="CN"</formula>
    </cfRule>
  </conditionalFormatting>
  <conditionalFormatting sqref="S1:AW2">
    <cfRule type="expression" dxfId="15" priority="1">
      <formula>#REF!="CN"</formula>
    </cfRule>
  </conditionalFormatting>
  <conditionalFormatting sqref="S1:AW2">
    <cfRule type="expression" dxfId="14" priority="2">
      <formula>#REF!="CN"</formula>
    </cfRule>
  </conditionalFormatting>
  <conditionalFormatting sqref="S1:AW2">
    <cfRule type="expression" dxfId="13" priority="3">
      <formula>AB$3="CN"</formula>
    </cfRule>
  </conditionalFormatting>
  <conditionalFormatting sqref="T1:AW2">
    <cfRule type="expression" dxfId="12" priority="4">
      <formula>T$6="CN"</formula>
    </cfRule>
  </conditionalFormatting>
  <conditionalFormatting sqref="T1:AW2">
    <cfRule type="expression" dxfId="11" priority="5">
      <formula>T$5=TODAY()</formula>
    </cfRule>
  </conditionalFormatting>
  <conditionalFormatting sqref="S1:S2">
    <cfRule type="expression" dxfId="10" priority="1247">
      <formula>#REF!="CN"</formula>
    </cfRule>
  </conditionalFormatting>
  <conditionalFormatting sqref="S1:S2">
    <cfRule type="expression" dxfId="9" priority="1249">
      <formula>S$6=TODAY()</formula>
    </cfRule>
  </conditionalFormatting>
  <dataValidations count="6">
    <dataValidation type="custom" allowBlank="1" showDropDown="1" sqref="F7:F13" xr:uid="{00000000-0002-0000-0F00-000001000000}">
      <formula1>OR(NOT(ISERROR(DATEVALUE(F7))), AND(ISNUMBER(F7), LEFT(CELL("format", F7))="D"))</formula1>
    </dataValidation>
    <dataValidation allowBlank="1" showDropDown="1" sqref="A7:A13 C7:C13 I7:I13" xr:uid="{00000000-0002-0000-0F00-000002000000}"/>
    <dataValidation type="list" allowBlank="1" sqref="B7:B13" xr:uid="{00000000-0002-0000-0F00-000004000000}">
      <formula1>"BÀI ĐĂNG,ADS"</formula1>
    </dataValidation>
    <dataValidation type="list" allowBlank="1" sqref="D7:D13" xr:uid="{C64E7E07-F6B8-7A4F-A17F-111E7FF8CAF0}">
      <formula1>"Boss, Manager, Colleague"</formula1>
    </dataValidation>
    <dataValidation type="list" allowBlank="1" sqref="E7:E13" xr:uid="{DC504BDD-2339-EA40-8F60-EE2CC9AF80CC}">
      <formula1>"Not Started, Planned, In Progress, Pending, Under Review, Failed, Completed"</formula1>
    </dataValidation>
    <dataValidation type="list" allowBlank="1" showInputMessage="1" showErrorMessage="1" sqref="J7:J13" xr:uid="{646831C7-3928-8340-A66B-0C659994F5A6}">
      <formula1>"TRUE, FALSE"</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AW8"/>
  <sheetViews>
    <sheetView zoomScale="90" zoomScaleNormal="90" workbookViewId="0">
      <pane ySplit="6" topLeftCell="A7" activePane="bottomLeft" state="frozen"/>
      <selection pane="bottomLeft" activeCell="H32" sqref="H32"/>
    </sheetView>
  </sheetViews>
  <sheetFormatPr baseColWidth="10" defaultColWidth="12.6640625" defaultRowHeight="15.75" customHeight="1" x14ac:dyDescent="0.15"/>
  <cols>
    <col min="1" max="1" width="15.83203125" style="100" customWidth="1"/>
    <col min="2" max="2" width="20.83203125" style="100" customWidth="1"/>
    <col min="3" max="3" width="45.83203125" style="100" customWidth="1"/>
    <col min="4" max="6" width="20.83203125" style="100" customWidth="1"/>
    <col min="7" max="7" width="30.83203125" style="100" customWidth="1"/>
    <col min="8" max="9" width="20.83203125" style="100" customWidth="1"/>
    <col min="10" max="10" width="15.83203125" style="100" customWidth="1"/>
    <col min="11" max="11" width="3.83203125" style="100" customWidth="1"/>
    <col min="12" max="12" width="12.6640625" style="100"/>
    <col min="13" max="17" width="15.83203125" style="100" customWidth="1"/>
    <col min="18" max="18" width="20.83203125" style="100" customWidth="1"/>
    <col min="19" max="49" width="15.83203125" style="100" customWidth="1"/>
    <col min="50" max="16384" width="12.6640625" style="100"/>
  </cols>
  <sheetData>
    <row r="1" spans="1:49" ht="30" customHeight="1" x14ac:dyDescent="0.15">
      <c r="A1" s="1399" t="s">
        <v>115</v>
      </c>
      <c r="B1" s="1399"/>
      <c r="C1" s="80"/>
      <c r="E1" s="1167"/>
      <c r="F1" s="80"/>
      <c r="G1" s="80"/>
      <c r="H1" s="80"/>
      <c r="I1" s="80"/>
      <c r="J1" s="80"/>
      <c r="K1" s="80"/>
      <c r="L1" s="81"/>
      <c r="M1" s="81"/>
      <c r="N1" s="81"/>
      <c r="O1" s="81"/>
      <c r="P1" s="81"/>
      <c r="Q1" s="112"/>
      <c r="R1" s="112"/>
      <c r="S1" s="113"/>
      <c r="T1" s="113"/>
      <c r="U1" s="113"/>
      <c r="V1" s="113"/>
      <c r="W1" s="113"/>
      <c r="X1" s="113"/>
      <c r="Y1" s="113"/>
      <c r="Z1" s="113"/>
      <c r="AA1" s="113"/>
      <c r="AB1" s="113"/>
      <c r="AC1" s="113"/>
      <c r="AD1" s="113"/>
      <c r="AE1" s="113"/>
      <c r="AF1" s="113"/>
      <c r="AG1" s="113"/>
      <c r="AH1" s="113"/>
      <c r="AI1" s="113"/>
      <c r="AJ1" s="113"/>
      <c r="AK1" s="113"/>
      <c r="AL1" s="113"/>
      <c r="AM1" s="113"/>
      <c r="AN1" s="113"/>
      <c r="AO1" s="113"/>
      <c r="AP1" s="113"/>
      <c r="AQ1" s="113"/>
      <c r="AR1" s="113"/>
      <c r="AS1" s="113"/>
      <c r="AT1" s="113"/>
      <c r="AU1" s="113"/>
      <c r="AV1" s="113"/>
      <c r="AW1" s="113"/>
    </row>
    <row r="2" spans="1:49" ht="20" customHeight="1" x14ac:dyDescent="0.15">
      <c r="A2" s="95" t="s">
        <v>113</v>
      </c>
      <c r="B2" s="97">
        <v>4</v>
      </c>
      <c r="C2" s="1403" t="s">
        <v>218</v>
      </c>
      <c r="D2" s="1403"/>
      <c r="E2" s="1403"/>
      <c r="F2" s="1403"/>
      <c r="G2" s="1403"/>
      <c r="H2" s="1403"/>
      <c r="I2" s="1403"/>
      <c r="J2" s="1403"/>
      <c r="K2" s="80"/>
      <c r="L2" s="81"/>
      <c r="M2" s="81"/>
      <c r="N2" s="81"/>
      <c r="O2" s="81"/>
      <c r="P2" s="81"/>
      <c r="Q2" s="112"/>
      <c r="R2" s="112"/>
      <c r="S2" s="113"/>
      <c r="T2" s="113"/>
      <c r="V2" s="113"/>
      <c r="W2" s="113"/>
      <c r="X2" s="113"/>
      <c r="Y2" s="113"/>
      <c r="Z2" s="113"/>
      <c r="AA2" s="113"/>
      <c r="AB2" s="113"/>
      <c r="AC2" s="113"/>
      <c r="AD2" s="113"/>
      <c r="AE2" s="113"/>
      <c r="AF2" s="113"/>
      <c r="AG2" s="113"/>
      <c r="AH2" s="113"/>
      <c r="AI2" s="113"/>
      <c r="AJ2" s="113"/>
      <c r="AK2" s="113"/>
      <c r="AL2" s="113"/>
      <c r="AM2" s="113"/>
      <c r="AN2" s="113"/>
      <c r="AO2" s="113"/>
      <c r="AP2" s="113"/>
      <c r="AQ2" s="113"/>
      <c r="AR2" s="113"/>
      <c r="AS2" s="113"/>
      <c r="AT2" s="113"/>
      <c r="AU2" s="113"/>
      <c r="AV2" s="113"/>
      <c r="AW2" s="113"/>
    </row>
    <row r="3" spans="1:49" ht="20" customHeight="1" thickBot="1" x14ac:dyDescent="0.2">
      <c r="A3" s="95" t="s">
        <v>114</v>
      </c>
      <c r="B3" s="97">
        <v>2025</v>
      </c>
      <c r="C3" s="1403"/>
      <c r="D3" s="1403"/>
      <c r="E3" s="1403"/>
      <c r="F3" s="1403"/>
      <c r="G3" s="1403"/>
      <c r="H3" s="1403"/>
      <c r="I3" s="1403"/>
      <c r="J3" s="1403"/>
      <c r="L3" s="81"/>
      <c r="M3" s="81"/>
      <c r="N3" s="81"/>
      <c r="O3" s="81"/>
      <c r="P3" s="81"/>
      <c r="Q3" s="112"/>
      <c r="R3" s="112"/>
      <c r="S3" s="113"/>
      <c r="T3" s="113"/>
      <c r="V3" s="113"/>
      <c r="W3" s="113"/>
      <c r="X3" s="113"/>
      <c r="Y3" s="113"/>
      <c r="Z3" s="113"/>
      <c r="AA3" s="113"/>
      <c r="AB3" s="113"/>
      <c r="AC3" s="113"/>
      <c r="AD3" s="113"/>
      <c r="AE3" s="113"/>
      <c r="AF3" s="113"/>
      <c r="AG3" s="113"/>
      <c r="AH3" s="113"/>
      <c r="AI3" s="113"/>
      <c r="AJ3" s="113"/>
      <c r="AK3" s="113"/>
      <c r="AL3" s="113"/>
      <c r="AM3" s="113"/>
      <c r="AN3" s="113"/>
      <c r="AO3" s="113"/>
      <c r="AP3" s="113"/>
      <c r="AQ3" s="113"/>
      <c r="AR3" s="113"/>
      <c r="AS3" s="113"/>
      <c r="AT3" s="113"/>
      <c r="AU3" s="113"/>
      <c r="AV3" s="113"/>
      <c r="AW3" s="113"/>
    </row>
    <row r="4" spans="1:49" ht="20" customHeight="1" x14ac:dyDescent="0.15">
      <c r="A4" s="95" t="s">
        <v>79</v>
      </c>
      <c r="B4" s="98">
        <v>1000000</v>
      </c>
      <c r="C4" s="1403"/>
      <c r="D4" s="1403"/>
      <c r="E4" s="1403"/>
      <c r="F4" s="1403"/>
      <c r="G4" s="1403"/>
      <c r="H4" s="1403"/>
      <c r="I4" s="1403"/>
      <c r="J4" s="1403"/>
      <c r="L4" s="114"/>
      <c r="M4" s="1151"/>
      <c r="N4" s="1152"/>
      <c r="O4" s="1152"/>
      <c r="P4" s="1152"/>
      <c r="Q4" s="1153"/>
      <c r="R4" s="1153"/>
      <c r="S4" s="1154">
        <v>45748</v>
      </c>
      <c r="T4" s="1154">
        <v>45749</v>
      </c>
      <c r="U4" s="1154">
        <v>45750</v>
      </c>
      <c r="V4" s="1154">
        <v>45751</v>
      </c>
      <c r="W4" s="1154">
        <v>45752</v>
      </c>
      <c r="X4" s="1155">
        <v>45753</v>
      </c>
      <c r="Y4" s="1154">
        <v>45754</v>
      </c>
      <c r="Z4" s="1154">
        <v>45755</v>
      </c>
      <c r="AA4" s="1154">
        <v>45756</v>
      </c>
      <c r="AB4" s="1154">
        <v>45757</v>
      </c>
      <c r="AC4" s="1154">
        <v>45758</v>
      </c>
      <c r="AD4" s="1154">
        <v>45759</v>
      </c>
      <c r="AE4" s="1154">
        <v>45760</v>
      </c>
      <c r="AF4" s="1154">
        <v>45761</v>
      </c>
      <c r="AG4" s="1154">
        <v>45762</v>
      </c>
      <c r="AH4" s="1154">
        <v>45763</v>
      </c>
      <c r="AI4" s="1154">
        <v>45764</v>
      </c>
      <c r="AJ4" s="1154">
        <v>45765</v>
      </c>
      <c r="AK4" s="1154">
        <v>45766</v>
      </c>
      <c r="AL4" s="1154">
        <v>45767</v>
      </c>
      <c r="AM4" s="1154">
        <v>45768</v>
      </c>
      <c r="AN4" s="1154">
        <v>45769</v>
      </c>
      <c r="AO4" s="1154">
        <v>45770</v>
      </c>
      <c r="AP4" s="1154">
        <v>45771</v>
      </c>
      <c r="AQ4" s="1154">
        <v>45772</v>
      </c>
      <c r="AR4" s="1154">
        <v>45773</v>
      </c>
      <c r="AS4" s="1154">
        <v>45774</v>
      </c>
      <c r="AT4" s="1154">
        <v>45775</v>
      </c>
      <c r="AU4" s="1154">
        <v>45776</v>
      </c>
      <c r="AV4" s="1154">
        <v>45777</v>
      </c>
      <c r="AW4" s="1156">
        <v>45778</v>
      </c>
    </row>
    <row r="5" spans="1:49" ht="20" customHeight="1" x14ac:dyDescent="0.15">
      <c r="A5" s="96"/>
      <c r="B5" s="99"/>
      <c r="C5" s="1404"/>
      <c r="D5" s="1404"/>
      <c r="E5" s="1404"/>
      <c r="F5" s="1404"/>
      <c r="G5" s="1404"/>
      <c r="H5" s="1404"/>
      <c r="I5" s="1404"/>
      <c r="J5" s="1404"/>
      <c r="L5" s="115"/>
      <c r="M5" s="1148" t="s">
        <v>107</v>
      </c>
      <c r="N5" s="1116" t="s">
        <v>141</v>
      </c>
      <c r="O5" s="1117" t="s">
        <v>108</v>
      </c>
      <c r="P5" s="1118" t="s">
        <v>109</v>
      </c>
      <c r="Q5" s="88" t="s">
        <v>74</v>
      </c>
      <c r="R5" s="88" t="s">
        <v>110</v>
      </c>
      <c r="S5" s="89" t="str">
        <f t="shared" ref="S5:AW5" si="0">IF(WEEKDAY(S4)=1,"CN","T"&amp;WEEKDAY(S4))</f>
        <v>T3</v>
      </c>
      <c r="T5" s="89" t="str">
        <f t="shared" si="0"/>
        <v>T4</v>
      </c>
      <c r="U5" s="89" t="str">
        <f t="shared" si="0"/>
        <v>T5</v>
      </c>
      <c r="V5" s="89" t="str">
        <f t="shared" si="0"/>
        <v>T6</v>
      </c>
      <c r="W5" s="89" t="str">
        <f t="shared" si="0"/>
        <v>T7</v>
      </c>
      <c r="X5" s="116" t="str">
        <f t="shared" si="0"/>
        <v>CN</v>
      </c>
      <c r="Y5" s="89" t="str">
        <f t="shared" si="0"/>
        <v>T2</v>
      </c>
      <c r="Z5" s="89" t="str">
        <f t="shared" si="0"/>
        <v>T3</v>
      </c>
      <c r="AA5" s="89" t="str">
        <f t="shared" si="0"/>
        <v>T4</v>
      </c>
      <c r="AB5" s="89" t="str">
        <f t="shared" si="0"/>
        <v>T5</v>
      </c>
      <c r="AC5" s="89" t="str">
        <f t="shared" si="0"/>
        <v>T6</v>
      </c>
      <c r="AD5" s="89" t="str">
        <f t="shared" si="0"/>
        <v>T7</v>
      </c>
      <c r="AE5" s="89" t="str">
        <f t="shared" si="0"/>
        <v>CN</v>
      </c>
      <c r="AF5" s="89" t="str">
        <f t="shared" si="0"/>
        <v>T2</v>
      </c>
      <c r="AG5" s="89" t="str">
        <f t="shared" si="0"/>
        <v>T3</v>
      </c>
      <c r="AH5" s="89" t="str">
        <f t="shared" si="0"/>
        <v>T4</v>
      </c>
      <c r="AI5" s="89" t="str">
        <f t="shared" si="0"/>
        <v>T5</v>
      </c>
      <c r="AJ5" s="89" t="str">
        <f t="shared" si="0"/>
        <v>T6</v>
      </c>
      <c r="AK5" s="89" t="str">
        <f t="shared" si="0"/>
        <v>T7</v>
      </c>
      <c r="AL5" s="89" t="str">
        <f t="shared" si="0"/>
        <v>CN</v>
      </c>
      <c r="AM5" s="89" t="str">
        <f t="shared" si="0"/>
        <v>T2</v>
      </c>
      <c r="AN5" s="89" t="str">
        <f t="shared" si="0"/>
        <v>T3</v>
      </c>
      <c r="AO5" s="89" t="str">
        <f t="shared" si="0"/>
        <v>T4</v>
      </c>
      <c r="AP5" s="89" t="str">
        <f t="shared" si="0"/>
        <v>T5</v>
      </c>
      <c r="AQ5" s="89" t="str">
        <f t="shared" si="0"/>
        <v>T6</v>
      </c>
      <c r="AR5" s="89" t="str">
        <f t="shared" si="0"/>
        <v>T7</v>
      </c>
      <c r="AS5" s="89" t="str">
        <f t="shared" si="0"/>
        <v>CN</v>
      </c>
      <c r="AT5" s="89" t="str">
        <f t="shared" si="0"/>
        <v>T2</v>
      </c>
      <c r="AU5" s="89" t="str">
        <f t="shared" si="0"/>
        <v>T3</v>
      </c>
      <c r="AV5" s="91" t="str">
        <f t="shared" si="0"/>
        <v>T4</v>
      </c>
      <c r="AW5" s="723" t="str">
        <f t="shared" si="0"/>
        <v>T5</v>
      </c>
    </row>
    <row r="6" spans="1:49" ht="20" customHeight="1" thickBot="1" x14ac:dyDescent="0.2">
      <c r="A6" s="101" t="s">
        <v>111</v>
      </c>
      <c r="B6" s="101" t="s">
        <v>116</v>
      </c>
      <c r="C6" s="101" t="s">
        <v>102</v>
      </c>
      <c r="D6" s="101" t="s">
        <v>112</v>
      </c>
      <c r="E6" s="101" t="s">
        <v>103</v>
      </c>
      <c r="F6" s="101" t="s">
        <v>104</v>
      </c>
      <c r="G6" s="101" t="s">
        <v>105</v>
      </c>
      <c r="H6" s="101" t="s">
        <v>129</v>
      </c>
      <c r="I6" s="101" t="s">
        <v>31</v>
      </c>
      <c r="J6" s="102" t="s">
        <v>106</v>
      </c>
      <c r="K6" s="117"/>
      <c r="L6" s="93" t="s">
        <v>101</v>
      </c>
      <c r="M6" s="1150">
        <f>Dashboard!E151</f>
        <v>90</v>
      </c>
      <c r="N6" s="1138">
        <f>SUM(S6:AW6)</f>
        <v>23</v>
      </c>
      <c r="O6" s="1139">
        <f>N6-M6</f>
        <v>-67</v>
      </c>
      <c r="P6" s="1140">
        <f>N6/M6</f>
        <v>0.25555555555555554</v>
      </c>
      <c r="Q6" s="1141">
        <f>M6/'Action Plan'!C6</f>
        <v>3.4615384615384617</v>
      </c>
      <c r="R6" s="1142">
        <f ca="1">COUNTIFS($F:$F,TODAY(),$J:$J,TRUE)</f>
        <v>0</v>
      </c>
      <c r="S6" s="1143">
        <v>7</v>
      </c>
      <c r="T6" s="1143">
        <v>6</v>
      </c>
      <c r="U6" s="1143">
        <v>10</v>
      </c>
      <c r="V6" s="1143">
        <f t="shared" ref="V6:AW6" si="1">COUNTIFS($F:$F,V4,$J:$J,TRUE)</f>
        <v>0</v>
      </c>
      <c r="W6" s="1143">
        <f t="shared" si="1"/>
        <v>0</v>
      </c>
      <c r="X6" s="1143">
        <f t="shared" si="1"/>
        <v>0</v>
      </c>
      <c r="Y6" s="1143">
        <f t="shared" si="1"/>
        <v>0</v>
      </c>
      <c r="Z6" s="1143">
        <f t="shared" si="1"/>
        <v>0</v>
      </c>
      <c r="AA6" s="1143">
        <f t="shared" si="1"/>
        <v>0</v>
      </c>
      <c r="AB6" s="1143">
        <f t="shared" si="1"/>
        <v>0</v>
      </c>
      <c r="AC6" s="1143">
        <f t="shared" si="1"/>
        <v>0</v>
      </c>
      <c r="AD6" s="1143">
        <f t="shared" si="1"/>
        <v>0</v>
      </c>
      <c r="AE6" s="1143">
        <f t="shared" si="1"/>
        <v>0</v>
      </c>
      <c r="AF6" s="1143">
        <f t="shared" si="1"/>
        <v>0</v>
      </c>
      <c r="AG6" s="1143">
        <f t="shared" si="1"/>
        <v>0</v>
      </c>
      <c r="AH6" s="1143">
        <f t="shared" si="1"/>
        <v>0</v>
      </c>
      <c r="AI6" s="1143">
        <f t="shared" si="1"/>
        <v>0</v>
      </c>
      <c r="AJ6" s="1143">
        <f t="shared" si="1"/>
        <v>0</v>
      </c>
      <c r="AK6" s="1143">
        <f t="shared" si="1"/>
        <v>0</v>
      </c>
      <c r="AL6" s="1143">
        <f t="shared" si="1"/>
        <v>0</v>
      </c>
      <c r="AM6" s="1143">
        <f t="shared" si="1"/>
        <v>0</v>
      </c>
      <c r="AN6" s="1143">
        <f t="shared" si="1"/>
        <v>0</v>
      </c>
      <c r="AO6" s="1143">
        <f t="shared" si="1"/>
        <v>0</v>
      </c>
      <c r="AP6" s="1143">
        <f t="shared" si="1"/>
        <v>0</v>
      </c>
      <c r="AQ6" s="1143">
        <f t="shared" si="1"/>
        <v>0</v>
      </c>
      <c r="AR6" s="1157">
        <f t="shared" si="1"/>
        <v>0</v>
      </c>
      <c r="AS6" s="1157">
        <f t="shared" si="1"/>
        <v>0</v>
      </c>
      <c r="AT6" s="1157">
        <f t="shared" si="1"/>
        <v>0</v>
      </c>
      <c r="AU6" s="1157">
        <f t="shared" si="1"/>
        <v>0</v>
      </c>
      <c r="AV6" s="1157">
        <f t="shared" si="1"/>
        <v>0</v>
      </c>
      <c r="AW6" s="1158">
        <f t="shared" si="1"/>
        <v>0</v>
      </c>
    </row>
    <row r="7" spans="1:49" ht="20" customHeight="1" x14ac:dyDescent="0.15">
      <c r="A7" s="118"/>
      <c r="B7" s="119"/>
      <c r="C7" s="120"/>
      <c r="D7" s="138" t="s">
        <v>126</v>
      </c>
      <c r="E7" s="139" t="s">
        <v>119</v>
      </c>
      <c r="F7" s="130">
        <v>45735</v>
      </c>
      <c r="G7" s="121"/>
      <c r="H7" s="121"/>
      <c r="I7" s="121"/>
      <c r="J7" s="122" t="b">
        <v>1</v>
      </c>
      <c r="K7" s="123"/>
      <c r="L7" s="105"/>
      <c r="M7" s="109"/>
      <c r="N7" s="109"/>
      <c r="O7" s="109"/>
      <c r="P7" s="109"/>
      <c r="R7" s="110"/>
      <c r="S7" s="60"/>
      <c r="T7" s="60"/>
      <c r="U7" s="60"/>
      <c r="V7" s="60"/>
      <c r="W7" s="60"/>
      <c r="Y7" s="60"/>
      <c r="Z7" s="60"/>
      <c r="AA7" s="60"/>
      <c r="AB7" s="60"/>
      <c r="AC7" s="60"/>
      <c r="AD7" s="60"/>
      <c r="AE7" s="60"/>
      <c r="AF7" s="60"/>
      <c r="AG7" s="60"/>
      <c r="AH7" s="60"/>
      <c r="AI7" s="60"/>
      <c r="AJ7" s="60"/>
      <c r="AK7" s="60"/>
      <c r="AL7" s="60"/>
      <c r="AM7" s="60"/>
      <c r="AN7" s="60"/>
      <c r="AO7" s="60"/>
      <c r="AP7" s="60"/>
      <c r="AQ7" s="60"/>
      <c r="AR7" s="60"/>
      <c r="AS7" s="60"/>
      <c r="AT7" s="60"/>
      <c r="AU7" s="60"/>
      <c r="AV7" s="60"/>
      <c r="AW7" s="60"/>
    </row>
    <row r="8" spans="1:49" ht="15.75" customHeight="1" x14ac:dyDescent="0.15">
      <c r="X8" s="60"/>
    </row>
  </sheetData>
  <mergeCells count="2">
    <mergeCell ref="A1:B1"/>
    <mergeCell ref="C2:J5"/>
  </mergeCells>
  <conditionalFormatting sqref="S4:AW6">
    <cfRule type="expression" dxfId="8" priority="1">
      <formula>#REF!="CN"</formula>
    </cfRule>
  </conditionalFormatting>
  <conditionalFormatting sqref="S4:AW6">
    <cfRule type="expression" dxfId="7" priority="2">
      <formula>#REF!="CN"</formula>
    </cfRule>
  </conditionalFormatting>
  <conditionalFormatting sqref="S4:AW6">
    <cfRule type="expression" dxfId="6" priority="3">
      <formula>S$5="CN"</formula>
    </cfRule>
  </conditionalFormatting>
  <dataValidations count="6">
    <dataValidation type="list" allowBlank="1" sqref="D7" xr:uid="{00000000-0002-0000-1000-000000000000}">
      <formula1>"Boss, Manager, Colleague"</formula1>
    </dataValidation>
    <dataValidation type="custom" allowBlank="1" showDropDown="1" sqref="F7" xr:uid="{00000000-0002-0000-1000-000001000000}">
      <formula1>OR(NOT(ISERROR(DATEVALUE(F7))), AND(ISNUMBER(F7), LEFT(CELL("format", F7))="D"))</formula1>
    </dataValidation>
    <dataValidation allowBlank="1" showDropDown="1" sqref="A7 C7 I7" xr:uid="{00000000-0002-0000-1000-000002000000}"/>
    <dataValidation type="list" allowBlank="1" sqref="E7" xr:uid="{00000000-0002-0000-1000-000003000000}">
      <formula1>"Not Started, Planned, In Progress, Pending, Under Review, Failed, Completed"</formula1>
    </dataValidation>
    <dataValidation type="list" allowBlank="1" sqref="B7" xr:uid="{00000000-0002-0000-1000-000004000000}">
      <formula1>"THIẾT KẾ HÌNH,HÌNH POST HIỆU QUẢ,THUMNAIL"</formula1>
    </dataValidation>
    <dataValidation type="list" allowBlank="1" showInputMessage="1" showErrorMessage="1" sqref="J7" xr:uid="{789E0EA8-07F3-294A-B4F2-959DDC1BCE6F}">
      <formula1>"TRUE, FALSE"</formula1>
    </dataValidation>
  </dataValidation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AW24"/>
  <sheetViews>
    <sheetView zoomScale="80" zoomScaleNormal="80" workbookViewId="0">
      <pane ySplit="6" topLeftCell="A7" activePane="bottomLeft" state="frozen"/>
      <selection pane="bottomLeft" activeCell="G26" sqref="G26"/>
    </sheetView>
  </sheetViews>
  <sheetFormatPr baseColWidth="10" defaultColWidth="12.6640625" defaultRowHeight="15.75" customHeight="1" x14ac:dyDescent="0.15"/>
  <cols>
    <col min="1" max="1" width="15.83203125" style="100" customWidth="1"/>
    <col min="2" max="2" width="20.83203125" style="100" customWidth="1"/>
    <col min="3" max="3" width="45.83203125" style="100" customWidth="1"/>
    <col min="4" max="6" width="20.83203125" style="100" customWidth="1"/>
    <col min="7" max="7" width="30.83203125" style="100" customWidth="1"/>
    <col min="8" max="9" width="20.83203125" style="100" customWidth="1"/>
    <col min="10" max="10" width="15.83203125" style="100" customWidth="1"/>
    <col min="11" max="11" width="3.83203125" style="100" customWidth="1"/>
    <col min="12" max="12" width="12.6640625" style="100"/>
    <col min="13" max="17" width="15.83203125" style="100" customWidth="1"/>
    <col min="18" max="18" width="20.83203125" style="100" customWidth="1"/>
    <col min="19" max="49" width="15.83203125" style="100" customWidth="1"/>
    <col min="50" max="16384" width="12.6640625" style="100"/>
  </cols>
  <sheetData>
    <row r="1" spans="1:49" ht="30" customHeight="1" thickBot="1" x14ac:dyDescent="0.2">
      <c r="A1" s="1399" t="s">
        <v>115</v>
      </c>
      <c r="B1" s="1399"/>
      <c r="C1" s="80"/>
      <c r="E1" s="1167"/>
      <c r="F1" s="80"/>
      <c r="G1" s="80"/>
      <c r="H1" s="80"/>
      <c r="I1" s="80"/>
      <c r="J1" s="80"/>
      <c r="K1" s="81"/>
      <c r="L1" s="81"/>
    </row>
    <row r="2" spans="1:49" ht="20" customHeight="1" x14ac:dyDescent="0.15">
      <c r="A2" s="95" t="s">
        <v>113</v>
      </c>
      <c r="B2" s="97">
        <v>4</v>
      </c>
      <c r="C2" s="1403" t="s">
        <v>219</v>
      </c>
      <c r="D2" s="1403"/>
      <c r="E2" s="1403"/>
      <c r="F2" s="1403"/>
      <c r="G2" s="1403"/>
      <c r="H2" s="1403"/>
      <c r="I2" s="1403"/>
      <c r="J2" s="1403"/>
      <c r="K2" s="81"/>
      <c r="L2" s="81"/>
      <c r="M2" s="1151"/>
      <c r="N2" s="1152"/>
      <c r="O2" s="1152"/>
      <c r="P2" s="1152"/>
      <c r="Q2" s="1153"/>
      <c r="R2" s="1153"/>
      <c r="S2" s="1154">
        <v>45748</v>
      </c>
      <c r="T2" s="1154">
        <v>45749</v>
      </c>
      <c r="U2" s="1154">
        <v>45750</v>
      </c>
      <c r="V2" s="1154">
        <v>45751</v>
      </c>
      <c r="W2" s="1154">
        <v>45752</v>
      </c>
      <c r="X2" s="1154">
        <v>45753</v>
      </c>
      <c r="Y2" s="1154">
        <v>45754</v>
      </c>
      <c r="Z2" s="1154">
        <v>45755</v>
      </c>
      <c r="AA2" s="1154">
        <v>45756</v>
      </c>
      <c r="AB2" s="1154">
        <v>45757</v>
      </c>
      <c r="AC2" s="1154">
        <v>45758</v>
      </c>
      <c r="AD2" s="1154">
        <v>45759</v>
      </c>
      <c r="AE2" s="1154">
        <v>45760</v>
      </c>
      <c r="AF2" s="1154">
        <v>45761</v>
      </c>
      <c r="AG2" s="1154">
        <v>45762</v>
      </c>
      <c r="AH2" s="1154">
        <v>45763</v>
      </c>
      <c r="AI2" s="1154">
        <v>45764</v>
      </c>
      <c r="AJ2" s="1154">
        <v>45765</v>
      </c>
      <c r="AK2" s="1154">
        <v>45766</v>
      </c>
      <c r="AL2" s="1159">
        <v>45767</v>
      </c>
      <c r="AM2" s="1154">
        <v>45768</v>
      </c>
      <c r="AN2" s="1154">
        <v>45769</v>
      </c>
      <c r="AO2" s="1154">
        <v>45770</v>
      </c>
      <c r="AP2" s="1154">
        <v>45771</v>
      </c>
      <c r="AQ2" s="1154">
        <v>45772</v>
      </c>
      <c r="AR2" s="1154">
        <v>45773</v>
      </c>
      <c r="AS2" s="1154">
        <v>45774</v>
      </c>
      <c r="AT2" s="1154">
        <v>45775</v>
      </c>
      <c r="AU2" s="1154">
        <v>45776</v>
      </c>
      <c r="AV2" s="1154">
        <v>45777</v>
      </c>
      <c r="AW2" s="1156">
        <v>45778</v>
      </c>
    </row>
    <row r="3" spans="1:49" ht="20" customHeight="1" thickBot="1" x14ac:dyDescent="0.2">
      <c r="A3" s="95" t="s">
        <v>114</v>
      </c>
      <c r="B3" s="97">
        <v>2025</v>
      </c>
      <c r="C3" s="1403"/>
      <c r="D3" s="1403"/>
      <c r="E3" s="1403"/>
      <c r="F3" s="1403"/>
      <c r="G3" s="1403"/>
      <c r="H3" s="1403"/>
      <c r="I3" s="1403"/>
      <c r="J3" s="1403"/>
      <c r="K3" s="81"/>
      <c r="L3" s="81"/>
      <c r="M3" s="1148" t="s">
        <v>107</v>
      </c>
      <c r="N3" s="1116" t="s">
        <v>141</v>
      </c>
      <c r="O3" s="1117" t="s">
        <v>108</v>
      </c>
      <c r="P3" s="1118" t="s">
        <v>109</v>
      </c>
      <c r="Q3" s="88" t="s">
        <v>74</v>
      </c>
      <c r="R3" s="88" t="s">
        <v>110</v>
      </c>
      <c r="S3" s="89" t="str">
        <f t="shared" ref="S3:AW3" si="0">IF(WEEKDAY(S2)=1,"CN","T"&amp;WEEKDAY(S2))</f>
        <v>T3</v>
      </c>
      <c r="T3" s="89" t="str">
        <f t="shared" si="0"/>
        <v>T4</v>
      </c>
      <c r="U3" s="89" t="str">
        <f t="shared" si="0"/>
        <v>T5</v>
      </c>
      <c r="V3" s="89" t="str">
        <f t="shared" si="0"/>
        <v>T6</v>
      </c>
      <c r="W3" s="89" t="str">
        <f t="shared" si="0"/>
        <v>T7</v>
      </c>
      <c r="X3" s="89" t="str">
        <f t="shared" si="0"/>
        <v>CN</v>
      </c>
      <c r="Y3" s="89" t="str">
        <f t="shared" si="0"/>
        <v>T2</v>
      </c>
      <c r="Z3" s="89" t="str">
        <f t="shared" si="0"/>
        <v>T3</v>
      </c>
      <c r="AA3" s="89" t="str">
        <f t="shared" si="0"/>
        <v>T4</v>
      </c>
      <c r="AB3" s="89" t="str">
        <f t="shared" si="0"/>
        <v>T5</v>
      </c>
      <c r="AC3" s="89" t="str">
        <f t="shared" si="0"/>
        <v>T6</v>
      </c>
      <c r="AD3" s="89" t="str">
        <f t="shared" si="0"/>
        <v>T7</v>
      </c>
      <c r="AE3" s="89" t="str">
        <f t="shared" si="0"/>
        <v>CN</v>
      </c>
      <c r="AF3" s="89" t="str">
        <f t="shared" si="0"/>
        <v>T2</v>
      </c>
      <c r="AG3" s="89" t="str">
        <f t="shared" si="0"/>
        <v>T3</v>
      </c>
      <c r="AH3" s="89" t="str">
        <f t="shared" si="0"/>
        <v>T4</v>
      </c>
      <c r="AI3" s="89" t="str">
        <f t="shared" si="0"/>
        <v>T5</v>
      </c>
      <c r="AJ3" s="89" t="str">
        <f t="shared" si="0"/>
        <v>T6</v>
      </c>
      <c r="AK3" s="89" t="str">
        <f t="shared" si="0"/>
        <v>T7</v>
      </c>
      <c r="AL3" s="89" t="str">
        <f t="shared" si="0"/>
        <v>CN</v>
      </c>
      <c r="AM3" s="89" t="str">
        <f t="shared" si="0"/>
        <v>T2</v>
      </c>
      <c r="AN3" s="89" t="str">
        <f t="shared" si="0"/>
        <v>T3</v>
      </c>
      <c r="AO3" s="89" t="str">
        <f t="shared" si="0"/>
        <v>T4</v>
      </c>
      <c r="AP3" s="89" t="str">
        <f t="shared" si="0"/>
        <v>T5</v>
      </c>
      <c r="AQ3" s="89" t="str">
        <f t="shared" si="0"/>
        <v>T6</v>
      </c>
      <c r="AR3" s="89" t="str">
        <f t="shared" si="0"/>
        <v>T7</v>
      </c>
      <c r="AS3" s="89" t="str">
        <f t="shared" si="0"/>
        <v>CN</v>
      </c>
      <c r="AT3" s="89" t="str">
        <f t="shared" si="0"/>
        <v>T2</v>
      </c>
      <c r="AU3" s="89" t="str">
        <f t="shared" si="0"/>
        <v>T3</v>
      </c>
      <c r="AV3" s="91" t="str">
        <f t="shared" si="0"/>
        <v>T4</v>
      </c>
      <c r="AW3" s="723" t="str">
        <f t="shared" si="0"/>
        <v>T5</v>
      </c>
    </row>
    <row r="4" spans="1:49" ht="20" customHeight="1" x14ac:dyDescent="0.15">
      <c r="A4" s="95" t="s">
        <v>79</v>
      </c>
      <c r="B4" s="98">
        <v>1000000</v>
      </c>
      <c r="C4" s="1403"/>
      <c r="D4" s="1403"/>
      <c r="E4" s="1403"/>
      <c r="F4" s="1403"/>
      <c r="G4" s="1403"/>
      <c r="H4" s="1403"/>
      <c r="I4" s="1403"/>
      <c r="J4" s="1403"/>
      <c r="K4" s="92"/>
      <c r="L4" s="1161"/>
      <c r="M4" s="1149"/>
      <c r="N4" s="1129"/>
      <c r="O4" s="1130"/>
      <c r="P4" s="1131"/>
      <c r="Q4" s="1135"/>
      <c r="R4" s="1133"/>
      <c r="S4" s="1134"/>
      <c r="T4" s="1134"/>
      <c r="U4" s="1134"/>
      <c r="V4" s="1134"/>
      <c r="W4" s="1134"/>
      <c r="X4" s="1134"/>
      <c r="Y4" s="1134"/>
      <c r="Z4" s="1134"/>
      <c r="AA4" s="1134"/>
      <c r="AB4" s="1134"/>
      <c r="AC4" s="1134"/>
      <c r="AD4" s="1134"/>
      <c r="AE4" s="1134"/>
      <c r="AF4" s="1134"/>
      <c r="AG4" s="1134"/>
      <c r="AH4" s="1134"/>
      <c r="AI4" s="1134"/>
      <c r="AJ4" s="1134"/>
      <c r="AK4" s="1134"/>
      <c r="AL4" s="1134"/>
      <c r="AM4" s="1134"/>
      <c r="AN4" s="1134"/>
      <c r="AO4" s="1134"/>
      <c r="AP4" s="1134"/>
      <c r="AQ4" s="1134"/>
      <c r="AR4" s="1134"/>
      <c r="AS4" s="1134"/>
      <c r="AT4" s="1134"/>
      <c r="AU4" s="1134"/>
      <c r="AV4" s="1134"/>
      <c r="AW4" s="1074"/>
    </row>
    <row r="5" spans="1:49" ht="20" customHeight="1" x14ac:dyDescent="0.15">
      <c r="A5" s="96"/>
      <c r="B5" s="99"/>
      <c r="C5" s="1405"/>
      <c r="D5" s="1405"/>
      <c r="E5" s="1405"/>
      <c r="F5" s="1405"/>
      <c r="G5" s="1405"/>
      <c r="H5" s="1405"/>
      <c r="I5" s="1405"/>
      <c r="J5" s="1405"/>
      <c r="K5" s="92"/>
      <c r="L5" s="1162" t="s">
        <v>25</v>
      </c>
      <c r="M5" s="1149">
        <f>'Action Plan'!E161</f>
        <v>45</v>
      </c>
      <c r="N5" s="1129">
        <f>SUM(S5:AW5)</f>
        <v>10</v>
      </c>
      <c r="O5" s="1130">
        <f t="shared" ref="O5:O6" si="1">N5-M5</f>
        <v>-35</v>
      </c>
      <c r="P5" s="1131">
        <f>N5/M5</f>
        <v>0.22222222222222221</v>
      </c>
      <c r="Q5" s="1135">
        <f>M5/'Action Plan'!$C$6</f>
        <v>1.7307692307692308</v>
      </c>
      <c r="R5" s="1133">
        <f ca="1">COUNTIFS($F:$F,TODAY(),$J:$J,TRUE)</f>
        <v>0</v>
      </c>
      <c r="S5" s="1134">
        <v>5</v>
      </c>
      <c r="T5" s="1134">
        <v>2</v>
      </c>
      <c r="U5" s="1134">
        <v>3</v>
      </c>
      <c r="V5" s="1134">
        <f t="shared" ref="V5:AW5" si="2">COUNTIFS($F:$F,V$2,$J:$J,TRUE)</f>
        <v>0</v>
      </c>
      <c r="W5" s="1134">
        <f t="shared" si="2"/>
        <v>0</v>
      </c>
      <c r="X5" s="1134">
        <f t="shared" si="2"/>
        <v>0</v>
      </c>
      <c r="Y5" s="1134">
        <f t="shared" si="2"/>
        <v>0</v>
      </c>
      <c r="Z5" s="1134">
        <f t="shared" si="2"/>
        <v>0</v>
      </c>
      <c r="AA5" s="1134">
        <f t="shared" si="2"/>
        <v>0</v>
      </c>
      <c r="AB5" s="1134">
        <f t="shared" si="2"/>
        <v>0</v>
      </c>
      <c r="AC5" s="1134">
        <f t="shared" si="2"/>
        <v>0</v>
      </c>
      <c r="AD5" s="1134">
        <f t="shared" si="2"/>
        <v>0</v>
      </c>
      <c r="AE5" s="1134">
        <f t="shared" si="2"/>
        <v>0</v>
      </c>
      <c r="AF5" s="1134">
        <f t="shared" si="2"/>
        <v>0</v>
      </c>
      <c r="AG5" s="1134">
        <f t="shared" si="2"/>
        <v>0</v>
      </c>
      <c r="AH5" s="1134">
        <f t="shared" si="2"/>
        <v>0</v>
      </c>
      <c r="AI5" s="1134">
        <f t="shared" si="2"/>
        <v>0</v>
      </c>
      <c r="AJ5" s="1134">
        <f t="shared" si="2"/>
        <v>0</v>
      </c>
      <c r="AK5" s="1134">
        <f t="shared" si="2"/>
        <v>0</v>
      </c>
      <c r="AL5" s="1134">
        <f t="shared" si="2"/>
        <v>0</v>
      </c>
      <c r="AM5" s="1134">
        <f t="shared" si="2"/>
        <v>0</v>
      </c>
      <c r="AN5" s="1134">
        <f t="shared" si="2"/>
        <v>0</v>
      </c>
      <c r="AO5" s="1134">
        <f t="shared" si="2"/>
        <v>0</v>
      </c>
      <c r="AP5" s="1134">
        <f t="shared" si="2"/>
        <v>0</v>
      </c>
      <c r="AQ5" s="1134">
        <f t="shared" si="2"/>
        <v>0</v>
      </c>
      <c r="AR5" s="1134">
        <f t="shared" si="2"/>
        <v>0</v>
      </c>
      <c r="AS5" s="1134">
        <f t="shared" si="2"/>
        <v>0</v>
      </c>
      <c r="AT5" s="1134">
        <f t="shared" si="2"/>
        <v>0</v>
      </c>
      <c r="AU5" s="1134">
        <f t="shared" si="2"/>
        <v>0</v>
      </c>
      <c r="AV5" s="1134">
        <f t="shared" si="2"/>
        <v>0</v>
      </c>
      <c r="AW5" s="1074">
        <f t="shared" si="2"/>
        <v>0</v>
      </c>
    </row>
    <row r="6" spans="1:49" ht="20" customHeight="1" thickBot="1" x14ac:dyDescent="0.2">
      <c r="A6" s="101" t="s">
        <v>111</v>
      </c>
      <c r="B6" s="101" t="s">
        <v>117</v>
      </c>
      <c r="C6" s="101" t="s">
        <v>102</v>
      </c>
      <c r="D6" s="101" t="s">
        <v>112</v>
      </c>
      <c r="E6" s="101" t="s">
        <v>103</v>
      </c>
      <c r="F6" s="101" t="s">
        <v>104</v>
      </c>
      <c r="G6" s="101" t="s">
        <v>105</v>
      </c>
      <c r="H6" s="101" t="s">
        <v>129</v>
      </c>
      <c r="I6" s="101" t="s">
        <v>31</v>
      </c>
      <c r="J6" s="102" t="s">
        <v>106</v>
      </c>
      <c r="K6" s="92"/>
      <c r="L6" s="1163" t="s">
        <v>32</v>
      </c>
      <c r="M6" s="1150">
        <f>'Action Plan'!E162</f>
        <v>10</v>
      </c>
      <c r="N6" s="1138">
        <f>SUM(S6:AW6)</f>
        <v>15</v>
      </c>
      <c r="O6" s="1139">
        <f t="shared" si="1"/>
        <v>5</v>
      </c>
      <c r="P6" s="1140">
        <f>N6/M6</f>
        <v>1.5</v>
      </c>
      <c r="Q6" s="1160">
        <f>M6/'Action Plan'!$C$6</f>
        <v>0.38461538461538464</v>
      </c>
      <c r="R6" s="1142">
        <f ca="1">COUNTIFS($F:$F,TODAY(),$J:$J,TRUE)</f>
        <v>0</v>
      </c>
      <c r="S6" s="1143">
        <v>8</v>
      </c>
      <c r="T6" s="1143">
        <v>7</v>
      </c>
      <c r="U6" s="1143">
        <f t="shared" ref="U6:AW6" si="3">COUNTIFS($F:$F,U$2,$J:$J,TRUE)</f>
        <v>0</v>
      </c>
      <c r="V6" s="1143">
        <f t="shared" si="3"/>
        <v>0</v>
      </c>
      <c r="W6" s="1143">
        <f t="shared" si="3"/>
        <v>0</v>
      </c>
      <c r="X6" s="1143">
        <f t="shared" si="3"/>
        <v>0</v>
      </c>
      <c r="Y6" s="1143">
        <f t="shared" si="3"/>
        <v>0</v>
      </c>
      <c r="Z6" s="1143">
        <f t="shared" si="3"/>
        <v>0</v>
      </c>
      <c r="AA6" s="1143">
        <f t="shared" si="3"/>
        <v>0</v>
      </c>
      <c r="AB6" s="1143">
        <f t="shared" si="3"/>
        <v>0</v>
      </c>
      <c r="AC6" s="1143">
        <f t="shared" si="3"/>
        <v>0</v>
      </c>
      <c r="AD6" s="1143">
        <f t="shared" si="3"/>
        <v>0</v>
      </c>
      <c r="AE6" s="1143">
        <f t="shared" si="3"/>
        <v>0</v>
      </c>
      <c r="AF6" s="1143">
        <f t="shared" si="3"/>
        <v>0</v>
      </c>
      <c r="AG6" s="1143">
        <f t="shared" si="3"/>
        <v>0</v>
      </c>
      <c r="AH6" s="1143">
        <f t="shared" si="3"/>
        <v>0</v>
      </c>
      <c r="AI6" s="1143">
        <f t="shared" si="3"/>
        <v>0</v>
      </c>
      <c r="AJ6" s="1143">
        <f t="shared" si="3"/>
        <v>0</v>
      </c>
      <c r="AK6" s="1143">
        <f t="shared" si="3"/>
        <v>0</v>
      </c>
      <c r="AL6" s="1143">
        <f t="shared" si="3"/>
        <v>0</v>
      </c>
      <c r="AM6" s="1143">
        <f t="shared" si="3"/>
        <v>0</v>
      </c>
      <c r="AN6" s="1143">
        <f t="shared" si="3"/>
        <v>0</v>
      </c>
      <c r="AO6" s="1143">
        <f t="shared" si="3"/>
        <v>0</v>
      </c>
      <c r="AP6" s="1143">
        <f t="shared" si="3"/>
        <v>0</v>
      </c>
      <c r="AQ6" s="1143">
        <f t="shared" si="3"/>
        <v>0</v>
      </c>
      <c r="AR6" s="1143">
        <f t="shared" si="3"/>
        <v>0</v>
      </c>
      <c r="AS6" s="1143">
        <f t="shared" si="3"/>
        <v>0</v>
      </c>
      <c r="AT6" s="1143">
        <f t="shared" si="3"/>
        <v>0</v>
      </c>
      <c r="AU6" s="1143">
        <f t="shared" si="3"/>
        <v>0</v>
      </c>
      <c r="AV6" s="1143">
        <f t="shared" si="3"/>
        <v>0</v>
      </c>
      <c r="AW6" s="1144">
        <f t="shared" si="3"/>
        <v>0</v>
      </c>
    </row>
    <row r="7" spans="1:49" ht="20" customHeight="1" x14ac:dyDescent="0.15">
      <c r="A7" s="107"/>
      <c r="B7" s="104"/>
      <c r="C7" s="108"/>
      <c r="D7" s="140" t="s">
        <v>127</v>
      </c>
      <c r="E7" s="141" t="s">
        <v>123</v>
      </c>
      <c r="F7" s="142">
        <v>45735</v>
      </c>
      <c r="G7" s="107"/>
      <c r="H7" s="107"/>
      <c r="I7" s="107"/>
      <c r="J7" s="104" t="b">
        <v>1</v>
      </c>
      <c r="K7" s="109"/>
      <c r="L7" s="109"/>
      <c r="M7" s="109"/>
      <c r="N7" s="109"/>
      <c r="O7" s="109"/>
      <c r="P7" s="109"/>
      <c r="R7" s="11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row>
    <row r="8" spans="1:49" ht="15.75" customHeight="1" x14ac:dyDescent="0.15">
      <c r="A8" s="103"/>
      <c r="B8" s="103"/>
      <c r="C8" s="103"/>
      <c r="D8" s="103"/>
      <c r="E8" s="103"/>
      <c r="F8" s="103"/>
      <c r="G8" s="103"/>
      <c r="H8" s="103"/>
      <c r="I8" s="103"/>
      <c r="J8" s="103"/>
    </row>
    <row r="9" spans="1:49" ht="15.75" customHeight="1" x14ac:dyDescent="0.15">
      <c r="A9" s="103"/>
      <c r="B9" s="103"/>
      <c r="C9" s="103"/>
      <c r="D9" s="103"/>
      <c r="E9" s="103"/>
      <c r="F9" s="103"/>
      <c r="G9" s="103"/>
      <c r="H9" s="103"/>
      <c r="I9" s="103"/>
      <c r="J9" s="103"/>
    </row>
    <row r="12" spans="1:49" ht="15.75" customHeight="1" x14ac:dyDescent="0.15">
      <c r="I12" s="111"/>
    </row>
    <row r="24" spans="1:10" ht="15.75" customHeight="1" x14ac:dyDescent="0.15">
      <c r="A24" s="1469"/>
      <c r="B24" s="1469"/>
      <c r="C24" s="1469"/>
      <c r="D24" s="1470"/>
      <c r="E24" s="1470"/>
      <c r="F24" s="1471"/>
      <c r="G24" s="1469"/>
      <c r="H24" s="1469"/>
      <c r="I24" s="1469"/>
      <c r="J24" s="104"/>
    </row>
  </sheetData>
  <mergeCells count="2">
    <mergeCell ref="A1:B1"/>
    <mergeCell ref="C2:J5"/>
  </mergeCells>
  <conditionalFormatting sqref="S1:AW6">
    <cfRule type="expression" dxfId="5" priority="1">
      <formula>#REF!="CN"</formula>
    </cfRule>
  </conditionalFormatting>
  <conditionalFormatting sqref="S1:AW6">
    <cfRule type="expression" dxfId="4" priority="2">
      <formula>#REF!="CN"</formula>
    </cfRule>
  </conditionalFormatting>
  <conditionalFormatting sqref="S2:AW6">
    <cfRule type="expression" dxfId="3" priority="3">
      <formula>S$3="CN"</formula>
    </cfRule>
  </conditionalFormatting>
  <dataValidations count="8">
    <dataValidation type="list" allowBlank="1" sqref="D7" xr:uid="{00000000-0002-0000-1100-000000000000}">
      <formula1>"Boss, Manager, Colleague"</formula1>
    </dataValidation>
    <dataValidation type="list" allowBlank="1" sqref="B7" xr:uid="{00000000-0002-0000-1100-000001000000}">
      <formula1>"CLIP,SOURCE"</formula1>
    </dataValidation>
    <dataValidation type="custom" allowBlank="1" showDropDown="1" sqref="F7" xr:uid="{00000000-0002-0000-1100-000002000000}">
      <formula1>OR(NOT(ISERROR(DATEVALUE(F7))), AND(ISNUMBER(F7), LEFT(CELL("format", F7))="D"))</formula1>
    </dataValidation>
    <dataValidation allowBlank="1" showDropDown="1" sqref="A7 C7 I7" xr:uid="{00000000-0002-0000-1100-000003000000}"/>
    <dataValidation type="list" allowBlank="1" sqref="E7" xr:uid="{00000000-0002-0000-1100-000004000000}">
      <formula1>"Not Started, Planned, In Progress, Pending, Under Review, Failed, Completed"</formula1>
    </dataValidation>
    <dataValidation type="list" allowBlank="1" showInputMessage="1" showErrorMessage="1" sqref="J7 J24" xr:uid="{FB20F5F5-40CE-B04A-9608-BDC231FB3C86}">
      <formula1>"TRUE, FALSE"</formula1>
    </dataValidation>
    <dataValidation type="list" allowBlank="1" showInputMessage="1" showErrorMessage="1" sqref="E24" xr:uid="{B46BDDCC-2823-BE42-890B-137B0350A6F9}">
      <formula1>"Not Started, Planned, In Progress, Pending, Under Review, Failed, Completed"</formula1>
    </dataValidation>
    <dataValidation type="list" allowBlank="1" showInputMessage="1" showErrorMessage="1" sqref="D24" xr:uid="{037556E3-F94C-C94C-AE17-70D533B6E361}">
      <formula1>"Boss, Manager, Colleague"</formula1>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AW13"/>
  <sheetViews>
    <sheetView zoomScale="90" zoomScaleNormal="90" workbookViewId="0">
      <selection activeCell="G25" sqref="G25"/>
    </sheetView>
  </sheetViews>
  <sheetFormatPr baseColWidth="10" defaultColWidth="12.6640625" defaultRowHeight="15.75" customHeight="1" x14ac:dyDescent="0.15"/>
  <cols>
    <col min="1" max="1" width="15.83203125" style="100" customWidth="1"/>
    <col min="2" max="2" width="20.83203125" style="100" customWidth="1"/>
    <col min="3" max="3" width="45.83203125" style="100" customWidth="1"/>
    <col min="4" max="6" width="20.83203125" style="100" customWidth="1"/>
    <col min="7" max="7" width="30.83203125" style="100" customWidth="1"/>
    <col min="8" max="9" width="20.83203125" style="100" customWidth="1"/>
    <col min="10" max="10" width="15.83203125" style="100" customWidth="1"/>
    <col min="11" max="11" width="3.83203125" style="100" customWidth="1"/>
    <col min="12" max="12" width="12.83203125" style="100" customWidth="1"/>
    <col min="13" max="17" width="15.83203125" style="100" customWidth="1"/>
    <col min="18" max="18" width="20.83203125" style="100" customWidth="1"/>
    <col min="19" max="49" width="15.83203125" style="100" customWidth="1"/>
    <col min="50" max="16384" width="12.6640625" style="100"/>
  </cols>
  <sheetData>
    <row r="1" spans="1:49" ht="30" customHeight="1" thickBot="1" x14ac:dyDescent="0.3">
      <c r="A1" s="1406" t="s">
        <v>115</v>
      </c>
      <c r="B1" s="1407"/>
      <c r="C1" s="80"/>
      <c r="E1" s="1167"/>
      <c r="F1" s="80"/>
      <c r="G1" s="80"/>
      <c r="H1" s="80"/>
      <c r="I1" s="80"/>
      <c r="J1" s="80"/>
      <c r="K1" s="81"/>
      <c r="L1" s="81"/>
    </row>
    <row r="2" spans="1:49" ht="20" customHeight="1" x14ac:dyDescent="0.15">
      <c r="A2" s="95" t="s">
        <v>113</v>
      </c>
      <c r="B2" s="97">
        <v>4</v>
      </c>
      <c r="C2" s="1408" t="s">
        <v>220</v>
      </c>
      <c r="D2" s="1408"/>
      <c r="E2" s="1408"/>
      <c r="F2" s="1408"/>
      <c r="G2" s="1408"/>
      <c r="H2" s="1408"/>
      <c r="I2" s="1408"/>
      <c r="J2" s="1408"/>
      <c r="K2" s="81"/>
      <c r="L2" s="1115"/>
      <c r="M2" s="1151"/>
      <c r="N2" s="1152"/>
      <c r="O2" s="1152"/>
      <c r="P2" s="1152"/>
      <c r="Q2" s="1153"/>
      <c r="R2" s="1153"/>
      <c r="S2" s="1154">
        <v>45748</v>
      </c>
      <c r="T2" s="1154">
        <v>45749</v>
      </c>
      <c r="U2" s="1154">
        <v>45750</v>
      </c>
      <c r="V2" s="1154">
        <v>45751</v>
      </c>
      <c r="W2" s="1154">
        <v>45752</v>
      </c>
      <c r="X2" s="1165">
        <v>45753</v>
      </c>
      <c r="Y2" s="1154">
        <v>45754</v>
      </c>
      <c r="Z2" s="1154">
        <v>45755</v>
      </c>
      <c r="AA2" s="1154">
        <v>45756</v>
      </c>
      <c r="AB2" s="1154">
        <v>45757</v>
      </c>
      <c r="AC2" s="1154">
        <v>45758</v>
      </c>
      <c r="AD2" s="1154">
        <v>45759</v>
      </c>
      <c r="AE2" s="1154">
        <v>45760</v>
      </c>
      <c r="AF2" s="1154">
        <v>45761</v>
      </c>
      <c r="AG2" s="1154">
        <v>45762</v>
      </c>
      <c r="AH2" s="1154">
        <v>45763</v>
      </c>
      <c r="AI2" s="1154">
        <v>45764</v>
      </c>
      <c r="AJ2" s="1154">
        <v>45765</v>
      </c>
      <c r="AK2" s="1154">
        <v>45766</v>
      </c>
      <c r="AL2" s="1154">
        <v>45767</v>
      </c>
      <c r="AM2" s="1154">
        <v>45768</v>
      </c>
      <c r="AN2" s="1154">
        <v>45769</v>
      </c>
      <c r="AO2" s="1154">
        <v>45770</v>
      </c>
      <c r="AP2" s="1154">
        <v>45771</v>
      </c>
      <c r="AQ2" s="1154">
        <v>45772</v>
      </c>
      <c r="AR2" s="1154">
        <v>45773</v>
      </c>
      <c r="AS2" s="1154">
        <v>45774</v>
      </c>
      <c r="AT2" s="1154">
        <v>45775</v>
      </c>
      <c r="AU2" s="1154">
        <v>45776</v>
      </c>
      <c r="AV2" s="1154">
        <v>45777</v>
      </c>
      <c r="AW2" s="1156">
        <v>45778</v>
      </c>
    </row>
    <row r="3" spans="1:49" ht="20" customHeight="1" thickBot="1" x14ac:dyDescent="0.2">
      <c r="A3" s="95" t="s">
        <v>114</v>
      </c>
      <c r="B3" s="97">
        <v>2025</v>
      </c>
      <c r="C3" s="1408"/>
      <c r="D3" s="1408"/>
      <c r="E3" s="1408"/>
      <c r="F3" s="1408"/>
      <c r="G3" s="1408"/>
      <c r="H3" s="1408"/>
      <c r="I3" s="1408"/>
      <c r="J3" s="1408"/>
      <c r="K3" s="81"/>
      <c r="L3" s="1115"/>
      <c r="M3" s="1148" t="s">
        <v>107</v>
      </c>
      <c r="N3" s="1116" t="s">
        <v>141</v>
      </c>
      <c r="O3" s="1117" t="s">
        <v>108</v>
      </c>
      <c r="P3" s="1118" t="s">
        <v>109</v>
      </c>
      <c r="Q3" s="88" t="s">
        <v>74</v>
      </c>
      <c r="R3" s="88" t="s">
        <v>110</v>
      </c>
      <c r="S3" s="89" t="str">
        <f>IF(WEEKDAY(S2)=1,"CN","T"&amp;WEEKDAY(S2))</f>
        <v>T3</v>
      </c>
      <c r="T3" s="89" t="str">
        <f t="shared" ref="T3:AW3" si="0">IF(WEEKDAY(T2)=1,"CN","T"&amp;WEEKDAY(T2))</f>
        <v>T4</v>
      </c>
      <c r="U3" s="89" t="str">
        <f t="shared" si="0"/>
        <v>T5</v>
      </c>
      <c r="V3" s="89" t="str">
        <f t="shared" si="0"/>
        <v>T6</v>
      </c>
      <c r="W3" s="89" t="str">
        <f t="shared" si="0"/>
        <v>T7</v>
      </c>
      <c r="X3" s="89" t="str">
        <f t="shared" si="0"/>
        <v>CN</v>
      </c>
      <c r="Y3" s="89" t="str">
        <f t="shared" si="0"/>
        <v>T2</v>
      </c>
      <c r="Z3" s="89" t="str">
        <f t="shared" si="0"/>
        <v>T3</v>
      </c>
      <c r="AA3" s="89" t="str">
        <f t="shared" si="0"/>
        <v>T4</v>
      </c>
      <c r="AB3" s="89" t="str">
        <f t="shared" si="0"/>
        <v>T5</v>
      </c>
      <c r="AC3" s="89" t="str">
        <f t="shared" si="0"/>
        <v>T6</v>
      </c>
      <c r="AD3" s="89" t="str">
        <f t="shared" si="0"/>
        <v>T7</v>
      </c>
      <c r="AE3" s="90" t="str">
        <f t="shared" si="0"/>
        <v>CN</v>
      </c>
      <c r="AF3" s="89" t="str">
        <f t="shared" si="0"/>
        <v>T2</v>
      </c>
      <c r="AG3" s="89" t="str">
        <f t="shared" si="0"/>
        <v>T3</v>
      </c>
      <c r="AH3" s="89" t="str">
        <f t="shared" si="0"/>
        <v>T4</v>
      </c>
      <c r="AI3" s="89" t="str">
        <f t="shared" si="0"/>
        <v>T5</v>
      </c>
      <c r="AJ3" s="89" t="str">
        <f t="shared" si="0"/>
        <v>T6</v>
      </c>
      <c r="AK3" s="89" t="str">
        <f t="shared" si="0"/>
        <v>T7</v>
      </c>
      <c r="AL3" s="89" t="str">
        <f t="shared" si="0"/>
        <v>CN</v>
      </c>
      <c r="AM3" s="89" t="str">
        <f t="shared" si="0"/>
        <v>T2</v>
      </c>
      <c r="AN3" s="89" t="str">
        <f t="shared" si="0"/>
        <v>T3</v>
      </c>
      <c r="AO3" s="89" t="str">
        <f t="shared" si="0"/>
        <v>T4</v>
      </c>
      <c r="AP3" s="89" t="str">
        <f t="shared" si="0"/>
        <v>T5</v>
      </c>
      <c r="AQ3" s="89" t="str">
        <f t="shared" si="0"/>
        <v>T6</v>
      </c>
      <c r="AR3" s="89" t="str">
        <f t="shared" si="0"/>
        <v>T7</v>
      </c>
      <c r="AS3" s="89" t="str">
        <f t="shared" si="0"/>
        <v>CN</v>
      </c>
      <c r="AT3" s="89" t="str">
        <f t="shared" si="0"/>
        <v>T2</v>
      </c>
      <c r="AU3" s="89" t="str">
        <f t="shared" si="0"/>
        <v>T3</v>
      </c>
      <c r="AV3" s="91" t="str">
        <f t="shared" si="0"/>
        <v>T4</v>
      </c>
      <c r="AW3" s="723" t="str">
        <f t="shared" si="0"/>
        <v>T5</v>
      </c>
    </row>
    <row r="4" spans="1:49" ht="20" customHeight="1" x14ac:dyDescent="0.15">
      <c r="A4" s="95" t="s">
        <v>79</v>
      </c>
      <c r="B4" s="98">
        <v>1000000</v>
      </c>
      <c r="C4" s="1408"/>
      <c r="D4" s="1408"/>
      <c r="E4" s="1408"/>
      <c r="F4" s="1408"/>
      <c r="G4" s="1408"/>
      <c r="H4" s="1408"/>
      <c r="I4" s="1408"/>
      <c r="J4" s="1408"/>
      <c r="K4" s="92"/>
      <c r="L4" s="1161" t="s">
        <v>101</v>
      </c>
      <c r="M4" s="1128">
        <f>'Action Plan'!E168</f>
        <v>30</v>
      </c>
      <c r="N4" s="1129">
        <f t="shared" ref="N4" si="1">SUM(S4:AW4)</f>
        <v>9</v>
      </c>
      <c r="O4" s="1130">
        <f>N4-M4</f>
        <v>-21</v>
      </c>
      <c r="P4" s="1131">
        <f>N4/M4</f>
        <v>0.3</v>
      </c>
      <c r="Q4" s="1132">
        <f>M4/'Action Plan'!$C$6</f>
        <v>1.1538461538461537</v>
      </c>
      <c r="R4" s="1164">
        <f ca="1">COUNTIFS($F:$F,TODAY(),$J:$J,TRUE)</f>
        <v>0</v>
      </c>
      <c r="S4" s="1134">
        <v>9</v>
      </c>
      <c r="T4" s="1134">
        <f t="shared" ref="T4:AW4" si="2">COUNTIFS($F:$F,T$2,$J:$J,TRUE)</f>
        <v>0</v>
      </c>
      <c r="U4" s="1134">
        <f t="shared" si="2"/>
        <v>0</v>
      </c>
      <c r="V4" s="1134">
        <f t="shared" si="2"/>
        <v>0</v>
      </c>
      <c r="W4" s="1134">
        <f t="shared" si="2"/>
        <v>0</v>
      </c>
      <c r="X4" s="1134">
        <f t="shared" si="2"/>
        <v>0</v>
      </c>
      <c r="Y4" s="1134">
        <f t="shared" si="2"/>
        <v>0</v>
      </c>
      <c r="Z4" s="1134">
        <f t="shared" si="2"/>
        <v>0</v>
      </c>
      <c r="AA4" s="1134">
        <f t="shared" si="2"/>
        <v>0</v>
      </c>
      <c r="AB4" s="1134">
        <f t="shared" si="2"/>
        <v>0</v>
      </c>
      <c r="AC4" s="1134">
        <f t="shared" si="2"/>
        <v>0</v>
      </c>
      <c r="AD4" s="1134">
        <f t="shared" si="2"/>
        <v>0</v>
      </c>
      <c r="AE4" s="1134">
        <f t="shared" si="2"/>
        <v>0</v>
      </c>
      <c r="AF4" s="1134">
        <f t="shared" si="2"/>
        <v>0</v>
      </c>
      <c r="AG4" s="1134">
        <f t="shared" si="2"/>
        <v>0</v>
      </c>
      <c r="AH4" s="1134">
        <f t="shared" si="2"/>
        <v>0</v>
      </c>
      <c r="AI4" s="1134">
        <f t="shared" si="2"/>
        <v>0</v>
      </c>
      <c r="AJ4" s="1134">
        <f t="shared" si="2"/>
        <v>0</v>
      </c>
      <c r="AK4" s="1134">
        <f t="shared" si="2"/>
        <v>0</v>
      </c>
      <c r="AL4" s="1134">
        <f t="shared" si="2"/>
        <v>0</v>
      </c>
      <c r="AM4" s="1134">
        <f t="shared" si="2"/>
        <v>0</v>
      </c>
      <c r="AN4" s="1134">
        <f t="shared" si="2"/>
        <v>0</v>
      </c>
      <c r="AO4" s="1134">
        <f t="shared" si="2"/>
        <v>0</v>
      </c>
      <c r="AP4" s="1134">
        <f t="shared" si="2"/>
        <v>0</v>
      </c>
      <c r="AQ4" s="1134">
        <f t="shared" si="2"/>
        <v>0</v>
      </c>
      <c r="AR4" s="1134">
        <f t="shared" si="2"/>
        <v>0</v>
      </c>
      <c r="AS4" s="1134">
        <f t="shared" si="2"/>
        <v>0</v>
      </c>
      <c r="AT4" s="1134">
        <f t="shared" si="2"/>
        <v>0</v>
      </c>
      <c r="AU4" s="1134">
        <f t="shared" si="2"/>
        <v>0</v>
      </c>
      <c r="AV4" s="1134">
        <f t="shared" si="2"/>
        <v>0</v>
      </c>
      <c r="AW4" s="1074">
        <f t="shared" si="2"/>
        <v>0</v>
      </c>
    </row>
    <row r="5" spans="1:49" ht="20" customHeight="1" x14ac:dyDescent="0.15">
      <c r="A5" s="96"/>
      <c r="B5" s="99"/>
      <c r="C5" s="1409"/>
      <c r="D5" s="1409"/>
      <c r="E5" s="1409"/>
      <c r="F5" s="1409"/>
      <c r="G5" s="1409"/>
      <c r="H5" s="1409"/>
      <c r="I5" s="1409"/>
      <c r="J5" s="1409"/>
      <c r="K5" s="92"/>
      <c r="L5" s="1162" t="s">
        <v>25</v>
      </c>
      <c r="M5" s="1128">
        <f>'Action Plan'!E169</f>
        <v>30</v>
      </c>
      <c r="N5" s="1129">
        <f>SUM(S5:AW5)</f>
        <v>13</v>
      </c>
      <c r="O5" s="1130">
        <f>N5-M5</f>
        <v>-17</v>
      </c>
      <c r="P5" s="1131">
        <f>N5/M5</f>
        <v>0.43333333333333335</v>
      </c>
      <c r="Q5" s="1135">
        <f>M5/'Action Plan'!$C$6</f>
        <v>1.1538461538461537</v>
      </c>
      <c r="R5" s="1164">
        <f ca="1">COUNTIFS($F:$F,TODAY(),$J:$J,TRUE)</f>
        <v>0</v>
      </c>
      <c r="S5" s="1134">
        <v>8</v>
      </c>
      <c r="T5" s="1134">
        <v>5</v>
      </c>
      <c r="U5" s="1134">
        <f t="shared" ref="U5:AW5" si="3">COUNTIFS($F:$F,U$2,$J:$J,TRUE)</f>
        <v>0</v>
      </c>
      <c r="V5" s="1134">
        <f t="shared" si="3"/>
        <v>0</v>
      </c>
      <c r="W5" s="1134">
        <f t="shared" si="3"/>
        <v>0</v>
      </c>
      <c r="X5" s="1134">
        <f t="shared" si="3"/>
        <v>0</v>
      </c>
      <c r="Y5" s="1134">
        <f t="shared" si="3"/>
        <v>0</v>
      </c>
      <c r="Z5" s="1134">
        <f t="shared" si="3"/>
        <v>0</v>
      </c>
      <c r="AA5" s="1134">
        <f t="shared" si="3"/>
        <v>0</v>
      </c>
      <c r="AB5" s="1134">
        <f t="shared" si="3"/>
        <v>0</v>
      </c>
      <c r="AC5" s="1134">
        <f t="shared" si="3"/>
        <v>0</v>
      </c>
      <c r="AD5" s="1134">
        <f t="shared" si="3"/>
        <v>0</v>
      </c>
      <c r="AE5" s="1134">
        <f t="shared" si="3"/>
        <v>0</v>
      </c>
      <c r="AF5" s="1134">
        <f t="shared" si="3"/>
        <v>0</v>
      </c>
      <c r="AG5" s="1134">
        <f t="shared" si="3"/>
        <v>0</v>
      </c>
      <c r="AH5" s="1134">
        <f t="shared" si="3"/>
        <v>0</v>
      </c>
      <c r="AI5" s="1134">
        <f t="shared" si="3"/>
        <v>0</v>
      </c>
      <c r="AJ5" s="1134">
        <f t="shared" si="3"/>
        <v>0</v>
      </c>
      <c r="AK5" s="1134">
        <f t="shared" si="3"/>
        <v>0</v>
      </c>
      <c r="AL5" s="1134">
        <f t="shared" si="3"/>
        <v>0</v>
      </c>
      <c r="AM5" s="1134">
        <f t="shared" si="3"/>
        <v>0</v>
      </c>
      <c r="AN5" s="1134">
        <f t="shared" si="3"/>
        <v>0</v>
      </c>
      <c r="AO5" s="1134">
        <f t="shared" si="3"/>
        <v>0</v>
      </c>
      <c r="AP5" s="1134">
        <f t="shared" si="3"/>
        <v>0</v>
      </c>
      <c r="AQ5" s="1134">
        <f t="shared" si="3"/>
        <v>0</v>
      </c>
      <c r="AR5" s="1134">
        <f t="shared" si="3"/>
        <v>0</v>
      </c>
      <c r="AS5" s="1134">
        <f t="shared" si="3"/>
        <v>0</v>
      </c>
      <c r="AT5" s="1134">
        <f t="shared" si="3"/>
        <v>0</v>
      </c>
      <c r="AU5" s="1134">
        <f t="shared" si="3"/>
        <v>0</v>
      </c>
      <c r="AV5" s="1134">
        <f t="shared" si="3"/>
        <v>0</v>
      </c>
      <c r="AW5" s="1074">
        <f t="shared" si="3"/>
        <v>0</v>
      </c>
    </row>
    <row r="6" spans="1:49" ht="20" customHeight="1" thickBot="1" x14ac:dyDescent="0.2">
      <c r="A6" s="101" t="s">
        <v>111</v>
      </c>
      <c r="B6" s="101" t="s">
        <v>116</v>
      </c>
      <c r="C6" s="101" t="s">
        <v>102</v>
      </c>
      <c r="D6" s="101" t="s">
        <v>112</v>
      </c>
      <c r="E6" s="101" t="s">
        <v>103</v>
      </c>
      <c r="F6" s="101" t="s">
        <v>104</v>
      </c>
      <c r="G6" s="101" t="s">
        <v>105</v>
      </c>
      <c r="H6" s="101" t="s">
        <v>129</v>
      </c>
      <c r="I6" s="101" t="s">
        <v>31</v>
      </c>
      <c r="J6" s="102" t="s">
        <v>106</v>
      </c>
      <c r="K6" s="92"/>
      <c r="L6" s="1163" t="s">
        <v>32</v>
      </c>
      <c r="M6" s="1137">
        <f>'Action Plan'!E170</f>
        <v>10</v>
      </c>
      <c r="N6" s="1138">
        <f>SUM(S6:AW6)</f>
        <v>14</v>
      </c>
      <c r="O6" s="1139">
        <f>N6-M6</f>
        <v>4</v>
      </c>
      <c r="P6" s="1140">
        <f>N6/M6</f>
        <v>1.4</v>
      </c>
      <c r="Q6" s="1160">
        <f>M6/'Action Plan'!$C$6</f>
        <v>0.38461538461538464</v>
      </c>
      <c r="R6" s="1166">
        <f ca="1">COUNTIFS($F:$F,TODAY(),$J:$J,TRUE)</f>
        <v>0</v>
      </c>
      <c r="S6" s="1143">
        <v>8</v>
      </c>
      <c r="T6" s="1143">
        <v>6</v>
      </c>
      <c r="U6" s="1143">
        <f t="shared" ref="U6:AW6" si="4">COUNTIFS($F:$F,U$2,$J:$J,TRUE)</f>
        <v>0</v>
      </c>
      <c r="V6" s="1143">
        <f t="shared" si="4"/>
        <v>0</v>
      </c>
      <c r="W6" s="1143">
        <f t="shared" si="4"/>
        <v>0</v>
      </c>
      <c r="X6" s="1143">
        <f t="shared" si="4"/>
        <v>0</v>
      </c>
      <c r="Y6" s="1143">
        <f t="shared" si="4"/>
        <v>0</v>
      </c>
      <c r="Z6" s="1143">
        <f t="shared" si="4"/>
        <v>0</v>
      </c>
      <c r="AA6" s="1143">
        <f t="shared" si="4"/>
        <v>0</v>
      </c>
      <c r="AB6" s="1143">
        <f t="shared" si="4"/>
        <v>0</v>
      </c>
      <c r="AC6" s="1143">
        <f t="shared" si="4"/>
        <v>0</v>
      </c>
      <c r="AD6" s="1143">
        <f t="shared" si="4"/>
        <v>0</v>
      </c>
      <c r="AE6" s="1143">
        <f t="shared" si="4"/>
        <v>0</v>
      </c>
      <c r="AF6" s="1143">
        <f t="shared" si="4"/>
        <v>0</v>
      </c>
      <c r="AG6" s="1143">
        <f t="shared" si="4"/>
        <v>0</v>
      </c>
      <c r="AH6" s="1143">
        <f t="shared" si="4"/>
        <v>0</v>
      </c>
      <c r="AI6" s="1143">
        <f t="shared" si="4"/>
        <v>0</v>
      </c>
      <c r="AJ6" s="1143">
        <f t="shared" si="4"/>
        <v>0</v>
      </c>
      <c r="AK6" s="1143">
        <f t="shared" si="4"/>
        <v>0</v>
      </c>
      <c r="AL6" s="1143">
        <f t="shared" si="4"/>
        <v>0</v>
      </c>
      <c r="AM6" s="1143">
        <f t="shared" si="4"/>
        <v>0</v>
      </c>
      <c r="AN6" s="1143">
        <f t="shared" si="4"/>
        <v>0</v>
      </c>
      <c r="AO6" s="1143">
        <f t="shared" si="4"/>
        <v>0</v>
      </c>
      <c r="AP6" s="1143">
        <f t="shared" si="4"/>
        <v>0</v>
      </c>
      <c r="AQ6" s="1143">
        <f t="shared" si="4"/>
        <v>0</v>
      </c>
      <c r="AR6" s="1143">
        <f t="shared" si="4"/>
        <v>0</v>
      </c>
      <c r="AS6" s="1143">
        <f t="shared" si="4"/>
        <v>0</v>
      </c>
      <c r="AT6" s="1143">
        <f t="shared" si="4"/>
        <v>0</v>
      </c>
      <c r="AU6" s="1143">
        <f t="shared" si="4"/>
        <v>0</v>
      </c>
      <c r="AV6" s="1143">
        <f t="shared" si="4"/>
        <v>0</v>
      </c>
      <c r="AW6" s="1144">
        <f t="shared" si="4"/>
        <v>0</v>
      </c>
    </row>
    <row r="7" spans="1:49" ht="20" customHeight="1" x14ac:dyDescent="0.15">
      <c r="A7" s="103"/>
      <c r="B7" s="103"/>
      <c r="C7" s="103"/>
      <c r="D7" s="144" t="s">
        <v>125</v>
      </c>
      <c r="E7" s="144" t="s">
        <v>120</v>
      </c>
      <c r="F7" s="143">
        <v>45735</v>
      </c>
      <c r="G7" s="103"/>
      <c r="H7" s="103"/>
      <c r="I7" s="103"/>
      <c r="J7" s="104" t="b">
        <v>1</v>
      </c>
    </row>
    <row r="8" spans="1:49" ht="15.75" customHeight="1" x14ac:dyDescent="0.15">
      <c r="A8" s="103"/>
      <c r="B8" s="103"/>
      <c r="C8" s="103"/>
      <c r="D8" s="103"/>
      <c r="E8" s="103"/>
      <c r="F8" s="103"/>
      <c r="G8" s="103"/>
      <c r="H8" s="103"/>
      <c r="I8" s="103"/>
      <c r="J8" s="103"/>
    </row>
    <row r="9" spans="1:49" ht="15.75" customHeight="1" x14ac:dyDescent="0.15">
      <c r="A9" s="103"/>
      <c r="B9" s="103"/>
      <c r="C9" s="103"/>
      <c r="D9" s="103"/>
      <c r="E9" s="103"/>
      <c r="F9" s="103"/>
      <c r="G9" s="103"/>
      <c r="H9" s="103"/>
      <c r="I9" s="103"/>
      <c r="J9" s="103"/>
    </row>
    <row r="10" spans="1:49" ht="15.75" customHeight="1" x14ac:dyDescent="0.15">
      <c r="A10" s="103"/>
      <c r="B10" s="103"/>
      <c r="C10" s="103"/>
      <c r="D10" s="103"/>
      <c r="E10" s="103"/>
      <c r="F10" s="103"/>
      <c r="G10" s="103"/>
      <c r="H10" s="103"/>
      <c r="I10" s="103"/>
      <c r="J10" s="103"/>
    </row>
    <row r="11" spans="1:49" ht="15.75" customHeight="1" x14ac:dyDescent="0.15">
      <c r="A11" s="103"/>
      <c r="B11" s="103"/>
      <c r="C11" s="103"/>
      <c r="D11" s="103"/>
      <c r="E11" s="103"/>
      <c r="F11" s="103"/>
      <c r="G11" s="103"/>
      <c r="H11" s="103"/>
      <c r="I11" s="103"/>
      <c r="J11" s="103"/>
    </row>
    <row r="12" spans="1:49" ht="15.75" customHeight="1" x14ac:dyDescent="0.15">
      <c r="A12" s="103"/>
      <c r="B12" s="103"/>
      <c r="C12" s="103"/>
      <c r="D12" s="103"/>
      <c r="E12" s="103"/>
      <c r="F12" s="103"/>
      <c r="G12" s="103"/>
      <c r="H12" s="103"/>
      <c r="I12" s="103"/>
      <c r="J12" s="103"/>
    </row>
    <row r="13" spans="1:49" ht="15.75" customHeight="1" x14ac:dyDescent="0.15">
      <c r="M13" s="94"/>
    </row>
  </sheetData>
  <mergeCells count="2">
    <mergeCell ref="A1:B1"/>
    <mergeCell ref="C2:J5"/>
  </mergeCells>
  <conditionalFormatting sqref="S1:AW6">
    <cfRule type="expression" dxfId="2" priority="1">
      <formula>#REF!="CN"</formula>
    </cfRule>
  </conditionalFormatting>
  <conditionalFormatting sqref="S1:AW6">
    <cfRule type="expression" dxfId="1" priority="2">
      <formula>#REF!="CN"</formula>
    </cfRule>
  </conditionalFormatting>
  <conditionalFormatting sqref="S2:AW6">
    <cfRule type="expression" dxfId="0" priority="3">
      <formula>S$3="CN"</formula>
    </cfRule>
  </conditionalFormatting>
  <dataValidations count="3">
    <dataValidation type="list" allowBlank="1" showInputMessage="1" showErrorMessage="1" sqref="D7" xr:uid="{22BE9A7A-A565-4C42-9A52-FBCC8A793EC0}">
      <formula1>"Boss, Manager, Colleague"</formula1>
    </dataValidation>
    <dataValidation type="list" allowBlank="1" showInputMessage="1" showErrorMessage="1" sqref="E7" xr:uid="{F6CF028F-F8F4-7A46-8F7C-C57ACD013AF2}">
      <formula1>"Not Started, Planned, In Progress, Pending, Under Review, Failed, Completed"</formula1>
    </dataValidation>
    <dataValidation type="list" allowBlank="1" showInputMessage="1" showErrorMessage="1" sqref="J7" xr:uid="{8807AC7F-0054-DC49-9C6B-5A61EFC6830C}">
      <formula1>"TRUE, FALSE"</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Action Plan</vt:lpstr>
      <vt:lpstr>Dashboard</vt:lpstr>
      <vt:lpstr>Digital Marketer #1</vt:lpstr>
      <vt:lpstr>E-Com Operations</vt:lpstr>
      <vt:lpstr>Sale #1</vt:lpstr>
      <vt:lpstr>Sale #2</vt:lpstr>
      <vt:lpstr>Sale #3</vt:lpstr>
      <vt:lpstr>Sale #4</vt:lpstr>
      <vt:lpstr>Content Creator #1</vt:lpstr>
      <vt:lpstr>Content Creator #2</vt:lpstr>
      <vt:lpstr>Designer</vt:lpstr>
      <vt:lpstr>Editor</vt:lpstr>
      <vt:lpstr>AI Officer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Microsoft Office User</cp:lastModifiedBy>
  <dcterms:created xsi:type="dcterms:W3CDTF">2025-03-10T04:39:26Z</dcterms:created>
  <dcterms:modified xsi:type="dcterms:W3CDTF">2025-03-28T07:44:06Z</dcterms:modified>
  <cp:category/>
</cp:coreProperties>
</file>