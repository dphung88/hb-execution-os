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edisonyang/Documents/Business/HEALTHY BEAUTY PHARMA/2026 | Thang 2/Marketing KPIs Evaluate/"/>
    </mc:Choice>
  </mc:AlternateContent>
  <xr:revisionPtr revIDLastSave="0" documentId="13_ncr:1_{ABD4AC6E-4865-5942-8BB5-7B865263B70E}" xr6:coauthVersionLast="47" xr6:coauthVersionMax="47" xr10:uidLastSave="{00000000-0000-0000-0000-000000000000}"/>
  <bookViews>
    <workbookView xWindow="0" yWindow="600" windowWidth="27040" windowHeight="15680" activeTab="2" xr2:uid="{00000000-000D-0000-FFFF-FFFF00000000}"/>
  </bookViews>
  <sheets>
    <sheet name="Marketing - Digital" sheetId="13" r:id="rId1"/>
    <sheet name="Marketing - Graphic" sheetId="14" r:id="rId2"/>
    <sheet name="Marketing - Media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7" l="1"/>
  <c r="G32" i="14"/>
  <c r="G26" i="13"/>
  <c r="D5" i="13"/>
  <c r="D23" i="14" l="1"/>
  <c r="D5" i="17"/>
  <c r="D18" i="17"/>
  <c r="D16" i="17"/>
  <c r="D14" i="17"/>
  <c r="D5" i="14"/>
  <c r="D16" i="14"/>
  <c r="D18" i="14"/>
  <c r="G30" i="17"/>
  <c r="E30" i="17"/>
  <c r="I30" i="17" s="1"/>
  <c r="I29" i="17" s="1"/>
  <c r="I28" i="17"/>
  <c r="I27" i="17" s="1"/>
  <c r="G28" i="17"/>
  <c r="G26" i="17"/>
  <c r="E26" i="17"/>
  <c r="I26" i="17" s="1"/>
  <c r="I25" i="17" s="1"/>
  <c r="E24" i="17"/>
  <c r="I24" i="17" s="1"/>
  <c r="E23" i="17"/>
  <c r="I23" i="17" s="1"/>
  <c r="D23" i="17"/>
  <c r="E22" i="17"/>
  <c r="I22" i="17" s="1"/>
  <c r="E21" i="17"/>
  <c r="G21" i="17" s="1"/>
  <c r="D21" i="17"/>
  <c r="E19" i="17"/>
  <c r="I19" i="17" s="1"/>
  <c r="E17" i="17"/>
  <c r="I17" i="17" s="1"/>
  <c r="E15" i="17"/>
  <c r="I15" i="17" s="1"/>
  <c r="E12" i="17"/>
  <c r="I12" i="17" s="1"/>
  <c r="E11" i="17"/>
  <c r="G11" i="17" s="1"/>
  <c r="D11" i="17"/>
  <c r="E10" i="17"/>
  <c r="I10" i="17" s="1"/>
  <c r="E9" i="17"/>
  <c r="I9" i="17" s="1"/>
  <c r="D9" i="17"/>
  <c r="E8" i="17"/>
  <c r="I8" i="17" s="1"/>
  <c r="E7" i="17"/>
  <c r="I7" i="17" s="1"/>
  <c r="D7" i="17"/>
  <c r="E6" i="17"/>
  <c r="I6" i="17" s="1"/>
  <c r="G28" i="14"/>
  <c r="I26" i="14"/>
  <c r="I25" i="14" s="1"/>
  <c r="I28" i="14"/>
  <c r="I27" i="14" s="1"/>
  <c r="E17" i="14"/>
  <c r="I17" i="14" s="1"/>
  <c r="E26" i="14"/>
  <c r="E8" i="13"/>
  <c r="I8" i="13" s="1"/>
  <c r="E9" i="13"/>
  <c r="E6" i="13"/>
  <c r="E5" i="13" s="1"/>
  <c r="E30" i="14"/>
  <c r="G30" i="14" s="1"/>
  <c r="E24" i="14"/>
  <c r="I24" i="14" s="1"/>
  <c r="E22" i="14"/>
  <c r="E21" i="14" s="1"/>
  <c r="G21" i="14" s="1"/>
  <c r="D21" i="14"/>
  <c r="E19" i="14"/>
  <c r="I19" i="14" s="1"/>
  <c r="E15" i="14"/>
  <c r="E14" i="14" s="1"/>
  <c r="I14" i="14" s="1"/>
  <c r="D14" i="14"/>
  <c r="E12" i="14"/>
  <c r="I12" i="14" s="1"/>
  <c r="D11" i="14"/>
  <c r="E10" i="14"/>
  <c r="E9" i="14" s="1"/>
  <c r="I9" i="14" s="1"/>
  <c r="D9" i="14"/>
  <c r="E8" i="14"/>
  <c r="I8" i="14" s="1"/>
  <c r="E7" i="14"/>
  <c r="I7" i="14" s="1"/>
  <c r="D7" i="14"/>
  <c r="E6" i="14"/>
  <c r="E5" i="14" s="1"/>
  <c r="I5" i="14" s="1"/>
  <c r="E5" i="17" l="1"/>
  <c r="I5" i="17" s="1"/>
  <c r="E14" i="17"/>
  <c r="I14" i="17" s="1"/>
  <c r="I22" i="14"/>
  <c r="I21" i="14"/>
  <c r="E18" i="17"/>
  <c r="G18" i="17" s="1"/>
  <c r="E16" i="17"/>
  <c r="G16" i="17" s="1"/>
  <c r="E16" i="14"/>
  <c r="I16" i="14" s="1"/>
  <c r="E18" i="14"/>
  <c r="I18" i="14" s="1"/>
  <c r="G7" i="17"/>
  <c r="I11" i="17"/>
  <c r="G23" i="17"/>
  <c r="G5" i="17"/>
  <c r="G14" i="17"/>
  <c r="I21" i="17"/>
  <c r="I20" i="17" s="1"/>
  <c r="G9" i="17"/>
  <c r="E11" i="14"/>
  <c r="E23" i="14"/>
  <c r="I23" i="14" s="1"/>
  <c r="I20" i="14" s="1"/>
  <c r="I30" i="14"/>
  <c r="I29" i="14" s="1"/>
  <c r="I6" i="14"/>
  <c r="G26" i="14"/>
  <c r="I10" i="14"/>
  <c r="G14" i="14"/>
  <c r="I15" i="14"/>
  <c r="G9" i="14"/>
  <c r="G5" i="14"/>
  <c r="G7" i="14"/>
  <c r="I18" i="17" l="1"/>
  <c r="I4" i="17"/>
  <c r="I11" i="14"/>
  <c r="I4" i="14" s="1"/>
  <c r="I16" i="17"/>
  <c r="I13" i="17" s="1"/>
  <c r="I31" i="17" s="1"/>
  <c r="G16" i="14"/>
  <c r="I13" i="14"/>
  <c r="G18" i="14"/>
  <c r="G31" i="17"/>
  <c r="G11" i="14"/>
  <c r="G23" i="14"/>
  <c r="I31" i="14" l="1"/>
  <c r="G31" i="14"/>
  <c r="G5" i="13"/>
  <c r="I9" i="13"/>
  <c r="I5" i="13"/>
  <c r="I4" i="13" s="1"/>
  <c r="I6" i="13"/>
  <c r="D10" i="13"/>
  <c r="I20" i="13"/>
  <c r="I19" i="13" s="1"/>
  <c r="G20" i="13"/>
  <c r="E16" i="13"/>
  <c r="I16" i="13" s="1"/>
  <c r="E15" i="13"/>
  <c r="I15" i="13" s="1"/>
  <c r="D15" i="13"/>
  <c r="I22" i="13"/>
  <c r="I21" i="13" s="1"/>
  <c r="G22" i="13"/>
  <c r="D13" i="13"/>
  <c r="D17" i="13"/>
  <c r="D8" i="13"/>
  <c r="E11" i="13"/>
  <c r="E10" i="13" s="1"/>
  <c r="I10" i="13" s="1"/>
  <c r="I7" i="13" s="1"/>
  <c r="E14" i="13"/>
  <c r="E13" i="13" s="1"/>
  <c r="G13" i="13" s="1"/>
  <c r="E18" i="13"/>
  <c r="E17" i="13" s="1"/>
  <c r="I11" i="13" l="1"/>
  <c r="G17" i="13"/>
  <c r="I17" i="13"/>
  <c r="I18" i="13"/>
  <c r="I13" i="13"/>
  <c r="I12" i="13" s="1"/>
  <c r="I14" i="13"/>
  <c r="G15" i="13"/>
  <c r="E24" i="13"/>
  <c r="G24" i="13" l="1"/>
  <c r="I24" i="13"/>
  <c r="I23" i="13" s="1"/>
  <c r="I25" i="13" s="1"/>
  <c r="G10" i="13" l="1"/>
  <c r="G8" i="13"/>
  <c r="G25" i="1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<sst xmlns="http://schemas.openxmlformats.org/spreadsheetml/2006/main" count="378" uniqueCount="110">
  <si>
    <t>Marketing</t>
  </si>
  <si>
    <t>KPI Item</t>
  </si>
  <si>
    <t>Weight %</t>
  </si>
  <si>
    <t>Owner</t>
  </si>
  <si>
    <t>Description</t>
  </si>
  <si>
    <t>Target</t>
  </si>
  <si>
    <t>Actual</t>
  </si>
  <si>
    <t>% Achv</t>
  </si>
  <si>
    <t>Weighted %</t>
  </si>
  <si>
    <t>Notes</t>
  </si>
  <si>
    <t>&lt;60%=1; 80%=3; ≥100%=5</t>
  </si>
  <si>
    <t>Main KPI; averages its submetrics if filled.</t>
  </si>
  <si>
    <t>Submetric (rolls up to main KPI).</t>
  </si>
  <si>
    <t>Project/Ad-hoc item.</t>
  </si>
  <si>
    <t>% vs plan</t>
  </si>
  <si>
    <t>KPIs</t>
  </si>
  <si>
    <t>Report</t>
  </si>
  <si>
    <t>Ad-hoc</t>
  </si>
  <si>
    <t>+% vs plan</t>
  </si>
  <si>
    <t>Online Channel GMV</t>
  </si>
  <si>
    <t>&lt;50%=0; ≤59%= 30; ≤69%= 35; ≤79%= 40; ≤89%= 45; ≥100%=50</t>
  </si>
  <si>
    <t>ROI/ ROAS</t>
  </si>
  <si>
    <t>E. Report (5%)</t>
  </si>
  <si>
    <t>F. Ad-hoc (5%)</t>
  </si>
  <si>
    <t>&lt;50%=0; &lt;90%=5; ≥90%=10</t>
  </si>
  <si>
    <t>&lt;50%=0; &lt;79%=1; &lt;94%=3; ≥95%=5</t>
  </si>
  <si>
    <t>&lt;50%=0; &lt;69%=1; &lt;89%=3; ≥90%=5</t>
  </si>
  <si>
    <t>&lt;15%=0; &lt;24%=1; &lt;39%=3; ≥40%=5</t>
  </si>
  <si>
    <t>Score</t>
  </si>
  <si>
    <t>Criteria (1–100)</t>
  </si>
  <si>
    <t>Project</t>
  </si>
  <si>
    <t>Ad-hoc item</t>
  </si>
  <si>
    <t>Submetric (rolls up to main KPI)</t>
  </si>
  <si>
    <t>Main KPI; averages its submetrics if filled</t>
  </si>
  <si>
    <t xml:space="preserve">Sản lượng thiết kế </t>
  </si>
  <si>
    <t xml:space="preserve">≥95% ấn phẩm theo kế hoạch tháng </t>
  </si>
  <si>
    <t>POSM, banner, KV, Ads…</t>
  </si>
  <si>
    <t xml:space="preserve">Chất lượng thiết kế </t>
  </si>
  <si>
    <t>Đúng brand guideline</t>
  </si>
  <si>
    <t xml:space="preserve">Tính ứng dụng </t>
  </si>
  <si>
    <t>Thiết kế được sử dụng thực tế cho Ads / Sale / Trade</t>
  </si>
  <si>
    <t xml:space="preserve">Đúng tiến độ cam kết </t>
  </si>
  <si>
    <t>Sản lượng Video</t>
  </si>
  <si>
    <t>Quantity</t>
  </si>
  <si>
    <t>Chất lượng Video</t>
  </si>
  <si>
    <t>Quality</t>
  </si>
  <si>
    <t>Thiết kế post</t>
  </si>
  <si>
    <t>Post FB / TikTok / Website / Zalo</t>
  </si>
  <si>
    <t>Phù hợp nền tảng</t>
  </si>
  <si>
    <t>Net Sale kênh Online</t>
  </si>
  <si>
    <t xml:space="preserve">Digital Marketing Executive </t>
  </si>
  <si>
    <t>A. Graphic Design (45%)</t>
  </si>
  <si>
    <t>C. Digital Post - Social (10%)</t>
  </si>
  <si>
    <t>D. Sales Revenue (10%)</t>
  </si>
  <si>
    <t>&lt;50%=0; ≤59%= 1; ≤69%= 3; ≤79%= 5; ≤89%= 9; ≥100%=10</t>
  </si>
  <si>
    <t>A. Media Design (45%)</t>
  </si>
  <si>
    <t>&lt;50%=0; ≤59%= 3; ≤69%= 5; ≤89%= 10; ≥90%=15</t>
  </si>
  <si>
    <t>B.Media - Video (25%)</t>
  </si>
  <si>
    <t>View / Retention / CTR đạt benchmark</t>
  </si>
  <si>
    <t>View / Retention / CTR</t>
  </si>
  <si>
    <t>Quality CTR</t>
  </si>
  <si>
    <t>Đạt chuẩn hình ảnh - âm thanh - dựng</t>
  </si>
  <si>
    <t>Chỉnh sửa CI (≤3 vòng/ấn phẩm)</t>
  </si>
  <si>
    <t>Đúng size - format - CTA</t>
  </si>
  <si>
    <t>&lt;50%=0; &lt;90%=5; ≥90%=5</t>
  </si>
  <si>
    <t>B.Graphic Design (25%)</t>
  </si>
  <si>
    <t>Media Designer</t>
  </si>
  <si>
    <t>Graphic Designer</t>
  </si>
  <si>
    <t>TỔNG KẾT KPI THỰC HIỆN</t>
  </si>
  <si>
    <t>Mô tả chi tiết</t>
  </si>
  <si>
    <t>Chỉ tiêu</t>
  </si>
  <si>
    <t>Thực đạt</t>
  </si>
  <si>
    <t>% Đạt</t>
  </si>
  <si>
    <t>Thực đạt %</t>
  </si>
  <si>
    <t>Tỉ trọng/ KPI</t>
  </si>
  <si>
    <t>Tổng KPI thực đạt %</t>
  </si>
  <si>
    <t>Lương KPI theo chính sách</t>
  </si>
  <si>
    <t>A. Doanh thu Online (50%)</t>
  </si>
  <si>
    <t>Doanh thu Online</t>
  </si>
  <si>
    <t>% vs kế hoạch tháng</t>
  </si>
  <si>
    <t>tháng 01.2026</t>
  </si>
  <si>
    <t>B. Thực thi quảng cáo &amp; Lượt truy cập (20%)</t>
  </si>
  <si>
    <t>Thực thi quảng cáo</t>
  </si>
  <si>
    <t>% vs kế hoạch</t>
  </si>
  <si>
    <t>Lượt truy cập</t>
  </si>
  <si>
    <t>kênh Online</t>
  </si>
  <si>
    <t>C. Sản xuất nội dung  (15%)</t>
  </si>
  <si>
    <t>Sản lượng nội dung</t>
  </si>
  <si>
    <t>Chất lượng nội dung</t>
  </si>
  <si>
    <t>Người theo dõi, đăng ký kênh</t>
  </si>
  <si>
    <t>Nội dung chạy quảng cáo</t>
  </si>
  <si>
    <t>D. Kịch bản &amp; sáng tạo Video (5%)</t>
  </si>
  <si>
    <t>Kịch bản &amp; sáng tạo Video</t>
  </si>
  <si>
    <t xml:space="preserve"> Digital Marketer</t>
  </si>
  <si>
    <t>Nguyễn Thị Minh Tuyền</t>
  </si>
  <si>
    <t>Bùi Quang Bình</t>
  </si>
  <si>
    <t>Thiết kế Media - Đồ họa</t>
  </si>
  <si>
    <t>Thiết kế Đồ họa - Media</t>
  </si>
  <si>
    <t>Phạm Cẩm Nhung</t>
  </si>
  <si>
    <t>Nhận 85% Lương KPI</t>
  </si>
  <si>
    <t>Nhận 95% Lương KPI</t>
  </si>
  <si>
    <t>TP. Hồ Chí Minh, ngày 02 tháng 03 năm 2026</t>
  </si>
  <si>
    <t>Soạn thảo</t>
  </si>
  <si>
    <t>Xác nhận</t>
  </si>
  <si>
    <t>Phê duyệt</t>
  </si>
  <si>
    <t>Võ Minh Chánh</t>
  </si>
  <si>
    <t>Trần Thị Thanh Trang</t>
  </si>
  <si>
    <t>Giám Đốc Vận Hành</t>
  </si>
  <si>
    <t>Tổng Giám Đốc</t>
  </si>
  <si>
    <t>Lương theo ngày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</si>
</sst>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_);_(* \(#,##0.0\);_(* &quot;-&quot;_);_(@_)"/>
  </numFmts>
  <fonts count="17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"/>
    </font>
    <font>
      <b/>
      <sz val="12"/>
      <color theme="0"/>
      <name val="Aptos"/>
    </font>
    <font>
      <sz val="12"/>
      <color theme="1"/>
      <name val="Aptos"/>
    </font>
    <font>
      <b/>
      <sz val="12"/>
      <name val="Aptos"/>
    </font>
    <font>
      <b/>
      <sz val="12"/>
      <color rgb="FF002060"/>
      <name val="Aptos"/>
    </font>
    <font>
      <sz val="12"/>
      <color rgb="FF002060"/>
      <name val="Aptos"/>
    </font>
    <font>
      <b/>
      <sz val="12"/>
      <color theme="1"/>
      <name val="Aptos"/>
    </font>
    <font>
      <sz val="11"/>
      <color theme="1"/>
      <name val="Aptos"/>
    </font>
    <font>
      <sz val="11"/>
      <color theme="0"/>
      <name val="Aptos"/>
    </font>
    <font>
      <b/>
      <sz val="10"/>
      <name val="Aptos"/>
    </font>
    <font>
      <sz val="12"/>
      <color theme="0"/>
      <name val="Aptos"/>
    </font>
    <font>
      <b/>
      <sz val="12"/>
      <color rgb="FF000000"/>
      <name val="Aptos"/>
    </font>
    <font>
      <i/>
      <sz val="12"/>
      <color theme="1"/>
      <name val="Arial"/>
      <family val="2"/>
    </font>
    <font>
      <sz val="12"/>
      <color rgb="FF000000"/>
      <name val="Aptos"/>
    </font>
  </fonts>
  <fills count="7">
    <fill>
      <patternFill patternType="none"/>
    </fill>
    <fill>
      <patternFill patternType="gray125"/>
    </fill>
    <fill>
      <patternFill patternType="solid">
        <fgColor rgb="FFBAD2FA"/>
        <bgColor indexed="64"/>
      </patternFill>
    </fill>
    <fill>
      <patternFill patternType="solid">
        <fgColor rgb="FF002060"/>
        <bgColor rgb="FF002060"/>
      </patternFill>
    </fill>
    <fill>
      <patternFill patternType="solid">
        <fgColor rgb="FFBAD2FA"/>
        <bgColor rgb="FFBAD2FA"/>
      </patternFill>
    </fill>
    <fill>
      <patternFill patternType="solid">
        <fgColor rgb="FFCBEDFB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3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left" vertical="center" indent="1"/>
    </xf>
    <xf numFmtId="0" fontId="3" fillId="5" borderId="0" xfId="1" applyFont="1" applyFill="1" applyAlignment="1">
      <alignment horizontal="center" vertical="center"/>
    </xf>
    <xf numFmtId="41" fontId="3" fillId="5" borderId="0" xfId="2" applyFont="1" applyFill="1" applyAlignment="1">
      <alignment horizontal="center" vertical="center"/>
    </xf>
    <xf numFmtId="9" fontId="3" fillId="5" borderId="0" xfId="1" applyNumberFormat="1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3" fillId="0" borderId="0" xfId="1" applyFont="1" applyAlignment="1">
      <alignment horizontal="left" vertical="center" indent="1"/>
    </xf>
    <xf numFmtId="14" fontId="3" fillId="0" borderId="0" xfId="1" applyNumberFormat="1" applyFont="1" applyAlignment="1">
      <alignment horizontal="center" vertical="center"/>
    </xf>
    <xf numFmtId="41" fontId="3" fillId="0" borderId="0" xfId="2" applyFont="1" applyAlignment="1">
      <alignment horizontal="center" vertical="center"/>
    </xf>
    <xf numFmtId="9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3" fillId="5" borderId="0" xfId="2" applyNumberFormat="1" applyFont="1" applyFill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0" fontId="3" fillId="5" borderId="0" xfId="1" quotePrefix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7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9" fontId="3" fillId="5" borderId="0" xfId="3" applyFont="1" applyFill="1" applyAlignment="1">
      <alignment horizontal="center" vertical="center"/>
    </xf>
    <xf numFmtId="9" fontId="3" fillId="5" borderId="0" xfId="2" applyNumberFormat="1" applyFont="1" applyFill="1" applyAlignment="1">
      <alignment horizontal="center" vertical="center"/>
    </xf>
    <xf numFmtId="9" fontId="3" fillId="0" borderId="0" xfId="2" applyNumberFormat="1" applyFont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9" fillId="2" borderId="0" xfId="1" applyFont="1" applyFill="1" applyAlignment="1">
      <alignment horizontal="center" vertical="center"/>
    </xf>
    <xf numFmtId="0" fontId="10" fillId="0" borderId="0" xfId="1" applyFont="1"/>
    <xf numFmtId="0" fontId="11" fillId="0" borderId="0" xfId="1" applyFont="1"/>
    <xf numFmtId="0" fontId="12" fillId="0" borderId="0" xfId="0" applyFont="1"/>
    <xf numFmtId="0" fontId="5" fillId="6" borderId="0" xfId="1" applyFont="1" applyFill="1" applyAlignment="1">
      <alignment horizontal="center" vertical="center"/>
    </xf>
    <xf numFmtId="0" fontId="5" fillId="0" borderId="0" xfId="1" applyFont="1" applyAlignment="1">
      <alignment vertical="center"/>
    </xf>
    <xf numFmtId="0" fontId="13" fillId="0" borderId="0" xfId="1" applyFont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4" borderId="0" xfId="1" applyFont="1" applyFill="1" applyAlignment="1">
      <alignment horizontal="left" vertical="center" indent="1"/>
    </xf>
    <xf numFmtId="9" fontId="3" fillId="0" borderId="0" xfId="3" applyFont="1" applyAlignment="1">
      <alignment horizontal="center" vertical="center"/>
    </xf>
    <xf numFmtId="41" fontId="3" fillId="0" borderId="0" xfId="2" applyFont="1" applyAlignme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3" fillId="0" borderId="0" xfId="0" applyNumberFormat="1" applyFont="1"/>
    <xf numFmtId="41" fontId="3" fillId="0" borderId="0" xfId="2" applyFont="1"/>
    <xf numFmtId="3" fontId="3" fillId="0" borderId="0" xfId="0" applyNumberFormat="1" applyFont="1" applyAlignment="1">
      <alignment vertical="center"/>
    </xf>
    <xf numFmtId="0" fontId="9" fillId="0" borderId="0" xfId="0" applyFont="1"/>
    <xf numFmtId="0" fontId="5" fillId="0" borderId="0" xfId="0" applyFont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1" fontId="3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</cellXfs>
  <cellStyles count="4">
    <cellStyle name="Comma [0]" xfId="2" builtinId="6"/>
    <cellStyle name="Normal" xfId="0" builtinId="0"/>
    <cellStyle name="Normal 2" xfId="1" xr:uid="{00000000-0005-0000-0000-000001000000}"/>
    <cellStyle name="Per cent" xfId="3" builtinId="5"/>
  </cellStyles>
  <dxfs count="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mruColors>
      <color rgb="FF001F60"/>
      <color rgb="FFBAD2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13DE6-8A20-4448-B798-E9DF7C8490FF}">
  <dimension ref="A1:K35"/>
  <sheetViews>
    <sheetView zoomScale="90" zoomScaleNormal="90" workbookViewId="0">
      <pane ySplit="3" topLeftCell="A8" activePane="bottomLeft" state="frozen"/>
      <selection pane="bottomLeft" activeCell="J29" sqref="J29"/>
    </sheetView>
  </sheetViews>
  <sheetFormatPr baseColWidth="10" defaultColWidth="8.83203125" defaultRowHeight="15" x14ac:dyDescent="0.2"/>
  <cols>
    <col min="1" max="2" width="25.83203125" style="30" customWidth="1"/>
    <col min="3" max="3" width="14" style="30" customWidth="1"/>
    <col min="4" max="4" width="14.1640625" style="30" customWidth="1"/>
    <col min="5" max="5" width="9" style="30" customWidth="1"/>
    <col min="6" max="6" width="12.83203125" style="30" customWidth="1"/>
    <col min="7" max="7" width="13.1640625" style="30" customWidth="1"/>
    <col min="8" max="8" width="58.33203125" style="30" customWidth="1"/>
    <col min="9" max="9" width="10.1640625" style="30" customWidth="1"/>
    <col min="10" max="10" width="25.5" style="30" customWidth="1"/>
    <col min="11" max="11" width="40" style="30" customWidth="1"/>
    <col min="12" max="13" width="8.83203125" style="30" customWidth="1"/>
    <col min="14" max="16384" width="8.83203125" style="30"/>
  </cols>
  <sheetData>
    <row r="1" spans="1:11" ht="30" customHeight="1" x14ac:dyDescent="0.2">
      <c r="A1" s="57" t="e" vm="1">
        <v>#VALUE!</v>
      </c>
      <c r="B1" s="57"/>
      <c r="C1" s="55" t="s">
        <v>68</v>
      </c>
      <c r="D1" s="55"/>
      <c r="E1" s="55"/>
      <c r="F1" s="55"/>
      <c r="G1" s="55"/>
      <c r="H1" s="55"/>
      <c r="I1" s="55"/>
      <c r="J1" s="2"/>
      <c r="K1" s="2"/>
    </row>
    <row r="2" spans="1:11" ht="18" customHeight="1" x14ac:dyDescent="0.2">
      <c r="A2" s="57"/>
      <c r="B2" s="57"/>
      <c r="C2" s="56" t="s">
        <v>0</v>
      </c>
      <c r="D2" s="56"/>
      <c r="E2" s="56" t="s">
        <v>93</v>
      </c>
      <c r="F2" s="56"/>
      <c r="G2" s="56"/>
      <c r="H2" s="41" t="s">
        <v>94</v>
      </c>
      <c r="I2" s="41">
        <v>2.2025999999999999</v>
      </c>
      <c r="J2" s="2"/>
      <c r="K2" s="2"/>
    </row>
    <row r="3" spans="1:11" s="31" customFormat="1" ht="25" customHeight="1" x14ac:dyDescent="0.2">
      <c r="A3" s="3" t="s">
        <v>15</v>
      </c>
      <c r="B3" s="3" t="s">
        <v>69</v>
      </c>
      <c r="C3" s="3" t="s">
        <v>70</v>
      </c>
      <c r="D3" s="3" t="s">
        <v>71</v>
      </c>
      <c r="E3" s="3" t="s">
        <v>72</v>
      </c>
      <c r="F3" s="3" t="s">
        <v>74</v>
      </c>
      <c r="G3" s="3" t="s">
        <v>73</v>
      </c>
      <c r="H3" s="3" t="s">
        <v>29</v>
      </c>
      <c r="I3" s="3" t="s">
        <v>28</v>
      </c>
      <c r="J3" s="3" t="s">
        <v>3</v>
      </c>
      <c r="K3" s="3" t="s">
        <v>9</v>
      </c>
    </row>
    <row r="4" spans="1:11" ht="18" customHeight="1" x14ac:dyDescent="0.2">
      <c r="A4" s="38" t="s">
        <v>77</v>
      </c>
      <c r="B4" s="26"/>
      <c r="C4" s="26"/>
      <c r="D4" s="26"/>
      <c r="E4" s="26"/>
      <c r="F4" s="26"/>
      <c r="G4" s="26"/>
      <c r="H4" s="26"/>
      <c r="I4" s="25">
        <f>I5</f>
        <v>35</v>
      </c>
      <c r="J4" s="26"/>
      <c r="K4" s="26"/>
    </row>
    <row r="5" spans="1:11" ht="18" customHeight="1" x14ac:dyDescent="0.2">
      <c r="A5" s="4" t="s">
        <v>78</v>
      </c>
      <c r="B5" s="5" t="s">
        <v>79</v>
      </c>
      <c r="C5" s="6">
        <v>124605000</v>
      </c>
      <c r="D5" s="6">
        <f>D6</f>
        <v>85299165</v>
      </c>
      <c r="E5" s="7">
        <f>IF(COUNT(E6:E6)&gt;0,AVERAGE(E6:E6),IFERROR(D5/C5,0))</f>
        <v>0.68455651859877209</v>
      </c>
      <c r="F5" s="7">
        <v>0.5</v>
      </c>
      <c r="G5" s="7">
        <f>MIN(E5,100%)*F5</f>
        <v>0.34227825929938605</v>
      </c>
      <c r="H5" s="5" t="s">
        <v>20</v>
      </c>
      <c r="I5" s="8">
        <f>IF(E5&lt;50%,0,
IF(E5&lt;=59%,30,
IF(E5&lt;=69%,35,
IF(E5&lt;=79%,40,
IF(E5&lt;=89%,45,
50)))))</f>
        <v>35</v>
      </c>
      <c r="J5" s="5" t="s">
        <v>50</v>
      </c>
      <c r="K5" s="5" t="s">
        <v>33</v>
      </c>
    </row>
    <row r="6" spans="1:11" ht="18" customHeight="1" x14ac:dyDescent="0.2">
      <c r="A6" s="9" t="s">
        <v>78</v>
      </c>
      <c r="B6" s="10" t="s">
        <v>80</v>
      </c>
      <c r="C6" s="11">
        <v>124605000</v>
      </c>
      <c r="D6" s="11">
        <v>85299165</v>
      </c>
      <c r="E6" s="12">
        <f>IFERROR(D6/C6,0)</f>
        <v>0.68455651859877209</v>
      </c>
      <c r="F6" s="27"/>
      <c r="G6" s="27"/>
      <c r="H6" s="13" t="s">
        <v>20</v>
      </c>
      <c r="I6" s="14">
        <f>IF(E6&lt;50%,0,
IF(E6&lt;=59%,30,
IF(E6&lt;=69%,35,
IF(E6&lt;=79%,40,
IF(E6&lt;=89%,45,
50)))))</f>
        <v>35</v>
      </c>
      <c r="J6" s="13" t="s">
        <v>50</v>
      </c>
      <c r="K6" s="13" t="s">
        <v>32</v>
      </c>
    </row>
    <row r="7" spans="1:11" ht="18" customHeight="1" x14ac:dyDescent="0.2">
      <c r="A7" s="38" t="s">
        <v>81</v>
      </c>
      <c r="B7" s="26"/>
      <c r="C7" s="26"/>
      <c r="D7" s="26"/>
      <c r="E7" s="26"/>
      <c r="F7" s="26"/>
      <c r="G7" s="26"/>
      <c r="H7" s="26"/>
      <c r="I7" s="25">
        <f>I8+I10</f>
        <v>15</v>
      </c>
      <c r="J7" s="26"/>
      <c r="K7" s="26"/>
    </row>
    <row r="8" spans="1:11" ht="18" customHeight="1" x14ac:dyDescent="0.2">
      <c r="A8" s="4" t="s">
        <v>82</v>
      </c>
      <c r="B8" s="5" t="s">
        <v>83</v>
      </c>
      <c r="C8" s="15">
        <v>2.5</v>
      </c>
      <c r="D8" s="15">
        <f>D9</f>
        <v>2.5</v>
      </c>
      <c r="E8" s="7">
        <f>IF(COUNT(E9:E9)&gt;0,AVERAGE(E9:E9),IFERROR(D8/C8,0))</f>
        <v>1</v>
      </c>
      <c r="F8" s="7">
        <v>0.1</v>
      </c>
      <c r="G8" s="7">
        <f>MIN(E8,100%)*F8</f>
        <v>0.1</v>
      </c>
      <c r="H8" s="5" t="s">
        <v>24</v>
      </c>
      <c r="I8" s="8">
        <f>IF(E8&lt;50%,0,IF(E8&lt;90%,5,10))</f>
        <v>10</v>
      </c>
      <c r="J8" s="5" t="s">
        <v>50</v>
      </c>
      <c r="K8" s="5" t="s">
        <v>33</v>
      </c>
    </row>
    <row r="9" spans="1:11" ht="18" customHeight="1" x14ac:dyDescent="0.2">
      <c r="A9" s="9" t="s">
        <v>82</v>
      </c>
      <c r="B9" s="13" t="s">
        <v>21</v>
      </c>
      <c r="C9" s="16">
        <v>2.5</v>
      </c>
      <c r="D9" s="16">
        <v>2.5</v>
      </c>
      <c r="E9" s="12">
        <f>IFERROR(D9/C9,0)</f>
        <v>1</v>
      </c>
      <c r="F9" s="27"/>
      <c r="G9" s="27"/>
      <c r="H9" s="13" t="s">
        <v>24</v>
      </c>
      <c r="I9" s="21">
        <f t="shared" ref="I9:I11" si="0">IF(E9&lt;50%,0,IF(E9&lt;90%,5,10))</f>
        <v>10</v>
      </c>
      <c r="J9" s="13" t="s">
        <v>50</v>
      </c>
      <c r="K9" s="13" t="s">
        <v>32</v>
      </c>
    </row>
    <row r="10" spans="1:11" ht="18" customHeight="1" x14ac:dyDescent="0.2">
      <c r="A10" s="4" t="s">
        <v>84</v>
      </c>
      <c r="B10" s="5" t="s">
        <v>83</v>
      </c>
      <c r="C10" s="6">
        <v>30000</v>
      </c>
      <c r="D10" s="6">
        <f>D11</f>
        <v>24000</v>
      </c>
      <c r="E10" s="7">
        <f>IF(COUNT(E11:E11)&gt;0,AVERAGE(E11:E11),IFERROR(D10/C10,0))</f>
        <v>0.8</v>
      </c>
      <c r="F10" s="7">
        <v>0.1</v>
      </c>
      <c r="G10" s="7">
        <f>MIN(E10,100%)*F10</f>
        <v>8.0000000000000016E-2</v>
      </c>
      <c r="H10" s="5" t="s">
        <v>24</v>
      </c>
      <c r="I10" s="8">
        <f t="shared" si="0"/>
        <v>5</v>
      </c>
      <c r="J10" s="5" t="s">
        <v>50</v>
      </c>
      <c r="K10" s="5" t="s">
        <v>33</v>
      </c>
    </row>
    <row r="11" spans="1:11" ht="18" customHeight="1" x14ac:dyDescent="0.2">
      <c r="A11" s="9" t="s">
        <v>84</v>
      </c>
      <c r="B11" s="13" t="s">
        <v>85</v>
      </c>
      <c r="C11" s="11">
        <v>30000</v>
      </c>
      <c r="D11" s="11">
        <v>24000</v>
      </c>
      <c r="E11" s="12">
        <f>IFERROR(D11/C11,0)</f>
        <v>0.8</v>
      </c>
      <c r="F11" s="27"/>
      <c r="G11" s="27"/>
      <c r="H11" s="13" t="s">
        <v>24</v>
      </c>
      <c r="I11" s="21">
        <f t="shared" si="0"/>
        <v>5</v>
      </c>
      <c r="J11" s="13" t="s">
        <v>50</v>
      </c>
      <c r="K11" s="13" t="s">
        <v>32</v>
      </c>
    </row>
    <row r="12" spans="1:11" ht="18" customHeight="1" x14ac:dyDescent="0.2">
      <c r="A12" s="38" t="s">
        <v>86</v>
      </c>
      <c r="B12" s="26"/>
      <c r="C12" s="26"/>
      <c r="D12" s="26"/>
      <c r="E12" s="26"/>
      <c r="F12" s="26"/>
      <c r="G12" s="26"/>
      <c r="H12" s="26"/>
      <c r="I12" s="25">
        <f>I13+I15+I17</f>
        <v>15</v>
      </c>
      <c r="J12" s="26"/>
      <c r="K12" s="26"/>
    </row>
    <row r="13" spans="1:11" ht="18" customHeight="1" x14ac:dyDescent="0.2">
      <c r="A13" s="4" t="s">
        <v>87</v>
      </c>
      <c r="B13" s="5" t="s">
        <v>83</v>
      </c>
      <c r="C13" s="6">
        <v>30</v>
      </c>
      <c r="D13" s="6">
        <f>D14</f>
        <v>30</v>
      </c>
      <c r="E13" s="7">
        <f>IF(COUNT(E14:E14)&gt;0,AVERAGE(E14:E14),IFERROR(D13/C13,0))</f>
        <v>1</v>
      </c>
      <c r="F13" s="7">
        <v>0.05</v>
      </c>
      <c r="G13" s="7">
        <f>MIN(E13,100%)*F13</f>
        <v>0.05</v>
      </c>
      <c r="H13" s="5" t="s">
        <v>25</v>
      </c>
      <c r="I13" s="8">
        <f>IF(E13&lt;50%,0,IF(E13&lt;79%,1,IF(E13&lt;94%,3,5)))</f>
        <v>5</v>
      </c>
      <c r="J13" s="5" t="s">
        <v>50</v>
      </c>
      <c r="K13" s="5" t="s">
        <v>33</v>
      </c>
    </row>
    <row r="14" spans="1:11" ht="18" customHeight="1" x14ac:dyDescent="0.2">
      <c r="A14" s="9" t="s">
        <v>87</v>
      </c>
      <c r="B14" s="13" t="s">
        <v>85</v>
      </c>
      <c r="C14" s="11">
        <v>30</v>
      </c>
      <c r="D14" s="11">
        <v>30</v>
      </c>
      <c r="E14" s="12">
        <f>IFERROR(D14/C14,0)</f>
        <v>1</v>
      </c>
      <c r="F14" s="27"/>
      <c r="G14" s="27"/>
      <c r="H14" s="13" t="s">
        <v>25</v>
      </c>
      <c r="I14" s="21">
        <f>IF(E14&lt;50%,0,IF(E14&lt;79%,1,IF(E14&lt;94%,3,5)))</f>
        <v>5</v>
      </c>
      <c r="J14" s="13" t="s">
        <v>50</v>
      </c>
      <c r="K14" s="13" t="s">
        <v>32</v>
      </c>
    </row>
    <row r="15" spans="1:11" ht="18" customHeight="1" x14ac:dyDescent="0.2">
      <c r="A15" s="4" t="s">
        <v>88</v>
      </c>
      <c r="B15" s="5" t="s">
        <v>83</v>
      </c>
      <c r="C15" s="7">
        <v>0.05</v>
      </c>
      <c r="D15" s="7">
        <f>D16</f>
        <v>0.2</v>
      </c>
      <c r="E15" s="7">
        <f>IF(COUNT(E16:E16)&gt;0,AVERAGE(E16:E16),IFERROR(D15/C15,0))</f>
        <v>4</v>
      </c>
      <c r="F15" s="7">
        <v>0.05</v>
      </c>
      <c r="G15" s="7">
        <f>MIN(E15,100%)*F15</f>
        <v>0.05</v>
      </c>
      <c r="H15" s="5" t="s">
        <v>26</v>
      </c>
      <c r="I15" s="8">
        <f>IF(E15&lt;60%,1,IF(E15=80%,3,IF(E15&lt;90%,4,IF(E15&lt;1000%,5))))</f>
        <v>5</v>
      </c>
      <c r="J15" s="5" t="s">
        <v>50</v>
      </c>
      <c r="K15" s="5" t="s">
        <v>33</v>
      </c>
    </row>
    <row r="16" spans="1:11" ht="18" customHeight="1" x14ac:dyDescent="0.2">
      <c r="A16" s="9" t="s">
        <v>89</v>
      </c>
      <c r="B16" s="13" t="s">
        <v>85</v>
      </c>
      <c r="C16" s="12">
        <v>0.05</v>
      </c>
      <c r="D16" s="12">
        <v>0.2</v>
      </c>
      <c r="E16" s="12">
        <f>IFERROR(D16/C16,0)</f>
        <v>4</v>
      </c>
      <c r="F16" s="27"/>
      <c r="G16" s="27"/>
      <c r="H16" s="13" t="s">
        <v>26</v>
      </c>
      <c r="I16" s="14">
        <f>IF(E16&lt;60%,1,IF(E16=80%,3,IF(E16&lt;90%,4,IF(E16&lt;1000%,5))))</f>
        <v>5</v>
      </c>
      <c r="J16" s="13" t="s">
        <v>50</v>
      </c>
      <c r="K16" s="13" t="s">
        <v>32</v>
      </c>
    </row>
    <row r="17" spans="1:11" ht="18" customHeight="1" x14ac:dyDescent="0.2">
      <c r="A17" s="4" t="s">
        <v>90</v>
      </c>
      <c r="B17" s="5" t="s">
        <v>83</v>
      </c>
      <c r="C17" s="7">
        <v>0.4</v>
      </c>
      <c r="D17" s="7">
        <f>D18</f>
        <v>0.4</v>
      </c>
      <c r="E17" s="7">
        <f>IF(COUNT(E18:E18)&gt;0,AVERAGE(E18:E18),IFERROR(D17/C17,0))</f>
        <v>1</v>
      </c>
      <c r="F17" s="7">
        <v>0.05</v>
      </c>
      <c r="G17" s="7">
        <f>MIN(E17,100%)*F17</f>
        <v>0.05</v>
      </c>
      <c r="H17" s="5" t="s">
        <v>27</v>
      </c>
      <c r="I17" s="8">
        <f>IF(E17&lt;15%,0,IF(E17&lt;24%,1,IF(E17&lt;39%,3,5)))</f>
        <v>5</v>
      </c>
      <c r="J17" s="5" t="s">
        <v>50</v>
      </c>
      <c r="K17" s="5" t="s">
        <v>33</v>
      </c>
    </row>
    <row r="18" spans="1:11" ht="18" customHeight="1" x14ac:dyDescent="0.2">
      <c r="A18" s="9" t="s">
        <v>90</v>
      </c>
      <c r="B18" s="13" t="s">
        <v>85</v>
      </c>
      <c r="C18" s="12">
        <v>0.4</v>
      </c>
      <c r="D18" s="12">
        <v>0.4</v>
      </c>
      <c r="E18" s="12">
        <f>IFERROR(D18/C18,0)</f>
        <v>1</v>
      </c>
      <c r="F18" s="27"/>
      <c r="G18" s="27"/>
      <c r="H18" s="13" t="s">
        <v>27</v>
      </c>
      <c r="I18" s="21">
        <f>IF(E18&lt;15%,0,IF(E18&lt;24%,1,IF(E18&lt;39%,3,5)))</f>
        <v>5</v>
      </c>
      <c r="J18" s="13" t="s">
        <v>50</v>
      </c>
      <c r="K18" s="13" t="s">
        <v>32</v>
      </c>
    </row>
    <row r="19" spans="1:11" ht="18" customHeight="1" x14ac:dyDescent="0.2">
      <c r="A19" s="38" t="s">
        <v>91</v>
      </c>
      <c r="B19" s="26"/>
      <c r="C19" s="26"/>
      <c r="D19" s="26"/>
      <c r="E19" s="26"/>
      <c r="F19" s="26"/>
      <c r="G19" s="26"/>
      <c r="H19" s="26"/>
      <c r="I19" s="29">
        <f>I20</f>
        <v>5</v>
      </c>
      <c r="J19" s="26"/>
      <c r="K19" s="26"/>
    </row>
    <row r="20" spans="1:11" ht="18" customHeight="1" x14ac:dyDescent="0.2">
      <c r="A20" s="4" t="s">
        <v>92</v>
      </c>
      <c r="B20" s="5" t="s">
        <v>83</v>
      </c>
      <c r="C20" s="7">
        <v>1</v>
      </c>
      <c r="D20" s="7">
        <v>1</v>
      </c>
      <c r="E20" s="7">
        <v>1</v>
      </c>
      <c r="F20" s="7">
        <v>0.05</v>
      </c>
      <c r="G20" s="7">
        <f>MIN(E20,100%)*F20</f>
        <v>0.05</v>
      </c>
      <c r="H20" s="5" t="s">
        <v>10</v>
      </c>
      <c r="I20" s="8">
        <f>IF(E20&lt;60%,1,IF(E20=80%,3,IF(E20&lt;90%,4,IF(E20&lt;1000%,5))))</f>
        <v>5</v>
      </c>
      <c r="J20" s="5" t="s">
        <v>50</v>
      </c>
      <c r="K20" s="5" t="s">
        <v>30</v>
      </c>
    </row>
    <row r="21" spans="1:11" ht="18" customHeight="1" x14ac:dyDescent="0.2">
      <c r="A21" s="38" t="s">
        <v>22</v>
      </c>
      <c r="B21" s="26"/>
      <c r="C21" s="26"/>
      <c r="D21" s="26"/>
      <c r="E21" s="26"/>
      <c r="F21" s="26"/>
      <c r="G21" s="26"/>
      <c r="H21" s="26"/>
      <c r="I21" s="25">
        <f>I22</f>
        <v>5</v>
      </c>
      <c r="J21" s="26"/>
      <c r="K21" s="26"/>
    </row>
    <row r="22" spans="1:11" ht="18" customHeight="1" x14ac:dyDescent="0.2">
      <c r="A22" s="4" t="s">
        <v>16</v>
      </c>
      <c r="B22" s="5" t="s">
        <v>14</v>
      </c>
      <c r="C22" s="7">
        <v>1</v>
      </c>
      <c r="D22" s="7">
        <v>1</v>
      </c>
      <c r="E22" s="7">
        <v>1</v>
      </c>
      <c r="F22" s="7">
        <v>0.05</v>
      </c>
      <c r="G22" s="7">
        <f>MIN(E22,100%)*F22</f>
        <v>0.05</v>
      </c>
      <c r="H22" s="5" t="s">
        <v>10</v>
      </c>
      <c r="I22" s="8">
        <f>IF(E22&lt;60%,1,IF(E22=80%,3,IF(E22&lt;90%,4,IF(E22&lt;1000%,5))))</f>
        <v>5</v>
      </c>
      <c r="J22" s="5" t="s">
        <v>50</v>
      </c>
      <c r="K22" s="5" t="s">
        <v>30</v>
      </c>
    </row>
    <row r="23" spans="1:11" ht="18" customHeight="1" x14ac:dyDescent="0.2">
      <c r="A23" s="38" t="s">
        <v>23</v>
      </c>
      <c r="B23" s="26"/>
      <c r="C23" s="26"/>
      <c r="D23" s="26"/>
      <c r="E23" s="26"/>
      <c r="F23" s="26"/>
      <c r="G23" s="26"/>
      <c r="H23" s="26"/>
      <c r="I23" s="25">
        <f>I24</f>
        <v>5</v>
      </c>
      <c r="J23" s="26"/>
      <c r="K23" s="26"/>
    </row>
    <row r="24" spans="1:11" ht="18" customHeight="1" x14ac:dyDescent="0.2">
      <c r="A24" s="4" t="s">
        <v>17</v>
      </c>
      <c r="B24" s="5"/>
      <c r="C24" s="7">
        <v>1</v>
      </c>
      <c r="D24" s="7">
        <v>1</v>
      </c>
      <c r="E24" s="7">
        <f>IFERROR(D24/C24,0)</f>
        <v>1</v>
      </c>
      <c r="F24" s="7">
        <v>0.05</v>
      </c>
      <c r="G24" s="7">
        <f>MIN(E24,100%)*F24</f>
        <v>0.05</v>
      </c>
      <c r="H24" s="5" t="s">
        <v>10</v>
      </c>
      <c r="I24" s="8">
        <f>IF(E24&lt;60%,1,IF(E24=80%,3,IF(E24&lt;90%,4,IF(E24&lt;1000%,5))))</f>
        <v>5</v>
      </c>
      <c r="J24" s="5" t="s">
        <v>50</v>
      </c>
      <c r="K24" s="5" t="s">
        <v>31</v>
      </c>
    </row>
    <row r="25" spans="1:11" ht="18" customHeight="1" x14ac:dyDescent="0.2">
      <c r="A25" s="18" t="s">
        <v>75</v>
      </c>
      <c r="B25" s="1"/>
      <c r="C25" s="27"/>
      <c r="D25" s="27"/>
      <c r="E25" s="27"/>
      <c r="F25" s="28"/>
      <c r="G25" s="20">
        <f>SUM(G4:G24)</f>
        <v>0.82227825929938625</v>
      </c>
      <c r="H25" s="1" t="s">
        <v>99</v>
      </c>
      <c r="I25" s="19">
        <f>I4+I7+I12+I19+I21+I23</f>
        <v>80</v>
      </c>
      <c r="J25" s="1"/>
      <c r="K25" s="1"/>
    </row>
    <row r="26" spans="1:11" ht="16" customHeight="1" x14ac:dyDescent="0.2">
      <c r="A26" s="42" t="s">
        <v>76</v>
      </c>
      <c r="B26" s="43">
        <v>21900000</v>
      </c>
      <c r="C26" s="2"/>
      <c r="D26" s="2"/>
      <c r="E26" s="2"/>
      <c r="F26" s="2"/>
      <c r="G26" s="44">
        <f>B26*85%</f>
        <v>18615000</v>
      </c>
      <c r="H26" s="2"/>
      <c r="I26" s="2"/>
      <c r="J26" s="2"/>
      <c r="K26" s="2"/>
    </row>
    <row r="27" spans="1:11" ht="16" customHeight="1" x14ac:dyDescent="0.2">
      <c r="A27" s="42" t="s">
        <v>109</v>
      </c>
      <c r="B27" s="43">
        <v>5600000</v>
      </c>
      <c r="C27" s="2"/>
      <c r="D27" s="2"/>
      <c r="E27" s="2"/>
      <c r="F27" s="2"/>
      <c r="G27" s="2"/>
      <c r="H27" s="48" t="s">
        <v>101</v>
      </c>
      <c r="I27" s="2"/>
      <c r="J27" s="2"/>
      <c r="K27" s="2"/>
    </row>
    <row r="28" spans="1:11" ht="16" customHeight="1" x14ac:dyDescent="0.2">
      <c r="A28" s="2"/>
      <c r="B28" s="49" t="s">
        <v>102</v>
      </c>
      <c r="C28" s="50"/>
      <c r="D28" s="50"/>
      <c r="E28" s="51" t="s">
        <v>103</v>
      </c>
      <c r="F28" s="50"/>
      <c r="G28" s="50"/>
      <c r="H28" s="49" t="s">
        <v>104</v>
      </c>
      <c r="I28" s="2"/>
      <c r="J28" s="2"/>
      <c r="K28" s="2"/>
    </row>
    <row r="29" spans="1:11" ht="16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6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6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6" customHeight="1" x14ac:dyDescent="0.2">
      <c r="A32" s="2"/>
      <c r="B32" s="2"/>
      <c r="C32" s="2"/>
      <c r="D32" s="2"/>
      <c r="E32" s="46" t="s">
        <v>105</v>
      </c>
      <c r="F32" s="2"/>
      <c r="G32" s="2"/>
      <c r="H32" s="53" t="s">
        <v>106</v>
      </c>
      <c r="I32" s="2"/>
      <c r="J32" s="2"/>
      <c r="K32" s="2"/>
    </row>
    <row r="33" spans="1:11" ht="16" customHeight="1" x14ac:dyDescent="0.2">
      <c r="A33" s="2"/>
      <c r="B33" s="41" t="s">
        <v>94</v>
      </c>
      <c r="C33" s="2"/>
      <c r="D33" s="2"/>
      <c r="E33" s="47" t="s">
        <v>107</v>
      </c>
      <c r="F33" s="2"/>
      <c r="G33" s="2"/>
      <c r="H33" s="52" t="s">
        <v>108</v>
      </c>
      <c r="I33" s="2"/>
      <c r="J33" s="2"/>
      <c r="K33" s="2"/>
    </row>
    <row r="34" spans="1:11" ht="16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" customHeight="1" x14ac:dyDescent="0.2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</row>
  </sheetData>
  <mergeCells count="4">
    <mergeCell ref="A1:B2"/>
    <mergeCell ref="C1:I1"/>
    <mergeCell ref="C2:D2"/>
    <mergeCell ref="E2:G2"/>
  </mergeCells>
  <conditionalFormatting sqref="E5:E6 E8:E11 E13:E18 E20 E22 E24">
    <cfRule type="expression" dxfId="8" priority="1" stopIfTrue="1">
      <formula>E5&lt;60%</formula>
    </cfRule>
    <cfRule type="expression" dxfId="7" priority="2" stopIfTrue="1">
      <formula>AND(E5&gt;=60%,E5&lt;100%)</formula>
    </cfRule>
    <cfRule type="expression" dxfId="6" priority="3" stopIfTrue="1">
      <formula>E5&gt;=100%</formula>
    </cfRule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A3F-487E-F64F-BE43-9D56D2D797BE}">
  <dimension ref="A1:K41"/>
  <sheetViews>
    <sheetView zoomScale="80" zoomScaleNormal="80" workbookViewId="0">
      <pane ySplit="3" topLeftCell="A12" activePane="bottomLeft" state="frozen"/>
      <selection pane="bottomLeft" activeCell="G36" sqref="G36"/>
    </sheetView>
  </sheetViews>
  <sheetFormatPr baseColWidth="10" defaultColWidth="8.83203125" defaultRowHeight="16" x14ac:dyDescent="0.2"/>
  <cols>
    <col min="1" max="1" width="25.83203125" style="34" customWidth="1"/>
    <col min="2" max="2" width="45.83203125" style="34" customWidth="1"/>
    <col min="3" max="3" width="14" style="34" customWidth="1"/>
    <col min="4" max="4" width="14.1640625" style="34" customWidth="1"/>
    <col min="5" max="5" width="12" style="34" customWidth="1"/>
    <col min="6" max="6" width="11" style="34" customWidth="1"/>
    <col min="7" max="7" width="14" style="34" customWidth="1"/>
    <col min="8" max="8" width="58.33203125" style="34" customWidth="1"/>
    <col min="9" max="9" width="12" style="34" customWidth="1"/>
    <col min="10" max="10" width="20" style="34" customWidth="1"/>
    <col min="11" max="11" width="40" style="34" customWidth="1"/>
    <col min="12" max="13" width="8.83203125" style="34" customWidth="1"/>
    <col min="14" max="16384" width="8.83203125" style="34"/>
  </cols>
  <sheetData>
    <row r="1" spans="1:11" ht="30" customHeight="1" x14ac:dyDescent="0.2">
      <c r="A1" s="57" t="e" vm="1">
        <v>#VALUE!</v>
      </c>
      <c r="B1" s="57"/>
      <c r="C1" s="55" t="s">
        <v>68</v>
      </c>
      <c r="D1" s="55"/>
      <c r="E1" s="55"/>
      <c r="F1" s="55"/>
      <c r="G1" s="55"/>
      <c r="H1" s="55"/>
      <c r="I1" s="55"/>
      <c r="J1" s="27"/>
      <c r="K1" s="27"/>
    </row>
    <row r="2" spans="1:11" ht="18" customHeight="1" x14ac:dyDescent="0.2">
      <c r="A2" s="57"/>
      <c r="B2" s="57"/>
      <c r="C2" s="56" t="s">
        <v>0</v>
      </c>
      <c r="D2" s="56"/>
      <c r="E2" s="56" t="s">
        <v>97</v>
      </c>
      <c r="F2" s="56"/>
      <c r="G2" s="56"/>
      <c r="H2" s="41" t="s">
        <v>98</v>
      </c>
      <c r="I2" s="41">
        <v>2.2025999999999999</v>
      </c>
      <c r="J2" s="27"/>
      <c r="K2" s="27"/>
    </row>
    <row r="3" spans="1:11" s="35" customFormat="1" ht="25" customHeight="1" x14ac:dyDescent="0.2">
      <c r="A3" s="3" t="s">
        <v>1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2</v>
      </c>
      <c r="G3" s="3" t="s">
        <v>8</v>
      </c>
      <c r="H3" s="3" t="s">
        <v>29</v>
      </c>
      <c r="I3" s="3" t="s">
        <v>28</v>
      </c>
      <c r="J3" s="3" t="s">
        <v>3</v>
      </c>
      <c r="K3" s="3" t="s">
        <v>9</v>
      </c>
    </row>
    <row r="4" spans="1:11" ht="18" customHeight="1" x14ac:dyDescent="0.2">
      <c r="A4" s="38" t="s">
        <v>51</v>
      </c>
      <c r="B4" s="26"/>
      <c r="C4" s="26"/>
      <c r="D4" s="26"/>
      <c r="E4" s="26"/>
      <c r="F4" s="26"/>
      <c r="G4" s="26"/>
      <c r="H4" s="26"/>
      <c r="I4" s="25">
        <f>I5+I7+I9+I11</f>
        <v>45</v>
      </c>
      <c r="J4" s="26"/>
      <c r="K4" s="26"/>
    </row>
    <row r="5" spans="1:11" ht="18" customHeight="1" x14ac:dyDescent="0.2">
      <c r="A5" s="4" t="s">
        <v>34</v>
      </c>
      <c r="B5" s="5" t="s">
        <v>35</v>
      </c>
      <c r="C5" s="22">
        <v>0.95</v>
      </c>
      <c r="D5" s="23">
        <f>D6</f>
        <v>1</v>
      </c>
      <c r="E5" s="7">
        <f>IF(COUNT(E6:E6)&gt;0,AVERAGE(E6:E6),IFERROR(D5/C5,0))</f>
        <v>1.0526315789473684</v>
      </c>
      <c r="F5" s="7">
        <v>0.15</v>
      </c>
      <c r="G5" s="7">
        <f>MIN(E5,100%)*F5</f>
        <v>0.15</v>
      </c>
      <c r="H5" s="5" t="s">
        <v>56</v>
      </c>
      <c r="I5" s="8">
        <f>IF(E5&lt;50%,0,
IF(E5&lt;=59%,3,
IF(E5&lt;=69%,5,
IF(E5&lt;=89%,10,
IF(E5&gt;=90%,15,10)))))</f>
        <v>15</v>
      </c>
      <c r="J5" s="5" t="s">
        <v>67</v>
      </c>
      <c r="K5" s="5" t="s">
        <v>11</v>
      </c>
    </row>
    <row r="6" spans="1:11" ht="18" customHeight="1" x14ac:dyDescent="0.2">
      <c r="A6" s="9" t="s">
        <v>34</v>
      </c>
      <c r="B6" s="10" t="s">
        <v>36</v>
      </c>
      <c r="C6" s="24">
        <v>0.95</v>
      </c>
      <c r="D6" s="24">
        <v>1</v>
      </c>
      <c r="E6" s="12">
        <f>IFERROR(D6/C6,0)</f>
        <v>1.0526315789473684</v>
      </c>
      <c r="F6" s="27"/>
      <c r="G6" s="27"/>
      <c r="H6" s="13" t="s">
        <v>56</v>
      </c>
      <c r="I6" s="33">
        <f t="shared" ref="I6:I8" si="0">IF(E6&lt;50%,0,
IF(E6&lt;=59%,3,
IF(E6&lt;=69%,5,
IF(E6&lt;=89%,10,
IF(E6&gt;=90%,15,10)))))</f>
        <v>15</v>
      </c>
      <c r="J6" s="13" t="s">
        <v>67</v>
      </c>
      <c r="K6" s="13" t="s">
        <v>12</v>
      </c>
    </row>
    <row r="7" spans="1:11" ht="18" customHeight="1" x14ac:dyDescent="0.2">
      <c r="A7" s="4" t="s">
        <v>37</v>
      </c>
      <c r="B7" s="5" t="s">
        <v>38</v>
      </c>
      <c r="C7" s="22">
        <v>1</v>
      </c>
      <c r="D7" s="23">
        <f>D8</f>
        <v>1</v>
      </c>
      <c r="E7" s="7">
        <f>IF(COUNT(E8:E8)&gt;0,AVERAGE(E8:E8),IFERROR(D7/C7,0))</f>
        <v>1</v>
      </c>
      <c r="F7" s="7">
        <v>0.15</v>
      </c>
      <c r="G7" s="7">
        <f>MIN(E7,100%)*F7</f>
        <v>0.15</v>
      </c>
      <c r="H7" s="5" t="s">
        <v>56</v>
      </c>
      <c r="I7" s="8">
        <f>IF(E7&lt;50%,0,
IF(E7&lt;=59%,3,
IF(E7&lt;=69%,5,
IF(E7&lt;=89%,10,
IF(E7&gt;=90%,15,10)))))</f>
        <v>15</v>
      </c>
      <c r="J7" s="5" t="s">
        <v>67</v>
      </c>
      <c r="K7" s="5" t="s">
        <v>11</v>
      </c>
    </row>
    <row r="8" spans="1:11" ht="18" customHeight="1" x14ac:dyDescent="0.2">
      <c r="A8" s="9" t="s">
        <v>37</v>
      </c>
      <c r="B8" s="10" t="s">
        <v>62</v>
      </c>
      <c r="C8" s="24">
        <v>1</v>
      </c>
      <c r="D8" s="24">
        <v>1</v>
      </c>
      <c r="E8" s="12">
        <f>IFERROR(D8/C8,0)</f>
        <v>1</v>
      </c>
      <c r="F8" s="27"/>
      <c r="G8" s="27"/>
      <c r="H8" s="13" t="s">
        <v>56</v>
      </c>
      <c r="I8" s="33">
        <f t="shared" si="0"/>
        <v>15</v>
      </c>
      <c r="J8" s="13" t="s">
        <v>67</v>
      </c>
      <c r="K8" s="13" t="s">
        <v>12</v>
      </c>
    </row>
    <row r="9" spans="1:11" ht="18" customHeight="1" x14ac:dyDescent="0.2">
      <c r="A9" s="4" t="s">
        <v>39</v>
      </c>
      <c r="B9" s="5"/>
      <c r="C9" s="22">
        <v>1</v>
      </c>
      <c r="D9" s="23">
        <f>D10</f>
        <v>1</v>
      </c>
      <c r="E9" s="7">
        <f>IF(COUNT(E10:E10)&gt;0,AVERAGE(E10:E10),IFERROR(D9/C9,0))</f>
        <v>1</v>
      </c>
      <c r="F9" s="7">
        <v>0.1</v>
      </c>
      <c r="G9" s="7">
        <f>MIN(E9,100%)*F9</f>
        <v>0.1</v>
      </c>
      <c r="H9" s="5" t="s">
        <v>24</v>
      </c>
      <c r="I9" s="8">
        <f>IF(E9&lt;50%,0,IF(E9&lt;90%,5,10))</f>
        <v>10</v>
      </c>
      <c r="J9" s="5" t="s">
        <v>67</v>
      </c>
      <c r="K9" s="5" t="s">
        <v>11</v>
      </c>
    </row>
    <row r="10" spans="1:11" ht="18" customHeight="1" x14ac:dyDescent="0.2">
      <c r="A10" s="9" t="s">
        <v>39</v>
      </c>
      <c r="B10" s="10" t="s">
        <v>40</v>
      </c>
      <c r="C10" s="24">
        <v>1</v>
      </c>
      <c r="D10" s="24">
        <v>1</v>
      </c>
      <c r="E10" s="12">
        <f>IFERROR(D10/C10,0)</f>
        <v>1</v>
      </c>
      <c r="F10" s="27"/>
      <c r="G10" s="27"/>
      <c r="H10" s="13" t="s">
        <v>24</v>
      </c>
      <c r="I10" s="33">
        <f t="shared" ref="I10" si="1">IF(E10&lt;50%,0,IF(E10&lt;90%,5,10))</f>
        <v>10</v>
      </c>
      <c r="J10" s="13" t="s">
        <v>67</v>
      </c>
      <c r="K10" s="13" t="s">
        <v>12</v>
      </c>
    </row>
    <row r="11" spans="1:11" ht="18" customHeight="1" x14ac:dyDescent="0.2">
      <c r="A11" s="4" t="s">
        <v>41</v>
      </c>
      <c r="B11" s="5"/>
      <c r="C11" s="22">
        <v>1</v>
      </c>
      <c r="D11" s="23">
        <f>D12</f>
        <v>1</v>
      </c>
      <c r="E11" s="7">
        <f>IF(COUNT(E12:E12)&gt;0,AVERAGE(E12:E12),IFERROR(D11/C11,0))</f>
        <v>1</v>
      </c>
      <c r="F11" s="7">
        <v>0.05</v>
      </c>
      <c r="G11" s="7">
        <f>MIN(E11,100%)*F11</f>
        <v>0.05</v>
      </c>
      <c r="H11" s="5" t="s">
        <v>24</v>
      </c>
      <c r="I11" s="8">
        <f>IF(E11&lt;50%,0,IF(E11&lt;90%,3,5))</f>
        <v>5</v>
      </c>
      <c r="J11" s="5" t="s">
        <v>67</v>
      </c>
      <c r="K11" s="5" t="s">
        <v>11</v>
      </c>
    </row>
    <row r="12" spans="1:11" ht="18" customHeight="1" x14ac:dyDescent="0.2">
      <c r="A12" s="9" t="s">
        <v>41</v>
      </c>
      <c r="B12" s="10"/>
      <c r="C12" s="24">
        <v>1</v>
      </c>
      <c r="D12" s="24">
        <v>1</v>
      </c>
      <c r="E12" s="12">
        <f>IFERROR(D12/C12,0)</f>
        <v>1</v>
      </c>
      <c r="F12" s="27"/>
      <c r="G12" s="27"/>
      <c r="H12" s="13" t="s">
        <v>24</v>
      </c>
      <c r="I12" s="33">
        <f>IF(E12&lt;50%,0,IF(E12&lt;90%,3,5))</f>
        <v>5</v>
      </c>
      <c r="J12" s="13" t="s">
        <v>67</v>
      </c>
      <c r="K12" s="13" t="s">
        <v>12</v>
      </c>
    </row>
    <row r="13" spans="1:11" ht="18" customHeight="1" x14ac:dyDescent="0.2">
      <c r="A13" s="38" t="s">
        <v>57</v>
      </c>
      <c r="B13" s="36"/>
      <c r="C13" s="26"/>
      <c r="D13" s="26"/>
      <c r="E13" s="26"/>
      <c r="F13" s="26"/>
      <c r="G13" s="26"/>
      <c r="H13" s="26"/>
      <c r="I13" s="29">
        <f>I14+I16+I18</f>
        <v>25</v>
      </c>
      <c r="J13" s="26"/>
      <c r="K13" s="26"/>
    </row>
    <row r="14" spans="1:11" ht="18" customHeight="1" x14ac:dyDescent="0.2">
      <c r="A14" s="4" t="s">
        <v>42</v>
      </c>
      <c r="B14" s="5" t="s">
        <v>14</v>
      </c>
      <c r="C14" s="22">
        <v>0.95</v>
      </c>
      <c r="D14" s="22">
        <f>D15</f>
        <v>0.96</v>
      </c>
      <c r="E14" s="7">
        <f>IF(COUNT(E15:E15)&gt;0,AVERAGE(E15:E15),IFERROR(D14/C14,0))</f>
        <v>1.0105263157894737</v>
      </c>
      <c r="F14" s="7">
        <v>0.1</v>
      </c>
      <c r="G14" s="7">
        <f>MIN(E14,100%)*F14</f>
        <v>0.1</v>
      </c>
      <c r="H14" s="5" t="s">
        <v>24</v>
      </c>
      <c r="I14" s="8">
        <f>IF(E14&lt;50%,0,IF(E14&lt;90%,5,10))</f>
        <v>10</v>
      </c>
      <c r="J14" s="5" t="s">
        <v>67</v>
      </c>
      <c r="K14" s="5" t="s">
        <v>11</v>
      </c>
    </row>
    <row r="15" spans="1:11" ht="18" customHeight="1" x14ac:dyDescent="0.2">
      <c r="A15" s="9" t="s">
        <v>43</v>
      </c>
      <c r="B15" s="13" t="s">
        <v>35</v>
      </c>
      <c r="C15" s="39">
        <v>0.95</v>
      </c>
      <c r="D15" s="39">
        <v>0.96</v>
      </c>
      <c r="E15" s="12">
        <f>IFERROR(D15/C15,0)</f>
        <v>1.0105263157894737</v>
      </c>
      <c r="F15" s="27"/>
      <c r="G15" s="27"/>
      <c r="H15" s="13" t="s">
        <v>24</v>
      </c>
      <c r="I15" s="21">
        <f>IF(E15&lt;50%,0,IF(E15&lt;90%,5,10))</f>
        <v>10</v>
      </c>
      <c r="J15" s="13" t="s">
        <v>67</v>
      </c>
      <c r="K15" s="13" t="s">
        <v>12</v>
      </c>
    </row>
    <row r="16" spans="1:11" ht="18" customHeight="1" x14ac:dyDescent="0.2">
      <c r="A16" s="4" t="s">
        <v>44</v>
      </c>
      <c r="B16" s="5" t="s">
        <v>14</v>
      </c>
      <c r="C16" s="22">
        <v>0.9</v>
      </c>
      <c r="D16" s="22">
        <f>D17</f>
        <v>0.95</v>
      </c>
      <c r="E16" s="7">
        <f>IF(COUNT(E17:E17)&gt;0,AVERAGE(E17:E17),IFERROR(D16/C16,0))</f>
        <v>1.0555555555555556</v>
      </c>
      <c r="F16" s="7">
        <v>0.1</v>
      </c>
      <c r="G16" s="7">
        <f>MIN(E16,100%)*F16</f>
        <v>0.1</v>
      </c>
      <c r="H16" s="5" t="s">
        <v>24</v>
      </c>
      <c r="I16" s="8">
        <f>IF(E16&lt;50%,0,IF(E16&lt;90%,5,10))</f>
        <v>10</v>
      </c>
      <c r="J16" s="5" t="s">
        <v>67</v>
      </c>
      <c r="K16" s="5" t="s">
        <v>11</v>
      </c>
    </row>
    <row r="17" spans="1:11" ht="18" customHeight="1" x14ac:dyDescent="0.2">
      <c r="A17" s="9" t="s">
        <v>45</v>
      </c>
      <c r="B17" s="13" t="s">
        <v>61</v>
      </c>
      <c r="C17" s="39">
        <v>0.9</v>
      </c>
      <c r="D17" s="39">
        <v>0.95</v>
      </c>
      <c r="E17" s="12">
        <f>IFERROR(D17/C17,0)</f>
        <v>1.0555555555555556</v>
      </c>
      <c r="F17" s="27"/>
      <c r="G17" s="27"/>
      <c r="H17" s="13" t="s">
        <v>24</v>
      </c>
      <c r="I17" s="21">
        <f>IF(E17&lt;50%,0,IF(E17&lt;90%,5,10))</f>
        <v>10</v>
      </c>
      <c r="J17" s="13" t="s">
        <v>67</v>
      </c>
      <c r="K17" s="13" t="s">
        <v>12</v>
      </c>
    </row>
    <row r="18" spans="1:11" ht="18" customHeight="1" x14ac:dyDescent="0.2">
      <c r="A18" s="4" t="s">
        <v>59</v>
      </c>
      <c r="B18" s="5" t="s">
        <v>14</v>
      </c>
      <c r="C18" s="22">
        <v>0.05</v>
      </c>
      <c r="D18" s="22">
        <f>D19</f>
        <v>0.08</v>
      </c>
      <c r="E18" s="7">
        <f>IF(COUNT(E19:E19)&gt;0,AVERAGE(E19:E19),IFERROR(D18/C18,0))</f>
        <v>1.5999999999999999</v>
      </c>
      <c r="F18" s="7">
        <v>0.05</v>
      </c>
      <c r="G18" s="7">
        <f>MIN(E18,100%)*F18</f>
        <v>0.05</v>
      </c>
      <c r="H18" s="5" t="s">
        <v>64</v>
      </c>
      <c r="I18" s="8">
        <f>IF(E18&lt;50%,0,IF(E18&lt;90%,3,5))</f>
        <v>5</v>
      </c>
      <c r="J18" s="5" t="s">
        <v>67</v>
      </c>
      <c r="K18" s="5" t="s">
        <v>11</v>
      </c>
    </row>
    <row r="19" spans="1:11" ht="18" customHeight="1" x14ac:dyDescent="0.2">
      <c r="A19" s="9" t="s">
        <v>60</v>
      </c>
      <c r="B19" s="13" t="s">
        <v>58</v>
      </c>
      <c r="C19" s="39">
        <v>0.05</v>
      </c>
      <c r="D19" s="39">
        <v>0.08</v>
      </c>
      <c r="E19" s="12">
        <f>IFERROR(D19/C19,0)</f>
        <v>1.5999999999999999</v>
      </c>
      <c r="F19" s="27"/>
      <c r="G19" s="27"/>
      <c r="H19" s="13" t="s">
        <v>64</v>
      </c>
      <c r="I19" s="33">
        <f>IF(E19&lt;50%,0,IF(E19&lt;90%,3,5))</f>
        <v>5</v>
      </c>
      <c r="J19" s="13" t="s">
        <v>67</v>
      </c>
      <c r="K19" s="13" t="s">
        <v>12</v>
      </c>
    </row>
    <row r="20" spans="1:11" ht="18" customHeight="1" x14ac:dyDescent="0.2">
      <c r="A20" s="38" t="s">
        <v>52</v>
      </c>
      <c r="B20" s="36"/>
      <c r="C20" s="36"/>
      <c r="D20" s="36"/>
      <c r="E20" s="26"/>
      <c r="F20" s="26"/>
      <c r="G20" s="26"/>
      <c r="H20" s="26"/>
      <c r="I20" s="29">
        <f>I21+I23</f>
        <v>10</v>
      </c>
      <c r="J20" s="26"/>
      <c r="K20" s="26"/>
    </row>
    <row r="21" spans="1:11" ht="18" customHeight="1" x14ac:dyDescent="0.2">
      <c r="A21" s="4" t="s">
        <v>46</v>
      </c>
      <c r="B21" s="5" t="s">
        <v>14</v>
      </c>
      <c r="C21" s="6">
        <v>30</v>
      </c>
      <c r="D21" s="6">
        <f>D22</f>
        <v>30</v>
      </c>
      <c r="E21" s="7">
        <f>IF(COUNT(E22:E22)&gt;0,AVERAGE(E22:E22),IFERROR(D21/C21,0))</f>
        <v>1</v>
      </c>
      <c r="F21" s="7">
        <v>0.05</v>
      </c>
      <c r="G21" s="7">
        <f>MIN(E21,100%)*F21</f>
        <v>0.05</v>
      </c>
      <c r="H21" s="5" t="s">
        <v>64</v>
      </c>
      <c r="I21" s="8">
        <f>IF(E21&lt;60%,1,IF(E21=80%,3,IF(E21&lt;90%,4,IF(E21&lt;1000%,5))))</f>
        <v>5</v>
      </c>
      <c r="J21" s="5" t="s">
        <v>67</v>
      </c>
      <c r="K21" s="5" t="s">
        <v>11</v>
      </c>
    </row>
    <row r="22" spans="1:11" ht="18" customHeight="1" x14ac:dyDescent="0.2">
      <c r="A22" s="9" t="s">
        <v>46</v>
      </c>
      <c r="B22" s="13" t="s">
        <v>47</v>
      </c>
      <c r="C22" s="11">
        <v>30</v>
      </c>
      <c r="D22" s="11">
        <v>30</v>
      </c>
      <c r="E22" s="12">
        <f>IFERROR(D22/C22,0)</f>
        <v>1</v>
      </c>
      <c r="F22" s="27"/>
      <c r="G22" s="27"/>
      <c r="H22" s="13" t="s">
        <v>64</v>
      </c>
      <c r="I22" s="33">
        <f t="shared" ref="I22" si="2">IF(E22&lt;60%,1,IF(E22=80%,3,IF(E22&lt;90%,4,IF(E22&lt;1000%,5))))</f>
        <v>5</v>
      </c>
      <c r="J22" s="13" t="s">
        <v>67</v>
      </c>
      <c r="K22" s="13" t="s">
        <v>12</v>
      </c>
    </row>
    <row r="23" spans="1:11" ht="18" customHeight="1" x14ac:dyDescent="0.2">
      <c r="A23" s="4" t="s">
        <v>48</v>
      </c>
      <c r="B23" s="17" t="s">
        <v>18</v>
      </c>
      <c r="C23" s="7">
        <v>0.05</v>
      </c>
      <c r="D23" s="7">
        <f>D24</f>
        <v>7.0000000000000007E-2</v>
      </c>
      <c r="E23" s="7">
        <f>IF(COUNT(E24:E24)&gt;0,AVERAGE(E24:E24),IFERROR(D23/C23,0))</f>
        <v>1.4000000000000001</v>
      </c>
      <c r="F23" s="7">
        <v>0.05</v>
      </c>
      <c r="G23" s="7">
        <f>MIN(E23,100%)*F23</f>
        <v>0.05</v>
      </c>
      <c r="H23" s="5" t="s">
        <v>64</v>
      </c>
      <c r="I23" s="8">
        <f>IF(E23&lt;60%,1,IF(E23=80%,3,IF(E23&lt;90%,4,IF(E23&lt;1000%,5))))</f>
        <v>5</v>
      </c>
      <c r="J23" s="5" t="s">
        <v>67</v>
      </c>
      <c r="K23" s="5" t="s">
        <v>11</v>
      </c>
    </row>
    <row r="24" spans="1:11" ht="18" customHeight="1" x14ac:dyDescent="0.2">
      <c r="A24" s="9" t="s">
        <v>48</v>
      </c>
      <c r="B24" s="13" t="s">
        <v>63</v>
      </c>
      <c r="C24" s="12">
        <v>0.05</v>
      </c>
      <c r="D24" s="12">
        <v>7.0000000000000007E-2</v>
      </c>
      <c r="E24" s="12">
        <f>IFERROR(D24/C24,0)</f>
        <v>1.4000000000000001</v>
      </c>
      <c r="F24" s="27"/>
      <c r="G24" s="27"/>
      <c r="H24" s="13" t="s">
        <v>64</v>
      </c>
      <c r="I24" s="14">
        <f>IF(E24&lt;60%,1,IF(E24=80%,3,IF(E24&lt;90%,4,IF(E24&lt;1000%,5))))</f>
        <v>5</v>
      </c>
      <c r="J24" s="13" t="s">
        <v>67</v>
      </c>
      <c r="K24" s="13" t="s">
        <v>12</v>
      </c>
    </row>
    <row r="25" spans="1:11" ht="18" customHeight="1" x14ac:dyDescent="0.2">
      <c r="A25" s="38" t="s">
        <v>53</v>
      </c>
      <c r="B25" s="36"/>
      <c r="C25" s="26"/>
      <c r="D25" s="26"/>
      <c r="E25" s="26"/>
      <c r="F25" s="26"/>
      <c r="G25" s="26"/>
      <c r="H25" s="26"/>
      <c r="I25" s="25">
        <f>I26</f>
        <v>3</v>
      </c>
      <c r="J25" s="26"/>
      <c r="K25" s="26"/>
    </row>
    <row r="26" spans="1:11" ht="18" customHeight="1" x14ac:dyDescent="0.2">
      <c r="A26" s="4" t="s">
        <v>19</v>
      </c>
      <c r="B26" s="5" t="s">
        <v>49</v>
      </c>
      <c r="C26" s="6">
        <v>172585000</v>
      </c>
      <c r="D26" s="6">
        <v>104176000</v>
      </c>
      <c r="E26" s="12">
        <f>IFERROR(D26/C26,0)</f>
        <v>0.60362140394588171</v>
      </c>
      <c r="F26" s="7">
        <v>0.1</v>
      </c>
      <c r="G26" s="7">
        <f>MIN(E26,100%)*F26</f>
        <v>6.0362140394588176E-2</v>
      </c>
      <c r="H26" s="5" t="s">
        <v>54</v>
      </c>
      <c r="I26" s="8">
        <f>IF(E26&lt;50%,0,
IF(E26&lt;=59%,1,
IF(E26&lt;=69%,3,
IF(E26&lt;=79%,5,
IF(E26&lt;=89%,9,
IF(E26&gt;=100%,10,9))))))</f>
        <v>3</v>
      </c>
      <c r="J26" s="5" t="s">
        <v>67</v>
      </c>
      <c r="K26" s="5" t="s">
        <v>13</v>
      </c>
    </row>
    <row r="27" spans="1:11" ht="18" customHeight="1" x14ac:dyDescent="0.2">
      <c r="A27" s="38" t="s">
        <v>22</v>
      </c>
      <c r="B27" s="36"/>
      <c r="C27" s="26"/>
      <c r="D27" s="26"/>
      <c r="E27" s="26"/>
      <c r="F27" s="26"/>
      <c r="G27" s="26"/>
      <c r="H27" s="26"/>
      <c r="I27" s="25">
        <f>I28</f>
        <v>5</v>
      </c>
      <c r="J27" s="26"/>
      <c r="K27" s="26"/>
    </row>
    <row r="28" spans="1:11" ht="18" customHeight="1" x14ac:dyDescent="0.2">
      <c r="A28" s="4" t="s">
        <v>16</v>
      </c>
      <c r="B28" s="5" t="s">
        <v>14</v>
      </c>
      <c r="C28" s="7">
        <v>1</v>
      </c>
      <c r="D28" s="7">
        <v>1</v>
      </c>
      <c r="E28" s="7">
        <v>1</v>
      </c>
      <c r="F28" s="7">
        <v>0.05</v>
      </c>
      <c r="G28" s="7">
        <f>MIN(E28,100%)*F28</f>
        <v>0.05</v>
      </c>
      <c r="H28" s="5" t="s">
        <v>10</v>
      </c>
      <c r="I28" s="8">
        <f>IF(E28&lt;60%,1,IF(E28=80%,3,IF(E28&lt;90%,4,IF(E28&lt;1000%,5))))</f>
        <v>5</v>
      </c>
      <c r="J28" s="5" t="s">
        <v>67</v>
      </c>
      <c r="K28" s="5" t="s">
        <v>13</v>
      </c>
    </row>
    <row r="29" spans="1:11" ht="18" customHeight="1" x14ac:dyDescent="0.2">
      <c r="A29" s="38" t="s">
        <v>23</v>
      </c>
      <c r="B29" s="36"/>
      <c r="C29" s="26"/>
      <c r="D29" s="26"/>
      <c r="E29" s="26"/>
      <c r="F29" s="26"/>
      <c r="G29" s="26"/>
      <c r="H29" s="26"/>
      <c r="I29" s="29">
        <f>I30</f>
        <v>5</v>
      </c>
      <c r="J29" s="26"/>
      <c r="K29" s="26"/>
    </row>
    <row r="30" spans="1:11" ht="18" customHeight="1" x14ac:dyDescent="0.2">
      <c r="A30" s="4" t="s">
        <v>17</v>
      </c>
      <c r="B30" s="5"/>
      <c r="C30" s="7">
        <v>1</v>
      </c>
      <c r="D30" s="7">
        <v>1</v>
      </c>
      <c r="E30" s="7">
        <f>IFERROR(D30/C30,0)</f>
        <v>1</v>
      </c>
      <c r="F30" s="7">
        <v>0.05</v>
      </c>
      <c r="G30" s="7">
        <f>MIN(E30,100%)*F30</f>
        <v>0.05</v>
      </c>
      <c r="H30" s="5" t="s">
        <v>10</v>
      </c>
      <c r="I30" s="8">
        <f>IF(E30&lt;60%,1,IF(E30=80%,3,IF(E30&lt;90%,4,IF(E30&lt;1000%,5))))</f>
        <v>5</v>
      </c>
      <c r="J30" s="5" t="s">
        <v>67</v>
      </c>
      <c r="K30" s="5" t="s">
        <v>13</v>
      </c>
    </row>
    <row r="31" spans="1:11" ht="18" customHeight="1" x14ac:dyDescent="0.2">
      <c r="A31" s="18" t="s">
        <v>75</v>
      </c>
      <c r="B31" s="1"/>
      <c r="C31" s="27"/>
      <c r="D31" s="27"/>
      <c r="E31" s="27"/>
      <c r="F31" s="28"/>
      <c r="G31" s="20">
        <f>SUM(G4:G30)</f>
        <v>0.96036214039458845</v>
      </c>
      <c r="H31" s="1" t="s">
        <v>100</v>
      </c>
      <c r="I31" s="19">
        <f>I4+I13+I20+I25+I27+I29</f>
        <v>93</v>
      </c>
      <c r="J31" s="1"/>
      <c r="K31" s="1"/>
    </row>
    <row r="32" spans="1:11" ht="16" customHeight="1" x14ac:dyDescent="0.2">
      <c r="A32" s="42" t="s">
        <v>76</v>
      </c>
      <c r="B32" s="45">
        <v>10400000</v>
      </c>
      <c r="C32" s="27"/>
      <c r="D32" s="27"/>
      <c r="E32" s="27"/>
      <c r="F32" s="27"/>
      <c r="G32" s="40">
        <f>B32*95%</f>
        <v>9880000</v>
      </c>
      <c r="I32" s="27"/>
      <c r="J32" s="27"/>
      <c r="K32" s="27"/>
    </row>
    <row r="33" spans="1:11" ht="16" customHeight="1" x14ac:dyDescent="0.2">
      <c r="A33" s="42" t="s">
        <v>109</v>
      </c>
      <c r="B33" s="43">
        <v>5600000</v>
      </c>
      <c r="C33" s="2"/>
      <c r="D33" s="2"/>
      <c r="E33" s="2"/>
      <c r="F33" s="2"/>
      <c r="G33" s="2"/>
      <c r="H33" s="48" t="s">
        <v>101</v>
      </c>
      <c r="I33" s="27"/>
      <c r="J33" s="27"/>
      <c r="K33" s="27"/>
    </row>
    <row r="34" spans="1:11" ht="16" customHeight="1" x14ac:dyDescent="0.2">
      <c r="A34" s="27"/>
      <c r="B34" s="49" t="s">
        <v>102</v>
      </c>
      <c r="C34" s="50"/>
      <c r="D34" s="50"/>
      <c r="E34" s="51" t="s">
        <v>103</v>
      </c>
      <c r="F34" s="50"/>
      <c r="G34" s="50"/>
      <c r="H34" s="49" t="s">
        <v>104</v>
      </c>
      <c r="I34" s="27"/>
      <c r="J34" s="27"/>
      <c r="K34" s="27"/>
    </row>
    <row r="35" spans="1:11" ht="16" customHeight="1" x14ac:dyDescent="0.2">
      <c r="A35" s="27"/>
      <c r="B35" s="2"/>
      <c r="C35" s="2"/>
      <c r="D35" s="2"/>
      <c r="E35" s="2"/>
      <c r="F35" s="2"/>
      <c r="G35" s="2"/>
      <c r="H35" s="2"/>
      <c r="I35" s="27"/>
      <c r="J35" s="27"/>
      <c r="K35" s="27"/>
    </row>
    <row r="36" spans="1:11" ht="16" customHeight="1" x14ac:dyDescent="0.2">
      <c r="A36" s="27"/>
      <c r="B36" s="2"/>
      <c r="C36" s="2"/>
      <c r="D36" s="2"/>
      <c r="E36" s="2"/>
      <c r="F36" s="2"/>
      <c r="G36" s="54"/>
      <c r="H36" s="2"/>
      <c r="I36" s="27"/>
      <c r="J36" s="27"/>
      <c r="K36" s="27"/>
    </row>
    <row r="37" spans="1:11" ht="16" customHeight="1" x14ac:dyDescent="0.2">
      <c r="A37" s="27"/>
      <c r="B37" s="2"/>
      <c r="C37" s="2"/>
      <c r="D37" s="2"/>
      <c r="E37" s="2"/>
      <c r="F37" s="2"/>
      <c r="G37" s="2"/>
      <c r="H37" s="2"/>
      <c r="I37" s="27"/>
      <c r="J37" s="27"/>
      <c r="K37" s="27"/>
    </row>
    <row r="38" spans="1:11" ht="16" customHeight="1" x14ac:dyDescent="0.2">
      <c r="A38" s="27"/>
      <c r="B38" s="2"/>
      <c r="C38" s="2"/>
      <c r="D38" s="2"/>
      <c r="E38" s="46" t="s">
        <v>105</v>
      </c>
      <c r="F38" s="2"/>
      <c r="G38" s="2"/>
      <c r="H38" s="53" t="s">
        <v>106</v>
      </c>
      <c r="I38" s="27"/>
      <c r="J38" s="27"/>
      <c r="K38" s="27"/>
    </row>
    <row r="39" spans="1:11" ht="16" customHeight="1" x14ac:dyDescent="0.2">
      <c r="A39" s="27"/>
      <c r="B39" s="41" t="s">
        <v>98</v>
      </c>
      <c r="C39" s="2"/>
      <c r="D39" s="2"/>
      <c r="E39" s="47" t="s">
        <v>107</v>
      </c>
      <c r="F39" s="2"/>
      <c r="G39" s="2"/>
      <c r="H39" s="52" t="s">
        <v>108</v>
      </c>
      <c r="I39" s="27"/>
      <c r="J39" s="27"/>
      <c r="K39" s="27"/>
    </row>
    <row r="40" spans="1:11" ht="16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15" customHeight="1" x14ac:dyDescent="0.2">
      <c r="A41" s="37"/>
      <c r="B41" s="27"/>
      <c r="C41" s="27"/>
      <c r="D41" s="27"/>
      <c r="E41" s="27"/>
      <c r="F41" s="27"/>
      <c r="G41" s="27"/>
      <c r="H41" s="27"/>
      <c r="I41" s="27"/>
      <c r="J41" s="27"/>
      <c r="K41" s="27"/>
    </row>
  </sheetData>
  <mergeCells count="4">
    <mergeCell ref="C1:I1"/>
    <mergeCell ref="C2:D2"/>
    <mergeCell ref="E2:G2"/>
    <mergeCell ref="A1:B2"/>
  </mergeCells>
  <conditionalFormatting sqref="E5:E12 E14:E19 E21:E24 E26 E28 E30">
    <cfRule type="expression" dxfId="5" priority="1" stopIfTrue="1">
      <formula>E5&lt;60%</formula>
    </cfRule>
    <cfRule type="expression" dxfId="4" priority="2" stopIfTrue="1">
      <formula>AND(E5&gt;=60%,E5&lt;100%)</formula>
    </cfRule>
    <cfRule type="expression" dxfId="3" priority="3" stopIfTrue="1">
      <formula>E5&gt;=100%</formula>
    </cfRule>
  </conditionalFormatting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C7EE-DA00-5B47-8DE7-F0FB14BACC53}">
  <dimension ref="A1:K41"/>
  <sheetViews>
    <sheetView tabSelected="1" zoomScaleNormal="100" workbookViewId="0">
      <pane ySplit="3" topLeftCell="A16" activePane="bottomLeft" state="frozen"/>
      <selection pane="bottomLeft" activeCell="C39" sqref="C39"/>
    </sheetView>
  </sheetViews>
  <sheetFormatPr baseColWidth="10" defaultColWidth="8.83203125" defaultRowHeight="16" x14ac:dyDescent="0.2"/>
  <cols>
    <col min="1" max="1" width="25.83203125" style="34" customWidth="1"/>
    <col min="2" max="2" width="45.83203125" style="34" customWidth="1"/>
    <col min="3" max="3" width="14" style="34" customWidth="1"/>
    <col min="4" max="4" width="14.1640625" style="34" customWidth="1"/>
    <col min="5" max="5" width="12" style="34" customWidth="1"/>
    <col min="6" max="6" width="11" style="34" customWidth="1"/>
    <col min="7" max="7" width="14" style="34" customWidth="1"/>
    <col min="8" max="8" width="54.33203125" style="34" customWidth="1"/>
    <col min="9" max="9" width="10.33203125" style="34" customWidth="1"/>
    <col min="10" max="10" width="20" style="34" customWidth="1"/>
    <col min="11" max="11" width="40" style="34" customWidth="1"/>
    <col min="12" max="13" width="8.83203125" style="34" customWidth="1"/>
    <col min="14" max="16384" width="8.83203125" style="34"/>
  </cols>
  <sheetData>
    <row r="1" spans="1:11" ht="30" customHeight="1" x14ac:dyDescent="0.2">
      <c r="A1" s="57" t="e" vm="1">
        <v>#VALUE!</v>
      </c>
      <c r="B1" s="57"/>
      <c r="C1" s="55" t="s">
        <v>68</v>
      </c>
      <c r="D1" s="55"/>
      <c r="E1" s="55"/>
      <c r="F1" s="55"/>
      <c r="G1" s="55"/>
      <c r="H1" s="55"/>
      <c r="I1" s="55"/>
      <c r="J1" s="27"/>
      <c r="K1" s="27"/>
    </row>
    <row r="2" spans="1:11" ht="18" customHeight="1" x14ac:dyDescent="0.2">
      <c r="A2" s="57"/>
      <c r="B2" s="57"/>
      <c r="C2" s="56" t="s">
        <v>0</v>
      </c>
      <c r="D2" s="56"/>
      <c r="E2" s="56" t="s">
        <v>96</v>
      </c>
      <c r="F2" s="56"/>
      <c r="G2" s="56"/>
      <c r="H2" s="41" t="s">
        <v>95</v>
      </c>
      <c r="I2" s="41">
        <v>2.2025999999999999</v>
      </c>
      <c r="J2" s="27"/>
      <c r="K2" s="27"/>
    </row>
    <row r="3" spans="1:11" s="35" customFormat="1" ht="25" customHeight="1" x14ac:dyDescent="0.2">
      <c r="A3" s="3" t="s">
        <v>1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2</v>
      </c>
      <c r="G3" s="3" t="s">
        <v>8</v>
      </c>
      <c r="H3" s="3" t="s">
        <v>29</v>
      </c>
      <c r="I3" s="3" t="s">
        <v>28</v>
      </c>
      <c r="J3" s="3" t="s">
        <v>3</v>
      </c>
      <c r="K3" s="3" t="s">
        <v>9</v>
      </c>
    </row>
    <row r="4" spans="1:11" ht="18" customHeight="1" x14ac:dyDescent="0.2">
      <c r="A4" s="38" t="s">
        <v>55</v>
      </c>
      <c r="B4" s="26"/>
      <c r="C4" s="26"/>
      <c r="D4" s="26"/>
      <c r="E4" s="26"/>
      <c r="F4" s="26"/>
      <c r="G4" s="26"/>
      <c r="H4" s="26"/>
      <c r="I4" s="25">
        <f>I5+I7+I9+I11</f>
        <v>45</v>
      </c>
      <c r="J4" s="26"/>
      <c r="K4" s="26"/>
    </row>
    <row r="5" spans="1:11" ht="18" customHeight="1" x14ac:dyDescent="0.2">
      <c r="A5" s="4" t="s">
        <v>42</v>
      </c>
      <c r="B5" s="5" t="s">
        <v>35</v>
      </c>
      <c r="C5" s="22">
        <v>0.95</v>
      </c>
      <c r="D5" s="23">
        <f>D6</f>
        <v>1</v>
      </c>
      <c r="E5" s="7">
        <f>IF(COUNT(E6:E6)&gt;0,AVERAGE(E6:E6),IFERROR(D5/C5,0))</f>
        <v>1.0526315789473684</v>
      </c>
      <c r="F5" s="7">
        <v>0.15</v>
      </c>
      <c r="G5" s="7">
        <f>MIN(E5,100%)*F5</f>
        <v>0.15</v>
      </c>
      <c r="H5" s="5" t="s">
        <v>56</v>
      </c>
      <c r="I5" s="8">
        <f>IF(E5&lt;50%,0,
IF(E5&lt;=59%,3,
IF(E5&lt;=69%,5,
IF(E5&lt;=89%,10,
IF(E5&gt;=90%,15,10)))))</f>
        <v>15</v>
      </c>
      <c r="J5" s="5" t="s">
        <v>66</v>
      </c>
      <c r="K5" s="5" t="s">
        <v>11</v>
      </c>
    </row>
    <row r="6" spans="1:11" ht="18" customHeight="1" x14ac:dyDescent="0.2">
      <c r="A6" s="9" t="s">
        <v>34</v>
      </c>
      <c r="B6" s="10" t="s">
        <v>35</v>
      </c>
      <c r="C6" s="24">
        <v>0.95</v>
      </c>
      <c r="D6" s="24">
        <v>1</v>
      </c>
      <c r="E6" s="12">
        <f>IFERROR(D6/C6,0)</f>
        <v>1.0526315789473684</v>
      </c>
      <c r="F6" s="27"/>
      <c r="G6" s="27"/>
      <c r="H6" s="13" t="s">
        <v>56</v>
      </c>
      <c r="I6" s="33">
        <f t="shared" ref="I6:I8" si="0">IF(E6&lt;50%,0,
IF(E6&lt;=59%,3,
IF(E6&lt;=69%,5,
IF(E6&lt;=89%,10,
IF(E6&gt;=90%,15,10)))))</f>
        <v>15</v>
      </c>
      <c r="J6" s="13" t="s">
        <v>66</v>
      </c>
      <c r="K6" s="13" t="s">
        <v>12</v>
      </c>
    </row>
    <row r="7" spans="1:11" ht="18" customHeight="1" x14ac:dyDescent="0.2">
      <c r="A7" s="4" t="s">
        <v>37</v>
      </c>
      <c r="B7" s="5" t="s">
        <v>38</v>
      </c>
      <c r="C7" s="22">
        <v>1</v>
      </c>
      <c r="D7" s="23">
        <f>D8</f>
        <v>1</v>
      </c>
      <c r="E7" s="7">
        <f>IF(COUNT(E8:E8)&gt;0,AVERAGE(E8:E8),IFERROR(D7/C7,0))</f>
        <v>1</v>
      </c>
      <c r="F7" s="7">
        <v>0.15</v>
      </c>
      <c r="G7" s="7">
        <f>MIN(E7,100%)*F7</f>
        <v>0.15</v>
      </c>
      <c r="H7" s="5" t="s">
        <v>56</v>
      </c>
      <c r="I7" s="8">
        <f>IF(E7&lt;50%,0,
IF(E7&lt;=59%,3,
IF(E7&lt;=69%,5,
IF(E7&lt;=89%,10,
IF(E7&gt;=90%,15,10)))))</f>
        <v>15</v>
      </c>
      <c r="J7" s="5" t="s">
        <v>66</v>
      </c>
      <c r="K7" s="5" t="s">
        <v>11</v>
      </c>
    </row>
    <row r="8" spans="1:11" ht="18" customHeight="1" x14ac:dyDescent="0.2">
      <c r="A8" s="9" t="s">
        <v>37</v>
      </c>
      <c r="B8" s="10" t="s">
        <v>61</v>
      </c>
      <c r="C8" s="24">
        <v>1</v>
      </c>
      <c r="D8" s="24">
        <v>1</v>
      </c>
      <c r="E8" s="12">
        <f>IFERROR(D8/C8,0)</f>
        <v>1</v>
      </c>
      <c r="F8" s="27"/>
      <c r="G8" s="27"/>
      <c r="H8" s="13" t="s">
        <v>56</v>
      </c>
      <c r="I8" s="33">
        <f t="shared" si="0"/>
        <v>15</v>
      </c>
      <c r="J8" s="13" t="s">
        <v>66</v>
      </c>
      <c r="K8" s="13" t="s">
        <v>12</v>
      </c>
    </row>
    <row r="9" spans="1:11" ht="18" customHeight="1" x14ac:dyDescent="0.2">
      <c r="A9" s="4" t="s">
        <v>39</v>
      </c>
      <c r="B9" s="5"/>
      <c r="C9" s="22">
        <v>1</v>
      </c>
      <c r="D9" s="23">
        <f>D10</f>
        <v>1</v>
      </c>
      <c r="E9" s="7">
        <f>IF(COUNT(E10:E10)&gt;0,AVERAGE(E10:E10),IFERROR(D9/C9,0))</f>
        <v>1</v>
      </c>
      <c r="F9" s="7">
        <v>0.1</v>
      </c>
      <c r="G9" s="7">
        <f>MIN(E9,100%)*F9</f>
        <v>0.1</v>
      </c>
      <c r="H9" s="5" t="s">
        <v>24</v>
      </c>
      <c r="I9" s="8">
        <f>IF(E9&lt;50%,0,IF(E9&lt;90%,5,10))</f>
        <v>10</v>
      </c>
      <c r="J9" s="5" t="s">
        <v>66</v>
      </c>
      <c r="K9" s="5" t="s">
        <v>11</v>
      </c>
    </row>
    <row r="10" spans="1:11" ht="18" customHeight="1" x14ac:dyDescent="0.2">
      <c r="A10" s="9" t="s">
        <v>39</v>
      </c>
      <c r="B10" s="10" t="s">
        <v>40</v>
      </c>
      <c r="C10" s="24">
        <v>1</v>
      </c>
      <c r="D10" s="24">
        <v>1</v>
      </c>
      <c r="E10" s="12">
        <f>IFERROR(D10/C10,0)</f>
        <v>1</v>
      </c>
      <c r="F10" s="27"/>
      <c r="G10" s="27"/>
      <c r="H10" s="13" t="s">
        <v>24</v>
      </c>
      <c r="I10" s="33">
        <f t="shared" ref="I10" si="1">IF(E10&lt;50%,0,IF(E10&lt;90%,5,10))</f>
        <v>10</v>
      </c>
      <c r="J10" s="13" t="s">
        <v>66</v>
      </c>
      <c r="K10" s="13" t="s">
        <v>12</v>
      </c>
    </row>
    <row r="11" spans="1:11" ht="18" customHeight="1" x14ac:dyDescent="0.2">
      <c r="A11" s="4" t="s">
        <v>41</v>
      </c>
      <c r="B11" s="5"/>
      <c r="C11" s="22">
        <v>1</v>
      </c>
      <c r="D11" s="23">
        <f>D12</f>
        <v>1</v>
      </c>
      <c r="E11" s="7">
        <f>IF(COUNT(E12:E12)&gt;0,AVERAGE(E12:E12),IFERROR(D11/C11,0))</f>
        <v>1</v>
      </c>
      <c r="F11" s="7">
        <v>0.05</v>
      </c>
      <c r="G11" s="7">
        <f>MIN(E11,100%)*F11</f>
        <v>0.05</v>
      </c>
      <c r="H11" s="5" t="s">
        <v>24</v>
      </c>
      <c r="I11" s="8">
        <f>IF(E11&lt;50%,0,IF(E11&lt;90%,3,5))</f>
        <v>5</v>
      </c>
      <c r="J11" s="5" t="s">
        <v>66</v>
      </c>
      <c r="K11" s="5" t="s">
        <v>11</v>
      </c>
    </row>
    <row r="12" spans="1:11" ht="18" customHeight="1" x14ac:dyDescent="0.2">
      <c r="A12" s="9" t="s">
        <v>41</v>
      </c>
      <c r="B12" s="10"/>
      <c r="C12" s="24">
        <v>1</v>
      </c>
      <c r="D12" s="24">
        <v>1</v>
      </c>
      <c r="E12" s="12">
        <f>IFERROR(D12/C12,0)</f>
        <v>1</v>
      </c>
      <c r="F12" s="27"/>
      <c r="G12" s="27"/>
      <c r="H12" s="13" t="s">
        <v>24</v>
      </c>
      <c r="I12" s="33">
        <f>IF(E12&lt;50%,0,IF(E12&lt;90%,3,5))</f>
        <v>5</v>
      </c>
      <c r="J12" s="13" t="s">
        <v>66</v>
      </c>
      <c r="K12" s="13" t="s">
        <v>12</v>
      </c>
    </row>
    <row r="13" spans="1:11" ht="18" customHeight="1" x14ac:dyDescent="0.2">
      <c r="A13" s="38" t="s">
        <v>65</v>
      </c>
      <c r="B13" s="36"/>
      <c r="C13" s="26"/>
      <c r="D13" s="26"/>
      <c r="E13" s="26"/>
      <c r="F13" s="26"/>
      <c r="G13" s="26"/>
      <c r="H13" s="26"/>
      <c r="I13" s="29">
        <f>I14+I16+I18</f>
        <v>25</v>
      </c>
      <c r="J13" s="26"/>
      <c r="K13" s="26"/>
    </row>
    <row r="14" spans="1:11" ht="18" customHeight="1" x14ac:dyDescent="0.2">
      <c r="A14" s="4" t="s">
        <v>34</v>
      </c>
      <c r="B14" s="5" t="s">
        <v>14</v>
      </c>
      <c r="C14" s="22">
        <v>0.95</v>
      </c>
      <c r="D14" s="22">
        <f>D15</f>
        <v>0.96</v>
      </c>
      <c r="E14" s="7">
        <f>IF(COUNT(E15:E15)&gt;0,AVERAGE(E15:E15),IFERROR(D14/C14,0))</f>
        <v>1.0105263157894737</v>
      </c>
      <c r="F14" s="7">
        <v>0.1</v>
      </c>
      <c r="G14" s="7">
        <f>MIN(E14,100%)*F14</f>
        <v>0.1</v>
      </c>
      <c r="H14" s="5" t="s">
        <v>24</v>
      </c>
      <c r="I14" s="8">
        <f>IF(E14&lt;50%,0,IF(E14&lt;90%,5,10))</f>
        <v>10</v>
      </c>
      <c r="J14" s="5" t="s">
        <v>66</v>
      </c>
      <c r="K14" s="5" t="s">
        <v>11</v>
      </c>
    </row>
    <row r="15" spans="1:11" ht="18" customHeight="1" x14ac:dyDescent="0.2">
      <c r="A15" s="9" t="s">
        <v>43</v>
      </c>
      <c r="B15" s="13" t="s">
        <v>35</v>
      </c>
      <c r="C15" s="39">
        <v>0.95</v>
      </c>
      <c r="D15" s="39">
        <v>0.96</v>
      </c>
      <c r="E15" s="12">
        <f>IFERROR(D15/C15,0)</f>
        <v>1.0105263157894737</v>
      </c>
      <c r="F15" s="27"/>
      <c r="G15" s="27"/>
      <c r="H15" s="13" t="s">
        <v>24</v>
      </c>
      <c r="I15" s="21">
        <f>IF(E15&lt;50%,0,IF(E15&lt;90%,5,10))</f>
        <v>10</v>
      </c>
      <c r="J15" s="13" t="s">
        <v>66</v>
      </c>
      <c r="K15" s="13" t="s">
        <v>12</v>
      </c>
    </row>
    <row r="16" spans="1:11" ht="18" customHeight="1" x14ac:dyDescent="0.2">
      <c r="A16" s="4" t="s">
        <v>44</v>
      </c>
      <c r="B16" s="5" t="s">
        <v>14</v>
      </c>
      <c r="C16" s="22">
        <v>0.9</v>
      </c>
      <c r="D16" s="22">
        <f>D17</f>
        <v>0.95</v>
      </c>
      <c r="E16" s="7">
        <f>IF(COUNT(E17:E17)&gt;0,AVERAGE(E17:E17),IFERROR(D16/C16,0))</f>
        <v>1.0555555555555556</v>
      </c>
      <c r="F16" s="7">
        <v>0.1</v>
      </c>
      <c r="G16" s="7">
        <f>MIN(E16,100%)*F16</f>
        <v>0.1</v>
      </c>
      <c r="H16" s="5" t="s">
        <v>24</v>
      </c>
      <c r="I16" s="8">
        <f>IF(E16&lt;50%,0,IF(E16&lt;90%,5,10))</f>
        <v>10</v>
      </c>
      <c r="J16" s="5" t="s">
        <v>66</v>
      </c>
      <c r="K16" s="5" t="s">
        <v>11</v>
      </c>
    </row>
    <row r="17" spans="1:11" ht="18" customHeight="1" x14ac:dyDescent="0.2">
      <c r="A17" s="9" t="s">
        <v>45</v>
      </c>
      <c r="B17" s="13" t="s">
        <v>62</v>
      </c>
      <c r="C17" s="39">
        <v>0.9</v>
      </c>
      <c r="D17" s="39">
        <v>0.95</v>
      </c>
      <c r="E17" s="12">
        <f>IFERROR(D17/C17,0)</f>
        <v>1.0555555555555556</v>
      </c>
      <c r="F17" s="27"/>
      <c r="G17" s="27"/>
      <c r="H17" s="13" t="s">
        <v>24</v>
      </c>
      <c r="I17" s="21">
        <f>IF(E17&lt;50%,0,IF(E17&lt;90%,5,10))</f>
        <v>10</v>
      </c>
      <c r="J17" s="13" t="s">
        <v>66</v>
      </c>
      <c r="K17" s="13" t="s">
        <v>12</v>
      </c>
    </row>
    <row r="18" spans="1:11" ht="18" customHeight="1" x14ac:dyDescent="0.2">
      <c r="A18" s="4" t="s">
        <v>59</v>
      </c>
      <c r="B18" s="5" t="s">
        <v>14</v>
      </c>
      <c r="C18" s="22">
        <v>0.05</v>
      </c>
      <c r="D18" s="22">
        <f>D19</f>
        <v>0.08</v>
      </c>
      <c r="E18" s="7">
        <f>IF(COUNT(E19:E19)&gt;0,AVERAGE(E19:E19),IFERROR(D18/C18,0))</f>
        <v>1.5999999999999999</v>
      </c>
      <c r="F18" s="7">
        <v>0.05</v>
      </c>
      <c r="G18" s="7">
        <f>MIN(E18,100%)*F18</f>
        <v>0.05</v>
      </c>
      <c r="H18" s="5" t="s">
        <v>64</v>
      </c>
      <c r="I18" s="8">
        <f>IF(E18&lt;50%,0,IF(E18&lt;90%,3,5))</f>
        <v>5</v>
      </c>
      <c r="J18" s="5" t="s">
        <v>66</v>
      </c>
      <c r="K18" s="5" t="s">
        <v>11</v>
      </c>
    </row>
    <row r="19" spans="1:11" ht="18" customHeight="1" x14ac:dyDescent="0.2">
      <c r="A19" s="9" t="s">
        <v>60</v>
      </c>
      <c r="B19" s="13" t="s">
        <v>58</v>
      </c>
      <c r="C19" s="39">
        <v>0.05</v>
      </c>
      <c r="D19" s="39">
        <v>0.08</v>
      </c>
      <c r="E19" s="12">
        <f>IFERROR(D19/C19,0)</f>
        <v>1.5999999999999999</v>
      </c>
      <c r="F19" s="27"/>
      <c r="G19" s="27"/>
      <c r="H19" s="13" t="s">
        <v>64</v>
      </c>
      <c r="I19" s="33">
        <f>IF(E19&lt;50%,0,IF(E19&lt;90%,3,5))</f>
        <v>5</v>
      </c>
      <c r="J19" s="13" t="s">
        <v>66</v>
      </c>
      <c r="K19" s="13" t="s">
        <v>12</v>
      </c>
    </row>
    <row r="20" spans="1:11" ht="18" customHeight="1" x14ac:dyDescent="0.2">
      <c r="A20" s="38" t="s">
        <v>52</v>
      </c>
      <c r="B20" s="36"/>
      <c r="C20" s="36"/>
      <c r="D20" s="36"/>
      <c r="E20" s="26"/>
      <c r="F20" s="26"/>
      <c r="G20" s="26"/>
      <c r="H20" s="26"/>
      <c r="I20" s="29">
        <f>I21+I23</f>
        <v>10</v>
      </c>
      <c r="J20" s="26"/>
      <c r="K20" s="26"/>
    </row>
    <row r="21" spans="1:11" ht="18" customHeight="1" x14ac:dyDescent="0.2">
      <c r="A21" s="4" t="s">
        <v>46</v>
      </c>
      <c r="B21" s="5" t="s">
        <v>14</v>
      </c>
      <c r="C21" s="6">
        <v>30</v>
      </c>
      <c r="D21" s="6">
        <f>D22</f>
        <v>30</v>
      </c>
      <c r="E21" s="7">
        <f>IF(COUNT(E22:E22)&gt;0,AVERAGE(E22:E22),IFERROR(D21/C21,0))</f>
        <v>1</v>
      </c>
      <c r="F21" s="7">
        <v>0.05</v>
      </c>
      <c r="G21" s="7">
        <f>MIN(E21,100%)*F21</f>
        <v>0.05</v>
      </c>
      <c r="H21" s="5" t="s">
        <v>64</v>
      </c>
      <c r="I21" s="8">
        <f>IF(E21&lt;60%,1,IF(E21=80%,3,IF(E21&lt;90%,4,IF(E21&lt;1000%,5))))</f>
        <v>5</v>
      </c>
      <c r="J21" s="5" t="s">
        <v>66</v>
      </c>
      <c r="K21" s="5" t="s">
        <v>11</v>
      </c>
    </row>
    <row r="22" spans="1:11" ht="18" customHeight="1" x14ac:dyDescent="0.2">
      <c r="A22" s="9" t="s">
        <v>46</v>
      </c>
      <c r="B22" s="13" t="s">
        <v>47</v>
      </c>
      <c r="C22" s="11">
        <v>30</v>
      </c>
      <c r="D22" s="11">
        <v>30</v>
      </c>
      <c r="E22" s="12">
        <f>IFERROR(D22/C22,0)</f>
        <v>1</v>
      </c>
      <c r="F22" s="27"/>
      <c r="G22" s="27"/>
      <c r="H22" s="13" t="s">
        <v>64</v>
      </c>
      <c r="I22" s="33">
        <f t="shared" ref="I22" si="2">IF(E22&lt;60%,1,IF(E22=80%,3,IF(E22&lt;90%,4,IF(E22&lt;1000%,5))))</f>
        <v>5</v>
      </c>
      <c r="J22" s="13" t="s">
        <v>66</v>
      </c>
      <c r="K22" s="13" t="s">
        <v>12</v>
      </c>
    </row>
    <row r="23" spans="1:11" ht="18" customHeight="1" x14ac:dyDescent="0.2">
      <c r="A23" s="4" t="s">
        <v>48</v>
      </c>
      <c r="B23" s="17" t="s">
        <v>18</v>
      </c>
      <c r="C23" s="7">
        <v>0.05</v>
      </c>
      <c r="D23" s="7">
        <f>D24</f>
        <v>0.08</v>
      </c>
      <c r="E23" s="7">
        <f>IF(COUNT(E24:E24)&gt;0,AVERAGE(E24:E24),IFERROR(D23/C23,0))</f>
        <v>1.5999999999999999</v>
      </c>
      <c r="F23" s="7">
        <v>0.05</v>
      </c>
      <c r="G23" s="7">
        <f>MIN(E23,100%)*F23</f>
        <v>0.05</v>
      </c>
      <c r="H23" s="5" t="s">
        <v>64</v>
      </c>
      <c r="I23" s="8">
        <f>IF(E23&lt;60%,1,IF(E23=80%,3,IF(E23&lt;90%,4,IF(E23&lt;1000%,5))))</f>
        <v>5</v>
      </c>
      <c r="J23" s="5" t="s">
        <v>66</v>
      </c>
      <c r="K23" s="5" t="s">
        <v>11</v>
      </c>
    </row>
    <row r="24" spans="1:11" ht="18" customHeight="1" x14ac:dyDescent="0.2">
      <c r="A24" s="9" t="s">
        <v>48</v>
      </c>
      <c r="B24" s="13" t="s">
        <v>63</v>
      </c>
      <c r="C24" s="12">
        <v>0.05</v>
      </c>
      <c r="D24" s="12">
        <v>0.08</v>
      </c>
      <c r="E24" s="12">
        <f>IFERROR(D24/C24,0)</f>
        <v>1.5999999999999999</v>
      </c>
      <c r="F24" s="27"/>
      <c r="G24" s="27"/>
      <c r="H24" s="13" t="s">
        <v>64</v>
      </c>
      <c r="I24" s="14">
        <f>IF(E24&lt;60%,1,IF(E24=80%,3,IF(E24&lt;90%,4,IF(E24&lt;1000%,5))))</f>
        <v>5</v>
      </c>
      <c r="J24" s="13" t="s">
        <v>66</v>
      </c>
      <c r="K24" s="13" t="s">
        <v>12</v>
      </c>
    </row>
    <row r="25" spans="1:11" ht="18" customHeight="1" x14ac:dyDescent="0.2">
      <c r="A25" s="38" t="s">
        <v>53</v>
      </c>
      <c r="B25" s="36"/>
      <c r="C25" s="26"/>
      <c r="D25" s="26"/>
      <c r="E25" s="26"/>
      <c r="F25" s="26"/>
      <c r="G25" s="26"/>
      <c r="H25" s="26"/>
      <c r="I25" s="25">
        <f>I26</f>
        <v>3</v>
      </c>
      <c r="J25" s="26"/>
      <c r="K25" s="26"/>
    </row>
    <row r="26" spans="1:11" ht="18" customHeight="1" x14ac:dyDescent="0.2">
      <c r="A26" s="4" t="s">
        <v>19</v>
      </c>
      <c r="B26" s="5" t="s">
        <v>49</v>
      </c>
      <c r="C26" s="6">
        <v>172585000</v>
      </c>
      <c r="D26" s="6">
        <v>104176000</v>
      </c>
      <c r="E26" s="12">
        <f>IFERROR(D26/C26,0)</f>
        <v>0.60362140394588171</v>
      </c>
      <c r="F26" s="7">
        <v>0.1</v>
      </c>
      <c r="G26" s="7">
        <f>MIN(E26,100%)*F26</f>
        <v>6.0362140394588176E-2</v>
      </c>
      <c r="H26" s="5" t="s">
        <v>54</v>
      </c>
      <c r="I26" s="8">
        <f>IF(E26&lt;50%,0,
IF(E26&lt;=59%,1,
IF(E26&lt;=69%,3,
IF(E26&lt;=79%,5,
IF(E26&lt;=89%,9,
IF(E26&gt;=100%,10,9))))))</f>
        <v>3</v>
      </c>
      <c r="J26" s="5" t="s">
        <v>66</v>
      </c>
      <c r="K26" s="5" t="s">
        <v>13</v>
      </c>
    </row>
    <row r="27" spans="1:11" ht="18" customHeight="1" x14ac:dyDescent="0.2">
      <c r="A27" s="38" t="s">
        <v>22</v>
      </c>
      <c r="B27" s="36"/>
      <c r="C27" s="26"/>
      <c r="D27" s="26"/>
      <c r="E27" s="26"/>
      <c r="F27" s="26"/>
      <c r="G27" s="26"/>
      <c r="H27" s="26"/>
      <c r="I27" s="25">
        <f>I28</f>
        <v>5</v>
      </c>
      <c r="J27" s="26"/>
      <c r="K27" s="26"/>
    </row>
    <row r="28" spans="1:11" ht="18" customHeight="1" x14ac:dyDescent="0.2">
      <c r="A28" s="4" t="s">
        <v>16</v>
      </c>
      <c r="B28" s="5" t="s">
        <v>14</v>
      </c>
      <c r="C28" s="7">
        <v>1</v>
      </c>
      <c r="D28" s="7">
        <v>1</v>
      </c>
      <c r="E28" s="7">
        <v>1</v>
      </c>
      <c r="F28" s="7">
        <v>0.05</v>
      </c>
      <c r="G28" s="7">
        <f>MIN(E28,100%)*F28</f>
        <v>0.05</v>
      </c>
      <c r="H28" s="5" t="s">
        <v>10</v>
      </c>
      <c r="I28" s="8">
        <f>IF(E28&lt;60%,1,IF(E28=80%,3,IF(E28&lt;90%,4,IF(E28&lt;1000%,5))))</f>
        <v>5</v>
      </c>
      <c r="J28" s="5" t="s">
        <v>66</v>
      </c>
      <c r="K28" s="5" t="s">
        <v>13</v>
      </c>
    </row>
    <row r="29" spans="1:11" ht="18" customHeight="1" x14ac:dyDescent="0.2">
      <c r="A29" s="38" t="s">
        <v>23</v>
      </c>
      <c r="B29" s="36"/>
      <c r="C29" s="26"/>
      <c r="D29" s="26"/>
      <c r="E29" s="26"/>
      <c r="F29" s="26"/>
      <c r="G29" s="26"/>
      <c r="H29" s="26"/>
      <c r="I29" s="29">
        <f>I30</f>
        <v>5</v>
      </c>
      <c r="J29" s="26"/>
      <c r="K29" s="26"/>
    </row>
    <row r="30" spans="1:11" ht="18" customHeight="1" x14ac:dyDescent="0.2">
      <c r="A30" s="4" t="s">
        <v>17</v>
      </c>
      <c r="B30" s="5"/>
      <c r="C30" s="7">
        <v>1</v>
      </c>
      <c r="D30" s="7">
        <v>1</v>
      </c>
      <c r="E30" s="7">
        <f>IFERROR(D30/C30,0)</f>
        <v>1</v>
      </c>
      <c r="F30" s="7">
        <v>0.05</v>
      </c>
      <c r="G30" s="7">
        <f>MIN(E30,100%)*F30</f>
        <v>0.05</v>
      </c>
      <c r="H30" s="5" t="s">
        <v>10</v>
      </c>
      <c r="I30" s="8">
        <f>IF(E30&lt;60%,1,IF(E30=80%,3,IF(E30&lt;90%,4,IF(E30&lt;1000%,5))))</f>
        <v>5</v>
      </c>
      <c r="J30" s="5" t="s">
        <v>66</v>
      </c>
      <c r="K30" s="5" t="s">
        <v>13</v>
      </c>
    </row>
    <row r="31" spans="1:11" ht="18" customHeight="1" x14ac:dyDescent="0.2">
      <c r="A31" s="18" t="s">
        <v>75</v>
      </c>
      <c r="B31" s="1"/>
      <c r="C31" s="27"/>
      <c r="D31" s="27"/>
      <c r="E31" s="27"/>
      <c r="F31" s="28"/>
      <c r="G31" s="20">
        <f>SUM(G4:G30)</f>
        <v>0.96036214039458845</v>
      </c>
      <c r="H31" s="1" t="s">
        <v>100</v>
      </c>
      <c r="I31" s="19">
        <f>I4+I13+I20+I25+I27+I29</f>
        <v>93</v>
      </c>
      <c r="J31" s="1"/>
      <c r="K31" s="1"/>
    </row>
    <row r="32" spans="1:11" ht="16" customHeight="1" x14ac:dyDescent="0.2">
      <c r="A32" s="42" t="s">
        <v>76</v>
      </c>
      <c r="B32" s="45">
        <v>10400000</v>
      </c>
      <c r="C32" s="27"/>
      <c r="D32" s="27"/>
      <c r="E32" s="27"/>
      <c r="F32" s="27"/>
      <c r="G32" s="40">
        <f>B32*95%</f>
        <v>9880000</v>
      </c>
      <c r="I32" s="27"/>
      <c r="J32" s="27"/>
      <c r="K32" s="27"/>
    </row>
    <row r="33" spans="1:11" ht="16" customHeight="1" x14ac:dyDescent="0.2">
      <c r="A33" s="42" t="s">
        <v>109</v>
      </c>
      <c r="B33" s="43">
        <v>5600000</v>
      </c>
      <c r="C33" s="2"/>
      <c r="D33" s="2"/>
      <c r="E33" s="2"/>
      <c r="F33" s="2"/>
      <c r="G33" s="2"/>
      <c r="H33" s="48" t="s">
        <v>101</v>
      </c>
      <c r="I33" s="27"/>
      <c r="J33" s="27"/>
      <c r="K33" s="27"/>
    </row>
    <row r="34" spans="1:11" ht="16" customHeight="1" x14ac:dyDescent="0.2">
      <c r="A34" s="27"/>
      <c r="B34" s="49" t="s">
        <v>102</v>
      </c>
      <c r="C34" s="50"/>
      <c r="D34" s="50"/>
      <c r="E34" s="51" t="s">
        <v>103</v>
      </c>
      <c r="F34" s="50"/>
      <c r="G34" s="50"/>
      <c r="H34" s="49" t="s">
        <v>104</v>
      </c>
      <c r="I34" s="27"/>
      <c r="J34" s="27"/>
      <c r="K34" s="27"/>
    </row>
    <row r="35" spans="1:11" ht="16" customHeight="1" x14ac:dyDescent="0.2">
      <c r="A35" s="27"/>
      <c r="B35" s="2"/>
      <c r="C35" s="2"/>
      <c r="D35" s="2"/>
      <c r="E35" s="2"/>
      <c r="F35" s="2"/>
      <c r="G35" s="2"/>
      <c r="H35" s="2"/>
      <c r="I35" s="27"/>
      <c r="J35" s="27"/>
      <c r="K35" s="27"/>
    </row>
    <row r="36" spans="1:11" ht="16" customHeight="1" x14ac:dyDescent="0.2">
      <c r="A36" s="27"/>
      <c r="B36" s="2"/>
      <c r="C36" s="2"/>
      <c r="D36" s="2"/>
      <c r="E36" s="2"/>
      <c r="F36" s="2"/>
      <c r="G36" s="2"/>
      <c r="H36" s="2"/>
      <c r="I36" s="27"/>
      <c r="J36" s="27"/>
      <c r="K36" s="27"/>
    </row>
    <row r="37" spans="1:11" ht="16" customHeight="1" x14ac:dyDescent="0.2">
      <c r="A37" s="27"/>
      <c r="B37" s="2"/>
      <c r="C37" s="2"/>
      <c r="D37" s="2"/>
      <c r="E37" s="2"/>
      <c r="F37" s="2"/>
      <c r="G37" s="2"/>
      <c r="H37" s="2"/>
      <c r="I37" s="27"/>
      <c r="J37" s="27"/>
      <c r="K37" s="27"/>
    </row>
    <row r="38" spans="1:11" ht="16" customHeight="1" x14ac:dyDescent="0.2">
      <c r="A38" s="27"/>
      <c r="B38" s="2"/>
      <c r="C38" s="2"/>
      <c r="D38" s="2"/>
      <c r="E38" s="46" t="s">
        <v>105</v>
      </c>
      <c r="F38" s="2"/>
      <c r="G38" s="2"/>
      <c r="H38" s="53" t="s">
        <v>106</v>
      </c>
      <c r="I38" s="27"/>
      <c r="J38" s="27"/>
      <c r="K38" s="27"/>
    </row>
    <row r="39" spans="1:11" ht="16" customHeight="1" x14ac:dyDescent="0.2">
      <c r="A39" s="27"/>
      <c r="B39" s="41" t="s">
        <v>95</v>
      </c>
      <c r="C39" s="2"/>
      <c r="D39" s="2"/>
      <c r="E39" s="47" t="s">
        <v>107</v>
      </c>
      <c r="F39" s="2"/>
      <c r="G39" s="2"/>
      <c r="H39" s="52" t="s">
        <v>108</v>
      </c>
      <c r="I39" s="27"/>
      <c r="J39" s="27"/>
      <c r="K39" s="27"/>
    </row>
    <row r="40" spans="1:11" ht="16" customHeight="1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</row>
    <row r="41" spans="1:11" ht="15" customHeight="1" x14ac:dyDescent="0.2">
      <c r="A41" s="37"/>
      <c r="B41" s="27"/>
      <c r="C41" s="27"/>
      <c r="D41" s="27"/>
      <c r="E41" s="27"/>
      <c r="F41" s="27"/>
      <c r="G41" s="27"/>
      <c r="H41" s="27"/>
      <c r="I41" s="27"/>
      <c r="J41" s="27"/>
      <c r="K41" s="27"/>
    </row>
  </sheetData>
  <mergeCells count="4">
    <mergeCell ref="C1:I1"/>
    <mergeCell ref="C2:D2"/>
    <mergeCell ref="E2:G2"/>
    <mergeCell ref="A1:B2"/>
  </mergeCells>
  <conditionalFormatting sqref="E5:E12 E14:E19 E21:E24 E26 E28 E30">
    <cfRule type="expression" dxfId="2" priority="1" stopIfTrue="1">
      <formula>E5&lt;60%</formula>
    </cfRule>
    <cfRule type="expression" dxfId="1" priority="2" stopIfTrue="1">
      <formula>AND(E5&gt;=60%,E5&lt;100%)</formula>
    </cfRule>
    <cfRule type="expression" dxfId="0" priority="3" stopIfTrue="1">
      <formula>E5&gt;=100%</formula>
    </cfRule>
  </conditionalFormatting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 - Digital</vt:lpstr>
      <vt:lpstr>Marketing - Graphic</vt:lpstr>
      <vt:lpstr>Marketing - 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Tri Thien Phung</dc:creator>
  <cp:lastModifiedBy>Duong Tri Thien Phung</cp:lastModifiedBy>
  <dcterms:created xsi:type="dcterms:W3CDTF">2025-11-01T09:06:44Z</dcterms:created>
  <dcterms:modified xsi:type="dcterms:W3CDTF">2026-03-24T20:04:21Z</dcterms:modified>
</cp:coreProperties>
</file>