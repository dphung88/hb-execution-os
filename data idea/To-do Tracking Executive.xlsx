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isonyang/Documents/Business/HEALTHY BEAUTY PHARMA/2025 | Thang 12/Agile Task/"/>
    </mc:Choice>
  </mc:AlternateContent>
  <xr:revisionPtr revIDLastSave="0" documentId="13_ncr:1_{A38259C5-928A-B24F-B672-6B2F3EA046CF}" xr6:coauthVersionLast="47" xr6:coauthVersionMax="47" xr10:uidLastSave="{00000000-0000-0000-0000-000000000000}"/>
  <bookViews>
    <workbookView xWindow="700" yWindow="640" windowWidth="26340" windowHeight="15660" xr2:uid="{5657F3D7-29EB-054E-AD2E-9946D01B1D52}"/>
  </bookViews>
  <sheets>
    <sheet name="Work Schedule" sheetId="8" r:id="rId1"/>
    <sheet name="Marketing Executive" sheetId="7" r:id="rId2"/>
    <sheet name="Content Marketer" sheetId="9" r:id="rId3"/>
    <sheet name="Graphic Designer" sheetId="10" r:id="rId4"/>
    <sheet name="Media Editor" sheetId="11" r:id="rId5"/>
    <sheet name="Tasks Tracking" sheetId="2" r:id="rId6"/>
    <sheet name="Task View" sheetId="14" r:id="rId7"/>
    <sheet name="Dashboard Report" sheetId="6" r:id="rId8"/>
  </sheets>
  <externalReferences>
    <externalReference r:id="rId9"/>
  </externalReferences>
  <definedNames>
    <definedName name="_xlnm._FilterDatabase" localSheetId="6" hidden="1">'Task View'!$A$5:$O$88</definedName>
    <definedName name="_xlnm._FilterDatabase" localSheetId="5" hidden="1">'Tasks Tracking'!$E$6:$E$173</definedName>
    <definedName name="ACTIVITIES_OVERVIEW">#REF!</definedName>
    <definedName name="Application">#REF!</definedName>
    <definedName name="Category">#REF!</definedName>
    <definedName name="Frequency">#REF!</definedName>
    <definedName name="GERMAN_BUND">#REF!</definedName>
    <definedName name="GERMAN_INFLATION">#REF!</definedName>
    <definedName name="RATE">#REF!</definedName>
    <definedName name="Things">'[1]Dropdown lists'!#REF!</definedName>
    <definedName name="US_INFLATION">#REF!</definedName>
    <definedName name="US_RISK_FREE_RATE">#REF!</definedName>
    <definedName name="wrn.World._.Imports." localSheetId="0" hidden="1">{#N/A,#N/A,FALSE,"WLDIMPS"}</definedName>
    <definedName name="wrn.World._.Imports." hidden="1">{#N/A,#N/A,FALSE,"WLDIMPS"}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1" l="1"/>
  <c r="B47" i="11"/>
  <c r="B37" i="11"/>
  <c r="B36" i="11"/>
  <c r="B26" i="11"/>
  <c r="B25" i="11"/>
  <c r="B15" i="11"/>
  <c r="B14" i="11"/>
  <c r="B4" i="11"/>
  <c r="B4" i="10"/>
  <c r="B3" i="11"/>
  <c r="B3" i="10"/>
  <c r="D1" i="11"/>
  <c r="B48" i="10"/>
  <c r="B47" i="10"/>
  <c r="B37" i="10"/>
  <c r="B36" i="10"/>
  <c r="B26" i="10"/>
  <c r="B25" i="10"/>
  <c r="B15" i="10"/>
  <c r="B14" i="10"/>
  <c r="B4" i="9"/>
  <c r="B3" i="9"/>
  <c r="D1" i="10"/>
  <c r="B48" i="7"/>
  <c r="B47" i="7"/>
  <c r="B37" i="7"/>
  <c r="B36" i="7"/>
  <c r="B26" i="7"/>
  <c r="B25" i="7"/>
  <c r="B15" i="7"/>
  <c r="B14" i="7"/>
  <c r="B4" i="7"/>
  <c r="B3" i="7"/>
  <c r="D1" i="7"/>
  <c r="B48" i="9"/>
  <c r="B47" i="9"/>
  <c r="B37" i="9"/>
  <c r="B36" i="9"/>
  <c r="B26" i="9"/>
  <c r="B25" i="9"/>
  <c r="B15" i="9"/>
  <c r="B14" i="9"/>
  <c r="D1" i="9"/>
  <c r="D2" i="9"/>
  <c r="B4" i="14"/>
  <c r="H2" i="14" s="1" a="1"/>
  <c r="H2" i="14" s="1"/>
  <c r="B3" i="14"/>
  <c r="B2" i="14"/>
  <c r="J173" i="2"/>
  <c r="H133" i="2" a="1"/>
  <c r="H133" i="2" s="1"/>
  <c r="H134" i="2" a="1"/>
  <c r="H134" i="2" s="1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0" i="2" a="1"/>
  <c r="H140" i="2" s="1"/>
  <c r="H141" i="2" a="1"/>
  <c r="H141" i="2" s="1"/>
  <c r="H142" i="2" a="1"/>
  <c r="H142" i="2" s="1"/>
  <c r="H143" i="2" a="1"/>
  <c r="H143" i="2" s="1"/>
  <c r="H144" i="2" a="1"/>
  <c r="H144" i="2" s="1"/>
  <c r="H145" i="2" a="1"/>
  <c r="H145" i="2" s="1"/>
  <c r="H146" i="2" a="1"/>
  <c r="H146" i="2" s="1"/>
  <c r="H147" i="2" a="1"/>
  <c r="H147" i="2" s="1"/>
  <c r="H148" i="2" a="1"/>
  <c r="H148" i="2" s="1"/>
  <c r="H149" i="2" a="1"/>
  <c r="H149" i="2" s="1"/>
  <c r="H150" i="2" a="1"/>
  <c r="H150" i="2" s="1"/>
  <c r="H151" i="2" a="1"/>
  <c r="H151" i="2" s="1"/>
  <c r="H152" i="2" a="1"/>
  <c r="H152" i="2" s="1"/>
  <c r="H153" i="2" a="1"/>
  <c r="H153" i="2" s="1"/>
  <c r="H154" i="2" a="1"/>
  <c r="H154" i="2" s="1"/>
  <c r="H155" i="2" a="1"/>
  <c r="H155" i="2" s="1"/>
  <c r="H156" i="2" a="1"/>
  <c r="H156" i="2" s="1"/>
  <c r="H157" i="2" a="1"/>
  <c r="H157" i="2" s="1"/>
  <c r="H158" i="2" a="1"/>
  <c r="H158" i="2" s="1"/>
  <c r="H159" i="2" a="1"/>
  <c r="H159" i="2" s="1"/>
  <c r="H160" i="2" a="1"/>
  <c r="H160" i="2" s="1"/>
  <c r="H161" i="2" a="1"/>
  <c r="H161" i="2" s="1"/>
  <c r="H162" i="2" a="1"/>
  <c r="H162" i="2" s="1"/>
  <c r="H163" i="2" a="1"/>
  <c r="H163" i="2" s="1"/>
  <c r="H164" i="2" a="1"/>
  <c r="H164" i="2" s="1"/>
  <c r="H165" i="2" a="1"/>
  <c r="H165" i="2" s="1"/>
  <c r="H166" i="2" a="1"/>
  <c r="H166" i="2" s="1"/>
  <c r="H167" i="2" a="1"/>
  <c r="H167" i="2" s="1"/>
  <c r="H168" i="2" a="1"/>
  <c r="H168" i="2" s="1"/>
  <c r="H169" i="2" a="1"/>
  <c r="H169" i="2" s="1"/>
  <c r="H170" i="2" a="1"/>
  <c r="H170" i="2" s="1"/>
  <c r="H171" i="2" a="1"/>
  <c r="H171" i="2" s="1"/>
  <c r="H172" i="2" a="1"/>
  <c r="H172" i="2" s="1"/>
  <c r="H173" i="2" a="1"/>
  <c r="H173" i="2" s="1"/>
  <c r="H132" i="2" a="1"/>
  <c r="H132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H120" i="2" a="1"/>
  <c r="H120" i="2" s="1"/>
  <c r="H121" i="2" a="1"/>
  <c r="H121" i="2" s="1"/>
  <c r="H122" i="2" a="1"/>
  <c r="H122" i="2" s="1"/>
  <c r="H123" i="2" a="1"/>
  <c r="H123" i="2" s="1"/>
  <c r="H124" i="2" a="1"/>
  <c r="H124" i="2" s="1"/>
  <c r="H125" i="2" a="1"/>
  <c r="H125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90" i="2" a="1"/>
  <c r="H90" i="2" s="1"/>
  <c r="B90" i="2" s="1" a="1"/>
  <c r="B90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B89" i="2" s="1" a="1"/>
  <c r="B89" i="2" s="1"/>
  <c r="H48" i="2" a="1"/>
  <c r="H48" i="2" s="1"/>
  <c r="B48" i="2" s="1" a="1"/>
  <c r="B48" i="2" s="1"/>
  <c r="H47" i="2" a="1"/>
  <c r="H47" i="2" s="1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H6" i="2" a="1"/>
  <c r="H6" i="2" s="1"/>
  <c r="B6" i="2" s="1" a="1"/>
  <c r="B6" i="2" s="1"/>
  <c r="C47" i="11" a="1"/>
  <c r="C47" i="11" s="1"/>
  <c r="C46" i="11"/>
  <c r="C36" i="11" a="1"/>
  <c r="C36" i="11" s="1"/>
  <c r="C35" i="11"/>
  <c r="C25" i="11" a="1"/>
  <c r="C25" i="11" s="1"/>
  <c r="C24" i="11"/>
  <c r="C14" i="11" a="1"/>
  <c r="C14" i="11" s="1"/>
  <c r="C13" i="11"/>
  <c r="C3" i="11" a="1"/>
  <c r="C3" i="11" s="1"/>
  <c r="I2" i="11"/>
  <c r="H2" i="11"/>
  <c r="G2" i="11"/>
  <c r="F2" i="11"/>
  <c r="E2" i="11"/>
  <c r="D2" i="11"/>
  <c r="C2" i="11"/>
  <c r="C47" i="10" a="1"/>
  <c r="C47" i="10" s="1"/>
  <c r="C46" i="10"/>
  <c r="C36" i="10" a="1"/>
  <c r="C36" i="10" s="1"/>
  <c r="C35" i="10"/>
  <c r="C25" i="10" a="1"/>
  <c r="C25" i="10" s="1"/>
  <c r="C24" i="10"/>
  <c r="C14" i="10" a="1"/>
  <c r="C14" i="10" s="1"/>
  <c r="C13" i="10"/>
  <c r="C3" i="10" a="1"/>
  <c r="C3" i="10" s="1"/>
  <c r="I2" i="10"/>
  <c r="H2" i="10"/>
  <c r="G2" i="10"/>
  <c r="F2" i="10"/>
  <c r="E2" i="10"/>
  <c r="D2" i="10"/>
  <c r="C2" i="10"/>
  <c r="C47" i="9" a="1"/>
  <c r="C47" i="9" s="1"/>
  <c r="C46" i="9"/>
  <c r="C36" i="9" a="1"/>
  <c r="C36" i="9" s="1"/>
  <c r="C35" i="9"/>
  <c r="C25" i="9"/>
  <c r="C25" i="9" a="1"/>
  <c r="C24" i="9"/>
  <c r="C14" i="9" a="1"/>
  <c r="C14" i="9" s="1"/>
  <c r="C13" i="9"/>
  <c r="C3" i="9" a="1"/>
  <c r="C3" i="9" s="1"/>
  <c r="I2" i="9"/>
  <c r="H2" i="9"/>
  <c r="G2" i="9"/>
  <c r="F2" i="9"/>
  <c r="E2" i="9"/>
  <c r="C2" i="9"/>
  <c r="C31" i="8" a="1"/>
  <c r="C31" i="8" s="1"/>
  <c r="C47" i="7" a="1"/>
  <c r="C47" i="7" s="1"/>
  <c r="C24" i="8" a="1"/>
  <c r="C24" i="8" s="1"/>
  <c r="C36" i="7" a="1"/>
  <c r="C36" i="7" s="1"/>
  <c r="C17" i="8" a="1"/>
  <c r="C17" i="8" s="1"/>
  <c r="C25" i="7" a="1"/>
  <c r="C25" i="7" s="1"/>
  <c r="C10" i="8" a="1"/>
  <c r="C10" i="8" s="1"/>
  <c r="C14" i="7" a="1"/>
  <c r="C14" i="7" s="1"/>
  <c r="C24" i="7"/>
  <c r="C30" i="8"/>
  <c r="C23" i="8"/>
  <c r="C16" i="8"/>
  <c r="C9" i="8"/>
  <c r="C13" i="7"/>
  <c r="C3" i="8" a="1"/>
  <c r="C3" i="8" s="1"/>
  <c r="C3" i="7" a="1"/>
  <c r="C3" i="7" s="1"/>
  <c r="C2" i="8"/>
  <c r="C2" i="7"/>
  <c r="E48" i="2" l="1" a="1"/>
  <c r="E48" i="2" s="1"/>
  <c r="B91" i="2" a="1"/>
  <c r="B91" i="2" s="1"/>
  <c r="B93" i="2" a="1"/>
  <c r="B93" i="2" s="1"/>
  <c r="B123" i="2" a="1"/>
  <c r="B123" i="2" s="1"/>
  <c r="B111" i="2" a="1"/>
  <c r="B111" i="2" s="1"/>
  <c r="B101" i="2" a="1"/>
  <c r="B101" i="2" s="1"/>
  <c r="B99" i="2" a="1"/>
  <c r="B99" i="2" s="1"/>
  <c r="B96" i="2" a="1"/>
  <c r="B96" i="2" s="1"/>
  <c r="B95" i="2" a="1"/>
  <c r="B95" i="2" s="1"/>
  <c r="B94" i="2" a="1"/>
  <c r="B94" i="2" s="1"/>
  <c r="B92" i="2" a="1"/>
  <c r="B92" i="2" s="1"/>
  <c r="B117" i="2" a="1"/>
  <c r="B117" i="2" s="1"/>
  <c r="B106" i="2" a="1"/>
  <c r="B106" i="2" s="1"/>
  <c r="B122" i="2" a="1"/>
  <c r="B122" i="2" s="1"/>
  <c r="B121" i="2" a="1"/>
  <c r="B121" i="2" s="1"/>
  <c r="B119" i="2" a="1"/>
  <c r="B119" i="2" s="1"/>
  <c r="B128" i="2" a="1"/>
  <c r="B128" i="2" s="1"/>
  <c r="B116" i="2" a="1"/>
  <c r="B116" i="2" s="1"/>
  <c r="B105" i="2" a="1"/>
  <c r="B105" i="2" s="1"/>
  <c r="B127" i="2" a="1"/>
  <c r="B127" i="2" s="1"/>
  <c r="B115" i="2" a="1"/>
  <c r="B115" i="2" s="1"/>
  <c r="B104" i="2" a="1"/>
  <c r="B104" i="2" s="1"/>
  <c r="B103" i="2" a="1"/>
  <c r="B103" i="2" s="1"/>
  <c r="B110" i="2" a="1"/>
  <c r="B110" i="2" s="1"/>
  <c r="B131" i="2" a="1"/>
  <c r="B131" i="2" s="1"/>
  <c r="B130" i="2" a="1"/>
  <c r="B130" i="2" s="1"/>
  <c r="B118" i="2" a="1"/>
  <c r="B118" i="2" s="1"/>
  <c r="B107" i="2" a="1"/>
  <c r="B107" i="2" s="1"/>
  <c r="B129" i="2" a="1"/>
  <c r="B129" i="2" s="1"/>
  <c r="B124" i="2" a="1"/>
  <c r="B124" i="2" s="1"/>
  <c r="B112" i="2" a="1"/>
  <c r="B112" i="2" s="1"/>
  <c r="B126" i="2" a="1"/>
  <c r="B126" i="2" s="1"/>
  <c r="B114" i="2" a="1"/>
  <c r="B114" i="2" s="1"/>
  <c r="B102" i="2" a="1"/>
  <c r="B102" i="2" s="1"/>
  <c r="B125" i="2" a="1"/>
  <c r="B125" i="2" s="1"/>
  <c r="B113" i="2" a="1"/>
  <c r="B113" i="2" s="1"/>
  <c r="B100" i="2" a="1"/>
  <c r="B100" i="2" s="1"/>
  <c r="B98" i="2" a="1"/>
  <c r="B98" i="2" s="1"/>
  <c r="B109" i="2" a="1"/>
  <c r="B109" i="2" s="1"/>
  <c r="B97" i="2" a="1"/>
  <c r="B97" i="2" s="1"/>
  <c r="B120" i="2" a="1"/>
  <c r="B120" i="2" s="1"/>
  <c r="B108" i="2" a="1"/>
  <c r="B108" i="2" s="1"/>
  <c r="B141" i="2" a="1"/>
  <c r="B141" i="2" s="1"/>
  <c r="B164" i="2" a="1"/>
  <c r="B164" i="2" s="1"/>
  <c r="B153" i="2" a="1"/>
  <c r="B153" i="2" s="1"/>
  <c r="B163" i="2" a="1"/>
  <c r="B163" i="2" s="1"/>
  <c r="B152" i="2" a="1"/>
  <c r="B152" i="2" s="1"/>
  <c r="B142" i="2" a="1"/>
  <c r="B142" i="2" s="1"/>
  <c r="B162" i="2" a="1"/>
  <c r="B162" i="2" s="1"/>
  <c r="B151" i="2" a="1"/>
  <c r="B151" i="2" s="1"/>
  <c r="B140" i="2" a="1"/>
  <c r="B140" i="2" s="1"/>
  <c r="B134" i="2" a="1"/>
  <c r="B134" i="2" s="1"/>
  <c r="B173" i="2" a="1"/>
  <c r="B173" i="2" s="1"/>
  <c r="B161" i="2" a="1"/>
  <c r="B161" i="2" s="1"/>
  <c r="B150" i="2" a="1"/>
  <c r="B150" i="2" s="1"/>
  <c r="B139" i="2" a="1"/>
  <c r="B139" i="2" s="1"/>
  <c r="B133" i="2" a="1"/>
  <c r="B133" i="2" s="1"/>
  <c r="B149" i="2" a="1"/>
  <c r="B149" i="2" s="1"/>
  <c r="B138" i="2" a="1"/>
  <c r="B138" i="2" s="1"/>
  <c r="B132" i="2" a="1"/>
  <c r="B132" i="2" s="1"/>
  <c r="B148" i="2" a="1"/>
  <c r="B148" i="2" s="1"/>
  <c r="B147" i="2" a="1"/>
  <c r="B147" i="2" s="1"/>
  <c r="B137" i="2" a="1"/>
  <c r="B137" i="2" s="1"/>
  <c r="B146" i="2" a="1"/>
  <c r="B146" i="2" s="1"/>
  <c r="B145" i="2" a="1"/>
  <c r="B145" i="2" s="1"/>
  <c r="B144" i="2" a="1"/>
  <c r="B144" i="2" s="1"/>
  <c r="B169" i="2" a="1"/>
  <c r="B169" i="2" s="1"/>
  <c r="B157" i="2" a="1"/>
  <c r="B157" i="2" s="1"/>
  <c r="B156" i="2" a="1"/>
  <c r="B156" i="2" s="1"/>
  <c r="B143" i="2" a="1"/>
  <c r="B143" i="2" s="1"/>
  <c r="B155" i="2" a="1"/>
  <c r="B155" i="2" s="1"/>
  <c r="B170" i="2" a="1"/>
  <c r="B170" i="2" s="1"/>
  <c r="B135" i="2" a="1"/>
  <c r="B135" i="2" s="1"/>
  <c r="B159" i="2" a="1"/>
  <c r="B159" i="2" s="1"/>
  <c r="B171" i="2" a="1"/>
  <c r="B171" i="2" s="1"/>
  <c r="B136" i="2" a="1"/>
  <c r="B136" i="2" s="1"/>
  <c r="B160" i="2" a="1"/>
  <c r="B160" i="2" s="1"/>
  <c r="B172" i="2" a="1"/>
  <c r="B172" i="2" s="1"/>
  <c r="B167" i="2" a="1"/>
  <c r="B167" i="2" s="1"/>
  <c r="B158" i="2" a="1"/>
  <c r="B158" i="2" s="1"/>
  <c r="B166" i="2" a="1"/>
  <c r="B166" i="2" s="1"/>
  <c r="B168" i="2" a="1"/>
  <c r="B168" i="2" s="1"/>
  <c r="B165" i="2" a="1"/>
  <c r="B165" i="2" s="1"/>
  <c r="B154" i="2" a="1"/>
  <c r="B154" i="2" s="1"/>
  <c r="E89" i="2" a="1"/>
  <c r="E89" i="2" s="1"/>
  <c r="B88" i="2" a="1"/>
  <c r="B88" i="2" s="1"/>
  <c r="B52" i="2" a="1"/>
  <c r="B52" i="2" s="1"/>
  <c r="B87" i="2" a="1"/>
  <c r="B87" i="2" s="1"/>
  <c r="B56" i="2" a="1"/>
  <c r="B56" i="2" s="1"/>
  <c r="B53" i="2" a="1"/>
  <c r="B53" i="2" s="1"/>
  <c r="B50" i="2" a="1"/>
  <c r="B50" i="2" s="1"/>
  <c r="B57" i="2" a="1"/>
  <c r="B57" i="2" s="1"/>
  <c r="B64" i="2" a="1"/>
  <c r="B64" i="2" s="1"/>
  <c r="E172" i="2" a="1"/>
  <c r="E172" i="2" s="1"/>
  <c r="B55" i="2" a="1"/>
  <c r="B55" i="2" s="1"/>
  <c r="B54" i="2" a="1"/>
  <c r="B54" i="2" s="1"/>
  <c r="B58" i="2" a="1"/>
  <c r="B58" i="2" s="1"/>
  <c r="B65" i="2" a="1"/>
  <c r="B65" i="2" s="1"/>
  <c r="B51" i="2" a="1"/>
  <c r="B51" i="2" s="1"/>
  <c r="B49" i="2" a="1"/>
  <c r="B49" i="2" s="1"/>
  <c r="E173" i="2" s="1" a="1"/>
  <c r="E173" i="2" s="1"/>
  <c r="B60" i="2" a="1"/>
  <c r="B60" i="2" s="1"/>
  <c r="B61" i="2" a="1"/>
  <c r="B61" i="2" s="1"/>
  <c r="B63" i="2" a="1"/>
  <c r="B63" i="2" s="1"/>
  <c r="B62" i="2" a="1"/>
  <c r="B62" i="2" s="1"/>
  <c r="B59" i="2" a="1"/>
  <c r="B59" i="2" s="1"/>
  <c r="B66" i="2" a="1"/>
  <c r="B66" i="2" s="1"/>
  <c r="B86" i="2" a="1"/>
  <c r="B86" i="2" s="1"/>
  <c r="B85" i="2" a="1"/>
  <c r="B85" i="2" s="1"/>
  <c r="B75" i="2" a="1"/>
  <c r="B75" i="2" s="1"/>
  <c r="B84" i="2" a="1"/>
  <c r="B84" i="2" s="1"/>
  <c r="B73" i="2" a="1"/>
  <c r="B73" i="2" s="1"/>
  <c r="B74" i="2" a="1"/>
  <c r="B74" i="2" s="1"/>
  <c r="B72" i="2" a="1"/>
  <c r="B72" i="2" s="1"/>
  <c r="B67" i="2" a="1"/>
  <c r="B67" i="2" s="1"/>
  <c r="B80" i="2" a="1"/>
  <c r="B80" i="2" s="1"/>
  <c r="B69" i="2" a="1"/>
  <c r="B69" i="2" s="1"/>
  <c r="B82" i="2" a="1"/>
  <c r="B82" i="2" s="1"/>
  <c r="B79" i="2" a="1"/>
  <c r="B79" i="2" s="1"/>
  <c r="B81" i="2" a="1"/>
  <c r="B81" i="2" s="1"/>
  <c r="B83" i="2" a="1"/>
  <c r="B83" i="2" s="1"/>
  <c r="B78" i="2" a="1"/>
  <c r="B78" i="2" s="1"/>
  <c r="B77" i="2" a="1"/>
  <c r="B77" i="2" s="1"/>
  <c r="B76" i="2" a="1"/>
  <c r="B76" i="2" s="1"/>
  <c r="B71" i="2" a="1"/>
  <c r="B71" i="2" s="1"/>
  <c r="B70" i="2" a="1"/>
  <c r="B70" i="2" s="1"/>
  <c r="B68" i="2" a="1"/>
  <c r="B68" i="2" s="1"/>
  <c r="J6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24" i="2"/>
  <c r="J25" i="2"/>
  <c r="J26" i="2"/>
  <c r="J27" i="2"/>
  <c r="J28" i="2"/>
  <c r="J29" i="2"/>
  <c r="J30" i="2"/>
  <c r="J31" i="2"/>
  <c r="J23" i="2"/>
  <c r="H2" i="2" a="1"/>
  <c r="H2" i="2" s="1"/>
  <c r="C46" i="7"/>
  <c r="C35" i="7"/>
  <c r="I2" i="7"/>
  <c r="H2" i="7"/>
  <c r="D2" i="7"/>
  <c r="E2" i="7"/>
  <c r="F2" i="7"/>
  <c r="G2" i="7"/>
  <c r="H7" i="2" a="1"/>
  <c r="H7" i="2" s="1"/>
  <c r="B7" i="2" s="1" a="1"/>
  <c r="B7" i="2" s="1"/>
  <c r="E131" i="2" l="1" a="1"/>
  <c r="E131" i="2" s="1"/>
  <c r="E90" i="2" a="1"/>
  <c r="E90" i="2" s="1"/>
  <c r="H44" i="2" a="1"/>
  <c r="H44" i="2" s="1"/>
  <c r="H36" i="2" a="1"/>
  <c r="H36" i="2" s="1"/>
  <c r="H28" i="2" a="1"/>
  <c r="H28" i="2" s="1"/>
  <c r="H13" i="2" a="1"/>
  <c r="H13" i="2" s="1"/>
  <c r="H43" i="2" a="1"/>
  <c r="H43" i="2" s="1"/>
  <c r="H27" i="2" a="1"/>
  <c r="H27" i="2" s="1"/>
  <c r="H20" i="2" a="1"/>
  <c r="H20" i="2" s="1"/>
  <c r="H35" i="2" a="1"/>
  <c r="H35" i="2" s="1"/>
  <c r="H19" i="2" a="1"/>
  <c r="H19" i="2" s="1"/>
  <c r="H12" i="2" a="1"/>
  <c r="H12" i="2" s="1"/>
  <c r="H42" i="2" a="1"/>
  <c r="H42" i="2" s="1"/>
  <c r="H34" i="2" a="1"/>
  <c r="H34" i="2" s="1"/>
  <c r="H26" i="2" a="1"/>
  <c r="H26" i="2" s="1"/>
  <c r="H33" i="2" a="1"/>
  <c r="H33" i="2" s="1"/>
  <c r="H25" i="2" a="1"/>
  <c r="H25" i="2" s="1"/>
  <c r="H18" i="2" a="1"/>
  <c r="H18" i="2" s="1"/>
  <c r="H11" i="2" a="1"/>
  <c r="H11" i="2" s="1"/>
  <c r="H41" i="2" a="1"/>
  <c r="H41" i="2" s="1"/>
  <c r="H10" i="2" a="1"/>
  <c r="H10" i="2" s="1"/>
  <c r="H40" i="2" a="1"/>
  <c r="H40" i="2" s="1"/>
  <c r="H32" i="2" a="1"/>
  <c r="H32" i="2" s="1"/>
  <c r="H24" i="2" a="1"/>
  <c r="H24" i="2" s="1"/>
  <c r="H17" i="2" a="1"/>
  <c r="H17" i="2" s="1"/>
  <c r="H39" i="2" a="1"/>
  <c r="H39" i="2" s="1"/>
  <c r="H31" i="2" a="1"/>
  <c r="H31" i="2" s="1"/>
  <c r="H16" i="2" a="1"/>
  <c r="H16" i="2" s="1"/>
  <c r="H9" i="2" a="1"/>
  <c r="H9" i="2" s="1"/>
  <c r="H23" i="2" a="1"/>
  <c r="H23" i="2" s="1"/>
  <c r="H46" i="2" a="1"/>
  <c r="H46" i="2" s="1"/>
  <c r="H38" i="2" a="1"/>
  <c r="H38" i="2" s="1"/>
  <c r="H30" i="2" a="1"/>
  <c r="H30" i="2" s="1"/>
  <c r="H22" i="2" a="1"/>
  <c r="H22" i="2" s="1"/>
  <c r="H15" i="2" a="1"/>
  <c r="H15" i="2" s="1"/>
  <c r="H8" i="2" a="1"/>
  <c r="H8" i="2" s="1"/>
  <c r="B8" i="2" s="1" a="1"/>
  <c r="B8" i="2" s="1"/>
  <c r="H45" i="2" a="1"/>
  <c r="H45" i="2" s="1"/>
  <c r="H37" i="2" a="1"/>
  <c r="H37" i="2" s="1"/>
  <c r="H29" i="2" a="1"/>
  <c r="H29" i="2" s="1"/>
  <c r="H21" i="2" a="1"/>
  <c r="H21" i="2" s="1"/>
  <c r="H14" i="2" a="1"/>
  <c r="H14" i="2" s="1"/>
  <c r="J20" i="2"/>
  <c r="J21" i="2"/>
  <c r="J22" i="2"/>
  <c r="J10" i="2"/>
  <c r="J11" i="2"/>
  <c r="J12" i="2"/>
  <c r="J13" i="2"/>
  <c r="J14" i="2"/>
  <c r="J15" i="2"/>
  <c r="J16" i="2"/>
  <c r="J17" i="2"/>
  <c r="J18" i="2"/>
  <c r="J19" i="2"/>
  <c r="J7" i="2"/>
  <c r="J8" i="2"/>
  <c r="J9" i="2"/>
  <c r="E132" i="2" l="1" a="1"/>
  <c r="E132" i="2" s="1"/>
  <c r="B47" i="2" a="1"/>
  <c r="B47" i="2" s="1"/>
  <c r="E171" i="2" s="1" a="1"/>
  <c r="E171" i="2" s="1"/>
  <c r="E91" i="2" a="1"/>
  <c r="E91" i="2" s="1"/>
  <c r="B12" i="2" a="1"/>
  <c r="B12" i="2" s="1"/>
  <c r="B10" i="2" a="1"/>
  <c r="B10" i="2" s="1"/>
  <c r="E134" i="2" s="1" a="1"/>
  <c r="E134" i="2" s="1"/>
  <c r="B15" i="2" a="1"/>
  <c r="B15" i="2" s="1"/>
  <c r="B24" i="2" a="1"/>
  <c r="B24" i="2" s="1"/>
  <c r="E148" i="2" s="1" a="1"/>
  <c r="E148" i="2" s="1"/>
  <c r="B38" i="2" a="1"/>
  <c r="B38" i="2" s="1"/>
  <c r="E162" i="2" s="1" a="1"/>
  <c r="E162" i="2" s="1"/>
  <c r="B45" i="2" a="1"/>
  <c r="B45" i="2" s="1"/>
  <c r="E169" i="2" s="1" a="1"/>
  <c r="E169" i="2" s="1"/>
  <c r="B39" i="2" a="1"/>
  <c r="B39" i="2" s="1"/>
  <c r="E163" i="2" s="1" a="1"/>
  <c r="E163" i="2" s="1"/>
  <c r="B34" i="2" a="1"/>
  <c r="B34" i="2" s="1"/>
  <c r="E158" i="2" s="1" a="1"/>
  <c r="E158" i="2" s="1"/>
  <c r="B35" i="2" a="1"/>
  <c r="B35" i="2" s="1"/>
  <c r="E159" i="2" s="1" a="1"/>
  <c r="E159" i="2" s="1"/>
  <c r="B17" i="2" a="1"/>
  <c r="B17" i="2" s="1"/>
  <c r="E141" i="2" s="1" a="1"/>
  <c r="E141" i="2" s="1"/>
  <c r="B42" i="2" a="1"/>
  <c r="B42" i="2" s="1"/>
  <c r="E166" i="2" s="1" a="1"/>
  <c r="E166" i="2" s="1"/>
  <c r="B19" i="2" a="1"/>
  <c r="B19" i="2" s="1"/>
  <c r="E143" i="2" s="1" a="1"/>
  <c r="E143" i="2" s="1"/>
  <c r="B32" i="2" a="1"/>
  <c r="B32" i="2" s="1"/>
  <c r="E156" i="2" s="1" a="1"/>
  <c r="E156" i="2" s="1"/>
  <c r="B30" i="2" a="1"/>
  <c r="B30" i="2" s="1"/>
  <c r="E154" i="2" s="1" a="1"/>
  <c r="E154" i="2" s="1"/>
  <c r="B23" i="2" a="1"/>
  <c r="B23" i="2" s="1"/>
  <c r="E147" i="2" s="1" a="1"/>
  <c r="E147" i="2" s="1"/>
  <c r="B11" i="2" a="1"/>
  <c r="B11" i="2" s="1"/>
  <c r="E135" i="2" s="1" a="1"/>
  <c r="E135" i="2" s="1"/>
  <c r="B43" i="2" a="1"/>
  <c r="B43" i="2" s="1"/>
  <c r="E167" i="2" s="1" a="1"/>
  <c r="E167" i="2" s="1"/>
  <c r="B20" i="2" a="1"/>
  <c r="B20" i="2" s="1"/>
  <c r="E144" i="2" s="1" a="1"/>
  <c r="E144" i="2" s="1"/>
  <c r="B46" i="2" a="1"/>
  <c r="B46" i="2" s="1"/>
  <c r="E170" i="2" s="1" a="1"/>
  <c r="E170" i="2" s="1"/>
  <c r="B14" i="2" a="1"/>
  <c r="B14" i="2" s="1"/>
  <c r="E138" i="2" s="1" a="1"/>
  <c r="E138" i="2" s="1"/>
  <c r="B18" i="2" a="1"/>
  <c r="B18" i="2" s="1"/>
  <c r="E142" i="2" s="1" a="1"/>
  <c r="E142" i="2" s="1"/>
  <c r="B13" i="2" a="1"/>
  <c r="B13" i="2" s="1"/>
  <c r="E137" i="2" s="1" a="1"/>
  <c r="E137" i="2" s="1"/>
  <c r="B22" i="2" a="1"/>
  <c r="B22" i="2" s="1"/>
  <c r="E146" i="2" s="1" a="1"/>
  <c r="E146" i="2" s="1"/>
  <c r="B21" i="2" a="1"/>
  <c r="B21" i="2" s="1"/>
  <c r="E145" i="2" s="1" a="1"/>
  <c r="E145" i="2" s="1"/>
  <c r="B9" i="2" a="1"/>
  <c r="B9" i="2" s="1"/>
  <c r="B25" i="2" a="1"/>
  <c r="B25" i="2" s="1"/>
  <c r="E149" i="2" s="1" a="1"/>
  <c r="E149" i="2" s="1"/>
  <c r="B28" i="2" a="1"/>
  <c r="B28" i="2" s="1"/>
  <c r="E152" i="2" s="1" a="1"/>
  <c r="E152" i="2" s="1"/>
  <c r="B41" i="2" a="1"/>
  <c r="B41" i="2" s="1"/>
  <c r="E165" i="2" s="1" a="1"/>
  <c r="E165" i="2" s="1"/>
  <c r="B29" i="2" a="1"/>
  <c r="B29" i="2" s="1"/>
  <c r="E153" i="2" s="1" a="1"/>
  <c r="E153" i="2" s="1"/>
  <c r="B16" i="2" a="1"/>
  <c r="B16" i="2" s="1"/>
  <c r="E140" i="2" s="1" a="1"/>
  <c r="E140" i="2" s="1"/>
  <c r="B33" i="2" a="1"/>
  <c r="B33" i="2" s="1"/>
  <c r="E157" i="2" s="1" a="1"/>
  <c r="E157" i="2" s="1"/>
  <c r="B36" i="2" a="1"/>
  <c r="B36" i="2" s="1"/>
  <c r="E160" i="2" s="1" a="1"/>
  <c r="E160" i="2" s="1"/>
  <c r="B40" i="2" a="1"/>
  <c r="B40" i="2" s="1"/>
  <c r="E164" i="2" s="1" a="1"/>
  <c r="E164" i="2" s="1"/>
  <c r="B27" i="2" a="1"/>
  <c r="B27" i="2" s="1"/>
  <c r="E151" i="2" s="1" a="1"/>
  <c r="E151" i="2" s="1"/>
  <c r="B37" i="2" a="1"/>
  <c r="B37" i="2" s="1"/>
  <c r="E161" i="2" s="1" a="1"/>
  <c r="E161" i="2" s="1"/>
  <c r="B31" i="2" a="1"/>
  <c r="B31" i="2" s="1"/>
  <c r="E155" i="2" s="1" a="1"/>
  <c r="E155" i="2" s="1"/>
  <c r="B26" i="2" a="1"/>
  <c r="B26" i="2" s="1"/>
  <c r="E150" i="2" s="1" a="1"/>
  <c r="E150" i="2" s="1"/>
  <c r="B44" i="2" a="1"/>
  <c r="B44" i="2" s="1"/>
  <c r="E168" i="2" s="1" a="1"/>
  <c r="E168" i="2" s="1"/>
  <c r="E6" i="2" a="1"/>
  <c r="E6" i="2" s="1"/>
  <c r="E50" i="2" a="1"/>
  <c r="E50" i="2" s="1"/>
  <c r="E49" i="2" a="1"/>
  <c r="E49" i="2" s="1"/>
  <c r="E133" i="2" l="1" a="1"/>
  <c r="E133" i="2" s="1"/>
  <c r="E57" i="2" a="1"/>
  <c r="E57" i="2" s="1"/>
  <c r="E139" i="2" a="1"/>
  <c r="E139" i="2" s="1"/>
  <c r="E12" i="2" a="1"/>
  <c r="E12" i="2" s="1"/>
  <c r="E136" i="2" a="1"/>
  <c r="E136" i="2" s="1"/>
  <c r="E54" i="2" a="1"/>
  <c r="E54" i="2" s="1"/>
  <c r="E130" i="2" a="1"/>
  <c r="E130" i="2" s="1"/>
  <c r="E129" i="2" a="1"/>
  <c r="E129" i="2" s="1"/>
  <c r="E99" i="2" a="1"/>
  <c r="E99" i="2" s="1"/>
  <c r="E94" i="2" a="1"/>
  <c r="E94" i="2" s="1"/>
  <c r="E106" i="2" a="1"/>
  <c r="E106" i="2" s="1"/>
  <c r="E108" i="2" a="1"/>
  <c r="E108" i="2" s="1"/>
  <c r="E93" i="2" a="1"/>
  <c r="E93" i="2" s="1"/>
  <c r="E103" i="2" a="1"/>
  <c r="E103" i="2" s="1"/>
  <c r="E98" i="2" a="1"/>
  <c r="E98" i="2" s="1"/>
  <c r="E102" i="2" a="1"/>
  <c r="E102" i="2" s="1"/>
  <c r="E95" i="2" a="1"/>
  <c r="E95" i="2" s="1"/>
  <c r="E128" i="2" a="1"/>
  <c r="E128" i="2" s="1"/>
  <c r="E107" i="2" a="1"/>
  <c r="E107" i="2" s="1"/>
  <c r="E105" i="2" a="1"/>
  <c r="E105" i="2" s="1"/>
  <c r="E97" i="2" a="1"/>
  <c r="E97" i="2" s="1"/>
  <c r="E96" i="2" a="1"/>
  <c r="E96" i="2" s="1"/>
  <c r="E83" i="2" a="1"/>
  <c r="E83" i="2" s="1"/>
  <c r="E124" i="2" a="1"/>
  <c r="E124" i="2" s="1"/>
  <c r="E69" i="2" a="1"/>
  <c r="E69" i="2" s="1"/>
  <c r="E110" i="2" a="1"/>
  <c r="E110" i="2" s="1"/>
  <c r="E85" i="2" a="1"/>
  <c r="E85" i="2" s="1"/>
  <c r="E126" i="2" a="1"/>
  <c r="E126" i="2" s="1"/>
  <c r="E70" i="2" a="1"/>
  <c r="E70" i="2" s="1"/>
  <c r="E111" i="2" a="1"/>
  <c r="E111" i="2" s="1"/>
  <c r="E84" i="2" a="1"/>
  <c r="E84" i="2" s="1"/>
  <c r="E125" i="2" a="1"/>
  <c r="E125" i="2" s="1"/>
  <c r="E77" i="2" a="1"/>
  <c r="E77" i="2" s="1"/>
  <c r="E118" i="2" a="1"/>
  <c r="E118" i="2" s="1"/>
  <c r="E75" i="2" a="1"/>
  <c r="E75" i="2" s="1"/>
  <c r="E116" i="2" a="1"/>
  <c r="E116" i="2" s="1"/>
  <c r="E86" i="2" a="1"/>
  <c r="E86" i="2" s="1"/>
  <c r="E127" i="2" a="1"/>
  <c r="E127" i="2" s="1"/>
  <c r="E72" i="2" a="1"/>
  <c r="E72" i="2" s="1"/>
  <c r="E113" i="2" a="1"/>
  <c r="E113" i="2" s="1"/>
  <c r="E78" i="2" a="1"/>
  <c r="E78" i="2" s="1"/>
  <c r="E119" i="2" a="1"/>
  <c r="E119" i="2" s="1"/>
  <c r="E81" i="2" a="1"/>
  <c r="E81" i="2" s="1"/>
  <c r="E122" i="2" a="1"/>
  <c r="E122" i="2" s="1"/>
  <c r="E71" i="2" a="1"/>
  <c r="E71" i="2" s="1"/>
  <c r="E112" i="2" a="1"/>
  <c r="E112" i="2" s="1"/>
  <c r="E68" i="2" a="1"/>
  <c r="E68" i="2" s="1"/>
  <c r="E109" i="2" a="1"/>
  <c r="E109" i="2" s="1"/>
  <c r="E74" i="2" a="1"/>
  <c r="E74" i="2" s="1"/>
  <c r="E115" i="2" a="1"/>
  <c r="E115" i="2" s="1"/>
  <c r="E79" i="2" a="1"/>
  <c r="E79" i="2" s="1"/>
  <c r="E120" i="2" a="1"/>
  <c r="E120" i="2" s="1"/>
  <c r="E82" i="2" a="1"/>
  <c r="E82" i="2" s="1"/>
  <c r="E123" i="2" a="1"/>
  <c r="E123" i="2" s="1"/>
  <c r="E76" i="2" a="1"/>
  <c r="E76" i="2" s="1"/>
  <c r="E117" i="2" a="1"/>
  <c r="E117" i="2" s="1"/>
  <c r="E80" i="2" a="1"/>
  <c r="E80" i="2" s="1"/>
  <c r="E121" i="2" a="1"/>
  <c r="E121" i="2" s="1"/>
  <c r="E73" i="2" a="1"/>
  <c r="E73" i="2" s="1"/>
  <c r="E114" i="2" a="1"/>
  <c r="E114" i="2" s="1"/>
  <c r="E60" i="2" a="1"/>
  <c r="E60" i="2" s="1"/>
  <c r="E101" i="2" a="1"/>
  <c r="E101" i="2" s="1"/>
  <c r="E59" i="2" a="1"/>
  <c r="E59" i="2" s="1"/>
  <c r="E100" i="2" a="1"/>
  <c r="E100" i="2" s="1"/>
  <c r="E51" i="2" a="1"/>
  <c r="E51" i="2" s="1"/>
  <c r="E92" i="2" a="1"/>
  <c r="E92" i="2" s="1"/>
  <c r="E63" i="2" a="1"/>
  <c r="E63" i="2" s="1"/>
  <c r="E104" i="2" a="1"/>
  <c r="E104" i="2" s="1"/>
  <c r="E46" i="2" a="1"/>
  <c r="E46" i="2" s="1"/>
  <c r="E88" i="2" a="1"/>
  <c r="E88" i="2" s="1"/>
  <c r="E45" i="2" a="1"/>
  <c r="E45" i="2" s="1"/>
  <c r="E87" i="2" a="1"/>
  <c r="E87" i="2" s="1"/>
  <c r="E47" i="2" a="1"/>
  <c r="E47" i="2" s="1"/>
  <c r="E43" i="2" a="1"/>
  <c r="E43" i="2" s="1"/>
  <c r="E39" i="2" a="1"/>
  <c r="E39" i="2" s="1"/>
  <c r="E36" i="2" a="1"/>
  <c r="E36" i="2" s="1"/>
  <c r="E29" i="2" a="1"/>
  <c r="E29" i="2" s="1"/>
  <c r="E34" i="2" a="1"/>
  <c r="E34" i="2" s="1"/>
  <c r="E38" i="2" a="1"/>
  <c r="E38" i="2" s="1"/>
  <c r="E27" i="2" a="1"/>
  <c r="E27" i="2" s="1"/>
  <c r="E35" i="2" a="1"/>
  <c r="E35" i="2" s="1"/>
  <c r="E33" i="2" a="1"/>
  <c r="E33" i="2" s="1"/>
  <c r="E32" i="2" a="1"/>
  <c r="E32" i="2" s="1"/>
  <c r="E44" i="2" a="1"/>
  <c r="E44" i="2" s="1"/>
  <c r="E41" i="2" a="1"/>
  <c r="E41" i="2" s="1"/>
  <c r="E40" i="2" a="1"/>
  <c r="E40" i="2" s="1"/>
  <c r="E37" i="2" a="1"/>
  <c r="E37" i="2" s="1"/>
  <c r="E42" i="2" a="1"/>
  <c r="E42" i="2" s="1"/>
  <c r="E26" i="2" a="1"/>
  <c r="E26" i="2" s="1"/>
  <c r="E30" i="2" a="1"/>
  <c r="E30" i="2" s="1"/>
  <c r="E31" i="2" a="1"/>
  <c r="E31" i="2" s="1"/>
  <c r="E28" i="2" a="1"/>
  <c r="E28" i="2" s="1"/>
  <c r="E8" i="2" a="1"/>
  <c r="E8" i="2" s="1"/>
  <c r="E7" i="2" a="1"/>
  <c r="E7" i="2" s="1"/>
  <c r="A6" i="14" s="1" a="1"/>
  <c r="B28" i="6" s="1" a="1"/>
  <c r="B28" i="6" s="1"/>
  <c r="E21" i="2" a="1"/>
  <c r="E21" i="2" s="1"/>
  <c r="E18" i="2" a="1"/>
  <c r="E18" i="2" s="1"/>
  <c r="E9" i="2" a="1"/>
  <c r="E9" i="2" s="1"/>
  <c r="E17" i="2" a="1"/>
  <c r="E17" i="2" s="1"/>
  <c r="E15" i="2" a="1"/>
  <c r="E15" i="2" s="1"/>
  <c r="E23" i="2" a="1"/>
  <c r="E23" i="2" s="1"/>
  <c r="E65" i="2" a="1"/>
  <c r="E65" i="2" s="1"/>
  <c r="E19" i="2" a="1"/>
  <c r="E19" i="2" s="1"/>
  <c r="E61" i="2" a="1"/>
  <c r="E61" i="2" s="1"/>
  <c r="E22" i="2" a="1"/>
  <c r="E22" i="2" s="1"/>
  <c r="E64" i="2" a="1"/>
  <c r="E64" i="2" s="1"/>
  <c r="E16" i="2" a="1"/>
  <c r="E16" i="2" s="1"/>
  <c r="E58" i="2" a="1"/>
  <c r="E58" i="2" s="1"/>
  <c r="E10" i="2" a="1"/>
  <c r="E10" i="2" s="1"/>
  <c r="E52" i="2" a="1"/>
  <c r="E52" i="2" s="1"/>
  <c r="E13" i="2" a="1"/>
  <c r="E13" i="2" s="1"/>
  <c r="E55" i="2" a="1"/>
  <c r="E55" i="2" s="1"/>
  <c r="E24" i="2" a="1"/>
  <c r="E24" i="2" s="1"/>
  <c r="E66" i="2" a="1"/>
  <c r="E66" i="2" s="1"/>
  <c r="E25" i="2" a="1"/>
  <c r="E25" i="2" s="1"/>
  <c r="E67" i="2" a="1"/>
  <c r="E67" i="2" s="1"/>
  <c r="E14" i="2" a="1"/>
  <c r="E14" i="2" s="1"/>
  <c r="E56" i="2" a="1"/>
  <c r="E56" i="2" s="1"/>
  <c r="E20" i="2" a="1"/>
  <c r="E20" i="2" s="1"/>
  <c r="E62" i="2" a="1"/>
  <c r="E62" i="2" s="1"/>
  <c r="E11" i="2" a="1"/>
  <c r="E11" i="2" s="1"/>
  <c r="E53" i="2" a="1"/>
  <c r="E53" i="2" s="1"/>
  <c r="A6" i="14" l="1"/>
  <c r="C14" i="6"/>
  <c r="F28" i="6" a="1"/>
  <c r="F28" i="6" s="1"/>
  <c r="D28" i="6" l="1" a="1"/>
  <c r="D28" i="6" s="1"/>
  <c r="E28" i="6" a="1"/>
  <c r="E28" i="6" s="1"/>
  <c r="C28" i="6" a="1"/>
  <c r="C28" i="6" s="1"/>
  <c r="B22" i="6"/>
  <c r="B21" i="6"/>
  <c r="F21" i="6"/>
  <c r="B23" i="6"/>
  <c r="E21" i="6"/>
  <c r="D21" i="6"/>
  <c r="C15" i="6"/>
  <c r="C16" i="6"/>
  <c r="B14" i="6"/>
  <c r="B16" i="6"/>
  <c r="B15" i="6"/>
  <c r="B8" i="6"/>
  <c r="B9" i="6"/>
  <c r="B6" i="6"/>
  <c r="B7" i="6"/>
  <c r="B4" i="6"/>
  <c r="B5" i="6"/>
  <c r="F23" i="6"/>
  <c r="B3" i="6"/>
  <c r="D23" i="6"/>
  <c r="E23" i="6"/>
  <c r="E22" i="6"/>
  <c r="F22" i="6"/>
  <c r="D22" i="6"/>
  <c r="D15" i="6" l="1"/>
  <c r="E15" i="6" s="1"/>
  <c r="A28" i="6" a="1"/>
  <c r="A28" i="6" s="1"/>
  <c r="D14" i="6"/>
  <c r="E14" i="6" s="1"/>
  <c r="C17" i="6"/>
  <c r="D16" i="6"/>
  <c r="E16" i="6" s="1"/>
  <c r="B17" i="6"/>
  <c r="F24" i="6"/>
  <c r="B10" i="6"/>
  <c r="C3" i="6" s="1"/>
  <c r="E24" i="6"/>
  <c r="D24" i="6"/>
  <c r="B24" i="6"/>
  <c r="C21" i="6" s="1"/>
  <c r="D17" i="6" l="1"/>
  <c r="C8" i="6"/>
  <c r="C7" i="6"/>
  <c r="C6" i="6"/>
  <c r="C9" i="6"/>
  <c r="C4" i="6"/>
  <c r="C5" i="6"/>
  <c r="C23" i="6"/>
  <c r="C22" i="6"/>
  <c r="C10" i="6" l="1"/>
  <c r="C2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<sst xmlns="http://schemas.openxmlformats.org/spreadsheetml/2006/main" count="874" uniqueCount="130">
  <si>
    <t>MONTH</t>
  </si>
  <si>
    <t>YEAR</t>
  </si>
  <si>
    <t>Boss</t>
  </si>
  <si>
    <t>Not Started</t>
  </si>
  <si>
    <t>Manager</t>
  </si>
  <si>
    <t>Planned</t>
  </si>
  <si>
    <t>Colleague</t>
  </si>
  <si>
    <t>In Progress</t>
  </si>
  <si>
    <t>Pending</t>
  </si>
  <si>
    <t>Under Review</t>
  </si>
  <si>
    <t>Failed</t>
  </si>
  <si>
    <t>Completed</t>
  </si>
  <si>
    <t>TASKS TRACKING</t>
  </si>
  <si>
    <t>08:30 - 18:00</t>
  </si>
  <si>
    <t>WORK SCHEDULE</t>
  </si>
  <si>
    <t>High</t>
  </si>
  <si>
    <t>Medium</t>
  </si>
  <si>
    <t>Low</t>
  </si>
  <si>
    <t>Google Drive</t>
  </si>
  <si>
    <t>Cloud Storage</t>
  </si>
  <si>
    <t>TASK STATUS SUMMARY</t>
  </si>
  <si>
    <t>Status</t>
  </si>
  <si>
    <t>Count</t>
  </si>
  <si>
    <t>Percentage</t>
  </si>
  <si>
    <t>PRIORITY DISTRIBUTION</t>
  </si>
  <si>
    <t>Priority</t>
  </si>
  <si>
    <t>% of Total</t>
  </si>
  <si>
    <t>UPCOMING DEADLINES (Next 7 Days)</t>
  </si>
  <si>
    <t>Task</t>
  </si>
  <si>
    <t>Due Date</t>
  </si>
  <si>
    <t>Days Remaining</t>
  </si>
  <si>
    <t>TEAM WORKLOAD BY REPORTER</t>
  </si>
  <si>
    <t>Report To</t>
  </si>
  <si>
    <t>Active Tasks</t>
  </si>
  <si>
    <t>Completed Tasks</t>
  </si>
  <si>
    <t>Total Tasks</t>
  </si>
  <si>
    <t>Avg Progress %</t>
  </si>
  <si>
    <t>WEEK</t>
  </si>
  <si>
    <t>WEEK 1</t>
  </si>
  <si>
    <t>Tuesday</t>
  </si>
  <si>
    <t>Wednesday</t>
  </si>
  <si>
    <t>Thursday</t>
  </si>
  <si>
    <t>Friday</t>
  </si>
  <si>
    <t>Saturday</t>
  </si>
  <si>
    <t>Sunday</t>
  </si>
  <si>
    <t>WEEK 2</t>
  </si>
  <si>
    <t>WEEK 3</t>
  </si>
  <si>
    <t>WEEK 4</t>
  </si>
  <si>
    <t>WEEK 5</t>
  </si>
  <si>
    <t>Start Date</t>
  </si>
  <si>
    <t>Progress %</t>
  </si>
  <si>
    <t>Task Name</t>
  </si>
  <si>
    <t>Description</t>
  </si>
  <si>
    <t>Owner</t>
  </si>
  <si>
    <t>Request</t>
  </si>
  <si>
    <t>File/ Cloud</t>
  </si>
  <si>
    <t>Results/ Note</t>
  </si>
  <si>
    <t>Check</t>
  </si>
  <si>
    <t>Total</t>
  </si>
  <si>
    <t>Days Left</t>
  </si>
  <si>
    <t>No</t>
  </si>
  <si>
    <t>Marketing Executive</t>
  </si>
  <si>
    <t>Person</t>
  </si>
  <si>
    <t>Task #1</t>
  </si>
  <si>
    <t>Task #2</t>
  </si>
  <si>
    <t>Task #3</t>
  </si>
  <si>
    <t>Task #4</t>
  </si>
  <si>
    <t>Task #5</t>
  </si>
  <si>
    <t>Task #6</t>
  </si>
  <si>
    <t>Task #7</t>
  </si>
  <si>
    <t>Do not edit these highlighted cells</t>
  </si>
  <si>
    <t>08:00 - 17:00</t>
  </si>
  <si>
    <t>08:00 - 17:30</t>
  </si>
  <si>
    <t>Marketing Dept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</si>
  <si>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</si>
  <si>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</si>
  <si>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</si>
  <si>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</si>
  <si>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</si>
  <si>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</si>
  <si>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</si>
  <si>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</si>
  <si>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</si>
  <si>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</si>
  <si>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</si>
  <si>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</si>
  <si>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</si>
  <si>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</si>
  <si>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</si>
  <si>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</si>
  <si>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</si>
  <si>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</si>
  <si>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</si>
  <si>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</si>
  <si>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</si>
  <si>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</si>
  <si>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</si>
  <si>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</si>
  <si>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</si>
  <si>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</si>
  <si>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</si>
  <si>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</si>
  <si>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</si>
  <si>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</si>
  <si>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</si>
  <si>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</si>
  <si>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</si>
  <si>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</si>
  <si>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</si>
  <si>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</si>
  <si>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</si>
  <si>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</si>
  <si>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</si>
  <si>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</si>
  <si>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</si>
  <si>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</si>
  <si>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TASKS VIEW</t>
  </si>
  <si>
    <t xml:space="preserve">Tuyen Nguyen </t>
  </si>
  <si>
    <t>Tan Nguyen</t>
  </si>
  <si>
    <t>Hung Lu</t>
  </si>
  <si>
    <t>Person #4</t>
  </si>
  <si>
    <t>Content Marketer</t>
  </si>
  <si>
    <t>Graphic Designer</t>
  </si>
  <si>
    <t>Media Editor</t>
  </si>
  <si>
    <t>Fiil</t>
  </si>
  <si>
    <t>Dropdown</t>
  </si>
  <si>
    <t>ABC</t>
  </si>
  <si>
    <t>XYZ</t>
  </si>
  <si>
    <t>HHXXH</t>
  </si>
  <si>
    <t>LKMA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</si>
</sst>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164" formatCode="d/m/yyyy"/>
    <numFmt numFmtId="165" formatCode="dd/mm/yyyy"/>
    <numFmt numFmtId="166" formatCode="0.0%"/>
    <numFmt numFmtId="167" formatCode="yyyy\-mm\-dd;@"/>
    <numFmt numFmtId="168" formatCode="dd\-mm\-yyyy"/>
  </numFmts>
  <fonts count="21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8"/>
      <name val="Aptos Narrow"/>
      <family val="2"/>
      <scheme val="minor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b/>
      <sz val="10"/>
      <color rgb="FF002060"/>
      <name val="Verdana"/>
      <family val="2"/>
    </font>
    <font>
      <b/>
      <sz val="18"/>
      <color rgb="FF002060"/>
      <name val="Verdana"/>
      <family val="2"/>
    </font>
    <font>
      <b/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  <font>
      <sz val="10"/>
      <color theme="0"/>
      <name val="Verdana"/>
      <family val="2"/>
    </font>
    <font>
      <sz val="10"/>
      <color rgb="FF002060"/>
      <name val="Verdana"/>
      <family val="2"/>
    </font>
    <font>
      <sz val="10"/>
      <color rgb="FFFF0000"/>
      <name val="Verdana"/>
      <family val="2"/>
    </font>
    <font>
      <b/>
      <sz val="10"/>
      <color rgb="FFFFFFFF"/>
      <name val="Verdana"/>
      <family val="2"/>
    </font>
    <font>
      <b/>
      <sz val="10"/>
      <color rgb="FF000000"/>
      <name val="Verdana"/>
      <family val="2"/>
    </font>
    <font>
      <sz val="11"/>
      <color rgb="FF002060"/>
      <name val="Verdana"/>
      <family val="2"/>
    </font>
    <font>
      <b/>
      <sz val="11"/>
      <color rgb="FF002060"/>
      <name val="Verdana"/>
      <family val="2"/>
    </font>
    <font>
      <sz val="12"/>
      <color rgb="FF00206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rgb="FFCBEDFB"/>
        <bgColor indexed="64"/>
      </patternFill>
    </fill>
    <fill>
      <patternFill patternType="solid">
        <fgColor rgb="FFCBEDFB"/>
        <bgColor rgb="FF000000"/>
      </patternFill>
    </fill>
    <fill>
      <patternFill patternType="solid">
        <fgColor rgb="FFCBEDFB"/>
        <bgColor rgb="FFF6F8F9"/>
      </patternFill>
    </fill>
    <fill>
      <patternFill patternType="solid">
        <fgColor rgb="FFBAD2FA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89999084444715716"/>
        <bgColor rgb="FFF6F8F9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41" fontId="2" fillId="0" borderId="0" applyFont="0" applyFill="0" applyBorder="0" applyAlignment="0" applyProtection="0"/>
  </cellStyleXfs>
  <cellXfs count="96">
    <xf numFmtId="0" fontId="0" fillId="0" borderId="0" xfId="0"/>
    <xf numFmtId="0" fontId="4" fillId="0" borderId="0" xfId="3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 applyAlignment="1">
      <alignment horizontal="center" vertical="center"/>
    </xf>
    <xf numFmtId="9" fontId="7" fillId="0" borderId="0" xfId="2" applyFont="1" applyAlignment="1">
      <alignment horizontal="center" vertical="center"/>
    </xf>
    <xf numFmtId="9" fontId="7" fillId="0" borderId="0" xfId="4" applyNumberFormat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5" fillId="5" borderId="0" xfId="3" applyFont="1" applyFill="1" applyAlignment="1">
      <alignment horizontal="center" vertical="center"/>
    </xf>
    <xf numFmtId="164" fontId="12" fillId="0" borderId="0" xfId="1" applyNumberFormat="1" applyFont="1" applyAlignment="1">
      <alignment vertical="center"/>
    </xf>
    <xf numFmtId="166" fontId="8" fillId="0" borderId="0" xfId="2" applyNumberFormat="1" applyFont="1" applyAlignment="1">
      <alignment horizontal="center" vertical="center"/>
    </xf>
    <xf numFmtId="167" fontId="7" fillId="0" borderId="0" xfId="4" applyNumberFormat="1" applyFont="1" applyAlignment="1">
      <alignment horizontal="center" vertical="center"/>
    </xf>
    <xf numFmtId="167" fontId="7" fillId="0" borderId="0" xfId="1" applyNumberFormat="1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9" fontId="8" fillId="0" borderId="0" xfId="4" applyNumberFormat="1" applyFont="1" applyAlignment="1">
      <alignment horizontal="center" vertical="center"/>
    </xf>
    <xf numFmtId="0" fontId="8" fillId="0" borderId="0" xfId="4" applyFont="1" applyAlignment="1">
      <alignment vertical="center"/>
    </xf>
    <xf numFmtId="0" fontId="7" fillId="0" borderId="0" xfId="4" applyFont="1" applyAlignment="1">
      <alignment vertical="center" wrapText="1"/>
    </xf>
    <xf numFmtId="0" fontId="7" fillId="0" borderId="0" xfId="4" applyFont="1" applyAlignment="1">
      <alignment horizontal="left" vertical="center" indent="1"/>
    </xf>
    <xf numFmtId="0" fontId="7" fillId="0" borderId="0" xfId="4" applyFont="1" applyAlignment="1">
      <alignment horizontal="right" vertical="center" indent="1"/>
    </xf>
    <xf numFmtId="0" fontId="8" fillId="4" borderId="0" xfId="4" applyFont="1" applyFill="1" applyAlignment="1">
      <alignment horizontal="right" vertical="center" indent="1"/>
    </xf>
    <xf numFmtId="0" fontId="8" fillId="0" borderId="0" xfId="4" applyFont="1" applyAlignment="1">
      <alignment horizontal="right" vertical="center" indent="1"/>
    </xf>
    <xf numFmtId="0" fontId="6" fillId="0" borderId="0" xfId="4" applyFont="1" applyAlignment="1">
      <alignment horizontal="center" vertical="center"/>
    </xf>
    <xf numFmtId="1" fontId="8" fillId="0" borderId="0" xfId="4" applyNumberFormat="1" applyFont="1" applyAlignment="1">
      <alignment horizontal="center" vertical="center"/>
    </xf>
    <xf numFmtId="0" fontId="10" fillId="0" borderId="0" xfId="1" applyFont="1" applyAlignment="1">
      <alignment vertical="center" wrapText="1"/>
    </xf>
    <xf numFmtId="0" fontId="14" fillId="9" borderId="0" xfId="3" applyFont="1" applyFill="1" applyAlignment="1">
      <alignment horizontal="center" vertical="center"/>
    </xf>
    <xf numFmtId="0" fontId="14" fillId="5" borderId="0" xfId="3" applyFont="1" applyFill="1" applyAlignment="1">
      <alignment horizontal="center" vertical="center"/>
    </xf>
    <xf numFmtId="0" fontId="8" fillId="6" borderId="0" xfId="4" applyFont="1" applyFill="1" applyAlignment="1">
      <alignment horizontal="center" vertical="center"/>
    </xf>
    <xf numFmtId="0" fontId="8" fillId="6" borderId="0" xfId="1" applyFont="1" applyFill="1" applyAlignment="1">
      <alignment horizontal="center" vertical="center" wrapText="1"/>
    </xf>
    <xf numFmtId="0" fontId="8" fillId="7" borderId="0" xfId="1" applyFont="1" applyFill="1" applyAlignment="1">
      <alignment horizontal="center" vertical="center" wrapText="1"/>
    </xf>
    <xf numFmtId="165" fontId="16" fillId="0" borderId="0" xfId="1" applyNumberFormat="1" applyFont="1" applyAlignment="1">
      <alignment vertical="center"/>
    </xf>
    <xf numFmtId="0" fontId="17" fillId="0" borderId="0" xfId="1" applyFont="1" applyAlignment="1">
      <alignment vertical="center"/>
    </xf>
    <xf numFmtId="3" fontId="13" fillId="3" borderId="0" xfId="1" applyNumberFormat="1" applyFont="1" applyFill="1" applyAlignment="1" applyProtection="1">
      <alignment horizontal="right" vertical="center" wrapText="1" indent="1"/>
      <protection locked="0"/>
    </xf>
    <xf numFmtId="0" fontId="13" fillId="3" borderId="0" xfId="1" applyFont="1" applyFill="1" applyAlignment="1">
      <alignment horizontal="center" vertical="center"/>
    </xf>
    <xf numFmtId="49" fontId="7" fillId="0" borderId="0" xfId="1" applyNumberFormat="1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14" fillId="11" borderId="0" xfId="3" applyFont="1" applyFill="1" applyAlignment="1">
      <alignment horizontal="right" vertical="center" indent="1"/>
    </xf>
    <xf numFmtId="0" fontId="8" fillId="12" borderId="0" xfId="3" applyFont="1" applyFill="1" applyAlignment="1">
      <alignment horizontal="right" vertical="center" indent="1"/>
    </xf>
    <xf numFmtId="0" fontId="14" fillId="12" borderId="0" xfId="3" applyFont="1" applyFill="1" applyAlignment="1">
      <alignment horizontal="right" vertical="center" indent="1"/>
    </xf>
    <xf numFmtId="0" fontId="7" fillId="2" borderId="0" xfId="1" applyFont="1" applyFill="1" applyAlignment="1">
      <alignment horizontal="left" vertical="center" wrapText="1" indent="1"/>
    </xf>
    <xf numFmtId="0" fontId="7" fillId="10" borderId="0" xfId="1" applyFont="1" applyFill="1" applyAlignment="1">
      <alignment horizontal="left" vertical="center" indent="1"/>
    </xf>
    <xf numFmtId="167" fontId="18" fillId="0" borderId="0" xfId="3" applyNumberFormat="1" applyFont="1" applyAlignment="1">
      <alignment horizontal="center" vertical="center"/>
    </xf>
    <xf numFmtId="167" fontId="14" fillId="8" borderId="0" xfId="3" applyNumberFormat="1" applyFont="1" applyFill="1" applyAlignment="1">
      <alignment horizontal="center" vertical="center"/>
    </xf>
    <xf numFmtId="167" fontId="14" fillId="5" borderId="0" xfId="3" applyNumberFormat="1" applyFont="1" applyFill="1" applyAlignment="1">
      <alignment horizontal="center" vertical="center"/>
    </xf>
    <xf numFmtId="0" fontId="14" fillId="11" borderId="0" xfId="3" applyFont="1" applyFill="1" applyAlignment="1">
      <alignment horizontal="center" vertical="center"/>
    </xf>
    <xf numFmtId="0" fontId="8" fillId="0" borderId="0" xfId="1" applyFont="1" applyAlignment="1">
      <alignment vertical="center" wrapText="1"/>
    </xf>
    <xf numFmtId="14" fontId="10" fillId="0" borderId="0" xfId="1" applyNumberFormat="1" applyFont="1" applyAlignment="1">
      <alignment vertical="center" wrapText="1"/>
    </xf>
    <xf numFmtId="9" fontId="14" fillId="0" borderId="0" xfId="5" applyNumberFormat="1" applyFont="1" applyBorder="1" applyAlignment="1" applyProtection="1">
      <alignment horizontal="center" vertical="center" wrapText="1"/>
      <protection locked="0"/>
    </xf>
    <xf numFmtId="0" fontId="14" fillId="13" borderId="0" xfId="3" applyFont="1" applyFill="1" applyAlignment="1">
      <alignment horizontal="right" vertical="center" indent="1"/>
    </xf>
    <xf numFmtId="167" fontId="14" fillId="14" borderId="0" xfId="1" applyNumberFormat="1" applyFont="1" applyFill="1" applyAlignment="1">
      <alignment horizontal="center" vertical="center"/>
    </xf>
    <xf numFmtId="0" fontId="14" fillId="14" borderId="0" xfId="1" applyFont="1" applyFill="1" applyAlignment="1">
      <alignment horizontal="left" vertical="center" wrapText="1" indent="1"/>
    </xf>
    <xf numFmtId="0" fontId="14" fillId="14" borderId="0" xfId="1" applyFont="1" applyFill="1" applyAlignment="1">
      <alignment horizontal="center" vertical="center" wrapText="1"/>
    </xf>
    <xf numFmtId="168" fontId="14" fillId="8" borderId="0" xfId="3" applyNumberFormat="1" applyFont="1" applyFill="1" applyAlignment="1">
      <alignment horizontal="center" vertical="center"/>
    </xf>
    <xf numFmtId="168" fontId="14" fillId="5" borderId="0" xfId="3" applyNumberFormat="1" applyFont="1" applyFill="1" applyAlignment="1">
      <alignment horizontal="center" vertical="center"/>
    </xf>
    <xf numFmtId="0" fontId="14" fillId="11" borderId="0" xfId="0" applyFont="1" applyFill="1" applyAlignment="1">
      <alignment vertical="center"/>
    </xf>
    <xf numFmtId="14" fontId="19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14" fillId="14" borderId="0" xfId="1" applyFont="1" applyFill="1" applyAlignment="1">
      <alignment horizontal="left" vertical="center" indent="1"/>
    </xf>
    <xf numFmtId="0" fontId="7" fillId="2" borderId="0" xfId="1" applyFont="1" applyFill="1" applyAlignment="1">
      <alignment horizontal="left" vertical="center" indent="1"/>
    </xf>
    <xf numFmtId="49" fontId="7" fillId="2" borderId="0" xfId="1" applyNumberFormat="1" applyFont="1" applyFill="1" applyAlignment="1">
      <alignment horizontal="left" vertical="center" indent="1"/>
    </xf>
    <xf numFmtId="49" fontId="7" fillId="10" borderId="0" xfId="1" applyNumberFormat="1" applyFont="1" applyFill="1" applyAlignment="1">
      <alignment horizontal="left" vertical="center" indent="1"/>
    </xf>
    <xf numFmtId="49" fontId="7" fillId="0" borderId="0" xfId="1" applyNumberFormat="1" applyFont="1" applyAlignment="1">
      <alignment horizontal="center" vertical="center" wrapText="1"/>
    </xf>
    <xf numFmtId="49" fontId="7" fillId="2" borderId="0" xfId="1" applyNumberFormat="1" applyFont="1" applyFill="1" applyAlignment="1">
      <alignment horizontal="center" vertical="center" wrapText="1"/>
    </xf>
    <xf numFmtId="49" fontId="7" fillId="10" borderId="0" xfId="1" applyNumberFormat="1" applyFont="1" applyFill="1" applyAlignment="1">
      <alignment horizontal="center" vertical="center" wrapText="1"/>
    </xf>
    <xf numFmtId="167" fontId="7" fillId="2" borderId="0" xfId="1" applyNumberFormat="1" applyFont="1" applyFill="1" applyAlignment="1">
      <alignment horizontal="center" vertical="center"/>
    </xf>
    <xf numFmtId="9" fontId="14" fillId="2" borderId="0" xfId="5" applyNumberFormat="1" applyFont="1" applyFill="1" applyBorder="1" applyAlignment="1">
      <alignment horizontal="center" vertical="center" wrapText="1"/>
    </xf>
    <xf numFmtId="0" fontId="7" fillId="2" borderId="0" xfId="1" applyFont="1" applyFill="1" applyAlignment="1">
      <alignment vertical="center"/>
    </xf>
    <xf numFmtId="167" fontId="7" fillId="10" borderId="0" xfId="1" applyNumberFormat="1" applyFont="1" applyFill="1" applyAlignment="1">
      <alignment horizontal="center" vertical="center"/>
    </xf>
    <xf numFmtId="9" fontId="14" fillId="10" borderId="0" xfId="5" applyNumberFormat="1" applyFont="1" applyFill="1" applyBorder="1" applyAlignment="1">
      <alignment horizontal="center" vertical="center" wrapText="1"/>
    </xf>
    <xf numFmtId="0" fontId="7" fillId="10" borderId="0" xfId="1" applyFont="1" applyFill="1" applyAlignment="1">
      <alignment vertical="center"/>
    </xf>
    <xf numFmtId="0" fontId="14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9" fontId="10" fillId="0" borderId="0" xfId="1" applyNumberFormat="1" applyFont="1" applyAlignment="1">
      <alignment vertical="center" wrapText="1"/>
    </xf>
    <xf numFmtId="9" fontId="14" fillId="0" borderId="0" xfId="2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14" fontId="8" fillId="12" borderId="0" xfId="3" applyNumberFormat="1" applyFont="1" applyFill="1" applyAlignment="1">
      <alignment horizontal="right" vertical="center" indent="1"/>
    </xf>
    <xf numFmtId="0" fontId="18" fillId="0" borderId="0" xfId="3" applyFont="1" applyAlignment="1">
      <alignment horizontal="center" vertical="center"/>
    </xf>
    <xf numFmtId="1" fontId="7" fillId="14" borderId="0" xfId="1" applyNumberFormat="1" applyFont="1" applyFill="1" applyAlignment="1">
      <alignment horizontal="center" vertical="center"/>
    </xf>
    <xf numFmtId="1" fontId="7" fillId="15" borderId="0" xfId="1" applyNumberFormat="1" applyFont="1" applyFill="1" applyAlignment="1">
      <alignment horizontal="center" vertical="center"/>
    </xf>
    <xf numFmtId="1" fontId="7" fillId="16" borderId="0" xfId="1" applyNumberFormat="1" applyFont="1" applyFill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13" fillId="3" borderId="0" xfId="3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7" fillId="0" borderId="0" xfId="3" applyFont="1" applyAlignment="1">
      <alignment horizontal="center" vertical="center"/>
    </xf>
    <xf numFmtId="3" fontId="9" fillId="2" borderId="0" xfId="1" applyNumberFormat="1" applyFont="1" applyFill="1" applyAlignment="1">
      <alignment horizontal="center" vertical="center" wrapText="1"/>
    </xf>
    <xf numFmtId="0" fontId="7" fillId="6" borderId="0" xfId="4" applyFont="1" applyFill="1" applyAlignment="1">
      <alignment horizontal="center" vertical="center"/>
    </xf>
    <xf numFmtId="0" fontId="6" fillId="3" borderId="0" xfId="4" applyFont="1" applyFill="1" applyAlignment="1">
      <alignment horizontal="center" vertical="center"/>
    </xf>
    <xf numFmtId="0" fontId="8" fillId="6" borderId="0" xfId="4" applyFont="1" applyFill="1" applyAlignment="1">
      <alignment horizontal="center" vertical="center"/>
    </xf>
  </cellXfs>
  <cellStyles count="6">
    <cellStyle name="Comma [0]" xfId="5" builtinId="6"/>
    <cellStyle name="Normal" xfId="0" builtinId="0"/>
    <cellStyle name="Normal 2" xfId="1" xr:uid="{8A6AEC72-CA9B-264D-A476-0E21EFAB7EB6}"/>
    <cellStyle name="Normal 2 2" xfId="3" xr:uid="{F15FE16E-73C5-2047-85F1-639CEBFFD545}"/>
    <cellStyle name="Normal 3" xfId="4" xr:uid="{890771A1-828A-B049-86C6-FB7A82543596}"/>
    <cellStyle name="Per cent" xfId="2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" formatCode="0"/>
      <fill>
        <patternFill patternType="solid"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9" formatCode="d/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9" formatCode="d/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Verdana"/>
        <family val="2"/>
        <scheme val="none"/>
      </font>
      <numFmt numFmtId="167" formatCode="yyyy\-mm\-dd;@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Verdana"/>
        <family val="2"/>
        <scheme val="none"/>
      </font>
      <numFmt numFmtId="167" formatCode="yyyy\-mm\-dd;@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Verdana"/>
        <family val="2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Verdana"/>
        <family val="2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Verdana"/>
        <family val="2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2060"/>
        <name val="Verdana"/>
        <family val="2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left" vertical="center" textRotation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Verdana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Verdana"/>
        <family val="2"/>
        <scheme val="none"/>
      </font>
      <fill>
        <patternFill patternType="solid">
          <fgColor indexed="64"/>
          <bgColor rgb="FFCBED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 defaultTableStyle="TableStyleMedium2" defaultPivotStyle="PivotStyleLight16">
    <tableStyle name="CONT_2-style" pivot="0" count="3" xr9:uid="{3EB400D1-26AB-914D-8F85-4B013A328C27}">
      <tableStyleElement type="headerRow" dxfId="41"/>
      <tableStyleElement type="firstRowStripe" dxfId="40"/>
      <tableStyleElement type="secondRowStripe" dxfId="39"/>
    </tableStyle>
  </tableStyles>
  <colors>
    <mruColors>
      <color rgb="FFBAD2FA"/>
      <color rgb="FFCBE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solidFill>
                  <a:srgbClr val="002060"/>
                </a:solidFill>
              </a:defRPr>
            </a:pPr>
            <a:r>
              <a:rPr lang="en-GB" sz="1400">
                <a:solidFill>
                  <a:srgbClr val="002060"/>
                </a:solidFill>
              </a:rPr>
              <a:t>TASK/ REMAINING DAYS</a:t>
            </a:r>
          </a:p>
        </c:rich>
      </c:tx>
      <c:layout>
        <c:manualLayout>
          <c:xMode val="edge"/>
          <c:yMode val="edge"/>
          <c:x val="0.36276723304323799"/>
          <c:y val="3.66301580723462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228606375659353"/>
          <c:y val="0.1542189671144048"/>
          <c:w val="0.85771393624340642"/>
          <c:h val="0.41783319823992587"/>
        </c:manualLayout>
      </c:layout>
      <c:lineChart>
        <c:grouping val="standard"/>
        <c:varyColors val="0"/>
        <c:ser>
          <c:idx val="0"/>
          <c:order val="0"/>
          <c:spPr>
            <a:ln w="19050" cap="sq" cmpd="sng">
              <a:solidFill>
                <a:srgbClr val="002060"/>
              </a:solidFill>
              <a:prstDash val="sysDash"/>
              <a:miter lim="800000"/>
              <a:headEnd type="none"/>
            </a:ln>
          </c:spPr>
          <c:marker>
            <c:symbol val="none"/>
          </c:marker>
          <c:cat>
            <c:strRef>
              <c:f>'Dashboard Report'!$B$28:$B$53</c:f>
              <c:strCache>
                <c:ptCount val="3"/>
                <c:pt idx="0">
                  <c:v>ABC</c:v>
                </c:pt>
                <c:pt idx="1">
                  <c:v>HHXXH</c:v>
                </c:pt>
                <c:pt idx="2">
                  <c:v>LKMA</c:v>
                </c:pt>
              </c:strCache>
            </c:strRef>
          </c:cat>
          <c:val>
            <c:numRef>
              <c:f>'Dashboard Report'!$D$28:$D$53</c:f>
              <c:numCache>
                <c:formatCode>General</c:formatCode>
                <c:ptCount val="26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26-7543-8E77-EECB939E8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3175">
              <a:solidFill>
                <a:srgbClr val="002060"/>
              </a:solidFill>
              <a:prstDash val="sysDot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VN"/>
          </a:p>
        </c:txPr>
        <c:crossAx val="1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rgbClr val="00206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GB" sz="1400" b="1">
                <a:solidFill>
                  <a:srgbClr val="002060"/>
                </a:solidFill>
              </a:rPr>
              <a:t>TASK</a:t>
            </a:r>
            <a:r>
              <a:rPr lang="en-GB" sz="1400" b="1" baseline="0">
                <a:solidFill>
                  <a:srgbClr val="002060"/>
                </a:solidFill>
              </a:rPr>
              <a:t> </a:t>
            </a:r>
            <a:r>
              <a:rPr lang="en-GB" sz="1400" b="1">
                <a:solidFill>
                  <a:srgbClr val="002060"/>
                </a:solidFill>
              </a:rPr>
              <a:t>STATUS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rgbClr val="00206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4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D12-5D43-845E-394F1FF85B1E}"/>
              </c:ext>
            </c:extLst>
          </c:dPt>
          <c:dPt>
            <c:idx val="1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0" h="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12-5D43-845E-394F1FF85B1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0" h="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6D12-5D43-845E-394F1FF85B1E}"/>
              </c:ext>
            </c:extLst>
          </c:dPt>
          <c:dPt>
            <c:idx val="3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0" h="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D12-5D43-845E-394F1FF85B1E}"/>
              </c:ext>
            </c:extLst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0" h="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6D12-5D43-845E-394F1FF85B1E}"/>
              </c:ext>
            </c:extLst>
          </c:dPt>
          <c:dPt>
            <c:idx val="5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0" h="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D12-5D43-845E-394F1FF85B1E}"/>
              </c:ext>
            </c:extLst>
          </c:dPt>
          <c:dPt>
            <c:idx val="6"/>
            <c:bubble3D val="0"/>
            <c:spPr>
              <a:solidFill>
                <a:schemeClr val="accent4">
                  <a:tint val="4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D12-5D43-845E-394F1FF85B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V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Report'!$A$3:$A$9</c:f>
              <c:strCache>
                <c:ptCount val="7"/>
                <c:pt idx="0">
                  <c:v>Not Started</c:v>
                </c:pt>
                <c:pt idx="1">
                  <c:v>Planned</c:v>
                </c:pt>
                <c:pt idx="2">
                  <c:v>In Progress</c:v>
                </c:pt>
                <c:pt idx="3">
                  <c:v>Pending</c:v>
                </c:pt>
                <c:pt idx="4">
                  <c:v>Under Review</c:v>
                </c:pt>
                <c:pt idx="5">
                  <c:v>Failed</c:v>
                </c:pt>
                <c:pt idx="6">
                  <c:v>Completed</c:v>
                </c:pt>
              </c:strCache>
            </c:strRef>
          </c:cat>
          <c:val>
            <c:numRef>
              <c:f>'Dashboard Report'!$B$3:$B$9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2-5D43-845E-394F1FF85B1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4">
                  <a:shade val="4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8B8-2449-8E01-A12F765913D8}"/>
              </c:ext>
            </c:extLst>
          </c:dPt>
          <c:dPt>
            <c:idx val="1"/>
            <c:bubble3D val="0"/>
            <c:spPr>
              <a:solidFill>
                <a:schemeClr val="accent4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8B8-2449-8E01-A12F765913D8}"/>
              </c:ext>
            </c:extLst>
          </c:dPt>
          <c:dPt>
            <c:idx val="2"/>
            <c:bubble3D val="0"/>
            <c:spPr>
              <a:solidFill>
                <a:schemeClr val="accent4">
                  <a:shade val="82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8B8-2449-8E01-A12F765913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8B8-2449-8E01-A12F765913D8}"/>
              </c:ext>
            </c:extLst>
          </c:dPt>
          <c:dPt>
            <c:idx val="4"/>
            <c:bubble3D val="0"/>
            <c:spPr>
              <a:solidFill>
                <a:schemeClr val="accent4">
                  <a:tint val="8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8B8-2449-8E01-A12F765913D8}"/>
              </c:ext>
            </c:extLst>
          </c:dPt>
          <c:dPt>
            <c:idx val="5"/>
            <c:bubble3D val="0"/>
            <c:spPr>
              <a:solidFill>
                <a:schemeClr val="accent4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38B8-2449-8E01-A12F765913D8}"/>
              </c:ext>
            </c:extLst>
          </c:dPt>
          <c:dPt>
            <c:idx val="6"/>
            <c:bubble3D val="0"/>
            <c:spPr>
              <a:solidFill>
                <a:schemeClr val="accent4">
                  <a:tint val="4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38B8-2449-8E01-A12F765913D8}"/>
              </c:ext>
            </c:extLst>
          </c:dPt>
          <c:dLbls>
            <c:dLbl>
              <c:idx val="0"/>
              <c:layout>
                <c:manualLayout>
                  <c:x val="-6.1628138728648356E-2"/>
                  <c:y val="0.1084048018587840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8B8-2449-8E01-A12F765913D8}"/>
                </c:ext>
              </c:extLst>
            </c:dLbl>
            <c:dLbl>
              <c:idx val="1"/>
              <c:layout>
                <c:manualLayout>
                  <c:x val="-8.8737393687183044E-2"/>
                  <c:y val="3.052447695475273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8B8-2449-8E01-A12F765913D8}"/>
                </c:ext>
              </c:extLst>
            </c:dLbl>
            <c:dLbl>
              <c:idx val="2"/>
              <c:layout>
                <c:manualLayout>
                  <c:x val="-8.796679158420706E-2"/>
                  <c:y val="-0.1271576093971861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8B8-2449-8E01-A12F765913D8}"/>
                </c:ext>
              </c:extLst>
            </c:dLbl>
            <c:dLbl>
              <c:idx val="3"/>
              <c:layout>
                <c:manualLayout>
                  <c:x val="4.5509986385391603E-2"/>
                  <c:y val="-0.1831521879437201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8B8-2449-8E01-A12F765913D8}"/>
                </c:ext>
              </c:extLst>
            </c:dLbl>
            <c:dLbl>
              <c:idx val="4"/>
              <c:layout>
                <c:manualLayout>
                  <c:x val="0.12614622370064704"/>
                  <c:y val="-2.313927972118239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8B8-2449-8E01-A12F765913D8}"/>
                </c:ext>
              </c:extLst>
            </c:dLbl>
            <c:dLbl>
              <c:idx val="5"/>
              <c:layout>
                <c:manualLayout>
                  <c:x val="4.3518388142004531E-2"/>
                  <c:y val="9.872305321861492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8B8-2449-8E01-A12F765913D8}"/>
                </c:ext>
              </c:extLst>
            </c:dLbl>
            <c:dLbl>
              <c:idx val="6"/>
              <c:layout>
                <c:manualLayout>
                  <c:x val="1.1444519624388264E-2"/>
                  <c:y val="0.1007114485209359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8B8-2449-8E01-A12F765913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V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Report'!$A$3:$A$9</c:f>
              <c:strCache>
                <c:ptCount val="7"/>
                <c:pt idx="0">
                  <c:v>Not Started</c:v>
                </c:pt>
                <c:pt idx="1">
                  <c:v>Planned</c:v>
                </c:pt>
                <c:pt idx="2">
                  <c:v>In Progress</c:v>
                </c:pt>
                <c:pt idx="3">
                  <c:v>Pending</c:v>
                </c:pt>
                <c:pt idx="4">
                  <c:v>Under Review</c:v>
                </c:pt>
                <c:pt idx="5">
                  <c:v>Failed</c:v>
                </c:pt>
                <c:pt idx="6">
                  <c:v>Completed</c:v>
                </c:pt>
              </c:strCache>
            </c:strRef>
          </c:cat>
          <c:val>
            <c:numRef>
              <c:f>'Dashboard Report'!$C$3:$C$9</c:f>
              <c:numCache>
                <c:formatCode>0%</c:formatCode>
                <c:ptCount val="7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D12-1442-9DDC-4E03EB4EB35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1390374331550801E-2"/>
          <c:y val="0.11683619465599589"/>
          <c:w val="0.15092427325793617"/>
          <c:h val="0.4227940497771804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206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GB" b="1">
                <a:solidFill>
                  <a:srgbClr val="002060"/>
                </a:solidFill>
              </a:rPr>
              <a:t>PRIORITY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F1-7740-B1D5-18802AA9AB7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F1-7740-B1D5-18802AA9AB71}"/>
              </c:ext>
            </c:extLst>
          </c:dPt>
          <c:cat>
            <c:strRef>
              <c:f>'Dashboard Report'!$A$21:$A$23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'Dashboard Report'!$C$21:$C$23</c:f>
              <c:numCache>
                <c:formatCode>0%</c:formatCode>
                <c:ptCount val="3"/>
                <c:pt idx="0">
                  <c:v>0.2</c:v>
                </c:pt>
                <c:pt idx="1">
                  <c:v>0.4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1-7740-B1D5-18802AA9A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058048"/>
        <c:axId val="496139584"/>
      </c:barChart>
      <c:catAx>
        <c:axId val="41005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206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VN"/>
          </a:p>
        </c:txPr>
        <c:crossAx val="496139584"/>
        <c:crosses val="autoZero"/>
        <c:auto val="1"/>
        <c:lblAlgn val="ctr"/>
        <c:lblOffset val="100"/>
        <c:noMultiLvlLbl val="0"/>
      </c:catAx>
      <c:valAx>
        <c:axId val="4961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206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VN"/>
          </a:p>
        </c:txPr>
        <c:crossAx val="41005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93434</xdr:colOff>
      <xdr:row>19</xdr:row>
      <xdr:rowOff>91925</xdr:rowOff>
    </xdr:from>
    <xdr:ext cx="7285266" cy="4754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21150-190F-E54E-8DF4-9FDE39DE4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7</xdr:col>
      <xdr:colOff>93434</xdr:colOff>
      <xdr:row>1</xdr:row>
      <xdr:rowOff>68943</xdr:rowOff>
    </xdr:from>
    <xdr:to>
      <xdr:col>15</xdr:col>
      <xdr:colOff>749300</xdr:colOff>
      <xdr:row>16</xdr:row>
      <xdr:rowOff>177801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65E177-C363-6BEB-4857-AED0F3281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88900</xdr:colOff>
      <xdr:row>1</xdr:row>
      <xdr:rowOff>88900</xdr:rowOff>
    </xdr:from>
    <xdr:to>
      <xdr:col>25</xdr:col>
      <xdr:colOff>723900</xdr:colOff>
      <xdr:row>16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796916-C14E-49D5-55E2-76494FAF2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rcolinspa-my.sharepoint.com/Users/ZuaZop01/AppData/Local/Microsoft/Windows/Temporary%20Internet%20Files/Content.Outlook/5NG4553A/Global%20Brands%20Game%20Changer%20Contract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perados specifics"/>
      <sheetName val="Export data data"/>
      <sheetName val="Desperados stage allocation"/>
      <sheetName val="Dropdown lists"/>
      <sheetName val="Infoboxes"/>
      <sheetName val="GB Game Changer Contrac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EF9DA-9529-3E49-ABD3-66EA3C9825B7}" name="CONTENT_QUANG" displayName="CONTENT_QUANG" ref="A5:O47" totalsRowShown="0" headerRowDxfId="38" dataDxfId="37" totalsRowDxfId="36" headerRowCellStyle="Normal 2">
  <tableColumns count="15">
    <tableColumn id="1" xr3:uid="{C85D1B00-1DBF-FD4B-9716-25C0D5F97E5A}" name="No" dataDxfId="35" totalsRowDxfId="34"/>
    <tableColumn id="2" xr3:uid="{EE7BACD0-8348-CD42-B6EC-F9C51894CFC5}" name="Task Name" dataDxfId="33" totalsRowDxfId="32">
      <calculatedColumnFormula array="1">_xlfn.LET(
    _xlpm.week, $B$4,
    _xlpm.d, H6,
    _xlpm.nthTask, COUNTIF($H$6:H6,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calculatedColumnFormula>
    </tableColumn>
    <tableColumn id="11" xr3:uid="{ADAACCE4-1961-D840-93AD-5B30C6FD6D11}" name="Priority" dataDxfId="31" totalsRowDxfId="30" dataCellStyle="Normal 2"/>
    <tableColumn id="3" xr3:uid="{AB851439-D5A0-E247-90C4-965FABA5D9B8}" name="Description" dataDxfId="29" totalsRowDxfId="28"/>
    <tableColumn id="14" xr3:uid="{20EAAA8A-7246-554E-B9EB-F2D8D3453698}" name="Owner" dataDxfId="27" totalsRowDxfId="26" dataCellStyle="Normal 2">
      <calculatedColumnFormula array="1">_xlfn.LET(
    _xlpm.week, $B$4,
    _xlpm.rowPerson, 3 + (_xlpm.week-1)*11,
    _xlpm.personName, INDEX('Marketing Executive'!$B:$B, _xlpm.rowPerson),
    IF($B6="", "", _xlpm.personName)
)</calculatedColumnFormula>
    </tableColumn>
    <tableColumn id="4" xr3:uid="{2A857E40-BA2D-CE4D-B431-BA89C321A388}" name="Request" dataDxfId="25" totalsRowDxfId="24"/>
    <tableColumn id="5" xr3:uid="{BB900927-CCCE-3C48-9D61-87E8DAEEA83B}" name="Status" dataDxfId="23" totalsRowDxfId="22"/>
    <tableColumn id="13" xr3:uid="{4DC86822-70A6-F245-9A9A-0C799282A78F}" name="Start Date" dataDxfId="21" totalsRowDxfId="20" dataCellStyle="Normal 2">
      <calculatedColumnFormula array="1">IFERROR(
  _xlfn.LET(
    _xlpm.week, $B$4,
    _xlpm.pos, ROW()-ROW($H$6),
    _xlpm.dayIndex, INT(_xlpm.pos/7)+1,
    _xlpm.rowDate, 3 + (_xlpm.week-1)*11,
    IF(_xlpm.dayIndex&gt;7,"", INDEX('Marketing Executive'!$C:$I, _xlpm.rowDate, _xlpm.dayIndex))
  ),
"")</calculatedColumnFormula>
    </tableColumn>
    <tableColumn id="6" xr3:uid="{84A340FA-D0F0-6C4E-926F-2F53652CEB9C}" name="Due Date" dataDxfId="19" totalsRowDxfId="18"/>
    <tableColumn id="15" xr3:uid="{FE42BDF9-171F-EC4D-81AF-580A8340B07E}" name="Days Left" dataDxfId="17" totalsRowDxfId="16" dataCellStyle="Normal 2">
      <calculatedColumnFormula>IF(I6="","",I6-TODAY())</calculatedColumnFormula>
    </tableColumn>
    <tableColumn id="12" xr3:uid="{1B0E648D-9F5D-F442-88C4-B9B664406465}" name="Progress %" dataDxfId="15" totalsRowDxfId="14" dataCellStyle="Per cent"/>
    <tableColumn id="7" xr3:uid="{1E5D22CE-2B31-2D4F-9695-CD3F9D9FA43A}" name="Report To" dataDxfId="13" totalsRowDxfId="12" dataCellStyle="Normal 2"/>
    <tableColumn id="8" xr3:uid="{46A24387-821A-8E4B-9165-75ACB4886C10}" name="File/ Cloud" dataDxfId="11" totalsRowDxfId="10"/>
    <tableColumn id="9" xr3:uid="{CDBEFB51-2430-C642-B65F-DCFE3F5F679F}" name="Results/ Note" dataDxfId="9" totalsRowDxfId="8"/>
    <tableColumn id="10" xr3:uid="{72E626DD-9328-7344-8394-5B1C6DAB667B}" name="Check" dataDxfId="7" totalsRowDxfId="6"/>
  </tableColumns>
  <tableStyleInfo name="CONT_2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DDD7-CA8C-F14E-ADC8-0E4020327FF6}">
  <sheetPr>
    <outlinePr summaryBelow="0" summaryRight="0"/>
  </sheetPr>
  <dimension ref="A1:I35"/>
  <sheetViews>
    <sheetView tabSelected="1" zoomScale="90" zoomScaleNormal="90" workbookViewId="0">
      <selection activeCell="K24" sqref="K24"/>
    </sheetView>
  </sheetViews>
  <sheetFormatPr baseColWidth="10" defaultColWidth="14.5" defaultRowHeight="20" customHeight="1" x14ac:dyDescent="0.2"/>
  <cols>
    <col min="1" max="1" width="15" style="1" customWidth="1"/>
    <col min="2" max="2" width="28" style="1" customWidth="1"/>
    <col min="3" max="9" width="20.83203125" style="1" customWidth="1"/>
    <col min="10" max="16384" width="14.5" style="1"/>
  </cols>
  <sheetData>
    <row r="1" spans="1:9" ht="30" customHeight="1" x14ac:dyDescent="0.2">
      <c r="A1" s="88" t="s">
        <v>14</v>
      </c>
      <c r="B1" s="88"/>
      <c r="C1" s="44">
        <v>45992</v>
      </c>
      <c r="D1" s="59" t="s">
        <v>73</v>
      </c>
    </row>
    <row r="2" spans="1:9" ht="20" customHeight="1" x14ac:dyDescent="0.2">
      <c r="A2" s="89" t="s">
        <v>38</v>
      </c>
      <c r="B2" s="39" t="s">
        <v>62</v>
      </c>
      <c r="C2" s="28" t="str">
        <f>CHOOSE(COLUMN()-COLUMN($C$2)+1,
"Monday","Tuesday","Wednesday","Thursday","Friday","Saturday","Sunday")</f>
        <v>Monday</v>
      </c>
      <c r="D2" s="28" t="s">
        <v>39</v>
      </c>
      <c r="E2" s="28" t="s">
        <v>40</v>
      </c>
      <c r="F2" s="28" t="s">
        <v>41</v>
      </c>
      <c r="G2" s="28" t="s">
        <v>42</v>
      </c>
      <c r="H2" s="28" t="s">
        <v>43</v>
      </c>
      <c r="I2" s="29" t="s">
        <v>44</v>
      </c>
    </row>
    <row r="3" spans="1:9" ht="20" customHeight="1" x14ac:dyDescent="0.2">
      <c r="A3" s="90"/>
      <c r="B3" s="57"/>
      <c r="C3" s="55" cm="1">
        <f t="array" ref="C3:I3">_xlfn.SEQUENCE(1,7,$C$1-WEEKDAY($C$1,2)+1,1)</f>
        <v>45992</v>
      </c>
      <c r="D3" s="55">
        <v>45993</v>
      </c>
      <c r="E3" s="55">
        <v>45994</v>
      </c>
      <c r="F3" s="55">
        <v>45995</v>
      </c>
      <c r="G3" s="55">
        <v>45996</v>
      </c>
      <c r="H3" s="55">
        <v>45997</v>
      </c>
      <c r="I3" s="56">
        <v>45998</v>
      </c>
    </row>
    <row r="4" spans="1:9" ht="20" customHeight="1" x14ac:dyDescent="0.2">
      <c r="A4" s="90"/>
      <c r="B4" s="40" t="s">
        <v>117</v>
      </c>
      <c r="C4" s="11" t="s">
        <v>13</v>
      </c>
      <c r="D4" s="11" t="s">
        <v>13</v>
      </c>
      <c r="E4" s="11" t="s">
        <v>13</v>
      </c>
      <c r="F4" s="11" t="s">
        <v>13</v>
      </c>
      <c r="G4" s="11" t="s">
        <v>13</v>
      </c>
      <c r="H4" s="11" t="s">
        <v>13</v>
      </c>
      <c r="I4" s="12"/>
    </row>
    <row r="5" spans="1:9" ht="20" customHeight="1" x14ac:dyDescent="0.2">
      <c r="A5" s="90"/>
      <c r="B5" s="40" t="s">
        <v>118</v>
      </c>
      <c r="C5" s="11" t="s">
        <v>71</v>
      </c>
      <c r="D5" s="11" t="s">
        <v>71</v>
      </c>
      <c r="E5" s="11" t="s">
        <v>71</v>
      </c>
      <c r="F5" s="11" t="s">
        <v>71</v>
      </c>
      <c r="G5" s="11" t="s">
        <v>71</v>
      </c>
      <c r="H5" s="11" t="s">
        <v>71</v>
      </c>
      <c r="I5" s="12"/>
    </row>
    <row r="6" spans="1:9" ht="20" customHeight="1" x14ac:dyDescent="0.2">
      <c r="A6" s="90"/>
      <c r="B6" s="40" t="s">
        <v>119</v>
      </c>
      <c r="C6" s="11" t="s">
        <v>71</v>
      </c>
      <c r="D6" s="11" t="s">
        <v>71</v>
      </c>
      <c r="E6" s="11" t="s">
        <v>71</v>
      </c>
      <c r="F6" s="11" t="s">
        <v>71</v>
      </c>
      <c r="G6" s="11" t="s">
        <v>71</v>
      </c>
      <c r="H6" s="11" t="s">
        <v>71</v>
      </c>
      <c r="I6" s="12"/>
    </row>
    <row r="7" spans="1:9" ht="20" customHeight="1" x14ac:dyDescent="0.2">
      <c r="A7" s="90"/>
      <c r="B7" s="40" t="s">
        <v>120</v>
      </c>
      <c r="C7" s="11" t="s">
        <v>72</v>
      </c>
      <c r="D7" s="11" t="s">
        <v>72</v>
      </c>
      <c r="E7" s="11" t="s">
        <v>72</v>
      </c>
      <c r="F7" s="11" t="s">
        <v>72</v>
      </c>
      <c r="G7" s="11" t="s">
        <v>72</v>
      </c>
      <c r="H7" s="11" t="s">
        <v>72</v>
      </c>
      <c r="I7" s="12"/>
    </row>
    <row r="8" spans="1:9" ht="10" customHeight="1" x14ac:dyDescent="0.2">
      <c r="A8" s="91"/>
      <c r="B8" s="91"/>
      <c r="C8" s="91"/>
      <c r="D8" s="91"/>
      <c r="E8" s="91"/>
      <c r="F8" s="91"/>
      <c r="G8" s="91"/>
      <c r="H8" s="91"/>
      <c r="I8" s="91"/>
    </row>
    <row r="9" spans="1:9" ht="20" customHeight="1" x14ac:dyDescent="0.2">
      <c r="A9" s="89" t="s">
        <v>45</v>
      </c>
      <c r="B9" s="39" t="s">
        <v>62</v>
      </c>
      <c r="C9" s="28" t="str">
        <f>CHOOSE(COLUMN()-COLUMN($C$2)+1,
"Monday","Tuesday","Wednesday","Thursday","Friday","Saturday","Sunday")</f>
        <v>Monday</v>
      </c>
      <c r="D9" s="28" t="s">
        <v>39</v>
      </c>
      <c r="E9" s="28" t="s">
        <v>40</v>
      </c>
      <c r="F9" s="28" t="s">
        <v>41</v>
      </c>
      <c r="G9" s="28" t="s">
        <v>42</v>
      </c>
      <c r="H9" s="28" t="s">
        <v>43</v>
      </c>
      <c r="I9" s="29" t="s">
        <v>44</v>
      </c>
    </row>
    <row r="10" spans="1:9" ht="20" customHeight="1" x14ac:dyDescent="0.2">
      <c r="A10" s="90"/>
      <c r="B10" s="57"/>
      <c r="C10" s="55" cm="1">
        <f t="array" ref="C10:I10">_xlfn.SEQUENCE(1,7,$C$1-WEEKDAY($C$1,2)+1+7,1)</f>
        <v>45999</v>
      </c>
      <c r="D10" s="55">
        <v>46000</v>
      </c>
      <c r="E10" s="55">
        <v>46001</v>
      </c>
      <c r="F10" s="55">
        <v>46002</v>
      </c>
      <c r="G10" s="55">
        <v>46003</v>
      </c>
      <c r="H10" s="55">
        <v>46004</v>
      </c>
      <c r="I10" s="56">
        <v>46005</v>
      </c>
    </row>
    <row r="11" spans="1:9" ht="20" customHeight="1" x14ac:dyDescent="0.2">
      <c r="A11" s="90"/>
      <c r="B11" s="40" t="s">
        <v>117</v>
      </c>
      <c r="C11" s="11" t="s">
        <v>13</v>
      </c>
      <c r="D11" s="11" t="s">
        <v>13</v>
      </c>
      <c r="E11" s="11" t="s">
        <v>13</v>
      </c>
      <c r="F11" s="11" t="s">
        <v>13</v>
      </c>
      <c r="G11" s="11" t="s">
        <v>13</v>
      </c>
      <c r="H11" s="11" t="s">
        <v>13</v>
      </c>
      <c r="I11" s="12"/>
    </row>
    <row r="12" spans="1:9" ht="20" customHeight="1" x14ac:dyDescent="0.2">
      <c r="A12" s="90"/>
      <c r="B12" s="40" t="s">
        <v>118</v>
      </c>
      <c r="C12" s="11" t="s">
        <v>71</v>
      </c>
      <c r="D12" s="11" t="s">
        <v>71</v>
      </c>
      <c r="E12" s="11" t="s">
        <v>71</v>
      </c>
      <c r="F12" s="11" t="s">
        <v>71</v>
      </c>
      <c r="G12" s="11" t="s">
        <v>71</v>
      </c>
      <c r="H12" s="11" t="s">
        <v>71</v>
      </c>
      <c r="I12" s="12"/>
    </row>
    <row r="13" spans="1:9" ht="20" customHeight="1" x14ac:dyDescent="0.2">
      <c r="A13" s="90"/>
      <c r="B13" s="40" t="s">
        <v>119</v>
      </c>
      <c r="C13" s="11" t="s">
        <v>71</v>
      </c>
      <c r="D13" s="11" t="s">
        <v>71</v>
      </c>
      <c r="E13" s="11" t="s">
        <v>71</v>
      </c>
      <c r="F13" s="11" t="s">
        <v>71</v>
      </c>
      <c r="G13" s="11" t="s">
        <v>71</v>
      </c>
      <c r="H13" s="11" t="s">
        <v>71</v>
      </c>
      <c r="I13" s="12"/>
    </row>
    <row r="14" spans="1:9" ht="20" customHeight="1" x14ac:dyDescent="0.2">
      <c r="A14" s="90"/>
      <c r="B14" s="40" t="s">
        <v>120</v>
      </c>
      <c r="C14" s="11" t="s">
        <v>72</v>
      </c>
      <c r="D14" s="11" t="s">
        <v>72</v>
      </c>
      <c r="E14" s="11" t="s">
        <v>72</v>
      </c>
      <c r="F14" s="11" t="s">
        <v>72</v>
      </c>
      <c r="G14" s="11" t="s">
        <v>72</v>
      </c>
      <c r="H14" s="11" t="s">
        <v>72</v>
      </c>
      <c r="I14" s="12"/>
    </row>
    <row r="15" spans="1:9" ht="10" customHeight="1" x14ac:dyDescent="0.2">
      <c r="A15" s="91"/>
      <c r="B15" s="91"/>
      <c r="C15" s="91"/>
      <c r="D15" s="91"/>
      <c r="E15" s="91"/>
      <c r="F15" s="91"/>
      <c r="G15" s="91"/>
      <c r="H15" s="91"/>
      <c r="I15" s="91"/>
    </row>
    <row r="16" spans="1:9" ht="20" customHeight="1" x14ac:dyDescent="0.2">
      <c r="A16" s="89" t="s">
        <v>46</v>
      </c>
      <c r="B16" s="39" t="s">
        <v>62</v>
      </c>
      <c r="C16" s="28" t="str">
        <f>CHOOSE(COLUMN()-COLUMN($C$2)+1,
"Monday","Tuesday","Wednesday","Thursday","Friday","Saturday","Sunday")</f>
        <v>Monday</v>
      </c>
      <c r="D16" s="28" t="s">
        <v>39</v>
      </c>
      <c r="E16" s="28" t="s">
        <v>40</v>
      </c>
      <c r="F16" s="28" t="s">
        <v>41</v>
      </c>
      <c r="G16" s="28" t="s">
        <v>42</v>
      </c>
      <c r="H16" s="28" t="s">
        <v>43</v>
      </c>
      <c r="I16" s="29" t="s">
        <v>44</v>
      </c>
    </row>
    <row r="17" spans="1:9" ht="20" customHeight="1" x14ac:dyDescent="0.2">
      <c r="A17" s="90"/>
      <c r="B17" s="57"/>
      <c r="C17" s="55" cm="1">
        <f t="array" ref="C17:I17">_xlfn.SEQUENCE(1,7,$C$1-WEEKDAY($C$1,2)+1+14,1)</f>
        <v>46006</v>
      </c>
      <c r="D17" s="55">
        <v>46007</v>
      </c>
      <c r="E17" s="55">
        <v>46008</v>
      </c>
      <c r="F17" s="55">
        <v>46009</v>
      </c>
      <c r="G17" s="55">
        <v>46010</v>
      </c>
      <c r="H17" s="55">
        <v>46011</v>
      </c>
      <c r="I17" s="56">
        <v>46012</v>
      </c>
    </row>
    <row r="18" spans="1:9" ht="20" customHeight="1" x14ac:dyDescent="0.2">
      <c r="A18" s="90"/>
      <c r="B18" s="40" t="s">
        <v>117</v>
      </c>
      <c r="C18" s="11" t="s">
        <v>13</v>
      </c>
      <c r="D18" s="11" t="s">
        <v>13</v>
      </c>
      <c r="E18" s="11" t="s">
        <v>13</v>
      </c>
      <c r="F18" s="11" t="s">
        <v>13</v>
      </c>
      <c r="G18" s="11" t="s">
        <v>13</v>
      </c>
      <c r="H18" s="11" t="s">
        <v>13</v>
      </c>
      <c r="I18" s="12"/>
    </row>
    <row r="19" spans="1:9" ht="20" customHeight="1" x14ac:dyDescent="0.2">
      <c r="A19" s="90"/>
      <c r="B19" s="40" t="s">
        <v>118</v>
      </c>
      <c r="C19" s="11" t="s">
        <v>71</v>
      </c>
      <c r="D19" s="11" t="s">
        <v>71</v>
      </c>
      <c r="E19" s="11" t="s">
        <v>71</v>
      </c>
      <c r="F19" s="11" t="s">
        <v>71</v>
      </c>
      <c r="G19" s="11" t="s">
        <v>71</v>
      </c>
      <c r="H19" s="11" t="s">
        <v>71</v>
      </c>
      <c r="I19" s="12"/>
    </row>
    <row r="20" spans="1:9" ht="20" customHeight="1" x14ac:dyDescent="0.2">
      <c r="A20" s="90"/>
      <c r="B20" s="40" t="s">
        <v>119</v>
      </c>
      <c r="C20" s="11" t="s">
        <v>71</v>
      </c>
      <c r="D20" s="11" t="s">
        <v>71</v>
      </c>
      <c r="E20" s="11" t="s">
        <v>71</v>
      </c>
      <c r="F20" s="11" t="s">
        <v>71</v>
      </c>
      <c r="G20" s="11" t="s">
        <v>71</v>
      </c>
      <c r="H20" s="11" t="s">
        <v>71</v>
      </c>
      <c r="I20" s="12"/>
    </row>
    <row r="21" spans="1:9" ht="20" customHeight="1" x14ac:dyDescent="0.2">
      <c r="A21" s="90"/>
      <c r="B21" s="40" t="s">
        <v>120</v>
      </c>
      <c r="C21" s="11" t="s">
        <v>72</v>
      </c>
      <c r="D21" s="11" t="s">
        <v>72</v>
      </c>
      <c r="E21" s="11" t="s">
        <v>72</v>
      </c>
      <c r="F21" s="11" t="s">
        <v>72</v>
      </c>
      <c r="G21" s="11" t="s">
        <v>72</v>
      </c>
      <c r="H21" s="11" t="s">
        <v>72</v>
      </c>
      <c r="I21" s="12"/>
    </row>
    <row r="22" spans="1:9" ht="10" customHeight="1" x14ac:dyDescent="0.2">
      <c r="A22" s="91"/>
      <c r="B22" s="91"/>
      <c r="C22" s="91"/>
      <c r="D22" s="91"/>
      <c r="E22" s="91"/>
      <c r="F22" s="91"/>
      <c r="G22" s="91"/>
      <c r="H22" s="91"/>
      <c r="I22" s="91"/>
    </row>
    <row r="23" spans="1:9" ht="20" customHeight="1" x14ac:dyDescent="0.2">
      <c r="A23" s="89" t="s">
        <v>47</v>
      </c>
      <c r="B23" s="39" t="s">
        <v>62</v>
      </c>
      <c r="C23" s="28" t="str">
        <f>CHOOSE(COLUMN()-COLUMN($C$2)+1,
"Monday","Tuesday","Wednesday","Thursday","Friday","Saturday","Sunday")</f>
        <v>Monday</v>
      </c>
      <c r="D23" s="28" t="s">
        <v>39</v>
      </c>
      <c r="E23" s="28" t="s">
        <v>40</v>
      </c>
      <c r="F23" s="28" t="s">
        <v>41</v>
      </c>
      <c r="G23" s="28" t="s">
        <v>42</v>
      </c>
      <c r="H23" s="28" t="s">
        <v>43</v>
      </c>
      <c r="I23" s="29" t="s">
        <v>44</v>
      </c>
    </row>
    <row r="24" spans="1:9" ht="20" customHeight="1" x14ac:dyDescent="0.2">
      <c r="A24" s="90"/>
      <c r="B24" s="57"/>
      <c r="C24" s="55" cm="1">
        <f t="array" ref="C24:I24">_xlfn.SEQUENCE(1,7,$C$1-WEEKDAY($C$1,2)+1+21,1)</f>
        <v>46013</v>
      </c>
      <c r="D24" s="55">
        <v>46014</v>
      </c>
      <c r="E24" s="55">
        <v>46015</v>
      </c>
      <c r="F24" s="55">
        <v>46016</v>
      </c>
      <c r="G24" s="55">
        <v>46017</v>
      </c>
      <c r="H24" s="55">
        <v>46018</v>
      </c>
      <c r="I24" s="56">
        <v>46019</v>
      </c>
    </row>
    <row r="25" spans="1:9" ht="20" customHeight="1" x14ac:dyDescent="0.2">
      <c r="A25" s="90"/>
      <c r="B25" s="40" t="s">
        <v>117</v>
      </c>
      <c r="C25" s="11" t="s">
        <v>13</v>
      </c>
      <c r="D25" s="11" t="s">
        <v>13</v>
      </c>
      <c r="E25" s="11" t="s">
        <v>13</v>
      </c>
      <c r="F25" s="11" t="s">
        <v>13</v>
      </c>
      <c r="G25" s="11" t="s">
        <v>13</v>
      </c>
      <c r="H25" s="11" t="s">
        <v>13</v>
      </c>
      <c r="I25" s="12"/>
    </row>
    <row r="26" spans="1:9" ht="20" customHeight="1" x14ac:dyDescent="0.2">
      <c r="A26" s="90"/>
      <c r="B26" s="40" t="s">
        <v>118</v>
      </c>
      <c r="C26" s="11" t="s">
        <v>71</v>
      </c>
      <c r="D26" s="11" t="s">
        <v>71</v>
      </c>
      <c r="E26" s="11" t="s">
        <v>71</v>
      </c>
      <c r="F26" s="11" t="s">
        <v>71</v>
      </c>
      <c r="G26" s="11" t="s">
        <v>71</v>
      </c>
      <c r="H26" s="11" t="s">
        <v>71</v>
      </c>
      <c r="I26" s="12"/>
    </row>
    <row r="27" spans="1:9" ht="20" customHeight="1" x14ac:dyDescent="0.2">
      <c r="A27" s="90"/>
      <c r="B27" s="40" t="s">
        <v>119</v>
      </c>
      <c r="C27" s="11" t="s">
        <v>71</v>
      </c>
      <c r="D27" s="11" t="s">
        <v>71</v>
      </c>
      <c r="E27" s="11" t="s">
        <v>71</v>
      </c>
      <c r="F27" s="11" t="s">
        <v>71</v>
      </c>
      <c r="G27" s="11" t="s">
        <v>71</v>
      </c>
      <c r="H27" s="11" t="s">
        <v>71</v>
      </c>
      <c r="I27" s="12"/>
    </row>
    <row r="28" spans="1:9" ht="20" customHeight="1" x14ac:dyDescent="0.2">
      <c r="A28" s="90"/>
      <c r="B28" s="40" t="s">
        <v>120</v>
      </c>
      <c r="C28" s="11" t="s">
        <v>72</v>
      </c>
      <c r="D28" s="11" t="s">
        <v>72</v>
      </c>
      <c r="E28" s="11" t="s">
        <v>72</v>
      </c>
      <c r="F28" s="11" t="s">
        <v>72</v>
      </c>
      <c r="G28" s="11" t="s">
        <v>72</v>
      </c>
      <c r="H28" s="11" t="s">
        <v>72</v>
      </c>
      <c r="I28" s="12"/>
    </row>
    <row r="29" spans="1:9" ht="10" customHeight="1" x14ac:dyDescent="0.2">
      <c r="A29" s="91"/>
      <c r="B29" s="91"/>
      <c r="C29" s="91"/>
      <c r="D29" s="91"/>
      <c r="E29" s="91"/>
      <c r="F29" s="91"/>
      <c r="G29" s="91"/>
      <c r="H29" s="91"/>
      <c r="I29" s="91"/>
    </row>
    <row r="30" spans="1:9" ht="20" customHeight="1" x14ac:dyDescent="0.2">
      <c r="A30" s="89" t="s">
        <v>48</v>
      </c>
      <c r="B30" s="39" t="s">
        <v>62</v>
      </c>
      <c r="C30" s="28" t="str">
        <f>CHOOSE(COLUMN()-COLUMN($C$2)+1,
"Monday","Tuesday","Wednesday","Thursday","Friday","Saturday","Sunday")</f>
        <v>Monday</v>
      </c>
      <c r="D30" s="28" t="s">
        <v>39</v>
      </c>
      <c r="E30" s="28" t="s">
        <v>40</v>
      </c>
      <c r="F30" s="28" t="s">
        <v>41</v>
      </c>
      <c r="G30" s="28" t="s">
        <v>42</v>
      </c>
      <c r="H30" s="28" t="s">
        <v>43</v>
      </c>
      <c r="I30" s="29" t="s">
        <v>44</v>
      </c>
    </row>
    <row r="31" spans="1:9" ht="20" customHeight="1" x14ac:dyDescent="0.2">
      <c r="A31" s="90"/>
      <c r="B31" s="57"/>
      <c r="C31" s="55" cm="1">
        <f t="array" ref="C31:I31">_xlfn.SEQUENCE(1,7,$C$1-WEEKDAY($C$1,2)+1+28,1)</f>
        <v>46020</v>
      </c>
      <c r="D31" s="55">
        <v>46021</v>
      </c>
      <c r="E31" s="55">
        <v>46022</v>
      </c>
      <c r="F31" s="55">
        <v>46023</v>
      </c>
      <c r="G31" s="55">
        <v>46024</v>
      </c>
      <c r="H31" s="55">
        <v>46025</v>
      </c>
      <c r="I31" s="56">
        <v>46026</v>
      </c>
    </row>
    <row r="32" spans="1:9" ht="20" customHeight="1" x14ac:dyDescent="0.2">
      <c r="A32" s="90"/>
      <c r="B32" s="40" t="s">
        <v>117</v>
      </c>
      <c r="C32" s="11" t="s">
        <v>13</v>
      </c>
      <c r="D32" s="11" t="s">
        <v>13</v>
      </c>
      <c r="E32" s="11" t="s">
        <v>13</v>
      </c>
      <c r="F32" s="11" t="s">
        <v>13</v>
      </c>
      <c r="G32" s="11" t="s">
        <v>13</v>
      </c>
      <c r="H32" s="11" t="s">
        <v>13</v>
      </c>
      <c r="I32" s="12"/>
    </row>
    <row r="33" spans="1:9" ht="20" customHeight="1" x14ac:dyDescent="0.2">
      <c r="A33" s="90"/>
      <c r="B33" s="40" t="s">
        <v>118</v>
      </c>
      <c r="C33" s="11" t="s">
        <v>71</v>
      </c>
      <c r="D33" s="11" t="s">
        <v>71</v>
      </c>
      <c r="E33" s="11" t="s">
        <v>71</v>
      </c>
      <c r="F33" s="11" t="s">
        <v>71</v>
      </c>
      <c r="G33" s="11" t="s">
        <v>71</v>
      </c>
      <c r="H33" s="11" t="s">
        <v>71</v>
      </c>
      <c r="I33" s="12"/>
    </row>
    <row r="34" spans="1:9" ht="20" customHeight="1" x14ac:dyDescent="0.2">
      <c r="A34" s="90"/>
      <c r="B34" s="40" t="s">
        <v>119</v>
      </c>
      <c r="C34" s="11" t="s">
        <v>71</v>
      </c>
      <c r="D34" s="11" t="s">
        <v>71</v>
      </c>
      <c r="E34" s="11" t="s">
        <v>71</v>
      </c>
      <c r="F34" s="11" t="s">
        <v>71</v>
      </c>
      <c r="G34" s="11" t="s">
        <v>71</v>
      </c>
      <c r="H34" s="11" t="s">
        <v>71</v>
      </c>
      <c r="I34" s="12"/>
    </row>
    <row r="35" spans="1:9" ht="20" customHeight="1" x14ac:dyDescent="0.2">
      <c r="A35" s="90"/>
      <c r="B35" s="40" t="s">
        <v>120</v>
      </c>
      <c r="C35" s="11" t="s">
        <v>72</v>
      </c>
      <c r="D35" s="11" t="s">
        <v>72</v>
      </c>
      <c r="E35" s="11" t="s">
        <v>72</v>
      </c>
      <c r="F35" s="11" t="s">
        <v>72</v>
      </c>
      <c r="G35" s="11" t="s">
        <v>72</v>
      </c>
      <c r="H35" s="11" t="s">
        <v>72</v>
      </c>
      <c r="I35" s="12"/>
    </row>
  </sheetData>
  <mergeCells count="10">
    <mergeCell ref="A30:A35"/>
    <mergeCell ref="A15:I15"/>
    <mergeCell ref="A16:A21"/>
    <mergeCell ref="A22:I22"/>
    <mergeCell ref="A23:A28"/>
    <mergeCell ref="A1:B1"/>
    <mergeCell ref="A2:A7"/>
    <mergeCell ref="A8:I8"/>
    <mergeCell ref="A9:A14"/>
    <mergeCell ref="A29:I29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6E58-3780-C341-850C-ED91A50E2650}">
  <sheetPr>
    <outlinePr summaryBelow="0" summaryRight="0"/>
  </sheetPr>
  <dimension ref="A1:I55"/>
  <sheetViews>
    <sheetView zoomScale="90" zoomScaleNormal="90" workbookViewId="0">
      <selection activeCell="D8" sqref="D8"/>
    </sheetView>
  </sheetViews>
  <sheetFormatPr baseColWidth="10" defaultColWidth="14.5" defaultRowHeight="20" customHeight="1" x14ac:dyDescent="0.2"/>
  <cols>
    <col min="1" max="1" width="15" style="1" customWidth="1"/>
    <col min="2" max="2" width="28" style="1" customWidth="1"/>
    <col min="3" max="3" width="26.33203125" style="1" customWidth="1"/>
    <col min="4" max="4" width="23.33203125" style="1" customWidth="1"/>
    <col min="5" max="5" width="19.33203125" style="1" customWidth="1"/>
    <col min="6" max="7" width="20.83203125" style="1" customWidth="1"/>
    <col min="8" max="8" width="25.5" style="1" customWidth="1"/>
    <col min="9" max="9" width="20.83203125" style="1" customWidth="1"/>
    <col min="10" max="16384" width="14.5" style="1"/>
  </cols>
  <sheetData>
    <row r="1" spans="1:9" ht="30" customHeight="1" x14ac:dyDescent="0.2">
      <c r="A1" s="88" t="s">
        <v>14</v>
      </c>
      <c r="B1" s="88"/>
      <c r="C1" s="44">
        <v>45992</v>
      </c>
      <c r="D1" s="58" t="str">
        <f>'Work Schedule'!B4</f>
        <v xml:space="preserve">Tuyen Nguyen </v>
      </c>
      <c r="E1" s="84" t="s">
        <v>61</v>
      </c>
    </row>
    <row r="2" spans="1:9" ht="20" customHeight="1" x14ac:dyDescent="0.2">
      <c r="A2" s="89" t="s">
        <v>38</v>
      </c>
      <c r="B2" s="39" t="s">
        <v>62</v>
      </c>
      <c r="C2" s="28" t="str">
        <f>CHOOSE(COLUMN()-COLUMN($C$2)+1,
"Monday","Tuesday","Wednesday","Thursday","Friday","Saturday","Sunday")</f>
        <v>Monday</v>
      </c>
      <c r="D2" s="28" t="str">
        <f t="shared" ref="D2:G2" si="0">CHOOSE(COLUMN()-COLUMN($C$2)+1,
"Monday","Tuesday","Wednesday","Thursday","Friday","Saturday","Sunday")</f>
        <v>Tuesday</v>
      </c>
      <c r="E2" s="28" t="str">
        <f t="shared" si="0"/>
        <v>Wednesday</v>
      </c>
      <c r="F2" s="28" t="str">
        <f t="shared" si="0"/>
        <v>Thursday</v>
      </c>
      <c r="G2" s="28" t="str">
        <f t="shared" si="0"/>
        <v>Friday</v>
      </c>
      <c r="H2" s="28" t="str">
        <f>CHOOSE(COLUMN()-COLUMN($C$2)+1,
"Monday","Tuesday","Wednesday","Thursday","Friday","Saturday","Sunday")</f>
        <v>Saturday</v>
      </c>
      <c r="I2" s="47" t="str">
        <f>CHOOSE(COLUMN()-COLUMN($C$2)+1,
"Monday","Tuesday","Wednesday","Thursday","Friday","Saturday","Sunday")</f>
        <v>Sunday</v>
      </c>
    </row>
    <row r="3" spans="1:9" ht="20" customHeight="1" x14ac:dyDescent="0.2">
      <c r="A3" s="89"/>
      <c r="B3" s="83" t="str">
        <f>$D$1</f>
        <v xml:space="preserve">Tuyen Nguyen </v>
      </c>
      <c r="C3" s="45" cm="1">
        <f t="array" ref="C3:I3">_xlfn.SEQUENCE(1,7,$C$1-WEEKDAY($C$1,2)+1,1)</f>
        <v>45992</v>
      </c>
      <c r="D3" s="45">
        <v>45993</v>
      </c>
      <c r="E3" s="45">
        <v>45994</v>
      </c>
      <c r="F3" s="45">
        <v>45995</v>
      </c>
      <c r="G3" s="45">
        <v>45996</v>
      </c>
      <c r="H3" s="45">
        <v>45997</v>
      </c>
      <c r="I3" s="46">
        <v>45998</v>
      </c>
    </row>
    <row r="4" spans="1:9" ht="20" customHeight="1" x14ac:dyDescent="0.2">
      <c r="A4" s="89"/>
      <c r="B4" s="41" t="str">
        <f>$E$1</f>
        <v>Marketing Executive</v>
      </c>
      <c r="C4" s="11" t="s">
        <v>13</v>
      </c>
      <c r="D4" s="11" t="s">
        <v>13</v>
      </c>
      <c r="E4" s="11" t="s">
        <v>13</v>
      </c>
      <c r="F4" s="11" t="s">
        <v>13</v>
      </c>
      <c r="G4" s="11" t="s">
        <v>13</v>
      </c>
      <c r="H4" s="11" t="s">
        <v>13</v>
      </c>
      <c r="I4" s="12"/>
    </row>
    <row r="5" spans="1:9" ht="20" customHeight="1" x14ac:dyDescent="0.2">
      <c r="A5" s="89"/>
      <c r="B5" s="51" t="s">
        <v>63</v>
      </c>
      <c r="C5" s="42" t="s">
        <v>126</v>
      </c>
      <c r="D5" s="42">
        <v>123</v>
      </c>
      <c r="E5" s="42"/>
      <c r="F5" s="42"/>
      <c r="G5" s="42"/>
      <c r="H5" s="42"/>
      <c r="I5" s="12"/>
    </row>
    <row r="6" spans="1:9" ht="20" customHeight="1" x14ac:dyDescent="0.2">
      <c r="A6" s="89"/>
      <c r="B6" s="51" t="s">
        <v>64</v>
      </c>
      <c r="C6" s="43" t="s">
        <v>127</v>
      </c>
      <c r="D6" s="43"/>
      <c r="E6" s="43"/>
      <c r="F6" s="43"/>
      <c r="G6" s="43"/>
      <c r="H6" s="43"/>
      <c r="I6" s="12"/>
    </row>
    <row r="7" spans="1:9" ht="20" customHeight="1" x14ac:dyDescent="0.2">
      <c r="A7" s="89"/>
      <c r="B7" s="51" t="s">
        <v>65</v>
      </c>
      <c r="C7" s="42"/>
      <c r="D7" s="42"/>
      <c r="E7" s="42"/>
      <c r="F7" s="42"/>
      <c r="G7" s="42"/>
      <c r="H7" s="42"/>
      <c r="I7" s="12"/>
    </row>
    <row r="8" spans="1:9" ht="20" customHeight="1" x14ac:dyDescent="0.2">
      <c r="A8" s="89"/>
      <c r="B8" s="51" t="s">
        <v>66</v>
      </c>
      <c r="C8" s="43"/>
      <c r="D8" s="43"/>
      <c r="E8" s="43"/>
      <c r="F8" s="43"/>
      <c r="G8" s="43"/>
      <c r="H8" s="43"/>
      <c r="I8" s="12"/>
    </row>
    <row r="9" spans="1:9" ht="20" customHeight="1" x14ac:dyDescent="0.2">
      <c r="A9" s="89"/>
      <c r="B9" s="51" t="s">
        <v>67</v>
      </c>
      <c r="C9" s="42"/>
      <c r="D9" s="42"/>
      <c r="E9" s="42"/>
      <c r="F9" s="42"/>
      <c r="G9" s="42"/>
      <c r="H9" s="42"/>
      <c r="I9" s="12"/>
    </row>
    <row r="10" spans="1:9" ht="20" customHeight="1" x14ac:dyDescent="0.2">
      <c r="A10" s="89"/>
      <c r="B10" s="51" t="s">
        <v>68</v>
      </c>
      <c r="C10" s="43"/>
      <c r="D10" s="43"/>
      <c r="E10" s="43"/>
      <c r="F10" s="43"/>
      <c r="G10" s="43"/>
      <c r="H10" s="43"/>
      <c r="I10" s="12"/>
    </row>
    <row r="11" spans="1:9" ht="20" customHeight="1" x14ac:dyDescent="0.2">
      <c r="A11" s="89"/>
      <c r="B11" s="51" t="s">
        <v>69</v>
      </c>
      <c r="C11" s="42"/>
      <c r="D11" s="42"/>
      <c r="E11" s="42"/>
      <c r="F11" s="42"/>
      <c r="G11" s="42"/>
      <c r="H11" s="42"/>
      <c r="I11" s="12"/>
    </row>
    <row r="12" spans="1:9" ht="10" customHeight="1" x14ac:dyDescent="0.2">
      <c r="A12" s="91"/>
      <c r="B12" s="91"/>
      <c r="C12" s="91"/>
      <c r="D12" s="91"/>
      <c r="E12" s="91"/>
      <c r="F12" s="91"/>
      <c r="G12" s="91"/>
      <c r="H12" s="91"/>
      <c r="I12" s="91"/>
    </row>
    <row r="13" spans="1:9" ht="20" customHeight="1" x14ac:dyDescent="0.2">
      <c r="A13" s="89" t="s">
        <v>45</v>
      </c>
      <c r="B13" s="39" t="s">
        <v>62</v>
      </c>
      <c r="C13" s="28" t="str">
        <f>CHOOSE(COLUMN()-COLUMN($C$2)+1,
"Monday","Tuesday","Wednesday","Thursday","Friday","Saturday","Sunday")</f>
        <v>Monday</v>
      </c>
      <c r="D13" s="28" t="s">
        <v>39</v>
      </c>
      <c r="E13" s="28" t="s">
        <v>40</v>
      </c>
      <c r="F13" s="28" t="s">
        <v>41</v>
      </c>
      <c r="G13" s="28" t="s">
        <v>42</v>
      </c>
      <c r="H13" s="28" t="s">
        <v>43</v>
      </c>
      <c r="I13" s="29" t="s">
        <v>44</v>
      </c>
    </row>
    <row r="14" spans="1:9" ht="20" customHeight="1" x14ac:dyDescent="0.2">
      <c r="A14" s="89"/>
      <c r="B14" s="83" t="str">
        <f>$D$1</f>
        <v xml:space="preserve">Tuyen Nguyen </v>
      </c>
      <c r="C14" s="45" cm="1">
        <f t="array" ref="C14:I14">_xlfn.SEQUENCE(1,7,$C$1-WEEKDAY($C$1,2)+1+7,1)</f>
        <v>45999</v>
      </c>
      <c r="D14" s="45">
        <v>46000</v>
      </c>
      <c r="E14" s="45">
        <v>46001</v>
      </c>
      <c r="F14" s="45">
        <v>46002</v>
      </c>
      <c r="G14" s="45">
        <v>46003</v>
      </c>
      <c r="H14" s="45">
        <v>46004</v>
      </c>
      <c r="I14" s="46">
        <v>46005</v>
      </c>
    </row>
    <row r="15" spans="1:9" ht="20" customHeight="1" x14ac:dyDescent="0.2">
      <c r="A15" s="89"/>
      <c r="B15" s="41" t="str">
        <f>$E$1</f>
        <v>Marketing Executive</v>
      </c>
      <c r="C15" s="11" t="s">
        <v>13</v>
      </c>
      <c r="D15" s="11" t="s">
        <v>13</v>
      </c>
      <c r="E15" s="11" t="s">
        <v>13</v>
      </c>
      <c r="F15" s="11" t="s">
        <v>13</v>
      </c>
      <c r="G15" s="11" t="s">
        <v>13</v>
      </c>
      <c r="H15" s="11" t="s">
        <v>13</v>
      </c>
      <c r="I15" s="12"/>
    </row>
    <row r="16" spans="1:9" ht="20" customHeight="1" x14ac:dyDescent="0.2">
      <c r="A16" s="89"/>
      <c r="B16" s="51" t="s">
        <v>63</v>
      </c>
      <c r="C16" s="42"/>
      <c r="D16" s="42"/>
      <c r="E16" s="42"/>
      <c r="F16" s="42"/>
      <c r="G16" s="42"/>
      <c r="H16" s="42"/>
      <c r="I16" s="12"/>
    </row>
    <row r="17" spans="1:9" ht="20" customHeight="1" x14ac:dyDescent="0.2">
      <c r="A17" s="89"/>
      <c r="B17" s="51" t="s">
        <v>64</v>
      </c>
      <c r="C17" s="43"/>
      <c r="D17" s="43"/>
      <c r="E17" s="43"/>
      <c r="F17" s="43"/>
      <c r="G17" s="43"/>
      <c r="H17" s="43"/>
      <c r="I17" s="12"/>
    </row>
    <row r="18" spans="1:9" ht="20" customHeight="1" x14ac:dyDescent="0.2">
      <c r="A18" s="89"/>
      <c r="B18" s="51" t="s">
        <v>65</v>
      </c>
      <c r="C18" s="42"/>
      <c r="D18" s="42"/>
      <c r="E18" s="42"/>
      <c r="F18" s="42"/>
      <c r="G18" s="42"/>
      <c r="H18" s="42"/>
      <c r="I18" s="12"/>
    </row>
    <row r="19" spans="1:9" ht="20" customHeight="1" x14ac:dyDescent="0.2">
      <c r="A19" s="89"/>
      <c r="B19" s="51" t="s">
        <v>66</v>
      </c>
      <c r="C19" s="43"/>
      <c r="D19" s="43"/>
      <c r="E19" s="43"/>
      <c r="F19" s="43"/>
      <c r="G19" s="43"/>
      <c r="H19" s="43"/>
      <c r="I19" s="12"/>
    </row>
    <row r="20" spans="1:9" ht="20" customHeight="1" x14ac:dyDescent="0.2">
      <c r="A20" s="89"/>
      <c r="B20" s="51" t="s">
        <v>67</v>
      </c>
      <c r="C20" s="42"/>
      <c r="D20" s="42"/>
      <c r="E20" s="42"/>
      <c r="F20" s="42"/>
      <c r="G20" s="42"/>
      <c r="H20" s="42"/>
      <c r="I20" s="12"/>
    </row>
    <row r="21" spans="1:9" ht="20" customHeight="1" x14ac:dyDescent="0.2">
      <c r="A21" s="89"/>
      <c r="B21" s="51" t="s">
        <v>68</v>
      </c>
      <c r="C21" s="43"/>
      <c r="D21" s="43"/>
      <c r="E21" s="43"/>
      <c r="F21" s="43"/>
      <c r="G21" s="43"/>
      <c r="H21" s="43"/>
      <c r="I21" s="12"/>
    </row>
    <row r="22" spans="1:9" ht="20" customHeight="1" x14ac:dyDescent="0.2">
      <c r="A22" s="89"/>
      <c r="B22" s="51" t="s">
        <v>69</v>
      </c>
      <c r="C22" s="42"/>
      <c r="D22" s="42"/>
      <c r="E22" s="42"/>
      <c r="F22" s="42"/>
      <c r="G22" s="42"/>
      <c r="H22" s="42"/>
      <c r="I22" s="12"/>
    </row>
    <row r="23" spans="1:9" ht="10" customHeight="1" x14ac:dyDescent="0.2">
      <c r="A23" s="91"/>
      <c r="B23" s="91"/>
      <c r="C23" s="91"/>
      <c r="D23" s="91"/>
      <c r="E23" s="91"/>
      <c r="F23" s="91"/>
      <c r="G23" s="91"/>
      <c r="H23" s="91"/>
      <c r="I23" s="91"/>
    </row>
    <row r="24" spans="1:9" ht="20" customHeight="1" x14ac:dyDescent="0.2">
      <c r="A24" s="89" t="s">
        <v>46</v>
      </c>
      <c r="B24" s="39" t="s">
        <v>62</v>
      </c>
      <c r="C24" s="28" t="str">
        <f>CHOOSE(COLUMN()-COLUMN($C$2)+1,
"Monday","Tuesday","Wednesday","Thursday","Friday","Saturday","Sunday")</f>
        <v>Monday</v>
      </c>
      <c r="D24" s="28" t="s">
        <v>39</v>
      </c>
      <c r="E24" s="28" t="s">
        <v>40</v>
      </c>
      <c r="F24" s="28" t="s">
        <v>41</v>
      </c>
      <c r="G24" s="28" t="s">
        <v>42</v>
      </c>
      <c r="H24" s="28" t="s">
        <v>43</v>
      </c>
      <c r="I24" s="29" t="s">
        <v>44</v>
      </c>
    </row>
    <row r="25" spans="1:9" ht="20" customHeight="1" x14ac:dyDescent="0.2">
      <c r="A25" s="89"/>
      <c r="B25" s="83" t="str">
        <f>$D$1</f>
        <v xml:space="preserve">Tuyen Nguyen </v>
      </c>
      <c r="C25" s="45" cm="1">
        <f t="array" ref="C25:I25">_xlfn.SEQUENCE(1,7,$C$1-WEEKDAY($C$1,2)+1+14,1)</f>
        <v>46006</v>
      </c>
      <c r="D25" s="45">
        <v>46007</v>
      </c>
      <c r="E25" s="45">
        <v>46008</v>
      </c>
      <c r="F25" s="45">
        <v>46009</v>
      </c>
      <c r="G25" s="45">
        <v>46010</v>
      </c>
      <c r="H25" s="45">
        <v>46011</v>
      </c>
      <c r="I25" s="46">
        <v>46012</v>
      </c>
    </row>
    <row r="26" spans="1:9" ht="20" customHeight="1" x14ac:dyDescent="0.2">
      <c r="A26" s="89"/>
      <c r="B26" s="41" t="str">
        <f>$E$1</f>
        <v>Marketing Executive</v>
      </c>
      <c r="C26" s="11" t="s">
        <v>13</v>
      </c>
      <c r="D26" s="11" t="s">
        <v>13</v>
      </c>
      <c r="E26" s="11" t="s">
        <v>13</v>
      </c>
      <c r="F26" s="11" t="s">
        <v>13</v>
      </c>
      <c r="G26" s="11" t="s">
        <v>13</v>
      </c>
      <c r="H26" s="11" t="s">
        <v>13</v>
      </c>
      <c r="I26" s="12"/>
    </row>
    <row r="27" spans="1:9" ht="20" customHeight="1" x14ac:dyDescent="0.2">
      <c r="A27" s="89"/>
      <c r="B27" s="51" t="s">
        <v>63</v>
      </c>
      <c r="C27" s="42"/>
      <c r="D27" s="42"/>
      <c r="E27" s="42"/>
      <c r="F27" s="42"/>
      <c r="G27" s="42"/>
      <c r="H27" s="42"/>
      <c r="I27" s="12"/>
    </row>
    <row r="28" spans="1:9" ht="20" customHeight="1" x14ac:dyDescent="0.2">
      <c r="A28" s="89"/>
      <c r="B28" s="51" t="s">
        <v>64</v>
      </c>
      <c r="C28" s="43"/>
      <c r="D28" s="43"/>
      <c r="E28" s="43"/>
      <c r="F28" s="43"/>
      <c r="G28" s="43"/>
      <c r="H28" s="43"/>
      <c r="I28" s="12"/>
    </row>
    <row r="29" spans="1:9" ht="20" customHeight="1" x14ac:dyDescent="0.2">
      <c r="A29" s="89"/>
      <c r="B29" s="51" t="s">
        <v>65</v>
      </c>
      <c r="C29" s="42"/>
      <c r="D29" s="42"/>
      <c r="E29" s="42"/>
      <c r="F29" s="42"/>
      <c r="G29" s="42"/>
      <c r="H29" s="42"/>
      <c r="I29" s="12"/>
    </row>
    <row r="30" spans="1:9" ht="20" customHeight="1" x14ac:dyDescent="0.2">
      <c r="A30" s="89"/>
      <c r="B30" s="51" t="s">
        <v>66</v>
      </c>
      <c r="C30" s="43"/>
      <c r="D30" s="43"/>
      <c r="E30" s="43"/>
      <c r="F30" s="43"/>
      <c r="G30" s="43"/>
      <c r="H30" s="43"/>
      <c r="I30" s="12"/>
    </row>
    <row r="31" spans="1:9" ht="20" customHeight="1" x14ac:dyDescent="0.2">
      <c r="A31" s="89"/>
      <c r="B31" s="51" t="s">
        <v>67</v>
      </c>
      <c r="C31" s="42"/>
      <c r="D31" s="42"/>
      <c r="E31" s="42"/>
      <c r="F31" s="42"/>
      <c r="G31" s="42"/>
      <c r="H31" s="42"/>
      <c r="I31" s="12"/>
    </row>
    <row r="32" spans="1:9" ht="20" customHeight="1" x14ac:dyDescent="0.2">
      <c r="A32" s="89"/>
      <c r="B32" s="51" t="s">
        <v>68</v>
      </c>
      <c r="C32" s="43"/>
      <c r="D32" s="43"/>
      <c r="E32" s="43"/>
      <c r="F32" s="43"/>
      <c r="G32" s="43"/>
      <c r="H32" s="43"/>
      <c r="I32" s="12"/>
    </row>
    <row r="33" spans="1:9" ht="20" customHeight="1" x14ac:dyDescent="0.2">
      <c r="A33" s="89"/>
      <c r="B33" s="51" t="s">
        <v>69</v>
      </c>
      <c r="C33" s="42"/>
      <c r="D33" s="42"/>
      <c r="E33" s="42"/>
      <c r="F33" s="42"/>
      <c r="G33" s="42"/>
      <c r="H33" s="42"/>
      <c r="I33" s="12"/>
    </row>
    <row r="34" spans="1:9" ht="10" customHeight="1" x14ac:dyDescent="0.2">
      <c r="A34" s="91"/>
      <c r="B34" s="91"/>
      <c r="C34" s="91"/>
      <c r="D34" s="91"/>
      <c r="E34" s="91"/>
      <c r="F34" s="91"/>
      <c r="G34" s="91"/>
      <c r="H34" s="91"/>
      <c r="I34" s="91"/>
    </row>
    <row r="35" spans="1:9" ht="20" customHeight="1" x14ac:dyDescent="0.2">
      <c r="A35" s="89" t="s">
        <v>47</v>
      </c>
      <c r="B35" s="39" t="s">
        <v>62</v>
      </c>
      <c r="C35" s="28" t="str">
        <f>CHOOSE(COLUMN()-COLUMN($C$2)+1,
"Monday","Tuesday","Wednesday","Thursday","Friday","Saturday","Sunday")</f>
        <v>Monday</v>
      </c>
      <c r="D35" s="28" t="s">
        <v>39</v>
      </c>
      <c r="E35" s="28" t="s">
        <v>40</v>
      </c>
      <c r="F35" s="28" t="s">
        <v>41</v>
      </c>
      <c r="G35" s="28" t="s">
        <v>42</v>
      </c>
      <c r="H35" s="28" t="s">
        <v>43</v>
      </c>
      <c r="I35" s="29" t="s">
        <v>44</v>
      </c>
    </row>
    <row r="36" spans="1:9" ht="20" customHeight="1" x14ac:dyDescent="0.2">
      <c r="A36" s="89"/>
      <c r="B36" s="83" t="str">
        <f>$D$1</f>
        <v xml:space="preserve">Tuyen Nguyen </v>
      </c>
      <c r="C36" s="45" cm="1">
        <f t="array" ref="C36:I36">_xlfn.SEQUENCE(1,7,$C$1-WEEKDAY($C$1,2)+1+21,1)</f>
        <v>46013</v>
      </c>
      <c r="D36" s="45">
        <v>46014</v>
      </c>
      <c r="E36" s="45">
        <v>46015</v>
      </c>
      <c r="F36" s="45">
        <v>46016</v>
      </c>
      <c r="G36" s="45">
        <v>46017</v>
      </c>
      <c r="H36" s="45">
        <v>46018</v>
      </c>
      <c r="I36" s="46">
        <v>46019</v>
      </c>
    </row>
    <row r="37" spans="1:9" ht="20" customHeight="1" x14ac:dyDescent="0.2">
      <c r="A37" s="89"/>
      <c r="B37" s="41" t="str">
        <f>$E$1</f>
        <v>Marketing Executive</v>
      </c>
      <c r="C37" s="11" t="s">
        <v>13</v>
      </c>
      <c r="D37" s="11" t="s">
        <v>13</v>
      </c>
      <c r="E37" s="11" t="s">
        <v>13</v>
      </c>
      <c r="F37" s="11" t="s">
        <v>13</v>
      </c>
      <c r="G37" s="11" t="s">
        <v>13</v>
      </c>
      <c r="H37" s="11" t="s">
        <v>13</v>
      </c>
      <c r="I37" s="12"/>
    </row>
    <row r="38" spans="1:9" ht="20" customHeight="1" x14ac:dyDescent="0.2">
      <c r="A38" s="89"/>
      <c r="B38" s="51" t="s">
        <v>63</v>
      </c>
      <c r="C38" s="42"/>
      <c r="D38" s="42"/>
      <c r="E38" s="42"/>
      <c r="F38" s="42"/>
      <c r="G38" s="42"/>
      <c r="H38" s="42"/>
      <c r="I38" s="12"/>
    </row>
    <row r="39" spans="1:9" ht="20" customHeight="1" x14ac:dyDescent="0.2">
      <c r="A39" s="89"/>
      <c r="B39" s="51" t="s">
        <v>64</v>
      </c>
      <c r="C39" s="43"/>
      <c r="D39" s="43"/>
      <c r="E39" s="43"/>
      <c r="F39" s="43"/>
      <c r="G39" s="43"/>
      <c r="H39" s="43"/>
      <c r="I39" s="12"/>
    </row>
    <row r="40" spans="1:9" ht="20" customHeight="1" x14ac:dyDescent="0.2">
      <c r="A40" s="89"/>
      <c r="B40" s="51" t="s">
        <v>65</v>
      </c>
      <c r="C40" s="42"/>
      <c r="D40" s="42"/>
      <c r="E40" s="42"/>
      <c r="F40" s="42"/>
      <c r="G40" s="42"/>
      <c r="H40" s="42"/>
      <c r="I40" s="12"/>
    </row>
    <row r="41" spans="1:9" ht="20" customHeight="1" x14ac:dyDescent="0.2">
      <c r="A41" s="89"/>
      <c r="B41" s="51" t="s">
        <v>66</v>
      </c>
      <c r="C41" s="43"/>
      <c r="D41" s="43"/>
      <c r="E41" s="43"/>
      <c r="F41" s="43"/>
      <c r="G41" s="43"/>
      <c r="H41" s="43"/>
      <c r="I41" s="12"/>
    </row>
    <row r="42" spans="1:9" ht="20" customHeight="1" x14ac:dyDescent="0.2">
      <c r="A42" s="89"/>
      <c r="B42" s="51" t="s">
        <v>67</v>
      </c>
      <c r="C42" s="42"/>
      <c r="D42" s="42"/>
      <c r="E42" s="42"/>
      <c r="F42" s="42"/>
      <c r="G42" s="42"/>
      <c r="H42" s="42"/>
      <c r="I42" s="12"/>
    </row>
    <row r="43" spans="1:9" ht="20" customHeight="1" x14ac:dyDescent="0.2">
      <c r="A43" s="89"/>
      <c r="B43" s="51" t="s">
        <v>68</v>
      </c>
      <c r="C43" s="43"/>
      <c r="D43" s="43"/>
      <c r="E43" s="43"/>
      <c r="F43" s="43"/>
      <c r="G43" s="43"/>
      <c r="H43" s="43"/>
      <c r="I43" s="12"/>
    </row>
    <row r="44" spans="1:9" ht="20" customHeight="1" x14ac:dyDescent="0.2">
      <c r="A44" s="89"/>
      <c r="B44" s="51" t="s">
        <v>69</v>
      </c>
      <c r="C44" s="42"/>
      <c r="D44" s="42"/>
      <c r="E44" s="42"/>
      <c r="F44" s="42"/>
      <c r="G44" s="42"/>
      <c r="H44" s="42"/>
      <c r="I44" s="12"/>
    </row>
    <row r="45" spans="1:9" ht="10" customHeight="1" x14ac:dyDescent="0.2">
      <c r="A45" s="91"/>
      <c r="B45" s="91"/>
      <c r="C45" s="91"/>
      <c r="D45" s="91"/>
      <c r="E45" s="91"/>
      <c r="F45" s="91"/>
      <c r="G45" s="91"/>
      <c r="H45" s="91"/>
      <c r="I45" s="91"/>
    </row>
    <row r="46" spans="1:9" ht="20" customHeight="1" x14ac:dyDescent="0.2">
      <c r="A46" s="89" t="s">
        <v>48</v>
      </c>
      <c r="B46" s="39" t="s">
        <v>62</v>
      </c>
      <c r="C46" s="28" t="str">
        <f>CHOOSE(COLUMN()-COLUMN($C$2)+1,
"Monday","Tuesday","Wednesday","Thursday","Friday","Saturday","Sunday")</f>
        <v>Monday</v>
      </c>
      <c r="D46" s="28" t="s">
        <v>39</v>
      </c>
      <c r="E46" s="28" t="s">
        <v>40</v>
      </c>
      <c r="F46" s="28" t="s">
        <v>41</v>
      </c>
      <c r="G46" s="28" t="s">
        <v>42</v>
      </c>
      <c r="H46" s="28" t="s">
        <v>43</v>
      </c>
      <c r="I46" s="29" t="s">
        <v>44</v>
      </c>
    </row>
    <row r="47" spans="1:9" ht="20" customHeight="1" x14ac:dyDescent="0.2">
      <c r="A47" s="89"/>
      <c r="B47" s="83" t="str">
        <f>$D$1</f>
        <v xml:space="preserve">Tuyen Nguyen </v>
      </c>
      <c r="C47" s="45" cm="1">
        <f t="array" ref="C47:I47">_xlfn.SEQUENCE(1,7,$C$1-WEEKDAY($C$1,2)+1+28,1)</f>
        <v>46020</v>
      </c>
      <c r="D47" s="45">
        <v>46021</v>
      </c>
      <c r="E47" s="45">
        <v>46022</v>
      </c>
      <c r="F47" s="45">
        <v>46023</v>
      </c>
      <c r="G47" s="45">
        <v>46024</v>
      </c>
      <c r="H47" s="45">
        <v>46025</v>
      </c>
      <c r="I47" s="46">
        <v>46026</v>
      </c>
    </row>
    <row r="48" spans="1:9" ht="20" customHeight="1" x14ac:dyDescent="0.2">
      <c r="A48" s="89"/>
      <c r="B48" s="41" t="str">
        <f>$E$1</f>
        <v>Marketing Executive</v>
      </c>
      <c r="C48" s="11" t="s">
        <v>13</v>
      </c>
      <c r="D48" s="11" t="s">
        <v>13</v>
      </c>
      <c r="E48" s="11" t="s">
        <v>13</v>
      </c>
      <c r="F48" s="11" t="s">
        <v>13</v>
      </c>
      <c r="G48" s="11" t="s">
        <v>13</v>
      </c>
      <c r="H48" s="11" t="s">
        <v>13</v>
      </c>
      <c r="I48" s="12"/>
    </row>
    <row r="49" spans="1:9" ht="20" customHeight="1" x14ac:dyDescent="0.2">
      <c r="A49" s="89"/>
      <c r="B49" s="51" t="s">
        <v>63</v>
      </c>
      <c r="C49" s="42"/>
      <c r="D49" s="42"/>
      <c r="E49" s="42"/>
      <c r="F49" s="42"/>
      <c r="G49" s="42"/>
      <c r="H49" s="42"/>
      <c r="I49" s="12"/>
    </row>
    <row r="50" spans="1:9" ht="20" customHeight="1" x14ac:dyDescent="0.2">
      <c r="A50" s="89"/>
      <c r="B50" s="51" t="s">
        <v>64</v>
      </c>
      <c r="C50" s="43"/>
      <c r="D50" s="43"/>
      <c r="E50" s="43"/>
      <c r="F50" s="43"/>
      <c r="G50" s="43"/>
      <c r="H50" s="43"/>
      <c r="I50" s="12"/>
    </row>
    <row r="51" spans="1:9" ht="20" customHeight="1" x14ac:dyDescent="0.2">
      <c r="A51" s="89"/>
      <c r="B51" s="51" t="s">
        <v>65</v>
      </c>
      <c r="C51" s="42"/>
      <c r="D51" s="42"/>
      <c r="E51" s="42"/>
      <c r="F51" s="42"/>
      <c r="G51" s="42"/>
      <c r="H51" s="42"/>
      <c r="I51" s="12"/>
    </row>
    <row r="52" spans="1:9" ht="20" customHeight="1" x14ac:dyDescent="0.2">
      <c r="A52" s="89"/>
      <c r="B52" s="51" t="s">
        <v>66</v>
      </c>
      <c r="C52" s="43"/>
      <c r="D52" s="43"/>
      <c r="E52" s="43"/>
      <c r="F52" s="43"/>
      <c r="G52" s="43"/>
      <c r="H52" s="43"/>
      <c r="I52" s="12"/>
    </row>
    <row r="53" spans="1:9" ht="20" customHeight="1" x14ac:dyDescent="0.2">
      <c r="A53" s="89"/>
      <c r="B53" s="51" t="s">
        <v>67</v>
      </c>
      <c r="C53" s="42"/>
      <c r="D53" s="42"/>
      <c r="E53" s="42"/>
      <c r="F53" s="42"/>
      <c r="G53" s="42"/>
      <c r="H53" s="42"/>
      <c r="I53" s="12"/>
    </row>
    <row r="54" spans="1:9" ht="20" customHeight="1" x14ac:dyDescent="0.2">
      <c r="A54" s="89"/>
      <c r="B54" s="51" t="s">
        <v>68</v>
      </c>
      <c r="C54" s="43"/>
      <c r="D54" s="43"/>
      <c r="E54" s="43"/>
      <c r="F54" s="43"/>
      <c r="G54" s="43"/>
      <c r="H54" s="43"/>
      <c r="I54" s="12"/>
    </row>
    <row r="55" spans="1:9" ht="20" customHeight="1" x14ac:dyDescent="0.2">
      <c r="A55" s="89"/>
      <c r="B55" s="51" t="s">
        <v>69</v>
      </c>
      <c r="C55" s="42"/>
      <c r="D55" s="42"/>
      <c r="E55" s="42"/>
      <c r="F55" s="42"/>
      <c r="G55" s="42"/>
      <c r="H55" s="42"/>
      <c r="I55" s="12"/>
    </row>
  </sheetData>
  <mergeCells count="10">
    <mergeCell ref="A46:A55"/>
    <mergeCell ref="A1:B1"/>
    <mergeCell ref="A12:I12"/>
    <mergeCell ref="A2:A11"/>
    <mergeCell ref="A13:A22"/>
    <mergeCell ref="A45:I45"/>
    <mergeCell ref="A23:I23"/>
    <mergeCell ref="A34:I34"/>
    <mergeCell ref="A24:A33"/>
    <mergeCell ref="A35:A44"/>
  </mergeCells>
  <phoneticPr fontId="5" type="noConversion"/>
  <dataValidations count="1">
    <dataValidation allowBlank="1" sqref="C27:H33 C38:H44 C5:H11 C16:H22 C49:H55" xr:uid="{4FF6E97C-E10C-2F4D-A486-1DF869A861C8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6AC5-C6F4-0948-A67D-371B06D2E733}">
  <sheetPr>
    <outlinePr summaryBelow="0" summaryRight="0"/>
  </sheetPr>
  <dimension ref="A1:I55"/>
  <sheetViews>
    <sheetView zoomScale="90" zoomScaleNormal="90" workbookViewId="0">
      <selection activeCell="C6" sqref="C6"/>
    </sheetView>
  </sheetViews>
  <sheetFormatPr baseColWidth="10" defaultColWidth="14.5" defaultRowHeight="20" customHeight="1" x14ac:dyDescent="0.2"/>
  <cols>
    <col min="1" max="1" width="15" style="1" customWidth="1"/>
    <col min="2" max="2" width="28" style="1" customWidth="1"/>
    <col min="3" max="3" width="26.33203125" style="1" customWidth="1"/>
    <col min="4" max="4" width="23.33203125" style="1" customWidth="1"/>
    <col min="5" max="5" width="19.33203125" style="1" customWidth="1"/>
    <col min="6" max="7" width="20.83203125" style="1" customWidth="1"/>
    <col min="8" max="8" width="25.5" style="1" customWidth="1"/>
    <col min="9" max="9" width="20.83203125" style="1" customWidth="1"/>
    <col min="10" max="16384" width="14.5" style="1"/>
  </cols>
  <sheetData>
    <row r="1" spans="1:9" ht="30" customHeight="1" x14ac:dyDescent="0.2">
      <c r="A1" s="88" t="s">
        <v>14</v>
      </c>
      <c r="B1" s="88"/>
      <c r="C1" s="44">
        <v>45992</v>
      </c>
      <c r="D1" s="58" t="str">
        <f>'Work Schedule'!B5</f>
        <v>Tan Nguyen</v>
      </c>
      <c r="E1" s="84" t="s">
        <v>121</v>
      </c>
    </row>
    <row r="2" spans="1:9" ht="20" customHeight="1" x14ac:dyDescent="0.2">
      <c r="A2" s="89" t="s">
        <v>38</v>
      </c>
      <c r="B2" s="39" t="s">
        <v>62</v>
      </c>
      <c r="C2" s="28" t="str">
        <f>CHOOSE(COLUMN()-COLUMN($C$2)+1,
"Monday","Tuesday","Wednesday","Thursday","Friday","Saturday","Sunday")</f>
        <v>Monday</v>
      </c>
      <c r="D2" s="28" t="str">
        <f>CHOOSE(COLUMN()-COLUMN($C$2)+1,
"Monday","Tuesday","Wednesday","Thursday","Friday","Saturday","Sunday")</f>
        <v>Tuesday</v>
      </c>
      <c r="E2" s="28" t="str">
        <f t="shared" ref="E2:G2" si="0">CHOOSE(COLUMN()-COLUMN($C$2)+1,
"Monday","Tuesday","Wednesday","Thursday","Friday","Saturday","Sunday")</f>
        <v>Wednesday</v>
      </c>
      <c r="F2" s="28" t="str">
        <f t="shared" si="0"/>
        <v>Thursday</v>
      </c>
      <c r="G2" s="28" t="str">
        <f t="shared" si="0"/>
        <v>Friday</v>
      </c>
      <c r="H2" s="28" t="str">
        <f>CHOOSE(COLUMN()-COLUMN($C$2)+1,
"Monday","Tuesday","Wednesday","Thursday","Friday","Saturday","Sunday")</f>
        <v>Saturday</v>
      </c>
      <c r="I2" s="47" t="str">
        <f>CHOOSE(COLUMN()-COLUMN($C$2)+1,
"Monday","Tuesday","Wednesday","Thursday","Friday","Saturday","Sunday")</f>
        <v>Sunday</v>
      </c>
    </row>
    <row r="3" spans="1:9" ht="20" customHeight="1" x14ac:dyDescent="0.2">
      <c r="A3" s="89"/>
      <c r="B3" s="83" t="str">
        <f>$D$1</f>
        <v>Tan Nguyen</v>
      </c>
      <c r="C3" s="45" cm="1">
        <f t="array" ref="C3:I3">_xlfn.SEQUENCE(1,7,$C$1-WEEKDAY($C$1,2)+1,1)</f>
        <v>45992</v>
      </c>
      <c r="D3" s="45">
        <v>45993</v>
      </c>
      <c r="E3" s="45">
        <v>45994</v>
      </c>
      <c r="F3" s="45">
        <v>45995</v>
      </c>
      <c r="G3" s="45">
        <v>45996</v>
      </c>
      <c r="H3" s="45">
        <v>45997</v>
      </c>
      <c r="I3" s="46">
        <v>45998</v>
      </c>
    </row>
    <row r="4" spans="1:9" ht="20" customHeight="1" x14ac:dyDescent="0.2">
      <c r="A4" s="89"/>
      <c r="B4" s="41" t="str">
        <f>$E$1</f>
        <v>Content Marketer</v>
      </c>
      <c r="C4" s="11" t="s">
        <v>13</v>
      </c>
      <c r="D4" s="11" t="s">
        <v>13</v>
      </c>
      <c r="E4" s="11" t="s">
        <v>13</v>
      </c>
      <c r="F4" s="11" t="s">
        <v>13</v>
      </c>
      <c r="G4" s="11" t="s">
        <v>13</v>
      </c>
      <c r="H4" s="11" t="s">
        <v>13</v>
      </c>
      <c r="I4" s="12"/>
    </row>
    <row r="5" spans="1:9" ht="20" customHeight="1" x14ac:dyDescent="0.2">
      <c r="A5" s="89"/>
      <c r="B5" s="51" t="s">
        <v>63</v>
      </c>
      <c r="C5" s="42" t="s">
        <v>128</v>
      </c>
      <c r="D5" s="42"/>
      <c r="E5" s="42"/>
      <c r="F5" s="42"/>
      <c r="G5" s="42"/>
      <c r="H5" s="42"/>
      <c r="I5" s="12"/>
    </row>
    <row r="6" spans="1:9" ht="20" customHeight="1" x14ac:dyDescent="0.2">
      <c r="A6" s="89"/>
      <c r="B6" s="51" t="s">
        <v>64</v>
      </c>
      <c r="C6" s="43" t="s">
        <v>129</v>
      </c>
      <c r="D6" s="43"/>
      <c r="E6" s="43"/>
      <c r="F6" s="43"/>
      <c r="G6" s="43"/>
      <c r="H6" s="43"/>
      <c r="I6" s="12"/>
    </row>
    <row r="7" spans="1:9" ht="20" customHeight="1" x14ac:dyDescent="0.2">
      <c r="A7" s="89"/>
      <c r="B7" s="51" t="s">
        <v>65</v>
      </c>
      <c r="C7" s="42"/>
      <c r="D7" s="42"/>
      <c r="E7" s="42"/>
      <c r="F7" s="42"/>
      <c r="G7" s="42"/>
      <c r="H7" s="42"/>
      <c r="I7" s="12"/>
    </row>
    <row r="8" spans="1:9" ht="20" customHeight="1" x14ac:dyDescent="0.2">
      <c r="A8" s="89"/>
      <c r="B8" s="51" t="s">
        <v>66</v>
      </c>
      <c r="C8" s="43"/>
      <c r="D8" s="43"/>
      <c r="E8" s="43"/>
      <c r="F8" s="43"/>
      <c r="G8" s="43"/>
      <c r="H8" s="43"/>
      <c r="I8" s="12"/>
    </row>
    <row r="9" spans="1:9" ht="20" customHeight="1" x14ac:dyDescent="0.2">
      <c r="A9" s="89"/>
      <c r="B9" s="51" t="s">
        <v>67</v>
      </c>
      <c r="C9" s="42"/>
      <c r="D9" s="42"/>
      <c r="E9" s="42"/>
      <c r="F9" s="42"/>
      <c r="G9" s="42"/>
      <c r="H9" s="42"/>
      <c r="I9" s="12"/>
    </row>
    <row r="10" spans="1:9" ht="20" customHeight="1" x14ac:dyDescent="0.2">
      <c r="A10" s="89"/>
      <c r="B10" s="51" t="s">
        <v>68</v>
      </c>
      <c r="C10" s="43"/>
      <c r="D10" s="43"/>
      <c r="E10" s="43"/>
      <c r="F10" s="43"/>
      <c r="G10" s="43"/>
      <c r="H10" s="43"/>
      <c r="I10" s="12"/>
    </row>
    <row r="11" spans="1:9" ht="20" customHeight="1" x14ac:dyDescent="0.2">
      <c r="A11" s="89"/>
      <c r="B11" s="51" t="s">
        <v>69</v>
      </c>
      <c r="C11" s="42"/>
      <c r="D11" s="42"/>
      <c r="E11" s="42"/>
      <c r="F11" s="42"/>
      <c r="G11" s="42"/>
      <c r="H11" s="42"/>
      <c r="I11" s="12"/>
    </row>
    <row r="12" spans="1:9" ht="10" customHeight="1" x14ac:dyDescent="0.2">
      <c r="A12" s="91"/>
      <c r="B12" s="91"/>
      <c r="C12" s="91"/>
      <c r="D12" s="91"/>
      <c r="E12" s="91"/>
      <c r="F12" s="91"/>
      <c r="G12" s="91"/>
      <c r="H12" s="91"/>
      <c r="I12" s="91"/>
    </row>
    <row r="13" spans="1:9" ht="20" customHeight="1" x14ac:dyDescent="0.2">
      <c r="A13" s="89" t="s">
        <v>45</v>
      </c>
      <c r="B13" s="39" t="s">
        <v>62</v>
      </c>
      <c r="C13" s="28" t="str">
        <f>CHOOSE(COLUMN()-COLUMN($C$2)+1,
"Monday","Tuesday","Wednesday","Thursday","Friday","Saturday","Sunday")</f>
        <v>Monday</v>
      </c>
      <c r="D13" s="28" t="s">
        <v>39</v>
      </c>
      <c r="E13" s="28" t="s">
        <v>40</v>
      </c>
      <c r="F13" s="28" t="s">
        <v>41</v>
      </c>
      <c r="G13" s="28" t="s">
        <v>42</v>
      </c>
      <c r="H13" s="28" t="s">
        <v>43</v>
      </c>
      <c r="I13" s="29" t="s">
        <v>44</v>
      </c>
    </row>
    <row r="14" spans="1:9" ht="20" customHeight="1" x14ac:dyDescent="0.2">
      <c r="A14" s="89"/>
      <c r="B14" s="83" t="str">
        <f>$D$1</f>
        <v>Tan Nguyen</v>
      </c>
      <c r="C14" s="45" cm="1">
        <f t="array" ref="C14:I14">_xlfn.SEQUENCE(1,7,$C$1-WEEKDAY($C$1,2)+1+7,1)</f>
        <v>45999</v>
      </c>
      <c r="D14" s="45">
        <v>46000</v>
      </c>
      <c r="E14" s="45">
        <v>46001</v>
      </c>
      <c r="F14" s="45">
        <v>46002</v>
      </c>
      <c r="G14" s="45">
        <v>46003</v>
      </c>
      <c r="H14" s="45">
        <v>46004</v>
      </c>
      <c r="I14" s="46">
        <v>46005</v>
      </c>
    </row>
    <row r="15" spans="1:9" ht="20" customHeight="1" x14ac:dyDescent="0.2">
      <c r="A15" s="89"/>
      <c r="B15" s="41" t="str">
        <f>$E$1</f>
        <v>Content Marketer</v>
      </c>
      <c r="C15" s="11" t="s">
        <v>13</v>
      </c>
      <c r="D15" s="11" t="s">
        <v>13</v>
      </c>
      <c r="E15" s="11" t="s">
        <v>13</v>
      </c>
      <c r="F15" s="11" t="s">
        <v>13</v>
      </c>
      <c r="G15" s="11" t="s">
        <v>13</v>
      </c>
      <c r="H15" s="11" t="s">
        <v>13</v>
      </c>
      <c r="I15" s="12"/>
    </row>
    <row r="16" spans="1:9" ht="20" customHeight="1" x14ac:dyDescent="0.2">
      <c r="A16" s="89"/>
      <c r="B16" s="51" t="s">
        <v>63</v>
      </c>
      <c r="C16" s="42"/>
      <c r="D16" s="42"/>
      <c r="E16" s="42"/>
      <c r="F16" s="42"/>
      <c r="G16" s="42"/>
      <c r="H16" s="42"/>
      <c r="I16" s="12"/>
    </row>
    <row r="17" spans="1:9" ht="20" customHeight="1" x14ac:dyDescent="0.2">
      <c r="A17" s="89"/>
      <c r="B17" s="51" t="s">
        <v>64</v>
      </c>
      <c r="C17" s="43"/>
      <c r="D17" s="43"/>
      <c r="E17" s="43"/>
      <c r="F17" s="43"/>
      <c r="G17" s="43"/>
      <c r="H17" s="43"/>
      <c r="I17" s="12"/>
    </row>
    <row r="18" spans="1:9" ht="20" customHeight="1" x14ac:dyDescent="0.2">
      <c r="A18" s="89"/>
      <c r="B18" s="51" t="s">
        <v>65</v>
      </c>
      <c r="C18" s="42"/>
      <c r="D18" s="42"/>
      <c r="E18" s="42"/>
      <c r="F18" s="42"/>
      <c r="G18" s="42"/>
      <c r="H18" s="42"/>
      <c r="I18" s="12"/>
    </row>
    <row r="19" spans="1:9" ht="20" customHeight="1" x14ac:dyDescent="0.2">
      <c r="A19" s="89"/>
      <c r="B19" s="51" t="s">
        <v>66</v>
      </c>
      <c r="C19" s="43"/>
      <c r="D19" s="43"/>
      <c r="E19" s="43"/>
      <c r="F19" s="43"/>
      <c r="G19" s="43"/>
      <c r="H19" s="43"/>
      <c r="I19" s="12"/>
    </row>
    <row r="20" spans="1:9" ht="20" customHeight="1" x14ac:dyDescent="0.2">
      <c r="A20" s="89"/>
      <c r="B20" s="51" t="s">
        <v>67</v>
      </c>
      <c r="C20" s="42"/>
      <c r="D20" s="42"/>
      <c r="E20" s="42"/>
      <c r="F20" s="42"/>
      <c r="G20" s="42"/>
      <c r="H20" s="42"/>
      <c r="I20" s="12"/>
    </row>
    <row r="21" spans="1:9" ht="20" customHeight="1" x14ac:dyDescent="0.2">
      <c r="A21" s="89"/>
      <c r="B21" s="51" t="s">
        <v>68</v>
      </c>
      <c r="C21" s="43"/>
      <c r="D21" s="43"/>
      <c r="E21" s="43"/>
      <c r="F21" s="43"/>
      <c r="G21" s="43"/>
      <c r="H21" s="43"/>
      <c r="I21" s="12"/>
    </row>
    <row r="22" spans="1:9" ht="20" customHeight="1" x14ac:dyDescent="0.2">
      <c r="A22" s="89"/>
      <c r="B22" s="51" t="s">
        <v>69</v>
      </c>
      <c r="C22" s="42"/>
      <c r="D22" s="42"/>
      <c r="E22" s="42"/>
      <c r="F22" s="42"/>
      <c r="G22" s="42"/>
      <c r="H22" s="42"/>
      <c r="I22" s="12"/>
    </row>
    <row r="23" spans="1:9" ht="10" customHeight="1" x14ac:dyDescent="0.2">
      <c r="A23" s="91"/>
      <c r="B23" s="91"/>
      <c r="C23" s="91"/>
      <c r="D23" s="91"/>
      <c r="E23" s="91"/>
      <c r="F23" s="91"/>
      <c r="G23" s="91"/>
      <c r="H23" s="91"/>
      <c r="I23" s="91"/>
    </row>
    <row r="24" spans="1:9" ht="20" customHeight="1" x14ac:dyDescent="0.2">
      <c r="A24" s="89" t="s">
        <v>46</v>
      </c>
      <c r="B24" s="39" t="s">
        <v>62</v>
      </c>
      <c r="C24" s="28" t="str">
        <f>CHOOSE(COLUMN()-COLUMN($C$2)+1,
"Monday","Tuesday","Wednesday","Thursday","Friday","Saturday","Sunday")</f>
        <v>Monday</v>
      </c>
      <c r="D24" s="28" t="s">
        <v>39</v>
      </c>
      <c r="E24" s="28" t="s">
        <v>40</v>
      </c>
      <c r="F24" s="28" t="s">
        <v>41</v>
      </c>
      <c r="G24" s="28" t="s">
        <v>42</v>
      </c>
      <c r="H24" s="28" t="s">
        <v>43</v>
      </c>
      <c r="I24" s="29" t="s">
        <v>44</v>
      </c>
    </row>
    <row r="25" spans="1:9" ht="20" customHeight="1" x14ac:dyDescent="0.2">
      <c r="A25" s="89"/>
      <c r="B25" s="83" t="str">
        <f>$D$1</f>
        <v>Tan Nguyen</v>
      </c>
      <c r="C25" s="45" cm="1">
        <f t="array" ref="C25:I25">_xlfn.SEQUENCE(1,7,$C$1-WEEKDAY($C$1,2)+1+14,1)</f>
        <v>46006</v>
      </c>
      <c r="D25" s="45">
        <v>46007</v>
      </c>
      <c r="E25" s="45">
        <v>46008</v>
      </c>
      <c r="F25" s="45">
        <v>46009</v>
      </c>
      <c r="G25" s="45">
        <v>46010</v>
      </c>
      <c r="H25" s="45">
        <v>46011</v>
      </c>
      <c r="I25" s="46">
        <v>46012</v>
      </c>
    </row>
    <row r="26" spans="1:9" ht="20" customHeight="1" x14ac:dyDescent="0.2">
      <c r="A26" s="89"/>
      <c r="B26" s="41" t="str">
        <f>$E$1</f>
        <v>Content Marketer</v>
      </c>
      <c r="C26" s="11" t="s">
        <v>13</v>
      </c>
      <c r="D26" s="11" t="s">
        <v>13</v>
      </c>
      <c r="E26" s="11" t="s">
        <v>13</v>
      </c>
      <c r="F26" s="11" t="s">
        <v>13</v>
      </c>
      <c r="G26" s="11" t="s">
        <v>13</v>
      </c>
      <c r="H26" s="11" t="s">
        <v>13</v>
      </c>
      <c r="I26" s="12"/>
    </row>
    <row r="27" spans="1:9" ht="20" customHeight="1" x14ac:dyDescent="0.2">
      <c r="A27" s="89"/>
      <c r="B27" s="51" t="s">
        <v>63</v>
      </c>
      <c r="C27" s="42"/>
      <c r="D27" s="42"/>
      <c r="E27" s="42"/>
      <c r="F27" s="42"/>
      <c r="G27" s="42"/>
      <c r="H27" s="42"/>
      <c r="I27" s="12"/>
    </row>
    <row r="28" spans="1:9" ht="20" customHeight="1" x14ac:dyDescent="0.2">
      <c r="A28" s="89"/>
      <c r="B28" s="51" t="s">
        <v>64</v>
      </c>
      <c r="C28" s="43"/>
      <c r="D28" s="43"/>
      <c r="E28" s="43"/>
      <c r="F28" s="43"/>
      <c r="G28" s="43"/>
      <c r="H28" s="43"/>
      <c r="I28" s="12"/>
    </row>
    <row r="29" spans="1:9" ht="20" customHeight="1" x14ac:dyDescent="0.2">
      <c r="A29" s="89"/>
      <c r="B29" s="51" t="s">
        <v>65</v>
      </c>
      <c r="C29" s="42"/>
      <c r="D29" s="42"/>
      <c r="E29" s="42"/>
      <c r="F29" s="42"/>
      <c r="G29" s="42"/>
      <c r="H29" s="42"/>
      <c r="I29" s="12"/>
    </row>
    <row r="30" spans="1:9" ht="20" customHeight="1" x14ac:dyDescent="0.2">
      <c r="A30" s="89"/>
      <c r="B30" s="51" t="s">
        <v>66</v>
      </c>
      <c r="C30" s="43"/>
      <c r="D30" s="43"/>
      <c r="E30" s="43"/>
      <c r="F30" s="43"/>
      <c r="G30" s="43"/>
      <c r="H30" s="43"/>
      <c r="I30" s="12"/>
    </row>
    <row r="31" spans="1:9" ht="20" customHeight="1" x14ac:dyDescent="0.2">
      <c r="A31" s="89"/>
      <c r="B31" s="51" t="s">
        <v>67</v>
      </c>
      <c r="C31" s="42"/>
      <c r="D31" s="42"/>
      <c r="E31" s="42"/>
      <c r="F31" s="42"/>
      <c r="G31" s="42"/>
      <c r="H31" s="42"/>
      <c r="I31" s="12"/>
    </row>
    <row r="32" spans="1:9" ht="20" customHeight="1" x14ac:dyDescent="0.2">
      <c r="A32" s="89"/>
      <c r="B32" s="51" t="s">
        <v>68</v>
      </c>
      <c r="C32" s="43"/>
      <c r="D32" s="43"/>
      <c r="E32" s="43"/>
      <c r="F32" s="43"/>
      <c r="G32" s="43"/>
      <c r="H32" s="43"/>
      <c r="I32" s="12"/>
    </row>
    <row r="33" spans="1:9" ht="20" customHeight="1" x14ac:dyDescent="0.2">
      <c r="A33" s="89"/>
      <c r="B33" s="51" t="s">
        <v>69</v>
      </c>
      <c r="C33" s="42"/>
      <c r="D33" s="42"/>
      <c r="E33" s="42"/>
      <c r="F33" s="42"/>
      <c r="G33" s="42"/>
      <c r="H33" s="42"/>
      <c r="I33" s="12"/>
    </row>
    <row r="34" spans="1:9" ht="10" customHeight="1" x14ac:dyDescent="0.2">
      <c r="A34" s="91"/>
      <c r="B34" s="91"/>
      <c r="C34" s="91"/>
      <c r="D34" s="91"/>
      <c r="E34" s="91"/>
      <c r="F34" s="91"/>
      <c r="G34" s="91"/>
      <c r="H34" s="91"/>
      <c r="I34" s="91"/>
    </row>
    <row r="35" spans="1:9" ht="20" customHeight="1" x14ac:dyDescent="0.2">
      <c r="A35" s="89" t="s">
        <v>47</v>
      </c>
      <c r="B35" s="39" t="s">
        <v>62</v>
      </c>
      <c r="C35" s="28" t="str">
        <f>CHOOSE(COLUMN()-COLUMN($C$2)+1,
"Monday","Tuesday","Wednesday","Thursday","Friday","Saturday","Sunday")</f>
        <v>Monday</v>
      </c>
      <c r="D35" s="28" t="s">
        <v>39</v>
      </c>
      <c r="E35" s="28" t="s">
        <v>40</v>
      </c>
      <c r="F35" s="28" t="s">
        <v>41</v>
      </c>
      <c r="G35" s="28" t="s">
        <v>42</v>
      </c>
      <c r="H35" s="28" t="s">
        <v>43</v>
      </c>
      <c r="I35" s="29" t="s">
        <v>44</v>
      </c>
    </row>
    <row r="36" spans="1:9" ht="20" customHeight="1" x14ac:dyDescent="0.2">
      <c r="A36" s="89"/>
      <c r="B36" s="83" t="str">
        <f>$D$1</f>
        <v>Tan Nguyen</v>
      </c>
      <c r="C36" s="45" cm="1">
        <f t="array" ref="C36:I36">_xlfn.SEQUENCE(1,7,$C$1-WEEKDAY($C$1,2)+1+21,1)</f>
        <v>46013</v>
      </c>
      <c r="D36" s="45">
        <v>46014</v>
      </c>
      <c r="E36" s="45">
        <v>46015</v>
      </c>
      <c r="F36" s="45">
        <v>46016</v>
      </c>
      <c r="G36" s="45">
        <v>46017</v>
      </c>
      <c r="H36" s="45">
        <v>46018</v>
      </c>
      <c r="I36" s="46">
        <v>46019</v>
      </c>
    </row>
    <row r="37" spans="1:9" ht="20" customHeight="1" x14ac:dyDescent="0.2">
      <c r="A37" s="89"/>
      <c r="B37" s="41" t="str">
        <f>$E$1</f>
        <v>Content Marketer</v>
      </c>
      <c r="C37" s="11" t="s">
        <v>13</v>
      </c>
      <c r="D37" s="11" t="s">
        <v>13</v>
      </c>
      <c r="E37" s="11" t="s">
        <v>13</v>
      </c>
      <c r="F37" s="11" t="s">
        <v>13</v>
      </c>
      <c r="G37" s="11" t="s">
        <v>13</v>
      </c>
      <c r="H37" s="11" t="s">
        <v>13</v>
      </c>
      <c r="I37" s="12"/>
    </row>
    <row r="38" spans="1:9" ht="20" customHeight="1" x14ac:dyDescent="0.2">
      <c r="A38" s="89"/>
      <c r="B38" s="51" t="s">
        <v>63</v>
      </c>
      <c r="C38" s="42"/>
      <c r="D38" s="42"/>
      <c r="E38" s="42"/>
      <c r="F38" s="42"/>
      <c r="G38" s="42"/>
      <c r="H38" s="42"/>
      <c r="I38" s="12"/>
    </row>
    <row r="39" spans="1:9" ht="20" customHeight="1" x14ac:dyDescent="0.2">
      <c r="A39" s="89"/>
      <c r="B39" s="51" t="s">
        <v>64</v>
      </c>
      <c r="C39" s="43"/>
      <c r="D39" s="43"/>
      <c r="E39" s="43"/>
      <c r="F39" s="43"/>
      <c r="G39" s="43"/>
      <c r="H39" s="43"/>
      <c r="I39" s="12"/>
    </row>
    <row r="40" spans="1:9" ht="20" customHeight="1" x14ac:dyDescent="0.2">
      <c r="A40" s="89"/>
      <c r="B40" s="51" t="s">
        <v>65</v>
      </c>
      <c r="C40" s="42"/>
      <c r="D40" s="42"/>
      <c r="E40" s="42"/>
      <c r="F40" s="42"/>
      <c r="G40" s="42"/>
      <c r="H40" s="42"/>
      <c r="I40" s="12"/>
    </row>
    <row r="41" spans="1:9" ht="20" customHeight="1" x14ac:dyDescent="0.2">
      <c r="A41" s="89"/>
      <c r="B41" s="51" t="s">
        <v>66</v>
      </c>
      <c r="C41" s="43"/>
      <c r="D41" s="43"/>
      <c r="E41" s="43"/>
      <c r="F41" s="43"/>
      <c r="G41" s="43"/>
      <c r="H41" s="43"/>
      <c r="I41" s="12"/>
    </row>
    <row r="42" spans="1:9" ht="20" customHeight="1" x14ac:dyDescent="0.2">
      <c r="A42" s="89"/>
      <c r="B42" s="51" t="s">
        <v>67</v>
      </c>
      <c r="C42" s="42"/>
      <c r="D42" s="42"/>
      <c r="E42" s="42"/>
      <c r="F42" s="42"/>
      <c r="G42" s="42"/>
      <c r="H42" s="42"/>
      <c r="I42" s="12"/>
    </row>
    <row r="43" spans="1:9" ht="20" customHeight="1" x14ac:dyDescent="0.2">
      <c r="A43" s="89"/>
      <c r="B43" s="51" t="s">
        <v>68</v>
      </c>
      <c r="C43" s="43"/>
      <c r="D43" s="43"/>
      <c r="E43" s="43"/>
      <c r="F43" s="43"/>
      <c r="G43" s="43"/>
      <c r="H43" s="43"/>
      <c r="I43" s="12"/>
    </row>
    <row r="44" spans="1:9" ht="20" customHeight="1" x14ac:dyDescent="0.2">
      <c r="A44" s="89"/>
      <c r="B44" s="51" t="s">
        <v>69</v>
      </c>
      <c r="C44" s="42"/>
      <c r="D44" s="42"/>
      <c r="E44" s="42"/>
      <c r="F44" s="42"/>
      <c r="G44" s="42"/>
      <c r="H44" s="42"/>
      <c r="I44" s="12"/>
    </row>
    <row r="45" spans="1:9" ht="10" customHeight="1" x14ac:dyDescent="0.2">
      <c r="A45" s="91"/>
      <c r="B45" s="91"/>
      <c r="C45" s="91"/>
      <c r="D45" s="91"/>
      <c r="E45" s="91"/>
      <c r="F45" s="91"/>
      <c r="G45" s="91"/>
      <c r="H45" s="91"/>
      <c r="I45" s="91"/>
    </row>
    <row r="46" spans="1:9" ht="20" customHeight="1" x14ac:dyDescent="0.2">
      <c r="A46" s="89" t="s">
        <v>48</v>
      </c>
      <c r="B46" s="39" t="s">
        <v>62</v>
      </c>
      <c r="C46" s="28" t="str">
        <f>CHOOSE(COLUMN()-COLUMN($C$2)+1,
"Monday","Tuesday","Wednesday","Thursday","Friday","Saturday","Sunday")</f>
        <v>Monday</v>
      </c>
      <c r="D46" s="28" t="s">
        <v>39</v>
      </c>
      <c r="E46" s="28" t="s">
        <v>40</v>
      </c>
      <c r="F46" s="28" t="s">
        <v>41</v>
      </c>
      <c r="G46" s="28" t="s">
        <v>42</v>
      </c>
      <c r="H46" s="28" t="s">
        <v>43</v>
      </c>
      <c r="I46" s="29" t="s">
        <v>44</v>
      </c>
    </row>
    <row r="47" spans="1:9" ht="20" customHeight="1" x14ac:dyDescent="0.2">
      <c r="A47" s="89"/>
      <c r="B47" s="83" t="str">
        <f>$D$1</f>
        <v>Tan Nguyen</v>
      </c>
      <c r="C47" s="45" cm="1">
        <f t="array" ref="C47:I47">_xlfn.SEQUENCE(1,7,$C$1-WEEKDAY($C$1,2)+1+28,1)</f>
        <v>46020</v>
      </c>
      <c r="D47" s="45">
        <v>46021</v>
      </c>
      <c r="E47" s="45">
        <v>46022</v>
      </c>
      <c r="F47" s="45">
        <v>46023</v>
      </c>
      <c r="G47" s="45">
        <v>46024</v>
      </c>
      <c r="H47" s="45">
        <v>46025</v>
      </c>
      <c r="I47" s="46">
        <v>46026</v>
      </c>
    </row>
    <row r="48" spans="1:9" ht="20" customHeight="1" x14ac:dyDescent="0.2">
      <c r="A48" s="89"/>
      <c r="B48" s="41" t="str">
        <f>$E$1</f>
        <v>Content Marketer</v>
      </c>
      <c r="C48" s="11" t="s">
        <v>13</v>
      </c>
      <c r="D48" s="11" t="s">
        <v>13</v>
      </c>
      <c r="E48" s="11" t="s">
        <v>13</v>
      </c>
      <c r="F48" s="11" t="s">
        <v>13</v>
      </c>
      <c r="G48" s="11" t="s">
        <v>13</v>
      </c>
      <c r="H48" s="11" t="s">
        <v>13</v>
      </c>
      <c r="I48" s="12"/>
    </row>
    <row r="49" spans="1:9" ht="20" customHeight="1" x14ac:dyDescent="0.2">
      <c r="A49" s="89"/>
      <c r="B49" s="51" t="s">
        <v>63</v>
      </c>
      <c r="C49" s="42"/>
      <c r="D49" s="42"/>
      <c r="E49" s="42"/>
      <c r="F49" s="42"/>
      <c r="G49" s="42"/>
      <c r="H49" s="42"/>
      <c r="I49" s="12"/>
    </row>
    <row r="50" spans="1:9" ht="20" customHeight="1" x14ac:dyDescent="0.2">
      <c r="A50" s="89"/>
      <c r="B50" s="51" t="s">
        <v>64</v>
      </c>
      <c r="C50" s="43"/>
      <c r="D50" s="43"/>
      <c r="E50" s="43"/>
      <c r="F50" s="43"/>
      <c r="G50" s="43"/>
      <c r="H50" s="43"/>
      <c r="I50" s="12"/>
    </row>
    <row r="51" spans="1:9" ht="20" customHeight="1" x14ac:dyDescent="0.2">
      <c r="A51" s="89"/>
      <c r="B51" s="51" t="s">
        <v>65</v>
      </c>
      <c r="C51" s="42"/>
      <c r="D51" s="42"/>
      <c r="E51" s="42"/>
      <c r="F51" s="42"/>
      <c r="G51" s="42"/>
      <c r="H51" s="42"/>
      <c r="I51" s="12"/>
    </row>
    <row r="52" spans="1:9" ht="20" customHeight="1" x14ac:dyDescent="0.2">
      <c r="A52" s="89"/>
      <c r="B52" s="51" t="s">
        <v>66</v>
      </c>
      <c r="C52" s="43"/>
      <c r="D52" s="43"/>
      <c r="E52" s="43"/>
      <c r="F52" s="43"/>
      <c r="G52" s="43"/>
      <c r="H52" s="43"/>
      <c r="I52" s="12"/>
    </row>
    <row r="53" spans="1:9" ht="20" customHeight="1" x14ac:dyDescent="0.2">
      <c r="A53" s="89"/>
      <c r="B53" s="51" t="s">
        <v>67</v>
      </c>
      <c r="C53" s="42"/>
      <c r="D53" s="42"/>
      <c r="E53" s="42"/>
      <c r="F53" s="42"/>
      <c r="G53" s="42"/>
      <c r="H53" s="42"/>
      <c r="I53" s="12"/>
    </row>
    <row r="54" spans="1:9" ht="20" customHeight="1" x14ac:dyDescent="0.2">
      <c r="A54" s="89"/>
      <c r="B54" s="51" t="s">
        <v>68</v>
      </c>
      <c r="C54" s="43"/>
      <c r="D54" s="43"/>
      <c r="E54" s="43"/>
      <c r="F54" s="43"/>
      <c r="G54" s="43"/>
      <c r="H54" s="43"/>
      <c r="I54" s="12"/>
    </row>
    <row r="55" spans="1:9" ht="20" customHeight="1" x14ac:dyDescent="0.2">
      <c r="A55" s="89"/>
      <c r="B55" s="51" t="s">
        <v>69</v>
      </c>
      <c r="C55" s="42"/>
      <c r="D55" s="42"/>
      <c r="E55" s="42"/>
      <c r="F55" s="42"/>
      <c r="G55" s="42"/>
      <c r="H55" s="42"/>
      <c r="I55" s="12"/>
    </row>
  </sheetData>
  <mergeCells count="10">
    <mergeCell ref="A34:I34"/>
    <mergeCell ref="A35:A44"/>
    <mergeCell ref="A45:I45"/>
    <mergeCell ref="A46:A55"/>
    <mergeCell ref="A1:B1"/>
    <mergeCell ref="A2:A11"/>
    <mergeCell ref="A12:I12"/>
    <mergeCell ref="A13:A22"/>
    <mergeCell ref="A23:I23"/>
    <mergeCell ref="A24:A33"/>
  </mergeCells>
  <phoneticPr fontId="5" type="noConversion"/>
  <dataValidations count="1">
    <dataValidation allowBlank="1" sqref="C27:H33 C38:H44 C16:H22 C49:H55 C5:H11" xr:uid="{63B3C727-93AE-C948-A25F-C7BE26302CD3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0B8A-3681-6E46-948D-7ACBB97A5FF5}">
  <sheetPr>
    <outlinePr summaryBelow="0" summaryRight="0"/>
  </sheetPr>
  <dimension ref="A1:I55"/>
  <sheetViews>
    <sheetView zoomScale="90" zoomScaleNormal="90" workbookViewId="0">
      <selection activeCell="B5" sqref="B5"/>
    </sheetView>
  </sheetViews>
  <sheetFormatPr baseColWidth="10" defaultColWidth="14.5" defaultRowHeight="20" customHeight="1" x14ac:dyDescent="0.2"/>
  <cols>
    <col min="1" max="1" width="15" style="1" customWidth="1"/>
    <col min="2" max="2" width="28" style="1" customWidth="1"/>
    <col min="3" max="3" width="26.33203125" style="1" customWidth="1"/>
    <col min="4" max="4" width="23.33203125" style="1" customWidth="1"/>
    <col min="5" max="5" width="19.33203125" style="1" customWidth="1"/>
    <col min="6" max="7" width="20.83203125" style="1" customWidth="1"/>
    <col min="8" max="8" width="25.5" style="1" customWidth="1"/>
    <col min="9" max="9" width="20.83203125" style="1" customWidth="1"/>
    <col min="10" max="16384" width="14.5" style="1"/>
  </cols>
  <sheetData>
    <row r="1" spans="1:9" ht="30" customHeight="1" x14ac:dyDescent="0.2">
      <c r="A1" s="88" t="s">
        <v>14</v>
      </c>
      <c r="B1" s="88"/>
      <c r="C1" s="44">
        <v>45992</v>
      </c>
      <c r="D1" s="58" t="str">
        <f>'Work Schedule'!B6</f>
        <v>Hung Lu</v>
      </c>
      <c r="E1" s="84" t="s">
        <v>122</v>
      </c>
    </row>
    <row r="2" spans="1:9" ht="20" customHeight="1" x14ac:dyDescent="0.2">
      <c r="A2" s="89" t="s">
        <v>38</v>
      </c>
      <c r="B2" s="39" t="s">
        <v>62</v>
      </c>
      <c r="C2" s="28" t="str">
        <f>CHOOSE(COLUMN()-COLUMN($C$2)+1,
"Monday","Tuesday","Wednesday","Thursday","Friday","Saturday","Sunday")</f>
        <v>Monday</v>
      </c>
      <c r="D2" s="28" t="str">
        <f t="shared" ref="D2:G2" si="0">CHOOSE(COLUMN()-COLUMN($C$2)+1,
"Monday","Tuesday","Wednesday","Thursday","Friday","Saturday","Sunday")</f>
        <v>Tuesday</v>
      </c>
      <c r="E2" s="28" t="str">
        <f t="shared" si="0"/>
        <v>Wednesday</v>
      </c>
      <c r="F2" s="28" t="str">
        <f t="shared" si="0"/>
        <v>Thursday</v>
      </c>
      <c r="G2" s="28" t="str">
        <f t="shared" si="0"/>
        <v>Friday</v>
      </c>
      <c r="H2" s="28" t="str">
        <f>CHOOSE(COLUMN()-COLUMN($C$2)+1,
"Monday","Tuesday","Wednesday","Thursday","Friday","Saturday","Sunday")</f>
        <v>Saturday</v>
      </c>
      <c r="I2" s="47" t="str">
        <f>CHOOSE(COLUMN()-COLUMN($C$2)+1,
"Monday","Tuesday","Wednesday","Thursday","Friday","Saturday","Sunday")</f>
        <v>Sunday</v>
      </c>
    </row>
    <row r="3" spans="1:9" ht="20" customHeight="1" x14ac:dyDescent="0.2">
      <c r="A3" s="89"/>
      <c r="B3" s="83" t="str">
        <f>$D$1</f>
        <v>Hung Lu</v>
      </c>
      <c r="C3" s="45" cm="1">
        <f t="array" ref="C3:I3">_xlfn.SEQUENCE(1,7,$C$1-WEEKDAY($C$1,2)+1,1)</f>
        <v>45992</v>
      </c>
      <c r="D3" s="45">
        <v>45993</v>
      </c>
      <c r="E3" s="45">
        <v>45994</v>
      </c>
      <c r="F3" s="45">
        <v>45995</v>
      </c>
      <c r="G3" s="45">
        <v>45996</v>
      </c>
      <c r="H3" s="45">
        <v>45997</v>
      </c>
      <c r="I3" s="46">
        <v>45998</v>
      </c>
    </row>
    <row r="4" spans="1:9" ht="20" customHeight="1" x14ac:dyDescent="0.2">
      <c r="A4" s="89"/>
      <c r="B4" s="41" t="str">
        <f>$E$1</f>
        <v>Graphic Designer</v>
      </c>
      <c r="C4" s="11" t="s">
        <v>13</v>
      </c>
      <c r="D4" s="11" t="s">
        <v>13</v>
      </c>
      <c r="E4" s="11" t="s">
        <v>13</v>
      </c>
      <c r="F4" s="11" t="s">
        <v>13</v>
      </c>
      <c r="G4" s="11" t="s">
        <v>13</v>
      </c>
      <c r="H4" s="11" t="s">
        <v>13</v>
      </c>
      <c r="I4" s="12"/>
    </row>
    <row r="5" spans="1:9" ht="20" customHeight="1" x14ac:dyDescent="0.2">
      <c r="A5" s="89"/>
      <c r="B5" s="51" t="s">
        <v>63</v>
      </c>
      <c r="C5" s="42"/>
      <c r="D5" s="42"/>
      <c r="E5" s="42"/>
      <c r="F5" s="42"/>
      <c r="G5" s="42"/>
      <c r="H5" s="42"/>
      <c r="I5" s="12"/>
    </row>
    <row r="6" spans="1:9" ht="20" customHeight="1" x14ac:dyDescent="0.2">
      <c r="A6" s="89"/>
      <c r="B6" s="51" t="s">
        <v>64</v>
      </c>
      <c r="C6" s="43"/>
      <c r="D6" s="43"/>
      <c r="E6" s="43"/>
      <c r="F6" s="43"/>
      <c r="G6" s="43"/>
      <c r="H6" s="43"/>
      <c r="I6" s="12"/>
    </row>
    <row r="7" spans="1:9" ht="20" customHeight="1" x14ac:dyDescent="0.2">
      <c r="A7" s="89"/>
      <c r="B7" s="51" t="s">
        <v>65</v>
      </c>
      <c r="C7" s="42"/>
      <c r="D7" s="42"/>
      <c r="E7" s="42"/>
      <c r="F7" s="42"/>
      <c r="G7" s="42"/>
      <c r="H7" s="42"/>
      <c r="I7" s="12"/>
    </row>
    <row r="8" spans="1:9" ht="20" customHeight="1" x14ac:dyDescent="0.2">
      <c r="A8" s="89"/>
      <c r="B8" s="51" t="s">
        <v>66</v>
      </c>
      <c r="C8" s="43"/>
      <c r="D8" s="43"/>
      <c r="E8" s="43"/>
      <c r="F8" s="43"/>
      <c r="G8" s="43"/>
      <c r="H8" s="43"/>
      <c r="I8" s="12"/>
    </row>
    <row r="9" spans="1:9" ht="20" customHeight="1" x14ac:dyDescent="0.2">
      <c r="A9" s="89"/>
      <c r="B9" s="51" t="s">
        <v>67</v>
      </c>
      <c r="C9" s="42"/>
      <c r="D9" s="42"/>
      <c r="E9" s="42"/>
      <c r="F9" s="42"/>
      <c r="G9" s="42"/>
      <c r="H9" s="42"/>
      <c r="I9" s="12"/>
    </row>
    <row r="10" spans="1:9" ht="20" customHeight="1" x14ac:dyDescent="0.2">
      <c r="A10" s="89"/>
      <c r="B10" s="51" t="s">
        <v>68</v>
      </c>
      <c r="C10" s="43"/>
      <c r="D10" s="43"/>
      <c r="E10" s="43"/>
      <c r="F10" s="43"/>
      <c r="G10" s="43"/>
      <c r="H10" s="43"/>
      <c r="I10" s="12"/>
    </row>
    <row r="11" spans="1:9" ht="20" customHeight="1" x14ac:dyDescent="0.2">
      <c r="A11" s="89"/>
      <c r="B11" s="51" t="s">
        <v>69</v>
      </c>
      <c r="C11" s="42"/>
      <c r="D11" s="42"/>
      <c r="E11" s="42"/>
      <c r="F11" s="42"/>
      <c r="G11" s="42"/>
      <c r="H11" s="42"/>
      <c r="I11" s="12"/>
    </row>
    <row r="12" spans="1:9" ht="10" customHeight="1" x14ac:dyDescent="0.2">
      <c r="A12" s="91"/>
      <c r="B12" s="91"/>
      <c r="C12" s="91"/>
      <c r="D12" s="91"/>
      <c r="E12" s="91"/>
      <c r="F12" s="91"/>
      <c r="G12" s="91"/>
      <c r="H12" s="91"/>
      <c r="I12" s="91"/>
    </row>
    <row r="13" spans="1:9" ht="20" customHeight="1" x14ac:dyDescent="0.2">
      <c r="A13" s="89" t="s">
        <v>45</v>
      </c>
      <c r="B13" s="39" t="s">
        <v>62</v>
      </c>
      <c r="C13" s="28" t="str">
        <f>CHOOSE(COLUMN()-COLUMN($C$2)+1,
"Monday","Tuesday","Wednesday","Thursday","Friday","Saturday","Sunday")</f>
        <v>Monday</v>
      </c>
      <c r="D13" s="28" t="s">
        <v>39</v>
      </c>
      <c r="E13" s="28" t="s">
        <v>40</v>
      </c>
      <c r="F13" s="28" t="s">
        <v>41</v>
      </c>
      <c r="G13" s="28" t="s">
        <v>42</v>
      </c>
      <c r="H13" s="28" t="s">
        <v>43</v>
      </c>
      <c r="I13" s="29" t="s">
        <v>44</v>
      </c>
    </row>
    <row r="14" spans="1:9" ht="20" customHeight="1" x14ac:dyDescent="0.2">
      <c r="A14" s="89"/>
      <c r="B14" s="83" t="str">
        <f>$D$1</f>
        <v>Hung Lu</v>
      </c>
      <c r="C14" s="45" cm="1">
        <f t="array" ref="C14:I14">_xlfn.SEQUENCE(1,7,$C$1-WEEKDAY($C$1,2)+1+7,1)</f>
        <v>45999</v>
      </c>
      <c r="D14" s="45">
        <v>46000</v>
      </c>
      <c r="E14" s="45">
        <v>46001</v>
      </c>
      <c r="F14" s="45">
        <v>46002</v>
      </c>
      <c r="G14" s="45">
        <v>46003</v>
      </c>
      <c r="H14" s="45">
        <v>46004</v>
      </c>
      <c r="I14" s="46">
        <v>46005</v>
      </c>
    </row>
    <row r="15" spans="1:9" ht="20" customHeight="1" x14ac:dyDescent="0.2">
      <c r="A15" s="89"/>
      <c r="B15" s="41" t="str">
        <f>$E$1</f>
        <v>Graphic Designer</v>
      </c>
      <c r="C15" s="11" t="s">
        <v>13</v>
      </c>
      <c r="D15" s="11" t="s">
        <v>13</v>
      </c>
      <c r="E15" s="11" t="s">
        <v>13</v>
      </c>
      <c r="F15" s="11" t="s">
        <v>13</v>
      </c>
      <c r="G15" s="11" t="s">
        <v>13</v>
      </c>
      <c r="H15" s="11" t="s">
        <v>13</v>
      </c>
      <c r="I15" s="12"/>
    </row>
    <row r="16" spans="1:9" ht="20" customHeight="1" x14ac:dyDescent="0.2">
      <c r="A16" s="89"/>
      <c r="B16" s="51" t="s">
        <v>63</v>
      </c>
      <c r="C16" s="42"/>
      <c r="D16" s="42"/>
      <c r="E16" s="42"/>
      <c r="F16" s="42"/>
      <c r="G16" s="42"/>
      <c r="H16" s="42"/>
      <c r="I16" s="12"/>
    </row>
    <row r="17" spans="1:9" ht="20" customHeight="1" x14ac:dyDescent="0.2">
      <c r="A17" s="89"/>
      <c r="B17" s="51" t="s">
        <v>64</v>
      </c>
      <c r="C17" s="43"/>
      <c r="D17" s="43"/>
      <c r="E17" s="43"/>
      <c r="F17" s="43"/>
      <c r="G17" s="43"/>
      <c r="H17" s="43"/>
      <c r="I17" s="12"/>
    </row>
    <row r="18" spans="1:9" ht="20" customHeight="1" x14ac:dyDescent="0.2">
      <c r="A18" s="89"/>
      <c r="B18" s="51" t="s">
        <v>65</v>
      </c>
      <c r="C18" s="42"/>
      <c r="D18" s="42"/>
      <c r="E18" s="42"/>
      <c r="F18" s="42"/>
      <c r="G18" s="42"/>
      <c r="H18" s="42"/>
      <c r="I18" s="12"/>
    </row>
    <row r="19" spans="1:9" ht="20" customHeight="1" x14ac:dyDescent="0.2">
      <c r="A19" s="89"/>
      <c r="B19" s="51" t="s">
        <v>66</v>
      </c>
      <c r="C19" s="43"/>
      <c r="D19" s="43"/>
      <c r="E19" s="43"/>
      <c r="F19" s="43"/>
      <c r="G19" s="43"/>
      <c r="H19" s="43"/>
      <c r="I19" s="12"/>
    </row>
    <row r="20" spans="1:9" ht="20" customHeight="1" x14ac:dyDescent="0.2">
      <c r="A20" s="89"/>
      <c r="B20" s="51" t="s">
        <v>67</v>
      </c>
      <c r="C20" s="42"/>
      <c r="D20" s="42"/>
      <c r="E20" s="42"/>
      <c r="F20" s="42"/>
      <c r="G20" s="42"/>
      <c r="H20" s="42"/>
      <c r="I20" s="12"/>
    </row>
    <row r="21" spans="1:9" ht="20" customHeight="1" x14ac:dyDescent="0.2">
      <c r="A21" s="89"/>
      <c r="B21" s="51" t="s">
        <v>68</v>
      </c>
      <c r="C21" s="43"/>
      <c r="D21" s="43"/>
      <c r="E21" s="43"/>
      <c r="F21" s="43"/>
      <c r="G21" s="43"/>
      <c r="H21" s="43"/>
      <c r="I21" s="12"/>
    </row>
    <row r="22" spans="1:9" ht="20" customHeight="1" x14ac:dyDescent="0.2">
      <c r="A22" s="89"/>
      <c r="B22" s="51" t="s">
        <v>69</v>
      </c>
      <c r="C22" s="42"/>
      <c r="D22" s="42"/>
      <c r="E22" s="42"/>
      <c r="F22" s="42"/>
      <c r="G22" s="42"/>
      <c r="H22" s="42"/>
      <c r="I22" s="12"/>
    </row>
    <row r="23" spans="1:9" ht="10" customHeight="1" x14ac:dyDescent="0.2">
      <c r="A23" s="91"/>
      <c r="B23" s="91"/>
      <c r="C23" s="91"/>
      <c r="D23" s="91"/>
      <c r="E23" s="91"/>
      <c r="F23" s="91"/>
      <c r="G23" s="91"/>
      <c r="H23" s="91"/>
      <c r="I23" s="91"/>
    </row>
    <row r="24" spans="1:9" ht="20" customHeight="1" x14ac:dyDescent="0.2">
      <c r="A24" s="89" t="s">
        <v>46</v>
      </c>
      <c r="B24" s="39" t="s">
        <v>62</v>
      </c>
      <c r="C24" s="28" t="str">
        <f>CHOOSE(COLUMN()-COLUMN($C$2)+1,
"Monday","Tuesday","Wednesday","Thursday","Friday","Saturday","Sunday")</f>
        <v>Monday</v>
      </c>
      <c r="D24" s="28" t="s">
        <v>39</v>
      </c>
      <c r="E24" s="28" t="s">
        <v>40</v>
      </c>
      <c r="F24" s="28" t="s">
        <v>41</v>
      </c>
      <c r="G24" s="28" t="s">
        <v>42</v>
      </c>
      <c r="H24" s="28" t="s">
        <v>43</v>
      </c>
      <c r="I24" s="29" t="s">
        <v>44</v>
      </c>
    </row>
    <row r="25" spans="1:9" ht="20" customHeight="1" x14ac:dyDescent="0.2">
      <c r="A25" s="89"/>
      <c r="B25" s="83" t="str">
        <f>$D$1</f>
        <v>Hung Lu</v>
      </c>
      <c r="C25" s="45" cm="1">
        <f t="array" ref="C25:I25">_xlfn.SEQUENCE(1,7,$C$1-WEEKDAY($C$1,2)+1+14,1)</f>
        <v>46006</v>
      </c>
      <c r="D25" s="45">
        <v>46007</v>
      </c>
      <c r="E25" s="45">
        <v>46008</v>
      </c>
      <c r="F25" s="45">
        <v>46009</v>
      </c>
      <c r="G25" s="45">
        <v>46010</v>
      </c>
      <c r="H25" s="45">
        <v>46011</v>
      </c>
      <c r="I25" s="46">
        <v>46012</v>
      </c>
    </row>
    <row r="26" spans="1:9" ht="20" customHeight="1" x14ac:dyDescent="0.2">
      <c r="A26" s="89"/>
      <c r="B26" s="41" t="str">
        <f>$E$1</f>
        <v>Graphic Designer</v>
      </c>
      <c r="C26" s="11" t="s">
        <v>13</v>
      </c>
      <c r="D26" s="11" t="s">
        <v>13</v>
      </c>
      <c r="E26" s="11" t="s">
        <v>13</v>
      </c>
      <c r="F26" s="11" t="s">
        <v>13</v>
      </c>
      <c r="G26" s="11" t="s">
        <v>13</v>
      </c>
      <c r="H26" s="11" t="s">
        <v>13</v>
      </c>
      <c r="I26" s="12"/>
    </row>
    <row r="27" spans="1:9" ht="20" customHeight="1" x14ac:dyDescent="0.2">
      <c r="A27" s="89"/>
      <c r="B27" s="51" t="s">
        <v>63</v>
      </c>
      <c r="C27" s="42"/>
      <c r="D27" s="42"/>
      <c r="E27" s="42"/>
      <c r="F27" s="42"/>
      <c r="G27" s="42"/>
      <c r="H27" s="42"/>
      <c r="I27" s="12"/>
    </row>
    <row r="28" spans="1:9" ht="20" customHeight="1" x14ac:dyDescent="0.2">
      <c r="A28" s="89"/>
      <c r="B28" s="51" t="s">
        <v>64</v>
      </c>
      <c r="C28" s="43"/>
      <c r="D28" s="43"/>
      <c r="E28" s="43"/>
      <c r="F28" s="43"/>
      <c r="G28" s="43"/>
      <c r="H28" s="43"/>
      <c r="I28" s="12"/>
    </row>
    <row r="29" spans="1:9" ht="20" customHeight="1" x14ac:dyDescent="0.2">
      <c r="A29" s="89"/>
      <c r="B29" s="51" t="s">
        <v>65</v>
      </c>
      <c r="C29" s="42"/>
      <c r="D29" s="42"/>
      <c r="E29" s="42"/>
      <c r="F29" s="42"/>
      <c r="G29" s="42"/>
      <c r="H29" s="42"/>
      <c r="I29" s="12"/>
    </row>
    <row r="30" spans="1:9" ht="20" customHeight="1" x14ac:dyDescent="0.2">
      <c r="A30" s="89"/>
      <c r="B30" s="51" t="s">
        <v>66</v>
      </c>
      <c r="C30" s="43"/>
      <c r="D30" s="43"/>
      <c r="E30" s="43"/>
      <c r="F30" s="43"/>
      <c r="G30" s="43"/>
      <c r="H30" s="43"/>
      <c r="I30" s="12"/>
    </row>
    <row r="31" spans="1:9" ht="20" customHeight="1" x14ac:dyDescent="0.2">
      <c r="A31" s="89"/>
      <c r="B31" s="51" t="s">
        <v>67</v>
      </c>
      <c r="C31" s="42"/>
      <c r="D31" s="42"/>
      <c r="E31" s="42"/>
      <c r="F31" s="42"/>
      <c r="G31" s="42"/>
      <c r="H31" s="42"/>
      <c r="I31" s="12"/>
    </row>
    <row r="32" spans="1:9" ht="20" customHeight="1" x14ac:dyDescent="0.2">
      <c r="A32" s="89"/>
      <c r="B32" s="51" t="s">
        <v>68</v>
      </c>
      <c r="C32" s="43"/>
      <c r="D32" s="43"/>
      <c r="E32" s="43"/>
      <c r="F32" s="43"/>
      <c r="G32" s="43"/>
      <c r="H32" s="43"/>
      <c r="I32" s="12"/>
    </row>
    <row r="33" spans="1:9" ht="20" customHeight="1" x14ac:dyDescent="0.2">
      <c r="A33" s="89"/>
      <c r="B33" s="51" t="s">
        <v>69</v>
      </c>
      <c r="C33" s="42"/>
      <c r="D33" s="42"/>
      <c r="E33" s="42"/>
      <c r="F33" s="42"/>
      <c r="G33" s="42"/>
      <c r="H33" s="42"/>
      <c r="I33" s="12"/>
    </row>
    <row r="34" spans="1:9" ht="10" customHeight="1" x14ac:dyDescent="0.2">
      <c r="A34" s="91"/>
      <c r="B34" s="91"/>
      <c r="C34" s="91"/>
      <c r="D34" s="91"/>
      <c r="E34" s="91"/>
      <c r="F34" s="91"/>
      <c r="G34" s="91"/>
      <c r="H34" s="91"/>
      <c r="I34" s="91"/>
    </row>
    <row r="35" spans="1:9" ht="20" customHeight="1" x14ac:dyDescent="0.2">
      <c r="A35" s="89" t="s">
        <v>47</v>
      </c>
      <c r="B35" s="39" t="s">
        <v>62</v>
      </c>
      <c r="C35" s="28" t="str">
        <f>CHOOSE(COLUMN()-COLUMN($C$2)+1,
"Monday","Tuesday","Wednesday","Thursday","Friday","Saturday","Sunday")</f>
        <v>Monday</v>
      </c>
      <c r="D35" s="28" t="s">
        <v>39</v>
      </c>
      <c r="E35" s="28" t="s">
        <v>40</v>
      </c>
      <c r="F35" s="28" t="s">
        <v>41</v>
      </c>
      <c r="G35" s="28" t="s">
        <v>42</v>
      </c>
      <c r="H35" s="28" t="s">
        <v>43</v>
      </c>
      <c r="I35" s="29" t="s">
        <v>44</v>
      </c>
    </row>
    <row r="36" spans="1:9" ht="20" customHeight="1" x14ac:dyDescent="0.2">
      <c r="A36" s="89"/>
      <c r="B36" s="83" t="str">
        <f>$D$1</f>
        <v>Hung Lu</v>
      </c>
      <c r="C36" s="45" cm="1">
        <f t="array" ref="C36:I36">_xlfn.SEQUENCE(1,7,$C$1-WEEKDAY($C$1,2)+1+21,1)</f>
        <v>46013</v>
      </c>
      <c r="D36" s="45">
        <v>46014</v>
      </c>
      <c r="E36" s="45">
        <v>46015</v>
      </c>
      <c r="F36" s="45">
        <v>46016</v>
      </c>
      <c r="G36" s="45">
        <v>46017</v>
      </c>
      <c r="H36" s="45">
        <v>46018</v>
      </c>
      <c r="I36" s="46">
        <v>46019</v>
      </c>
    </row>
    <row r="37" spans="1:9" ht="20" customHeight="1" x14ac:dyDescent="0.2">
      <c r="A37" s="89"/>
      <c r="B37" s="41" t="str">
        <f>$E$1</f>
        <v>Graphic Designer</v>
      </c>
      <c r="C37" s="11" t="s">
        <v>13</v>
      </c>
      <c r="D37" s="11" t="s">
        <v>13</v>
      </c>
      <c r="E37" s="11" t="s">
        <v>13</v>
      </c>
      <c r="F37" s="11" t="s">
        <v>13</v>
      </c>
      <c r="G37" s="11" t="s">
        <v>13</v>
      </c>
      <c r="H37" s="11" t="s">
        <v>13</v>
      </c>
      <c r="I37" s="12"/>
    </row>
    <row r="38" spans="1:9" ht="20" customHeight="1" x14ac:dyDescent="0.2">
      <c r="A38" s="89"/>
      <c r="B38" s="51" t="s">
        <v>63</v>
      </c>
      <c r="C38" s="42"/>
      <c r="D38" s="42"/>
      <c r="E38" s="42"/>
      <c r="F38" s="42"/>
      <c r="G38" s="42"/>
      <c r="H38" s="42"/>
      <c r="I38" s="12"/>
    </row>
    <row r="39" spans="1:9" ht="20" customHeight="1" x14ac:dyDescent="0.2">
      <c r="A39" s="89"/>
      <c r="B39" s="51" t="s">
        <v>64</v>
      </c>
      <c r="C39" s="43"/>
      <c r="D39" s="43"/>
      <c r="E39" s="43"/>
      <c r="F39" s="43"/>
      <c r="G39" s="43"/>
      <c r="H39" s="43"/>
      <c r="I39" s="12"/>
    </row>
    <row r="40" spans="1:9" ht="20" customHeight="1" x14ac:dyDescent="0.2">
      <c r="A40" s="89"/>
      <c r="B40" s="51" t="s">
        <v>65</v>
      </c>
      <c r="C40" s="42"/>
      <c r="D40" s="42"/>
      <c r="E40" s="42"/>
      <c r="F40" s="42"/>
      <c r="G40" s="42"/>
      <c r="H40" s="42"/>
      <c r="I40" s="12"/>
    </row>
    <row r="41" spans="1:9" ht="20" customHeight="1" x14ac:dyDescent="0.2">
      <c r="A41" s="89"/>
      <c r="B41" s="51" t="s">
        <v>66</v>
      </c>
      <c r="C41" s="43"/>
      <c r="D41" s="43"/>
      <c r="E41" s="43"/>
      <c r="F41" s="43"/>
      <c r="G41" s="43"/>
      <c r="H41" s="43"/>
      <c r="I41" s="12"/>
    </row>
    <row r="42" spans="1:9" ht="20" customHeight="1" x14ac:dyDescent="0.2">
      <c r="A42" s="89"/>
      <c r="B42" s="51" t="s">
        <v>67</v>
      </c>
      <c r="C42" s="42"/>
      <c r="D42" s="42"/>
      <c r="E42" s="42"/>
      <c r="F42" s="42"/>
      <c r="G42" s="42"/>
      <c r="H42" s="42"/>
      <c r="I42" s="12"/>
    </row>
    <row r="43" spans="1:9" ht="20" customHeight="1" x14ac:dyDescent="0.2">
      <c r="A43" s="89"/>
      <c r="B43" s="51" t="s">
        <v>68</v>
      </c>
      <c r="C43" s="43"/>
      <c r="D43" s="43"/>
      <c r="E43" s="43"/>
      <c r="F43" s="43"/>
      <c r="G43" s="43"/>
      <c r="H43" s="43"/>
      <c r="I43" s="12"/>
    </row>
    <row r="44" spans="1:9" ht="20" customHeight="1" x14ac:dyDescent="0.2">
      <c r="A44" s="89"/>
      <c r="B44" s="51" t="s">
        <v>69</v>
      </c>
      <c r="C44" s="42"/>
      <c r="D44" s="42"/>
      <c r="E44" s="42"/>
      <c r="F44" s="42"/>
      <c r="G44" s="42"/>
      <c r="H44" s="42"/>
      <c r="I44" s="12"/>
    </row>
    <row r="45" spans="1:9" ht="10" customHeight="1" x14ac:dyDescent="0.2">
      <c r="A45" s="91"/>
      <c r="B45" s="91"/>
      <c r="C45" s="91"/>
      <c r="D45" s="91"/>
      <c r="E45" s="91"/>
      <c r="F45" s="91"/>
      <c r="G45" s="91"/>
      <c r="H45" s="91"/>
      <c r="I45" s="91"/>
    </row>
    <row r="46" spans="1:9" ht="20" customHeight="1" x14ac:dyDescent="0.2">
      <c r="A46" s="89" t="s">
        <v>48</v>
      </c>
      <c r="B46" s="39" t="s">
        <v>62</v>
      </c>
      <c r="C46" s="28" t="str">
        <f>CHOOSE(COLUMN()-COLUMN($C$2)+1,
"Monday","Tuesday","Wednesday","Thursday","Friday","Saturday","Sunday")</f>
        <v>Monday</v>
      </c>
      <c r="D46" s="28" t="s">
        <v>39</v>
      </c>
      <c r="E46" s="28" t="s">
        <v>40</v>
      </c>
      <c r="F46" s="28" t="s">
        <v>41</v>
      </c>
      <c r="G46" s="28" t="s">
        <v>42</v>
      </c>
      <c r="H46" s="28" t="s">
        <v>43</v>
      </c>
      <c r="I46" s="29" t="s">
        <v>44</v>
      </c>
    </row>
    <row r="47" spans="1:9" ht="20" customHeight="1" x14ac:dyDescent="0.2">
      <c r="A47" s="89"/>
      <c r="B47" s="83" t="str">
        <f>$D$1</f>
        <v>Hung Lu</v>
      </c>
      <c r="C47" s="45" cm="1">
        <f t="array" ref="C47:I47">_xlfn.SEQUENCE(1,7,$C$1-WEEKDAY($C$1,2)+1+28,1)</f>
        <v>46020</v>
      </c>
      <c r="D47" s="45">
        <v>46021</v>
      </c>
      <c r="E47" s="45">
        <v>46022</v>
      </c>
      <c r="F47" s="45">
        <v>46023</v>
      </c>
      <c r="G47" s="45">
        <v>46024</v>
      </c>
      <c r="H47" s="45">
        <v>46025</v>
      </c>
      <c r="I47" s="46">
        <v>46026</v>
      </c>
    </row>
    <row r="48" spans="1:9" ht="20" customHeight="1" x14ac:dyDescent="0.2">
      <c r="A48" s="89"/>
      <c r="B48" s="41" t="str">
        <f>$E$1</f>
        <v>Graphic Designer</v>
      </c>
      <c r="C48" s="11" t="s">
        <v>13</v>
      </c>
      <c r="D48" s="11" t="s">
        <v>13</v>
      </c>
      <c r="E48" s="11" t="s">
        <v>13</v>
      </c>
      <c r="F48" s="11" t="s">
        <v>13</v>
      </c>
      <c r="G48" s="11" t="s">
        <v>13</v>
      </c>
      <c r="H48" s="11" t="s">
        <v>13</v>
      </c>
      <c r="I48" s="12"/>
    </row>
    <row r="49" spans="1:9" ht="20" customHeight="1" x14ac:dyDescent="0.2">
      <c r="A49" s="89"/>
      <c r="B49" s="51" t="s">
        <v>63</v>
      </c>
      <c r="C49" s="42"/>
      <c r="D49" s="42"/>
      <c r="E49" s="42"/>
      <c r="F49" s="42"/>
      <c r="G49" s="42"/>
      <c r="H49" s="42"/>
      <c r="I49" s="12"/>
    </row>
    <row r="50" spans="1:9" ht="20" customHeight="1" x14ac:dyDescent="0.2">
      <c r="A50" s="89"/>
      <c r="B50" s="51" t="s">
        <v>64</v>
      </c>
      <c r="C50" s="43"/>
      <c r="D50" s="43"/>
      <c r="E50" s="43"/>
      <c r="F50" s="43"/>
      <c r="G50" s="43"/>
      <c r="H50" s="43"/>
      <c r="I50" s="12"/>
    </row>
    <row r="51" spans="1:9" ht="20" customHeight="1" x14ac:dyDescent="0.2">
      <c r="A51" s="89"/>
      <c r="B51" s="51" t="s">
        <v>65</v>
      </c>
      <c r="C51" s="42"/>
      <c r="D51" s="42"/>
      <c r="E51" s="42"/>
      <c r="F51" s="42"/>
      <c r="G51" s="42"/>
      <c r="H51" s="42"/>
      <c r="I51" s="12"/>
    </row>
    <row r="52" spans="1:9" ht="20" customHeight="1" x14ac:dyDescent="0.2">
      <c r="A52" s="89"/>
      <c r="B52" s="51" t="s">
        <v>66</v>
      </c>
      <c r="C52" s="43"/>
      <c r="D52" s="43"/>
      <c r="E52" s="43"/>
      <c r="F52" s="43"/>
      <c r="G52" s="43"/>
      <c r="H52" s="43"/>
      <c r="I52" s="12"/>
    </row>
    <row r="53" spans="1:9" ht="20" customHeight="1" x14ac:dyDescent="0.2">
      <c r="A53" s="89"/>
      <c r="B53" s="51" t="s">
        <v>67</v>
      </c>
      <c r="C53" s="42"/>
      <c r="D53" s="42"/>
      <c r="E53" s="42"/>
      <c r="F53" s="42"/>
      <c r="G53" s="42"/>
      <c r="H53" s="42"/>
      <c r="I53" s="12"/>
    </row>
    <row r="54" spans="1:9" ht="20" customHeight="1" x14ac:dyDescent="0.2">
      <c r="A54" s="89"/>
      <c r="B54" s="51" t="s">
        <v>68</v>
      </c>
      <c r="C54" s="43"/>
      <c r="D54" s="43"/>
      <c r="E54" s="43"/>
      <c r="F54" s="43"/>
      <c r="G54" s="43"/>
      <c r="H54" s="43"/>
      <c r="I54" s="12"/>
    </row>
    <row r="55" spans="1:9" ht="20" customHeight="1" x14ac:dyDescent="0.2">
      <c r="A55" s="89"/>
      <c r="B55" s="51" t="s">
        <v>69</v>
      </c>
      <c r="C55" s="42"/>
      <c r="D55" s="42"/>
      <c r="E55" s="42"/>
      <c r="F55" s="42"/>
      <c r="G55" s="42"/>
      <c r="H55" s="42"/>
      <c r="I55" s="12"/>
    </row>
  </sheetData>
  <mergeCells count="10">
    <mergeCell ref="A34:I34"/>
    <mergeCell ref="A35:A44"/>
    <mergeCell ref="A45:I45"/>
    <mergeCell ref="A46:A55"/>
    <mergeCell ref="A1:B1"/>
    <mergeCell ref="A2:A11"/>
    <mergeCell ref="A12:I12"/>
    <mergeCell ref="A13:A22"/>
    <mergeCell ref="A23:I23"/>
    <mergeCell ref="A24:A33"/>
  </mergeCells>
  <dataValidations count="1">
    <dataValidation allowBlank="1" sqref="C27:H33 C38:H44 C5:H11 C16:H22 C49:H55" xr:uid="{97BAF712-3050-D342-8C34-ABDA71C0664D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7D12-9CC8-D941-9093-7425EA1F816C}">
  <sheetPr>
    <outlinePr summaryBelow="0" summaryRight="0"/>
  </sheetPr>
  <dimension ref="A1:I55"/>
  <sheetViews>
    <sheetView zoomScale="90" zoomScaleNormal="90" workbookViewId="0">
      <selection activeCell="K12" sqref="K12"/>
    </sheetView>
  </sheetViews>
  <sheetFormatPr baseColWidth="10" defaultColWidth="14.5" defaultRowHeight="20" customHeight="1" x14ac:dyDescent="0.2"/>
  <cols>
    <col min="1" max="1" width="15" style="1" customWidth="1"/>
    <col min="2" max="2" width="28" style="1" customWidth="1"/>
    <col min="3" max="3" width="26.33203125" style="1" customWidth="1"/>
    <col min="4" max="4" width="23.33203125" style="1" customWidth="1"/>
    <col min="5" max="5" width="19.33203125" style="1" customWidth="1"/>
    <col min="6" max="7" width="20.83203125" style="1" customWidth="1"/>
    <col min="8" max="8" width="25.5" style="1" customWidth="1"/>
    <col min="9" max="9" width="20.83203125" style="1" customWidth="1"/>
    <col min="10" max="16384" width="14.5" style="1"/>
  </cols>
  <sheetData>
    <row r="1" spans="1:9" ht="30" customHeight="1" x14ac:dyDescent="0.2">
      <c r="A1" s="88" t="s">
        <v>14</v>
      </c>
      <c r="B1" s="88"/>
      <c r="C1" s="44">
        <v>45992</v>
      </c>
      <c r="D1" s="58" t="str">
        <f>'Work Schedule'!B14</f>
        <v>Person #4</v>
      </c>
      <c r="E1" s="84" t="s">
        <v>123</v>
      </c>
    </row>
    <row r="2" spans="1:9" ht="20" customHeight="1" x14ac:dyDescent="0.2">
      <c r="A2" s="89" t="s">
        <v>38</v>
      </c>
      <c r="B2" s="39" t="s">
        <v>62</v>
      </c>
      <c r="C2" s="28" t="str">
        <f>CHOOSE(COLUMN()-COLUMN($C$2)+1,
"Monday","Tuesday","Wednesday","Thursday","Friday","Saturday","Sunday")</f>
        <v>Monday</v>
      </c>
      <c r="D2" s="28" t="str">
        <f t="shared" ref="D2:G2" si="0">CHOOSE(COLUMN()-COLUMN($C$2)+1,
"Monday","Tuesday","Wednesday","Thursday","Friday","Saturday","Sunday")</f>
        <v>Tuesday</v>
      </c>
      <c r="E2" s="28" t="str">
        <f t="shared" si="0"/>
        <v>Wednesday</v>
      </c>
      <c r="F2" s="28" t="str">
        <f t="shared" si="0"/>
        <v>Thursday</v>
      </c>
      <c r="G2" s="28" t="str">
        <f t="shared" si="0"/>
        <v>Friday</v>
      </c>
      <c r="H2" s="28" t="str">
        <f>CHOOSE(COLUMN()-COLUMN($C$2)+1,
"Monday","Tuesday","Wednesday","Thursday","Friday","Saturday","Sunday")</f>
        <v>Saturday</v>
      </c>
      <c r="I2" s="47" t="str">
        <f>CHOOSE(COLUMN()-COLUMN($C$2)+1,
"Monday","Tuesday","Wednesday","Thursday","Friday","Saturday","Sunday")</f>
        <v>Sunday</v>
      </c>
    </row>
    <row r="3" spans="1:9" ht="20" customHeight="1" x14ac:dyDescent="0.2">
      <c r="A3" s="89"/>
      <c r="B3" s="83" t="str">
        <f>$D$1</f>
        <v>Person #4</v>
      </c>
      <c r="C3" s="45" cm="1">
        <f t="array" ref="C3:I3">_xlfn.SEQUENCE(1,7,$C$1-WEEKDAY($C$1,2)+1,1)</f>
        <v>45992</v>
      </c>
      <c r="D3" s="45">
        <v>45993</v>
      </c>
      <c r="E3" s="45">
        <v>45994</v>
      </c>
      <c r="F3" s="45">
        <v>45995</v>
      </c>
      <c r="G3" s="45">
        <v>45996</v>
      </c>
      <c r="H3" s="45">
        <v>45997</v>
      </c>
      <c r="I3" s="46">
        <v>45998</v>
      </c>
    </row>
    <row r="4" spans="1:9" ht="20" customHeight="1" x14ac:dyDescent="0.2">
      <c r="A4" s="89"/>
      <c r="B4" s="41" t="str">
        <f>$E$1</f>
        <v>Media Editor</v>
      </c>
      <c r="C4" s="11" t="s">
        <v>13</v>
      </c>
      <c r="D4" s="11" t="s">
        <v>13</v>
      </c>
      <c r="E4" s="11" t="s">
        <v>13</v>
      </c>
      <c r="F4" s="11" t="s">
        <v>13</v>
      </c>
      <c r="G4" s="11" t="s">
        <v>13</v>
      </c>
      <c r="H4" s="11" t="s">
        <v>13</v>
      </c>
      <c r="I4" s="12"/>
    </row>
    <row r="5" spans="1:9" ht="20" customHeight="1" x14ac:dyDescent="0.2">
      <c r="A5" s="89"/>
      <c r="B5" s="51" t="s">
        <v>63</v>
      </c>
      <c r="C5" s="42"/>
      <c r="D5" s="42"/>
      <c r="E5" s="42"/>
      <c r="F5" s="42"/>
      <c r="G5" s="42"/>
      <c r="H5" s="42"/>
      <c r="I5" s="12"/>
    </row>
    <row r="6" spans="1:9" ht="20" customHeight="1" x14ac:dyDescent="0.2">
      <c r="A6" s="89"/>
      <c r="B6" s="51" t="s">
        <v>64</v>
      </c>
      <c r="C6" s="43"/>
      <c r="D6" s="43"/>
      <c r="E6" s="43"/>
      <c r="F6" s="43"/>
      <c r="G6" s="43"/>
      <c r="H6" s="43"/>
      <c r="I6" s="12"/>
    </row>
    <row r="7" spans="1:9" ht="20" customHeight="1" x14ac:dyDescent="0.2">
      <c r="A7" s="89"/>
      <c r="B7" s="51" t="s">
        <v>65</v>
      </c>
      <c r="C7" s="42"/>
      <c r="D7" s="42"/>
      <c r="E7" s="42"/>
      <c r="F7" s="42"/>
      <c r="G7" s="42"/>
      <c r="H7" s="42"/>
      <c r="I7" s="12"/>
    </row>
    <row r="8" spans="1:9" ht="20" customHeight="1" x14ac:dyDescent="0.2">
      <c r="A8" s="89"/>
      <c r="B8" s="51" t="s">
        <v>66</v>
      </c>
      <c r="C8" s="43"/>
      <c r="D8" s="43"/>
      <c r="E8" s="43"/>
      <c r="F8" s="43"/>
      <c r="G8" s="43"/>
      <c r="H8" s="43"/>
      <c r="I8" s="12"/>
    </row>
    <row r="9" spans="1:9" ht="20" customHeight="1" x14ac:dyDescent="0.2">
      <c r="A9" s="89"/>
      <c r="B9" s="51" t="s">
        <v>67</v>
      </c>
      <c r="C9" s="42"/>
      <c r="D9" s="42"/>
      <c r="E9" s="42"/>
      <c r="F9" s="42"/>
      <c r="G9" s="42"/>
      <c r="H9" s="42"/>
      <c r="I9" s="12"/>
    </row>
    <row r="10" spans="1:9" ht="20" customHeight="1" x14ac:dyDescent="0.2">
      <c r="A10" s="89"/>
      <c r="B10" s="51" t="s">
        <v>68</v>
      </c>
      <c r="C10" s="43"/>
      <c r="D10" s="43"/>
      <c r="E10" s="43"/>
      <c r="F10" s="43"/>
      <c r="G10" s="43"/>
      <c r="H10" s="43"/>
      <c r="I10" s="12"/>
    </row>
    <row r="11" spans="1:9" ht="20" customHeight="1" x14ac:dyDescent="0.2">
      <c r="A11" s="89"/>
      <c r="B11" s="51" t="s">
        <v>69</v>
      </c>
      <c r="C11" s="42"/>
      <c r="D11" s="42"/>
      <c r="E11" s="42"/>
      <c r="F11" s="42"/>
      <c r="G11" s="42"/>
      <c r="H11" s="42"/>
      <c r="I11" s="12"/>
    </row>
    <row r="12" spans="1:9" ht="10" customHeight="1" x14ac:dyDescent="0.2">
      <c r="A12" s="91"/>
      <c r="B12" s="91"/>
      <c r="C12" s="91"/>
      <c r="D12" s="91"/>
      <c r="E12" s="91"/>
      <c r="F12" s="91"/>
      <c r="G12" s="91"/>
      <c r="H12" s="91"/>
      <c r="I12" s="91"/>
    </row>
    <row r="13" spans="1:9" ht="20" customHeight="1" x14ac:dyDescent="0.2">
      <c r="A13" s="89" t="s">
        <v>45</v>
      </c>
      <c r="B13" s="39" t="s">
        <v>62</v>
      </c>
      <c r="C13" s="28" t="str">
        <f>CHOOSE(COLUMN()-COLUMN($C$2)+1,
"Monday","Tuesday","Wednesday","Thursday","Friday","Saturday","Sunday")</f>
        <v>Monday</v>
      </c>
      <c r="D13" s="28" t="s">
        <v>39</v>
      </c>
      <c r="E13" s="28" t="s">
        <v>40</v>
      </c>
      <c r="F13" s="28" t="s">
        <v>41</v>
      </c>
      <c r="G13" s="28" t="s">
        <v>42</v>
      </c>
      <c r="H13" s="28" t="s">
        <v>43</v>
      </c>
      <c r="I13" s="29" t="s">
        <v>44</v>
      </c>
    </row>
    <row r="14" spans="1:9" ht="20" customHeight="1" x14ac:dyDescent="0.2">
      <c r="A14" s="89"/>
      <c r="B14" s="83" t="str">
        <f>$D$1</f>
        <v>Person #4</v>
      </c>
      <c r="C14" s="45" cm="1">
        <f t="array" ref="C14:I14">_xlfn.SEQUENCE(1,7,$C$1-WEEKDAY($C$1,2)+1+7,1)</f>
        <v>45999</v>
      </c>
      <c r="D14" s="45">
        <v>46000</v>
      </c>
      <c r="E14" s="45">
        <v>46001</v>
      </c>
      <c r="F14" s="45">
        <v>46002</v>
      </c>
      <c r="G14" s="45">
        <v>46003</v>
      </c>
      <c r="H14" s="45">
        <v>46004</v>
      </c>
      <c r="I14" s="46">
        <v>46005</v>
      </c>
    </row>
    <row r="15" spans="1:9" ht="20" customHeight="1" x14ac:dyDescent="0.2">
      <c r="A15" s="89"/>
      <c r="B15" s="41" t="str">
        <f>$E$1</f>
        <v>Media Editor</v>
      </c>
      <c r="C15" s="11" t="s">
        <v>13</v>
      </c>
      <c r="D15" s="11" t="s">
        <v>13</v>
      </c>
      <c r="E15" s="11" t="s">
        <v>13</v>
      </c>
      <c r="F15" s="11" t="s">
        <v>13</v>
      </c>
      <c r="G15" s="11" t="s">
        <v>13</v>
      </c>
      <c r="H15" s="11" t="s">
        <v>13</v>
      </c>
      <c r="I15" s="12"/>
    </row>
    <row r="16" spans="1:9" ht="20" customHeight="1" x14ac:dyDescent="0.2">
      <c r="A16" s="89"/>
      <c r="B16" s="51" t="s">
        <v>63</v>
      </c>
      <c r="C16" s="42"/>
      <c r="D16" s="42"/>
      <c r="E16" s="42"/>
      <c r="F16" s="42"/>
      <c r="G16" s="42"/>
      <c r="H16" s="42"/>
      <c r="I16" s="12"/>
    </row>
    <row r="17" spans="1:9" ht="20" customHeight="1" x14ac:dyDescent="0.2">
      <c r="A17" s="89"/>
      <c r="B17" s="51" t="s">
        <v>64</v>
      </c>
      <c r="C17" s="43"/>
      <c r="D17" s="43"/>
      <c r="E17" s="43"/>
      <c r="F17" s="43"/>
      <c r="G17" s="43"/>
      <c r="H17" s="43"/>
      <c r="I17" s="12"/>
    </row>
    <row r="18" spans="1:9" ht="20" customHeight="1" x14ac:dyDescent="0.2">
      <c r="A18" s="89"/>
      <c r="B18" s="51" t="s">
        <v>65</v>
      </c>
      <c r="C18" s="42"/>
      <c r="D18" s="42"/>
      <c r="E18" s="42"/>
      <c r="F18" s="42"/>
      <c r="G18" s="42"/>
      <c r="H18" s="42"/>
      <c r="I18" s="12"/>
    </row>
    <row r="19" spans="1:9" ht="20" customHeight="1" x14ac:dyDescent="0.2">
      <c r="A19" s="89"/>
      <c r="B19" s="51" t="s">
        <v>66</v>
      </c>
      <c r="C19" s="43"/>
      <c r="D19" s="43"/>
      <c r="E19" s="43"/>
      <c r="F19" s="43"/>
      <c r="G19" s="43"/>
      <c r="H19" s="43"/>
      <c r="I19" s="12"/>
    </row>
    <row r="20" spans="1:9" ht="20" customHeight="1" x14ac:dyDescent="0.2">
      <c r="A20" s="89"/>
      <c r="B20" s="51" t="s">
        <v>67</v>
      </c>
      <c r="C20" s="42"/>
      <c r="D20" s="42"/>
      <c r="E20" s="42"/>
      <c r="F20" s="42"/>
      <c r="G20" s="42"/>
      <c r="H20" s="42"/>
      <c r="I20" s="12"/>
    </row>
    <row r="21" spans="1:9" ht="20" customHeight="1" x14ac:dyDescent="0.2">
      <c r="A21" s="89"/>
      <c r="B21" s="51" t="s">
        <v>68</v>
      </c>
      <c r="C21" s="43"/>
      <c r="D21" s="43"/>
      <c r="E21" s="43"/>
      <c r="F21" s="43"/>
      <c r="G21" s="43"/>
      <c r="H21" s="43"/>
      <c r="I21" s="12"/>
    </row>
    <row r="22" spans="1:9" ht="20" customHeight="1" x14ac:dyDescent="0.2">
      <c r="A22" s="89"/>
      <c r="B22" s="51" t="s">
        <v>69</v>
      </c>
      <c r="C22" s="42"/>
      <c r="D22" s="42"/>
      <c r="E22" s="42"/>
      <c r="F22" s="42"/>
      <c r="G22" s="42"/>
      <c r="H22" s="42"/>
      <c r="I22" s="12"/>
    </row>
    <row r="23" spans="1:9" ht="10" customHeight="1" x14ac:dyDescent="0.2">
      <c r="A23" s="91"/>
      <c r="B23" s="91"/>
      <c r="C23" s="91"/>
      <c r="D23" s="91"/>
      <c r="E23" s="91"/>
      <c r="F23" s="91"/>
      <c r="G23" s="91"/>
      <c r="H23" s="91"/>
      <c r="I23" s="91"/>
    </row>
    <row r="24" spans="1:9" ht="20" customHeight="1" x14ac:dyDescent="0.2">
      <c r="A24" s="89" t="s">
        <v>46</v>
      </c>
      <c r="B24" s="39" t="s">
        <v>62</v>
      </c>
      <c r="C24" s="28" t="str">
        <f>CHOOSE(COLUMN()-COLUMN($C$2)+1,
"Monday","Tuesday","Wednesday","Thursday","Friday","Saturday","Sunday")</f>
        <v>Monday</v>
      </c>
      <c r="D24" s="28" t="s">
        <v>39</v>
      </c>
      <c r="E24" s="28" t="s">
        <v>40</v>
      </c>
      <c r="F24" s="28" t="s">
        <v>41</v>
      </c>
      <c r="G24" s="28" t="s">
        <v>42</v>
      </c>
      <c r="H24" s="28" t="s">
        <v>43</v>
      </c>
      <c r="I24" s="29" t="s">
        <v>44</v>
      </c>
    </row>
    <row r="25" spans="1:9" ht="20" customHeight="1" x14ac:dyDescent="0.2">
      <c r="A25" s="89"/>
      <c r="B25" s="83" t="str">
        <f>$D$1</f>
        <v>Person #4</v>
      </c>
      <c r="C25" s="45" cm="1">
        <f t="array" ref="C25:I25">_xlfn.SEQUENCE(1,7,$C$1-WEEKDAY($C$1,2)+1+14,1)</f>
        <v>46006</v>
      </c>
      <c r="D25" s="45">
        <v>46007</v>
      </c>
      <c r="E25" s="45">
        <v>46008</v>
      </c>
      <c r="F25" s="45">
        <v>46009</v>
      </c>
      <c r="G25" s="45">
        <v>46010</v>
      </c>
      <c r="H25" s="45">
        <v>46011</v>
      </c>
      <c r="I25" s="46">
        <v>46012</v>
      </c>
    </row>
    <row r="26" spans="1:9" ht="20" customHeight="1" x14ac:dyDescent="0.2">
      <c r="A26" s="89"/>
      <c r="B26" s="41" t="str">
        <f>$E$1</f>
        <v>Media Editor</v>
      </c>
      <c r="C26" s="11" t="s">
        <v>13</v>
      </c>
      <c r="D26" s="11" t="s">
        <v>13</v>
      </c>
      <c r="E26" s="11" t="s">
        <v>13</v>
      </c>
      <c r="F26" s="11" t="s">
        <v>13</v>
      </c>
      <c r="G26" s="11" t="s">
        <v>13</v>
      </c>
      <c r="H26" s="11" t="s">
        <v>13</v>
      </c>
      <c r="I26" s="12"/>
    </row>
    <row r="27" spans="1:9" ht="20" customHeight="1" x14ac:dyDescent="0.2">
      <c r="A27" s="89"/>
      <c r="B27" s="51" t="s">
        <v>63</v>
      </c>
      <c r="C27" s="42"/>
      <c r="D27" s="42"/>
      <c r="E27" s="42"/>
      <c r="F27" s="42"/>
      <c r="G27" s="42"/>
      <c r="H27" s="42"/>
      <c r="I27" s="12"/>
    </row>
    <row r="28" spans="1:9" ht="20" customHeight="1" x14ac:dyDescent="0.2">
      <c r="A28" s="89"/>
      <c r="B28" s="51" t="s">
        <v>64</v>
      </c>
      <c r="C28" s="43"/>
      <c r="D28" s="43"/>
      <c r="E28" s="43"/>
      <c r="F28" s="43"/>
      <c r="G28" s="43"/>
      <c r="H28" s="43"/>
      <c r="I28" s="12"/>
    </row>
    <row r="29" spans="1:9" ht="20" customHeight="1" x14ac:dyDescent="0.2">
      <c r="A29" s="89"/>
      <c r="B29" s="51" t="s">
        <v>65</v>
      </c>
      <c r="C29" s="42"/>
      <c r="D29" s="42"/>
      <c r="E29" s="42"/>
      <c r="F29" s="42"/>
      <c r="G29" s="42"/>
      <c r="H29" s="42"/>
      <c r="I29" s="12"/>
    </row>
    <row r="30" spans="1:9" ht="20" customHeight="1" x14ac:dyDescent="0.2">
      <c r="A30" s="89"/>
      <c r="B30" s="51" t="s">
        <v>66</v>
      </c>
      <c r="C30" s="43"/>
      <c r="D30" s="43"/>
      <c r="E30" s="43"/>
      <c r="F30" s="43"/>
      <c r="G30" s="43"/>
      <c r="H30" s="43"/>
      <c r="I30" s="12"/>
    </row>
    <row r="31" spans="1:9" ht="20" customHeight="1" x14ac:dyDescent="0.2">
      <c r="A31" s="89"/>
      <c r="B31" s="51" t="s">
        <v>67</v>
      </c>
      <c r="C31" s="42"/>
      <c r="D31" s="42"/>
      <c r="E31" s="42"/>
      <c r="F31" s="42"/>
      <c r="G31" s="42"/>
      <c r="H31" s="42"/>
      <c r="I31" s="12"/>
    </row>
    <row r="32" spans="1:9" ht="20" customHeight="1" x14ac:dyDescent="0.2">
      <c r="A32" s="89"/>
      <c r="B32" s="51" t="s">
        <v>68</v>
      </c>
      <c r="C32" s="43"/>
      <c r="D32" s="43"/>
      <c r="E32" s="43"/>
      <c r="F32" s="43"/>
      <c r="G32" s="43"/>
      <c r="H32" s="43"/>
      <c r="I32" s="12"/>
    </row>
    <row r="33" spans="1:9" ht="20" customHeight="1" x14ac:dyDescent="0.2">
      <c r="A33" s="89"/>
      <c r="B33" s="51" t="s">
        <v>69</v>
      </c>
      <c r="C33" s="42"/>
      <c r="D33" s="42"/>
      <c r="E33" s="42"/>
      <c r="F33" s="42"/>
      <c r="G33" s="42"/>
      <c r="H33" s="42"/>
      <c r="I33" s="12"/>
    </row>
    <row r="34" spans="1:9" ht="10" customHeight="1" x14ac:dyDescent="0.2">
      <c r="A34" s="91"/>
      <c r="B34" s="91"/>
      <c r="C34" s="91"/>
      <c r="D34" s="91"/>
      <c r="E34" s="91"/>
      <c r="F34" s="91"/>
      <c r="G34" s="91"/>
      <c r="H34" s="91"/>
      <c r="I34" s="91"/>
    </row>
    <row r="35" spans="1:9" ht="20" customHeight="1" x14ac:dyDescent="0.2">
      <c r="A35" s="89" t="s">
        <v>47</v>
      </c>
      <c r="B35" s="39" t="s">
        <v>62</v>
      </c>
      <c r="C35" s="28" t="str">
        <f>CHOOSE(COLUMN()-COLUMN($C$2)+1,
"Monday","Tuesday","Wednesday","Thursday","Friday","Saturday","Sunday")</f>
        <v>Monday</v>
      </c>
      <c r="D35" s="28" t="s">
        <v>39</v>
      </c>
      <c r="E35" s="28" t="s">
        <v>40</v>
      </c>
      <c r="F35" s="28" t="s">
        <v>41</v>
      </c>
      <c r="G35" s="28" t="s">
        <v>42</v>
      </c>
      <c r="H35" s="28" t="s">
        <v>43</v>
      </c>
      <c r="I35" s="29" t="s">
        <v>44</v>
      </c>
    </row>
    <row r="36" spans="1:9" ht="20" customHeight="1" x14ac:dyDescent="0.2">
      <c r="A36" s="89"/>
      <c r="B36" s="83" t="str">
        <f>$D$1</f>
        <v>Person #4</v>
      </c>
      <c r="C36" s="45" cm="1">
        <f t="array" ref="C36:I36">_xlfn.SEQUENCE(1,7,$C$1-WEEKDAY($C$1,2)+1+21,1)</f>
        <v>46013</v>
      </c>
      <c r="D36" s="45">
        <v>46014</v>
      </c>
      <c r="E36" s="45">
        <v>46015</v>
      </c>
      <c r="F36" s="45">
        <v>46016</v>
      </c>
      <c r="G36" s="45">
        <v>46017</v>
      </c>
      <c r="H36" s="45">
        <v>46018</v>
      </c>
      <c r="I36" s="46">
        <v>46019</v>
      </c>
    </row>
    <row r="37" spans="1:9" ht="20" customHeight="1" x14ac:dyDescent="0.2">
      <c r="A37" s="89"/>
      <c r="B37" s="41" t="str">
        <f>$E$1</f>
        <v>Media Editor</v>
      </c>
      <c r="C37" s="11" t="s">
        <v>13</v>
      </c>
      <c r="D37" s="11" t="s">
        <v>13</v>
      </c>
      <c r="E37" s="11" t="s">
        <v>13</v>
      </c>
      <c r="F37" s="11" t="s">
        <v>13</v>
      </c>
      <c r="G37" s="11" t="s">
        <v>13</v>
      </c>
      <c r="H37" s="11" t="s">
        <v>13</v>
      </c>
      <c r="I37" s="12"/>
    </row>
    <row r="38" spans="1:9" ht="20" customHeight="1" x14ac:dyDescent="0.2">
      <c r="A38" s="89"/>
      <c r="B38" s="51" t="s">
        <v>63</v>
      </c>
      <c r="C38" s="42"/>
      <c r="D38" s="42"/>
      <c r="E38" s="42"/>
      <c r="F38" s="42"/>
      <c r="G38" s="42"/>
      <c r="H38" s="42"/>
      <c r="I38" s="12"/>
    </row>
    <row r="39" spans="1:9" ht="20" customHeight="1" x14ac:dyDescent="0.2">
      <c r="A39" s="89"/>
      <c r="B39" s="51" t="s">
        <v>64</v>
      </c>
      <c r="C39" s="43"/>
      <c r="D39" s="43"/>
      <c r="E39" s="43"/>
      <c r="F39" s="43"/>
      <c r="G39" s="43"/>
      <c r="H39" s="43"/>
      <c r="I39" s="12"/>
    </row>
    <row r="40" spans="1:9" ht="20" customHeight="1" x14ac:dyDescent="0.2">
      <c r="A40" s="89"/>
      <c r="B40" s="51" t="s">
        <v>65</v>
      </c>
      <c r="C40" s="42"/>
      <c r="D40" s="42"/>
      <c r="E40" s="42"/>
      <c r="F40" s="42"/>
      <c r="G40" s="42"/>
      <c r="H40" s="42"/>
      <c r="I40" s="12"/>
    </row>
    <row r="41" spans="1:9" ht="20" customHeight="1" x14ac:dyDescent="0.2">
      <c r="A41" s="89"/>
      <c r="B41" s="51" t="s">
        <v>66</v>
      </c>
      <c r="C41" s="43"/>
      <c r="D41" s="43"/>
      <c r="E41" s="43"/>
      <c r="F41" s="43"/>
      <c r="G41" s="43"/>
      <c r="H41" s="43"/>
      <c r="I41" s="12"/>
    </row>
    <row r="42" spans="1:9" ht="20" customHeight="1" x14ac:dyDescent="0.2">
      <c r="A42" s="89"/>
      <c r="B42" s="51" t="s">
        <v>67</v>
      </c>
      <c r="C42" s="42"/>
      <c r="D42" s="42"/>
      <c r="E42" s="42"/>
      <c r="F42" s="42"/>
      <c r="G42" s="42"/>
      <c r="H42" s="42"/>
      <c r="I42" s="12"/>
    </row>
    <row r="43" spans="1:9" ht="20" customHeight="1" x14ac:dyDescent="0.2">
      <c r="A43" s="89"/>
      <c r="B43" s="51" t="s">
        <v>68</v>
      </c>
      <c r="C43" s="43"/>
      <c r="D43" s="43"/>
      <c r="E43" s="43"/>
      <c r="F43" s="43"/>
      <c r="G43" s="43"/>
      <c r="H43" s="43"/>
      <c r="I43" s="12"/>
    </row>
    <row r="44" spans="1:9" ht="20" customHeight="1" x14ac:dyDescent="0.2">
      <c r="A44" s="89"/>
      <c r="B44" s="51" t="s">
        <v>69</v>
      </c>
      <c r="C44" s="42"/>
      <c r="D44" s="42"/>
      <c r="E44" s="42"/>
      <c r="F44" s="42"/>
      <c r="G44" s="42"/>
      <c r="H44" s="42"/>
      <c r="I44" s="12"/>
    </row>
    <row r="45" spans="1:9" ht="10" customHeight="1" x14ac:dyDescent="0.2">
      <c r="A45" s="91"/>
      <c r="B45" s="91"/>
      <c r="C45" s="91"/>
      <c r="D45" s="91"/>
      <c r="E45" s="91"/>
      <c r="F45" s="91"/>
      <c r="G45" s="91"/>
      <c r="H45" s="91"/>
      <c r="I45" s="91"/>
    </row>
    <row r="46" spans="1:9" ht="20" customHeight="1" x14ac:dyDescent="0.2">
      <c r="A46" s="89" t="s">
        <v>48</v>
      </c>
      <c r="B46" s="39" t="s">
        <v>62</v>
      </c>
      <c r="C46" s="28" t="str">
        <f>CHOOSE(COLUMN()-COLUMN($C$2)+1,
"Monday","Tuesday","Wednesday","Thursday","Friday","Saturday","Sunday")</f>
        <v>Monday</v>
      </c>
      <c r="D46" s="28" t="s">
        <v>39</v>
      </c>
      <c r="E46" s="28" t="s">
        <v>40</v>
      </c>
      <c r="F46" s="28" t="s">
        <v>41</v>
      </c>
      <c r="G46" s="28" t="s">
        <v>42</v>
      </c>
      <c r="H46" s="28" t="s">
        <v>43</v>
      </c>
      <c r="I46" s="29" t="s">
        <v>44</v>
      </c>
    </row>
    <row r="47" spans="1:9" ht="20" customHeight="1" x14ac:dyDescent="0.2">
      <c r="A47" s="89"/>
      <c r="B47" s="83" t="str">
        <f>$D$1</f>
        <v>Person #4</v>
      </c>
      <c r="C47" s="45" cm="1">
        <f t="array" ref="C47:I47">_xlfn.SEQUENCE(1,7,$C$1-WEEKDAY($C$1,2)+1+28,1)</f>
        <v>46020</v>
      </c>
      <c r="D47" s="45">
        <v>46021</v>
      </c>
      <c r="E47" s="45">
        <v>46022</v>
      </c>
      <c r="F47" s="45">
        <v>46023</v>
      </c>
      <c r="G47" s="45">
        <v>46024</v>
      </c>
      <c r="H47" s="45">
        <v>46025</v>
      </c>
      <c r="I47" s="46">
        <v>46026</v>
      </c>
    </row>
    <row r="48" spans="1:9" ht="20" customHeight="1" x14ac:dyDescent="0.2">
      <c r="A48" s="89"/>
      <c r="B48" s="41" t="str">
        <f>$E$1</f>
        <v>Media Editor</v>
      </c>
      <c r="C48" s="11" t="s">
        <v>13</v>
      </c>
      <c r="D48" s="11" t="s">
        <v>13</v>
      </c>
      <c r="E48" s="11" t="s">
        <v>13</v>
      </c>
      <c r="F48" s="11" t="s">
        <v>13</v>
      </c>
      <c r="G48" s="11" t="s">
        <v>13</v>
      </c>
      <c r="H48" s="11" t="s">
        <v>13</v>
      </c>
      <c r="I48" s="12"/>
    </row>
    <row r="49" spans="1:9" ht="20" customHeight="1" x14ac:dyDescent="0.2">
      <c r="A49" s="89"/>
      <c r="B49" s="51" t="s">
        <v>63</v>
      </c>
      <c r="C49" s="42"/>
      <c r="D49" s="42"/>
      <c r="E49" s="42"/>
      <c r="F49" s="42"/>
      <c r="G49" s="42"/>
      <c r="H49" s="42"/>
      <c r="I49" s="12"/>
    </row>
    <row r="50" spans="1:9" ht="20" customHeight="1" x14ac:dyDescent="0.2">
      <c r="A50" s="89"/>
      <c r="B50" s="51" t="s">
        <v>64</v>
      </c>
      <c r="C50" s="43"/>
      <c r="D50" s="43"/>
      <c r="E50" s="43"/>
      <c r="F50" s="43"/>
      <c r="G50" s="43"/>
      <c r="H50" s="43"/>
      <c r="I50" s="12"/>
    </row>
    <row r="51" spans="1:9" ht="20" customHeight="1" x14ac:dyDescent="0.2">
      <c r="A51" s="89"/>
      <c r="B51" s="51" t="s">
        <v>65</v>
      </c>
      <c r="C51" s="42"/>
      <c r="D51" s="42"/>
      <c r="E51" s="42"/>
      <c r="F51" s="42"/>
      <c r="G51" s="42"/>
      <c r="H51" s="42"/>
      <c r="I51" s="12"/>
    </row>
    <row r="52" spans="1:9" ht="20" customHeight="1" x14ac:dyDescent="0.2">
      <c r="A52" s="89"/>
      <c r="B52" s="51" t="s">
        <v>66</v>
      </c>
      <c r="C52" s="43"/>
      <c r="D52" s="43"/>
      <c r="E52" s="43"/>
      <c r="F52" s="43"/>
      <c r="G52" s="43"/>
      <c r="H52" s="43"/>
      <c r="I52" s="12"/>
    </row>
    <row r="53" spans="1:9" ht="20" customHeight="1" x14ac:dyDescent="0.2">
      <c r="A53" s="89"/>
      <c r="B53" s="51" t="s">
        <v>67</v>
      </c>
      <c r="C53" s="42"/>
      <c r="D53" s="42"/>
      <c r="E53" s="42"/>
      <c r="F53" s="42"/>
      <c r="G53" s="42"/>
      <c r="H53" s="42"/>
      <c r="I53" s="12"/>
    </row>
    <row r="54" spans="1:9" ht="20" customHeight="1" x14ac:dyDescent="0.2">
      <c r="A54" s="89"/>
      <c r="B54" s="51" t="s">
        <v>68</v>
      </c>
      <c r="C54" s="43"/>
      <c r="D54" s="43"/>
      <c r="E54" s="43"/>
      <c r="F54" s="43"/>
      <c r="G54" s="43"/>
      <c r="H54" s="43"/>
      <c r="I54" s="12"/>
    </row>
    <row r="55" spans="1:9" ht="20" customHeight="1" x14ac:dyDescent="0.2">
      <c r="A55" s="89"/>
      <c r="B55" s="51" t="s">
        <v>69</v>
      </c>
      <c r="C55" s="42"/>
      <c r="D55" s="42"/>
      <c r="E55" s="42"/>
      <c r="F55" s="42"/>
      <c r="G55" s="42"/>
      <c r="H55" s="42"/>
      <c r="I55" s="12"/>
    </row>
  </sheetData>
  <mergeCells count="10">
    <mergeCell ref="A34:I34"/>
    <mergeCell ref="A35:A44"/>
    <mergeCell ref="A45:I45"/>
    <mergeCell ref="A46:A55"/>
    <mergeCell ref="A1:B1"/>
    <mergeCell ref="A2:A11"/>
    <mergeCell ref="A12:I12"/>
    <mergeCell ref="A13:A22"/>
    <mergeCell ref="A23:I23"/>
    <mergeCell ref="A24:A33"/>
  </mergeCells>
  <dataValidations count="1">
    <dataValidation allowBlank="1" sqref="C27:H33 C38:H44 C5:H11 C16:H22 C49:H55" xr:uid="{E87250D2-4857-6148-8125-4EC70E32CAC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5471-CCF7-2E4B-94D1-242A962D952B}">
  <sheetPr>
    <outlinePr summaryBelow="0" summaryRight="0"/>
  </sheetPr>
  <dimension ref="A1:Q173"/>
  <sheetViews>
    <sheetView zoomScaleNormal="100" workbookViewId="0">
      <pane ySplit="5" topLeftCell="A6" activePane="bottomLeft" state="frozen"/>
      <selection pane="bottomLeft" activeCell="E3" sqref="E3"/>
    </sheetView>
  </sheetViews>
  <sheetFormatPr baseColWidth="10" defaultColWidth="12.6640625" defaultRowHeight="20" customHeight="1" x14ac:dyDescent="0.2"/>
  <cols>
    <col min="1" max="1" width="10.83203125" style="10" customWidth="1"/>
    <col min="2" max="2" width="26.33203125" style="10" customWidth="1"/>
    <col min="3" max="3" width="13" style="10" customWidth="1"/>
    <col min="4" max="4" width="38" style="10" customWidth="1"/>
    <col min="5" max="5" width="20" style="7" customWidth="1"/>
    <col min="6" max="6" width="14" style="10" customWidth="1"/>
    <col min="7" max="7" width="14.1640625" style="10" customWidth="1"/>
    <col min="8" max="8" width="13.5" style="10" customWidth="1"/>
    <col min="9" max="10" width="11.6640625" style="10" customWidth="1"/>
    <col min="11" max="11" width="13" style="10" customWidth="1"/>
    <col min="12" max="12" width="15.33203125" style="10" customWidth="1"/>
    <col min="13" max="13" width="18.5" style="10" customWidth="1"/>
    <col min="14" max="14" width="30.1640625" style="10" customWidth="1"/>
    <col min="15" max="15" width="12.5" style="10" customWidth="1"/>
    <col min="16" max="16" width="18.83203125" style="10" customWidth="1"/>
    <col min="17" max="17" width="15.83203125" style="10" customWidth="1"/>
    <col min="18" max="18" width="29.1640625" style="10" customWidth="1"/>
    <col min="19" max="21" width="15.83203125" style="10" customWidth="1"/>
    <col min="22" max="22" width="20.83203125" style="10" customWidth="1"/>
    <col min="23" max="53" width="15.83203125" style="10" customWidth="1"/>
    <col min="54" max="16384" width="12.6640625" style="10"/>
  </cols>
  <sheetData>
    <row r="1" spans="1:17" ht="30" customHeight="1" x14ac:dyDescent="0.2">
      <c r="A1" s="92" t="s">
        <v>12</v>
      </c>
      <c r="B1" s="92"/>
      <c r="C1" s="6"/>
      <c r="F1" s="6"/>
      <c r="G1" s="6"/>
      <c r="H1" s="6"/>
      <c r="I1" s="6"/>
      <c r="J1" s="6"/>
      <c r="K1" s="6"/>
      <c r="L1" s="6"/>
      <c r="M1" s="6"/>
      <c r="N1" s="6"/>
      <c r="O1" s="13"/>
    </row>
    <row r="2" spans="1:17" ht="20" customHeight="1" x14ac:dyDescent="0.2">
      <c r="A2" s="35" t="s">
        <v>1</v>
      </c>
      <c r="B2" s="36">
        <v>2026</v>
      </c>
      <c r="C2" s="27"/>
      <c r="D2" s="54" t="s">
        <v>70</v>
      </c>
      <c r="E2" s="27"/>
      <c r="F2" s="27"/>
      <c r="G2" s="27"/>
      <c r="H2" s="48" t="str" cm="1">
        <f t="array" ref="H2">IFERROR(
 _xlfn.LET(
  _xlpm.week,$B$4,
  _xlpm.dayIndex,INT((ROW()-ROW($H$6))/3)+1,
  _xlpm.rowDate,3+(_xlpm.week-1)*7,
  IF(_xlpm.dayIndex&gt;6,"",INDEX('Marketing Executive'!$C:$H,_xlpm.rowDate,_xlpm.dayIndex))
 ),
"")</f>
        <v/>
      </c>
      <c r="I2" s="27"/>
      <c r="J2" s="27"/>
      <c r="K2" s="27"/>
      <c r="L2" s="27"/>
      <c r="M2" s="27"/>
      <c r="N2" s="27"/>
      <c r="O2" s="27"/>
    </row>
    <row r="3" spans="1:17" ht="20" customHeight="1" x14ac:dyDescent="0.2">
      <c r="A3" s="35" t="s">
        <v>0</v>
      </c>
      <c r="B3" s="36">
        <v>1</v>
      </c>
      <c r="C3" s="27"/>
      <c r="D3" s="27"/>
      <c r="E3" s="27"/>
      <c r="F3" s="27"/>
      <c r="G3" s="27"/>
      <c r="H3" s="27"/>
      <c r="I3" s="27"/>
      <c r="J3" s="27"/>
      <c r="K3" s="49"/>
      <c r="L3" s="27"/>
      <c r="M3" s="27"/>
      <c r="N3" s="27"/>
      <c r="O3" s="27"/>
    </row>
    <row r="4" spans="1:17" ht="20" customHeight="1" x14ac:dyDescent="0.2">
      <c r="A4" s="35" t="s">
        <v>37</v>
      </c>
      <c r="B4" s="36">
        <v>1</v>
      </c>
      <c r="C4" s="73" t="s">
        <v>125</v>
      </c>
      <c r="D4" s="73" t="s">
        <v>124</v>
      </c>
      <c r="E4" s="73"/>
      <c r="F4" s="73" t="s">
        <v>125</v>
      </c>
      <c r="G4" s="73" t="s">
        <v>125</v>
      </c>
      <c r="H4" s="73"/>
      <c r="I4" s="73" t="s">
        <v>124</v>
      </c>
      <c r="J4" s="73"/>
      <c r="K4" s="73" t="s">
        <v>124</v>
      </c>
      <c r="L4" s="73" t="s">
        <v>125</v>
      </c>
      <c r="M4" s="73" t="s">
        <v>124</v>
      </c>
      <c r="N4" s="73" t="s">
        <v>124</v>
      </c>
      <c r="O4" s="73" t="s">
        <v>125</v>
      </c>
    </row>
    <row r="5" spans="1:17" s="34" customFormat="1" ht="20" customHeight="1" x14ac:dyDescent="0.2">
      <c r="A5" s="31" t="s">
        <v>60</v>
      </c>
      <c r="B5" s="31" t="s">
        <v>51</v>
      </c>
      <c r="C5" s="31" t="s">
        <v>25</v>
      </c>
      <c r="D5" s="31" t="s">
        <v>52</v>
      </c>
      <c r="E5" s="31" t="s">
        <v>53</v>
      </c>
      <c r="F5" s="31" t="s">
        <v>54</v>
      </c>
      <c r="G5" s="31" t="s">
        <v>21</v>
      </c>
      <c r="H5" s="31" t="s">
        <v>49</v>
      </c>
      <c r="I5" s="31" t="s">
        <v>29</v>
      </c>
      <c r="J5" s="31" t="s">
        <v>59</v>
      </c>
      <c r="K5" s="31" t="s">
        <v>50</v>
      </c>
      <c r="L5" s="31" t="s">
        <v>32</v>
      </c>
      <c r="M5" s="31" t="s">
        <v>55</v>
      </c>
      <c r="N5" s="31" t="s">
        <v>56</v>
      </c>
      <c r="O5" s="32" t="s">
        <v>57</v>
      </c>
      <c r="P5" s="33"/>
    </row>
    <row r="6" spans="1:17" ht="20" customHeight="1" x14ac:dyDescent="0.2">
      <c r="A6" s="64" t="s">
        <v>74</v>
      </c>
      <c r="B6" s="53" t="str" cm="1">
        <f t="array" aca="1" ref="B6" ca="1">_xlfn.LET(
    _xlpm.week, $B$4,
    _xlpm.d, H6,
    _xlpm.nthTask, COUNTIF($H$6:H6,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ABC</v>
      </c>
      <c r="C6" s="37" t="s">
        <v>17</v>
      </c>
      <c r="D6" s="37"/>
      <c r="E6" s="53" t="str" cm="1">
        <f t="array" aca="1" ref="E6" ca="1">_xlfn.LET(
    _xlpm.week, $B$4,
    _xlpm.rowPerson, 3 + (_xlpm.week-1)*11,
    _xlpm.personName, INDEX('Marketing Executive'!$B:$B, _xlpm.rowPerson),
    IF($B6="", "", _xlpm.personName)
)</f>
        <v xml:space="preserve">Tuyen Nguyen </v>
      </c>
      <c r="F6" s="38" t="s">
        <v>4</v>
      </c>
      <c r="G6" s="38" t="s">
        <v>9</v>
      </c>
      <c r="H6" s="52" cm="1">
        <f t="array" ref="H6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45992</v>
      </c>
      <c r="I6" s="16">
        <v>46003</v>
      </c>
      <c r="J6" s="85">
        <f ca="1">IF(I6="","",I6-TODAY())</f>
        <v>1</v>
      </c>
      <c r="K6" s="50">
        <v>0.2</v>
      </c>
      <c r="L6" s="38" t="s">
        <v>4</v>
      </c>
      <c r="M6" s="37" t="s">
        <v>18</v>
      </c>
      <c r="N6" s="37"/>
      <c r="O6" s="8" t="b">
        <v>1</v>
      </c>
      <c r="P6" s="9"/>
      <c r="Q6" s="7"/>
    </row>
    <row r="7" spans="1:17" ht="20" customHeight="1" x14ac:dyDescent="0.2">
      <c r="A7" s="64" t="s">
        <v>75</v>
      </c>
      <c r="B7" s="53" t="str" cm="1">
        <f t="array" aca="1" ref="B7" ca="1">_xlfn.LET(
    _xlpm.week, $B$4,
    _xlpm.d, H7,
    _xlpm.nthTask, COUNTIF($H$6:H7,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XYZ</v>
      </c>
      <c r="C7" s="37" t="s">
        <v>16</v>
      </c>
      <c r="D7" s="38"/>
      <c r="E7" s="53" t="str" cm="1">
        <f t="array" aca="1" ref="E7" ca="1">_xlfn.LET(
    _xlpm.week, $B$4,
    _xlpm.rowPerson, 3 + (_xlpm.week-1)*11,
    _xlpm.personName, INDEX('Marketing Executive'!$B:$B, _xlpm.rowPerson),
    IF($B7="", "", _xlpm.personName)
)</f>
        <v xml:space="preserve">Tuyen Nguyen </v>
      </c>
      <c r="F7" s="38" t="s">
        <v>6</v>
      </c>
      <c r="G7" s="38" t="s">
        <v>5</v>
      </c>
      <c r="H7" s="52" cm="1">
        <f t="array" ref="H7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45992</v>
      </c>
      <c r="I7" s="16">
        <v>46004</v>
      </c>
      <c r="J7" s="85">
        <f t="shared" ref="J7:J19" ca="1" si="0">IF(I7="","",I7-TODAY())</f>
        <v>2</v>
      </c>
      <c r="K7" s="50"/>
      <c r="L7" s="38" t="s">
        <v>6</v>
      </c>
      <c r="M7" s="38" t="s">
        <v>19</v>
      </c>
      <c r="N7" s="38"/>
      <c r="O7" s="8" t="b">
        <v>0</v>
      </c>
      <c r="Q7" s="7"/>
    </row>
    <row r="8" spans="1:17" ht="20" customHeight="1" x14ac:dyDescent="0.2">
      <c r="A8" s="64" t="s">
        <v>76</v>
      </c>
      <c r="B8" s="53" t="str" cm="1">
        <f t="array" aca="1" ref="B8" ca="1">_xlfn.LET(
    _xlpm.week, $B$4,
    _xlpm.d, H8,
    _xlpm.nthTask, COUNTIF($H$6:H8,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" s="37" t="s">
        <v>15</v>
      </c>
      <c r="D8" s="38"/>
      <c r="E8" s="53" t="str" cm="1">
        <f t="array" aca="1" ref="E8" ca="1">_xlfn.LET(
    _xlpm.week, $B$4,
    _xlpm.rowPerson, 3 + (_xlpm.week-1)*11,
    _xlpm.personName, INDEX('Marketing Executive'!$B:$B, _xlpm.rowPerson),
    IF($B8="", "", _xlpm.personName)
)</f>
        <v xml:space="preserve">Tuyen Nguyen </v>
      </c>
      <c r="F8" s="38" t="s">
        <v>2</v>
      </c>
      <c r="G8" s="38" t="s">
        <v>7</v>
      </c>
      <c r="H8" s="52" cm="1">
        <f t="array" ref="H8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45992</v>
      </c>
      <c r="I8" s="16">
        <v>46009</v>
      </c>
      <c r="J8" s="85">
        <f t="shared" ca="1" si="0"/>
        <v>7</v>
      </c>
      <c r="K8" s="50"/>
      <c r="L8" s="38" t="s">
        <v>2</v>
      </c>
      <c r="M8" s="38"/>
      <c r="N8" s="38"/>
      <c r="O8" s="8" t="b">
        <v>1</v>
      </c>
      <c r="Q8" s="7"/>
    </row>
    <row r="9" spans="1:17" ht="20" customHeight="1" x14ac:dyDescent="0.2">
      <c r="A9" s="64" t="s">
        <v>77</v>
      </c>
      <c r="B9" s="53" t="str" cm="1">
        <f t="array" aca="1" ref="B9" ca="1">_xlfn.LET(
    _xlpm.week, $B$4,
    _xlpm.d, H9,
    _xlpm.nthTask, COUNTIF($H$6:H9,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" s="38"/>
      <c r="D9" s="38"/>
      <c r="E9" s="53" t="str" cm="1">
        <f t="array" aca="1" ref="E9" ca="1">_xlfn.LET(
    _xlpm.week, $B$4,
    _xlpm.rowPerson, 3 + (_xlpm.week-1)*11,
    _xlpm.personName, INDEX('Marketing Executive'!$B:$B, _xlpm.rowPerson),
    IF($B9="", "", _xlpm.personName)
)</f>
        <v xml:space="preserve">Tuyen Nguyen </v>
      </c>
      <c r="F9" s="38"/>
      <c r="G9" s="38" t="s">
        <v>8</v>
      </c>
      <c r="H9" s="52" cm="1">
        <f t="array" ref="H9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45992</v>
      </c>
      <c r="I9" s="16"/>
      <c r="J9" s="85" t="str">
        <f t="shared" ca="1" si="0"/>
        <v/>
      </c>
      <c r="K9" s="50"/>
      <c r="L9" s="38"/>
      <c r="M9" s="38"/>
      <c r="N9" s="38"/>
      <c r="O9" s="8"/>
    </row>
    <row r="10" spans="1:17" ht="20" customHeight="1" x14ac:dyDescent="0.2">
      <c r="A10" s="64" t="s">
        <v>78</v>
      </c>
      <c r="B10" s="53" t="str" cm="1">
        <f t="array" aca="1" ref="B10" ca="1">_xlfn.LET(
    _xlpm.week, $B$4,
    _xlpm.d, H10,
    _xlpm.nthTask, COUNTIF($H$6:H10,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" s="37"/>
      <c r="D10" s="38"/>
      <c r="E10" s="53" t="str" cm="1">
        <f t="array" aca="1" ref="E10" ca="1">_xlfn.LET(
    _xlpm.week, $B$4,
    _xlpm.rowPerson, 3 + (_xlpm.week-1)*11,
    _xlpm.personName, INDEX('Marketing Executive'!$B:$B, _xlpm.rowPerson),
    IF($B10="", "", _xlpm.personName)
)</f>
        <v xml:space="preserve">Tuyen Nguyen </v>
      </c>
      <c r="F10" s="38"/>
      <c r="G10" s="38" t="s">
        <v>9</v>
      </c>
      <c r="H10" s="52" cm="1">
        <f t="array" ref="H10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45992</v>
      </c>
      <c r="I10" s="16"/>
      <c r="J10" s="85" t="str">
        <f t="shared" ca="1" si="0"/>
        <v/>
      </c>
      <c r="K10" s="50"/>
      <c r="L10" s="38"/>
      <c r="M10" s="38"/>
      <c r="N10" s="38"/>
      <c r="O10" s="8"/>
    </row>
    <row r="11" spans="1:17" ht="20" customHeight="1" x14ac:dyDescent="0.2">
      <c r="A11" s="64" t="s">
        <v>79</v>
      </c>
      <c r="B11" s="53" t="str" cm="1">
        <f t="array" aca="1" ref="B11" ca="1">_xlfn.LET(
    _xlpm.week, $B$4,
    _xlpm.d, H11,
    _xlpm.nthTask, COUNTIF($H$6:H11,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" s="37"/>
      <c r="D11" s="38"/>
      <c r="E11" s="53" t="str" cm="1">
        <f t="array" aca="1" ref="E11" ca="1">_xlfn.LET(
    _xlpm.week, $B$4,
    _xlpm.rowPerson, 3 + (_xlpm.week-1)*11,
    _xlpm.personName, INDEX('Marketing Executive'!$B:$B, _xlpm.rowPerson),
    IF($B11="", "", _xlpm.personName)
)</f>
        <v xml:space="preserve">Tuyen Nguyen </v>
      </c>
      <c r="F11" s="38"/>
      <c r="G11" s="38" t="s">
        <v>10</v>
      </c>
      <c r="H11" s="52" cm="1">
        <f t="array" ref="H11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45992</v>
      </c>
      <c r="I11" s="16"/>
      <c r="J11" s="85" t="str">
        <f t="shared" ca="1" si="0"/>
        <v/>
      </c>
      <c r="K11" s="50"/>
      <c r="L11" s="38"/>
      <c r="M11" s="38"/>
      <c r="N11" s="38"/>
      <c r="O11" s="8"/>
    </row>
    <row r="12" spans="1:17" ht="20" customHeight="1" x14ac:dyDescent="0.2">
      <c r="A12" s="64" t="s">
        <v>80</v>
      </c>
      <c r="B12" s="53" t="str" cm="1">
        <f t="array" aca="1" ref="B12" ca="1">_xlfn.LET(
    _xlpm.week, $B$4,
    _xlpm.d, H12,
    _xlpm.nthTask, COUNTIF($H$6:H12,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" s="37"/>
      <c r="D12" s="38"/>
      <c r="E12" s="53" t="str" cm="1">
        <f t="array" aca="1" ref="E12" ca="1">_xlfn.LET(
    _xlpm.week, $B$4,
    _xlpm.rowPerson, 3 + (_xlpm.week-1)*11,
    _xlpm.personName, INDEX('Marketing Executive'!$B:$B, _xlpm.rowPerson),
    IF($B12="", "", _xlpm.personName)
)</f>
        <v xml:space="preserve">Tuyen Nguyen </v>
      </c>
      <c r="F12" s="38"/>
      <c r="G12" s="38" t="s">
        <v>11</v>
      </c>
      <c r="H12" s="52" cm="1">
        <f t="array" ref="H12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45992</v>
      </c>
      <c r="I12" s="16"/>
      <c r="J12" s="85" t="str">
        <f t="shared" ca="1" si="0"/>
        <v/>
      </c>
      <c r="K12" s="50"/>
      <c r="L12" s="38"/>
      <c r="M12" s="38"/>
      <c r="N12" s="38"/>
      <c r="O12" s="8"/>
    </row>
    <row r="13" spans="1:17" ht="20" customHeight="1" x14ac:dyDescent="0.2">
      <c r="A13" s="64" t="s">
        <v>81</v>
      </c>
      <c r="B13" s="53" cm="1">
        <f t="array" aca="1" ref="B13" ca="1">_xlfn.LET(
    _xlpm.week, $B$4,
    _xlpm.d, H13,
    _xlpm.nthTask, COUNTIF($H$6:H13,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123</v>
      </c>
      <c r="C13" s="38" t="s">
        <v>15</v>
      </c>
      <c r="D13" s="37"/>
      <c r="E13" s="53" t="str" cm="1">
        <f t="array" aca="1" ref="E13" ca="1">_xlfn.LET(
    _xlpm.week, $B$4,
    _xlpm.rowPerson, 3 + (_xlpm.week-1)*11,
    _xlpm.personName, INDEX('Marketing Executive'!$B:$B, _xlpm.rowPerson),
    IF($B13="", "", _xlpm.personName)
)</f>
        <v xml:space="preserve">Tuyen Nguyen </v>
      </c>
      <c r="F13" s="38" t="s">
        <v>2</v>
      </c>
      <c r="G13" s="38" t="s">
        <v>10</v>
      </c>
      <c r="H13" s="52" cm="1">
        <f t="array" ref="H13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45993</v>
      </c>
      <c r="I13" s="16">
        <v>46009</v>
      </c>
      <c r="J13" s="85">
        <f t="shared" ca="1" si="0"/>
        <v>7</v>
      </c>
      <c r="K13" s="50"/>
      <c r="L13" s="38"/>
      <c r="M13" s="37"/>
      <c r="N13" s="37"/>
      <c r="O13" s="8" t="b">
        <v>1</v>
      </c>
    </row>
    <row r="14" spans="1:17" ht="20" customHeight="1" x14ac:dyDescent="0.2">
      <c r="A14" s="64" t="s">
        <v>82</v>
      </c>
      <c r="B14" s="53" t="str" cm="1">
        <f t="array" aca="1" ref="B14" ca="1">_xlfn.LET(
    _xlpm.week, $B$4,
    _xlpm.d, H14,
    _xlpm.nthTask, COUNTIF($H$6:H14,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" s="38"/>
      <c r="D14" s="38"/>
      <c r="E14" s="53" t="str" cm="1">
        <f t="array" aca="1" ref="E14" ca="1">_xlfn.LET(
    _xlpm.week, $B$4,
    _xlpm.rowPerson, 3 + (_xlpm.week-1)*11,
    _xlpm.personName, INDEX('Marketing Executive'!$B:$B, _xlpm.rowPerson),
    IF($B14="", "", _xlpm.personName)
)</f>
        <v xml:space="preserve">Tuyen Nguyen </v>
      </c>
      <c r="F14" s="38"/>
      <c r="G14" s="38"/>
      <c r="H14" s="52" cm="1">
        <f t="array" ref="H14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45993</v>
      </c>
      <c r="I14" s="16"/>
      <c r="J14" s="85" t="str">
        <f t="shared" ca="1" si="0"/>
        <v/>
      </c>
      <c r="K14" s="50"/>
      <c r="L14" s="38"/>
      <c r="M14" s="38"/>
      <c r="N14" s="38"/>
      <c r="O14" s="8"/>
    </row>
    <row r="15" spans="1:17" ht="20" customHeight="1" x14ac:dyDescent="0.2">
      <c r="A15" s="64" t="s">
        <v>83</v>
      </c>
      <c r="B15" s="53" t="str" cm="1">
        <f t="array" aca="1" ref="B15" ca="1">_xlfn.LET(
    _xlpm.week, $B$4,
    _xlpm.d, H15,
    _xlpm.nthTask, COUNTIF($H$6:H15,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" s="38"/>
      <c r="D15" s="38"/>
      <c r="E15" s="53" t="str" cm="1">
        <f t="array" aca="1" ref="E15" ca="1">_xlfn.LET(
    _xlpm.week, $B$4,
    _xlpm.rowPerson, 3 + (_xlpm.week-1)*11,
    _xlpm.personName, INDEX('Marketing Executive'!$B:$B, _xlpm.rowPerson),
    IF($B15="", "", _xlpm.personName)
)</f>
        <v xml:space="preserve">Tuyen Nguyen </v>
      </c>
      <c r="F15" s="38"/>
      <c r="G15" s="38"/>
      <c r="H15" s="52" cm="1">
        <f t="array" ref="H15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45993</v>
      </c>
      <c r="I15" s="16"/>
      <c r="J15" s="85" t="str">
        <f t="shared" ca="1" si="0"/>
        <v/>
      </c>
      <c r="K15" s="50"/>
      <c r="L15" s="38"/>
      <c r="M15" s="38"/>
      <c r="N15" s="38"/>
      <c r="O15" s="8"/>
    </row>
    <row r="16" spans="1:17" ht="20" customHeight="1" x14ac:dyDescent="0.2">
      <c r="A16" s="64" t="s">
        <v>84</v>
      </c>
      <c r="B16" s="53" t="str" cm="1">
        <f t="array" aca="1" ref="B16" ca="1">_xlfn.LET(
    _xlpm.week, $B$4,
    _xlpm.d, H16,
    _xlpm.nthTask, COUNTIF($H$6:H16,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" s="38"/>
      <c r="D16" s="38"/>
      <c r="E16" s="53" t="str" cm="1">
        <f t="array" aca="1" ref="E16" ca="1">_xlfn.LET(
    _xlpm.week, $B$4,
    _xlpm.rowPerson, 3 + (_xlpm.week-1)*11,
    _xlpm.personName, INDEX('Marketing Executive'!$B:$B, _xlpm.rowPerson),
    IF($B16="", "", _xlpm.personName)
)</f>
        <v xml:space="preserve">Tuyen Nguyen </v>
      </c>
      <c r="F16" s="38"/>
      <c r="G16" s="38"/>
      <c r="H16" s="52" cm="1">
        <f t="array" ref="H16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45993</v>
      </c>
      <c r="I16" s="16"/>
      <c r="J16" s="85" t="str">
        <f t="shared" ca="1" si="0"/>
        <v/>
      </c>
      <c r="K16" s="50"/>
      <c r="L16" s="38"/>
      <c r="M16" s="38"/>
      <c r="N16" s="38"/>
      <c r="O16" s="8"/>
    </row>
    <row r="17" spans="1:15" ht="20" customHeight="1" x14ac:dyDescent="0.2">
      <c r="A17" s="64" t="s">
        <v>85</v>
      </c>
      <c r="B17" s="53" t="str" cm="1">
        <f t="array" aca="1" ref="B17" ca="1">_xlfn.LET(
    _xlpm.week, $B$4,
    _xlpm.d, H17,
    _xlpm.nthTask, COUNTIF($H$6:H17,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7" s="38"/>
      <c r="D17" s="38"/>
      <c r="E17" s="53" t="str" cm="1">
        <f t="array" aca="1" ref="E17" ca="1">_xlfn.LET(
    _xlpm.week, $B$4,
    _xlpm.rowPerson, 3 + (_xlpm.week-1)*11,
    _xlpm.personName, INDEX('Marketing Executive'!$B:$B, _xlpm.rowPerson),
    IF($B17="", "", _xlpm.personName)
)</f>
        <v xml:space="preserve">Tuyen Nguyen </v>
      </c>
      <c r="F17" s="38"/>
      <c r="G17" s="38"/>
      <c r="H17" s="52" cm="1">
        <f t="array" ref="H17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45993</v>
      </c>
      <c r="I17" s="16"/>
      <c r="J17" s="85" t="str">
        <f t="shared" ca="1" si="0"/>
        <v/>
      </c>
      <c r="K17" s="50"/>
      <c r="L17" s="38"/>
      <c r="M17" s="38"/>
      <c r="N17" s="38"/>
      <c r="O17" s="8"/>
    </row>
    <row r="18" spans="1:15" ht="20" customHeight="1" x14ac:dyDescent="0.2">
      <c r="A18" s="64" t="s">
        <v>86</v>
      </c>
      <c r="B18" s="53" t="str" cm="1">
        <f t="array" aca="1" ref="B18" ca="1">_xlfn.LET(
    _xlpm.week, $B$4,
    _xlpm.d, H18,
    _xlpm.nthTask, COUNTIF($H$6:H18,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8" s="38"/>
      <c r="D18" s="38"/>
      <c r="E18" s="53" t="str" cm="1">
        <f t="array" aca="1" ref="E18" ca="1">_xlfn.LET(
    _xlpm.week, $B$4,
    _xlpm.rowPerson, 3 + (_xlpm.week-1)*11,
    _xlpm.personName, INDEX('Marketing Executive'!$B:$B, _xlpm.rowPerson),
    IF($B18="", "", _xlpm.personName)
)</f>
        <v xml:space="preserve">Tuyen Nguyen </v>
      </c>
      <c r="F18" s="38"/>
      <c r="G18" s="38"/>
      <c r="H18" s="52" cm="1">
        <f t="array" ref="H18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45993</v>
      </c>
      <c r="I18" s="16"/>
      <c r="J18" s="85" t="str">
        <f t="shared" ca="1" si="0"/>
        <v/>
      </c>
      <c r="K18" s="50"/>
      <c r="L18" s="38"/>
      <c r="M18" s="38"/>
      <c r="N18" s="38"/>
      <c r="O18" s="8"/>
    </row>
    <row r="19" spans="1:15" ht="20" customHeight="1" x14ac:dyDescent="0.2">
      <c r="A19" s="64" t="s">
        <v>87</v>
      </c>
      <c r="B19" s="53" t="str" cm="1">
        <f t="array" aca="1" ref="B19" ca="1">_xlfn.LET(
    _xlpm.week, $B$4,
    _xlpm.d, H19,
    _xlpm.nthTask, COUNTIF($H$6:H19,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9" s="38"/>
      <c r="D19" s="38"/>
      <c r="E19" s="53" t="str" cm="1">
        <f t="array" aca="1" ref="E19" ca="1">_xlfn.LET(
    _xlpm.week, $B$4,
    _xlpm.rowPerson, 3 + (_xlpm.week-1)*11,
    _xlpm.personName, INDEX('Marketing Executive'!$B:$B, _xlpm.rowPerson),
    IF($B19="", "", _xlpm.personName)
)</f>
        <v xml:space="preserve">Tuyen Nguyen </v>
      </c>
      <c r="F19" s="38"/>
      <c r="G19" s="38"/>
      <c r="H19" s="52" cm="1">
        <f t="array" ref="H19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45993</v>
      </c>
      <c r="I19" s="16"/>
      <c r="J19" s="85" t="str">
        <f t="shared" ca="1" si="0"/>
        <v/>
      </c>
      <c r="K19" s="50"/>
      <c r="L19" s="38"/>
      <c r="M19" s="38"/>
      <c r="N19" s="38"/>
      <c r="O19" s="8"/>
    </row>
    <row r="20" spans="1:15" ht="20" customHeight="1" x14ac:dyDescent="0.2">
      <c r="A20" s="64" t="s">
        <v>88</v>
      </c>
      <c r="B20" s="53" t="str" cm="1">
        <f t="array" aca="1" ref="B20" ca="1">_xlfn.LET(
    _xlpm.week, $B$4,
    _xlpm.d, H20,
    _xlpm.nthTask, COUNTIF($H$6:H20,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0" s="37"/>
      <c r="D20" s="38"/>
      <c r="E20" s="53" t="str" cm="1">
        <f t="array" aca="1" ref="E20" ca="1">_xlfn.LET(
    _xlpm.week, $B$4,
    _xlpm.rowPerson, 3 + (_xlpm.week-1)*11,
    _xlpm.personName, INDEX('Marketing Executive'!$B:$B, _xlpm.rowPerson),
    IF($B20="", "", _xlpm.personName)
)</f>
        <v xml:space="preserve">Tuyen Nguyen </v>
      </c>
      <c r="F20" s="38"/>
      <c r="G20" s="38"/>
      <c r="H20" s="52" cm="1">
        <f t="array" ref="H20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45994</v>
      </c>
      <c r="I20" s="16"/>
      <c r="J20" s="85" t="str">
        <f t="shared" ref="J20:J22" ca="1" si="1">IF(I20="","",I20-TODAY())</f>
        <v/>
      </c>
      <c r="K20" s="50"/>
      <c r="L20" s="38"/>
      <c r="M20" s="38"/>
      <c r="N20" s="38"/>
      <c r="O20" s="8"/>
    </row>
    <row r="21" spans="1:15" ht="20" customHeight="1" x14ac:dyDescent="0.2">
      <c r="A21" s="64" t="s">
        <v>89</v>
      </c>
      <c r="B21" s="53" t="str" cm="1">
        <f t="array" aca="1" ref="B21" ca="1">_xlfn.LET(
    _xlpm.week, $B$4,
    _xlpm.d, H21,
    _xlpm.nthTask, COUNTIF($H$6:H21,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1" s="37"/>
      <c r="D21" s="38"/>
      <c r="E21" s="53" t="str" cm="1">
        <f t="array" aca="1" ref="E21" ca="1">_xlfn.LET(
    _xlpm.week, $B$4,
    _xlpm.rowPerson, 3 + (_xlpm.week-1)*11,
    _xlpm.personName, INDEX('Marketing Executive'!$B:$B, _xlpm.rowPerson),
    IF($B21="", "", _xlpm.personName)
)</f>
        <v xml:space="preserve">Tuyen Nguyen </v>
      </c>
      <c r="F21" s="38"/>
      <c r="G21" s="38"/>
      <c r="H21" s="52" cm="1">
        <f t="array" ref="H21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45994</v>
      </c>
      <c r="I21" s="16"/>
      <c r="J21" s="85" t="str">
        <f t="shared" ca="1" si="1"/>
        <v/>
      </c>
      <c r="K21" s="50"/>
      <c r="L21" s="38"/>
      <c r="M21" s="38"/>
      <c r="N21" s="38"/>
      <c r="O21" s="8"/>
    </row>
    <row r="22" spans="1:15" ht="20" customHeight="1" x14ac:dyDescent="0.2">
      <c r="A22" s="64" t="s">
        <v>90</v>
      </c>
      <c r="B22" s="53" t="str" cm="1">
        <f t="array" aca="1" ref="B22" ca="1">_xlfn.LET(
    _xlpm.week, $B$4,
    _xlpm.d, H22,
    _xlpm.nthTask, COUNTIF($H$6:H22,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2" s="37"/>
      <c r="D22" s="38"/>
      <c r="E22" s="53" t="str" cm="1">
        <f t="array" aca="1" ref="E22" ca="1">_xlfn.LET(
    _xlpm.week, $B$4,
    _xlpm.rowPerson, 3 + (_xlpm.week-1)*11,
    _xlpm.personName, INDEX('Marketing Executive'!$B:$B, _xlpm.rowPerson),
    IF($B22="", "", _xlpm.personName)
)</f>
        <v xml:space="preserve">Tuyen Nguyen </v>
      </c>
      <c r="F22" s="38"/>
      <c r="G22" s="38"/>
      <c r="H22" s="52" cm="1">
        <f t="array" ref="H22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45994</v>
      </c>
      <c r="I22" s="16"/>
      <c r="J22" s="85" t="str">
        <f t="shared" ca="1" si="1"/>
        <v/>
      </c>
      <c r="K22" s="50"/>
      <c r="L22" s="38"/>
      <c r="M22" s="38"/>
      <c r="N22" s="38"/>
      <c r="O22" s="8"/>
    </row>
    <row r="23" spans="1:15" ht="20" customHeight="1" x14ac:dyDescent="0.2">
      <c r="A23" s="64" t="s">
        <v>91</v>
      </c>
      <c r="B23" s="53" t="str" cm="1">
        <f t="array" aca="1" ref="B23" ca="1">_xlfn.LET(
    _xlpm.week, $B$4,
    _xlpm.d, H23,
    _xlpm.nthTask, COUNTIF($H$6:H23,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3" s="37"/>
      <c r="D23" s="38"/>
      <c r="E23" s="53" t="str" cm="1">
        <f t="array" aca="1" ref="E23" ca="1">_xlfn.LET(
    _xlpm.week, $B$4,
    _xlpm.rowPerson, 3 + (_xlpm.week-1)*11,
    _xlpm.personName, INDEX('Marketing Executive'!$B:$B, _xlpm.rowPerson),
    IF($B23="", "", _xlpm.personName)
)</f>
        <v xml:space="preserve">Tuyen Nguyen </v>
      </c>
      <c r="F23" s="38"/>
      <c r="G23" s="38"/>
      <c r="H23" s="52" cm="1">
        <f t="array" ref="H23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45994</v>
      </c>
      <c r="I23" s="16"/>
      <c r="J23" s="85" t="str">
        <f ca="1">IF(I23="","",I23-TODAY())</f>
        <v/>
      </c>
      <c r="K23" s="50"/>
      <c r="L23" s="38"/>
      <c r="M23" s="38"/>
      <c r="N23" s="38"/>
      <c r="O23" s="8"/>
    </row>
    <row r="24" spans="1:15" ht="20" customHeight="1" x14ac:dyDescent="0.2">
      <c r="A24" s="64" t="s">
        <v>92</v>
      </c>
      <c r="B24" s="53" t="str" cm="1">
        <f t="array" aca="1" ref="B24" ca="1">_xlfn.LET(
    _xlpm.week, $B$4,
    _xlpm.d, H24,
    _xlpm.nthTask, COUNTIF($H$6:H24,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4" s="38"/>
      <c r="D24" s="38"/>
      <c r="E24" s="53" t="str" cm="1">
        <f t="array" aca="1" ref="E24" ca="1">_xlfn.LET(
    _xlpm.week, $B$4,
    _xlpm.rowPerson, 3 + (_xlpm.week-1)*11,
    _xlpm.personName, INDEX('Marketing Executive'!$B:$B, _xlpm.rowPerson),
    IF($B24="", "", _xlpm.personName)
)</f>
        <v xml:space="preserve">Tuyen Nguyen </v>
      </c>
      <c r="F24" s="38"/>
      <c r="G24" s="38"/>
      <c r="H24" s="52" cm="1">
        <f t="array" ref="H24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45994</v>
      </c>
      <c r="I24" s="16"/>
      <c r="J24" s="85" t="str">
        <f t="shared" ref="J24:J47" ca="1" si="2">IF(I24="","",I24-TODAY())</f>
        <v/>
      </c>
      <c r="K24" s="50"/>
      <c r="L24" s="38"/>
      <c r="M24" s="38"/>
      <c r="N24" s="38"/>
      <c r="O24" s="8"/>
    </row>
    <row r="25" spans="1:15" ht="20" customHeight="1" x14ac:dyDescent="0.2">
      <c r="A25" s="64" t="s">
        <v>93</v>
      </c>
      <c r="B25" s="53" t="str" cm="1">
        <f t="array" aca="1" ref="B25" ca="1">_xlfn.LET(
    _xlpm.week, $B$4,
    _xlpm.d, H25,
    _xlpm.nthTask, COUNTIF($H$6:H25,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5" s="38"/>
      <c r="D25" s="38"/>
      <c r="E25" s="53" t="str" cm="1">
        <f t="array" aca="1" ref="E25" ca="1">_xlfn.LET(
    _xlpm.week, $B$4,
    _xlpm.rowPerson, 3 + (_xlpm.week-1)*11,
    _xlpm.personName, INDEX('Marketing Executive'!$B:$B, _xlpm.rowPerson),
    IF($B25="", "", _xlpm.personName)
)</f>
        <v xml:space="preserve">Tuyen Nguyen </v>
      </c>
      <c r="F25" s="38"/>
      <c r="G25" s="38"/>
      <c r="H25" s="52" cm="1">
        <f t="array" ref="H25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45994</v>
      </c>
      <c r="I25" s="16"/>
      <c r="J25" s="85" t="str">
        <f t="shared" ca="1" si="2"/>
        <v/>
      </c>
      <c r="K25" s="50"/>
      <c r="L25" s="38"/>
      <c r="M25" s="38"/>
      <c r="N25" s="38"/>
      <c r="O25" s="8"/>
    </row>
    <row r="26" spans="1:15" ht="20" customHeight="1" x14ac:dyDescent="0.2">
      <c r="A26" s="64" t="s">
        <v>94</v>
      </c>
      <c r="B26" s="53" t="str" cm="1">
        <f t="array" aca="1" ref="B26" ca="1">_xlfn.LET(
    _xlpm.week, $B$4,
    _xlpm.d, H26,
    _xlpm.nthTask, COUNTIF($H$6:H26,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6" s="37"/>
      <c r="D26" s="38"/>
      <c r="E26" s="53" t="str" cm="1">
        <f t="array" aca="1" ref="E26" ca="1">_xlfn.LET(
    _xlpm.week, $B$4,
    _xlpm.rowPerson, 3 + (_xlpm.week-1)*11,
    _xlpm.personName, INDEX('Marketing Executive'!$B:$B, _xlpm.rowPerson),
    IF($B26="", "", _xlpm.personName)
)</f>
        <v xml:space="preserve">Tuyen Nguyen </v>
      </c>
      <c r="F26" s="38"/>
      <c r="G26" s="38"/>
      <c r="H26" s="52" cm="1">
        <f t="array" ref="H26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45994</v>
      </c>
      <c r="I26" s="16"/>
      <c r="J26" s="85" t="str">
        <f t="shared" ca="1" si="2"/>
        <v/>
      </c>
      <c r="K26" s="50"/>
      <c r="L26" s="38"/>
      <c r="M26" s="38"/>
      <c r="N26" s="38"/>
      <c r="O26" s="8"/>
    </row>
    <row r="27" spans="1:15" ht="20" customHeight="1" x14ac:dyDescent="0.2">
      <c r="A27" s="64" t="s">
        <v>95</v>
      </c>
      <c r="B27" s="53" t="str" cm="1">
        <f t="array" aca="1" ref="B27" ca="1">_xlfn.LET(
    _xlpm.week, $B$4,
    _xlpm.d, H27,
    _xlpm.nthTask, COUNTIF($H$6:H27,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7" s="37"/>
      <c r="D27" s="38"/>
      <c r="E27" s="53" t="str" cm="1">
        <f t="array" aca="1" ref="E27" ca="1">_xlfn.LET(
    _xlpm.week, $B$4,
    _xlpm.rowPerson, 3 + (_xlpm.week-1)*11,
    _xlpm.personName, INDEX('Marketing Executive'!$B:$B, _xlpm.rowPerson),
    IF($B27="", "", _xlpm.personName)
)</f>
        <v xml:space="preserve">Tuyen Nguyen </v>
      </c>
      <c r="F27" s="38"/>
      <c r="G27" s="38"/>
      <c r="H27" s="52" cm="1">
        <f t="array" ref="H27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45995</v>
      </c>
      <c r="I27" s="16"/>
      <c r="J27" s="85" t="str">
        <f t="shared" ca="1" si="2"/>
        <v/>
      </c>
      <c r="K27" s="50"/>
      <c r="L27" s="38"/>
      <c r="M27" s="38"/>
      <c r="N27" s="38"/>
      <c r="O27" s="8"/>
    </row>
    <row r="28" spans="1:15" ht="20" customHeight="1" x14ac:dyDescent="0.2">
      <c r="A28" s="64" t="s">
        <v>96</v>
      </c>
      <c r="B28" s="53" t="str" cm="1">
        <f t="array" aca="1" ref="B28" ca="1">_xlfn.LET(
    _xlpm.week, $B$4,
    _xlpm.d, H28,
    _xlpm.nthTask, COUNTIF($H$6:H28,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8" s="37"/>
      <c r="D28" s="38"/>
      <c r="E28" s="53" t="str" cm="1">
        <f t="array" aca="1" ref="E28" ca="1">_xlfn.LET(
    _xlpm.week, $B$4,
    _xlpm.rowPerson, 3 + (_xlpm.week-1)*11,
    _xlpm.personName, INDEX('Marketing Executive'!$B:$B, _xlpm.rowPerson),
    IF($B28="", "", _xlpm.personName)
)</f>
        <v xml:space="preserve">Tuyen Nguyen </v>
      </c>
      <c r="F28" s="38"/>
      <c r="G28" s="38"/>
      <c r="H28" s="52" cm="1">
        <f t="array" ref="H28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45995</v>
      </c>
      <c r="I28" s="16"/>
      <c r="J28" s="85" t="str">
        <f t="shared" ca="1" si="2"/>
        <v/>
      </c>
      <c r="K28" s="50"/>
      <c r="L28" s="38"/>
      <c r="M28" s="38"/>
      <c r="N28" s="38"/>
      <c r="O28" s="8"/>
    </row>
    <row r="29" spans="1:15" ht="20" customHeight="1" x14ac:dyDescent="0.2">
      <c r="A29" s="64" t="s">
        <v>97</v>
      </c>
      <c r="B29" s="53" t="str" cm="1">
        <f t="array" aca="1" ref="B29" ca="1">_xlfn.LET(
    _xlpm.week, $B$4,
    _xlpm.d, H29,
    _xlpm.nthTask, COUNTIF($H$6:H29,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29" s="37"/>
      <c r="D29" s="38"/>
      <c r="E29" s="53" t="str" cm="1">
        <f t="array" aca="1" ref="E29" ca="1">_xlfn.LET(
    _xlpm.week, $B$4,
    _xlpm.rowPerson, 3 + (_xlpm.week-1)*11,
    _xlpm.personName, INDEX('Marketing Executive'!$B:$B, _xlpm.rowPerson),
    IF($B29="", "", _xlpm.personName)
)</f>
        <v xml:space="preserve">Tuyen Nguyen </v>
      </c>
      <c r="F29" s="38"/>
      <c r="G29" s="38"/>
      <c r="H29" s="52" cm="1">
        <f t="array" ref="H29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45995</v>
      </c>
      <c r="I29" s="16"/>
      <c r="J29" s="85" t="str">
        <f t="shared" ca="1" si="2"/>
        <v/>
      </c>
      <c r="K29" s="50"/>
      <c r="L29" s="38"/>
      <c r="M29" s="38"/>
      <c r="N29" s="38"/>
      <c r="O29" s="8"/>
    </row>
    <row r="30" spans="1:15" ht="20" customHeight="1" x14ac:dyDescent="0.2">
      <c r="A30" s="64" t="s">
        <v>98</v>
      </c>
      <c r="B30" s="53" t="str" cm="1">
        <f t="array" aca="1" ref="B30" ca="1">_xlfn.LET(
    _xlpm.week, $B$4,
    _xlpm.d, H30,
    _xlpm.nthTask, COUNTIF($H$6:H30,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0" s="38"/>
      <c r="D30" s="38"/>
      <c r="E30" s="53" t="str" cm="1">
        <f t="array" aca="1" ref="E30" ca="1">_xlfn.LET(
    _xlpm.week, $B$4,
    _xlpm.rowPerson, 3 + (_xlpm.week-1)*11,
    _xlpm.personName, INDEX('Marketing Executive'!$B:$B, _xlpm.rowPerson),
    IF($B30="", "", _xlpm.personName)
)</f>
        <v xml:space="preserve">Tuyen Nguyen </v>
      </c>
      <c r="F30" s="38"/>
      <c r="G30" s="38"/>
      <c r="H30" s="52" cm="1">
        <f t="array" ref="H30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45995</v>
      </c>
      <c r="I30" s="16"/>
      <c r="J30" s="85" t="str">
        <f t="shared" ca="1" si="2"/>
        <v/>
      </c>
      <c r="K30" s="50"/>
      <c r="L30" s="38"/>
      <c r="M30" s="38"/>
      <c r="N30" s="38"/>
      <c r="O30" s="8"/>
    </row>
    <row r="31" spans="1:15" ht="20" customHeight="1" x14ac:dyDescent="0.2">
      <c r="A31" s="64" t="s">
        <v>99</v>
      </c>
      <c r="B31" s="53" t="str" cm="1">
        <f t="array" aca="1" ref="B31" ca="1">_xlfn.LET(
    _xlpm.week, $B$4,
    _xlpm.d, H31,
    _xlpm.nthTask, COUNTIF($H$6:H31,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1" s="38"/>
      <c r="D31" s="38"/>
      <c r="E31" s="53" t="str" cm="1">
        <f t="array" aca="1" ref="E31" ca="1">_xlfn.LET(
    _xlpm.week, $B$4,
    _xlpm.rowPerson, 3 + (_xlpm.week-1)*11,
    _xlpm.personName, INDEX('Marketing Executive'!$B:$B, _xlpm.rowPerson),
    IF($B31="", "", _xlpm.personName)
)</f>
        <v xml:space="preserve">Tuyen Nguyen </v>
      </c>
      <c r="F31" s="38"/>
      <c r="G31" s="38"/>
      <c r="H31" s="52" cm="1">
        <f t="array" ref="H31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45995</v>
      </c>
      <c r="I31" s="16"/>
      <c r="J31" s="85" t="str">
        <f t="shared" ca="1" si="2"/>
        <v/>
      </c>
      <c r="K31" s="50"/>
      <c r="L31" s="38"/>
      <c r="M31" s="38"/>
      <c r="N31" s="38"/>
      <c r="O31" s="8"/>
    </row>
    <row r="32" spans="1:15" ht="20" customHeight="1" x14ac:dyDescent="0.2">
      <c r="A32" s="64" t="s">
        <v>100</v>
      </c>
      <c r="B32" s="53" t="str" cm="1">
        <f t="array" aca="1" ref="B32" ca="1">_xlfn.LET(
    _xlpm.week, $B$4,
    _xlpm.d, H32,
    _xlpm.nthTask, COUNTIF($H$6:H32,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2" s="38"/>
      <c r="D32" s="38"/>
      <c r="E32" s="53" t="str" cm="1">
        <f t="array" aca="1" ref="E32" ca="1">_xlfn.LET(
    _xlpm.week, $B$4,
    _xlpm.rowPerson, 3 + (_xlpm.week-1)*11,
    _xlpm.personName, INDEX('Marketing Executive'!$B:$B, _xlpm.rowPerson),
    IF($B32="", "", _xlpm.personName)
)</f>
        <v xml:space="preserve">Tuyen Nguyen </v>
      </c>
      <c r="F32" s="38"/>
      <c r="G32" s="38"/>
      <c r="H32" s="52" cm="1">
        <f t="array" ref="H32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45995</v>
      </c>
      <c r="I32" s="16"/>
      <c r="J32" s="85" t="str">
        <f t="shared" ca="1" si="2"/>
        <v/>
      </c>
      <c r="K32" s="50"/>
      <c r="L32" s="38"/>
      <c r="M32" s="38"/>
      <c r="N32" s="38"/>
      <c r="O32" s="8"/>
    </row>
    <row r="33" spans="1:15" ht="20" customHeight="1" x14ac:dyDescent="0.2">
      <c r="A33" s="64" t="s">
        <v>101</v>
      </c>
      <c r="B33" s="53" t="str" cm="1">
        <f t="array" aca="1" ref="B33" ca="1">_xlfn.LET(
    _xlpm.week, $B$4,
    _xlpm.d, H33,
    _xlpm.nthTask, COUNTIF($H$6:H33,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3" s="37"/>
      <c r="D33" s="38"/>
      <c r="E33" s="53" t="str" cm="1">
        <f t="array" aca="1" ref="E33" ca="1">_xlfn.LET(
    _xlpm.week, $B$4,
    _xlpm.rowPerson, 3 + (_xlpm.week-1)*11,
    _xlpm.personName, INDEX('Marketing Executive'!$B:$B, _xlpm.rowPerson),
    IF($B33="", "", _xlpm.personName)
)</f>
        <v xml:space="preserve">Tuyen Nguyen </v>
      </c>
      <c r="F33" s="38"/>
      <c r="G33" s="38"/>
      <c r="H33" s="52" cm="1">
        <f t="array" ref="H33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45995</v>
      </c>
      <c r="I33" s="16"/>
      <c r="J33" s="85" t="str">
        <f t="shared" ca="1" si="2"/>
        <v/>
      </c>
      <c r="K33" s="50"/>
      <c r="L33" s="38"/>
      <c r="M33" s="38"/>
      <c r="N33" s="38"/>
      <c r="O33" s="8"/>
    </row>
    <row r="34" spans="1:15" ht="20" customHeight="1" x14ac:dyDescent="0.2">
      <c r="A34" s="64" t="s">
        <v>102</v>
      </c>
      <c r="B34" s="53" t="str" cm="1">
        <f t="array" aca="1" ref="B34" ca="1">_xlfn.LET(
    _xlpm.week, $B$4,
    _xlpm.d, H34,
    _xlpm.nthTask, COUNTIF($H$6:H34,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4" s="37"/>
      <c r="D34" s="38"/>
      <c r="E34" s="53" t="str" cm="1">
        <f t="array" aca="1" ref="E34" ca="1">_xlfn.LET(
    _xlpm.week, $B$4,
    _xlpm.rowPerson, 3 + (_xlpm.week-1)*11,
    _xlpm.personName, INDEX('Marketing Executive'!$B:$B, _xlpm.rowPerson),
    IF($B34="", "", _xlpm.personName)
)</f>
        <v xml:space="preserve">Tuyen Nguyen </v>
      </c>
      <c r="F34" s="38"/>
      <c r="G34" s="38"/>
      <c r="H34" s="52" cm="1">
        <f t="array" ref="H34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45996</v>
      </c>
      <c r="I34" s="16"/>
      <c r="J34" s="85" t="str">
        <f t="shared" ca="1" si="2"/>
        <v/>
      </c>
      <c r="K34" s="50"/>
      <c r="L34" s="38"/>
      <c r="M34" s="38"/>
      <c r="N34" s="38"/>
      <c r="O34" s="8"/>
    </row>
    <row r="35" spans="1:15" ht="20" customHeight="1" x14ac:dyDescent="0.2">
      <c r="A35" s="64" t="s">
        <v>103</v>
      </c>
      <c r="B35" s="53" t="str" cm="1">
        <f t="array" aca="1" ref="B35" ca="1">_xlfn.LET(
    _xlpm.week, $B$4,
    _xlpm.d, H35,
    _xlpm.nthTask, COUNTIF($H$6:H35,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5" s="37"/>
      <c r="D35" s="38"/>
      <c r="E35" s="53" t="str" cm="1">
        <f t="array" aca="1" ref="E35" ca="1">_xlfn.LET(
    _xlpm.week, $B$4,
    _xlpm.rowPerson, 3 + (_xlpm.week-1)*11,
    _xlpm.personName, INDEX('Marketing Executive'!$B:$B, _xlpm.rowPerson),
    IF($B35="", "", _xlpm.personName)
)</f>
        <v xml:space="preserve">Tuyen Nguyen </v>
      </c>
      <c r="F35" s="38"/>
      <c r="G35" s="38"/>
      <c r="H35" s="52" cm="1">
        <f t="array" ref="H35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45996</v>
      </c>
      <c r="I35" s="16"/>
      <c r="J35" s="85" t="str">
        <f t="shared" ca="1" si="2"/>
        <v/>
      </c>
      <c r="K35" s="50"/>
      <c r="L35" s="38"/>
      <c r="M35" s="38"/>
      <c r="N35" s="38"/>
      <c r="O35" s="8"/>
    </row>
    <row r="36" spans="1:15" ht="20" customHeight="1" x14ac:dyDescent="0.2">
      <c r="A36" s="64" t="s">
        <v>104</v>
      </c>
      <c r="B36" s="53" t="str" cm="1">
        <f t="array" aca="1" ref="B36" ca="1">_xlfn.LET(
    _xlpm.week, $B$4,
    _xlpm.d, H36,
    _xlpm.nthTask, COUNTIF($H$6:H36,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6" s="37"/>
      <c r="D36" s="38"/>
      <c r="E36" s="53" t="str" cm="1">
        <f t="array" aca="1" ref="E36" ca="1">_xlfn.LET(
    _xlpm.week, $B$4,
    _xlpm.rowPerson, 3 + (_xlpm.week-1)*11,
    _xlpm.personName, INDEX('Marketing Executive'!$B:$B, _xlpm.rowPerson),
    IF($B36="", "", _xlpm.personName)
)</f>
        <v xml:space="preserve">Tuyen Nguyen </v>
      </c>
      <c r="F36" s="38"/>
      <c r="G36" s="38"/>
      <c r="H36" s="52" cm="1">
        <f t="array" ref="H36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45996</v>
      </c>
      <c r="I36" s="16"/>
      <c r="J36" s="85" t="str">
        <f t="shared" ca="1" si="2"/>
        <v/>
      </c>
      <c r="K36" s="50"/>
      <c r="L36" s="38"/>
      <c r="M36" s="38"/>
      <c r="N36" s="38"/>
      <c r="O36" s="8"/>
    </row>
    <row r="37" spans="1:15" ht="20" customHeight="1" x14ac:dyDescent="0.2">
      <c r="A37" s="64" t="s">
        <v>105</v>
      </c>
      <c r="B37" s="53" t="str" cm="1">
        <f t="array" aca="1" ref="B37" ca="1">_xlfn.LET(
    _xlpm.week, $B$4,
    _xlpm.d, H37,
    _xlpm.nthTask, COUNTIF($H$6:H37,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7" s="38"/>
      <c r="D37" s="38"/>
      <c r="E37" s="53" t="str" cm="1">
        <f t="array" aca="1" ref="E37" ca="1">_xlfn.LET(
    _xlpm.week, $B$4,
    _xlpm.rowPerson, 3 + (_xlpm.week-1)*11,
    _xlpm.personName, INDEX('Marketing Executive'!$B:$B, _xlpm.rowPerson),
    IF($B37="", "", _xlpm.personName)
)</f>
        <v xml:space="preserve">Tuyen Nguyen </v>
      </c>
      <c r="F37" s="38"/>
      <c r="G37" s="38"/>
      <c r="H37" s="52" cm="1">
        <f t="array" ref="H37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45996</v>
      </c>
      <c r="I37" s="16"/>
      <c r="J37" s="85" t="str">
        <f t="shared" ca="1" si="2"/>
        <v/>
      </c>
      <c r="K37" s="50"/>
      <c r="L37" s="38"/>
      <c r="M37" s="38"/>
      <c r="N37" s="38"/>
      <c r="O37" s="8"/>
    </row>
    <row r="38" spans="1:15" ht="20" customHeight="1" x14ac:dyDescent="0.2">
      <c r="A38" s="64" t="s">
        <v>106</v>
      </c>
      <c r="B38" s="53" t="str" cm="1">
        <f t="array" aca="1" ref="B38" ca="1">_xlfn.LET(
    _xlpm.week, $B$4,
    _xlpm.d, H38,
    _xlpm.nthTask, COUNTIF($H$6:H38,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8" s="38"/>
      <c r="D38" s="38"/>
      <c r="E38" s="53" t="str" cm="1">
        <f t="array" aca="1" ref="E38" ca="1">_xlfn.LET(
    _xlpm.week, $B$4,
    _xlpm.rowPerson, 3 + (_xlpm.week-1)*11,
    _xlpm.personName, INDEX('Marketing Executive'!$B:$B, _xlpm.rowPerson),
    IF($B38="", "", _xlpm.personName)
)</f>
        <v xml:space="preserve">Tuyen Nguyen </v>
      </c>
      <c r="F38" s="38"/>
      <c r="G38" s="38"/>
      <c r="H38" s="52" cm="1">
        <f t="array" ref="H38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45996</v>
      </c>
      <c r="I38" s="16"/>
      <c r="J38" s="85" t="str">
        <f t="shared" ca="1" si="2"/>
        <v/>
      </c>
      <c r="K38" s="50"/>
      <c r="L38" s="38"/>
      <c r="M38" s="38"/>
      <c r="N38" s="38"/>
      <c r="O38" s="8"/>
    </row>
    <row r="39" spans="1:15" ht="20" customHeight="1" x14ac:dyDescent="0.2">
      <c r="A39" s="64" t="s">
        <v>107</v>
      </c>
      <c r="B39" s="53" t="str" cm="1">
        <f t="array" aca="1" ref="B39" ca="1">_xlfn.LET(
    _xlpm.week, $B$4,
    _xlpm.d, H39,
    _xlpm.nthTask, COUNTIF($H$6:H39,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39" s="38"/>
      <c r="D39" s="38"/>
      <c r="E39" s="53" t="str" cm="1">
        <f t="array" aca="1" ref="E39" ca="1">_xlfn.LET(
    _xlpm.week, $B$4,
    _xlpm.rowPerson, 3 + (_xlpm.week-1)*11,
    _xlpm.personName, INDEX('Marketing Executive'!$B:$B, _xlpm.rowPerson),
    IF($B39="", "", _xlpm.personName)
)</f>
        <v xml:space="preserve">Tuyen Nguyen </v>
      </c>
      <c r="F39" s="38"/>
      <c r="G39" s="38"/>
      <c r="H39" s="52" cm="1">
        <f t="array" ref="H39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45996</v>
      </c>
      <c r="I39" s="16"/>
      <c r="J39" s="85" t="str">
        <f t="shared" ca="1" si="2"/>
        <v/>
      </c>
      <c r="K39" s="50"/>
      <c r="L39" s="38"/>
      <c r="M39" s="38"/>
      <c r="N39" s="38"/>
      <c r="O39" s="8"/>
    </row>
    <row r="40" spans="1:15" ht="20" customHeight="1" x14ac:dyDescent="0.2">
      <c r="A40" s="64" t="s">
        <v>108</v>
      </c>
      <c r="B40" s="53" t="str" cm="1">
        <f t="array" aca="1" ref="B40" ca="1">_xlfn.LET(
    _xlpm.week, $B$4,
    _xlpm.d, H40,
    _xlpm.nthTask, COUNTIF($H$6:H40,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40" s="37"/>
      <c r="D40" s="38"/>
      <c r="E40" s="53" t="str" cm="1">
        <f t="array" aca="1" ref="E40" ca="1">_xlfn.LET(
    _xlpm.week, $B$4,
    _xlpm.rowPerson, 3 + (_xlpm.week-1)*11,
    _xlpm.personName, INDEX('Marketing Executive'!$B:$B, _xlpm.rowPerson),
    IF($B40="", "", _xlpm.personName)
)</f>
        <v xml:space="preserve">Tuyen Nguyen </v>
      </c>
      <c r="F40" s="38"/>
      <c r="G40" s="38"/>
      <c r="H40" s="52" cm="1">
        <f t="array" ref="H40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45996</v>
      </c>
      <c r="I40" s="16"/>
      <c r="J40" s="85" t="str">
        <f t="shared" ca="1" si="2"/>
        <v/>
      </c>
      <c r="K40" s="50"/>
      <c r="L40" s="38"/>
      <c r="M40" s="38"/>
      <c r="N40" s="38"/>
      <c r="O40" s="8"/>
    </row>
    <row r="41" spans="1:15" ht="20" customHeight="1" x14ac:dyDescent="0.2">
      <c r="A41" s="64" t="s">
        <v>109</v>
      </c>
      <c r="B41" s="53" t="str" cm="1">
        <f t="array" aca="1" ref="B41" ca="1">_xlfn.LET(
    _xlpm.week, $B$4,
    _xlpm.d, H41,
    _xlpm.nthTask, COUNTIF($H$6:H41,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41" s="37"/>
      <c r="D41" s="38"/>
      <c r="E41" s="53" t="str" cm="1">
        <f t="array" aca="1" ref="E41" ca="1">_xlfn.LET(
    _xlpm.week, $B$4,
    _xlpm.rowPerson, 3 + (_xlpm.week-1)*11,
    _xlpm.personName, INDEX('Marketing Executive'!$B:$B, _xlpm.rowPerson),
    IF($B41="", "", _xlpm.personName)
)</f>
        <v xml:space="preserve">Tuyen Nguyen </v>
      </c>
      <c r="F41" s="38"/>
      <c r="G41" s="38"/>
      <c r="H41" s="52" cm="1">
        <f t="array" ref="H41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45997</v>
      </c>
      <c r="I41" s="16"/>
      <c r="J41" s="85" t="str">
        <f t="shared" ca="1" si="2"/>
        <v/>
      </c>
      <c r="K41" s="50"/>
      <c r="L41" s="38"/>
      <c r="M41" s="38"/>
      <c r="N41" s="38"/>
      <c r="O41" s="8"/>
    </row>
    <row r="42" spans="1:15" ht="20" customHeight="1" x14ac:dyDescent="0.2">
      <c r="A42" s="64" t="s">
        <v>110</v>
      </c>
      <c r="B42" s="53" t="str" cm="1">
        <f t="array" aca="1" ref="B42" ca="1">_xlfn.LET(
    _xlpm.week, $B$4,
    _xlpm.d, H42,
    _xlpm.nthTask, COUNTIF($H$6:H42,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42" s="37"/>
      <c r="D42" s="38"/>
      <c r="E42" s="53" t="str" cm="1">
        <f t="array" aca="1" ref="E42" ca="1">_xlfn.LET(
    _xlpm.week, $B$4,
    _xlpm.rowPerson, 3 + (_xlpm.week-1)*11,
    _xlpm.personName, INDEX('Marketing Executive'!$B:$B, _xlpm.rowPerson),
    IF($B42="", "", _xlpm.personName)
)</f>
        <v xml:space="preserve">Tuyen Nguyen </v>
      </c>
      <c r="F42" s="38"/>
      <c r="G42" s="38"/>
      <c r="H42" s="52" cm="1">
        <f t="array" ref="H42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45997</v>
      </c>
      <c r="I42" s="16"/>
      <c r="J42" s="85" t="str">
        <f t="shared" ca="1" si="2"/>
        <v/>
      </c>
      <c r="K42" s="50"/>
      <c r="L42" s="38"/>
      <c r="M42" s="38"/>
      <c r="N42" s="38"/>
      <c r="O42" s="8"/>
    </row>
    <row r="43" spans="1:15" ht="20" customHeight="1" x14ac:dyDescent="0.2">
      <c r="A43" s="64" t="s">
        <v>111</v>
      </c>
      <c r="B43" s="53" t="str" cm="1">
        <f t="array" aca="1" ref="B43" ca="1">_xlfn.LET(
    _xlpm.week, $B$4,
    _xlpm.d, H43,
    _xlpm.nthTask, COUNTIF($H$6:H43,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43" s="37"/>
      <c r="D43" s="38"/>
      <c r="E43" s="53" t="str" cm="1">
        <f t="array" aca="1" ref="E43" ca="1">_xlfn.LET(
    _xlpm.week, $B$4,
    _xlpm.rowPerson, 3 + (_xlpm.week-1)*11,
    _xlpm.personName, INDEX('Marketing Executive'!$B:$B, _xlpm.rowPerson),
    IF($B43="", "", _xlpm.personName)
)</f>
        <v xml:space="preserve">Tuyen Nguyen </v>
      </c>
      <c r="F43" s="38"/>
      <c r="G43" s="38"/>
      <c r="H43" s="52" cm="1">
        <f t="array" ref="H43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45997</v>
      </c>
      <c r="I43" s="16"/>
      <c r="J43" s="85" t="str">
        <f t="shared" ca="1" si="2"/>
        <v/>
      </c>
      <c r="K43" s="50"/>
      <c r="L43" s="38"/>
      <c r="M43" s="38"/>
      <c r="N43" s="38"/>
      <c r="O43" s="8"/>
    </row>
    <row r="44" spans="1:15" ht="20" customHeight="1" x14ac:dyDescent="0.2">
      <c r="A44" s="64" t="s">
        <v>112</v>
      </c>
      <c r="B44" s="53" t="str" cm="1">
        <f t="array" aca="1" ref="B44" ca="1">_xlfn.LET(
    _xlpm.week, $B$4,
    _xlpm.d, H44,
    _xlpm.nthTask, COUNTIF($H$6:H44,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44" s="38"/>
      <c r="D44" s="38"/>
      <c r="E44" s="53" t="str" cm="1">
        <f t="array" aca="1" ref="E44" ca="1">_xlfn.LET(
    _xlpm.week, $B$4,
    _xlpm.rowPerson, 3 + (_xlpm.week-1)*11,
    _xlpm.personName, INDEX('Marketing Executive'!$B:$B, _xlpm.rowPerson),
    IF($B44="", "", _xlpm.personName)
)</f>
        <v xml:space="preserve">Tuyen Nguyen </v>
      </c>
      <c r="F44" s="38"/>
      <c r="G44" s="38"/>
      <c r="H44" s="52" cm="1">
        <f t="array" ref="H44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45997</v>
      </c>
      <c r="I44" s="16"/>
      <c r="J44" s="85" t="str">
        <f t="shared" ca="1" si="2"/>
        <v/>
      </c>
      <c r="K44" s="50"/>
      <c r="L44" s="38"/>
      <c r="M44" s="38"/>
      <c r="N44" s="38"/>
      <c r="O44" s="8"/>
    </row>
    <row r="45" spans="1:15" ht="20" customHeight="1" x14ac:dyDescent="0.2">
      <c r="A45" s="64" t="s">
        <v>113</v>
      </c>
      <c r="B45" s="53" t="str" cm="1">
        <f t="array" aca="1" ref="B45" ca="1">_xlfn.LET(
    _xlpm.week, $B$4,
    _xlpm.d, H45,
    _xlpm.nthTask, COUNTIF($H$6:H45,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45" s="38"/>
      <c r="D45" s="38"/>
      <c r="E45" s="53" t="str" cm="1">
        <f t="array" aca="1" ref="E45" ca="1">_xlfn.LET(
    _xlpm.week, $B$4,
    _xlpm.rowPerson, 3 + (_xlpm.week-1)*11,
    _xlpm.personName, INDEX('Marketing Executive'!$B:$B, _xlpm.rowPerson),
    IF($B45="", "", _xlpm.personName)
)</f>
        <v xml:space="preserve">Tuyen Nguyen </v>
      </c>
      <c r="F45" s="38"/>
      <c r="G45" s="38"/>
      <c r="H45" s="52" cm="1">
        <f t="array" ref="H45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45997</v>
      </c>
      <c r="I45" s="16"/>
      <c r="J45" s="85" t="str">
        <f t="shared" ca="1" si="2"/>
        <v/>
      </c>
      <c r="K45" s="50"/>
      <c r="L45" s="38"/>
      <c r="M45" s="38"/>
      <c r="N45" s="38"/>
      <c r="O45" s="8"/>
    </row>
    <row r="46" spans="1:15" ht="20" customHeight="1" x14ac:dyDescent="0.2">
      <c r="A46" s="64" t="s">
        <v>114</v>
      </c>
      <c r="B46" s="53" t="str" cm="1">
        <f t="array" aca="1" ref="B46" ca="1">_xlfn.LET(
    _xlpm.week, $B$4,
    _xlpm.d, H46,
    _xlpm.nthTask, COUNTIF($H$6:H46,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46" s="38"/>
      <c r="D46" s="38"/>
      <c r="E46" s="53" t="str" cm="1">
        <f t="array" aca="1" ref="E46" ca="1">_xlfn.LET(
    _xlpm.week, $B$4,
    _xlpm.rowPerson, 3 + (_xlpm.week-1)*11,
    _xlpm.personName, INDEX('Marketing Executive'!$B:$B, _xlpm.rowPerson),
    IF($B46="", "", _xlpm.personName)
)</f>
        <v xml:space="preserve">Tuyen Nguyen </v>
      </c>
      <c r="F46" s="38"/>
      <c r="G46" s="38"/>
      <c r="H46" s="52" cm="1">
        <f t="array" ref="H46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45997</v>
      </c>
      <c r="I46" s="16"/>
      <c r="J46" s="85" t="str">
        <f t="shared" ca="1" si="2"/>
        <v/>
      </c>
      <c r="K46" s="50"/>
      <c r="L46" s="38"/>
      <c r="M46" s="38"/>
      <c r="N46" s="38"/>
      <c r="O46" s="8"/>
    </row>
    <row r="47" spans="1:15" ht="20" customHeight="1" x14ac:dyDescent="0.2">
      <c r="A47" s="64" t="s">
        <v>115</v>
      </c>
      <c r="B47" s="53" t="str" cm="1">
        <f t="array" aca="1" ref="B47" ca="1">_xlfn.LET(
    _xlpm.week, $B$4,
    _xlpm.d, H47,
    _xlpm.nthTask, COUNTIF($H$6:H47, _xlpm.d),
    _xlpm.dateHeader, OFFSET('Marketing Executive'!$C$3, (_xlpm.week-1)*11, 0, 1, 7),
    _xlpm.taskRange, OFFSET('Marketing Executive'!$C$5,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47" s="37"/>
      <c r="D47" s="38"/>
      <c r="E47" s="53" t="str" cm="1">
        <f t="array" aca="1" ref="E47" ca="1">_xlfn.LET(
    _xlpm.week, $B$4,
    _xlpm.rowPerson, 3 + (_xlpm.week-1)*11,
    _xlpm.personName, INDEX('Marketing Executive'!$B:$B, _xlpm.rowPerson),
    IF($B47="", "", _xlpm.personName)
)</f>
        <v xml:space="preserve">Tuyen Nguyen </v>
      </c>
      <c r="F47" s="38"/>
      <c r="G47" s="38"/>
      <c r="H47" s="52" cm="1">
        <f t="array" ref="H47">IFERROR(
  _xlfn.LET(
    _xlpm.week, $B$4,
    _xlpm.pos, ROW()-ROW($H$6),
    _xlpm.dayIndex, INT(_xlpm.pos/7)+1,
    _xlpm.rowDate, 3 + (_xlpm.week-1)*11,
    IF(_xlpm.dayIndex&gt;7,"", INDEX('Marketing Executive'!$C:$I, _xlpm.rowDate, _xlpm.dayIndex))
  ),
"")</f>
        <v>45997</v>
      </c>
      <c r="I47" s="16"/>
      <c r="J47" s="85" t="str">
        <f t="shared" ca="1" si="2"/>
        <v/>
      </c>
      <c r="K47" s="50"/>
      <c r="L47" s="38"/>
      <c r="M47" s="38"/>
      <c r="N47" s="38"/>
      <c r="O47" s="8"/>
    </row>
    <row r="48" spans="1:15" ht="20" customHeight="1" x14ac:dyDescent="0.2">
      <c r="A48" s="65" t="s">
        <v>74</v>
      </c>
      <c r="B48" s="60" t="str" cm="1">
        <f t="array" aca="1" ref="B48" ca="1">_xlfn.LET(
    _xlpm.week, $B$4,
    _xlpm.d, H48,
    _xlpm.nthTask, COUNTIF($H$48:H48,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HHXXH</v>
      </c>
      <c r="C48" s="62" t="s">
        <v>16</v>
      </c>
      <c r="D48" s="61"/>
      <c r="E48" s="60" t="str" cm="1">
        <f t="array" aca="1" ref="E48" ca="1">_xlfn.LET(
    _xlpm.week, $B$4,
    _xlpm.rowPerson, 3 + (_xlpm.week-1)*11,
    _xlpm.personName, INDEX('Content Marketer'!$B:$B, _xlpm.rowPerson),
    IF($B6="", "", _xlpm.personName)
)</f>
        <v>Tan Nguyen</v>
      </c>
      <c r="F48" s="61" t="s">
        <v>2</v>
      </c>
      <c r="G48" s="61" t="s">
        <v>7</v>
      </c>
      <c r="H48" s="52" cm="1">
        <f t="array" ref="H48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45992</v>
      </c>
      <c r="I48" s="70">
        <v>46002</v>
      </c>
      <c r="J48" s="86">
        <f ca="1">IF(I48="","",I48-TODAY())</f>
        <v>0</v>
      </c>
      <c r="K48" s="68"/>
      <c r="L48" s="61"/>
      <c r="M48" s="62"/>
      <c r="N48" s="62"/>
      <c r="O48" s="69" t="b">
        <v>1</v>
      </c>
    </row>
    <row r="49" spans="1:15" ht="20" customHeight="1" x14ac:dyDescent="0.2">
      <c r="A49" s="66" t="s">
        <v>75</v>
      </c>
      <c r="B49" s="60" t="str" cm="1">
        <f t="array" aca="1" ref="B49" ca="1">_xlfn.LET(
    _xlpm.week, $B$4,
    _xlpm.d, H49,
    _xlpm.nthTask, COUNTIF($H$48:H49,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LKMA</v>
      </c>
      <c r="C49" s="63" t="s">
        <v>17</v>
      </c>
      <c r="D49" s="43"/>
      <c r="E49" s="60" t="str" cm="1">
        <f t="array" aca="1" ref="E49" ca="1">_xlfn.LET(
    _xlpm.week, $B$4,
    _xlpm.rowPerson, 3 + (_xlpm.week-1)*11,
    _xlpm.personName, INDEX('Content Marketer'!$B:$B, _xlpm.rowPerson),
    IF($B7="", "", _xlpm.personName)
)</f>
        <v>Tan Nguyen</v>
      </c>
      <c r="F49" s="43" t="s">
        <v>4</v>
      </c>
      <c r="G49" s="43" t="s">
        <v>8</v>
      </c>
      <c r="H49" s="52" cm="1">
        <f t="array" ref="H49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45992</v>
      </c>
      <c r="I49" s="70">
        <v>46003</v>
      </c>
      <c r="J49" s="87">
        <f t="shared" ref="J49:J64" ca="1" si="3">IF(I49="","",I49-TODAY())</f>
        <v>1</v>
      </c>
      <c r="K49" s="71"/>
      <c r="L49" s="43"/>
      <c r="M49" s="43"/>
      <c r="N49" s="43"/>
      <c r="O49" s="72" t="b">
        <v>1</v>
      </c>
    </row>
    <row r="50" spans="1:15" ht="20" customHeight="1" x14ac:dyDescent="0.2">
      <c r="A50" s="65" t="s">
        <v>76</v>
      </c>
      <c r="B50" s="60" t="str" cm="1">
        <f t="array" aca="1" ref="B50" ca="1">_xlfn.LET(
    _xlpm.week, $B$4,
    _xlpm.d, H50,
    _xlpm.nthTask, COUNTIF($H$48:H50,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0" s="61"/>
      <c r="D50" s="61"/>
      <c r="E50" s="60" t="str" cm="1">
        <f t="array" aca="1" ref="E50" ca="1">_xlfn.LET(
    _xlpm.week, $B$4,
    _xlpm.rowPerson, 3 + (_xlpm.week-1)*11,
    _xlpm.personName, INDEX('Content Marketer'!$B:$B, _xlpm.rowPerson),
    IF($B8="", "", _xlpm.personName)
)</f>
        <v>Tan Nguyen</v>
      </c>
      <c r="F50" s="61"/>
      <c r="G50" s="61"/>
      <c r="H50" s="52" cm="1">
        <f t="array" ref="H50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45992</v>
      </c>
      <c r="I50" s="67"/>
      <c r="J50" s="86" t="str">
        <f t="shared" ca="1" si="3"/>
        <v/>
      </c>
      <c r="K50" s="68"/>
      <c r="L50" s="61"/>
      <c r="M50" s="61"/>
      <c r="N50" s="61"/>
      <c r="O50" s="69"/>
    </row>
    <row r="51" spans="1:15" ht="20" customHeight="1" x14ac:dyDescent="0.2">
      <c r="A51" s="66" t="s">
        <v>77</v>
      </c>
      <c r="B51" s="60" t="str" cm="1">
        <f t="array" aca="1" ref="B51" ca="1">_xlfn.LET(
    _xlpm.week, $B$4,
    _xlpm.d, H51,
    _xlpm.nthTask, COUNTIF($H$48:H51,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1" s="43"/>
      <c r="D51" s="43"/>
      <c r="E51" s="60" t="str" cm="1">
        <f t="array" aca="1" ref="E51" ca="1">_xlfn.LET(
    _xlpm.week, $B$4,
    _xlpm.rowPerson, 3 + (_xlpm.week-1)*11,
    _xlpm.personName, INDEX('Content Marketer'!$B:$B, _xlpm.rowPerson),
    IF($B9="", "", _xlpm.personName)
)</f>
        <v>Tan Nguyen</v>
      </c>
      <c r="F51" s="43"/>
      <c r="G51" s="43"/>
      <c r="H51" s="52" cm="1">
        <f t="array" ref="H51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45992</v>
      </c>
      <c r="I51" s="70"/>
      <c r="J51" s="87" t="str">
        <f t="shared" ca="1" si="3"/>
        <v/>
      </c>
      <c r="K51" s="71"/>
      <c r="L51" s="43"/>
      <c r="M51" s="43"/>
      <c r="N51" s="43"/>
      <c r="O51" s="72"/>
    </row>
    <row r="52" spans="1:15" ht="20" customHeight="1" x14ac:dyDescent="0.2">
      <c r="A52" s="65" t="s">
        <v>78</v>
      </c>
      <c r="B52" s="60" t="str" cm="1">
        <f t="array" aca="1" ref="B52" ca="1">_xlfn.LET(
    _xlpm.week, $B$4,
    _xlpm.d, H52,
    _xlpm.nthTask, COUNTIF($H$48:H52,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2" s="61"/>
      <c r="D52" s="61"/>
      <c r="E52" s="60" t="str" cm="1">
        <f t="array" aca="1" ref="E52" ca="1">_xlfn.LET(
    _xlpm.week, $B$4,
    _xlpm.rowPerson, 3 + (_xlpm.week-1)*11,
    _xlpm.personName, INDEX('Content Marketer'!$B:$B, _xlpm.rowPerson),
    IF($B10="", "", _xlpm.personName)
)</f>
        <v>Tan Nguyen</v>
      </c>
      <c r="F52" s="61"/>
      <c r="G52" s="61"/>
      <c r="H52" s="52" cm="1">
        <f t="array" ref="H52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45992</v>
      </c>
      <c r="I52" s="67"/>
      <c r="J52" s="86" t="str">
        <f t="shared" ca="1" si="3"/>
        <v/>
      </c>
      <c r="K52" s="68"/>
      <c r="L52" s="61"/>
      <c r="M52" s="61"/>
      <c r="N52" s="61"/>
      <c r="O52" s="69"/>
    </row>
    <row r="53" spans="1:15" ht="20" customHeight="1" x14ac:dyDescent="0.2">
      <c r="A53" s="66" t="s">
        <v>79</v>
      </c>
      <c r="B53" s="60" t="str" cm="1">
        <f t="array" aca="1" ref="B53" ca="1">_xlfn.LET(
    _xlpm.week, $B$4,
    _xlpm.d, H53,
    _xlpm.nthTask, COUNTIF($H$48:H53,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3" s="63"/>
      <c r="D53" s="43"/>
      <c r="E53" s="60" t="str" cm="1">
        <f t="array" aca="1" ref="E53" ca="1">_xlfn.LET(
    _xlpm.week, $B$4,
    _xlpm.rowPerson, 3 + (_xlpm.week-1)*11,
    _xlpm.personName, INDEX('Content Marketer'!$B:$B, _xlpm.rowPerson),
    IF($B11="", "", _xlpm.personName)
)</f>
        <v>Tan Nguyen</v>
      </c>
      <c r="F53" s="43"/>
      <c r="G53" s="43"/>
      <c r="H53" s="52" cm="1">
        <f t="array" ref="H53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45992</v>
      </c>
      <c r="I53" s="70"/>
      <c r="J53" s="87" t="str">
        <f t="shared" ca="1" si="3"/>
        <v/>
      </c>
      <c r="K53" s="71"/>
      <c r="L53" s="43"/>
      <c r="M53" s="43"/>
      <c r="N53" s="43"/>
      <c r="O53" s="72"/>
    </row>
    <row r="54" spans="1:15" ht="20" customHeight="1" x14ac:dyDescent="0.2">
      <c r="A54" s="65" t="s">
        <v>80</v>
      </c>
      <c r="B54" s="60" t="str" cm="1">
        <f t="array" aca="1" ref="B54" ca="1">_xlfn.LET(
    _xlpm.week, $B$4,
    _xlpm.d, H54,
    _xlpm.nthTask, COUNTIF($H$48:H54,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4" s="62"/>
      <c r="D54" s="61"/>
      <c r="E54" s="60" t="str" cm="1">
        <f t="array" aca="1" ref="E54" ca="1">_xlfn.LET(
    _xlpm.week, $B$4,
    _xlpm.rowPerson, 3 + (_xlpm.week-1)*11,
    _xlpm.personName, INDEX('Content Marketer'!$B:$B, _xlpm.rowPerson),
    IF($B12="", "", _xlpm.personName)
)</f>
        <v>Tan Nguyen</v>
      </c>
      <c r="F54" s="61"/>
      <c r="G54" s="61"/>
      <c r="H54" s="52" cm="1">
        <f t="array" ref="H54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45992</v>
      </c>
      <c r="I54" s="67"/>
      <c r="J54" s="86" t="str">
        <f t="shared" ca="1" si="3"/>
        <v/>
      </c>
      <c r="K54" s="68"/>
      <c r="L54" s="61"/>
      <c r="M54" s="61"/>
      <c r="N54" s="61"/>
      <c r="O54" s="69"/>
    </row>
    <row r="55" spans="1:15" ht="20" customHeight="1" x14ac:dyDescent="0.2">
      <c r="A55" s="66" t="s">
        <v>81</v>
      </c>
      <c r="B55" s="60" t="str" cm="1">
        <f t="array" aca="1" ref="B55" ca="1">_xlfn.LET(
    _xlpm.week, $B$4,
    _xlpm.d, H55,
    _xlpm.nthTask, COUNTIF($H$48:H55,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5" s="63"/>
      <c r="D55" s="43"/>
      <c r="E55" s="60" t="str" cm="1">
        <f t="array" aca="1" ref="E55" ca="1">_xlfn.LET(
    _xlpm.week, $B$4,
    _xlpm.rowPerson, 3 + (_xlpm.week-1)*11,
    _xlpm.personName, INDEX('Content Marketer'!$B:$B, _xlpm.rowPerson),
    IF($B13="", "", _xlpm.personName)
)</f>
        <v>Tan Nguyen</v>
      </c>
      <c r="F55" s="43"/>
      <c r="G55" s="43"/>
      <c r="H55" s="52" cm="1">
        <f t="array" ref="H55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45993</v>
      </c>
      <c r="I55" s="70"/>
      <c r="J55" s="87" t="str">
        <f t="shared" ca="1" si="3"/>
        <v/>
      </c>
      <c r="K55" s="71"/>
      <c r="L55" s="43"/>
      <c r="M55" s="63"/>
      <c r="N55" s="63"/>
      <c r="O55" s="72"/>
    </row>
    <row r="56" spans="1:15" ht="20" customHeight="1" x14ac:dyDescent="0.2">
      <c r="A56" s="65" t="s">
        <v>82</v>
      </c>
      <c r="B56" s="60" t="str" cm="1">
        <f t="array" aca="1" ref="B56" ca="1">_xlfn.LET(
    _xlpm.week, $B$4,
    _xlpm.d, H56,
    _xlpm.nthTask, COUNTIF($H$48:H56,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6" s="62"/>
      <c r="D56" s="61"/>
      <c r="E56" s="60" t="str" cm="1">
        <f t="array" aca="1" ref="E56" ca="1">_xlfn.LET(
    _xlpm.week, $B$4,
    _xlpm.rowPerson, 3 + (_xlpm.week-1)*11,
    _xlpm.personName, INDEX('Content Marketer'!$B:$B, _xlpm.rowPerson),
    IF($B14="", "", _xlpm.personName)
)</f>
        <v>Tan Nguyen</v>
      </c>
      <c r="F56" s="61"/>
      <c r="G56" s="61"/>
      <c r="H56" s="52" cm="1">
        <f t="array" ref="H56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45993</v>
      </c>
      <c r="I56" s="67"/>
      <c r="J56" s="86" t="str">
        <f t="shared" ca="1" si="3"/>
        <v/>
      </c>
      <c r="K56" s="68"/>
      <c r="L56" s="61"/>
      <c r="M56" s="61"/>
      <c r="N56" s="61"/>
      <c r="O56" s="69"/>
    </row>
    <row r="57" spans="1:15" ht="20" customHeight="1" x14ac:dyDescent="0.2">
      <c r="A57" s="66" t="s">
        <v>83</v>
      </c>
      <c r="B57" s="60" t="str" cm="1">
        <f t="array" aca="1" ref="B57" ca="1">_xlfn.LET(
    _xlpm.week, $B$4,
    _xlpm.d, H57,
    _xlpm.nthTask, COUNTIF($H$48:H57,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7" s="43"/>
      <c r="D57" s="43"/>
      <c r="E57" s="60" t="str" cm="1">
        <f t="array" aca="1" ref="E57" ca="1">_xlfn.LET(
    _xlpm.week, $B$4,
    _xlpm.rowPerson, 3 + (_xlpm.week-1)*11,
    _xlpm.personName, INDEX('Content Marketer'!$B:$B, _xlpm.rowPerson),
    IF($B15="", "", _xlpm.personName)
)</f>
        <v>Tan Nguyen</v>
      </c>
      <c r="F57" s="43"/>
      <c r="G57" s="43"/>
      <c r="H57" s="52" cm="1">
        <f t="array" ref="H57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45993</v>
      </c>
      <c r="I57" s="70"/>
      <c r="J57" s="87" t="str">
        <f t="shared" ca="1" si="3"/>
        <v/>
      </c>
      <c r="K57" s="71"/>
      <c r="L57" s="43"/>
      <c r="M57" s="43"/>
      <c r="N57" s="43"/>
      <c r="O57" s="72"/>
    </row>
    <row r="58" spans="1:15" ht="20" customHeight="1" x14ac:dyDescent="0.2">
      <c r="A58" s="65" t="s">
        <v>84</v>
      </c>
      <c r="B58" s="60" t="str" cm="1">
        <f t="array" aca="1" ref="B58" ca="1">_xlfn.LET(
    _xlpm.week, $B$4,
    _xlpm.d, H58,
    _xlpm.nthTask, COUNTIF($H$48:H58,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8" s="61"/>
      <c r="D58" s="61"/>
      <c r="E58" s="60" t="str" cm="1">
        <f t="array" aca="1" ref="E58" ca="1">_xlfn.LET(
    _xlpm.week, $B$4,
    _xlpm.rowPerson, 3 + (_xlpm.week-1)*11,
    _xlpm.personName, INDEX('Content Marketer'!$B:$B, _xlpm.rowPerson),
    IF($B16="", "", _xlpm.personName)
)</f>
        <v>Tan Nguyen</v>
      </c>
      <c r="F58" s="61"/>
      <c r="G58" s="61"/>
      <c r="H58" s="52" cm="1">
        <f t="array" ref="H58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45993</v>
      </c>
      <c r="I58" s="67"/>
      <c r="J58" s="86" t="str">
        <f t="shared" ca="1" si="3"/>
        <v/>
      </c>
      <c r="K58" s="68"/>
      <c r="L58" s="61"/>
      <c r="M58" s="61"/>
      <c r="N58" s="61"/>
      <c r="O58" s="69"/>
    </row>
    <row r="59" spans="1:15" ht="20" customHeight="1" x14ac:dyDescent="0.2">
      <c r="A59" s="66" t="s">
        <v>85</v>
      </c>
      <c r="B59" s="60" t="str" cm="1">
        <f t="array" aca="1" ref="B59" ca="1">_xlfn.LET(
    _xlpm.week, $B$4,
    _xlpm.d, H59,
    _xlpm.nthTask, COUNTIF($H$48:H59,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59" s="43"/>
      <c r="D59" s="43"/>
      <c r="E59" s="60" t="str" cm="1">
        <f t="array" aca="1" ref="E59" ca="1">_xlfn.LET(
    _xlpm.week, $B$4,
    _xlpm.rowPerson, 3 + (_xlpm.week-1)*11,
    _xlpm.personName, INDEX('Content Marketer'!$B:$B, _xlpm.rowPerson),
    IF($B17="", "", _xlpm.personName)
)</f>
        <v>Tan Nguyen</v>
      </c>
      <c r="F59" s="43"/>
      <c r="G59" s="43"/>
      <c r="H59" s="52" cm="1">
        <f t="array" ref="H59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45993</v>
      </c>
      <c r="I59" s="70"/>
      <c r="J59" s="87" t="str">
        <f t="shared" ca="1" si="3"/>
        <v/>
      </c>
      <c r="K59" s="71"/>
      <c r="L59" s="43"/>
      <c r="M59" s="43"/>
      <c r="N59" s="43"/>
      <c r="O59" s="72"/>
    </row>
    <row r="60" spans="1:15" ht="20" customHeight="1" x14ac:dyDescent="0.2">
      <c r="A60" s="65" t="s">
        <v>86</v>
      </c>
      <c r="B60" s="60" t="str" cm="1">
        <f t="array" aca="1" ref="B60" ca="1">_xlfn.LET(
    _xlpm.week, $B$4,
    _xlpm.d, H60,
    _xlpm.nthTask, COUNTIF($H$48:H60,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0" s="62"/>
      <c r="D60" s="61"/>
      <c r="E60" s="60" t="str" cm="1">
        <f t="array" aca="1" ref="E60" ca="1">_xlfn.LET(
    _xlpm.week, $B$4,
    _xlpm.rowPerson, 3 + (_xlpm.week-1)*11,
    _xlpm.personName, INDEX('Content Marketer'!$B:$B, _xlpm.rowPerson),
    IF($B18="", "", _xlpm.personName)
)</f>
        <v>Tan Nguyen</v>
      </c>
      <c r="F60" s="61"/>
      <c r="G60" s="61"/>
      <c r="H60" s="52" cm="1">
        <f t="array" ref="H60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45993</v>
      </c>
      <c r="I60" s="67"/>
      <c r="J60" s="86" t="str">
        <f t="shared" ca="1" si="3"/>
        <v/>
      </c>
      <c r="K60" s="68"/>
      <c r="L60" s="61"/>
      <c r="M60" s="61"/>
      <c r="N60" s="61"/>
      <c r="O60" s="69"/>
    </row>
    <row r="61" spans="1:15" ht="20" customHeight="1" x14ac:dyDescent="0.2">
      <c r="A61" s="66" t="s">
        <v>87</v>
      </c>
      <c r="B61" s="60" t="str" cm="1">
        <f t="array" aca="1" ref="B61" ca="1">_xlfn.LET(
    _xlpm.week, $B$4,
    _xlpm.d, H61,
    _xlpm.nthTask, COUNTIF($H$48:H61,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1" s="63"/>
      <c r="D61" s="43"/>
      <c r="E61" s="60" t="str" cm="1">
        <f t="array" aca="1" ref="E61" ca="1">_xlfn.LET(
    _xlpm.week, $B$4,
    _xlpm.rowPerson, 3 + (_xlpm.week-1)*11,
    _xlpm.personName, INDEX('Content Marketer'!$B:$B, _xlpm.rowPerson),
    IF($B19="", "", _xlpm.personName)
)</f>
        <v>Tan Nguyen</v>
      </c>
      <c r="F61" s="43"/>
      <c r="G61" s="43"/>
      <c r="H61" s="52" cm="1">
        <f t="array" ref="H61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45993</v>
      </c>
      <c r="I61" s="70"/>
      <c r="J61" s="87" t="str">
        <f t="shared" ca="1" si="3"/>
        <v/>
      </c>
      <c r="K61" s="71"/>
      <c r="L61" s="43"/>
      <c r="M61" s="43"/>
      <c r="N61" s="43"/>
      <c r="O61" s="72"/>
    </row>
    <row r="62" spans="1:15" ht="20" customHeight="1" x14ac:dyDescent="0.2">
      <c r="A62" s="65" t="s">
        <v>88</v>
      </c>
      <c r="B62" s="60" t="str" cm="1">
        <f t="array" aca="1" ref="B62" ca="1">_xlfn.LET(
    _xlpm.week, $B$4,
    _xlpm.d, H62,
    _xlpm.nthTask, COUNTIF($H$48:H62,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2" s="62"/>
      <c r="D62" s="61"/>
      <c r="E62" s="60" t="str" cm="1">
        <f t="array" aca="1" ref="E62" ca="1">_xlfn.LET(
    _xlpm.week, $B$4,
    _xlpm.rowPerson, 3 + (_xlpm.week-1)*11,
    _xlpm.personName, INDEX('Content Marketer'!$B:$B, _xlpm.rowPerson),
    IF($B20="", "", _xlpm.personName)
)</f>
        <v>Tan Nguyen</v>
      </c>
      <c r="F62" s="61"/>
      <c r="G62" s="61"/>
      <c r="H62" s="52" cm="1">
        <f t="array" ref="H62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45994</v>
      </c>
      <c r="I62" s="67"/>
      <c r="J62" s="86" t="str">
        <f t="shared" ca="1" si="3"/>
        <v/>
      </c>
      <c r="K62" s="68"/>
      <c r="L62" s="61"/>
      <c r="M62" s="61"/>
      <c r="N62" s="61"/>
      <c r="O62" s="69"/>
    </row>
    <row r="63" spans="1:15" ht="20" customHeight="1" x14ac:dyDescent="0.2">
      <c r="A63" s="66" t="s">
        <v>89</v>
      </c>
      <c r="B63" s="60" t="str" cm="1">
        <f t="array" aca="1" ref="B63" ca="1">_xlfn.LET(
    _xlpm.week, $B$4,
    _xlpm.d, H63,
    _xlpm.nthTask, COUNTIF($H$48:H63,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3" s="63"/>
      <c r="D63" s="43"/>
      <c r="E63" s="60" t="str" cm="1">
        <f t="array" aca="1" ref="E63" ca="1">_xlfn.LET(
    _xlpm.week, $B$4,
    _xlpm.rowPerson, 3 + (_xlpm.week-1)*11,
    _xlpm.personName, INDEX('Content Marketer'!$B:$B, _xlpm.rowPerson),
    IF($B21="", "", _xlpm.personName)
)</f>
        <v>Tan Nguyen</v>
      </c>
      <c r="F63" s="43"/>
      <c r="G63" s="43"/>
      <c r="H63" s="52" cm="1">
        <f t="array" ref="H63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45994</v>
      </c>
      <c r="I63" s="70"/>
      <c r="J63" s="87" t="str">
        <f t="shared" ca="1" si="3"/>
        <v/>
      </c>
      <c r="K63" s="71"/>
      <c r="L63" s="43"/>
      <c r="M63" s="43"/>
      <c r="N63" s="43"/>
      <c r="O63" s="72"/>
    </row>
    <row r="64" spans="1:15" ht="20" customHeight="1" x14ac:dyDescent="0.2">
      <c r="A64" s="65" t="s">
        <v>90</v>
      </c>
      <c r="B64" s="60" t="str" cm="1">
        <f t="array" aca="1" ref="B64" ca="1">_xlfn.LET(
    _xlpm.week, $B$4,
    _xlpm.d, H64,
    _xlpm.nthTask, COUNTIF($H$48:H64,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4" s="61"/>
      <c r="D64" s="61"/>
      <c r="E64" s="60" t="str" cm="1">
        <f t="array" aca="1" ref="E64" ca="1">_xlfn.LET(
    _xlpm.week, $B$4,
    _xlpm.rowPerson, 3 + (_xlpm.week-1)*11,
    _xlpm.personName, INDEX('Content Marketer'!$B:$B, _xlpm.rowPerson),
    IF($B22="", "", _xlpm.personName)
)</f>
        <v>Tan Nguyen</v>
      </c>
      <c r="F64" s="61"/>
      <c r="G64" s="61"/>
      <c r="H64" s="52" cm="1">
        <f t="array" ref="H64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45994</v>
      </c>
      <c r="I64" s="67"/>
      <c r="J64" s="86" t="str">
        <f t="shared" ca="1" si="3"/>
        <v/>
      </c>
      <c r="K64" s="68"/>
      <c r="L64" s="61"/>
      <c r="M64" s="61"/>
      <c r="N64" s="61"/>
      <c r="O64" s="69"/>
    </row>
    <row r="65" spans="1:15" ht="20" customHeight="1" x14ac:dyDescent="0.2">
      <c r="A65" s="66" t="s">
        <v>91</v>
      </c>
      <c r="B65" s="60" t="str" cm="1">
        <f t="array" aca="1" ref="B65" ca="1">_xlfn.LET(
    _xlpm.week, $B$4,
    _xlpm.d, H65,
    _xlpm.nthTask, COUNTIF($H$48:H65,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5" s="43"/>
      <c r="D65" s="43"/>
      <c r="E65" s="60" t="str" cm="1">
        <f t="array" aca="1" ref="E65" ca="1">_xlfn.LET(
    _xlpm.week, $B$4,
    _xlpm.rowPerson, 3 + (_xlpm.week-1)*11,
    _xlpm.personName, INDEX('Content Marketer'!$B:$B, _xlpm.rowPerson),
    IF($B23="", "", _xlpm.personName)
)</f>
        <v>Tan Nguyen</v>
      </c>
      <c r="F65" s="43"/>
      <c r="G65" s="43"/>
      <c r="H65" s="52" cm="1">
        <f t="array" ref="H65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45994</v>
      </c>
      <c r="I65" s="70"/>
      <c r="J65" s="87" t="str">
        <f ca="1">IF(I65="","",I65-TODAY())</f>
        <v/>
      </c>
      <c r="K65" s="71"/>
      <c r="L65" s="43"/>
      <c r="M65" s="43"/>
      <c r="N65" s="43"/>
      <c r="O65" s="72"/>
    </row>
    <row r="66" spans="1:15" ht="20" customHeight="1" x14ac:dyDescent="0.2">
      <c r="A66" s="65" t="s">
        <v>92</v>
      </c>
      <c r="B66" s="60" t="str" cm="1">
        <f t="array" aca="1" ref="B66" ca="1">_xlfn.LET(
    _xlpm.week, $B$4,
    _xlpm.d, H66,
    _xlpm.nthTask, COUNTIF($H$48:H66,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6" s="61"/>
      <c r="D66" s="61"/>
      <c r="E66" s="60" t="str" cm="1">
        <f t="array" aca="1" ref="E66" ca="1">_xlfn.LET(
    _xlpm.week, $B$4,
    _xlpm.rowPerson, 3 + (_xlpm.week-1)*11,
    _xlpm.personName, INDEX('Content Marketer'!$B:$B, _xlpm.rowPerson),
    IF($B24="", "", _xlpm.personName)
)</f>
        <v>Tan Nguyen</v>
      </c>
      <c r="F66" s="61"/>
      <c r="G66" s="61"/>
      <c r="H66" s="52" cm="1">
        <f t="array" ref="H66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45994</v>
      </c>
      <c r="I66" s="67"/>
      <c r="J66" s="86" t="str">
        <f t="shared" ref="J66:J89" ca="1" si="4">IF(I66="","",I66-TODAY())</f>
        <v/>
      </c>
      <c r="K66" s="68"/>
      <c r="L66" s="61"/>
      <c r="M66" s="61"/>
      <c r="N66" s="61"/>
      <c r="O66" s="69"/>
    </row>
    <row r="67" spans="1:15" ht="20" customHeight="1" x14ac:dyDescent="0.2">
      <c r="A67" s="66" t="s">
        <v>93</v>
      </c>
      <c r="B67" s="60" t="str" cm="1">
        <f t="array" aca="1" ref="B67" ca="1">_xlfn.LET(
    _xlpm.week, $B$4,
    _xlpm.d, H67,
    _xlpm.nthTask, COUNTIF($H$48:H67,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7" s="63"/>
      <c r="D67" s="43"/>
      <c r="E67" s="60" t="str" cm="1">
        <f t="array" aca="1" ref="E67" ca="1">_xlfn.LET(
    _xlpm.week, $B$4,
    _xlpm.rowPerson, 3 + (_xlpm.week-1)*11,
    _xlpm.personName, INDEX('Content Marketer'!$B:$B, _xlpm.rowPerson),
    IF($B25="", "", _xlpm.personName)
)</f>
        <v>Tan Nguyen</v>
      </c>
      <c r="F67" s="43"/>
      <c r="G67" s="43"/>
      <c r="H67" s="52" cm="1">
        <f t="array" ref="H67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45994</v>
      </c>
      <c r="I67" s="70"/>
      <c r="J67" s="87" t="str">
        <f t="shared" ca="1" si="4"/>
        <v/>
      </c>
      <c r="K67" s="71"/>
      <c r="L67" s="43"/>
      <c r="M67" s="43"/>
      <c r="N67" s="43"/>
      <c r="O67" s="72"/>
    </row>
    <row r="68" spans="1:15" ht="20" customHeight="1" x14ac:dyDescent="0.2">
      <c r="A68" s="65" t="s">
        <v>94</v>
      </c>
      <c r="B68" s="60" t="str" cm="1">
        <f t="array" aca="1" ref="B68" ca="1">_xlfn.LET(
    _xlpm.week, $B$4,
    _xlpm.d, H68,
    _xlpm.nthTask, COUNTIF($H$48:H68,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8" s="62"/>
      <c r="D68" s="61"/>
      <c r="E68" s="60" t="str" cm="1">
        <f t="array" aca="1" ref="E68" ca="1">_xlfn.LET(
    _xlpm.week, $B$4,
    _xlpm.rowPerson, 3 + (_xlpm.week-1)*11,
    _xlpm.personName, INDEX('Content Marketer'!$B:$B, _xlpm.rowPerson),
    IF($B26="", "", _xlpm.personName)
)</f>
        <v>Tan Nguyen</v>
      </c>
      <c r="F68" s="61"/>
      <c r="G68" s="61"/>
      <c r="H68" s="52" cm="1">
        <f t="array" ref="H68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45994</v>
      </c>
      <c r="I68" s="67"/>
      <c r="J68" s="86" t="str">
        <f t="shared" ca="1" si="4"/>
        <v/>
      </c>
      <c r="K68" s="68"/>
      <c r="L68" s="61"/>
      <c r="M68" s="61"/>
      <c r="N68" s="61"/>
      <c r="O68" s="69"/>
    </row>
    <row r="69" spans="1:15" ht="20" customHeight="1" x14ac:dyDescent="0.2">
      <c r="A69" s="66" t="s">
        <v>95</v>
      </c>
      <c r="B69" s="60" t="str" cm="1">
        <f t="array" aca="1" ref="B69" ca="1">_xlfn.LET(
    _xlpm.week, $B$4,
    _xlpm.d, H69,
    _xlpm.nthTask, COUNTIF($H$48:H69,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69" s="63"/>
      <c r="D69" s="43"/>
      <c r="E69" s="60" t="str" cm="1">
        <f t="array" aca="1" ref="E69" ca="1">_xlfn.LET(
    _xlpm.week, $B$4,
    _xlpm.rowPerson, 3 + (_xlpm.week-1)*11,
    _xlpm.personName, INDEX('Content Marketer'!$B:$B, _xlpm.rowPerson),
    IF($B27="", "", _xlpm.personName)
)</f>
        <v>Tan Nguyen</v>
      </c>
      <c r="F69" s="43"/>
      <c r="G69" s="43"/>
      <c r="H69" s="52" cm="1">
        <f t="array" ref="H69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45995</v>
      </c>
      <c r="I69" s="70"/>
      <c r="J69" s="87" t="str">
        <f t="shared" ca="1" si="4"/>
        <v/>
      </c>
      <c r="K69" s="71"/>
      <c r="L69" s="43"/>
      <c r="M69" s="43"/>
      <c r="N69" s="43"/>
      <c r="O69" s="72"/>
    </row>
    <row r="70" spans="1:15" ht="20" customHeight="1" x14ac:dyDescent="0.2">
      <c r="A70" s="65" t="s">
        <v>96</v>
      </c>
      <c r="B70" s="60" t="str" cm="1">
        <f t="array" aca="1" ref="B70" ca="1">_xlfn.LET(
    _xlpm.week, $B$4,
    _xlpm.d, H70,
    _xlpm.nthTask, COUNTIF($H$48:H70,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0" s="61"/>
      <c r="D70" s="61"/>
      <c r="E70" s="60" t="str" cm="1">
        <f t="array" aca="1" ref="E70" ca="1">_xlfn.LET(
    _xlpm.week, $B$4,
    _xlpm.rowPerson, 3 + (_xlpm.week-1)*11,
    _xlpm.personName, INDEX('Content Marketer'!$B:$B, _xlpm.rowPerson),
    IF($B28="", "", _xlpm.personName)
)</f>
        <v>Tan Nguyen</v>
      </c>
      <c r="F70" s="61"/>
      <c r="G70" s="61"/>
      <c r="H70" s="52" cm="1">
        <f t="array" ref="H70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45995</v>
      </c>
      <c r="I70" s="67"/>
      <c r="J70" s="86" t="str">
        <f t="shared" ca="1" si="4"/>
        <v/>
      </c>
      <c r="K70" s="68"/>
      <c r="L70" s="61"/>
      <c r="M70" s="61"/>
      <c r="N70" s="61"/>
      <c r="O70" s="69"/>
    </row>
    <row r="71" spans="1:15" ht="20" customHeight="1" x14ac:dyDescent="0.2">
      <c r="A71" s="66" t="s">
        <v>97</v>
      </c>
      <c r="B71" s="60" t="str" cm="1">
        <f t="array" aca="1" ref="B71" ca="1">_xlfn.LET(
    _xlpm.week, $B$4,
    _xlpm.d, H71,
    _xlpm.nthTask, COUNTIF($H$48:H71,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1" s="43"/>
      <c r="D71" s="43"/>
      <c r="E71" s="60" t="str" cm="1">
        <f t="array" aca="1" ref="E71" ca="1">_xlfn.LET(
    _xlpm.week, $B$4,
    _xlpm.rowPerson, 3 + (_xlpm.week-1)*11,
    _xlpm.personName, INDEX('Content Marketer'!$B:$B, _xlpm.rowPerson),
    IF($B29="", "", _xlpm.personName)
)</f>
        <v>Tan Nguyen</v>
      </c>
      <c r="F71" s="43"/>
      <c r="G71" s="43"/>
      <c r="H71" s="52" cm="1">
        <f t="array" ref="H71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45995</v>
      </c>
      <c r="I71" s="70"/>
      <c r="J71" s="87" t="str">
        <f t="shared" ca="1" si="4"/>
        <v/>
      </c>
      <c r="K71" s="71"/>
      <c r="L71" s="43"/>
      <c r="M71" s="43"/>
      <c r="N71" s="43"/>
      <c r="O71" s="72"/>
    </row>
    <row r="72" spans="1:15" ht="20" customHeight="1" x14ac:dyDescent="0.2">
      <c r="A72" s="65" t="s">
        <v>98</v>
      </c>
      <c r="B72" s="60" t="str" cm="1">
        <f t="array" aca="1" ref="B72" ca="1">_xlfn.LET(
    _xlpm.week, $B$4,
    _xlpm.d, H72,
    _xlpm.nthTask, COUNTIF($H$48:H72,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2" s="61"/>
      <c r="D72" s="61"/>
      <c r="E72" s="60" t="str" cm="1">
        <f t="array" aca="1" ref="E72" ca="1">_xlfn.LET(
    _xlpm.week, $B$4,
    _xlpm.rowPerson, 3 + (_xlpm.week-1)*11,
    _xlpm.personName, INDEX('Content Marketer'!$B:$B, _xlpm.rowPerson),
    IF($B30="", "", _xlpm.personName)
)</f>
        <v>Tan Nguyen</v>
      </c>
      <c r="F72" s="61"/>
      <c r="G72" s="61"/>
      <c r="H72" s="52" cm="1">
        <f t="array" ref="H72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45995</v>
      </c>
      <c r="I72" s="67"/>
      <c r="J72" s="86" t="str">
        <f t="shared" ca="1" si="4"/>
        <v/>
      </c>
      <c r="K72" s="68"/>
      <c r="L72" s="61"/>
      <c r="M72" s="61"/>
      <c r="N72" s="61"/>
      <c r="O72" s="69"/>
    </row>
    <row r="73" spans="1:15" ht="20" customHeight="1" x14ac:dyDescent="0.2">
      <c r="A73" s="66" t="s">
        <v>99</v>
      </c>
      <c r="B73" s="60" t="str" cm="1">
        <f t="array" aca="1" ref="B73" ca="1">_xlfn.LET(
    _xlpm.week, $B$4,
    _xlpm.d, H73,
    _xlpm.nthTask, COUNTIF($H$48:H73,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3" s="63"/>
      <c r="D73" s="43"/>
      <c r="E73" s="60" t="str" cm="1">
        <f t="array" aca="1" ref="E73" ca="1">_xlfn.LET(
    _xlpm.week, $B$4,
    _xlpm.rowPerson, 3 + (_xlpm.week-1)*11,
    _xlpm.personName, INDEX('Content Marketer'!$B:$B, _xlpm.rowPerson),
    IF($B31="", "", _xlpm.personName)
)</f>
        <v>Tan Nguyen</v>
      </c>
      <c r="F73" s="43"/>
      <c r="G73" s="43"/>
      <c r="H73" s="52" cm="1">
        <f t="array" ref="H73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45995</v>
      </c>
      <c r="I73" s="70"/>
      <c r="J73" s="87" t="str">
        <f t="shared" ca="1" si="4"/>
        <v/>
      </c>
      <c r="K73" s="71"/>
      <c r="L73" s="43"/>
      <c r="M73" s="43"/>
      <c r="N73" s="43"/>
      <c r="O73" s="72"/>
    </row>
    <row r="74" spans="1:15" ht="20" customHeight="1" x14ac:dyDescent="0.2">
      <c r="A74" s="65" t="s">
        <v>100</v>
      </c>
      <c r="B74" s="60" t="str" cm="1">
        <f t="array" aca="1" ref="B74" ca="1">_xlfn.LET(
    _xlpm.week, $B$4,
    _xlpm.d, H74,
    _xlpm.nthTask, COUNTIF($H$48:H74,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4" s="62"/>
      <c r="D74" s="61"/>
      <c r="E74" s="60" t="str" cm="1">
        <f t="array" aca="1" ref="E74" ca="1">_xlfn.LET(
    _xlpm.week, $B$4,
    _xlpm.rowPerson, 3 + (_xlpm.week-1)*11,
    _xlpm.personName, INDEX('Content Marketer'!$B:$B, _xlpm.rowPerson),
    IF($B32="", "", _xlpm.personName)
)</f>
        <v>Tan Nguyen</v>
      </c>
      <c r="F74" s="61"/>
      <c r="G74" s="61"/>
      <c r="H74" s="52" cm="1">
        <f t="array" ref="H74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45995</v>
      </c>
      <c r="I74" s="67"/>
      <c r="J74" s="86" t="str">
        <f t="shared" ca="1" si="4"/>
        <v/>
      </c>
      <c r="K74" s="68"/>
      <c r="L74" s="61"/>
      <c r="M74" s="61"/>
      <c r="N74" s="61"/>
      <c r="O74" s="69"/>
    </row>
    <row r="75" spans="1:15" ht="20" customHeight="1" x14ac:dyDescent="0.2">
      <c r="A75" s="66" t="s">
        <v>101</v>
      </c>
      <c r="B75" s="60" t="str" cm="1">
        <f t="array" aca="1" ref="B75" ca="1">_xlfn.LET(
    _xlpm.week, $B$4,
    _xlpm.d, H75,
    _xlpm.nthTask, COUNTIF($H$48:H75,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5" s="63"/>
      <c r="D75" s="43"/>
      <c r="E75" s="60" t="str" cm="1">
        <f t="array" aca="1" ref="E75" ca="1">_xlfn.LET(
    _xlpm.week, $B$4,
    _xlpm.rowPerson, 3 + (_xlpm.week-1)*11,
    _xlpm.personName, INDEX('Content Marketer'!$B:$B, _xlpm.rowPerson),
    IF($B33="", "", _xlpm.personName)
)</f>
        <v>Tan Nguyen</v>
      </c>
      <c r="F75" s="43"/>
      <c r="G75" s="43"/>
      <c r="H75" s="52" cm="1">
        <f t="array" ref="H75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45995</v>
      </c>
      <c r="I75" s="70"/>
      <c r="J75" s="87" t="str">
        <f t="shared" ca="1" si="4"/>
        <v/>
      </c>
      <c r="K75" s="71"/>
      <c r="L75" s="43"/>
      <c r="M75" s="43"/>
      <c r="N75" s="43"/>
      <c r="O75" s="72"/>
    </row>
    <row r="76" spans="1:15" ht="20" customHeight="1" x14ac:dyDescent="0.2">
      <c r="A76" s="65" t="s">
        <v>102</v>
      </c>
      <c r="B76" s="60" t="str" cm="1">
        <f t="array" aca="1" ref="B76" ca="1">_xlfn.LET(
    _xlpm.week, $B$4,
    _xlpm.d, H76,
    _xlpm.nthTask, COUNTIF($H$48:H76,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6" s="62"/>
      <c r="D76" s="61"/>
      <c r="E76" s="60" t="str" cm="1">
        <f t="array" aca="1" ref="E76" ca="1">_xlfn.LET(
    _xlpm.week, $B$4,
    _xlpm.rowPerson, 3 + (_xlpm.week-1)*11,
    _xlpm.personName, INDEX('Content Marketer'!$B:$B, _xlpm.rowPerson),
    IF($B34="", "", _xlpm.personName)
)</f>
        <v>Tan Nguyen</v>
      </c>
      <c r="F76" s="61"/>
      <c r="G76" s="61"/>
      <c r="H76" s="52" cm="1">
        <f t="array" ref="H76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45996</v>
      </c>
      <c r="I76" s="67"/>
      <c r="J76" s="86" t="str">
        <f t="shared" ca="1" si="4"/>
        <v/>
      </c>
      <c r="K76" s="68"/>
      <c r="L76" s="61"/>
      <c r="M76" s="61"/>
      <c r="N76" s="61"/>
      <c r="O76" s="69"/>
    </row>
    <row r="77" spans="1:15" ht="20" customHeight="1" x14ac:dyDescent="0.2">
      <c r="A77" s="66" t="s">
        <v>103</v>
      </c>
      <c r="B77" s="60" t="str" cm="1">
        <f t="array" aca="1" ref="B77" ca="1">_xlfn.LET(
    _xlpm.week, $B$4,
    _xlpm.d, H77,
    _xlpm.nthTask, COUNTIF($H$48:H77,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7" s="43"/>
      <c r="D77" s="43"/>
      <c r="E77" s="60" t="str" cm="1">
        <f t="array" aca="1" ref="E77" ca="1">_xlfn.LET(
    _xlpm.week, $B$4,
    _xlpm.rowPerson, 3 + (_xlpm.week-1)*11,
    _xlpm.personName, INDEX('Content Marketer'!$B:$B, _xlpm.rowPerson),
    IF($B35="", "", _xlpm.personName)
)</f>
        <v>Tan Nguyen</v>
      </c>
      <c r="F77" s="43"/>
      <c r="G77" s="43"/>
      <c r="H77" s="52" cm="1">
        <f t="array" ref="H77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45996</v>
      </c>
      <c r="I77" s="70"/>
      <c r="J77" s="87" t="str">
        <f t="shared" ca="1" si="4"/>
        <v/>
      </c>
      <c r="K77" s="71"/>
      <c r="L77" s="43"/>
      <c r="M77" s="43"/>
      <c r="N77" s="43"/>
      <c r="O77" s="72"/>
    </row>
    <row r="78" spans="1:15" ht="20" customHeight="1" x14ac:dyDescent="0.2">
      <c r="A78" s="65" t="s">
        <v>104</v>
      </c>
      <c r="B78" s="60" t="str" cm="1">
        <f t="array" aca="1" ref="B78" ca="1">_xlfn.LET(
    _xlpm.week, $B$4,
    _xlpm.d, H78,
    _xlpm.nthTask, COUNTIF($H$48:H78,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8" s="61"/>
      <c r="D78" s="61"/>
      <c r="E78" s="60" t="str" cm="1">
        <f t="array" aca="1" ref="E78" ca="1">_xlfn.LET(
    _xlpm.week, $B$4,
    _xlpm.rowPerson, 3 + (_xlpm.week-1)*11,
    _xlpm.personName, INDEX('Content Marketer'!$B:$B, _xlpm.rowPerson),
    IF($B36="", "", _xlpm.personName)
)</f>
        <v>Tan Nguyen</v>
      </c>
      <c r="F78" s="61"/>
      <c r="G78" s="61"/>
      <c r="H78" s="52" cm="1">
        <f t="array" ref="H78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45996</v>
      </c>
      <c r="I78" s="67"/>
      <c r="J78" s="86" t="str">
        <f t="shared" ca="1" si="4"/>
        <v/>
      </c>
      <c r="K78" s="68"/>
      <c r="L78" s="61"/>
      <c r="M78" s="61"/>
      <c r="N78" s="61"/>
      <c r="O78" s="69"/>
    </row>
    <row r="79" spans="1:15" ht="20" customHeight="1" x14ac:dyDescent="0.2">
      <c r="A79" s="66" t="s">
        <v>105</v>
      </c>
      <c r="B79" s="60" t="str" cm="1">
        <f t="array" aca="1" ref="B79" ca="1">_xlfn.LET(
    _xlpm.week, $B$4,
    _xlpm.d, H79,
    _xlpm.nthTask, COUNTIF($H$48:H79,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79" s="43"/>
      <c r="D79" s="43"/>
      <c r="E79" s="60" t="str" cm="1">
        <f t="array" aca="1" ref="E79" ca="1">_xlfn.LET(
    _xlpm.week, $B$4,
    _xlpm.rowPerson, 3 + (_xlpm.week-1)*11,
    _xlpm.personName, INDEX('Content Marketer'!$B:$B, _xlpm.rowPerson),
    IF($B37="", "", _xlpm.personName)
)</f>
        <v>Tan Nguyen</v>
      </c>
      <c r="F79" s="43"/>
      <c r="G79" s="43"/>
      <c r="H79" s="52" cm="1">
        <f t="array" ref="H79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45996</v>
      </c>
      <c r="I79" s="70"/>
      <c r="J79" s="87" t="str">
        <f t="shared" ca="1" si="4"/>
        <v/>
      </c>
      <c r="K79" s="71"/>
      <c r="L79" s="43"/>
      <c r="M79" s="43"/>
      <c r="N79" s="43"/>
      <c r="O79" s="72"/>
    </row>
    <row r="80" spans="1:15" ht="20" customHeight="1" x14ac:dyDescent="0.2">
      <c r="A80" s="65" t="s">
        <v>106</v>
      </c>
      <c r="B80" s="60" t="str" cm="1">
        <f t="array" aca="1" ref="B80" ca="1">_xlfn.LET(
    _xlpm.week, $B$4,
    _xlpm.d, H80,
    _xlpm.nthTask, COUNTIF($H$48:H80,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0" s="62"/>
      <c r="D80" s="61"/>
      <c r="E80" s="60" t="str" cm="1">
        <f t="array" aca="1" ref="E80" ca="1">_xlfn.LET(
    _xlpm.week, $B$4,
    _xlpm.rowPerson, 3 + (_xlpm.week-1)*11,
    _xlpm.personName, INDEX('Content Marketer'!$B:$B, _xlpm.rowPerson),
    IF($B38="", "", _xlpm.personName)
)</f>
        <v>Tan Nguyen</v>
      </c>
      <c r="F80" s="61"/>
      <c r="G80" s="61"/>
      <c r="H80" s="52" cm="1">
        <f t="array" ref="H80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45996</v>
      </c>
      <c r="I80" s="67"/>
      <c r="J80" s="86" t="str">
        <f t="shared" ca="1" si="4"/>
        <v/>
      </c>
      <c r="K80" s="68"/>
      <c r="L80" s="61"/>
      <c r="M80" s="61"/>
      <c r="N80" s="61"/>
      <c r="O80" s="69"/>
    </row>
    <row r="81" spans="1:15" ht="20" customHeight="1" x14ac:dyDescent="0.2">
      <c r="A81" s="66" t="s">
        <v>107</v>
      </c>
      <c r="B81" s="60" t="str" cm="1">
        <f t="array" aca="1" ref="B81" ca="1">_xlfn.LET(
    _xlpm.week, $B$4,
    _xlpm.d, H81,
    _xlpm.nthTask, COUNTIF($H$48:H81,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1" s="63"/>
      <c r="D81" s="43"/>
      <c r="E81" s="60" t="str" cm="1">
        <f t="array" aca="1" ref="E81" ca="1">_xlfn.LET(
    _xlpm.week, $B$4,
    _xlpm.rowPerson, 3 + (_xlpm.week-1)*11,
    _xlpm.personName, INDEX('Content Marketer'!$B:$B, _xlpm.rowPerson),
    IF($B39="", "", _xlpm.personName)
)</f>
        <v>Tan Nguyen</v>
      </c>
      <c r="F81" s="43"/>
      <c r="G81" s="43"/>
      <c r="H81" s="52" cm="1">
        <f t="array" ref="H81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45996</v>
      </c>
      <c r="I81" s="70"/>
      <c r="J81" s="87" t="str">
        <f t="shared" ca="1" si="4"/>
        <v/>
      </c>
      <c r="K81" s="71"/>
      <c r="L81" s="43"/>
      <c r="M81" s="43"/>
      <c r="N81" s="43"/>
      <c r="O81" s="72"/>
    </row>
    <row r="82" spans="1:15" ht="20" customHeight="1" x14ac:dyDescent="0.2">
      <c r="A82" s="65" t="s">
        <v>108</v>
      </c>
      <c r="B82" s="60" t="str" cm="1">
        <f t="array" aca="1" ref="B82" ca="1">_xlfn.LET(
    _xlpm.week, $B$4,
    _xlpm.d, H82,
    _xlpm.nthTask, COUNTIF($H$48:H82,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2" s="62"/>
      <c r="D82" s="61"/>
      <c r="E82" s="60" t="str" cm="1">
        <f t="array" aca="1" ref="E82" ca="1">_xlfn.LET(
    _xlpm.week, $B$4,
    _xlpm.rowPerson, 3 + (_xlpm.week-1)*11,
    _xlpm.personName, INDEX('Content Marketer'!$B:$B, _xlpm.rowPerson),
    IF($B40="", "", _xlpm.personName)
)</f>
        <v>Tan Nguyen</v>
      </c>
      <c r="F82" s="61"/>
      <c r="G82" s="61"/>
      <c r="H82" s="52" cm="1">
        <f t="array" ref="H82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45996</v>
      </c>
      <c r="I82" s="67"/>
      <c r="J82" s="86" t="str">
        <f t="shared" ca="1" si="4"/>
        <v/>
      </c>
      <c r="K82" s="68"/>
      <c r="L82" s="61"/>
      <c r="M82" s="61"/>
      <c r="N82" s="61"/>
      <c r="O82" s="69"/>
    </row>
    <row r="83" spans="1:15" ht="20" customHeight="1" x14ac:dyDescent="0.2">
      <c r="A83" s="66" t="s">
        <v>109</v>
      </c>
      <c r="B83" s="60" t="str" cm="1">
        <f t="array" aca="1" ref="B83" ca="1">_xlfn.LET(
    _xlpm.week, $B$4,
    _xlpm.d, H83,
    _xlpm.nthTask, COUNTIF($H$48:H83,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3" s="63"/>
      <c r="D83" s="43"/>
      <c r="E83" s="60" t="str" cm="1">
        <f t="array" aca="1" ref="E83" ca="1">_xlfn.LET(
    _xlpm.week, $B$4,
    _xlpm.rowPerson, 3 + (_xlpm.week-1)*11,
    _xlpm.personName, INDEX('Content Marketer'!$B:$B, _xlpm.rowPerson),
    IF($B41="", "", _xlpm.personName)
)</f>
        <v>Tan Nguyen</v>
      </c>
      <c r="F83" s="43"/>
      <c r="G83" s="43"/>
      <c r="H83" s="52" cm="1">
        <f t="array" ref="H83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45997</v>
      </c>
      <c r="I83" s="70"/>
      <c r="J83" s="87" t="str">
        <f t="shared" ca="1" si="4"/>
        <v/>
      </c>
      <c r="K83" s="71"/>
      <c r="L83" s="43"/>
      <c r="M83" s="43"/>
      <c r="N83" s="43"/>
      <c r="O83" s="72"/>
    </row>
    <row r="84" spans="1:15" ht="20" customHeight="1" x14ac:dyDescent="0.2">
      <c r="A84" s="65" t="s">
        <v>110</v>
      </c>
      <c r="B84" s="60" t="str" cm="1">
        <f t="array" aca="1" ref="B84" ca="1">_xlfn.LET(
    _xlpm.week, $B$4,
    _xlpm.d, H84,
    _xlpm.nthTask, COUNTIF($H$48:H84,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4" s="61"/>
      <c r="D84" s="61"/>
      <c r="E84" s="60" t="str" cm="1">
        <f t="array" aca="1" ref="E84" ca="1">_xlfn.LET(
    _xlpm.week, $B$4,
    _xlpm.rowPerson, 3 + (_xlpm.week-1)*11,
    _xlpm.personName, INDEX('Content Marketer'!$B:$B, _xlpm.rowPerson),
    IF($B42="", "", _xlpm.personName)
)</f>
        <v>Tan Nguyen</v>
      </c>
      <c r="F84" s="61"/>
      <c r="G84" s="61"/>
      <c r="H84" s="52" cm="1">
        <f t="array" ref="H84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45997</v>
      </c>
      <c r="I84" s="67"/>
      <c r="J84" s="86" t="str">
        <f t="shared" ca="1" si="4"/>
        <v/>
      </c>
      <c r="K84" s="68"/>
      <c r="L84" s="61"/>
      <c r="M84" s="61"/>
      <c r="N84" s="61"/>
      <c r="O84" s="69"/>
    </row>
    <row r="85" spans="1:15" ht="20" customHeight="1" x14ac:dyDescent="0.2">
      <c r="A85" s="66" t="s">
        <v>111</v>
      </c>
      <c r="B85" s="60" t="str" cm="1">
        <f t="array" aca="1" ref="B85" ca="1">_xlfn.LET(
    _xlpm.week, $B$4,
    _xlpm.d, H85,
    _xlpm.nthTask, COUNTIF($H$48:H85,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5" s="43"/>
      <c r="D85" s="43"/>
      <c r="E85" s="60" t="str" cm="1">
        <f t="array" aca="1" ref="E85" ca="1">_xlfn.LET(
    _xlpm.week, $B$4,
    _xlpm.rowPerson, 3 + (_xlpm.week-1)*11,
    _xlpm.personName, INDEX('Content Marketer'!$B:$B, _xlpm.rowPerson),
    IF($B43="", "", _xlpm.personName)
)</f>
        <v>Tan Nguyen</v>
      </c>
      <c r="F85" s="43"/>
      <c r="G85" s="43"/>
      <c r="H85" s="52" cm="1">
        <f t="array" ref="H85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45997</v>
      </c>
      <c r="I85" s="70"/>
      <c r="J85" s="87" t="str">
        <f t="shared" ca="1" si="4"/>
        <v/>
      </c>
      <c r="K85" s="71"/>
      <c r="L85" s="43"/>
      <c r="M85" s="43"/>
      <c r="N85" s="43"/>
      <c r="O85" s="72"/>
    </row>
    <row r="86" spans="1:15" ht="20" customHeight="1" x14ac:dyDescent="0.2">
      <c r="A86" s="65" t="s">
        <v>112</v>
      </c>
      <c r="B86" s="60" t="str" cm="1">
        <f t="array" aca="1" ref="B86" ca="1">_xlfn.LET(
    _xlpm.week, $B$4,
    _xlpm.d, H86,
    _xlpm.nthTask, COUNTIF($H$48:H86,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6" s="61"/>
      <c r="D86" s="61"/>
      <c r="E86" s="60" t="str" cm="1">
        <f t="array" aca="1" ref="E86" ca="1">_xlfn.LET(
    _xlpm.week, $B$4,
    _xlpm.rowPerson, 3 + (_xlpm.week-1)*11,
    _xlpm.personName, INDEX('Content Marketer'!$B:$B, _xlpm.rowPerson),
    IF($B44="", "", _xlpm.personName)
)</f>
        <v>Tan Nguyen</v>
      </c>
      <c r="F86" s="61"/>
      <c r="G86" s="61"/>
      <c r="H86" s="52" cm="1">
        <f t="array" ref="H86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45997</v>
      </c>
      <c r="I86" s="67"/>
      <c r="J86" s="86" t="str">
        <f t="shared" ca="1" si="4"/>
        <v/>
      </c>
      <c r="K86" s="68"/>
      <c r="L86" s="61"/>
      <c r="M86" s="61"/>
      <c r="N86" s="61"/>
      <c r="O86" s="69"/>
    </row>
    <row r="87" spans="1:15" ht="20" customHeight="1" x14ac:dyDescent="0.2">
      <c r="A87" s="66" t="s">
        <v>113</v>
      </c>
      <c r="B87" s="60" t="str" cm="1">
        <f t="array" aca="1" ref="B87" ca="1">_xlfn.LET(
    _xlpm.week, $B$4,
    _xlpm.d, H87,
    _xlpm.nthTask, COUNTIF($H$48:H87,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7" s="63"/>
      <c r="D87" s="43"/>
      <c r="E87" s="60" t="str" cm="1">
        <f t="array" aca="1" ref="E87" ca="1">_xlfn.LET(
    _xlpm.week, $B$4,
    _xlpm.rowPerson, 3 + (_xlpm.week-1)*11,
    _xlpm.personName, INDEX('Content Marketer'!$B:$B, _xlpm.rowPerson),
    IF($B45="", "", _xlpm.personName)
)</f>
        <v>Tan Nguyen</v>
      </c>
      <c r="F87" s="43"/>
      <c r="G87" s="43"/>
      <c r="H87" s="52" cm="1">
        <f t="array" ref="H87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45997</v>
      </c>
      <c r="I87" s="70"/>
      <c r="J87" s="87" t="str">
        <f t="shared" ca="1" si="4"/>
        <v/>
      </c>
      <c r="K87" s="71"/>
      <c r="L87" s="43"/>
      <c r="M87" s="43"/>
      <c r="N87" s="43"/>
      <c r="O87" s="72"/>
    </row>
    <row r="88" spans="1:15" ht="20" customHeight="1" x14ac:dyDescent="0.2">
      <c r="A88" s="65" t="s">
        <v>114</v>
      </c>
      <c r="B88" s="60" t="str" cm="1">
        <f t="array" aca="1" ref="B88" ca="1">_xlfn.LET(
    _xlpm.week, $B$4,
    _xlpm.d, H88,
    _xlpm.nthTask, COUNTIF($H$48:H88, _xlpm.d),
    _xlpm.dateHeader, OFFSET('Content Marketer'!$C$3, (_xlpm.week-1)*11, 0, 1, 7),
    _xlpm.taskRange, OFFSET('Content Marketer'!$C$5,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8" s="62"/>
      <c r="D88" s="61"/>
      <c r="E88" s="60" t="str" cm="1">
        <f t="array" aca="1" ref="E88" ca="1">_xlfn.LET(
    _xlpm.week, $B$4,
    _xlpm.rowPerson, 3 + (_xlpm.week-1)*11,
    _xlpm.personName, INDEX('Content Marketer'!$B:$B, _xlpm.rowPerson),
    IF($B46="", "", _xlpm.personName)
)</f>
        <v>Tan Nguyen</v>
      </c>
      <c r="F88" s="61"/>
      <c r="G88" s="61"/>
      <c r="H88" s="52" cm="1">
        <f t="array" ref="H88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45997</v>
      </c>
      <c r="I88" s="67"/>
      <c r="J88" s="86" t="str">
        <f t="shared" ca="1" si="4"/>
        <v/>
      </c>
      <c r="K88" s="68"/>
      <c r="L88" s="61"/>
      <c r="M88" s="61"/>
      <c r="N88" s="61"/>
      <c r="O88" s="69"/>
    </row>
    <row r="89" spans="1:15" ht="20" customHeight="1" x14ac:dyDescent="0.2">
      <c r="A89" s="66" t="s">
        <v>115</v>
      </c>
      <c r="B89" s="60" t="str" cm="1">
        <f t="array" aca="1" ref="B89" ca="1">_xlfn.LET(
    _xlpm.week, $B$4,
    _xlpm.d, H89,
    _xlpm.nthTask, COUNTIF($H$89:H89,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89" s="63"/>
      <c r="D89" s="43"/>
      <c r="E89" s="60" t="str" cm="1">
        <f t="array" aca="1" ref="E89" ca="1">_xlfn.LET(
    _xlpm.week, $B$4,
    _xlpm.rowPerson, 3 + (_xlpm.week-1)*11,
    _xlpm.personName, INDEX('Graphic Designer'!$B:$B, _xlpm.rowPerson),
    IF($B6="", "", _xlpm.personName)
)</f>
        <v>Hung Lu</v>
      </c>
      <c r="F89" s="43"/>
      <c r="G89" s="43"/>
      <c r="H89" s="52" cm="1">
        <f t="array" ref="H89">IFERROR(
  _xlfn.LET(
    _xlpm.week, $B$4,
    _xlpm.pos, ROW()-ROW($H$48),
    _xlpm.dayIndex, INT(_xlpm.pos/7)+1,
    _xlpm.rowDate, 3 + (_xlpm.week-1)*11,
    IF(_xlpm.dayIndex&gt;7,"", INDEX('Content Marketer'!$C:$I, _xlpm.rowDate, _xlpm.dayIndex))
  ),
"")</f>
        <v>45997</v>
      </c>
      <c r="I89" s="70"/>
      <c r="J89" s="87" t="str">
        <f t="shared" ca="1" si="4"/>
        <v/>
      </c>
      <c r="K89" s="71"/>
      <c r="L89" s="43"/>
      <c r="M89" s="43"/>
      <c r="N89" s="43"/>
      <c r="O89" s="72"/>
    </row>
    <row r="90" spans="1:15" ht="20" customHeight="1" x14ac:dyDescent="0.2">
      <c r="A90" s="65" t="s">
        <v>74</v>
      </c>
      <c r="B90" s="60" t="str" cm="1">
        <f t="array" aca="1" ref="B90" ca="1">_xlfn.LET(
    _xlpm.week, $B$4,
    _xlpm.d, H90,
    _xlpm.nthTask, COUNTIF($H$90:H90,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0" s="61"/>
      <c r="D90" s="61"/>
      <c r="E90" s="60" t="str" cm="1">
        <f t="array" aca="1" ref="E90" ca="1">_xlfn.LET(
    _xlpm.week, $B$4,
    _xlpm.rowPerson, 3 + (_xlpm.week-1)*11,
    _xlpm.personName, INDEX('Graphic Designer'!$B:$B, _xlpm.rowPerson),
    IF($B7="", "", _xlpm.personName)
)</f>
        <v>Hung Lu</v>
      </c>
      <c r="F90" s="61"/>
      <c r="G90" s="61"/>
      <c r="H90" s="52" cm="1">
        <f t="array" ref="H90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45992</v>
      </c>
      <c r="I90" s="67"/>
      <c r="J90" s="86" t="str">
        <f ca="1">IF(I90="","",I90-TODAY())</f>
        <v/>
      </c>
      <c r="K90" s="68"/>
      <c r="L90" s="61"/>
      <c r="M90" s="62"/>
      <c r="N90" s="62"/>
      <c r="O90" s="69"/>
    </row>
    <row r="91" spans="1:15" ht="20" customHeight="1" x14ac:dyDescent="0.2">
      <c r="A91" s="66" t="s">
        <v>75</v>
      </c>
      <c r="B91" s="60" t="str" cm="1">
        <f t="array" aca="1" ref="B91" ca="1">_xlfn.LET(
    _xlpm.week, $B$4,
    _xlpm.d, H91,
    _xlpm.nthTask, COUNTIF($H$90:H91,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1" s="43"/>
      <c r="D91" s="43"/>
      <c r="E91" s="60" t="str" cm="1">
        <f t="array" aca="1" ref="E91" ca="1">_xlfn.LET(
    _xlpm.week, $B$4,
    _xlpm.rowPerson, 3 + (_xlpm.week-1)*11,
    _xlpm.personName, INDEX('Graphic Designer'!$B:$B, _xlpm.rowPerson),
    IF($B8="", "", _xlpm.personName)
)</f>
        <v>Hung Lu</v>
      </c>
      <c r="F91" s="43"/>
      <c r="G91" s="43"/>
      <c r="H91" s="52" cm="1">
        <f t="array" ref="H91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45992</v>
      </c>
      <c r="I91" s="70"/>
      <c r="J91" s="87" t="str">
        <f t="shared" ref="J91:J106" ca="1" si="5">IF(I91="","",I91-TODAY())</f>
        <v/>
      </c>
      <c r="K91" s="71"/>
      <c r="L91" s="43"/>
      <c r="M91" s="43"/>
      <c r="N91" s="43"/>
      <c r="O91" s="72"/>
    </row>
    <row r="92" spans="1:15" ht="20" customHeight="1" x14ac:dyDescent="0.2">
      <c r="A92" s="65" t="s">
        <v>76</v>
      </c>
      <c r="B92" s="60" t="str" cm="1">
        <f t="array" aca="1" ref="B92" ca="1">_xlfn.LET(
    _xlpm.week, $B$4,
    _xlpm.d, H92,
    _xlpm.nthTask, COUNTIF($H$90:H92,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2" s="61"/>
      <c r="D92" s="61"/>
      <c r="E92" s="60" t="str" cm="1">
        <f t="array" aca="1" ref="E92" ca="1">_xlfn.LET(
    _xlpm.week, $B$4,
    _xlpm.rowPerson, 3 + (_xlpm.week-1)*11,
    _xlpm.personName, INDEX('Graphic Designer'!$B:$B, _xlpm.rowPerson),
    IF($B9="", "", _xlpm.personName)
)</f>
        <v>Hung Lu</v>
      </c>
      <c r="F92" s="61"/>
      <c r="G92" s="61"/>
      <c r="H92" s="52" cm="1">
        <f t="array" ref="H92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45992</v>
      </c>
      <c r="I92" s="67"/>
      <c r="J92" s="86" t="str">
        <f t="shared" ca="1" si="5"/>
        <v/>
      </c>
      <c r="K92" s="68"/>
      <c r="L92" s="61"/>
      <c r="M92" s="61"/>
      <c r="N92" s="61"/>
      <c r="O92" s="69"/>
    </row>
    <row r="93" spans="1:15" ht="20" customHeight="1" x14ac:dyDescent="0.2">
      <c r="A93" s="66" t="s">
        <v>77</v>
      </c>
      <c r="B93" s="60" t="str" cm="1">
        <f t="array" aca="1" ref="B93" ca="1">_xlfn.LET(
    _xlpm.week, $B$4,
    _xlpm.d, H93,
    _xlpm.nthTask, COUNTIF($H$90:H93,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3" s="63"/>
      <c r="D93" s="43"/>
      <c r="E93" s="60" t="str" cm="1">
        <f t="array" aca="1" ref="E93" ca="1">_xlfn.LET(
    _xlpm.week, $B$4,
    _xlpm.rowPerson, 3 + (_xlpm.week-1)*11,
    _xlpm.personName, INDEX('Graphic Designer'!$B:$B, _xlpm.rowPerson),
    IF($B10="", "", _xlpm.personName)
)</f>
        <v>Hung Lu</v>
      </c>
      <c r="F93" s="43"/>
      <c r="G93" s="43"/>
      <c r="H93" s="52" cm="1">
        <f t="array" ref="H93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45992</v>
      </c>
      <c r="I93" s="70"/>
      <c r="J93" s="87" t="str">
        <f t="shared" ca="1" si="5"/>
        <v/>
      </c>
      <c r="K93" s="71"/>
      <c r="L93" s="43"/>
      <c r="M93" s="43"/>
      <c r="N93" s="43"/>
      <c r="O93" s="72"/>
    </row>
    <row r="94" spans="1:15" ht="20" customHeight="1" x14ac:dyDescent="0.2">
      <c r="A94" s="65" t="s">
        <v>78</v>
      </c>
      <c r="B94" s="60" t="str" cm="1">
        <f t="array" aca="1" ref="B94" ca="1">_xlfn.LET(
    _xlpm.week, $B$4,
    _xlpm.d, H94,
    _xlpm.nthTask, COUNTIF($H$90:H94,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4" s="62"/>
      <c r="D94" s="61"/>
      <c r="E94" s="60" t="str" cm="1">
        <f t="array" aca="1" ref="E94" ca="1">_xlfn.LET(
    _xlpm.week, $B$4,
    _xlpm.rowPerson, 3 + (_xlpm.week-1)*11,
    _xlpm.personName, INDEX('Graphic Designer'!$B:$B, _xlpm.rowPerson),
    IF($B11="", "", _xlpm.personName)
)</f>
        <v>Hung Lu</v>
      </c>
      <c r="F94" s="61"/>
      <c r="G94" s="61"/>
      <c r="H94" s="52" cm="1">
        <f t="array" ref="H94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45992</v>
      </c>
      <c r="I94" s="67"/>
      <c r="J94" s="86" t="str">
        <f t="shared" ca="1" si="5"/>
        <v/>
      </c>
      <c r="K94" s="68"/>
      <c r="L94" s="61"/>
      <c r="M94" s="61"/>
      <c r="N94" s="61"/>
      <c r="O94" s="69"/>
    </row>
    <row r="95" spans="1:15" ht="20" customHeight="1" x14ac:dyDescent="0.2">
      <c r="A95" s="66" t="s">
        <v>79</v>
      </c>
      <c r="B95" s="60" t="str" cm="1">
        <f t="array" aca="1" ref="B95" ca="1">_xlfn.LET(
    _xlpm.week, $B$4,
    _xlpm.d, H95,
    _xlpm.nthTask, COUNTIF($H$90:H95,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5" s="63"/>
      <c r="D95" s="43"/>
      <c r="E95" s="60" t="str" cm="1">
        <f t="array" aca="1" ref="E95" ca="1">_xlfn.LET(
    _xlpm.week, $B$4,
    _xlpm.rowPerson, 3 + (_xlpm.week-1)*11,
    _xlpm.personName, INDEX('Graphic Designer'!$B:$B, _xlpm.rowPerson),
    IF($B12="", "", _xlpm.personName)
)</f>
        <v>Hung Lu</v>
      </c>
      <c r="F95" s="43"/>
      <c r="G95" s="43"/>
      <c r="H95" s="52" cm="1">
        <f t="array" ref="H95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45992</v>
      </c>
      <c r="I95" s="70"/>
      <c r="J95" s="87" t="str">
        <f t="shared" ca="1" si="5"/>
        <v/>
      </c>
      <c r="K95" s="71"/>
      <c r="L95" s="43"/>
      <c r="M95" s="43"/>
      <c r="N95" s="43"/>
      <c r="O95" s="72"/>
    </row>
    <row r="96" spans="1:15" ht="20" customHeight="1" x14ac:dyDescent="0.2">
      <c r="A96" s="65" t="s">
        <v>80</v>
      </c>
      <c r="B96" s="60" t="str" cm="1">
        <f t="array" aca="1" ref="B96" ca="1">_xlfn.LET(
    _xlpm.week, $B$4,
    _xlpm.d, H96,
    _xlpm.nthTask, COUNTIF($H$90:H96,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6" s="62"/>
      <c r="D96" s="61"/>
      <c r="E96" s="60" t="str" cm="1">
        <f t="array" aca="1" ref="E96" ca="1">_xlfn.LET(
    _xlpm.week, $B$4,
    _xlpm.rowPerson, 3 + (_xlpm.week-1)*11,
    _xlpm.personName, INDEX('Graphic Designer'!$B:$B, _xlpm.rowPerson),
    IF($B13="", "", _xlpm.personName)
)</f>
        <v>Hung Lu</v>
      </c>
      <c r="F96" s="61"/>
      <c r="G96" s="61"/>
      <c r="H96" s="52" cm="1">
        <f t="array" ref="H96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45992</v>
      </c>
      <c r="I96" s="67"/>
      <c r="J96" s="86" t="str">
        <f t="shared" ca="1" si="5"/>
        <v/>
      </c>
      <c r="K96" s="68"/>
      <c r="L96" s="61"/>
      <c r="M96" s="61"/>
      <c r="N96" s="61"/>
      <c r="O96" s="69"/>
    </row>
    <row r="97" spans="1:15" ht="20" customHeight="1" x14ac:dyDescent="0.2">
      <c r="A97" s="66" t="s">
        <v>81</v>
      </c>
      <c r="B97" s="60" t="str" cm="1">
        <f t="array" aca="1" ref="B97" ca="1">_xlfn.LET(
    _xlpm.week, $B$4,
    _xlpm.d, H97,
    _xlpm.nthTask, COUNTIF($H$90:H97,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7" s="43"/>
      <c r="D97" s="43"/>
      <c r="E97" s="60" t="str" cm="1">
        <f t="array" aca="1" ref="E97" ca="1">_xlfn.LET(
    _xlpm.week, $B$4,
    _xlpm.rowPerson, 3 + (_xlpm.week-1)*11,
    _xlpm.personName, INDEX('Graphic Designer'!$B:$B, _xlpm.rowPerson),
    IF($B14="", "", _xlpm.personName)
)</f>
        <v>Hung Lu</v>
      </c>
      <c r="F97" s="43"/>
      <c r="G97" s="43"/>
      <c r="H97" s="52" cm="1">
        <f t="array" ref="H97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45993</v>
      </c>
      <c r="I97" s="70"/>
      <c r="J97" s="87" t="str">
        <f t="shared" ca="1" si="5"/>
        <v/>
      </c>
      <c r="K97" s="71"/>
      <c r="L97" s="43"/>
      <c r="M97" s="63"/>
      <c r="N97" s="63"/>
      <c r="O97" s="72"/>
    </row>
    <row r="98" spans="1:15" ht="20" customHeight="1" x14ac:dyDescent="0.2">
      <c r="A98" s="65" t="s">
        <v>82</v>
      </c>
      <c r="B98" s="60" t="str" cm="1">
        <f t="array" aca="1" ref="B98" ca="1">_xlfn.LET(
    _xlpm.week, $B$4,
    _xlpm.d, H98,
    _xlpm.nthTask, COUNTIF($H$90:H98,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8" s="61"/>
      <c r="D98" s="61"/>
      <c r="E98" s="60" t="str" cm="1">
        <f t="array" aca="1" ref="E98" ca="1">_xlfn.LET(
    _xlpm.week, $B$4,
    _xlpm.rowPerson, 3 + (_xlpm.week-1)*11,
    _xlpm.personName, INDEX('Graphic Designer'!$B:$B, _xlpm.rowPerson),
    IF($B15="", "", _xlpm.personName)
)</f>
        <v>Hung Lu</v>
      </c>
      <c r="F98" s="61"/>
      <c r="G98" s="61"/>
      <c r="H98" s="52" cm="1">
        <f t="array" ref="H98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45993</v>
      </c>
      <c r="I98" s="67"/>
      <c r="J98" s="86" t="str">
        <f t="shared" ca="1" si="5"/>
        <v/>
      </c>
      <c r="K98" s="68"/>
      <c r="L98" s="61"/>
      <c r="M98" s="61"/>
      <c r="N98" s="61"/>
      <c r="O98" s="69"/>
    </row>
    <row r="99" spans="1:15" ht="20" customHeight="1" x14ac:dyDescent="0.2">
      <c r="A99" s="66" t="s">
        <v>83</v>
      </c>
      <c r="B99" s="60" t="str" cm="1">
        <f t="array" aca="1" ref="B99" ca="1">_xlfn.LET(
    _xlpm.week, $B$4,
    _xlpm.d, H99,
    _xlpm.nthTask, COUNTIF($H$90:H99,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99" s="43"/>
      <c r="D99" s="43"/>
      <c r="E99" s="60" t="str" cm="1">
        <f t="array" aca="1" ref="E99" ca="1">_xlfn.LET(
    _xlpm.week, $B$4,
    _xlpm.rowPerson, 3 + (_xlpm.week-1)*11,
    _xlpm.personName, INDEX('Graphic Designer'!$B:$B, _xlpm.rowPerson),
    IF($B16="", "", _xlpm.personName)
)</f>
        <v>Hung Lu</v>
      </c>
      <c r="F99" s="43"/>
      <c r="G99" s="43"/>
      <c r="H99" s="52" cm="1">
        <f t="array" ref="H99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45993</v>
      </c>
      <c r="I99" s="70"/>
      <c r="J99" s="87" t="str">
        <f t="shared" ca="1" si="5"/>
        <v/>
      </c>
      <c r="K99" s="71"/>
      <c r="L99" s="43"/>
      <c r="M99" s="43"/>
      <c r="N99" s="43"/>
      <c r="O99" s="72"/>
    </row>
    <row r="100" spans="1:15" ht="20" customHeight="1" x14ac:dyDescent="0.2">
      <c r="A100" s="65" t="s">
        <v>84</v>
      </c>
      <c r="B100" s="60" t="str" cm="1">
        <f t="array" aca="1" ref="B100" ca="1">_xlfn.LET(
    _xlpm.week, $B$4,
    _xlpm.d, H100,
    _xlpm.nthTask, COUNTIF($H$90:H100,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0" s="62"/>
      <c r="D100" s="61"/>
      <c r="E100" s="60" t="str" cm="1">
        <f t="array" aca="1" ref="E100" ca="1">_xlfn.LET(
    _xlpm.week, $B$4,
    _xlpm.rowPerson, 3 + (_xlpm.week-1)*11,
    _xlpm.personName, INDEX('Graphic Designer'!$B:$B, _xlpm.rowPerson),
    IF($B17="", "", _xlpm.personName)
)</f>
        <v>Hung Lu</v>
      </c>
      <c r="F100" s="61"/>
      <c r="G100" s="61"/>
      <c r="H100" s="52" cm="1">
        <f t="array" ref="H100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45993</v>
      </c>
      <c r="I100" s="67"/>
      <c r="J100" s="86" t="str">
        <f t="shared" ca="1" si="5"/>
        <v/>
      </c>
      <c r="K100" s="68"/>
      <c r="L100" s="61"/>
      <c r="M100" s="61"/>
      <c r="N100" s="61"/>
      <c r="O100" s="69"/>
    </row>
    <row r="101" spans="1:15" ht="20" customHeight="1" x14ac:dyDescent="0.2">
      <c r="A101" s="66" t="s">
        <v>85</v>
      </c>
      <c r="B101" s="60" t="str" cm="1">
        <f t="array" aca="1" ref="B101" ca="1">_xlfn.LET(
    _xlpm.week, $B$4,
    _xlpm.d, H101,
    _xlpm.nthTask, COUNTIF($H$90:H101,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1" s="63"/>
      <c r="D101" s="43"/>
      <c r="E101" s="60" t="str" cm="1">
        <f t="array" aca="1" ref="E101" ca="1">_xlfn.LET(
    _xlpm.week, $B$4,
    _xlpm.rowPerson, 3 + (_xlpm.week-1)*11,
    _xlpm.personName, INDEX('Graphic Designer'!$B:$B, _xlpm.rowPerson),
    IF($B18="", "", _xlpm.personName)
)</f>
        <v>Hung Lu</v>
      </c>
      <c r="F101" s="43"/>
      <c r="G101" s="43"/>
      <c r="H101" s="52" cm="1">
        <f t="array" ref="H101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45993</v>
      </c>
      <c r="I101" s="70"/>
      <c r="J101" s="87" t="str">
        <f t="shared" ca="1" si="5"/>
        <v/>
      </c>
      <c r="K101" s="71"/>
      <c r="L101" s="43"/>
      <c r="M101" s="43"/>
      <c r="N101" s="43"/>
      <c r="O101" s="72"/>
    </row>
    <row r="102" spans="1:15" ht="20" customHeight="1" x14ac:dyDescent="0.2">
      <c r="A102" s="65" t="s">
        <v>86</v>
      </c>
      <c r="B102" s="60" t="str" cm="1">
        <f t="array" aca="1" ref="B102" ca="1">_xlfn.LET(
    _xlpm.week, $B$4,
    _xlpm.d, H102,
    _xlpm.nthTask, COUNTIF($H$90:H102,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2" s="62"/>
      <c r="D102" s="61"/>
      <c r="E102" s="60" t="str" cm="1">
        <f t="array" aca="1" ref="E102" ca="1">_xlfn.LET(
    _xlpm.week, $B$4,
    _xlpm.rowPerson, 3 + (_xlpm.week-1)*11,
    _xlpm.personName, INDEX('Graphic Designer'!$B:$B, _xlpm.rowPerson),
    IF($B19="", "", _xlpm.personName)
)</f>
        <v>Hung Lu</v>
      </c>
      <c r="F102" s="61"/>
      <c r="G102" s="61"/>
      <c r="H102" s="52" cm="1">
        <f t="array" ref="H102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45993</v>
      </c>
      <c r="I102" s="67"/>
      <c r="J102" s="86" t="str">
        <f t="shared" ca="1" si="5"/>
        <v/>
      </c>
      <c r="K102" s="68"/>
      <c r="L102" s="61"/>
      <c r="M102" s="61"/>
      <c r="N102" s="61"/>
      <c r="O102" s="69"/>
    </row>
    <row r="103" spans="1:15" ht="20" customHeight="1" x14ac:dyDescent="0.2">
      <c r="A103" s="66" t="s">
        <v>87</v>
      </c>
      <c r="B103" s="60" t="str" cm="1">
        <f t="array" aca="1" ref="B103" ca="1">_xlfn.LET(
    _xlpm.week, $B$4,
    _xlpm.d, H103,
    _xlpm.nthTask, COUNTIF($H$90:H103,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3" s="63"/>
      <c r="D103" s="43"/>
      <c r="E103" s="60" t="str" cm="1">
        <f t="array" aca="1" ref="E103" ca="1">_xlfn.LET(
    _xlpm.week, $B$4,
    _xlpm.rowPerson, 3 + (_xlpm.week-1)*11,
    _xlpm.personName, INDEX('Graphic Designer'!$B:$B, _xlpm.rowPerson),
    IF($B20="", "", _xlpm.personName)
)</f>
        <v>Hung Lu</v>
      </c>
      <c r="F103" s="43"/>
      <c r="G103" s="43"/>
      <c r="H103" s="52" cm="1">
        <f t="array" ref="H103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45993</v>
      </c>
      <c r="I103" s="70"/>
      <c r="J103" s="87" t="str">
        <f t="shared" ca="1" si="5"/>
        <v/>
      </c>
      <c r="K103" s="71"/>
      <c r="L103" s="43"/>
      <c r="M103" s="43"/>
      <c r="N103" s="43"/>
      <c r="O103" s="72"/>
    </row>
    <row r="104" spans="1:15" ht="20" customHeight="1" x14ac:dyDescent="0.2">
      <c r="A104" s="65" t="s">
        <v>88</v>
      </c>
      <c r="B104" s="60" t="str" cm="1">
        <f t="array" aca="1" ref="B104" ca="1">_xlfn.LET(
    _xlpm.week, $B$4,
    _xlpm.d, H104,
    _xlpm.nthTask, COUNTIF($H$90:H104,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4" s="61"/>
      <c r="D104" s="61"/>
      <c r="E104" s="60" t="str" cm="1">
        <f t="array" aca="1" ref="E104" ca="1">_xlfn.LET(
    _xlpm.week, $B$4,
    _xlpm.rowPerson, 3 + (_xlpm.week-1)*11,
    _xlpm.personName, INDEX('Graphic Designer'!$B:$B, _xlpm.rowPerson),
    IF($B21="", "", _xlpm.personName)
)</f>
        <v>Hung Lu</v>
      </c>
      <c r="F104" s="61"/>
      <c r="G104" s="61"/>
      <c r="H104" s="52" cm="1">
        <f t="array" ref="H104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45994</v>
      </c>
      <c r="I104" s="67"/>
      <c r="J104" s="86" t="str">
        <f t="shared" ca="1" si="5"/>
        <v/>
      </c>
      <c r="K104" s="68"/>
      <c r="L104" s="61"/>
      <c r="M104" s="61"/>
      <c r="N104" s="61"/>
      <c r="O104" s="69"/>
    </row>
    <row r="105" spans="1:15" ht="20" customHeight="1" x14ac:dyDescent="0.2">
      <c r="A105" s="66" t="s">
        <v>89</v>
      </c>
      <c r="B105" s="60" t="str" cm="1">
        <f t="array" aca="1" ref="B105" ca="1">_xlfn.LET(
    _xlpm.week, $B$4,
    _xlpm.d, H105,
    _xlpm.nthTask, COUNTIF($H$90:H105,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5" s="43"/>
      <c r="D105" s="43"/>
      <c r="E105" s="60" t="str" cm="1">
        <f t="array" aca="1" ref="E105" ca="1">_xlfn.LET(
    _xlpm.week, $B$4,
    _xlpm.rowPerson, 3 + (_xlpm.week-1)*11,
    _xlpm.personName, INDEX('Graphic Designer'!$B:$B, _xlpm.rowPerson),
    IF($B22="", "", _xlpm.personName)
)</f>
        <v>Hung Lu</v>
      </c>
      <c r="F105" s="43"/>
      <c r="G105" s="43"/>
      <c r="H105" s="52" cm="1">
        <f t="array" ref="H105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45994</v>
      </c>
      <c r="I105" s="70"/>
      <c r="J105" s="87" t="str">
        <f t="shared" ca="1" si="5"/>
        <v/>
      </c>
      <c r="K105" s="71"/>
      <c r="L105" s="43"/>
      <c r="M105" s="43"/>
      <c r="N105" s="43"/>
      <c r="O105" s="72"/>
    </row>
    <row r="106" spans="1:15" ht="20" customHeight="1" x14ac:dyDescent="0.2">
      <c r="A106" s="65" t="s">
        <v>90</v>
      </c>
      <c r="B106" s="60" t="str" cm="1">
        <f t="array" aca="1" ref="B106" ca="1">_xlfn.LET(
    _xlpm.week, $B$4,
    _xlpm.d, H106,
    _xlpm.nthTask, COUNTIF($H$90:H106,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6" s="61"/>
      <c r="D106" s="61"/>
      <c r="E106" s="60" t="str" cm="1">
        <f t="array" aca="1" ref="E106" ca="1">_xlfn.LET(
    _xlpm.week, $B$4,
    _xlpm.rowPerson, 3 + (_xlpm.week-1)*11,
    _xlpm.personName, INDEX('Graphic Designer'!$B:$B, _xlpm.rowPerson),
    IF($B23="", "", _xlpm.personName)
)</f>
        <v>Hung Lu</v>
      </c>
      <c r="F106" s="61"/>
      <c r="G106" s="61"/>
      <c r="H106" s="52" cm="1">
        <f t="array" ref="H106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45994</v>
      </c>
      <c r="I106" s="67"/>
      <c r="J106" s="86" t="str">
        <f t="shared" ca="1" si="5"/>
        <v/>
      </c>
      <c r="K106" s="68"/>
      <c r="L106" s="61"/>
      <c r="M106" s="61"/>
      <c r="N106" s="61"/>
      <c r="O106" s="69"/>
    </row>
    <row r="107" spans="1:15" ht="20" customHeight="1" x14ac:dyDescent="0.2">
      <c r="A107" s="66" t="s">
        <v>91</v>
      </c>
      <c r="B107" s="60" t="str" cm="1">
        <f t="array" aca="1" ref="B107" ca="1">_xlfn.LET(
    _xlpm.week, $B$4,
    _xlpm.d, H107,
    _xlpm.nthTask, COUNTIF($H$90:H107,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7" s="63"/>
      <c r="D107" s="43"/>
      <c r="E107" s="60" t="str" cm="1">
        <f t="array" aca="1" ref="E107" ca="1">_xlfn.LET(
    _xlpm.week, $B$4,
    _xlpm.rowPerson, 3 + (_xlpm.week-1)*11,
    _xlpm.personName, INDEX('Graphic Designer'!$B:$B, _xlpm.rowPerson),
    IF($B24="", "", _xlpm.personName)
)</f>
        <v>Hung Lu</v>
      </c>
      <c r="F107" s="43"/>
      <c r="G107" s="43"/>
      <c r="H107" s="52" cm="1">
        <f t="array" ref="H107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45994</v>
      </c>
      <c r="I107" s="70"/>
      <c r="J107" s="87" t="str">
        <f ca="1">IF(I107="","",I107-TODAY())</f>
        <v/>
      </c>
      <c r="K107" s="71"/>
      <c r="L107" s="43"/>
      <c r="M107" s="43"/>
      <c r="N107" s="43"/>
      <c r="O107" s="72"/>
    </row>
    <row r="108" spans="1:15" ht="20" customHeight="1" x14ac:dyDescent="0.2">
      <c r="A108" s="65" t="s">
        <v>92</v>
      </c>
      <c r="B108" s="60" t="str" cm="1">
        <f t="array" aca="1" ref="B108" ca="1">_xlfn.LET(
    _xlpm.week, $B$4,
    _xlpm.d, H108,
    _xlpm.nthTask, COUNTIF($H$90:H108,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8" s="61"/>
      <c r="D108" s="61"/>
      <c r="E108" s="60" t="str" cm="1">
        <f t="array" aca="1" ref="E108" ca="1">_xlfn.LET(
    _xlpm.week, $B$4,
    _xlpm.rowPerson, 3 + (_xlpm.week-1)*11,
    _xlpm.personName, INDEX('Graphic Designer'!$B:$B, _xlpm.rowPerson),
    IF($B25="", "", _xlpm.personName)
)</f>
        <v>Hung Lu</v>
      </c>
      <c r="F108" s="61"/>
      <c r="G108" s="61"/>
      <c r="H108" s="52" cm="1">
        <f t="array" ref="H108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45994</v>
      </c>
      <c r="I108" s="67"/>
      <c r="J108" s="86" t="str">
        <f t="shared" ref="J108:J131" ca="1" si="6">IF(I108="","",I108-TODAY())</f>
        <v/>
      </c>
      <c r="K108" s="68"/>
      <c r="L108" s="61"/>
      <c r="M108" s="61"/>
      <c r="N108" s="61"/>
      <c r="O108" s="69"/>
    </row>
    <row r="109" spans="1:15" ht="20" customHeight="1" x14ac:dyDescent="0.2">
      <c r="A109" s="66" t="s">
        <v>93</v>
      </c>
      <c r="B109" s="60" t="str" cm="1">
        <f t="array" aca="1" ref="B109" ca="1">_xlfn.LET(
    _xlpm.week, $B$4,
    _xlpm.d, H109,
    _xlpm.nthTask, COUNTIF($H$90:H109,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09" s="43"/>
      <c r="D109" s="43"/>
      <c r="E109" s="60" t="str" cm="1">
        <f t="array" aca="1" ref="E109" ca="1">_xlfn.LET(
    _xlpm.week, $B$4,
    _xlpm.rowPerson, 3 + (_xlpm.week-1)*11,
    _xlpm.personName, INDEX('Graphic Designer'!$B:$B, _xlpm.rowPerson),
    IF($B26="", "", _xlpm.personName)
)</f>
        <v>Hung Lu</v>
      </c>
      <c r="F109" s="43"/>
      <c r="G109" s="43"/>
      <c r="H109" s="52" cm="1">
        <f t="array" ref="H109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45994</v>
      </c>
      <c r="I109" s="70"/>
      <c r="J109" s="87" t="str">
        <f t="shared" ca="1" si="6"/>
        <v/>
      </c>
      <c r="K109" s="71"/>
      <c r="L109" s="43"/>
      <c r="M109" s="43"/>
      <c r="N109" s="43"/>
      <c r="O109" s="72"/>
    </row>
    <row r="110" spans="1:15" ht="20" customHeight="1" x14ac:dyDescent="0.2">
      <c r="A110" s="65" t="s">
        <v>94</v>
      </c>
      <c r="B110" s="60" t="str" cm="1">
        <f t="array" aca="1" ref="B110" ca="1">_xlfn.LET(
    _xlpm.week, $B$4,
    _xlpm.d, H110,
    _xlpm.nthTask, COUNTIF($H$90:H110,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0" s="61"/>
      <c r="D110" s="61"/>
      <c r="E110" s="60" t="str" cm="1">
        <f t="array" aca="1" ref="E110" ca="1">_xlfn.LET(
    _xlpm.week, $B$4,
    _xlpm.rowPerson, 3 + (_xlpm.week-1)*11,
    _xlpm.personName, INDEX('Graphic Designer'!$B:$B, _xlpm.rowPerson),
    IF($B27="", "", _xlpm.personName)
)</f>
        <v>Hung Lu</v>
      </c>
      <c r="F110" s="61"/>
      <c r="G110" s="61"/>
      <c r="H110" s="52" cm="1">
        <f t="array" ref="H110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45994</v>
      </c>
      <c r="I110" s="67"/>
      <c r="J110" s="86" t="str">
        <f t="shared" ca="1" si="6"/>
        <v/>
      </c>
      <c r="K110" s="68"/>
      <c r="L110" s="61"/>
      <c r="M110" s="61"/>
      <c r="N110" s="61"/>
      <c r="O110" s="69"/>
    </row>
    <row r="111" spans="1:15" ht="20" customHeight="1" x14ac:dyDescent="0.2">
      <c r="A111" s="66" t="s">
        <v>95</v>
      </c>
      <c r="B111" s="60" t="str" cm="1">
        <f t="array" aca="1" ref="B111" ca="1">_xlfn.LET(
    _xlpm.week, $B$4,
    _xlpm.d, H111,
    _xlpm.nthTask, COUNTIF($H$90:H111,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1" s="63"/>
      <c r="D111" s="43"/>
      <c r="E111" s="60" t="str" cm="1">
        <f t="array" aca="1" ref="E111" ca="1">_xlfn.LET(
    _xlpm.week, $B$4,
    _xlpm.rowPerson, 3 + (_xlpm.week-1)*11,
    _xlpm.personName, INDEX('Graphic Designer'!$B:$B, _xlpm.rowPerson),
    IF($B28="", "", _xlpm.personName)
)</f>
        <v>Hung Lu</v>
      </c>
      <c r="F111" s="43"/>
      <c r="G111" s="43"/>
      <c r="H111" s="52" cm="1">
        <f t="array" ref="H111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45995</v>
      </c>
      <c r="I111" s="70"/>
      <c r="J111" s="87" t="str">
        <f t="shared" ca="1" si="6"/>
        <v/>
      </c>
      <c r="K111" s="71"/>
      <c r="L111" s="43"/>
      <c r="M111" s="43"/>
      <c r="N111" s="43"/>
      <c r="O111" s="72"/>
    </row>
    <row r="112" spans="1:15" ht="20" customHeight="1" x14ac:dyDescent="0.2">
      <c r="A112" s="65" t="s">
        <v>96</v>
      </c>
      <c r="B112" s="60" t="str" cm="1">
        <f t="array" aca="1" ref="B112" ca="1">_xlfn.LET(
    _xlpm.week, $B$4,
    _xlpm.d, H112,
    _xlpm.nthTask, COUNTIF($H$90:H112,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2" s="62"/>
      <c r="D112" s="61"/>
      <c r="E112" s="60" t="str" cm="1">
        <f t="array" aca="1" ref="E112" ca="1">_xlfn.LET(
    _xlpm.week, $B$4,
    _xlpm.rowPerson, 3 + (_xlpm.week-1)*11,
    _xlpm.personName, INDEX('Graphic Designer'!$B:$B, _xlpm.rowPerson),
    IF($B29="", "", _xlpm.personName)
)</f>
        <v>Hung Lu</v>
      </c>
      <c r="F112" s="61"/>
      <c r="G112" s="61"/>
      <c r="H112" s="52" cm="1">
        <f t="array" ref="H112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45995</v>
      </c>
      <c r="I112" s="67"/>
      <c r="J112" s="86" t="str">
        <f t="shared" ca="1" si="6"/>
        <v/>
      </c>
      <c r="K112" s="68"/>
      <c r="L112" s="61"/>
      <c r="M112" s="61"/>
      <c r="N112" s="61"/>
      <c r="O112" s="69"/>
    </row>
    <row r="113" spans="1:15" ht="20" customHeight="1" x14ac:dyDescent="0.2">
      <c r="A113" s="66" t="s">
        <v>97</v>
      </c>
      <c r="B113" s="60" t="str" cm="1">
        <f t="array" aca="1" ref="B113" ca="1">_xlfn.LET(
    _xlpm.week, $B$4,
    _xlpm.d, H113,
    _xlpm.nthTask, COUNTIF($H$90:H113,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3" s="63"/>
      <c r="D113" s="43"/>
      <c r="E113" s="60" t="str" cm="1">
        <f t="array" aca="1" ref="E113" ca="1">_xlfn.LET(
    _xlpm.week, $B$4,
    _xlpm.rowPerson, 3 + (_xlpm.week-1)*11,
    _xlpm.personName, INDEX('Graphic Designer'!$B:$B, _xlpm.rowPerson),
    IF($B30="", "", _xlpm.personName)
)</f>
        <v>Hung Lu</v>
      </c>
      <c r="F113" s="43"/>
      <c r="G113" s="43"/>
      <c r="H113" s="52" cm="1">
        <f t="array" ref="H113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45995</v>
      </c>
      <c r="I113" s="70"/>
      <c r="J113" s="87" t="str">
        <f t="shared" ca="1" si="6"/>
        <v/>
      </c>
      <c r="K113" s="71"/>
      <c r="L113" s="43"/>
      <c r="M113" s="43"/>
      <c r="N113" s="43"/>
      <c r="O113" s="72"/>
    </row>
    <row r="114" spans="1:15" ht="20" customHeight="1" x14ac:dyDescent="0.2">
      <c r="A114" s="65" t="s">
        <v>98</v>
      </c>
      <c r="B114" s="60" t="str" cm="1">
        <f t="array" aca="1" ref="B114" ca="1">_xlfn.LET(
    _xlpm.week, $B$4,
    _xlpm.d, H114,
    _xlpm.nthTask, COUNTIF($H$90:H114,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4" s="61"/>
      <c r="D114" s="61"/>
      <c r="E114" s="60" t="str" cm="1">
        <f t="array" aca="1" ref="E114" ca="1">_xlfn.LET(
    _xlpm.week, $B$4,
    _xlpm.rowPerson, 3 + (_xlpm.week-1)*11,
    _xlpm.personName, INDEX('Graphic Designer'!$B:$B, _xlpm.rowPerson),
    IF($B31="", "", _xlpm.personName)
)</f>
        <v>Hung Lu</v>
      </c>
      <c r="F114" s="61"/>
      <c r="G114" s="61"/>
      <c r="H114" s="52" cm="1">
        <f t="array" ref="H114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45995</v>
      </c>
      <c r="I114" s="67"/>
      <c r="J114" s="86" t="str">
        <f t="shared" ca="1" si="6"/>
        <v/>
      </c>
      <c r="K114" s="68"/>
      <c r="L114" s="61"/>
      <c r="M114" s="61"/>
      <c r="N114" s="61"/>
      <c r="O114" s="69"/>
    </row>
    <row r="115" spans="1:15" ht="20" customHeight="1" x14ac:dyDescent="0.2">
      <c r="A115" s="66" t="s">
        <v>99</v>
      </c>
      <c r="B115" s="60" t="str" cm="1">
        <f t="array" aca="1" ref="B115" ca="1">_xlfn.LET(
    _xlpm.week, $B$4,
    _xlpm.d, H115,
    _xlpm.nthTask, COUNTIF($H$90:H115,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5" s="43"/>
      <c r="D115" s="43"/>
      <c r="E115" s="60" t="str" cm="1">
        <f t="array" aca="1" ref="E115" ca="1">_xlfn.LET(
    _xlpm.week, $B$4,
    _xlpm.rowPerson, 3 + (_xlpm.week-1)*11,
    _xlpm.personName, INDEX('Graphic Designer'!$B:$B, _xlpm.rowPerson),
    IF($B32="", "", _xlpm.personName)
)</f>
        <v>Hung Lu</v>
      </c>
      <c r="F115" s="43"/>
      <c r="G115" s="43"/>
      <c r="H115" s="52" cm="1">
        <f t="array" ref="H115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45995</v>
      </c>
      <c r="I115" s="70"/>
      <c r="J115" s="87" t="str">
        <f t="shared" ca="1" si="6"/>
        <v/>
      </c>
      <c r="K115" s="71"/>
      <c r="L115" s="43"/>
      <c r="M115" s="43"/>
      <c r="N115" s="43"/>
      <c r="O115" s="72"/>
    </row>
    <row r="116" spans="1:15" ht="20" customHeight="1" x14ac:dyDescent="0.2">
      <c r="A116" s="65" t="s">
        <v>100</v>
      </c>
      <c r="B116" s="60" t="str" cm="1">
        <f t="array" aca="1" ref="B116" ca="1">_xlfn.LET(
    _xlpm.week, $B$4,
    _xlpm.d, H116,
    _xlpm.nthTask, COUNTIF($H$90:H116,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6" s="61"/>
      <c r="D116" s="61"/>
      <c r="E116" s="60" t="str" cm="1">
        <f t="array" aca="1" ref="E116" ca="1">_xlfn.LET(
    _xlpm.week, $B$4,
    _xlpm.rowPerson, 3 + (_xlpm.week-1)*11,
    _xlpm.personName, INDEX('Graphic Designer'!$B:$B, _xlpm.rowPerson),
    IF($B33="", "", _xlpm.personName)
)</f>
        <v>Hung Lu</v>
      </c>
      <c r="F116" s="61"/>
      <c r="G116" s="61"/>
      <c r="H116" s="52" cm="1">
        <f t="array" ref="H116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45995</v>
      </c>
      <c r="I116" s="67"/>
      <c r="J116" s="86" t="str">
        <f t="shared" ca="1" si="6"/>
        <v/>
      </c>
      <c r="K116" s="68"/>
      <c r="L116" s="61"/>
      <c r="M116" s="61"/>
      <c r="N116" s="61"/>
      <c r="O116" s="69"/>
    </row>
    <row r="117" spans="1:15" ht="20" customHeight="1" x14ac:dyDescent="0.2">
      <c r="A117" s="66" t="s">
        <v>101</v>
      </c>
      <c r="B117" s="60" t="str" cm="1">
        <f t="array" aca="1" ref="B117" ca="1">_xlfn.LET(
    _xlpm.week, $B$4,
    _xlpm.d, H117,
    _xlpm.nthTask, COUNTIF($H$90:H117,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7" s="63"/>
      <c r="D117" s="43"/>
      <c r="E117" s="60" t="str" cm="1">
        <f t="array" aca="1" ref="E117" ca="1">_xlfn.LET(
    _xlpm.week, $B$4,
    _xlpm.rowPerson, 3 + (_xlpm.week-1)*11,
    _xlpm.personName, INDEX('Graphic Designer'!$B:$B, _xlpm.rowPerson),
    IF($B34="", "", _xlpm.personName)
)</f>
        <v>Hung Lu</v>
      </c>
      <c r="F117" s="43"/>
      <c r="G117" s="43"/>
      <c r="H117" s="52" cm="1">
        <f t="array" ref="H117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45995</v>
      </c>
      <c r="I117" s="70"/>
      <c r="J117" s="87" t="str">
        <f t="shared" ca="1" si="6"/>
        <v/>
      </c>
      <c r="K117" s="71"/>
      <c r="L117" s="43"/>
      <c r="M117" s="43"/>
      <c r="N117" s="43"/>
      <c r="O117" s="72"/>
    </row>
    <row r="118" spans="1:15" ht="20" customHeight="1" x14ac:dyDescent="0.2">
      <c r="A118" s="65" t="s">
        <v>102</v>
      </c>
      <c r="B118" s="60" t="str" cm="1">
        <f t="array" aca="1" ref="B118" ca="1">_xlfn.LET(
    _xlpm.week, $B$4,
    _xlpm.d, H118,
    _xlpm.nthTask, COUNTIF($H$90:H118,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8" s="62"/>
      <c r="D118" s="61"/>
      <c r="E118" s="60" t="str" cm="1">
        <f t="array" aca="1" ref="E118" ca="1">_xlfn.LET(
    _xlpm.week, $B$4,
    _xlpm.rowPerson, 3 + (_xlpm.week-1)*11,
    _xlpm.personName, INDEX('Graphic Designer'!$B:$B, _xlpm.rowPerson),
    IF($B35="", "", _xlpm.personName)
)</f>
        <v>Hung Lu</v>
      </c>
      <c r="F118" s="61"/>
      <c r="G118" s="61"/>
      <c r="H118" s="52" cm="1">
        <f t="array" ref="H118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45996</v>
      </c>
      <c r="I118" s="67"/>
      <c r="J118" s="86" t="str">
        <f t="shared" ca="1" si="6"/>
        <v/>
      </c>
      <c r="K118" s="68"/>
      <c r="L118" s="61"/>
      <c r="M118" s="61"/>
      <c r="N118" s="61"/>
      <c r="O118" s="69"/>
    </row>
    <row r="119" spans="1:15" ht="20" customHeight="1" x14ac:dyDescent="0.2">
      <c r="A119" s="66" t="s">
        <v>103</v>
      </c>
      <c r="B119" s="60" t="str" cm="1">
        <f t="array" aca="1" ref="B119" ca="1">_xlfn.LET(
    _xlpm.week, $B$4,
    _xlpm.d, H119,
    _xlpm.nthTask, COUNTIF($H$90:H119,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19" s="63"/>
      <c r="D119" s="43"/>
      <c r="E119" s="60" t="str" cm="1">
        <f t="array" aca="1" ref="E119" ca="1">_xlfn.LET(
    _xlpm.week, $B$4,
    _xlpm.rowPerson, 3 + (_xlpm.week-1)*11,
    _xlpm.personName, INDEX('Graphic Designer'!$B:$B, _xlpm.rowPerson),
    IF($B36="", "", _xlpm.personName)
)</f>
        <v>Hung Lu</v>
      </c>
      <c r="F119" s="43"/>
      <c r="G119" s="43"/>
      <c r="H119" s="52" cm="1">
        <f t="array" ref="H119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45996</v>
      </c>
      <c r="I119" s="70"/>
      <c r="J119" s="87" t="str">
        <f t="shared" ca="1" si="6"/>
        <v/>
      </c>
      <c r="K119" s="71"/>
      <c r="L119" s="43"/>
      <c r="M119" s="43"/>
      <c r="N119" s="43"/>
      <c r="O119" s="72"/>
    </row>
    <row r="120" spans="1:15" ht="20" customHeight="1" x14ac:dyDescent="0.2">
      <c r="A120" s="65" t="s">
        <v>104</v>
      </c>
      <c r="B120" s="60" t="str" cm="1">
        <f t="array" aca="1" ref="B120" ca="1">_xlfn.LET(
    _xlpm.week, $B$4,
    _xlpm.d, H120,
    _xlpm.nthTask, COUNTIF($H$90:H120,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0" s="62"/>
      <c r="D120" s="61"/>
      <c r="E120" s="60" t="str" cm="1">
        <f t="array" aca="1" ref="E120" ca="1">_xlfn.LET(
    _xlpm.week, $B$4,
    _xlpm.rowPerson, 3 + (_xlpm.week-1)*11,
    _xlpm.personName, INDEX('Graphic Designer'!$B:$B, _xlpm.rowPerson),
    IF($B37="", "", _xlpm.personName)
)</f>
        <v>Hung Lu</v>
      </c>
      <c r="F120" s="61"/>
      <c r="G120" s="61"/>
      <c r="H120" s="52" cm="1">
        <f t="array" ref="H120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45996</v>
      </c>
      <c r="I120" s="67"/>
      <c r="J120" s="86" t="str">
        <f t="shared" ca="1" si="6"/>
        <v/>
      </c>
      <c r="K120" s="68"/>
      <c r="L120" s="61"/>
      <c r="M120" s="61"/>
      <c r="N120" s="61"/>
      <c r="O120" s="69"/>
    </row>
    <row r="121" spans="1:15" ht="20" customHeight="1" x14ac:dyDescent="0.2">
      <c r="A121" s="66" t="s">
        <v>105</v>
      </c>
      <c r="B121" s="60" t="str" cm="1">
        <f t="array" aca="1" ref="B121" ca="1">_xlfn.LET(
    _xlpm.week, $B$4,
    _xlpm.d, H121,
    _xlpm.nthTask, COUNTIF($H$90:H121,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1" s="43"/>
      <c r="D121" s="43"/>
      <c r="E121" s="60" t="str" cm="1">
        <f t="array" aca="1" ref="E121" ca="1">_xlfn.LET(
    _xlpm.week, $B$4,
    _xlpm.rowPerson, 3 + (_xlpm.week-1)*11,
    _xlpm.personName, INDEX('Graphic Designer'!$B:$B, _xlpm.rowPerson),
    IF($B38="", "", _xlpm.personName)
)</f>
        <v>Hung Lu</v>
      </c>
      <c r="F121" s="43"/>
      <c r="G121" s="43"/>
      <c r="H121" s="52" cm="1">
        <f t="array" ref="H121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45996</v>
      </c>
      <c r="I121" s="70"/>
      <c r="J121" s="87" t="str">
        <f t="shared" ca="1" si="6"/>
        <v/>
      </c>
      <c r="K121" s="71"/>
      <c r="L121" s="43"/>
      <c r="M121" s="43"/>
      <c r="N121" s="43"/>
      <c r="O121" s="72"/>
    </row>
    <row r="122" spans="1:15" ht="20" customHeight="1" x14ac:dyDescent="0.2">
      <c r="A122" s="65" t="s">
        <v>106</v>
      </c>
      <c r="B122" s="60" t="str" cm="1">
        <f t="array" aca="1" ref="B122" ca="1">_xlfn.LET(
    _xlpm.week, $B$4,
    _xlpm.d, H122,
    _xlpm.nthTask, COUNTIF($H$90:H122,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2" s="61"/>
      <c r="D122" s="61"/>
      <c r="E122" s="60" t="str" cm="1">
        <f t="array" aca="1" ref="E122" ca="1">_xlfn.LET(
    _xlpm.week, $B$4,
    _xlpm.rowPerson, 3 + (_xlpm.week-1)*11,
    _xlpm.personName, INDEX('Graphic Designer'!$B:$B, _xlpm.rowPerson),
    IF($B39="", "", _xlpm.personName)
)</f>
        <v>Hung Lu</v>
      </c>
      <c r="F122" s="61"/>
      <c r="G122" s="61"/>
      <c r="H122" s="52" cm="1">
        <f t="array" ref="H122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45996</v>
      </c>
      <c r="I122" s="67"/>
      <c r="J122" s="86" t="str">
        <f t="shared" ca="1" si="6"/>
        <v/>
      </c>
      <c r="K122" s="68"/>
      <c r="L122" s="61"/>
      <c r="M122" s="61"/>
      <c r="N122" s="61"/>
      <c r="O122" s="69"/>
    </row>
    <row r="123" spans="1:15" ht="20" customHeight="1" x14ac:dyDescent="0.2">
      <c r="A123" s="66" t="s">
        <v>107</v>
      </c>
      <c r="B123" s="60" t="str" cm="1">
        <f t="array" aca="1" ref="B123" ca="1">_xlfn.LET(
    _xlpm.week, $B$4,
    _xlpm.d, H123,
    _xlpm.nthTask, COUNTIF($H$90:H123,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3" s="43"/>
      <c r="D123" s="43"/>
      <c r="E123" s="60" t="str" cm="1">
        <f t="array" aca="1" ref="E123" ca="1">_xlfn.LET(
    _xlpm.week, $B$4,
    _xlpm.rowPerson, 3 + (_xlpm.week-1)*11,
    _xlpm.personName, INDEX('Graphic Designer'!$B:$B, _xlpm.rowPerson),
    IF($B40="", "", _xlpm.personName)
)</f>
        <v>Hung Lu</v>
      </c>
      <c r="F123" s="43"/>
      <c r="G123" s="43"/>
      <c r="H123" s="52" cm="1">
        <f t="array" ref="H123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45996</v>
      </c>
      <c r="I123" s="70"/>
      <c r="J123" s="87" t="str">
        <f t="shared" ca="1" si="6"/>
        <v/>
      </c>
      <c r="K123" s="71"/>
      <c r="L123" s="43"/>
      <c r="M123" s="43"/>
      <c r="N123" s="43"/>
      <c r="O123" s="72"/>
    </row>
    <row r="124" spans="1:15" ht="20" customHeight="1" x14ac:dyDescent="0.2">
      <c r="A124" s="65" t="s">
        <v>108</v>
      </c>
      <c r="B124" s="60" t="str" cm="1">
        <f t="array" aca="1" ref="B124" ca="1">_xlfn.LET(
    _xlpm.week, $B$4,
    _xlpm.d, H124,
    _xlpm.nthTask, COUNTIF($H$90:H124,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4" s="62"/>
      <c r="D124" s="61"/>
      <c r="E124" s="60" t="str" cm="1">
        <f t="array" aca="1" ref="E124" ca="1">_xlfn.LET(
    _xlpm.week, $B$4,
    _xlpm.rowPerson, 3 + (_xlpm.week-1)*11,
    _xlpm.personName, INDEX('Graphic Designer'!$B:$B, _xlpm.rowPerson),
    IF($B41="", "", _xlpm.personName)
)</f>
        <v>Hung Lu</v>
      </c>
      <c r="F124" s="61"/>
      <c r="G124" s="61"/>
      <c r="H124" s="52" cm="1">
        <f t="array" ref="H124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45996</v>
      </c>
      <c r="I124" s="67"/>
      <c r="J124" s="86" t="str">
        <f t="shared" ca="1" si="6"/>
        <v/>
      </c>
      <c r="K124" s="68"/>
      <c r="L124" s="61"/>
      <c r="M124" s="61"/>
      <c r="N124" s="61"/>
      <c r="O124" s="69"/>
    </row>
    <row r="125" spans="1:15" ht="20" customHeight="1" x14ac:dyDescent="0.2">
      <c r="A125" s="66" t="s">
        <v>109</v>
      </c>
      <c r="B125" s="60" t="str" cm="1">
        <f t="array" aca="1" ref="B125" ca="1">_xlfn.LET(
    _xlpm.week, $B$4,
    _xlpm.d, H125,
    _xlpm.nthTask, COUNTIF($H$90:H125,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5" s="63"/>
      <c r="D125" s="43"/>
      <c r="E125" s="60" t="str" cm="1">
        <f t="array" aca="1" ref="E125" ca="1">_xlfn.LET(
    _xlpm.week, $B$4,
    _xlpm.rowPerson, 3 + (_xlpm.week-1)*11,
    _xlpm.personName, INDEX('Graphic Designer'!$B:$B, _xlpm.rowPerson),
    IF($B42="", "", _xlpm.personName)
)</f>
        <v>Hung Lu</v>
      </c>
      <c r="F125" s="43"/>
      <c r="G125" s="43"/>
      <c r="H125" s="52" cm="1">
        <f t="array" ref="H125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45997</v>
      </c>
      <c r="I125" s="70"/>
      <c r="J125" s="87" t="str">
        <f t="shared" ca="1" si="6"/>
        <v/>
      </c>
      <c r="K125" s="71"/>
      <c r="L125" s="43"/>
      <c r="M125" s="43"/>
      <c r="N125" s="43"/>
      <c r="O125" s="72"/>
    </row>
    <row r="126" spans="1:15" ht="20" customHeight="1" x14ac:dyDescent="0.2">
      <c r="A126" s="65" t="s">
        <v>110</v>
      </c>
      <c r="B126" s="60" t="str" cm="1">
        <f t="array" aca="1" ref="B126" ca="1">_xlfn.LET(
    _xlpm.week, $B$4,
    _xlpm.d, H126,
    _xlpm.nthTask, COUNTIF($H$90:H126,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6" s="62"/>
      <c r="D126" s="61"/>
      <c r="E126" s="60" t="str" cm="1">
        <f t="array" aca="1" ref="E126" ca="1">_xlfn.LET(
    _xlpm.week, $B$4,
    _xlpm.rowPerson, 3 + (_xlpm.week-1)*11,
    _xlpm.personName, INDEX('Graphic Designer'!$B:$B, _xlpm.rowPerson),
    IF($B43="", "", _xlpm.personName)
)</f>
        <v>Hung Lu</v>
      </c>
      <c r="F126" s="61"/>
      <c r="G126" s="61"/>
      <c r="H126" s="52" cm="1">
        <f t="array" ref="H126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45997</v>
      </c>
      <c r="I126" s="67"/>
      <c r="J126" s="86" t="str">
        <f t="shared" ca="1" si="6"/>
        <v/>
      </c>
      <c r="K126" s="68"/>
      <c r="L126" s="61"/>
      <c r="M126" s="61"/>
      <c r="N126" s="61"/>
      <c r="O126" s="69"/>
    </row>
    <row r="127" spans="1:15" ht="20" customHeight="1" x14ac:dyDescent="0.2">
      <c r="A127" s="66" t="s">
        <v>111</v>
      </c>
      <c r="B127" s="60" t="str" cm="1">
        <f t="array" aca="1" ref="B127" ca="1">_xlfn.LET(
    _xlpm.week, $B$4,
    _xlpm.d, H127,
    _xlpm.nthTask, COUNTIF($H$90:H127,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7" s="63"/>
      <c r="D127" s="43"/>
      <c r="E127" s="60" t="str" cm="1">
        <f t="array" aca="1" ref="E127" ca="1">_xlfn.LET(
    _xlpm.week, $B$4,
    _xlpm.rowPerson, 3 + (_xlpm.week-1)*11,
    _xlpm.personName, INDEX('Graphic Designer'!$B:$B, _xlpm.rowPerson),
    IF($B44="", "", _xlpm.personName)
)</f>
        <v>Hung Lu</v>
      </c>
      <c r="F127" s="43"/>
      <c r="G127" s="43"/>
      <c r="H127" s="52" cm="1">
        <f t="array" ref="H127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45997</v>
      </c>
      <c r="I127" s="70"/>
      <c r="J127" s="87" t="str">
        <f t="shared" ca="1" si="6"/>
        <v/>
      </c>
      <c r="K127" s="71"/>
      <c r="L127" s="43"/>
      <c r="M127" s="43"/>
      <c r="N127" s="43"/>
      <c r="O127" s="72"/>
    </row>
    <row r="128" spans="1:15" ht="20" customHeight="1" x14ac:dyDescent="0.2">
      <c r="A128" s="65" t="s">
        <v>112</v>
      </c>
      <c r="B128" s="60" t="str" cm="1">
        <f t="array" aca="1" ref="B128" ca="1">_xlfn.LET(
    _xlpm.week, $B$4,
    _xlpm.d, H128,
    _xlpm.nthTask, COUNTIF($H$90:H128,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8" s="61"/>
      <c r="D128" s="61"/>
      <c r="E128" s="60" t="str" cm="1">
        <f t="array" aca="1" ref="E128" ca="1">_xlfn.LET(
    _xlpm.week, $B$4,
    _xlpm.rowPerson, 3 + (_xlpm.week-1)*11,
    _xlpm.personName, INDEX('Graphic Designer'!$B:$B, _xlpm.rowPerson),
    IF($B45="", "", _xlpm.personName)
)</f>
        <v>Hung Lu</v>
      </c>
      <c r="F128" s="61"/>
      <c r="G128" s="61"/>
      <c r="H128" s="52" cm="1">
        <f t="array" ref="H128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45997</v>
      </c>
      <c r="I128" s="67"/>
      <c r="J128" s="86" t="str">
        <f t="shared" ca="1" si="6"/>
        <v/>
      </c>
      <c r="K128" s="68"/>
      <c r="L128" s="61"/>
      <c r="M128" s="61"/>
      <c r="N128" s="61"/>
      <c r="O128" s="69"/>
    </row>
    <row r="129" spans="1:15" ht="20" customHeight="1" x14ac:dyDescent="0.2">
      <c r="A129" s="66" t="s">
        <v>113</v>
      </c>
      <c r="B129" s="60" t="str" cm="1">
        <f t="array" aca="1" ref="B129" ca="1">_xlfn.LET(
    _xlpm.week, $B$4,
    _xlpm.d, H129,
    _xlpm.nthTask, COUNTIF($H$90:H129,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29" s="43"/>
      <c r="D129" s="43"/>
      <c r="E129" s="60" t="str" cm="1">
        <f t="array" aca="1" ref="E129" ca="1">_xlfn.LET(
    _xlpm.week, $B$4,
    _xlpm.rowPerson, 3 + (_xlpm.week-1)*11,
    _xlpm.personName, INDEX('Graphic Designer'!$B:$B, _xlpm.rowPerson),
    IF($B46="", "", _xlpm.personName)
)</f>
        <v>Hung Lu</v>
      </c>
      <c r="F129" s="43"/>
      <c r="G129" s="43"/>
      <c r="H129" s="52" cm="1">
        <f t="array" ref="H129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45997</v>
      </c>
      <c r="I129" s="70"/>
      <c r="J129" s="87" t="str">
        <f t="shared" ca="1" si="6"/>
        <v/>
      </c>
      <c r="K129" s="71"/>
      <c r="L129" s="43"/>
      <c r="M129" s="43"/>
      <c r="N129" s="43"/>
      <c r="O129" s="72"/>
    </row>
    <row r="130" spans="1:15" ht="20" customHeight="1" x14ac:dyDescent="0.2">
      <c r="A130" s="65" t="s">
        <v>114</v>
      </c>
      <c r="B130" s="60" t="str" cm="1">
        <f t="array" aca="1" ref="B130" ca="1">_xlfn.LET(
    _xlpm.week, $B$4,
    _xlpm.d, H130,
    _xlpm.nthTask, COUNTIF($H$90:H130,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0" s="61"/>
      <c r="D130" s="61"/>
      <c r="E130" s="60" t="str" cm="1">
        <f t="array" aca="1" ref="E130" ca="1">_xlfn.LET(
    _xlpm.week, $B$4,
    _xlpm.rowPerson, 3 + (_xlpm.week-1)*11,
    _xlpm.personName, INDEX('Graphic Designer'!$B:$B, _xlpm.rowPerson),
    IF($B47="", "", _xlpm.personName)
)</f>
        <v>Hung Lu</v>
      </c>
      <c r="F130" s="61"/>
      <c r="G130" s="61"/>
      <c r="H130" s="52" cm="1">
        <f t="array" ref="H130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45997</v>
      </c>
      <c r="I130" s="67"/>
      <c r="J130" s="86" t="str">
        <f t="shared" ca="1" si="6"/>
        <v/>
      </c>
      <c r="K130" s="68"/>
      <c r="L130" s="61"/>
      <c r="M130" s="61"/>
      <c r="N130" s="61"/>
      <c r="O130" s="69"/>
    </row>
    <row r="131" spans="1:15" ht="20" customHeight="1" x14ac:dyDescent="0.2">
      <c r="A131" s="66" t="s">
        <v>115</v>
      </c>
      <c r="B131" s="60" t="str" cm="1">
        <f t="array" aca="1" ref="B131" ca="1">_xlfn.LET(
    _xlpm.week, $B$4,
    _xlpm.d, H131,
    _xlpm.nthTask, COUNTIF($H$90:H131, _xlpm.d),
    _xlpm.dateHeader, OFFSET('Graphic Designer'!$C$3, (_xlpm.week-1)*11, 0, 1, 7),
    _xlpm.taskRange, OFFSET('Graphic Designer'!$C$5,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1" s="63"/>
      <c r="D131" s="43"/>
      <c r="E131" s="60" t="str" cm="1">
        <f t="array" aca="1" ref="E131" ca="1">_xlfn.LET(
    _xlpm.week, $B$4,
    _xlpm.rowPerson, 3 + (_xlpm.week-1)*11,
    _xlpm.personName, INDEX('Graphic Designer'!$B:$B, _xlpm.rowPerson),
    IF($B48="", "", _xlpm.personName)
)</f>
        <v>Hung Lu</v>
      </c>
      <c r="F131" s="43"/>
      <c r="G131" s="43"/>
      <c r="H131" s="52" cm="1">
        <f t="array" ref="H131">IFERROR(
  _xlfn.LET(
    _xlpm.week, $B$4,
    _xlpm.pos, ROW()-ROW($H$90),
    _xlpm.dayIndex, INT(_xlpm.pos/7)+1,
    _xlpm.rowDate, 3 + (_xlpm.week-1)*11,
    IF(_xlpm.dayIndex&gt;7,"", INDEX('Graphic Designer'!$C:$I, _xlpm.rowDate, _xlpm.dayIndex))
  ),
"")</f>
        <v>45997</v>
      </c>
      <c r="I131" s="70"/>
      <c r="J131" s="87" t="str">
        <f t="shared" ca="1" si="6"/>
        <v/>
      </c>
      <c r="K131" s="71"/>
      <c r="L131" s="43"/>
      <c r="M131" s="43"/>
      <c r="N131" s="43"/>
      <c r="O131" s="72"/>
    </row>
    <row r="132" spans="1:15" ht="20" customHeight="1" x14ac:dyDescent="0.2">
      <c r="A132" s="65" t="s">
        <v>74</v>
      </c>
      <c r="B132" s="60" t="str" cm="1">
        <f t="array" aca="1" ref="B132" ca="1">_xlfn.LET(
    _xlpm.week, $B$4,
    _xlpm.d, H132,
    _xlpm.nthTask, COUNTIF($H$132:H132,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2" s="62"/>
      <c r="D132" s="61"/>
      <c r="E132" s="60" t="str" cm="1">
        <f t="array" aca="1" ref="E132" ca="1">_xlfn.LET(
    _xlpm.week, $B$4,
    _xlpm.rowPerson, 3 + (_xlpm.week-1)*11,
    _xlpm.personName, INDEX('Media Editor'!$B:$B, _xlpm.rowPerson),
    IF($B8="", "", _xlpm.personName)
)</f>
        <v>Person #4</v>
      </c>
      <c r="F132" s="61"/>
      <c r="G132" s="61"/>
      <c r="H132" s="52" cm="1">
        <f t="array" ref="H132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45992</v>
      </c>
      <c r="I132" s="67"/>
      <c r="J132" s="86" t="str">
        <f ca="1">IF(I132="","",I132-TODAY())</f>
        <v/>
      </c>
      <c r="K132" s="68"/>
      <c r="L132" s="61"/>
      <c r="M132" s="62"/>
      <c r="N132" s="62"/>
      <c r="O132" s="69"/>
    </row>
    <row r="133" spans="1:15" ht="20" customHeight="1" x14ac:dyDescent="0.2">
      <c r="A133" s="66" t="s">
        <v>75</v>
      </c>
      <c r="B133" s="60" t="str" cm="1">
        <f t="array" aca="1" ref="B133" ca="1">_xlfn.LET(
    _xlpm.week, $B$4,
    _xlpm.d, H133,
    _xlpm.nthTask, COUNTIF($H$132:H133,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3" s="63"/>
      <c r="D133" s="43"/>
      <c r="E133" s="60" t="str" cm="1">
        <f t="array" aca="1" ref="E133" ca="1">_xlfn.LET(
    _xlpm.week, $B$4,
    _xlpm.rowPerson, 3 + (_xlpm.week-1)*11,
    _xlpm.personName, INDEX('Media Editor'!$B:$B, _xlpm.rowPerson),
    IF($B9="", "", _xlpm.personName)
)</f>
        <v>Person #4</v>
      </c>
      <c r="F133" s="43"/>
      <c r="G133" s="43"/>
      <c r="H133" s="52" cm="1">
        <f t="array" ref="H133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45992</v>
      </c>
      <c r="I133" s="70"/>
      <c r="J133" s="87" t="str">
        <f t="shared" ref="J133:J148" ca="1" si="7">IF(I133="","",I133-TODAY())</f>
        <v/>
      </c>
      <c r="K133" s="71"/>
      <c r="L133" s="43"/>
      <c r="M133" s="43"/>
      <c r="N133" s="43"/>
      <c r="O133" s="72"/>
    </row>
    <row r="134" spans="1:15" ht="20" customHeight="1" x14ac:dyDescent="0.2">
      <c r="A134" s="65" t="s">
        <v>76</v>
      </c>
      <c r="B134" s="60" t="str" cm="1">
        <f t="array" aca="1" ref="B134" ca="1">_xlfn.LET(
    _xlpm.week, $B$4,
    _xlpm.d, H134,
    _xlpm.nthTask, COUNTIF($H$132:H134,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4" s="61"/>
      <c r="D134" s="61"/>
      <c r="E134" s="60" t="str" cm="1">
        <f t="array" aca="1" ref="E134" ca="1">_xlfn.LET(
    _xlpm.week, $B$4,
    _xlpm.rowPerson, 3 + (_xlpm.week-1)*11,
    _xlpm.personName, INDEX('Media Editor'!$B:$B, _xlpm.rowPerson),
    IF($B10="", "", _xlpm.personName)
)</f>
        <v>Person #4</v>
      </c>
      <c r="F134" s="61"/>
      <c r="G134" s="61"/>
      <c r="H134" s="52" cm="1">
        <f t="array" ref="H134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45992</v>
      </c>
      <c r="I134" s="67"/>
      <c r="J134" s="86" t="str">
        <f t="shared" ca="1" si="7"/>
        <v/>
      </c>
      <c r="K134" s="68"/>
      <c r="L134" s="61"/>
      <c r="M134" s="61"/>
      <c r="N134" s="61"/>
      <c r="O134" s="69"/>
    </row>
    <row r="135" spans="1:15" ht="20" customHeight="1" x14ac:dyDescent="0.2">
      <c r="A135" s="66" t="s">
        <v>77</v>
      </c>
      <c r="B135" s="60" t="str" cm="1">
        <f t="array" aca="1" ref="B135" ca="1">_xlfn.LET(
    _xlpm.week, $B$4,
    _xlpm.d, H135,
    _xlpm.nthTask, COUNTIF($H$132:H135,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5" s="43"/>
      <c r="D135" s="43"/>
      <c r="E135" s="60" t="str" cm="1">
        <f t="array" aca="1" ref="E135" ca="1">_xlfn.LET(
    _xlpm.week, $B$4,
    _xlpm.rowPerson, 3 + (_xlpm.week-1)*11,
    _xlpm.personName, INDEX('Media Editor'!$B:$B, _xlpm.rowPerson),
    IF($B11="", "", _xlpm.personName)
)</f>
        <v>Person #4</v>
      </c>
      <c r="F135" s="43"/>
      <c r="G135" s="43"/>
      <c r="H135" s="52" cm="1">
        <f t="array" ref="H135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45992</v>
      </c>
      <c r="I135" s="70"/>
      <c r="J135" s="87" t="str">
        <f t="shared" ca="1" si="7"/>
        <v/>
      </c>
      <c r="K135" s="71"/>
      <c r="L135" s="43"/>
      <c r="M135" s="43"/>
      <c r="N135" s="43"/>
      <c r="O135" s="72"/>
    </row>
    <row r="136" spans="1:15" ht="20" customHeight="1" x14ac:dyDescent="0.2">
      <c r="A136" s="65" t="s">
        <v>78</v>
      </c>
      <c r="B136" s="60" t="str" cm="1">
        <f t="array" aca="1" ref="B136" ca="1">_xlfn.LET(
    _xlpm.week, $B$4,
    _xlpm.d, H136,
    _xlpm.nthTask, COUNTIF($H$132:H136,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6" s="61"/>
      <c r="D136" s="61"/>
      <c r="E136" s="60" t="str" cm="1">
        <f t="array" aca="1" ref="E136" ca="1">_xlfn.LET(
    _xlpm.week, $B$4,
    _xlpm.rowPerson, 3 + (_xlpm.week-1)*11,
    _xlpm.personName, INDEX('Media Editor'!$B:$B, _xlpm.rowPerson),
    IF($B12="", "", _xlpm.personName)
)</f>
        <v>Person #4</v>
      </c>
      <c r="F136" s="61"/>
      <c r="G136" s="61"/>
      <c r="H136" s="52" cm="1">
        <f t="array" ref="H136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45992</v>
      </c>
      <c r="I136" s="67"/>
      <c r="J136" s="86" t="str">
        <f t="shared" ca="1" si="7"/>
        <v/>
      </c>
      <c r="K136" s="68"/>
      <c r="L136" s="61"/>
      <c r="M136" s="61"/>
      <c r="N136" s="61"/>
      <c r="O136" s="69"/>
    </row>
    <row r="137" spans="1:15" ht="20" customHeight="1" x14ac:dyDescent="0.2">
      <c r="A137" s="66" t="s">
        <v>79</v>
      </c>
      <c r="B137" s="60" t="str" cm="1">
        <f t="array" aca="1" ref="B137" ca="1">_xlfn.LET(
    _xlpm.week, $B$4,
    _xlpm.d, H137,
    _xlpm.nthTask, COUNTIF($H$132:H137,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7" s="63"/>
      <c r="D137" s="43"/>
      <c r="E137" s="60" t="str" cm="1">
        <f t="array" aca="1" ref="E137" ca="1">_xlfn.LET(
    _xlpm.week, $B$4,
    _xlpm.rowPerson, 3 + (_xlpm.week-1)*11,
    _xlpm.personName, INDEX('Media Editor'!$B:$B, _xlpm.rowPerson),
    IF($B13="", "", _xlpm.personName)
)</f>
        <v>Person #4</v>
      </c>
      <c r="F137" s="43"/>
      <c r="G137" s="43"/>
      <c r="H137" s="52" cm="1">
        <f t="array" ref="H137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45992</v>
      </c>
      <c r="I137" s="70"/>
      <c r="J137" s="87" t="str">
        <f t="shared" ca="1" si="7"/>
        <v/>
      </c>
      <c r="K137" s="71"/>
      <c r="L137" s="43"/>
      <c r="M137" s="43"/>
      <c r="N137" s="43"/>
      <c r="O137" s="72"/>
    </row>
    <row r="138" spans="1:15" ht="20" customHeight="1" x14ac:dyDescent="0.2">
      <c r="A138" s="65" t="s">
        <v>80</v>
      </c>
      <c r="B138" s="60" t="str" cm="1">
        <f t="array" aca="1" ref="B138" ca="1">_xlfn.LET(
    _xlpm.week, $B$4,
    _xlpm.d, H138,
    _xlpm.nthTask, COUNTIF($H$132:H138,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8" s="62"/>
      <c r="D138" s="61"/>
      <c r="E138" s="60" t="str" cm="1">
        <f t="array" aca="1" ref="E138" ca="1">_xlfn.LET(
    _xlpm.week, $B$4,
    _xlpm.rowPerson, 3 + (_xlpm.week-1)*11,
    _xlpm.personName, INDEX('Media Editor'!$B:$B, _xlpm.rowPerson),
    IF($B14="", "", _xlpm.personName)
)</f>
        <v>Person #4</v>
      </c>
      <c r="F138" s="61"/>
      <c r="G138" s="61"/>
      <c r="H138" s="52" cm="1">
        <f t="array" ref="H138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45992</v>
      </c>
      <c r="I138" s="67"/>
      <c r="J138" s="86" t="str">
        <f t="shared" ca="1" si="7"/>
        <v/>
      </c>
      <c r="K138" s="68"/>
      <c r="L138" s="61"/>
      <c r="M138" s="61"/>
      <c r="N138" s="61"/>
      <c r="O138" s="69"/>
    </row>
    <row r="139" spans="1:15" ht="20" customHeight="1" x14ac:dyDescent="0.2">
      <c r="A139" s="66" t="s">
        <v>81</v>
      </c>
      <c r="B139" s="60" t="str" cm="1">
        <f t="array" aca="1" ref="B139" ca="1">_xlfn.LET(
    _xlpm.week, $B$4,
    _xlpm.d, H139,
    _xlpm.nthTask, COUNTIF($H$132:H139,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39" s="63"/>
      <c r="D139" s="43"/>
      <c r="E139" s="60" t="str" cm="1">
        <f t="array" aca="1" ref="E139" ca="1">_xlfn.LET(
    _xlpm.week, $B$4,
    _xlpm.rowPerson, 3 + (_xlpm.week-1)*11,
    _xlpm.personName, INDEX('Media Editor'!$B:$B, _xlpm.rowPerson),
    IF($B15="", "", _xlpm.personName)
)</f>
        <v>Person #4</v>
      </c>
      <c r="F139" s="43"/>
      <c r="G139" s="43"/>
      <c r="H139" s="52" cm="1">
        <f t="array" ref="H139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45993</v>
      </c>
      <c r="I139" s="70"/>
      <c r="J139" s="87" t="str">
        <f t="shared" ca="1" si="7"/>
        <v/>
      </c>
      <c r="K139" s="71"/>
      <c r="L139" s="43"/>
      <c r="M139" s="63"/>
      <c r="N139" s="63"/>
      <c r="O139" s="72"/>
    </row>
    <row r="140" spans="1:15" ht="20" customHeight="1" x14ac:dyDescent="0.2">
      <c r="A140" s="65" t="s">
        <v>82</v>
      </c>
      <c r="B140" s="60" t="str" cm="1">
        <f t="array" aca="1" ref="B140" ca="1">_xlfn.LET(
    _xlpm.week, $B$4,
    _xlpm.d, H140,
    _xlpm.nthTask, COUNTIF($H$132:H140,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0" s="62"/>
      <c r="D140" s="61"/>
      <c r="E140" s="60" t="str" cm="1">
        <f t="array" aca="1" ref="E140" ca="1">_xlfn.LET(
    _xlpm.week, $B$4,
    _xlpm.rowPerson, 3 + (_xlpm.week-1)*11,
    _xlpm.personName, INDEX('Media Editor'!$B:$B, _xlpm.rowPerson),
    IF($B16="", "", _xlpm.personName)
)</f>
        <v>Person #4</v>
      </c>
      <c r="F140" s="61"/>
      <c r="G140" s="61"/>
      <c r="H140" s="52" cm="1">
        <f t="array" ref="H140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45993</v>
      </c>
      <c r="I140" s="67"/>
      <c r="J140" s="86" t="str">
        <f t="shared" ca="1" si="7"/>
        <v/>
      </c>
      <c r="K140" s="68"/>
      <c r="L140" s="61"/>
      <c r="M140" s="61"/>
      <c r="N140" s="61"/>
      <c r="O140" s="69"/>
    </row>
    <row r="141" spans="1:15" ht="20" customHeight="1" x14ac:dyDescent="0.2">
      <c r="A141" s="66" t="s">
        <v>83</v>
      </c>
      <c r="B141" s="60" t="str" cm="1">
        <f t="array" aca="1" ref="B141" ca="1">_xlfn.LET(
    _xlpm.week, $B$4,
    _xlpm.d, H141,
    _xlpm.nthTask, COUNTIF($H$132:H141,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1" s="43"/>
      <c r="D141" s="43"/>
      <c r="E141" s="60" t="str" cm="1">
        <f t="array" aca="1" ref="E141" ca="1">_xlfn.LET(
    _xlpm.week, $B$4,
    _xlpm.rowPerson, 3 + (_xlpm.week-1)*11,
    _xlpm.personName, INDEX('Media Editor'!$B:$B, _xlpm.rowPerson),
    IF($B17="", "", _xlpm.personName)
)</f>
        <v>Person #4</v>
      </c>
      <c r="F141" s="43"/>
      <c r="G141" s="43"/>
      <c r="H141" s="52" cm="1">
        <f t="array" ref="H141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45993</v>
      </c>
      <c r="I141" s="70"/>
      <c r="J141" s="87" t="str">
        <f t="shared" ca="1" si="7"/>
        <v/>
      </c>
      <c r="K141" s="71"/>
      <c r="L141" s="43"/>
      <c r="M141" s="43"/>
      <c r="N141" s="43"/>
      <c r="O141" s="72"/>
    </row>
    <row r="142" spans="1:15" ht="20" customHeight="1" x14ac:dyDescent="0.2">
      <c r="A142" s="65" t="s">
        <v>84</v>
      </c>
      <c r="B142" s="60" t="str" cm="1">
        <f t="array" aca="1" ref="B142" ca="1">_xlfn.LET(
    _xlpm.week, $B$4,
    _xlpm.d, H142,
    _xlpm.nthTask, COUNTIF($H$132:H142,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2" s="61"/>
      <c r="D142" s="61"/>
      <c r="E142" s="60" t="str" cm="1">
        <f t="array" aca="1" ref="E142" ca="1">_xlfn.LET(
    _xlpm.week, $B$4,
    _xlpm.rowPerson, 3 + (_xlpm.week-1)*11,
    _xlpm.personName, INDEX('Media Editor'!$B:$B, _xlpm.rowPerson),
    IF($B18="", "", _xlpm.personName)
)</f>
        <v>Person #4</v>
      </c>
      <c r="F142" s="61"/>
      <c r="G142" s="61"/>
      <c r="H142" s="52" cm="1">
        <f t="array" ref="H142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45993</v>
      </c>
      <c r="I142" s="67"/>
      <c r="J142" s="86" t="str">
        <f t="shared" ca="1" si="7"/>
        <v/>
      </c>
      <c r="K142" s="68"/>
      <c r="L142" s="61"/>
      <c r="M142" s="61"/>
      <c r="N142" s="61"/>
      <c r="O142" s="69"/>
    </row>
    <row r="143" spans="1:15" ht="20" customHeight="1" x14ac:dyDescent="0.2">
      <c r="A143" s="66" t="s">
        <v>85</v>
      </c>
      <c r="B143" s="60" t="str" cm="1">
        <f t="array" aca="1" ref="B143" ca="1">_xlfn.LET(
    _xlpm.week, $B$4,
    _xlpm.d, H143,
    _xlpm.nthTask, COUNTIF($H$132:H143,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3" s="43"/>
      <c r="D143" s="43"/>
      <c r="E143" s="60" t="str" cm="1">
        <f t="array" aca="1" ref="E143" ca="1">_xlfn.LET(
    _xlpm.week, $B$4,
    _xlpm.rowPerson, 3 + (_xlpm.week-1)*11,
    _xlpm.personName, INDEX('Media Editor'!$B:$B, _xlpm.rowPerson),
    IF($B19="", "", _xlpm.personName)
)</f>
        <v>Person #4</v>
      </c>
      <c r="F143" s="43"/>
      <c r="G143" s="43"/>
      <c r="H143" s="52" cm="1">
        <f t="array" ref="H143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45993</v>
      </c>
      <c r="I143" s="70"/>
      <c r="J143" s="87" t="str">
        <f t="shared" ca="1" si="7"/>
        <v/>
      </c>
      <c r="K143" s="71"/>
      <c r="L143" s="43"/>
      <c r="M143" s="43"/>
      <c r="N143" s="43"/>
      <c r="O143" s="72"/>
    </row>
    <row r="144" spans="1:15" ht="20" customHeight="1" x14ac:dyDescent="0.2">
      <c r="A144" s="65" t="s">
        <v>86</v>
      </c>
      <c r="B144" s="60" t="str" cm="1">
        <f t="array" aca="1" ref="B144" ca="1">_xlfn.LET(
    _xlpm.week, $B$4,
    _xlpm.d, H144,
    _xlpm.nthTask, COUNTIF($H$132:H144,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4" s="62"/>
      <c r="D144" s="61"/>
      <c r="E144" s="60" t="str" cm="1">
        <f t="array" aca="1" ref="E144" ca="1">_xlfn.LET(
    _xlpm.week, $B$4,
    _xlpm.rowPerson, 3 + (_xlpm.week-1)*11,
    _xlpm.personName, INDEX('Media Editor'!$B:$B, _xlpm.rowPerson),
    IF($B20="", "", _xlpm.personName)
)</f>
        <v>Person #4</v>
      </c>
      <c r="F144" s="61"/>
      <c r="G144" s="61"/>
      <c r="H144" s="52" cm="1">
        <f t="array" ref="H144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45993</v>
      </c>
      <c r="I144" s="67"/>
      <c r="J144" s="86" t="str">
        <f t="shared" ca="1" si="7"/>
        <v/>
      </c>
      <c r="K144" s="68"/>
      <c r="L144" s="61"/>
      <c r="M144" s="61"/>
      <c r="N144" s="61"/>
      <c r="O144" s="69"/>
    </row>
    <row r="145" spans="1:15" ht="20" customHeight="1" x14ac:dyDescent="0.2">
      <c r="A145" s="66" t="s">
        <v>87</v>
      </c>
      <c r="B145" s="60" t="str" cm="1">
        <f t="array" aca="1" ref="B145" ca="1">_xlfn.LET(
    _xlpm.week, $B$4,
    _xlpm.d, H145,
    _xlpm.nthTask, COUNTIF($H$132:H145,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5" s="63"/>
      <c r="D145" s="43"/>
      <c r="E145" s="60" t="str" cm="1">
        <f t="array" aca="1" ref="E145" ca="1">_xlfn.LET(
    _xlpm.week, $B$4,
    _xlpm.rowPerson, 3 + (_xlpm.week-1)*11,
    _xlpm.personName, INDEX('Media Editor'!$B:$B, _xlpm.rowPerson),
    IF($B21="", "", _xlpm.personName)
)</f>
        <v>Person #4</v>
      </c>
      <c r="F145" s="43"/>
      <c r="G145" s="43"/>
      <c r="H145" s="52" cm="1">
        <f t="array" ref="H145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45993</v>
      </c>
      <c r="I145" s="70"/>
      <c r="J145" s="87" t="str">
        <f t="shared" ca="1" si="7"/>
        <v/>
      </c>
      <c r="K145" s="71"/>
      <c r="L145" s="43"/>
      <c r="M145" s="43"/>
      <c r="N145" s="43"/>
      <c r="O145" s="72"/>
    </row>
    <row r="146" spans="1:15" ht="20" customHeight="1" x14ac:dyDescent="0.2">
      <c r="A146" s="65" t="s">
        <v>88</v>
      </c>
      <c r="B146" s="60" t="str" cm="1">
        <f t="array" aca="1" ref="B146" ca="1">_xlfn.LET(
    _xlpm.week, $B$4,
    _xlpm.d, H146,
    _xlpm.nthTask, COUNTIF($H$132:H146,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6" s="62"/>
      <c r="D146" s="61"/>
      <c r="E146" s="60" t="str" cm="1">
        <f t="array" aca="1" ref="E146" ca="1">_xlfn.LET(
    _xlpm.week, $B$4,
    _xlpm.rowPerson, 3 + (_xlpm.week-1)*11,
    _xlpm.personName, INDEX('Media Editor'!$B:$B, _xlpm.rowPerson),
    IF($B22="", "", _xlpm.personName)
)</f>
        <v>Person #4</v>
      </c>
      <c r="F146" s="61"/>
      <c r="G146" s="61"/>
      <c r="H146" s="52" cm="1">
        <f t="array" ref="H146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45994</v>
      </c>
      <c r="I146" s="67"/>
      <c r="J146" s="86" t="str">
        <f t="shared" ca="1" si="7"/>
        <v/>
      </c>
      <c r="K146" s="68"/>
      <c r="L146" s="61"/>
      <c r="M146" s="61"/>
      <c r="N146" s="61"/>
      <c r="O146" s="69"/>
    </row>
    <row r="147" spans="1:15" ht="20" customHeight="1" x14ac:dyDescent="0.2">
      <c r="A147" s="66" t="s">
        <v>89</v>
      </c>
      <c r="B147" s="60" t="str" cm="1">
        <f t="array" aca="1" ref="B147" ca="1">_xlfn.LET(
    _xlpm.week, $B$4,
    _xlpm.d, H147,
    _xlpm.nthTask, COUNTIF($H$132:H147,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7" s="63"/>
      <c r="D147" s="43"/>
      <c r="E147" s="60" t="str" cm="1">
        <f t="array" aca="1" ref="E147" ca="1">_xlfn.LET(
    _xlpm.week, $B$4,
    _xlpm.rowPerson, 3 + (_xlpm.week-1)*11,
    _xlpm.personName, INDEX('Media Editor'!$B:$B, _xlpm.rowPerson),
    IF($B23="", "", _xlpm.personName)
)</f>
        <v>Person #4</v>
      </c>
      <c r="F147" s="43"/>
      <c r="G147" s="43"/>
      <c r="H147" s="52" cm="1">
        <f t="array" ref="H147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45994</v>
      </c>
      <c r="I147" s="70"/>
      <c r="J147" s="87" t="str">
        <f t="shared" ca="1" si="7"/>
        <v/>
      </c>
      <c r="K147" s="71"/>
      <c r="L147" s="43"/>
      <c r="M147" s="43"/>
      <c r="N147" s="43"/>
      <c r="O147" s="72"/>
    </row>
    <row r="148" spans="1:15" ht="20" customHeight="1" x14ac:dyDescent="0.2">
      <c r="A148" s="65" t="s">
        <v>90</v>
      </c>
      <c r="B148" s="60" t="str" cm="1">
        <f t="array" aca="1" ref="B148" ca="1">_xlfn.LET(
    _xlpm.week, $B$4,
    _xlpm.d, H148,
    _xlpm.nthTask, COUNTIF($H$132:H148,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8" s="61"/>
      <c r="D148" s="61"/>
      <c r="E148" s="60" t="str" cm="1">
        <f t="array" aca="1" ref="E148" ca="1">_xlfn.LET(
    _xlpm.week, $B$4,
    _xlpm.rowPerson, 3 + (_xlpm.week-1)*11,
    _xlpm.personName, INDEX('Media Editor'!$B:$B, _xlpm.rowPerson),
    IF($B24="", "", _xlpm.personName)
)</f>
        <v>Person #4</v>
      </c>
      <c r="F148" s="61"/>
      <c r="G148" s="61"/>
      <c r="H148" s="52" cm="1">
        <f t="array" ref="H148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45994</v>
      </c>
      <c r="I148" s="67"/>
      <c r="J148" s="86" t="str">
        <f t="shared" ca="1" si="7"/>
        <v/>
      </c>
      <c r="K148" s="68"/>
      <c r="L148" s="61"/>
      <c r="M148" s="61"/>
      <c r="N148" s="61"/>
      <c r="O148" s="69"/>
    </row>
    <row r="149" spans="1:15" ht="20" customHeight="1" x14ac:dyDescent="0.2">
      <c r="A149" s="66" t="s">
        <v>91</v>
      </c>
      <c r="B149" s="60" t="str" cm="1">
        <f t="array" aca="1" ref="B149" ca="1">_xlfn.LET(
    _xlpm.week, $B$4,
    _xlpm.d, H149,
    _xlpm.nthTask, COUNTIF($H$132:H149,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49" s="43"/>
      <c r="D149" s="43"/>
      <c r="E149" s="60" t="str" cm="1">
        <f t="array" aca="1" ref="E149" ca="1">_xlfn.LET(
    _xlpm.week, $B$4,
    _xlpm.rowPerson, 3 + (_xlpm.week-1)*11,
    _xlpm.personName, INDEX('Media Editor'!$B:$B, _xlpm.rowPerson),
    IF($B25="", "", _xlpm.personName)
)</f>
        <v>Person #4</v>
      </c>
      <c r="F149" s="43"/>
      <c r="G149" s="43"/>
      <c r="H149" s="52" cm="1">
        <f t="array" ref="H149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45994</v>
      </c>
      <c r="I149" s="70"/>
      <c r="J149" s="87" t="str">
        <f ca="1">IF(I149="","",I149-TODAY())</f>
        <v/>
      </c>
      <c r="K149" s="71"/>
      <c r="L149" s="43"/>
      <c r="M149" s="43"/>
      <c r="N149" s="43"/>
      <c r="O149" s="72"/>
    </row>
    <row r="150" spans="1:15" ht="20" customHeight="1" x14ac:dyDescent="0.2">
      <c r="A150" s="65" t="s">
        <v>92</v>
      </c>
      <c r="B150" s="60" t="str" cm="1">
        <f t="array" aca="1" ref="B150" ca="1">_xlfn.LET(
    _xlpm.week, $B$4,
    _xlpm.d, H150,
    _xlpm.nthTask, COUNTIF($H$132:H150,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0" s="61"/>
      <c r="D150" s="61"/>
      <c r="E150" s="60" t="str" cm="1">
        <f t="array" aca="1" ref="E150" ca="1">_xlfn.LET(
    _xlpm.week, $B$4,
    _xlpm.rowPerson, 3 + (_xlpm.week-1)*11,
    _xlpm.personName, INDEX('Media Editor'!$B:$B, _xlpm.rowPerson),
    IF($B26="", "", _xlpm.personName)
)</f>
        <v>Person #4</v>
      </c>
      <c r="F150" s="61"/>
      <c r="G150" s="61"/>
      <c r="H150" s="52" cm="1">
        <f t="array" ref="H150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45994</v>
      </c>
      <c r="I150" s="67"/>
      <c r="J150" s="86" t="str">
        <f t="shared" ref="J150:J172" ca="1" si="8">IF(I150="","",I150-TODAY())</f>
        <v/>
      </c>
      <c r="K150" s="68"/>
      <c r="L150" s="61"/>
      <c r="M150" s="61"/>
      <c r="N150" s="61"/>
      <c r="O150" s="69"/>
    </row>
    <row r="151" spans="1:15" ht="20" customHeight="1" x14ac:dyDescent="0.2">
      <c r="A151" s="66" t="s">
        <v>93</v>
      </c>
      <c r="B151" s="60" t="str" cm="1">
        <f t="array" aca="1" ref="B151" ca="1">_xlfn.LET(
    _xlpm.week, $B$4,
    _xlpm.d, H151,
    _xlpm.nthTask, COUNTIF($H$132:H151,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1" s="63"/>
      <c r="D151" s="43"/>
      <c r="E151" s="60" t="str" cm="1">
        <f t="array" aca="1" ref="E151" ca="1">_xlfn.LET(
    _xlpm.week, $B$4,
    _xlpm.rowPerson, 3 + (_xlpm.week-1)*11,
    _xlpm.personName, INDEX('Media Editor'!$B:$B, _xlpm.rowPerson),
    IF($B27="", "", _xlpm.personName)
)</f>
        <v>Person #4</v>
      </c>
      <c r="F151" s="43"/>
      <c r="G151" s="43"/>
      <c r="H151" s="52" cm="1">
        <f t="array" ref="H151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45994</v>
      </c>
      <c r="I151" s="70"/>
      <c r="J151" s="87" t="str">
        <f t="shared" ca="1" si="8"/>
        <v/>
      </c>
      <c r="K151" s="71"/>
      <c r="L151" s="43"/>
      <c r="M151" s="43"/>
      <c r="N151" s="43"/>
      <c r="O151" s="72"/>
    </row>
    <row r="152" spans="1:15" ht="20" customHeight="1" x14ac:dyDescent="0.2">
      <c r="A152" s="65" t="s">
        <v>94</v>
      </c>
      <c r="B152" s="60" t="str" cm="1">
        <f t="array" aca="1" ref="B152" ca="1">_xlfn.LET(
    _xlpm.week, $B$4,
    _xlpm.d, H152,
    _xlpm.nthTask, COUNTIF($H$132:H152,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2" s="62"/>
      <c r="D152" s="61"/>
      <c r="E152" s="60" t="str" cm="1">
        <f t="array" aca="1" ref="E152" ca="1">_xlfn.LET(
    _xlpm.week, $B$4,
    _xlpm.rowPerson, 3 + (_xlpm.week-1)*11,
    _xlpm.personName, INDEX('Media Editor'!$B:$B, _xlpm.rowPerson),
    IF($B28="", "", _xlpm.personName)
)</f>
        <v>Person #4</v>
      </c>
      <c r="F152" s="61"/>
      <c r="G152" s="61"/>
      <c r="H152" s="52" cm="1">
        <f t="array" ref="H152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45994</v>
      </c>
      <c r="I152" s="67"/>
      <c r="J152" s="86" t="str">
        <f t="shared" ca="1" si="8"/>
        <v/>
      </c>
      <c r="K152" s="68"/>
      <c r="L152" s="61"/>
      <c r="M152" s="61"/>
      <c r="N152" s="61"/>
      <c r="O152" s="69"/>
    </row>
    <row r="153" spans="1:15" ht="20" customHeight="1" x14ac:dyDescent="0.2">
      <c r="A153" s="66" t="s">
        <v>95</v>
      </c>
      <c r="B153" s="60" t="str" cm="1">
        <f t="array" aca="1" ref="B153" ca="1">_xlfn.LET(
    _xlpm.week, $B$4,
    _xlpm.d, H153,
    _xlpm.nthTask, COUNTIF($H$132:H153,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3" s="63"/>
      <c r="D153" s="43"/>
      <c r="E153" s="60" t="str" cm="1">
        <f t="array" aca="1" ref="E153" ca="1">_xlfn.LET(
    _xlpm.week, $B$4,
    _xlpm.rowPerson, 3 + (_xlpm.week-1)*11,
    _xlpm.personName, INDEX('Media Editor'!$B:$B, _xlpm.rowPerson),
    IF($B29="", "", _xlpm.personName)
)</f>
        <v>Person #4</v>
      </c>
      <c r="F153" s="43"/>
      <c r="G153" s="43"/>
      <c r="H153" s="52" cm="1">
        <f t="array" ref="H153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45995</v>
      </c>
      <c r="I153" s="70"/>
      <c r="J153" s="87" t="str">
        <f t="shared" ca="1" si="8"/>
        <v/>
      </c>
      <c r="K153" s="71"/>
      <c r="L153" s="43"/>
      <c r="M153" s="43"/>
      <c r="N153" s="43"/>
      <c r="O153" s="72"/>
    </row>
    <row r="154" spans="1:15" ht="20" customHeight="1" x14ac:dyDescent="0.2">
      <c r="A154" s="65" t="s">
        <v>96</v>
      </c>
      <c r="B154" s="60" t="str" cm="1">
        <f t="array" aca="1" ref="B154" ca="1">_xlfn.LET(
    _xlpm.week, $B$4,
    _xlpm.d, H154,
    _xlpm.nthTask, COUNTIF($H$132:H154,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4" s="61"/>
      <c r="D154" s="61"/>
      <c r="E154" s="60" t="str" cm="1">
        <f t="array" aca="1" ref="E154" ca="1">_xlfn.LET(
    _xlpm.week, $B$4,
    _xlpm.rowPerson, 3 + (_xlpm.week-1)*11,
    _xlpm.personName, INDEX('Media Editor'!$B:$B, _xlpm.rowPerson),
    IF($B30="", "", _xlpm.personName)
)</f>
        <v>Person #4</v>
      </c>
      <c r="F154" s="61"/>
      <c r="G154" s="61"/>
      <c r="H154" s="52" cm="1">
        <f t="array" ref="H154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45995</v>
      </c>
      <c r="I154" s="67"/>
      <c r="J154" s="86" t="str">
        <f t="shared" ca="1" si="8"/>
        <v/>
      </c>
      <c r="K154" s="68"/>
      <c r="L154" s="61"/>
      <c r="M154" s="61"/>
      <c r="N154" s="61"/>
      <c r="O154" s="69"/>
    </row>
    <row r="155" spans="1:15" ht="20" customHeight="1" x14ac:dyDescent="0.2">
      <c r="A155" s="66" t="s">
        <v>97</v>
      </c>
      <c r="B155" s="60" t="str" cm="1">
        <f t="array" aca="1" ref="B155" ca="1">_xlfn.LET(
    _xlpm.week, $B$4,
    _xlpm.d, H155,
    _xlpm.nthTask, COUNTIF($H$132:H155,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5" s="43"/>
      <c r="D155" s="43"/>
      <c r="E155" s="60" t="str" cm="1">
        <f t="array" aca="1" ref="E155" ca="1">_xlfn.LET(
    _xlpm.week, $B$4,
    _xlpm.rowPerson, 3 + (_xlpm.week-1)*11,
    _xlpm.personName, INDEX('Media Editor'!$B:$B, _xlpm.rowPerson),
    IF($B31="", "", _xlpm.personName)
)</f>
        <v>Person #4</v>
      </c>
      <c r="F155" s="43"/>
      <c r="G155" s="43"/>
      <c r="H155" s="52" cm="1">
        <f t="array" ref="H155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45995</v>
      </c>
      <c r="I155" s="70"/>
      <c r="J155" s="87" t="str">
        <f t="shared" ca="1" si="8"/>
        <v/>
      </c>
      <c r="K155" s="71"/>
      <c r="L155" s="43"/>
      <c r="M155" s="43"/>
      <c r="N155" s="43"/>
      <c r="O155" s="72"/>
    </row>
    <row r="156" spans="1:15" ht="20" customHeight="1" x14ac:dyDescent="0.2">
      <c r="A156" s="65" t="s">
        <v>98</v>
      </c>
      <c r="B156" s="60" t="str" cm="1">
        <f t="array" aca="1" ref="B156" ca="1">_xlfn.LET(
    _xlpm.week, $B$4,
    _xlpm.d, H156,
    _xlpm.nthTask, COUNTIF($H$132:H156,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6" s="61"/>
      <c r="D156" s="61"/>
      <c r="E156" s="60" t="str" cm="1">
        <f t="array" aca="1" ref="E156" ca="1">_xlfn.LET(
    _xlpm.week, $B$4,
    _xlpm.rowPerson, 3 + (_xlpm.week-1)*11,
    _xlpm.personName, INDEX('Media Editor'!$B:$B, _xlpm.rowPerson),
    IF($B32="", "", _xlpm.personName)
)</f>
        <v>Person #4</v>
      </c>
      <c r="F156" s="61"/>
      <c r="G156" s="61"/>
      <c r="H156" s="52" cm="1">
        <f t="array" ref="H156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45995</v>
      </c>
      <c r="I156" s="67"/>
      <c r="J156" s="86" t="str">
        <f t="shared" ca="1" si="8"/>
        <v/>
      </c>
      <c r="K156" s="68"/>
      <c r="L156" s="61"/>
      <c r="M156" s="61"/>
      <c r="N156" s="61"/>
      <c r="O156" s="69"/>
    </row>
    <row r="157" spans="1:15" ht="20" customHeight="1" x14ac:dyDescent="0.2">
      <c r="A157" s="66" t="s">
        <v>99</v>
      </c>
      <c r="B157" s="60" t="str" cm="1">
        <f t="array" aca="1" ref="B157" ca="1">_xlfn.LET(
    _xlpm.week, $B$4,
    _xlpm.d, H157,
    _xlpm.nthTask, COUNTIF($H$132:H157,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7" s="63"/>
      <c r="D157" s="43"/>
      <c r="E157" s="60" t="str" cm="1">
        <f t="array" aca="1" ref="E157" ca="1">_xlfn.LET(
    _xlpm.week, $B$4,
    _xlpm.rowPerson, 3 + (_xlpm.week-1)*11,
    _xlpm.personName, INDEX('Media Editor'!$B:$B, _xlpm.rowPerson),
    IF($B33="", "", _xlpm.personName)
)</f>
        <v>Person #4</v>
      </c>
      <c r="F157" s="43"/>
      <c r="G157" s="43"/>
      <c r="H157" s="52" cm="1">
        <f t="array" ref="H157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45995</v>
      </c>
      <c r="I157" s="70"/>
      <c r="J157" s="87" t="str">
        <f t="shared" ca="1" si="8"/>
        <v/>
      </c>
      <c r="K157" s="71"/>
      <c r="L157" s="43"/>
      <c r="M157" s="43"/>
      <c r="N157" s="43"/>
      <c r="O157" s="72"/>
    </row>
    <row r="158" spans="1:15" ht="20" customHeight="1" x14ac:dyDescent="0.2">
      <c r="A158" s="65" t="s">
        <v>100</v>
      </c>
      <c r="B158" s="60" t="str" cm="1">
        <f t="array" aca="1" ref="B158" ca="1">_xlfn.LET(
    _xlpm.week, $B$4,
    _xlpm.d, H158,
    _xlpm.nthTask, COUNTIF($H$132:H158,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8" s="62"/>
      <c r="D158" s="61"/>
      <c r="E158" s="60" t="str" cm="1">
        <f t="array" aca="1" ref="E158" ca="1">_xlfn.LET(
    _xlpm.week, $B$4,
    _xlpm.rowPerson, 3 + (_xlpm.week-1)*11,
    _xlpm.personName, INDEX('Media Editor'!$B:$B, _xlpm.rowPerson),
    IF($B34="", "", _xlpm.personName)
)</f>
        <v>Person #4</v>
      </c>
      <c r="F158" s="61"/>
      <c r="G158" s="61"/>
      <c r="H158" s="52" cm="1">
        <f t="array" ref="H158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45995</v>
      </c>
      <c r="I158" s="67"/>
      <c r="J158" s="86" t="str">
        <f t="shared" ca="1" si="8"/>
        <v/>
      </c>
      <c r="K158" s="68"/>
      <c r="L158" s="61"/>
      <c r="M158" s="61"/>
      <c r="N158" s="61"/>
      <c r="O158" s="69"/>
    </row>
    <row r="159" spans="1:15" ht="20" customHeight="1" x14ac:dyDescent="0.2">
      <c r="A159" s="66" t="s">
        <v>101</v>
      </c>
      <c r="B159" s="60" t="str" cm="1">
        <f t="array" aca="1" ref="B159" ca="1">_xlfn.LET(
    _xlpm.week, $B$4,
    _xlpm.d, H159,
    _xlpm.nthTask, COUNTIF($H$132:H159,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59" s="63"/>
      <c r="D159" s="43"/>
      <c r="E159" s="60" t="str" cm="1">
        <f t="array" aca="1" ref="E159" ca="1">_xlfn.LET(
    _xlpm.week, $B$4,
    _xlpm.rowPerson, 3 + (_xlpm.week-1)*11,
    _xlpm.personName, INDEX('Media Editor'!$B:$B, _xlpm.rowPerson),
    IF($B35="", "", _xlpm.personName)
)</f>
        <v>Person #4</v>
      </c>
      <c r="F159" s="43"/>
      <c r="G159" s="43"/>
      <c r="H159" s="52" cm="1">
        <f t="array" ref="H159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45995</v>
      </c>
      <c r="I159" s="70"/>
      <c r="J159" s="87" t="str">
        <f t="shared" ca="1" si="8"/>
        <v/>
      </c>
      <c r="K159" s="71"/>
      <c r="L159" s="43"/>
      <c r="M159" s="43"/>
      <c r="N159" s="43"/>
      <c r="O159" s="72"/>
    </row>
    <row r="160" spans="1:15" ht="20" customHeight="1" x14ac:dyDescent="0.2">
      <c r="A160" s="65" t="s">
        <v>102</v>
      </c>
      <c r="B160" s="60" t="str" cm="1">
        <f t="array" aca="1" ref="B160" ca="1">_xlfn.LET(
    _xlpm.week, $B$4,
    _xlpm.d, H160,
    _xlpm.nthTask, COUNTIF($H$132:H160,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0" s="62"/>
      <c r="D160" s="61"/>
      <c r="E160" s="60" t="str" cm="1">
        <f t="array" aca="1" ref="E160" ca="1">_xlfn.LET(
    _xlpm.week, $B$4,
    _xlpm.rowPerson, 3 + (_xlpm.week-1)*11,
    _xlpm.personName, INDEX('Media Editor'!$B:$B, _xlpm.rowPerson),
    IF($B36="", "", _xlpm.personName)
)</f>
        <v>Person #4</v>
      </c>
      <c r="F160" s="61"/>
      <c r="G160" s="61"/>
      <c r="H160" s="52" cm="1">
        <f t="array" ref="H160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45996</v>
      </c>
      <c r="I160" s="67"/>
      <c r="J160" s="86" t="str">
        <f t="shared" ca="1" si="8"/>
        <v/>
      </c>
      <c r="K160" s="68"/>
      <c r="L160" s="61"/>
      <c r="M160" s="61"/>
      <c r="N160" s="61"/>
      <c r="O160" s="69"/>
    </row>
    <row r="161" spans="1:15" ht="20" customHeight="1" x14ac:dyDescent="0.2">
      <c r="A161" s="66" t="s">
        <v>103</v>
      </c>
      <c r="B161" s="60" t="str" cm="1">
        <f t="array" aca="1" ref="B161" ca="1">_xlfn.LET(
    _xlpm.week, $B$4,
    _xlpm.d, H161,
    _xlpm.nthTask, COUNTIF($H$132:H161,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1" s="43"/>
      <c r="D161" s="43"/>
      <c r="E161" s="60" t="str" cm="1">
        <f t="array" aca="1" ref="E161" ca="1">_xlfn.LET(
    _xlpm.week, $B$4,
    _xlpm.rowPerson, 3 + (_xlpm.week-1)*11,
    _xlpm.personName, INDEX('Media Editor'!$B:$B, _xlpm.rowPerson),
    IF($B37="", "", _xlpm.personName)
)</f>
        <v>Person #4</v>
      </c>
      <c r="F161" s="43"/>
      <c r="G161" s="43"/>
      <c r="H161" s="52" cm="1">
        <f t="array" ref="H161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45996</v>
      </c>
      <c r="I161" s="70"/>
      <c r="J161" s="87" t="str">
        <f t="shared" ca="1" si="8"/>
        <v/>
      </c>
      <c r="K161" s="71"/>
      <c r="L161" s="43"/>
      <c r="M161" s="43"/>
      <c r="N161" s="43"/>
      <c r="O161" s="72"/>
    </row>
    <row r="162" spans="1:15" ht="20" customHeight="1" x14ac:dyDescent="0.2">
      <c r="A162" s="65" t="s">
        <v>104</v>
      </c>
      <c r="B162" s="60" t="str" cm="1">
        <f t="array" aca="1" ref="B162" ca="1">_xlfn.LET(
    _xlpm.week, $B$4,
    _xlpm.d, H162,
    _xlpm.nthTask, COUNTIF($H$132:H162,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2" s="61"/>
      <c r="D162" s="61"/>
      <c r="E162" s="60" t="str" cm="1">
        <f t="array" aca="1" ref="E162" ca="1">_xlfn.LET(
    _xlpm.week, $B$4,
    _xlpm.rowPerson, 3 + (_xlpm.week-1)*11,
    _xlpm.personName, INDEX('Media Editor'!$B:$B, _xlpm.rowPerson),
    IF($B38="", "", _xlpm.personName)
)</f>
        <v>Person #4</v>
      </c>
      <c r="F162" s="61"/>
      <c r="G162" s="61"/>
      <c r="H162" s="52" cm="1">
        <f t="array" ref="H162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45996</v>
      </c>
      <c r="I162" s="67"/>
      <c r="J162" s="86" t="str">
        <f t="shared" ca="1" si="8"/>
        <v/>
      </c>
      <c r="K162" s="68"/>
      <c r="L162" s="61"/>
      <c r="M162" s="61"/>
      <c r="N162" s="61"/>
      <c r="O162" s="69"/>
    </row>
    <row r="163" spans="1:15" ht="20" customHeight="1" x14ac:dyDescent="0.2">
      <c r="A163" s="66" t="s">
        <v>105</v>
      </c>
      <c r="B163" s="60" t="str" cm="1">
        <f t="array" aca="1" ref="B163" ca="1">_xlfn.LET(
    _xlpm.week, $B$4,
    _xlpm.d, H163,
    _xlpm.nthTask, COUNTIF($H$132:H163,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3" s="43"/>
      <c r="D163" s="43"/>
      <c r="E163" s="60" t="str" cm="1">
        <f t="array" aca="1" ref="E163" ca="1">_xlfn.LET(
    _xlpm.week, $B$4,
    _xlpm.rowPerson, 3 + (_xlpm.week-1)*11,
    _xlpm.personName, INDEX('Media Editor'!$B:$B, _xlpm.rowPerson),
    IF($B39="", "", _xlpm.personName)
)</f>
        <v>Person #4</v>
      </c>
      <c r="F163" s="43"/>
      <c r="G163" s="43"/>
      <c r="H163" s="52" cm="1">
        <f t="array" ref="H163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45996</v>
      </c>
      <c r="I163" s="70"/>
      <c r="J163" s="87" t="str">
        <f t="shared" ca="1" si="8"/>
        <v/>
      </c>
      <c r="K163" s="71"/>
      <c r="L163" s="43"/>
      <c r="M163" s="43"/>
      <c r="N163" s="43"/>
      <c r="O163" s="72"/>
    </row>
    <row r="164" spans="1:15" ht="20" customHeight="1" x14ac:dyDescent="0.2">
      <c r="A164" s="65" t="s">
        <v>106</v>
      </c>
      <c r="B164" s="60" t="str" cm="1">
        <f t="array" aca="1" ref="B164" ca="1">_xlfn.LET(
    _xlpm.week, $B$4,
    _xlpm.d, H164,
    _xlpm.nthTask, COUNTIF($H$132:H164,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4" s="62"/>
      <c r="D164" s="61"/>
      <c r="E164" s="60" t="str" cm="1">
        <f t="array" aca="1" ref="E164" ca="1">_xlfn.LET(
    _xlpm.week, $B$4,
    _xlpm.rowPerson, 3 + (_xlpm.week-1)*11,
    _xlpm.personName, INDEX('Media Editor'!$B:$B, _xlpm.rowPerson),
    IF($B40="", "", _xlpm.personName)
)</f>
        <v>Person #4</v>
      </c>
      <c r="F164" s="61"/>
      <c r="G164" s="61"/>
      <c r="H164" s="52" cm="1">
        <f t="array" ref="H164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45996</v>
      </c>
      <c r="I164" s="67"/>
      <c r="J164" s="86" t="str">
        <f t="shared" ca="1" si="8"/>
        <v/>
      </c>
      <c r="K164" s="68"/>
      <c r="L164" s="61"/>
      <c r="M164" s="61"/>
      <c r="N164" s="61"/>
      <c r="O164" s="69"/>
    </row>
    <row r="165" spans="1:15" ht="20" customHeight="1" x14ac:dyDescent="0.2">
      <c r="A165" s="66" t="s">
        <v>107</v>
      </c>
      <c r="B165" s="60" t="str" cm="1">
        <f t="array" aca="1" ref="B165" ca="1">_xlfn.LET(
    _xlpm.week, $B$4,
    _xlpm.d, H165,
    _xlpm.nthTask, COUNTIF($H$132:H165,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5" s="63"/>
      <c r="D165" s="43"/>
      <c r="E165" s="60" t="str" cm="1">
        <f t="array" aca="1" ref="E165" ca="1">_xlfn.LET(
    _xlpm.week, $B$4,
    _xlpm.rowPerson, 3 + (_xlpm.week-1)*11,
    _xlpm.personName, INDEX('Media Editor'!$B:$B, _xlpm.rowPerson),
    IF($B41="", "", _xlpm.personName)
)</f>
        <v>Person #4</v>
      </c>
      <c r="F165" s="43"/>
      <c r="G165" s="43"/>
      <c r="H165" s="52" cm="1">
        <f t="array" ref="H165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45996</v>
      </c>
      <c r="I165" s="70"/>
      <c r="J165" s="87" t="str">
        <f t="shared" ca="1" si="8"/>
        <v/>
      </c>
      <c r="K165" s="71"/>
      <c r="L165" s="43"/>
      <c r="M165" s="43"/>
      <c r="N165" s="43"/>
      <c r="O165" s="72"/>
    </row>
    <row r="166" spans="1:15" ht="20" customHeight="1" x14ac:dyDescent="0.2">
      <c r="A166" s="65" t="s">
        <v>108</v>
      </c>
      <c r="B166" s="60" t="str" cm="1">
        <f t="array" aca="1" ref="B166" ca="1">_xlfn.LET(
    _xlpm.week, $B$4,
    _xlpm.d, H166,
    _xlpm.nthTask, COUNTIF($H$132:H166,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6" s="62"/>
      <c r="D166" s="61"/>
      <c r="E166" s="60" t="str" cm="1">
        <f t="array" aca="1" ref="E166" ca="1">_xlfn.LET(
    _xlpm.week, $B$4,
    _xlpm.rowPerson, 3 + (_xlpm.week-1)*11,
    _xlpm.personName, INDEX('Media Editor'!$B:$B, _xlpm.rowPerson),
    IF($B42="", "", _xlpm.personName)
)</f>
        <v>Person #4</v>
      </c>
      <c r="F166" s="61"/>
      <c r="G166" s="61"/>
      <c r="H166" s="52" cm="1">
        <f t="array" ref="H166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45996</v>
      </c>
      <c r="I166" s="67"/>
      <c r="J166" s="86" t="str">
        <f t="shared" ca="1" si="8"/>
        <v/>
      </c>
      <c r="K166" s="68"/>
      <c r="L166" s="61"/>
      <c r="M166" s="61"/>
      <c r="N166" s="61"/>
      <c r="O166" s="69"/>
    </row>
    <row r="167" spans="1:15" ht="20" customHeight="1" x14ac:dyDescent="0.2">
      <c r="A167" s="66" t="s">
        <v>109</v>
      </c>
      <c r="B167" s="60" t="str" cm="1">
        <f t="array" aca="1" ref="B167" ca="1">_xlfn.LET(
    _xlpm.week, $B$4,
    _xlpm.d, H167,
    _xlpm.nthTask, COUNTIF($H$132:H167,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7" s="63"/>
      <c r="D167" s="43"/>
      <c r="E167" s="60" t="str" cm="1">
        <f t="array" aca="1" ref="E167" ca="1">_xlfn.LET(
    _xlpm.week, $B$4,
    _xlpm.rowPerson, 3 + (_xlpm.week-1)*11,
    _xlpm.personName, INDEX('Media Editor'!$B:$B, _xlpm.rowPerson),
    IF($B43="", "", _xlpm.personName)
)</f>
        <v>Person #4</v>
      </c>
      <c r="F167" s="43"/>
      <c r="G167" s="43"/>
      <c r="H167" s="52" cm="1">
        <f t="array" ref="H167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45997</v>
      </c>
      <c r="I167" s="70"/>
      <c r="J167" s="87" t="str">
        <f t="shared" ca="1" si="8"/>
        <v/>
      </c>
      <c r="K167" s="71"/>
      <c r="L167" s="43"/>
      <c r="M167" s="43"/>
      <c r="N167" s="43"/>
      <c r="O167" s="72"/>
    </row>
    <row r="168" spans="1:15" ht="20" customHeight="1" x14ac:dyDescent="0.2">
      <c r="A168" s="65" t="s">
        <v>110</v>
      </c>
      <c r="B168" s="60" t="str" cm="1">
        <f t="array" aca="1" ref="B168" ca="1">_xlfn.LET(
    _xlpm.week, $B$4,
    _xlpm.d, H168,
    _xlpm.nthTask, COUNTIF($H$132:H168,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8" s="61"/>
      <c r="D168" s="61"/>
      <c r="E168" s="60" t="str" cm="1">
        <f t="array" aca="1" ref="E168" ca="1">_xlfn.LET(
    _xlpm.week, $B$4,
    _xlpm.rowPerson, 3 + (_xlpm.week-1)*11,
    _xlpm.personName, INDEX('Media Editor'!$B:$B, _xlpm.rowPerson),
    IF($B44="", "", _xlpm.personName)
)</f>
        <v>Person #4</v>
      </c>
      <c r="F168" s="61"/>
      <c r="G168" s="61"/>
      <c r="H168" s="52" cm="1">
        <f t="array" ref="H168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45997</v>
      </c>
      <c r="I168" s="67"/>
      <c r="J168" s="86" t="str">
        <f t="shared" ca="1" si="8"/>
        <v/>
      </c>
      <c r="K168" s="68"/>
      <c r="L168" s="61"/>
      <c r="M168" s="61"/>
      <c r="N168" s="61"/>
      <c r="O168" s="69"/>
    </row>
    <row r="169" spans="1:15" ht="20" customHeight="1" x14ac:dyDescent="0.2">
      <c r="A169" s="66" t="s">
        <v>111</v>
      </c>
      <c r="B169" s="60" t="str" cm="1">
        <f t="array" aca="1" ref="B169" ca="1">_xlfn.LET(
    _xlpm.week, $B$4,
    _xlpm.d, H169,
    _xlpm.nthTask, COUNTIF($H$132:H169,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69" s="43"/>
      <c r="D169" s="43"/>
      <c r="E169" s="60" t="str" cm="1">
        <f t="array" aca="1" ref="E169" ca="1">_xlfn.LET(
    _xlpm.week, $B$4,
    _xlpm.rowPerson, 3 + (_xlpm.week-1)*11,
    _xlpm.personName, INDEX('Media Editor'!$B:$B, _xlpm.rowPerson),
    IF($B45="", "", _xlpm.personName)
)</f>
        <v>Person #4</v>
      </c>
      <c r="F169" s="43"/>
      <c r="G169" s="43"/>
      <c r="H169" s="52" cm="1">
        <f t="array" ref="H169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45997</v>
      </c>
      <c r="I169" s="70"/>
      <c r="J169" s="87" t="str">
        <f t="shared" ca="1" si="8"/>
        <v/>
      </c>
      <c r="K169" s="71"/>
      <c r="L169" s="43"/>
      <c r="M169" s="43"/>
      <c r="N169" s="43"/>
      <c r="O169" s="72"/>
    </row>
    <row r="170" spans="1:15" ht="20" customHeight="1" x14ac:dyDescent="0.2">
      <c r="A170" s="65" t="s">
        <v>112</v>
      </c>
      <c r="B170" s="60" t="str" cm="1">
        <f t="array" aca="1" ref="B170" ca="1">_xlfn.LET(
    _xlpm.week, $B$4,
    _xlpm.d, H170,
    _xlpm.nthTask, COUNTIF($H$132:H170,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70" s="61"/>
      <c r="D170" s="61"/>
      <c r="E170" s="60" t="str" cm="1">
        <f t="array" aca="1" ref="E170" ca="1">_xlfn.LET(
    _xlpm.week, $B$4,
    _xlpm.rowPerson, 3 + (_xlpm.week-1)*11,
    _xlpm.personName, INDEX('Media Editor'!$B:$B, _xlpm.rowPerson),
    IF($B46="", "", _xlpm.personName)
)</f>
        <v>Person #4</v>
      </c>
      <c r="F170" s="61"/>
      <c r="G170" s="61"/>
      <c r="H170" s="52" cm="1">
        <f t="array" ref="H170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45997</v>
      </c>
      <c r="I170" s="67"/>
      <c r="J170" s="86" t="str">
        <f t="shared" ca="1" si="8"/>
        <v/>
      </c>
      <c r="K170" s="68"/>
      <c r="L170" s="61"/>
      <c r="M170" s="61"/>
      <c r="N170" s="61"/>
      <c r="O170" s="69"/>
    </row>
    <row r="171" spans="1:15" ht="20" customHeight="1" x14ac:dyDescent="0.2">
      <c r="A171" s="66" t="s">
        <v>113</v>
      </c>
      <c r="B171" s="60" t="str" cm="1">
        <f t="array" aca="1" ref="B171" ca="1">_xlfn.LET(
    _xlpm.week, $B$4,
    _xlpm.d, H171,
    _xlpm.nthTask, COUNTIF($H$132:H171,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71" s="63"/>
      <c r="D171" s="43"/>
      <c r="E171" s="60" t="str" cm="1">
        <f t="array" aca="1" ref="E171" ca="1">_xlfn.LET(
    _xlpm.week, $B$4,
    _xlpm.rowPerson, 3 + (_xlpm.week-1)*11,
    _xlpm.personName, INDEX('Media Editor'!$B:$B, _xlpm.rowPerson),
    IF($B47="", "", _xlpm.personName)
)</f>
        <v>Person #4</v>
      </c>
      <c r="F171" s="43"/>
      <c r="G171" s="43"/>
      <c r="H171" s="52" cm="1">
        <f t="array" ref="H171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45997</v>
      </c>
      <c r="I171" s="70"/>
      <c r="J171" s="87" t="str">
        <f t="shared" ca="1" si="8"/>
        <v/>
      </c>
      <c r="K171" s="71"/>
      <c r="L171" s="43"/>
      <c r="M171" s="43"/>
      <c r="N171" s="43"/>
      <c r="O171" s="72"/>
    </row>
    <row r="172" spans="1:15" ht="20" customHeight="1" x14ac:dyDescent="0.2">
      <c r="A172" s="65" t="s">
        <v>114</v>
      </c>
      <c r="B172" s="60" t="str" cm="1">
        <f t="array" aca="1" ref="B172" ca="1">_xlfn.LET(
    _xlpm.week, $B$4,
    _xlpm.d, H172,
    _xlpm.nthTask, COUNTIF($H$132:H172,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72" s="61"/>
      <c r="D172" s="61"/>
      <c r="E172" s="60" t="str" cm="1">
        <f t="array" aca="1" ref="E172" ca="1">_xlfn.LET(
    _xlpm.week, $B$4,
    _xlpm.rowPerson, 3 + (_xlpm.week-1)*11,
    _xlpm.personName, INDEX('Media Editor'!$B:$B, _xlpm.rowPerson),
    IF($B48="", "", _xlpm.personName)
)</f>
        <v>Person #4</v>
      </c>
      <c r="F172" s="61"/>
      <c r="G172" s="61"/>
      <c r="H172" s="52" cm="1">
        <f t="array" ref="H172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45997</v>
      </c>
      <c r="I172" s="67"/>
      <c r="J172" s="86" t="str">
        <f t="shared" ca="1" si="8"/>
        <v/>
      </c>
      <c r="K172" s="68"/>
      <c r="L172" s="61"/>
      <c r="M172" s="61"/>
      <c r="N172" s="61"/>
      <c r="O172" s="69"/>
    </row>
    <row r="173" spans="1:15" ht="20" customHeight="1" x14ac:dyDescent="0.2">
      <c r="A173" s="66" t="s">
        <v>115</v>
      </c>
      <c r="B173" s="60" t="str" cm="1">
        <f t="array" aca="1" ref="B173" ca="1">_xlfn.LET(
    _xlpm.week, $B$4,
    _xlpm.d, H173,
    _xlpm.nthTask, COUNTIF($H$132:H173, _xlpm.d),
    _xlpm.dateHeader, OFFSET('Media Editor'!$C$3, (_xlpm.week-1)*11, 0, 1, 7),
    _xlpm.taskRange, OFFSET('Media Editor'!$C$5, (_xlpm.week-1)*11, 0, 7, 7),
    _xlpm.colIndex, MATCH(_xlpm.d, _xlpm.dateHeader, 0),
    _xlpm.rawTask, IFERROR(INDEX(_xlpm.taskRange, _xlpm.nthTask, _xlpm.colIndex), ""),
    IF(OR(_xlpm.rawTask=0, _xlpm.rawTask="0"), "Task Unavailable", _xlpm.rawTask)
)</f>
        <v>Task Unavailable</v>
      </c>
      <c r="C173" s="63"/>
      <c r="D173" s="43"/>
      <c r="E173" s="60" t="str" cm="1">
        <f t="array" aca="1" ref="E173" ca="1">_xlfn.LET(
    _xlpm.week, $B$4,
    _xlpm.rowPerson, 3 + (_xlpm.week-1)*11,
    _xlpm.personName, INDEX('Media Editor'!$B:$B, _xlpm.rowPerson),
    IF($B49="", "", _xlpm.personName)
)</f>
        <v>Person #4</v>
      </c>
      <c r="F173" s="43"/>
      <c r="G173" s="43"/>
      <c r="H173" s="52" cm="1">
        <f t="array" ref="H173">IFERROR(
  _xlfn.LET(
    _xlpm.week, $B$4,
    _xlpm.pos, ROW()-ROW($H$132),
    _xlpm.dayIndex, INT(_xlpm.pos/7)+1,
    _xlpm.rowDate, 3 + (_xlpm.week-1)*11,
    IF(_xlpm.dayIndex&gt;7,"", INDEX('Media Editor'!$C:$I, _xlpm.rowDate, _xlpm.dayIndex))
  ),
"")</f>
        <v>45997</v>
      </c>
      <c r="I173" s="70"/>
      <c r="J173" s="87" t="str">
        <f t="shared" ref="J173" ca="1" si="9">IF(I173="","",I173-TODAY())</f>
        <v/>
      </c>
      <c r="K173" s="71"/>
      <c r="L173" s="43"/>
      <c r="M173" s="43"/>
      <c r="N173" s="43"/>
      <c r="O173" s="72"/>
    </row>
  </sheetData>
  <mergeCells count="1">
    <mergeCell ref="A1:B1"/>
  </mergeCells>
  <phoneticPr fontId="5" type="noConversion"/>
  <conditionalFormatting sqref="K6:K173">
    <cfRule type="dataBar" priority="7">
      <dataBar>
        <cfvo type="percent" val="0"/>
        <cfvo type="percent" val="100"/>
        <color rgb="FFCBEDFB"/>
      </dataBar>
      <extLst>
        <ext xmlns:x14="http://schemas.microsoft.com/office/spreadsheetml/2009/9/main" uri="{B025F937-C7B1-47D3-B67F-A62EFF666E3E}">
          <x14:id>{ADC215AE-1B2F-DC48-BCE3-508CF45DAB0D}</x14:id>
        </ext>
      </extLst>
    </cfRule>
  </conditionalFormatting>
  <dataValidations count="6">
    <dataValidation allowBlank="1" showDropDown="1" sqref="D6:E47 A6:A173 N6:N173 B6:B47 D48:D173" xr:uid="{EF46BEF9-2223-AA4F-B3FB-F00601A6F8F2}"/>
    <dataValidation type="custom" allowBlank="1" showDropDown="1" sqref="H6:J47 I48:J173" xr:uid="{AF95137A-1205-1643-9E75-DA606896F27C}">
      <formula1>OR(NOT(ISERROR(DATEVALUE(H6))), AND(ISNUMBER(H6), LEFT(CELL("format", H6))="D"))</formula1>
    </dataValidation>
    <dataValidation type="list" allowBlank="1" showInputMessage="1" showErrorMessage="1" sqref="O6:O173" xr:uid="{87792871-7D7E-EC42-8D9A-9AA47C71C9AA}">
      <formula1>"TRUE, FALSE"</formula1>
    </dataValidation>
    <dataValidation type="list" allowBlank="1" sqref="F6:F173 L6:L173" xr:uid="{766AC4E9-7BBB-1546-BDCE-09A92B0E610C}">
      <formula1>"Boss, Manager, Colleague"</formula1>
    </dataValidation>
    <dataValidation type="list" allowBlank="1" sqref="G6:G173" xr:uid="{B810C14C-5C30-B348-9F16-3D9838761BA3}">
      <formula1>"Not Started, Planned, In Progress, Pending, Under Review, Failed, Completed"</formula1>
    </dataValidation>
    <dataValidation type="list" allowBlank="1" sqref="C10:C173 C6:C8" xr:uid="{E0432DAA-DD86-4640-9DEA-B3CE69E5E7F9}">
      <formula1>"Low, Medium, High"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C215AE-1B2F-DC48-BCE3-508CF45DAB0D}">
            <x14:dataBar minLength="0" maxLength="100" gradient="0" axisPosition="none">
              <x14:cfvo type="percent">
                <xm:f>0</xm:f>
              </x14:cfvo>
              <x14:cfvo type="percent">
                <xm:f>100</xm:f>
              </x14:cfvo>
              <x14:negativeFillColor theme="0"/>
            </x14:dataBar>
          </x14:cfRule>
          <xm:sqref>K6:K173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770D-895B-B247-AE59-100AE97662BE}">
  <dimension ref="A1:O190"/>
  <sheetViews>
    <sheetView topLeftCell="D1" workbookViewId="0">
      <selection activeCell="J23" sqref="J23"/>
    </sheetView>
  </sheetViews>
  <sheetFormatPr baseColWidth="10" defaultRowHeight="20" customHeight="1" x14ac:dyDescent="0.2"/>
  <cols>
    <col min="2" max="2" width="26.33203125" customWidth="1"/>
    <col min="3" max="3" width="13" customWidth="1"/>
    <col min="4" max="4" width="38" customWidth="1"/>
    <col min="5" max="5" width="20" customWidth="1"/>
    <col min="6" max="6" width="14" customWidth="1"/>
    <col min="7" max="7" width="14.1640625" customWidth="1"/>
    <col min="8" max="8" width="13.5" customWidth="1"/>
    <col min="9" max="10" width="11.6640625" customWidth="1"/>
    <col min="11" max="11" width="13" customWidth="1"/>
    <col min="12" max="12" width="15.33203125" customWidth="1"/>
    <col min="13" max="13" width="18.5" customWidth="1"/>
    <col min="14" max="14" width="30.1640625" customWidth="1"/>
    <col min="15" max="15" width="12.5" customWidth="1"/>
  </cols>
  <sheetData>
    <row r="1" spans="1:15" ht="30" customHeight="1" x14ac:dyDescent="0.2">
      <c r="A1" s="92" t="s">
        <v>116</v>
      </c>
      <c r="B1" s="92"/>
      <c r="C1" s="6"/>
      <c r="D1" s="10"/>
      <c r="E1" s="7"/>
      <c r="F1" s="6"/>
      <c r="G1" s="6"/>
      <c r="H1" s="6"/>
      <c r="I1" s="6"/>
      <c r="J1" s="6"/>
      <c r="K1" s="6"/>
      <c r="L1" s="6"/>
      <c r="M1" s="6"/>
      <c r="N1" s="6"/>
      <c r="O1" s="13"/>
    </row>
    <row r="2" spans="1:15" ht="20" customHeight="1" x14ac:dyDescent="0.2">
      <c r="A2" s="35" t="s">
        <v>1</v>
      </c>
      <c r="B2" s="36">
        <f>'Tasks Tracking'!B2</f>
        <v>2026</v>
      </c>
      <c r="C2" s="27"/>
      <c r="D2" s="73"/>
      <c r="E2" s="27"/>
      <c r="F2" s="27"/>
      <c r="G2" s="27"/>
      <c r="H2" s="48" t="str" cm="1">
        <f t="array" ref="H2">IFERROR(
 _xlfn.LET(
  _xlpm.week,$B$4,
  _xlpm.dayIndex,INT((ROW()-ROW($H$6))/3)+1,
  _xlpm.rowDate,3+(_xlpm.week-1)*7,
  IF(_xlpm.dayIndex&gt;6,"",INDEX('Marketing Executive'!$C:$H,_xlpm.rowDate,_xlpm.dayIndex))
 ),
"")</f>
        <v/>
      </c>
      <c r="I2" s="27"/>
      <c r="J2" s="27"/>
      <c r="K2" s="79"/>
      <c r="L2" s="27"/>
      <c r="M2" s="27"/>
      <c r="N2" s="27"/>
      <c r="O2" s="27"/>
    </row>
    <row r="3" spans="1:15" ht="16" x14ac:dyDescent="0.2">
      <c r="A3" s="35" t="s">
        <v>0</v>
      </c>
      <c r="B3" s="36">
        <f>'Tasks Tracking'!B3</f>
        <v>1</v>
      </c>
      <c r="C3" s="27"/>
      <c r="D3" s="27"/>
      <c r="E3" s="27"/>
      <c r="F3" s="27"/>
      <c r="G3" s="27"/>
      <c r="H3" s="27"/>
      <c r="I3" s="27"/>
      <c r="J3" s="27"/>
      <c r="K3" s="49"/>
      <c r="L3" s="27"/>
      <c r="M3" s="27"/>
      <c r="N3" s="27"/>
      <c r="O3" s="27"/>
    </row>
    <row r="4" spans="1:15" ht="16" x14ac:dyDescent="0.2">
      <c r="A4" s="35" t="s">
        <v>37</v>
      </c>
      <c r="B4" s="36">
        <f>'Tasks Tracking'!B4</f>
        <v>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16" x14ac:dyDescent="0.2">
      <c r="A5" s="31" t="s">
        <v>60</v>
      </c>
      <c r="B5" s="31" t="s">
        <v>51</v>
      </c>
      <c r="C5" s="31" t="s">
        <v>25</v>
      </c>
      <c r="D5" s="31" t="s">
        <v>52</v>
      </c>
      <c r="E5" s="31" t="s">
        <v>53</v>
      </c>
      <c r="F5" s="31" t="s">
        <v>54</v>
      </c>
      <c r="G5" s="31" t="s">
        <v>21</v>
      </c>
      <c r="H5" s="31" t="s">
        <v>49</v>
      </c>
      <c r="I5" s="31" t="s">
        <v>29</v>
      </c>
      <c r="J5" s="31" t="s">
        <v>59</v>
      </c>
      <c r="K5" s="31" t="s">
        <v>50</v>
      </c>
      <c r="L5" s="31" t="s">
        <v>32</v>
      </c>
      <c r="M5" s="31" t="s">
        <v>55</v>
      </c>
      <c r="N5" s="31" t="s">
        <v>56</v>
      </c>
      <c r="O5" s="32" t="s">
        <v>57</v>
      </c>
    </row>
    <row r="6" spans="1:15" ht="20" customHeight="1" x14ac:dyDescent="0.2">
      <c r="A6" s="77" cm="1">
        <f t="array" aca="1" ref="A6:O10" ca="1">_xlfn.LET(
    _xlpm.src, 'Tasks Tracking'!$B$6:$O$173,
    _xlpm.taskCol, INDEX(_xlpm.src,,1),
    _xlpm.cleaned, _xlfn._xlws.FILTER(_xlpm.src, (_xlpm.taskCol&lt;&gt;"")*(_xlpm.taskCol&lt;&gt;"Task Unavailable")),
    _xlfn.HSTACK(_xlfn.SEQUENCE(ROWS(_xlpm.cleaned)), _xlpm.cleaned)
)</f>
        <v>1</v>
      </c>
      <c r="B6" s="81" t="str">
        <f ca="1"/>
        <v>ABC</v>
      </c>
      <c r="C6" s="75" t="str">
        <f ca="1"/>
        <v>Low</v>
      </c>
      <c r="D6" s="75">
        <f ca="1"/>
        <v>0</v>
      </c>
      <c r="E6" s="75" t="str">
        <f ca="1"/>
        <v xml:space="preserve">Tuyen Nguyen </v>
      </c>
      <c r="F6" s="75" t="str">
        <f ca="1"/>
        <v>Manager</v>
      </c>
      <c r="G6" s="75" t="str">
        <f ca="1"/>
        <v>Under Review</v>
      </c>
      <c r="H6" s="78">
        <f ca="1"/>
        <v>45992</v>
      </c>
      <c r="I6" s="78">
        <f ca="1"/>
        <v>46003</v>
      </c>
      <c r="J6" s="77">
        <f ca="1"/>
        <v>1</v>
      </c>
      <c r="K6" s="80">
        <f ca="1"/>
        <v>0.2</v>
      </c>
      <c r="L6" s="75" t="str">
        <f ca="1"/>
        <v>Manager</v>
      </c>
      <c r="M6" s="75" t="str">
        <f ca="1"/>
        <v>Google Drive</v>
      </c>
      <c r="N6" s="75">
        <f ca="1"/>
        <v>0</v>
      </c>
      <c r="O6" s="77" t="b">
        <f ca="1"/>
        <v>1</v>
      </c>
    </row>
    <row r="7" spans="1:15" ht="20" customHeight="1" x14ac:dyDescent="0.2">
      <c r="A7" s="77">
        <f ca="1"/>
        <v>2</v>
      </c>
      <c r="B7" s="81" t="str">
        <f ca="1"/>
        <v>XYZ</v>
      </c>
      <c r="C7" s="75" t="str">
        <f ca="1"/>
        <v>Medium</v>
      </c>
      <c r="D7" s="75">
        <f ca="1"/>
        <v>0</v>
      </c>
      <c r="E7" s="75" t="str">
        <f ca="1"/>
        <v xml:space="preserve">Tuyen Nguyen </v>
      </c>
      <c r="F7" s="75" t="str">
        <f ca="1"/>
        <v>Colleague</v>
      </c>
      <c r="G7" s="75" t="str">
        <f ca="1"/>
        <v>Planned</v>
      </c>
      <c r="H7" s="78">
        <f ca="1"/>
        <v>45992</v>
      </c>
      <c r="I7" s="78">
        <f ca="1"/>
        <v>46004</v>
      </c>
      <c r="J7" s="77">
        <f ca="1"/>
        <v>2</v>
      </c>
      <c r="K7" s="80">
        <f ca="1"/>
        <v>0</v>
      </c>
      <c r="L7" s="75" t="str">
        <f ca="1"/>
        <v>Colleague</v>
      </c>
      <c r="M7" s="75" t="str">
        <f ca="1"/>
        <v>Cloud Storage</v>
      </c>
      <c r="N7" s="75">
        <f ca="1"/>
        <v>0</v>
      </c>
      <c r="O7" s="77" t="b">
        <f ca="1"/>
        <v>0</v>
      </c>
    </row>
    <row r="8" spans="1:15" ht="20" customHeight="1" x14ac:dyDescent="0.2">
      <c r="A8" s="77">
        <f ca="1"/>
        <v>3</v>
      </c>
      <c r="B8" s="81">
        <f ca="1"/>
        <v>123</v>
      </c>
      <c r="C8" s="75" t="str">
        <f ca="1"/>
        <v>High</v>
      </c>
      <c r="D8" s="75">
        <f ca="1"/>
        <v>0</v>
      </c>
      <c r="E8" s="75" t="str">
        <f ca="1"/>
        <v xml:space="preserve">Tuyen Nguyen </v>
      </c>
      <c r="F8" s="75" t="str">
        <f ca="1"/>
        <v>Boss</v>
      </c>
      <c r="G8" s="75" t="str">
        <f ca="1"/>
        <v>Failed</v>
      </c>
      <c r="H8" s="78">
        <f ca="1"/>
        <v>45993</v>
      </c>
      <c r="I8" s="78">
        <f ca="1"/>
        <v>46009</v>
      </c>
      <c r="J8" s="77">
        <f ca="1"/>
        <v>7</v>
      </c>
      <c r="K8" s="80">
        <f ca="1"/>
        <v>0</v>
      </c>
      <c r="L8" s="75">
        <f ca="1"/>
        <v>0</v>
      </c>
      <c r="M8" s="75">
        <f ca="1"/>
        <v>0</v>
      </c>
      <c r="N8" s="75">
        <f ca="1"/>
        <v>0</v>
      </c>
      <c r="O8" s="77" t="b">
        <f ca="1"/>
        <v>1</v>
      </c>
    </row>
    <row r="9" spans="1:15" ht="20" customHeight="1" x14ac:dyDescent="0.2">
      <c r="A9" s="77">
        <f ca="1"/>
        <v>4</v>
      </c>
      <c r="B9" s="81" t="str">
        <f ca="1"/>
        <v>HHXXH</v>
      </c>
      <c r="C9" s="75" t="str">
        <f ca="1"/>
        <v>Medium</v>
      </c>
      <c r="D9" s="75">
        <f ca="1"/>
        <v>0</v>
      </c>
      <c r="E9" s="75" t="str">
        <f ca="1"/>
        <v>Tan Nguyen</v>
      </c>
      <c r="F9" s="75" t="str">
        <f ca="1"/>
        <v>Boss</v>
      </c>
      <c r="G9" s="75" t="str">
        <f ca="1"/>
        <v>In Progress</v>
      </c>
      <c r="H9" s="78">
        <f ca="1"/>
        <v>45992</v>
      </c>
      <c r="I9" s="78">
        <f ca="1"/>
        <v>46002</v>
      </c>
      <c r="J9" s="77">
        <f ca="1"/>
        <v>0</v>
      </c>
      <c r="K9" s="80">
        <f ca="1"/>
        <v>0</v>
      </c>
      <c r="L9" s="75">
        <f ca="1"/>
        <v>0</v>
      </c>
      <c r="M9" s="75">
        <f ca="1"/>
        <v>0</v>
      </c>
      <c r="N9" s="75">
        <f ca="1"/>
        <v>0</v>
      </c>
      <c r="O9" s="77" t="b">
        <f ca="1"/>
        <v>1</v>
      </c>
    </row>
    <row r="10" spans="1:15" ht="20" customHeight="1" x14ac:dyDescent="0.2">
      <c r="A10" s="77">
        <f ca="1"/>
        <v>5</v>
      </c>
      <c r="B10" s="81" t="str">
        <f ca="1"/>
        <v>LKMA</v>
      </c>
      <c r="C10" s="75" t="str">
        <f ca="1"/>
        <v>Low</v>
      </c>
      <c r="D10" s="75">
        <f ca="1"/>
        <v>0</v>
      </c>
      <c r="E10" s="75" t="str">
        <f ca="1"/>
        <v>Tan Nguyen</v>
      </c>
      <c r="F10" s="75" t="str">
        <f ca="1"/>
        <v>Manager</v>
      </c>
      <c r="G10" s="75" t="str">
        <f ca="1"/>
        <v>Pending</v>
      </c>
      <c r="H10" s="78">
        <f ca="1"/>
        <v>45992</v>
      </c>
      <c r="I10" s="78">
        <f ca="1"/>
        <v>46003</v>
      </c>
      <c r="J10" s="77">
        <f ca="1"/>
        <v>1</v>
      </c>
      <c r="K10" s="80">
        <f ca="1"/>
        <v>0</v>
      </c>
      <c r="L10" s="75">
        <f ca="1"/>
        <v>0</v>
      </c>
      <c r="M10" s="75">
        <f ca="1"/>
        <v>0</v>
      </c>
      <c r="N10" s="75">
        <f ca="1"/>
        <v>0</v>
      </c>
      <c r="O10" s="77" t="b">
        <f ca="1"/>
        <v>1</v>
      </c>
    </row>
    <row r="11" spans="1:15" ht="20" customHeight="1" x14ac:dyDescent="0.2">
      <c r="A11" s="77"/>
      <c r="B11" s="81"/>
      <c r="C11" s="75"/>
      <c r="D11" s="75"/>
      <c r="E11" s="75"/>
      <c r="F11" s="75"/>
      <c r="G11" s="75"/>
      <c r="H11" s="78"/>
      <c r="I11" s="78"/>
      <c r="J11" s="77"/>
      <c r="K11" s="80"/>
      <c r="L11" s="75"/>
      <c r="M11" s="75"/>
      <c r="N11" s="75"/>
      <c r="O11" s="77"/>
    </row>
    <row r="12" spans="1:15" ht="20" customHeight="1" x14ac:dyDescent="0.2">
      <c r="A12" s="77"/>
      <c r="B12" s="81"/>
      <c r="C12" s="75"/>
      <c r="D12" s="75"/>
      <c r="E12" s="75"/>
      <c r="F12" s="75"/>
      <c r="G12" s="75"/>
      <c r="H12" s="78"/>
      <c r="I12" s="78"/>
      <c r="J12" s="77"/>
      <c r="K12" s="80"/>
      <c r="L12" s="75"/>
      <c r="M12" s="75"/>
      <c r="N12" s="75"/>
      <c r="O12" s="77"/>
    </row>
    <row r="13" spans="1:15" ht="20" customHeight="1" x14ac:dyDescent="0.2">
      <c r="A13" s="77"/>
      <c r="B13" s="81"/>
      <c r="C13" s="75"/>
      <c r="D13" s="75"/>
      <c r="E13" s="75"/>
      <c r="F13" s="75"/>
      <c r="G13" s="75"/>
      <c r="H13" s="78"/>
      <c r="I13" s="78"/>
      <c r="J13" s="77"/>
      <c r="K13" s="80"/>
      <c r="L13" s="75"/>
      <c r="M13" s="75"/>
      <c r="N13" s="75"/>
      <c r="O13" s="77"/>
    </row>
    <row r="14" spans="1:15" ht="20" customHeight="1" x14ac:dyDescent="0.2">
      <c r="A14" s="77"/>
      <c r="B14" s="81"/>
      <c r="C14" s="75"/>
      <c r="D14" s="75"/>
      <c r="E14" s="75"/>
      <c r="F14" s="75"/>
      <c r="G14" s="75"/>
      <c r="H14" s="78"/>
      <c r="I14" s="78"/>
      <c r="J14" s="77"/>
      <c r="K14" s="80"/>
      <c r="L14" s="75"/>
      <c r="M14" s="75"/>
      <c r="N14" s="75"/>
      <c r="O14" s="77"/>
    </row>
    <row r="15" spans="1:15" ht="20" customHeight="1" x14ac:dyDescent="0.2">
      <c r="A15" s="77"/>
      <c r="B15" s="81"/>
      <c r="C15" s="75"/>
      <c r="D15" s="75"/>
      <c r="E15" s="75"/>
      <c r="F15" s="75"/>
      <c r="G15" s="75"/>
      <c r="H15" s="78"/>
      <c r="I15" s="78"/>
      <c r="J15" s="77"/>
      <c r="K15" s="80"/>
      <c r="L15" s="75"/>
      <c r="M15" s="75"/>
      <c r="N15" s="75"/>
      <c r="O15" s="77"/>
    </row>
    <row r="16" spans="1:15" ht="20" customHeight="1" x14ac:dyDescent="0.2">
      <c r="A16" s="77"/>
      <c r="B16" s="81"/>
      <c r="C16" s="75"/>
      <c r="D16" s="75"/>
      <c r="E16" s="75"/>
      <c r="F16" s="75"/>
      <c r="G16" s="75"/>
      <c r="H16" s="78"/>
      <c r="I16" s="78"/>
      <c r="J16" s="77"/>
      <c r="K16" s="80"/>
      <c r="L16" s="75"/>
      <c r="M16" s="75"/>
      <c r="N16" s="75"/>
      <c r="O16" s="77"/>
    </row>
    <row r="17" spans="1:15" ht="20" customHeight="1" x14ac:dyDescent="0.2">
      <c r="A17" s="77"/>
      <c r="B17" s="81"/>
      <c r="C17" s="75"/>
      <c r="D17" s="75"/>
      <c r="E17" s="75"/>
      <c r="F17" s="75"/>
      <c r="G17" s="75"/>
      <c r="H17" s="78"/>
      <c r="I17" s="78"/>
      <c r="J17" s="77"/>
      <c r="K17" s="80"/>
      <c r="L17" s="75"/>
      <c r="M17" s="75"/>
      <c r="N17" s="75"/>
      <c r="O17" s="77"/>
    </row>
    <row r="18" spans="1:15" ht="20" customHeight="1" x14ac:dyDescent="0.2">
      <c r="A18" s="77"/>
      <c r="B18" s="81"/>
      <c r="C18" s="75"/>
      <c r="D18" s="75"/>
      <c r="E18" s="75"/>
      <c r="F18" s="75"/>
      <c r="G18" s="75"/>
      <c r="H18" s="78"/>
      <c r="I18" s="78"/>
      <c r="J18" s="77"/>
      <c r="K18" s="80"/>
      <c r="L18" s="75"/>
      <c r="M18" s="75"/>
      <c r="N18" s="75"/>
      <c r="O18" s="77"/>
    </row>
    <row r="19" spans="1:15" ht="20" customHeight="1" x14ac:dyDescent="0.2">
      <c r="A19" s="77"/>
      <c r="B19" s="81"/>
      <c r="C19" s="75"/>
      <c r="D19" s="75"/>
      <c r="E19" s="75"/>
      <c r="F19" s="75"/>
      <c r="G19" s="75"/>
      <c r="H19" s="78"/>
      <c r="I19" s="78"/>
      <c r="J19" s="77"/>
      <c r="K19" s="80"/>
      <c r="L19" s="75"/>
      <c r="M19" s="75"/>
      <c r="N19" s="75"/>
      <c r="O19" s="77"/>
    </row>
    <row r="20" spans="1:15" ht="20" customHeight="1" x14ac:dyDescent="0.2">
      <c r="A20" s="77"/>
      <c r="B20" s="81"/>
      <c r="C20" s="75"/>
      <c r="D20" s="75"/>
      <c r="E20" s="75"/>
      <c r="F20" s="75"/>
      <c r="G20" s="75"/>
      <c r="H20" s="78"/>
      <c r="I20" s="78"/>
      <c r="J20" s="77"/>
      <c r="K20" s="80"/>
      <c r="L20" s="75"/>
      <c r="M20" s="75"/>
      <c r="N20" s="75"/>
      <c r="O20" s="77"/>
    </row>
    <row r="21" spans="1:15" ht="20" customHeight="1" x14ac:dyDescent="0.2">
      <c r="A21" s="77"/>
      <c r="B21" s="81"/>
      <c r="C21" s="75"/>
      <c r="D21" s="75"/>
      <c r="E21" s="75"/>
      <c r="F21" s="75"/>
      <c r="G21" s="75"/>
      <c r="H21" s="78"/>
      <c r="I21" s="78"/>
      <c r="J21" s="77"/>
      <c r="K21" s="80"/>
      <c r="L21" s="75"/>
      <c r="M21" s="75"/>
      <c r="N21" s="75"/>
      <c r="O21" s="77"/>
    </row>
    <row r="22" spans="1:15" ht="20" customHeight="1" x14ac:dyDescent="0.2">
      <c r="A22" s="77"/>
      <c r="B22" s="81"/>
      <c r="C22" s="75"/>
      <c r="D22" s="75"/>
      <c r="E22" s="75"/>
      <c r="F22" s="75"/>
      <c r="G22" s="75"/>
      <c r="H22" s="78"/>
      <c r="I22" s="78"/>
      <c r="J22" s="77"/>
      <c r="K22" s="80"/>
      <c r="L22" s="75"/>
      <c r="M22" s="75"/>
      <c r="N22" s="75"/>
      <c r="O22" s="77"/>
    </row>
    <row r="23" spans="1:15" ht="20" customHeight="1" x14ac:dyDescent="0.2">
      <c r="A23" s="77"/>
      <c r="B23" s="81"/>
      <c r="C23" s="75"/>
      <c r="D23" s="75"/>
      <c r="E23" s="75"/>
      <c r="F23" s="75"/>
      <c r="G23" s="75"/>
      <c r="H23" s="78"/>
      <c r="I23" s="78"/>
      <c r="J23" s="77"/>
      <c r="K23" s="80"/>
      <c r="L23" s="75"/>
      <c r="M23" s="75"/>
      <c r="N23" s="75"/>
      <c r="O23" s="77"/>
    </row>
    <row r="24" spans="1:15" ht="20" customHeight="1" x14ac:dyDescent="0.2">
      <c r="A24" s="77"/>
      <c r="B24" s="81"/>
      <c r="C24" s="75"/>
      <c r="D24" s="75"/>
      <c r="E24" s="75"/>
      <c r="F24" s="75"/>
      <c r="G24" s="75"/>
      <c r="H24" s="78"/>
      <c r="I24" s="78"/>
      <c r="J24" s="77"/>
      <c r="K24" s="80"/>
      <c r="L24" s="75"/>
      <c r="M24" s="75"/>
      <c r="N24" s="75"/>
      <c r="O24" s="77"/>
    </row>
    <row r="25" spans="1:15" ht="20" customHeight="1" x14ac:dyDescent="0.2">
      <c r="A25" s="77"/>
      <c r="B25" s="81"/>
      <c r="C25" s="75"/>
      <c r="D25" s="75"/>
      <c r="E25" s="75"/>
      <c r="F25" s="75"/>
      <c r="G25" s="75"/>
      <c r="H25" s="78"/>
      <c r="I25" s="78"/>
      <c r="J25" s="77"/>
      <c r="K25" s="80"/>
      <c r="L25" s="75"/>
      <c r="M25" s="75"/>
      <c r="N25" s="75"/>
      <c r="O25" s="77"/>
    </row>
    <row r="26" spans="1:15" ht="20" customHeight="1" x14ac:dyDescent="0.2">
      <c r="A26" s="77"/>
      <c r="B26" s="81"/>
      <c r="C26" s="75"/>
      <c r="D26" s="75"/>
      <c r="E26" s="75"/>
      <c r="F26" s="75"/>
      <c r="G26" s="75"/>
      <c r="H26" s="78"/>
      <c r="I26" s="78"/>
      <c r="J26" s="77"/>
      <c r="K26" s="80"/>
      <c r="L26" s="75"/>
      <c r="M26" s="75"/>
      <c r="N26" s="75"/>
      <c r="O26" s="77"/>
    </row>
    <row r="27" spans="1:15" ht="20" customHeight="1" x14ac:dyDescent="0.2">
      <c r="A27" s="77"/>
      <c r="B27" s="81"/>
      <c r="C27" s="75"/>
      <c r="D27" s="75"/>
      <c r="E27" s="75"/>
      <c r="F27" s="75"/>
      <c r="G27" s="75"/>
      <c r="H27" s="78"/>
      <c r="I27" s="78"/>
      <c r="J27" s="77"/>
      <c r="K27" s="80"/>
      <c r="L27" s="75"/>
      <c r="M27" s="75"/>
      <c r="N27" s="75"/>
      <c r="O27" s="77"/>
    </row>
    <row r="28" spans="1:15" ht="20" customHeight="1" x14ac:dyDescent="0.2">
      <c r="A28" s="77"/>
      <c r="B28" s="81"/>
      <c r="C28" s="75"/>
      <c r="D28" s="75"/>
      <c r="E28" s="75"/>
      <c r="F28" s="75"/>
      <c r="G28" s="75"/>
      <c r="H28" s="78"/>
      <c r="I28" s="78"/>
      <c r="J28" s="77"/>
      <c r="K28" s="80"/>
      <c r="L28" s="75"/>
      <c r="M28" s="75"/>
      <c r="N28" s="75"/>
      <c r="O28" s="77"/>
    </row>
    <row r="29" spans="1:15" ht="20" customHeight="1" x14ac:dyDescent="0.2">
      <c r="A29" s="77"/>
      <c r="B29" s="81"/>
      <c r="C29" s="75"/>
      <c r="D29" s="75"/>
      <c r="E29" s="75"/>
      <c r="F29" s="75"/>
      <c r="G29" s="75"/>
      <c r="H29" s="78"/>
      <c r="I29" s="78"/>
      <c r="J29" s="77"/>
      <c r="K29" s="80"/>
      <c r="L29" s="75"/>
      <c r="M29" s="75"/>
      <c r="N29" s="75"/>
      <c r="O29" s="77"/>
    </row>
    <row r="30" spans="1:15" ht="20" customHeight="1" x14ac:dyDescent="0.2">
      <c r="A30" s="77"/>
      <c r="B30" s="81"/>
      <c r="C30" s="75"/>
      <c r="D30" s="75"/>
      <c r="E30" s="75"/>
      <c r="F30" s="75"/>
      <c r="G30" s="75"/>
      <c r="H30" s="78"/>
      <c r="I30" s="78"/>
      <c r="J30" s="77"/>
      <c r="K30" s="80"/>
      <c r="L30" s="75"/>
      <c r="M30" s="75"/>
      <c r="N30" s="75"/>
      <c r="O30" s="77"/>
    </row>
    <row r="31" spans="1:15" ht="20" customHeight="1" x14ac:dyDescent="0.2">
      <c r="A31" s="77"/>
      <c r="B31" s="81"/>
      <c r="C31" s="75"/>
      <c r="D31" s="75"/>
      <c r="E31" s="75"/>
      <c r="F31" s="75"/>
      <c r="G31" s="75"/>
      <c r="H31" s="78"/>
      <c r="I31" s="78"/>
      <c r="J31" s="77"/>
      <c r="K31" s="80"/>
      <c r="L31" s="75"/>
      <c r="M31" s="75"/>
      <c r="N31" s="75"/>
      <c r="O31" s="77"/>
    </row>
    <row r="32" spans="1:15" ht="20" customHeight="1" x14ac:dyDescent="0.2">
      <c r="A32" s="77"/>
      <c r="B32" s="81"/>
      <c r="C32" s="75"/>
      <c r="D32" s="75"/>
      <c r="E32" s="75"/>
      <c r="F32" s="75"/>
      <c r="G32" s="75"/>
      <c r="H32" s="78"/>
      <c r="I32" s="78"/>
      <c r="J32" s="77"/>
      <c r="K32" s="80"/>
      <c r="L32" s="75"/>
      <c r="M32" s="75"/>
      <c r="N32" s="75"/>
      <c r="O32" s="77"/>
    </row>
    <row r="33" spans="1:15" ht="20" customHeight="1" x14ac:dyDescent="0.2">
      <c r="A33" s="77"/>
      <c r="B33" s="81"/>
      <c r="C33" s="75"/>
      <c r="D33" s="75"/>
      <c r="E33" s="75"/>
      <c r="F33" s="75"/>
      <c r="G33" s="75"/>
      <c r="H33" s="78"/>
      <c r="I33" s="78"/>
      <c r="J33" s="77"/>
      <c r="K33" s="80"/>
      <c r="L33" s="75"/>
      <c r="M33" s="75"/>
      <c r="N33" s="75"/>
      <c r="O33" s="77"/>
    </row>
    <row r="34" spans="1:15" ht="20" customHeight="1" x14ac:dyDescent="0.2">
      <c r="A34" s="77"/>
      <c r="B34" s="81"/>
      <c r="C34" s="75"/>
      <c r="D34" s="75"/>
      <c r="E34" s="75"/>
      <c r="F34" s="75"/>
      <c r="G34" s="75"/>
      <c r="H34" s="78"/>
      <c r="I34" s="78"/>
      <c r="J34" s="77"/>
      <c r="K34" s="80"/>
      <c r="L34" s="75"/>
      <c r="M34" s="75"/>
      <c r="N34" s="75"/>
      <c r="O34" s="77"/>
    </row>
    <row r="35" spans="1:15" ht="20" customHeight="1" x14ac:dyDescent="0.2">
      <c r="A35" s="77"/>
      <c r="B35" s="81"/>
      <c r="C35" s="75"/>
      <c r="D35" s="75"/>
      <c r="E35" s="75"/>
      <c r="F35" s="75"/>
      <c r="G35" s="75"/>
      <c r="H35" s="78"/>
      <c r="I35" s="78"/>
      <c r="J35" s="77"/>
      <c r="K35" s="80"/>
      <c r="L35" s="75"/>
      <c r="M35" s="75"/>
      <c r="N35" s="75"/>
      <c r="O35" s="77"/>
    </row>
    <row r="36" spans="1:15" ht="20" customHeight="1" x14ac:dyDescent="0.2">
      <c r="A36" s="77"/>
      <c r="B36" s="81"/>
      <c r="C36" s="75"/>
      <c r="D36" s="75"/>
      <c r="E36" s="75"/>
      <c r="F36" s="75"/>
      <c r="G36" s="75"/>
      <c r="H36" s="78"/>
      <c r="I36" s="78"/>
      <c r="J36" s="77"/>
      <c r="K36" s="80"/>
      <c r="L36" s="75"/>
      <c r="M36" s="75"/>
      <c r="N36" s="75"/>
      <c r="O36" s="77"/>
    </row>
    <row r="37" spans="1:15" ht="20" customHeight="1" x14ac:dyDescent="0.2">
      <c r="A37" s="77"/>
      <c r="B37" s="81"/>
      <c r="C37" s="75"/>
      <c r="D37" s="75"/>
      <c r="E37" s="75"/>
      <c r="F37" s="75"/>
      <c r="G37" s="75"/>
      <c r="H37" s="78"/>
      <c r="I37" s="78"/>
      <c r="J37" s="77"/>
      <c r="K37" s="80"/>
      <c r="L37" s="75"/>
      <c r="M37" s="75"/>
      <c r="N37" s="75"/>
      <c r="O37" s="77"/>
    </row>
    <row r="38" spans="1:15" ht="20" customHeight="1" x14ac:dyDescent="0.2">
      <c r="A38" s="77"/>
      <c r="B38" s="81"/>
      <c r="C38" s="75"/>
      <c r="D38" s="75"/>
      <c r="E38" s="75"/>
      <c r="F38" s="75"/>
      <c r="G38" s="75"/>
      <c r="H38" s="78"/>
      <c r="I38" s="78"/>
      <c r="J38" s="77"/>
      <c r="K38" s="80"/>
      <c r="L38" s="75"/>
      <c r="M38" s="75"/>
      <c r="N38" s="75"/>
      <c r="O38" s="77"/>
    </row>
    <row r="39" spans="1:15" ht="20" customHeight="1" x14ac:dyDescent="0.2">
      <c r="A39" s="77"/>
      <c r="B39" s="81"/>
      <c r="C39" s="75"/>
      <c r="D39" s="75"/>
      <c r="E39" s="75"/>
      <c r="F39" s="75"/>
      <c r="G39" s="75"/>
      <c r="H39" s="78"/>
      <c r="I39" s="78"/>
      <c r="J39" s="77"/>
      <c r="K39" s="80"/>
      <c r="L39" s="75"/>
      <c r="M39" s="75"/>
      <c r="N39" s="75"/>
      <c r="O39" s="77"/>
    </row>
    <row r="40" spans="1:15" ht="20" customHeight="1" x14ac:dyDescent="0.2">
      <c r="A40" s="77"/>
      <c r="B40" s="81"/>
      <c r="C40" s="75"/>
      <c r="D40" s="75"/>
      <c r="E40" s="75"/>
      <c r="F40" s="75"/>
      <c r="G40" s="75"/>
      <c r="H40" s="78"/>
      <c r="I40" s="78"/>
      <c r="J40" s="77"/>
      <c r="K40" s="80"/>
      <c r="L40" s="75"/>
      <c r="M40" s="75"/>
      <c r="N40" s="75"/>
      <c r="O40" s="77"/>
    </row>
    <row r="41" spans="1:15" ht="20" customHeight="1" x14ac:dyDescent="0.2">
      <c r="A41" s="77"/>
      <c r="B41" s="81"/>
      <c r="C41" s="75"/>
      <c r="D41" s="75"/>
      <c r="E41" s="75"/>
      <c r="F41" s="75"/>
      <c r="G41" s="75"/>
      <c r="H41" s="78"/>
      <c r="I41" s="78"/>
      <c r="J41" s="77"/>
      <c r="K41" s="80"/>
      <c r="L41" s="75"/>
      <c r="M41" s="75"/>
      <c r="N41" s="75"/>
      <c r="O41" s="77"/>
    </row>
    <row r="42" spans="1:15" ht="20" customHeight="1" x14ac:dyDescent="0.2">
      <c r="A42" s="77"/>
      <c r="B42" s="81"/>
      <c r="C42" s="75"/>
      <c r="D42" s="75"/>
      <c r="E42" s="75"/>
      <c r="F42" s="75"/>
      <c r="G42" s="75"/>
      <c r="H42" s="78"/>
      <c r="I42" s="78"/>
      <c r="J42" s="77"/>
      <c r="K42" s="80"/>
      <c r="L42" s="75"/>
      <c r="M42" s="75"/>
      <c r="N42" s="75"/>
      <c r="O42" s="77"/>
    </row>
    <row r="43" spans="1:15" ht="20" customHeight="1" x14ac:dyDescent="0.2">
      <c r="A43" s="77"/>
      <c r="B43" s="81"/>
      <c r="C43" s="75"/>
      <c r="D43" s="75"/>
      <c r="E43" s="75"/>
      <c r="F43" s="75"/>
      <c r="G43" s="75"/>
      <c r="H43" s="78"/>
      <c r="I43" s="78"/>
      <c r="J43" s="77"/>
      <c r="K43" s="80"/>
      <c r="L43" s="75"/>
      <c r="M43" s="75"/>
      <c r="N43" s="75"/>
      <c r="O43" s="77"/>
    </row>
    <row r="44" spans="1:15" ht="20" customHeight="1" x14ac:dyDescent="0.2">
      <c r="A44" s="77"/>
      <c r="B44" s="81"/>
      <c r="C44" s="75"/>
      <c r="D44" s="75"/>
      <c r="E44" s="75"/>
      <c r="F44" s="75"/>
      <c r="G44" s="75"/>
      <c r="H44" s="78"/>
      <c r="I44" s="78"/>
      <c r="J44" s="77"/>
      <c r="K44" s="80"/>
      <c r="L44" s="75"/>
      <c r="M44" s="75"/>
      <c r="N44" s="75"/>
      <c r="O44" s="77"/>
    </row>
    <row r="45" spans="1:15" ht="20" customHeight="1" x14ac:dyDescent="0.2">
      <c r="A45" s="77"/>
      <c r="B45" s="81"/>
      <c r="C45" s="75"/>
      <c r="D45" s="75"/>
      <c r="E45" s="75"/>
      <c r="F45" s="75"/>
      <c r="G45" s="75"/>
      <c r="H45" s="78"/>
      <c r="I45" s="78"/>
      <c r="J45" s="77"/>
      <c r="K45" s="80"/>
      <c r="L45" s="75"/>
      <c r="M45" s="75"/>
      <c r="N45" s="75"/>
      <c r="O45" s="77"/>
    </row>
    <row r="46" spans="1:15" ht="20" customHeight="1" x14ac:dyDescent="0.2">
      <c r="A46" s="77"/>
      <c r="B46" s="81"/>
      <c r="C46" s="75"/>
      <c r="D46" s="75"/>
      <c r="E46" s="75"/>
      <c r="F46" s="75"/>
      <c r="G46" s="75"/>
      <c r="H46" s="78"/>
      <c r="I46" s="78"/>
      <c r="J46" s="77"/>
      <c r="K46" s="80"/>
      <c r="L46" s="75"/>
      <c r="M46" s="75"/>
      <c r="N46" s="75"/>
      <c r="O46" s="77"/>
    </row>
    <row r="47" spans="1:15" ht="20" customHeight="1" x14ac:dyDescent="0.2">
      <c r="A47" s="77"/>
      <c r="B47" s="81"/>
      <c r="C47" s="75"/>
      <c r="D47" s="75"/>
      <c r="E47" s="75"/>
      <c r="F47" s="75"/>
      <c r="G47" s="75"/>
      <c r="H47" s="78"/>
      <c r="I47" s="78"/>
      <c r="J47" s="77"/>
      <c r="K47" s="80"/>
      <c r="L47" s="75"/>
      <c r="M47" s="75"/>
      <c r="N47" s="75"/>
      <c r="O47" s="77"/>
    </row>
    <row r="48" spans="1:15" ht="20" customHeight="1" x14ac:dyDescent="0.2">
      <c r="A48" s="77"/>
      <c r="B48" s="81"/>
      <c r="C48" s="75"/>
      <c r="D48" s="75"/>
      <c r="E48" s="75"/>
      <c r="F48" s="75"/>
      <c r="G48" s="75"/>
      <c r="H48" s="78"/>
      <c r="I48" s="78"/>
      <c r="J48" s="77"/>
      <c r="K48" s="80"/>
      <c r="L48" s="75"/>
      <c r="M48" s="75"/>
      <c r="N48" s="75"/>
      <c r="O48" s="77"/>
    </row>
    <row r="49" spans="1:15" ht="20" customHeight="1" x14ac:dyDescent="0.2">
      <c r="A49" s="77"/>
      <c r="B49" s="81"/>
      <c r="C49" s="75"/>
      <c r="D49" s="75"/>
      <c r="E49" s="75"/>
      <c r="F49" s="75"/>
      <c r="G49" s="75"/>
      <c r="H49" s="78"/>
      <c r="I49" s="78"/>
      <c r="J49" s="77"/>
      <c r="K49" s="80"/>
      <c r="L49" s="75"/>
      <c r="M49" s="75"/>
      <c r="N49" s="75"/>
      <c r="O49" s="77"/>
    </row>
    <row r="50" spans="1:15" ht="20" customHeight="1" x14ac:dyDescent="0.2">
      <c r="A50" s="77"/>
      <c r="B50" s="81"/>
      <c r="C50" s="75"/>
      <c r="D50" s="75"/>
      <c r="E50" s="75"/>
      <c r="F50" s="75"/>
      <c r="G50" s="75"/>
      <c r="H50" s="78"/>
      <c r="I50" s="78"/>
      <c r="J50" s="77"/>
      <c r="K50" s="80"/>
      <c r="L50" s="75"/>
      <c r="M50" s="75"/>
      <c r="N50" s="75"/>
      <c r="O50" s="77"/>
    </row>
    <row r="51" spans="1:15" ht="20" customHeight="1" x14ac:dyDescent="0.2">
      <c r="A51" s="77"/>
      <c r="B51" s="81"/>
      <c r="C51" s="75"/>
      <c r="D51" s="75"/>
      <c r="E51" s="75"/>
      <c r="F51" s="75"/>
      <c r="G51" s="75"/>
      <c r="H51" s="78"/>
      <c r="I51" s="78"/>
      <c r="J51" s="77"/>
      <c r="K51" s="80"/>
      <c r="L51" s="75"/>
      <c r="M51" s="75"/>
      <c r="N51" s="75"/>
      <c r="O51" s="77"/>
    </row>
    <row r="52" spans="1:15" ht="20" customHeight="1" x14ac:dyDescent="0.2">
      <c r="A52" s="77"/>
      <c r="B52" s="81"/>
      <c r="C52" s="75"/>
      <c r="D52" s="75"/>
      <c r="E52" s="75"/>
      <c r="F52" s="75"/>
      <c r="G52" s="75"/>
      <c r="H52" s="78"/>
      <c r="I52" s="78"/>
      <c r="J52" s="77"/>
      <c r="K52" s="80"/>
      <c r="L52" s="75"/>
      <c r="M52" s="75"/>
      <c r="N52" s="75"/>
      <c r="O52" s="77"/>
    </row>
    <row r="53" spans="1:15" ht="20" customHeight="1" x14ac:dyDescent="0.2">
      <c r="A53" s="77"/>
      <c r="B53" s="81"/>
      <c r="C53" s="75"/>
      <c r="D53" s="75"/>
      <c r="E53" s="75"/>
      <c r="F53" s="75"/>
      <c r="G53" s="75"/>
      <c r="H53" s="78"/>
      <c r="I53" s="78"/>
      <c r="J53" s="77"/>
      <c r="K53" s="80"/>
      <c r="L53" s="75"/>
      <c r="M53" s="75"/>
      <c r="N53" s="75"/>
      <c r="O53" s="77"/>
    </row>
    <row r="54" spans="1:15" ht="20" customHeight="1" x14ac:dyDescent="0.2">
      <c r="A54" s="77"/>
      <c r="B54" s="81"/>
      <c r="C54" s="75"/>
      <c r="D54" s="75"/>
      <c r="E54" s="75"/>
      <c r="F54" s="75"/>
      <c r="G54" s="75"/>
      <c r="H54" s="78"/>
      <c r="I54" s="78"/>
      <c r="J54" s="77"/>
      <c r="K54" s="80"/>
      <c r="L54" s="75"/>
      <c r="M54" s="75"/>
      <c r="N54" s="75"/>
      <c r="O54" s="77"/>
    </row>
    <row r="55" spans="1:15" ht="20" customHeight="1" x14ac:dyDescent="0.2">
      <c r="A55" s="77"/>
      <c r="B55" s="81"/>
      <c r="C55" s="75"/>
      <c r="D55" s="75"/>
      <c r="E55" s="75"/>
      <c r="F55" s="75"/>
      <c r="G55" s="75"/>
      <c r="H55" s="78"/>
      <c r="I55" s="78"/>
      <c r="J55" s="77"/>
      <c r="K55" s="80"/>
      <c r="L55" s="75"/>
      <c r="M55" s="75"/>
      <c r="N55" s="75"/>
      <c r="O55" s="77"/>
    </row>
    <row r="56" spans="1:15" ht="20" customHeight="1" x14ac:dyDescent="0.2">
      <c r="A56" s="77"/>
      <c r="B56" s="81"/>
      <c r="C56" s="75"/>
      <c r="D56" s="75"/>
      <c r="E56" s="75"/>
      <c r="F56" s="75"/>
      <c r="G56" s="75"/>
      <c r="H56" s="78"/>
      <c r="I56" s="78"/>
      <c r="J56" s="77"/>
      <c r="K56" s="80"/>
      <c r="L56" s="75"/>
      <c r="M56" s="75"/>
      <c r="N56" s="75"/>
      <c r="O56" s="77"/>
    </row>
    <row r="57" spans="1:15" ht="20" customHeight="1" x14ac:dyDescent="0.2">
      <c r="A57" s="77"/>
      <c r="B57" s="81"/>
      <c r="C57" s="75"/>
      <c r="D57" s="75"/>
      <c r="E57" s="75"/>
      <c r="F57" s="75"/>
      <c r="G57" s="75"/>
      <c r="H57" s="78"/>
      <c r="I57" s="78"/>
      <c r="J57" s="77"/>
      <c r="K57" s="80"/>
      <c r="L57" s="75"/>
      <c r="M57" s="75"/>
      <c r="N57" s="75"/>
      <c r="O57" s="77"/>
    </row>
    <row r="58" spans="1:15" ht="20" customHeight="1" x14ac:dyDescent="0.2">
      <c r="A58" s="77"/>
      <c r="B58" s="81"/>
      <c r="C58" s="75"/>
      <c r="D58" s="75"/>
      <c r="E58" s="75"/>
      <c r="F58" s="75"/>
      <c r="G58" s="75"/>
      <c r="H58" s="78"/>
      <c r="I58" s="78"/>
      <c r="J58" s="77"/>
      <c r="K58" s="80"/>
      <c r="L58" s="75"/>
      <c r="M58" s="75"/>
      <c r="N58" s="75"/>
      <c r="O58" s="77"/>
    </row>
    <row r="59" spans="1:15" ht="20" customHeight="1" x14ac:dyDescent="0.2">
      <c r="A59" s="77"/>
      <c r="B59" s="81"/>
      <c r="C59" s="75"/>
      <c r="D59" s="75"/>
      <c r="E59" s="75"/>
      <c r="F59" s="75"/>
      <c r="G59" s="75"/>
      <c r="H59" s="78"/>
      <c r="I59" s="78"/>
      <c r="J59" s="77"/>
      <c r="K59" s="80"/>
      <c r="L59" s="75"/>
      <c r="M59" s="75"/>
      <c r="N59" s="75"/>
      <c r="O59" s="77"/>
    </row>
    <row r="60" spans="1:15" ht="20" customHeight="1" x14ac:dyDescent="0.2">
      <c r="A60" s="77"/>
      <c r="B60" s="81"/>
      <c r="C60" s="75"/>
      <c r="D60" s="75"/>
      <c r="E60" s="75"/>
      <c r="F60" s="75"/>
      <c r="G60" s="75"/>
      <c r="H60" s="78"/>
      <c r="I60" s="78"/>
      <c r="J60" s="77"/>
      <c r="K60" s="80"/>
      <c r="L60" s="75"/>
      <c r="M60" s="75"/>
      <c r="N60" s="75"/>
      <c r="O60" s="77"/>
    </row>
    <row r="61" spans="1:15" ht="20" customHeight="1" x14ac:dyDescent="0.2">
      <c r="A61" s="77"/>
      <c r="B61" s="81"/>
      <c r="C61" s="75"/>
      <c r="D61" s="75"/>
      <c r="E61" s="75"/>
      <c r="F61" s="75"/>
      <c r="G61" s="75"/>
      <c r="H61" s="78"/>
      <c r="I61" s="78"/>
      <c r="J61" s="77"/>
      <c r="K61" s="80"/>
      <c r="L61" s="75"/>
      <c r="M61" s="75"/>
      <c r="N61" s="75"/>
      <c r="O61" s="77"/>
    </row>
    <row r="62" spans="1:15" ht="20" customHeight="1" x14ac:dyDescent="0.2">
      <c r="A62" s="77"/>
      <c r="B62" s="81"/>
      <c r="C62" s="75"/>
      <c r="D62" s="75"/>
      <c r="E62" s="75"/>
      <c r="F62" s="75"/>
      <c r="G62" s="75"/>
      <c r="H62" s="78"/>
      <c r="I62" s="78"/>
      <c r="J62" s="77"/>
      <c r="K62" s="80"/>
      <c r="L62" s="75"/>
      <c r="M62" s="75"/>
      <c r="N62" s="75"/>
      <c r="O62" s="77"/>
    </row>
    <row r="63" spans="1:15" ht="20" customHeight="1" x14ac:dyDescent="0.2">
      <c r="A63" s="77"/>
      <c r="B63" s="81"/>
      <c r="C63" s="75"/>
      <c r="D63" s="75"/>
      <c r="E63" s="75"/>
      <c r="F63" s="75"/>
      <c r="G63" s="75"/>
      <c r="H63" s="78"/>
      <c r="I63" s="78"/>
      <c r="J63" s="77"/>
      <c r="K63" s="80"/>
      <c r="L63" s="75"/>
      <c r="M63" s="75"/>
      <c r="N63" s="75"/>
      <c r="O63" s="77"/>
    </row>
    <row r="64" spans="1:15" ht="20" customHeight="1" x14ac:dyDescent="0.2">
      <c r="A64" s="77"/>
      <c r="B64" s="81"/>
      <c r="C64" s="75"/>
      <c r="D64" s="75"/>
      <c r="E64" s="75"/>
      <c r="F64" s="75"/>
      <c r="G64" s="75"/>
      <c r="H64" s="78"/>
      <c r="I64" s="78"/>
      <c r="J64" s="77"/>
      <c r="K64" s="80"/>
      <c r="L64" s="75"/>
      <c r="M64" s="75"/>
      <c r="N64" s="75"/>
      <c r="O64" s="77"/>
    </row>
    <row r="65" spans="1:15" ht="20" customHeight="1" x14ac:dyDescent="0.2">
      <c r="A65" s="77"/>
      <c r="B65" s="81"/>
      <c r="C65" s="75"/>
      <c r="D65" s="75"/>
      <c r="E65" s="75"/>
      <c r="F65" s="75"/>
      <c r="G65" s="75"/>
      <c r="H65" s="78"/>
      <c r="I65" s="78"/>
      <c r="J65" s="77"/>
      <c r="K65" s="80"/>
      <c r="L65" s="75"/>
      <c r="M65" s="75"/>
      <c r="N65" s="75"/>
      <c r="O65" s="77"/>
    </row>
    <row r="66" spans="1:15" ht="20" customHeight="1" x14ac:dyDescent="0.2">
      <c r="A66" s="77"/>
      <c r="B66" s="81"/>
      <c r="C66" s="75"/>
      <c r="D66" s="75"/>
      <c r="E66" s="75"/>
      <c r="F66" s="75"/>
      <c r="G66" s="75"/>
      <c r="H66" s="78"/>
      <c r="I66" s="78"/>
      <c r="J66" s="77"/>
      <c r="K66" s="80"/>
      <c r="L66" s="75"/>
      <c r="M66" s="75"/>
      <c r="N66" s="75"/>
      <c r="O66" s="77"/>
    </row>
    <row r="67" spans="1:15" ht="20" customHeight="1" x14ac:dyDescent="0.2">
      <c r="A67" s="77"/>
      <c r="B67" s="81"/>
      <c r="C67" s="75"/>
      <c r="D67" s="75"/>
      <c r="E67" s="75"/>
      <c r="F67" s="75"/>
      <c r="G67" s="75"/>
      <c r="H67" s="78"/>
      <c r="I67" s="78"/>
      <c r="J67" s="77"/>
      <c r="K67" s="80"/>
      <c r="L67" s="75"/>
      <c r="M67" s="75"/>
      <c r="N67" s="75"/>
      <c r="O67" s="77"/>
    </row>
    <row r="68" spans="1:15" ht="20" customHeight="1" x14ac:dyDescent="0.2">
      <c r="A68" s="77"/>
      <c r="B68" s="81"/>
      <c r="C68" s="75"/>
      <c r="D68" s="75"/>
      <c r="E68" s="75"/>
      <c r="F68" s="75"/>
      <c r="G68" s="75"/>
      <c r="H68" s="78"/>
      <c r="I68" s="78"/>
      <c r="J68" s="77"/>
      <c r="K68" s="80"/>
      <c r="L68" s="75"/>
      <c r="M68" s="75"/>
      <c r="N68" s="75"/>
      <c r="O68" s="77"/>
    </row>
    <row r="69" spans="1:15" ht="20" customHeight="1" x14ac:dyDescent="0.2">
      <c r="A69" s="77"/>
      <c r="B69" s="81"/>
      <c r="C69" s="75"/>
      <c r="D69" s="75"/>
      <c r="E69" s="75"/>
      <c r="F69" s="75"/>
      <c r="G69" s="75"/>
      <c r="H69" s="78"/>
      <c r="I69" s="78"/>
      <c r="J69" s="77"/>
      <c r="K69" s="80"/>
      <c r="L69" s="75"/>
      <c r="M69" s="75"/>
      <c r="N69" s="75"/>
      <c r="O69" s="77"/>
    </row>
    <row r="70" spans="1:15" ht="20" customHeight="1" x14ac:dyDescent="0.2">
      <c r="A70" s="77"/>
      <c r="B70" s="81"/>
      <c r="C70" s="75"/>
      <c r="D70" s="75"/>
      <c r="E70" s="75"/>
      <c r="F70" s="75"/>
      <c r="G70" s="75"/>
      <c r="H70" s="78"/>
      <c r="I70" s="78"/>
      <c r="J70" s="77"/>
      <c r="K70" s="80"/>
      <c r="L70" s="75"/>
      <c r="M70" s="75"/>
      <c r="N70" s="75"/>
      <c r="O70" s="77"/>
    </row>
    <row r="71" spans="1:15" ht="20" customHeight="1" x14ac:dyDescent="0.2">
      <c r="A71" s="77"/>
      <c r="B71" s="81"/>
      <c r="C71" s="75"/>
      <c r="D71" s="75"/>
      <c r="E71" s="75"/>
      <c r="F71" s="75"/>
      <c r="G71" s="75"/>
      <c r="H71" s="78"/>
      <c r="I71" s="78"/>
      <c r="J71" s="77"/>
      <c r="K71" s="80"/>
      <c r="L71" s="75"/>
      <c r="M71" s="75"/>
      <c r="N71" s="75"/>
      <c r="O71" s="77"/>
    </row>
    <row r="72" spans="1:15" ht="20" customHeight="1" x14ac:dyDescent="0.2">
      <c r="A72" s="77"/>
      <c r="B72" s="81"/>
      <c r="C72" s="75"/>
      <c r="D72" s="75"/>
      <c r="E72" s="75"/>
      <c r="F72" s="75"/>
      <c r="G72" s="75"/>
      <c r="H72" s="78"/>
      <c r="I72" s="78"/>
      <c r="J72" s="77"/>
      <c r="K72" s="80"/>
      <c r="L72" s="75"/>
      <c r="M72" s="75"/>
      <c r="N72" s="75"/>
      <c r="O72" s="77"/>
    </row>
    <row r="73" spans="1:15" ht="20" customHeight="1" x14ac:dyDescent="0.2">
      <c r="A73" s="77"/>
      <c r="B73" s="81"/>
      <c r="C73" s="75"/>
      <c r="D73" s="75"/>
      <c r="E73" s="75"/>
      <c r="F73" s="75"/>
      <c r="G73" s="75"/>
      <c r="H73" s="78"/>
      <c r="I73" s="78"/>
      <c r="J73" s="77"/>
      <c r="K73" s="80"/>
      <c r="L73" s="75"/>
      <c r="M73" s="75"/>
      <c r="N73" s="75"/>
      <c r="O73" s="77"/>
    </row>
    <row r="74" spans="1:15" ht="20" customHeight="1" x14ac:dyDescent="0.2">
      <c r="A74" s="77"/>
      <c r="B74" s="81"/>
      <c r="C74" s="75"/>
      <c r="D74" s="75"/>
      <c r="E74" s="75"/>
      <c r="F74" s="75"/>
      <c r="G74" s="75"/>
      <c r="H74" s="78"/>
      <c r="I74" s="78"/>
      <c r="J74" s="77"/>
      <c r="K74" s="80"/>
      <c r="L74" s="75"/>
      <c r="M74" s="75"/>
      <c r="N74" s="75"/>
      <c r="O74" s="77"/>
    </row>
    <row r="75" spans="1:15" ht="20" customHeight="1" x14ac:dyDescent="0.2">
      <c r="A75" s="77"/>
      <c r="B75" s="81"/>
      <c r="C75" s="75"/>
      <c r="D75" s="75"/>
      <c r="E75" s="75"/>
      <c r="F75" s="75"/>
      <c r="G75" s="75"/>
      <c r="H75" s="78"/>
      <c r="I75" s="78"/>
      <c r="J75" s="77"/>
      <c r="K75" s="80"/>
      <c r="L75" s="75"/>
      <c r="M75" s="75"/>
      <c r="N75" s="75"/>
      <c r="O75" s="77"/>
    </row>
    <row r="76" spans="1:15" ht="20" customHeight="1" x14ac:dyDescent="0.2">
      <c r="A76" s="77"/>
      <c r="B76" s="81"/>
      <c r="C76" s="75"/>
      <c r="D76" s="75"/>
      <c r="E76" s="75"/>
      <c r="F76" s="75"/>
      <c r="G76" s="75"/>
      <c r="H76" s="78"/>
      <c r="I76" s="78"/>
      <c r="J76" s="77"/>
      <c r="K76" s="80"/>
      <c r="L76" s="75"/>
      <c r="M76" s="75"/>
      <c r="N76" s="75"/>
      <c r="O76" s="77"/>
    </row>
    <row r="77" spans="1:15" ht="20" customHeight="1" x14ac:dyDescent="0.2">
      <c r="A77" s="77"/>
      <c r="B77" s="81"/>
      <c r="C77" s="75"/>
      <c r="D77" s="75"/>
      <c r="E77" s="75"/>
      <c r="F77" s="75"/>
      <c r="G77" s="75"/>
      <c r="H77" s="78"/>
      <c r="I77" s="78"/>
      <c r="J77" s="77"/>
      <c r="K77" s="80"/>
      <c r="L77" s="75"/>
      <c r="M77" s="75"/>
      <c r="N77" s="75"/>
      <c r="O77" s="77"/>
    </row>
    <row r="78" spans="1:15" ht="20" customHeight="1" x14ac:dyDescent="0.2">
      <c r="A78" s="77"/>
      <c r="B78" s="81"/>
      <c r="C78" s="75"/>
      <c r="D78" s="75"/>
      <c r="E78" s="75"/>
      <c r="F78" s="75"/>
      <c r="G78" s="75"/>
      <c r="H78" s="78"/>
      <c r="I78" s="78"/>
      <c r="J78" s="77"/>
      <c r="K78" s="80"/>
      <c r="L78" s="75"/>
      <c r="M78" s="75"/>
      <c r="N78" s="75"/>
      <c r="O78" s="77"/>
    </row>
    <row r="79" spans="1:15" ht="20" customHeight="1" x14ac:dyDescent="0.2">
      <c r="A79" s="77"/>
      <c r="B79" s="81"/>
      <c r="C79" s="75"/>
      <c r="D79" s="75"/>
      <c r="E79" s="75"/>
      <c r="F79" s="75"/>
      <c r="G79" s="75"/>
      <c r="H79" s="78"/>
      <c r="I79" s="78"/>
      <c r="J79" s="77"/>
      <c r="K79" s="80"/>
      <c r="L79" s="75"/>
      <c r="M79" s="75"/>
      <c r="N79" s="75"/>
      <c r="O79" s="77"/>
    </row>
    <row r="80" spans="1:15" ht="20" customHeight="1" x14ac:dyDescent="0.2">
      <c r="A80" s="77"/>
      <c r="B80" s="81"/>
      <c r="C80" s="75"/>
      <c r="D80" s="75"/>
      <c r="E80" s="75"/>
      <c r="F80" s="75"/>
      <c r="G80" s="75"/>
      <c r="H80" s="78"/>
      <c r="I80" s="78"/>
      <c r="J80" s="77"/>
      <c r="K80" s="80"/>
      <c r="L80" s="75"/>
      <c r="M80" s="75"/>
      <c r="N80" s="75"/>
      <c r="O80" s="77"/>
    </row>
    <row r="81" spans="1:15" ht="20" customHeight="1" x14ac:dyDescent="0.2">
      <c r="A81" s="77"/>
      <c r="B81" s="81"/>
      <c r="C81" s="75"/>
      <c r="D81" s="75"/>
      <c r="E81" s="75"/>
      <c r="F81" s="75"/>
      <c r="G81" s="75"/>
      <c r="H81" s="78"/>
      <c r="I81" s="78"/>
      <c r="J81" s="77"/>
      <c r="K81" s="80"/>
      <c r="L81" s="75"/>
      <c r="M81" s="75"/>
      <c r="N81" s="75"/>
      <c r="O81" s="77"/>
    </row>
    <row r="82" spans="1:15" ht="20" customHeight="1" x14ac:dyDescent="0.2">
      <c r="A82" s="77"/>
      <c r="B82" s="81"/>
      <c r="C82" s="75"/>
      <c r="D82" s="75"/>
      <c r="E82" s="75"/>
      <c r="F82" s="75"/>
      <c r="G82" s="75"/>
      <c r="H82" s="78"/>
      <c r="I82" s="78"/>
      <c r="J82" s="77"/>
      <c r="K82" s="80"/>
      <c r="L82" s="75"/>
      <c r="M82" s="75"/>
      <c r="N82" s="75"/>
      <c r="O82" s="77"/>
    </row>
    <row r="83" spans="1:15" ht="20" customHeight="1" x14ac:dyDescent="0.2">
      <c r="A83" s="77"/>
      <c r="B83" s="81"/>
      <c r="C83" s="75"/>
      <c r="D83" s="75"/>
      <c r="E83" s="75"/>
      <c r="F83" s="75"/>
      <c r="G83" s="75"/>
      <c r="H83" s="78"/>
      <c r="I83" s="78"/>
      <c r="J83" s="77"/>
      <c r="K83" s="80"/>
      <c r="L83" s="75"/>
      <c r="M83" s="75"/>
      <c r="N83" s="75"/>
      <c r="O83" s="77"/>
    </row>
    <row r="84" spans="1:15" ht="20" customHeight="1" x14ac:dyDescent="0.2">
      <c r="A84" s="77"/>
      <c r="B84" s="81"/>
      <c r="C84" s="75"/>
      <c r="D84" s="75"/>
      <c r="E84" s="75"/>
      <c r="F84" s="75"/>
      <c r="G84" s="75"/>
      <c r="H84" s="78"/>
      <c r="I84" s="78"/>
      <c r="J84" s="77"/>
      <c r="K84" s="80"/>
      <c r="L84" s="75"/>
      <c r="M84" s="75"/>
      <c r="N84" s="75"/>
      <c r="O84" s="77"/>
    </row>
    <row r="85" spans="1:15" ht="20" customHeight="1" x14ac:dyDescent="0.2">
      <c r="A85" s="77"/>
      <c r="B85" s="81"/>
      <c r="C85" s="75"/>
      <c r="D85" s="75"/>
      <c r="E85" s="75"/>
      <c r="F85" s="75"/>
      <c r="G85" s="75"/>
      <c r="H85" s="78"/>
      <c r="I85" s="78"/>
      <c r="J85" s="77"/>
      <c r="K85" s="80"/>
      <c r="L85" s="75"/>
      <c r="M85" s="75"/>
      <c r="N85" s="75"/>
      <c r="O85" s="77"/>
    </row>
    <row r="86" spans="1:15" ht="20" customHeight="1" x14ac:dyDescent="0.2">
      <c r="A86" s="77"/>
      <c r="B86" s="81"/>
      <c r="C86" s="75"/>
      <c r="D86" s="75"/>
      <c r="E86" s="75"/>
      <c r="F86" s="75"/>
      <c r="G86" s="75"/>
      <c r="H86" s="78"/>
      <c r="I86" s="78"/>
      <c r="J86" s="77"/>
      <c r="K86" s="80"/>
      <c r="L86" s="75"/>
      <c r="M86" s="75"/>
      <c r="N86" s="75"/>
      <c r="O86" s="77"/>
    </row>
    <row r="87" spans="1:15" ht="20" customHeight="1" x14ac:dyDescent="0.2">
      <c r="A87" s="77"/>
      <c r="B87" s="81"/>
      <c r="C87" s="75"/>
      <c r="D87" s="75"/>
      <c r="E87" s="75"/>
      <c r="F87" s="75"/>
      <c r="G87" s="75"/>
      <c r="H87" s="78"/>
      <c r="I87" s="78"/>
      <c r="J87" s="77"/>
      <c r="K87" s="80"/>
      <c r="L87" s="75"/>
      <c r="M87" s="75"/>
      <c r="N87" s="75"/>
      <c r="O87" s="77"/>
    </row>
    <row r="88" spans="1:15" ht="20" customHeight="1" x14ac:dyDescent="0.2">
      <c r="A88" s="77"/>
      <c r="B88" s="81"/>
      <c r="C88" s="75"/>
      <c r="D88" s="75"/>
      <c r="E88" s="75"/>
      <c r="F88" s="75"/>
      <c r="G88" s="75"/>
      <c r="H88" s="78"/>
      <c r="I88" s="78"/>
      <c r="J88" s="77"/>
      <c r="K88" s="80"/>
      <c r="L88" s="75"/>
      <c r="M88" s="75"/>
      <c r="N88" s="75"/>
      <c r="O88" s="77"/>
    </row>
    <row r="89" spans="1:15" ht="20" customHeight="1" x14ac:dyDescent="0.2">
      <c r="A89" s="74"/>
      <c r="B89" s="82"/>
    </row>
    <row r="90" spans="1:15" ht="20" customHeight="1" x14ac:dyDescent="0.2">
      <c r="A90" s="74"/>
      <c r="B90" s="82"/>
    </row>
    <row r="91" spans="1:15" ht="20" customHeight="1" x14ac:dyDescent="0.2">
      <c r="A91" s="74"/>
      <c r="B91" s="82"/>
    </row>
    <row r="92" spans="1:15" ht="20" customHeight="1" x14ac:dyDescent="0.2">
      <c r="A92" s="74"/>
      <c r="B92" s="82"/>
    </row>
    <row r="93" spans="1:15" ht="20" customHeight="1" x14ac:dyDescent="0.2">
      <c r="A93" s="74"/>
      <c r="B93" s="82"/>
    </row>
    <row r="94" spans="1:15" ht="20" customHeight="1" x14ac:dyDescent="0.2">
      <c r="A94" s="74"/>
      <c r="B94" s="82"/>
    </row>
    <row r="95" spans="1:15" ht="20" customHeight="1" x14ac:dyDescent="0.2">
      <c r="A95" s="74"/>
      <c r="B95" s="82"/>
    </row>
    <row r="96" spans="1:15" ht="20" customHeight="1" x14ac:dyDescent="0.2">
      <c r="A96" s="74"/>
      <c r="B96" s="82"/>
    </row>
    <row r="97" spans="1:2" ht="20" customHeight="1" x14ac:dyDescent="0.2">
      <c r="A97" s="74"/>
      <c r="B97" s="82"/>
    </row>
    <row r="98" spans="1:2" ht="20" customHeight="1" x14ac:dyDescent="0.2">
      <c r="A98" s="74"/>
      <c r="B98" s="82"/>
    </row>
    <row r="99" spans="1:2" ht="20" customHeight="1" x14ac:dyDescent="0.2">
      <c r="A99" s="74"/>
      <c r="B99" s="82"/>
    </row>
    <row r="100" spans="1:2" ht="20" customHeight="1" x14ac:dyDescent="0.2">
      <c r="A100" s="74"/>
      <c r="B100" s="82"/>
    </row>
    <row r="101" spans="1:2" ht="20" customHeight="1" x14ac:dyDescent="0.2">
      <c r="A101" s="74"/>
      <c r="B101" s="82"/>
    </row>
    <row r="102" spans="1:2" ht="20" customHeight="1" x14ac:dyDescent="0.2">
      <c r="A102" s="74"/>
      <c r="B102" s="82"/>
    </row>
    <row r="103" spans="1:2" ht="20" customHeight="1" x14ac:dyDescent="0.2">
      <c r="A103" s="74"/>
      <c r="B103" s="82"/>
    </row>
    <row r="104" spans="1:2" ht="20" customHeight="1" x14ac:dyDescent="0.2">
      <c r="A104" s="74"/>
      <c r="B104" s="82"/>
    </row>
    <row r="105" spans="1:2" ht="20" customHeight="1" x14ac:dyDescent="0.2">
      <c r="A105" s="74"/>
      <c r="B105" s="82"/>
    </row>
    <row r="106" spans="1:2" ht="20" customHeight="1" x14ac:dyDescent="0.2">
      <c r="A106" s="74"/>
      <c r="B106" s="82"/>
    </row>
    <row r="107" spans="1:2" ht="20" customHeight="1" x14ac:dyDescent="0.2">
      <c r="A107" s="74"/>
      <c r="B107" s="76"/>
    </row>
    <row r="108" spans="1:2" ht="20" customHeight="1" x14ac:dyDescent="0.2">
      <c r="A108" s="74"/>
      <c r="B108" s="76"/>
    </row>
    <row r="109" spans="1:2" ht="20" customHeight="1" x14ac:dyDescent="0.2">
      <c r="A109" s="74"/>
      <c r="B109" s="76"/>
    </row>
    <row r="110" spans="1:2" ht="20" customHeight="1" x14ac:dyDescent="0.2">
      <c r="A110" s="74"/>
      <c r="B110" s="76"/>
    </row>
    <row r="111" spans="1:2" ht="20" customHeight="1" x14ac:dyDescent="0.2">
      <c r="A111" s="74"/>
      <c r="B111" s="76"/>
    </row>
    <row r="112" spans="1:2" ht="20" customHeight="1" x14ac:dyDescent="0.2">
      <c r="A112" s="74"/>
      <c r="B112" s="76"/>
    </row>
    <row r="113" spans="1:2" ht="20" customHeight="1" x14ac:dyDescent="0.2">
      <c r="A113" s="74"/>
      <c r="B113" s="76"/>
    </row>
    <row r="114" spans="1:2" ht="20" customHeight="1" x14ac:dyDescent="0.2">
      <c r="A114" s="74"/>
      <c r="B114" s="76"/>
    </row>
    <row r="115" spans="1:2" ht="20" customHeight="1" x14ac:dyDescent="0.2">
      <c r="A115" s="74"/>
      <c r="B115" s="76"/>
    </row>
    <row r="116" spans="1:2" ht="20" customHeight="1" x14ac:dyDescent="0.2">
      <c r="A116" s="74"/>
      <c r="B116" s="76"/>
    </row>
    <row r="117" spans="1:2" ht="20" customHeight="1" x14ac:dyDescent="0.2">
      <c r="A117" s="74"/>
      <c r="B117" s="76"/>
    </row>
    <row r="118" spans="1:2" ht="20" customHeight="1" x14ac:dyDescent="0.2">
      <c r="A118" s="74"/>
      <c r="B118" s="76"/>
    </row>
    <row r="119" spans="1:2" ht="20" customHeight="1" x14ac:dyDescent="0.2">
      <c r="A119" s="74"/>
      <c r="B119" s="76"/>
    </row>
    <row r="120" spans="1:2" ht="20" customHeight="1" x14ac:dyDescent="0.2">
      <c r="A120" s="74"/>
      <c r="B120" s="76"/>
    </row>
    <row r="121" spans="1:2" ht="20" customHeight="1" x14ac:dyDescent="0.2">
      <c r="A121" s="74"/>
      <c r="B121" s="76"/>
    </row>
    <row r="122" spans="1:2" ht="20" customHeight="1" x14ac:dyDescent="0.2">
      <c r="A122" s="74"/>
      <c r="B122" s="76"/>
    </row>
    <row r="123" spans="1:2" ht="20" customHeight="1" x14ac:dyDescent="0.2">
      <c r="A123" s="74"/>
      <c r="B123" s="76"/>
    </row>
    <row r="124" spans="1:2" ht="20" customHeight="1" x14ac:dyDescent="0.2">
      <c r="A124" s="74"/>
      <c r="B124" s="76"/>
    </row>
    <row r="125" spans="1:2" ht="20" customHeight="1" x14ac:dyDescent="0.2">
      <c r="A125" s="74"/>
      <c r="B125" s="76"/>
    </row>
    <row r="126" spans="1:2" ht="20" customHeight="1" x14ac:dyDescent="0.2">
      <c r="A126" s="74"/>
      <c r="B126" s="76"/>
    </row>
    <row r="127" spans="1:2" ht="20" customHeight="1" x14ac:dyDescent="0.2">
      <c r="A127" s="74"/>
      <c r="B127" s="76"/>
    </row>
    <row r="128" spans="1:2" ht="20" customHeight="1" x14ac:dyDescent="0.2">
      <c r="A128" s="74"/>
      <c r="B128" s="76"/>
    </row>
    <row r="129" spans="1:2" ht="20" customHeight="1" x14ac:dyDescent="0.2">
      <c r="A129" s="74"/>
      <c r="B129" s="76"/>
    </row>
    <row r="130" spans="1:2" ht="20" customHeight="1" x14ac:dyDescent="0.2">
      <c r="A130" s="74"/>
      <c r="B130" s="76"/>
    </row>
    <row r="131" spans="1:2" ht="20" customHeight="1" x14ac:dyDescent="0.2">
      <c r="A131" s="74"/>
      <c r="B131" s="76"/>
    </row>
    <row r="132" spans="1:2" ht="20" customHeight="1" x14ac:dyDescent="0.2">
      <c r="A132" s="74"/>
      <c r="B132" s="76"/>
    </row>
    <row r="133" spans="1:2" ht="20" customHeight="1" x14ac:dyDescent="0.2">
      <c r="A133" s="74"/>
      <c r="B133" s="76"/>
    </row>
    <row r="134" spans="1:2" ht="20" customHeight="1" x14ac:dyDescent="0.2">
      <c r="A134" s="74"/>
      <c r="B134" s="76"/>
    </row>
    <row r="135" spans="1:2" ht="20" customHeight="1" x14ac:dyDescent="0.2">
      <c r="A135" s="74"/>
      <c r="B135" s="76"/>
    </row>
    <row r="136" spans="1:2" ht="20" customHeight="1" x14ac:dyDescent="0.2">
      <c r="A136" s="74"/>
      <c r="B136" s="76"/>
    </row>
    <row r="137" spans="1:2" ht="20" customHeight="1" x14ac:dyDescent="0.2">
      <c r="A137" s="74"/>
      <c r="B137" s="76"/>
    </row>
    <row r="138" spans="1:2" ht="20" customHeight="1" x14ac:dyDescent="0.2">
      <c r="A138" s="74"/>
      <c r="B138" s="76"/>
    </row>
    <row r="139" spans="1:2" ht="20" customHeight="1" x14ac:dyDescent="0.2">
      <c r="A139" s="74"/>
      <c r="B139" s="76"/>
    </row>
    <row r="140" spans="1:2" ht="20" customHeight="1" x14ac:dyDescent="0.2">
      <c r="A140" s="74"/>
      <c r="B140" s="76"/>
    </row>
    <row r="141" spans="1:2" ht="20" customHeight="1" x14ac:dyDescent="0.2">
      <c r="A141" s="74"/>
      <c r="B141" s="76"/>
    </row>
    <row r="142" spans="1:2" ht="20" customHeight="1" x14ac:dyDescent="0.2">
      <c r="A142" s="74"/>
      <c r="B142" s="76"/>
    </row>
    <row r="143" spans="1:2" ht="20" customHeight="1" x14ac:dyDescent="0.2">
      <c r="A143" s="74"/>
      <c r="B143" s="76"/>
    </row>
    <row r="144" spans="1:2" ht="20" customHeight="1" x14ac:dyDescent="0.2">
      <c r="A144" s="74"/>
      <c r="B144" s="76"/>
    </row>
    <row r="145" spans="1:2" ht="20" customHeight="1" x14ac:dyDescent="0.2">
      <c r="A145" s="74"/>
      <c r="B145" s="76"/>
    </row>
    <row r="146" spans="1:2" ht="20" customHeight="1" x14ac:dyDescent="0.2">
      <c r="A146" s="74"/>
      <c r="B146" s="76"/>
    </row>
    <row r="147" spans="1:2" ht="20" customHeight="1" x14ac:dyDescent="0.2">
      <c r="A147" s="74"/>
      <c r="B147" s="76"/>
    </row>
    <row r="148" spans="1:2" ht="20" customHeight="1" x14ac:dyDescent="0.2">
      <c r="A148" s="74"/>
      <c r="B148" s="76"/>
    </row>
    <row r="149" spans="1:2" ht="20" customHeight="1" x14ac:dyDescent="0.2">
      <c r="A149" s="74"/>
      <c r="B149" s="76"/>
    </row>
    <row r="150" spans="1:2" ht="20" customHeight="1" x14ac:dyDescent="0.2">
      <c r="A150" s="74"/>
      <c r="B150" s="76"/>
    </row>
    <row r="151" spans="1:2" ht="20" customHeight="1" x14ac:dyDescent="0.2">
      <c r="A151" s="74"/>
      <c r="B151" s="76"/>
    </row>
    <row r="152" spans="1:2" ht="20" customHeight="1" x14ac:dyDescent="0.2">
      <c r="A152" s="74"/>
      <c r="B152" s="76"/>
    </row>
    <row r="153" spans="1:2" ht="20" customHeight="1" x14ac:dyDescent="0.2">
      <c r="A153" s="74"/>
      <c r="B153" s="76"/>
    </row>
    <row r="154" spans="1:2" ht="20" customHeight="1" x14ac:dyDescent="0.2">
      <c r="A154" s="74"/>
      <c r="B154" s="76"/>
    </row>
    <row r="155" spans="1:2" ht="20" customHeight="1" x14ac:dyDescent="0.2">
      <c r="A155" s="74"/>
      <c r="B155" s="76"/>
    </row>
    <row r="156" spans="1:2" ht="20" customHeight="1" x14ac:dyDescent="0.2">
      <c r="A156" s="74"/>
      <c r="B156" s="76"/>
    </row>
    <row r="157" spans="1:2" ht="20" customHeight="1" x14ac:dyDescent="0.2">
      <c r="A157" s="74"/>
      <c r="B157" s="76"/>
    </row>
    <row r="158" spans="1:2" ht="20" customHeight="1" x14ac:dyDescent="0.2">
      <c r="A158" s="74"/>
      <c r="B158" s="76"/>
    </row>
    <row r="159" spans="1:2" ht="20" customHeight="1" x14ac:dyDescent="0.2">
      <c r="A159" s="74"/>
    </row>
    <row r="160" spans="1:2" ht="20" customHeight="1" x14ac:dyDescent="0.2">
      <c r="A160" s="74"/>
    </row>
    <row r="161" spans="1:1" ht="20" customHeight="1" x14ac:dyDescent="0.2">
      <c r="A161" s="74"/>
    </row>
    <row r="162" spans="1:1" ht="20" customHeight="1" x14ac:dyDescent="0.2">
      <c r="A162" s="74"/>
    </row>
    <row r="163" spans="1:1" ht="20" customHeight="1" x14ac:dyDescent="0.2">
      <c r="A163" s="74"/>
    </row>
    <row r="164" spans="1:1" ht="20" customHeight="1" x14ac:dyDescent="0.2">
      <c r="A164" s="74"/>
    </row>
    <row r="165" spans="1:1" ht="20" customHeight="1" x14ac:dyDescent="0.2">
      <c r="A165" s="74"/>
    </row>
    <row r="166" spans="1:1" ht="20" customHeight="1" x14ac:dyDescent="0.2">
      <c r="A166" s="74"/>
    </row>
    <row r="167" spans="1:1" ht="20" customHeight="1" x14ac:dyDescent="0.2">
      <c r="A167" s="74"/>
    </row>
    <row r="168" spans="1:1" ht="20" customHeight="1" x14ac:dyDescent="0.2">
      <c r="A168" s="74"/>
    </row>
    <row r="169" spans="1:1" ht="20" customHeight="1" x14ac:dyDescent="0.2">
      <c r="A169" s="74"/>
    </row>
    <row r="170" spans="1:1" ht="20" customHeight="1" x14ac:dyDescent="0.2">
      <c r="A170" s="74"/>
    </row>
    <row r="171" spans="1:1" ht="20" customHeight="1" x14ac:dyDescent="0.2">
      <c r="A171" s="74"/>
    </row>
    <row r="172" spans="1:1" ht="20" customHeight="1" x14ac:dyDescent="0.2">
      <c r="A172" s="74"/>
    </row>
    <row r="173" spans="1:1" ht="20" customHeight="1" x14ac:dyDescent="0.2">
      <c r="A173" s="74"/>
    </row>
    <row r="174" spans="1:1" ht="20" customHeight="1" x14ac:dyDescent="0.2">
      <c r="A174" s="74"/>
    </row>
    <row r="175" spans="1:1" ht="20" customHeight="1" x14ac:dyDescent="0.2">
      <c r="A175" s="74"/>
    </row>
    <row r="176" spans="1:1" ht="20" customHeight="1" x14ac:dyDescent="0.2">
      <c r="A176" s="74"/>
    </row>
    <row r="177" spans="1:1" ht="20" customHeight="1" x14ac:dyDescent="0.2">
      <c r="A177" s="74"/>
    </row>
    <row r="178" spans="1:1" ht="20" customHeight="1" x14ac:dyDescent="0.2">
      <c r="A178" s="74"/>
    </row>
    <row r="179" spans="1:1" ht="20" customHeight="1" x14ac:dyDescent="0.2">
      <c r="A179" s="74"/>
    </row>
    <row r="180" spans="1:1" ht="20" customHeight="1" x14ac:dyDescent="0.2">
      <c r="A180" s="74"/>
    </row>
    <row r="181" spans="1:1" ht="20" customHeight="1" x14ac:dyDescent="0.2">
      <c r="A181" s="74"/>
    </row>
    <row r="182" spans="1:1" ht="20" customHeight="1" x14ac:dyDescent="0.2">
      <c r="A182" s="74"/>
    </row>
    <row r="183" spans="1:1" ht="20" customHeight="1" x14ac:dyDescent="0.2">
      <c r="A183" s="74"/>
    </row>
    <row r="184" spans="1:1" ht="20" customHeight="1" x14ac:dyDescent="0.2">
      <c r="A184" s="74"/>
    </row>
    <row r="185" spans="1:1" ht="20" customHeight="1" x14ac:dyDescent="0.2">
      <c r="A185" s="74"/>
    </row>
    <row r="186" spans="1:1" ht="20" customHeight="1" x14ac:dyDescent="0.2">
      <c r="A186" s="74"/>
    </row>
    <row r="187" spans="1:1" ht="20" customHeight="1" x14ac:dyDescent="0.2">
      <c r="A187" s="74"/>
    </row>
    <row r="188" spans="1:1" ht="20" customHeight="1" x14ac:dyDescent="0.2">
      <c r="A188" s="74"/>
    </row>
    <row r="189" spans="1:1" ht="20" customHeight="1" x14ac:dyDescent="0.2">
      <c r="A189" s="74"/>
    </row>
    <row r="190" spans="1:1" ht="20" customHeight="1" x14ac:dyDescent="0.2">
      <c r="A190" s="74"/>
    </row>
  </sheetData>
  <autoFilter ref="A5:O88" xr:uid="{C5DC770D-895B-B247-AE59-100AE97662BE}"/>
  <mergeCells count="1">
    <mergeCell ref="A1:B1"/>
  </mergeCells>
  <conditionalFormatting sqref="C6:C116">
    <cfRule type="expression" dxfId="5" priority="1">
      <formula>$C6="Low"</formula>
    </cfRule>
    <cfRule type="expression" dxfId="4" priority="2">
      <formula>$C6="Medium"</formula>
    </cfRule>
    <cfRule type="expression" dxfId="3" priority="3">
      <formula>$C6="High"</formula>
    </cfRule>
  </conditionalFormatting>
  <conditionalFormatting sqref="J6:J174">
    <cfRule type="expression" dxfId="2" priority="4">
      <formula>$J6&gt;5</formula>
    </cfRule>
    <cfRule type="expression" dxfId="1" priority="5">
      <formula>AND($J6&gt;=2,$J6&lt;=5)</formula>
    </cfRule>
    <cfRule type="expression" dxfId="0" priority="6">
      <formula>AND($J6&lt;&gt;"",$J6&lt;2)</formula>
    </cfRule>
  </conditionalFormatting>
  <conditionalFormatting sqref="K6:K88">
    <cfRule type="dataBar" priority="10">
      <dataBar>
        <cfvo type="percent" val="0"/>
        <cfvo type="percent" val="100"/>
        <color theme="3" tint="0.89999084444715716"/>
      </dataBar>
      <extLst>
        <ext xmlns:x14="http://schemas.microsoft.com/office/spreadsheetml/2009/9/main" uri="{B025F937-C7B1-47D3-B67F-A62EFF666E3E}">
          <x14:id>{0F00B1CC-D584-674B-8D10-266CF8177A8C}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00B1CC-D584-674B-8D10-266CF8177A8C}">
            <x14:dataBar minLength="0" maxLength="100" gradient="0" axisPosition="none">
              <x14:cfvo type="percent">
                <xm:f>0</xm:f>
              </x14:cfvo>
              <x14:cfvo type="percent">
                <xm:f>100</xm:f>
              </x14:cfvo>
              <x14:negativeFillColor theme="0"/>
            </x14:dataBar>
          </x14:cfRule>
          <xm:sqref>K6:K88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B2C0-15B0-5D44-B39A-BE6084BFB049}">
  <dimension ref="A1:Z131"/>
  <sheetViews>
    <sheetView topLeftCell="C2" zoomScaleNormal="100" workbookViewId="0">
      <selection activeCell="R19" sqref="R19"/>
    </sheetView>
  </sheetViews>
  <sheetFormatPr baseColWidth="10" defaultColWidth="14.5" defaultRowHeight="20" customHeight="1" x14ac:dyDescent="0.2"/>
  <cols>
    <col min="1" max="1" width="14.33203125" style="2" customWidth="1"/>
    <col min="2" max="2" width="31.6640625" style="2" customWidth="1"/>
    <col min="3" max="3" width="19" style="2" customWidth="1"/>
    <col min="4" max="4" width="17.1640625" style="2" customWidth="1"/>
    <col min="5" max="5" width="16.5" style="2" customWidth="1"/>
    <col min="6" max="6" width="16" style="2" customWidth="1"/>
    <col min="7" max="7" width="2.83203125" style="2" customWidth="1"/>
    <col min="8" max="16" width="10.83203125" style="2" customWidth="1"/>
    <col min="17" max="17" width="2.83203125" style="2" customWidth="1"/>
    <col min="18" max="26" width="10.83203125" style="2" customWidth="1"/>
    <col min="27" max="16384" width="14.5" style="2"/>
  </cols>
  <sheetData>
    <row r="1" spans="1:26" ht="20" customHeight="1" x14ac:dyDescent="0.2">
      <c r="A1" s="94" t="s">
        <v>20</v>
      </c>
      <c r="B1" s="94"/>
    </row>
    <row r="2" spans="1:26" ht="20" customHeight="1" x14ac:dyDescent="0.2">
      <c r="A2" s="30" t="s">
        <v>21</v>
      </c>
      <c r="B2" s="30" t="s">
        <v>22</v>
      </c>
      <c r="C2" s="30" t="s">
        <v>23</v>
      </c>
      <c r="H2" s="93"/>
      <c r="I2" s="93"/>
      <c r="J2" s="93"/>
      <c r="K2" s="93"/>
      <c r="L2" s="93"/>
      <c r="M2" s="93"/>
      <c r="N2" s="93"/>
      <c r="O2" s="93"/>
      <c r="P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20" customHeight="1" x14ac:dyDescent="0.2">
      <c r="A3" s="22" t="s">
        <v>3</v>
      </c>
      <c r="B3" s="3">
        <f ca="1">COUNTIFS('Task View'!$G:$G,"Not Started")</f>
        <v>0</v>
      </c>
      <c r="C3" s="4">
        <f ca="1">IF($B$10=0,0,B3/$B$10)</f>
        <v>0</v>
      </c>
      <c r="H3" s="93"/>
      <c r="I3" s="93"/>
      <c r="J3" s="93"/>
      <c r="K3" s="93"/>
      <c r="L3" s="93"/>
      <c r="M3" s="93"/>
      <c r="N3" s="93"/>
      <c r="O3" s="93"/>
      <c r="P3" s="93"/>
      <c r="R3" s="93"/>
      <c r="S3" s="93"/>
      <c r="T3" s="93"/>
      <c r="U3" s="93"/>
      <c r="V3" s="93"/>
      <c r="W3" s="93"/>
      <c r="X3" s="93"/>
      <c r="Y3" s="93"/>
      <c r="Z3" s="93"/>
    </row>
    <row r="4" spans="1:26" ht="20" customHeight="1" x14ac:dyDescent="0.2">
      <c r="A4" s="22" t="s">
        <v>5</v>
      </c>
      <c r="B4" s="3">
        <f ca="1">COUNTIFS('Task View'!$G:$G,"Planned")</f>
        <v>1</v>
      </c>
      <c r="C4" s="4">
        <f t="shared" ref="C4:C9" ca="1" si="0">IF($B$10=0,0,B4/$B$10)</f>
        <v>0.2</v>
      </c>
      <c r="F4" s="20"/>
      <c r="H4" s="93"/>
      <c r="I4" s="93"/>
      <c r="J4" s="93"/>
      <c r="K4" s="93"/>
      <c r="L4" s="93"/>
      <c r="M4" s="93"/>
      <c r="N4" s="93"/>
      <c r="O4" s="93"/>
      <c r="P4" s="93"/>
      <c r="R4" s="93"/>
      <c r="S4" s="93"/>
      <c r="T4" s="93"/>
      <c r="U4" s="93"/>
      <c r="V4" s="93"/>
      <c r="W4" s="93"/>
      <c r="X4" s="93"/>
      <c r="Y4" s="93"/>
      <c r="Z4" s="93"/>
    </row>
    <row r="5" spans="1:26" ht="20" customHeight="1" x14ac:dyDescent="0.2">
      <c r="A5" s="22" t="s">
        <v>7</v>
      </c>
      <c r="B5" s="3">
        <f ca="1">COUNTIFS('Task View'!$G:$G,"In Progress")</f>
        <v>1</v>
      </c>
      <c r="C5" s="4">
        <f t="shared" ca="1" si="0"/>
        <v>0.2</v>
      </c>
      <c r="H5" s="93"/>
      <c r="I5" s="93"/>
      <c r="J5" s="93"/>
      <c r="K5" s="93"/>
      <c r="L5" s="93"/>
      <c r="M5" s="93"/>
      <c r="N5" s="93"/>
      <c r="O5" s="93"/>
      <c r="P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20" customHeight="1" x14ac:dyDescent="0.2">
      <c r="A6" s="22" t="s">
        <v>8</v>
      </c>
      <c r="B6" s="3">
        <f ca="1">COUNTIF('Task View'!$G:$G,"Pending")</f>
        <v>1</v>
      </c>
      <c r="C6" s="4">
        <f t="shared" ca="1" si="0"/>
        <v>0.2</v>
      </c>
      <c r="H6" s="93"/>
      <c r="I6" s="93"/>
      <c r="J6" s="93"/>
      <c r="K6" s="93"/>
      <c r="L6" s="93"/>
      <c r="M6" s="93"/>
      <c r="N6" s="93"/>
      <c r="O6" s="93"/>
      <c r="P6" s="93"/>
      <c r="R6" s="93"/>
      <c r="S6" s="93"/>
      <c r="T6" s="93"/>
      <c r="U6" s="93"/>
      <c r="V6" s="93"/>
      <c r="W6" s="93"/>
      <c r="X6" s="93"/>
      <c r="Y6" s="93"/>
      <c r="Z6" s="93"/>
    </row>
    <row r="7" spans="1:26" ht="20" customHeight="1" x14ac:dyDescent="0.2">
      <c r="A7" s="22" t="s">
        <v>9</v>
      </c>
      <c r="B7" s="3">
        <f ca="1">COUNTIF('Task View'!$G:$G,"Under Review")</f>
        <v>1</v>
      </c>
      <c r="C7" s="4">
        <f t="shared" ca="1" si="0"/>
        <v>0.2</v>
      </c>
      <c r="H7" s="93"/>
      <c r="I7" s="93"/>
      <c r="J7" s="93"/>
      <c r="K7" s="93"/>
      <c r="L7" s="93"/>
      <c r="M7" s="93"/>
      <c r="N7" s="93"/>
      <c r="O7" s="93"/>
      <c r="P7" s="93"/>
      <c r="R7" s="93"/>
      <c r="S7" s="93"/>
      <c r="T7" s="93"/>
      <c r="U7" s="93"/>
      <c r="V7" s="93"/>
      <c r="W7" s="93"/>
      <c r="X7" s="93"/>
      <c r="Y7" s="93"/>
      <c r="Z7" s="93"/>
    </row>
    <row r="8" spans="1:26" ht="20" customHeight="1" x14ac:dyDescent="0.2">
      <c r="A8" s="22" t="s">
        <v>10</v>
      </c>
      <c r="B8" s="3">
        <f ca="1">COUNTIF('Task View'!$G:$G,"Failed")</f>
        <v>1</v>
      </c>
      <c r="C8" s="4">
        <f t="shared" ca="1" si="0"/>
        <v>0.2</v>
      </c>
      <c r="H8" s="93"/>
      <c r="I8" s="93"/>
      <c r="J8" s="93"/>
      <c r="K8" s="93"/>
      <c r="L8" s="93"/>
      <c r="M8" s="93"/>
      <c r="N8" s="93"/>
      <c r="O8" s="93"/>
      <c r="P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20" customHeight="1" x14ac:dyDescent="0.2">
      <c r="A9" s="22" t="s">
        <v>11</v>
      </c>
      <c r="B9" s="3">
        <f ca="1">COUNTIF('Task View'!$G:$G,"Completed")</f>
        <v>0</v>
      </c>
      <c r="C9" s="4">
        <f t="shared" ca="1" si="0"/>
        <v>0</v>
      </c>
      <c r="H9" s="93"/>
      <c r="I9" s="93"/>
      <c r="J9" s="93"/>
      <c r="K9" s="93"/>
      <c r="L9" s="93"/>
      <c r="M9" s="93"/>
      <c r="N9" s="93"/>
      <c r="O9" s="93"/>
      <c r="P9" s="93"/>
      <c r="R9" s="93"/>
      <c r="S9" s="93"/>
      <c r="T9" s="93"/>
      <c r="U9" s="93"/>
      <c r="V9" s="93"/>
      <c r="W9" s="93"/>
      <c r="X9" s="93"/>
      <c r="Y9" s="93"/>
      <c r="Z9" s="93"/>
    </row>
    <row r="10" spans="1:26" ht="20" customHeight="1" x14ac:dyDescent="0.2">
      <c r="A10" s="23" t="s">
        <v>58</v>
      </c>
      <c r="B10" s="17">
        <f ca="1">SUM(B3:B9)</f>
        <v>5</v>
      </c>
      <c r="C10" s="18">
        <f ca="1">SUM(C3:C9)</f>
        <v>1</v>
      </c>
      <c r="H10" s="93"/>
      <c r="I10" s="93"/>
      <c r="J10" s="93"/>
      <c r="K10" s="93"/>
      <c r="L10" s="93"/>
      <c r="M10" s="93"/>
      <c r="N10" s="93"/>
      <c r="O10" s="93"/>
      <c r="P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 ht="10" customHeight="1" x14ac:dyDescent="0.2">
      <c r="A11" s="24"/>
      <c r="B11" s="17"/>
      <c r="C11" s="18"/>
      <c r="H11" s="93"/>
      <c r="I11" s="93"/>
      <c r="J11" s="93"/>
      <c r="K11" s="93"/>
      <c r="L11" s="93"/>
      <c r="M11" s="93"/>
      <c r="N11" s="93"/>
      <c r="O11" s="93"/>
      <c r="P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 ht="20" customHeight="1" x14ac:dyDescent="0.2">
      <c r="A12" s="94" t="s">
        <v>31</v>
      </c>
      <c r="B12" s="94"/>
      <c r="F12" s="17"/>
      <c r="H12" s="93"/>
      <c r="I12" s="93"/>
      <c r="J12" s="93"/>
      <c r="K12" s="93"/>
      <c r="L12" s="93"/>
      <c r="M12" s="93"/>
      <c r="N12" s="93"/>
      <c r="O12" s="93"/>
      <c r="P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 ht="20" customHeight="1" x14ac:dyDescent="0.2">
      <c r="A13" s="30" t="s">
        <v>32</v>
      </c>
      <c r="B13" s="30" t="s">
        <v>33</v>
      </c>
      <c r="C13" s="30" t="s">
        <v>34</v>
      </c>
      <c r="D13" s="30" t="s">
        <v>35</v>
      </c>
      <c r="E13" s="30" t="s">
        <v>36</v>
      </c>
      <c r="F13" s="17"/>
      <c r="H13" s="93"/>
      <c r="I13" s="93"/>
      <c r="J13" s="93"/>
      <c r="K13" s="93"/>
      <c r="L13" s="93"/>
      <c r="M13" s="93"/>
      <c r="N13" s="93"/>
      <c r="O13" s="93"/>
      <c r="P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 ht="20" customHeight="1" x14ac:dyDescent="0.2">
      <c r="A14" s="22" t="s">
        <v>2</v>
      </c>
      <c r="B14" s="3">
        <f ca="1">COUNTIFS('Task View'!$F:$F,"Boss",'Task View'!$G:$G,"&lt;&gt;Completed")</f>
        <v>2</v>
      </c>
      <c r="C14" s="3">
        <f ca="1">COUNTIFS('Task View'!$F:$F,"Boss",'Task View'!$G:$G,"Completed")</f>
        <v>0</v>
      </c>
      <c r="D14" s="3">
        <f ca="1">B14+C14</f>
        <v>2</v>
      </c>
      <c r="E14" s="14">
        <f ca="1">IF(D14=0,0,AVERAGEIF('Task View'!$F:$F,"Boss",'Task View'!$K:$K))</f>
        <v>0</v>
      </c>
      <c r="F14" s="17"/>
      <c r="H14" s="93"/>
      <c r="I14" s="93"/>
      <c r="J14" s="93"/>
      <c r="K14" s="93"/>
      <c r="L14" s="93"/>
      <c r="M14" s="93"/>
      <c r="N14" s="93"/>
      <c r="O14" s="93"/>
      <c r="P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 ht="20" customHeight="1" x14ac:dyDescent="0.2">
      <c r="A15" s="22" t="s">
        <v>4</v>
      </c>
      <c r="B15" s="3">
        <f ca="1">COUNTIFS('Task View'!$F:$F,"Manager",'Task View'!$G:$G,"&lt;&gt;Completed")</f>
        <v>2</v>
      </c>
      <c r="C15" s="3">
        <f ca="1">COUNTIFS('Task View'!$F:$F,"Manager",'Task View'!$G:$G,"Completed")</f>
        <v>0</v>
      </c>
      <c r="D15" s="3">
        <f ca="1">B15+C15</f>
        <v>2</v>
      </c>
      <c r="E15" s="14">
        <f ca="1">IF(D15=0,0,AVERAGEIF('Task View'!$F:$F,"Manager",'Task View'!$K:$K))</f>
        <v>0.1</v>
      </c>
      <c r="F15" s="17"/>
      <c r="H15" s="93"/>
      <c r="I15" s="93"/>
      <c r="J15" s="93"/>
      <c r="K15" s="93"/>
      <c r="L15" s="93"/>
      <c r="M15" s="93"/>
      <c r="N15" s="93"/>
      <c r="O15" s="93"/>
      <c r="P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20" customHeight="1" x14ac:dyDescent="0.2">
      <c r="A16" s="22" t="s">
        <v>6</v>
      </c>
      <c r="B16" s="3">
        <f ca="1">COUNTIFS('Task View'!$F:$F,"Colleague",'Task View'!$G:$G,"&lt;&gt;Completed")</f>
        <v>1</v>
      </c>
      <c r="C16" s="3">
        <f ca="1">COUNTIFS('Task View'!$F:$F,"Colleague",'Task View'!$G:$G,"Completed")</f>
        <v>0</v>
      </c>
      <c r="D16" s="3">
        <f t="shared" ref="D16" ca="1" si="1">B16+C16</f>
        <v>1</v>
      </c>
      <c r="E16" s="14">
        <f ca="1">IF(D16=0,0,AVERAGEIF('Task View'!$F:$F,"Colleague",'Task View'!$K:$K))</f>
        <v>0</v>
      </c>
      <c r="F16" s="17"/>
      <c r="H16" s="93"/>
      <c r="I16" s="93"/>
      <c r="J16" s="93"/>
      <c r="K16" s="93"/>
      <c r="L16" s="93"/>
      <c r="M16" s="93"/>
      <c r="N16" s="93"/>
      <c r="O16" s="93"/>
      <c r="P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 ht="20" customHeight="1" x14ac:dyDescent="0.2">
      <c r="A17" s="23" t="s">
        <v>58</v>
      </c>
      <c r="B17" s="17">
        <f ca="1">SUM(B14:B16)</f>
        <v>5</v>
      </c>
      <c r="C17" s="26">
        <f ca="1">SUM(C14:C16)</f>
        <v>0</v>
      </c>
      <c r="D17" s="26">
        <f ca="1">SUM(D14:D16)</f>
        <v>5</v>
      </c>
      <c r="E17" s="18"/>
      <c r="F17" s="17"/>
      <c r="H17" s="93"/>
      <c r="I17" s="93"/>
      <c r="J17" s="93"/>
      <c r="K17" s="93"/>
      <c r="L17" s="93"/>
      <c r="M17" s="93"/>
      <c r="N17" s="93"/>
      <c r="O17" s="93"/>
      <c r="P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 ht="10" customHeight="1" x14ac:dyDescent="0.2">
      <c r="B18" s="19"/>
      <c r="C18" s="17"/>
      <c r="D18" s="18"/>
    </row>
    <row r="19" spans="1:26" ht="20" customHeight="1" x14ac:dyDescent="0.2">
      <c r="A19" s="94" t="s">
        <v>24</v>
      </c>
      <c r="B19" s="94"/>
      <c r="H19" s="25"/>
    </row>
    <row r="20" spans="1:26" ht="20" customHeight="1" x14ac:dyDescent="0.2">
      <c r="A20" s="30" t="s">
        <v>25</v>
      </c>
      <c r="B20" s="30" t="s">
        <v>22</v>
      </c>
      <c r="C20" s="30" t="s">
        <v>26</v>
      </c>
      <c r="D20" s="30" t="s">
        <v>7</v>
      </c>
      <c r="E20" s="30" t="s">
        <v>8</v>
      </c>
      <c r="F20" s="30" t="s">
        <v>11</v>
      </c>
      <c r="H20" s="95"/>
      <c r="I20" s="95"/>
      <c r="J20" s="95"/>
      <c r="K20" s="95"/>
      <c r="L20" s="95"/>
      <c r="M20" s="95"/>
      <c r="N20" s="95"/>
      <c r="O20" s="95"/>
      <c r="P20" s="95"/>
    </row>
    <row r="21" spans="1:26" ht="20" customHeight="1" x14ac:dyDescent="0.2">
      <c r="A21" s="22" t="s">
        <v>15</v>
      </c>
      <c r="B21" s="3">
        <f ca="1">COUNTIFS('Task View'!$C:$C, "High")</f>
        <v>1</v>
      </c>
      <c r="C21" s="5">
        <f ca="1">IF($B$24=0,0,B21/$B$24)</f>
        <v>0.2</v>
      </c>
      <c r="D21" s="3">
        <f ca="1">COUNTIFS('Task View'!$C:$C,"High",'Task View'!$G:$G,"In Progress")</f>
        <v>0</v>
      </c>
      <c r="E21" s="3">
        <f ca="1">COUNTIFS('Task View'!$C:$C,"High",'Task View'!$G:$G,"Pending")</f>
        <v>0</v>
      </c>
      <c r="F21" s="3">
        <f ca="1">COUNTIFS('Task View'!$C:$C,"High",'Task View'!$G:$G,"Completed")</f>
        <v>0</v>
      </c>
      <c r="H21" s="95"/>
      <c r="I21" s="95"/>
      <c r="J21" s="95"/>
      <c r="K21" s="95"/>
      <c r="L21" s="95"/>
      <c r="M21" s="95"/>
      <c r="N21" s="95"/>
      <c r="O21" s="95"/>
      <c r="P21" s="95"/>
    </row>
    <row r="22" spans="1:26" ht="20" customHeight="1" x14ac:dyDescent="0.2">
      <c r="A22" s="22" t="s">
        <v>16</v>
      </c>
      <c r="B22" s="3">
        <f ca="1">COUNTIFS('Task View'!$C:$C, "Medium")</f>
        <v>2</v>
      </c>
      <c r="C22" s="5">
        <f ca="1">IF($B$24=0,0,B22/$B$24)</f>
        <v>0.4</v>
      </c>
      <c r="D22" s="3">
        <f ca="1">COUNTIFS('Task View'!$C:$C,"Medium",'Task View'!$G:$G,"In Progress")</f>
        <v>1</v>
      </c>
      <c r="E22" s="3">
        <f ca="1">COUNTIFS('Task View'!$C:$C,"Medium",'Task View'!$G:$G,"Pending")</f>
        <v>0</v>
      </c>
      <c r="F22" s="3">
        <f ca="1">COUNTIFS('Task View'!$C:$C,"Medium",'Task View'!$G:$G,"Completed")</f>
        <v>0</v>
      </c>
      <c r="H22" s="95"/>
      <c r="I22" s="95"/>
      <c r="J22" s="95"/>
      <c r="K22" s="95"/>
      <c r="L22" s="95"/>
      <c r="M22" s="95"/>
      <c r="N22" s="95"/>
      <c r="O22" s="95"/>
      <c r="P22" s="95"/>
    </row>
    <row r="23" spans="1:26" ht="20" customHeight="1" x14ac:dyDescent="0.2">
      <c r="A23" s="22" t="s">
        <v>17</v>
      </c>
      <c r="B23" s="3">
        <f ca="1">COUNTIFS('Task View'!$C:$C, "Low")</f>
        <v>2</v>
      </c>
      <c r="C23" s="5">
        <f ca="1">IF($B$24=0,0,B23/$B$24)</f>
        <v>0.4</v>
      </c>
      <c r="D23" s="3">
        <f ca="1">COUNTIFS('Task View'!$C:$C,"Low",'Task View'!$G:$G,"In Progress")</f>
        <v>0</v>
      </c>
      <c r="E23" s="3">
        <f ca="1">COUNTIFS('Task View'!$C:$C,"Low",'Task View'!$G:$G,"Pending")</f>
        <v>1</v>
      </c>
      <c r="F23" s="3">
        <f ca="1">COUNTIFS('Task View'!$C:$C,"Low",'Task View'!$G:$G,"Completed")</f>
        <v>0</v>
      </c>
      <c r="H23" s="95"/>
      <c r="I23" s="95"/>
      <c r="J23" s="95"/>
      <c r="K23" s="95"/>
      <c r="L23" s="95"/>
      <c r="M23" s="95"/>
      <c r="N23" s="95"/>
      <c r="O23" s="95"/>
      <c r="P23" s="95"/>
    </row>
    <row r="24" spans="1:26" ht="20" customHeight="1" x14ac:dyDescent="0.2">
      <c r="A24" s="23" t="s">
        <v>58</v>
      </c>
      <c r="B24" s="17">
        <f ca="1">SUM(B21:B23)</f>
        <v>5</v>
      </c>
      <c r="C24" s="18">
        <f ca="1">SUM(C21:C23)</f>
        <v>1</v>
      </c>
      <c r="D24" s="17">
        <f t="shared" ref="D24" ca="1" si="2">SUM(D21:D23)</f>
        <v>1</v>
      </c>
      <c r="E24" s="17">
        <f ca="1">SUM(E21:E23)</f>
        <v>1</v>
      </c>
      <c r="F24" s="17">
        <f ca="1">SUM(F21:F23)</f>
        <v>0</v>
      </c>
      <c r="H24" s="95"/>
      <c r="I24" s="95"/>
      <c r="J24" s="95"/>
      <c r="K24" s="95"/>
      <c r="L24" s="95"/>
      <c r="M24" s="95"/>
      <c r="N24" s="95"/>
      <c r="O24" s="95"/>
      <c r="P24" s="95"/>
    </row>
    <row r="25" spans="1:26" ht="10" customHeight="1" x14ac:dyDescent="0.2">
      <c r="C25" s="3"/>
      <c r="H25" s="95"/>
      <c r="I25" s="95"/>
      <c r="J25" s="95"/>
      <c r="K25" s="95"/>
      <c r="L25" s="95"/>
      <c r="M25" s="95"/>
      <c r="N25" s="95"/>
      <c r="O25" s="95"/>
      <c r="P25" s="95"/>
    </row>
    <row r="26" spans="1:26" ht="20" customHeight="1" x14ac:dyDescent="0.2">
      <c r="A26" s="94" t="s">
        <v>27</v>
      </c>
      <c r="B26" s="94"/>
      <c r="H26" s="95"/>
      <c r="I26" s="95"/>
      <c r="J26" s="95"/>
      <c r="K26" s="95"/>
      <c r="L26" s="95"/>
      <c r="M26" s="95"/>
      <c r="N26" s="95"/>
      <c r="O26" s="95"/>
      <c r="P26" s="95"/>
    </row>
    <row r="27" spans="1:26" ht="20" customHeight="1" x14ac:dyDescent="0.2">
      <c r="A27" s="30" t="s">
        <v>60</v>
      </c>
      <c r="B27" s="30" t="s">
        <v>28</v>
      </c>
      <c r="C27" s="30" t="s">
        <v>29</v>
      </c>
      <c r="D27" s="30" t="s">
        <v>30</v>
      </c>
      <c r="E27" s="30" t="s">
        <v>25</v>
      </c>
      <c r="F27" s="30" t="s">
        <v>21</v>
      </c>
      <c r="H27" s="95"/>
      <c r="I27" s="95"/>
      <c r="J27" s="95"/>
      <c r="K27" s="95"/>
      <c r="L27" s="95"/>
      <c r="M27" s="95"/>
      <c r="N27" s="95"/>
      <c r="O27" s="95"/>
      <c r="P27" s="95"/>
    </row>
    <row r="28" spans="1:26" ht="20" customHeight="1" x14ac:dyDescent="0.2">
      <c r="A28" s="3" cm="1">
        <f t="array" aca="1" ref="A28:A30" ca="1">IFERROR(_xlfn.SEQUENCE(ROWS(_xlfn.ANCHORARRAY(B28))), "")</f>
        <v>1</v>
      </c>
      <c r="B28" s="21" t="str" cm="1">
        <f t="array" aca="1" ref="B28:B30" ca="1">IFERROR(
  _xlfn._xlws.FILTER(
    'Task View'!$B:$B,
      ('Task View'!$J:$J&gt;=0)*
      ('Task View'!$J:$J&lt;=7)*
      ('Task View'!$G:$G&lt;&gt;"Completed")*
      ('Task View'!$G:$G&lt;&gt;"Failed")*
      ('Task View'!$B:$B&lt;&gt;"")*
      ('Task View'!$O:$O=TRUE)
  ),
  "No upcoming task"
)</f>
        <v>ABC</v>
      </c>
      <c r="C28" s="15" cm="1">
        <f t="array" aca="1" ref="C28:C30" ca="1">IFERROR(
  _xlfn._xlws.FILTER(
    'Task View'!$I:$I,
      ('Task View'!$J:$J&gt;=0)*
      ('Task View'!$J:$J&lt;=7)*
      ('Task View'!$G:$G&lt;&gt;"Completed")*
      ('Task View'!$G:$G&lt;&gt;"Failed")*
      ('Task View'!$B:$B&lt;&gt;"")*
      ('Task View'!$O:$O=TRUE)
  ),
  ""
)</f>
        <v>46003</v>
      </c>
      <c r="D28" s="3" cm="1">
        <f t="array" aca="1" ref="D28:D30" ca="1">IFERROR(
  _xlfn._xlws.FILTER(
    'Task View'!$J:$J,
      ('Task View'!$J:$J&gt;=0)*
      ('Task View'!$J:$J&lt;=7)*
      ('Task View'!$G:$G&lt;&gt;"Completed")*
      ('Task View'!$G:$G&lt;&gt;"Failed")*
      ('Task View'!$B:$B&lt;&gt;"")*
      ('Task View'!$O:$O=TRUE)
  ),
  ""
)</f>
        <v>1</v>
      </c>
      <c r="E28" s="21" t="str" cm="1">
        <f t="array" aca="1" ref="E28:E30" ca="1">IFERROR(
  _xlfn._xlws.FILTER(
    'Task View'!$C:$C,
      ('Task View'!$J:$J&gt;=0)*
      ('Task View'!$J:$J&lt;=7)*
      ('Task View'!$G:$G&lt;&gt;"Completed")*
      ('Task View'!$G:$G&lt;&gt;"Failed")*
      ('Task View'!$B:$B&lt;&gt;"")*
      ('Task View'!$O:$O=TRUE)
  ),
  ""
)</f>
        <v>Low</v>
      </c>
      <c r="F28" s="21" t="str" cm="1">
        <f t="array" aca="1" ref="F28:F30" ca="1">IFERROR(
  _xlfn._xlws.FILTER(
    'Task View'!$G:$G,
      ('Task View'!$J:$J&gt;=0)*
      ('Task View'!$J:$J&lt;=7)*
      ('Task View'!$G:$G&lt;&gt;"Completed")*
      ('Task View'!$G:$G&lt;&gt;"Failed")*
      ('Task View'!$B:$B&lt;&gt;"")*
      ('Task View'!$O:$O=TRUE)
  ),
  ""
)</f>
        <v>Under Review</v>
      </c>
      <c r="H28" s="95"/>
      <c r="I28" s="95"/>
      <c r="J28" s="95"/>
      <c r="K28" s="95"/>
      <c r="L28" s="95"/>
      <c r="M28" s="95"/>
      <c r="N28" s="95"/>
      <c r="O28" s="95"/>
      <c r="P28" s="95"/>
    </row>
    <row r="29" spans="1:26" ht="20" customHeight="1" x14ac:dyDescent="0.2">
      <c r="A29" s="3">
        <f ca="1"/>
        <v>2</v>
      </c>
      <c r="B29" s="21" t="str">
        <f ca="1"/>
        <v>HHXXH</v>
      </c>
      <c r="C29" s="15">
        <f ca="1"/>
        <v>46002</v>
      </c>
      <c r="D29" s="3">
        <f ca="1"/>
        <v>0</v>
      </c>
      <c r="E29" s="21" t="str">
        <f ca="1"/>
        <v>Medium</v>
      </c>
      <c r="F29" s="21" t="str">
        <f ca="1"/>
        <v>In Progress</v>
      </c>
      <c r="H29" s="95"/>
      <c r="I29" s="95"/>
      <c r="J29" s="95"/>
      <c r="K29" s="95"/>
      <c r="L29" s="95"/>
      <c r="M29" s="95"/>
      <c r="N29" s="95"/>
      <c r="O29" s="95"/>
      <c r="P29" s="95"/>
    </row>
    <row r="30" spans="1:26" ht="20" customHeight="1" x14ac:dyDescent="0.2">
      <c r="A30" s="3">
        <f ca="1"/>
        <v>3</v>
      </c>
      <c r="B30" s="21" t="str">
        <f ca="1"/>
        <v>LKMA</v>
      </c>
      <c r="C30" s="15">
        <f ca="1"/>
        <v>46003</v>
      </c>
      <c r="D30" s="3">
        <f ca="1"/>
        <v>1</v>
      </c>
      <c r="E30" s="21" t="str">
        <f ca="1"/>
        <v>Low</v>
      </c>
      <c r="F30" s="21" t="str">
        <f ca="1"/>
        <v>Pending</v>
      </c>
      <c r="H30" s="95"/>
      <c r="I30" s="95"/>
      <c r="J30" s="95"/>
      <c r="K30" s="95"/>
      <c r="L30" s="95"/>
      <c r="M30" s="95"/>
      <c r="N30" s="95"/>
      <c r="O30" s="95"/>
      <c r="P30" s="95"/>
    </row>
    <row r="31" spans="1:26" ht="20" customHeight="1" x14ac:dyDescent="0.2">
      <c r="A31" s="3"/>
      <c r="B31" s="21"/>
      <c r="C31" s="15"/>
      <c r="D31" s="3"/>
      <c r="E31" s="21"/>
      <c r="F31" s="21"/>
      <c r="H31" s="95"/>
      <c r="I31" s="95"/>
      <c r="J31" s="95"/>
      <c r="K31" s="95"/>
      <c r="L31" s="95"/>
      <c r="M31" s="95"/>
      <c r="N31" s="95"/>
      <c r="O31" s="95"/>
      <c r="P31" s="95"/>
    </row>
    <row r="32" spans="1:26" ht="20" customHeight="1" x14ac:dyDescent="0.2">
      <c r="A32" s="3"/>
      <c r="B32" s="21"/>
      <c r="C32" s="15"/>
      <c r="D32" s="3"/>
      <c r="E32" s="21"/>
      <c r="F32" s="21"/>
      <c r="H32" s="95"/>
      <c r="I32" s="95"/>
      <c r="J32" s="95"/>
      <c r="K32" s="95"/>
      <c r="L32" s="95"/>
      <c r="M32" s="95"/>
      <c r="N32" s="95"/>
      <c r="O32" s="95"/>
      <c r="P32" s="95"/>
    </row>
    <row r="33" spans="1:16" ht="20" customHeight="1" x14ac:dyDescent="0.2">
      <c r="A33" s="3"/>
      <c r="B33" s="21"/>
      <c r="C33" s="15"/>
      <c r="D33" s="3"/>
      <c r="E33" s="21"/>
      <c r="F33" s="21"/>
      <c r="H33" s="95"/>
      <c r="I33" s="95"/>
      <c r="J33" s="95"/>
      <c r="K33" s="95"/>
      <c r="L33" s="95"/>
      <c r="M33" s="95"/>
      <c r="N33" s="95"/>
      <c r="O33" s="95"/>
      <c r="P33" s="95"/>
    </row>
    <row r="34" spans="1:16" ht="20" customHeight="1" x14ac:dyDescent="0.2">
      <c r="A34" s="3"/>
      <c r="B34" s="21"/>
      <c r="C34" s="15"/>
      <c r="D34" s="3"/>
      <c r="E34" s="21"/>
      <c r="F34" s="21"/>
      <c r="H34" s="95"/>
      <c r="I34" s="95"/>
      <c r="J34" s="95"/>
      <c r="K34" s="95"/>
      <c r="L34" s="95"/>
      <c r="M34" s="95"/>
      <c r="N34" s="95"/>
      <c r="O34" s="95"/>
      <c r="P34" s="95"/>
    </row>
    <row r="35" spans="1:16" ht="20" customHeight="1" x14ac:dyDescent="0.2">
      <c r="A35" s="3"/>
      <c r="B35" s="21"/>
      <c r="C35" s="15"/>
      <c r="D35" s="3"/>
      <c r="E35" s="21"/>
      <c r="F35" s="21"/>
      <c r="H35" s="95"/>
      <c r="I35" s="95"/>
      <c r="J35" s="95"/>
      <c r="K35" s="95"/>
      <c r="L35" s="95"/>
      <c r="M35" s="95"/>
      <c r="N35" s="95"/>
      <c r="O35" s="95"/>
      <c r="P35" s="95"/>
    </row>
    <row r="36" spans="1:16" ht="20" customHeight="1" x14ac:dyDescent="0.2">
      <c r="A36" s="3"/>
      <c r="B36" s="21"/>
      <c r="C36" s="15"/>
      <c r="D36" s="3"/>
      <c r="E36" s="21"/>
      <c r="F36" s="21"/>
      <c r="H36" s="95"/>
      <c r="I36" s="95"/>
      <c r="J36" s="95"/>
      <c r="K36" s="95"/>
      <c r="L36" s="95"/>
      <c r="M36" s="95"/>
      <c r="N36" s="95"/>
      <c r="O36" s="95"/>
      <c r="P36" s="95"/>
    </row>
    <row r="37" spans="1:16" ht="20" customHeight="1" x14ac:dyDescent="0.2">
      <c r="A37" s="3"/>
      <c r="B37" s="21"/>
      <c r="C37" s="15"/>
      <c r="D37" s="3"/>
      <c r="E37" s="21"/>
      <c r="F37" s="21"/>
      <c r="H37" s="95"/>
      <c r="I37" s="95"/>
      <c r="J37" s="95"/>
      <c r="K37" s="95"/>
      <c r="L37" s="95"/>
      <c r="M37" s="95"/>
      <c r="N37" s="95"/>
      <c r="O37" s="95"/>
      <c r="P37" s="95"/>
    </row>
    <row r="38" spans="1:16" ht="20" customHeight="1" x14ac:dyDescent="0.2">
      <c r="A38" s="3"/>
      <c r="B38" s="21"/>
      <c r="C38" s="15"/>
      <c r="D38" s="3"/>
      <c r="E38" s="21"/>
      <c r="F38" s="21"/>
      <c r="H38" s="95"/>
      <c r="I38" s="95"/>
      <c r="J38" s="95"/>
      <c r="K38" s="95"/>
      <c r="L38" s="95"/>
      <c r="M38" s="95"/>
      <c r="N38" s="95"/>
      <c r="O38" s="95"/>
      <c r="P38" s="95"/>
    </row>
    <row r="39" spans="1:16" ht="20" customHeight="1" x14ac:dyDescent="0.2">
      <c r="A39" s="3"/>
      <c r="B39" s="21"/>
      <c r="C39" s="15"/>
      <c r="D39" s="3"/>
      <c r="E39" s="21"/>
      <c r="F39" s="21"/>
      <c r="H39" s="95"/>
      <c r="I39" s="95"/>
      <c r="J39" s="95"/>
      <c r="K39" s="95"/>
      <c r="L39" s="95"/>
      <c r="M39" s="95"/>
      <c r="N39" s="95"/>
      <c r="O39" s="95"/>
      <c r="P39" s="95"/>
    </row>
    <row r="40" spans="1:16" ht="20" customHeight="1" x14ac:dyDescent="0.2">
      <c r="A40" s="3"/>
      <c r="B40" s="21"/>
      <c r="C40" s="15"/>
      <c r="D40" s="3"/>
      <c r="E40" s="21"/>
      <c r="F40" s="21"/>
    </row>
    <row r="41" spans="1:16" ht="20" customHeight="1" x14ac:dyDescent="0.2">
      <c r="A41" s="3"/>
      <c r="B41" s="21"/>
      <c r="C41" s="15"/>
      <c r="D41" s="3"/>
      <c r="E41" s="21"/>
      <c r="F41" s="21"/>
    </row>
    <row r="42" spans="1:16" ht="20" customHeight="1" x14ac:dyDescent="0.2">
      <c r="A42" s="3"/>
      <c r="B42" s="21"/>
      <c r="C42" s="15"/>
      <c r="D42" s="3"/>
      <c r="E42" s="21"/>
      <c r="F42" s="21"/>
    </row>
    <row r="43" spans="1:16" ht="20" customHeight="1" x14ac:dyDescent="0.2">
      <c r="A43" s="3"/>
      <c r="B43" s="21"/>
      <c r="C43" s="15"/>
      <c r="D43" s="3"/>
      <c r="E43" s="21"/>
      <c r="F43" s="21"/>
    </row>
    <row r="44" spans="1:16" ht="20" customHeight="1" x14ac:dyDescent="0.2">
      <c r="A44" s="3"/>
      <c r="B44" s="21"/>
      <c r="C44" s="15"/>
      <c r="D44" s="3"/>
      <c r="E44" s="21"/>
      <c r="F44" s="21"/>
    </row>
    <row r="45" spans="1:16" ht="20" customHeight="1" x14ac:dyDescent="0.2">
      <c r="A45" s="3"/>
      <c r="B45" s="21"/>
      <c r="C45" s="15"/>
      <c r="D45" s="3"/>
      <c r="E45" s="21"/>
      <c r="F45" s="21"/>
    </row>
    <row r="46" spans="1:16" ht="20" customHeight="1" x14ac:dyDescent="0.2">
      <c r="A46" s="3"/>
      <c r="B46" s="21"/>
      <c r="C46" s="15"/>
      <c r="D46" s="3"/>
      <c r="E46" s="21"/>
      <c r="F46" s="21"/>
    </row>
    <row r="47" spans="1:16" ht="20" customHeight="1" x14ac:dyDescent="0.2">
      <c r="A47" s="3"/>
      <c r="B47" s="21"/>
      <c r="C47" s="15"/>
      <c r="D47" s="3"/>
      <c r="E47" s="21"/>
      <c r="F47" s="21"/>
    </row>
    <row r="48" spans="1:16" ht="20" customHeight="1" x14ac:dyDescent="0.2">
      <c r="A48" s="3"/>
      <c r="B48" s="21"/>
      <c r="C48" s="15"/>
      <c r="D48" s="3"/>
      <c r="E48" s="21"/>
      <c r="F48" s="21"/>
    </row>
    <row r="49" spans="1:6" ht="20" customHeight="1" x14ac:dyDescent="0.2">
      <c r="A49" s="3"/>
      <c r="B49" s="21"/>
      <c r="C49" s="15"/>
      <c r="D49" s="3"/>
      <c r="E49" s="21"/>
      <c r="F49" s="21"/>
    </row>
    <row r="50" spans="1:6" ht="20" customHeight="1" x14ac:dyDescent="0.2">
      <c r="A50" s="3"/>
      <c r="B50" s="21"/>
      <c r="C50" s="15"/>
      <c r="D50" s="3"/>
      <c r="E50" s="21"/>
      <c r="F50" s="21"/>
    </row>
    <row r="51" spans="1:6" ht="20" customHeight="1" x14ac:dyDescent="0.2">
      <c r="A51" s="3"/>
      <c r="B51" s="21"/>
      <c r="C51" s="15"/>
      <c r="D51" s="3"/>
      <c r="E51" s="21"/>
      <c r="F51" s="21"/>
    </row>
    <row r="52" spans="1:6" ht="20" customHeight="1" x14ac:dyDescent="0.2">
      <c r="A52" s="3"/>
      <c r="B52" s="21"/>
      <c r="C52" s="15"/>
      <c r="D52" s="3"/>
      <c r="E52" s="21"/>
      <c r="F52" s="21"/>
    </row>
    <row r="53" spans="1:6" ht="20" customHeight="1" x14ac:dyDescent="0.2">
      <c r="A53" s="3"/>
      <c r="B53" s="21"/>
      <c r="C53" s="15"/>
      <c r="D53" s="3"/>
      <c r="E53" s="21"/>
      <c r="F53" s="21"/>
    </row>
    <row r="54" spans="1:6" ht="20" customHeight="1" x14ac:dyDescent="0.2">
      <c r="A54" s="3"/>
      <c r="B54" s="21"/>
      <c r="C54" s="15"/>
      <c r="D54" s="3"/>
      <c r="E54" s="21"/>
      <c r="F54" s="21"/>
    </row>
    <row r="55" spans="1:6" ht="20" customHeight="1" x14ac:dyDescent="0.2">
      <c r="A55" s="3"/>
      <c r="B55" s="21"/>
      <c r="C55" s="15"/>
      <c r="D55" s="3"/>
      <c r="E55" s="21"/>
      <c r="F55" s="21"/>
    </row>
    <row r="56" spans="1:6" ht="20" customHeight="1" x14ac:dyDescent="0.2">
      <c r="A56" s="3"/>
      <c r="B56" s="21"/>
      <c r="C56" s="15"/>
      <c r="D56" s="3"/>
      <c r="E56" s="21"/>
      <c r="F56" s="21"/>
    </row>
    <row r="57" spans="1:6" ht="20" customHeight="1" x14ac:dyDescent="0.2">
      <c r="A57" s="3"/>
      <c r="B57" s="21"/>
      <c r="C57" s="15"/>
      <c r="D57" s="3"/>
      <c r="E57" s="21"/>
      <c r="F57" s="21"/>
    </row>
    <row r="58" spans="1:6" ht="20" customHeight="1" x14ac:dyDescent="0.2">
      <c r="A58" s="3"/>
      <c r="B58" s="21"/>
      <c r="C58" s="15"/>
      <c r="D58" s="3"/>
      <c r="E58" s="21"/>
      <c r="F58" s="21"/>
    </row>
    <row r="59" spans="1:6" ht="20" customHeight="1" x14ac:dyDescent="0.2">
      <c r="A59" s="3"/>
      <c r="B59" s="21"/>
      <c r="C59" s="15"/>
      <c r="D59" s="3"/>
      <c r="E59" s="21"/>
      <c r="F59" s="21"/>
    </row>
    <row r="60" spans="1:6" ht="20" customHeight="1" x14ac:dyDescent="0.2">
      <c r="A60" s="3"/>
      <c r="B60" s="21"/>
      <c r="C60" s="15"/>
      <c r="D60" s="3"/>
      <c r="E60" s="21"/>
      <c r="F60" s="21"/>
    </row>
    <row r="61" spans="1:6" ht="20" customHeight="1" x14ac:dyDescent="0.2">
      <c r="A61" s="3"/>
      <c r="B61" s="21"/>
      <c r="C61" s="15"/>
      <c r="D61" s="3"/>
      <c r="E61" s="21"/>
      <c r="F61" s="21"/>
    </row>
    <row r="62" spans="1:6" ht="20" customHeight="1" x14ac:dyDescent="0.2">
      <c r="A62" s="3"/>
      <c r="B62" s="21"/>
      <c r="C62" s="15"/>
      <c r="D62" s="3"/>
      <c r="E62" s="21"/>
      <c r="F62" s="21"/>
    </row>
    <row r="63" spans="1:6" ht="20" customHeight="1" x14ac:dyDescent="0.2">
      <c r="A63" s="3"/>
      <c r="B63" s="21"/>
      <c r="C63" s="15"/>
      <c r="D63" s="3"/>
      <c r="E63" s="21"/>
      <c r="F63" s="21"/>
    </row>
    <row r="64" spans="1:6" ht="20" customHeight="1" x14ac:dyDescent="0.2">
      <c r="A64" s="3"/>
      <c r="B64" s="21"/>
      <c r="C64" s="15"/>
      <c r="D64" s="3"/>
      <c r="E64" s="21"/>
      <c r="F64" s="21"/>
    </row>
    <row r="65" spans="1:6" ht="20" customHeight="1" x14ac:dyDescent="0.2">
      <c r="A65" s="3"/>
      <c r="B65" s="21"/>
      <c r="C65" s="15"/>
      <c r="D65" s="3"/>
      <c r="E65" s="21"/>
      <c r="F65" s="21"/>
    </row>
    <row r="66" spans="1:6" ht="20" customHeight="1" x14ac:dyDescent="0.2">
      <c r="A66" s="3"/>
      <c r="B66" s="21"/>
      <c r="C66" s="15"/>
      <c r="D66" s="3"/>
      <c r="E66" s="21"/>
      <c r="F66" s="21"/>
    </row>
    <row r="67" spans="1:6" ht="20" customHeight="1" x14ac:dyDescent="0.2">
      <c r="A67" s="3"/>
      <c r="B67" s="21"/>
      <c r="C67" s="15"/>
      <c r="D67" s="3"/>
      <c r="E67" s="21"/>
      <c r="F67" s="21"/>
    </row>
    <row r="68" spans="1:6" ht="20" customHeight="1" x14ac:dyDescent="0.2">
      <c r="A68" s="3"/>
      <c r="B68" s="21"/>
      <c r="C68" s="15"/>
      <c r="D68" s="3"/>
      <c r="E68" s="21"/>
      <c r="F68" s="21"/>
    </row>
    <row r="69" spans="1:6" ht="20" customHeight="1" x14ac:dyDescent="0.2">
      <c r="A69" s="3"/>
      <c r="B69" s="21"/>
      <c r="C69" s="15"/>
      <c r="D69" s="3"/>
      <c r="E69" s="21"/>
      <c r="F69" s="21"/>
    </row>
    <row r="70" spans="1:6" ht="20" customHeight="1" x14ac:dyDescent="0.2">
      <c r="A70" s="3"/>
      <c r="B70" s="21"/>
      <c r="C70" s="15"/>
      <c r="D70" s="3"/>
      <c r="E70" s="21"/>
      <c r="F70" s="21"/>
    </row>
    <row r="71" spans="1:6" ht="20" customHeight="1" x14ac:dyDescent="0.2">
      <c r="A71" s="3"/>
      <c r="B71" s="21"/>
      <c r="C71" s="15"/>
      <c r="D71" s="3"/>
      <c r="E71" s="21"/>
      <c r="F71" s="21"/>
    </row>
    <row r="72" spans="1:6" ht="20" customHeight="1" x14ac:dyDescent="0.2">
      <c r="A72" s="3"/>
      <c r="B72" s="21"/>
      <c r="C72" s="15"/>
      <c r="D72" s="3"/>
      <c r="E72" s="21"/>
      <c r="F72" s="21"/>
    </row>
    <row r="73" spans="1:6" ht="20" customHeight="1" x14ac:dyDescent="0.2">
      <c r="A73" s="3"/>
      <c r="B73" s="21"/>
      <c r="C73" s="15"/>
      <c r="D73" s="3"/>
      <c r="E73" s="21"/>
      <c r="F73" s="21"/>
    </row>
    <row r="74" spans="1:6" ht="20" customHeight="1" x14ac:dyDescent="0.2">
      <c r="A74" s="3"/>
      <c r="B74" s="21"/>
      <c r="C74" s="15"/>
      <c r="D74" s="3"/>
      <c r="E74" s="21"/>
      <c r="F74" s="21"/>
    </row>
    <row r="75" spans="1:6" ht="20" customHeight="1" x14ac:dyDescent="0.2">
      <c r="A75" s="3"/>
      <c r="B75" s="21"/>
      <c r="C75" s="15"/>
      <c r="D75" s="3"/>
      <c r="E75" s="21"/>
      <c r="F75" s="21"/>
    </row>
    <row r="76" spans="1:6" ht="20" customHeight="1" x14ac:dyDescent="0.2">
      <c r="A76" s="3"/>
      <c r="B76" s="21"/>
      <c r="C76" s="15"/>
      <c r="D76" s="3"/>
      <c r="E76" s="21"/>
      <c r="F76" s="21"/>
    </row>
    <row r="77" spans="1:6" ht="20" customHeight="1" x14ac:dyDescent="0.2">
      <c r="A77" s="3"/>
      <c r="B77" s="21"/>
      <c r="C77" s="15"/>
      <c r="D77" s="3"/>
      <c r="E77" s="21"/>
      <c r="F77" s="21"/>
    </row>
    <row r="78" spans="1:6" ht="20" customHeight="1" x14ac:dyDescent="0.2">
      <c r="A78" s="3"/>
      <c r="B78" s="21"/>
      <c r="C78" s="15"/>
      <c r="D78" s="3"/>
      <c r="E78" s="21"/>
      <c r="F78" s="21"/>
    </row>
    <row r="79" spans="1:6" ht="20" customHeight="1" x14ac:dyDescent="0.2">
      <c r="A79" s="3"/>
      <c r="B79" s="21"/>
      <c r="C79" s="15"/>
      <c r="D79" s="3"/>
      <c r="E79" s="21"/>
      <c r="F79" s="21"/>
    </row>
    <row r="80" spans="1:6" ht="20" customHeight="1" x14ac:dyDescent="0.2">
      <c r="A80" s="3"/>
      <c r="B80" s="21"/>
      <c r="C80" s="15"/>
      <c r="D80" s="3"/>
      <c r="E80" s="21"/>
      <c r="F80" s="21"/>
    </row>
    <row r="81" spans="1:6" ht="20" customHeight="1" x14ac:dyDescent="0.2">
      <c r="A81" s="3"/>
      <c r="B81" s="21"/>
      <c r="C81" s="15"/>
      <c r="D81" s="3"/>
      <c r="E81" s="21"/>
      <c r="F81" s="21"/>
    </row>
    <row r="82" spans="1:6" ht="20" customHeight="1" x14ac:dyDescent="0.2">
      <c r="A82" s="3"/>
      <c r="B82" s="21"/>
      <c r="C82" s="15"/>
      <c r="D82" s="3"/>
      <c r="E82" s="21"/>
      <c r="F82" s="21"/>
    </row>
    <row r="83" spans="1:6" ht="20" customHeight="1" x14ac:dyDescent="0.2">
      <c r="A83" s="3"/>
      <c r="B83" s="21"/>
      <c r="C83" s="15"/>
      <c r="D83" s="3"/>
      <c r="E83" s="21"/>
      <c r="F83" s="21"/>
    </row>
    <row r="84" spans="1:6" ht="20" customHeight="1" x14ac:dyDescent="0.2">
      <c r="A84" s="3"/>
      <c r="B84" s="21"/>
      <c r="C84" s="15"/>
      <c r="D84" s="3"/>
      <c r="E84" s="21"/>
      <c r="F84" s="21"/>
    </row>
    <row r="85" spans="1:6" ht="20" customHeight="1" x14ac:dyDescent="0.2">
      <c r="A85" s="3"/>
      <c r="B85" s="21"/>
      <c r="C85" s="15"/>
      <c r="D85" s="3"/>
      <c r="E85" s="21"/>
      <c r="F85" s="21"/>
    </row>
    <row r="86" spans="1:6" ht="20" customHeight="1" x14ac:dyDescent="0.2">
      <c r="A86" s="3"/>
      <c r="B86" s="21"/>
      <c r="C86" s="15"/>
      <c r="D86" s="3"/>
      <c r="E86" s="21"/>
      <c r="F86" s="21"/>
    </row>
    <row r="87" spans="1:6" ht="20" customHeight="1" x14ac:dyDescent="0.2">
      <c r="A87" s="3"/>
      <c r="B87" s="21"/>
      <c r="C87" s="15"/>
      <c r="D87" s="3"/>
      <c r="E87" s="21"/>
      <c r="F87" s="21"/>
    </row>
    <row r="88" spans="1:6" ht="20" customHeight="1" x14ac:dyDescent="0.2">
      <c r="A88" s="3"/>
      <c r="B88" s="21"/>
      <c r="C88" s="15"/>
      <c r="D88" s="3"/>
      <c r="E88" s="21"/>
      <c r="F88" s="21"/>
    </row>
    <row r="89" spans="1:6" ht="20" customHeight="1" x14ac:dyDescent="0.2">
      <c r="A89" s="3"/>
      <c r="B89" s="21"/>
      <c r="C89" s="15"/>
      <c r="D89" s="3"/>
      <c r="E89" s="21"/>
      <c r="F89" s="21"/>
    </row>
    <row r="90" spans="1:6" ht="20" customHeight="1" x14ac:dyDescent="0.2">
      <c r="A90" s="3"/>
      <c r="B90" s="21"/>
      <c r="C90" s="15"/>
      <c r="D90" s="3"/>
      <c r="E90" s="21"/>
      <c r="F90" s="21"/>
    </row>
    <row r="91" spans="1:6" ht="20" customHeight="1" x14ac:dyDescent="0.2">
      <c r="A91" s="3"/>
      <c r="B91" s="21"/>
      <c r="C91" s="15"/>
      <c r="D91" s="3"/>
      <c r="E91" s="21"/>
      <c r="F91" s="21"/>
    </row>
    <row r="92" spans="1:6" ht="20" customHeight="1" x14ac:dyDescent="0.2">
      <c r="A92" s="3"/>
      <c r="B92" s="21"/>
      <c r="C92" s="15"/>
      <c r="D92" s="3"/>
      <c r="E92" s="21"/>
      <c r="F92" s="21"/>
    </row>
    <row r="93" spans="1:6" ht="20" customHeight="1" x14ac:dyDescent="0.2">
      <c r="A93" s="3"/>
      <c r="B93" s="21"/>
      <c r="C93" s="15"/>
      <c r="D93" s="3"/>
      <c r="E93" s="21"/>
      <c r="F93" s="21"/>
    </row>
    <row r="94" spans="1:6" ht="20" customHeight="1" x14ac:dyDescent="0.2">
      <c r="A94" s="3"/>
      <c r="B94" s="21"/>
      <c r="C94" s="15"/>
      <c r="D94" s="3"/>
      <c r="E94" s="21"/>
      <c r="F94" s="21"/>
    </row>
    <row r="95" spans="1:6" ht="20" customHeight="1" x14ac:dyDescent="0.2">
      <c r="A95" s="3"/>
      <c r="B95" s="21"/>
      <c r="C95" s="15"/>
      <c r="D95" s="3"/>
      <c r="E95" s="21"/>
      <c r="F95" s="21"/>
    </row>
    <row r="96" spans="1:6" ht="20" customHeight="1" x14ac:dyDescent="0.2">
      <c r="A96" s="3"/>
      <c r="B96" s="21"/>
      <c r="C96" s="15"/>
      <c r="D96" s="3"/>
      <c r="E96" s="21"/>
      <c r="F96" s="21"/>
    </row>
    <row r="97" spans="1:6" ht="20" customHeight="1" x14ac:dyDescent="0.2">
      <c r="A97" s="3"/>
      <c r="B97" s="21"/>
      <c r="C97" s="15"/>
      <c r="D97" s="3"/>
      <c r="E97" s="21"/>
      <c r="F97" s="21"/>
    </row>
    <row r="98" spans="1:6" ht="20" customHeight="1" x14ac:dyDescent="0.2">
      <c r="A98" s="3"/>
      <c r="B98" s="21"/>
      <c r="C98" s="15"/>
      <c r="D98" s="3"/>
      <c r="E98" s="21"/>
      <c r="F98" s="21"/>
    </row>
    <row r="99" spans="1:6" ht="20" customHeight="1" x14ac:dyDescent="0.2">
      <c r="A99" s="3"/>
      <c r="B99" s="21"/>
      <c r="C99" s="15"/>
      <c r="D99" s="3"/>
      <c r="E99" s="21"/>
      <c r="F99" s="21"/>
    </row>
    <row r="100" spans="1:6" ht="20" customHeight="1" x14ac:dyDescent="0.2">
      <c r="A100" s="3"/>
      <c r="B100" s="21"/>
      <c r="C100" s="15"/>
      <c r="D100" s="3"/>
      <c r="E100" s="21"/>
      <c r="F100" s="21"/>
    </row>
    <row r="101" spans="1:6" ht="20" customHeight="1" x14ac:dyDescent="0.2">
      <c r="A101" s="3"/>
      <c r="B101" s="21"/>
      <c r="C101" s="15"/>
      <c r="D101" s="3"/>
      <c r="E101" s="21"/>
      <c r="F101" s="21"/>
    </row>
    <row r="102" spans="1:6" ht="20" customHeight="1" x14ac:dyDescent="0.2">
      <c r="A102" s="3"/>
      <c r="B102" s="21"/>
      <c r="C102" s="15"/>
      <c r="D102" s="3"/>
      <c r="E102" s="21"/>
      <c r="F102" s="21"/>
    </row>
    <row r="103" spans="1:6" ht="20" customHeight="1" x14ac:dyDescent="0.2">
      <c r="A103" s="3"/>
      <c r="B103" s="21"/>
      <c r="C103" s="15"/>
      <c r="D103" s="3"/>
      <c r="E103" s="21"/>
      <c r="F103" s="21"/>
    </row>
    <row r="104" spans="1:6" ht="20" customHeight="1" x14ac:dyDescent="0.2">
      <c r="A104" s="3"/>
      <c r="B104" s="21"/>
      <c r="C104" s="15"/>
      <c r="D104" s="3"/>
      <c r="E104" s="21"/>
      <c r="F104" s="21"/>
    </row>
    <row r="105" spans="1:6" ht="20" customHeight="1" x14ac:dyDescent="0.2">
      <c r="A105" s="3"/>
      <c r="B105" s="21"/>
      <c r="C105" s="15"/>
      <c r="D105" s="3"/>
      <c r="E105" s="21"/>
      <c r="F105" s="21"/>
    </row>
    <row r="106" spans="1:6" ht="20" customHeight="1" x14ac:dyDescent="0.2">
      <c r="A106" s="3"/>
      <c r="B106" s="21"/>
      <c r="C106" s="15"/>
      <c r="D106" s="3"/>
      <c r="E106" s="21"/>
      <c r="F106" s="21"/>
    </row>
    <row r="107" spans="1:6" ht="20" customHeight="1" x14ac:dyDescent="0.2">
      <c r="A107" s="3"/>
      <c r="B107" s="21"/>
      <c r="C107" s="15"/>
      <c r="D107" s="3"/>
      <c r="E107" s="21"/>
      <c r="F107" s="21"/>
    </row>
    <row r="108" spans="1:6" ht="20" customHeight="1" x14ac:dyDescent="0.2">
      <c r="A108" s="3"/>
      <c r="B108" s="21"/>
      <c r="C108" s="15"/>
      <c r="D108" s="3"/>
      <c r="E108" s="21"/>
      <c r="F108" s="21"/>
    </row>
    <row r="109" spans="1:6" ht="20" customHeight="1" x14ac:dyDescent="0.2">
      <c r="A109" s="3"/>
      <c r="B109" s="21"/>
      <c r="C109" s="15"/>
      <c r="D109" s="3"/>
      <c r="E109" s="21"/>
      <c r="F109" s="21"/>
    </row>
    <row r="110" spans="1:6" ht="20" customHeight="1" x14ac:dyDescent="0.2">
      <c r="A110" s="3"/>
      <c r="B110" s="21"/>
      <c r="C110" s="15"/>
      <c r="D110" s="3"/>
      <c r="E110" s="21"/>
      <c r="F110" s="21"/>
    </row>
    <row r="111" spans="1:6" ht="20" customHeight="1" x14ac:dyDescent="0.2">
      <c r="A111" s="3"/>
      <c r="B111" s="21"/>
      <c r="C111" s="15"/>
      <c r="D111" s="3"/>
      <c r="E111" s="21"/>
      <c r="F111" s="21"/>
    </row>
    <row r="112" spans="1:6" ht="20" customHeight="1" x14ac:dyDescent="0.2">
      <c r="A112" s="3"/>
      <c r="B112" s="21"/>
      <c r="C112" s="15"/>
      <c r="D112" s="3"/>
      <c r="E112" s="21"/>
      <c r="F112" s="21"/>
    </row>
    <row r="113" spans="1:6" ht="20" customHeight="1" x14ac:dyDescent="0.2">
      <c r="A113" s="3"/>
      <c r="B113" s="21"/>
      <c r="C113" s="15"/>
      <c r="D113" s="3"/>
      <c r="E113" s="21"/>
      <c r="F113" s="21"/>
    </row>
    <row r="114" spans="1:6" ht="20" customHeight="1" x14ac:dyDescent="0.2">
      <c r="A114" s="3"/>
      <c r="B114" s="21"/>
      <c r="C114" s="15"/>
      <c r="D114" s="3"/>
      <c r="E114" s="21"/>
      <c r="F114" s="21"/>
    </row>
    <row r="115" spans="1:6" ht="20" customHeight="1" x14ac:dyDescent="0.2">
      <c r="A115" s="3"/>
      <c r="B115" s="21"/>
      <c r="C115" s="15"/>
      <c r="D115" s="3"/>
      <c r="E115" s="21"/>
      <c r="F115" s="21"/>
    </row>
    <row r="116" spans="1:6" ht="20" customHeight="1" x14ac:dyDescent="0.2">
      <c r="A116" s="3"/>
      <c r="B116" s="21"/>
      <c r="C116" s="15"/>
      <c r="D116" s="3"/>
      <c r="E116" s="21"/>
      <c r="F116" s="21"/>
    </row>
    <row r="117" spans="1:6" ht="20" customHeight="1" x14ac:dyDescent="0.2">
      <c r="A117" s="3"/>
      <c r="B117" s="21"/>
      <c r="C117" s="15"/>
      <c r="D117" s="3"/>
      <c r="E117" s="21"/>
      <c r="F117" s="21"/>
    </row>
    <row r="118" spans="1:6" ht="20" customHeight="1" x14ac:dyDescent="0.2">
      <c r="A118" s="3"/>
      <c r="B118" s="21"/>
      <c r="C118" s="15"/>
      <c r="D118" s="3"/>
      <c r="E118" s="21"/>
      <c r="F118" s="21"/>
    </row>
    <row r="119" spans="1:6" ht="20" customHeight="1" x14ac:dyDescent="0.2">
      <c r="A119" s="3"/>
      <c r="B119" s="21"/>
      <c r="C119" s="15"/>
      <c r="D119" s="3"/>
      <c r="E119" s="21"/>
      <c r="F119" s="21"/>
    </row>
    <row r="120" spans="1:6" ht="20" customHeight="1" x14ac:dyDescent="0.2">
      <c r="A120" s="3"/>
      <c r="B120" s="21"/>
      <c r="C120" s="15"/>
      <c r="D120" s="3"/>
      <c r="E120" s="21"/>
      <c r="F120" s="21"/>
    </row>
    <row r="121" spans="1:6" ht="20" customHeight="1" x14ac:dyDescent="0.2">
      <c r="A121" s="3"/>
      <c r="B121" s="21"/>
      <c r="C121" s="15"/>
      <c r="D121" s="3"/>
      <c r="E121" s="21"/>
      <c r="F121" s="21"/>
    </row>
    <row r="122" spans="1:6" ht="20" customHeight="1" x14ac:dyDescent="0.2">
      <c r="A122" s="3"/>
      <c r="B122" s="21"/>
      <c r="C122" s="15"/>
      <c r="D122" s="3"/>
      <c r="E122" s="21"/>
      <c r="F122" s="21"/>
    </row>
    <row r="123" spans="1:6" ht="20" customHeight="1" x14ac:dyDescent="0.2">
      <c r="A123" s="3"/>
      <c r="B123" s="21"/>
      <c r="C123" s="15"/>
      <c r="D123" s="3"/>
      <c r="E123" s="21"/>
      <c r="F123" s="21"/>
    </row>
    <row r="124" spans="1:6" ht="20" customHeight="1" x14ac:dyDescent="0.2">
      <c r="A124" s="3"/>
      <c r="B124" s="21"/>
      <c r="C124" s="15"/>
      <c r="D124" s="3"/>
      <c r="E124" s="21"/>
      <c r="F124" s="21"/>
    </row>
    <row r="125" spans="1:6" ht="20" customHeight="1" x14ac:dyDescent="0.2">
      <c r="A125" s="3"/>
      <c r="B125" s="21"/>
      <c r="C125" s="15"/>
      <c r="D125" s="3"/>
      <c r="E125" s="21"/>
      <c r="F125" s="21"/>
    </row>
    <row r="126" spans="1:6" ht="20" customHeight="1" x14ac:dyDescent="0.2">
      <c r="A126" s="3"/>
      <c r="B126" s="21"/>
      <c r="C126" s="15"/>
      <c r="D126" s="3"/>
      <c r="E126" s="21"/>
      <c r="F126" s="21"/>
    </row>
    <row r="127" spans="1:6" ht="20" customHeight="1" x14ac:dyDescent="0.2">
      <c r="A127" s="3"/>
      <c r="B127" s="21"/>
      <c r="C127" s="15"/>
      <c r="D127" s="3"/>
      <c r="E127" s="21"/>
      <c r="F127" s="21"/>
    </row>
    <row r="128" spans="1:6" ht="20" customHeight="1" x14ac:dyDescent="0.2">
      <c r="A128" s="3"/>
      <c r="B128" s="21"/>
      <c r="C128" s="15"/>
      <c r="D128" s="3"/>
      <c r="E128" s="21"/>
      <c r="F128" s="21"/>
    </row>
    <row r="129" spans="1:6" ht="20" customHeight="1" x14ac:dyDescent="0.2">
      <c r="A129" s="3"/>
      <c r="B129" s="21"/>
      <c r="C129" s="15"/>
      <c r="D129" s="3"/>
      <c r="E129" s="21"/>
      <c r="F129" s="21"/>
    </row>
    <row r="130" spans="1:6" ht="20" customHeight="1" x14ac:dyDescent="0.2">
      <c r="A130" s="3"/>
      <c r="B130" s="21"/>
      <c r="C130" s="15"/>
      <c r="D130" s="3"/>
      <c r="E130" s="21"/>
      <c r="F130" s="21"/>
    </row>
    <row r="131" spans="1:6" ht="20" customHeight="1" x14ac:dyDescent="0.2">
      <c r="A131" s="3"/>
      <c r="B131" s="21"/>
      <c r="C131" s="15"/>
      <c r="D131" s="3"/>
      <c r="E131" s="21"/>
      <c r="F131" s="21"/>
    </row>
  </sheetData>
  <mergeCells count="7">
    <mergeCell ref="R2:Z17"/>
    <mergeCell ref="A26:B26"/>
    <mergeCell ref="A19:B19"/>
    <mergeCell ref="A1:B1"/>
    <mergeCell ref="A12:B12"/>
    <mergeCell ref="H2:P17"/>
    <mergeCell ref="H20:P3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 Schedule</vt:lpstr>
      <vt:lpstr>Marketing Executive</vt:lpstr>
      <vt:lpstr>Content Marketer</vt:lpstr>
      <vt:lpstr>Graphic Designer</vt:lpstr>
      <vt:lpstr>Media Editor</vt:lpstr>
      <vt:lpstr>Tasks Tracking</vt:lpstr>
      <vt:lpstr>Task View</vt:lpstr>
      <vt:lpstr>Dashboard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Tri Thien Phung</dc:creator>
  <cp:lastModifiedBy>Duong Tri Thien Phung</cp:lastModifiedBy>
  <dcterms:created xsi:type="dcterms:W3CDTF">2025-12-09T04:16:19Z</dcterms:created>
  <dcterms:modified xsi:type="dcterms:W3CDTF">2025-12-11T09:31:12Z</dcterms:modified>
</cp:coreProperties>
</file>