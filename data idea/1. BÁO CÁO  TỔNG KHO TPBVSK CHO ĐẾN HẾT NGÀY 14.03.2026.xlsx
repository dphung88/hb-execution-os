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kho nhap khau 2024\BAO CAO TUAN  15.03.2026\"/>
    </mc:Choice>
  </mc:AlternateContent>
  <xr:revisionPtr revIDLastSave="0" documentId="13_ncr:1_{455A5E35-237C-4656-8C87-993257CD1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ỒN KHO HÀNG NK" sheetId="1" r:id="rId1"/>
    <sheet name="HÀNG CẦN ĐẨY MẠNH" sheetId="7" r:id="rId2"/>
    <sheet name="HÀNG LƯU Ý" sheetId="8" r:id="rId3"/>
    <sheet name="HÀNG CẬN DATE DƯỚI  6 THÁNG" sheetId="10" r:id="rId4"/>
    <sheet name="00000000" sheetId="4" state="veryHidden" r:id="rId5"/>
    <sheet name="10000000" sheetId="5" state="veryHidden" r:id="rId6"/>
  </sheets>
  <externalReferences>
    <externalReference r:id="rId7"/>
  </externalReferences>
  <definedNames>
    <definedName name="_Fill" hidden="1">#REF!</definedName>
    <definedName name="HEÄSOÅ">'[1]bao-gia'!#REF!</definedName>
    <definedName name="HEÄSOÅ3">'[1]bao-gia'!#REF!</definedName>
    <definedName name="_xlnm.Print_Area" localSheetId="0">'TỒN KHO HÀNG NK'!$A$1:$W$32</definedName>
    <definedName name="_xlnm.Print_Titles" localSheetId="0">'TỒN KHO HÀNG NK'!$7:$7</definedName>
    <definedName name="TRISO">#REF!</definedName>
  </definedNames>
  <calcPr calcId="191029"/>
</workbook>
</file>

<file path=xl/calcChain.xml><?xml version="1.0" encoding="utf-8"?>
<calcChain xmlns="http://schemas.openxmlformats.org/spreadsheetml/2006/main">
  <c r="X8" i="10" l="1"/>
  <c r="X7" i="10"/>
  <c r="L31" i="1" l="1"/>
  <c r="P24" i="1"/>
  <c r="P23" i="1"/>
  <c r="P15" i="1"/>
  <c r="P16" i="1"/>
  <c r="P17" i="1"/>
  <c r="P18" i="1"/>
  <c r="P19" i="1"/>
  <c r="P20" i="1"/>
  <c r="P21" i="1"/>
  <c r="P22" i="1"/>
  <c r="P25" i="1"/>
  <c r="P26" i="1"/>
  <c r="P27" i="1"/>
  <c r="P28" i="1"/>
  <c r="P29" i="1"/>
  <c r="P30" i="1"/>
  <c r="P14" i="1"/>
  <c r="P9" i="1"/>
  <c r="P10" i="1"/>
  <c r="P11" i="1"/>
  <c r="P12" i="1"/>
  <c r="P8" i="1"/>
  <c r="P13" i="1"/>
  <c r="G16" i="7"/>
  <c r="G15" i="7"/>
  <c r="K31" i="1" l="1"/>
  <c r="J31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9" i="1"/>
  <c r="A10" i="1"/>
  <c r="A11" i="1"/>
  <c r="A12" i="1"/>
  <c r="A13" i="1"/>
  <c r="A14" i="1"/>
  <c r="A15" i="1"/>
  <c r="A8" i="1"/>
  <c r="I8" i="10"/>
  <c r="K8" i="10" s="1"/>
  <c r="M8" i="10" s="1"/>
  <c r="O8" i="10" s="1"/>
  <c r="Q8" i="10" s="1"/>
  <c r="S8" i="10" s="1"/>
  <c r="U8" i="10" s="1"/>
  <c r="W8" i="10" s="1"/>
  <c r="I13" i="10" s="1"/>
  <c r="K13" i="10" s="1"/>
  <c r="M13" i="10" s="1"/>
  <c r="O13" i="10" s="1"/>
  <c r="Q13" i="10" s="1"/>
  <c r="S13" i="10" s="1"/>
  <c r="U13" i="10" s="1"/>
  <c r="I7" i="10"/>
  <c r="K7" i="10" s="1"/>
  <c r="M7" i="10" s="1"/>
  <c r="O7" i="10" s="1"/>
  <c r="Q7" i="10" l="1"/>
  <c r="S7" i="10" s="1"/>
  <c r="U7" i="10" s="1"/>
  <c r="W7" i="10" s="1"/>
  <c r="G8" i="8" l="1"/>
  <c r="G10" i="8" s="1"/>
  <c r="H8" i="8"/>
  <c r="G17" i="7"/>
  <c r="G14" i="7"/>
  <c r="G12" i="7"/>
  <c r="G10" i="7"/>
  <c r="G9" i="7"/>
  <c r="G8" i="7"/>
  <c r="H12" i="7"/>
  <c r="G18" i="7" l="1"/>
  <c r="Q24" i="1"/>
  <c r="Q23" i="1"/>
  <c r="Q13" i="1"/>
  <c r="F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PC</author>
  </authors>
  <commentList>
    <comment ref="G5" authorId="0" shapeId="0" xr:uid="{9C36BE8B-7B5A-43F1-822E-8B175A33A8F6}">
      <text>
        <r>
          <rPr>
            <b/>
            <sz val="9"/>
            <color indexed="81"/>
            <rFont val="Tahoma"/>
            <family val="2"/>
          </rPr>
          <t xml:space="preserve">SỐ LƯỢNG TỔNG CHO ĐẾN HẾT NGÀY 23/11/2025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0" shapeId="0" xr:uid="{43B6262D-C493-409F-BB1C-EEE3096C484B}">
      <text>
        <r>
          <rPr>
            <b/>
            <sz val="9"/>
            <color indexed="81"/>
            <rFont val="Tahoma"/>
            <family val="2"/>
          </rPr>
          <t>có nhập thêm 9h hàng đổi trả</t>
        </r>
      </text>
    </comment>
    <comment ref="O13" authorId="1" shapeId="0" xr:uid="{F5EE624B-A08F-415E-88F3-859577D10E5B}">
      <text>
        <r>
          <rPr>
            <sz val="9"/>
            <color indexed="81"/>
            <rFont val="Tahoma"/>
            <family val="2"/>
          </rPr>
          <t xml:space="preserve">
CÓ NHẬP 46 HÀNG TRẢ VỀ</t>
        </r>
      </text>
    </comment>
    <comment ref="Q13" authorId="1" shapeId="0" xr:uid="{587C4433-917C-470C-91D8-760A2AA88B44}">
      <text>
        <r>
          <rPr>
            <b/>
            <sz val="9"/>
            <color indexed="81"/>
            <rFont val="Tahoma"/>
            <family val="2"/>
          </rPr>
          <t>CÓ NHẬ THÊM 7H HÀNG TRẢ VỀ</t>
        </r>
      </text>
    </comment>
  </commentList>
</comments>
</file>

<file path=xl/sharedStrings.xml><?xml version="1.0" encoding="utf-8"?>
<sst xmlns="http://schemas.openxmlformats.org/spreadsheetml/2006/main" count="211" uniqueCount="95">
  <si>
    <t>Tên hàng</t>
  </si>
  <si>
    <t>ĐVT</t>
  </si>
  <si>
    <t>HB COLLAGEN TYPE 1,2&amp;3 (C/120V)</t>
  </si>
  <si>
    <t>HỘP</t>
  </si>
  <si>
    <t>GLUCOLLAGEN 7 IN 1 (C/30V)</t>
  </si>
  <si>
    <t>CHAI</t>
  </si>
  <si>
    <t>GLUCOLLAGEN 7 IN 1 (C/60V)</t>
  </si>
  <si>
    <t>SLIM DAY (C/60V)</t>
  </si>
  <si>
    <t>HB SHARK CARTILAGE 750MG (C/100V)</t>
  </si>
  <si>
    <t>HB CORDY EXTRACT (C/60V)</t>
  </si>
  <si>
    <t>HB CALCIDSOFT (H/30V)</t>
  </si>
  <si>
    <t>HB CALCIDSOFT (H/60V)</t>
  </si>
  <si>
    <t>HB PRENATAL SUPPORT (C/30V)</t>
  </si>
  <si>
    <t>HBGUTCARE (C/30V)</t>
  </si>
  <si>
    <t>HBGUTCARE (H/60V)</t>
  </si>
  <si>
    <t>HB COQ10 150MG (C/30V)</t>
  </si>
  <si>
    <t>OMEGA 3.6.9 (C/200V)(HTG)</t>
  </si>
  <si>
    <t>HB GLUCOSAMINE 3 IN 1 (C/200V) (HTG)</t>
  </si>
  <si>
    <t>HB ARGINMILK(H/60V) (HTG)</t>
  </si>
  <si>
    <t>GLUTA WHITE (C/30V) (CHLC)</t>
  </si>
  <si>
    <t>HB GLUTATHION - C PLUS (H/30V) (CHLC)</t>
  </si>
  <si>
    <t>OMEGA 3.6.9 (C/100V) (HTG)</t>
  </si>
  <si>
    <t>HB GLUCOSAMINE 3 IN 1 (C/60V) (HTG)</t>
  </si>
  <si>
    <t>HB GINKGO BILOBA 120MG (C/30V) (BT)</t>
  </si>
  <si>
    <t>Ngày dự kiến sẽ bán hết</t>
  </si>
  <si>
    <t>Dự kiến số ngày cần để bán hết</t>
  </si>
  <si>
    <t>Đơn vị: CÔNG TY TNHH DƯỢC PHẨM HEALTHY BEAUTY</t>
  </si>
  <si>
    <t>Địa chỉ: Số 451/24/14 Tô Hiến Thành, P.14, Q.10, TP. HCM</t>
  </si>
  <si>
    <t>Điện thoại: (028) 38643920 - (028) 38663068 - 0903187057    - MST: 0312246601</t>
  </si>
  <si>
    <t>HSD</t>
  </si>
  <si>
    <t>STT</t>
  </si>
  <si>
    <t>HB PRENATAL SUPPORT (H/60V) (CHLC)</t>
  </si>
  <si>
    <t>TB 1ngày/ bán</t>
  </si>
  <si>
    <t>Cảnh báo HSD</t>
  </si>
  <si>
    <t>Mã Hàng</t>
  </si>
  <si>
    <t>HB001</t>
  </si>
  <si>
    <t>HB002</t>
  </si>
  <si>
    <t>HB003</t>
  </si>
  <si>
    <t>HB004</t>
  </si>
  <si>
    <t>HB005</t>
  </si>
  <si>
    <t>HB006</t>
  </si>
  <si>
    <t>HB007</t>
  </si>
  <si>
    <t>HB009</t>
  </si>
  <si>
    <t>HB011</t>
  </si>
  <si>
    <t>HB010</t>
  </si>
  <si>
    <t>HB015</t>
  </si>
  <si>
    <t>HB018</t>
  </si>
  <si>
    <t>HB024</t>
  </si>
  <si>
    <t>HB025</t>
  </si>
  <si>
    <t>HB030</t>
  </si>
  <si>
    <t>HB031</t>
  </si>
  <si>
    <t>HB033</t>
  </si>
  <si>
    <t>HB034</t>
  </si>
  <si>
    <t>HB035</t>
  </si>
  <si>
    <t>HB036</t>
  </si>
  <si>
    <t>HB037</t>
  </si>
  <si>
    <t>HB038</t>
  </si>
  <si>
    <t>SL xuất trong 
1,5 năm
 (1.7.2023 - 31.12.2024)</t>
  </si>
  <si>
    <t xml:space="preserve">  ĐẶC BIỆT CHÚ Ý :Chữ màu đỏ là cảnh báo số lượng bán hết so với lượng tồn kho</t>
  </si>
  <si>
    <t>Ghi chú ngày dự kiến bán hết</t>
  </si>
  <si>
    <t>HB GINKGO BILOBA 120MG (H/60V) (CHLC)</t>
  </si>
  <si>
    <t>SỐ LƯỢNG TỔNG</t>
  </si>
  <si>
    <t xml:space="preserve">BÁO CÁO TỒN HIỆN TẠI HÀNG HÓA THEO SERIAL/LÔ - TỔNG KHO </t>
  </si>
  <si>
    <t>HB039</t>
  </si>
  <si>
    <t>HB PRENATAL SUPPORT (H/30V) (CHLC)</t>
  </si>
  <si>
    <t>SL xuất trong 
1 NĂM 2025
 (01.01.2025 - 31.12.2025</t>
  </si>
  <si>
    <t>SL xuất trong tháng 01/2026</t>
  </si>
  <si>
    <t>HÀNG CẦN ĐẨY MẠNH</t>
  </si>
  <si>
    <t>TỔNG</t>
  </si>
  <si>
    <t>HÀNG ĐẶC BIỆT LƯU Ý</t>
  </si>
  <si>
    <t xml:space="preserve">SỐ LƯỢNG XUẤT TỪ NGÀY
24-&gt;30/11/2025 </t>
  </si>
  <si>
    <t xml:space="preserve">SỐ LƯỢNG XUẤT TỪ NGÀY
01-&gt;06/12/2025 </t>
  </si>
  <si>
    <t xml:space="preserve">SỐ LƯỢNG XUẤT TỪ NGÀY
07-&gt;13/12/2025 </t>
  </si>
  <si>
    <t xml:space="preserve">SỐ LƯỢNG XUẤT TỪ NGÀY
14-&gt;20/12/2025 </t>
  </si>
  <si>
    <t xml:space="preserve">SỐ LƯỢNG XUẤT TỪ NGÀY
21-&gt;27/12/2025 </t>
  </si>
  <si>
    <t>HẠN SỬ DỤNG CÒN/NGÀY</t>
  </si>
  <si>
    <t>ĐÃ XUẤT</t>
  </si>
  <si>
    <t>TỒN</t>
  </si>
  <si>
    <t xml:space="preserve">SỐ LƯỢNG XUẤT TỪ NGÀY
28/12/2025-&gt;03/01/2026 </t>
  </si>
  <si>
    <t xml:space="preserve">SỐ LƯỢNG XUẤT TỪ NGÀY
03/01/2026-&gt;10.01.2026 </t>
  </si>
  <si>
    <t xml:space="preserve">SỐ LƯỢNG XUẤT TỪ NGÀY
11/01/2026-&gt;17.01.2026 </t>
  </si>
  <si>
    <t xml:space="preserve">SỐ LƯỢNG XUẤT TỪ NGÀY
18/01/2026-&gt;24.01.2026 </t>
  </si>
  <si>
    <t xml:space="preserve">SỐ LƯỢNG XUẤT TỪ NGÀY
25/01/2026-&gt;31.01.2026 </t>
  </si>
  <si>
    <t xml:space="preserve">SỐ LƯỢNG XUẤT TỪ NGÀY
01/02/2026-&gt;07.02.2026 </t>
  </si>
  <si>
    <t xml:space="preserve">SỐ LƯỢNG XUẤT TỪ NGÀY
08/02/2026-&gt;14.02.2026 </t>
  </si>
  <si>
    <t>SL xuất trong tháng 02//2026</t>
  </si>
  <si>
    <t>SL xuất từ ngày-&gt;
01.03.2026 -07.03.2026</t>
  </si>
  <si>
    <t xml:space="preserve">SỐ LƯỢNG XUẤT TỪ NGÀY
23/02/2026-&gt;28.02.2026 </t>
  </si>
  <si>
    <t xml:space="preserve">SỐ LƯỢNG XUẤT TỪ NGÀY
01/0/2026-&gt;07/03/2026 </t>
  </si>
  <si>
    <t xml:space="preserve">HÀNG CẬN DATE DƯỚI 6 THÁNG </t>
  </si>
  <si>
    <t>Cho đến ngày hết ngày 14/03/2026</t>
  </si>
  <si>
    <t>SL xuất từ ngày-&gt;
08.03.2026 -14.03.2026</t>
  </si>
  <si>
    <t xml:space="preserve">SỐ LƯỢNG XUẤT TỪ NGÀY
08/0/2026-&gt;15/03/2026 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</si>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</sst>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&quot;\&quot;#,##0;[Red]&quot;\&quot;\-#,##0"/>
    <numFmt numFmtId="165" formatCode="&quot;\&quot;#,##0.00;[Red]&quot;\&quot;\-#,##0.00"/>
    <numFmt numFmtId="166" formatCode="\$#,##0\ ;\(\$#,##0\)"/>
    <numFmt numFmtId="167" formatCode="&quot;\&quot;#,##0;[Red]&quot;\&quot;&quot;\&quot;\-#,##0"/>
    <numFmt numFmtId="168" formatCode="&quot;\&quot;#,##0.00;[Red]&quot;\&quot;&quot;\&quot;&quot;\&quot;&quot;\&quot;&quot;\&quot;&quot;\&quot;\-#,##0.00"/>
    <numFmt numFmtId="169" formatCode="0.0"/>
    <numFmt numFmtId="170" formatCode="_(* #,##0_);_(* \(#,##0\);_(* &quot;-&quot;??_);_(@_)"/>
    <numFmt numFmtId="171" formatCode="_-* #,##0_-;\-* #,##0_-;_-* &quot;-&quot;??_-;_-@_-"/>
    <numFmt numFmtId="172" formatCode="_-* #,##0.0_-;\-* #,##0.0_-;_-* &quot;-&quot;??_-;_-@_-"/>
    <numFmt numFmtId="173" formatCode="[Color3]#\ &quot;NGÀY NỮA HẾT HẠN&quot;"/>
    <numFmt numFmtId="174" formatCode="0.0000"/>
  </numFmts>
  <fonts count="49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9"/>
      <name val="Tahoma"/>
      <family val="2"/>
    </font>
    <font>
      <b/>
      <sz val="10"/>
      <name val="Arial"/>
      <family val="2"/>
    </font>
    <font>
      <b/>
      <sz val="12"/>
      <name val="Tahoma"/>
      <family val="2"/>
    </font>
    <font>
      <sz val="11"/>
      <color theme="1"/>
      <name val="Calibri"/>
      <family val="2"/>
      <scheme val="minor"/>
    </font>
    <font>
      <b/>
      <sz val="8.25"/>
      <name val="Arial"/>
      <family val="2"/>
    </font>
    <font>
      <b/>
      <sz val="11"/>
      <name val="Arial"/>
      <family val="2"/>
    </font>
    <font>
      <b/>
      <sz val="10"/>
      <name val="Tahoma"/>
      <family val="2"/>
    </font>
    <font>
      <b/>
      <sz val="8.25"/>
      <color theme="1"/>
      <name val="Arial"/>
      <family val="2"/>
    </font>
    <font>
      <sz val="8.25"/>
      <color theme="1"/>
      <name val="Arial"/>
      <family val="2"/>
    </font>
    <font>
      <b/>
      <sz val="8.25"/>
      <color rgb="FF0070C0"/>
      <name val="Arial"/>
      <family val="2"/>
    </font>
    <font>
      <sz val="8.25"/>
      <name val="Arial"/>
      <family val="2"/>
    </font>
    <font>
      <b/>
      <sz val="8.25"/>
      <color rgb="FFFF0000"/>
      <name val="Arial"/>
      <family val="2"/>
    </font>
    <font>
      <b/>
      <sz val="18"/>
      <color rgb="FFFF0000"/>
      <name val="Tahoma"/>
      <family val="2"/>
    </font>
    <font>
      <sz val="10"/>
      <color theme="1"/>
      <name val="Arial"/>
      <family val="2"/>
    </font>
    <font>
      <b/>
      <sz val="24"/>
      <color theme="1"/>
      <name val="Arial"/>
      <family val="2"/>
    </font>
    <font>
      <b/>
      <sz val="8.25"/>
      <color rgb="FFFF0066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ahoma"/>
      <family val="2"/>
      <charset val="163"/>
    </font>
    <font>
      <sz val="9"/>
      <name val="Tahoma"/>
      <family val="2"/>
      <charset val="163"/>
    </font>
    <font>
      <sz val="10"/>
      <name val="Tahoma"/>
      <family val="2"/>
      <charset val="163"/>
    </font>
    <font>
      <sz val="10"/>
      <name val="Arial"/>
      <family val="2"/>
      <charset val="163"/>
    </font>
    <font>
      <sz val="8.5"/>
      <name val="Arial"/>
      <family val="2"/>
    </font>
    <font>
      <b/>
      <sz val="22"/>
      <name val="Tahoma"/>
      <family val="2"/>
    </font>
    <font>
      <b/>
      <sz val="28"/>
      <name val="Tahoma"/>
      <family val="2"/>
    </font>
    <font>
      <b/>
      <sz val="9"/>
      <color theme="1"/>
      <name val="Arial"/>
      <family val="2"/>
    </font>
    <font>
      <b/>
      <sz val="10"/>
      <color theme="1"/>
      <name val="Tahoma"/>
      <family val="2"/>
      <charset val="163"/>
    </font>
    <font>
      <b/>
      <sz val="8.25"/>
      <color theme="1"/>
      <name val="Arial"/>
      <family val="2"/>
      <charset val="163"/>
    </font>
    <font>
      <b/>
      <sz val="9"/>
      <color theme="1"/>
      <name val="Arial"/>
      <family val="2"/>
      <charset val="163"/>
    </font>
    <font>
      <b/>
      <sz val="14"/>
      <color rgb="FFFF0000"/>
      <name val="Tahoma"/>
      <family val="2"/>
    </font>
    <font>
      <b/>
      <sz val="14"/>
      <color rgb="FFFF0000"/>
      <name val="Arial"/>
      <family val="2"/>
    </font>
    <font>
      <b/>
      <sz val="8.5"/>
      <name val="Arial"/>
      <family val="2"/>
      <charset val="163"/>
    </font>
    <font>
      <sz val="8.5"/>
      <name val="Tahoma"/>
      <family val="2"/>
      <charset val="163"/>
    </font>
    <font>
      <b/>
      <sz val="8.25"/>
      <color rgb="FF6600CC"/>
      <name val="Arial"/>
      <family val="2"/>
    </font>
    <font>
      <b/>
      <sz val="8.5"/>
      <color theme="1"/>
      <name val="Arial"/>
      <family val="2"/>
    </font>
    <font>
      <b/>
      <sz val="8.5"/>
      <name val="Arial"/>
      <family val="2"/>
    </font>
    <font>
      <b/>
      <sz val="8.5"/>
      <color rgb="FF6600CC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1" applyNumberFormat="0" applyFont="0" applyFill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7" fillId="0" borderId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13" fillId="0" borderId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1" applyNumberFormat="0" applyFont="0" applyFill="0" applyAlignment="0" applyProtection="0"/>
    <xf numFmtId="0" fontId="1" fillId="0" borderId="0"/>
    <xf numFmtId="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1" applyNumberFormat="0" applyFont="0" applyFill="0" applyAlignment="0" applyProtection="0"/>
    <xf numFmtId="43" fontId="1" fillId="0" borderId="0" applyFont="0" applyFill="0" applyBorder="0" applyAlignment="0" applyProtection="0"/>
    <xf numFmtId="0" fontId="1" fillId="0" borderId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1" applyNumberFormat="0" applyFont="0" applyFill="0" applyAlignment="0" applyProtection="0"/>
  </cellStyleXfs>
  <cellXfs count="290">
    <xf numFmtId="0" fontId="0" fillId="0" borderId="0" xfId="0"/>
    <xf numFmtId="0" fontId="3" fillId="0" borderId="0" xfId="20"/>
    <xf numFmtId="0" fontId="0" fillId="0" borderId="0" xfId="0" applyProtection="1">
      <protection locked="0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2" xfId="0" quotePrefix="1" applyFont="1" applyBorder="1" applyAlignment="1">
      <alignment horizontal="center" vertical="center" wrapText="1"/>
    </xf>
    <xf numFmtId="17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0" fontId="2" fillId="0" borderId="0" xfId="1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7" borderId="0" xfId="0" applyFont="1" applyFill="1" applyAlignment="1">
      <alignment wrapText="1"/>
    </xf>
    <xf numFmtId="0" fontId="18" fillId="8" borderId="2" xfId="0" quotePrefix="1" applyFont="1" applyFill="1" applyBorder="1" applyAlignment="1">
      <alignment horizontal="left" vertical="center" wrapText="1"/>
    </xf>
    <xf numFmtId="0" fontId="2" fillId="8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18" fillId="4" borderId="2" xfId="0" quotePrefix="1" applyFont="1" applyFill="1" applyBorder="1" applyAlignment="1">
      <alignment horizontal="left" vertical="center" wrapText="1"/>
    </xf>
    <xf numFmtId="0" fontId="2" fillId="11" borderId="0" xfId="0" applyFont="1" applyFill="1" applyAlignment="1">
      <alignment wrapText="1"/>
    </xf>
    <xf numFmtId="0" fontId="18" fillId="11" borderId="2" xfId="0" quotePrefix="1" applyFont="1" applyFill="1" applyBorder="1" applyAlignment="1">
      <alignment horizontal="left" vertical="center" wrapText="1"/>
    </xf>
    <xf numFmtId="0" fontId="2" fillId="12" borderId="0" xfId="0" applyFont="1" applyFill="1" applyAlignment="1">
      <alignment wrapText="1"/>
    </xf>
    <xf numFmtId="0" fontId="18" fillId="12" borderId="2" xfId="0" quotePrefix="1" applyFont="1" applyFill="1" applyBorder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18" fillId="2" borderId="2" xfId="0" quotePrefix="1" applyFont="1" applyFill="1" applyBorder="1" applyAlignment="1">
      <alignment horizontal="left" vertical="center" wrapText="1"/>
    </xf>
    <xf numFmtId="0" fontId="2" fillId="13" borderId="0" xfId="0" applyFont="1" applyFill="1" applyAlignment="1">
      <alignment wrapText="1"/>
    </xf>
    <xf numFmtId="0" fontId="18" fillId="13" borderId="2" xfId="0" quotePrefix="1" applyFont="1" applyFill="1" applyBorder="1" applyAlignment="1">
      <alignment horizontal="left" vertical="center" wrapText="1"/>
    </xf>
    <xf numFmtId="0" fontId="2" fillId="15" borderId="0" xfId="0" applyFont="1" applyFill="1" applyAlignment="1">
      <alignment wrapText="1"/>
    </xf>
    <xf numFmtId="0" fontId="2" fillId="16" borderId="0" xfId="0" applyFont="1" applyFill="1" applyAlignment="1">
      <alignment wrapText="1"/>
    </xf>
    <xf numFmtId="0" fontId="18" fillId="16" borderId="2" xfId="0" quotePrefix="1" applyFont="1" applyFill="1" applyBorder="1" applyAlignment="1">
      <alignment horizontal="left" vertical="center" wrapText="1"/>
    </xf>
    <xf numFmtId="0" fontId="2" fillId="3" borderId="0" xfId="0" applyFont="1" applyFill="1" applyAlignment="1">
      <alignment wrapText="1"/>
    </xf>
    <xf numFmtId="14" fontId="18" fillId="8" borderId="2" xfId="0" quotePrefix="1" applyNumberFormat="1" applyFont="1" applyFill="1" applyBorder="1" applyAlignment="1">
      <alignment horizontal="center" vertical="center" wrapText="1"/>
    </xf>
    <xf numFmtId="14" fontId="18" fillId="4" borderId="2" xfId="0" quotePrefix="1" applyNumberFormat="1" applyFont="1" applyFill="1" applyBorder="1" applyAlignment="1">
      <alignment horizontal="center" vertical="center" wrapText="1"/>
    </xf>
    <xf numFmtId="14" fontId="18" fillId="11" borderId="2" xfId="0" quotePrefix="1" applyNumberFormat="1" applyFont="1" applyFill="1" applyBorder="1" applyAlignment="1">
      <alignment horizontal="center" vertical="center" wrapText="1"/>
    </xf>
    <xf numFmtId="14" fontId="18" fillId="12" borderId="2" xfId="0" quotePrefix="1" applyNumberFormat="1" applyFont="1" applyFill="1" applyBorder="1" applyAlignment="1">
      <alignment horizontal="center" vertical="center" wrapText="1"/>
    </xf>
    <xf numFmtId="14" fontId="18" fillId="2" borderId="2" xfId="0" quotePrefix="1" applyNumberFormat="1" applyFont="1" applyFill="1" applyBorder="1" applyAlignment="1">
      <alignment horizontal="center" vertical="center" wrapText="1"/>
    </xf>
    <xf numFmtId="14" fontId="18" fillId="13" borderId="2" xfId="0" quotePrefix="1" applyNumberFormat="1" applyFont="1" applyFill="1" applyBorder="1" applyAlignment="1">
      <alignment horizontal="center" vertical="center" wrapText="1"/>
    </xf>
    <xf numFmtId="14" fontId="18" fillId="15" borderId="2" xfId="0" quotePrefix="1" applyNumberFormat="1" applyFont="1" applyFill="1" applyBorder="1" applyAlignment="1">
      <alignment horizontal="center" vertical="center" wrapText="1"/>
    </xf>
    <xf numFmtId="14" fontId="18" fillId="16" borderId="2" xfId="0" quotePrefix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1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11" fillId="0" borderId="0" xfId="0" quotePrefix="1" applyFont="1" applyAlignment="1">
      <alignment horizontal="center" vertical="top"/>
    </xf>
    <xf numFmtId="170" fontId="15" fillId="0" borderId="2" xfId="1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8" fillId="8" borderId="2" xfId="0" quotePrefix="1" applyFont="1" applyFill="1" applyBorder="1" applyAlignment="1">
      <alignment horizontal="center" vertical="center" wrapText="1"/>
    </xf>
    <xf numFmtId="0" fontId="18" fillId="10" borderId="2" xfId="0" quotePrefix="1" applyFont="1" applyFill="1" applyBorder="1" applyAlignment="1">
      <alignment horizontal="center" vertical="center" wrapText="1"/>
    </xf>
    <xf numFmtId="0" fontId="18" fillId="4" borderId="2" xfId="0" quotePrefix="1" applyFont="1" applyFill="1" applyBorder="1" applyAlignment="1">
      <alignment horizontal="center" vertical="center" wrapText="1"/>
    </xf>
    <xf numFmtId="0" fontId="18" fillId="11" borderId="2" xfId="0" quotePrefix="1" applyFont="1" applyFill="1" applyBorder="1" applyAlignment="1">
      <alignment horizontal="center" vertical="center" wrapText="1"/>
    </xf>
    <xf numFmtId="0" fontId="18" fillId="12" borderId="2" xfId="0" quotePrefix="1" applyFont="1" applyFill="1" applyBorder="1" applyAlignment="1">
      <alignment horizontal="center" vertical="center" wrapText="1"/>
    </xf>
    <xf numFmtId="0" fontId="18" fillId="2" borderId="2" xfId="0" quotePrefix="1" applyFont="1" applyFill="1" applyBorder="1" applyAlignment="1">
      <alignment horizontal="center" vertical="center" wrapText="1"/>
    </xf>
    <xf numFmtId="0" fontId="18" fillId="13" borderId="2" xfId="0" quotePrefix="1" applyFont="1" applyFill="1" applyBorder="1" applyAlignment="1">
      <alignment horizontal="center" vertical="center" wrapText="1"/>
    </xf>
    <xf numFmtId="0" fontId="18" fillId="15" borderId="2" xfId="0" quotePrefix="1" applyFont="1" applyFill="1" applyBorder="1" applyAlignment="1">
      <alignment horizontal="center" vertical="center" wrapText="1"/>
    </xf>
    <xf numFmtId="0" fontId="18" fillId="16" borderId="2" xfId="0" quotePrefix="1" applyFont="1" applyFill="1" applyBorder="1" applyAlignment="1">
      <alignment horizontal="center" vertical="center" wrapText="1"/>
    </xf>
    <xf numFmtId="14" fontId="18" fillId="15" borderId="2" xfId="0" quotePrefix="1" applyNumberFormat="1" applyFont="1" applyFill="1" applyBorder="1" applyAlignment="1">
      <alignment vertical="center" wrapText="1"/>
    </xf>
    <xf numFmtId="0" fontId="2" fillId="5" borderId="0" xfId="0" applyFont="1" applyFill="1" applyAlignment="1">
      <alignment vertical="center"/>
    </xf>
    <xf numFmtId="171" fontId="17" fillId="4" borderId="2" xfId="1" quotePrefix="1" applyNumberFormat="1" applyFont="1" applyFill="1" applyBorder="1" applyAlignment="1">
      <alignment vertical="center" wrapText="1"/>
    </xf>
    <xf numFmtId="171" fontId="17" fillId="11" borderId="2" xfId="1" quotePrefix="1" applyNumberFormat="1" applyFont="1" applyFill="1" applyBorder="1" applyAlignment="1">
      <alignment vertical="center" wrapText="1"/>
    </xf>
    <xf numFmtId="171" fontId="17" fillId="12" borderId="2" xfId="1" quotePrefix="1" applyNumberFormat="1" applyFont="1" applyFill="1" applyBorder="1" applyAlignment="1">
      <alignment vertical="center" wrapText="1"/>
    </xf>
    <xf numFmtId="171" fontId="17" fillId="2" borderId="2" xfId="1" quotePrefix="1" applyNumberFormat="1" applyFont="1" applyFill="1" applyBorder="1" applyAlignment="1">
      <alignment vertical="center" wrapText="1"/>
    </xf>
    <xf numFmtId="171" fontId="17" fillId="13" borderId="2" xfId="1" quotePrefix="1" applyNumberFormat="1" applyFont="1" applyFill="1" applyBorder="1" applyAlignment="1">
      <alignment vertical="center" wrapText="1"/>
    </xf>
    <xf numFmtId="171" fontId="17" fillId="15" borderId="2" xfId="1" quotePrefix="1" applyNumberFormat="1" applyFont="1" applyFill="1" applyBorder="1" applyAlignment="1">
      <alignment vertical="center" wrapText="1"/>
    </xf>
    <xf numFmtId="0" fontId="18" fillId="10" borderId="2" xfId="0" quotePrefix="1" applyFont="1" applyFill="1" applyBorder="1" applyAlignment="1">
      <alignment horizontal="left" vertical="center" wrapText="1"/>
    </xf>
    <xf numFmtId="14" fontId="18" fillId="10" borderId="2" xfId="0" quotePrefix="1" applyNumberFormat="1" applyFont="1" applyFill="1" applyBorder="1" applyAlignment="1">
      <alignment horizontal="center" vertical="center" wrapText="1"/>
    </xf>
    <xf numFmtId="171" fontId="18" fillId="13" borderId="2" xfId="1" quotePrefix="1" applyNumberFormat="1" applyFont="1" applyFill="1" applyBorder="1" applyAlignment="1">
      <alignment vertical="center" wrapText="1"/>
    </xf>
    <xf numFmtId="171" fontId="17" fillId="16" borderId="2" xfId="1" quotePrefix="1" applyNumberFormat="1" applyFont="1" applyFill="1" applyBorder="1" applyAlignment="1">
      <alignment vertical="center" wrapText="1"/>
    </xf>
    <xf numFmtId="14" fontId="20" fillId="8" borderId="2" xfId="38" applyNumberFormat="1" applyFont="1" applyFill="1" applyBorder="1" applyAlignment="1">
      <alignment horizontal="center" vertical="center" wrapText="1"/>
    </xf>
    <xf numFmtId="171" fontId="17" fillId="16" borderId="3" xfId="1" quotePrefix="1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/>
    </xf>
    <xf numFmtId="0" fontId="11" fillId="0" borderId="0" xfId="0" quotePrefix="1" applyFont="1" applyAlignment="1">
      <alignment horizontal="right" vertical="center"/>
    </xf>
    <xf numFmtId="0" fontId="1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18" fillId="4" borderId="2" xfId="1" quotePrefix="1" applyNumberFormat="1" applyFont="1" applyFill="1" applyBorder="1" applyAlignment="1">
      <alignment vertical="center" wrapText="1"/>
    </xf>
    <xf numFmtId="171" fontId="18" fillId="2" borderId="2" xfId="1" quotePrefix="1" applyNumberFormat="1" applyFont="1" applyFill="1" applyBorder="1" applyAlignment="1">
      <alignment vertical="center" wrapText="1"/>
    </xf>
    <xf numFmtId="171" fontId="17" fillId="4" borderId="3" xfId="1" quotePrefix="1" applyNumberFormat="1" applyFont="1" applyFill="1" applyBorder="1" applyAlignment="1">
      <alignment vertical="center" wrapText="1"/>
    </xf>
    <xf numFmtId="171" fontId="18" fillId="16" borderId="3" xfId="1" quotePrefix="1" applyNumberFormat="1" applyFont="1" applyFill="1" applyBorder="1" applyAlignment="1">
      <alignment vertical="center" wrapText="1"/>
    </xf>
    <xf numFmtId="171" fontId="18" fillId="4" borderId="3" xfId="1" quotePrefix="1" applyNumberFormat="1" applyFont="1" applyFill="1" applyBorder="1" applyAlignment="1">
      <alignment vertical="center" wrapText="1"/>
    </xf>
    <xf numFmtId="171" fontId="18" fillId="2" borderId="3" xfId="1" quotePrefix="1" applyNumberFormat="1" applyFont="1" applyFill="1" applyBorder="1" applyAlignment="1">
      <alignment horizontal="center" vertical="center" wrapText="1"/>
    </xf>
    <xf numFmtId="171" fontId="18" fillId="10" borderId="3" xfId="1" quotePrefix="1" applyNumberFormat="1" applyFont="1" applyFill="1" applyBorder="1" applyAlignment="1">
      <alignment horizontal="center" vertical="center" wrapText="1"/>
    </xf>
    <xf numFmtId="171" fontId="17" fillId="10" borderId="2" xfId="1" quotePrefix="1" applyNumberFormat="1" applyFont="1" applyFill="1" applyBorder="1" applyAlignment="1">
      <alignment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4" fillId="8" borderId="0" xfId="0" applyFont="1" applyFill="1"/>
    <xf numFmtId="0" fontId="23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/>
    </xf>
    <xf numFmtId="1" fontId="20" fillId="16" borderId="2" xfId="0" quotePrefix="1" applyNumberFormat="1" applyFont="1" applyFill="1" applyBorder="1" applyAlignment="1">
      <alignment horizontal="left" vertical="center" wrapText="1"/>
    </xf>
    <xf numFmtId="171" fontId="18" fillId="8" borderId="3" xfId="1" quotePrefix="1" applyNumberFormat="1" applyFont="1" applyFill="1" applyBorder="1" applyAlignment="1">
      <alignment vertical="center" wrapText="1"/>
    </xf>
    <xf numFmtId="171" fontId="17" fillId="8" borderId="3" xfId="1" quotePrefix="1" applyNumberFormat="1" applyFont="1" applyFill="1" applyBorder="1" applyAlignment="1">
      <alignment vertical="center" wrapText="1"/>
    </xf>
    <xf numFmtId="171" fontId="18" fillId="8" borderId="2" xfId="1" quotePrefix="1" applyNumberFormat="1" applyFont="1" applyFill="1" applyBorder="1" applyAlignment="1">
      <alignment vertical="center" wrapText="1"/>
    </xf>
    <xf numFmtId="171" fontId="17" fillId="8" borderId="2" xfId="1" quotePrefix="1" applyNumberFormat="1" applyFont="1" applyFill="1" applyBorder="1" applyAlignment="1">
      <alignment horizontal="center" vertical="center" wrapText="1"/>
    </xf>
    <xf numFmtId="172" fontId="18" fillId="16" borderId="3" xfId="1" quotePrefix="1" applyNumberFormat="1" applyFont="1" applyFill="1" applyBorder="1" applyAlignment="1">
      <alignment vertical="center" wrapText="1"/>
    </xf>
    <xf numFmtId="0" fontId="18" fillId="7" borderId="2" xfId="0" quotePrefix="1" applyFont="1" applyFill="1" applyBorder="1" applyAlignment="1">
      <alignment horizontal="left" vertical="center" wrapText="1"/>
    </xf>
    <xf numFmtId="0" fontId="18" fillId="7" borderId="2" xfId="0" quotePrefix="1" applyFont="1" applyFill="1" applyBorder="1" applyAlignment="1">
      <alignment horizontal="center" vertical="center" wrapText="1"/>
    </xf>
    <xf numFmtId="14" fontId="18" fillId="7" borderId="2" xfId="0" quotePrefix="1" applyNumberFormat="1" applyFont="1" applyFill="1" applyBorder="1" applyAlignment="1">
      <alignment horizontal="center" vertical="center" wrapText="1"/>
    </xf>
    <xf numFmtId="0" fontId="17" fillId="0" borderId="2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8" fillId="17" borderId="2" xfId="0" quotePrefix="1" applyFont="1" applyFill="1" applyBorder="1" applyAlignment="1">
      <alignment horizontal="left" vertical="center" wrapText="1"/>
    </xf>
    <xf numFmtId="0" fontId="18" fillId="17" borderId="2" xfId="0" quotePrefix="1" applyFont="1" applyFill="1" applyBorder="1" applyAlignment="1">
      <alignment horizontal="center" vertical="center" wrapText="1"/>
    </xf>
    <xf numFmtId="14" fontId="18" fillId="17" borderId="2" xfId="0" quotePrefix="1" applyNumberFormat="1" applyFont="1" applyFill="1" applyBorder="1" applyAlignment="1">
      <alignment horizontal="center" vertical="center" wrapText="1"/>
    </xf>
    <xf numFmtId="171" fontId="18" fillId="17" borderId="3" xfId="1" quotePrefix="1" applyNumberFormat="1" applyFont="1" applyFill="1" applyBorder="1" applyAlignment="1">
      <alignment vertical="center" wrapText="1"/>
    </xf>
    <xf numFmtId="171" fontId="17" fillId="17" borderId="3" xfId="1" quotePrefix="1" applyNumberFormat="1" applyFont="1" applyFill="1" applyBorder="1" applyAlignment="1">
      <alignment vertical="center" wrapText="1"/>
    </xf>
    <xf numFmtId="171" fontId="18" fillId="17" borderId="3" xfId="1" quotePrefix="1" applyNumberFormat="1" applyFont="1" applyFill="1" applyBorder="1" applyAlignment="1">
      <alignment horizontal="center" vertical="center" wrapText="1"/>
    </xf>
    <xf numFmtId="171" fontId="18" fillId="16" borderId="3" xfId="1" quotePrefix="1" applyNumberFormat="1" applyFont="1" applyFill="1" applyBorder="1" applyAlignment="1">
      <alignment horizontal="center" vertical="center" wrapText="1"/>
    </xf>
    <xf numFmtId="171" fontId="17" fillId="18" borderId="3" xfId="1" quotePrefix="1" applyNumberFormat="1" applyFont="1" applyFill="1" applyBorder="1" applyAlignment="1">
      <alignment vertical="center" wrapText="1"/>
    </xf>
    <xf numFmtId="0" fontId="20" fillId="18" borderId="2" xfId="0" quotePrefix="1" applyFont="1" applyFill="1" applyBorder="1" applyAlignment="1">
      <alignment horizontal="center" vertical="center" wrapText="1"/>
    </xf>
    <xf numFmtId="0" fontId="20" fillId="18" borderId="2" xfId="0" quotePrefix="1" applyFont="1" applyFill="1" applyBorder="1" applyAlignment="1">
      <alignment horizontal="left" vertical="center" wrapText="1"/>
    </xf>
    <xf numFmtId="171" fontId="18" fillId="11" borderId="3" xfId="1" quotePrefix="1" applyNumberFormat="1" applyFont="1" applyFill="1" applyBorder="1" applyAlignment="1">
      <alignment horizontal="center" vertical="center" wrapText="1"/>
    </xf>
    <xf numFmtId="171" fontId="17" fillId="2" borderId="3" xfId="1" quotePrefix="1" applyNumberFormat="1" applyFont="1" applyFill="1" applyBorder="1" applyAlignment="1">
      <alignment vertical="center" wrapText="1"/>
    </xf>
    <xf numFmtId="0" fontId="18" fillId="5" borderId="3" xfId="0" quotePrefix="1" applyFont="1" applyFill="1" applyBorder="1" applyAlignment="1">
      <alignment horizontal="left" vertical="center" wrapText="1"/>
    </xf>
    <xf numFmtId="0" fontId="18" fillId="5" borderId="3" xfId="0" quotePrefix="1" applyFont="1" applyFill="1" applyBorder="1" applyAlignment="1">
      <alignment horizontal="center" vertical="center" wrapText="1"/>
    </xf>
    <xf numFmtId="169" fontId="18" fillId="5" borderId="2" xfId="0" quotePrefix="1" applyNumberFormat="1" applyFont="1" applyFill="1" applyBorder="1" applyAlignment="1">
      <alignment horizontal="center" vertical="center" wrapText="1"/>
    </xf>
    <xf numFmtId="0" fontId="18" fillId="0" borderId="2" xfId="0" quotePrefix="1" applyFont="1" applyBorder="1" applyAlignment="1">
      <alignment horizontal="left" vertical="center" wrapText="1"/>
    </xf>
    <xf numFmtId="0" fontId="18" fillId="0" borderId="2" xfId="0" quotePrefix="1" applyFont="1" applyBorder="1" applyAlignment="1">
      <alignment horizontal="center" vertical="center" wrapText="1"/>
    </xf>
    <xf numFmtId="14" fontId="20" fillId="18" borderId="2" xfId="0" applyNumberFormat="1" applyFont="1" applyFill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vertical="center" wrapText="1"/>
    </xf>
    <xf numFmtId="171" fontId="17" fillId="7" borderId="2" xfId="1" quotePrefix="1" applyNumberFormat="1" applyFont="1" applyFill="1" applyBorder="1" applyAlignment="1">
      <alignment vertical="center" wrapText="1"/>
    </xf>
    <xf numFmtId="171" fontId="18" fillId="7" borderId="2" xfId="1" quotePrefix="1" applyNumberFormat="1" applyFont="1" applyFill="1" applyBorder="1" applyAlignment="1">
      <alignment vertical="center" wrapText="1"/>
    </xf>
    <xf numFmtId="172" fontId="18" fillId="7" borderId="2" xfId="1" quotePrefix="1" applyNumberFormat="1" applyFont="1" applyFill="1" applyBorder="1" applyAlignment="1">
      <alignment vertical="center" wrapText="1"/>
    </xf>
    <xf numFmtId="171" fontId="18" fillId="16" borderId="2" xfId="1" quotePrefix="1" applyNumberFormat="1" applyFont="1" applyFill="1" applyBorder="1" applyAlignment="1">
      <alignment horizontal="center" vertical="center" wrapText="1"/>
    </xf>
    <xf numFmtId="171" fontId="18" fillId="16" borderId="2" xfId="1" quotePrefix="1" applyNumberFormat="1" applyFont="1" applyFill="1" applyBorder="1" applyAlignment="1">
      <alignment vertical="center" wrapText="1"/>
    </xf>
    <xf numFmtId="171" fontId="18" fillId="8" borderId="2" xfId="1" quotePrefix="1" applyNumberFormat="1" applyFont="1" applyFill="1" applyBorder="1" applyAlignment="1">
      <alignment horizontal="center" vertical="center" wrapText="1"/>
    </xf>
    <xf numFmtId="171" fontId="18" fillId="10" borderId="2" xfId="1" quotePrefix="1" applyNumberFormat="1" applyFont="1" applyFill="1" applyBorder="1" applyAlignment="1">
      <alignment vertical="center" wrapText="1"/>
    </xf>
    <xf numFmtId="171" fontId="18" fillId="11" borderId="2" xfId="1" quotePrefix="1" applyNumberFormat="1" applyFont="1" applyFill="1" applyBorder="1" applyAlignment="1">
      <alignment vertical="center" wrapText="1"/>
    </xf>
    <xf numFmtId="171" fontId="18" fillId="12" borderId="2" xfId="1" quotePrefix="1" applyNumberFormat="1" applyFont="1" applyFill="1" applyBorder="1" applyAlignment="1">
      <alignment vertical="center" wrapText="1"/>
    </xf>
    <xf numFmtId="171" fontId="18" fillId="2" borderId="3" xfId="1" quotePrefix="1" applyNumberFormat="1" applyFont="1" applyFill="1" applyBorder="1" applyAlignment="1">
      <alignment vertical="center" wrapText="1"/>
    </xf>
    <xf numFmtId="171" fontId="18" fillId="15" borderId="2" xfId="1" quotePrefix="1" applyNumberFormat="1" applyFont="1" applyFill="1" applyBorder="1" applyAlignment="1">
      <alignment vertical="center" wrapText="1"/>
    </xf>
    <xf numFmtId="171" fontId="18" fillId="18" borderId="3" xfId="1" quotePrefix="1" applyNumberFormat="1" applyFont="1" applyFill="1" applyBorder="1" applyAlignment="1">
      <alignment vertical="center" wrapText="1"/>
    </xf>
    <xf numFmtId="170" fontId="16" fillId="0" borderId="0" xfId="1" applyNumberFormat="1" applyFont="1" applyAlignment="1">
      <alignment horizontal="center"/>
    </xf>
    <xf numFmtId="173" fontId="19" fillId="7" borderId="3" xfId="1" quotePrefix="1" applyNumberFormat="1" applyFont="1" applyFill="1" applyBorder="1" applyAlignment="1">
      <alignment horizontal="center" vertical="center" wrapText="1"/>
    </xf>
    <xf numFmtId="171" fontId="18" fillId="8" borderId="3" xfId="1" quotePrefix="1" applyNumberFormat="1" applyFont="1" applyFill="1" applyBorder="1" applyAlignment="1">
      <alignment horizontal="center" vertical="center" wrapText="1"/>
    </xf>
    <xf numFmtId="0" fontId="2" fillId="0" borderId="0" xfId="0" applyFont="1"/>
    <xf numFmtId="169" fontId="2" fillId="0" borderId="0" xfId="0" applyNumberFormat="1" applyFont="1" applyAlignment="1">
      <alignment horizontal="left" vertical="center"/>
    </xf>
    <xf numFmtId="169" fontId="11" fillId="0" borderId="0" xfId="0" quotePrefix="1" applyNumberFormat="1" applyFont="1" applyAlignment="1">
      <alignment horizontal="center" vertical="top"/>
    </xf>
    <xf numFmtId="169" fontId="14" fillId="0" borderId="2" xfId="0" quotePrefix="1" applyNumberFormat="1" applyFont="1" applyBorder="1" applyAlignment="1">
      <alignment horizontal="center" vertical="center" wrapText="1"/>
    </xf>
    <xf numFmtId="1" fontId="17" fillId="16" borderId="2" xfId="1" quotePrefix="1" applyNumberFormat="1" applyFont="1" applyFill="1" applyBorder="1" applyAlignment="1">
      <alignment horizontal="right" vertical="center" wrapText="1"/>
    </xf>
    <xf numFmtId="14" fontId="18" fillId="16" borderId="3" xfId="1" quotePrefix="1" applyNumberFormat="1" applyFont="1" applyFill="1" applyBorder="1" applyAlignment="1">
      <alignment vertical="center" wrapText="1"/>
    </xf>
    <xf numFmtId="1" fontId="17" fillId="8" borderId="2" xfId="1" quotePrefix="1" applyNumberFormat="1" applyFont="1" applyFill="1" applyBorder="1" applyAlignment="1">
      <alignment horizontal="right" vertical="center" wrapText="1"/>
    </xf>
    <xf numFmtId="172" fontId="18" fillId="8" borderId="2" xfId="1" quotePrefix="1" applyNumberFormat="1" applyFont="1" applyFill="1" applyBorder="1" applyAlignment="1">
      <alignment horizontal="center" vertical="center" wrapText="1"/>
    </xf>
    <xf numFmtId="14" fontId="18" fillId="8" borderId="2" xfId="1" quotePrefix="1" applyNumberFormat="1" applyFont="1" applyFill="1" applyBorder="1" applyAlignment="1">
      <alignment horizontal="right" vertical="center" wrapText="1"/>
    </xf>
    <xf numFmtId="172" fontId="18" fillId="8" borderId="3" xfId="1" quotePrefix="1" applyNumberFormat="1" applyFont="1" applyFill="1" applyBorder="1" applyAlignment="1">
      <alignment vertical="center" wrapText="1"/>
    </xf>
    <xf numFmtId="14" fontId="18" fillId="8" borderId="3" xfId="1" quotePrefix="1" applyNumberFormat="1" applyFont="1" applyFill="1" applyBorder="1" applyAlignment="1">
      <alignment vertical="center" wrapText="1"/>
    </xf>
    <xf numFmtId="1" fontId="14" fillId="17" borderId="2" xfId="1" quotePrefix="1" applyNumberFormat="1" applyFont="1" applyFill="1" applyBorder="1" applyAlignment="1">
      <alignment horizontal="right" vertical="center" wrapText="1"/>
    </xf>
    <xf numFmtId="172" fontId="18" fillId="17" borderId="3" xfId="1" quotePrefix="1" applyNumberFormat="1" applyFont="1" applyFill="1" applyBorder="1" applyAlignment="1">
      <alignment vertical="center" wrapText="1"/>
    </xf>
    <xf numFmtId="14" fontId="18" fillId="17" borderId="3" xfId="1" quotePrefix="1" applyNumberFormat="1" applyFont="1" applyFill="1" applyBorder="1" applyAlignment="1">
      <alignment vertical="center" wrapText="1"/>
    </xf>
    <xf numFmtId="1" fontId="17" fillId="17" borderId="2" xfId="1" quotePrefix="1" applyNumberFormat="1" applyFont="1" applyFill="1" applyBorder="1" applyAlignment="1">
      <alignment horizontal="right" vertical="center" wrapText="1"/>
    </xf>
    <xf numFmtId="1" fontId="17" fillId="7" borderId="2" xfId="1" quotePrefix="1" applyNumberFormat="1" applyFont="1" applyFill="1" applyBorder="1" applyAlignment="1">
      <alignment horizontal="right" vertical="center" wrapText="1"/>
    </xf>
    <xf numFmtId="14" fontId="25" fillId="7" borderId="2" xfId="1" quotePrefix="1" applyNumberFormat="1" applyFont="1" applyFill="1" applyBorder="1" applyAlignment="1">
      <alignment vertical="center" wrapText="1"/>
    </xf>
    <xf numFmtId="1" fontId="17" fillId="10" borderId="2" xfId="1" quotePrefix="1" applyNumberFormat="1" applyFont="1" applyFill="1" applyBorder="1" applyAlignment="1">
      <alignment horizontal="right" vertical="center" wrapText="1"/>
    </xf>
    <xf numFmtId="172" fontId="18" fillId="10" borderId="2" xfId="1" quotePrefix="1" applyNumberFormat="1" applyFont="1" applyFill="1" applyBorder="1" applyAlignment="1">
      <alignment vertical="center" wrapText="1"/>
    </xf>
    <xf numFmtId="14" fontId="21" fillId="10" borderId="2" xfId="1" quotePrefix="1" applyNumberFormat="1" applyFont="1" applyFill="1" applyBorder="1" applyAlignment="1">
      <alignment vertical="center" wrapText="1"/>
    </xf>
    <xf numFmtId="1" fontId="17" fillId="4" borderId="2" xfId="1" quotePrefix="1" applyNumberFormat="1" applyFont="1" applyFill="1" applyBorder="1" applyAlignment="1">
      <alignment horizontal="right" vertical="center" wrapText="1"/>
    </xf>
    <xf numFmtId="171" fontId="18" fillId="4" borderId="3" xfId="1" quotePrefix="1" applyNumberFormat="1" applyFont="1" applyFill="1" applyBorder="1" applyAlignment="1">
      <alignment horizontal="center" vertical="center" wrapText="1"/>
    </xf>
    <xf numFmtId="172" fontId="18" fillId="4" borderId="3" xfId="1" quotePrefix="1" applyNumberFormat="1" applyFont="1" applyFill="1" applyBorder="1" applyAlignment="1">
      <alignment vertical="center" wrapText="1"/>
    </xf>
    <xf numFmtId="14" fontId="18" fillId="4" borderId="3" xfId="1" quotePrefix="1" applyNumberFormat="1" applyFont="1" applyFill="1" applyBorder="1" applyAlignment="1">
      <alignment vertical="center" wrapText="1"/>
    </xf>
    <xf numFmtId="172" fontId="18" fillId="4" borderId="2" xfId="1" quotePrefix="1" applyNumberFormat="1" applyFont="1" applyFill="1" applyBorder="1" applyAlignment="1">
      <alignment vertical="center" wrapText="1"/>
    </xf>
    <xf numFmtId="14" fontId="18" fillId="4" borderId="2" xfId="1" quotePrefix="1" applyNumberFormat="1" applyFont="1" applyFill="1" applyBorder="1" applyAlignment="1">
      <alignment vertical="center" wrapText="1"/>
    </xf>
    <xf numFmtId="1" fontId="17" fillId="11" borderId="2" xfId="1" quotePrefix="1" applyNumberFormat="1" applyFont="1" applyFill="1" applyBorder="1" applyAlignment="1">
      <alignment horizontal="right" vertical="center" wrapText="1"/>
    </xf>
    <xf numFmtId="172" fontId="18" fillId="11" borderId="2" xfId="1" quotePrefix="1" applyNumberFormat="1" applyFont="1" applyFill="1" applyBorder="1" applyAlignment="1">
      <alignment vertical="center" wrapText="1"/>
    </xf>
    <xf numFmtId="14" fontId="18" fillId="11" borderId="2" xfId="1" quotePrefix="1" applyNumberFormat="1" applyFont="1" applyFill="1" applyBorder="1" applyAlignment="1">
      <alignment vertical="center" wrapText="1"/>
    </xf>
    <xf numFmtId="1" fontId="17" fillId="12" borderId="2" xfId="1" quotePrefix="1" applyNumberFormat="1" applyFont="1" applyFill="1" applyBorder="1" applyAlignment="1">
      <alignment horizontal="right" vertical="center" wrapText="1"/>
    </xf>
    <xf numFmtId="171" fontId="18" fillId="12" borderId="3" xfId="1" quotePrefix="1" applyNumberFormat="1" applyFont="1" applyFill="1" applyBorder="1" applyAlignment="1">
      <alignment horizontal="center" vertical="center" wrapText="1"/>
    </xf>
    <xf numFmtId="172" fontId="18" fillId="12" borderId="2" xfId="1" quotePrefix="1" applyNumberFormat="1" applyFont="1" applyFill="1" applyBorder="1" applyAlignment="1">
      <alignment vertical="center" wrapText="1"/>
    </xf>
    <xf numFmtId="14" fontId="18" fillId="12" borderId="2" xfId="1" quotePrefix="1" applyNumberFormat="1" applyFont="1" applyFill="1" applyBorder="1" applyAlignment="1">
      <alignment vertical="center" wrapText="1"/>
    </xf>
    <xf numFmtId="1" fontId="17" fillId="2" borderId="2" xfId="1" quotePrefix="1" applyNumberFormat="1" applyFont="1" applyFill="1" applyBorder="1" applyAlignment="1">
      <alignment horizontal="right" vertical="center" wrapText="1"/>
    </xf>
    <xf numFmtId="172" fontId="18" fillId="2" borderId="3" xfId="1" quotePrefix="1" applyNumberFormat="1" applyFont="1" applyFill="1" applyBorder="1" applyAlignment="1">
      <alignment vertical="center" wrapText="1"/>
    </xf>
    <xf numFmtId="14" fontId="18" fillId="2" borderId="3" xfId="1" quotePrefix="1" applyNumberFormat="1" applyFont="1" applyFill="1" applyBorder="1" applyAlignment="1">
      <alignment vertical="center" wrapText="1"/>
    </xf>
    <xf numFmtId="172" fontId="18" fillId="2" borderId="2" xfId="1" quotePrefix="1" applyNumberFormat="1" applyFont="1" applyFill="1" applyBorder="1" applyAlignment="1">
      <alignment vertical="center" wrapText="1"/>
    </xf>
    <xf numFmtId="14" fontId="18" fillId="2" borderId="2" xfId="1" quotePrefix="1" applyNumberFormat="1" applyFont="1" applyFill="1" applyBorder="1" applyAlignment="1">
      <alignment vertical="center" wrapText="1"/>
    </xf>
    <xf numFmtId="1" fontId="17" fillId="5" borderId="2" xfId="1" quotePrefix="1" applyNumberFormat="1" applyFont="1" applyFill="1" applyBorder="1" applyAlignment="1">
      <alignment horizontal="right" vertical="center" wrapText="1"/>
    </xf>
    <xf numFmtId="171" fontId="18" fillId="5" borderId="2" xfId="1" quotePrefix="1" applyNumberFormat="1" applyFont="1" applyFill="1" applyBorder="1" applyAlignment="1">
      <alignment horizontal="center" vertical="center" wrapText="1"/>
    </xf>
    <xf numFmtId="1" fontId="17" fillId="13" borderId="2" xfId="1" quotePrefix="1" applyNumberFormat="1" applyFont="1" applyFill="1" applyBorder="1" applyAlignment="1">
      <alignment horizontal="right" vertical="center" wrapText="1"/>
    </xf>
    <xf numFmtId="172" fontId="18" fillId="13" borderId="2" xfId="1" quotePrefix="1" applyNumberFormat="1" applyFont="1" applyFill="1" applyBorder="1" applyAlignment="1">
      <alignment vertical="center" wrapText="1"/>
    </xf>
    <xf numFmtId="14" fontId="21" fillId="13" borderId="2" xfId="1" quotePrefix="1" applyNumberFormat="1" applyFont="1" applyFill="1" applyBorder="1" applyAlignment="1">
      <alignment vertical="center" wrapText="1"/>
    </xf>
    <xf numFmtId="171" fontId="18" fillId="13" borderId="2" xfId="1" quotePrefix="1" applyNumberFormat="1" applyFont="1" applyFill="1" applyBorder="1" applyAlignment="1">
      <alignment horizontal="center" vertical="center" wrapText="1"/>
    </xf>
    <xf numFmtId="14" fontId="18" fillId="16" borderId="2" xfId="1" quotePrefix="1" applyNumberFormat="1" applyFont="1" applyFill="1" applyBorder="1" applyAlignment="1">
      <alignment vertical="center" wrapText="1"/>
    </xf>
    <xf numFmtId="14" fontId="18" fillId="7" borderId="2" xfId="1" quotePrefix="1" applyNumberFormat="1" applyFont="1" applyFill="1" applyBorder="1" applyAlignment="1">
      <alignment vertical="center" wrapText="1"/>
    </xf>
    <xf numFmtId="1" fontId="17" fillId="15" borderId="2" xfId="1" quotePrefix="1" applyNumberFormat="1" applyFont="1" applyFill="1" applyBorder="1" applyAlignment="1">
      <alignment horizontal="right" vertical="center" wrapText="1"/>
    </xf>
    <xf numFmtId="172" fontId="18" fillId="15" borderId="2" xfId="1" quotePrefix="1" applyNumberFormat="1" applyFont="1" applyFill="1" applyBorder="1" applyAlignment="1">
      <alignment vertical="center" wrapText="1"/>
    </xf>
    <xf numFmtId="14" fontId="25" fillId="15" borderId="2" xfId="1" quotePrefix="1" applyNumberFormat="1" applyFont="1" applyFill="1" applyBorder="1" applyAlignment="1">
      <alignment vertical="center" wrapText="1"/>
    </xf>
    <xf numFmtId="171" fontId="18" fillId="15" borderId="2" xfId="1" quotePrefix="1" applyNumberFormat="1" applyFont="1" applyFill="1" applyBorder="1" applyAlignment="1">
      <alignment horizontal="center" vertical="center" wrapText="1"/>
    </xf>
    <xf numFmtId="172" fontId="18" fillId="16" borderId="2" xfId="1" quotePrefix="1" applyNumberFormat="1" applyFont="1" applyFill="1" applyBorder="1" applyAlignment="1">
      <alignment vertical="center" wrapText="1"/>
    </xf>
    <xf numFmtId="1" fontId="17" fillId="18" borderId="2" xfId="1" quotePrefix="1" applyNumberFormat="1" applyFont="1" applyFill="1" applyBorder="1" applyAlignment="1">
      <alignment horizontal="right" vertical="center" wrapText="1"/>
    </xf>
    <xf numFmtId="171" fontId="26" fillId="18" borderId="8" xfId="1" quotePrefix="1" applyNumberFormat="1" applyFont="1" applyFill="1" applyBorder="1" applyAlignment="1">
      <alignment vertical="center" wrapText="1"/>
    </xf>
    <xf numFmtId="172" fontId="18" fillId="18" borderId="3" xfId="1" quotePrefix="1" applyNumberFormat="1" applyFont="1" applyFill="1" applyBorder="1" applyAlignment="1">
      <alignment vertical="center" wrapText="1"/>
    </xf>
    <xf numFmtId="171" fontId="18" fillId="18" borderId="2" xfId="1" quotePrefix="1" applyNumberFormat="1" applyFont="1" applyFill="1" applyBorder="1" applyAlignment="1">
      <alignment horizontal="center" vertical="center" wrapText="1"/>
    </xf>
    <xf numFmtId="171" fontId="27" fillId="0" borderId="2" xfId="1" applyNumberFormat="1" applyFont="1" applyBorder="1" applyAlignment="1">
      <alignment vertical="center"/>
    </xf>
    <xf numFmtId="170" fontId="27" fillId="0" borderId="2" xfId="1" applyNumberFormat="1" applyFont="1" applyBorder="1" applyAlignment="1">
      <alignment vertical="center" wrapText="1"/>
    </xf>
    <xf numFmtId="172" fontId="27" fillId="0" borderId="2" xfId="1" applyNumberFormat="1" applyFont="1" applyBorder="1" applyAlignment="1">
      <alignment vertical="center" wrapText="1"/>
    </xf>
    <xf numFmtId="14" fontId="27" fillId="5" borderId="2" xfId="1" applyNumberFormat="1" applyFont="1" applyFill="1" applyBorder="1" applyAlignment="1">
      <alignment vertical="center" wrapText="1"/>
    </xf>
    <xf numFmtId="169" fontId="0" fillId="0" borderId="0" xfId="0" applyNumberFormat="1" applyAlignment="1">
      <alignment horizontal="right"/>
    </xf>
    <xf numFmtId="169" fontId="18" fillId="5" borderId="0" xfId="0" quotePrefix="1" applyNumberFormat="1" applyFont="1" applyFill="1" applyAlignment="1">
      <alignment vertical="center" wrapText="1"/>
    </xf>
    <xf numFmtId="14" fontId="21" fillId="5" borderId="0" xfId="0" quotePrefix="1" applyNumberFormat="1" applyFont="1" applyFill="1" applyAlignment="1">
      <alignment horizontal="center" vertical="center" wrapText="1"/>
    </xf>
    <xf numFmtId="172" fontId="19" fillId="5" borderId="0" xfId="1" quotePrefix="1" applyNumberFormat="1" applyFont="1" applyFill="1" applyBorder="1" applyAlignment="1">
      <alignment horizontal="center" vertical="center" wrapText="1"/>
    </xf>
    <xf numFmtId="169" fontId="2" fillId="0" borderId="0" xfId="0" applyNumberFormat="1" applyFont="1" applyAlignment="1">
      <alignment horizontal="right"/>
    </xf>
    <xf numFmtId="172" fontId="18" fillId="5" borderId="0" xfId="1" quotePrefix="1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quotePrefix="1" applyFont="1" applyAlignment="1">
      <alignment horizontal="center" vertical="top"/>
    </xf>
    <xf numFmtId="170" fontId="32" fillId="0" borderId="0" xfId="1" applyNumberFormat="1" applyFont="1" applyAlignment="1">
      <alignment horizontal="center"/>
    </xf>
    <xf numFmtId="0" fontId="34" fillId="0" borderId="3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left" vertical="center"/>
    </xf>
    <xf numFmtId="0" fontId="11" fillId="0" borderId="0" xfId="0" quotePrefix="1" applyFont="1" applyAlignment="1">
      <alignment vertical="center"/>
    </xf>
    <xf numFmtId="1" fontId="11" fillId="0" borderId="0" xfId="0" quotePrefix="1" applyNumberFormat="1" applyFont="1" applyAlignment="1">
      <alignment horizontal="center" vertical="top"/>
    </xf>
    <xf numFmtId="0" fontId="14" fillId="2" borderId="2" xfId="0" quotePrefix="1" applyFont="1" applyFill="1" applyBorder="1" applyAlignment="1">
      <alignment horizontal="center" vertical="center" wrapText="1"/>
    </xf>
    <xf numFmtId="1" fontId="14" fillId="2" borderId="2" xfId="0" quotePrefix="1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18" fillId="0" borderId="2" xfId="0" quotePrefix="1" applyNumberFormat="1" applyFont="1" applyBorder="1" applyAlignment="1">
      <alignment horizontal="center" vertical="center" wrapText="1"/>
    </xf>
    <xf numFmtId="1" fontId="37" fillId="0" borderId="2" xfId="1" quotePrefix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37" fillId="0" borderId="2" xfId="0" quotePrefix="1" applyNumberFormat="1" applyFont="1" applyBorder="1" applyAlignment="1">
      <alignment horizontal="center" vertical="center" wrapText="1"/>
    </xf>
    <xf numFmtId="14" fontId="18" fillId="0" borderId="2" xfId="0" quotePrefix="1" applyNumberFormat="1" applyFont="1" applyBorder="1" applyAlignment="1">
      <alignment vertical="center" wrapText="1"/>
    </xf>
    <xf numFmtId="170" fontId="42" fillId="0" borderId="4" xfId="1" applyNumberFormat="1" applyFont="1" applyFill="1" applyBorder="1" applyAlignment="1">
      <alignment vertical="center" wrapText="1"/>
    </xf>
    <xf numFmtId="1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wrapText="1"/>
    </xf>
    <xf numFmtId="49" fontId="2" fillId="5" borderId="0" xfId="0" applyNumberFormat="1" applyFont="1" applyFill="1" applyAlignment="1">
      <alignment vertical="center"/>
    </xf>
    <xf numFmtId="14" fontId="2" fillId="0" borderId="0" xfId="0" applyNumberFormat="1" applyFont="1"/>
    <xf numFmtId="1" fontId="43" fillId="6" borderId="2" xfId="0" quotePrefix="1" applyNumberFormat="1" applyFont="1" applyFill="1" applyBorder="1" applyAlignment="1">
      <alignment horizontal="center" vertical="center" wrapText="1"/>
    </xf>
    <xf numFmtId="1" fontId="43" fillId="19" borderId="2" xfId="0" quotePrefix="1" applyNumberFormat="1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18" fillId="0" borderId="2" xfId="0" quotePrefix="1" applyFont="1" applyBorder="1" applyAlignment="1">
      <alignment vertical="center" wrapText="1"/>
    </xf>
    <xf numFmtId="171" fontId="17" fillId="0" borderId="2" xfId="1" quotePrefix="1" applyNumberFormat="1" applyFont="1" applyFill="1" applyBorder="1" applyAlignment="1">
      <alignment vertical="center" wrapText="1"/>
    </xf>
    <xf numFmtId="171" fontId="21" fillId="0" borderId="2" xfId="1" quotePrefix="1" applyNumberFormat="1" applyFont="1" applyFill="1" applyBorder="1" applyAlignment="1">
      <alignment vertical="center" wrapText="1"/>
    </xf>
    <xf numFmtId="171" fontId="45" fillId="0" borderId="2" xfId="1" quotePrefix="1" applyNumberFormat="1" applyFont="1" applyFill="1" applyBorder="1" applyAlignment="1">
      <alignment vertical="center" wrapText="1"/>
    </xf>
    <xf numFmtId="173" fontId="15" fillId="0" borderId="2" xfId="0" applyNumberFormat="1" applyFont="1" applyBorder="1" applyAlignment="1">
      <alignment horizontal="center" vertical="center" wrapText="1"/>
    </xf>
    <xf numFmtId="1" fontId="46" fillId="0" borderId="2" xfId="1" quotePrefix="1" applyNumberFormat="1" applyFont="1" applyFill="1" applyBorder="1" applyAlignment="1">
      <alignment vertical="center" wrapText="1"/>
    </xf>
    <xf numFmtId="1" fontId="34" fillId="0" borderId="2" xfId="1" quotePrefix="1" applyNumberFormat="1" applyFont="1" applyFill="1" applyBorder="1" applyAlignment="1">
      <alignment vertical="center" wrapText="1"/>
    </xf>
    <xf numFmtId="1" fontId="47" fillId="0" borderId="2" xfId="1" quotePrefix="1" applyNumberFormat="1" applyFont="1" applyFill="1" applyBorder="1" applyAlignment="1">
      <alignment vertical="center" wrapText="1"/>
    </xf>
    <xf numFmtId="1" fontId="48" fillId="0" borderId="2" xfId="1" quotePrefix="1" applyNumberFormat="1" applyFont="1" applyFill="1" applyBorder="1" applyAlignment="1">
      <alignment vertical="center" wrapText="1"/>
    </xf>
    <xf numFmtId="2" fontId="2" fillId="0" borderId="0" xfId="0" applyNumberFormat="1" applyFont="1" applyAlignment="1">
      <alignment horizontal="right"/>
    </xf>
    <xf numFmtId="174" fontId="2" fillId="0" borderId="0" xfId="0" applyNumberFormat="1" applyFont="1"/>
    <xf numFmtId="171" fontId="18" fillId="5" borderId="2" xfId="1" quotePrefix="1" applyNumberFormat="1" applyFont="1" applyFill="1" applyBorder="1" applyAlignment="1">
      <alignment vertical="center" wrapText="1"/>
    </xf>
    <xf numFmtId="171" fontId="17" fillId="5" borderId="2" xfId="1" quotePrefix="1" applyNumberFormat="1" applyFont="1" applyFill="1" applyBorder="1" applyAlignment="1">
      <alignment vertical="center" wrapText="1"/>
    </xf>
    <xf numFmtId="172" fontId="18" fillId="5" borderId="2" xfId="1" quotePrefix="1" applyNumberFormat="1" applyFont="1" applyFill="1" applyBorder="1" applyAlignment="1">
      <alignment vertical="center" wrapText="1"/>
    </xf>
    <xf numFmtId="0" fontId="18" fillId="5" borderId="2" xfId="0" quotePrefix="1" applyFont="1" applyFill="1" applyBorder="1" applyAlignment="1">
      <alignment horizontal="left" vertical="center" wrapText="1"/>
    </xf>
    <xf numFmtId="0" fontId="18" fillId="5" borderId="2" xfId="0" quotePrefix="1" applyFont="1" applyFill="1" applyBorder="1" applyAlignment="1">
      <alignment horizontal="center" vertical="center" wrapText="1"/>
    </xf>
    <xf numFmtId="14" fontId="18" fillId="5" borderId="7" xfId="0" applyNumberFormat="1" applyFont="1" applyFill="1" applyBorder="1" applyAlignment="1">
      <alignment horizontal="center" vertical="center" wrapText="1"/>
    </xf>
    <xf numFmtId="14" fontId="21" fillId="5" borderId="2" xfId="1" quotePrefix="1" applyNumberFormat="1" applyFont="1" applyFill="1" applyBorder="1" applyAlignment="1">
      <alignment vertical="center" wrapText="1"/>
    </xf>
    <xf numFmtId="173" fontId="19" fillId="5" borderId="3" xfId="1" quotePrefix="1" applyNumberFormat="1" applyFont="1" applyFill="1" applyBorder="1" applyAlignment="1">
      <alignment horizontal="center" vertical="center" wrapText="1"/>
    </xf>
    <xf numFmtId="14" fontId="18" fillId="5" borderId="2" xfId="0" applyNumberFormat="1" applyFont="1" applyFill="1" applyBorder="1" applyAlignment="1">
      <alignment horizontal="center" vertical="center" wrapText="1"/>
    </xf>
    <xf numFmtId="1" fontId="18" fillId="8" borderId="2" xfId="1" quotePrefix="1" applyNumberFormat="1" applyFont="1" applyFill="1" applyBorder="1" applyAlignment="1">
      <alignment horizontal="right" vertical="center" wrapText="1"/>
    </xf>
    <xf numFmtId="171" fontId="18" fillId="7" borderId="3" xfId="1" quotePrefix="1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wrapText="1"/>
    </xf>
    <xf numFmtId="0" fontId="35" fillId="5" borderId="0" xfId="0" applyFont="1" applyFill="1" applyAlignment="1">
      <alignment vertical="center"/>
    </xf>
    <xf numFmtId="0" fontId="35" fillId="3" borderId="0" xfId="0" applyFont="1" applyFill="1" applyAlignment="1">
      <alignment horizontal="centerContinuous" vertical="center"/>
    </xf>
    <xf numFmtId="173" fontId="15" fillId="0" borderId="0" xfId="0" applyNumberFormat="1" applyFont="1" applyAlignment="1">
      <alignment horizontal="center" vertical="center" wrapText="1"/>
    </xf>
    <xf numFmtId="1" fontId="2" fillId="5" borderId="0" xfId="0" applyNumberFormat="1" applyFont="1" applyFill="1" applyAlignment="1">
      <alignment horizontal="right"/>
    </xf>
    <xf numFmtId="0" fontId="2" fillId="5" borderId="0" xfId="0" applyFont="1" applyFill="1"/>
    <xf numFmtId="173" fontId="15" fillId="5" borderId="0" xfId="0" applyNumberFormat="1" applyFont="1" applyFill="1" applyAlignment="1">
      <alignment horizontal="center" vertical="center" wrapText="1"/>
    </xf>
    <xf numFmtId="1" fontId="43" fillId="5" borderId="0" xfId="0" quotePrefix="1" applyNumberFormat="1" applyFont="1" applyFill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center" vertical="top"/>
    </xf>
    <xf numFmtId="0" fontId="14" fillId="0" borderId="6" xfId="0" quotePrefix="1" applyFont="1" applyBorder="1" applyAlignment="1">
      <alignment horizontal="center" vertical="center" wrapText="1"/>
    </xf>
    <xf numFmtId="0" fontId="14" fillId="0" borderId="5" xfId="0" quotePrefix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3" fontId="15" fillId="7" borderId="3" xfId="0" applyNumberFormat="1" applyFont="1" applyFill="1" applyBorder="1" applyAlignment="1">
      <alignment horizontal="center" vertical="center" wrapText="1"/>
    </xf>
    <xf numFmtId="173" fontId="15" fillId="7" borderId="4" xfId="0" applyNumberFormat="1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right" vertical="center"/>
    </xf>
    <xf numFmtId="0" fontId="36" fillId="4" borderId="0" xfId="0" applyFont="1" applyFill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38" fillId="7" borderId="3" xfId="0" applyFont="1" applyFill="1" applyBorder="1" applyAlignment="1">
      <alignment horizontal="center" vertical="center" wrapText="1"/>
    </xf>
    <xf numFmtId="0" fontId="38" fillId="7" borderId="4" xfId="0" applyFont="1" applyFill="1" applyBorder="1" applyAlignment="1">
      <alignment horizontal="center" vertical="center" wrapText="1"/>
    </xf>
    <xf numFmtId="0" fontId="39" fillId="7" borderId="3" xfId="0" quotePrefix="1" applyFont="1" applyFill="1" applyBorder="1" applyAlignment="1">
      <alignment horizontal="left" vertical="center" wrapText="1"/>
    </xf>
    <xf numFmtId="0" fontId="39" fillId="7" borderId="4" xfId="0" quotePrefix="1" applyFont="1" applyFill="1" applyBorder="1" applyAlignment="1">
      <alignment horizontal="left" vertical="center" wrapText="1"/>
    </xf>
    <xf numFmtId="0" fontId="39" fillId="7" borderId="3" xfId="0" quotePrefix="1" applyFont="1" applyFill="1" applyBorder="1" applyAlignment="1">
      <alignment horizontal="center" vertical="center" wrapText="1"/>
    </xf>
    <xf numFmtId="0" fontId="39" fillId="7" borderId="4" xfId="0" quotePrefix="1" applyFont="1" applyFill="1" applyBorder="1" applyAlignment="1">
      <alignment horizontal="center" vertical="center" wrapText="1"/>
    </xf>
    <xf numFmtId="14" fontId="39" fillId="7" borderId="3" xfId="0" quotePrefix="1" applyNumberFormat="1" applyFont="1" applyFill="1" applyBorder="1" applyAlignment="1">
      <alignment horizontal="center" vertical="center" wrapText="1"/>
    </xf>
    <xf numFmtId="14" fontId="39" fillId="7" borderId="4" xfId="0" quotePrefix="1" applyNumberFormat="1" applyFont="1" applyFill="1" applyBorder="1" applyAlignment="1">
      <alignment horizontal="center" vertical="center" wrapText="1"/>
    </xf>
    <xf numFmtId="1" fontId="40" fillId="7" borderId="3" xfId="0" quotePrefix="1" applyNumberFormat="1" applyFont="1" applyFill="1" applyBorder="1" applyAlignment="1">
      <alignment horizontal="center" vertical="center" wrapText="1"/>
    </xf>
    <xf numFmtId="1" fontId="40" fillId="7" borderId="4" xfId="0" quotePrefix="1" applyNumberFormat="1" applyFont="1" applyFill="1" applyBorder="1" applyAlignment="1">
      <alignment horizontal="center" vertical="center" wrapText="1"/>
    </xf>
    <xf numFmtId="1" fontId="43" fillId="7" borderId="9" xfId="0" quotePrefix="1" applyNumberFormat="1" applyFont="1" applyFill="1" applyBorder="1" applyAlignment="1">
      <alignment horizontal="center" vertical="center" wrapText="1"/>
    </xf>
    <xf numFmtId="1" fontId="43" fillId="7" borderId="10" xfId="0" quotePrefix="1" applyNumberFormat="1" applyFont="1" applyFill="1" applyBorder="1" applyAlignment="1">
      <alignment horizontal="center" vertical="center" wrapText="1"/>
    </xf>
    <xf numFmtId="1" fontId="43" fillId="19" borderId="6" xfId="0" quotePrefix="1" applyNumberFormat="1" applyFont="1" applyFill="1" applyBorder="1" applyAlignment="1">
      <alignment horizontal="center" vertical="center" wrapText="1"/>
    </xf>
    <xf numFmtId="1" fontId="43" fillId="19" borderId="5" xfId="0" quotePrefix="1" applyNumberFormat="1" applyFont="1" applyFill="1" applyBorder="1" applyAlignment="1">
      <alignment horizontal="center" vertical="center" wrapText="1"/>
    </xf>
    <xf numFmtId="0" fontId="43" fillId="19" borderId="3" xfId="0" quotePrefix="1" applyFont="1" applyFill="1" applyBorder="1" applyAlignment="1">
      <alignment horizontal="center" vertical="center" wrapText="1"/>
    </xf>
    <xf numFmtId="0" fontId="43" fillId="19" borderId="4" xfId="0" quotePrefix="1" applyFont="1" applyFill="1" applyBorder="1" applyAlignment="1">
      <alignment horizontal="center" vertical="center" wrapText="1"/>
    </xf>
    <xf numFmtId="1" fontId="43" fillId="19" borderId="3" xfId="0" quotePrefix="1" applyNumberFormat="1" applyFont="1" applyFill="1" applyBorder="1" applyAlignment="1">
      <alignment horizontal="center" vertical="center" wrapText="1"/>
    </xf>
    <xf numFmtId="1" fontId="43" fillId="19" borderId="4" xfId="0" quotePrefix="1" applyNumberFormat="1" applyFont="1" applyFill="1" applyBorder="1" applyAlignment="1">
      <alignment horizontal="center" vertical="center" wrapText="1"/>
    </xf>
    <xf numFmtId="1" fontId="43" fillId="19" borderId="2" xfId="0" quotePrefix="1" applyNumberFormat="1" applyFont="1" applyFill="1" applyBorder="1" applyAlignment="1">
      <alignment horizontal="center" vertical="center" wrapText="1"/>
    </xf>
  </cellXfs>
  <cellStyles count="45">
    <cellStyle name="Comma" xfId="1" builtinId="3"/>
    <cellStyle name="Comma 2" xfId="24" xr:uid="{00000000-0005-0000-0000-000001000000}"/>
    <cellStyle name="Comma 2 2" xfId="40" xr:uid="{1EEE3D8B-838B-4D1A-A3C1-588E392329DF}"/>
    <cellStyle name="Comma 3" xfId="23" xr:uid="{00000000-0005-0000-0000-000002000000}"/>
    <cellStyle name="Comma 3 2" xfId="39" xr:uid="{26CD2D60-2D9C-4D2B-BBB2-D0BC06D8FDEB}"/>
    <cellStyle name="Comma 4" xfId="37" xr:uid="{95BDC294-6BD8-47F1-9CF1-05DDF829AD95}"/>
    <cellStyle name="Comma0" xfId="2" xr:uid="{00000000-0005-0000-0000-000003000000}"/>
    <cellStyle name="Comma0 2" xfId="32" xr:uid="{BD175F53-873D-454C-A249-6472997B440C}"/>
    <cellStyle name="Currency0" xfId="3" xr:uid="{00000000-0005-0000-0000-000004000000}"/>
    <cellStyle name="Currency0 2" xfId="33" xr:uid="{C3F35EA9-8B59-4B79-8990-177C6C2C83E6}"/>
    <cellStyle name="Date" xfId="4" xr:uid="{00000000-0005-0000-0000-000005000000}"/>
    <cellStyle name="Date 2" xfId="34" xr:uid="{59DD0AEE-96A4-4659-992E-D593C87A3DB2}"/>
    <cellStyle name="Fixed" xfId="5" xr:uid="{00000000-0005-0000-0000-000006000000}"/>
    <cellStyle name="Fixed 2" xfId="35" xr:uid="{C9EA1B25-E4AB-49AD-9D8A-BA92B642860B}"/>
    <cellStyle name="Heading 1" xfId="6" builtinId="16" customBuiltin="1"/>
    <cellStyle name="Heading 1 2" xfId="28" xr:uid="{00000000-0005-0000-0000-000008000000}"/>
    <cellStyle name="Heading 2" xfId="7" builtinId="17" customBuiltin="1"/>
    <cellStyle name="Heading 2 2" xfId="29" xr:uid="{00000000-0005-0000-0000-00000A000000}"/>
    <cellStyle name="Normal" xfId="0" builtinId="0"/>
    <cellStyle name="Normal 2" xfId="21" xr:uid="{00000000-0005-0000-0000-00000C000000}"/>
    <cellStyle name="Normal 2 2" xfId="38" xr:uid="{91723F89-C456-44FE-AB82-1F87A9721B07}"/>
    <cellStyle name="Normal 3" xfId="25" xr:uid="{00000000-0005-0000-0000-00000D000000}"/>
    <cellStyle name="Normal 3 2" xfId="41" xr:uid="{4EBC96F7-E529-45B0-A570-442FEAE8F098}"/>
    <cellStyle name="Normal 4" xfId="26" xr:uid="{00000000-0005-0000-0000-00000E000000}"/>
    <cellStyle name="Normal 4 2" xfId="42" xr:uid="{D07A031E-A4F2-40D0-8ACE-24487FF97BF0}"/>
    <cellStyle name="Normal 5" xfId="27" xr:uid="{00000000-0005-0000-0000-00000F000000}"/>
    <cellStyle name="Normal 5 2" xfId="43" xr:uid="{EDD37525-D48A-47F6-A0E1-4F1207C1A8F5}"/>
    <cellStyle name="Normal 6" xfId="22" xr:uid="{00000000-0005-0000-0000-000010000000}"/>
    <cellStyle name="Normal 7" xfId="31" xr:uid="{6D263E2D-20DE-45F9-B504-8221FA5D1103}"/>
    <cellStyle name="Total" xfId="8" builtinId="25" customBuiltin="1"/>
    <cellStyle name="Total 2" xfId="30" xr:uid="{00000000-0005-0000-0000-000012000000}"/>
    <cellStyle name="Total 2 2" xfId="44" xr:uid="{5C996ADB-347F-4560-81F6-F3B067F645B8}"/>
    <cellStyle name="Total 3" xfId="36" xr:uid="{A8B9912E-9C70-44CC-9945-167AD2F82B31}"/>
    <cellStyle name="똿뗦먛귟 [0.00]_PRODUCT DETAIL Q1" xfId="9" xr:uid="{00000000-0005-0000-0000-000013000000}"/>
    <cellStyle name="똿뗦먛귟_PRODUCT DETAIL Q1" xfId="10" xr:uid="{00000000-0005-0000-0000-000014000000}"/>
    <cellStyle name="믅됞 [0.00]_PRODUCT DETAIL Q1" xfId="11" xr:uid="{00000000-0005-0000-0000-000015000000}"/>
    <cellStyle name="믅됞_PRODUCT DETAIL Q1" xfId="12" xr:uid="{00000000-0005-0000-0000-000016000000}"/>
    <cellStyle name="백분율_HOBONG" xfId="13" xr:uid="{00000000-0005-0000-0000-000017000000}"/>
    <cellStyle name="뷭?_BOOKSHIP" xfId="14" xr:uid="{00000000-0005-0000-0000-000018000000}"/>
    <cellStyle name="콤마 [0]_1202" xfId="15" xr:uid="{00000000-0005-0000-0000-000019000000}"/>
    <cellStyle name="콤마_1202" xfId="16" xr:uid="{00000000-0005-0000-0000-00001A000000}"/>
    <cellStyle name="통화 [0]_1202" xfId="17" xr:uid="{00000000-0005-0000-0000-00001B000000}"/>
    <cellStyle name="통화_1202" xfId="18" xr:uid="{00000000-0005-0000-0000-00001C000000}"/>
    <cellStyle name="표준_(정보부문)월별인원계획" xfId="19" xr:uid="{00000000-0005-0000-0000-00001D000000}"/>
    <cellStyle name="표준_kc-elec system check list" xfId="20" xr:uid="{00000000-0005-0000-0000-00001E000000}"/>
  </cellStyles>
  <dxfs count="0"/>
  <tableStyles count="0" defaultTableStyle="TableStyleMedium9" defaultPivotStyle="PivotStyleLight16"/>
  <colors>
    <mruColors>
      <color rgb="FF9900FF"/>
      <color rgb="FF9900CC"/>
      <color rgb="FFFF0066"/>
      <color rgb="FF666699"/>
      <color rgb="FF6600CC"/>
      <color rgb="FF9933FF"/>
      <color rgb="FF99CCFF"/>
      <color rgb="FF6666FF"/>
      <color rgb="FF00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an\d\CONG-TRINH\BAO-GIA\QUOC-DAI\CT-LE-MINH-XUAN\BGIA-DAT-THA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-so"/>
      <sheetName val="bao-gia"/>
      <sheetName val="XL4Poppy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  <pageSetUpPr fitToPage="1"/>
  </sheetPr>
  <dimension ref="A1:IS36"/>
  <sheetViews>
    <sheetView showGridLines="0" tabSelected="1" zoomScaleNormal="100" workbookViewId="0">
      <pane xSplit="5" ySplit="7" topLeftCell="F8" activePane="bottomRight" state="frozen"/>
      <selection pane="topRight" activeCell="H1" sqref="H1"/>
      <selection pane="bottomLeft" activeCell="A9" sqref="A9"/>
      <selection pane="bottomRight" activeCell="U11" sqref="U11"/>
    </sheetView>
  </sheetViews>
  <sheetFormatPr defaultColWidth="9.140625" defaultRowHeight="12.75"/>
  <cols>
    <col min="1" max="1" width="5.42578125" style="134" customWidth="1"/>
    <col min="2" max="2" width="8" style="134" customWidth="1"/>
    <col min="3" max="3" width="33.42578125" style="134" customWidth="1"/>
    <col min="4" max="4" width="5.42578125" style="8" customWidth="1"/>
    <col min="5" max="5" width="14" style="4" customWidth="1"/>
    <col min="6" max="6" width="12" style="197" customWidth="1"/>
    <col min="7" max="7" width="14" style="7" hidden="1" customWidth="1"/>
    <col min="8" max="8" width="12.7109375" style="7" customWidth="1"/>
    <col min="9" max="10" width="15.28515625" style="131" hidden="1" customWidth="1"/>
    <col min="11" max="12" width="15.42578125" style="205" customWidth="1"/>
    <col min="13" max="13" width="11.140625" style="71" customWidth="1"/>
    <col min="14" max="14" width="11.7109375" style="134" customWidth="1"/>
    <col min="15" max="15" width="17.5703125" style="134" customWidth="1"/>
    <col min="16" max="16" width="17.140625" style="134" customWidth="1"/>
    <col min="17" max="17" width="22" style="134" customWidth="1"/>
    <col min="18" max="16384" width="9.140625" style="134"/>
  </cols>
  <sheetData>
    <row r="1" spans="1:253" s="9" customFormat="1" ht="20.100000000000001" customHeight="1">
      <c r="C1" s="264" t="s">
        <v>26</v>
      </c>
      <c r="D1" s="264"/>
      <c r="E1" s="264"/>
      <c r="F1" s="264"/>
      <c r="G1" s="12"/>
      <c r="H1" s="12"/>
      <c r="I1" s="12"/>
      <c r="J1" s="12"/>
      <c r="K1" s="201"/>
      <c r="L1" s="201"/>
      <c r="M1" s="71"/>
      <c r="N1" s="10"/>
      <c r="O1" s="8"/>
      <c r="P1" s="8"/>
      <c r="Q1" s="8"/>
    </row>
    <row r="2" spans="1:253" s="9" customFormat="1" ht="20.100000000000001" customHeight="1">
      <c r="C2" s="265" t="s">
        <v>27</v>
      </c>
      <c r="D2" s="265"/>
      <c r="E2" s="265"/>
      <c r="F2" s="265"/>
      <c r="G2" s="13"/>
      <c r="H2" s="13"/>
      <c r="I2" s="13"/>
      <c r="J2" s="13"/>
      <c r="K2" s="202"/>
      <c r="L2" s="202"/>
      <c r="M2" s="71"/>
      <c r="N2" s="10"/>
      <c r="O2" s="8"/>
      <c r="P2" s="198"/>
      <c r="Q2" s="8"/>
    </row>
    <row r="3" spans="1:253" s="9" customFormat="1" ht="20.100000000000001" customHeight="1">
      <c r="C3" s="11" t="s">
        <v>28</v>
      </c>
      <c r="D3" s="47"/>
      <c r="E3" s="11"/>
      <c r="F3" s="135"/>
      <c r="I3" s="11"/>
      <c r="J3" s="11"/>
      <c r="K3" s="203"/>
      <c r="L3" s="203"/>
      <c r="M3" s="71"/>
      <c r="N3" s="10"/>
      <c r="O3" s="8"/>
      <c r="P3" s="250"/>
      <c r="Q3" s="250"/>
    </row>
    <row r="4" spans="1:253" ht="45" customHeight="1">
      <c r="A4" s="260" t="s">
        <v>62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</row>
    <row r="5" spans="1:253" ht="18" customHeight="1">
      <c r="A5" s="261" t="s">
        <v>90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</row>
    <row r="6" spans="1:253" ht="11.25" customHeight="1">
      <c r="C6" s="44"/>
      <c r="D6" s="73"/>
      <c r="E6" s="44"/>
      <c r="F6" s="136"/>
      <c r="G6" s="44"/>
      <c r="H6" s="44"/>
      <c r="I6" s="44"/>
      <c r="J6" s="44"/>
      <c r="K6" s="204"/>
      <c r="L6" s="204"/>
      <c r="M6" s="72"/>
      <c r="N6" s="44"/>
      <c r="O6" s="44"/>
      <c r="P6" s="44"/>
      <c r="Q6" s="44"/>
    </row>
    <row r="7" spans="1:253" s="3" customFormat="1" ht="57" customHeight="1">
      <c r="A7" s="6" t="s">
        <v>30</v>
      </c>
      <c r="B7" s="6" t="s">
        <v>34</v>
      </c>
      <c r="C7" s="6" t="s">
        <v>0</v>
      </c>
      <c r="D7" s="6" t="s">
        <v>1</v>
      </c>
      <c r="E7" s="6" t="s">
        <v>29</v>
      </c>
      <c r="F7" s="137" t="s">
        <v>61</v>
      </c>
      <c r="G7" s="98" t="s">
        <v>57</v>
      </c>
      <c r="H7" s="98" t="s">
        <v>65</v>
      </c>
      <c r="I7" s="98" t="s">
        <v>66</v>
      </c>
      <c r="J7" s="98" t="s">
        <v>85</v>
      </c>
      <c r="K7" s="98" t="s">
        <v>86</v>
      </c>
      <c r="L7" s="98" t="s">
        <v>91</v>
      </c>
      <c r="M7" s="6" t="s">
        <v>32</v>
      </c>
      <c r="N7" s="6" t="s">
        <v>25</v>
      </c>
      <c r="O7" s="6" t="s">
        <v>24</v>
      </c>
      <c r="P7" s="262" t="s">
        <v>33</v>
      </c>
      <c r="Q7" s="263"/>
    </row>
    <row r="8" spans="1:253" s="14" customFormat="1" ht="24.95" customHeight="1">
      <c r="A8" s="99">
        <f>ROW()-7</f>
        <v>1</v>
      </c>
      <c r="B8" s="206" t="s">
        <v>35</v>
      </c>
      <c r="C8" s="31" t="s">
        <v>2</v>
      </c>
      <c r="D8" s="56" t="s">
        <v>3</v>
      </c>
      <c r="E8" s="40">
        <v>46615</v>
      </c>
      <c r="F8" s="138">
        <v>2367</v>
      </c>
      <c r="G8" s="78">
        <v>4922</v>
      </c>
      <c r="H8" s="78">
        <v>2413</v>
      </c>
      <c r="I8" s="78">
        <v>162</v>
      </c>
      <c r="J8" s="78">
        <v>142</v>
      </c>
      <c r="K8" s="78">
        <v>21</v>
      </c>
      <c r="L8" s="70">
        <v>29</v>
      </c>
      <c r="M8" s="94">
        <v>6.6109589041095891</v>
      </c>
      <c r="N8" s="78">
        <v>373.31951927061749</v>
      </c>
      <c r="O8" s="139">
        <v>46440.319519270619</v>
      </c>
      <c r="P8" s="106" t="str">
        <f ca="1">IF(E8="","Hết hàng",IF((E8-TODAY())&lt;=365,"hàng cận date","Bình thường"))</f>
        <v>Bình thường</v>
      </c>
      <c r="Q8" s="106"/>
      <c r="R8" s="25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</row>
    <row r="9" spans="1:253" s="14" customFormat="1" ht="24.95" customHeight="1">
      <c r="A9" s="99">
        <f t="shared" ref="A9:A30" si="0">ROW()-7</f>
        <v>2</v>
      </c>
      <c r="B9" s="207" t="s">
        <v>36</v>
      </c>
      <c r="C9" s="15" t="s">
        <v>4</v>
      </c>
      <c r="D9" s="48" t="s">
        <v>5</v>
      </c>
      <c r="E9" s="33">
        <v>46502</v>
      </c>
      <c r="F9" s="248">
        <v>0</v>
      </c>
      <c r="G9" s="92">
        <v>27637</v>
      </c>
      <c r="H9" s="124">
        <v>15689</v>
      </c>
      <c r="I9" s="124">
        <v>550</v>
      </c>
      <c r="J9" s="124">
        <v>696</v>
      </c>
      <c r="K9" s="124">
        <v>210</v>
      </c>
      <c r="L9" s="93">
        <v>131</v>
      </c>
      <c r="M9" s="141">
        <v>42.983561643835614</v>
      </c>
      <c r="N9" s="124">
        <v>16.471413091975272</v>
      </c>
      <c r="O9" s="142">
        <v>46083.471413091975</v>
      </c>
      <c r="P9" s="106" t="str">
        <f t="shared" ref="P9:P30" ca="1" si="1">IF(E9="","Hết hàng",IF((E9-TODAY())&lt;=365,"hàng cận date","Bình thường"))</f>
        <v>Bình thường</v>
      </c>
      <c r="Q9" s="13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</row>
    <row r="10" spans="1:253" s="16" customFormat="1" ht="24.95" customHeight="1">
      <c r="A10" s="99">
        <f t="shared" si="0"/>
        <v>3</v>
      </c>
      <c r="B10" s="208" t="s">
        <v>37</v>
      </c>
      <c r="C10" s="15" t="s">
        <v>6</v>
      </c>
      <c r="D10" s="48" t="s">
        <v>5</v>
      </c>
      <c r="E10" s="33">
        <v>46502</v>
      </c>
      <c r="F10" s="248">
        <v>1</v>
      </c>
      <c r="G10" s="90">
        <v>17532</v>
      </c>
      <c r="H10" s="90">
        <v>10837</v>
      </c>
      <c r="I10" s="90">
        <v>766</v>
      </c>
      <c r="J10" s="90">
        <v>809</v>
      </c>
      <c r="K10" s="90">
        <v>27</v>
      </c>
      <c r="L10" s="91">
        <v>3</v>
      </c>
      <c r="M10" s="143">
        <v>29.69041095890411</v>
      </c>
      <c r="N10" s="90">
        <v>9.0601642520992893</v>
      </c>
      <c r="O10" s="144">
        <v>46076.0601642521</v>
      </c>
      <c r="P10" s="106" t="str">
        <f t="shared" ca="1" si="1"/>
        <v>Bình thường</v>
      </c>
      <c r="Q10" s="13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</row>
    <row r="11" spans="1:253" s="17" customFormat="1" ht="24.95" customHeight="1">
      <c r="A11" s="99">
        <f t="shared" si="0"/>
        <v>4</v>
      </c>
      <c r="B11" s="206" t="s">
        <v>38</v>
      </c>
      <c r="C11" s="100" t="s">
        <v>17</v>
      </c>
      <c r="D11" s="101" t="s">
        <v>5</v>
      </c>
      <c r="E11" s="102">
        <v>46887</v>
      </c>
      <c r="F11" s="145">
        <v>1720</v>
      </c>
      <c r="G11" s="103">
        <v>3995</v>
      </c>
      <c r="H11" s="103">
        <v>2054</v>
      </c>
      <c r="I11" s="103">
        <v>481</v>
      </c>
      <c r="J11" s="103">
        <v>108</v>
      </c>
      <c r="K11" s="103">
        <v>19</v>
      </c>
      <c r="L11" s="104">
        <v>19</v>
      </c>
      <c r="M11" s="146">
        <v>5.6273972602739724</v>
      </c>
      <c r="N11" s="103">
        <v>306.89143135345671</v>
      </c>
      <c r="O11" s="147">
        <v>46373.891431353455</v>
      </c>
      <c r="P11" s="106" t="str">
        <f t="shared" ca="1" si="1"/>
        <v>Bình thường</v>
      </c>
      <c r="Q11" s="105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</row>
    <row r="12" spans="1:253" s="17" customFormat="1" ht="24.95" customHeight="1">
      <c r="A12" s="99">
        <f t="shared" si="0"/>
        <v>5</v>
      </c>
      <c r="B12" s="207" t="s">
        <v>39</v>
      </c>
      <c r="C12" s="100" t="s">
        <v>22</v>
      </c>
      <c r="D12" s="101" t="s">
        <v>5</v>
      </c>
      <c r="E12" s="102">
        <v>46887</v>
      </c>
      <c r="F12" s="148">
        <v>5070</v>
      </c>
      <c r="G12" s="105">
        <v>22181</v>
      </c>
      <c r="H12" s="103">
        <v>11099</v>
      </c>
      <c r="I12" s="103">
        <v>2200</v>
      </c>
      <c r="J12" s="103">
        <v>568</v>
      </c>
      <c r="K12" s="103">
        <v>88</v>
      </c>
      <c r="L12" s="104">
        <v>260</v>
      </c>
      <c r="M12" s="146">
        <v>30.408219178082192</v>
      </c>
      <c r="N12" s="103">
        <v>188.43589512568701</v>
      </c>
      <c r="O12" s="147">
        <v>46255.435895125687</v>
      </c>
      <c r="P12" s="106" t="str">
        <f t="shared" ca="1" si="1"/>
        <v>Bình thường</v>
      </c>
      <c r="Q12" s="105"/>
      <c r="R12" s="251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</row>
    <row r="13" spans="1:253" s="41" customFormat="1" ht="24.95" customHeight="1">
      <c r="A13" s="99">
        <f t="shared" si="0"/>
        <v>6</v>
      </c>
      <c r="B13" s="207" t="s">
        <v>40</v>
      </c>
      <c r="C13" s="95" t="s">
        <v>19</v>
      </c>
      <c r="D13" s="96" t="s">
        <v>5</v>
      </c>
      <c r="E13" s="97">
        <v>46257</v>
      </c>
      <c r="F13" s="149">
        <v>7999</v>
      </c>
      <c r="G13" s="120">
        <v>6000</v>
      </c>
      <c r="H13" s="120">
        <v>3423</v>
      </c>
      <c r="I13" s="120">
        <v>820</v>
      </c>
      <c r="J13" s="120">
        <v>254</v>
      </c>
      <c r="K13" s="120">
        <v>66</v>
      </c>
      <c r="L13" s="119">
        <v>116</v>
      </c>
      <c r="M13" s="121">
        <v>9.3780821917808215</v>
      </c>
      <c r="N13" s="120">
        <v>878.96435874963481</v>
      </c>
      <c r="O13" s="150">
        <v>46945.964358749632</v>
      </c>
      <c r="P13" s="249" t="str">
        <f ca="1">IF(E13="","Hết hàng",IF((E13-TODAY())&lt;=365,"Hàng cận date","bình thường"))</f>
        <v>Hàng cận date</v>
      </c>
      <c r="Q13" s="132">
        <f ca="1">E13-TODAY()</f>
        <v>161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253" s="18" customFormat="1" ht="24" customHeight="1">
      <c r="A14" s="99">
        <f t="shared" si="0"/>
        <v>7</v>
      </c>
      <c r="B14" s="207" t="s">
        <v>41</v>
      </c>
      <c r="C14" s="65" t="s">
        <v>7</v>
      </c>
      <c r="D14" s="49" t="s">
        <v>5</v>
      </c>
      <c r="E14" s="66">
        <v>46700</v>
      </c>
      <c r="F14" s="151">
        <v>6345</v>
      </c>
      <c r="G14" s="81">
        <v>1904</v>
      </c>
      <c r="H14" s="125">
        <v>985</v>
      </c>
      <c r="I14" s="125">
        <v>119</v>
      </c>
      <c r="J14" s="125">
        <v>128</v>
      </c>
      <c r="K14" s="125">
        <v>16</v>
      </c>
      <c r="L14" s="82">
        <v>47</v>
      </c>
      <c r="M14" s="152">
        <v>2.6986301369863015</v>
      </c>
      <c r="N14" s="125">
        <v>2407.8883248730963</v>
      </c>
      <c r="O14" s="153">
        <v>48474.8883248731</v>
      </c>
      <c r="P14" s="106" t="str">
        <f t="shared" ca="1" si="1"/>
        <v>Bình thường</v>
      </c>
      <c r="Q14" s="8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</row>
    <row r="15" spans="1:253" s="19" customFormat="1" ht="24.95" customHeight="1">
      <c r="A15" s="99">
        <f t="shared" si="0"/>
        <v>8</v>
      </c>
      <c r="B15" s="207" t="s">
        <v>42</v>
      </c>
      <c r="C15" s="20" t="s">
        <v>21</v>
      </c>
      <c r="D15" s="50" t="s">
        <v>5</v>
      </c>
      <c r="E15" s="34">
        <v>46821</v>
      </c>
      <c r="F15" s="154">
        <v>21574</v>
      </c>
      <c r="G15" s="79">
        <v>21179</v>
      </c>
      <c r="H15" s="79">
        <v>14340</v>
      </c>
      <c r="I15" s="79">
        <v>703</v>
      </c>
      <c r="J15" s="79">
        <v>526</v>
      </c>
      <c r="K15" s="79">
        <v>325</v>
      </c>
      <c r="L15" s="77">
        <v>545</v>
      </c>
      <c r="M15" s="156">
        <v>39.287671232876711</v>
      </c>
      <c r="N15" s="79">
        <v>577.0767085076709</v>
      </c>
      <c r="O15" s="157">
        <v>46644.076708507673</v>
      </c>
      <c r="P15" s="106" t="str">
        <f t="shared" ca="1" si="1"/>
        <v>Bình thường</v>
      </c>
      <c r="Q15" s="155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</row>
    <row r="16" spans="1:253" s="19" customFormat="1" ht="24.95" customHeight="1">
      <c r="A16" s="99">
        <f t="shared" si="0"/>
        <v>9</v>
      </c>
      <c r="B16" s="207" t="s">
        <v>43</v>
      </c>
      <c r="C16" s="20" t="s">
        <v>16</v>
      </c>
      <c r="D16" s="50" t="s">
        <v>5</v>
      </c>
      <c r="E16" s="34">
        <v>46821</v>
      </c>
      <c r="F16" s="154">
        <v>3462</v>
      </c>
      <c r="G16" s="75">
        <v>3852</v>
      </c>
      <c r="H16" s="75">
        <v>1819</v>
      </c>
      <c r="I16" s="75">
        <v>111</v>
      </c>
      <c r="J16" s="75">
        <v>141</v>
      </c>
      <c r="K16" s="75">
        <v>7</v>
      </c>
      <c r="L16" s="59">
        <v>99</v>
      </c>
      <c r="M16" s="158">
        <v>4.9835616438356167</v>
      </c>
      <c r="N16" s="75">
        <v>730.80263881253427</v>
      </c>
      <c r="O16" s="159">
        <v>46797.802638812536</v>
      </c>
      <c r="P16" s="106" t="str">
        <f t="shared" ca="1" si="1"/>
        <v>Bình thường</v>
      </c>
      <c r="Q16" s="155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</row>
    <row r="17" spans="1:253" s="16" customFormat="1" ht="33.75" customHeight="1">
      <c r="A17" s="99">
        <f t="shared" si="0"/>
        <v>10</v>
      </c>
      <c r="B17" s="207" t="s">
        <v>44</v>
      </c>
      <c r="C17" s="15" t="s">
        <v>8</v>
      </c>
      <c r="D17" s="48" t="s">
        <v>5</v>
      </c>
      <c r="E17" s="69">
        <v>46703</v>
      </c>
      <c r="F17" s="140">
        <v>0</v>
      </c>
      <c r="G17" s="133">
        <v>8407</v>
      </c>
      <c r="H17" s="90">
        <v>4487</v>
      </c>
      <c r="I17" s="90">
        <v>22</v>
      </c>
      <c r="J17" s="90">
        <v>32</v>
      </c>
      <c r="K17" s="90">
        <v>118</v>
      </c>
      <c r="L17" s="91">
        <v>0</v>
      </c>
      <c r="M17" s="143">
        <v>12.293150684931506</v>
      </c>
      <c r="N17" s="90">
        <v>8.1346110987296646E-2</v>
      </c>
      <c r="O17" s="144">
        <v>46067.081346110986</v>
      </c>
      <c r="P17" s="106" t="str">
        <f t="shared" ca="1" si="1"/>
        <v>Bình thường</v>
      </c>
      <c r="Q17" s="13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</row>
    <row r="18" spans="1:253" s="21" customFormat="1" ht="24.95" customHeight="1">
      <c r="A18" s="99">
        <f t="shared" si="0"/>
        <v>11</v>
      </c>
      <c r="B18" s="206" t="s">
        <v>45</v>
      </c>
      <c r="C18" s="22" t="s">
        <v>9</v>
      </c>
      <c r="D18" s="51" t="s">
        <v>5</v>
      </c>
      <c r="E18" s="35">
        <v>46779</v>
      </c>
      <c r="F18" s="160">
        <v>10275</v>
      </c>
      <c r="G18" s="110">
        <v>10052</v>
      </c>
      <c r="H18" s="126">
        <v>5866</v>
      </c>
      <c r="I18" s="126">
        <v>470</v>
      </c>
      <c r="J18" s="126">
        <v>568</v>
      </c>
      <c r="K18" s="126">
        <v>72</v>
      </c>
      <c r="L18" s="60">
        <v>281</v>
      </c>
      <c r="M18" s="161">
        <v>16.07123287671233</v>
      </c>
      <c r="N18" s="126">
        <v>677.17269007841799</v>
      </c>
      <c r="O18" s="162">
        <v>46744.17269007842</v>
      </c>
      <c r="P18" s="106" t="str">
        <f t="shared" ca="1" si="1"/>
        <v>Bình thường</v>
      </c>
      <c r="Q18" s="110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</row>
    <row r="19" spans="1:253" s="23" customFormat="1" ht="24.95" customHeight="1">
      <c r="A19" s="99">
        <f t="shared" si="0"/>
        <v>12</v>
      </c>
      <c r="B19" s="206" t="s">
        <v>46</v>
      </c>
      <c r="C19" s="24" t="s">
        <v>18</v>
      </c>
      <c r="D19" s="52" t="s">
        <v>3</v>
      </c>
      <c r="E19" s="36">
        <v>46722</v>
      </c>
      <c r="F19" s="163">
        <v>558</v>
      </c>
      <c r="G19" s="164">
        <v>31466</v>
      </c>
      <c r="H19" s="127">
        <v>24141</v>
      </c>
      <c r="I19" s="127">
        <v>1011</v>
      </c>
      <c r="J19" s="127">
        <v>1344</v>
      </c>
      <c r="K19" s="127">
        <v>154</v>
      </c>
      <c r="L19" s="61">
        <v>486</v>
      </c>
      <c r="M19" s="165">
        <v>66.139726027397259</v>
      </c>
      <c r="N19" s="127">
        <v>28.152520608094115</v>
      </c>
      <c r="O19" s="166">
        <v>46095.152520608091</v>
      </c>
      <c r="P19" s="106" t="str">
        <f t="shared" ca="1" si="1"/>
        <v>Bình thường</v>
      </c>
      <c r="Q19" s="164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</row>
    <row r="20" spans="1:253" s="25" customFormat="1" ht="24.95" customHeight="1">
      <c r="A20" s="99">
        <f t="shared" si="0"/>
        <v>13</v>
      </c>
      <c r="B20" s="207" t="s">
        <v>47</v>
      </c>
      <c r="C20" s="26" t="s">
        <v>10</v>
      </c>
      <c r="D20" s="53" t="s">
        <v>3</v>
      </c>
      <c r="E20" s="37">
        <v>46687</v>
      </c>
      <c r="F20" s="167">
        <v>2548</v>
      </c>
      <c r="G20" s="80">
        <v>24284</v>
      </c>
      <c r="H20" s="128">
        <v>17527</v>
      </c>
      <c r="I20" s="128">
        <v>779</v>
      </c>
      <c r="J20" s="128">
        <v>659</v>
      </c>
      <c r="K20" s="128">
        <v>175</v>
      </c>
      <c r="L20" s="111">
        <v>330</v>
      </c>
      <c r="M20" s="168">
        <v>48.019178082191779</v>
      </c>
      <c r="N20" s="128">
        <v>67.896483520663367</v>
      </c>
      <c r="O20" s="169">
        <v>46134.896483520664</v>
      </c>
      <c r="P20" s="106" t="str">
        <f t="shared" ca="1" si="1"/>
        <v>Bình thường</v>
      </c>
      <c r="Q20" s="80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</row>
    <row r="21" spans="1:253" s="25" customFormat="1" ht="24.95" customHeight="1">
      <c r="A21" s="99">
        <f t="shared" si="0"/>
        <v>14</v>
      </c>
      <c r="B21" s="207" t="s">
        <v>48</v>
      </c>
      <c r="C21" s="26" t="s">
        <v>11</v>
      </c>
      <c r="D21" s="53" t="s">
        <v>3</v>
      </c>
      <c r="E21" s="37">
        <v>46687</v>
      </c>
      <c r="F21" s="167">
        <v>0</v>
      </c>
      <c r="G21" s="76">
        <v>21353</v>
      </c>
      <c r="H21" s="76">
        <v>17610</v>
      </c>
      <c r="I21" s="76">
        <v>717</v>
      </c>
      <c r="J21" s="76">
        <v>1237</v>
      </c>
      <c r="K21" s="76">
        <v>65</v>
      </c>
      <c r="L21" s="62">
        <v>295</v>
      </c>
      <c r="M21" s="170">
        <v>48.246575342465754</v>
      </c>
      <c r="N21" s="76">
        <v>1.803236797274276</v>
      </c>
      <c r="O21" s="171">
        <v>46068.803236797277</v>
      </c>
      <c r="P21" s="106" t="str">
        <f t="shared" ca="1" si="1"/>
        <v>Bình thường</v>
      </c>
      <c r="Q21" s="80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</row>
    <row r="22" spans="1:253" s="27" customFormat="1" ht="24.95" customHeight="1">
      <c r="A22" s="99">
        <f t="shared" si="0"/>
        <v>15</v>
      </c>
      <c r="B22" s="207" t="s">
        <v>49</v>
      </c>
      <c r="C22" s="28" t="s">
        <v>20</v>
      </c>
      <c r="D22" s="54" t="s">
        <v>3</v>
      </c>
      <c r="E22" s="38">
        <v>46626</v>
      </c>
      <c r="F22" s="174">
        <v>7958</v>
      </c>
      <c r="G22" s="67">
        <v>16549</v>
      </c>
      <c r="H22" s="67">
        <v>4734</v>
      </c>
      <c r="I22" s="67">
        <v>677</v>
      </c>
      <c r="J22" s="67">
        <v>837</v>
      </c>
      <c r="K22" s="67">
        <v>67</v>
      </c>
      <c r="L22" s="63">
        <v>496</v>
      </c>
      <c r="M22" s="175">
        <v>12.96986301369863</v>
      </c>
      <c r="N22" s="67">
        <v>681.78566399098725</v>
      </c>
      <c r="O22" s="176">
        <v>46748.785663990988</v>
      </c>
      <c r="P22" s="106" t="str">
        <f t="shared" ca="1" si="1"/>
        <v>Bình thường</v>
      </c>
      <c r="Q22" s="177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</row>
    <row r="23" spans="1:253" s="42" customFormat="1" ht="24.95" customHeight="1">
      <c r="A23" s="99">
        <f t="shared" si="0"/>
        <v>16</v>
      </c>
      <c r="B23" s="207" t="s">
        <v>50</v>
      </c>
      <c r="C23" s="95" t="s">
        <v>15</v>
      </c>
      <c r="D23" s="96" t="s">
        <v>5</v>
      </c>
      <c r="E23" s="97">
        <v>46415</v>
      </c>
      <c r="F23" s="149">
        <v>13607</v>
      </c>
      <c r="G23" s="120">
        <v>2585</v>
      </c>
      <c r="H23" s="120">
        <v>1411</v>
      </c>
      <c r="I23" s="120">
        <v>939</v>
      </c>
      <c r="J23" s="120">
        <v>64</v>
      </c>
      <c r="K23" s="120">
        <v>27</v>
      </c>
      <c r="L23" s="119">
        <v>10</v>
      </c>
      <c r="M23" s="121">
        <v>3.8657534246575342</v>
      </c>
      <c r="N23" s="120">
        <v>3532.5584691708009</v>
      </c>
      <c r="O23" s="179">
        <v>49599.558469170799</v>
      </c>
      <c r="P23" s="249" t="str">
        <f ca="1">IF(E23="","Hết hàng",IF((E23-TODAY())&lt;=365,"Hàng cận date","bình thường"))</f>
        <v>Hàng cận date</v>
      </c>
      <c r="Q23" s="132">
        <f ca="1">E23-TODAY()</f>
        <v>319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</row>
    <row r="24" spans="1:253" s="29" customFormat="1" ht="24.95" customHeight="1">
      <c r="A24" s="99">
        <f t="shared" si="0"/>
        <v>17</v>
      </c>
      <c r="B24" s="207" t="s">
        <v>51</v>
      </c>
      <c r="C24" s="95" t="s">
        <v>12</v>
      </c>
      <c r="D24" s="96" t="s">
        <v>5</v>
      </c>
      <c r="E24" s="97">
        <v>46226</v>
      </c>
      <c r="F24" s="149">
        <v>25</v>
      </c>
      <c r="G24" s="120">
        <v>7836</v>
      </c>
      <c r="H24" s="120">
        <v>3281</v>
      </c>
      <c r="I24" s="120">
        <v>0</v>
      </c>
      <c r="J24" s="120">
        <v>0</v>
      </c>
      <c r="K24" s="120">
        <v>0</v>
      </c>
      <c r="L24" s="119">
        <v>0</v>
      </c>
      <c r="M24" s="121">
        <v>8.9890410958904106</v>
      </c>
      <c r="N24" s="120">
        <v>2.7811642791831761</v>
      </c>
      <c r="O24" s="179">
        <v>46069.781164279186</v>
      </c>
      <c r="P24" s="249" t="str">
        <f ca="1">IF(E24="","Hết hàng",IF((E24-TODAY())&lt;=365,"Hàng cận date","bình thường"))</f>
        <v>Hàng cận date</v>
      </c>
      <c r="Q24" s="132">
        <f ca="1">E24-TODAY()</f>
        <v>130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</row>
    <row r="25" spans="1:253" s="29" customFormat="1" ht="24.95" customHeight="1">
      <c r="A25" s="99">
        <f t="shared" si="0"/>
        <v>18</v>
      </c>
      <c r="B25" s="207" t="s">
        <v>52</v>
      </c>
      <c r="C25" s="57" t="s">
        <v>31</v>
      </c>
      <c r="D25" s="55" t="s">
        <v>3</v>
      </c>
      <c r="E25" s="39">
        <v>46750</v>
      </c>
      <c r="F25" s="180">
        <v>5618</v>
      </c>
      <c r="G25" s="129">
        <v>1363</v>
      </c>
      <c r="H25" s="129">
        <v>1524</v>
      </c>
      <c r="I25" s="129">
        <v>59</v>
      </c>
      <c r="J25" s="129">
        <v>136</v>
      </c>
      <c r="K25" s="129">
        <v>9</v>
      </c>
      <c r="L25" s="64">
        <v>26</v>
      </c>
      <c r="M25" s="181">
        <v>4.1753424657534248</v>
      </c>
      <c r="N25" s="129">
        <v>1908.9531933508313</v>
      </c>
      <c r="O25" s="182">
        <v>47975.953193350833</v>
      </c>
      <c r="P25" s="106" t="str">
        <f t="shared" ca="1" si="1"/>
        <v>Bình thường</v>
      </c>
      <c r="Q25" s="18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</row>
    <row r="26" spans="1:253" s="30" customFormat="1" ht="24.95" customHeight="1">
      <c r="A26" s="99">
        <f t="shared" si="0"/>
        <v>19</v>
      </c>
      <c r="B26" s="207" t="s">
        <v>53</v>
      </c>
      <c r="C26" s="89" t="s">
        <v>23</v>
      </c>
      <c r="D26" s="106" t="s">
        <v>5</v>
      </c>
      <c r="E26" s="40">
        <v>46802</v>
      </c>
      <c r="F26" s="138">
        <v>11777</v>
      </c>
      <c r="G26" s="106">
        <v>12446</v>
      </c>
      <c r="H26" s="123">
        <v>7378</v>
      </c>
      <c r="I26" s="123">
        <v>368</v>
      </c>
      <c r="J26" s="123">
        <v>586</v>
      </c>
      <c r="K26" s="123">
        <v>150</v>
      </c>
      <c r="L26" s="68">
        <v>118</v>
      </c>
      <c r="M26" s="184">
        <v>20.213698630136985</v>
      </c>
      <c r="N26" s="123">
        <v>607.70669558145846</v>
      </c>
      <c r="O26" s="178">
        <v>46674.706695581459</v>
      </c>
      <c r="P26" s="106" t="str">
        <f t="shared" ca="1" si="1"/>
        <v>Bình thường</v>
      </c>
      <c r="Q26" s="122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</row>
    <row r="27" spans="1:253" s="30" customFormat="1" ht="24.95" customHeight="1">
      <c r="A27" s="99">
        <f t="shared" si="0"/>
        <v>20</v>
      </c>
      <c r="B27" s="207" t="s">
        <v>54</v>
      </c>
      <c r="C27" s="89" t="s">
        <v>60</v>
      </c>
      <c r="D27" s="106" t="s">
        <v>3</v>
      </c>
      <c r="E27" s="40">
        <v>46802</v>
      </c>
      <c r="F27" s="138">
        <v>11060</v>
      </c>
      <c r="G27" s="78">
        <v>8360</v>
      </c>
      <c r="H27" s="78">
        <v>4417</v>
      </c>
      <c r="I27" s="123">
        <v>157</v>
      </c>
      <c r="J27" s="123">
        <v>491</v>
      </c>
      <c r="K27" s="123">
        <v>21</v>
      </c>
      <c r="L27" s="68">
        <v>33</v>
      </c>
      <c r="M27" s="184">
        <v>15.283363802559416</v>
      </c>
      <c r="N27" s="123">
        <v>748.11192185007963</v>
      </c>
      <c r="O27" s="178">
        <v>46815.111921850083</v>
      </c>
      <c r="P27" s="106" t="str">
        <f t="shared" ca="1" si="1"/>
        <v>Bình thường</v>
      </c>
      <c r="Q27" s="122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</row>
    <row r="28" spans="1:253" s="32" customFormat="1" ht="24.95" customHeight="1">
      <c r="A28" s="99">
        <f t="shared" si="0"/>
        <v>21</v>
      </c>
      <c r="B28" s="206" t="s">
        <v>55</v>
      </c>
      <c r="C28" s="242" t="s">
        <v>13</v>
      </c>
      <c r="D28" s="243" t="s">
        <v>5</v>
      </c>
      <c r="E28" s="244">
        <v>46800</v>
      </c>
      <c r="F28" s="172">
        <v>11106</v>
      </c>
      <c r="G28" s="173"/>
      <c r="H28" s="239">
        <v>527</v>
      </c>
      <c r="I28" s="239">
        <v>98</v>
      </c>
      <c r="J28" s="239">
        <v>139</v>
      </c>
      <c r="K28" s="239">
        <v>26</v>
      </c>
      <c r="L28" s="240">
        <v>119</v>
      </c>
      <c r="M28" s="241">
        <v>9.8244972577696519</v>
      </c>
      <c r="N28" s="239">
        <v>1151.9164495720136</v>
      </c>
      <c r="O28" s="245"/>
      <c r="P28" s="106" t="str">
        <f t="shared" ca="1" si="1"/>
        <v>Bình thường</v>
      </c>
      <c r="Q28" s="2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</row>
    <row r="29" spans="1:253" s="43" customFormat="1" ht="24.95" customHeight="1">
      <c r="A29" s="99">
        <f t="shared" si="0"/>
        <v>22</v>
      </c>
      <c r="B29" s="206" t="s">
        <v>56</v>
      </c>
      <c r="C29" s="112" t="s">
        <v>14</v>
      </c>
      <c r="D29" s="113" t="s">
        <v>3</v>
      </c>
      <c r="E29" s="247">
        <v>46800</v>
      </c>
      <c r="F29" s="172">
        <v>3679</v>
      </c>
      <c r="G29" s="173"/>
      <c r="H29" s="239">
        <v>277</v>
      </c>
      <c r="I29" s="239">
        <v>27</v>
      </c>
      <c r="J29" s="239">
        <v>54</v>
      </c>
      <c r="K29" s="239">
        <v>30</v>
      </c>
      <c r="L29" s="240">
        <v>26</v>
      </c>
      <c r="M29" s="241">
        <v>2.8884826325411335</v>
      </c>
      <c r="N29" s="239">
        <v>1302.7601265822784</v>
      </c>
      <c r="O29" s="245"/>
      <c r="P29" s="106" t="str">
        <f t="shared" ca="1" si="1"/>
        <v>Bình thường</v>
      </c>
      <c r="Q29" s="246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</row>
    <row r="30" spans="1:253" s="43" customFormat="1" ht="24.95" customHeight="1">
      <c r="A30" s="99">
        <f t="shared" si="0"/>
        <v>23</v>
      </c>
      <c r="B30" s="206" t="s">
        <v>63</v>
      </c>
      <c r="C30" s="109" t="s">
        <v>64</v>
      </c>
      <c r="D30" s="108" t="s">
        <v>3</v>
      </c>
      <c r="E30" s="117">
        <v>46750</v>
      </c>
      <c r="F30" s="185">
        <v>7673</v>
      </c>
      <c r="G30" s="186"/>
      <c r="H30" s="130">
        <v>2935</v>
      </c>
      <c r="I30" s="130">
        <v>359</v>
      </c>
      <c r="J30" s="130">
        <v>750</v>
      </c>
      <c r="K30" s="130">
        <v>216</v>
      </c>
      <c r="L30" s="107">
        <v>92</v>
      </c>
      <c r="M30" s="187">
        <v>8.0410958904109595</v>
      </c>
      <c r="N30" s="130">
        <v>755.79250425894372</v>
      </c>
      <c r="O30" s="188"/>
      <c r="P30" s="106" t="str">
        <f t="shared" ca="1" si="1"/>
        <v>Bình thường</v>
      </c>
      <c r="Q30" s="18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</row>
    <row r="31" spans="1:253" s="46" customFormat="1" ht="30" customHeight="1">
      <c r="A31" s="259" t="s">
        <v>61</v>
      </c>
      <c r="B31" s="259"/>
      <c r="C31" s="259"/>
      <c r="D31" s="259"/>
      <c r="E31" s="259"/>
      <c r="F31" s="45">
        <f>SUM(F8:F30)</f>
        <v>134422</v>
      </c>
      <c r="G31" s="189">
        <v>310738</v>
      </c>
      <c r="H31" s="45">
        <v>186030</v>
      </c>
      <c r="I31" s="45">
        <v>12070</v>
      </c>
      <c r="J31" s="45">
        <f>SUM(J8:J30)</f>
        <v>10269</v>
      </c>
      <c r="K31" s="45">
        <f>SUM(K8:K30)</f>
        <v>1909</v>
      </c>
      <c r="L31" s="45">
        <f>SUM(L8:L30)</f>
        <v>3561</v>
      </c>
      <c r="M31" s="191"/>
      <c r="N31" s="190"/>
      <c r="O31" s="192"/>
      <c r="P31" s="114"/>
      <c r="Q31" s="114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</row>
    <row r="32" spans="1:253">
      <c r="C32"/>
      <c r="D32" s="74"/>
      <c r="E32" s="5"/>
      <c r="F32" s="193"/>
      <c r="N32" s="194"/>
      <c r="O32" s="195"/>
      <c r="P32" s="196"/>
      <c r="Q32" s="196"/>
    </row>
    <row r="33" spans="3:17" ht="30">
      <c r="C33" s="86" t="s">
        <v>59</v>
      </c>
      <c r="D33" s="87"/>
      <c r="E33" s="88"/>
      <c r="N33" s="194"/>
      <c r="O33" s="195"/>
      <c r="P33" s="198"/>
      <c r="Q33" s="198"/>
    </row>
    <row r="34" spans="3:17" ht="37.5" customHeight="1">
      <c r="C34" s="83" t="s">
        <v>58</v>
      </c>
      <c r="D34" s="84"/>
      <c r="E34" s="85"/>
      <c r="N34" s="199"/>
      <c r="O34" s="199"/>
      <c r="P34" s="200"/>
      <c r="Q34" s="200"/>
    </row>
    <row r="35" spans="3:17" ht="22.5">
      <c r="C35" s="83"/>
      <c r="D35" s="84"/>
      <c r="E35" s="85"/>
    </row>
    <row r="36" spans="3:17" ht="22.5">
      <c r="C36" s="83"/>
      <c r="D36" s="84"/>
      <c r="E36" s="85"/>
    </row>
  </sheetData>
  <mergeCells count="6">
    <mergeCell ref="A31:E31"/>
    <mergeCell ref="A4:Q4"/>
    <mergeCell ref="A5:Q5"/>
    <mergeCell ref="P7:Q7"/>
    <mergeCell ref="C1:F1"/>
    <mergeCell ref="C2:F2"/>
  </mergeCells>
  <phoneticPr fontId="0" type="noConversion"/>
  <pageMargins left="0.41" right="0" top="0" bottom="0" header="0" footer="0"/>
  <pageSetup paperSize="9" scale="8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7B43-F551-4B6E-A3C0-0494B8AF2C64}">
  <sheetPr>
    <tabColor theme="5" tint="0.39997558519241921"/>
  </sheetPr>
  <dimension ref="A1:IK18"/>
  <sheetViews>
    <sheetView showGridLines="0" zoomScaleNormal="100" workbookViewId="0">
      <selection activeCell="M20" sqref="M20"/>
    </sheetView>
  </sheetViews>
  <sheetFormatPr defaultColWidth="9.140625" defaultRowHeight="12.75"/>
  <cols>
    <col min="1" max="1" width="9.140625" style="134"/>
    <col min="2" max="2" width="5.42578125" style="134" customWidth="1"/>
    <col min="3" max="3" width="12.140625" style="134" customWidth="1"/>
    <col min="4" max="4" width="33.7109375" style="134" customWidth="1"/>
    <col min="5" max="5" width="7.7109375" style="8" customWidth="1"/>
    <col min="6" max="6" width="10.7109375" style="4" customWidth="1"/>
    <col min="7" max="7" width="16.85546875" style="221" customWidth="1"/>
    <col min="8" max="8" width="48.42578125" style="134" customWidth="1"/>
    <col min="9" max="9" width="9.140625" style="134"/>
    <col min="10" max="10" width="11.5703125" style="134" bestFit="1" customWidth="1"/>
    <col min="11" max="16384" width="9.140625" style="134"/>
  </cols>
  <sheetData>
    <row r="1" spans="1:245" s="9" customFormat="1" ht="15">
      <c r="D1" s="264" t="s">
        <v>26</v>
      </c>
      <c r="E1" s="264"/>
      <c r="F1" s="264"/>
      <c r="G1" s="264"/>
    </row>
    <row r="2" spans="1:245" s="9" customFormat="1" ht="20.100000000000001" customHeight="1">
      <c r="D2" s="265" t="s">
        <v>27</v>
      </c>
      <c r="E2" s="265"/>
      <c r="F2" s="265"/>
      <c r="G2" s="265"/>
    </row>
    <row r="3" spans="1:245" s="9" customFormat="1" ht="20.100000000000001" customHeight="1">
      <c r="D3" s="11" t="s">
        <v>28</v>
      </c>
      <c r="E3" s="47"/>
      <c r="F3" s="11"/>
      <c r="G3" s="209"/>
    </row>
    <row r="4" spans="1:245" ht="34.5">
      <c r="B4" s="269" t="s">
        <v>67</v>
      </c>
      <c r="C4" s="269"/>
      <c r="D4" s="269"/>
      <c r="E4" s="269"/>
      <c r="F4" s="269"/>
      <c r="G4" s="269"/>
    </row>
    <row r="5" spans="1:245" ht="23.25" customHeight="1">
      <c r="B5" s="270" t="s">
        <v>90</v>
      </c>
      <c r="C5" s="270"/>
      <c r="D5" s="270"/>
      <c r="E5" s="270"/>
      <c r="F5" s="270"/>
      <c r="G5" s="270"/>
      <c r="H5" s="210"/>
    </row>
    <row r="6" spans="1:245" ht="11.25" customHeight="1">
      <c r="D6" s="44"/>
      <c r="E6" s="73"/>
      <c r="F6" s="44"/>
      <c r="G6" s="211"/>
    </row>
    <row r="7" spans="1:245" s="3" customFormat="1" ht="22.5" customHeight="1">
      <c r="B7" s="212" t="s">
        <v>30</v>
      </c>
      <c r="C7" s="212" t="s">
        <v>34</v>
      </c>
      <c r="D7" s="212" t="s">
        <v>0</v>
      </c>
      <c r="E7" s="212" t="s">
        <v>1</v>
      </c>
      <c r="F7" s="212" t="s">
        <v>29</v>
      </c>
      <c r="G7" s="213" t="s">
        <v>61</v>
      </c>
    </row>
    <row r="8" spans="1:245" s="14" customFormat="1" ht="24.95" customHeight="1">
      <c r="A8" s="3"/>
      <c r="B8" s="214">
        <v>1</v>
      </c>
      <c r="C8" s="214" t="s">
        <v>35</v>
      </c>
      <c r="D8" s="115" t="s">
        <v>2</v>
      </c>
      <c r="E8" s="116" t="s">
        <v>3</v>
      </c>
      <c r="F8" s="215">
        <v>46615</v>
      </c>
      <c r="G8" s="216">
        <f>'TỒN KHO HÀNG NK'!F8</f>
        <v>2367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</row>
    <row r="9" spans="1:245" s="18" customFormat="1" ht="24.95" customHeight="1">
      <c r="A9" s="3"/>
      <c r="B9" s="214">
        <v>2</v>
      </c>
      <c r="C9" s="217" t="s">
        <v>41</v>
      </c>
      <c r="D9" s="115" t="s">
        <v>7</v>
      </c>
      <c r="E9" s="116" t="s">
        <v>5</v>
      </c>
      <c r="F9" s="215">
        <v>46700</v>
      </c>
      <c r="G9" s="218">
        <f>'TỒN KHO HÀNG NK'!F14</f>
        <v>6345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</row>
    <row r="10" spans="1:245" s="21" customFormat="1" ht="24.95" customHeight="1">
      <c r="A10" s="3"/>
      <c r="B10" s="214">
        <v>3</v>
      </c>
      <c r="C10" s="214" t="s">
        <v>45</v>
      </c>
      <c r="D10" s="115" t="s">
        <v>9</v>
      </c>
      <c r="E10" s="116" t="s">
        <v>5</v>
      </c>
      <c r="F10" s="215">
        <v>46779</v>
      </c>
      <c r="G10" s="218">
        <f>'TỒN KHO HÀNG NK'!F18</f>
        <v>10275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</row>
    <row r="11" spans="1:245" s="27" customFormat="1" ht="24.95" customHeight="1">
      <c r="A11" s="3"/>
      <c r="B11" s="214">
        <v>4</v>
      </c>
      <c r="C11" s="217" t="s">
        <v>49</v>
      </c>
      <c r="D11" s="115" t="s">
        <v>20</v>
      </c>
      <c r="E11" s="116" t="s">
        <v>3</v>
      </c>
      <c r="F11" s="215">
        <v>46626</v>
      </c>
      <c r="G11" s="218">
        <v>8875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</row>
    <row r="12" spans="1:245" s="42" customFormat="1" ht="24.95" customHeight="1">
      <c r="A12" s="41"/>
      <c r="B12" s="271">
        <v>5</v>
      </c>
      <c r="C12" s="271" t="s">
        <v>50</v>
      </c>
      <c r="D12" s="273" t="s">
        <v>15</v>
      </c>
      <c r="E12" s="275" t="s">
        <v>5</v>
      </c>
      <c r="F12" s="277">
        <v>46415</v>
      </c>
      <c r="G12" s="279">
        <f>'TỒN KHO HÀNG NK'!F23</f>
        <v>13607</v>
      </c>
      <c r="H12" s="266">
        <f ca="1">F12-TODAY()</f>
        <v>319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</row>
    <row r="13" spans="1:245" s="42" customFormat="1" ht="24.95" customHeight="1">
      <c r="A13" s="41"/>
      <c r="B13" s="272"/>
      <c r="C13" s="272"/>
      <c r="D13" s="274"/>
      <c r="E13" s="276"/>
      <c r="F13" s="278"/>
      <c r="G13" s="280"/>
      <c r="H13" s="26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</row>
    <row r="14" spans="1:245" s="29" customFormat="1" ht="24.95" customHeight="1">
      <c r="A14" s="3"/>
      <c r="B14" s="214">
        <v>6</v>
      </c>
      <c r="C14" s="217" t="s">
        <v>52</v>
      </c>
      <c r="D14" s="219" t="s">
        <v>31</v>
      </c>
      <c r="E14" s="116" t="s">
        <v>3</v>
      </c>
      <c r="F14" s="215">
        <v>46750</v>
      </c>
      <c r="G14" s="218">
        <f>'TỒN KHO HÀNG NK'!F25</f>
        <v>5618</v>
      </c>
      <c r="H14" s="4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</row>
    <row r="15" spans="1:245" s="29" customFormat="1" ht="24.95" customHeight="1">
      <c r="A15" s="3"/>
      <c r="B15" s="214">
        <v>7</v>
      </c>
      <c r="C15" s="217" t="s">
        <v>55</v>
      </c>
      <c r="D15" s="115" t="s">
        <v>13</v>
      </c>
      <c r="E15" s="116" t="s">
        <v>5</v>
      </c>
      <c r="F15" s="118">
        <v>46800</v>
      </c>
      <c r="G15" s="218">
        <f>'TỒN KHO HÀNG NK'!F28</f>
        <v>11106</v>
      </c>
      <c r="H15" s="4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</row>
    <row r="16" spans="1:245" s="29" customFormat="1" ht="24.95" customHeight="1">
      <c r="A16" s="3"/>
      <c r="B16" s="214">
        <v>8</v>
      </c>
      <c r="C16" s="217" t="s">
        <v>56</v>
      </c>
      <c r="D16" s="112" t="s">
        <v>14</v>
      </c>
      <c r="E16" s="116" t="s">
        <v>3</v>
      </c>
      <c r="F16" s="118">
        <v>46800</v>
      </c>
      <c r="G16" s="218">
        <f>'TỒN KHO HÀNG NK'!F29</f>
        <v>3679</v>
      </c>
      <c r="H16" s="4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</row>
    <row r="17" spans="1:245" s="43" customFormat="1" ht="24.95" customHeight="1">
      <c r="A17" s="46"/>
      <c r="B17" s="214">
        <v>9</v>
      </c>
      <c r="C17" s="217" t="s">
        <v>63</v>
      </c>
      <c r="D17" s="115" t="s">
        <v>64</v>
      </c>
      <c r="E17" s="116" t="s">
        <v>3</v>
      </c>
      <c r="F17" s="215">
        <v>46750</v>
      </c>
      <c r="G17" s="218">
        <f>'TỒN KHO HÀNG NK'!F30</f>
        <v>7673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</row>
    <row r="18" spans="1:245" s="46" customFormat="1" ht="24.75" customHeight="1">
      <c r="B18" s="268" t="s">
        <v>68</v>
      </c>
      <c r="C18" s="268"/>
      <c r="D18" s="268"/>
      <c r="E18" s="268"/>
      <c r="F18" s="268"/>
      <c r="G18" s="220">
        <f>SUM(G8:G17)</f>
        <v>69545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</row>
  </sheetData>
  <mergeCells count="12">
    <mergeCell ref="H12:H13"/>
    <mergeCell ref="B18:F18"/>
    <mergeCell ref="D1:G1"/>
    <mergeCell ref="D2:G2"/>
    <mergeCell ref="B4:G4"/>
    <mergeCell ref="B5:G5"/>
    <mergeCell ref="B12:B13"/>
    <mergeCell ref="C12:C13"/>
    <mergeCell ref="D12:D13"/>
    <mergeCell ref="E12:E13"/>
    <mergeCell ref="F12:F13"/>
    <mergeCell ref="G12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3B68-D7E3-4340-ACBB-7528C3CF3795}">
  <sheetPr>
    <tabColor rgb="FF9900FF"/>
  </sheetPr>
  <dimension ref="A1:IO25"/>
  <sheetViews>
    <sheetView showGridLines="0" workbookViewId="0">
      <selection activeCell="E23" sqref="E23"/>
    </sheetView>
  </sheetViews>
  <sheetFormatPr defaultColWidth="9.140625" defaultRowHeight="12.75"/>
  <cols>
    <col min="1" max="1" width="9.140625" style="134"/>
    <col min="2" max="2" width="5.42578125" style="134" customWidth="1"/>
    <col min="3" max="3" width="12.140625" style="134" customWidth="1"/>
    <col min="4" max="4" width="33.7109375" style="134" customWidth="1"/>
    <col min="5" max="5" width="7.7109375" style="8" customWidth="1"/>
    <col min="6" max="6" width="10.7109375" style="4" customWidth="1"/>
    <col min="7" max="7" width="16.85546875" style="221" customWidth="1"/>
    <col min="8" max="8" width="48.42578125" style="134" customWidth="1"/>
    <col min="9" max="10" width="9.140625" style="134"/>
    <col min="11" max="11" width="17.5703125" style="134" customWidth="1"/>
    <col min="12" max="13" width="9.140625" style="134"/>
    <col min="14" max="14" width="11.5703125" style="134" bestFit="1" customWidth="1"/>
    <col min="15" max="16384" width="9.140625" style="134"/>
  </cols>
  <sheetData>
    <row r="1" spans="1:249" s="9" customFormat="1" ht="15">
      <c r="D1" s="264" t="s">
        <v>26</v>
      </c>
      <c r="E1" s="264"/>
      <c r="F1" s="264"/>
      <c r="G1" s="264"/>
    </row>
    <row r="2" spans="1:249" s="9" customFormat="1" ht="20.100000000000001" customHeight="1">
      <c r="D2" s="265" t="s">
        <v>27</v>
      </c>
      <c r="E2" s="265"/>
      <c r="F2" s="265"/>
      <c r="G2" s="265"/>
    </row>
    <row r="3" spans="1:249" s="9" customFormat="1" ht="20.100000000000001" customHeight="1">
      <c r="D3" s="11" t="s">
        <v>28</v>
      </c>
      <c r="E3" s="47"/>
      <c r="F3" s="11"/>
      <c r="G3" s="209"/>
    </row>
    <row r="4" spans="1:249" ht="34.5">
      <c r="B4" s="269" t="s">
        <v>69</v>
      </c>
      <c r="C4" s="269"/>
      <c r="D4" s="269"/>
      <c r="E4" s="269"/>
      <c r="F4" s="269"/>
      <c r="G4" s="269"/>
    </row>
    <row r="5" spans="1:249" ht="23.25" customHeight="1">
      <c r="B5" s="270" t="s">
        <v>90</v>
      </c>
      <c r="C5" s="270"/>
      <c r="D5" s="270"/>
      <c r="E5" s="270"/>
      <c r="F5" s="270"/>
      <c r="G5" s="270"/>
      <c r="H5" s="210"/>
    </row>
    <row r="6" spans="1:249" ht="11.25" customHeight="1">
      <c r="D6" s="44"/>
      <c r="E6" s="73"/>
      <c r="F6" s="44"/>
      <c r="G6" s="211"/>
    </row>
    <row r="7" spans="1:249" s="3" customFormat="1" ht="29.25" customHeight="1">
      <c r="B7" s="212" t="s">
        <v>30</v>
      </c>
      <c r="C7" s="212" t="s">
        <v>34</v>
      </c>
      <c r="D7" s="212" t="s">
        <v>0</v>
      </c>
      <c r="E7" s="212" t="s">
        <v>1</v>
      </c>
      <c r="F7" s="212" t="s">
        <v>29</v>
      </c>
      <c r="G7" s="213" t="s">
        <v>61</v>
      </c>
    </row>
    <row r="8" spans="1:249" s="42" customFormat="1" ht="23.25" customHeight="1">
      <c r="A8" s="41"/>
      <c r="B8" s="271">
        <v>1</v>
      </c>
      <c r="C8" s="271" t="s">
        <v>50</v>
      </c>
      <c r="D8" s="275" t="s">
        <v>15</v>
      </c>
      <c r="E8" s="275" t="s">
        <v>5</v>
      </c>
      <c r="F8" s="277">
        <v>46415</v>
      </c>
      <c r="G8" s="279">
        <f>'TỒN KHO HÀNG NK'!F23</f>
        <v>13607</v>
      </c>
      <c r="H8" s="266">
        <f ca="1">F8-TODAY()</f>
        <v>319</v>
      </c>
      <c r="I8" s="3"/>
      <c r="J8" s="3"/>
      <c r="K8" s="22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</row>
    <row r="9" spans="1:249" s="42" customFormat="1" ht="20.25" customHeight="1">
      <c r="A9" s="41"/>
      <c r="B9" s="272"/>
      <c r="C9" s="272"/>
      <c r="D9" s="276"/>
      <c r="E9" s="276"/>
      <c r="F9" s="278"/>
      <c r="G9" s="280"/>
      <c r="H9" s="267"/>
      <c r="I9" s="3"/>
      <c r="J9" s="3"/>
      <c r="K9" s="2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</row>
    <row r="10" spans="1:249" s="46" customFormat="1" ht="18">
      <c r="B10" s="268" t="s">
        <v>68</v>
      </c>
      <c r="C10" s="268"/>
      <c r="D10" s="268"/>
      <c r="E10" s="268"/>
      <c r="F10" s="268"/>
      <c r="G10" s="220">
        <f>G8</f>
        <v>13607</v>
      </c>
      <c r="H10" s="223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</row>
    <row r="25" spans="8:8">
      <c r="H25" s="224"/>
    </row>
  </sheetData>
  <mergeCells count="12">
    <mergeCell ref="H8:H9"/>
    <mergeCell ref="B10:F10"/>
    <mergeCell ref="D1:G1"/>
    <mergeCell ref="D2:G2"/>
    <mergeCell ref="B4:G4"/>
    <mergeCell ref="B5:G5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1729-2C2A-4455-8051-1B81DD4D4CC7}">
  <sheetPr>
    <tabColor rgb="FFFF0000"/>
  </sheetPr>
  <dimension ref="A1:HH22"/>
  <sheetViews>
    <sheetView showGridLines="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O23" sqref="O23"/>
    </sheetView>
  </sheetViews>
  <sheetFormatPr defaultColWidth="9.140625" defaultRowHeight="12.75"/>
  <cols>
    <col min="1" max="1" width="3.28515625" style="134" customWidth="1"/>
    <col min="2" max="2" width="5.42578125" style="134" customWidth="1"/>
    <col min="3" max="3" width="9" style="134" customWidth="1"/>
    <col min="4" max="4" width="25.85546875" style="134" customWidth="1"/>
    <col min="5" max="5" width="8.42578125" style="8" customWidth="1"/>
    <col min="6" max="6" width="11.5703125" style="4" customWidth="1"/>
    <col min="7" max="7" width="10.5703125" style="221" customWidth="1"/>
    <col min="8" max="20" width="10.7109375" style="221" customWidth="1"/>
    <col min="21" max="21" width="11.5703125" style="221" customWidth="1"/>
    <col min="22" max="22" width="11.7109375" style="221" customWidth="1"/>
    <col min="23" max="23" width="11.42578125" style="221" customWidth="1"/>
    <col min="24" max="24" width="27.7109375" style="134" customWidth="1"/>
    <col min="25" max="25" width="9.140625" style="134"/>
    <col min="26" max="28" width="11.5703125" style="134" bestFit="1" customWidth="1"/>
    <col min="29" max="16384" width="9.140625" style="134"/>
  </cols>
  <sheetData>
    <row r="1" spans="1:216" s="9" customFormat="1" ht="15">
      <c r="D1" s="264" t="s">
        <v>26</v>
      </c>
      <c r="E1" s="264"/>
      <c r="F1" s="264"/>
      <c r="G1" s="264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16" s="9" customFormat="1" ht="20.100000000000001" customHeight="1">
      <c r="D2" s="265" t="s">
        <v>27</v>
      </c>
      <c r="E2" s="265"/>
      <c r="F2" s="265"/>
      <c r="G2" s="26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16" s="9" customFormat="1" ht="20.100000000000001" customHeight="1">
      <c r="D3" s="11" t="s">
        <v>28</v>
      </c>
      <c r="E3" s="47"/>
      <c r="F3" s="11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</row>
    <row r="4" spans="1:216" ht="42" customHeight="1">
      <c r="B4" s="253" t="s">
        <v>89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2"/>
    </row>
    <row r="5" spans="1:216" s="3" customFormat="1" ht="35.1" customHeight="1">
      <c r="B5" s="285" t="s">
        <v>30</v>
      </c>
      <c r="C5" s="285" t="s">
        <v>34</v>
      </c>
      <c r="D5" s="285" t="s">
        <v>0</v>
      </c>
      <c r="E5" s="285" t="s">
        <v>1</v>
      </c>
      <c r="F5" s="285" t="s">
        <v>29</v>
      </c>
      <c r="G5" s="287" t="s">
        <v>61</v>
      </c>
      <c r="H5" s="283" t="s">
        <v>70</v>
      </c>
      <c r="I5" s="284"/>
      <c r="J5" s="283" t="s">
        <v>71</v>
      </c>
      <c r="K5" s="284"/>
      <c r="L5" s="283" t="s">
        <v>72</v>
      </c>
      <c r="M5" s="284"/>
      <c r="N5" s="283" t="s">
        <v>73</v>
      </c>
      <c r="O5" s="284"/>
      <c r="P5" s="283" t="s">
        <v>74</v>
      </c>
      <c r="Q5" s="284"/>
      <c r="R5" s="283" t="s">
        <v>78</v>
      </c>
      <c r="S5" s="284"/>
      <c r="T5" s="283" t="s">
        <v>79</v>
      </c>
      <c r="U5" s="284"/>
      <c r="V5" s="283" t="s">
        <v>80</v>
      </c>
      <c r="W5" s="284"/>
      <c r="X5" s="281" t="s">
        <v>75</v>
      </c>
    </row>
    <row r="6" spans="1:216" s="3" customFormat="1" ht="24.95" customHeight="1">
      <c r="B6" s="286"/>
      <c r="C6" s="286"/>
      <c r="D6" s="286"/>
      <c r="E6" s="286"/>
      <c r="F6" s="286"/>
      <c r="G6" s="288"/>
      <c r="H6" s="225" t="s">
        <v>76</v>
      </c>
      <c r="I6" s="226" t="s">
        <v>77</v>
      </c>
      <c r="J6" s="225" t="s">
        <v>76</v>
      </c>
      <c r="K6" s="226" t="s">
        <v>77</v>
      </c>
      <c r="L6" s="225" t="s">
        <v>76</v>
      </c>
      <c r="M6" s="226" t="s">
        <v>77</v>
      </c>
      <c r="N6" s="225" t="s">
        <v>76</v>
      </c>
      <c r="O6" s="226" t="s">
        <v>77</v>
      </c>
      <c r="P6" s="225" t="s">
        <v>76</v>
      </c>
      <c r="Q6" s="226" t="s">
        <v>77</v>
      </c>
      <c r="R6" s="225" t="s">
        <v>76</v>
      </c>
      <c r="S6" s="226" t="s">
        <v>77</v>
      </c>
      <c r="T6" s="225" t="s">
        <v>76</v>
      </c>
      <c r="U6" s="226" t="s">
        <v>77</v>
      </c>
      <c r="V6" s="225" t="s">
        <v>76</v>
      </c>
      <c r="W6" s="226" t="s">
        <v>77</v>
      </c>
      <c r="X6" s="282"/>
    </row>
    <row r="7" spans="1:216" s="14" customFormat="1" ht="24.95" customHeight="1">
      <c r="A7" s="3"/>
      <c r="B7" s="227">
        <v>1</v>
      </c>
      <c r="C7" s="227" t="s">
        <v>51</v>
      </c>
      <c r="D7" s="228" t="s">
        <v>12</v>
      </c>
      <c r="E7" s="116" t="s">
        <v>5</v>
      </c>
      <c r="F7" s="215">
        <v>46226</v>
      </c>
      <c r="G7" s="229">
        <v>25</v>
      </c>
      <c r="H7" s="230">
        <v>0</v>
      </c>
      <c r="I7" s="229">
        <f>G7-H7</f>
        <v>25</v>
      </c>
      <c r="J7" s="230">
        <v>0</v>
      </c>
      <c r="K7" s="229">
        <f>I7-J7</f>
        <v>25</v>
      </c>
      <c r="L7" s="230">
        <v>0</v>
      </c>
      <c r="M7" s="229">
        <f>K7-L7</f>
        <v>25</v>
      </c>
      <c r="N7" s="230">
        <v>0</v>
      </c>
      <c r="O7" s="229">
        <f>M7-N7</f>
        <v>25</v>
      </c>
      <c r="P7" s="230">
        <v>0</v>
      </c>
      <c r="Q7" s="231">
        <f>M7-P7</f>
        <v>25</v>
      </c>
      <c r="R7" s="230">
        <v>0</v>
      </c>
      <c r="S7" s="231">
        <f>Q7-R7</f>
        <v>25</v>
      </c>
      <c r="T7" s="230">
        <v>0</v>
      </c>
      <c r="U7" s="231">
        <f>S7-T7</f>
        <v>25</v>
      </c>
      <c r="V7" s="230">
        <v>0</v>
      </c>
      <c r="W7" s="231">
        <f>U7-V7</f>
        <v>25</v>
      </c>
      <c r="X7" s="232">
        <f ca="1">F7-TODAY()</f>
        <v>130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</row>
    <row r="8" spans="1:216" s="14" customFormat="1" ht="24.95" customHeight="1">
      <c r="A8" s="3"/>
      <c r="B8" s="227">
        <v>2</v>
      </c>
      <c r="C8" s="227" t="s">
        <v>40</v>
      </c>
      <c r="D8" s="115" t="s">
        <v>19</v>
      </c>
      <c r="E8" s="116" t="s">
        <v>5</v>
      </c>
      <c r="F8" s="215">
        <v>46257</v>
      </c>
      <c r="G8" s="233">
        <v>9581</v>
      </c>
      <c r="H8" s="234">
        <v>95</v>
      </c>
      <c r="I8" s="233">
        <f>G8-H8</f>
        <v>9486</v>
      </c>
      <c r="J8" s="234">
        <v>87</v>
      </c>
      <c r="K8" s="235">
        <f>I8-J8</f>
        <v>9399</v>
      </c>
      <c r="L8" s="234">
        <v>67</v>
      </c>
      <c r="M8" s="235">
        <f>K8-L8+9</f>
        <v>9341</v>
      </c>
      <c r="N8" s="234">
        <v>34</v>
      </c>
      <c r="O8" s="235">
        <f>M8-N8</f>
        <v>9307</v>
      </c>
      <c r="P8" s="234">
        <v>80</v>
      </c>
      <c r="Q8" s="236">
        <f>O8-P8</f>
        <v>9227</v>
      </c>
      <c r="R8" s="234">
        <v>25</v>
      </c>
      <c r="S8" s="236">
        <f>Q8-R8</f>
        <v>9202</v>
      </c>
      <c r="T8" s="234">
        <v>35</v>
      </c>
      <c r="U8" s="236">
        <f>S8-T8</f>
        <v>9167</v>
      </c>
      <c r="V8" s="234">
        <v>203</v>
      </c>
      <c r="W8" s="236">
        <f>U8-V8</f>
        <v>8964</v>
      </c>
      <c r="X8" s="232">
        <f ca="1">F8-TODAY()</f>
        <v>161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</row>
    <row r="9" spans="1:216">
      <c r="W9" s="255"/>
      <c r="X9" s="256"/>
    </row>
    <row r="10" spans="1:216" ht="30" customHeight="1">
      <c r="H10" s="283" t="s">
        <v>81</v>
      </c>
      <c r="I10" s="284"/>
      <c r="J10" s="283" t="s">
        <v>82</v>
      </c>
      <c r="K10" s="284"/>
      <c r="L10" s="283" t="s">
        <v>83</v>
      </c>
      <c r="M10" s="284"/>
      <c r="N10" s="283" t="s">
        <v>84</v>
      </c>
      <c r="O10" s="284"/>
      <c r="P10" s="283" t="s">
        <v>87</v>
      </c>
      <c r="Q10" s="284"/>
      <c r="R10" s="283" t="s">
        <v>88</v>
      </c>
      <c r="S10" s="284"/>
      <c r="T10" s="289" t="s">
        <v>92</v>
      </c>
      <c r="U10" s="289"/>
      <c r="W10" s="255"/>
      <c r="X10" s="258"/>
    </row>
    <row r="11" spans="1:216" ht="24.95" customHeight="1">
      <c r="H11" s="225" t="s">
        <v>76</v>
      </c>
      <c r="I11" s="226" t="s">
        <v>77</v>
      </c>
      <c r="J11" s="225" t="s">
        <v>76</v>
      </c>
      <c r="K11" s="226" t="s">
        <v>77</v>
      </c>
      <c r="L11" s="225" t="s">
        <v>76</v>
      </c>
      <c r="M11" s="226" t="s">
        <v>77</v>
      </c>
      <c r="N11" s="225" t="s">
        <v>76</v>
      </c>
      <c r="O11" s="226" t="s">
        <v>77</v>
      </c>
      <c r="P11" s="225" t="s">
        <v>76</v>
      </c>
      <c r="Q11" s="226" t="s">
        <v>77</v>
      </c>
      <c r="R11" s="225" t="s">
        <v>76</v>
      </c>
      <c r="S11" s="226" t="s">
        <v>77</v>
      </c>
      <c r="T11" s="225" t="s">
        <v>76</v>
      </c>
      <c r="U11" s="226" t="s">
        <v>77</v>
      </c>
      <c r="W11" s="255"/>
      <c r="X11" s="258"/>
    </row>
    <row r="12" spans="1:216" ht="24.95" customHeight="1">
      <c r="H12" s="230">
        <v>0</v>
      </c>
      <c r="I12" s="229">
        <v>25</v>
      </c>
      <c r="J12" s="230">
        <v>0</v>
      </c>
      <c r="K12" s="229">
        <v>25</v>
      </c>
      <c r="L12" s="230">
        <v>0</v>
      </c>
      <c r="M12" s="229">
        <v>25</v>
      </c>
      <c r="N12" s="230">
        <v>0</v>
      </c>
      <c r="O12" s="229">
        <v>25</v>
      </c>
      <c r="P12" s="230">
        <v>0</v>
      </c>
      <c r="Q12" s="231">
        <v>25</v>
      </c>
      <c r="R12" s="230">
        <v>0</v>
      </c>
      <c r="S12" s="231">
        <v>25</v>
      </c>
      <c r="T12" s="230">
        <v>0</v>
      </c>
      <c r="U12" s="231">
        <v>25</v>
      </c>
      <c r="V12" s="254"/>
      <c r="W12" s="255"/>
      <c r="X12" s="257"/>
    </row>
    <row r="13" spans="1:216" ht="24.95" customHeight="1">
      <c r="H13" s="234">
        <v>502</v>
      </c>
      <c r="I13" s="233">
        <f>W8-H13</f>
        <v>8462</v>
      </c>
      <c r="J13" s="234">
        <v>80</v>
      </c>
      <c r="K13" s="235">
        <f>I13-J13</f>
        <v>8382</v>
      </c>
      <c r="L13" s="234">
        <v>94</v>
      </c>
      <c r="M13" s="235">
        <f>K13-L13</f>
        <v>8288</v>
      </c>
      <c r="N13" s="234">
        <v>91</v>
      </c>
      <c r="O13" s="235">
        <f>M13-N13+46</f>
        <v>8243</v>
      </c>
      <c r="P13" s="234">
        <v>69</v>
      </c>
      <c r="Q13" s="235">
        <f>O13-P13+7</f>
        <v>8181</v>
      </c>
      <c r="R13" s="234">
        <v>66</v>
      </c>
      <c r="S13" s="235">
        <f>Q13-R13</f>
        <v>8115</v>
      </c>
      <c r="T13" s="234">
        <v>116</v>
      </c>
      <c r="U13" s="235">
        <f>S13-T13</f>
        <v>7999</v>
      </c>
      <c r="X13" s="254"/>
    </row>
    <row r="14" spans="1:216" ht="12.75" customHeight="1">
      <c r="O14" s="237"/>
    </row>
    <row r="16" spans="1:216" ht="12.75" customHeight="1">
      <c r="R16" s="237"/>
    </row>
    <row r="17" spans="17:24">
      <c r="R17" s="197"/>
      <c r="W17" s="221" t="s">
        <v>94</v>
      </c>
    </row>
    <row r="18" spans="17:24">
      <c r="R18" s="221" t="s">
        <v>93</v>
      </c>
    </row>
    <row r="19" spans="17:24">
      <c r="X19" s="238"/>
    </row>
    <row r="22" spans="17:24" ht="12.75" customHeight="1">
      <c r="Q22" s="237"/>
    </row>
  </sheetData>
  <mergeCells count="24">
    <mergeCell ref="T10:U10"/>
    <mergeCell ref="R10:S10"/>
    <mergeCell ref="H10:I10"/>
    <mergeCell ref="J10:K10"/>
    <mergeCell ref="L10:M10"/>
    <mergeCell ref="N10:O10"/>
    <mergeCell ref="P10:Q10"/>
    <mergeCell ref="B5:B6"/>
    <mergeCell ref="C5:C6"/>
    <mergeCell ref="D5:D6"/>
    <mergeCell ref="E5:E6"/>
    <mergeCell ref="F5:F6"/>
    <mergeCell ref="X5:X6"/>
    <mergeCell ref="T5:U5"/>
    <mergeCell ref="V5:W5"/>
    <mergeCell ref="D1:G1"/>
    <mergeCell ref="D2:G2"/>
    <mergeCell ref="G5:G6"/>
    <mergeCell ref="H5:I5"/>
    <mergeCell ref="J5:K5"/>
    <mergeCell ref="L5:M5"/>
    <mergeCell ref="N5:O5"/>
    <mergeCell ref="P5:Q5"/>
    <mergeCell ref="R5:S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C41"/>
  <sheetViews>
    <sheetView workbookViewId="0">
      <selection activeCell="A30" sqref="A30"/>
    </sheetView>
  </sheetViews>
  <sheetFormatPr defaultColWidth="10.140625" defaultRowHeight="12.75"/>
  <cols>
    <col min="1" max="1" width="33.28515625" style="1" customWidth="1"/>
    <col min="2" max="2" width="1.42578125" style="1" customWidth="1"/>
    <col min="3" max="3" width="35.7109375" style="1" customWidth="1"/>
    <col min="4" max="16384" width="10.140625" style="1"/>
  </cols>
  <sheetData>
    <row r="1" spans="1:3">
      <c r="A1" s="2"/>
      <c r="C1" s="2"/>
    </row>
    <row r="2" spans="1:3" ht="13.5" thickBot="1">
      <c r="A2" s="2"/>
    </row>
    <row r="3" spans="1:3" ht="13.5" thickBot="1">
      <c r="A3" s="2"/>
      <c r="C3" s="2"/>
    </row>
    <row r="4" spans="1:3">
      <c r="A4" s="2"/>
      <c r="C4" s="2"/>
    </row>
    <row r="5" spans="1:3">
      <c r="C5" s="2"/>
    </row>
    <row r="6" spans="1:3" ht="13.5" thickBot="1">
      <c r="C6" s="2"/>
    </row>
    <row r="7" spans="1:3">
      <c r="A7" s="2"/>
      <c r="C7" s="2"/>
    </row>
    <row r="8" spans="1:3">
      <c r="A8" s="2"/>
      <c r="C8" s="2"/>
    </row>
    <row r="9" spans="1:3">
      <c r="A9" s="2"/>
      <c r="C9" s="2"/>
    </row>
    <row r="10" spans="1:3">
      <c r="A10" s="2"/>
      <c r="C10" s="2"/>
    </row>
    <row r="11" spans="1:3" ht="13.5" thickBot="1">
      <c r="A11" s="2"/>
      <c r="C11" s="2"/>
    </row>
    <row r="12" spans="1:3">
      <c r="C12" s="2"/>
    </row>
    <row r="13" spans="1:3" ht="13.5" thickBot="1">
      <c r="C13" s="2"/>
    </row>
    <row r="14" spans="1:3" ht="13.5" thickBot="1">
      <c r="A14" s="2"/>
      <c r="C14" s="2"/>
    </row>
    <row r="15" spans="1:3">
      <c r="A15" s="2"/>
    </row>
    <row r="16" spans="1:3" ht="13.5" thickBot="1">
      <c r="A16" s="2"/>
    </row>
    <row r="17" spans="1:3" ht="13.5" thickBot="1">
      <c r="A17" s="2"/>
      <c r="C17" s="2"/>
    </row>
    <row r="18" spans="1:3">
      <c r="C18" s="2"/>
    </row>
    <row r="19" spans="1:3">
      <c r="C19" s="2"/>
    </row>
    <row r="20" spans="1:3">
      <c r="A20" s="2"/>
      <c r="C20" s="2"/>
    </row>
    <row r="21" spans="1:3">
      <c r="A21" s="2"/>
      <c r="C21" s="2"/>
    </row>
    <row r="22" spans="1:3">
      <c r="A22" s="2"/>
      <c r="C22" s="2"/>
    </row>
    <row r="23" spans="1:3">
      <c r="A23" s="2"/>
      <c r="C23" s="2"/>
    </row>
    <row r="24" spans="1:3">
      <c r="A24" s="2"/>
    </row>
    <row r="25" spans="1:3">
      <c r="A25" s="2"/>
    </row>
    <row r="26" spans="1:3" ht="13.5" thickBot="1">
      <c r="A26" s="2"/>
      <c r="C26" s="2"/>
    </row>
    <row r="27" spans="1:3">
      <c r="A27" s="2"/>
      <c r="C27" s="2"/>
    </row>
    <row r="28" spans="1:3">
      <c r="A28" s="2"/>
      <c r="C28" s="2"/>
    </row>
    <row r="29" spans="1:3">
      <c r="A29" s="2"/>
      <c r="C29" s="2"/>
    </row>
    <row r="30" spans="1:3">
      <c r="A30" s="2"/>
      <c r="C30" s="2"/>
    </row>
    <row r="31" spans="1:3">
      <c r="A31" s="2"/>
      <c r="C31" s="2"/>
    </row>
    <row r="32" spans="1:3">
      <c r="A32" s="2"/>
      <c r="C32" s="2"/>
    </row>
    <row r="33" spans="1:3">
      <c r="A33" s="2"/>
      <c r="C33" s="2"/>
    </row>
    <row r="34" spans="1:3">
      <c r="A34" s="2"/>
      <c r="C34" s="2"/>
    </row>
    <row r="35" spans="1:3">
      <c r="A35" s="2"/>
      <c r="C35" s="2"/>
    </row>
    <row r="36" spans="1:3">
      <c r="A36" s="2"/>
      <c r="C36" s="2"/>
    </row>
    <row r="37" spans="1:3">
      <c r="A37" s="2"/>
    </row>
    <row r="38" spans="1:3">
      <c r="A38" s="2"/>
    </row>
    <row r="39" spans="1:3">
      <c r="A39" s="2"/>
      <c r="C39" s="2"/>
    </row>
    <row r="40" spans="1:3">
      <c r="A40" s="2"/>
      <c r="C40" s="2"/>
    </row>
    <row r="41" spans="1:3">
      <c r="A41" s="2"/>
      <c r="C41" s="2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C41"/>
  <sheetViews>
    <sheetView workbookViewId="0">
      <selection activeCell="A30" sqref="A30"/>
    </sheetView>
  </sheetViews>
  <sheetFormatPr defaultColWidth="10.140625" defaultRowHeight="12.75"/>
  <cols>
    <col min="1" max="1" width="33.28515625" style="1" customWidth="1"/>
    <col min="2" max="2" width="1.42578125" style="1" customWidth="1"/>
    <col min="3" max="3" width="35.7109375" style="1" customWidth="1"/>
    <col min="4" max="16384" width="10.140625" style="1"/>
  </cols>
  <sheetData>
    <row r="1" spans="1:3">
      <c r="A1" s="2"/>
      <c r="C1" s="2"/>
    </row>
    <row r="2" spans="1:3" ht="13.5" thickBot="1">
      <c r="A2" s="2"/>
    </row>
    <row r="3" spans="1:3" ht="13.5" thickBot="1">
      <c r="A3" s="2"/>
      <c r="C3" s="2"/>
    </row>
    <row r="4" spans="1:3">
      <c r="A4" s="2"/>
      <c r="C4" s="2"/>
    </row>
    <row r="5" spans="1:3">
      <c r="C5" s="2"/>
    </row>
    <row r="6" spans="1:3" ht="13.5" thickBot="1">
      <c r="C6" s="2"/>
    </row>
    <row r="7" spans="1:3">
      <c r="A7" s="2"/>
      <c r="C7" s="2"/>
    </row>
    <row r="8" spans="1:3">
      <c r="A8" s="2"/>
      <c r="C8" s="2"/>
    </row>
    <row r="9" spans="1:3">
      <c r="A9" s="2"/>
      <c r="C9" s="2"/>
    </row>
    <row r="10" spans="1:3">
      <c r="A10" s="2"/>
      <c r="C10" s="2"/>
    </row>
    <row r="11" spans="1:3" ht="13.5" thickBot="1">
      <c r="A11" s="2"/>
      <c r="C11" s="2"/>
    </row>
    <row r="12" spans="1:3">
      <c r="C12" s="2"/>
    </row>
    <row r="13" spans="1:3" ht="13.5" thickBot="1">
      <c r="C13" s="2"/>
    </row>
    <row r="14" spans="1:3" ht="13.5" thickBot="1">
      <c r="A14" s="2"/>
      <c r="C14" s="2"/>
    </row>
    <row r="15" spans="1:3">
      <c r="A15" s="2"/>
    </row>
    <row r="16" spans="1:3" ht="13.5" thickBot="1">
      <c r="A16" s="2"/>
    </row>
    <row r="17" spans="1:3" ht="13.5" thickBot="1">
      <c r="A17" s="2"/>
      <c r="C17" s="2"/>
    </row>
    <row r="18" spans="1:3">
      <c r="C18" s="2"/>
    </row>
    <row r="19" spans="1:3">
      <c r="C19" s="2"/>
    </row>
    <row r="20" spans="1:3">
      <c r="A20" s="2"/>
      <c r="C20" s="2"/>
    </row>
    <row r="21" spans="1:3">
      <c r="A21" s="2"/>
      <c r="C21" s="2"/>
    </row>
    <row r="22" spans="1:3">
      <c r="A22" s="2"/>
      <c r="C22" s="2"/>
    </row>
    <row r="23" spans="1:3">
      <c r="A23" s="2"/>
      <c r="C23" s="2"/>
    </row>
    <row r="24" spans="1:3">
      <c r="A24" s="2"/>
    </row>
    <row r="25" spans="1:3">
      <c r="A25" s="2"/>
    </row>
    <row r="26" spans="1:3" ht="13.5" thickBot="1">
      <c r="A26" s="2"/>
      <c r="C26" s="2"/>
    </row>
    <row r="27" spans="1:3">
      <c r="A27" s="2"/>
      <c r="C27" s="2"/>
    </row>
    <row r="28" spans="1:3">
      <c r="A28" s="2"/>
      <c r="C28" s="2"/>
    </row>
    <row r="29" spans="1:3">
      <c r="A29" s="2"/>
      <c r="C29" s="2"/>
    </row>
    <row r="30" spans="1:3">
      <c r="A30" s="2"/>
      <c r="C30" s="2"/>
    </row>
    <row r="31" spans="1:3">
      <c r="A31" s="2"/>
      <c r="C31" s="2"/>
    </row>
    <row r="32" spans="1:3">
      <c r="A32" s="2"/>
      <c r="C32" s="2"/>
    </row>
    <row r="33" spans="1:3">
      <c r="A33" s="2"/>
      <c r="C33" s="2"/>
    </row>
    <row r="34" spans="1:3">
      <c r="A34" s="2"/>
      <c r="C34" s="2"/>
    </row>
    <row r="35" spans="1:3">
      <c r="A35" s="2"/>
      <c r="C35" s="2"/>
    </row>
    <row r="36" spans="1:3">
      <c r="A36" s="2"/>
      <c r="C36" s="2"/>
    </row>
    <row r="37" spans="1:3">
      <c r="A37" s="2"/>
    </row>
    <row r="38" spans="1:3">
      <c r="A38" s="2"/>
    </row>
    <row r="39" spans="1:3">
      <c r="A39" s="2"/>
      <c r="C39" s="2"/>
    </row>
    <row r="40" spans="1:3">
      <c r="A40" s="2"/>
      <c r="C40" s="2"/>
    </row>
    <row r="41" spans="1:3">
      <c r="A41" s="2"/>
      <c r="C41" s="2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TỒN KHO HÀNG NK</vt:lpstr>
      <vt:lpstr>HÀNG CẦN ĐẨY MẠNH</vt:lpstr>
      <vt:lpstr>HÀNG LƯU Ý</vt:lpstr>
      <vt:lpstr>HÀNG CẬN DATE DƯỚI  6 THÁNG</vt:lpstr>
      <vt:lpstr>'TỒN KHO HÀNG NK'!Print_Area</vt:lpstr>
      <vt:lpstr>'TỒN KHO HÀNG NK'!Print_Titles</vt:lpstr>
    </vt:vector>
  </TitlesOfParts>
  <Company>VNES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2024-12-05T06:46:51Z</cp:lastPrinted>
  <dcterms:created xsi:type="dcterms:W3CDTF">2003-12-06T01:48:04Z</dcterms:created>
  <dcterms:modified xsi:type="dcterms:W3CDTF">2026-03-15T07:37:04Z</dcterms:modified>
</cp:coreProperties>
</file>